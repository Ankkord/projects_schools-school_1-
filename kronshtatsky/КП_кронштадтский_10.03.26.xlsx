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cuments\schools\kronshtatsky\"/>
    </mc:Choice>
  </mc:AlternateContent>
  <bookViews>
    <workbookView minimized="1" xWindow="-108" yWindow="-108" windowWidth="19416" windowHeight="10416" activeTab="2"/>
  </bookViews>
  <sheets>
    <sheet name="Изменения" sheetId="1" r:id="rId1"/>
    <sheet name="ТКП" sheetId="2" r:id="rId2"/>
    <sheet name="ВЫПОЛНЕНИЕ" sheetId="3" r:id="rId3"/>
  </sheets>
  <definedNames>
    <definedName name="_xlnm._FilterDatabase" localSheetId="0" hidden="1">Изменения!$A$7:$U$7</definedName>
    <definedName name="_xlnm._FilterDatabase" localSheetId="1" hidden="1">ТКП!$A$7:$U$7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82" i="3" l="1"/>
  <c r="R982" i="3"/>
  <c r="N982" i="3"/>
  <c r="O982" i="3" s="1"/>
  <c r="O981" i="3" s="1"/>
  <c r="O980" i="3" s="1"/>
  <c r="O979" i="3" s="1"/>
  <c r="O978" i="3" s="1"/>
  <c r="O977" i="3" s="1"/>
  <c r="L982" i="3"/>
  <c r="S981" i="3"/>
  <c r="S980" i="3" s="1"/>
  <c r="S979" i="3" s="1"/>
  <c r="S978" i="3" s="1"/>
  <c r="S977" i="3" s="1"/>
  <c r="N981" i="3"/>
  <c r="N980" i="3" s="1"/>
  <c r="N979" i="3" s="1"/>
  <c r="N978" i="3" s="1"/>
  <c r="N977" i="3" s="1"/>
  <c r="M981" i="3"/>
  <c r="M980" i="3"/>
  <c r="M979" i="3" s="1"/>
  <c r="M978" i="3" s="1"/>
  <c r="M977" i="3" s="1"/>
  <c r="S976" i="3"/>
  <c r="M976" i="3"/>
  <c r="S975" i="3"/>
  <c r="M975" i="3"/>
  <c r="T974" i="3"/>
  <c r="N974" i="3"/>
  <c r="N973" i="3" s="1"/>
  <c r="N972" i="3" s="1"/>
  <c r="N971" i="3" s="1"/>
  <c r="N970" i="3" s="1"/>
  <c r="J974" i="3"/>
  <c r="M974" i="3" s="1"/>
  <c r="T969" i="3"/>
  <c r="U969" i="3" s="1"/>
  <c r="U968" i="3" s="1"/>
  <c r="R969" i="3"/>
  <c r="N969" i="3"/>
  <c r="O969" i="3" s="1"/>
  <c r="O968" i="3" s="1"/>
  <c r="L969" i="3"/>
  <c r="T968" i="3"/>
  <c r="S968" i="3"/>
  <c r="M968" i="3"/>
  <c r="S967" i="3"/>
  <c r="P966" i="3" s="1"/>
  <c r="M967" i="3"/>
  <c r="J966" i="3" s="1"/>
  <c r="M966" i="3" s="1"/>
  <c r="O966" i="3" s="1"/>
  <c r="T966" i="3"/>
  <c r="N966" i="3"/>
  <c r="S965" i="3"/>
  <c r="P964" i="3" s="1"/>
  <c r="M965" i="3"/>
  <c r="J964" i="3" s="1"/>
  <c r="T964" i="3"/>
  <c r="N964" i="3"/>
  <c r="N963" i="3" s="1"/>
  <c r="S962" i="3"/>
  <c r="P961" i="3" s="1"/>
  <c r="M962" i="3"/>
  <c r="T961" i="3"/>
  <c r="N961" i="3"/>
  <c r="M961" i="3"/>
  <c r="O961" i="3" s="1"/>
  <c r="J961" i="3"/>
  <c r="L961" i="3" s="1"/>
  <c r="S960" i="3"/>
  <c r="M960" i="3"/>
  <c r="T959" i="3"/>
  <c r="N959" i="3"/>
  <c r="J959" i="3"/>
  <c r="M959" i="3" s="1"/>
  <c r="O959" i="3" s="1"/>
  <c r="S958" i="3"/>
  <c r="M958" i="3"/>
  <c r="U957" i="3"/>
  <c r="R957" i="3"/>
  <c r="O957" i="3"/>
  <c r="L957" i="3"/>
  <c r="S956" i="3"/>
  <c r="M956" i="3"/>
  <c r="U955" i="3"/>
  <c r="R955" i="3"/>
  <c r="O955" i="3"/>
  <c r="L955" i="3"/>
  <c r="S954" i="3"/>
  <c r="M954" i="3"/>
  <c r="U953" i="3"/>
  <c r="R953" i="3"/>
  <c r="O953" i="3"/>
  <c r="L953" i="3"/>
  <c r="S952" i="3"/>
  <c r="M952" i="3"/>
  <c r="U951" i="3"/>
  <c r="R951" i="3"/>
  <c r="O951" i="3"/>
  <c r="L951" i="3"/>
  <c r="S950" i="3"/>
  <c r="M950" i="3"/>
  <c r="U949" i="3"/>
  <c r="R949" i="3"/>
  <c r="O949" i="3"/>
  <c r="L949" i="3"/>
  <c r="S948" i="3"/>
  <c r="M948" i="3"/>
  <c r="U947" i="3"/>
  <c r="R947" i="3"/>
  <c r="O947" i="3"/>
  <c r="L947" i="3"/>
  <c r="S946" i="3"/>
  <c r="M946" i="3"/>
  <c r="U945" i="3"/>
  <c r="R945" i="3"/>
  <c r="O945" i="3"/>
  <c r="L945" i="3"/>
  <c r="S944" i="3"/>
  <c r="M944" i="3"/>
  <c r="U943" i="3"/>
  <c r="R943" i="3"/>
  <c r="O943" i="3"/>
  <c r="L943" i="3"/>
  <c r="S942" i="3"/>
  <c r="M942" i="3"/>
  <c r="S941" i="3"/>
  <c r="M941" i="3"/>
  <c r="S940" i="3"/>
  <c r="M940" i="3"/>
  <c r="S939" i="3"/>
  <c r="M939" i="3"/>
  <c r="S938" i="3"/>
  <c r="M938" i="3"/>
  <c r="S937" i="3"/>
  <c r="M937" i="3"/>
  <c r="S936" i="3"/>
  <c r="M936" i="3"/>
  <c r="S935" i="3"/>
  <c r="M935" i="3"/>
  <c r="S934" i="3"/>
  <c r="M934" i="3"/>
  <c r="S933" i="3"/>
  <c r="M933" i="3"/>
  <c r="S932" i="3"/>
  <c r="M932" i="3"/>
  <c r="S931" i="3"/>
  <c r="M931" i="3"/>
  <c r="S930" i="3"/>
  <c r="M930" i="3"/>
  <c r="U929" i="3"/>
  <c r="R929" i="3"/>
  <c r="O929" i="3"/>
  <c r="L929" i="3"/>
  <c r="S928" i="3"/>
  <c r="M928" i="3"/>
  <c r="S927" i="3"/>
  <c r="M927" i="3"/>
  <c r="S926" i="3"/>
  <c r="M926" i="3"/>
  <c r="S925" i="3"/>
  <c r="M925" i="3"/>
  <c r="S924" i="3"/>
  <c r="M924" i="3"/>
  <c r="S923" i="3"/>
  <c r="M923" i="3"/>
  <c r="S922" i="3"/>
  <c r="M922" i="3"/>
  <c r="S921" i="3"/>
  <c r="M921" i="3"/>
  <c r="S920" i="3"/>
  <c r="M920" i="3"/>
  <c r="S919" i="3"/>
  <c r="M919" i="3"/>
  <c r="S918" i="3"/>
  <c r="M918" i="3"/>
  <c r="S917" i="3"/>
  <c r="M917" i="3"/>
  <c r="S916" i="3"/>
  <c r="M916" i="3"/>
  <c r="U915" i="3"/>
  <c r="R915" i="3"/>
  <c r="O915" i="3"/>
  <c r="L915" i="3"/>
  <c r="S914" i="3"/>
  <c r="M914" i="3"/>
  <c r="T913" i="3"/>
  <c r="N913" i="3"/>
  <c r="J913" i="3"/>
  <c r="M913" i="3" s="1"/>
  <c r="S912" i="3"/>
  <c r="P911" i="3" s="1"/>
  <c r="M912" i="3"/>
  <c r="T911" i="3"/>
  <c r="N911" i="3"/>
  <c r="M911" i="3"/>
  <c r="O911" i="3" s="1"/>
  <c r="J911" i="3"/>
  <c r="L911" i="3" s="1"/>
  <c r="S910" i="3"/>
  <c r="M910" i="3"/>
  <c r="U909" i="3"/>
  <c r="R909" i="3"/>
  <c r="O909" i="3"/>
  <c r="L909" i="3"/>
  <c r="S908" i="3"/>
  <c r="M908" i="3"/>
  <c r="U907" i="3"/>
  <c r="R907" i="3"/>
  <c r="O907" i="3"/>
  <c r="L907" i="3"/>
  <c r="T906" i="3"/>
  <c r="U906" i="3" s="1"/>
  <c r="R906" i="3"/>
  <c r="N906" i="3"/>
  <c r="O906" i="3" s="1"/>
  <c r="L906" i="3"/>
  <c r="U905" i="3"/>
  <c r="R905" i="3"/>
  <c r="O905" i="3"/>
  <c r="L905" i="3"/>
  <c r="U904" i="3"/>
  <c r="R904" i="3"/>
  <c r="O904" i="3"/>
  <c r="L904" i="3"/>
  <c r="S903" i="3"/>
  <c r="M903" i="3"/>
  <c r="S902" i="3"/>
  <c r="M902" i="3"/>
  <c r="S901" i="3"/>
  <c r="M901" i="3"/>
  <c r="S900" i="3"/>
  <c r="M900" i="3"/>
  <c r="S899" i="3"/>
  <c r="M899" i="3"/>
  <c r="S898" i="3"/>
  <c r="M898" i="3"/>
  <c r="S897" i="3"/>
  <c r="M897" i="3"/>
  <c r="S896" i="3"/>
  <c r="M896" i="3"/>
  <c r="S895" i="3"/>
  <c r="M895" i="3"/>
  <c r="S894" i="3"/>
  <c r="M894" i="3"/>
  <c r="S893" i="3"/>
  <c r="M893" i="3"/>
  <c r="T892" i="3"/>
  <c r="P892" i="3"/>
  <c r="S892" i="3" s="1"/>
  <c r="N892" i="3"/>
  <c r="S891" i="3"/>
  <c r="P890" i="3" s="1"/>
  <c r="M891" i="3"/>
  <c r="J890" i="3" s="1"/>
  <c r="T890" i="3"/>
  <c r="N890" i="3"/>
  <c r="S889" i="3"/>
  <c r="M889" i="3"/>
  <c r="J888" i="3" s="1"/>
  <c r="T888" i="3"/>
  <c r="P888" i="3"/>
  <c r="S888" i="3" s="1"/>
  <c r="N888" i="3"/>
  <c r="S887" i="3"/>
  <c r="P886" i="3" s="1"/>
  <c r="M887" i="3"/>
  <c r="J886" i="3" s="1"/>
  <c r="T886" i="3"/>
  <c r="N886" i="3"/>
  <c r="S885" i="3"/>
  <c r="M885" i="3"/>
  <c r="U884" i="3"/>
  <c r="R884" i="3"/>
  <c r="O884" i="3"/>
  <c r="L884" i="3"/>
  <c r="S883" i="3"/>
  <c r="M883" i="3"/>
  <c r="U882" i="3"/>
  <c r="R882" i="3"/>
  <c r="O882" i="3"/>
  <c r="L882" i="3"/>
  <c r="S881" i="3"/>
  <c r="M881" i="3"/>
  <c r="U880" i="3"/>
  <c r="R880" i="3"/>
  <c r="O880" i="3"/>
  <c r="L880" i="3"/>
  <c r="S879" i="3"/>
  <c r="M879" i="3"/>
  <c r="U878" i="3"/>
  <c r="R878" i="3"/>
  <c r="O878" i="3"/>
  <c r="L878" i="3"/>
  <c r="S877" i="3"/>
  <c r="M877" i="3"/>
  <c r="U876" i="3"/>
  <c r="R876" i="3"/>
  <c r="O876" i="3"/>
  <c r="L876" i="3"/>
  <c r="S875" i="3"/>
  <c r="M875" i="3"/>
  <c r="U874" i="3"/>
  <c r="R874" i="3"/>
  <c r="O874" i="3"/>
  <c r="L874" i="3"/>
  <c r="S873" i="3"/>
  <c r="M873" i="3"/>
  <c r="S872" i="3"/>
  <c r="M872" i="3"/>
  <c r="S871" i="3"/>
  <c r="P870" i="3" s="1"/>
  <c r="M871" i="3"/>
  <c r="J870" i="3" s="1"/>
  <c r="T870" i="3"/>
  <c r="N870" i="3"/>
  <c r="S869" i="3"/>
  <c r="M869" i="3"/>
  <c r="S868" i="3"/>
  <c r="M868" i="3"/>
  <c r="U867" i="3"/>
  <c r="R867" i="3"/>
  <c r="O867" i="3"/>
  <c r="L867" i="3"/>
  <c r="S866" i="3"/>
  <c r="M866" i="3"/>
  <c r="S865" i="3"/>
  <c r="M865" i="3"/>
  <c r="S864" i="3"/>
  <c r="M864" i="3"/>
  <c r="U863" i="3"/>
  <c r="R863" i="3"/>
  <c r="O863" i="3"/>
  <c r="L863" i="3"/>
  <c r="S861" i="3"/>
  <c r="M861" i="3"/>
  <c r="S860" i="3"/>
  <c r="M860" i="3"/>
  <c r="T859" i="3"/>
  <c r="N859" i="3"/>
  <c r="S858" i="3"/>
  <c r="M858" i="3"/>
  <c r="S857" i="3"/>
  <c r="M857" i="3"/>
  <c r="T856" i="3"/>
  <c r="N856" i="3"/>
  <c r="N828" i="3" s="1"/>
  <c r="S855" i="3"/>
  <c r="M855" i="3"/>
  <c r="S854" i="3"/>
  <c r="M854" i="3"/>
  <c r="U853" i="3"/>
  <c r="R853" i="3"/>
  <c r="O853" i="3"/>
  <c r="L853" i="3"/>
  <c r="S852" i="3"/>
  <c r="M852" i="3"/>
  <c r="S851" i="3"/>
  <c r="M851" i="3"/>
  <c r="U850" i="3"/>
  <c r="R850" i="3"/>
  <c r="O850" i="3"/>
  <c r="L850" i="3"/>
  <c r="S849" i="3"/>
  <c r="M849" i="3"/>
  <c r="S848" i="3"/>
  <c r="M848" i="3"/>
  <c r="U847" i="3"/>
  <c r="R847" i="3"/>
  <c r="O847" i="3"/>
  <c r="L847" i="3"/>
  <c r="S846" i="3"/>
  <c r="M846" i="3"/>
  <c r="S845" i="3"/>
  <c r="M845" i="3"/>
  <c r="U844" i="3"/>
  <c r="R844" i="3"/>
  <c r="O844" i="3"/>
  <c r="L844" i="3"/>
  <c r="S843" i="3"/>
  <c r="M843" i="3"/>
  <c r="S842" i="3"/>
  <c r="M842" i="3"/>
  <c r="U841" i="3"/>
  <c r="R841" i="3"/>
  <c r="O841" i="3"/>
  <c r="L841" i="3"/>
  <c r="S840" i="3"/>
  <c r="M840" i="3"/>
  <c r="S839" i="3"/>
  <c r="M839" i="3"/>
  <c r="U838" i="3"/>
  <c r="R838" i="3"/>
  <c r="O838" i="3"/>
  <c r="L838" i="3"/>
  <c r="S837" i="3"/>
  <c r="M837" i="3"/>
  <c r="S836" i="3"/>
  <c r="M836" i="3"/>
  <c r="U835" i="3"/>
  <c r="R835" i="3"/>
  <c r="O835" i="3"/>
  <c r="L835" i="3"/>
  <c r="S834" i="3"/>
  <c r="M834" i="3"/>
  <c r="S833" i="3"/>
  <c r="M833" i="3"/>
  <c r="U832" i="3"/>
  <c r="R832" i="3"/>
  <c r="O832" i="3"/>
  <c r="L832" i="3"/>
  <c r="S831" i="3"/>
  <c r="M831" i="3"/>
  <c r="S830" i="3"/>
  <c r="M830" i="3"/>
  <c r="U829" i="3"/>
  <c r="R829" i="3"/>
  <c r="O829" i="3"/>
  <c r="L829" i="3"/>
  <c r="T828" i="3"/>
  <c r="S827" i="3"/>
  <c r="M827" i="3"/>
  <c r="J825" i="3" s="1"/>
  <c r="S826" i="3"/>
  <c r="P825" i="3" s="1"/>
  <c r="S825" i="3" s="1"/>
  <c r="M826" i="3"/>
  <c r="T825" i="3"/>
  <c r="N825" i="3"/>
  <c r="S824" i="3"/>
  <c r="M824" i="3"/>
  <c r="J822" i="3" s="1"/>
  <c r="S823" i="3"/>
  <c r="P822" i="3" s="1"/>
  <c r="S822" i="3" s="1"/>
  <c r="M823" i="3"/>
  <c r="T822" i="3"/>
  <c r="N822" i="3"/>
  <c r="S821" i="3"/>
  <c r="M821" i="3"/>
  <c r="J819" i="3" s="1"/>
  <c r="S820" i="3"/>
  <c r="P819" i="3" s="1"/>
  <c r="S819" i="3" s="1"/>
  <c r="M820" i="3"/>
  <c r="T819" i="3"/>
  <c r="N819" i="3"/>
  <c r="S818" i="3"/>
  <c r="M818" i="3"/>
  <c r="J816" i="3" s="1"/>
  <c r="S817" i="3"/>
  <c r="P816" i="3" s="1"/>
  <c r="S816" i="3" s="1"/>
  <c r="M817" i="3"/>
  <c r="T816" i="3"/>
  <c r="N816" i="3"/>
  <c r="S815" i="3"/>
  <c r="M815" i="3"/>
  <c r="J813" i="3" s="1"/>
  <c r="S814" i="3"/>
  <c r="P813" i="3" s="1"/>
  <c r="S813" i="3" s="1"/>
  <c r="M814" i="3"/>
  <c r="T813" i="3"/>
  <c r="N813" i="3"/>
  <c r="S812" i="3"/>
  <c r="M812" i="3"/>
  <c r="J810" i="3" s="1"/>
  <c r="S811" i="3"/>
  <c r="P810" i="3" s="1"/>
  <c r="S810" i="3" s="1"/>
  <c r="M811" i="3"/>
  <c r="T810" i="3"/>
  <c r="N810" i="3"/>
  <c r="S809" i="3"/>
  <c r="M809" i="3"/>
  <c r="J807" i="3" s="1"/>
  <c r="S808" i="3"/>
  <c r="P807" i="3" s="1"/>
  <c r="S807" i="3" s="1"/>
  <c r="M808" i="3"/>
  <c r="T807" i="3"/>
  <c r="N807" i="3"/>
  <c r="S806" i="3"/>
  <c r="M806" i="3"/>
  <c r="S805" i="3"/>
  <c r="M805" i="3"/>
  <c r="U804" i="3"/>
  <c r="R804" i="3"/>
  <c r="O804" i="3"/>
  <c r="L804" i="3"/>
  <c r="S803" i="3"/>
  <c r="M803" i="3"/>
  <c r="S802" i="3"/>
  <c r="M802" i="3"/>
  <c r="U801" i="3"/>
  <c r="R801" i="3"/>
  <c r="O801" i="3"/>
  <c r="L801" i="3"/>
  <c r="S800" i="3"/>
  <c r="M800" i="3"/>
  <c r="J798" i="3" s="1"/>
  <c r="S799" i="3"/>
  <c r="P798" i="3" s="1"/>
  <c r="S798" i="3" s="1"/>
  <c r="M799" i="3"/>
  <c r="T798" i="3"/>
  <c r="N798" i="3"/>
  <c r="S797" i="3"/>
  <c r="M797" i="3"/>
  <c r="J795" i="3" s="1"/>
  <c r="S796" i="3"/>
  <c r="M796" i="3"/>
  <c r="T795" i="3"/>
  <c r="T782" i="3" s="1"/>
  <c r="T781" i="3" s="1"/>
  <c r="N795" i="3"/>
  <c r="S794" i="3"/>
  <c r="M794" i="3"/>
  <c r="S793" i="3"/>
  <c r="M793" i="3"/>
  <c r="T792" i="3"/>
  <c r="N792" i="3"/>
  <c r="J792" i="3"/>
  <c r="M792" i="3" s="1"/>
  <c r="S791" i="3"/>
  <c r="M791" i="3"/>
  <c r="S790" i="3"/>
  <c r="P789" i="3" s="1"/>
  <c r="S789" i="3" s="1"/>
  <c r="M790" i="3"/>
  <c r="T789" i="3"/>
  <c r="N789" i="3"/>
  <c r="N782" i="3" s="1"/>
  <c r="L789" i="3"/>
  <c r="J789" i="3"/>
  <c r="M789" i="3" s="1"/>
  <c r="S788" i="3"/>
  <c r="M788" i="3"/>
  <c r="S787" i="3"/>
  <c r="M787" i="3"/>
  <c r="U786" i="3"/>
  <c r="R786" i="3"/>
  <c r="O786" i="3"/>
  <c r="L786" i="3"/>
  <c r="S785" i="3"/>
  <c r="M785" i="3"/>
  <c r="S784" i="3"/>
  <c r="M784" i="3"/>
  <c r="U783" i="3"/>
  <c r="R783" i="3"/>
  <c r="O783" i="3"/>
  <c r="L783" i="3"/>
  <c r="S780" i="3"/>
  <c r="M780" i="3"/>
  <c r="S779" i="3"/>
  <c r="M779" i="3"/>
  <c r="S778" i="3"/>
  <c r="M778" i="3"/>
  <c r="S777" i="3"/>
  <c r="M777" i="3"/>
  <c r="U776" i="3"/>
  <c r="R776" i="3"/>
  <c r="O776" i="3"/>
  <c r="L776" i="3"/>
  <c r="S775" i="3"/>
  <c r="M775" i="3"/>
  <c r="S774" i="3"/>
  <c r="M774" i="3"/>
  <c r="S773" i="3"/>
  <c r="M773" i="3"/>
  <c r="S772" i="3"/>
  <c r="M772" i="3"/>
  <c r="U771" i="3"/>
  <c r="R771" i="3"/>
  <c r="O771" i="3"/>
  <c r="L771" i="3"/>
  <c r="S770" i="3"/>
  <c r="M770" i="3"/>
  <c r="S769" i="3"/>
  <c r="M769" i="3"/>
  <c r="S768" i="3"/>
  <c r="M768" i="3"/>
  <c r="S767" i="3"/>
  <c r="M767" i="3"/>
  <c r="U766" i="3"/>
  <c r="R766" i="3"/>
  <c r="O766" i="3"/>
  <c r="L766" i="3"/>
  <c r="S765" i="3"/>
  <c r="M765" i="3"/>
  <c r="S764" i="3"/>
  <c r="M764" i="3"/>
  <c r="S763" i="3"/>
  <c r="M763" i="3"/>
  <c r="S762" i="3"/>
  <c r="M762" i="3"/>
  <c r="U761" i="3"/>
  <c r="R761" i="3"/>
  <c r="O761" i="3"/>
  <c r="L761" i="3"/>
  <c r="S760" i="3"/>
  <c r="P759" i="3" s="1"/>
  <c r="M760" i="3"/>
  <c r="T759" i="3"/>
  <c r="N759" i="3"/>
  <c r="O759" i="3" s="1"/>
  <c r="J759" i="3"/>
  <c r="M759" i="3" s="1"/>
  <c r="S758" i="3"/>
  <c r="M758" i="3"/>
  <c r="J757" i="3" s="1"/>
  <c r="T757" i="3"/>
  <c r="P757" i="3"/>
  <c r="S757" i="3" s="1"/>
  <c r="N757" i="3"/>
  <c r="S756" i="3"/>
  <c r="M756" i="3"/>
  <c r="S755" i="3"/>
  <c r="M755" i="3"/>
  <c r="T754" i="3"/>
  <c r="S754" i="3"/>
  <c r="R754" i="3"/>
  <c r="P754" i="3"/>
  <c r="N754" i="3"/>
  <c r="J754" i="3"/>
  <c r="S753" i="3"/>
  <c r="M753" i="3"/>
  <c r="S752" i="3"/>
  <c r="M752" i="3"/>
  <c r="J750" i="3" s="1"/>
  <c r="S751" i="3"/>
  <c r="P750" i="3" s="1"/>
  <c r="M751" i="3"/>
  <c r="T750" i="3"/>
  <c r="N750" i="3"/>
  <c r="S749" i="3"/>
  <c r="M749" i="3"/>
  <c r="S748" i="3"/>
  <c r="M748" i="3"/>
  <c r="S747" i="3"/>
  <c r="M747" i="3"/>
  <c r="S746" i="3"/>
  <c r="M746" i="3"/>
  <c r="T745" i="3"/>
  <c r="N745" i="3"/>
  <c r="S744" i="3"/>
  <c r="M744" i="3"/>
  <c r="J742" i="3" s="1"/>
  <c r="S743" i="3"/>
  <c r="P742" i="3" s="1"/>
  <c r="M743" i="3"/>
  <c r="T742" i="3"/>
  <c r="N742" i="3"/>
  <c r="S741" i="3"/>
  <c r="M741" i="3"/>
  <c r="S740" i="3"/>
  <c r="M740" i="3"/>
  <c r="S739" i="3"/>
  <c r="M739" i="3"/>
  <c r="S738" i="3"/>
  <c r="P737" i="3" s="1"/>
  <c r="M738" i="3"/>
  <c r="T737" i="3"/>
  <c r="N737" i="3"/>
  <c r="S736" i="3"/>
  <c r="P732" i="3" s="1"/>
  <c r="M736" i="3"/>
  <c r="S735" i="3"/>
  <c r="M735" i="3"/>
  <c r="S734" i="3"/>
  <c r="M734" i="3"/>
  <c r="S733" i="3"/>
  <c r="M733" i="3"/>
  <c r="T732" i="3"/>
  <c r="N732" i="3"/>
  <c r="S731" i="3"/>
  <c r="M731" i="3"/>
  <c r="S730" i="3"/>
  <c r="M730" i="3"/>
  <c r="S729" i="3"/>
  <c r="M729" i="3"/>
  <c r="S728" i="3"/>
  <c r="P727" i="3" s="1"/>
  <c r="M728" i="3"/>
  <c r="T727" i="3"/>
  <c r="N727" i="3"/>
  <c r="S726" i="3"/>
  <c r="P722" i="3" s="1"/>
  <c r="M726" i="3"/>
  <c r="S725" i="3"/>
  <c r="M725" i="3"/>
  <c r="S724" i="3"/>
  <c r="M724" i="3"/>
  <c r="S723" i="3"/>
  <c r="M723" i="3"/>
  <c r="T722" i="3"/>
  <c r="N722" i="3"/>
  <c r="S721" i="3"/>
  <c r="M721" i="3"/>
  <c r="S720" i="3"/>
  <c r="M720" i="3"/>
  <c r="S719" i="3"/>
  <c r="P717" i="3" s="1"/>
  <c r="S717" i="3" s="1"/>
  <c r="M719" i="3"/>
  <c r="S718" i="3"/>
  <c r="M718" i="3"/>
  <c r="T717" i="3"/>
  <c r="N717" i="3"/>
  <c r="S716" i="3"/>
  <c r="M716" i="3"/>
  <c r="S715" i="3"/>
  <c r="M715" i="3"/>
  <c r="S714" i="3"/>
  <c r="M714" i="3"/>
  <c r="S713" i="3"/>
  <c r="M713" i="3"/>
  <c r="T712" i="3"/>
  <c r="P712" i="3"/>
  <c r="N712" i="3"/>
  <c r="S710" i="3"/>
  <c r="M710" i="3"/>
  <c r="S709" i="3"/>
  <c r="M709" i="3"/>
  <c r="S708" i="3"/>
  <c r="M708" i="3"/>
  <c r="S707" i="3"/>
  <c r="M707" i="3"/>
  <c r="T706" i="3"/>
  <c r="N706" i="3"/>
  <c r="S705" i="3"/>
  <c r="M705" i="3"/>
  <c r="S704" i="3"/>
  <c r="M704" i="3"/>
  <c r="S703" i="3"/>
  <c r="M703" i="3"/>
  <c r="S702" i="3"/>
  <c r="M702" i="3"/>
  <c r="T701" i="3"/>
  <c r="N701" i="3"/>
  <c r="S700" i="3"/>
  <c r="M700" i="3"/>
  <c r="S699" i="3"/>
  <c r="P696" i="3" s="1"/>
  <c r="M699" i="3"/>
  <c r="S698" i="3"/>
  <c r="M698" i="3"/>
  <c r="J696" i="3" s="1"/>
  <c r="S697" i="3"/>
  <c r="M697" i="3"/>
  <c r="T696" i="3"/>
  <c r="N696" i="3"/>
  <c r="S695" i="3"/>
  <c r="M695" i="3"/>
  <c r="S694" i="3"/>
  <c r="M694" i="3"/>
  <c r="S693" i="3"/>
  <c r="M693" i="3"/>
  <c r="S692" i="3"/>
  <c r="M692" i="3"/>
  <c r="T691" i="3"/>
  <c r="N691" i="3"/>
  <c r="S690" i="3"/>
  <c r="M690" i="3"/>
  <c r="S689" i="3"/>
  <c r="M689" i="3"/>
  <c r="S688" i="3"/>
  <c r="M688" i="3"/>
  <c r="S687" i="3"/>
  <c r="M687" i="3"/>
  <c r="U686" i="3"/>
  <c r="R686" i="3"/>
  <c r="O686" i="3"/>
  <c r="L686" i="3"/>
  <c r="S685" i="3"/>
  <c r="M685" i="3"/>
  <c r="S684" i="3"/>
  <c r="M684" i="3"/>
  <c r="S683" i="3"/>
  <c r="M683" i="3"/>
  <c r="S682" i="3"/>
  <c r="M682" i="3"/>
  <c r="U681" i="3"/>
  <c r="R681" i="3"/>
  <c r="O681" i="3"/>
  <c r="L681" i="3"/>
  <c r="S680" i="3"/>
  <c r="M680" i="3"/>
  <c r="S679" i="3"/>
  <c r="M679" i="3"/>
  <c r="S678" i="3"/>
  <c r="M678" i="3"/>
  <c r="S677" i="3"/>
  <c r="M677" i="3"/>
  <c r="U676" i="3"/>
  <c r="R676" i="3"/>
  <c r="O676" i="3"/>
  <c r="L676" i="3"/>
  <c r="S675" i="3"/>
  <c r="M675" i="3"/>
  <c r="S674" i="3"/>
  <c r="M674" i="3"/>
  <c r="S673" i="3"/>
  <c r="M673" i="3"/>
  <c r="S672" i="3"/>
  <c r="M672" i="3"/>
  <c r="U671" i="3"/>
  <c r="R671" i="3"/>
  <c r="O671" i="3"/>
  <c r="L671" i="3"/>
  <c r="S670" i="3"/>
  <c r="M670" i="3"/>
  <c r="S669" i="3"/>
  <c r="M669" i="3"/>
  <c r="S668" i="3"/>
  <c r="M668" i="3"/>
  <c r="S667" i="3"/>
  <c r="M667" i="3"/>
  <c r="U666" i="3"/>
  <c r="R666" i="3"/>
  <c r="O666" i="3"/>
  <c r="L666" i="3"/>
  <c r="S665" i="3"/>
  <c r="M665" i="3"/>
  <c r="S664" i="3"/>
  <c r="M664" i="3"/>
  <c r="S663" i="3"/>
  <c r="M663" i="3"/>
  <c r="S662" i="3"/>
  <c r="M662" i="3"/>
  <c r="U661" i="3"/>
  <c r="R661" i="3"/>
  <c r="O661" i="3"/>
  <c r="L661" i="3"/>
  <c r="S660" i="3"/>
  <c r="M660" i="3"/>
  <c r="S659" i="3"/>
  <c r="M659" i="3"/>
  <c r="S658" i="3"/>
  <c r="M658" i="3"/>
  <c r="S657" i="3"/>
  <c r="M657" i="3"/>
  <c r="U656" i="3"/>
  <c r="R656" i="3"/>
  <c r="O656" i="3"/>
  <c r="L656" i="3"/>
  <c r="S655" i="3"/>
  <c r="M655" i="3"/>
  <c r="S654" i="3"/>
  <c r="M654" i="3"/>
  <c r="S653" i="3"/>
  <c r="M653" i="3"/>
  <c r="S652" i="3"/>
  <c r="M652" i="3"/>
  <c r="U651" i="3"/>
  <c r="R651" i="3"/>
  <c r="O651" i="3"/>
  <c r="L651" i="3"/>
  <c r="S650" i="3"/>
  <c r="M650" i="3"/>
  <c r="S649" i="3"/>
  <c r="M649" i="3"/>
  <c r="S648" i="3"/>
  <c r="M648" i="3"/>
  <c r="J646" i="3" s="1"/>
  <c r="S647" i="3"/>
  <c r="M647" i="3"/>
  <c r="T646" i="3"/>
  <c r="N646" i="3"/>
  <c r="S645" i="3"/>
  <c r="M645" i="3"/>
  <c r="S644" i="3"/>
  <c r="M644" i="3"/>
  <c r="S643" i="3"/>
  <c r="M643" i="3"/>
  <c r="S642" i="3"/>
  <c r="P641" i="3" s="1"/>
  <c r="M642" i="3"/>
  <c r="T641" i="3"/>
  <c r="N641" i="3"/>
  <c r="S640" i="3"/>
  <c r="M640" i="3"/>
  <c r="S639" i="3"/>
  <c r="M639" i="3"/>
  <c r="S638" i="3"/>
  <c r="M638" i="3"/>
  <c r="S637" i="3"/>
  <c r="M637" i="3"/>
  <c r="T636" i="3"/>
  <c r="N636" i="3"/>
  <c r="S635" i="3"/>
  <c r="M635" i="3"/>
  <c r="S634" i="3"/>
  <c r="M634" i="3"/>
  <c r="S633" i="3"/>
  <c r="M633" i="3"/>
  <c r="S632" i="3"/>
  <c r="M632" i="3"/>
  <c r="T631" i="3"/>
  <c r="N631" i="3"/>
  <c r="S630" i="3"/>
  <c r="M630" i="3"/>
  <c r="S629" i="3"/>
  <c r="M629" i="3"/>
  <c r="S628" i="3"/>
  <c r="M628" i="3"/>
  <c r="S627" i="3"/>
  <c r="M627" i="3"/>
  <c r="U626" i="3"/>
  <c r="R626" i="3"/>
  <c r="O626" i="3"/>
  <c r="L626" i="3"/>
  <c r="S625" i="3"/>
  <c r="M625" i="3"/>
  <c r="S624" i="3"/>
  <c r="M624" i="3"/>
  <c r="S623" i="3"/>
  <c r="M623" i="3"/>
  <c r="S622" i="3"/>
  <c r="M622" i="3"/>
  <c r="U621" i="3"/>
  <c r="R621" i="3"/>
  <c r="O621" i="3"/>
  <c r="L621" i="3"/>
  <c r="S620" i="3"/>
  <c r="M620" i="3"/>
  <c r="S619" i="3"/>
  <c r="M619" i="3"/>
  <c r="S618" i="3"/>
  <c r="M618" i="3"/>
  <c r="S617" i="3"/>
  <c r="M617" i="3"/>
  <c r="U616" i="3"/>
  <c r="R616" i="3"/>
  <c r="O616" i="3"/>
  <c r="L616" i="3"/>
  <c r="S615" i="3"/>
  <c r="M615" i="3"/>
  <c r="S614" i="3"/>
  <c r="M614" i="3"/>
  <c r="S613" i="3"/>
  <c r="M613" i="3"/>
  <c r="S612" i="3"/>
  <c r="M612" i="3"/>
  <c r="U611" i="3"/>
  <c r="R611" i="3"/>
  <c r="O611" i="3"/>
  <c r="L611" i="3"/>
  <c r="S610" i="3"/>
  <c r="M610" i="3"/>
  <c r="S609" i="3"/>
  <c r="M609" i="3"/>
  <c r="S608" i="3"/>
  <c r="M608" i="3"/>
  <c r="S607" i="3"/>
  <c r="M607" i="3"/>
  <c r="U606" i="3"/>
  <c r="R606" i="3"/>
  <c r="O606" i="3"/>
  <c r="L606" i="3"/>
  <c r="S605" i="3"/>
  <c r="M605" i="3"/>
  <c r="S604" i="3"/>
  <c r="M604" i="3"/>
  <c r="S603" i="3"/>
  <c r="M603" i="3"/>
  <c r="S602" i="3"/>
  <c r="M602" i="3"/>
  <c r="U601" i="3"/>
  <c r="R601" i="3"/>
  <c r="O601" i="3"/>
  <c r="L601" i="3"/>
  <c r="S600" i="3"/>
  <c r="M600" i="3"/>
  <c r="J598" i="3" s="1"/>
  <c r="S599" i="3"/>
  <c r="M599" i="3"/>
  <c r="T598" i="3"/>
  <c r="N598" i="3"/>
  <c r="S597" i="3"/>
  <c r="M597" i="3"/>
  <c r="S596" i="3"/>
  <c r="M596" i="3"/>
  <c r="U595" i="3"/>
  <c r="R595" i="3"/>
  <c r="O595" i="3"/>
  <c r="L595" i="3"/>
  <c r="S594" i="3"/>
  <c r="M594" i="3"/>
  <c r="S593" i="3"/>
  <c r="M593" i="3"/>
  <c r="U592" i="3"/>
  <c r="R592" i="3"/>
  <c r="O592" i="3"/>
  <c r="L592" i="3"/>
  <c r="S591" i="3"/>
  <c r="M591" i="3"/>
  <c r="S590" i="3"/>
  <c r="P589" i="3" s="1"/>
  <c r="M590" i="3"/>
  <c r="J589" i="3" s="1"/>
  <c r="M589" i="3" s="1"/>
  <c r="O589" i="3" s="1"/>
  <c r="T589" i="3"/>
  <c r="N589" i="3"/>
  <c r="S588" i="3"/>
  <c r="M588" i="3"/>
  <c r="J586" i="3" s="1"/>
  <c r="M586" i="3" s="1"/>
  <c r="O586" i="3" s="1"/>
  <c r="S587" i="3"/>
  <c r="M587" i="3"/>
  <c r="T586" i="3"/>
  <c r="P586" i="3"/>
  <c r="S586" i="3" s="1"/>
  <c r="N586" i="3"/>
  <c r="S585" i="3"/>
  <c r="M585" i="3"/>
  <c r="S584" i="3"/>
  <c r="M584" i="3"/>
  <c r="T583" i="3"/>
  <c r="P583" i="3"/>
  <c r="S583" i="3" s="1"/>
  <c r="N583" i="3"/>
  <c r="J583" i="3"/>
  <c r="M583" i="3" s="1"/>
  <c r="O583" i="3" s="1"/>
  <c r="S582" i="3"/>
  <c r="M582" i="3"/>
  <c r="S581" i="3"/>
  <c r="P580" i="3" s="1"/>
  <c r="R580" i="3" s="1"/>
  <c r="M581" i="3"/>
  <c r="T580" i="3"/>
  <c r="N580" i="3"/>
  <c r="J580" i="3"/>
  <c r="M580" i="3" s="1"/>
  <c r="O580" i="3" s="1"/>
  <c r="S579" i="3"/>
  <c r="M579" i="3"/>
  <c r="S578" i="3"/>
  <c r="M578" i="3"/>
  <c r="J577" i="3" s="1"/>
  <c r="M577" i="3" s="1"/>
  <c r="O577" i="3" s="1"/>
  <c r="T577" i="3"/>
  <c r="T482" i="3" s="1"/>
  <c r="P577" i="3"/>
  <c r="R577" i="3" s="1"/>
  <c r="N577" i="3"/>
  <c r="S576" i="3"/>
  <c r="M576" i="3"/>
  <c r="S575" i="3"/>
  <c r="M575" i="3"/>
  <c r="J574" i="3" s="1"/>
  <c r="M574" i="3" s="1"/>
  <c r="O574" i="3" s="1"/>
  <c r="T574" i="3"/>
  <c r="P574" i="3"/>
  <c r="R574" i="3" s="1"/>
  <c r="N574" i="3"/>
  <c r="S573" i="3"/>
  <c r="M573" i="3"/>
  <c r="S572" i="3"/>
  <c r="P571" i="3" s="1"/>
  <c r="R571" i="3" s="1"/>
  <c r="M572" i="3"/>
  <c r="T571" i="3"/>
  <c r="N571" i="3"/>
  <c r="J571" i="3"/>
  <c r="M571" i="3" s="1"/>
  <c r="S570" i="3"/>
  <c r="M570" i="3"/>
  <c r="S569" i="3"/>
  <c r="M569" i="3"/>
  <c r="U568" i="3"/>
  <c r="R568" i="3"/>
  <c r="O568" i="3"/>
  <c r="L568" i="3"/>
  <c r="S567" i="3"/>
  <c r="M567" i="3"/>
  <c r="S566" i="3"/>
  <c r="M566" i="3"/>
  <c r="U565" i="3"/>
  <c r="R565" i="3"/>
  <c r="O565" i="3"/>
  <c r="L565" i="3"/>
  <c r="S564" i="3"/>
  <c r="M564" i="3"/>
  <c r="S563" i="3"/>
  <c r="M563" i="3"/>
  <c r="U562" i="3"/>
  <c r="R562" i="3"/>
  <c r="O562" i="3"/>
  <c r="L562" i="3"/>
  <c r="S561" i="3"/>
  <c r="M561" i="3"/>
  <c r="S560" i="3"/>
  <c r="M560" i="3"/>
  <c r="U559" i="3"/>
  <c r="R559" i="3"/>
  <c r="O559" i="3"/>
  <c r="L559" i="3"/>
  <c r="S558" i="3"/>
  <c r="M558" i="3"/>
  <c r="S557" i="3"/>
  <c r="M557" i="3"/>
  <c r="U556" i="3"/>
  <c r="R556" i="3"/>
  <c r="O556" i="3"/>
  <c r="L556" i="3"/>
  <c r="S555" i="3"/>
  <c r="M555" i="3"/>
  <c r="S554" i="3"/>
  <c r="M554" i="3"/>
  <c r="U553" i="3"/>
  <c r="R553" i="3"/>
  <c r="O553" i="3"/>
  <c r="L553" i="3"/>
  <c r="S552" i="3"/>
  <c r="M552" i="3"/>
  <c r="S551" i="3"/>
  <c r="M551" i="3"/>
  <c r="U550" i="3"/>
  <c r="R550" i="3"/>
  <c r="O550" i="3"/>
  <c r="L550" i="3"/>
  <c r="S549" i="3"/>
  <c r="M549" i="3"/>
  <c r="S548" i="3"/>
  <c r="M548" i="3"/>
  <c r="U547" i="3"/>
  <c r="R547" i="3"/>
  <c r="O547" i="3"/>
  <c r="L547" i="3"/>
  <c r="S546" i="3"/>
  <c r="M546" i="3"/>
  <c r="S545" i="3"/>
  <c r="M545" i="3"/>
  <c r="U544" i="3"/>
  <c r="R544" i="3"/>
  <c r="O544" i="3"/>
  <c r="L544" i="3"/>
  <c r="S543" i="3"/>
  <c r="M543" i="3"/>
  <c r="S542" i="3"/>
  <c r="M542" i="3"/>
  <c r="U541" i="3"/>
  <c r="R541" i="3"/>
  <c r="O541" i="3"/>
  <c r="L541" i="3"/>
  <c r="S540" i="3"/>
  <c r="M540" i="3"/>
  <c r="S539" i="3"/>
  <c r="M539" i="3"/>
  <c r="U538" i="3"/>
  <c r="R538" i="3"/>
  <c r="O538" i="3"/>
  <c r="L538" i="3"/>
  <c r="S537" i="3"/>
  <c r="M537" i="3"/>
  <c r="S536" i="3"/>
  <c r="M536" i="3"/>
  <c r="U535" i="3"/>
  <c r="R535" i="3"/>
  <c r="O535" i="3"/>
  <c r="L535" i="3"/>
  <c r="S534" i="3"/>
  <c r="M534" i="3"/>
  <c r="S533" i="3"/>
  <c r="M533" i="3"/>
  <c r="U532" i="3"/>
  <c r="R532" i="3"/>
  <c r="O532" i="3"/>
  <c r="L532" i="3"/>
  <c r="S531" i="3"/>
  <c r="M531" i="3"/>
  <c r="S530" i="3"/>
  <c r="M530" i="3"/>
  <c r="U529" i="3"/>
  <c r="R529" i="3"/>
  <c r="O529" i="3"/>
  <c r="L529" i="3"/>
  <c r="S528" i="3"/>
  <c r="M528" i="3"/>
  <c r="S527" i="3"/>
  <c r="M527" i="3"/>
  <c r="U526" i="3"/>
  <c r="R526" i="3"/>
  <c r="O526" i="3"/>
  <c r="L526" i="3"/>
  <c r="S525" i="3"/>
  <c r="M525" i="3"/>
  <c r="S524" i="3"/>
  <c r="M524" i="3"/>
  <c r="U523" i="3"/>
  <c r="R523" i="3"/>
  <c r="O523" i="3"/>
  <c r="L523" i="3"/>
  <c r="S522" i="3"/>
  <c r="M522" i="3"/>
  <c r="U521" i="3"/>
  <c r="R521" i="3"/>
  <c r="O521" i="3"/>
  <c r="L521" i="3"/>
  <c r="S520" i="3"/>
  <c r="M520" i="3"/>
  <c r="U519" i="3"/>
  <c r="R519" i="3"/>
  <c r="O519" i="3"/>
  <c r="L519" i="3"/>
  <c r="S518" i="3"/>
  <c r="M518" i="3"/>
  <c r="U517" i="3"/>
  <c r="R517" i="3"/>
  <c r="O517" i="3"/>
  <c r="L517" i="3"/>
  <c r="S516" i="3"/>
  <c r="M516" i="3"/>
  <c r="U515" i="3"/>
  <c r="R515" i="3"/>
  <c r="O515" i="3"/>
  <c r="L515" i="3"/>
  <c r="S514" i="3"/>
  <c r="M514" i="3"/>
  <c r="U513" i="3"/>
  <c r="R513" i="3"/>
  <c r="O513" i="3"/>
  <c r="L513" i="3"/>
  <c r="S512" i="3"/>
  <c r="M512" i="3"/>
  <c r="U511" i="3"/>
  <c r="R511" i="3"/>
  <c r="O511" i="3"/>
  <c r="L511" i="3"/>
  <c r="S510" i="3"/>
  <c r="M510" i="3"/>
  <c r="U509" i="3"/>
  <c r="R509" i="3"/>
  <c r="O509" i="3"/>
  <c r="L509" i="3"/>
  <c r="S508" i="3"/>
  <c r="M508" i="3"/>
  <c r="U507" i="3"/>
  <c r="R507" i="3"/>
  <c r="O507" i="3"/>
  <c r="L507" i="3"/>
  <c r="S506" i="3"/>
  <c r="M506" i="3"/>
  <c r="U505" i="3"/>
  <c r="R505" i="3"/>
  <c r="O505" i="3"/>
  <c r="L505" i="3"/>
  <c r="S504" i="3"/>
  <c r="M504" i="3"/>
  <c r="U503" i="3"/>
  <c r="R503" i="3"/>
  <c r="O503" i="3"/>
  <c r="L503" i="3"/>
  <c r="S502" i="3"/>
  <c r="M502" i="3"/>
  <c r="U501" i="3"/>
  <c r="R501" i="3"/>
  <c r="O501" i="3"/>
  <c r="L501" i="3"/>
  <c r="S500" i="3"/>
  <c r="M500" i="3"/>
  <c r="U499" i="3"/>
  <c r="R499" i="3"/>
  <c r="O499" i="3"/>
  <c r="L499" i="3"/>
  <c r="S498" i="3"/>
  <c r="M498" i="3"/>
  <c r="U497" i="3"/>
  <c r="R497" i="3"/>
  <c r="O497" i="3"/>
  <c r="L497" i="3"/>
  <c r="S496" i="3"/>
  <c r="M496" i="3"/>
  <c r="U495" i="3"/>
  <c r="R495" i="3"/>
  <c r="O495" i="3"/>
  <c r="L495" i="3"/>
  <c r="S494" i="3"/>
  <c r="M494" i="3"/>
  <c r="U493" i="3"/>
  <c r="R493" i="3"/>
  <c r="O493" i="3"/>
  <c r="L493" i="3"/>
  <c r="S492" i="3"/>
  <c r="M492" i="3"/>
  <c r="U491" i="3"/>
  <c r="R491" i="3"/>
  <c r="O491" i="3"/>
  <c r="L491" i="3"/>
  <c r="S490" i="3"/>
  <c r="M490" i="3"/>
  <c r="U489" i="3"/>
  <c r="R489" i="3"/>
  <c r="O489" i="3"/>
  <c r="L489" i="3"/>
  <c r="S488" i="3"/>
  <c r="M488" i="3"/>
  <c r="U487" i="3"/>
  <c r="R487" i="3"/>
  <c r="O487" i="3"/>
  <c r="L487" i="3"/>
  <c r="S486" i="3"/>
  <c r="M486" i="3"/>
  <c r="U485" i="3"/>
  <c r="R485" i="3"/>
  <c r="O485" i="3"/>
  <c r="L485" i="3"/>
  <c r="S484" i="3"/>
  <c r="M484" i="3"/>
  <c r="U483" i="3"/>
  <c r="R483" i="3"/>
  <c r="O483" i="3"/>
  <c r="L483" i="3"/>
  <c r="N482" i="3"/>
  <c r="S481" i="3"/>
  <c r="M481" i="3"/>
  <c r="S480" i="3"/>
  <c r="M480" i="3"/>
  <c r="S479" i="3"/>
  <c r="M479" i="3"/>
  <c r="T478" i="3"/>
  <c r="P478" i="3"/>
  <c r="N478" i="3"/>
  <c r="J478" i="3"/>
  <c r="M478" i="3" s="1"/>
  <c r="O478" i="3" s="1"/>
  <c r="S477" i="3"/>
  <c r="M477" i="3"/>
  <c r="S476" i="3"/>
  <c r="M476" i="3"/>
  <c r="S475" i="3"/>
  <c r="M475" i="3"/>
  <c r="J474" i="3" s="1"/>
  <c r="T474" i="3"/>
  <c r="N474" i="3"/>
  <c r="S473" i="3"/>
  <c r="M473" i="3"/>
  <c r="S472" i="3"/>
  <c r="M472" i="3"/>
  <c r="S471" i="3"/>
  <c r="P470" i="3" s="1"/>
  <c r="M471" i="3"/>
  <c r="J470" i="3" s="1"/>
  <c r="M470" i="3" s="1"/>
  <c r="T470" i="3"/>
  <c r="N470" i="3"/>
  <c r="S469" i="3"/>
  <c r="M469" i="3"/>
  <c r="S468" i="3"/>
  <c r="P467" i="3" s="1"/>
  <c r="M468" i="3"/>
  <c r="J467" i="3" s="1"/>
  <c r="M467" i="3" s="1"/>
  <c r="T467" i="3"/>
  <c r="N467" i="3"/>
  <c r="S466" i="3"/>
  <c r="P464" i="3" s="1"/>
  <c r="M466" i="3"/>
  <c r="S465" i="3"/>
  <c r="M465" i="3"/>
  <c r="J464" i="3" s="1"/>
  <c r="M464" i="3" s="1"/>
  <c r="T464" i="3"/>
  <c r="N464" i="3"/>
  <c r="S463" i="3"/>
  <c r="M463" i="3"/>
  <c r="S462" i="3"/>
  <c r="P461" i="3" s="1"/>
  <c r="M462" i="3"/>
  <c r="J461" i="3" s="1"/>
  <c r="M461" i="3" s="1"/>
  <c r="T461" i="3"/>
  <c r="N461" i="3"/>
  <c r="S460" i="3"/>
  <c r="M460" i="3"/>
  <c r="S459" i="3"/>
  <c r="M459" i="3"/>
  <c r="S458" i="3"/>
  <c r="P457" i="3" s="1"/>
  <c r="M458" i="3"/>
  <c r="T457" i="3"/>
  <c r="N457" i="3"/>
  <c r="S456" i="3"/>
  <c r="M456" i="3"/>
  <c r="J454" i="3" s="1"/>
  <c r="S455" i="3"/>
  <c r="M455" i="3"/>
  <c r="T454" i="3"/>
  <c r="N454" i="3"/>
  <c r="S453" i="3"/>
  <c r="M453" i="3"/>
  <c r="S452" i="3"/>
  <c r="M452" i="3"/>
  <c r="S451" i="3"/>
  <c r="P450" i="3" s="1"/>
  <c r="M451" i="3"/>
  <c r="J450" i="3" s="1"/>
  <c r="M450" i="3" s="1"/>
  <c r="O450" i="3" s="1"/>
  <c r="T450" i="3"/>
  <c r="N450" i="3"/>
  <c r="S449" i="3"/>
  <c r="M449" i="3"/>
  <c r="S448" i="3"/>
  <c r="M448" i="3"/>
  <c r="U447" i="3"/>
  <c r="R447" i="3"/>
  <c r="O447" i="3"/>
  <c r="L447" i="3"/>
  <c r="S446" i="3"/>
  <c r="M446" i="3"/>
  <c r="S445" i="3"/>
  <c r="M445" i="3"/>
  <c r="U444" i="3"/>
  <c r="R444" i="3"/>
  <c r="O444" i="3"/>
  <c r="L444" i="3"/>
  <c r="S443" i="3"/>
  <c r="M443" i="3"/>
  <c r="J441" i="3" s="1"/>
  <c r="S442" i="3"/>
  <c r="M442" i="3"/>
  <c r="T441" i="3"/>
  <c r="N441" i="3"/>
  <c r="S438" i="3"/>
  <c r="M438" i="3"/>
  <c r="J437" i="3" s="1"/>
  <c r="T437" i="3"/>
  <c r="T432" i="3" s="1"/>
  <c r="P437" i="3"/>
  <c r="N437" i="3"/>
  <c r="S436" i="3"/>
  <c r="M436" i="3"/>
  <c r="U435" i="3"/>
  <c r="R435" i="3"/>
  <c r="O435" i="3"/>
  <c r="L435" i="3"/>
  <c r="S434" i="3"/>
  <c r="M434" i="3"/>
  <c r="U433" i="3"/>
  <c r="R433" i="3"/>
  <c r="O433" i="3"/>
  <c r="L433" i="3"/>
  <c r="N432" i="3"/>
  <c r="S431" i="3"/>
  <c r="M431" i="3"/>
  <c r="S430" i="3"/>
  <c r="M430" i="3"/>
  <c r="S429" i="3"/>
  <c r="M429" i="3"/>
  <c r="J427" i="3" s="1"/>
  <c r="L427" i="3" s="1"/>
  <c r="S428" i="3"/>
  <c r="P427" i="3" s="1"/>
  <c r="M428" i="3"/>
  <c r="T427" i="3"/>
  <c r="N427" i="3"/>
  <c r="S426" i="3"/>
  <c r="M426" i="3"/>
  <c r="S425" i="3"/>
  <c r="M425" i="3"/>
  <c r="S424" i="3"/>
  <c r="P422" i="3" s="1"/>
  <c r="M424" i="3"/>
  <c r="S423" i="3"/>
  <c r="M423" i="3"/>
  <c r="T422" i="3"/>
  <c r="N422" i="3"/>
  <c r="S421" i="3"/>
  <c r="M421" i="3"/>
  <c r="S420" i="3"/>
  <c r="M420" i="3"/>
  <c r="S419" i="3"/>
  <c r="M419" i="3"/>
  <c r="S418" i="3"/>
  <c r="M418" i="3"/>
  <c r="T417" i="3"/>
  <c r="N417" i="3"/>
  <c r="S416" i="3"/>
  <c r="M416" i="3"/>
  <c r="S415" i="3"/>
  <c r="M415" i="3"/>
  <c r="S414" i="3"/>
  <c r="M414" i="3"/>
  <c r="S413" i="3"/>
  <c r="M413" i="3"/>
  <c r="T412" i="3"/>
  <c r="N412" i="3"/>
  <c r="S411" i="3"/>
  <c r="M411" i="3"/>
  <c r="S410" i="3"/>
  <c r="M410" i="3"/>
  <c r="S409" i="3"/>
  <c r="M409" i="3"/>
  <c r="S408" i="3"/>
  <c r="M408" i="3"/>
  <c r="J407" i="3" s="1"/>
  <c r="L407" i="3" s="1"/>
  <c r="T407" i="3"/>
  <c r="N407" i="3"/>
  <c r="S406" i="3"/>
  <c r="M406" i="3"/>
  <c r="S405" i="3"/>
  <c r="M405" i="3"/>
  <c r="S404" i="3"/>
  <c r="P402" i="3" s="1"/>
  <c r="M404" i="3"/>
  <c r="S403" i="3"/>
  <c r="M403" i="3"/>
  <c r="T402" i="3"/>
  <c r="N402" i="3"/>
  <c r="S401" i="3"/>
  <c r="M401" i="3"/>
  <c r="S400" i="3"/>
  <c r="M400" i="3"/>
  <c r="S399" i="3"/>
  <c r="M399" i="3"/>
  <c r="S398" i="3"/>
  <c r="M398" i="3"/>
  <c r="U397" i="3"/>
  <c r="R397" i="3"/>
  <c r="O397" i="3"/>
  <c r="L397" i="3"/>
  <c r="S396" i="3"/>
  <c r="M396" i="3"/>
  <c r="S395" i="3"/>
  <c r="M395" i="3"/>
  <c r="S394" i="3"/>
  <c r="M394" i="3"/>
  <c r="S393" i="3"/>
  <c r="M393" i="3"/>
  <c r="U392" i="3"/>
  <c r="R392" i="3"/>
  <c r="O392" i="3"/>
  <c r="L392" i="3"/>
  <c r="S391" i="3"/>
  <c r="M391" i="3"/>
  <c r="S390" i="3"/>
  <c r="M390" i="3"/>
  <c r="S389" i="3"/>
  <c r="M389" i="3"/>
  <c r="S388" i="3"/>
  <c r="M388" i="3"/>
  <c r="U387" i="3"/>
  <c r="R387" i="3"/>
  <c r="O387" i="3"/>
  <c r="L387" i="3"/>
  <c r="S386" i="3"/>
  <c r="M386" i="3"/>
  <c r="S385" i="3"/>
  <c r="M385" i="3"/>
  <c r="S384" i="3"/>
  <c r="M384" i="3"/>
  <c r="S383" i="3"/>
  <c r="M383" i="3"/>
  <c r="U382" i="3"/>
  <c r="R382" i="3"/>
  <c r="O382" i="3"/>
  <c r="L382" i="3"/>
  <c r="S381" i="3"/>
  <c r="M381" i="3"/>
  <c r="S380" i="3"/>
  <c r="M380" i="3"/>
  <c r="S379" i="3"/>
  <c r="M379" i="3"/>
  <c r="S378" i="3"/>
  <c r="M378" i="3"/>
  <c r="U377" i="3"/>
  <c r="R377" i="3"/>
  <c r="O377" i="3"/>
  <c r="L377" i="3"/>
  <c r="S376" i="3"/>
  <c r="M376" i="3"/>
  <c r="S375" i="3"/>
  <c r="M375" i="3"/>
  <c r="S374" i="3"/>
  <c r="M374" i="3"/>
  <c r="S373" i="3"/>
  <c r="M373" i="3"/>
  <c r="U372" i="3"/>
  <c r="R372" i="3"/>
  <c r="O372" i="3"/>
  <c r="L372" i="3"/>
  <c r="S371" i="3"/>
  <c r="M371" i="3"/>
  <c r="S370" i="3"/>
  <c r="M370" i="3"/>
  <c r="S369" i="3"/>
  <c r="M369" i="3"/>
  <c r="S368" i="3"/>
  <c r="M368" i="3"/>
  <c r="U367" i="3"/>
  <c r="R367" i="3"/>
  <c r="O367" i="3"/>
  <c r="L367" i="3"/>
  <c r="S366" i="3"/>
  <c r="M366" i="3"/>
  <c r="S365" i="3"/>
  <c r="M365" i="3"/>
  <c r="S364" i="3"/>
  <c r="M364" i="3"/>
  <c r="S363" i="3"/>
  <c r="M363" i="3"/>
  <c r="U362" i="3"/>
  <c r="R362" i="3"/>
  <c r="O362" i="3"/>
  <c r="L362" i="3"/>
  <c r="S361" i="3"/>
  <c r="M361" i="3"/>
  <c r="S360" i="3"/>
  <c r="M360" i="3"/>
  <c r="S359" i="3"/>
  <c r="M359" i="3"/>
  <c r="S358" i="3"/>
  <c r="M358" i="3"/>
  <c r="U357" i="3"/>
  <c r="R357" i="3"/>
  <c r="O357" i="3"/>
  <c r="L357" i="3"/>
  <c r="S356" i="3"/>
  <c r="M356" i="3"/>
  <c r="S355" i="3"/>
  <c r="M355" i="3"/>
  <c r="S354" i="3"/>
  <c r="M354" i="3"/>
  <c r="S353" i="3"/>
  <c r="M353" i="3"/>
  <c r="U352" i="3"/>
  <c r="R352" i="3"/>
  <c r="O352" i="3"/>
  <c r="L352" i="3"/>
  <c r="S351" i="3"/>
  <c r="M351" i="3"/>
  <c r="S350" i="3"/>
  <c r="M350" i="3"/>
  <c r="S349" i="3"/>
  <c r="M349" i="3"/>
  <c r="S348" i="3"/>
  <c r="M348" i="3"/>
  <c r="U347" i="3"/>
  <c r="R347" i="3"/>
  <c r="O347" i="3"/>
  <c r="L347" i="3"/>
  <c r="S346" i="3"/>
  <c r="M346" i="3"/>
  <c r="S345" i="3"/>
  <c r="M345" i="3"/>
  <c r="S344" i="3"/>
  <c r="M344" i="3"/>
  <c r="S343" i="3"/>
  <c r="M343" i="3"/>
  <c r="U342" i="3"/>
  <c r="R342" i="3"/>
  <c r="O342" i="3"/>
  <c r="L342" i="3"/>
  <c r="S341" i="3"/>
  <c r="M341" i="3"/>
  <c r="S340" i="3"/>
  <c r="M340" i="3"/>
  <c r="S339" i="3"/>
  <c r="M339" i="3"/>
  <c r="J337" i="3" s="1"/>
  <c r="S338" i="3"/>
  <c r="M338" i="3"/>
  <c r="T337" i="3"/>
  <c r="N337" i="3"/>
  <c r="S336" i="3"/>
  <c r="M336" i="3"/>
  <c r="S335" i="3"/>
  <c r="M335" i="3"/>
  <c r="S334" i="3"/>
  <c r="M334" i="3"/>
  <c r="S333" i="3"/>
  <c r="M333" i="3"/>
  <c r="U332" i="3"/>
  <c r="R332" i="3"/>
  <c r="O332" i="3"/>
  <c r="L332" i="3"/>
  <c r="S331" i="3"/>
  <c r="M331" i="3"/>
  <c r="S330" i="3"/>
  <c r="M330" i="3"/>
  <c r="S329" i="3"/>
  <c r="M329" i="3"/>
  <c r="S328" i="3"/>
  <c r="M328" i="3"/>
  <c r="U327" i="3"/>
  <c r="R327" i="3"/>
  <c r="O327" i="3"/>
  <c r="L327" i="3"/>
  <c r="S326" i="3"/>
  <c r="M326" i="3"/>
  <c r="S325" i="3"/>
  <c r="M325" i="3"/>
  <c r="S324" i="3"/>
  <c r="M324" i="3"/>
  <c r="S323" i="3"/>
  <c r="P322" i="3" s="1"/>
  <c r="M323" i="3"/>
  <c r="T322" i="3"/>
  <c r="N322" i="3"/>
  <c r="S321" i="3"/>
  <c r="M321" i="3"/>
  <c r="S320" i="3"/>
  <c r="M320" i="3"/>
  <c r="S319" i="3"/>
  <c r="M319" i="3"/>
  <c r="S318" i="3"/>
  <c r="M318" i="3"/>
  <c r="T317" i="3"/>
  <c r="N317" i="3"/>
  <c r="S316" i="3"/>
  <c r="M316" i="3"/>
  <c r="S315" i="3"/>
  <c r="M315" i="3"/>
  <c r="S314" i="3"/>
  <c r="M314" i="3"/>
  <c r="S313" i="3"/>
  <c r="M313" i="3"/>
  <c r="T312" i="3"/>
  <c r="N312" i="3"/>
  <c r="S311" i="3"/>
  <c r="M311" i="3"/>
  <c r="S310" i="3"/>
  <c r="M310" i="3"/>
  <c r="S309" i="3"/>
  <c r="M309" i="3"/>
  <c r="S308" i="3"/>
  <c r="P307" i="3" s="1"/>
  <c r="M308" i="3"/>
  <c r="T307" i="3"/>
  <c r="N307" i="3"/>
  <c r="S306" i="3"/>
  <c r="M306" i="3"/>
  <c r="S305" i="3"/>
  <c r="M305" i="3"/>
  <c r="S304" i="3"/>
  <c r="M304" i="3"/>
  <c r="S303" i="3"/>
  <c r="M303" i="3"/>
  <c r="U302" i="3"/>
  <c r="R302" i="3"/>
  <c r="O302" i="3"/>
  <c r="L302" i="3"/>
  <c r="S301" i="3"/>
  <c r="M301" i="3"/>
  <c r="S300" i="3"/>
  <c r="M300" i="3"/>
  <c r="S299" i="3"/>
  <c r="M299" i="3"/>
  <c r="S298" i="3"/>
  <c r="M298" i="3"/>
  <c r="U297" i="3"/>
  <c r="R297" i="3"/>
  <c r="O297" i="3"/>
  <c r="L297" i="3"/>
  <c r="S296" i="3"/>
  <c r="M296" i="3"/>
  <c r="S295" i="3"/>
  <c r="M295" i="3"/>
  <c r="S294" i="3"/>
  <c r="M294" i="3"/>
  <c r="U293" i="3"/>
  <c r="R293" i="3"/>
  <c r="O293" i="3"/>
  <c r="L293" i="3"/>
  <c r="S292" i="3"/>
  <c r="M292" i="3"/>
  <c r="S291" i="3"/>
  <c r="M291" i="3"/>
  <c r="S290" i="3"/>
  <c r="M290" i="3"/>
  <c r="U289" i="3"/>
  <c r="R289" i="3"/>
  <c r="O289" i="3"/>
  <c r="L289" i="3"/>
  <c r="S288" i="3"/>
  <c r="M288" i="3"/>
  <c r="S287" i="3"/>
  <c r="M287" i="3"/>
  <c r="S286" i="3"/>
  <c r="M286" i="3"/>
  <c r="S285" i="3"/>
  <c r="M285" i="3"/>
  <c r="U284" i="3"/>
  <c r="R284" i="3"/>
  <c r="O284" i="3"/>
  <c r="L284" i="3"/>
  <c r="S283" i="3"/>
  <c r="M283" i="3"/>
  <c r="S282" i="3"/>
  <c r="M282" i="3"/>
  <c r="S281" i="3"/>
  <c r="M281" i="3"/>
  <c r="S280" i="3"/>
  <c r="M280" i="3"/>
  <c r="U279" i="3"/>
  <c r="R279" i="3"/>
  <c r="O279" i="3"/>
  <c r="L279" i="3"/>
  <c r="S278" i="3"/>
  <c r="M278" i="3"/>
  <c r="S277" i="3"/>
  <c r="M277" i="3"/>
  <c r="S276" i="3"/>
  <c r="M276" i="3"/>
  <c r="S275" i="3"/>
  <c r="M275" i="3"/>
  <c r="T274" i="3"/>
  <c r="N274" i="3"/>
  <c r="J274" i="3"/>
  <c r="M274" i="3" s="1"/>
  <c r="O274" i="3" s="1"/>
  <c r="S273" i="3"/>
  <c r="M273" i="3"/>
  <c r="S272" i="3"/>
  <c r="M272" i="3"/>
  <c r="S271" i="3"/>
  <c r="M271" i="3"/>
  <c r="S270" i="3"/>
  <c r="M270" i="3"/>
  <c r="J269" i="3" s="1"/>
  <c r="T269" i="3"/>
  <c r="N269" i="3"/>
  <c r="S268" i="3"/>
  <c r="M268" i="3"/>
  <c r="S267" i="3"/>
  <c r="M267" i="3"/>
  <c r="S266" i="3"/>
  <c r="M266" i="3"/>
  <c r="S265" i="3"/>
  <c r="M265" i="3"/>
  <c r="T264" i="3"/>
  <c r="N264" i="3"/>
  <c r="J264" i="3"/>
  <c r="M264" i="3" s="1"/>
  <c r="O264" i="3" s="1"/>
  <c r="S263" i="3"/>
  <c r="M263" i="3"/>
  <c r="S262" i="3"/>
  <c r="M262" i="3"/>
  <c r="S261" i="3"/>
  <c r="M261" i="3"/>
  <c r="S260" i="3"/>
  <c r="M260" i="3"/>
  <c r="U259" i="3"/>
  <c r="R259" i="3"/>
  <c r="O259" i="3"/>
  <c r="L259" i="3"/>
  <c r="S258" i="3"/>
  <c r="M258" i="3"/>
  <c r="S257" i="3"/>
  <c r="M257" i="3"/>
  <c r="S256" i="3"/>
  <c r="M256" i="3"/>
  <c r="S255" i="3"/>
  <c r="M255" i="3"/>
  <c r="U254" i="3"/>
  <c r="R254" i="3"/>
  <c r="O254" i="3"/>
  <c r="L254" i="3"/>
  <c r="S253" i="3"/>
  <c r="M253" i="3"/>
  <c r="S252" i="3"/>
  <c r="M252" i="3"/>
  <c r="S251" i="3"/>
  <c r="M251" i="3"/>
  <c r="S250" i="3"/>
  <c r="M250" i="3"/>
  <c r="U249" i="3"/>
  <c r="R249" i="3"/>
  <c r="O249" i="3"/>
  <c r="L249" i="3"/>
  <c r="S248" i="3"/>
  <c r="M248" i="3"/>
  <c r="S247" i="3"/>
  <c r="M247" i="3"/>
  <c r="S246" i="3"/>
  <c r="M246" i="3"/>
  <c r="S245" i="3"/>
  <c r="M245" i="3"/>
  <c r="U244" i="3"/>
  <c r="R244" i="3"/>
  <c r="O244" i="3"/>
  <c r="L244" i="3"/>
  <c r="S243" i="3"/>
  <c r="M243" i="3"/>
  <c r="S242" i="3"/>
  <c r="M242" i="3"/>
  <c r="S241" i="3"/>
  <c r="M241" i="3"/>
  <c r="S240" i="3"/>
  <c r="M240" i="3"/>
  <c r="U239" i="3"/>
  <c r="R239" i="3"/>
  <c r="O239" i="3"/>
  <c r="L239" i="3"/>
  <c r="S238" i="3"/>
  <c r="M238" i="3"/>
  <c r="S237" i="3"/>
  <c r="M237" i="3"/>
  <c r="S236" i="3"/>
  <c r="M236" i="3"/>
  <c r="S235" i="3"/>
  <c r="M235" i="3"/>
  <c r="U234" i="3"/>
  <c r="R234" i="3"/>
  <c r="O234" i="3"/>
  <c r="L234" i="3"/>
  <c r="S233" i="3"/>
  <c r="M233" i="3"/>
  <c r="J232" i="3" s="1"/>
  <c r="T232" i="3"/>
  <c r="N232" i="3"/>
  <c r="S231" i="3"/>
  <c r="M231" i="3"/>
  <c r="T230" i="3"/>
  <c r="P230" i="3"/>
  <c r="N230" i="3"/>
  <c r="J230" i="3"/>
  <c r="M230" i="3" s="1"/>
  <c r="O230" i="3" s="1"/>
  <c r="S229" i="3"/>
  <c r="M229" i="3"/>
  <c r="J228" i="3" s="1"/>
  <c r="T228" i="3"/>
  <c r="N228" i="3"/>
  <c r="S227" i="3"/>
  <c r="M227" i="3"/>
  <c r="J226" i="3" s="1"/>
  <c r="T226" i="3"/>
  <c r="P226" i="3"/>
  <c r="N226" i="3"/>
  <c r="S225" i="3"/>
  <c r="M225" i="3"/>
  <c r="U224" i="3"/>
  <c r="R224" i="3"/>
  <c r="O224" i="3"/>
  <c r="L224" i="3"/>
  <c r="S223" i="3"/>
  <c r="M223" i="3"/>
  <c r="U222" i="3"/>
  <c r="R222" i="3"/>
  <c r="O222" i="3"/>
  <c r="L222" i="3"/>
  <c r="S221" i="3"/>
  <c r="M221" i="3"/>
  <c r="U220" i="3"/>
  <c r="R220" i="3"/>
  <c r="O220" i="3"/>
  <c r="L220" i="3"/>
  <c r="S219" i="3"/>
  <c r="M219" i="3"/>
  <c r="U218" i="3"/>
  <c r="R218" i="3"/>
  <c r="O218" i="3"/>
  <c r="L218" i="3"/>
  <c r="S217" i="3"/>
  <c r="M217" i="3"/>
  <c r="S216" i="3"/>
  <c r="M216" i="3"/>
  <c r="S215" i="3"/>
  <c r="M215" i="3"/>
  <c r="J214" i="3" s="1"/>
  <c r="M214" i="3" s="1"/>
  <c r="O214" i="3" s="1"/>
  <c r="T214" i="3"/>
  <c r="N214" i="3"/>
  <c r="S213" i="3"/>
  <c r="M213" i="3"/>
  <c r="S212" i="3"/>
  <c r="M212" i="3"/>
  <c r="S211" i="3"/>
  <c r="M211" i="3"/>
  <c r="T210" i="3"/>
  <c r="N210" i="3"/>
  <c r="S209" i="3"/>
  <c r="M209" i="3"/>
  <c r="S208" i="3"/>
  <c r="M208" i="3"/>
  <c r="S207" i="3"/>
  <c r="M207" i="3"/>
  <c r="T206" i="3"/>
  <c r="N206" i="3"/>
  <c r="S205" i="3"/>
  <c r="M205" i="3"/>
  <c r="S204" i="3"/>
  <c r="M204" i="3"/>
  <c r="U203" i="3"/>
  <c r="R203" i="3"/>
  <c r="O203" i="3"/>
  <c r="L203" i="3"/>
  <c r="S202" i="3"/>
  <c r="M202" i="3"/>
  <c r="S201" i="3"/>
  <c r="M201" i="3"/>
  <c r="U200" i="3"/>
  <c r="R200" i="3"/>
  <c r="O200" i="3"/>
  <c r="L200" i="3"/>
  <c r="S199" i="3"/>
  <c r="M199" i="3"/>
  <c r="S198" i="3"/>
  <c r="M198" i="3"/>
  <c r="U197" i="3"/>
  <c r="R197" i="3"/>
  <c r="O197" i="3"/>
  <c r="L197" i="3"/>
  <c r="S196" i="3"/>
  <c r="M196" i="3"/>
  <c r="S195" i="3"/>
  <c r="M195" i="3"/>
  <c r="U194" i="3"/>
  <c r="R194" i="3"/>
  <c r="O194" i="3"/>
  <c r="L194" i="3"/>
  <c r="S193" i="3"/>
  <c r="P192" i="3" s="1"/>
  <c r="M193" i="3"/>
  <c r="J192" i="3" s="1"/>
  <c r="T192" i="3"/>
  <c r="N192" i="3"/>
  <c r="S191" i="3"/>
  <c r="M191" i="3"/>
  <c r="J190" i="3" s="1"/>
  <c r="T190" i="3"/>
  <c r="P190" i="3"/>
  <c r="N190" i="3"/>
  <c r="S189" i="3"/>
  <c r="M189" i="3"/>
  <c r="T188" i="3"/>
  <c r="P188" i="3"/>
  <c r="N188" i="3"/>
  <c r="O188" i="3" s="1"/>
  <c r="J188" i="3"/>
  <c r="M188" i="3" s="1"/>
  <c r="S187" i="3"/>
  <c r="M187" i="3"/>
  <c r="T186" i="3"/>
  <c r="N186" i="3"/>
  <c r="J186" i="3"/>
  <c r="M186" i="3" s="1"/>
  <c r="O186" i="3" s="1"/>
  <c r="S185" i="3"/>
  <c r="P184" i="3" s="1"/>
  <c r="R184" i="3" s="1"/>
  <c r="M185" i="3"/>
  <c r="T184" i="3"/>
  <c r="N184" i="3"/>
  <c r="L184" i="3"/>
  <c r="J184" i="3"/>
  <c r="M184" i="3" s="1"/>
  <c r="O184" i="3" s="1"/>
  <c r="S183" i="3"/>
  <c r="M183" i="3"/>
  <c r="J182" i="3" s="1"/>
  <c r="T182" i="3"/>
  <c r="N182" i="3"/>
  <c r="S181" i="3"/>
  <c r="M181" i="3"/>
  <c r="S180" i="3"/>
  <c r="M180" i="3"/>
  <c r="J179" i="3" s="1"/>
  <c r="M179" i="3" s="1"/>
  <c r="O179" i="3" s="1"/>
  <c r="T179" i="3"/>
  <c r="N179" i="3"/>
  <c r="S178" i="3"/>
  <c r="M178" i="3"/>
  <c r="S177" i="3"/>
  <c r="M177" i="3"/>
  <c r="U176" i="3"/>
  <c r="R176" i="3"/>
  <c r="O176" i="3"/>
  <c r="L176" i="3"/>
  <c r="S175" i="3"/>
  <c r="M175" i="3"/>
  <c r="S174" i="3"/>
  <c r="M174" i="3"/>
  <c r="U173" i="3"/>
  <c r="R173" i="3"/>
  <c r="O173" i="3"/>
  <c r="L173" i="3"/>
  <c r="S172" i="3"/>
  <c r="M172" i="3"/>
  <c r="S171" i="3"/>
  <c r="M171" i="3"/>
  <c r="U170" i="3"/>
  <c r="R170" i="3"/>
  <c r="O170" i="3"/>
  <c r="L170" i="3"/>
  <c r="S169" i="3"/>
  <c r="M169" i="3"/>
  <c r="S168" i="3"/>
  <c r="M168" i="3"/>
  <c r="U167" i="3"/>
  <c r="R167" i="3"/>
  <c r="O167" i="3"/>
  <c r="L167" i="3"/>
  <c r="S166" i="3"/>
  <c r="M166" i="3"/>
  <c r="S165" i="3"/>
  <c r="M165" i="3"/>
  <c r="U164" i="3"/>
  <c r="R164" i="3"/>
  <c r="O164" i="3"/>
  <c r="L164" i="3"/>
  <c r="S163" i="3"/>
  <c r="M163" i="3"/>
  <c r="S162" i="3"/>
  <c r="M162" i="3"/>
  <c r="U161" i="3"/>
  <c r="R161" i="3"/>
  <c r="O161" i="3"/>
  <c r="L161" i="3"/>
  <c r="S160" i="3"/>
  <c r="M160" i="3"/>
  <c r="S159" i="3"/>
  <c r="M159" i="3"/>
  <c r="U158" i="3"/>
  <c r="R158" i="3"/>
  <c r="O158" i="3"/>
  <c r="L158" i="3"/>
  <c r="S157" i="3"/>
  <c r="M157" i="3"/>
  <c r="S156" i="3"/>
  <c r="M156" i="3"/>
  <c r="U155" i="3"/>
  <c r="R155" i="3"/>
  <c r="O155" i="3"/>
  <c r="L155" i="3"/>
  <c r="S154" i="3"/>
  <c r="M154" i="3"/>
  <c r="S153" i="3"/>
  <c r="M153" i="3"/>
  <c r="J150" i="3" s="1"/>
  <c r="M150" i="3" s="1"/>
  <c r="O150" i="3" s="1"/>
  <c r="S152" i="3"/>
  <c r="M152" i="3"/>
  <c r="S151" i="3"/>
  <c r="M151" i="3"/>
  <c r="T150" i="3"/>
  <c r="N150" i="3"/>
  <c r="S149" i="3"/>
  <c r="P146" i="3" s="1"/>
  <c r="S146" i="3" s="1"/>
  <c r="M149" i="3"/>
  <c r="S148" i="3"/>
  <c r="M148" i="3"/>
  <c r="S147" i="3"/>
  <c r="M147" i="3"/>
  <c r="T146" i="3"/>
  <c r="N146" i="3"/>
  <c r="S145" i="3"/>
  <c r="M145" i="3"/>
  <c r="S144" i="3"/>
  <c r="M144" i="3"/>
  <c r="S143" i="3"/>
  <c r="M143" i="3"/>
  <c r="S142" i="3"/>
  <c r="M142" i="3"/>
  <c r="T141" i="3"/>
  <c r="N141" i="3"/>
  <c r="S140" i="3"/>
  <c r="M140" i="3"/>
  <c r="S139" i="3"/>
  <c r="M139" i="3"/>
  <c r="U138" i="3"/>
  <c r="R138" i="3"/>
  <c r="O138" i="3"/>
  <c r="L138" i="3"/>
  <c r="S137" i="3"/>
  <c r="M137" i="3"/>
  <c r="S136" i="3"/>
  <c r="M136" i="3"/>
  <c r="S135" i="3"/>
  <c r="M135" i="3"/>
  <c r="U134" i="3"/>
  <c r="R134" i="3"/>
  <c r="O134" i="3"/>
  <c r="L134" i="3"/>
  <c r="S133" i="3"/>
  <c r="M133" i="3"/>
  <c r="S132" i="3"/>
  <c r="M132" i="3"/>
  <c r="S131" i="3"/>
  <c r="M131" i="3"/>
  <c r="U130" i="3"/>
  <c r="R130" i="3"/>
  <c r="O130" i="3"/>
  <c r="L130" i="3"/>
  <c r="S129" i="3"/>
  <c r="M129" i="3"/>
  <c r="S128" i="3"/>
  <c r="M128" i="3"/>
  <c r="S127" i="3"/>
  <c r="M127" i="3"/>
  <c r="U126" i="3"/>
  <c r="R126" i="3"/>
  <c r="O126" i="3"/>
  <c r="L126" i="3"/>
  <c r="S125" i="3"/>
  <c r="M125" i="3"/>
  <c r="S124" i="3"/>
  <c r="M124" i="3"/>
  <c r="S123" i="3"/>
  <c r="M123" i="3"/>
  <c r="U122" i="3"/>
  <c r="R122" i="3"/>
  <c r="O122" i="3"/>
  <c r="L122" i="3"/>
  <c r="S121" i="3"/>
  <c r="M121" i="3"/>
  <c r="S120" i="3"/>
  <c r="M120" i="3"/>
  <c r="S119" i="3"/>
  <c r="M119" i="3"/>
  <c r="U118" i="3"/>
  <c r="R118" i="3"/>
  <c r="O118" i="3"/>
  <c r="L118" i="3"/>
  <c r="S116" i="3"/>
  <c r="M116" i="3"/>
  <c r="J115" i="3" s="1"/>
  <c r="M115" i="3" s="1"/>
  <c r="O115" i="3" s="1"/>
  <c r="T115" i="3"/>
  <c r="S115" i="3"/>
  <c r="U115" i="3" s="1"/>
  <c r="P115" i="3"/>
  <c r="R115" i="3" s="1"/>
  <c r="N115" i="3"/>
  <c r="S114" i="3"/>
  <c r="P113" i="3" s="1"/>
  <c r="M114" i="3"/>
  <c r="J113" i="3" s="1"/>
  <c r="M113" i="3" s="1"/>
  <c r="O113" i="3" s="1"/>
  <c r="T113" i="3"/>
  <c r="N113" i="3"/>
  <c r="S112" i="3"/>
  <c r="P111" i="3" s="1"/>
  <c r="M112" i="3"/>
  <c r="J111" i="3" s="1"/>
  <c r="M111" i="3" s="1"/>
  <c r="O111" i="3" s="1"/>
  <c r="T111" i="3"/>
  <c r="N111" i="3"/>
  <c r="S110" i="3"/>
  <c r="M110" i="3"/>
  <c r="J108" i="3" s="1"/>
  <c r="S109" i="3"/>
  <c r="P108" i="3" s="1"/>
  <c r="M109" i="3"/>
  <c r="T108" i="3"/>
  <c r="N108" i="3"/>
  <c r="S107" i="3"/>
  <c r="M107" i="3"/>
  <c r="S106" i="3"/>
  <c r="P105" i="3" s="1"/>
  <c r="R105" i="3" s="1"/>
  <c r="M106" i="3"/>
  <c r="T105" i="3"/>
  <c r="N105" i="3"/>
  <c r="S104" i="3"/>
  <c r="M104" i="3"/>
  <c r="S103" i="3"/>
  <c r="M103" i="3"/>
  <c r="S102" i="3"/>
  <c r="M102" i="3"/>
  <c r="J101" i="3" s="1"/>
  <c r="T101" i="3"/>
  <c r="N101" i="3"/>
  <c r="S100" i="3"/>
  <c r="M100" i="3"/>
  <c r="S99" i="3"/>
  <c r="M99" i="3"/>
  <c r="S98" i="3"/>
  <c r="M98" i="3"/>
  <c r="T97" i="3"/>
  <c r="P97" i="3"/>
  <c r="R97" i="3" s="1"/>
  <c r="N97" i="3"/>
  <c r="N96" i="3" s="1"/>
  <c r="S95" i="3"/>
  <c r="M95" i="3"/>
  <c r="S94" i="3"/>
  <c r="M94" i="3"/>
  <c r="S93" i="3"/>
  <c r="M93" i="3"/>
  <c r="J92" i="3" s="1"/>
  <c r="T92" i="3"/>
  <c r="N92" i="3"/>
  <c r="S91" i="3"/>
  <c r="M91" i="3"/>
  <c r="S90" i="3"/>
  <c r="M90" i="3"/>
  <c r="S89" i="3"/>
  <c r="P88" i="3" s="1"/>
  <c r="M89" i="3"/>
  <c r="J88" i="3" s="1"/>
  <c r="M88" i="3" s="1"/>
  <c r="O88" i="3" s="1"/>
  <c r="T88" i="3"/>
  <c r="N88" i="3"/>
  <c r="S87" i="3"/>
  <c r="M87" i="3"/>
  <c r="S86" i="3"/>
  <c r="M86" i="3"/>
  <c r="S85" i="3"/>
  <c r="P84" i="3" s="1"/>
  <c r="M85" i="3"/>
  <c r="T84" i="3"/>
  <c r="N84" i="3"/>
  <c r="J84" i="3"/>
  <c r="M84" i="3" s="1"/>
  <c r="O84" i="3" s="1"/>
  <c r="S83" i="3"/>
  <c r="M83" i="3"/>
  <c r="S82" i="3"/>
  <c r="M82" i="3"/>
  <c r="S81" i="3"/>
  <c r="M81" i="3"/>
  <c r="S80" i="3"/>
  <c r="M80" i="3"/>
  <c r="J79" i="3" s="1"/>
  <c r="T79" i="3"/>
  <c r="N79" i="3"/>
  <c r="S78" i="3"/>
  <c r="M78" i="3"/>
  <c r="S77" i="3"/>
  <c r="M77" i="3"/>
  <c r="S76" i="3"/>
  <c r="M76" i="3"/>
  <c r="S75" i="3"/>
  <c r="M75" i="3"/>
  <c r="T74" i="3"/>
  <c r="T65" i="3" s="1"/>
  <c r="N74" i="3"/>
  <c r="J74" i="3"/>
  <c r="M74" i="3" s="1"/>
  <c r="O74" i="3" s="1"/>
  <c r="S73" i="3"/>
  <c r="P72" i="3" s="1"/>
  <c r="M73" i="3"/>
  <c r="T72" i="3"/>
  <c r="N72" i="3"/>
  <c r="J72" i="3"/>
  <c r="M72" i="3" s="1"/>
  <c r="S71" i="3"/>
  <c r="P70" i="3" s="1"/>
  <c r="M71" i="3"/>
  <c r="J70" i="3" s="1"/>
  <c r="T70" i="3"/>
  <c r="N70" i="3"/>
  <c r="S69" i="3"/>
  <c r="P68" i="3" s="1"/>
  <c r="M69" i="3"/>
  <c r="J68" i="3" s="1"/>
  <c r="M68" i="3" s="1"/>
  <c r="T68" i="3"/>
  <c r="N68" i="3"/>
  <c r="T67" i="3"/>
  <c r="U67" i="3" s="1"/>
  <c r="R67" i="3"/>
  <c r="N67" i="3"/>
  <c r="O67" i="3" s="1"/>
  <c r="L67" i="3"/>
  <c r="T66" i="3"/>
  <c r="U66" i="3" s="1"/>
  <c r="R66" i="3"/>
  <c r="N66" i="3"/>
  <c r="L66" i="3"/>
  <c r="S60" i="3"/>
  <c r="M60" i="3"/>
  <c r="S59" i="3"/>
  <c r="M59" i="3"/>
  <c r="S58" i="3"/>
  <c r="M58" i="3"/>
  <c r="S57" i="3"/>
  <c r="M57" i="3"/>
  <c r="U56" i="3"/>
  <c r="R56" i="3"/>
  <c r="O56" i="3"/>
  <c r="L56" i="3"/>
  <c r="S55" i="3"/>
  <c r="M55" i="3"/>
  <c r="S54" i="3"/>
  <c r="M54" i="3"/>
  <c r="S53" i="3"/>
  <c r="M53" i="3"/>
  <c r="S52" i="3"/>
  <c r="M52" i="3"/>
  <c r="U51" i="3"/>
  <c r="R51" i="3"/>
  <c r="O51" i="3"/>
  <c r="L51" i="3"/>
  <c r="S50" i="3"/>
  <c r="M50" i="3"/>
  <c r="S49" i="3"/>
  <c r="M49" i="3"/>
  <c r="S48" i="3"/>
  <c r="M48" i="3"/>
  <c r="S47" i="3"/>
  <c r="M47" i="3"/>
  <c r="U46" i="3"/>
  <c r="R46" i="3"/>
  <c r="O46" i="3"/>
  <c r="L46" i="3"/>
  <c r="S45" i="3"/>
  <c r="M45" i="3"/>
  <c r="S44" i="3"/>
  <c r="M44" i="3"/>
  <c r="S43" i="3"/>
  <c r="M43" i="3"/>
  <c r="S42" i="3"/>
  <c r="M42" i="3"/>
  <c r="U41" i="3"/>
  <c r="R41" i="3"/>
  <c r="O41" i="3"/>
  <c r="L41" i="3"/>
  <c r="S40" i="3"/>
  <c r="M40" i="3"/>
  <c r="S39" i="3"/>
  <c r="M39" i="3"/>
  <c r="S38" i="3"/>
  <c r="M38" i="3"/>
  <c r="S37" i="3"/>
  <c r="M37" i="3"/>
  <c r="U36" i="3"/>
  <c r="R36" i="3"/>
  <c r="O36" i="3"/>
  <c r="L36" i="3"/>
  <c r="S35" i="3"/>
  <c r="M35" i="3"/>
  <c r="S34" i="3"/>
  <c r="M34" i="3"/>
  <c r="S33" i="3"/>
  <c r="M33" i="3"/>
  <c r="S32" i="3"/>
  <c r="M32" i="3"/>
  <c r="U31" i="3"/>
  <c r="R31" i="3"/>
  <c r="O31" i="3"/>
  <c r="L31" i="3"/>
  <c r="S30" i="3"/>
  <c r="M30" i="3"/>
  <c r="S29" i="3"/>
  <c r="M29" i="3"/>
  <c r="S28" i="3"/>
  <c r="M28" i="3"/>
  <c r="S27" i="3"/>
  <c r="M27" i="3"/>
  <c r="U26" i="3"/>
  <c r="R26" i="3"/>
  <c r="O26" i="3"/>
  <c r="L26" i="3"/>
  <c r="S25" i="3"/>
  <c r="M25" i="3"/>
  <c r="S24" i="3"/>
  <c r="M24" i="3"/>
  <c r="S23" i="3"/>
  <c r="M23" i="3"/>
  <c r="S22" i="3"/>
  <c r="M22" i="3"/>
  <c r="U21" i="3"/>
  <c r="U20" i="3" s="1"/>
  <c r="U19" i="3" s="1"/>
  <c r="U18" i="3" s="1"/>
  <c r="U17" i="3" s="1"/>
  <c r="U16" i="3" s="1"/>
  <c r="R21" i="3"/>
  <c r="O21" i="3"/>
  <c r="L21" i="3"/>
  <c r="T20" i="3"/>
  <c r="T19" i="3" s="1"/>
  <c r="T18" i="3" s="1"/>
  <c r="T17" i="3" s="1"/>
  <c r="T16" i="3" s="1"/>
  <c r="S20" i="3"/>
  <c r="S19" i="3" s="1"/>
  <c r="S18" i="3" s="1"/>
  <c r="S17" i="3" s="1"/>
  <c r="S16" i="3" s="1"/>
  <c r="O20" i="3"/>
  <c r="O19" i="3" s="1"/>
  <c r="O18" i="3" s="1"/>
  <c r="O17" i="3" s="1"/>
  <c r="O16" i="3" s="1"/>
  <c r="N20" i="3"/>
  <c r="N19" i="3" s="1"/>
  <c r="N18" i="3" s="1"/>
  <c r="N17" i="3" s="1"/>
  <c r="N16" i="3" s="1"/>
  <c r="M20" i="3"/>
  <c r="M19" i="3" s="1"/>
  <c r="M18" i="3" s="1"/>
  <c r="M17" i="3" s="1"/>
  <c r="M16" i="3" s="1"/>
  <c r="U15" i="3"/>
  <c r="T15" i="3"/>
  <c r="R15" i="3"/>
  <c r="N15" i="3"/>
  <c r="O15" i="3" s="1"/>
  <c r="L15" i="3"/>
  <c r="T14" i="3"/>
  <c r="U14" i="3" s="1"/>
  <c r="R14" i="3"/>
  <c r="N14" i="3"/>
  <c r="O14" i="3" s="1"/>
  <c r="L14" i="3"/>
  <c r="T13" i="3"/>
  <c r="T12" i="3" s="1"/>
  <c r="T11" i="3" s="1"/>
  <c r="T10" i="3" s="1"/>
  <c r="S13" i="3"/>
  <c r="M13" i="3"/>
  <c r="M12" i="3" s="1"/>
  <c r="M11" i="3" s="1"/>
  <c r="M10" i="3" s="1"/>
  <c r="S12" i="3"/>
  <c r="S11" i="3" s="1"/>
  <c r="S10" i="3" s="1"/>
  <c r="W991" i="1"/>
  <c r="T991" i="1"/>
  <c r="Z991" i="1" s="1"/>
  <c r="R991" i="1"/>
  <c r="X991" i="1" s="1"/>
  <c r="N991" i="1"/>
  <c r="O991" i="1" s="1"/>
  <c r="O990" i="1" s="1"/>
  <c r="O989" i="1" s="1"/>
  <c r="L991" i="1"/>
  <c r="Y990" i="1"/>
  <c r="Y989" i="1" s="1"/>
  <c r="Y988" i="1" s="1"/>
  <c r="Y987" i="1" s="1"/>
  <c r="Y986" i="1" s="1"/>
  <c r="T990" i="1"/>
  <c r="S990" i="1"/>
  <c r="S989" i="1" s="1"/>
  <c r="S988" i="1" s="1"/>
  <c r="S987" i="1" s="1"/>
  <c r="S986" i="1" s="1"/>
  <c r="N990" i="1"/>
  <c r="M990" i="1"/>
  <c r="M989" i="1" s="1"/>
  <c r="M988" i="1" s="1"/>
  <c r="M987" i="1" s="1"/>
  <c r="M986" i="1" s="1"/>
  <c r="T989" i="1"/>
  <c r="T988" i="1" s="1"/>
  <c r="T987" i="1" s="1"/>
  <c r="N989" i="1"/>
  <c r="N988" i="1" s="1"/>
  <c r="N987" i="1" s="1"/>
  <c r="N986" i="1" s="1"/>
  <c r="O988" i="1"/>
  <c r="O987" i="1" s="1"/>
  <c r="O986" i="1" s="1"/>
  <c r="T986" i="1"/>
  <c r="V985" i="1"/>
  <c r="S985" i="1"/>
  <c r="Y985" i="1" s="1"/>
  <c r="M985" i="1"/>
  <c r="J983" i="1" s="1"/>
  <c r="V984" i="1"/>
  <c r="S984" i="1"/>
  <c r="Y984" i="1" s="1"/>
  <c r="M984" i="1"/>
  <c r="Z983" i="1"/>
  <c r="X983" i="1"/>
  <c r="W983" i="1"/>
  <c r="T983" i="1"/>
  <c r="R983" i="1"/>
  <c r="P983" i="1"/>
  <c r="S983" i="1" s="1"/>
  <c r="N983" i="1"/>
  <c r="Z982" i="1"/>
  <c r="Z981" i="1" s="1"/>
  <c r="T982" i="1"/>
  <c r="N982" i="1"/>
  <c r="N981" i="1" s="1"/>
  <c r="N980" i="1" s="1"/>
  <c r="N979" i="1" s="1"/>
  <c r="T981" i="1"/>
  <c r="T980" i="1" s="1"/>
  <c r="T979" i="1" s="1"/>
  <c r="Z980" i="1"/>
  <c r="Z979" i="1" s="1"/>
  <c r="W978" i="1"/>
  <c r="T978" i="1"/>
  <c r="U978" i="1" s="1"/>
  <c r="U977" i="1" s="1"/>
  <c r="R978" i="1"/>
  <c r="X978" i="1" s="1"/>
  <c r="O978" i="1"/>
  <c r="O977" i="1" s="1"/>
  <c r="N978" i="1"/>
  <c r="L978" i="1"/>
  <c r="Y977" i="1"/>
  <c r="S977" i="1"/>
  <c r="N977" i="1"/>
  <c r="M977" i="1"/>
  <c r="V976" i="1"/>
  <c r="S976" i="1"/>
  <c r="P975" i="1" s="1"/>
  <c r="M976" i="1"/>
  <c r="W975" i="1"/>
  <c r="T975" i="1"/>
  <c r="Z975" i="1" s="1"/>
  <c r="S975" i="1"/>
  <c r="N975" i="1"/>
  <c r="L975" i="1"/>
  <c r="J975" i="1"/>
  <c r="M975" i="1" s="1"/>
  <c r="O975" i="1" s="1"/>
  <c r="Y974" i="1"/>
  <c r="V974" i="1"/>
  <c r="S974" i="1"/>
  <c r="M974" i="1"/>
  <c r="W973" i="1"/>
  <c r="T973" i="1"/>
  <c r="Z973" i="1" s="1"/>
  <c r="Z972" i="1" s="1"/>
  <c r="P973" i="1"/>
  <c r="R973" i="1" s="1"/>
  <c r="X973" i="1" s="1"/>
  <c r="N973" i="1"/>
  <c r="N972" i="1" s="1"/>
  <c r="J973" i="1"/>
  <c r="M973" i="1" s="1"/>
  <c r="T972" i="1"/>
  <c r="V971" i="1"/>
  <c r="S971" i="1"/>
  <c r="Y971" i="1" s="1"/>
  <c r="M971" i="1"/>
  <c r="J970" i="1" s="1"/>
  <c r="W970" i="1"/>
  <c r="T970" i="1"/>
  <c r="Z970" i="1" s="1"/>
  <c r="N970" i="1"/>
  <c r="V969" i="1"/>
  <c r="S969" i="1"/>
  <c r="Y969" i="1" s="1"/>
  <c r="M969" i="1"/>
  <c r="Z968" i="1"/>
  <c r="X968" i="1"/>
  <c r="W968" i="1"/>
  <c r="T968" i="1"/>
  <c r="R968" i="1"/>
  <c r="P968" i="1"/>
  <c r="S968" i="1" s="1"/>
  <c r="O968" i="1"/>
  <c r="N968" i="1"/>
  <c r="J968" i="1"/>
  <c r="M968" i="1" s="1"/>
  <c r="V967" i="1"/>
  <c r="S967" i="1"/>
  <c r="Y967" i="1" s="1"/>
  <c r="M967" i="1"/>
  <c r="AA966" i="1"/>
  <c r="Z966" i="1"/>
  <c r="Y966" i="1"/>
  <c r="W966" i="1"/>
  <c r="V966" i="1"/>
  <c r="U966" i="1"/>
  <c r="R966" i="1"/>
  <c r="X966" i="1" s="1"/>
  <c r="O966" i="1"/>
  <c r="L966" i="1"/>
  <c r="V965" i="1"/>
  <c r="S965" i="1"/>
  <c r="Y965" i="1" s="1"/>
  <c r="M965" i="1"/>
  <c r="Z964" i="1"/>
  <c r="AA964" i="1" s="1"/>
  <c r="Y964" i="1"/>
  <c r="W964" i="1"/>
  <c r="V964" i="1"/>
  <c r="U964" i="1"/>
  <c r="R964" i="1"/>
  <c r="X964" i="1" s="1"/>
  <c r="O964" i="1"/>
  <c r="L964" i="1"/>
  <c r="V963" i="1"/>
  <c r="S963" i="1"/>
  <c r="Y963" i="1" s="1"/>
  <c r="M963" i="1"/>
  <c r="Z962" i="1"/>
  <c r="Y962" i="1"/>
  <c r="AA962" i="1" s="1"/>
  <c r="X962" i="1"/>
  <c r="W962" i="1"/>
  <c r="V962" i="1"/>
  <c r="U962" i="1"/>
  <c r="R962" i="1"/>
  <c r="O962" i="1"/>
  <c r="L962" i="1"/>
  <c r="V961" i="1"/>
  <c r="S961" i="1"/>
  <c r="Y961" i="1" s="1"/>
  <c r="M961" i="1"/>
  <c r="Z960" i="1"/>
  <c r="Y960" i="1"/>
  <c r="AA960" i="1" s="1"/>
  <c r="X960" i="1"/>
  <c r="W960" i="1"/>
  <c r="V960" i="1"/>
  <c r="U960" i="1"/>
  <c r="R960" i="1"/>
  <c r="O960" i="1"/>
  <c r="L960" i="1"/>
  <c r="V959" i="1"/>
  <c r="S959" i="1"/>
  <c r="Y959" i="1" s="1"/>
  <c r="M959" i="1"/>
  <c r="Z958" i="1"/>
  <c r="AA958" i="1" s="1"/>
  <c r="Y958" i="1"/>
  <c r="W958" i="1"/>
  <c r="V958" i="1"/>
  <c r="U958" i="1"/>
  <c r="R958" i="1"/>
  <c r="X958" i="1" s="1"/>
  <c r="O958" i="1"/>
  <c r="L958" i="1"/>
  <c r="V957" i="1"/>
  <c r="S957" i="1"/>
  <c r="Y957" i="1" s="1"/>
  <c r="M957" i="1"/>
  <c r="Z956" i="1"/>
  <c r="Y956" i="1"/>
  <c r="W956" i="1"/>
  <c r="V956" i="1"/>
  <c r="U956" i="1"/>
  <c r="R956" i="1"/>
  <c r="X956" i="1" s="1"/>
  <c r="O956" i="1"/>
  <c r="L956" i="1"/>
  <c r="V955" i="1"/>
  <c r="S955" i="1"/>
  <c r="Y955" i="1" s="1"/>
  <c r="M955" i="1"/>
  <c r="Z954" i="1"/>
  <c r="AA954" i="1" s="1"/>
  <c r="Y954" i="1"/>
  <c r="X954" i="1"/>
  <c r="W954" i="1"/>
  <c r="V954" i="1"/>
  <c r="U954" i="1"/>
  <c r="R954" i="1"/>
  <c r="O954" i="1"/>
  <c r="L954" i="1"/>
  <c r="V953" i="1"/>
  <c r="S953" i="1"/>
  <c r="Y953" i="1" s="1"/>
  <c r="M953" i="1"/>
  <c r="Z952" i="1"/>
  <c r="Y952" i="1"/>
  <c r="AA952" i="1" s="1"/>
  <c r="X952" i="1"/>
  <c r="W952" i="1"/>
  <c r="V952" i="1"/>
  <c r="U952" i="1"/>
  <c r="R952" i="1"/>
  <c r="O952" i="1"/>
  <c r="L952" i="1"/>
  <c r="V951" i="1"/>
  <c r="S951" i="1"/>
  <c r="Y951" i="1" s="1"/>
  <c r="M951" i="1"/>
  <c r="Y950" i="1"/>
  <c r="V950" i="1"/>
  <c r="S950" i="1"/>
  <c r="M950" i="1"/>
  <c r="V949" i="1"/>
  <c r="S949" i="1"/>
  <c r="Y949" i="1" s="1"/>
  <c r="M949" i="1"/>
  <c r="V948" i="1"/>
  <c r="S948" i="1"/>
  <c r="Y948" i="1" s="1"/>
  <c r="M948" i="1"/>
  <c r="V947" i="1"/>
  <c r="S947" i="1"/>
  <c r="Y947" i="1" s="1"/>
  <c r="M947" i="1"/>
  <c r="V946" i="1"/>
  <c r="S946" i="1"/>
  <c r="Y946" i="1" s="1"/>
  <c r="M946" i="1"/>
  <c r="V945" i="1"/>
  <c r="S945" i="1"/>
  <c r="Y945" i="1" s="1"/>
  <c r="M945" i="1"/>
  <c r="V944" i="1"/>
  <c r="S944" i="1"/>
  <c r="Y944" i="1" s="1"/>
  <c r="M944" i="1"/>
  <c r="V943" i="1"/>
  <c r="S943" i="1"/>
  <c r="Y943" i="1" s="1"/>
  <c r="M943" i="1"/>
  <c r="V942" i="1"/>
  <c r="S942" i="1"/>
  <c r="Y942" i="1" s="1"/>
  <c r="M942" i="1"/>
  <c r="V941" i="1"/>
  <c r="S941" i="1"/>
  <c r="Y941" i="1" s="1"/>
  <c r="M941" i="1"/>
  <c r="V940" i="1"/>
  <c r="S940" i="1"/>
  <c r="Y940" i="1" s="1"/>
  <c r="M940" i="1"/>
  <c r="V939" i="1"/>
  <c r="S939" i="1"/>
  <c r="Y939" i="1" s="1"/>
  <c r="M939" i="1"/>
  <c r="Z938" i="1"/>
  <c r="Y938" i="1"/>
  <c r="AA938" i="1" s="1"/>
  <c r="W938" i="1"/>
  <c r="V938" i="1"/>
  <c r="U938" i="1"/>
  <c r="R938" i="1"/>
  <c r="X938" i="1" s="1"/>
  <c r="O938" i="1"/>
  <c r="L938" i="1"/>
  <c r="Y937" i="1"/>
  <c r="V937" i="1"/>
  <c r="S937" i="1"/>
  <c r="M937" i="1"/>
  <c r="Y936" i="1"/>
  <c r="V936" i="1"/>
  <c r="S936" i="1"/>
  <c r="M936" i="1"/>
  <c r="Y935" i="1"/>
  <c r="V935" i="1"/>
  <c r="S935" i="1"/>
  <c r="M935" i="1"/>
  <c r="Y934" i="1"/>
  <c r="V934" i="1"/>
  <c r="S934" i="1"/>
  <c r="M934" i="1"/>
  <c r="Y933" i="1"/>
  <c r="V933" i="1"/>
  <c r="S933" i="1"/>
  <c r="M933" i="1"/>
  <c r="Y932" i="1"/>
  <c r="V932" i="1"/>
  <c r="S932" i="1"/>
  <c r="M932" i="1"/>
  <c r="Y931" i="1"/>
  <c r="V931" i="1"/>
  <c r="S931" i="1"/>
  <c r="M931" i="1"/>
  <c r="Y930" i="1"/>
  <c r="V930" i="1"/>
  <c r="S930" i="1"/>
  <c r="M930" i="1"/>
  <c r="Y929" i="1"/>
  <c r="V929" i="1"/>
  <c r="S929" i="1"/>
  <c r="M929" i="1"/>
  <c r="Y928" i="1"/>
  <c r="V928" i="1"/>
  <c r="S928" i="1"/>
  <c r="M928" i="1"/>
  <c r="Y927" i="1"/>
  <c r="V927" i="1"/>
  <c r="S927" i="1"/>
  <c r="M927" i="1"/>
  <c r="Y926" i="1"/>
  <c r="V926" i="1"/>
  <c r="S926" i="1"/>
  <c r="M926" i="1"/>
  <c r="Y925" i="1"/>
  <c r="V925" i="1"/>
  <c r="S925" i="1"/>
  <c r="M925" i="1"/>
  <c r="Z924" i="1"/>
  <c r="AA924" i="1" s="1"/>
  <c r="Y924" i="1"/>
  <c r="W924" i="1"/>
  <c r="V924" i="1"/>
  <c r="U924" i="1"/>
  <c r="R924" i="1"/>
  <c r="X924" i="1" s="1"/>
  <c r="O924" i="1"/>
  <c r="L924" i="1"/>
  <c r="V923" i="1"/>
  <c r="S923" i="1"/>
  <c r="P922" i="1" s="1"/>
  <c r="M923" i="1"/>
  <c r="W922" i="1"/>
  <c r="T922" i="1"/>
  <c r="Z922" i="1" s="1"/>
  <c r="O922" i="1"/>
  <c r="N922" i="1"/>
  <c r="J922" i="1"/>
  <c r="M922" i="1" s="1"/>
  <c r="V921" i="1"/>
  <c r="S921" i="1"/>
  <c r="Y921" i="1" s="1"/>
  <c r="M921" i="1"/>
  <c r="X920" i="1"/>
  <c r="W920" i="1"/>
  <c r="V920" i="1"/>
  <c r="T920" i="1"/>
  <c r="Z920" i="1" s="1"/>
  <c r="R920" i="1"/>
  <c r="P920" i="1"/>
  <c r="S920" i="1" s="1"/>
  <c r="N920" i="1"/>
  <c r="J920" i="1"/>
  <c r="V919" i="1"/>
  <c r="S919" i="1"/>
  <c r="Y919" i="1" s="1"/>
  <c r="M919" i="1"/>
  <c r="Z918" i="1"/>
  <c r="Y918" i="1"/>
  <c r="AA918" i="1" s="1"/>
  <c r="X918" i="1"/>
  <c r="W918" i="1"/>
  <c r="V918" i="1"/>
  <c r="U918" i="1"/>
  <c r="R918" i="1"/>
  <c r="O918" i="1"/>
  <c r="L918" i="1"/>
  <c r="Y917" i="1"/>
  <c r="V917" i="1"/>
  <c r="S917" i="1"/>
  <c r="M917" i="1"/>
  <c r="Z916" i="1"/>
  <c r="AA916" i="1" s="1"/>
  <c r="Y916" i="1"/>
  <c r="X916" i="1"/>
  <c r="W916" i="1"/>
  <c r="V916" i="1"/>
  <c r="U916" i="1"/>
  <c r="R916" i="1"/>
  <c r="O916" i="1"/>
  <c r="L916" i="1"/>
  <c r="Z915" i="1"/>
  <c r="AA915" i="1" s="1"/>
  <c r="W915" i="1"/>
  <c r="T915" i="1"/>
  <c r="U915" i="1" s="1"/>
  <c r="R915" i="1"/>
  <c r="X915" i="1" s="1"/>
  <c r="O915" i="1"/>
  <c r="N915" i="1"/>
  <c r="L915" i="1"/>
  <c r="Z914" i="1"/>
  <c r="AA914" i="1" s="1"/>
  <c r="W914" i="1"/>
  <c r="U914" i="1"/>
  <c r="R914" i="1"/>
  <c r="X914" i="1" s="1"/>
  <c r="O914" i="1"/>
  <c r="L914" i="1"/>
  <c r="Z913" i="1"/>
  <c r="AA913" i="1" s="1"/>
  <c r="W913" i="1"/>
  <c r="U913" i="1"/>
  <c r="R913" i="1"/>
  <c r="X913" i="1" s="1"/>
  <c r="O913" i="1"/>
  <c r="L913" i="1"/>
  <c r="V912" i="1"/>
  <c r="S912" i="1"/>
  <c r="Y912" i="1" s="1"/>
  <c r="M912" i="1"/>
  <c r="V911" i="1"/>
  <c r="S911" i="1"/>
  <c r="Y911" i="1" s="1"/>
  <c r="M911" i="1"/>
  <c r="V910" i="1"/>
  <c r="S910" i="1"/>
  <c r="Y910" i="1" s="1"/>
  <c r="M910" i="1"/>
  <c r="V909" i="1"/>
  <c r="S909" i="1"/>
  <c r="Y909" i="1" s="1"/>
  <c r="M909" i="1"/>
  <c r="V908" i="1"/>
  <c r="S908" i="1"/>
  <c r="Y908" i="1" s="1"/>
  <c r="M908" i="1"/>
  <c r="V907" i="1"/>
  <c r="S907" i="1"/>
  <c r="Y907" i="1" s="1"/>
  <c r="M907" i="1"/>
  <c r="V906" i="1"/>
  <c r="S906" i="1"/>
  <c r="Y906" i="1" s="1"/>
  <c r="M906" i="1"/>
  <c r="V905" i="1"/>
  <c r="S905" i="1"/>
  <c r="Y905" i="1" s="1"/>
  <c r="M905" i="1"/>
  <c r="V904" i="1"/>
  <c r="S904" i="1"/>
  <c r="Y904" i="1" s="1"/>
  <c r="M904" i="1"/>
  <c r="V903" i="1"/>
  <c r="S903" i="1"/>
  <c r="Y903" i="1" s="1"/>
  <c r="M903" i="1"/>
  <c r="J901" i="1" s="1"/>
  <c r="L901" i="1" s="1"/>
  <c r="V902" i="1"/>
  <c r="S902" i="1"/>
  <c r="P901" i="1" s="1"/>
  <c r="M902" i="1"/>
  <c r="Z901" i="1"/>
  <c r="W901" i="1"/>
  <c r="T901" i="1"/>
  <c r="N901" i="1"/>
  <c r="M901" i="1"/>
  <c r="O901" i="1" s="1"/>
  <c r="V900" i="1"/>
  <c r="S900" i="1"/>
  <c r="Y900" i="1" s="1"/>
  <c r="M900" i="1"/>
  <c r="Z899" i="1"/>
  <c r="W899" i="1"/>
  <c r="V899" i="1"/>
  <c r="T899" i="1"/>
  <c r="R899" i="1"/>
  <c r="X899" i="1" s="1"/>
  <c r="P899" i="1"/>
  <c r="S899" i="1" s="1"/>
  <c r="N899" i="1"/>
  <c r="J899" i="1"/>
  <c r="L899" i="1" s="1"/>
  <c r="V898" i="1"/>
  <c r="S898" i="1"/>
  <c r="P897" i="1" s="1"/>
  <c r="M898" i="1"/>
  <c r="Z897" i="1"/>
  <c r="W897" i="1"/>
  <c r="V897" i="1"/>
  <c r="T897" i="1"/>
  <c r="N897" i="1"/>
  <c r="M897" i="1"/>
  <c r="O897" i="1" s="1"/>
  <c r="J897" i="1"/>
  <c r="L897" i="1" s="1"/>
  <c r="V896" i="1"/>
  <c r="S896" i="1"/>
  <c r="Y896" i="1" s="1"/>
  <c r="M896" i="1"/>
  <c r="Z895" i="1"/>
  <c r="Z871" i="1" s="1"/>
  <c r="W895" i="1"/>
  <c r="V895" i="1"/>
  <c r="T895" i="1"/>
  <c r="R895" i="1"/>
  <c r="X895" i="1" s="1"/>
  <c r="P895" i="1"/>
  <c r="S895" i="1" s="1"/>
  <c r="N895" i="1"/>
  <c r="J895" i="1"/>
  <c r="L895" i="1" s="1"/>
  <c r="V894" i="1"/>
  <c r="S894" i="1"/>
  <c r="Y894" i="1" s="1"/>
  <c r="M894" i="1"/>
  <c r="Z893" i="1"/>
  <c r="Y893" i="1"/>
  <c r="AA893" i="1" s="1"/>
  <c r="X893" i="1"/>
  <c r="W893" i="1"/>
  <c r="V893" i="1"/>
  <c r="U893" i="1"/>
  <c r="R893" i="1"/>
  <c r="O893" i="1"/>
  <c r="L893" i="1"/>
  <c r="Y892" i="1"/>
  <c r="V892" i="1"/>
  <c r="S892" i="1"/>
  <c r="M892" i="1"/>
  <c r="Z891" i="1"/>
  <c r="AA891" i="1" s="1"/>
  <c r="Y891" i="1"/>
  <c r="W891" i="1"/>
  <c r="V891" i="1"/>
  <c r="U891" i="1"/>
  <c r="R891" i="1"/>
  <c r="X891" i="1" s="1"/>
  <c r="O891" i="1"/>
  <c r="L891" i="1"/>
  <c r="V890" i="1"/>
  <c r="S890" i="1"/>
  <c r="Y890" i="1" s="1"/>
  <c r="M890" i="1"/>
  <c r="Z889" i="1"/>
  <c r="Y889" i="1"/>
  <c r="AA889" i="1" s="1"/>
  <c r="W889" i="1"/>
  <c r="V889" i="1"/>
  <c r="U889" i="1"/>
  <c r="R889" i="1"/>
  <c r="X889" i="1" s="1"/>
  <c r="O889" i="1"/>
  <c r="L889" i="1"/>
  <c r="Y888" i="1"/>
  <c r="V888" i="1"/>
  <c r="S888" i="1"/>
  <c r="M888" i="1"/>
  <c r="Z887" i="1"/>
  <c r="AA887" i="1" s="1"/>
  <c r="Y887" i="1"/>
  <c r="X887" i="1"/>
  <c r="W887" i="1"/>
  <c r="V887" i="1"/>
  <c r="U887" i="1"/>
  <c r="R887" i="1"/>
  <c r="O887" i="1"/>
  <c r="L887" i="1"/>
  <c r="V886" i="1"/>
  <c r="S886" i="1"/>
  <c r="Y886" i="1" s="1"/>
  <c r="M886" i="1"/>
  <c r="Z885" i="1"/>
  <c r="Y885" i="1"/>
  <c r="AA885" i="1" s="1"/>
  <c r="X885" i="1"/>
  <c r="W885" i="1"/>
  <c r="V885" i="1"/>
  <c r="U885" i="1"/>
  <c r="R885" i="1"/>
  <c r="O885" i="1"/>
  <c r="L885" i="1"/>
  <c r="Y884" i="1"/>
  <c r="V884" i="1"/>
  <c r="S884" i="1"/>
  <c r="M884" i="1"/>
  <c r="Z883" i="1"/>
  <c r="AA883" i="1" s="1"/>
  <c r="Y883" i="1"/>
  <c r="W883" i="1"/>
  <c r="V883" i="1"/>
  <c r="U883" i="1"/>
  <c r="R883" i="1"/>
  <c r="X883" i="1" s="1"/>
  <c r="O883" i="1"/>
  <c r="L883" i="1"/>
  <c r="V882" i="1"/>
  <c r="S882" i="1"/>
  <c r="Y882" i="1" s="1"/>
  <c r="M882" i="1"/>
  <c r="V881" i="1"/>
  <c r="S881" i="1"/>
  <c r="Y881" i="1" s="1"/>
  <c r="M881" i="1"/>
  <c r="V880" i="1"/>
  <c r="S880" i="1"/>
  <c r="Y880" i="1" s="1"/>
  <c r="M880" i="1"/>
  <c r="Z879" i="1"/>
  <c r="W879" i="1"/>
  <c r="T879" i="1"/>
  <c r="R879" i="1"/>
  <c r="X879" i="1" s="1"/>
  <c r="P879" i="1"/>
  <c r="S879" i="1" s="1"/>
  <c r="N879" i="1"/>
  <c r="J879" i="1"/>
  <c r="L879" i="1" s="1"/>
  <c r="V878" i="1"/>
  <c r="S878" i="1"/>
  <c r="Y878" i="1" s="1"/>
  <c r="M878" i="1"/>
  <c r="V877" i="1"/>
  <c r="S877" i="1"/>
  <c r="Y877" i="1" s="1"/>
  <c r="M877" i="1"/>
  <c r="Z876" i="1"/>
  <c r="Y876" i="1"/>
  <c r="AA876" i="1" s="1"/>
  <c r="W876" i="1"/>
  <c r="V876" i="1"/>
  <c r="U876" i="1"/>
  <c r="R876" i="1"/>
  <c r="X876" i="1" s="1"/>
  <c r="O876" i="1"/>
  <c r="L876" i="1"/>
  <c r="Y875" i="1"/>
  <c r="V875" i="1"/>
  <c r="S875" i="1"/>
  <c r="M875" i="1"/>
  <c r="Y874" i="1"/>
  <c r="V874" i="1"/>
  <c r="S874" i="1"/>
  <c r="M874" i="1"/>
  <c r="Y873" i="1"/>
  <c r="V873" i="1"/>
  <c r="S873" i="1"/>
  <c r="M873" i="1"/>
  <c r="Z872" i="1"/>
  <c r="AA872" i="1" s="1"/>
  <c r="Y872" i="1"/>
  <c r="X872" i="1"/>
  <c r="W872" i="1"/>
  <c r="V872" i="1"/>
  <c r="U872" i="1"/>
  <c r="R872" i="1"/>
  <c r="O872" i="1"/>
  <c r="L872" i="1"/>
  <c r="N871" i="1"/>
  <c r="Y870" i="1"/>
  <c r="V870" i="1"/>
  <c r="S870" i="1"/>
  <c r="M870" i="1"/>
  <c r="V869" i="1"/>
  <c r="S869" i="1"/>
  <c r="P868" i="1" s="1"/>
  <c r="M869" i="1"/>
  <c r="Z868" i="1"/>
  <c r="W868" i="1"/>
  <c r="T868" i="1"/>
  <c r="S868" i="1"/>
  <c r="N868" i="1"/>
  <c r="M868" i="1"/>
  <c r="O868" i="1" s="1"/>
  <c r="L868" i="1"/>
  <c r="J868" i="1"/>
  <c r="Y867" i="1"/>
  <c r="V867" i="1"/>
  <c r="S867" i="1"/>
  <c r="M867" i="1"/>
  <c r="V866" i="1"/>
  <c r="S866" i="1"/>
  <c r="P865" i="1" s="1"/>
  <c r="M866" i="1"/>
  <c r="Z865" i="1"/>
  <c r="W865" i="1"/>
  <c r="T865" i="1"/>
  <c r="S865" i="1"/>
  <c r="N865" i="1"/>
  <c r="L865" i="1"/>
  <c r="J865" i="1"/>
  <c r="M865" i="1" s="1"/>
  <c r="Y864" i="1"/>
  <c r="V864" i="1"/>
  <c r="S864" i="1"/>
  <c r="M864" i="1"/>
  <c r="V863" i="1"/>
  <c r="S863" i="1"/>
  <c r="Y863" i="1" s="1"/>
  <c r="M863" i="1"/>
  <c r="AA862" i="1"/>
  <c r="Z862" i="1"/>
  <c r="Y862" i="1"/>
  <c r="W862" i="1"/>
  <c r="V862" i="1"/>
  <c r="U862" i="1"/>
  <c r="R862" i="1"/>
  <c r="X862" i="1" s="1"/>
  <c r="O862" i="1"/>
  <c r="L862" i="1"/>
  <c r="V861" i="1"/>
  <c r="S861" i="1"/>
  <c r="Y861" i="1" s="1"/>
  <c r="M861" i="1"/>
  <c r="V860" i="1"/>
  <c r="S860" i="1"/>
  <c r="Y860" i="1" s="1"/>
  <c r="M860" i="1"/>
  <c r="Z859" i="1"/>
  <c r="Y859" i="1"/>
  <c r="AA859" i="1" s="1"/>
  <c r="W859" i="1"/>
  <c r="V859" i="1"/>
  <c r="U859" i="1"/>
  <c r="R859" i="1"/>
  <c r="X859" i="1" s="1"/>
  <c r="O859" i="1"/>
  <c r="L859" i="1"/>
  <c r="V858" i="1"/>
  <c r="S858" i="1"/>
  <c r="Y858" i="1" s="1"/>
  <c r="M858" i="1"/>
  <c r="Y857" i="1"/>
  <c r="V857" i="1"/>
  <c r="S857" i="1"/>
  <c r="M857" i="1"/>
  <c r="Z856" i="1"/>
  <c r="Y856" i="1"/>
  <c r="AA856" i="1" s="1"/>
  <c r="X856" i="1"/>
  <c r="W856" i="1"/>
  <c r="V856" i="1"/>
  <c r="U856" i="1"/>
  <c r="R856" i="1"/>
  <c r="O856" i="1"/>
  <c r="L856" i="1"/>
  <c r="V855" i="1"/>
  <c r="S855" i="1"/>
  <c r="Y855" i="1" s="1"/>
  <c r="M855" i="1"/>
  <c r="V854" i="1"/>
  <c r="S854" i="1"/>
  <c r="Y854" i="1" s="1"/>
  <c r="M854" i="1"/>
  <c r="Z853" i="1"/>
  <c r="Y853" i="1"/>
  <c r="AA853" i="1" s="1"/>
  <c r="X853" i="1"/>
  <c r="W853" i="1"/>
  <c r="V853" i="1"/>
  <c r="U853" i="1"/>
  <c r="R853" i="1"/>
  <c r="O853" i="1"/>
  <c r="L853" i="1"/>
  <c r="Y852" i="1"/>
  <c r="V852" i="1"/>
  <c r="S852" i="1"/>
  <c r="M852" i="1"/>
  <c r="V851" i="1"/>
  <c r="S851" i="1"/>
  <c r="Y851" i="1" s="1"/>
  <c r="M851" i="1"/>
  <c r="AA850" i="1"/>
  <c r="Z850" i="1"/>
  <c r="Y850" i="1"/>
  <c r="W850" i="1"/>
  <c r="V850" i="1"/>
  <c r="U850" i="1"/>
  <c r="R850" i="1"/>
  <c r="X850" i="1" s="1"/>
  <c r="O850" i="1"/>
  <c r="L850" i="1"/>
  <c r="V849" i="1"/>
  <c r="S849" i="1"/>
  <c r="Y849" i="1" s="1"/>
  <c r="M849" i="1"/>
  <c r="V848" i="1"/>
  <c r="S848" i="1"/>
  <c r="Y848" i="1" s="1"/>
  <c r="M848" i="1"/>
  <c r="Z847" i="1"/>
  <c r="Y847" i="1"/>
  <c r="AA847" i="1" s="1"/>
  <c r="W847" i="1"/>
  <c r="V847" i="1"/>
  <c r="U847" i="1"/>
  <c r="R847" i="1"/>
  <c r="X847" i="1" s="1"/>
  <c r="O847" i="1"/>
  <c r="L847" i="1"/>
  <c r="V846" i="1"/>
  <c r="S846" i="1"/>
  <c r="Y846" i="1" s="1"/>
  <c r="M846" i="1"/>
  <c r="Y845" i="1"/>
  <c r="V845" i="1"/>
  <c r="S845" i="1"/>
  <c r="M845" i="1"/>
  <c r="Z844" i="1"/>
  <c r="Y844" i="1"/>
  <c r="AA844" i="1" s="1"/>
  <c r="X844" i="1"/>
  <c r="W844" i="1"/>
  <c r="V844" i="1"/>
  <c r="U844" i="1"/>
  <c r="R844" i="1"/>
  <c r="O844" i="1"/>
  <c r="L844" i="1"/>
  <c r="V843" i="1"/>
  <c r="S843" i="1"/>
  <c r="Y843" i="1" s="1"/>
  <c r="M843" i="1"/>
  <c r="V842" i="1"/>
  <c r="S842" i="1"/>
  <c r="Y842" i="1" s="1"/>
  <c r="M842" i="1"/>
  <c r="Z841" i="1"/>
  <c r="Y841" i="1"/>
  <c r="AA841" i="1" s="1"/>
  <c r="X841" i="1"/>
  <c r="W841" i="1"/>
  <c r="V841" i="1"/>
  <c r="U841" i="1"/>
  <c r="R841" i="1"/>
  <c r="O841" i="1"/>
  <c r="L841" i="1"/>
  <c r="Y840" i="1"/>
  <c r="V840" i="1"/>
  <c r="S840" i="1"/>
  <c r="M840" i="1"/>
  <c r="V839" i="1"/>
  <c r="S839" i="1"/>
  <c r="Y839" i="1" s="1"/>
  <c r="M839" i="1"/>
  <c r="AA838" i="1"/>
  <c r="Z838" i="1"/>
  <c r="Z837" i="1" s="1"/>
  <c r="Y838" i="1"/>
  <c r="W838" i="1"/>
  <c r="V838" i="1"/>
  <c r="U838" i="1"/>
  <c r="R838" i="1"/>
  <c r="X838" i="1" s="1"/>
  <c r="O838" i="1"/>
  <c r="L838" i="1"/>
  <c r="T837" i="1"/>
  <c r="N837" i="1"/>
  <c r="V836" i="1"/>
  <c r="S836" i="1"/>
  <c r="Y836" i="1" s="1"/>
  <c r="M836" i="1"/>
  <c r="J834" i="1" s="1"/>
  <c r="L834" i="1" s="1"/>
  <c r="V835" i="1"/>
  <c r="S835" i="1"/>
  <c r="P834" i="1" s="1"/>
  <c r="V834" i="1" s="1"/>
  <c r="M835" i="1"/>
  <c r="W834" i="1"/>
  <c r="T834" i="1"/>
  <c r="Z834" i="1" s="1"/>
  <c r="N834" i="1"/>
  <c r="M834" i="1"/>
  <c r="O834" i="1" s="1"/>
  <c r="V833" i="1"/>
  <c r="S833" i="1"/>
  <c r="Y833" i="1" s="1"/>
  <c r="M833" i="1"/>
  <c r="J831" i="1" s="1"/>
  <c r="L831" i="1" s="1"/>
  <c r="V832" i="1"/>
  <c r="S832" i="1"/>
  <c r="P831" i="1" s="1"/>
  <c r="M832" i="1"/>
  <c r="W831" i="1"/>
  <c r="T831" i="1"/>
  <c r="Z831" i="1" s="1"/>
  <c r="N831" i="1"/>
  <c r="M831" i="1"/>
  <c r="O831" i="1" s="1"/>
  <c r="V830" i="1"/>
  <c r="S830" i="1"/>
  <c r="Y830" i="1" s="1"/>
  <c r="M830" i="1"/>
  <c r="J828" i="1" s="1"/>
  <c r="L828" i="1" s="1"/>
  <c r="V829" i="1"/>
  <c r="S829" i="1"/>
  <c r="P828" i="1" s="1"/>
  <c r="V828" i="1" s="1"/>
  <c r="M829" i="1"/>
  <c r="W828" i="1"/>
  <c r="T828" i="1"/>
  <c r="Z828" i="1" s="1"/>
  <c r="N828" i="1"/>
  <c r="M828" i="1"/>
  <c r="O828" i="1" s="1"/>
  <c r="V827" i="1"/>
  <c r="S827" i="1"/>
  <c r="Y827" i="1" s="1"/>
  <c r="M827" i="1"/>
  <c r="J825" i="1" s="1"/>
  <c r="L825" i="1" s="1"/>
  <c r="V826" i="1"/>
  <c r="S826" i="1"/>
  <c r="P825" i="1" s="1"/>
  <c r="M826" i="1"/>
  <c r="W825" i="1"/>
  <c r="T825" i="1"/>
  <c r="Z825" i="1" s="1"/>
  <c r="N825" i="1"/>
  <c r="M825" i="1"/>
  <c r="O825" i="1" s="1"/>
  <c r="V824" i="1"/>
  <c r="S824" i="1"/>
  <c r="Y824" i="1" s="1"/>
  <c r="M824" i="1"/>
  <c r="V823" i="1"/>
  <c r="S823" i="1"/>
  <c r="P822" i="1" s="1"/>
  <c r="V822" i="1" s="1"/>
  <c r="M823" i="1"/>
  <c r="W822" i="1"/>
  <c r="T822" i="1"/>
  <c r="Z822" i="1" s="1"/>
  <c r="N822" i="1"/>
  <c r="M822" i="1"/>
  <c r="O822" i="1" s="1"/>
  <c r="L822" i="1"/>
  <c r="J822" i="1"/>
  <c r="V821" i="1"/>
  <c r="S821" i="1"/>
  <c r="Y821" i="1" s="1"/>
  <c r="M821" i="1"/>
  <c r="V820" i="1"/>
  <c r="S820" i="1"/>
  <c r="M820" i="1"/>
  <c r="W819" i="1"/>
  <c r="T819" i="1"/>
  <c r="Z819" i="1" s="1"/>
  <c r="N819" i="1"/>
  <c r="M819" i="1"/>
  <c r="O819" i="1" s="1"/>
  <c r="L819" i="1"/>
  <c r="J819" i="1"/>
  <c r="V818" i="1"/>
  <c r="S818" i="1"/>
  <c r="Y818" i="1" s="1"/>
  <c r="M818" i="1"/>
  <c r="V817" i="1"/>
  <c r="S817" i="1"/>
  <c r="M817" i="1"/>
  <c r="W816" i="1"/>
  <c r="T816" i="1"/>
  <c r="Z816" i="1" s="1"/>
  <c r="N816" i="1"/>
  <c r="M816" i="1"/>
  <c r="O816" i="1" s="1"/>
  <c r="L816" i="1"/>
  <c r="J816" i="1"/>
  <c r="V815" i="1"/>
  <c r="S815" i="1"/>
  <c r="Y815" i="1" s="1"/>
  <c r="M815" i="1"/>
  <c r="V814" i="1"/>
  <c r="S814" i="1"/>
  <c r="Y814" i="1" s="1"/>
  <c r="M814" i="1"/>
  <c r="Z813" i="1"/>
  <c r="Y813" i="1"/>
  <c r="AA813" i="1" s="1"/>
  <c r="W813" i="1"/>
  <c r="V813" i="1"/>
  <c r="U813" i="1"/>
  <c r="R813" i="1"/>
  <c r="X813" i="1" s="1"/>
  <c r="O813" i="1"/>
  <c r="L813" i="1"/>
  <c r="Y812" i="1"/>
  <c r="V812" i="1"/>
  <c r="S812" i="1"/>
  <c r="M812" i="1"/>
  <c r="Y811" i="1"/>
  <c r="V811" i="1"/>
  <c r="S811" i="1"/>
  <c r="M811" i="1"/>
  <c r="Z810" i="1"/>
  <c r="AA810" i="1" s="1"/>
  <c r="Y810" i="1"/>
  <c r="X810" i="1"/>
  <c r="W810" i="1"/>
  <c r="V810" i="1"/>
  <c r="U810" i="1"/>
  <c r="R810" i="1"/>
  <c r="O810" i="1"/>
  <c r="L810" i="1"/>
  <c r="V809" i="1"/>
  <c r="S809" i="1"/>
  <c r="Y809" i="1" s="1"/>
  <c r="M809" i="1"/>
  <c r="V808" i="1"/>
  <c r="S808" i="1"/>
  <c r="Y808" i="1" s="1"/>
  <c r="M808" i="1"/>
  <c r="X807" i="1"/>
  <c r="W807" i="1"/>
  <c r="T807" i="1"/>
  <c r="Z807" i="1" s="1"/>
  <c r="R807" i="1"/>
  <c r="P807" i="1"/>
  <c r="N807" i="1"/>
  <c r="J807" i="1"/>
  <c r="V806" i="1"/>
  <c r="S806" i="1"/>
  <c r="Y806" i="1" s="1"/>
  <c r="M806" i="1"/>
  <c r="V805" i="1"/>
  <c r="S805" i="1"/>
  <c r="Y805" i="1" s="1"/>
  <c r="M805" i="1"/>
  <c r="W804" i="1"/>
  <c r="T804" i="1"/>
  <c r="Z804" i="1" s="1"/>
  <c r="N804" i="1"/>
  <c r="J804" i="1"/>
  <c r="V803" i="1"/>
  <c r="S803" i="1"/>
  <c r="Y803" i="1" s="1"/>
  <c r="M803" i="1"/>
  <c r="V802" i="1"/>
  <c r="S802" i="1"/>
  <c r="Y802" i="1" s="1"/>
  <c r="M802" i="1"/>
  <c r="J801" i="1" s="1"/>
  <c r="Z801" i="1"/>
  <c r="W801" i="1"/>
  <c r="T801" i="1"/>
  <c r="P801" i="1"/>
  <c r="S801" i="1" s="1"/>
  <c r="N801" i="1"/>
  <c r="V800" i="1"/>
  <c r="S800" i="1"/>
  <c r="Y800" i="1" s="1"/>
  <c r="M800" i="1"/>
  <c r="V799" i="1"/>
  <c r="S799" i="1"/>
  <c r="Y799" i="1" s="1"/>
  <c r="M799" i="1"/>
  <c r="W798" i="1"/>
  <c r="T798" i="1"/>
  <c r="Z798" i="1" s="1"/>
  <c r="N798" i="1"/>
  <c r="J798" i="1"/>
  <c r="M798" i="1" s="1"/>
  <c r="Y797" i="1"/>
  <c r="V797" i="1"/>
  <c r="S797" i="1"/>
  <c r="M797" i="1"/>
  <c r="V796" i="1"/>
  <c r="S796" i="1"/>
  <c r="Y796" i="1" s="1"/>
  <c r="M796" i="1"/>
  <c r="AA795" i="1"/>
  <c r="Z795" i="1"/>
  <c r="Y795" i="1"/>
  <c r="W795" i="1"/>
  <c r="V795" i="1"/>
  <c r="U795" i="1"/>
  <c r="R795" i="1"/>
  <c r="X795" i="1" s="1"/>
  <c r="O795" i="1"/>
  <c r="L795" i="1"/>
  <c r="Y794" i="1"/>
  <c r="V794" i="1"/>
  <c r="S794" i="1"/>
  <c r="M794" i="1"/>
  <c r="V793" i="1"/>
  <c r="S793" i="1"/>
  <c r="Y793" i="1" s="1"/>
  <c r="M793" i="1"/>
  <c r="AA792" i="1"/>
  <c r="Z792" i="1"/>
  <c r="Y792" i="1"/>
  <c r="W792" i="1"/>
  <c r="V792" i="1"/>
  <c r="U792" i="1"/>
  <c r="R792" i="1"/>
  <c r="X792" i="1" s="1"/>
  <c r="O792" i="1"/>
  <c r="L792" i="1"/>
  <c r="N791" i="1"/>
  <c r="N790" i="1" s="1"/>
  <c r="V789" i="1"/>
  <c r="S789" i="1"/>
  <c r="Y789" i="1" s="1"/>
  <c r="M789" i="1"/>
  <c r="Y788" i="1"/>
  <c r="V788" i="1"/>
  <c r="S788" i="1"/>
  <c r="M788" i="1"/>
  <c r="V787" i="1"/>
  <c r="S787" i="1"/>
  <c r="Y787" i="1" s="1"/>
  <c r="M787" i="1"/>
  <c r="Y786" i="1"/>
  <c r="V786" i="1"/>
  <c r="S786" i="1"/>
  <c r="M786" i="1"/>
  <c r="Z785" i="1"/>
  <c r="Y785" i="1"/>
  <c r="AA785" i="1" s="1"/>
  <c r="W785" i="1"/>
  <c r="V785" i="1"/>
  <c r="U785" i="1"/>
  <c r="R785" i="1"/>
  <c r="X785" i="1" s="1"/>
  <c r="O785" i="1"/>
  <c r="L785" i="1"/>
  <c r="V784" i="1"/>
  <c r="S784" i="1"/>
  <c r="Y784" i="1" s="1"/>
  <c r="M784" i="1"/>
  <c r="Y783" i="1"/>
  <c r="V783" i="1"/>
  <c r="S783" i="1"/>
  <c r="M783" i="1"/>
  <c r="V782" i="1"/>
  <c r="S782" i="1"/>
  <c r="Y782" i="1" s="1"/>
  <c r="M782" i="1"/>
  <c r="Y781" i="1"/>
  <c r="V781" i="1"/>
  <c r="S781" i="1"/>
  <c r="M781" i="1"/>
  <c r="Z780" i="1"/>
  <c r="Y780" i="1"/>
  <c r="AA780" i="1" s="1"/>
  <c r="X780" i="1"/>
  <c r="W780" i="1"/>
  <c r="V780" i="1"/>
  <c r="U780" i="1"/>
  <c r="R780" i="1"/>
  <c r="O780" i="1"/>
  <c r="L780" i="1"/>
  <c r="Y779" i="1"/>
  <c r="V779" i="1"/>
  <c r="S779" i="1"/>
  <c r="M779" i="1"/>
  <c r="V778" i="1"/>
  <c r="S778" i="1"/>
  <c r="Y778" i="1" s="1"/>
  <c r="M778" i="1"/>
  <c r="Y777" i="1"/>
  <c r="V777" i="1"/>
  <c r="S777" i="1"/>
  <c r="M777" i="1"/>
  <c r="V776" i="1"/>
  <c r="S776" i="1"/>
  <c r="Y776" i="1" s="1"/>
  <c r="M776" i="1"/>
  <c r="Z775" i="1"/>
  <c r="AA775" i="1" s="1"/>
  <c r="Y775" i="1"/>
  <c r="X775" i="1"/>
  <c r="W775" i="1"/>
  <c r="V775" i="1"/>
  <c r="U775" i="1"/>
  <c r="R775" i="1"/>
  <c r="O775" i="1"/>
  <c r="L775" i="1"/>
  <c r="Y774" i="1"/>
  <c r="V774" i="1"/>
  <c r="S774" i="1"/>
  <c r="M774" i="1"/>
  <c r="V773" i="1"/>
  <c r="S773" i="1"/>
  <c r="Y773" i="1" s="1"/>
  <c r="M773" i="1"/>
  <c r="Y772" i="1"/>
  <c r="V772" i="1"/>
  <c r="S772" i="1"/>
  <c r="M772" i="1"/>
  <c r="V771" i="1"/>
  <c r="S771" i="1"/>
  <c r="Y771" i="1" s="1"/>
  <c r="M771" i="1"/>
  <c r="AA770" i="1"/>
  <c r="Z770" i="1"/>
  <c r="Y770" i="1"/>
  <c r="W770" i="1"/>
  <c r="V770" i="1"/>
  <c r="U770" i="1"/>
  <c r="R770" i="1"/>
  <c r="X770" i="1" s="1"/>
  <c r="O770" i="1"/>
  <c r="L770" i="1"/>
  <c r="V769" i="1"/>
  <c r="S769" i="1"/>
  <c r="M769" i="1"/>
  <c r="Z768" i="1"/>
  <c r="W768" i="1"/>
  <c r="T768" i="1"/>
  <c r="N768" i="1"/>
  <c r="L768" i="1"/>
  <c r="J768" i="1"/>
  <c r="M768" i="1" s="1"/>
  <c r="O768" i="1" s="1"/>
  <c r="Y767" i="1"/>
  <c r="V767" i="1"/>
  <c r="S767" i="1"/>
  <c r="M767" i="1"/>
  <c r="W766" i="1"/>
  <c r="T766" i="1"/>
  <c r="Z766" i="1" s="1"/>
  <c r="P766" i="1"/>
  <c r="N766" i="1"/>
  <c r="M766" i="1"/>
  <c r="O766" i="1" s="1"/>
  <c r="L766" i="1"/>
  <c r="J766" i="1"/>
  <c r="V765" i="1"/>
  <c r="S765" i="1"/>
  <c r="Y765" i="1" s="1"/>
  <c r="M765" i="1"/>
  <c r="Y764" i="1"/>
  <c r="V764" i="1"/>
  <c r="S764" i="1"/>
  <c r="M764" i="1"/>
  <c r="W763" i="1"/>
  <c r="T763" i="1"/>
  <c r="Z763" i="1" s="1"/>
  <c r="P763" i="1"/>
  <c r="N763" i="1"/>
  <c r="N720" i="1" s="1"/>
  <c r="M763" i="1"/>
  <c r="O763" i="1" s="1"/>
  <c r="L763" i="1"/>
  <c r="J763" i="1"/>
  <c r="V762" i="1"/>
  <c r="S762" i="1"/>
  <c r="Y762" i="1" s="1"/>
  <c r="M762" i="1"/>
  <c r="Y761" i="1"/>
  <c r="V761" i="1"/>
  <c r="S761" i="1"/>
  <c r="M761" i="1"/>
  <c r="J759" i="1" s="1"/>
  <c r="V760" i="1"/>
  <c r="S760" i="1"/>
  <c r="M760" i="1"/>
  <c r="Z759" i="1"/>
  <c r="W759" i="1"/>
  <c r="T759" i="1"/>
  <c r="N759" i="1"/>
  <c r="Y758" i="1"/>
  <c r="V758" i="1"/>
  <c r="S758" i="1"/>
  <c r="M758" i="1"/>
  <c r="V757" i="1"/>
  <c r="S757" i="1"/>
  <c r="Y757" i="1" s="1"/>
  <c r="M757" i="1"/>
  <c r="Y756" i="1"/>
  <c r="V756" i="1"/>
  <c r="S756" i="1"/>
  <c r="M756" i="1"/>
  <c r="J754" i="1" s="1"/>
  <c r="V755" i="1"/>
  <c r="S755" i="1"/>
  <c r="M755" i="1"/>
  <c r="Z754" i="1"/>
  <c r="W754" i="1"/>
  <c r="T754" i="1"/>
  <c r="N754" i="1"/>
  <c r="Y753" i="1"/>
  <c r="V753" i="1"/>
  <c r="S753" i="1"/>
  <c r="M753" i="1"/>
  <c r="J751" i="1" s="1"/>
  <c r="V752" i="1"/>
  <c r="S752" i="1"/>
  <c r="M752" i="1"/>
  <c r="Z751" i="1"/>
  <c r="W751" i="1"/>
  <c r="T751" i="1"/>
  <c r="N751" i="1"/>
  <c r="Y750" i="1"/>
  <c r="V750" i="1"/>
  <c r="S750" i="1"/>
  <c r="M750" i="1"/>
  <c r="V749" i="1"/>
  <c r="S749" i="1"/>
  <c r="Y749" i="1" s="1"/>
  <c r="M749" i="1"/>
  <c r="Y748" i="1"/>
  <c r="V748" i="1"/>
  <c r="S748" i="1"/>
  <c r="M748" i="1"/>
  <c r="J746" i="1" s="1"/>
  <c r="M746" i="1" s="1"/>
  <c r="O746" i="1" s="1"/>
  <c r="V747" i="1"/>
  <c r="S747" i="1"/>
  <c r="M747" i="1"/>
  <c r="Z746" i="1"/>
  <c r="W746" i="1"/>
  <c r="T746" i="1"/>
  <c r="N746" i="1"/>
  <c r="Y745" i="1"/>
  <c r="V745" i="1"/>
  <c r="S745" i="1"/>
  <c r="M745" i="1"/>
  <c r="V744" i="1"/>
  <c r="S744" i="1"/>
  <c r="Y744" i="1" s="1"/>
  <c r="M744" i="1"/>
  <c r="Y743" i="1"/>
  <c r="V743" i="1"/>
  <c r="S743" i="1"/>
  <c r="M743" i="1"/>
  <c r="J741" i="1" s="1"/>
  <c r="M741" i="1" s="1"/>
  <c r="O741" i="1" s="1"/>
  <c r="V742" i="1"/>
  <c r="S742" i="1"/>
  <c r="M742" i="1"/>
  <c r="Z741" i="1"/>
  <c r="W741" i="1"/>
  <c r="T741" i="1"/>
  <c r="N741" i="1"/>
  <c r="V740" i="1"/>
  <c r="S740" i="1"/>
  <c r="Y740" i="1" s="1"/>
  <c r="M740" i="1"/>
  <c r="V739" i="1"/>
  <c r="S739" i="1"/>
  <c r="Y739" i="1" s="1"/>
  <c r="M739" i="1"/>
  <c r="V738" i="1"/>
  <c r="S738" i="1"/>
  <c r="Y738" i="1" s="1"/>
  <c r="M738" i="1"/>
  <c r="V737" i="1"/>
  <c r="S737" i="1"/>
  <c r="M737" i="1"/>
  <c r="Z736" i="1"/>
  <c r="W736" i="1"/>
  <c r="T736" i="1"/>
  <c r="N736" i="1"/>
  <c r="L736" i="1"/>
  <c r="J736" i="1"/>
  <c r="M736" i="1" s="1"/>
  <c r="O736" i="1" s="1"/>
  <c r="V735" i="1"/>
  <c r="S735" i="1"/>
  <c r="Y735" i="1" s="1"/>
  <c r="M735" i="1"/>
  <c r="V734" i="1"/>
  <c r="S734" i="1"/>
  <c r="Y734" i="1" s="1"/>
  <c r="M734" i="1"/>
  <c r="V733" i="1"/>
  <c r="S733" i="1"/>
  <c r="Y733" i="1" s="1"/>
  <c r="M733" i="1"/>
  <c r="V732" i="1"/>
  <c r="S732" i="1"/>
  <c r="Y732" i="1" s="1"/>
  <c r="M732" i="1"/>
  <c r="Z731" i="1"/>
  <c r="W731" i="1"/>
  <c r="T731" i="1"/>
  <c r="N731" i="1"/>
  <c r="L731" i="1"/>
  <c r="J731" i="1"/>
  <c r="M731" i="1" s="1"/>
  <c r="O731" i="1" s="1"/>
  <c r="Y730" i="1"/>
  <c r="V730" i="1"/>
  <c r="S730" i="1"/>
  <c r="M730" i="1"/>
  <c r="V729" i="1"/>
  <c r="S729" i="1"/>
  <c r="Y729" i="1" s="1"/>
  <c r="M729" i="1"/>
  <c r="Y728" i="1"/>
  <c r="V728" i="1"/>
  <c r="S728" i="1"/>
  <c r="M728" i="1"/>
  <c r="V727" i="1"/>
  <c r="S727" i="1"/>
  <c r="Y727" i="1" s="1"/>
  <c r="M727" i="1"/>
  <c r="Z726" i="1"/>
  <c r="Z720" i="1" s="1"/>
  <c r="W726" i="1"/>
  <c r="T726" i="1"/>
  <c r="P726" i="1"/>
  <c r="V726" i="1" s="1"/>
  <c r="N726" i="1"/>
  <c r="L726" i="1"/>
  <c r="J726" i="1"/>
  <c r="M726" i="1" s="1"/>
  <c r="O726" i="1" s="1"/>
  <c r="Y725" i="1"/>
  <c r="V725" i="1"/>
  <c r="S725" i="1"/>
  <c r="M725" i="1"/>
  <c r="V724" i="1"/>
  <c r="S724" i="1"/>
  <c r="Y724" i="1" s="1"/>
  <c r="M724" i="1"/>
  <c r="V723" i="1"/>
  <c r="S723" i="1"/>
  <c r="Y723" i="1" s="1"/>
  <c r="M723" i="1"/>
  <c r="V722" i="1"/>
  <c r="S722" i="1"/>
  <c r="Y722" i="1" s="1"/>
  <c r="M722" i="1"/>
  <c r="Z721" i="1"/>
  <c r="W721" i="1"/>
  <c r="T721" i="1"/>
  <c r="T720" i="1" s="1"/>
  <c r="N721" i="1"/>
  <c r="L721" i="1"/>
  <c r="J721" i="1"/>
  <c r="M721" i="1" s="1"/>
  <c r="O721" i="1" s="1"/>
  <c r="Y719" i="1"/>
  <c r="V719" i="1"/>
  <c r="S719" i="1"/>
  <c r="M719" i="1"/>
  <c r="V718" i="1"/>
  <c r="S718" i="1"/>
  <c r="Y718" i="1" s="1"/>
  <c r="M718" i="1"/>
  <c r="J715" i="1" s="1"/>
  <c r="Y717" i="1"/>
  <c r="V717" i="1"/>
  <c r="S717" i="1"/>
  <c r="M717" i="1"/>
  <c r="V716" i="1"/>
  <c r="S716" i="1"/>
  <c r="P715" i="1" s="1"/>
  <c r="V715" i="1" s="1"/>
  <c r="M716" i="1"/>
  <c r="Z715" i="1"/>
  <c r="W715" i="1"/>
  <c r="T715" i="1"/>
  <c r="R715" i="1"/>
  <c r="X715" i="1" s="1"/>
  <c r="N715" i="1"/>
  <c r="Y714" i="1"/>
  <c r="V714" i="1"/>
  <c r="S714" i="1"/>
  <c r="M714" i="1"/>
  <c r="V713" i="1"/>
  <c r="S713" i="1"/>
  <c r="Y713" i="1" s="1"/>
  <c r="M713" i="1"/>
  <c r="Y712" i="1"/>
  <c r="V712" i="1"/>
  <c r="S712" i="1"/>
  <c r="M712" i="1"/>
  <c r="V711" i="1"/>
  <c r="S711" i="1"/>
  <c r="P710" i="1" s="1"/>
  <c r="V710" i="1" s="1"/>
  <c r="M711" i="1"/>
  <c r="Z710" i="1"/>
  <c r="W710" i="1"/>
  <c r="T710" i="1"/>
  <c r="R710" i="1"/>
  <c r="X710" i="1" s="1"/>
  <c r="N710" i="1"/>
  <c r="J710" i="1"/>
  <c r="L710" i="1" s="1"/>
  <c r="Y709" i="1"/>
  <c r="V709" i="1"/>
  <c r="S709" i="1"/>
  <c r="M709" i="1"/>
  <c r="V708" i="1"/>
  <c r="S708" i="1"/>
  <c r="Y708" i="1" s="1"/>
  <c r="M708" i="1"/>
  <c r="J705" i="1" s="1"/>
  <c r="L705" i="1" s="1"/>
  <c r="Y707" i="1"/>
  <c r="V707" i="1"/>
  <c r="S707" i="1"/>
  <c r="M707" i="1"/>
  <c r="V706" i="1"/>
  <c r="S706" i="1"/>
  <c r="P705" i="1" s="1"/>
  <c r="V705" i="1" s="1"/>
  <c r="M706" i="1"/>
  <c r="Z705" i="1"/>
  <c r="W705" i="1"/>
  <c r="T705" i="1"/>
  <c r="R705" i="1"/>
  <c r="X705" i="1" s="1"/>
  <c r="N705" i="1"/>
  <c r="M705" i="1"/>
  <c r="O705" i="1" s="1"/>
  <c r="Y704" i="1"/>
  <c r="V704" i="1"/>
  <c r="S704" i="1"/>
  <c r="M704" i="1"/>
  <c r="V703" i="1"/>
  <c r="S703" i="1"/>
  <c r="Y703" i="1" s="1"/>
  <c r="M703" i="1"/>
  <c r="Y702" i="1"/>
  <c r="V702" i="1"/>
  <c r="S702" i="1"/>
  <c r="M702" i="1"/>
  <c r="V701" i="1"/>
  <c r="S701" i="1"/>
  <c r="P700" i="1" s="1"/>
  <c r="V700" i="1" s="1"/>
  <c r="M701" i="1"/>
  <c r="Z700" i="1"/>
  <c r="W700" i="1"/>
  <c r="T700" i="1"/>
  <c r="R700" i="1"/>
  <c r="X700" i="1" s="1"/>
  <c r="N700" i="1"/>
  <c r="J700" i="1"/>
  <c r="Y699" i="1"/>
  <c r="V699" i="1"/>
  <c r="S699" i="1"/>
  <c r="M699" i="1"/>
  <c r="V698" i="1"/>
  <c r="S698" i="1"/>
  <c r="Y698" i="1" s="1"/>
  <c r="M698" i="1"/>
  <c r="Y697" i="1"/>
  <c r="V697" i="1"/>
  <c r="S697" i="1"/>
  <c r="M697" i="1"/>
  <c r="V696" i="1"/>
  <c r="S696" i="1"/>
  <c r="Y696" i="1" s="1"/>
  <c r="M696" i="1"/>
  <c r="Z695" i="1"/>
  <c r="AA695" i="1" s="1"/>
  <c r="Y695" i="1"/>
  <c r="W695" i="1"/>
  <c r="V695" i="1"/>
  <c r="U695" i="1"/>
  <c r="R695" i="1"/>
  <c r="X695" i="1" s="1"/>
  <c r="O695" i="1"/>
  <c r="L695" i="1"/>
  <c r="Y694" i="1"/>
  <c r="V694" i="1"/>
  <c r="S694" i="1"/>
  <c r="M694" i="1"/>
  <c r="V693" i="1"/>
  <c r="S693" i="1"/>
  <c r="Y693" i="1" s="1"/>
  <c r="M693" i="1"/>
  <c r="Y692" i="1"/>
  <c r="V692" i="1"/>
  <c r="S692" i="1"/>
  <c r="M692" i="1"/>
  <c r="V691" i="1"/>
  <c r="S691" i="1"/>
  <c r="Y691" i="1" s="1"/>
  <c r="M691" i="1"/>
  <c r="AA690" i="1"/>
  <c r="Z690" i="1"/>
  <c r="Y690" i="1"/>
  <c r="W690" i="1"/>
  <c r="V690" i="1"/>
  <c r="U690" i="1"/>
  <c r="R690" i="1"/>
  <c r="X690" i="1" s="1"/>
  <c r="O690" i="1"/>
  <c r="L690" i="1"/>
  <c r="V689" i="1"/>
  <c r="S689" i="1"/>
  <c r="Y689" i="1" s="1"/>
  <c r="M689" i="1"/>
  <c r="Y688" i="1"/>
  <c r="V688" i="1"/>
  <c r="S688" i="1"/>
  <c r="M688" i="1"/>
  <c r="V687" i="1"/>
  <c r="S687" i="1"/>
  <c r="Y687" i="1" s="1"/>
  <c r="M687" i="1"/>
  <c r="Y686" i="1"/>
  <c r="V686" i="1"/>
  <c r="S686" i="1"/>
  <c r="M686" i="1"/>
  <c r="Z685" i="1"/>
  <c r="Y685" i="1"/>
  <c r="AA685" i="1" s="1"/>
  <c r="X685" i="1"/>
  <c r="W685" i="1"/>
  <c r="V685" i="1"/>
  <c r="U685" i="1"/>
  <c r="R685" i="1"/>
  <c r="O685" i="1"/>
  <c r="L685" i="1"/>
  <c r="V684" i="1"/>
  <c r="S684" i="1"/>
  <c r="Y684" i="1" s="1"/>
  <c r="M684" i="1"/>
  <c r="Y683" i="1"/>
  <c r="V683" i="1"/>
  <c r="S683" i="1"/>
  <c r="M683" i="1"/>
  <c r="V682" i="1"/>
  <c r="S682" i="1"/>
  <c r="Y682" i="1" s="1"/>
  <c r="M682" i="1"/>
  <c r="Y681" i="1"/>
  <c r="V681" i="1"/>
  <c r="S681" i="1"/>
  <c r="M681" i="1"/>
  <c r="Z680" i="1"/>
  <c r="Y680" i="1"/>
  <c r="AA680" i="1" s="1"/>
  <c r="X680" i="1"/>
  <c r="W680" i="1"/>
  <c r="V680" i="1"/>
  <c r="U680" i="1"/>
  <c r="R680" i="1"/>
  <c r="O680" i="1"/>
  <c r="L680" i="1"/>
  <c r="Y679" i="1"/>
  <c r="V679" i="1"/>
  <c r="S679" i="1"/>
  <c r="M679" i="1"/>
  <c r="V678" i="1"/>
  <c r="S678" i="1"/>
  <c r="Y678" i="1" s="1"/>
  <c r="M678" i="1"/>
  <c r="Y677" i="1"/>
  <c r="V677" i="1"/>
  <c r="S677" i="1"/>
  <c r="M677" i="1"/>
  <c r="V676" i="1"/>
  <c r="S676" i="1"/>
  <c r="Y676" i="1" s="1"/>
  <c r="M676" i="1"/>
  <c r="Z675" i="1"/>
  <c r="AA675" i="1" s="1"/>
  <c r="Y675" i="1"/>
  <c r="W675" i="1"/>
  <c r="V675" i="1"/>
  <c r="U675" i="1"/>
  <c r="R675" i="1"/>
  <c r="X675" i="1" s="1"/>
  <c r="O675" i="1"/>
  <c r="L675" i="1"/>
  <c r="Y674" i="1"/>
  <c r="V674" i="1"/>
  <c r="S674" i="1"/>
  <c r="M674" i="1"/>
  <c r="V673" i="1"/>
  <c r="S673" i="1"/>
  <c r="Y673" i="1" s="1"/>
  <c r="M673" i="1"/>
  <c r="Y672" i="1"/>
  <c r="V672" i="1"/>
  <c r="S672" i="1"/>
  <c r="M672" i="1"/>
  <c r="V671" i="1"/>
  <c r="S671" i="1"/>
  <c r="Y671" i="1" s="1"/>
  <c r="M671" i="1"/>
  <c r="AA670" i="1"/>
  <c r="Z670" i="1"/>
  <c r="Y670" i="1"/>
  <c r="X670" i="1"/>
  <c r="W670" i="1"/>
  <c r="V670" i="1"/>
  <c r="U670" i="1"/>
  <c r="R670" i="1"/>
  <c r="O670" i="1"/>
  <c r="L670" i="1"/>
  <c r="V669" i="1"/>
  <c r="S669" i="1"/>
  <c r="Y669" i="1" s="1"/>
  <c r="M669" i="1"/>
  <c r="Y668" i="1"/>
  <c r="V668" i="1"/>
  <c r="S668" i="1"/>
  <c r="M668" i="1"/>
  <c r="V667" i="1"/>
  <c r="S667" i="1"/>
  <c r="Y667" i="1" s="1"/>
  <c r="M667" i="1"/>
  <c r="Y666" i="1"/>
  <c r="V666" i="1"/>
  <c r="S666" i="1"/>
  <c r="M666" i="1"/>
  <c r="Z665" i="1"/>
  <c r="Y665" i="1"/>
  <c r="AA665" i="1" s="1"/>
  <c r="X665" i="1"/>
  <c r="W665" i="1"/>
  <c r="V665" i="1"/>
  <c r="U665" i="1"/>
  <c r="R665" i="1"/>
  <c r="O665" i="1"/>
  <c r="L665" i="1"/>
  <c r="V664" i="1"/>
  <c r="S664" i="1"/>
  <c r="Y664" i="1" s="1"/>
  <c r="M664" i="1"/>
  <c r="Y663" i="1"/>
  <c r="V663" i="1"/>
  <c r="S663" i="1"/>
  <c r="M663" i="1"/>
  <c r="V662" i="1"/>
  <c r="S662" i="1"/>
  <c r="Y662" i="1" s="1"/>
  <c r="M662" i="1"/>
  <c r="Y661" i="1"/>
  <c r="V661" i="1"/>
  <c r="S661" i="1"/>
  <c r="M661" i="1"/>
  <c r="Z660" i="1"/>
  <c r="Y660" i="1"/>
  <c r="W660" i="1"/>
  <c r="V660" i="1"/>
  <c r="U660" i="1"/>
  <c r="R660" i="1"/>
  <c r="X660" i="1" s="1"/>
  <c r="O660" i="1"/>
  <c r="L660" i="1"/>
  <c r="Y659" i="1"/>
  <c r="V659" i="1"/>
  <c r="S659" i="1"/>
  <c r="M659" i="1"/>
  <c r="V658" i="1"/>
  <c r="S658" i="1"/>
  <c r="Y658" i="1" s="1"/>
  <c r="M658" i="1"/>
  <c r="Y657" i="1"/>
  <c r="V657" i="1"/>
  <c r="S657" i="1"/>
  <c r="M657" i="1"/>
  <c r="V656" i="1"/>
  <c r="S656" i="1"/>
  <c r="P655" i="1" s="1"/>
  <c r="M656" i="1"/>
  <c r="J655" i="1" s="1"/>
  <c r="W655" i="1"/>
  <c r="T655" i="1"/>
  <c r="Z655" i="1" s="1"/>
  <c r="R655" i="1"/>
  <c r="X655" i="1" s="1"/>
  <c r="N655" i="1"/>
  <c r="Y654" i="1"/>
  <c r="V654" i="1"/>
  <c r="S654" i="1"/>
  <c r="M654" i="1"/>
  <c r="V653" i="1"/>
  <c r="S653" i="1"/>
  <c r="Y653" i="1" s="1"/>
  <c r="M653" i="1"/>
  <c r="Y652" i="1"/>
  <c r="V652" i="1"/>
  <c r="S652" i="1"/>
  <c r="M652" i="1"/>
  <c r="V651" i="1"/>
  <c r="S651" i="1"/>
  <c r="P650" i="1" s="1"/>
  <c r="R650" i="1" s="1"/>
  <c r="X650" i="1" s="1"/>
  <c r="M651" i="1"/>
  <c r="J650" i="1" s="1"/>
  <c r="W650" i="1"/>
  <c r="T650" i="1"/>
  <c r="Z650" i="1" s="1"/>
  <c r="N650" i="1"/>
  <c r="Y649" i="1"/>
  <c r="V649" i="1"/>
  <c r="S649" i="1"/>
  <c r="M649" i="1"/>
  <c r="V648" i="1"/>
  <c r="S648" i="1"/>
  <c r="Y648" i="1" s="1"/>
  <c r="M648" i="1"/>
  <c r="Y647" i="1"/>
  <c r="V647" i="1"/>
  <c r="S647" i="1"/>
  <c r="M647" i="1"/>
  <c r="V646" i="1"/>
  <c r="S646" i="1"/>
  <c r="Y646" i="1" s="1"/>
  <c r="M646" i="1"/>
  <c r="J645" i="1" s="1"/>
  <c r="W645" i="1"/>
  <c r="V645" i="1"/>
  <c r="T645" i="1"/>
  <c r="Z645" i="1" s="1"/>
  <c r="S645" i="1"/>
  <c r="R645" i="1"/>
  <c r="X645" i="1" s="1"/>
  <c r="P645" i="1"/>
  <c r="N645" i="1"/>
  <c r="Y644" i="1"/>
  <c r="V644" i="1"/>
  <c r="S644" i="1"/>
  <c r="M644" i="1"/>
  <c r="V643" i="1"/>
  <c r="S643" i="1"/>
  <c r="Y643" i="1" s="1"/>
  <c r="M643" i="1"/>
  <c r="J640" i="1" s="1"/>
  <c r="Y642" i="1"/>
  <c r="V642" i="1"/>
  <c r="S642" i="1"/>
  <c r="M642" i="1"/>
  <c r="V641" i="1"/>
  <c r="S641" i="1"/>
  <c r="Y641" i="1" s="1"/>
  <c r="M641" i="1"/>
  <c r="W640" i="1"/>
  <c r="V640" i="1"/>
  <c r="T640" i="1"/>
  <c r="Z640" i="1" s="1"/>
  <c r="S640" i="1"/>
  <c r="R640" i="1"/>
  <c r="X640" i="1" s="1"/>
  <c r="P640" i="1"/>
  <c r="N640" i="1"/>
  <c r="V639" i="1"/>
  <c r="S639" i="1"/>
  <c r="Y639" i="1" s="1"/>
  <c r="M639" i="1"/>
  <c r="V638" i="1"/>
  <c r="S638" i="1"/>
  <c r="Y638" i="1" s="1"/>
  <c r="M638" i="1"/>
  <c r="V637" i="1"/>
  <c r="S637" i="1"/>
  <c r="Y637" i="1" s="1"/>
  <c r="M637" i="1"/>
  <c r="V636" i="1"/>
  <c r="S636" i="1"/>
  <c r="Y636" i="1" s="1"/>
  <c r="M636" i="1"/>
  <c r="Z635" i="1"/>
  <c r="Y635" i="1"/>
  <c r="AA635" i="1" s="1"/>
  <c r="W635" i="1"/>
  <c r="V635" i="1"/>
  <c r="U635" i="1"/>
  <c r="R635" i="1"/>
  <c r="X635" i="1" s="1"/>
  <c r="O635" i="1"/>
  <c r="L635" i="1"/>
  <c r="Y634" i="1"/>
  <c r="V634" i="1"/>
  <c r="S634" i="1"/>
  <c r="M634" i="1"/>
  <c r="Y633" i="1"/>
  <c r="V633" i="1"/>
  <c r="S633" i="1"/>
  <c r="M633" i="1"/>
  <c r="Y632" i="1"/>
  <c r="V632" i="1"/>
  <c r="S632" i="1"/>
  <c r="M632" i="1"/>
  <c r="Y631" i="1"/>
  <c r="V631" i="1"/>
  <c r="S631" i="1"/>
  <c r="M631" i="1"/>
  <c r="AA630" i="1"/>
  <c r="Z630" i="1"/>
  <c r="Y630" i="1"/>
  <c r="X630" i="1"/>
  <c r="W630" i="1"/>
  <c r="V630" i="1"/>
  <c r="U630" i="1"/>
  <c r="R630" i="1"/>
  <c r="O630" i="1"/>
  <c r="L630" i="1"/>
  <c r="V629" i="1"/>
  <c r="S629" i="1"/>
  <c r="Y629" i="1" s="1"/>
  <c r="M629" i="1"/>
  <c r="Y628" i="1"/>
  <c r="V628" i="1"/>
  <c r="S628" i="1"/>
  <c r="M628" i="1"/>
  <c r="V627" i="1"/>
  <c r="S627" i="1"/>
  <c r="Y627" i="1" s="1"/>
  <c r="M627" i="1"/>
  <c r="Y626" i="1"/>
  <c r="V626" i="1"/>
  <c r="S626" i="1"/>
  <c r="M626" i="1"/>
  <c r="Z625" i="1"/>
  <c r="Y625" i="1"/>
  <c r="AA625" i="1" s="1"/>
  <c r="X625" i="1"/>
  <c r="W625" i="1"/>
  <c r="V625" i="1"/>
  <c r="U625" i="1"/>
  <c r="R625" i="1"/>
  <c r="O625" i="1"/>
  <c r="L625" i="1"/>
  <c r="V624" i="1"/>
  <c r="S624" i="1"/>
  <c r="Y624" i="1" s="1"/>
  <c r="M624" i="1"/>
  <c r="Y623" i="1"/>
  <c r="V623" i="1"/>
  <c r="S623" i="1"/>
  <c r="M623" i="1"/>
  <c r="V622" i="1"/>
  <c r="S622" i="1"/>
  <c r="Y622" i="1" s="1"/>
  <c r="M622" i="1"/>
  <c r="Y621" i="1"/>
  <c r="V621" i="1"/>
  <c r="S621" i="1"/>
  <c r="M621" i="1"/>
  <c r="Z620" i="1"/>
  <c r="Y620" i="1"/>
  <c r="AA620" i="1" s="1"/>
  <c r="X620" i="1"/>
  <c r="W620" i="1"/>
  <c r="V620" i="1"/>
  <c r="U620" i="1"/>
  <c r="R620" i="1"/>
  <c r="O620" i="1"/>
  <c r="L620" i="1"/>
  <c r="Y619" i="1"/>
  <c r="V619" i="1"/>
  <c r="S619" i="1"/>
  <c r="M619" i="1"/>
  <c r="V618" i="1"/>
  <c r="S618" i="1"/>
  <c r="Y618" i="1" s="1"/>
  <c r="M618" i="1"/>
  <c r="V617" i="1"/>
  <c r="S617" i="1"/>
  <c r="Y617" i="1" s="1"/>
  <c r="M617" i="1"/>
  <c r="V616" i="1"/>
  <c r="S616" i="1"/>
  <c r="Y616" i="1" s="1"/>
  <c r="M616" i="1"/>
  <c r="Z615" i="1"/>
  <c r="Y615" i="1"/>
  <c r="AA615" i="1" s="1"/>
  <c r="W615" i="1"/>
  <c r="V615" i="1"/>
  <c r="U615" i="1"/>
  <c r="R615" i="1"/>
  <c r="X615" i="1" s="1"/>
  <c r="O615" i="1"/>
  <c r="L615" i="1"/>
  <c r="Y614" i="1"/>
  <c r="V614" i="1"/>
  <c r="S614" i="1"/>
  <c r="M614" i="1"/>
  <c r="Y613" i="1"/>
  <c r="V613" i="1"/>
  <c r="S613" i="1"/>
  <c r="M613" i="1"/>
  <c r="Y612" i="1"/>
  <c r="V612" i="1"/>
  <c r="S612" i="1"/>
  <c r="M612" i="1"/>
  <c r="Y611" i="1"/>
  <c r="V611" i="1"/>
  <c r="S611" i="1"/>
  <c r="M611" i="1"/>
  <c r="AA610" i="1"/>
  <c r="Z610" i="1"/>
  <c r="Y610" i="1"/>
  <c r="W610" i="1"/>
  <c r="V610" i="1"/>
  <c r="U610" i="1"/>
  <c r="R610" i="1"/>
  <c r="X610" i="1" s="1"/>
  <c r="O610" i="1"/>
  <c r="L610" i="1"/>
  <c r="V609" i="1"/>
  <c r="S609" i="1"/>
  <c r="Y609" i="1" s="1"/>
  <c r="M609" i="1"/>
  <c r="J607" i="1" s="1"/>
  <c r="L607" i="1" s="1"/>
  <c r="V608" i="1"/>
  <c r="S608" i="1"/>
  <c r="Y608" i="1" s="1"/>
  <c r="M608" i="1"/>
  <c r="Z607" i="1"/>
  <c r="W607" i="1"/>
  <c r="T607" i="1"/>
  <c r="P607" i="1"/>
  <c r="O607" i="1"/>
  <c r="N607" i="1"/>
  <c r="M607" i="1"/>
  <c r="V606" i="1"/>
  <c r="S606" i="1"/>
  <c r="Y606" i="1" s="1"/>
  <c r="M606" i="1"/>
  <c r="Y605" i="1"/>
  <c r="V605" i="1"/>
  <c r="S605" i="1"/>
  <c r="M605" i="1"/>
  <c r="Z604" i="1"/>
  <c r="Y604" i="1"/>
  <c r="AA604" i="1" s="1"/>
  <c r="X604" i="1"/>
  <c r="W604" i="1"/>
  <c r="V604" i="1"/>
  <c r="U604" i="1"/>
  <c r="R604" i="1"/>
  <c r="O604" i="1"/>
  <c r="L604" i="1"/>
  <c r="V603" i="1"/>
  <c r="S603" i="1"/>
  <c r="Y603" i="1" s="1"/>
  <c r="M603" i="1"/>
  <c r="Y602" i="1"/>
  <c r="V602" i="1"/>
  <c r="S602" i="1"/>
  <c r="M602" i="1"/>
  <c r="Z601" i="1"/>
  <c r="Y601" i="1"/>
  <c r="AA601" i="1" s="1"/>
  <c r="X601" i="1"/>
  <c r="W601" i="1"/>
  <c r="V601" i="1"/>
  <c r="U601" i="1"/>
  <c r="R601" i="1"/>
  <c r="O601" i="1"/>
  <c r="L601" i="1"/>
  <c r="V600" i="1"/>
  <c r="S600" i="1"/>
  <c r="Y600" i="1" s="1"/>
  <c r="M600" i="1"/>
  <c r="V599" i="1"/>
  <c r="S599" i="1"/>
  <c r="Y599" i="1" s="1"/>
  <c r="M599" i="1"/>
  <c r="Z598" i="1"/>
  <c r="W598" i="1"/>
  <c r="T598" i="1"/>
  <c r="P598" i="1"/>
  <c r="O598" i="1"/>
  <c r="N598" i="1"/>
  <c r="M598" i="1"/>
  <c r="J598" i="1"/>
  <c r="L598" i="1" s="1"/>
  <c r="V597" i="1"/>
  <c r="S597" i="1"/>
  <c r="M597" i="1"/>
  <c r="J595" i="1" s="1"/>
  <c r="V596" i="1"/>
  <c r="S596" i="1"/>
  <c r="Y596" i="1" s="1"/>
  <c r="M596" i="1"/>
  <c r="Z595" i="1"/>
  <c r="W595" i="1"/>
  <c r="T595" i="1"/>
  <c r="N595" i="1"/>
  <c r="V594" i="1"/>
  <c r="S594" i="1"/>
  <c r="Y594" i="1" s="1"/>
  <c r="M594" i="1"/>
  <c r="J592" i="1" s="1"/>
  <c r="L592" i="1" s="1"/>
  <c r="V593" i="1"/>
  <c r="S593" i="1"/>
  <c r="Y593" i="1" s="1"/>
  <c r="M593" i="1"/>
  <c r="W592" i="1"/>
  <c r="T592" i="1"/>
  <c r="Z592" i="1" s="1"/>
  <c r="N592" i="1"/>
  <c r="M592" i="1"/>
  <c r="O592" i="1" s="1"/>
  <c r="V591" i="1"/>
  <c r="S591" i="1"/>
  <c r="Y591" i="1" s="1"/>
  <c r="M591" i="1"/>
  <c r="J589" i="1" s="1"/>
  <c r="V590" i="1"/>
  <c r="S590" i="1"/>
  <c r="M590" i="1"/>
  <c r="W589" i="1"/>
  <c r="T589" i="1"/>
  <c r="Z589" i="1" s="1"/>
  <c r="N589" i="1"/>
  <c r="M589" i="1"/>
  <c r="O589" i="1" s="1"/>
  <c r="L589" i="1"/>
  <c r="Y588" i="1"/>
  <c r="V588" i="1"/>
  <c r="S588" i="1"/>
  <c r="M588" i="1"/>
  <c r="J586" i="1" s="1"/>
  <c r="V587" i="1"/>
  <c r="S587" i="1"/>
  <c r="M587" i="1"/>
  <c r="W586" i="1"/>
  <c r="T586" i="1"/>
  <c r="Z586" i="1" s="1"/>
  <c r="N586" i="1"/>
  <c r="M586" i="1"/>
  <c r="O586" i="1" s="1"/>
  <c r="L586" i="1"/>
  <c r="Y585" i="1"/>
  <c r="V585" i="1"/>
  <c r="S585" i="1"/>
  <c r="M585" i="1"/>
  <c r="J583" i="1" s="1"/>
  <c r="V584" i="1"/>
  <c r="S584" i="1"/>
  <c r="M584" i="1"/>
  <c r="W583" i="1"/>
  <c r="T583" i="1"/>
  <c r="Z583" i="1" s="1"/>
  <c r="N583" i="1"/>
  <c r="M583" i="1"/>
  <c r="O583" i="1" s="1"/>
  <c r="L583" i="1"/>
  <c r="Y582" i="1"/>
  <c r="V582" i="1"/>
  <c r="S582" i="1"/>
  <c r="M582" i="1"/>
  <c r="J580" i="1" s="1"/>
  <c r="V581" i="1"/>
  <c r="S581" i="1"/>
  <c r="M581" i="1"/>
  <c r="W580" i="1"/>
  <c r="T580" i="1"/>
  <c r="Z580" i="1" s="1"/>
  <c r="N580" i="1"/>
  <c r="Y579" i="1"/>
  <c r="V579" i="1"/>
  <c r="S579" i="1"/>
  <c r="M579" i="1"/>
  <c r="V578" i="1"/>
  <c r="S578" i="1"/>
  <c r="Y578" i="1" s="1"/>
  <c r="M578" i="1"/>
  <c r="AA577" i="1"/>
  <c r="Z577" i="1"/>
  <c r="Y577" i="1"/>
  <c r="X577" i="1"/>
  <c r="W577" i="1"/>
  <c r="V577" i="1"/>
  <c r="U577" i="1"/>
  <c r="R577" i="1"/>
  <c r="O577" i="1"/>
  <c r="L577" i="1"/>
  <c r="V576" i="1"/>
  <c r="S576" i="1"/>
  <c r="Y576" i="1" s="1"/>
  <c r="M576" i="1"/>
  <c r="Y575" i="1"/>
  <c r="V575" i="1"/>
  <c r="S575" i="1"/>
  <c r="M575" i="1"/>
  <c r="Z574" i="1"/>
  <c r="Y574" i="1"/>
  <c r="AA574" i="1" s="1"/>
  <c r="X574" i="1"/>
  <c r="W574" i="1"/>
  <c r="V574" i="1"/>
  <c r="U574" i="1"/>
  <c r="R574" i="1"/>
  <c r="O574" i="1"/>
  <c r="L574" i="1"/>
  <c r="V573" i="1"/>
  <c r="S573" i="1"/>
  <c r="Y573" i="1" s="1"/>
  <c r="M573" i="1"/>
  <c r="Y572" i="1"/>
  <c r="V572" i="1"/>
  <c r="S572" i="1"/>
  <c r="M572" i="1"/>
  <c r="Z571" i="1"/>
  <c r="Y571" i="1"/>
  <c r="AA571" i="1" s="1"/>
  <c r="W571" i="1"/>
  <c r="V571" i="1"/>
  <c r="U571" i="1"/>
  <c r="R571" i="1"/>
  <c r="X571" i="1" s="1"/>
  <c r="O571" i="1"/>
  <c r="L571" i="1"/>
  <c r="Y570" i="1"/>
  <c r="V570" i="1"/>
  <c r="S570" i="1"/>
  <c r="M570" i="1"/>
  <c r="V569" i="1"/>
  <c r="S569" i="1"/>
  <c r="Y569" i="1" s="1"/>
  <c r="M569" i="1"/>
  <c r="AA568" i="1"/>
  <c r="Z568" i="1"/>
  <c r="Y568" i="1"/>
  <c r="W568" i="1"/>
  <c r="V568" i="1"/>
  <c r="U568" i="1"/>
  <c r="R568" i="1"/>
  <c r="X568" i="1" s="1"/>
  <c r="O568" i="1"/>
  <c r="L568" i="1"/>
  <c r="Y567" i="1"/>
  <c r="V567" i="1"/>
  <c r="S567" i="1"/>
  <c r="M567" i="1"/>
  <c r="V566" i="1"/>
  <c r="S566" i="1"/>
  <c r="Y566" i="1" s="1"/>
  <c r="M566" i="1"/>
  <c r="AA565" i="1"/>
  <c r="Z565" i="1"/>
  <c r="Y565" i="1"/>
  <c r="X565" i="1"/>
  <c r="W565" i="1"/>
  <c r="V565" i="1"/>
  <c r="U565" i="1"/>
  <c r="R565" i="1"/>
  <c r="O565" i="1"/>
  <c r="L565" i="1"/>
  <c r="V564" i="1"/>
  <c r="S564" i="1"/>
  <c r="Y564" i="1" s="1"/>
  <c r="M564" i="1"/>
  <c r="Y563" i="1"/>
  <c r="V563" i="1"/>
  <c r="S563" i="1"/>
  <c r="M563" i="1"/>
  <c r="Z562" i="1"/>
  <c r="Y562" i="1"/>
  <c r="AA562" i="1" s="1"/>
  <c r="X562" i="1"/>
  <c r="W562" i="1"/>
  <c r="V562" i="1"/>
  <c r="U562" i="1"/>
  <c r="R562" i="1"/>
  <c r="O562" i="1"/>
  <c r="L562" i="1"/>
  <c r="V561" i="1"/>
  <c r="S561" i="1"/>
  <c r="Y561" i="1" s="1"/>
  <c r="M561" i="1"/>
  <c r="Y560" i="1"/>
  <c r="V560" i="1"/>
  <c r="S560" i="1"/>
  <c r="M560" i="1"/>
  <c r="Z559" i="1"/>
  <c r="Y559" i="1"/>
  <c r="AA559" i="1" s="1"/>
  <c r="W559" i="1"/>
  <c r="V559" i="1"/>
  <c r="U559" i="1"/>
  <c r="R559" i="1"/>
  <c r="X559" i="1" s="1"/>
  <c r="O559" i="1"/>
  <c r="L559" i="1"/>
  <c r="Y558" i="1"/>
  <c r="V558" i="1"/>
  <c r="S558" i="1"/>
  <c r="M558" i="1"/>
  <c r="V557" i="1"/>
  <c r="S557" i="1"/>
  <c r="Y557" i="1" s="1"/>
  <c r="M557" i="1"/>
  <c r="AA556" i="1"/>
  <c r="Z556" i="1"/>
  <c r="Y556" i="1"/>
  <c r="W556" i="1"/>
  <c r="V556" i="1"/>
  <c r="U556" i="1"/>
  <c r="R556" i="1"/>
  <c r="X556" i="1" s="1"/>
  <c r="O556" i="1"/>
  <c r="L556" i="1"/>
  <c r="Y555" i="1"/>
  <c r="V555" i="1"/>
  <c r="S555" i="1"/>
  <c r="M555" i="1"/>
  <c r="V554" i="1"/>
  <c r="S554" i="1"/>
  <c r="Y554" i="1" s="1"/>
  <c r="M554" i="1"/>
  <c r="AA553" i="1"/>
  <c r="Z553" i="1"/>
  <c r="Y553" i="1"/>
  <c r="X553" i="1"/>
  <c r="W553" i="1"/>
  <c r="V553" i="1"/>
  <c r="U553" i="1"/>
  <c r="R553" i="1"/>
  <c r="O553" i="1"/>
  <c r="L553" i="1"/>
  <c r="V552" i="1"/>
  <c r="S552" i="1"/>
  <c r="Y552" i="1" s="1"/>
  <c r="M552" i="1"/>
  <c r="Y551" i="1"/>
  <c r="V551" i="1"/>
  <c r="S551" i="1"/>
  <c r="M551" i="1"/>
  <c r="Z550" i="1"/>
  <c r="Y550" i="1"/>
  <c r="AA550" i="1" s="1"/>
  <c r="X550" i="1"/>
  <c r="W550" i="1"/>
  <c r="V550" i="1"/>
  <c r="U550" i="1"/>
  <c r="R550" i="1"/>
  <c r="O550" i="1"/>
  <c r="L550" i="1"/>
  <c r="V549" i="1"/>
  <c r="S549" i="1"/>
  <c r="Y549" i="1" s="1"/>
  <c r="M549" i="1"/>
  <c r="Y548" i="1"/>
  <c r="V548" i="1"/>
  <c r="S548" i="1"/>
  <c r="M548" i="1"/>
  <c r="Z547" i="1"/>
  <c r="Y547" i="1"/>
  <c r="AA547" i="1" s="1"/>
  <c r="W547" i="1"/>
  <c r="V547" i="1"/>
  <c r="U547" i="1"/>
  <c r="R547" i="1"/>
  <c r="X547" i="1" s="1"/>
  <c r="O547" i="1"/>
  <c r="L547" i="1"/>
  <c r="Y546" i="1"/>
  <c r="V546" i="1"/>
  <c r="S546" i="1"/>
  <c r="M546" i="1"/>
  <c r="V545" i="1"/>
  <c r="S545" i="1"/>
  <c r="Y545" i="1" s="1"/>
  <c r="M545" i="1"/>
  <c r="AA544" i="1"/>
  <c r="Z544" i="1"/>
  <c r="Y544" i="1"/>
  <c r="W544" i="1"/>
  <c r="V544" i="1"/>
  <c r="U544" i="1"/>
  <c r="R544" i="1"/>
  <c r="X544" i="1" s="1"/>
  <c r="O544" i="1"/>
  <c r="L544" i="1"/>
  <c r="Y543" i="1"/>
  <c r="V543" i="1"/>
  <c r="S543" i="1"/>
  <c r="M543" i="1"/>
  <c r="V542" i="1"/>
  <c r="S542" i="1"/>
  <c r="Y542" i="1" s="1"/>
  <c r="M542" i="1"/>
  <c r="AA541" i="1"/>
  <c r="Z541" i="1"/>
  <c r="Y541" i="1"/>
  <c r="X541" i="1"/>
  <c r="W541" i="1"/>
  <c r="V541" i="1"/>
  <c r="U541" i="1"/>
  <c r="R541" i="1"/>
  <c r="O541" i="1"/>
  <c r="L541" i="1"/>
  <c r="V540" i="1"/>
  <c r="S540" i="1"/>
  <c r="Y540" i="1" s="1"/>
  <c r="M540" i="1"/>
  <c r="Y539" i="1"/>
  <c r="V539" i="1"/>
  <c r="S539" i="1"/>
  <c r="M539" i="1"/>
  <c r="Z538" i="1"/>
  <c r="Y538" i="1"/>
  <c r="AA538" i="1" s="1"/>
  <c r="X538" i="1"/>
  <c r="W538" i="1"/>
  <c r="V538" i="1"/>
  <c r="U538" i="1"/>
  <c r="R538" i="1"/>
  <c r="O538" i="1"/>
  <c r="L538" i="1"/>
  <c r="V537" i="1"/>
  <c r="S537" i="1"/>
  <c r="Y537" i="1" s="1"/>
  <c r="M537" i="1"/>
  <c r="Y536" i="1"/>
  <c r="V536" i="1"/>
  <c r="S536" i="1"/>
  <c r="M536" i="1"/>
  <c r="Z535" i="1"/>
  <c r="Y535" i="1"/>
  <c r="AA535" i="1" s="1"/>
  <c r="W535" i="1"/>
  <c r="V535" i="1"/>
  <c r="U535" i="1"/>
  <c r="R535" i="1"/>
  <c r="X535" i="1" s="1"/>
  <c r="O535" i="1"/>
  <c r="L535" i="1"/>
  <c r="Y534" i="1"/>
  <c r="V534" i="1"/>
  <c r="S534" i="1"/>
  <c r="M534" i="1"/>
  <c r="V533" i="1"/>
  <c r="S533" i="1"/>
  <c r="Y533" i="1" s="1"/>
  <c r="M533" i="1"/>
  <c r="AA532" i="1"/>
  <c r="Z532" i="1"/>
  <c r="Y532" i="1"/>
  <c r="W532" i="1"/>
  <c r="V532" i="1"/>
  <c r="U532" i="1"/>
  <c r="R532" i="1"/>
  <c r="X532" i="1" s="1"/>
  <c r="O532" i="1"/>
  <c r="L532" i="1"/>
  <c r="Y531" i="1"/>
  <c r="V531" i="1"/>
  <c r="S531" i="1"/>
  <c r="M531" i="1"/>
  <c r="Z530" i="1"/>
  <c r="Y530" i="1"/>
  <c r="AA530" i="1" s="1"/>
  <c r="W530" i="1"/>
  <c r="V530" i="1"/>
  <c r="U530" i="1"/>
  <c r="R530" i="1"/>
  <c r="X530" i="1" s="1"/>
  <c r="O530" i="1"/>
  <c r="L530" i="1"/>
  <c r="Y529" i="1"/>
  <c r="V529" i="1"/>
  <c r="S529" i="1"/>
  <c r="M529" i="1"/>
  <c r="Z528" i="1"/>
  <c r="Y528" i="1"/>
  <c r="AA528" i="1" s="1"/>
  <c r="X528" i="1"/>
  <c r="W528" i="1"/>
  <c r="V528" i="1"/>
  <c r="U528" i="1"/>
  <c r="R528" i="1"/>
  <c r="O528" i="1"/>
  <c r="L528" i="1"/>
  <c r="V527" i="1"/>
  <c r="S527" i="1"/>
  <c r="Y527" i="1" s="1"/>
  <c r="M527" i="1"/>
  <c r="AA526" i="1"/>
  <c r="Z526" i="1"/>
  <c r="Y526" i="1"/>
  <c r="X526" i="1"/>
  <c r="W526" i="1"/>
  <c r="V526" i="1"/>
  <c r="U526" i="1"/>
  <c r="R526" i="1"/>
  <c r="O526" i="1"/>
  <c r="L526" i="1"/>
  <c r="V525" i="1"/>
  <c r="S525" i="1"/>
  <c r="Y525" i="1" s="1"/>
  <c r="M525" i="1"/>
  <c r="AA524" i="1"/>
  <c r="Z524" i="1"/>
  <c r="Y524" i="1"/>
  <c r="W524" i="1"/>
  <c r="V524" i="1"/>
  <c r="U524" i="1"/>
  <c r="R524" i="1"/>
  <c r="X524" i="1" s="1"/>
  <c r="O524" i="1"/>
  <c r="L524" i="1"/>
  <c r="Y523" i="1"/>
  <c r="V523" i="1"/>
  <c r="S523" i="1"/>
  <c r="M523" i="1"/>
  <c r="Z522" i="1"/>
  <c r="Y522" i="1"/>
  <c r="AA522" i="1" s="1"/>
  <c r="W522" i="1"/>
  <c r="V522" i="1"/>
  <c r="U522" i="1"/>
  <c r="R522" i="1"/>
  <c r="X522" i="1" s="1"/>
  <c r="O522" i="1"/>
  <c r="L522" i="1"/>
  <c r="Y521" i="1"/>
  <c r="V521" i="1"/>
  <c r="S521" i="1"/>
  <c r="M521" i="1"/>
  <c r="Z520" i="1"/>
  <c r="Y520" i="1"/>
  <c r="AA520" i="1" s="1"/>
  <c r="X520" i="1"/>
  <c r="W520" i="1"/>
  <c r="V520" i="1"/>
  <c r="U520" i="1"/>
  <c r="R520" i="1"/>
  <c r="O520" i="1"/>
  <c r="L520" i="1"/>
  <c r="V519" i="1"/>
  <c r="S519" i="1"/>
  <c r="Y519" i="1" s="1"/>
  <c r="M519" i="1"/>
  <c r="AA518" i="1"/>
  <c r="Z518" i="1"/>
  <c r="Y518" i="1"/>
  <c r="X518" i="1"/>
  <c r="W518" i="1"/>
  <c r="V518" i="1"/>
  <c r="U518" i="1"/>
  <c r="R518" i="1"/>
  <c r="O518" i="1"/>
  <c r="L518" i="1"/>
  <c r="V517" i="1"/>
  <c r="S517" i="1"/>
  <c r="Y517" i="1" s="1"/>
  <c r="M517" i="1"/>
  <c r="AA516" i="1"/>
  <c r="Z516" i="1"/>
  <c r="Y516" i="1"/>
  <c r="W516" i="1"/>
  <c r="V516" i="1"/>
  <c r="U516" i="1"/>
  <c r="R516" i="1"/>
  <c r="X516" i="1" s="1"/>
  <c r="O516" i="1"/>
  <c r="L516" i="1"/>
  <c r="Y515" i="1"/>
  <c r="V515" i="1"/>
  <c r="S515" i="1"/>
  <c r="M515" i="1"/>
  <c r="Z514" i="1"/>
  <c r="Y514" i="1"/>
  <c r="AA514" i="1" s="1"/>
  <c r="W514" i="1"/>
  <c r="V514" i="1"/>
  <c r="U514" i="1"/>
  <c r="R514" i="1"/>
  <c r="X514" i="1" s="1"/>
  <c r="O514" i="1"/>
  <c r="L514" i="1"/>
  <c r="Y513" i="1"/>
  <c r="V513" i="1"/>
  <c r="S513" i="1"/>
  <c r="M513" i="1"/>
  <c r="Z512" i="1"/>
  <c r="Y512" i="1"/>
  <c r="AA512" i="1" s="1"/>
  <c r="X512" i="1"/>
  <c r="W512" i="1"/>
  <c r="V512" i="1"/>
  <c r="U512" i="1"/>
  <c r="R512" i="1"/>
  <c r="O512" i="1"/>
  <c r="L512" i="1"/>
  <c r="V511" i="1"/>
  <c r="S511" i="1"/>
  <c r="Y511" i="1" s="1"/>
  <c r="M511" i="1"/>
  <c r="AA510" i="1"/>
  <c r="Z510" i="1"/>
  <c r="Y510" i="1"/>
  <c r="X510" i="1"/>
  <c r="W510" i="1"/>
  <c r="V510" i="1"/>
  <c r="U510" i="1"/>
  <c r="R510" i="1"/>
  <c r="O510" i="1"/>
  <c r="L510" i="1"/>
  <c r="V509" i="1"/>
  <c r="S509" i="1"/>
  <c r="Y509" i="1" s="1"/>
  <c r="M509" i="1"/>
  <c r="AA508" i="1"/>
  <c r="Z508" i="1"/>
  <c r="Y508" i="1"/>
  <c r="W508" i="1"/>
  <c r="V508" i="1"/>
  <c r="U508" i="1"/>
  <c r="R508" i="1"/>
  <c r="X508" i="1" s="1"/>
  <c r="O508" i="1"/>
  <c r="L508" i="1"/>
  <c r="Y507" i="1"/>
  <c r="V507" i="1"/>
  <c r="S507" i="1"/>
  <c r="M507" i="1"/>
  <c r="Z506" i="1"/>
  <c r="Y506" i="1"/>
  <c r="AA506" i="1" s="1"/>
  <c r="W506" i="1"/>
  <c r="V506" i="1"/>
  <c r="U506" i="1"/>
  <c r="R506" i="1"/>
  <c r="X506" i="1" s="1"/>
  <c r="O506" i="1"/>
  <c r="L506" i="1"/>
  <c r="Y505" i="1"/>
  <c r="V505" i="1"/>
  <c r="S505" i="1"/>
  <c r="M505" i="1"/>
  <c r="Z504" i="1"/>
  <c r="Y504" i="1"/>
  <c r="AA504" i="1" s="1"/>
  <c r="X504" i="1"/>
  <c r="W504" i="1"/>
  <c r="V504" i="1"/>
  <c r="U504" i="1"/>
  <c r="R504" i="1"/>
  <c r="O504" i="1"/>
  <c r="L504" i="1"/>
  <c r="V503" i="1"/>
  <c r="S503" i="1"/>
  <c r="Y503" i="1" s="1"/>
  <c r="M503" i="1"/>
  <c r="AA502" i="1"/>
  <c r="Z502" i="1"/>
  <c r="Y502" i="1"/>
  <c r="X502" i="1"/>
  <c r="W502" i="1"/>
  <c r="V502" i="1"/>
  <c r="U502" i="1"/>
  <c r="R502" i="1"/>
  <c r="O502" i="1"/>
  <c r="L502" i="1"/>
  <c r="V501" i="1"/>
  <c r="S501" i="1"/>
  <c r="Y501" i="1" s="1"/>
  <c r="M501" i="1"/>
  <c r="AA500" i="1"/>
  <c r="Z500" i="1"/>
  <c r="Y500" i="1"/>
  <c r="W500" i="1"/>
  <c r="V500" i="1"/>
  <c r="U500" i="1"/>
  <c r="R500" i="1"/>
  <c r="X500" i="1" s="1"/>
  <c r="O500" i="1"/>
  <c r="L500" i="1"/>
  <c r="Y499" i="1"/>
  <c r="V499" i="1"/>
  <c r="S499" i="1"/>
  <c r="M499" i="1"/>
  <c r="Z498" i="1"/>
  <c r="Y498" i="1"/>
  <c r="AA498" i="1" s="1"/>
  <c r="W498" i="1"/>
  <c r="V498" i="1"/>
  <c r="U498" i="1"/>
  <c r="R498" i="1"/>
  <c r="X498" i="1" s="1"/>
  <c r="O498" i="1"/>
  <c r="L498" i="1"/>
  <c r="Y497" i="1"/>
  <c r="V497" i="1"/>
  <c r="S497" i="1"/>
  <c r="M497" i="1"/>
  <c r="Z496" i="1"/>
  <c r="Y496" i="1"/>
  <c r="AA496" i="1" s="1"/>
  <c r="X496" i="1"/>
  <c r="W496" i="1"/>
  <c r="V496" i="1"/>
  <c r="U496" i="1"/>
  <c r="R496" i="1"/>
  <c r="O496" i="1"/>
  <c r="L496" i="1"/>
  <c r="V495" i="1"/>
  <c r="S495" i="1"/>
  <c r="Y495" i="1" s="1"/>
  <c r="M495" i="1"/>
  <c r="AA494" i="1"/>
  <c r="Z494" i="1"/>
  <c r="Y494" i="1"/>
  <c r="X494" i="1"/>
  <c r="W494" i="1"/>
  <c r="V494" i="1"/>
  <c r="U494" i="1"/>
  <c r="R494" i="1"/>
  <c r="O494" i="1"/>
  <c r="L494" i="1"/>
  <c r="V493" i="1"/>
  <c r="S493" i="1"/>
  <c r="Y493" i="1" s="1"/>
  <c r="M493" i="1"/>
  <c r="AA492" i="1"/>
  <c r="Z492" i="1"/>
  <c r="Y492" i="1"/>
  <c r="W492" i="1"/>
  <c r="V492" i="1"/>
  <c r="U492" i="1"/>
  <c r="R492" i="1"/>
  <c r="X492" i="1" s="1"/>
  <c r="O492" i="1"/>
  <c r="L492" i="1"/>
  <c r="T491" i="1"/>
  <c r="N491" i="1"/>
  <c r="V490" i="1"/>
  <c r="S490" i="1"/>
  <c r="Y490" i="1" s="1"/>
  <c r="M490" i="1"/>
  <c r="Y489" i="1"/>
  <c r="V489" i="1"/>
  <c r="S489" i="1"/>
  <c r="M489" i="1"/>
  <c r="V488" i="1"/>
  <c r="S488" i="1"/>
  <c r="P487" i="1" s="1"/>
  <c r="V487" i="1" s="1"/>
  <c r="M488" i="1"/>
  <c r="Z487" i="1"/>
  <c r="W487" i="1"/>
  <c r="T487" i="1"/>
  <c r="S487" i="1"/>
  <c r="R487" i="1"/>
  <c r="X487" i="1" s="1"/>
  <c r="N487" i="1"/>
  <c r="J487" i="1"/>
  <c r="M487" i="1" s="1"/>
  <c r="O487" i="1" s="1"/>
  <c r="Y486" i="1"/>
  <c r="V486" i="1"/>
  <c r="S486" i="1"/>
  <c r="M486" i="1"/>
  <c r="V485" i="1"/>
  <c r="S485" i="1"/>
  <c r="Y485" i="1" s="1"/>
  <c r="M485" i="1"/>
  <c r="J483" i="1" s="1"/>
  <c r="L483" i="1" s="1"/>
  <c r="Y484" i="1"/>
  <c r="V484" i="1"/>
  <c r="S484" i="1"/>
  <c r="M484" i="1"/>
  <c r="W483" i="1"/>
  <c r="V483" i="1"/>
  <c r="T483" i="1"/>
  <c r="Z483" i="1" s="1"/>
  <c r="P483" i="1"/>
  <c r="S483" i="1" s="1"/>
  <c r="N483" i="1"/>
  <c r="M483" i="1"/>
  <c r="V482" i="1"/>
  <c r="S482" i="1"/>
  <c r="Y482" i="1" s="1"/>
  <c r="M482" i="1"/>
  <c r="Y481" i="1"/>
  <c r="V481" i="1"/>
  <c r="S481" i="1"/>
  <c r="M481" i="1"/>
  <c r="V480" i="1"/>
  <c r="S480" i="1"/>
  <c r="P479" i="1" s="1"/>
  <c r="V479" i="1" s="1"/>
  <c r="M480" i="1"/>
  <c r="Z479" i="1"/>
  <c r="W479" i="1"/>
  <c r="T479" i="1"/>
  <c r="N479" i="1"/>
  <c r="J479" i="1"/>
  <c r="M479" i="1" s="1"/>
  <c r="O479" i="1" s="1"/>
  <c r="Y478" i="1"/>
  <c r="V478" i="1"/>
  <c r="S478" i="1"/>
  <c r="M478" i="1"/>
  <c r="V477" i="1"/>
  <c r="S477" i="1"/>
  <c r="P476" i="1" s="1"/>
  <c r="V476" i="1" s="1"/>
  <c r="M477" i="1"/>
  <c r="W476" i="1"/>
  <c r="T476" i="1"/>
  <c r="Z476" i="1" s="1"/>
  <c r="R476" i="1"/>
  <c r="X476" i="1" s="1"/>
  <c r="N476" i="1"/>
  <c r="J476" i="1"/>
  <c r="Y475" i="1"/>
  <c r="V475" i="1"/>
  <c r="S475" i="1"/>
  <c r="M475" i="1"/>
  <c r="V474" i="1"/>
  <c r="S474" i="1"/>
  <c r="P473" i="1" s="1"/>
  <c r="V473" i="1" s="1"/>
  <c r="M474" i="1"/>
  <c r="W473" i="1"/>
  <c r="T473" i="1"/>
  <c r="Z473" i="1" s="1"/>
  <c r="S473" i="1"/>
  <c r="N473" i="1"/>
  <c r="J473" i="1"/>
  <c r="Y472" i="1"/>
  <c r="V472" i="1"/>
  <c r="S472" i="1"/>
  <c r="M472" i="1"/>
  <c r="V471" i="1"/>
  <c r="S471" i="1"/>
  <c r="P470" i="1" s="1"/>
  <c r="V470" i="1" s="1"/>
  <c r="M471" i="1"/>
  <c r="W470" i="1"/>
  <c r="T470" i="1"/>
  <c r="S470" i="1"/>
  <c r="R470" i="1"/>
  <c r="X470" i="1" s="1"/>
  <c r="N470" i="1"/>
  <c r="J470" i="1"/>
  <c r="Y469" i="1"/>
  <c r="V469" i="1"/>
  <c r="S469" i="1"/>
  <c r="M469" i="1"/>
  <c r="V468" i="1"/>
  <c r="S468" i="1"/>
  <c r="Y468" i="1" s="1"/>
  <c r="M468" i="1"/>
  <c r="J466" i="1" s="1"/>
  <c r="L466" i="1" s="1"/>
  <c r="Y467" i="1"/>
  <c r="V467" i="1"/>
  <c r="S467" i="1"/>
  <c r="M467" i="1"/>
  <c r="W466" i="1"/>
  <c r="V466" i="1"/>
  <c r="T466" i="1"/>
  <c r="Z466" i="1" s="1"/>
  <c r="P466" i="1"/>
  <c r="S466" i="1" s="1"/>
  <c r="N466" i="1"/>
  <c r="M466" i="1"/>
  <c r="O466" i="1" s="1"/>
  <c r="V465" i="1"/>
  <c r="S465" i="1"/>
  <c r="Y465" i="1" s="1"/>
  <c r="M465" i="1"/>
  <c r="J463" i="1" s="1"/>
  <c r="Y464" i="1"/>
  <c r="V464" i="1"/>
  <c r="S464" i="1"/>
  <c r="M464" i="1"/>
  <c r="W463" i="1"/>
  <c r="V463" i="1"/>
  <c r="T463" i="1"/>
  <c r="Z463" i="1" s="1"/>
  <c r="P463" i="1"/>
  <c r="S463" i="1" s="1"/>
  <c r="N463" i="1"/>
  <c r="V462" i="1"/>
  <c r="S462" i="1"/>
  <c r="Y462" i="1" s="1"/>
  <c r="M462" i="1"/>
  <c r="Y461" i="1"/>
  <c r="V461" i="1"/>
  <c r="S461" i="1"/>
  <c r="M461" i="1"/>
  <c r="V460" i="1"/>
  <c r="S460" i="1"/>
  <c r="M460" i="1"/>
  <c r="J459" i="1" s="1"/>
  <c r="Z459" i="1"/>
  <c r="W459" i="1"/>
  <c r="T459" i="1"/>
  <c r="N459" i="1"/>
  <c r="Y458" i="1"/>
  <c r="V458" i="1"/>
  <c r="S458" i="1"/>
  <c r="M458" i="1"/>
  <c r="V457" i="1"/>
  <c r="S457" i="1"/>
  <c r="Y457" i="1" s="1"/>
  <c r="M457" i="1"/>
  <c r="AA456" i="1"/>
  <c r="Z456" i="1"/>
  <c r="Y456" i="1"/>
  <c r="W456" i="1"/>
  <c r="V456" i="1"/>
  <c r="U456" i="1"/>
  <c r="R456" i="1"/>
  <c r="X456" i="1" s="1"/>
  <c r="O456" i="1"/>
  <c r="L456" i="1"/>
  <c r="Y455" i="1"/>
  <c r="V455" i="1"/>
  <c r="S455" i="1"/>
  <c r="M455" i="1"/>
  <c r="V454" i="1"/>
  <c r="S454" i="1"/>
  <c r="Y454" i="1" s="1"/>
  <c r="M454" i="1"/>
  <c r="AA453" i="1"/>
  <c r="Z453" i="1"/>
  <c r="Y453" i="1"/>
  <c r="W453" i="1"/>
  <c r="V453" i="1"/>
  <c r="U453" i="1"/>
  <c r="R453" i="1"/>
  <c r="X453" i="1" s="1"/>
  <c r="O453" i="1"/>
  <c r="L453" i="1"/>
  <c r="V452" i="1"/>
  <c r="S452" i="1"/>
  <c r="Y452" i="1" s="1"/>
  <c r="M452" i="1"/>
  <c r="J450" i="1" s="1"/>
  <c r="L450" i="1" s="1"/>
  <c r="Y451" i="1"/>
  <c r="V451" i="1"/>
  <c r="S451" i="1"/>
  <c r="M451" i="1"/>
  <c r="W450" i="1"/>
  <c r="T450" i="1"/>
  <c r="Z450" i="1" s="1"/>
  <c r="P450" i="1"/>
  <c r="N450" i="1"/>
  <c r="N449" i="1" s="1"/>
  <c r="N448" i="1" s="1"/>
  <c r="V447" i="1"/>
  <c r="S447" i="1"/>
  <c r="P446" i="1" s="1"/>
  <c r="M447" i="1"/>
  <c r="W446" i="1"/>
  <c r="V446" i="1"/>
  <c r="T446" i="1"/>
  <c r="N446" i="1"/>
  <c r="N441" i="1" s="1"/>
  <c r="J446" i="1"/>
  <c r="M446" i="1" s="1"/>
  <c r="Y445" i="1"/>
  <c r="V445" i="1"/>
  <c r="S445" i="1"/>
  <c r="M445" i="1"/>
  <c r="Z444" i="1"/>
  <c r="Y444" i="1"/>
  <c r="AA444" i="1" s="1"/>
  <c r="X444" i="1"/>
  <c r="W444" i="1"/>
  <c r="V444" i="1"/>
  <c r="U444" i="1"/>
  <c r="R444" i="1"/>
  <c r="O444" i="1"/>
  <c r="L444" i="1"/>
  <c r="Y443" i="1"/>
  <c r="V443" i="1"/>
  <c r="S443" i="1"/>
  <c r="M443" i="1"/>
  <c r="Z442" i="1"/>
  <c r="Y442" i="1"/>
  <c r="AA442" i="1" s="1"/>
  <c r="X442" i="1"/>
  <c r="W442" i="1"/>
  <c r="V442" i="1"/>
  <c r="U442" i="1"/>
  <c r="R442" i="1"/>
  <c r="O442" i="1"/>
  <c r="L442" i="1"/>
  <c r="V440" i="1"/>
  <c r="S440" i="1"/>
  <c r="Y440" i="1" s="1"/>
  <c r="M440" i="1"/>
  <c r="Y439" i="1"/>
  <c r="V439" i="1"/>
  <c r="S439" i="1"/>
  <c r="M439" i="1"/>
  <c r="V438" i="1"/>
  <c r="S438" i="1"/>
  <c r="Y438" i="1" s="1"/>
  <c r="M438" i="1"/>
  <c r="Y437" i="1"/>
  <c r="V437" i="1"/>
  <c r="S437" i="1"/>
  <c r="M437" i="1"/>
  <c r="J436" i="1" s="1"/>
  <c r="Z436" i="1"/>
  <c r="W436" i="1"/>
  <c r="T436" i="1"/>
  <c r="P436" i="1"/>
  <c r="N436" i="1"/>
  <c r="V435" i="1"/>
  <c r="S435" i="1"/>
  <c r="Y435" i="1" s="1"/>
  <c r="M435" i="1"/>
  <c r="Y434" i="1"/>
  <c r="V434" i="1"/>
  <c r="S434" i="1"/>
  <c r="M434" i="1"/>
  <c r="V433" i="1"/>
  <c r="S433" i="1"/>
  <c r="Y433" i="1" s="1"/>
  <c r="M433" i="1"/>
  <c r="Y432" i="1"/>
  <c r="V432" i="1"/>
  <c r="S432" i="1"/>
  <c r="M432" i="1"/>
  <c r="W431" i="1"/>
  <c r="T431" i="1"/>
  <c r="Z431" i="1" s="1"/>
  <c r="N431" i="1"/>
  <c r="J431" i="1"/>
  <c r="V430" i="1"/>
  <c r="S430" i="1"/>
  <c r="Y430" i="1" s="1"/>
  <c r="M430" i="1"/>
  <c r="Y429" i="1"/>
  <c r="V429" i="1"/>
  <c r="S429" i="1"/>
  <c r="M429" i="1"/>
  <c r="V428" i="1"/>
  <c r="S428" i="1"/>
  <c r="M428" i="1"/>
  <c r="Y427" i="1"/>
  <c r="V427" i="1"/>
  <c r="S427" i="1"/>
  <c r="M427" i="1"/>
  <c r="J426" i="1" s="1"/>
  <c r="Z426" i="1"/>
  <c r="W426" i="1"/>
  <c r="T426" i="1"/>
  <c r="N426" i="1"/>
  <c r="V425" i="1"/>
  <c r="S425" i="1"/>
  <c r="Y425" i="1" s="1"/>
  <c r="M425" i="1"/>
  <c r="Y424" i="1"/>
  <c r="V424" i="1"/>
  <c r="S424" i="1"/>
  <c r="M424" i="1"/>
  <c r="V423" i="1"/>
  <c r="S423" i="1"/>
  <c r="Y423" i="1" s="1"/>
  <c r="M423" i="1"/>
  <c r="Y422" i="1"/>
  <c r="V422" i="1"/>
  <c r="S422" i="1"/>
  <c r="M422" i="1"/>
  <c r="W421" i="1"/>
  <c r="T421" i="1"/>
  <c r="Z421" i="1" s="1"/>
  <c r="N421" i="1"/>
  <c r="J421" i="1"/>
  <c r="Y420" i="1"/>
  <c r="V420" i="1"/>
  <c r="S420" i="1"/>
  <c r="M420" i="1"/>
  <c r="Y419" i="1"/>
  <c r="V419" i="1"/>
  <c r="S419" i="1"/>
  <c r="M419" i="1"/>
  <c r="Y418" i="1"/>
  <c r="V418" i="1"/>
  <c r="S418" i="1"/>
  <c r="P416" i="1" s="1"/>
  <c r="M418" i="1"/>
  <c r="Y417" i="1"/>
  <c r="V417" i="1"/>
  <c r="S417" i="1"/>
  <c r="M417" i="1"/>
  <c r="J416" i="1" s="1"/>
  <c r="Z416" i="1"/>
  <c r="W416" i="1"/>
  <c r="T416" i="1"/>
  <c r="N416" i="1"/>
  <c r="V415" i="1"/>
  <c r="S415" i="1"/>
  <c r="Y415" i="1" s="1"/>
  <c r="M415" i="1"/>
  <c r="Y414" i="1"/>
  <c r="V414" i="1"/>
  <c r="S414" i="1"/>
  <c r="M414" i="1"/>
  <c r="V413" i="1"/>
  <c r="S413" i="1"/>
  <c r="Y413" i="1" s="1"/>
  <c r="M413" i="1"/>
  <c r="J411" i="1" s="1"/>
  <c r="V412" i="1"/>
  <c r="S412" i="1"/>
  <c r="P411" i="1" s="1"/>
  <c r="M412" i="1"/>
  <c r="W411" i="1"/>
  <c r="V411" i="1"/>
  <c r="T411" i="1"/>
  <c r="Z411" i="1" s="1"/>
  <c r="N411" i="1"/>
  <c r="M411" i="1"/>
  <c r="O411" i="1" s="1"/>
  <c r="L411" i="1"/>
  <c r="V410" i="1"/>
  <c r="S410" i="1"/>
  <c r="Y410" i="1" s="1"/>
  <c r="M410" i="1"/>
  <c r="Y409" i="1"/>
  <c r="V409" i="1"/>
  <c r="S409" i="1"/>
  <c r="M409" i="1"/>
  <c r="V408" i="1"/>
  <c r="S408" i="1"/>
  <c r="Y408" i="1" s="1"/>
  <c r="M408" i="1"/>
  <c r="Y407" i="1"/>
  <c r="V407" i="1"/>
  <c r="S407" i="1"/>
  <c r="M407" i="1"/>
  <c r="Z406" i="1"/>
  <c r="Y406" i="1"/>
  <c r="AA406" i="1" s="1"/>
  <c r="X406" i="1"/>
  <c r="W406" i="1"/>
  <c r="V406" i="1"/>
  <c r="U406" i="1"/>
  <c r="R406" i="1"/>
  <c r="O406" i="1"/>
  <c r="L406" i="1"/>
  <c r="V405" i="1"/>
  <c r="S405" i="1"/>
  <c r="Y405" i="1" s="1"/>
  <c r="M405" i="1"/>
  <c r="Y404" i="1"/>
  <c r="V404" i="1"/>
  <c r="S404" i="1"/>
  <c r="M404" i="1"/>
  <c r="V403" i="1"/>
  <c r="S403" i="1"/>
  <c r="Y403" i="1" s="1"/>
  <c r="M403" i="1"/>
  <c r="Y402" i="1"/>
  <c r="V402" i="1"/>
  <c r="S402" i="1"/>
  <c r="M402" i="1"/>
  <c r="Z401" i="1"/>
  <c r="Y401" i="1"/>
  <c r="AA401" i="1" s="1"/>
  <c r="X401" i="1"/>
  <c r="W401" i="1"/>
  <c r="V401" i="1"/>
  <c r="U401" i="1"/>
  <c r="R401" i="1"/>
  <c r="O401" i="1"/>
  <c r="L401" i="1"/>
  <c r="Y400" i="1"/>
  <c r="V400" i="1"/>
  <c r="S400" i="1"/>
  <c r="M400" i="1"/>
  <c r="V399" i="1"/>
  <c r="S399" i="1"/>
  <c r="Y399" i="1" s="1"/>
  <c r="M399" i="1"/>
  <c r="V398" i="1"/>
  <c r="S398" i="1"/>
  <c r="Y398" i="1" s="1"/>
  <c r="M398" i="1"/>
  <c r="V397" i="1"/>
  <c r="S397" i="1"/>
  <c r="Y397" i="1" s="1"/>
  <c r="M397" i="1"/>
  <c r="Z396" i="1"/>
  <c r="Y396" i="1"/>
  <c r="AA396" i="1" s="1"/>
  <c r="W396" i="1"/>
  <c r="V396" i="1"/>
  <c r="U396" i="1"/>
  <c r="R396" i="1"/>
  <c r="X396" i="1" s="1"/>
  <c r="O396" i="1"/>
  <c r="L396" i="1"/>
  <c r="Y395" i="1"/>
  <c r="V395" i="1"/>
  <c r="S395" i="1"/>
  <c r="M395" i="1"/>
  <c r="V394" i="1"/>
  <c r="S394" i="1"/>
  <c r="Y394" i="1" s="1"/>
  <c r="M394" i="1"/>
  <c r="Y393" i="1"/>
  <c r="V393" i="1"/>
  <c r="S393" i="1"/>
  <c r="M393" i="1"/>
  <c r="V392" i="1"/>
  <c r="S392" i="1"/>
  <c r="Y392" i="1" s="1"/>
  <c r="M392" i="1"/>
  <c r="AA391" i="1"/>
  <c r="Z391" i="1"/>
  <c r="Y391" i="1"/>
  <c r="W391" i="1"/>
  <c r="V391" i="1"/>
  <c r="U391" i="1"/>
  <c r="R391" i="1"/>
  <c r="X391" i="1" s="1"/>
  <c r="O391" i="1"/>
  <c r="L391" i="1"/>
  <c r="V390" i="1"/>
  <c r="S390" i="1"/>
  <c r="Y390" i="1" s="1"/>
  <c r="M390" i="1"/>
  <c r="V389" i="1"/>
  <c r="S389" i="1"/>
  <c r="Y389" i="1" s="1"/>
  <c r="M389" i="1"/>
  <c r="V388" i="1"/>
  <c r="S388" i="1"/>
  <c r="Y388" i="1" s="1"/>
  <c r="M388" i="1"/>
  <c r="Y387" i="1"/>
  <c r="V387" i="1"/>
  <c r="S387" i="1"/>
  <c r="M387" i="1"/>
  <c r="Z386" i="1"/>
  <c r="Y386" i="1"/>
  <c r="AA386" i="1" s="1"/>
  <c r="X386" i="1"/>
  <c r="W386" i="1"/>
  <c r="V386" i="1"/>
  <c r="U386" i="1"/>
  <c r="R386" i="1"/>
  <c r="O386" i="1"/>
  <c r="L386" i="1"/>
  <c r="V385" i="1"/>
  <c r="S385" i="1"/>
  <c r="Y385" i="1" s="1"/>
  <c r="M385" i="1"/>
  <c r="Y384" i="1"/>
  <c r="V384" i="1"/>
  <c r="S384" i="1"/>
  <c r="M384" i="1"/>
  <c r="V383" i="1"/>
  <c r="S383" i="1"/>
  <c r="Y383" i="1" s="1"/>
  <c r="M383" i="1"/>
  <c r="Y382" i="1"/>
  <c r="V382" i="1"/>
  <c r="S382" i="1"/>
  <c r="M382" i="1"/>
  <c r="Z381" i="1"/>
  <c r="Y381" i="1"/>
  <c r="AA381" i="1" s="1"/>
  <c r="X381" i="1"/>
  <c r="W381" i="1"/>
  <c r="V381" i="1"/>
  <c r="U381" i="1"/>
  <c r="R381" i="1"/>
  <c r="O381" i="1"/>
  <c r="L381" i="1"/>
  <c r="Y380" i="1"/>
  <c r="V380" i="1"/>
  <c r="S380" i="1"/>
  <c r="M380" i="1"/>
  <c r="V379" i="1"/>
  <c r="S379" i="1"/>
  <c r="Y379" i="1" s="1"/>
  <c r="M379" i="1"/>
  <c r="V378" i="1"/>
  <c r="S378" i="1"/>
  <c r="Y378" i="1" s="1"/>
  <c r="M378" i="1"/>
  <c r="V377" i="1"/>
  <c r="S377" i="1"/>
  <c r="Y377" i="1" s="1"/>
  <c r="M377" i="1"/>
  <c r="Z376" i="1"/>
  <c r="Y376" i="1"/>
  <c r="AA376" i="1" s="1"/>
  <c r="W376" i="1"/>
  <c r="V376" i="1"/>
  <c r="U376" i="1"/>
  <c r="R376" i="1"/>
  <c r="X376" i="1" s="1"/>
  <c r="O376" i="1"/>
  <c r="L376" i="1"/>
  <c r="Y375" i="1"/>
  <c r="V375" i="1"/>
  <c r="S375" i="1"/>
  <c r="M375" i="1"/>
  <c r="V374" i="1"/>
  <c r="S374" i="1"/>
  <c r="Y374" i="1" s="1"/>
  <c r="M374" i="1"/>
  <c r="Y373" i="1"/>
  <c r="V373" i="1"/>
  <c r="S373" i="1"/>
  <c r="M373" i="1"/>
  <c r="V372" i="1"/>
  <c r="S372" i="1"/>
  <c r="Y372" i="1" s="1"/>
  <c r="M372" i="1"/>
  <c r="AA371" i="1"/>
  <c r="Z371" i="1"/>
  <c r="Y371" i="1"/>
  <c r="W371" i="1"/>
  <c r="V371" i="1"/>
  <c r="U371" i="1"/>
  <c r="R371" i="1"/>
  <c r="X371" i="1" s="1"/>
  <c r="O371" i="1"/>
  <c r="L371" i="1"/>
  <c r="V370" i="1"/>
  <c r="S370" i="1"/>
  <c r="Y370" i="1" s="1"/>
  <c r="M370" i="1"/>
  <c r="Y369" i="1"/>
  <c r="V369" i="1"/>
  <c r="S369" i="1"/>
  <c r="M369" i="1"/>
  <c r="V368" i="1"/>
  <c r="S368" i="1"/>
  <c r="Y368" i="1" s="1"/>
  <c r="M368" i="1"/>
  <c r="Y367" i="1"/>
  <c r="V367" i="1"/>
  <c r="S367" i="1"/>
  <c r="M367" i="1"/>
  <c r="Z366" i="1"/>
  <c r="Y366" i="1"/>
  <c r="AA366" i="1" s="1"/>
  <c r="X366" i="1"/>
  <c r="W366" i="1"/>
  <c r="V366" i="1"/>
  <c r="U366" i="1"/>
  <c r="R366" i="1"/>
  <c r="O366" i="1"/>
  <c r="L366" i="1"/>
  <c r="V365" i="1"/>
  <c r="S365" i="1"/>
  <c r="Y365" i="1" s="1"/>
  <c r="M365" i="1"/>
  <c r="Y364" i="1"/>
  <c r="V364" i="1"/>
  <c r="S364" i="1"/>
  <c r="M364" i="1"/>
  <c r="V363" i="1"/>
  <c r="S363" i="1"/>
  <c r="Y363" i="1" s="1"/>
  <c r="M363" i="1"/>
  <c r="Y362" i="1"/>
  <c r="V362" i="1"/>
  <c r="S362" i="1"/>
  <c r="M362" i="1"/>
  <c r="Z361" i="1"/>
  <c r="Y361" i="1"/>
  <c r="AA361" i="1" s="1"/>
  <c r="X361" i="1"/>
  <c r="W361" i="1"/>
  <c r="V361" i="1"/>
  <c r="U361" i="1"/>
  <c r="R361" i="1"/>
  <c r="O361" i="1"/>
  <c r="L361" i="1"/>
  <c r="Y360" i="1"/>
  <c r="V360" i="1"/>
  <c r="S360" i="1"/>
  <c r="M360" i="1"/>
  <c r="V359" i="1"/>
  <c r="S359" i="1"/>
  <c r="Y359" i="1" s="1"/>
  <c r="M359" i="1"/>
  <c r="V358" i="1"/>
  <c r="S358" i="1"/>
  <c r="Y358" i="1" s="1"/>
  <c r="M358" i="1"/>
  <c r="V357" i="1"/>
  <c r="S357" i="1"/>
  <c r="Y357" i="1" s="1"/>
  <c r="M357" i="1"/>
  <c r="Z356" i="1"/>
  <c r="Y356" i="1"/>
  <c r="AA356" i="1" s="1"/>
  <c r="W356" i="1"/>
  <c r="V356" i="1"/>
  <c r="U356" i="1"/>
  <c r="R356" i="1"/>
  <c r="X356" i="1" s="1"/>
  <c r="O356" i="1"/>
  <c r="L356" i="1"/>
  <c r="Y355" i="1"/>
  <c r="V355" i="1"/>
  <c r="S355" i="1"/>
  <c r="M355" i="1"/>
  <c r="V354" i="1"/>
  <c r="S354" i="1"/>
  <c r="Y354" i="1" s="1"/>
  <c r="M354" i="1"/>
  <c r="Y353" i="1"/>
  <c r="V353" i="1"/>
  <c r="S353" i="1"/>
  <c r="M353" i="1"/>
  <c r="V352" i="1"/>
  <c r="S352" i="1"/>
  <c r="Y352" i="1" s="1"/>
  <c r="M352" i="1"/>
  <c r="AA351" i="1"/>
  <c r="Z351" i="1"/>
  <c r="Y351" i="1"/>
  <c r="W351" i="1"/>
  <c r="V351" i="1"/>
  <c r="U351" i="1"/>
  <c r="R351" i="1"/>
  <c r="X351" i="1" s="1"/>
  <c r="O351" i="1"/>
  <c r="L351" i="1"/>
  <c r="V350" i="1"/>
  <c r="S350" i="1"/>
  <c r="Y350" i="1" s="1"/>
  <c r="M350" i="1"/>
  <c r="V349" i="1"/>
  <c r="S349" i="1"/>
  <c r="Y349" i="1" s="1"/>
  <c r="M349" i="1"/>
  <c r="V348" i="1"/>
  <c r="S348" i="1"/>
  <c r="Y348" i="1" s="1"/>
  <c r="M348" i="1"/>
  <c r="Y347" i="1"/>
  <c r="V347" i="1"/>
  <c r="S347" i="1"/>
  <c r="M347" i="1"/>
  <c r="W346" i="1"/>
  <c r="T346" i="1"/>
  <c r="Z346" i="1" s="1"/>
  <c r="N346" i="1"/>
  <c r="V345" i="1"/>
  <c r="S345" i="1"/>
  <c r="Y345" i="1" s="1"/>
  <c r="M345" i="1"/>
  <c r="Y344" i="1"/>
  <c r="V344" i="1"/>
  <c r="S344" i="1"/>
  <c r="M344" i="1"/>
  <c r="V343" i="1"/>
  <c r="S343" i="1"/>
  <c r="Y343" i="1" s="1"/>
  <c r="M343" i="1"/>
  <c r="V342" i="1"/>
  <c r="S342" i="1"/>
  <c r="Y342" i="1" s="1"/>
  <c r="M342" i="1"/>
  <c r="Z341" i="1"/>
  <c r="Y341" i="1"/>
  <c r="AA341" i="1" s="1"/>
  <c r="X341" i="1"/>
  <c r="W341" i="1"/>
  <c r="V341" i="1"/>
  <c r="U341" i="1"/>
  <c r="R341" i="1"/>
  <c r="O341" i="1"/>
  <c r="L341" i="1"/>
  <c r="V340" i="1"/>
  <c r="S340" i="1"/>
  <c r="Y340" i="1" s="1"/>
  <c r="M340" i="1"/>
  <c r="Y339" i="1"/>
  <c r="V339" i="1"/>
  <c r="S339" i="1"/>
  <c r="M339" i="1"/>
  <c r="V338" i="1"/>
  <c r="S338" i="1"/>
  <c r="Y338" i="1" s="1"/>
  <c r="M338" i="1"/>
  <c r="Y337" i="1"/>
  <c r="V337" i="1"/>
  <c r="S337" i="1"/>
  <c r="M337" i="1"/>
  <c r="Z336" i="1"/>
  <c r="Y336" i="1"/>
  <c r="AA336" i="1" s="1"/>
  <c r="X336" i="1"/>
  <c r="W336" i="1"/>
  <c r="V336" i="1"/>
  <c r="U336" i="1"/>
  <c r="R336" i="1"/>
  <c r="O336" i="1"/>
  <c r="L336" i="1"/>
  <c r="V335" i="1"/>
  <c r="S335" i="1"/>
  <c r="Y335" i="1" s="1"/>
  <c r="M335" i="1"/>
  <c r="V334" i="1"/>
  <c r="S334" i="1"/>
  <c r="Y334" i="1" s="1"/>
  <c r="M334" i="1"/>
  <c r="V333" i="1"/>
  <c r="S333" i="1"/>
  <c r="M333" i="1"/>
  <c r="V332" i="1"/>
  <c r="S332" i="1"/>
  <c r="Y332" i="1" s="1"/>
  <c r="M332" i="1"/>
  <c r="J331" i="1" s="1"/>
  <c r="W331" i="1"/>
  <c r="T331" i="1"/>
  <c r="Z331" i="1" s="1"/>
  <c r="N331" i="1"/>
  <c r="V330" i="1"/>
  <c r="S330" i="1"/>
  <c r="Y330" i="1" s="1"/>
  <c r="M330" i="1"/>
  <c r="V329" i="1"/>
  <c r="S329" i="1"/>
  <c r="Y329" i="1" s="1"/>
  <c r="M329" i="1"/>
  <c r="V328" i="1"/>
  <c r="S328" i="1"/>
  <c r="M328" i="1"/>
  <c r="V327" i="1"/>
  <c r="S327" i="1"/>
  <c r="Y327" i="1" s="1"/>
  <c r="M327" i="1"/>
  <c r="J326" i="1" s="1"/>
  <c r="W326" i="1"/>
  <c r="T326" i="1"/>
  <c r="Z326" i="1" s="1"/>
  <c r="N326" i="1"/>
  <c r="V325" i="1"/>
  <c r="S325" i="1"/>
  <c r="Y325" i="1" s="1"/>
  <c r="M325" i="1"/>
  <c r="V324" i="1"/>
  <c r="S324" i="1"/>
  <c r="Y324" i="1" s="1"/>
  <c r="M324" i="1"/>
  <c r="V323" i="1"/>
  <c r="S323" i="1"/>
  <c r="M323" i="1"/>
  <c r="V322" i="1"/>
  <c r="S322" i="1"/>
  <c r="Y322" i="1" s="1"/>
  <c r="M322" i="1"/>
  <c r="J321" i="1" s="1"/>
  <c r="W321" i="1"/>
  <c r="T321" i="1"/>
  <c r="Z321" i="1" s="1"/>
  <c r="N321" i="1"/>
  <c r="V320" i="1"/>
  <c r="S320" i="1"/>
  <c r="Y320" i="1" s="1"/>
  <c r="M320" i="1"/>
  <c r="V319" i="1"/>
  <c r="S319" i="1"/>
  <c r="Y319" i="1" s="1"/>
  <c r="M319" i="1"/>
  <c r="V318" i="1"/>
  <c r="S318" i="1"/>
  <c r="M318" i="1"/>
  <c r="V317" i="1"/>
  <c r="S317" i="1"/>
  <c r="Y317" i="1" s="1"/>
  <c r="M317" i="1"/>
  <c r="J316" i="1" s="1"/>
  <c r="W316" i="1"/>
  <c r="T316" i="1"/>
  <c r="N316" i="1"/>
  <c r="V315" i="1"/>
  <c r="S315" i="1"/>
  <c r="Y315" i="1" s="1"/>
  <c r="M315" i="1"/>
  <c r="V314" i="1"/>
  <c r="S314" i="1"/>
  <c r="Y314" i="1" s="1"/>
  <c r="M314" i="1"/>
  <c r="V313" i="1"/>
  <c r="S313" i="1"/>
  <c r="Y313" i="1" s="1"/>
  <c r="M313" i="1"/>
  <c r="V312" i="1"/>
  <c r="S312" i="1"/>
  <c r="Y312" i="1" s="1"/>
  <c r="M312" i="1"/>
  <c r="Z311" i="1"/>
  <c r="Y311" i="1"/>
  <c r="AA311" i="1" s="1"/>
  <c r="W311" i="1"/>
  <c r="V311" i="1"/>
  <c r="U311" i="1"/>
  <c r="R311" i="1"/>
  <c r="X311" i="1" s="1"/>
  <c r="O311" i="1"/>
  <c r="L311" i="1"/>
  <c r="Y310" i="1"/>
  <c r="V310" i="1"/>
  <c r="S310" i="1"/>
  <c r="M310" i="1"/>
  <c r="V309" i="1"/>
  <c r="S309" i="1"/>
  <c r="Y309" i="1" s="1"/>
  <c r="M309" i="1"/>
  <c r="Y308" i="1"/>
  <c r="V308" i="1"/>
  <c r="S308" i="1"/>
  <c r="M308" i="1"/>
  <c r="V307" i="1"/>
  <c r="S307" i="1"/>
  <c r="Y307" i="1" s="1"/>
  <c r="M307" i="1"/>
  <c r="AA306" i="1"/>
  <c r="Z306" i="1"/>
  <c r="Y306" i="1"/>
  <c r="W306" i="1"/>
  <c r="V306" i="1"/>
  <c r="U306" i="1"/>
  <c r="R306" i="1"/>
  <c r="X306" i="1" s="1"/>
  <c r="O306" i="1"/>
  <c r="L306" i="1"/>
  <c r="V305" i="1"/>
  <c r="S305" i="1"/>
  <c r="Y305" i="1" s="1"/>
  <c r="M305" i="1"/>
  <c r="Y304" i="1"/>
  <c r="V304" i="1"/>
  <c r="S304" i="1"/>
  <c r="M304" i="1"/>
  <c r="V303" i="1"/>
  <c r="S303" i="1"/>
  <c r="Y303" i="1" s="1"/>
  <c r="M303" i="1"/>
  <c r="Z302" i="1"/>
  <c r="Y302" i="1"/>
  <c r="W302" i="1"/>
  <c r="V302" i="1"/>
  <c r="U302" i="1"/>
  <c r="R302" i="1"/>
  <c r="X302" i="1" s="1"/>
  <c r="O302" i="1"/>
  <c r="L302" i="1"/>
  <c r="Y301" i="1"/>
  <c r="V301" i="1"/>
  <c r="S301" i="1"/>
  <c r="M301" i="1"/>
  <c r="V300" i="1"/>
  <c r="S300" i="1"/>
  <c r="Y300" i="1" s="1"/>
  <c r="M300" i="1"/>
  <c r="Y299" i="1"/>
  <c r="V299" i="1"/>
  <c r="S299" i="1"/>
  <c r="M299" i="1"/>
  <c r="Z298" i="1"/>
  <c r="Y298" i="1"/>
  <c r="AA298" i="1" s="1"/>
  <c r="X298" i="1"/>
  <c r="W298" i="1"/>
  <c r="V298" i="1"/>
  <c r="U298" i="1"/>
  <c r="R298" i="1"/>
  <c r="O298" i="1"/>
  <c r="L298" i="1"/>
  <c r="Y297" i="1"/>
  <c r="V297" i="1"/>
  <c r="S297" i="1"/>
  <c r="M297" i="1"/>
  <c r="V296" i="1"/>
  <c r="S296" i="1"/>
  <c r="Y296" i="1" s="1"/>
  <c r="M296" i="1"/>
  <c r="V295" i="1"/>
  <c r="S295" i="1"/>
  <c r="Y295" i="1" s="1"/>
  <c r="M295" i="1"/>
  <c r="V294" i="1"/>
  <c r="S294" i="1"/>
  <c r="Y294" i="1" s="1"/>
  <c r="M294" i="1"/>
  <c r="Z293" i="1"/>
  <c r="Y293" i="1"/>
  <c r="AA293" i="1" s="1"/>
  <c r="W293" i="1"/>
  <c r="V293" i="1"/>
  <c r="U293" i="1"/>
  <c r="R293" i="1"/>
  <c r="X293" i="1" s="1"/>
  <c r="O293" i="1"/>
  <c r="L293" i="1"/>
  <c r="Y292" i="1"/>
  <c r="V292" i="1"/>
  <c r="S292" i="1"/>
  <c r="M292" i="1"/>
  <c r="V291" i="1"/>
  <c r="S291" i="1"/>
  <c r="Y291" i="1" s="1"/>
  <c r="M291" i="1"/>
  <c r="Y290" i="1"/>
  <c r="V290" i="1"/>
  <c r="S290" i="1"/>
  <c r="M290" i="1"/>
  <c r="V289" i="1"/>
  <c r="S289" i="1"/>
  <c r="Y289" i="1" s="1"/>
  <c r="M289" i="1"/>
  <c r="AA288" i="1"/>
  <c r="Z288" i="1"/>
  <c r="Y288" i="1"/>
  <c r="W288" i="1"/>
  <c r="V288" i="1"/>
  <c r="U288" i="1"/>
  <c r="R288" i="1"/>
  <c r="X288" i="1" s="1"/>
  <c r="O288" i="1"/>
  <c r="L288" i="1"/>
  <c r="V287" i="1"/>
  <c r="S287" i="1"/>
  <c r="Y287" i="1" s="1"/>
  <c r="M287" i="1"/>
  <c r="V286" i="1"/>
  <c r="S286" i="1"/>
  <c r="Y286" i="1" s="1"/>
  <c r="M286" i="1"/>
  <c r="J283" i="1" s="1"/>
  <c r="V285" i="1"/>
  <c r="S285" i="1"/>
  <c r="Y285" i="1" s="1"/>
  <c r="M285" i="1"/>
  <c r="Y284" i="1"/>
  <c r="V284" i="1"/>
  <c r="S284" i="1"/>
  <c r="M284" i="1"/>
  <c r="W283" i="1"/>
  <c r="T283" i="1"/>
  <c r="Z283" i="1" s="1"/>
  <c r="N283" i="1"/>
  <c r="V282" i="1"/>
  <c r="S282" i="1"/>
  <c r="Y282" i="1" s="1"/>
  <c r="M282" i="1"/>
  <c r="V281" i="1"/>
  <c r="S281" i="1"/>
  <c r="Y281" i="1" s="1"/>
  <c r="M281" i="1"/>
  <c r="V280" i="1"/>
  <c r="S280" i="1"/>
  <c r="Y280" i="1" s="1"/>
  <c r="M280" i="1"/>
  <c r="Y279" i="1"/>
  <c r="V279" i="1"/>
  <c r="S279" i="1"/>
  <c r="M279" i="1"/>
  <c r="Z278" i="1"/>
  <c r="W278" i="1"/>
  <c r="T278" i="1"/>
  <c r="P278" i="1"/>
  <c r="N278" i="1"/>
  <c r="V277" i="1"/>
  <c r="S277" i="1"/>
  <c r="Y277" i="1" s="1"/>
  <c r="M277" i="1"/>
  <c r="Y276" i="1"/>
  <c r="V276" i="1"/>
  <c r="S276" i="1"/>
  <c r="M276" i="1"/>
  <c r="V275" i="1"/>
  <c r="S275" i="1"/>
  <c r="Y275" i="1" s="1"/>
  <c r="M275" i="1"/>
  <c r="Y274" i="1"/>
  <c r="V274" i="1"/>
  <c r="S274" i="1"/>
  <c r="M274" i="1"/>
  <c r="Z273" i="1"/>
  <c r="W273" i="1"/>
  <c r="T273" i="1"/>
  <c r="N273" i="1"/>
  <c r="J273" i="1"/>
  <c r="V272" i="1"/>
  <c r="S272" i="1"/>
  <c r="Y272" i="1" s="1"/>
  <c r="M272" i="1"/>
  <c r="V271" i="1"/>
  <c r="S271" i="1"/>
  <c r="Y271" i="1" s="1"/>
  <c r="M271" i="1"/>
  <c r="V270" i="1"/>
  <c r="S270" i="1"/>
  <c r="Y270" i="1" s="1"/>
  <c r="M270" i="1"/>
  <c r="Y269" i="1"/>
  <c r="V269" i="1"/>
  <c r="S269" i="1"/>
  <c r="M269" i="1"/>
  <c r="Z268" i="1"/>
  <c r="Y268" i="1"/>
  <c r="AA268" i="1" s="1"/>
  <c r="W268" i="1"/>
  <c r="V268" i="1"/>
  <c r="U268" i="1"/>
  <c r="R268" i="1"/>
  <c r="X268" i="1" s="1"/>
  <c r="O268" i="1"/>
  <c r="L268" i="1"/>
  <c r="Y267" i="1"/>
  <c r="V267" i="1"/>
  <c r="S267" i="1"/>
  <c r="M267" i="1"/>
  <c r="Y266" i="1"/>
  <c r="V266" i="1"/>
  <c r="S266" i="1"/>
  <c r="M266" i="1"/>
  <c r="Y265" i="1"/>
  <c r="V265" i="1"/>
  <c r="S265" i="1"/>
  <c r="M265" i="1"/>
  <c r="Y264" i="1"/>
  <c r="V264" i="1"/>
  <c r="S264" i="1"/>
  <c r="M264" i="1"/>
  <c r="AA263" i="1"/>
  <c r="Z263" i="1"/>
  <c r="Y263" i="1"/>
  <c r="W263" i="1"/>
  <c r="V263" i="1"/>
  <c r="U263" i="1"/>
  <c r="R263" i="1"/>
  <c r="X263" i="1" s="1"/>
  <c r="O263" i="1"/>
  <c r="L263" i="1"/>
  <c r="V262" i="1"/>
  <c r="S262" i="1"/>
  <c r="Y262" i="1" s="1"/>
  <c r="M262" i="1"/>
  <c r="V261" i="1"/>
  <c r="S261" i="1"/>
  <c r="Y261" i="1" s="1"/>
  <c r="M261" i="1"/>
  <c r="V260" i="1"/>
  <c r="S260" i="1"/>
  <c r="Y260" i="1" s="1"/>
  <c r="M260" i="1"/>
  <c r="V259" i="1"/>
  <c r="S259" i="1"/>
  <c r="Y259" i="1" s="1"/>
  <c r="M259" i="1"/>
  <c r="AA258" i="1"/>
  <c r="Z258" i="1"/>
  <c r="Y258" i="1"/>
  <c r="W258" i="1"/>
  <c r="V258" i="1"/>
  <c r="U258" i="1"/>
  <c r="R258" i="1"/>
  <c r="X258" i="1" s="1"/>
  <c r="O258" i="1"/>
  <c r="L258" i="1"/>
  <c r="Y257" i="1"/>
  <c r="V257" i="1"/>
  <c r="S257" i="1"/>
  <c r="M257" i="1"/>
  <c r="V256" i="1"/>
  <c r="S256" i="1"/>
  <c r="Y256" i="1" s="1"/>
  <c r="M256" i="1"/>
  <c r="Y255" i="1"/>
  <c r="V255" i="1"/>
  <c r="S255" i="1"/>
  <c r="M255" i="1"/>
  <c r="V254" i="1"/>
  <c r="S254" i="1"/>
  <c r="Y254" i="1" s="1"/>
  <c r="M254" i="1"/>
  <c r="Z253" i="1"/>
  <c r="AA253" i="1" s="1"/>
  <c r="Y253" i="1"/>
  <c r="X253" i="1"/>
  <c r="W253" i="1"/>
  <c r="V253" i="1"/>
  <c r="U253" i="1"/>
  <c r="R253" i="1"/>
  <c r="O253" i="1"/>
  <c r="L253" i="1"/>
  <c r="V252" i="1"/>
  <c r="S252" i="1"/>
  <c r="Y252" i="1" s="1"/>
  <c r="M252" i="1"/>
  <c r="Y251" i="1"/>
  <c r="V251" i="1"/>
  <c r="S251" i="1"/>
  <c r="M251" i="1"/>
  <c r="V250" i="1"/>
  <c r="S250" i="1"/>
  <c r="Y250" i="1" s="1"/>
  <c r="M250" i="1"/>
  <c r="V249" i="1"/>
  <c r="S249" i="1"/>
  <c r="Y249" i="1" s="1"/>
  <c r="M249" i="1"/>
  <c r="Z248" i="1"/>
  <c r="Y248" i="1"/>
  <c r="AA248" i="1" s="1"/>
  <c r="X248" i="1"/>
  <c r="W248" i="1"/>
  <c r="V248" i="1"/>
  <c r="U248" i="1"/>
  <c r="R248" i="1"/>
  <c r="O248" i="1"/>
  <c r="L248" i="1"/>
  <c r="V247" i="1"/>
  <c r="S247" i="1"/>
  <c r="Y247" i="1" s="1"/>
  <c r="M247" i="1"/>
  <c r="Y246" i="1"/>
  <c r="V246" i="1"/>
  <c r="S246" i="1"/>
  <c r="M246" i="1"/>
  <c r="V245" i="1"/>
  <c r="S245" i="1"/>
  <c r="Y245" i="1" s="1"/>
  <c r="M245" i="1"/>
  <c r="Y244" i="1"/>
  <c r="V244" i="1"/>
  <c r="S244" i="1"/>
  <c r="M244" i="1"/>
  <c r="Z243" i="1"/>
  <c r="Y243" i="1"/>
  <c r="AA243" i="1" s="1"/>
  <c r="X243" i="1"/>
  <c r="W243" i="1"/>
  <c r="V243" i="1"/>
  <c r="U243" i="1"/>
  <c r="R243" i="1"/>
  <c r="O243" i="1"/>
  <c r="L243" i="1"/>
  <c r="V242" i="1"/>
  <c r="S242" i="1"/>
  <c r="M242" i="1"/>
  <c r="Z241" i="1"/>
  <c r="W241" i="1"/>
  <c r="T241" i="1"/>
  <c r="N241" i="1"/>
  <c r="M241" i="1"/>
  <c r="O241" i="1" s="1"/>
  <c r="L241" i="1"/>
  <c r="J241" i="1"/>
  <c r="V240" i="1"/>
  <c r="S240" i="1"/>
  <c r="Y240" i="1" s="1"/>
  <c r="M240" i="1"/>
  <c r="Z239" i="1"/>
  <c r="W239" i="1"/>
  <c r="T239" i="1"/>
  <c r="P239" i="1"/>
  <c r="N239" i="1"/>
  <c r="M239" i="1"/>
  <c r="O239" i="1" s="1"/>
  <c r="L239" i="1"/>
  <c r="J239" i="1"/>
  <c r="V238" i="1"/>
  <c r="S238" i="1"/>
  <c r="M238" i="1"/>
  <c r="Z237" i="1"/>
  <c r="W237" i="1"/>
  <c r="T237" i="1"/>
  <c r="N237" i="1"/>
  <c r="M237" i="1"/>
  <c r="O237" i="1" s="1"/>
  <c r="L237" i="1"/>
  <c r="J237" i="1"/>
  <c r="V236" i="1"/>
  <c r="S236" i="1"/>
  <c r="Y236" i="1" s="1"/>
  <c r="M236" i="1"/>
  <c r="Z235" i="1"/>
  <c r="W235" i="1"/>
  <c r="T235" i="1"/>
  <c r="R235" i="1"/>
  <c r="X235" i="1" s="1"/>
  <c r="P235" i="1"/>
  <c r="N235" i="1"/>
  <c r="M235" i="1"/>
  <c r="O235" i="1" s="1"/>
  <c r="L235" i="1"/>
  <c r="J235" i="1"/>
  <c r="V234" i="1"/>
  <c r="S234" i="1"/>
  <c r="Y234" i="1" s="1"/>
  <c r="M234" i="1"/>
  <c r="Z233" i="1"/>
  <c r="Y233" i="1"/>
  <c r="AA233" i="1" s="1"/>
  <c r="X233" i="1"/>
  <c r="W233" i="1"/>
  <c r="V233" i="1"/>
  <c r="U233" i="1"/>
  <c r="R233" i="1"/>
  <c r="O233" i="1"/>
  <c r="L233" i="1"/>
  <c r="V232" i="1"/>
  <c r="S232" i="1"/>
  <c r="Y232" i="1" s="1"/>
  <c r="M232" i="1"/>
  <c r="AA231" i="1"/>
  <c r="Z231" i="1"/>
  <c r="Y231" i="1"/>
  <c r="W231" i="1"/>
  <c r="V231" i="1"/>
  <c r="U231" i="1"/>
  <c r="R231" i="1"/>
  <c r="X231" i="1" s="1"/>
  <c r="O231" i="1"/>
  <c r="L231" i="1"/>
  <c r="V230" i="1"/>
  <c r="S230" i="1"/>
  <c r="Y230" i="1" s="1"/>
  <c r="M230" i="1"/>
  <c r="Z229" i="1"/>
  <c r="Y229" i="1"/>
  <c r="W229" i="1"/>
  <c r="V229" i="1"/>
  <c r="U229" i="1"/>
  <c r="R229" i="1"/>
  <c r="X229" i="1" s="1"/>
  <c r="O229" i="1"/>
  <c r="L229" i="1"/>
  <c r="Y228" i="1"/>
  <c r="V228" i="1"/>
  <c r="S228" i="1"/>
  <c r="M228" i="1"/>
  <c r="Z227" i="1"/>
  <c r="Y227" i="1"/>
  <c r="AA227" i="1" s="1"/>
  <c r="X227" i="1"/>
  <c r="W227" i="1"/>
  <c r="V227" i="1"/>
  <c r="U227" i="1"/>
  <c r="R227" i="1"/>
  <c r="O227" i="1"/>
  <c r="L227" i="1"/>
  <c r="V226" i="1"/>
  <c r="S226" i="1"/>
  <c r="Y226" i="1" s="1"/>
  <c r="M226" i="1"/>
  <c r="V225" i="1"/>
  <c r="S225" i="1"/>
  <c r="Y225" i="1" s="1"/>
  <c r="M225" i="1"/>
  <c r="V224" i="1"/>
  <c r="S224" i="1"/>
  <c r="M224" i="1"/>
  <c r="Z223" i="1"/>
  <c r="W223" i="1"/>
  <c r="T223" i="1"/>
  <c r="N223" i="1"/>
  <c r="M223" i="1"/>
  <c r="O223" i="1" s="1"/>
  <c r="L223" i="1"/>
  <c r="J223" i="1"/>
  <c r="V222" i="1"/>
  <c r="S222" i="1"/>
  <c r="Y222" i="1" s="1"/>
  <c r="M222" i="1"/>
  <c r="V221" i="1"/>
  <c r="S221" i="1"/>
  <c r="M221" i="1"/>
  <c r="V220" i="1"/>
  <c r="S220" i="1"/>
  <c r="Y220" i="1" s="1"/>
  <c r="M220" i="1"/>
  <c r="Z219" i="1"/>
  <c r="W219" i="1"/>
  <c r="T219" i="1"/>
  <c r="N219" i="1"/>
  <c r="M219" i="1"/>
  <c r="O219" i="1" s="1"/>
  <c r="L219" i="1"/>
  <c r="J219" i="1"/>
  <c r="V218" i="1"/>
  <c r="S218" i="1"/>
  <c r="Y218" i="1" s="1"/>
  <c r="M218" i="1"/>
  <c r="V217" i="1"/>
  <c r="S217" i="1"/>
  <c r="Y217" i="1" s="1"/>
  <c r="M217" i="1"/>
  <c r="V216" i="1"/>
  <c r="S216" i="1"/>
  <c r="M216" i="1"/>
  <c r="Z215" i="1"/>
  <c r="W215" i="1"/>
  <c r="T215" i="1"/>
  <c r="N215" i="1"/>
  <c r="M215" i="1"/>
  <c r="O215" i="1" s="1"/>
  <c r="L215" i="1"/>
  <c r="J215" i="1"/>
  <c r="V214" i="1"/>
  <c r="S214" i="1"/>
  <c r="Y214" i="1" s="1"/>
  <c r="M214" i="1"/>
  <c r="V213" i="1"/>
  <c r="S213" i="1"/>
  <c r="Y213" i="1" s="1"/>
  <c r="M213" i="1"/>
  <c r="Z212" i="1"/>
  <c r="Y212" i="1"/>
  <c r="AA212" i="1" s="1"/>
  <c r="W212" i="1"/>
  <c r="V212" i="1"/>
  <c r="U212" i="1"/>
  <c r="R212" i="1"/>
  <c r="X212" i="1" s="1"/>
  <c r="O212" i="1"/>
  <c r="L212" i="1"/>
  <c r="V211" i="1"/>
  <c r="S211" i="1"/>
  <c r="Y211" i="1" s="1"/>
  <c r="M211" i="1"/>
  <c r="Y210" i="1"/>
  <c r="V210" i="1"/>
  <c r="S210" i="1"/>
  <c r="M210" i="1"/>
  <c r="Z209" i="1"/>
  <c r="Y209" i="1"/>
  <c r="AA209" i="1" s="1"/>
  <c r="X209" i="1"/>
  <c r="W209" i="1"/>
  <c r="V209" i="1"/>
  <c r="U209" i="1"/>
  <c r="R209" i="1"/>
  <c r="O209" i="1"/>
  <c r="L209" i="1"/>
  <c r="V208" i="1"/>
  <c r="S208" i="1"/>
  <c r="Y208" i="1" s="1"/>
  <c r="M208" i="1"/>
  <c r="V207" i="1"/>
  <c r="S207" i="1"/>
  <c r="Y207" i="1" s="1"/>
  <c r="M207" i="1"/>
  <c r="Z206" i="1"/>
  <c r="Y206" i="1"/>
  <c r="X206" i="1"/>
  <c r="W206" i="1"/>
  <c r="V206" i="1"/>
  <c r="U206" i="1"/>
  <c r="R206" i="1"/>
  <c r="O206" i="1"/>
  <c r="L206" i="1"/>
  <c r="Y205" i="1"/>
  <c r="V205" i="1"/>
  <c r="S205" i="1"/>
  <c r="M205" i="1"/>
  <c r="V204" i="1"/>
  <c r="S204" i="1"/>
  <c r="Y204" i="1" s="1"/>
  <c r="M204" i="1"/>
  <c r="AA203" i="1"/>
  <c r="Z203" i="1"/>
  <c r="Y203" i="1"/>
  <c r="W203" i="1"/>
  <c r="V203" i="1"/>
  <c r="U203" i="1"/>
  <c r="R203" i="1"/>
  <c r="X203" i="1" s="1"/>
  <c r="O203" i="1"/>
  <c r="L203" i="1"/>
  <c r="V202" i="1"/>
  <c r="S202" i="1"/>
  <c r="Y202" i="1" s="1"/>
  <c r="M202" i="1"/>
  <c r="Z201" i="1"/>
  <c r="W201" i="1"/>
  <c r="T201" i="1"/>
  <c r="R201" i="1"/>
  <c r="X201" i="1" s="1"/>
  <c r="P201" i="1"/>
  <c r="N201" i="1"/>
  <c r="M201" i="1"/>
  <c r="O201" i="1" s="1"/>
  <c r="L201" i="1"/>
  <c r="J201" i="1"/>
  <c r="V200" i="1"/>
  <c r="S200" i="1"/>
  <c r="M200" i="1"/>
  <c r="Z199" i="1"/>
  <c r="W199" i="1"/>
  <c r="T199" i="1"/>
  <c r="N199" i="1"/>
  <c r="M199" i="1"/>
  <c r="O199" i="1" s="1"/>
  <c r="L199" i="1"/>
  <c r="J199" i="1"/>
  <c r="V198" i="1"/>
  <c r="S198" i="1"/>
  <c r="Y198" i="1" s="1"/>
  <c r="M198" i="1"/>
  <c r="Z197" i="1"/>
  <c r="W197" i="1"/>
  <c r="T197" i="1"/>
  <c r="P197" i="1"/>
  <c r="N197" i="1"/>
  <c r="M197" i="1"/>
  <c r="O197" i="1" s="1"/>
  <c r="L197" i="1"/>
  <c r="J197" i="1"/>
  <c r="V196" i="1"/>
  <c r="S196" i="1"/>
  <c r="M196" i="1"/>
  <c r="Z195" i="1"/>
  <c r="W195" i="1"/>
  <c r="T195" i="1"/>
  <c r="N195" i="1"/>
  <c r="M195" i="1"/>
  <c r="O195" i="1" s="1"/>
  <c r="L195" i="1"/>
  <c r="J195" i="1"/>
  <c r="V194" i="1"/>
  <c r="S194" i="1"/>
  <c r="Y194" i="1" s="1"/>
  <c r="M194" i="1"/>
  <c r="Z193" i="1"/>
  <c r="W193" i="1"/>
  <c r="T193" i="1"/>
  <c r="P193" i="1"/>
  <c r="N193" i="1"/>
  <c r="M193" i="1"/>
  <c r="O193" i="1" s="1"/>
  <c r="L193" i="1"/>
  <c r="J193" i="1"/>
  <c r="V192" i="1"/>
  <c r="S192" i="1"/>
  <c r="M192" i="1"/>
  <c r="Z191" i="1"/>
  <c r="W191" i="1"/>
  <c r="T191" i="1"/>
  <c r="N191" i="1"/>
  <c r="M191" i="1"/>
  <c r="O191" i="1" s="1"/>
  <c r="L191" i="1"/>
  <c r="J191" i="1"/>
  <c r="V190" i="1"/>
  <c r="S190" i="1"/>
  <c r="Y190" i="1" s="1"/>
  <c r="M190" i="1"/>
  <c r="V189" i="1"/>
  <c r="S189" i="1"/>
  <c r="M189" i="1"/>
  <c r="Z188" i="1"/>
  <c r="W188" i="1"/>
  <c r="T188" i="1"/>
  <c r="N188" i="1"/>
  <c r="M188" i="1"/>
  <c r="O188" i="1" s="1"/>
  <c r="L188" i="1"/>
  <c r="J188" i="1"/>
  <c r="V187" i="1"/>
  <c r="S187" i="1"/>
  <c r="Y187" i="1" s="1"/>
  <c r="M187" i="1"/>
  <c r="V186" i="1"/>
  <c r="S186" i="1"/>
  <c r="Y186" i="1" s="1"/>
  <c r="M186" i="1"/>
  <c r="Z185" i="1"/>
  <c r="Y185" i="1"/>
  <c r="AA185" i="1" s="1"/>
  <c r="W185" i="1"/>
  <c r="V185" i="1"/>
  <c r="U185" i="1"/>
  <c r="R185" i="1"/>
  <c r="X185" i="1" s="1"/>
  <c r="O185" i="1"/>
  <c r="L185" i="1"/>
  <c r="V184" i="1"/>
  <c r="S184" i="1"/>
  <c r="Y184" i="1" s="1"/>
  <c r="M184" i="1"/>
  <c r="Y183" i="1"/>
  <c r="V183" i="1"/>
  <c r="S183" i="1"/>
  <c r="M183" i="1"/>
  <c r="V182" i="1"/>
  <c r="S182" i="1"/>
  <c r="Y182" i="1" s="1"/>
  <c r="M182" i="1"/>
  <c r="Y181" i="1"/>
  <c r="V181" i="1"/>
  <c r="S181" i="1"/>
  <c r="M181" i="1"/>
  <c r="Z180" i="1"/>
  <c r="X180" i="1"/>
  <c r="W180" i="1"/>
  <c r="Z179" i="1"/>
  <c r="AA179" i="1" s="1"/>
  <c r="Y179" i="1"/>
  <c r="W179" i="1"/>
  <c r="V179" i="1"/>
  <c r="U179" i="1"/>
  <c r="R179" i="1"/>
  <c r="X179" i="1" s="1"/>
  <c r="O179" i="1"/>
  <c r="L179" i="1"/>
  <c r="V178" i="1"/>
  <c r="S178" i="1"/>
  <c r="Y178" i="1" s="1"/>
  <c r="M178" i="1"/>
  <c r="V177" i="1"/>
  <c r="S177" i="1"/>
  <c r="Y177" i="1" s="1"/>
  <c r="M177" i="1"/>
  <c r="V176" i="1"/>
  <c r="S176" i="1"/>
  <c r="Y176" i="1" s="1"/>
  <c r="M176" i="1"/>
  <c r="V175" i="1"/>
  <c r="S175" i="1"/>
  <c r="Y175" i="1" s="1"/>
  <c r="M175" i="1"/>
  <c r="Z174" i="1"/>
  <c r="X174" i="1"/>
  <c r="W174" i="1"/>
  <c r="Z173" i="1"/>
  <c r="Y173" i="1"/>
  <c r="AA173" i="1" s="1"/>
  <c r="X173" i="1"/>
  <c r="W173" i="1"/>
  <c r="V173" i="1"/>
  <c r="U173" i="1"/>
  <c r="R173" i="1"/>
  <c r="O173" i="1"/>
  <c r="L173" i="1"/>
  <c r="V172" i="1"/>
  <c r="S172" i="1"/>
  <c r="Y172" i="1" s="1"/>
  <c r="M172" i="1"/>
  <c r="V171" i="1"/>
  <c r="S171" i="1"/>
  <c r="Y171" i="1" s="1"/>
  <c r="M171" i="1"/>
  <c r="V170" i="1"/>
  <c r="S170" i="1"/>
  <c r="Y170" i="1" s="1"/>
  <c r="M170" i="1"/>
  <c r="V169" i="1"/>
  <c r="S169" i="1"/>
  <c r="Y169" i="1" s="1"/>
  <c r="M169" i="1"/>
  <c r="Z168" i="1"/>
  <c r="X168" i="1"/>
  <c r="W168" i="1"/>
  <c r="Z167" i="1"/>
  <c r="Y167" i="1"/>
  <c r="AA167" i="1" s="1"/>
  <c r="W167" i="1"/>
  <c r="V167" i="1"/>
  <c r="U167" i="1"/>
  <c r="R167" i="1"/>
  <c r="X167" i="1" s="1"/>
  <c r="O167" i="1"/>
  <c r="L167" i="1"/>
  <c r="Y166" i="1"/>
  <c r="V166" i="1"/>
  <c r="S166" i="1"/>
  <c r="M166" i="1"/>
  <c r="Y165" i="1"/>
  <c r="V165" i="1"/>
  <c r="S165" i="1"/>
  <c r="M165" i="1"/>
  <c r="AA164" i="1"/>
  <c r="Z164" i="1"/>
  <c r="Y164" i="1"/>
  <c r="X164" i="1"/>
  <c r="W164" i="1"/>
  <c r="V164" i="1"/>
  <c r="U164" i="1"/>
  <c r="R164" i="1"/>
  <c r="O164" i="1"/>
  <c r="L164" i="1"/>
  <c r="V163" i="1"/>
  <c r="S163" i="1"/>
  <c r="Y163" i="1" s="1"/>
  <c r="M163" i="1"/>
  <c r="V162" i="1"/>
  <c r="S162" i="1"/>
  <c r="Y162" i="1" s="1"/>
  <c r="M162" i="1"/>
  <c r="Z161" i="1"/>
  <c r="Y161" i="1"/>
  <c r="AA161" i="1" s="1"/>
  <c r="X161" i="1"/>
  <c r="W161" i="1"/>
  <c r="V161" i="1"/>
  <c r="U161" i="1"/>
  <c r="R161" i="1"/>
  <c r="O161" i="1"/>
  <c r="L161" i="1"/>
  <c r="Y160" i="1"/>
  <c r="V160" i="1"/>
  <c r="S160" i="1"/>
  <c r="M160" i="1"/>
  <c r="Y159" i="1"/>
  <c r="V159" i="1"/>
  <c r="S159" i="1"/>
  <c r="M159" i="1"/>
  <c r="AA158" i="1"/>
  <c r="Z158" i="1"/>
  <c r="Y158" i="1"/>
  <c r="W158" i="1"/>
  <c r="V158" i="1"/>
  <c r="U158" i="1"/>
  <c r="R158" i="1"/>
  <c r="X158" i="1" s="1"/>
  <c r="O158" i="1"/>
  <c r="L158" i="1"/>
  <c r="V157" i="1"/>
  <c r="S157" i="1"/>
  <c r="Y157" i="1" s="1"/>
  <c r="M157" i="1"/>
  <c r="V156" i="1"/>
  <c r="S156" i="1"/>
  <c r="Y156" i="1" s="1"/>
  <c r="M156" i="1"/>
  <c r="Z155" i="1"/>
  <c r="Y155" i="1"/>
  <c r="AA155" i="1" s="1"/>
  <c r="W155" i="1"/>
  <c r="V155" i="1"/>
  <c r="U155" i="1"/>
  <c r="R155" i="1"/>
  <c r="X155" i="1" s="1"/>
  <c r="O155" i="1"/>
  <c r="L155" i="1"/>
  <c r="Y154" i="1"/>
  <c r="V154" i="1"/>
  <c r="S154" i="1"/>
  <c r="M154" i="1"/>
  <c r="Y153" i="1"/>
  <c r="V153" i="1"/>
  <c r="S153" i="1"/>
  <c r="M153" i="1"/>
  <c r="Y152" i="1"/>
  <c r="V152" i="1"/>
  <c r="S152" i="1"/>
  <c r="M152" i="1"/>
  <c r="J150" i="1" s="1"/>
  <c r="L150" i="1" s="1"/>
  <c r="Y151" i="1"/>
  <c r="V151" i="1"/>
  <c r="S151" i="1"/>
  <c r="P150" i="1" s="1"/>
  <c r="M151" i="1"/>
  <c r="Z150" i="1"/>
  <c r="W150" i="1"/>
  <c r="V150" i="1"/>
  <c r="T150" i="1"/>
  <c r="N150" i="1"/>
  <c r="N117" i="1" s="1"/>
  <c r="M150" i="1"/>
  <c r="O150" i="1" s="1"/>
  <c r="Y149" i="1"/>
  <c r="V149" i="1"/>
  <c r="S149" i="1"/>
  <c r="M149" i="1"/>
  <c r="Y148" i="1"/>
  <c r="V148" i="1"/>
  <c r="S148" i="1"/>
  <c r="M148" i="1"/>
  <c r="Y147" i="1"/>
  <c r="V147" i="1"/>
  <c r="S147" i="1"/>
  <c r="M147" i="1"/>
  <c r="Z146" i="1"/>
  <c r="W146" i="1"/>
  <c r="T146" i="1"/>
  <c r="S146" i="1"/>
  <c r="R146" i="1"/>
  <c r="X146" i="1" s="1"/>
  <c r="P146" i="1"/>
  <c r="V146" i="1" s="1"/>
  <c r="N146" i="1"/>
  <c r="J146" i="1"/>
  <c r="M146" i="1" s="1"/>
  <c r="O146" i="1" s="1"/>
  <c r="Y145" i="1"/>
  <c r="V145" i="1"/>
  <c r="S145" i="1"/>
  <c r="M145" i="1"/>
  <c r="Y144" i="1"/>
  <c r="V144" i="1"/>
  <c r="S144" i="1"/>
  <c r="M144" i="1"/>
  <c r="Y143" i="1"/>
  <c r="V143" i="1"/>
  <c r="S143" i="1"/>
  <c r="M143" i="1"/>
  <c r="Y142" i="1"/>
  <c r="V142" i="1"/>
  <c r="S142" i="1"/>
  <c r="M142" i="1"/>
  <c r="Z141" i="1"/>
  <c r="W141" i="1"/>
  <c r="T141" i="1"/>
  <c r="S141" i="1"/>
  <c r="R141" i="1"/>
  <c r="X141" i="1" s="1"/>
  <c r="P141" i="1"/>
  <c r="V141" i="1" s="1"/>
  <c r="N141" i="1"/>
  <c r="J141" i="1"/>
  <c r="M141" i="1" s="1"/>
  <c r="O141" i="1" s="1"/>
  <c r="Y140" i="1"/>
  <c r="V140" i="1"/>
  <c r="S140" i="1"/>
  <c r="M140" i="1"/>
  <c r="Y139" i="1"/>
  <c r="V139" i="1"/>
  <c r="S139" i="1"/>
  <c r="M139" i="1"/>
  <c r="Z138" i="1"/>
  <c r="AA138" i="1" s="1"/>
  <c r="Y138" i="1"/>
  <c r="W138" i="1"/>
  <c r="V138" i="1"/>
  <c r="U138" i="1"/>
  <c r="R138" i="1"/>
  <c r="X138" i="1" s="1"/>
  <c r="O138" i="1"/>
  <c r="L138" i="1"/>
  <c r="V137" i="1"/>
  <c r="S137" i="1"/>
  <c r="Y137" i="1" s="1"/>
  <c r="M137" i="1"/>
  <c r="V136" i="1"/>
  <c r="S136" i="1"/>
  <c r="Y136" i="1" s="1"/>
  <c r="M136" i="1"/>
  <c r="V135" i="1"/>
  <c r="S135" i="1"/>
  <c r="Y135" i="1" s="1"/>
  <c r="M135" i="1"/>
  <c r="Z134" i="1"/>
  <c r="Y134" i="1"/>
  <c r="AA134" i="1" s="1"/>
  <c r="X134" i="1"/>
  <c r="W134" i="1"/>
  <c r="V134" i="1"/>
  <c r="U134" i="1"/>
  <c r="R134" i="1"/>
  <c r="O134" i="1"/>
  <c r="L134" i="1"/>
  <c r="Y133" i="1"/>
  <c r="V133" i="1"/>
  <c r="S133" i="1"/>
  <c r="M133" i="1"/>
  <c r="Y132" i="1"/>
  <c r="V132" i="1"/>
  <c r="S132" i="1"/>
  <c r="M132" i="1"/>
  <c r="Y131" i="1"/>
  <c r="V131" i="1"/>
  <c r="S131" i="1"/>
  <c r="M131" i="1"/>
  <c r="AA130" i="1"/>
  <c r="Z130" i="1"/>
  <c r="Y130" i="1"/>
  <c r="X130" i="1"/>
  <c r="W130" i="1"/>
  <c r="V130" i="1"/>
  <c r="U130" i="1"/>
  <c r="R130" i="1"/>
  <c r="O130" i="1"/>
  <c r="L130" i="1"/>
  <c r="V129" i="1"/>
  <c r="S129" i="1"/>
  <c r="Y129" i="1" s="1"/>
  <c r="M129" i="1"/>
  <c r="V128" i="1"/>
  <c r="S128" i="1"/>
  <c r="Y128" i="1" s="1"/>
  <c r="M128" i="1"/>
  <c r="V127" i="1"/>
  <c r="S127" i="1"/>
  <c r="Y127" i="1" s="1"/>
  <c r="M127" i="1"/>
  <c r="Z126" i="1"/>
  <c r="Y126" i="1"/>
  <c r="AA126" i="1" s="1"/>
  <c r="W126" i="1"/>
  <c r="V126" i="1"/>
  <c r="U126" i="1"/>
  <c r="R126" i="1"/>
  <c r="X126" i="1" s="1"/>
  <c r="O126" i="1"/>
  <c r="L126" i="1"/>
  <c r="Y125" i="1"/>
  <c r="V125" i="1"/>
  <c r="S125" i="1"/>
  <c r="M125" i="1"/>
  <c r="Y124" i="1"/>
  <c r="V124" i="1"/>
  <c r="S124" i="1"/>
  <c r="M124" i="1"/>
  <c r="Y123" i="1"/>
  <c r="V123" i="1"/>
  <c r="S123" i="1"/>
  <c r="M123" i="1"/>
  <c r="AA122" i="1"/>
  <c r="Z122" i="1"/>
  <c r="Y122" i="1"/>
  <c r="W122" i="1"/>
  <c r="V122" i="1"/>
  <c r="U122" i="1"/>
  <c r="R122" i="1"/>
  <c r="X122" i="1" s="1"/>
  <c r="O122" i="1"/>
  <c r="L122" i="1"/>
  <c r="V121" i="1"/>
  <c r="S121" i="1"/>
  <c r="Y121" i="1" s="1"/>
  <c r="M121" i="1"/>
  <c r="V120" i="1"/>
  <c r="S120" i="1"/>
  <c r="Y120" i="1" s="1"/>
  <c r="M120" i="1"/>
  <c r="V119" i="1"/>
  <c r="S119" i="1"/>
  <c r="Y119" i="1" s="1"/>
  <c r="M119" i="1"/>
  <c r="Z118" i="1"/>
  <c r="Y118" i="1"/>
  <c r="X118" i="1"/>
  <c r="W118" i="1"/>
  <c r="V118" i="1"/>
  <c r="U118" i="1"/>
  <c r="R118" i="1"/>
  <c r="O118" i="1"/>
  <c r="L118" i="1"/>
  <c r="Y116" i="1"/>
  <c r="V116" i="1"/>
  <c r="S116" i="1"/>
  <c r="M116" i="1"/>
  <c r="W115" i="1"/>
  <c r="T115" i="1"/>
  <c r="Z115" i="1" s="1"/>
  <c r="P115" i="1"/>
  <c r="S115" i="1" s="1"/>
  <c r="N115" i="1"/>
  <c r="J115" i="1"/>
  <c r="L115" i="1" s="1"/>
  <c r="V114" i="1"/>
  <c r="S114" i="1"/>
  <c r="P113" i="1" s="1"/>
  <c r="M114" i="1"/>
  <c r="J113" i="1" s="1"/>
  <c r="W113" i="1"/>
  <c r="T113" i="1"/>
  <c r="Z113" i="1" s="1"/>
  <c r="S113" i="1"/>
  <c r="N113" i="1"/>
  <c r="Y112" i="1"/>
  <c r="V112" i="1"/>
  <c r="S112" i="1"/>
  <c r="M112" i="1"/>
  <c r="W111" i="1"/>
  <c r="T111" i="1"/>
  <c r="Z111" i="1" s="1"/>
  <c r="P111" i="1"/>
  <c r="S111" i="1" s="1"/>
  <c r="N111" i="1"/>
  <c r="J111" i="1"/>
  <c r="L111" i="1" s="1"/>
  <c r="V110" i="1"/>
  <c r="S110" i="1"/>
  <c r="Y110" i="1" s="1"/>
  <c r="M110" i="1"/>
  <c r="J108" i="1" s="1"/>
  <c r="Y109" i="1"/>
  <c r="V109" i="1"/>
  <c r="S109" i="1"/>
  <c r="M109" i="1"/>
  <c r="W108" i="1"/>
  <c r="T108" i="1"/>
  <c r="Z108" i="1" s="1"/>
  <c r="P108" i="1"/>
  <c r="S108" i="1" s="1"/>
  <c r="N108" i="1"/>
  <c r="V107" i="1"/>
  <c r="S107" i="1"/>
  <c r="Y107" i="1" s="1"/>
  <c r="M107" i="1"/>
  <c r="J105" i="1" s="1"/>
  <c r="Y106" i="1"/>
  <c r="V106" i="1"/>
  <c r="S106" i="1"/>
  <c r="M106" i="1"/>
  <c r="W105" i="1"/>
  <c r="T105" i="1"/>
  <c r="Z105" i="1" s="1"/>
  <c r="P105" i="1"/>
  <c r="S105" i="1" s="1"/>
  <c r="N105" i="1"/>
  <c r="V104" i="1"/>
  <c r="S104" i="1"/>
  <c r="Y104" i="1" s="1"/>
  <c r="M104" i="1"/>
  <c r="Y103" i="1"/>
  <c r="V103" i="1"/>
  <c r="S103" i="1"/>
  <c r="M103" i="1"/>
  <c r="V102" i="1"/>
  <c r="S102" i="1"/>
  <c r="P101" i="1" s="1"/>
  <c r="M102" i="1"/>
  <c r="J101" i="1" s="1"/>
  <c r="W101" i="1"/>
  <c r="T101" i="1"/>
  <c r="Z101" i="1" s="1"/>
  <c r="N101" i="1"/>
  <c r="Y100" i="1"/>
  <c r="V100" i="1"/>
  <c r="S100" i="1"/>
  <c r="M100" i="1"/>
  <c r="V99" i="1"/>
  <c r="S99" i="1"/>
  <c r="Y99" i="1" s="1"/>
  <c r="M99" i="1"/>
  <c r="Y98" i="1"/>
  <c r="V98" i="1"/>
  <c r="S98" i="1"/>
  <c r="M98" i="1"/>
  <c r="W97" i="1"/>
  <c r="T97" i="1"/>
  <c r="Z97" i="1" s="1"/>
  <c r="P97" i="1"/>
  <c r="S97" i="1" s="1"/>
  <c r="N97" i="1"/>
  <c r="J97" i="1"/>
  <c r="V95" i="1"/>
  <c r="S95" i="1"/>
  <c r="Y95" i="1" s="1"/>
  <c r="M95" i="1"/>
  <c r="V94" i="1"/>
  <c r="S94" i="1"/>
  <c r="Y94" i="1" s="1"/>
  <c r="M94" i="1"/>
  <c r="V93" i="1"/>
  <c r="S93" i="1"/>
  <c r="Y93" i="1" s="1"/>
  <c r="M93" i="1"/>
  <c r="W92" i="1"/>
  <c r="T92" i="1"/>
  <c r="Z92" i="1" s="1"/>
  <c r="N92" i="1"/>
  <c r="L92" i="1"/>
  <c r="J92" i="1"/>
  <c r="M92" i="1" s="1"/>
  <c r="O92" i="1" s="1"/>
  <c r="V91" i="1"/>
  <c r="S91" i="1"/>
  <c r="Y91" i="1" s="1"/>
  <c r="M91" i="1"/>
  <c r="V90" i="1"/>
  <c r="S90" i="1"/>
  <c r="Y90" i="1" s="1"/>
  <c r="M90" i="1"/>
  <c r="J88" i="1" s="1"/>
  <c r="M88" i="1" s="1"/>
  <c r="O88" i="1" s="1"/>
  <c r="V89" i="1"/>
  <c r="S89" i="1"/>
  <c r="Y89" i="1" s="1"/>
  <c r="M89" i="1"/>
  <c r="Z88" i="1"/>
  <c r="W88" i="1"/>
  <c r="T88" i="1"/>
  <c r="P88" i="1"/>
  <c r="N88" i="1"/>
  <c r="L88" i="1"/>
  <c r="V87" i="1"/>
  <c r="S87" i="1"/>
  <c r="Y87" i="1" s="1"/>
  <c r="M87" i="1"/>
  <c r="V86" i="1"/>
  <c r="S86" i="1"/>
  <c r="Y86" i="1" s="1"/>
  <c r="M86" i="1"/>
  <c r="V85" i="1"/>
  <c r="S85" i="1"/>
  <c r="M85" i="1"/>
  <c r="W84" i="1"/>
  <c r="T84" i="1"/>
  <c r="Z84" i="1" s="1"/>
  <c r="N84" i="1"/>
  <c r="J84" i="1"/>
  <c r="M84" i="1" s="1"/>
  <c r="O84" i="1" s="1"/>
  <c r="V83" i="1"/>
  <c r="S83" i="1"/>
  <c r="Y83" i="1" s="1"/>
  <c r="M83" i="1"/>
  <c r="V82" i="1"/>
  <c r="S82" i="1"/>
  <c r="Y82" i="1" s="1"/>
  <c r="M82" i="1"/>
  <c r="V81" i="1"/>
  <c r="S81" i="1"/>
  <c r="Y81" i="1" s="1"/>
  <c r="M81" i="1"/>
  <c r="V80" i="1"/>
  <c r="S80" i="1"/>
  <c r="Y80" i="1" s="1"/>
  <c r="M80" i="1"/>
  <c r="J79" i="1" s="1"/>
  <c r="W79" i="1"/>
  <c r="T79" i="1"/>
  <c r="Z79" i="1" s="1"/>
  <c r="N79" i="1"/>
  <c r="V78" i="1"/>
  <c r="S78" i="1"/>
  <c r="Y78" i="1" s="1"/>
  <c r="M78" i="1"/>
  <c r="V77" i="1"/>
  <c r="S77" i="1"/>
  <c r="Y77" i="1" s="1"/>
  <c r="M77" i="1"/>
  <c r="V76" i="1"/>
  <c r="S76" i="1"/>
  <c r="Y76" i="1" s="1"/>
  <c r="M76" i="1"/>
  <c r="V75" i="1"/>
  <c r="S75" i="1"/>
  <c r="Y75" i="1" s="1"/>
  <c r="M75" i="1"/>
  <c r="W74" i="1"/>
  <c r="T74" i="1"/>
  <c r="Z74" i="1" s="1"/>
  <c r="P74" i="1"/>
  <c r="N74" i="1"/>
  <c r="L74" i="1"/>
  <c r="J74" i="1"/>
  <c r="M74" i="1" s="1"/>
  <c r="O74" i="1" s="1"/>
  <c r="V73" i="1"/>
  <c r="S73" i="1"/>
  <c r="Y73" i="1" s="1"/>
  <c r="M73" i="1"/>
  <c r="Z72" i="1"/>
  <c r="W72" i="1"/>
  <c r="T72" i="1"/>
  <c r="P72" i="1"/>
  <c r="O72" i="1"/>
  <c r="N72" i="1"/>
  <c r="L72" i="1"/>
  <c r="J72" i="1"/>
  <c r="M72" i="1" s="1"/>
  <c r="V71" i="1"/>
  <c r="S71" i="1"/>
  <c r="Y71" i="1" s="1"/>
  <c r="M71" i="1"/>
  <c r="W70" i="1"/>
  <c r="T70" i="1"/>
  <c r="Z70" i="1" s="1"/>
  <c r="P70" i="1"/>
  <c r="V70" i="1" s="1"/>
  <c r="N70" i="1"/>
  <c r="L70" i="1"/>
  <c r="J70" i="1"/>
  <c r="M70" i="1" s="1"/>
  <c r="O70" i="1" s="1"/>
  <c r="V69" i="1"/>
  <c r="S69" i="1"/>
  <c r="Y69" i="1" s="1"/>
  <c r="M69" i="1"/>
  <c r="Z68" i="1"/>
  <c r="W68" i="1"/>
  <c r="T68" i="1"/>
  <c r="P68" i="1"/>
  <c r="N68" i="1"/>
  <c r="J68" i="1"/>
  <c r="Z67" i="1"/>
  <c r="AA67" i="1" s="1"/>
  <c r="X67" i="1"/>
  <c r="W67" i="1"/>
  <c r="U67" i="1"/>
  <c r="T67" i="1"/>
  <c r="R67" i="1"/>
  <c r="O67" i="1"/>
  <c r="N67" i="1"/>
  <c r="L67" i="1"/>
  <c r="Z66" i="1"/>
  <c r="AA66" i="1" s="1"/>
  <c r="X66" i="1"/>
  <c r="W66" i="1"/>
  <c r="T66" i="1"/>
  <c r="R66" i="1"/>
  <c r="O66" i="1"/>
  <c r="N66" i="1"/>
  <c r="L66" i="1"/>
  <c r="N65" i="1"/>
  <c r="V60" i="1"/>
  <c r="S60" i="1"/>
  <c r="Y60" i="1" s="1"/>
  <c r="M60" i="1"/>
  <c r="V59" i="1"/>
  <c r="S59" i="1"/>
  <c r="Y59" i="1" s="1"/>
  <c r="M59" i="1"/>
  <c r="V58" i="1"/>
  <c r="S58" i="1"/>
  <c r="Y58" i="1" s="1"/>
  <c r="M58" i="1"/>
  <c r="V57" i="1"/>
  <c r="S57" i="1"/>
  <c r="Y57" i="1" s="1"/>
  <c r="M57" i="1"/>
  <c r="AA56" i="1"/>
  <c r="Z56" i="1"/>
  <c r="Y56" i="1"/>
  <c r="X56" i="1"/>
  <c r="W56" i="1"/>
  <c r="V56" i="1"/>
  <c r="U56" i="1"/>
  <c r="R56" i="1"/>
  <c r="O56" i="1"/>
  <c r="L56" i="1"/>
  <c r="Y55" i="1"/>
  <c r="V55" i="1"/>
  <c r="S55" i="1"/>
  <c r="M55" i="1"/>
  <c r="Y54" i="1"/>
  <c r="V54" i="1"/>
  <c r="S54" i="1"/>
  <c r="M54" i="1"/>
  <c r="Y53" i="1"/>
  <c r="V53" i="1"/>
  <c r="S53" i="1"/>
  <c r="M53" i="1"/>
  <c r="Y52" i="1"/>
  <c r="V52" i="1"/>
  <c r="S52" i="1"/>
  <c r="M52" i="1"/>
  <c r="Z51" i="1"/>
  <c r="AA51" i="1" s="1"/>
  <c r="Y51" i="1"/>
  <c r="X51" i="1"/>
  <c r="W51" i="1"/>
  <c r="V51" i="1"/>
  <c r="U51" i="1"/>
  <c r="R51" i="1"/>
  <c r="O51" i="1"/>
  <c r="L51" i="1"/>
  <c r="Y50" i="1"/>
  <c r="V50" i="1"/>
  <c r="S50" i="1"/>
  <c r="M50" i="1"/>
  <c r="Y49" i="1"/>
  <c r="V49" i="1"/>
  <c r="S49" i="1"/>
  <c r="M49" i="1"/>
  <c r="Y48" i="1"/>
  <c r="V48" i="1"/>
  <c r="S48" i="1"/>
  <c r="M48" i="1"/>
  <c r="Y47" i="1"/>
  <c r="V47" i="1"/>
  <c r="S47" i="1"/>
  <c r="M47" i="1"/>
  <c r="AA46" i="1"/>
  <c r="Z46" i="1"/>
  <c r="Y46" i="1"/>
  <c r="W46" i="1"/>
  <c r="V46" i="1"/>
  <c r="U46" i="1"/>
  <c r="R46" i="1"/>
  <c r="X46" i="1" s="1"/>
  <c r="O46" i="1"/>
  <c r="L46" i="1"/>
  <c r="Y45" i="1"/>
  <c r="V45" i="1"/>
  <c r="S45" i="1"/>
  <c r="M45" i="1"/>
  <c r="V44" i="1"/>
  <c r="S44" i="1"/>
  <c r="Y44" i="1" s="1"/>
  <c r="M44" i="1"/>
  <c r="Y43" i="1"/>
  <c r="V43" i="1"/>
  <c r="S43" i="1"/>
  <c r="M43" i="1"/>
  <c r="V42" i="1"/>
  <c r="S42" i="1"/>
  <c r="Y42" i="1" s="1"/>
  <c r="M42" i="1"/>
  <c r="Z41" i="1"/>
  <c r="AA41" i="1" s="1"/>
  <c r="Y41" i="1"/>
  <c r="W41" i="1"/>
  <c r="V41" i="1"/>
  <c r="U41" i="1"/>
  <c r="R41" i="1"/>
  <c r="X41" i="1" s="1"/>
  <c r="O41" i="1"/>
  <c r="L41" i="1"/>
  <c r="Y40" i="1"/>
  <c r="V40" i="1"/>
  <c r="S40" i="1"/>
  <c r="M40" i="1"/>
  <c r="Y39" i="1"/>
  <c r="V39" i="1"/>
  <c r="S39" i="1"/>
  <c r="M39" i="1"/>
  <c r="Y38" i="1"/>
  <c r="V38" i="1"/>
  <c r="S38" i="1"/>
  <c r="M38" i="1"/>
  <c r="Y37" i="1"/>
  <c r="V37" i="1"/>
  <c r="S37" i="1"/>
  <c r="M37" i="1"/>
  <c r="AA36" i="1"/>
  <c r="Z36" i="1"/>
  <c r="Y36" i="1"/>
  <c r="X36" i="1"/>
  <c r="W36" i="1"/>
  <c r="V36" i="1"/>
  <c r="U36" i="1"/>
  <c r="R36" i="1"/>
  <c r="O36" i="1"/>
  <c r="L36" i="1"/>
  <c r="V35" i="1"/>
  <c r="S35" i="1"/>
  <c r="Y35" i="1" s="1"/>
  <c r="M35" i="1"/>
  <c r="Y34" i="1"/>
  <c r="V34" i="1"/>
  <c r="S34" i="1"/>
  <c r="M34" i="1"/>
  <c r="V33" i="1"/>
  <c r="S33" i="1"/>
  <c r="Y33" i="1" s="1"/>
  <c r="M33" i="1"/>
  <c r="Y32" i="1"/>
  <c r="V32" i="1"/>
  <c r="S32" i="1"/>
  <c r="M32" i="1"/>
  <c r="Z31" i="1"/>
  <c r="Y31" i="1"/>
  <c r="X31" i="1"/>
  <c r="W31" i="1"/>
  <c r="V31" i="1"/>
  <c r="U31" i="1"/>
  <c r="R31" i="1"/>
  <c r="O31" i="1"/>
  <c r="L31" i="1"/>
  <c r="Y30" i="1"/>
  <c r="V30" i="1"/>
  <c r="S30" i="1"/>
  <c r="M30" i="1"/>
  <c r="Y29" i="1"/>
  <c r="V29" i="1"/>
  <c r="S29" i="1"/>
  <c r="M29" i="1"/>
  <c r="Y28" i="1"/>
  <c r="V28" i="1"/>
  <c r="S28" i="1"/>
  <c r="M28" i="1"/>
  <c r="Y27" i="1"/>
  <c r="V27" i="1"/>
  <c r="S27" i="1"/>
  <c r="M27" i="1"/>
  <c r="AA26" i="1"/>
  <c r="Z26" i="1"/>
  <c r="Y26" i="1"/>
  <c r="W26" i="1"/>
  <c r="V26" i="1"/>
  <c r="U26" i="1"/>
  <c r="R26" i="1"/>
  <c r="X26" i="1" s="1"/>
  <c r="O26" i="1"/>
  <c r="O20" i="1" s="1"/>
  <c r="O19" i="1" s="1"/>
  <c r="O18" i="1" s="1"/>
  <c r="O17" i="1" s="1"/>
  <c r="O16" i="1" s="1"/>
  <c r="L26" i="1"/>
  <c r="Y25" i="1"/>
  <c r="V25" i="1"/>
  <c r="S25" i="1"/>
  <c r="M25" i="1"/>
  <c r="V24" i="1"/>
  <c r="S24" i="1"/>
  <c r="Y24" i="1" s="1"/>
  <c r="M24" i="1"/>
  <c r="Y23" i="1"/>
  <c r="V23" i="1"/>
  <c r="S23" i="1"/>
  <c r="M23" i="1"/>
  <c r="V22" i="1"/>
  <c r="S22" i="1"/>
  <c r="Y22" i="1" s="1"/>
  <c r="M22" i="1"/>
  <c r="Z21" i="1"/>
  <c r="AA21" i="1" s="1"/>
  <c r="Y21" i="1"/>
  <c r="Y20" i="1" s="1"/>
  <c r="Y19" i="1" s="1"/>
  <c r="Y18" i="1" s="1"/>
  <c r="Y17" i="1" s="1"/>
  <c r="Y16" i="1" s="1"/>
  <c r="W21" i="1"/>
  <c r="V21" i="1"/>
  <c r="U21" i="1"/>
  <c r="R21" i="1"/>
  <c r="X21" i="1" s="1"/>
  <c r="O21" i="1"/>
  <c r="L21" i="1"/>
  <c r="U20" i="1"/>
  <c r="U19" i="1" s="1"/>
  <c r="U18" i="1" s="1"/>
  <c r="U17" i="1" s="1"/>
  <c r="U16" i="1" s="1"/>
  <c r="T20" i="1"/>
  <c r="T19" i="1" s="1"/>
  <c r="T18" i="1" s="1"/>
  <c r="T17" i="1" s="1"/>
  <c r="T16" i="1" s="1"/>
  <c r="S20" i="1"/>
  <c r="N20" i="1"/>
  <c r="N19" i="1" s="1"/>
  <c r="N18" i="1" s="1"/>
  <c r="N17" i="1" s="1"/>
  <c r="M20" i="1"/>
  <c r="M19" i="1" s="1"/>
  <c r="M18" i="1" s="1"/>
  <c r="M17" i="1" s="1"/>
  <c r="S19" i="1"/>
  <c r="S18" i="1"/>
  <c r="S17" i="1" s="1"/>
  <c r="S16" i="1" s="1"/>
  <c r="N16" i="1"/>
  <c r="M16" i="1"/>
  <c r="Z15" i="1"/>
  <c r="AA15" i="1" s="1"/>
  <c r="W15" i="1"/>
  <c r="T15" i="1"/>
  <c r="U15" i="1" s="1"/>
  <c r="R15" i="1"/>
  <c r="X15" i="1" s="1"/>
  <c r="O15" i="1"/>
  <c r="N15" i="1"/>
  <c r="L15" i="1"/>
  <c r="W14" i="1"/>
  <c r="T14" i="1"/>
  <c r="U14" i="1" s="1"/>
  <c r="U13" i="1" s="1"/>
  <c r="U12" i="1" s="1"/>
  <c r="U11" i="1" s="1"/>
  <c r="U10" i="1" s="1"/>
  <c r="R14" i="1"/>
  <c r="X14" i="1" s="1"/>
  <c r="N14" i="1"/>
  <c r="O14" i="1" s="1"/>
  <c r="O13" i="1" s="1"/>
  <c r="O12" i="1" s="1"/>
  <c r="O11" i="1" s="1"/>
  <c r="O10" i="1" s="1"/>
  <c r="L14" i="1"/>
  <c r="Y13" i="1"/>
  <c r="S13" i="1"/>
  <c r="M13" i="1"/>
  <c r="Y12" i="1"/>
  <c r="Y11" i="1" s="1"/>
  <c r="Y10" i="1" s="1"/>
  <c r="S12" i="1"/>
  <c r="S11" i="1" s="1"/>
  <c r="S10" i="1" s="1"/>
  <c r="M12" i="1"/>
  <c r="M11" i="1"/>
  <c r="M10" i="1" s="1"/>
  <c r="W982" i="2"/>
  <c r="U982" i="2"/>
  <c r="U981" i="2" s="1"/>
  <c r="U980" i="2" s="1"/>
  <c r="U979" i="2" s="1"/>
  <c r="U978" i="2" s="1"/>
  <c r="U977" i="2" s="1"/>
  <c r="T982" i="2"/>
  <c r="Z982" i="2" s="1"/>
  <c r="AA982" i="2" s="1"/>
  <c r="AA981" i="2" s="1"/>
  <c r="AA980" i="2" s="1"/>
  <c r="AA979" i="2" s="1"/>
  <c r="AA978" i="2" s="1"/>
  <c r="AA977" i="2" s="1"/>
  <c r="R982" i="2"/>
  <c r="X982" i="2" s="1"/>
  <c r="O982" i="2"/>
  <c r="O981" i="2" s="1"/>
  <c r="O980" i="2" s="1"/>
  <c r="O979" i="2" s="1"/>
  <c r="N982" i="2"/>
  <c r="N981" i="2" s="1"/>
  <c r="N980" i="2" s="1"/>
  <c r="N979" i="2" s="1"/>
  <c r="N978" i="2" s="1"/>
  <c r="N977" i="2" s="1"/>
  <c r="L982" i="2"/>
  <c r="Y981" i="2"/>
  <c r="Y980" i="2" s="1"/>
  <c r="Y979" i="2" s="1"/>
  <c r="Y978" i="2" s="1"/>
  <c r="Y977" i="2" s="1"/>
  <c r="T981" i="2"/>
  <c r="S981" i="2"/>
  <c r="S980" i="2" s="1"/>
  <c r="S979" i="2" s="1"/>
  <c r="S978" i="2" s="1"/>
  <c r="M981" i="2"/>
  <c r="T980" i="2"/>
  <c r="T979" i="2" s="1"/>
  <c r="T978" i="2" s="1"/>
  <c r="T977" i="2" s="1"/>
  <c r="M980" i="2"/>
  <c r="M979" i="2"/>
  <c r="M978" i="2" s="1"/>
  <c r="M977" i="2" s="1"/>
  <c r="O978" i="2"/>
  <c r="S977" i="2"/>
  <c r="O977" i="2"/>
  <c r="Y976" i="2"/>
  <c r="V976" i="2"/>
  <c r="S976" i="2"/>
  <c r="M976" i="2"/>
  <c r="Y975" i="2"/>
  <c r="V975" i="2"/>
  <c r="S975" i="2"/>
  <c r="M975" i="2"/>
  <c r="W974" i="2"/>
  <c r="V974" i="2"/>
  <c r="T974" i="2"/>
  <c r="Z974" i="2" s="1"/>
  <c r="Z973" i="2" s="1"/>
  <c r="Z972" i="2" s="1"/>
  <c r="Z971" i="2" s="1"/>
  <c r="S974" i="2"/>
  <c r="Y974" i="2" s="1"/>
  <c r="R974" i="2"/>
  <c r="X974" i="2" s="1"/>
  <c r="P974" i="2"/>
  <c r="N974" i="2"/>
  <c r="N973" i="2" s="1"/>
  <c r="N972" i="2" s="1"/>
  <c r="N971" i="2" s="1"/>
  <c r="N970" i="2" s="1"/>
  <c r="M974" i="2"/>
  <c r="J974" i="2"/>
  <c r="L974" i="2" s="1"/>
  <c r="T973" i="2"/>
  <c r="T972" i="2" s="1"/>
  <c r="T971" i="2" s="1"/>
  <c r="T970" i="2" s="1"/>
  <c r="S973" i="2"/>
  <c r="S972" i="2" s="1"/>
  <c r="S971" i="2" s="1"/>
  <c r="S970" i="2" s="1"/>
  <c r="Z970" i="2"/>
  <c r="AA969" i="2"/>
  <c r="AA968" i="2" s="1"/>
  <c r="Z969" i="2"/>
  <c r="Z968" i="2" s="1"/>
  <c r="W969" i="2"/>
  <c r="U969" i="2"/>
  <c r="U968" i="2" s="1"/>
  <c r="T969" i="2"/>
  <c r="T968" i="2" s="1"/>
  <c r="R969" i="2"/>
  <c r="X969" i="2" s="1"/>
  <c r="N969" i="2"/>
  <c r="L969" i="2"/>
  <c r="Y968" i="2"/>
  <c r="S968" i="2"/>
  <c r="M968" i="2"/>
  <c r="Y967" i="2"/>
  <c r="V967" i="2"/>
  <c r="S967" i="2"/>
  <c r="M967" i="2"/>
  <c r="Z966" i="2"/>
  <c r="Z963" i="2" s="1"/>
  <c r="W966" i="2"/>
  <c r="T966" i="2"/>
  <c r="T963" i="2" s="1"/>
  <c r="P966" i="2"/>
  <c r="N966" i="2"/>
  <c r="N963" i="2" s="1"/>
  <c r="M966" i="2"/>
  <c r="O966" i="2" s="1"/>
  <c r="L966" i="2"/>
  <c r="J966" i="2"/>
  <c r="V965" i="2"/>
  <c r="S965" i="2"/>
  <c r="M965" i="2"/>
  <c r="Z964" i="2"/>
  <c r="W964" i="2"/>
  <c r="T964" i="2"/>
  <c r="N964" i="2"/>
  <c r="M964" i="2"/>
  <c r="L964" i="2"/>
  <c r="J964" i="2"/>
  <c r="Y962" i="2"/>
  <c r="V962" i="2"/>
  <c r="S962" i="2"/>
  <c r="P961" i="2" s="1"/>
  <c r="V961" i="2" s="1"/>
  <c r="M962" i="2"/>
  <c r="Z961" i="2"/>
  <c r="W961" i="2"/>
  <c r="T961" i="2"/>
  <c r="S961" i="2"/>
  <c r="R961" i="2"/>
  <c r="X961" i="2" s="1"/>
  <c r="N961" i="2"/>
  <c r="O961" i="2" s="1"/>
  <c r="M961" i="2"/>
  <c r="L961" i="2"/>
  <c r="J961" i="2"/>
  <c r="Y960" i="2"/>
  <c r="V960" i="2"/>
  <c r="S960" i="2"/>
  <c r="M960" i="2"/>
  <c r="W959" i="2"/>
  <c r="V959" i="2"/>
  <c r="T959" i="2"/>
  <c r="Z959" i="2" s="1"/>
  <c r="S959" i="2"/>
  <c r="Y959" i="2" s="1"/>
  <c r="P959" i="2"/>
  <c r="R959" i="2" s="1"/>
  <c r="X959" i="2" s="1"/>
  <c r="N959" i="2"/>
  <c r="M959" i="2"/>
  <c r="J959" i="2"/>
  <c r="L959" i="2" s="1"/>
  <c r="Y958" i="2"/>
  <c r="V958" i="2"/>
  <c r="S958" i="2"/>
  <c r="M958" i="2"/>
  <c r="Z957" i="2"/>
  <c r="AA957" i="2" s="1"/>
  <c r="Y957" i="2"/>
  <c r="X957" i="2"/>
  <c r="W957" i="2"/>
  <c r="V957" i="2"/>
  <c r="U957" i="2"/>
  <c r="R957" i="2"/>
  <c r="O957" i="2"/>
  <c r="L957" i="2"/>
  <c r="V956" i="2"/>
  <c r="S956" i="2"/>
  <c r="Y956" i="2" s="1"/>
  <c r="M956" i="2"/>
  <c r="Z955" i="2"/>
  <c r="Y955" i="2"/>
  <c r="AA955" i="2" s="1"/>
  <c r="X955" i="2"/>
  <c r="W955" i="2"/>
  <c r="V955" i="2"/>
  <c r="U955" i="2"/>
  <c r="R955" i="2"/>
  <c r="O955" i="2"/>
  <c r="L955" i="2"/>
  <c r="Y954" i="2"/>
  <c r="V954" i="2"/>
  <c r="S954" i="2"/>
  <c r="M954" i="2"/>
  <c r="AA953" i="2"/>
  <c r="Z953" i="2"/>
  <c r="Y953" i="2"/>
  <c r="W953" i="2"/>
  <c r="V953" i="2"/>
  <c r="U953" i="2"/>
  <c r="R953" i="2"/>
  <c r="X953" i="2" s="1"/>
  <c r="O953" i="2"/>
  <c r="L953" i="2"/>
  <c r="V952" i="2"/>
  <c r="S952" i="2"/>
  <c r="Y952" i="2" s="1"/>
  <c r="M952" i="2"/>
  <c r="Z951" i="2"/>
  <c r="Y951" i="2"/>
  <c r="AA951" i="2" s="1"/>
  <c r="W951" i="2"/>
  <c r="V951" i="2"/>
  <c r="U951" i="2"/>
  <c r="R951" i="2"/>
  <c r="X951" i="2" s="1"/>
  <c r="O951" i="2"/>
  <c r="L951" i="2"/>
  <c r="Y950" i="2"/>
  <c r="V950" i="2"/>
  <c r="S950" i="2"/>
  <c r="M950" i="2"/>
  <c r="Z949" i="2"/>
  <c r="AA949" i="2" s="1"/>
  <c r="Y949" i="2"/>
  <c r="X949" i="2"/>
  <c r="W949" i="2"/>
  <c r="V949" i="2"/>
  <c r="U949" i="2"/>
  <c r="R949" i="2"/>
  <c r="O949" i="2"/>
  <c r="L949" i="2"/>
  <c r="V948" i="2"/>
  <c r="S948" i="2"/>
  <c r="Y948" i="2" s="1"/>
  <c r="M948" i="2"/>
  <c r="Z947" i="2"/>
  <c r="Y947" i="2"/>
  <c r="AA947" i="2" s="1"/>
  <c r="X947" i="2"/>
  <c r="W947" i="2"/>
  <c r="V947" i="2"/>
  <c r="U947" i="2"/>
  <c r="R947" i="2"/>
  <c r="O947" i="2"/>
  <c r="L947" i="2"/>
  <c r="Y946" i="2"/>
  <c r="V946" i="2"/>
  <c r="S946" i="2"/>
  <c r="M946" i="2"/>
  <c r="AA945" i="2"/>
  <c r="Z945" i="2"/>
  <c r="Y945" i="2"/>
  <c r="W945" i="2"/>
  <c r="V945" i="2"/>
  <c r="U945" i="2"/>
  <c r="R945" i="2"/>
  <c r="X945" i="2" s="1"/>
  <c r="O945" i="2"/>
  <c r="L945" i="2"/>
  <c r="V944" i="2"/>
  <c r="S944" i="2"/>
  <c r="Y944" i="2" s="1"/>
  <c r="M944" i="2"/>
  <c r="Z943" i="2"/>
  <c r="Y943" i="2"/>
  <c r="AA943" i="2" s="1"/>
  <c r="W943" i="2"/>
  <c r="V943" i="2"/>
  <c r="U943" i="2"/>
  <c r="R943" i="2"/>
  <c r="X943" i="2" s="1"/>
  <c r="O943" i="2"/>
  <c r="L943" i="2"/>
  <c r="Y942" i="2"/>
  <c r="V942" i="2"/>
  <c r="S942" i="2"/>
  <c r="M942" i="2"/>
  <c r="Y941" i="2"/>
  <c r="V941" i="2"/>
  <c r="S941" i="2"/>
  <c r="M941" i="2"/>
  <c r="Y940" i="2"/>
  <c r="V940" i="2"/>
  <c r="S940" i="2"/>
  <c r="M940" i="2"/>
  <c r="Y939" i="2"/>
  <c r="V939" i="2"/>
  <c r="S939" i="2"/>
  <c r="M939" i="2"/>
  <c r="Y938" i="2"/>
  <c r="V938" i="2"/>
  <c r="S938" i="2"/>
  <c r="M938" i="2"/>
  <c r="Y937" i="2"/>
  <c r="V937" i="2"/>
  <c r="S937" i="2"/>
  <c r="M937" i="2"/>
  <c r="Y936" i="2"/>
  <c r="V936" i="2"/>
  <c r="S936" i="2"/>
  <c r="M936" i="2"/>
  <c r="Y935" i="2"/>
  <c r="V935" i="2"/>
  <c r="S935" i="2"/>
  <c r="M935" i="2"/>
  <c r="Y934" i="2"/>
  <c r="V934" i="2"/>
  <c r="S934" i="2"/>
  <c r="M934" i="2"/>
  <c r="Y933" i="2"/>
  <c r="V933" i="2"/>
  <c r="S933" i="2"/>
  <c r="M933" i="2"/>
  <c r="Y932" i="2"/>
  <c r="V932" i="2"/>
  <c r="S932" i="2"/>
  <c r="M932" i="2"/>
  <c r="Y931" i="2"/>
  <c r="V931" i="2"/>
  <c r="S931" i="2"/>
  <c r="M931" i="2"/>
  <c r="Y930" i="2"/>
  <c r="V930" i="2"/>
  <c r="S930" i="2"/>
  <c r="M930" i="2"/>
  <c r="AA929" i="2"/>
  <c r="Z929" i="2"/>
  <c r="Y929" i="2"/>
  <c r="X929" i="2"/>
  <c r="W929" i="2"/>
  <c r="V929" i="2"/>
  <c r="U929" i="2"/>
  <c r="R929" i="2"/>
  <c r="O929" i="2"/>
  <c r="L929" i="2"/>
  <c r="V928" i="2"/>
  <c r="S928" i="2"/>
  <c r="Y928" i="2" s="1"/>
  <c r="M928" i="2"/>
  <c r="V927" i="2"/>
  <c r="S927" i="2"/>
  <c r="Y927" i="2" s="1"/>
  <c r="M927" i="2"/>
  <c r="V926" i="2"/>
  <c r="S926" i="2"/>
  <c r="Y926" i="2" s="1"/>
  <c r="M926" i="2"/>
  <c r="V925" i="2"/>
  <c r="S925" i="2"/>
  <c r="Y925" i="2" s="1"/>
  <c r="M925" i="2"/>
  <c r="V924" i="2"/>
  <c r="S924" i="2"/>
  <c r="Y924" i="2" s="1"/>
  <c r="M924" i="2"/>
  <c r="V923" i="2"/>
  <c r="S923" i="2"/>
  <c r="Y923" i="2" s="1"/>
  <c r="M923" i="2"/>
  <c r="V922" i="2"/>
  <c r="S922" i="2"/>
  <c r="Y922" i="2" s="1"/>
  <c r="M922" i="2"/>
  <c r="V921" i="2"/>
  <c r="S921" i="2"/>
  <c r="Y921" i="2" s="1"/>
  <c r="M921" i="2"/>
  <c r="V920" i="2"/>
  <c r="S920" i="2"/>
  <c r="Y920" i="2" s="1"/>
  <c r="M920" i="2"/>
  <c r="V919" i="2"/>
  <c r="S919" i="2"/>
  <c r="Y919" i="2" s="1"/>
  <c r="M919" i="2"/>
  <c r="V918" i="2"/>
  <c r="S918" i="2"/>
  <c r="Y918" i="2" s="1"/>
  <c r="M918" i="2"/>
  <c r="V917" i="2"/>
  <c r="S917" i="2"/>
  <c r="Y917" i="2" s="1"/>
  <c r="M917" i="2"/>
  <c r="V916" i="2"/>
  <c r="S916" i="2"/>
  <c r="Y916" i="2" s="1"/>
  <c r="M916" i="2"/>
  <c r="Z915" i="2"/>
  <c r="Y915" i="2"/>
  <c r="AA915" i="2" s="1"/>
  <c r="X915" i="2"/>
  <c r="W915" i="2"/>
  <c r="V915" i="2"/>
  <c r="U915" i="2"/>
  <c r="R915" i="2"/>
  <c r="O915" i="2"/>
  <c r="L915" i="2"/>
  <c r="Y914" i="2"/>
  <c r="V914" i="2"/>
  <c r="S914" i="2"/>
  <c r="M914" i="2"/>
  <c r="W913" i="2"/>
  <c r="V913" i="2"/>
  <c r="T913" i="2"/>
  <c r="Z913" i="2" s="1"/>
  <c r="S913" i="2"/>
  <c r="Y913" i="2" s="1"/>
  <c r="AA913" i="2" s="1"/>
  <c r="R913" i="2"/>
  <c r="X913" i="2" s="1"/>
  <c r="P913" i="2"/>
  <c r="N913" i="2"/>
  <c r="M913" i="2"/>
  <c r="O913" i="2" s="1"/>
  <c r="J913" i="2"/>
  <c r="L913" i="2" s="1"/>
  <c r="Y912" i="2"/>
  <c r="V912" i="2"/>
  <c r="S912" i="2"/>
  <c r="P911" i="2" s="1"/>
  <c r="V911" i="2" s="1"/>
  <c r="M912" i="2"/>
  <c r="Z911" i="2"/>
  <c r="W911" i="2"/>
  <c r="T911" i="2"/>
  <c r="S911" i="2"/>
  <c r="N911" i="2"/>
  <c r="O911" i="2" s="1"/>
  <c r="M911" i="2"/>
  <c r="J911" i="2"/>
  <c r="L911" i="2" s="1"/>
  <c r="Y910" i="2"/>
  <c r="V910" i="2"/>
  <c r="S910" i="2"/>
  <c r="M910" i="2"/>
  <c r="AA909" i="2"/>
  <c r="Z909" i="2"/>
  <c r="Y909" i="2"/>
  <c r="W909" i="2"/>
  <c r="V909" i="2"/>
  <c r="U909" i="2"/>
  <c r="R909" i="2"/>
  <c r="X909" i="2" s="1"/>
  <c r="O909" i="2"/>
  <c r="L909" i="2"/>
  <c r="V908" i="2"/>
  <c r="S908" i="2"/>
  <c r="Y908" i="2" s="1"/>
  <c r="M908" i="2"/>
  <c r="Z907" i="2"/>
  <c r="Y907" i="2"/>
  <c r="AA907" i="2" s="1"/>
  <c r="W907" i="2"/>
  <c r="V907" i="2"/>
  <c r="U907" i="2"/>
  <c r="R907" i="2"/>
  <c r="X907" i="2" s="1"/>
  <c r="O907" i="2"/>
  <c r="L907" i="2"/>
  <c r="AA906" i="2"/>
  <c r="X906" i="2"/>
  <c r="W906" i="2"/>
  <c r="U906" i="2"/>
  <c r="T906" i="2"/>
  <c r="Z906" i="2" s="1"/>
  <c r="R906" i="2"/>
  <c r="N906" i="2"/>
  <c r="L906" i="2"/>
  <c r="Z905" i="2"/>
  <c r="AA905" i="2" s="1"/>
  <c r="X905" i="2"/>
  <c r="W905" i="2"/>
  <c r="U905" i="2"/>
  <c r="R905" i="2"/>
  <c r="O905" i="2"/>
  <c r="L905" i="2"/>
  <c r="Z904" i="2"/>
  <c r="AA904" i="2" s="1"/>
  <c r="X904" i="2"/>
  <c r="W904" i="2"/>
  <c r="U904" i="2"/>
  <c r="R904" i="2"/>
  <c r="O904" i="2"/>
  <c r="L904" i="2"/>
  <c r="V903" i="2"/>
  <c r="S903" i="2"/>
  <c r="Y903" i="2" s="1"/>
  <c r="M903" i="2"/>
  <c r="V902" i="2"/>
  <c r="S902" i="2"/>
  <c r="Y902" i="2" s="1"/>
  <c r="M902" i="2"/>
  <c r="V901" i="2"/>
  <c r="S901" i="2"/>
  <c r="Y901" i="2" s="1"/>
  <c r="M901" i="2"/>
  <c r="V900" i="2"/>
  <c r="S900" i="2"/>
  <c r="Y900" i="2" s="1"/>
  <c r="M900" i="2"/>
  <c r="V899" i="2"/>
  <c r="S899" i="2"/>
  <c r="Y899" i="2" s="1"/>
  <c r="M899" i="2"/>
  <c r="V898" i="2"/>
  <c r="S898" i="2"/>
  <c r="Y898" i="2" s="1"/>
  <c r="M898" i="2"/>
  <c r="V897" i="2"/>
  <c r="S897" i="2"/>
  <c r="Y897" i="2" s="1"/>
  <c r="M897" i="2"/>
  <c r="V896" i="2"/>
  <c r="S896" i="2"/>
  <c r="Y896" i="2" s="1"/>
  <c r="M896" i="2"/>
  <c r="V895" i="2"/>
  <c r="S895" i="2"/>
  <c r="M895" i="2"/>
  <c r="V894" i="2"/>
  <c r="S894" i="2"/>
  <c r="Y894" i="2" s="1"/>
  <c r="M894" i="2"/>
  <c r="V893" i="2"/>
  <c r="S893" i="2"/>
  <c r="Y893" i="2" s="1"/>
  <c r="M893" i="2"/>
  <c r="J892" i="2" s="1"/>
  <c r="W892" i="2"/>
  <c r="T892" i="2"/>
  <c r="Z892" i="2" s="1"/>
  <c r="N892" i="2"/>
  <c r="V891" i="2"/>
  <c r="S891" i="2"/>
  <c r="Y891" i="2" s="1"/>
  <c r="M891" i="2"/>
  <c r="W890" i="2"/>
  <c r="T890" i="2"/>
  <c r="Z890" i="2" s="1"/>
  <c r="P890" i="2"/>
  <c r="O890" i="2"/>
  <c r="N890" i="2"/>
  <c r="M890" i="2"/>
  <c r="L890" i="2"/>
  <c r="J890" i="2"/>
  <c r="V889" i="2"/>
  <c r="S889" i="2"/>
  <c r="M889" i="2"/>
  <c r="W888" i="2"/>
  <c r="T888" i="2"/>
  <c r="Z888" i="2" s="1"/>
  <c r="N888" i="2"/>
  <c r="J888" i="2"/>
  <c r="M888" i="2" s="1"/>
  <c r="O888" i="2" s="1"/>
  <c r="V887" i="2"/>
  <c r="S887" i="2"/>
  <c r="Y887" i="2" s="1"/>
  <c r="M887" i="2"/>
  <c r="W886" i="2"/>
  <c r="T886" i="2"/>
  <c r="Z886" i="2" s="1"/>
  <c r="O886" i="2"/>
  <c r="N886" i="2"/>
  <c r="M886" i="2"/>
  <c r="L886" i="2"/>
  <c r="J886" i="2"/>
  <c r="V885" i="2"/>
  <c r="S885" i="2"/>
  <c r="Y885" i="2" s="1"/>
  <c r="M885" i="2"/>
  <c r="Z884" i="2"/>
  <c r="Y884" i="2"/>
  <c r="W884" i="2"/>
  <c r="V884" i="2"/>
  <c r="U884" i="2"/>
  <c r="R884" i="2"/>
  <c r="X884" i="2" s="1"/>
  <c r="O884" i="2"/>
  <c r="L884" i="2"/>
  <c r="Y883" i="2"/>
  <c r="V883" i="2"/>
  <c r="S883" i="2"/>
  <c r="M883" i="2"/>
  <c r="Z882" i="2"/>
  <c r="AA882" i="2" s="1"/>
  <c r="Y882" i="2"/>
  <c r="X882" i="2"/>
  <c r="W882" i="2"/>
  <c r="V882" i="2"/>
  <c r="U882" i="2"/>
  <c r="R882" i="2"/>
  <c r="O882" i="2"/>
  <c r="L882" i="2"/>
  <c r="V881" i="2"/>
  <c r="S881" i="2"/>
  <c r="Y881" i="2" s="1"/>
  <c r="M881" i="2"/>
  <c r="Z880" i="2"/>
  <c r="Y880" i="2"/>
  <c r="AA880" i="2" s="1"/>
  <c r="X880" i="2"/>
  <c r="W880" i="2"/>
  <c r="V880" i="2"/>
  <c r="U880" i="2"/>
  <c r="R880" i="2"/>
  <c r="O880" i="2"/>
  <c r="L880" i="2"/>
  <c r="Y879" i="2"/>
  <c r="V879" i="2"/>
  <c r="S879" i="2"/>
  <c r="M879" i="2"/>
  <c r="AA878" i="2"/>
  <c r="Z878" i="2"/>
  <c r="Y878" i="2"/>
  <c r="W878" i="2"/>
  <c r="V878" i="2"/>
  <c r="U878" i="2"/>
  <c r="R878" i="2"/>
  <c r="X878" i="2" s="1"/>
  <c r="O878" i="2"/>
  <c r="L878" i="2"/>
  <c r="V877" i="2"/>
  <c r="S877" i="2"/>
  <c r="Y877" i="2" s="1"/>
  <c r="M877" i="2"/>
  <c r="Z876" i="2"/>
  <c r="Y876" i="2"/>
  <c r="W876" i="2"/>
  <c r="V876" i="2"/>
  <c r="U876" i="2"/>
  <c r="R876" i="2"/>
  <c r="X876" i="2" s="1"/>
  <c r="O876" i="2"/>
  <c r="L876" i="2"/>
  <c r="Y875" i="2"/>
  <c r="V875" i="2"/>
  <c r="S875" i="2"/>
  <c r="M875" i="2"/>
  <c r="AA874" i="2"/>
  <c r="Z874" i="2"/>
  <c r="Y874" i="2"/>
  <c r="X874" i="2"/>
  <c r="W874" i="2"/>
  <c r="V874" i="2"/>
  <c r="U874" i="2"/>
  <c r="R874" i="2"/>
  <c r="O874" i="2"/>
  <c r="L874" i="2"/>
  <c r="V873" i="2"/>
  <c r="S873" i="2"/>
  <c r="Y873" i="2" s="1"/>
  <c r="M873" i="2"/>
  <c r="V872" i="2"/>
  <c r="S872" i="2"/>
  <c r="Y872" i="2" s="1"/>
  <c r="M872" i="2"/>
  <c r="J870" i="2" s="1"/>
  <c r="V871" i="2"/>
  <c r="S871" i="2"/>
  <c r="Y871" i="2" s="1"/>
  <c r="M871" i="2"/>
  <c r="W870" i="2"/>
  <c r="T870" i="2"/>
  <c r="Z870" i="2" s="1"/>
  <c r="P870" i="2"/>
  <c r="N870" i="2"/>
  <c r="V869" i="2"/>
  <c r="S869" i="2"/>
  <c r="Y869" i="2" s="1"/>
  <c r="M869" i="2"/>
  <c r="V868" i="2"/>
  <c r="S868" i="2"/>
  <c r="Y868" i="2" s="1"/>
  <c r="M868" i="2"/>
  <c r="Z867" i="2"/>
  <c r="Y867" i="2"/>
  <c r="AA867" i="2" s="1"/>
  <c r="W867" i="2"/>
  <c r="V867" i="2"/>
  <c r="U867" i="2"/>
  <c r="R867" i="2"/>
  <c r="X867" i="2" s="1"/>
  <c r="O867" i="2"/>
  <c r="L867" i="2"/>
  <c r="Y866" i="2"/>
  <c r="V866" i="2"/>
  <c r="S866" i="2"/>
  <c r="M866" i="2"/>
  <c r="Y865" i="2"/>
  <c r="V865" i="2"/>
  <c r="S865" i="2"/>
  <c r="M865" i="2"/>
  <c r="Y864" i="2"/>
  <c r="V864" i="2"/>
  <c r="S864" i="2"/>
  <c r="M864" i="2"/>
  <c r="Z863" i="2"/>
  <c r="AA863" i="2" s="1"/>
  <c r="Y863" i="2"/>
  <c r="W863" i="2"/>
  <c r="V863" i="2"/>
  <c r="U863" i="2"/>
  <c r="R863" i="2"/>
  <c r="X863" i="2" s="1"/>
  <c r="O863" i="2"/>
  <c r="L863" i="2"/>
  <c r="V861" i="2"/>
  <c r="S861" i="2"/>
  <c r="Y861" i="2" s="1"/>
  <c r="M861" i="2"/>
  <c r="Y860" i="2"/>
  <c r="V860" i="2"/>
  <c r="S860" i="2"/>
  <c r="M860" i="2"/>
  <c r="Z859" i="2"/>
  <c r="W859" i="2"/>
  <c r="T859" i="2"/>
  <c r="N859" i="2"/>
  <c r="M859" i="2"/>
  <c r="O859" i="2" s="1"/>
  <c r="L859" i="2"/>
  <c r="J859" i="2"/>
  <c r="V858" i="2"/>
  <c r="S858" i="2"/>
  <c r="Y858" i="2" s="1"/>
  <c r="M858" i="2"/>
  <c r="V857" i="2"/>
  <c r="S857" i="2"/>
  <c r="Y857" i="2" s="1"/>
  <c r="M857" i="2"/>
  <c r="Z856" i="2"/>
  <c r="W856" i="2"/>
  <c r="T856" i="2"/>
  <c r="P856" i="2"/>
  <c r="N856" i="2"/>
  <c r="M856" i="2"/>
  <c r="O856" i="2" s="1"/>
  <c r="L856" i="2"/>
  <c r="J856" i="2"/>
  <c r="V855" i="2"/>
  <c r="S855" i="2"/>
  <c r="Y855" i="2" s="1"/>
  <c r="M855" i="2"/>
  <c r="V854" i="2"/>
  <c r="S854" i="2"/>
  <c r="Y854" i="2" s="1"/>
  <c r="M854" i="2"/>
  <c r="Z853" i="2"/>
  <c r="Y853" i="2"/>
  <c r="AA853" i="2" s="1"/>
  <c r="W853" i="2"/>
  <c r="V853" i="2"/>
  <c r="U853" i="2"/>
  <c r="R853" i="2"/>
  <c r="X853" i="2" s="1"/>
  <c r="O853" i="2"/>
  <c r="L853" i="2"/>
  <c r="V852" i="2"/>
  <c r="S852" i="2"/>
  <c r="Y852" i="2" s="1"/>
  <c r="M852" i="2"/>
  <c r="Y851" i="2"/>
  <c r="V851" i="2"/>
  <c r="S851" i="2"/>
  <c r="M851" i="2"/>
  <c r="Z850" i="2"/>
  <c r="Y850" i="2"/>
  <c r="AA850" i="2" s="1"/>
  <c r="X850" i="2"/>
  <c r="W850" i="2"/>
  <c r="V850" i="2"/>
  <c r="U850" i="2"/>
  <c r="R850" i="2"/>
  <c r="O850" i="2"/>
  <c r="L850" i="2"/>
  <c r="Y849" i="2"/>
  <c r="V849" i="2"/>
  <c r="S849" i="2"/>
  <c r="M849" i="2"/>
  <c r="Y848" i="2"/>
  <c r="V848" i="2"/>
  <c r="S848" i="2"/>
  <c r="M848" i="2"/>
  <c r="AA847" i="2"/>
  <c r="Z847" i="2"/>
  <c r="Y847" i="2"/>
  <c r="W847" i="2"/>
  <c r="V847" i="2"/>
  <c r="U847" i="2"/>
  <c r="R847" i="2"/>
  <c r="X847" i="2" s="1"/>
  <c r="O847" i="2"/>
  <c r="L847" i="2"/>
  <c r="Y846" i="2"/>
  <c r="V846" i="2"/>
  <c r="S846" i="2"/>
  <c r="M846" i="2"/>
  <c r="V845" i="2"/>
  <c r="S845" i="2"/>
  <c r="Y845" i="2" s="1"/>
  <c r="M845" i="2"/>
  <c r="AA844" i="2"/>
  <c r="Z844" i="2"/>
  <c r="Y844" i="2"/>
  <c r="W844" i="2"/>
  <c r="V844" i="2"/>
  <c r="U844" i="2"/>
  <c r="R844" i="2"/>
  <c r="X844" i="2" s="1"/>
  <c r="O844" i="2"/>
  <c r="L844" i="2"/>
  <c r="Y843" i="2"/>
  <c r="V843" i="2"/>
  <c r="S843" i="2"/>
  <c r="M843" i="2"/>
  <c r="Y842" i="2"/>
  <c r="V842" i="2"/>
  <c r="S842" i="2"/>
  <c r="M842" i="2"/>
  <c r="AA841" i="2"/>
  <c r="Z841" i="2"/>
  <c r="Y841" i="2"/>
  <c r="X841" i="2"/>
  <c r="W841" i="2"/>
  <c r="V841" i="2"/>
  <c r="U841" i="2"/>
  <c r="R841" i="2"/>
  <c r="O841" i="2"/>
  <c r="L841" i="2"/>
  <c r="V840" i="2"/>
  <c r="S840" i="2"/>
  <c r="Y840" i="2" s="1"/>
  <c r="M840" i="2"/>
  <c r="Y839" i="2"/>
  <c r="V839" i="2"/>
  <c r="S839" i="2"/>
  <c r="M839" i="2"/>
  <c r="Z838" i="2"/>
  <c r="Y838" i="2"/>
  <c r="AA838" i="2" s="1"/>
  <c r="X838" i="2"/>
  <c r="W838" i="2"/>
  <c r="V838" i="2"/>
  <c r="U838" i="2"/>
  <c r="R838" i="2"/>
  <c r="O838" i="2"/>
  <c r="L838" i="2"/>
  <c r="Y837" i="2"/>
  <c r="V837" i="2"/>
  <c r="S837" i="2"/>
  <c r="M837" i="2"/>
  <c r="Y836" i="2"/>
  <c r="V836" i="2"/>
  <c r="S836" i="2"/>
  <c r="M836" i="2"/>
  <c r="AA835" i="2"/>
  <c r="Z835" i="2"/>
  <c r="Y835" i="2"/>
  <c r="W835" i="2"/>
  <c r="V835" i="2"/>
  <c r="U835" i="2"/>
  <c r="R835" i="2"/>
  <c r="X835" i="2" s="1"/>
  <c r="O835" i="2"/>
  <c r="L835" i="2"/>
  <c r="Y834" i="2"/>
  <c r="V834" i="2"/>
  <c r="S834" i="2"/>
  <c r="M834" i="2"/>
  <c r="V833" i="2"/>
  <c r="S833" i="2"/>
  <c r="Y833" i="2" s="1"/>
  <c r="M833" i="2"/>
  <c r="AA832" i="2"/>
  <c r="Z832" i="2"/>
  <c r="Y832" i="2"/>
  <c r="W832" i="2"/>
  <c r="V832" i="2"/>
  <c r="U832" i="2"/>
  <c r="R832" i="2"/>
  <c r="X832" i="2" s="1"/>
  <c r="O832" i="2"/>
  <c r="O828" i="2" s="1"/>
  <c r="L832" i="2"/>
  <c r="Y831" i="2"/>
  <c r="V831" i="2"/>
  <c r="S831" i="2"/>
  <c r="M831" i="2"/>
  <c r="Y830" i="2"/>
  <c r="V830" i="2"/>
  <c r="S830" i="2"/>
  <c r="M830" i="2"/>
  <c r="AA829" i="2"/>
  <c r="Z829" i="2"/>
  <c r="Y829" i="2"/>
  <c r="X829" i="2"/>
  <c r="W829" i="2"/>
  <c r="V829" i="2"/>
  <c r="U829" i="2"/>
  <c r="R829" i="2"/>
  <c r="O829" i="2"/>
  <c r="L829" i="2"/>
  <c r="Z828" i="2"/>
  <c r="T828" i="2"/>
  <c r="N828" i="2"/>
  <c r="Y827" i="2"/>
  <c r="V827" i="2"/>
  <c r="S827" i="2"/>
  <c r="M827" i="2"/>
  <c r="J825" i="2" s="1"/>
  <c r="Y826" i="2"/>
  <c r="V826" i="2"/>
  <c r="S826" i="2"/>
  <c r="M826" i="2"/>
  <c r="Z825" i="2"/>
  <c r="W825" i="2"/>
  <c r="V825" i="2"/>
  <c r="T825" i="2"/>
  <c r="S825" i="2"/>
  <c r="R825" i="2"/>
  <c r="X825" i="2" s="1"/>
  <c r="P825" i="2"/>
  <c r="N825" i="2"/>
  <c r="Y824" i="2"/>
  <c r="V824" i="2"/>
  <c r="S824" i="2"/>
  <c r="M824" i="2"/>
  <c r="J822" i="2" s="1"/>
  <c r="Y823" i="2"/>
  <c r="V823" i="2"/>
  <c r="S823" i="2"/>
  <c r="M823" i="2"/>
  <c r="Z822" i="2"/>
  <c r="W822" i="2"/>
  <c r="V822" i="2"/>
  <c r="T822" i="2"/>
  <c r="S822" i="2"/>
  <c r="R822" i="2"/>
  <c r="X822" i="2" s="1"/>
  <c r="P822" i="2"/>
  <c r="N822" i="2"/>
  <c r="Y821" i="2"/>
  <c r="V821" i="2"/>
  <c r="S821" i="2"/>
  <c r="M821" i="2"/>
  <c r="J819" i="2" s="1"/>
  <c r="Y820" i="2"/>
  <c r="V820" i="2"/>
  <c r="S820" i="2"/>
  <c r="M820" i="2"/>
  <c r="Z819" i="2"/>
  <c r="W819" i="2"/>
  <c r="V819" i="2"/>
  <c r="T819" i="2"/>
  <c r="S819" i="2"/>
  <c r="R819" i="2"/>
  <c r="X819" i="2" s="1"/>
  <c r="P819" i="2"/>
  <c r="N819" i="2"/>
  <c r="Y818" i="2"/>
  <c r="V818" i="2"/>
  <c r="S818" i="2"/>
  <c r="M818" i="2"/>
  <c r="J816" i="2" s="1"/>
  <c r="Y817" i="2"/>
  <c r="V817" i="2"/>
  <c r="S817" i="2"/>
  <c r="M817" i="2"/>
  <c r="Z816" i="2"/>
  <c r="W816" i="2"/>
  <c r="V816" i="2"/>
  <c r="T816" i="2"/>
  <c r="S816" i="2"/>
  <c r="R816" i="2"/>
  <c r="X816" i="2" s="1"/>
  <c r="P816" i="2"/>
  <c r="N816" i="2"/>
  <c r="Y815" i="2"/>
  <c r="V815" i="2"/>
  <c r="S815" i="2"/>
  <c r="M815" i="2"/>
  <c r="J813" i="2" s="1"/>
  <c r="Y814" i="2"/>
  <c r="V814" i="2"/>
  <c r="S814" i="2"/>
  <c r="M814" i="2"/>
  <c r="Z813" i="2"/>
  <c r="W813" i="2"/>
  <c r="V813" i="2"/>
  <c r="T813" i="2"/>
  <c r="S813" i="2"/>
  <c r="R813" i="2"/>
  <c r="X813" i="2" s="1"/>
  <c r="P813" i="2"/>
  <c r="N813" i="2"/>
  <c r="Y812" i="2"/>
  <c r="V812" i="2"/>
  <c r="S812" i="2"/>
  <c r="M812" i="2"/>
  <c r="J810" i="2" s="1"/>
  <c r="Y811" i="2"/>
  <c r="V811" i="2"/>
  <c r="S811" i="2"/>
  <c r="M811" i="2"/>
  <c r="Z810" i="2"/>
  <c r="W810" i="2"/>
  <c r="V810" i="2"/>
  <c r="T810" i="2"/>
  <c r="S810" i="2"/>
  <c r="R810" i="2"/>
  <c r="X810" i="2" s="1"/>
  <c r="P810" i="2"/>
  <c r="N810" i="2"/>
  <c r="Y809" i="2"/>
  <c r="V809" i="2"/>
  <c r="S809" i="2"/>
  <c r="M809" i="2"/>
  <c r="J807" i="2" s="1"/>
  <c r="Y808" i="2"/>
  <c r="V808" i="2"/>
  <c r="S808" i="2"/>
  <c r="M808" i="2"/>
  <c r="Z807" i="2"/>
  <c r="W807" i="2"/>
  <c r="V807" i="2"/>
  <c r="T807" i="2"/>
  <c r="S807" i="2"/>
  <c r="R807" i="2"/>
  <c r="X807" i="2" s="1"/>
  <c r="P807" i="2"/>
  <c r="N807" i="2"/>
  <c r="Y806" i="2"/>
  <c r="V806" i="2"/>
  <c r="S806" i="2"/>
  <c r="M806" i="2"/>
  <c r="Y805" i="2"/>
  <c r="V805" i="2"/>
  <c r="S805" i="2"/>
  <c r="M805" i="2"/>
  <c r="AA804" i="2"/>
  <c r="Z804" i="2"/>
  <c r="Y804" i="2"/>
  <c r="X804" i="2"/>
  <c r="W804" i="2"/>
  <c r="V804" i="2"/>
  <c r="U804" i="2"/>
  <c r="R804" i="2"/>
  <c r="O804" i="2"/>
  <c r="L804" i="2"/>
  <c r="Y803" i="2"/>
  <c r="V803" i="2"/>
  <c r="S803" i="2"/>
  <c r="M803" i="2"/>
  <c r="V802" i="2"/>
  <c r="S802" i="2"/>
  <c r="Y802" i="2" s="1"/>
  <c r="M802" i="2"/>
  <c r="Z801" i="2"/>
  <c r="AA801" i="2" s="1"/>
  <c r="Y801" i="2"/>
  <c r="W801" i="2"/>
  <c r="V801" i="2"/>
  <c r="U801" i="2"/>
  <c r="R801" i="2"/>
  <c r="X801" i="2" s="1"/>
  <c r="O801" i="2"/>
  <c r="L801" i="2"/>
  <c r="Y800" i="2"/>
  <c r="V800" i="2"/>
  <c r="S800" i="2"/>
  <c r="M800" i="2"/>
  <c r="Y799" i="2"/>
  <c r="V799" i="2"/>
  <c r="S799" i="2"/>
  <c r="P798" i="2" s="1"/>
  <c r="M799" i="2"/>
  <c r="W798" i="2"/>
  <c r="V798" i="2"/>
  <c r="T798" i="2"/>
  <c r="Z798" i="2" s="1"/>
  <c r="N798" i="2"/>
  <c r="M798" i="2"/>
  <c r="J798" i="2"/>
  <c r="L798" i="2" s="1"/>
  <c r="Y797" i="2"/>
  <c r="V797" i="2"/>
  <c r="S797" i="2"/>
  <c r="M797" i="2"/>
  <c r="Y796" i="2"/>
  <c r="V796" i="2"/>
  <c r="S796" i="2"/>
  <c r="P795" i="2" s="1"/>
  <c r="M796" i="2"/>
  <c r="W795" i="2"/>
  <c r="T795" i="2"/>
  <c r="Z795" i="2" s="1"/>
  <c r="N795" i="2"/>
  <c r="M795" i="2"/>
  <c r="J795" i="2"/>
  <c r="L795" i="2" s="1"/>
  <c r="Y794" i="2"/>
  <c r="V794" i="2"/>
  <c r="S794" i="2"/>
  <c r="M794" i="2"/>
  <c r="Y793" i="2"/>
  <c r="V793" i="2"/>
  <c r="S793" i="2"/>
  <c r="P792" i="2" s="1"/>
  <c r="M793" i="2"/>
  <c r="W792" i="2"/>
  <c r="V792" i="2"/>
  <c r="T792" i="2"/>
  <c r="Z792" i="2" s="1"/>
  <c r="N792" i="2"/>
  <c r="M792" i="2"/>
  <c r="J792" i="2"/>
  <c r="L792" i="2" s="1"/>
  <c r="Y791" i="2"/>
  <c r="V791" i="2"/>
  <c r="S791" i="2"/>
  <c r="M791" i="2"/>
  <c r="Y790" i="2"/>
  <c r="V790" i="2"/>
  <c r="S790" i="2"/>
  <c r="P789" i="2" s="1"/>
  <c r="M790" i="2"/>
  <c r="W789" i="2"/>
  <c r="V789" i="2"/>
  <c r="T789" i="2"/>
  <c r="T782" i="2" s="1"/>
  <c r="T781" i="2" s="1"/>
  <c r="N789" i="2"/>
  <c r="M789" i="2"/>
  <c r="J789" i="2"/>
  <c r="L789" i="2" s="1"/>
  <c r="Y788" i="2"/>
  <c r="V788" i="2"/>
  <c r="S788" i="2"/>
  <c r="M788" i="2"/>
  <c r="Y787" i="2"/>
  <c r="V787" i="2"/>
  <c r="S787" i="2"/>
  <c r="M787" i="2"/>
  <c r="Z786" i="2"/>
  <c r="AA786" i="2" s="1"/>
  <c r="Y786" i="2"/>
  <c r="W786" i="2"/>
  <c r="V786" i="2"/>
  <c r="U786" i="2"/>
  <c r="R786" i="2"/>
  <c r="X786" i="2" s="1"/>
  <c r="O786" i="2"/>
  <c r="L786" i="2"/>
  <c r="V785" i="2"/>
  <c r="S785" i="2"/>
  <c r="Y785" i="2" s="1"/>
  <c r="M785" i="2"/>
  <c r="Y784" i="2"/>
  <c r="V784" i="2"/>
  <c r="S784" i="2"/>
  <c r="M784" i="2"/>
  <c r="Z783" i="2"/>
  <c r="Y783" i="2"/>
  <c r="X783" i="2"/>
  <c r="W783" i="2"/>
  <c r="V783" i="2"/>
  <c r="U783" i="2"/>
  <c r="R783" i="2"/>
  <c r="O783" i="2"/>
  <c r="L783" i="2"/>
  <c r="Y780" i="2"/>
  <c r="V780" i="2"/>
  <c r="S780" i="2"/>
  <c r="M780" i="2"/>
  <c r="V779" i="2"/>
  <c r="S779" i="2"/>
  <c r="Y779" i="2" s="1"/>
  <c r="M779" i="2"/>
  <c r="V778" i="2"/>
  <c r="S778" i="2"/>
  <c r="Y778" i="2" s="1"/>
  <c r="M778" i="2"/>
  <c r="V777" i="2"/>
  <c r="S777" i="2"/>
  <c r="Y777" i="2" s="1"/>
  <c r="M777" i="2"/>
  <c r="Z776" i="2"/>
  <c r="Y776" i="2"/>
  <c r="AA776" i="2" s="1"/>
  <c r="W776" i="2"/>
  <c r="V776" i="2"/>
  <c r="U776" i="2"/>
  <c r="R776" i="2"/>
  <c r="X776" i="2" s="1"/>
  <c r="O776" i="2"/>
  <c r="L776" i="2"/>
  <c r="Y775" i="2"/>
  <c r="V775" i="2"/>
  <c r="S775" i="2"/>
  <c r="M775" i="2"/>
  <c r="Y774" i="2"/>
  <c r="V774" i="2"/>
  <c r="S774" i="2"/>
  <c r="M774" i="2"/>
  <c r="Y773" i="2"/>
  <c r="V773" i="2"/>
  <c r="S773" i="2"/>
  <c r="M773" i="2"/>
  <c r="Y772" i="2"/>
  <c r="V772" i="2"/>
  <c r="S772" i="2"/>
  <c r="M772" i="2"/>
  <c r="Z771" i="2"/>
  <c r="AA771" i="2" s="1"/>
  <c r="Y771" i="2"/>
  <c r="W771" i="2"/>
  <c r="V771" i="2"/>
  <c r="U771" i="2"/>
  <c r="R771" i="2"/>
  <c r="X771" i="2" s="1"/>
  <c r="O771" i="2"/>
  <c r="L771" i="2"/>
  <c r="V770" i="2"/>
  <c r="S770" i="2"/>
  <c r="Y770" i="2" s="1"/>
  <c r="M770" i="2"/>
  <c r="V769" i="2"/>
  <c r="S769" i="2"/>
  <c r="Y769" i="2" s="1"/>
  <c r="M769" i="2"/>
  <c r="V768" i="2"/>
  <c r="S768" i="2"/>
  <c r="Y768" i="2" s="1"/>
  <c r="M768" i="2"/>
  <c r="V767" i="2"/>
  <c r="S767" i="2"/>
  <c r="Y767" i="2" s="1"/>
  <c r="M767" i="2"/>
  <c r="Z766" i="2"/>
  <c r="Y766" i="2"/>
  <c r="AA766" i="2" s="1"/>
  <c r="X766" i="2"/>
  <c r="W766" i="2"/>
  <c r="V766" i="2"/>
  <c r="U766" i="2"/>
  <c r="R766" i="2"/>
  <c r="O766" i="2"/>
  <c r="L766" i="2"/>
  <c r="Y765" i="2"/>
  <c r="V765" i="2"/>
  <c r="S765" i="2"/>
  <c r="M765" i="2"/>
  <c r="Y764" i="2"/>
  <c r="V764" i="2"/>
  <c r="S764" i="2"/>
  <c r="M764" i="2"/>
  <c r="Y763" i="2"/>
  <c r="V763" i="2"/>
  <c r="S763" i="2"/>
  <c r="M763" i="2"/>
  <c r="Y762" i="2"/>
  <c r="V762" i="2"/>
  <c r="S762" i="2"/>
  <c r="M762" i="2"/>
  <c r="Z761" i="2"/>
  <c r="AA761" i="2" s="1"/>
  <c r="Y761" i="2"/>
  <c r="X761" i="2"/>
  <c r="W761" i="2"/>
  <c r="V761" i="2"/>
  <c r="U761" i="2"/>
  <c r="R761" i="2"/>
  <c r="O761" i="2"/>
  <c r="L761" i="2"/>
  <c r="V760" i="2"/>
  <c r="S760" i="2"/>
  <c r="Y760" i="2" s="1"/>
  <c r="M760" i="2"/>
  <c r="W759" i="2"/>
  <c r="V759" i="2"/>
  <c r="T759" i="2"/>
  <c r="Z759" i="2" s="1"/>
  <c r="P759" i="2"/>
  <c r="O759" i="2"/>
  <c r="N759" i="2"/>
  <c r="M759" i="2"/>
  <c r="J759" i="2"/>
  <c r="L759" i="2" s="1"/>
  <c r="V758" i="2"/>
  <c r="S758" i="2"/>
  <c r="M758" i="2"/>
  <c r="W757" i="2"/>
  <c r="T757" i="2"/>
  <c r="Z757" i="2" s="1"/>
  <c r="N757" i="2"/>
  <c r="J757" i="2"/>
  <c r="M757" i="2" s="1"/>
  <c r="O757" i="2" s="1"/>
  <c r="V756" i="2"/>
  <c r="S756" i="2"/>
  <c r="Y756" i="2" s="1"/>
  <c r="M756" i="2"/>
  <c r="V755" i="2"/>
  <c r="S755" i="2"/>
  <c r="M755" i="2"/>
  <c r="W754" i="2"/>
  <c r="T754" i="2"/>
  <c r="Z754" i="2" s="1"/>
  <c r="N754" i="2"/>
  <c r="J754" i="2"/>
  <c r="M754" i="2" s="1"/>
  <c r="O754" i="2" s="1"/>
  <c r="V753" i="2"/>
  <c r="S753" i="2"/>
  <c r="Y753" i="2" s="1"/>
  <c r="M753" i="2"/>
  <c r="V752" i="2"/>
  <c r="S752" i="2"/>
  <c r="M752" i="2"/>
  <c r="J750" i="2" s="1"/>
  <c r="L750" i="2" s="1"/>
  <c r="V751" i="2"/>
  <c r="S751" i="2"/>
  <c r="Y751" i="2" s="1"/>
  <c r="M751" i="2"/>
  <c r="W750" i="2"/>
  <c r="T750" i="2"/>
  <c r="Z750" i="2" s="1"/>
  <c r="N750" i="2"/>
  <c r="M750" i="2"/>
  <c r="O750" i="2" s="1"/>
  <c r="V749" i="2"/>
  <c r="S749" i="2"/>
  <c r="Y749" i="2" s="1"/>
  <c r="M749" i="2"/>
  <c r="V748" i="2"/>
  <c r="S748" i="2"/>
  <c r="Y748" i="2" s="1"/>
  <c r="M748" i="2"/>
  <c r="V747" i="2"/>
  <c r="S747" i="2"/>
  <c r="Y747" i="2" s="1"/>
  <c r="M747" i="2"/>
  <c r="V746" i="2"/>
  <c r="S746" i="2"/>
  <c r="Y746" i="2" s="1"/>
  <c r="M746" i="2"/>
  <c r="W745" i="2"/>
  <c r="T745" i="2"/>
  <c r="Z745" i="2" s="1"/>
  <c r="P745" i="2"/>
  <c r="N745" i="2"/>
  <c r="V744" i="2"/>
  <c r="S744" i="2"/>
  <c r="Y744" i="2" s="1"/>
  <c r="M744" i="2"/>
  <c r="J742" i="2" s="1"/>
  <c r="L742" i="2" s="1"/>
  <c r="V743" i="2"/>
  <c r="S743" i="2"/>
  <c r="Y743" i="2" s="1"/>
  <c r="M743" i="2"/>
  <c r="W742" i="2"/>
  <c r="T742" i="2"/>
  <c r="Z742" i="2" s="1"/>
  <c r="P742" i="2"/>
  <c r="N742" i="2"/>
  <c r="V741" i="2"/>
  <c r="S741" i="2"/>
  <c r="Y741" i="2" s="1"/>
  <c r="M741" i="2"/>
  <c r="V740" i="2"/>
  <c r="S740" i="2"/>
  <c r="Y740" i="2" s="1"/>
  <c r="M740" i="2"/>
  <c r="V739" i="2"/>
  <c r="S739" i="2"/>
  <c r="Y739" i="2" s="1"/>
  <c r="M739" i="2"/>
  <c r="V738" i="2"/>
  <c r="S738" i="2"/>
  <c r="Y738" i="2" s="1"/>
  <c r="M738" i="2"/>
  <c r="W737" i="2"/>
  <c r="T737" i="2"/>
  <c r="Z737" i="2" s="1"/>
  <c r="P737" i="2"/>
  <c r="V737" i="2" s="1"/>
  <c r="N737" i="2"/>
  <c r="V736" i="2"/>
  <c r="S736" i="2"/>
  <c r="Y736" i="2" s="1"/>
  <c r="M736" i="2"/>
  <c r="V735" i="2"/>
  <c r="S735" i="2"/>
  <c r="Y735" i="2" s="1"/>
  <c r="M735" i="2"/>
  <c r="V734" i="2"/>
  <c r="S734" i="2"/>
  <c r="Y734" i="2" s="1"/>
  <c r="M734" i="2"/>
  <c r="J732" i="2" s="1"/>
  <c r="V733" i="2"/>
  <c r="S733" i="2"/>
  <c r="Y733" i="2" s="1"/>
  <c r="M733" i="2"/>
  <c r="W732" i="2"/>
  <c r="T732" i="2"/>
  <c r="Z732" i="2" s="1"/>
  <c r="N732" i="2"/>
  <c r="V731" i="2"/>
  <c r="S731" i="2"/>
  <c r="Y731" i="2" s="1"/>
  <c r="M731" i="2"/>
  <c r="V730" i="2"/>
  <c r="S730" i="2"/>
  <c r="Y730" i="2" s="1"/>
  <c r="M730" i="2"/>
  <c r="V729" i="2"/>
  <c r="S729" i="2"/>
  <c r="Y729" i="2" s="1"/>
  <c r="M729" i="2"/>
  <c r="V728" i="2"/>
  <c r="S728" i="2"/>
  <c r="Y728" i="2" s="1"/>
  <c r="M728" i="2"/>
  <c r="W727" i="2"/>
  <c r="T727" i="2"/>
  <c r="Z727" i="2" s="1"/>
  <c r="P727" i="2"/>
  <c r="N727" i="2"/>
  <c r="V726" i="2"/>
  <c r="S726" i="2"/>
  <c r="Y726" i="2" s="1"/>
  <c r="M726" i="2"/>
  <c r="V725" i="2"/>
  <c r="S725" i="2"/>
  <c r="Y725" i="2" s="1"/>
  <c r="M725" i="2"/>
  <c r="V724" i="2"/>
  <c r="S724" i="2"/>
  <c r="M724" i="2"/>
  <c r="V723" i="2"/>
  <c r="S723" i="2"/>
  <c r="Y723" i="2" s="1"/>
  <c r="M723" i="2"/>
  <c r="W722" i="2"/>
  <c r="T722" i="2"/>
  <c r="Z722" i="2" s="1"/>
  <c r="N722" i="2"/>
  <c r="V721" i="2"/>
  <c r="S721" i="2"/>
  <c r="Y721" i="2" s="1"/>
  <c r="M721" i="2"/>
  <c r="V720" i="2"/>
  <c r="S720" i="2"/>
  <c r="Y720" i="2" s="1"/>
  <c r="M720" i="2"/>
  <c r="V719" i="2"/>
  <c r="S719" i="2"/>
  <c r="Y719" i="2" s="1"/>
  <c r="M719" i="2"/>
  <c r="V718" i="2"/>
  <c r="S718" i="2"/>
  <c r="Y718" i="2" s="1"/>
  <c r="M718" i="2"/>
  <c r="W717" i="2"/>
  <c r="T717" i="2"/>
  <c r="Z717" i="2" s="1"/>
  <c r="P717" i="2"/>
  <c r="N717" i="2"/>
  <c r="V716" i="2"/>
  <c r="S716" i="2"/>
  <c r="Y716" i="2" s="1"/>
  <c r="M716" i="2"/>
  <c r="V715" i="2"/>
  <c r="S715" i="2"/>
  <c r="Y715" i="2" s="1"/>
  <c r="M715" i="2"/>
  <c r="V714" i="2"/>
  <c r="S714" i="2"/>
  <c r="Y714" i="2" s="1"/>
  <c r="M714" i="2"/>
  <c r="V713" i="2"/>
  <c r="S713" i="2"/>
  <c r="Y713" i="2" s="1"/>
  <c r="M713" i="2"/>
  <c r="W712" i="2"/>
  <c r="T712" i="2"/>
  <c r="Z712" i="2" s="1"/>
  <c r="P712" i="2"/>
  <c r="N712" i="2"/>
  <c r="N711" i="2"/>
  <c r="V710" i="2"/>
  <c r="S710" i="2"/>
  <c r="Y710" i="2" s="1"/>
  <c r="M710" i="2"/>
  <c r="Y709" i="2"/>
  <c r="V709" i="2"/>
  <c r="S709" i="2"/>
  <c r="M709" i="2"/>
  <c r="V708" i="2"/>
  <c r="S708" i="2"/>
  <c r="Y708" i="2" s="1"/>
  <c r="M708" i="2"/>
  <c r="J706" i="2" s="1"/>
  <c r="Y707" i="2"/>
  <c r="V707" i="2"/>
  <c r="S707" i="2"/>
  <c r="M707" i="2"/>
  <c r="Z706" i="2"/>
  <c r="W706" i="2"/>
  <c r="T706" i="2"/>
  <c r="P706" i="2"/>
  <c r="N706" i="2"/>
  <c r="V705" i="2"/>
  <c r="S705" i="2"/>
  <c r="Y705" i="2" s="1"/>
  <c r="M705" i="2"/>
  <c r="Y704" i="2"/>
  <c r="V704" i="2"/>
  <c r="S704" i="2"/>
  <c r="M704" i="2"/>
  <c r="V703" i="2"/>
  <c r="S703" i="2"/>
  <c r="Y703" i="2" s="1"/>
  <c r="M703" i="2"/>
  <c r="J701" i="2" s="1"/>
  <c r="Y702" i="2"/>
  <c r="V702" i="2"/>
  <c r="S702" i="2"/>
  <c r="M702" i="2"/>
  <c r="Z701" i="2"/>
  <c r="W701" i="2"/>
  <c r="T701" i="2"/>
  <c r="R701" i="2"/>
  <c r="X701" i="2" s="1"/>
  <c r="P701" i="2"/>
  <c r="N701" i="2"/>
  <c r="V700" i="2"/>
  <c r="S700" i="2"/>
  <c r="Y700" i="2" s="1"/>
  <c r="M700" i="2"/>
  <c r="Y699" i="2"/>
  <c r="V699" i="2"/>
  <c r="S699" i="2"/>
  <c r="M699" i="2"/>
  <c r="V698" i="2"/>
  <c r="S698" i="2"/>
  <c r="Y698" i="2" s="1"/>
  <c r="M698" i="2"/>
  <c r="J696" i="2" s="1"/>
  <c r="Y697" i="2"/>
  <c r="V697" i="2"/>
  <c r="S697" i="2"/>
  <c r="M697" i="2"/>
  <c r="Z696" i="2"/>
  <c r="W696" i="2"/>
  <c r="T696" i="2"/>
  <c r="N696" i="2"/>
  <c r="V695" i="2"/>
  <c r="S695" i="2"/>
  <c r="Y695" i="2" s="1"/>
  <c r="M695" i="2"/>
  <c r="Y694" i="2"/>
  <c r="V694" i="2"/>
  <c r="S694" i="2"/>
  <c r="M694" i="2"/>
  <c r="V693" i="2"/>
  <c r="S693" i="2"/>
  <c r="Y693" i="2" s="1"/>
  <c r="M693" i="2"/>
  <c r="J691" i="2" s="1"/>
  <c r="Y692" i="2"/>
  <c r="V692" i="2"/>
  <c r="S692" i="2"/>
  <c r="M692" i="2"/>
  <c r="Z691" i="2"/>
  <c r="W691" i="2"/>
  <c r="T691" i="2"/>
  <c r="N691" i="2"/>
  <c r="V690" i="2"/>
  <c r="S690" i="2"/>
  <c r="Y690" i="2" s="1"/>
  <c r="M690" i="2"/>
  <c r="Y689" i="2"/>
  <c r="V689" i="2"/>
  <c r="S689" i="2"/>
  <c r="M689" i="2"/>
  <c r="V688" i="2"/>
  <c r="S688" i="2"/>
  <c r="Y688" i="2" s="1"/>
  <c r="M688" i="2"/>
  <c r="Y687" i="2"/>
  <c r="V687" i="2"/>
  <c r="S687" i="2"/>
  <c r="M687" i="2"/>
  <c r="Z686" i="2"/>
  <c r="Y686" i="2"/>
  <c r="AA686" i="2" s="1"/>
  <c r="X686" i="2"/>
  <c r="W686" i="2"/>
  <c r="V686" i="2"/>
  <c r="U686" i="2"/>
  <c r="R686" i="2"/>
  <c r="O686" i="2"/>
  <c r="L686" i="2"/>
  <c r="Y685" i="2"/>
  <c r="V685" i="2"/>
  <c r="S685" i="2"/>
  <c r="M685" i="2"/>
  <c r="Y684" i="2"/>
  <c r="V684" i="2"/>
  <c r="S684" i="2"/>
  <c r="M684" i="2"/>
  <c r="Y683" i="2"/>
  <c r="V683" i="2"/>
  <c r="S683" i="2"/>
  <c r="M683" i="2"/>
  <c r="Y682" i="2"/>
  <c r="V682" i="2"/>
  <c r="S682" i="2"/>
  <c r="M682" i="2"/>
  <c r="AA681" i="2"/>
  <c r="Z681" i="2"/>
  <c r="Y681" i="2"/>
  <c r="W681" i="2"/>
  <c r="V681" i="2"/>
  <c r="U681" i="2"/>
  <c r="R681" i="2"/>
  <c r="X681" i="2" s="1"/>
  <c r="O681" i="2"/>
  <c r="L681" i="2"/>
  <c r="Y680" i="2"/>
  <c r="V680" i="2"/>
  <c r="S680" i="2"/>
  <c r="M680" i="2"/>
  <c r="V679" i="2"/>
  <c r="S679" i="2"/>
  <c r="Y679" i="2" s="1"/>
  <c r="M679" i="2"/>
  <c r="Y678" i="2"/>
  <c r="V678" i="2"/>
  <c r="S678" i="2"/>
  <c r="M678" i="2"/>
  <c r="V677" i="2"/>
  <c r="S677" i="2"/>
  <c r="Y677" i="2" s="1"/>
  <c r="M677" i="2"/>
  <c r="AA676" i="2"/>
  <c r="Z676" i="2"/>
  <c r="Y676" i="2"/>
  <c r="W676" i="2"/>
  <c r="V676" i="2"/>
  <c r="U676" i="2"/>
  <c r="R676" i="2"/>
  <c r="X676" i="2" s="1"/>
  <c r="O676" i="2"/>
  <c r="L676" i="2"/>
  <c r="Y675" i="2"/>
  <c r="V675" i="2"/>
  <c r="S675" i="2"/>
  <c r="M675" i="2"/>
  <c r="V674" i="2"/>
  <c r="S674" i="2"/>
  <c r="Y674" i="2" s="1"/>
  <c r="M674" i="2"/>
  <c r="Y673" i="2"/>
  <c r="V673" i="2"/>
  <c r="S673" i="2"/>
  <c r="M673" i="2"/>
  <c r="V672" i="2"/>
  <c r="S672" i="2"/>
  <c r="Y672" i="2" s="1"/>
  <c r="M672" i="2"/>
  <c r="AA671" i="2"/>
  <c r="Z671" i="2"/>
  <c r="Y671" i="2"/>
  <c r="X671" i="2"/>
  <c r="W671" i="2"/>
  <c r="V671" i="2"/>
  <c r="U671" i="2"/>
  <c r="R671" i="2"/>
  <c r="O671" i="2"/>
  <c r="L671" i="2"/>
  <c r="V670" i="2"/>
  <c r="S670" i="2"/>
  <c r="Y670" i="2" s="1"/>
  <c r="M670" i="2"/>
  <c r="Y669" i="2"/>
  <c r="V669" i="2"/>
  <c r="S669" i="2"/>
  <c r="M669" i="2"/>
  <c r="V668" i="2"/>
  <c r="S668" i="2"/>
  <c r="Y668" i="2" s="1"/>
  <c r="M668" i="2"/>
  <c r="Y667" i="2"/>
  <c r="V667" i="2"/>
  <c r="S667" i="2"/>
  <c r="M667" i="2"/>
  <c r="Z666" i="2"/>
  <c r="Y666" i="2"/>
  <c r="X666" i="2"/>
  <c r="W666" i="2"/>
  <c r="V666" i="2"/>
  <c r="U666" i="2"/>
  <c r="R666" i="2"/>
  <c r="O666" i="2"/>
  <c r="L666" i="2"/>
  <c r="Y665" i="2"/>
  <c r="V665" i="2"/>
  <c r="S665" i="2"/>
  <c r="M665" i="2"/>
  <c r="Y664" i="2"/>
  <c r="V664" i="2"/>
  <c r="S664" i="2"/>
  <c r="M664" i="2"/>
  <c r="Y663" i="2"/>
  <c r="V663" i="2"/>
  <c r="S663" i="2"/>
  <c r="M663" i="2"/>
  <c r="Y662" i="2"/>
  <c r="V662" i="2"/>
  <c r="S662" i="2"/>
  <c r="M662" i="2"/>
  <c r="AA661" i="2"/>
  <c r="Z661" i="2"/>
  <c r="Y661" i="2"/>
  <c r="W661" i="2"/>
  <c r="V661" i="2"/>
  <c r="U661" i="2"/>
  <c r="R661" i="2"/>
  <c r="X661" i="2" s="1"/>
  <c r="O661" i="2"/>
  <c r="L661" i="2"/>
  <c r="Y660" i="2"/>
  <c r="V660" i="2"/>
  <c r="S660" i="2"/>
  <c r="M660" i="2"/>
  <c r="V659" i="2"/>
  <c r="S659" i="2"/>
  <c r="Y659" i="2" s="1"/>
  <c r="M659" i="2"/>
  <c r="Y658" i="2"/>
  <c r="V658" i="2"/>
  <c r="S658" i="2"/>
  <c r="M658" i="2"/>
  <c r="V657" i="2"/>
  <c r="S657" i="2"/>
  <c r="Y657" i="2" s="1"/>
  <c r="M657" i="2"/>
  <c r="AA656" i="2"/>
  <c r="Z656" i="2"/>
  <c r="Y656" i="2"/>
  <c r="W656" i="2"/>
  <c r="V656" i="2"/>
  <c r="U656" i="2"/>
  <c r="R656" i="2"/>
  <c r="X656" i="2" s="1"/>
  <c r="O656" i="2"/>
  <c r="L656" i="2"/>
  <c r="Y655" i="2"/>
  <c r="V655" i="2"/>
  <c r="S655" i="2"/>
  <c r="M655" i="2"/>
  <c r="Y654" i="2"/>
  <c r="V654" i="2"/>
  <c r="S654" i="2"/>
  <c r="M654" i="2"/>
  <c r="Y653" i="2"/>
  <c r="V653" i="2"/>
  <c r="S653" i="2"/>
  <c r="M653" i="2"/>
  <c r="Y652" i="2"/>
  <c r="V652" i="2"/>
  <c r="S652" i="2"/>
  <c r="M652" i="2"/>
  <c r="AA651" i="2"/>
  <c r="Z651" i="2"/>
  <c r="Y651" i="2"/>
  <c r="X651" i="2"/>
  <c r="W651" i="2"/>
  <c r="V651" i="2"/>
  <c r="U651" i="2"/>
  <c r="R651" i="2"/>
  <c r="O651" i="2"/>
  <c r="L651" i="2"/>
  <c r="V650" i="2"/>
  <c r="S650" i="2"/>
  <c r="Y650" i="2" s="1"/>
  <c r="M650" i="2"/>
  <c r="Y649" i="2"/>
  <c r="V649" i="2"/>
  <c r="S649" i="2"/>
  <c r="M649" i="2"/>
  <c r="V648" i="2"/>
  <c r="S648" i="2"/>
  <c r="Y648" i="2" s="1"/>
  <c r="M648" i="2"/>
  <c r="J646" i="2" s="1"/>
  <c r="Y647" i="2"/>
  <c r="V647" i="2"/>
  <c r="S647" i="2"/>
  <c r="M647" i="2"/>
  <c r="Z646" i="2"/>
  <c r="W646" i="2"/>
  <c r="T646" i="2"/>
  <c r="P646" i="2"/>
  <c r="N646" i="2"/>
  <c r="V645" i="2"/>
  <c r="S645" i="2"/>
  <c r="Y645" i="2" s="1"/>
  <c r="M645" i="2"/>
  <c r="Y644" i="2"/>
  <c r="V644" i="2"/>
  <c r="S644" i="2"/>
  <c r="M644" i="2"/>
  <c r="V643" i="2"/>
  <c r="S643" i="2"/>
  <c r="M643" i="2"/>
  <c r="J641" i="2" s="1"/>
  <c r="Y642" i="2"/>
  <c r="V642" i="2"/>
  <c r="S642" i="2"/>
  <c r="M642" i="2"/>
  <c r="Z641" i="2"/>
  <c r="W641" i="2"/>
  <c r="T641" i="2"/>
  <c r="N641" i="2"/>
  <c r="V640" i="2"/>
  <c r="S640" i="2"/>
  <c r="Y640" i="2" s="1"/>
  <c r="M640" i="2"/>
  <c r="Y639" i="2"/>
  <c r="V639" i="2"/>
  <c r="S639" i="2"/>
  <c r="M639" i="2"/>
  <c r="V638" i="2"/>
  <c r="S638" i="2"/>
  <c r="Y638" i="2" s="1"/>
  <c r="M638" i="2"/>
  <c r="J636" i="2" s="1"/>
  <c r="Y637" i="2"/>
  <c r="V637" i="2"/>
  <c r="S637" i="2"/>
  <c r="M637" i="2"/>
  <c r="Z636" i="2"/>
  <c r="W636" i="2"/>
  <c r="T636" i="2"/>
  <c r="P636" i="2"/>
  <c r="N636" i="2"/>
  <c r="N482" i="2" s="1"/>
  <c r="V635" i="2"/>
  <c r="S635" i="2"/>
  <c r="Y635" i="2" s="1"/>
  <c r="M635" i="2"/>
  <c r="Y634" i="2"/>
  <c r="V634" i="2"/>
  <c r="S634" i="2"/>
  <c r="M634" i="2"/>
  <c r="V633" i="2"/>
  <c r="S633" i="2"/>
  <c r="Y633" i="2" s="1"/>
  <c r="M633" i="2"/>
  <c r="J631" i="2" s="1"/>
  <c r="Y632" i="2"/>
  <c r="V632" i="2"/>
  <c r="S632" i="2"/>
  <c r="M632" i="2"/>
  <c r="Z631" i="2"/>
  <c r="W631" i="2"/>
  <c r="T631" i="2"/>
  <c r="R631" i="2"/>
  <c r="X631" i="2" s="1"/>
  <c r="P631" i="2"/>
  <c r="N631" i="2"/>
  <c r="V630" i="2"/>
  <c r="S630" i="2"/>
  <c r="Y630" i="2" s="1"/>
  <c r="M630" i="2"/>
  <c r="Y629" i="2"/>
  <c r="V629" i="2"/>
  <c r="S629" i="2"/>
  <c r="M629" i="2"/>
  <c r="V628" i="2"/>
  <c r="S628" i="2"/>
  <c r="Y628" i="2" s="1"/>
  <c r="M628" i="2"/>
  <c r="Y627" i="2"/>
  <c r="V627" i="2"/>
  <c r="S627" i="2"/>
  <c r="M627" i="2"/>
  <c r="Z626" i="2"/>
  <c r="Y626" i="2"/>
  <c r="AA626" i="2" s="1"/>
  <c r="X626" i="2"/>
  <c r="W626" i="2"/>
  <c r="V626" i="2"/>
  <c r="U626" i="2"/>
  <c r="R626" i="2"/>
  <c r="O626" i="2"/>
  <c r="L626" i="2"/>
  <c r="V625" i="2"/>
  <c r="S625" i="2"/>
  <c r="Y625" i="2" s="1"/>
  <c r="M625" i="2"/>
  <c r="Y624" i="2"/>
  <c r="V624" i="2"/>
  <c r="S624" i="2"/>
  <c r="M624" i="2"/>
  <c r="V623" i="2"/>
  <c r="S623" i="2"/>
  <c r="Y623" i="2" s="1"/>
  <c r="M623" i="2"/>
  <c r="Y622" i="2"/>
  <c r="V622" i="2"/>
  <c r="S622" i="2"/>
  <c r="M622" i="2"/>
  <c r="Z621" i="2"/>
  <c r="Y621" i="2"/>
  <c r="AA621" i="2" s="1"/>
  <c r="W621" i="2"/>
  <c r="V621" i="2"/>
  <c r="U621" i="2"/>
  <c r="R621" i="2"/>
  <c r="X621" i="2" s="1"/>
  <c r="O621" i="2"/>
  <c r="L621" i="2"/>
  <c r="V620" i="2"/>
  <c r="S620" i="2"/>
  <c r="Y620" i="2" s="1"/>
  <c r="M620" i="2"/>
  <c r="V619" i="2"/>
  <c r="S619" i="2"/>
  <c r="Y619" i="2" s="1"/>
  <c r="M619" i="2"/>
  <c r="V618" i="2"/>
  <c r="S618" i="2"/>
  <c r="Y618" i="2" s="1"/>
  <c r="M618" i="2"/>
  <c r="V617" i="2"/>
  <c r="S617" i="2"/>
  <c r="Y617" i="2" s="1"/>
  <c r="M617" i="2"/>
  <c r="AA616" i="2"/>
  <c r="Z616" i="2"/>
  <c r="Y616" i="2"/>
  <c r="W616" i="2"/>
  <c r="V616" i="2"/>
  <c r="U616" i="2"/>
  <c r="R616" i="2"/>
  <c r="X616" i="2" s="1"/>
  <c r="O616" i="2"/>
  <c r="L616" i="2"/>
  <c r="Y615" i="2"/>
  <c r="V615" i="2"/>
  <c r="S615" i="2"/>
  <c r="M615" i="2"/>
  <c r="V614" i="2"/>
  <c r="S614" i="2"/>
  <c r="Y614" i="2" s="1"/>
  <c r="M614" i="2"/>
  <c r="Y613" i="2"/>
  <c r="V613" i="2"/>
  <c r="S613" i="2"/>
  <c r="M613" i="2"/>
  <c r="V612" i="2"/>
  <c r="S612" i="2"/>
  <c r="Y612" i="2" s="1"/>
  <c r="M612" i="2"/>
  <c r="AA611" i="2"/>
  <c r="Z611" i="2"/>
  <c r="Y611" i="2"/>
  <c r="X611" i="2"/>
  <c r="W611" i="2"/>
  <c r="V611" i="2"/>
  <c r="U611" i="2"/>
  <c r="R611" i="2"/>
  <c r="O611" i="2"/>
  <c r="L611" i="2"/>
  <c r="V610" i="2"/>
  <c r="S610" i="2"/>
  <c r="Y610" i="2" s="1"/>
  <c r="M610" i="2"/>
  <c r="V609" i="2"/>
  <c r="S609" i="2"/>
  <c r="Y609" i="2" s="1"/>
  <c r="M609" i="2"/>
  <c r="V608" i="2"/>
  <c r="S608" i="2"/>
  <c r="Y608" i="2" s="1"/>
  <c r="M608" i="2"/>
  <c r="V607" i="2"/>
  <c r="S607" i="2"/>
  <c r="Y607" i="2" s="1"/>
  <c r="M607" i="2"/>
  <c r="Z606" i="2"/>
  <c r="Y606" i="2"/>
  <c r="X606" i="2"/>
  <c r="W606" i="2"/>
  <c r="V606" i="2"/>
  <c r="U606" i="2"/>
  <c r="R606" i="2"/>
  <c r="O606" i="2"/>
  <c r="L606" i="2"/>
  <c r="V605" i="2"/>
  <c r="S605" i="2"/>
  <c r="Y605" i="2" s="1"/>
  <c r="M605" i="2"/>
  <c r="Y604" i="2"/>
  <c r="V604" i="2"/>
  <c r="S604" i="2"/>
  <c r="M604" i="2"/>
  <c r="V603" i="2"/>
  <c r="S603" i="2"/>
  <c r="Y603" i="2" s="1"/>
  <c r="M603" i="2"/>
  <c r="Y602" i="2"/>
  <c r="V602" i="2"/>
  <c r="S602" i="2"/>
  <c r="M602" i="2"/>
  <c r="Z601" i="2"/>
  <c r="Y601" i="2"/>
  <c r="AA601" i="2" s="1"/>
  <c r="W601" i="2"/>
  <c r="V601" i="2"/>
  <c r="U601" i="2"/>
  <c r="R601" i="2"/>
  <c r="X601" i="2" s="1"/>
  <c r="O601" i="2"/>
  <c r="L601" i="2"/>
  <c r="Y600" i="2"/>
  <c r="V600" i="2"/>
  <c r="S600" i="2"/>
  <c r="M600" i="2"/>
  <c r="V599" i="2"/>
  <c r="S599" i="2"/>
  <c r="Y599" i="2" s="1"/>
  <c r="M599" i="2"/>
  <c r="W598" i="2"/>
  <c r="T598" i="2"/>
  <c r="Z598" i="2" s="1"/>
  <c r="P598" i="2"/>
  <c r="R598" i="2" s="1"/>
  <c r="X598" i="2" s="1"/>
  <c r="N598" i="2"/>
  <c r="M598" i="2"/>
  <c r="O598" i="2" s="1"/>
  <c r="L598" i="2"/>
  <c r="J598" i="2"/>
  <c r="V597" i="2"/>
  <c r="S597" i="2"/>
  <c r="Y597" i="2" s="1"/>
  <c r="M597" i="2"/>
  <c r="V596" i="2"/>
  <c r="S596" i="2"/>
  <c r="Y596" i="2" s="1"/>
  <c r="M596" i="2"/>
  <c r="Z595" i="2"/>
  <c r="Y595" i="2"/>
  <c r="AA595" i="2" s="1"/>
  <c r="W595" i="2"/>
  <c r="V595" i="2"/>
  <c r="U595" i="2"/>
  <c r="R595" i="2"/>
  <c r="X595" i="2" s="1"/>
  <c r="O595" i="2"/>
  <c r="L595" i="2"/>
  <c r="Y594" i="2"/>
  <c r="V594" i="2"/>
  <c r="S594" i="2"/>
  <c r="M594" i="2"/>
  <c r="V593" i="2"/>
  <c r="S593" i="2"/>
  <c r="Y593" i="2" s="1"/>
  <c r="M593" i="2"/>
  <c r="AA592" i="2"/>
  <c r="Z592" i="2"/>
  <c r="Y592" i="2"/>
  <c r="X592" i="2"/>
  <c r="W592" i="2"/>
  <c r="V592" i="2"/>
  <c r="U592" i="2"/>
  <c r="R592" i="2"/>
  <c r="O592" i="2"/>
  <c r="L592" i="2"/>
  <c r="V591" i="2"/>
  <c r="S591" i="2"/>
  <c r="Y591" i="2" s="1"/>
  <c r="M591" i="2"/>
  <c r="J589" i="2" s="1"/>
  <c r="M589" i="2" s="1"/>
  <c r="O589" i="2" s="1"/>
  <c r="Y590" i="2"/>
  <c r="V590" i="2"/>
  <c r="S590" i="2"/>
  <c r="M590" i="2"/>
  <c r="Z589" i="2"/>
  <c r="W589" i="2"/>
  <c r="T589" i="2"/>
  <c r="N589" i="2"/>
  <c r="L589" i="2"/>
  <c r="V588" i="2"/>
  <c r="S588" i="2"/>
  <c r="Y588" i="2" s="1"/>
  <c r="M588" i="2"/>
  <c r="J586" i="2" s="1"/>
  <c r="M586" i="2" s="1"/>
  <c r="O586" i="2" s="1"/>
  <c r="Y587" i="2"/>
  <c r="V587" i="2"/>
  <c r="S587" i="2"/>
  <c r="M587" i="2"/>
  <c r="Z586" i="2"/>
  <c r="W586" i="2"/>
  <c r="T586" i="2"/>
  <c r="N586" i="2"/>
  <c r="L586" i="2"/>
  <c r="V585" i="2"/>
  <c r="S585" i="2"/>
  <c r="Y585" i="2" s="1"/>
  <c r="M585" i="2"/>
  <c r="J583" i="2" s="1"/>
  <c r="M583" i="2" s="1"/>
  <c r="O583" i="2" s="1"/>
  <c r="Y584" i="2"/>
  <c r="V584" i="2"/>
  <c r="S584" i="2"/>
  <c r="M584" i="2"/>
  <c r="Z583" i="2"/>
  <c r="W583" i="2"/>
  <c r="T583" i="2"/>
  <c r="N583" i="2"/>
  <c r="L583" i="2"/>
  <c r="V582" i="2"/>
  <c r="S582" i="2"/>
  <c r="Y582" i="2" s="1"/>
  <c r="M582" i="2"/>
  <c r="J580" i="2" s="1"/>
  <c r="M580" i="2" s="1"/>
  <c r="Y581" i="2"/>
  <c r="V581" i="2"/>
  <c r="S581" i="2"/>
  <c r="M581" i="2"/>
  <c r="Z580" i="2"/>
  <c r="W580" i="2"/>
  <c r="T580" i="2"/>
  <c r="O580" i="2"/>
  <c r="N580" i="2"/>
  <c r="L580" i="2"/>
  <c r="V579" i="2"/>
  <c r="S579" i="2"/>
  <c r="Y579" i="2" s="1"/>
  <c r="M579" i="2"/>
  <c r="J577" i="2" s="1"/>
  <c r="M577" i="2" s="1"/>
  <c r="O577" i="2" s="1"/>
  <c r="V578" i="2"/>
  <c r="S578" i="2"/>
  <c r="M578" i="2"/>
  <c r="Z577" i="2"/>
  <c r="W577" i="2"/>
  <c r="T577" i="2"/>
  <c r="N577" i="2"/>
  <c r="V576" i="2"/>
  <c r="S576" i="2"/>
  <c r="Y576" i="2" s="1"/>
  <c r="M576" i="2"/>
  <c r="V575" i="2"/>
  <c r="S575" i="2"/>
  <c r="Y575" i="2" s="1"/>
  <c r="M575" i="2"/>
  <c r="Z574" i="2"/>
  <c r="W574" i="2"/>
  <c r="T574" i="2"/>
  <c r="T482" i="2" s="1"/>
  <c r="P574" i="2"/>
  <c r="O574" i="2"/>
  <c r="N574" i="2"/>
  <c r="L574" i="2"/>
  <c r="J574" i="2"/>
  <c r="M574" i="2" s="1"/>
  <c r="V573" i="2"/>
  <c r="S573" i="2"/>
  <c r="Y573" i="2" s="1"/>
  <c r="M573" i="2"/>
  <c r="Y572" i="2"/>
  <c r="V572" i="2"/>
  <c r="S572" i="2"/>
  <c r="M572" i="2"/>
  <c r="J571" i="2" s="1"/>
  <c r="L571" i="2" s="1"/>
  <c r="Z571" i="2"/>
  <c r="Y571" i="2"/>
  <c r="AA571" i="2" s="1"/>
  <c r="W571" i="2"/>
  <c r="V571" i="2"/>
  <c r="T571" i="2"/>
  <c r="R571" i="2"/>
  <c r="X571" i="2" s="1"/>
  <c r="P571" i="2"/>
  <c r="S571" i="2" s="1"/>
  <c r="U571" i="2" s="1"/>
  <c r="N571" i="2"/>
  <c r="M571" i="2"/>
  <c r="V570" i="2"/>
  <c r="S570" i="2"/>
  <c r="Y570" i="2" s="1"/>
  <c r="M570" i="2"/>
  <c r="V569" i="2"/>
  <c r="S569" i="2"/>
  <c r="Y569" i="2" s="1"/>
  <c r="M569" i="2"/>
  <c r="Z568" i="2"/>
  <c r="Y568" i="2"/>
  <c r="AA568" i="2" s="1"/>
  <c r="W568" i="2"/>
  <c r="V568" i="2"/>
  <c r="U568" i="2"/>
  <c r="R568" i="2"/>
  <c r="X568" i="2" s="1"/>
  <c r="O568" i="2"/>
  <c r="L568" i="2"/>
  <c r="V567" i="2"/>
  <c r="S567" i="2"/>
  <c r="Y567" i="2" s="1"/>
  <c r="M567" i="2"/>
  <c r="Y566" i="2"/>
  <c r="V566" i="2"/>
  <c r="S566" i="2"/>
  <c r="M566" i="2"/>
  <c r="Z565" i="2"/>
  <c r="Y565" i="2"/>
  <c r="AA565" i="2" s="1"/>
  <c r="X565" i="2"/>
  <c r="W565" i="2"/>
  <c r="V565" i="2"/>
  <c r="U565" i="2"/>
  <c r="R565" i="2"/>
  <c r="O565" i="2"/>
  <c r="L565" i="2"/>
  <c r="V564" i="2"/>
  <c r="S564" i="2"/>
  <c r="Y564" i="2" s="1"/>
  <c r="M564" i="2"/>
  <c r="V563" i="2"/>
  <c r="S563" i="2"/>
  <c r="Y563" i="2" s="1"/>
  <c r="M563" i="2"/>
  <c r="Z562" i="2"/>
  <c r="Y562" i="2"/>
  <c r="AA562" i="2" s="1"/>
  <c r="X562" i="2"/>
  <c r="W562" i="2"/>
  <c r="V562" i="2"/>
  <c r="U562" i="2"/>
  <c r="R562" i="2"/>
  <c r="O562" i="2"/>
  <c r="L562" i="2"/>
  <c r="Y561" i="2"/>
  <c r="V561" i="2"/>
  <c r="S561" i="2"/>
  <c r="M561" i="2"/>
  <c r="V560" i="2"/>
  <c r="S560" i="2"/>
  <c r="Y560" i="2" s="1"/>
  <c r="M560" i="2"/>
  <c r="AA559" i="2"/>
  <c r="Z559" i="2"/>
  <c r="Y559" i="2"/>
  <c r="X559" i="2"/>
  <c r="W559" i="2"/>
  <c r="V559" i="2"/>
  <c r="U559" i="2"/>
  <c r="R559" i="2"/>
  <c r="O559" i="2"/>
  <c r="L559" i="2"/>
  <c r="V558" i="2"/>
  <c r="S558" i="2"/>
  <c r="Y558" i="2" s="1"/>
  <c r="M558" i="2"/>
  <c r="V557" i="2"/>
  <c r="S557" i="2"/>
  <c r="Y557" i="2" s="1"/>
  <c r="M557" i="2"/>
  <c r="Z556" i="2"/>
  <c r="Y556" i="2"/>
  <c r="AA556" i="2" s="1"/>
  <c r="X556" i="2"/>
  <c r="W556" i="2"/>
  <c r="V556" i="2"/>
  <c r="U556" i="2"/>
  <c r="R556" i="2"/>
  <c r="O556" i="2"/>
  <c r="L556" i="2"/>
  <c r="Y555" i="2"/>
  <c r="V555" i="2"/>
  <c r="S555" i="2"/>
  <c r="M555" i="2"/>
  <c r="Y554" i="2"/>
  <c r="V554" i="2"/>
  <c r="S554" i="2"/>
  <c r="M554" i="2"/>
  <c r="Z553" i="2"/>
  <c r="AA553" i="2" s="1"/>
  <c r="Y553" i="2"/>
  <c r="W553" i="2"/>
  <c r="V553" i="2"/>
  <c r="U553" i="2"/>
  <c r="R553" i="2"/>
  <c r="X553" i="2" s="1"/>
  <c r="O553" i="2"/>
  <c r="L553" i="2"/>
  <c r="V552" i="2"/>
  <c r="S552" i="2"/>
  <c r="Y552" i="2" s="1"/>
  <c r="M552" i="2"/>
  <c r="V551" i="2"/>
  <c r="S551" i="2"/>
  <c r="Y551" i="2" s="1"/>
  <c r="M551" i="2"/>
  <c r="AA550" i="2"/>
  <c r="Z550" i="2"/>
  <c r="Y550" i="2"/>
  <c r="W550" i="2"/>
  <c r="V550" i="2"/>
  <c r="U550" i="2"/>
  <c r="R550" i="2"/>
  <c r="X550" i="2" s="1"/>
  <c r="O550" i="2"/>
  <c r="L550" i="2"/>
  <c r="Y549" i="2"/>
  <c r="V549" i="2"/>
  <c r="S549" i="2"/>
  <c r="M549" i="2"/>
  <c r="V548" i="2"/>
  <c r="S548" i="2"/>
  <c r="Y548" i="2" s="1"/>
  <c r="M548" i="2"/>
  <c r="Z547" i="2"/>
  <c r="AA547" i="2" s="1"/>
  <c r="Y547" i="2"/>
  <c r="X547" i="2"/>
  <c r="W547" i="2"/>
  <c r="V547" i="2"/>
  <c r="U547" i="2"/>
  <c r="R547" i="2"/>
  <c r="O547" i="2"/>
  <c r="L547" i="2"/>
  <c r="V546" i="2"/>
  <c r="S546" i="2"/>
  <c r="Y546" i="2" s="1"/>
  <c r="M546" i="2"/>
  <c r="Y545" i="2"/>
  <c r="V545" i="2"/>
  <c r="S545" i="2"/>
  <c r="M545" i="2"/>
  <c r="Z544" i="2"/>
  <c r="Y544" i="2"/>
  <c r="X544" i="2"/>
  <c r="W544" i="2"/>
  <c r="V544" i="2"/>
  <c r="U544" i="2"/>
  <c r="R544" i="2"/>
  <c r="O544" i="2"/>
  <c r="L544" i="2"/>
  <c r="V543" i="2"/>
  <c r="S543" i="2"/>
  <c r="Y543" i="2" s="1"/>
  <c r="M543" i="2"/>
  <c r="Y542" i="2"/>
  <c r="V542" i="2"/>
  <c r="S542" i="2"/>
  <c r="M542" i="2"/>
  <c r="Z541" i="2"/>
  <c r="Y541" i="2"/>
  <c r="AA541" i="2" s="1"/>
  <c r="X541" i="2"/>
  <c r="W541" i="2"/>
  <c r="V541" i="2"/>
  <c r="U541" i="2"/>
  <c r="R541" i="2"/>
  <c r="O541" i="2"/>
  <c r="L541" i="2"/>
  <c r="V540" i="2"/>
  <c r="S540" i="2"/>
  <c r="Y540" i="2" s="1"/>
  <c r="M540" i="2"/>
  <c r="V539" i="2"/>
  <c r="S539" i="2"/>
  <c r="Y539" i="2" s="1"/>
  <c r="M539" i="2"/>
  <c r="Z538" i="2"/>
  <c r="Y538" i="2"/>
  <c r="AA538" i="2" s="1"/>
  <c r="X538" i="2"/>
  <c r="W538" i="2"/>
  <c r="V538" i="2"/>
  <c r="U538" i="2"/>
  <c r="R538" i="2"/>
  <c r="O538" i="2"/>
  <c r="L538" i="2"/>
  <c r="Y537" i="2"/>
  <c r="V537" i="2"/>
  <c r="S537" i="2"/>
  <c r="M537" i="2"/>
  <c r="V536" i="2"/>
  <c r="S536" i="2"/>
  <c r="Y536" i="2" s="1"/>
  <c r="M536" i="2"/>
  <c r="AA535" i="2"/>
  <c r="Z535" i="2"/>
  <c r="Y535" i="2"/>
  <c r="W535" i="2"/>
  <c r="V535" i="2"/>
  <c r="U535" i="2"/>
  <c r="R535" i="2"/>
  <c r="X535" i="2" s="1"/>
  <c r="O535" i="2"/>
  <c r="L535" i="2"/>
  <c r="V534" i="2"/>
  <c r="S534" i="2"/>
  <c r="Y534" i="2" s="1"/>
  <c r="M534" i="2"/>
  <c r="V533" i="2"/>
  <c r="S533" i="2"/>
  <c r="Y533" i="2" s="1"/>
  <c r="M533" i="2"/>
  <c r="Z532" i="2"/>
  <c r="Y532" i="2"/>
  <c r="W532" i="2"/>
  <c r="V532" i="2"/>
  <c r="U532" i="2"/>
  <c r="R532" i="2"/>
  <c r="X532" i="2" s="1"/>
  <c r="O532" i="2"/>
  <c r="L532" i="2"/>
  <c r="V531" i="2"/>
  <c r="S531" i="2"/>
  <c r="Y531" i="2" s="1"/>
  <c r="M531" i="2"/>
  <c r="Y530" i="2"/>
  <c r="V530" i="2"/>
  <c r="S530" i="2"/>
  <c r="M530" i="2"/>
  <c r="Z529" i="2"/>
  <c r="Y529" i="2"/>
  <c r="AA529" i="2" s="1"/>
  <c r="W529" i="2"/>
  <c r="V529" i="2"/>
  <c r="U529" i="2"/>
  <c r="R529" i="2"/>
  <c r="X529" i="2" s="1"/>
  <c r="O529" i="2"/>
  <c r="L529" i="2"/>
  <c r="V528" i="2"/>
  <c r="S528" i="2"/>
  <c r="Y528" i="2" s="1"/>
  <c r="M528" i="2"/>
  <c r="V527" i="2"/>
  <c r="S527" i="2"/>
  <c r="Y527" i="2" s="1"/>
  <c r="M527" i="2"/>
  <c r="Z526" i="2"/>
  <c r="Y526" i="2"/>
  <c r="AA526" i="2" s="1"/>
  <c r="X526" i="2"/>
  <c r="W526" i="2"/>
  <c r="V526" i="2"/>
  <c r="U526" i="2"/>
  <c r="R526" i="2"/>
  <c r="O526" i="2"/>
  <c r="L526" i="2"/>
  <c r="Y525" i="2"/>
  <c r="V525" i="2"/>
  <c r="S525" i="2"/>
  <c r="M525" i="2"/>
  <c r="Y524" i="2"/>
  <c r="V524" i="2"/>
  <c r="S524" i="2"/>
  <c r="M524" i="2"/>
  <c r="Z523" i="2"/>
  <c r="AA523" i="2" s="1"/>
  <c r="Y523" i="2"/>
  <c r="X523" i="2"/>
  <c r="W523" i="2"/>
  <c r="V523" i="2"/>
  <c r="U523" i="2"/>
  <c r="R523" i="2"/>
  <c r="O523" i="2"/>
  <c r="L523" i="2"/>
  <c r="V522" i="2"/>
  <c r="S522" i="2"/>
  <c r="Y522" i="2" s="1"/>
  <c r="M522" i="2"/>
  <c r="Z521" i="2"/>
  <c r="Y521" i="2"/>
  <c r="AA521" i="2" s="1"/>
  <c r="W521" i="2"/>
  <c r="V521" i="2"/>
  <c r="U521" i="2"/>
  <c r="R521" i="2"/>
  <c r="X521" i="2" s="1"/>
  <c r="O521" i="2"/>
  <c r="L521" i="2"/>
  <c r="Y520" i="2"/>
  <c r="V520" i="2"/>
  <c r="S520" i="2"/>
  <c r="M520" i="2"/>
  <c r="Z519" i="2"/>
  <c r="AA519" i="2" s="1"/>
  <c r="Y519" i="2"/>
  <c r="W519" i="2"/>
  <c r="V519" i="2"/>
  <c r="U519" i="2"/>
  <c r="R519" i="2"/>
  <c r="X519" i="2" s="1"/>
  <c r="O519" i="2"/>
  <c r="L519" i="2"/>
  <c r="V518" i="2"/>
  <c r="S518" i="2"/>
  <c r="Y518" i="2" s="1"/>
  <c r="M518" i="2"/>
  <c r="Z517" i="2"/>
  <c r="Y517" i="2"/>
  <c r="AA517" i="2" s="1"/>
  <c r="X517" i="2"/>
  <c r="W517" i="2"/>
  <c r="V517" i="2"/>
  <c r="U517" i="2"/>
  <c r="R517" i="2"/>
  <c r="O517" i="2"/>
  <c r="L517" i="2"/>
  <c r="Y516" i="2"/>
  <c r="V516" i="2"/>
  <c r="S516" i="2"/>
  <c r="M516" i="2"/>
  <c r="Z515" i="2"/>
  <c r="Y515" i="2"/>
  <c r="AA515" i="2" s="1"/>
  <c r="X515" i="2"/>
  <c r="W515" i="2"/>
  <c r="V515" i="2"/>
  <c r="U515" i="2"/>
  <c r="R515" i="2"/>
  <c r="O515" i="2"/>
  <c r="L515" i="2"/>
  <c r="V514" i="2"/>
  <c r="S514" i="2"/>
  <c r="Y514" i="2" s="1"/>
  <c r="M514" i="2"/>
  <c r="Z513" i="2"/>
  <c r="Y513" i="2"/>
  <c r="AA513" i="2" s="1"/>
  <c r="W513" i="2"/>
  <c r="V513" i="2"/>
  <c r="U513" i="2"/>
  <c r="R513" i="2"/>
  <c r="X513" i="2" s="1"/>
  <c r="O513" i="2"/>
  <c r="L513" i="2"/>
  <c r="V512" i="2"/>
  <c r="S512" i="2"/>
  <c r="Y512" i="2" s="1"/>
  <c r="M512" i="2"/>
  <c r="Z511" i="2"/>
  <c r="AA511" i="2" s="1"/>
  <c r="Y511" i="2"/>
  <c r="W511" i="2"/>
  <c r="V511" i="2"/>
  <c r="U511" i="2"/>
  <c r="R511" i="2"/>
  <c r="X511" i="2" s="1"/>
  <c r="O511" i="2"/>
  <c r="L511" i="2"/>
  <c r="V510" i="2"/>
  <c r="S510" i="2"/>
  <c r="Y510" i="2" s="1"/>
  <c r="M510" i="2"/>
  <c r="Z509" i="2"/>
  <c r="Y509" i="2"/>
  <c r="AA509" i="2" s="1"/>
  <c r="X509" i="2"/>
  <c r="W509" i="2"/>
  <c r="V509" i="2"/>
  <c r="U509" i="2"/>
  <c r="R509" i="2"/>
  <c r="O509" i="2"/>
  <c r="L509" i="2"/>
  <c r="Y508" i="2"/>
  <c r="V508" i="2"/>
  <c r="S508" i="2"/>
  <c r="M508" i="2"/>
  <c r="Z507" i="2"/>
  <c r="Y507" i="2"/>
  <c r="AA507" i="2" s="1"/>
  <c r="X507" i="2"/>
  <c r="W507" i="2"/>
  <c r="V507" i="2"/>
  <c r="U507" i="2"/>
  <c r="R507" i="2"/>
  <c r="O507" i="2"/>
  <c r="L507" i="2"/>
  <c r="V506" i="2"/>
  <c r="S506" i="2"/>
  <c r="Y506" i="2" s="1"/>
  <c r="M506" i="2"/>
  <c r="Z505" i="2"/>
  <c r="Y505" i="2"/>
  <c r="AA505" i="2" s="1"/>
  <c r="W505" i="2"/>
  <c r="V505" i="2"/>
  <c r="U505" i="2"/>
  <c r="R505" i="2"/>
  <c r="X505" i="2" s="1"/>
  <c r="O505" i="2"/>
  <c r="L505" i="2"/>
  <c r="V504" i="2"/>
  <c r="S504" i="2"/>
  <c r="Y504" i="2" s="1"/>
  <c r="M504" i="2"/>
  <c r="Z503" i="2"/>
  <c r="AA503" i="2" s="1"/>
  <c r="Y503" i="2"/>
  <c r="W503" i="2"/>
  <c r="V503" i="2"/>
  <c r="U503" i="2"/>
  <c r="R503" i="2"/>
  <c r="X503" i="2" s="1"/>
  <c r="O503" i="2"/>
  <c r="L503" i="2"/>
  <c r="V502" i="2"/>
  <c r="S502" i="2"/>
  <c r="Y502" i="2" s="1"/>
  <c r="M502" i="2"/>
  <c r="Z501" i="2"/>
  <c r="Y501" i="2"/>
  <c r="AA501" i="2" s="1"/>
  <c r="X501" i="2"/>
  <c r="W501" i="2"/>
  <c r="V501" i="2"/>
  <c r="U501" i="2"/>
  <c r="R501" i="2"/>
  <c r="O501" i="2"/>
  <c r="L501" i="2"/>
  <c r="Y500" i="2"/>
  <c r="V500" i="2"/>
  <c r="S500" i="2"/>
  <c r="M500" i="2"/>
  <c r="Z499" i="2"/>
  <c r="Y499" i="2"/>
  <c r="AA499" i="2" s="1"/>
  <c r="X499" i="2"/>
  <c r="W499" i="2"/>
  <c r="V499" i="2"/>
  <c r="U499" i="2"/>
  <c r="R499" i="2"/>
  <c r="O499" i="2"/>
  <c r="L499" i="2"/>
  <c r="V498" i="2"/>
  <c r="S498" i="2"/>
  <c r="Y498" i="2" s="1"/>
  <c r="M498" i="2"/>
  <c r="Z497" i="2"/>
  <c r="Y497" i="2"/>
  <c r="AA497" i="2" s="1"/>
  <c r="W497" i="2"/>
  <c r="V497" i="2"/>
  <c r="U497" i="2"/>
  <c r="R497" i="2"/>
  <c r="X497" i="2" s="1"/>
  <c r="O497" i="2"/>
  <c r="L497" i="2"/>
  <c r="V496" i="2"/>
  <c r="S496" i="2"/>
  <c r="Y496" i="2" s="1"/>
  <c r="M496" i="2"/>
  <c r="Z495" i="2"/>
  <c r="AA495" i="2" s="1"/>
  <c r="Y495" i="2"/>
  <c r="W495" i="2"/>
  <c r="V495" i="2"/>
  <c r="U495" i="2"/>
  <c r="R495" i="2"/>
  <c r="X495" i="2" s="1"/>
  <c r="O495" i="2"/>
  <c r="L495" i="2"/>
  <c r="V494" i="2"/>
  <c r="S494" i="2"/>
  <c r="Y494" i="2" s="1"/>
  <c r="M494" i="2"/>
  <c r="Z493" i="2"/>
  <c r="Y493" i="2"/>
  <c r="AA493" i="2" s="1"/>
  <c r="X493" i="2"/>
  <c r="W493" i="2"/>
  <c r="V493" i="2"/>
  <c r="U493" i="2"/>
  <c r="R493" i="2"/>
  <c r="O493" i="2"/>
  <c r="L493" i="2"/>
  <c r="Y492" i="2"/>
  <c r="V492" i="2"/>
  <c r="S492" i="2"/>
  <c r="M492" i="2"/>
  <c r="Z491" i="2"/>
  <c r="Y491" i="2"/>
  <c r="AA491" i="2" s="1"/>
  <c r="X491" i="2"/>
  <c r="W491" i="2"/>
  <c r="V491" i="2"/>
  <c r="U491" i="2"/>
  <c r="R491" i="2"/>
  <c r="O491" i="2"/>
  <c r="L491" i="2"/>
  <c r="V490" i="2"/>
  <c r="S490" i="2"/>
  <c r="Y490" i="2" s="1"/>
  <c r="M490" i="2"/>
  <c r="Z489" i="2"/>
  <c r="Y489" i="2"/>
  <c r="AA489" i="2" s="1"/>
  <c r="W489" i="2"/>
  <c r="V489" i="2"/>
  <c r="U489" i="2"/>
  <c r="R489" i="2"/>
  <c r="X489" i="2" s="1"/>
  <c r="O489" i="2"/>
  <c r="L489" i="2"/>
  <c r="V488" i="2"/>
  <c r="S488" i="2"/>
  <c r="Y488" i="2" s="1"/>
  <c r="M488" i="2"/>
  <c r="Z487" i="2"/>
  <c r="Y487" i="2"/>
  <c r="W487" i="2"/>
  <c r="V487" i="2"/>
  <c r="U487" i="2"/>
  <c r="R487" i="2"/>
  <c r="X487" i="2" s="1"/>
  <c r="O487" i="2"/>
  <c r="L487" i="2"/>
  <c r="V486" i="2"/>
  <c r="S486" i="2"/>
  <c r="Y486" i="2" s="1"/>
  <c r="M486" i="2"/>
  <c r="Z485" i="2"/>
  <c r="Y485" i="2"/>
  <c r="AA485" i="2" s="1"/>
  <c r="X485" i="2"/>
  <c r="W485" i="2"/>
  <c r="V485" i="2"/>
  <c r="U485" i="2"/>
  <c r="R485" i="2"/>
  <c r="O485" i="2"/>
  <c r="L485" i="2"/>
  <c r="Y484" i="2"/>
  <c r="V484" i="2"/>
  <c r="S484" i="2"/>
  <c r="M484" i="2"/>
  <c r="Z483" i="2"/>
  <c r="Y483" i="2"/>
  <c r="AA483" i="2" s="1"/>
  <c r="X483" i="2"/>
  <c r="W483" i="2"/>
  <c r="V483" i="2"/>
  <c r="U483" i="2"/>
  <c r="R483" i="2"/>
  <c r="O483" i="2"/>
  <c r="L483" i="2"/>
  <c r="V481" i="2"/>
  <c r="S481" i="2"/>
  <c r="Y481" i="2" s="1"/>
  <c r="M481" i="2"/>
  <c r="V480" i="2"/>
  <c r="S480" i="2"/>
  <c r="Y480" i="2" s="1"/>
  <c r="M480" i="2"/>
  <c r="J478" i="2" s="1"/>
  <c r="L478" i="2" s="1"/>
  <c r="V479" i="2"/>
  <c r="S479" i="2"/>
  <c r="M479" i="2"/>
  <c r="Z478" i="2"/>
  <c r="W478" i="2"/>
  <c r="T478" i="2"/>
  <c r="N478" i="2"/>
  <c r="M478" i="2"/>
  <c r="O478" i="2" s="1"/>
  <c r="V477" i="2"/>
  <c r="S477" i="2"/>
  <c r="Y477" i="2" s="1"/>
  <c r="M477" i="2"/>
  <c r="V476" i="2"/>
  <c r="S476" i="2"/>
  <c r="Y476" i="2" s="1"/>
  <c r="M476" i="2"/>
  <c r="V475" i="2"/>
  <c r="S475" i="2"/>
  <c r="Y475" i="2" s="1"/>
  <c r="M475" i="2"/>
  <c r="Z474" i="2"/>
  <c r="W474" i="2"/>
  <c r="T474" i="2"/>
  <c r="P474" i="2"/>
  <c r="R474" i="2" s="1"/>
  <c r="X474" i="2" s="1"/>
  <c r="N474" i="2"/>
  <c r="J474" i="2"/>
  <c r="M474" i="2" s="1"/>
  <c r="O474" i="2" s="1"/>
  <c r="V473" i="2"/>
  <c r="S473" i="2"/>
  <c r="Y473" i="2" s="1"/>
  <c r="M473" i="2"/>
  <c r="V472" i="2"/>
  <c r="S472" i="2"/>
  <c r="Y472" i="2" s="1"/>
  <c r="M472" i="2"/>
  <c r="J470" i="2" s="1"/>
  <c r="M470" i="2" s="1"/>
  <c r="O470" i="2" s="1"/>
  <c r="V471" i="2"/>
  <c r="S471" i="2"/>
  <c r="M471" i="2"/>
  <c r="Z470" i="2"/>
  <c r="W470" i="2"/>
  <c r="T470" i="2"/>
  <c r="N470" i="2"/>
  <c r="V469" i="2"/>
  <c r="S469" i="2"/>
  <c r="Y469" i="2" s="1"/>
  <c r="M469" i="2"/>
  <c r="J467" i="2" s="1"/>
  <c r="L467" i="2" s="1"/>
  <c r="V468" i="2"/>
  <c r="S468" i="2"/>
  <c r="M468" i="2"/>
  <c r="Z467" i="2"/>
  <c r="W467" i="2"/>
  <c r="T467" i="2"/>
  <c r="N467" i="2"/>
  <c r="M467" i="2"/>
  <c r="O467" i="2" s="1"/>
  <c r="V466" i="2"/>
  <c r="S466" i="2"/>
  <c r="Y466" i="2" s="1"/>
  <c r="M466" i="2"/>
  <c r="J464" i="2" s="1"/>
  <c r="V465" i="2"/>
  <c r="S465" i="2"/>
  <c r="M465" i="2"/>
  <c r="Z464" i="2"/>
  <c r="W464" i="2"/>
  <c r="T464" i="2"/>
  <c r="N464" i="2"/>
  <c r="M464" i="2"/>
  <c r="O464" i="2" s="1"/>
  <c r="L464" i="2"/>
  <c r="V463" i="2"/>
  <c r="S463" i="2"/>
  <c r="Y463" i="2" s="1"/>
  <c r="M463" i="2"/>
  <c r="J461" i="2" s="1"/>
  <c r="M461" i="2" s="1"/>
  <c r="O461" i="2" s="1"/>
  <c r="V462" i="2"/>
  <c r="S462" i="2"/>
  <c r="M462" i="2"/>
  <c r="Z461" i="2"/>
  <c r="W461" i="2"/>
  <c r="T461" i="2"/>
  <c r="N461" i="2"/>
  <c r="V460" i="2"/>
  <c r="S460" i="2"/>
  <c r="Y460" i="2" s="1"/>
  <c r="M460" i="2"/>
  <c r="V459" i="2"/>
  <c r="S459" i="2"/>
  <c r="Y459" i="2" s="1"/>
  <c r="M459" i="2"/>
  <c r="V458" i="2"/>
  <c r="S458" i="2"/>
  <c r="Y458" i="2" s="1"/>
  <c r="M458" i="2"/>
  <c r="Z457" i="2"/>
  <c r="Z440" i="2" s="1"/>
  <c r="W457" i="2"/>
  <c r="T457" i="2"/>
  <c r="N457" i="2"/>
  <c r="J457" i="2"/>
  <c r="M457" i="2" s="1"/>
  <c r="O457" i="2" s="1"/>
  <c r="V456" i="2"/>
  <c r="S456" i="2"/>
  <c r="Y456" i="2" s="1"/>
  <c r="M456" i="2"/>
  <c r="V455" i="2"/>
  <c r="S455" i="2"/>
  <c r="Y455" i="2" s="1"/>
  <c r="M455" i="2"/>
  <c r="Z454" i="2"/>
  <c r="W454" i="2"/>
  <c r="T454" i="2"/>
  <c r="N454" i="2"/>
  <c r="J454" i="2"/>
  <c r="M454" i="2" s="1"/>
  <c r="O454" i="2" s="1"/>
  <c r="V453" i="2"/>
  <c r="S453" i="2"/>
  <c r="Y453" i="2" s="1"/>
  <c r="M453" i="2"/>
  <c r="V452" i="2"/>
  <c r="S452" i="2"/>
  <c r="Y452" i="2" s="1"/>
  <c r="M452" i="2"/>
  <c r="J450" i="2" s="1"/>
  <c r="M450" i="2" s="1"/>
  <c r="O450" i="2" s="1"/>
  <c r="V451" i="2"/>
  <c r="S451" i="2"/>
  <c r="M451" i="2"/>
  <c r="Z450" i="2"/>
  <c r="W450" i="2"/>
  <c r="T450" i="2"/>
  <c r="N450" i="2"/>
  <c r="V449" i="2"/>
  <c r="S449" i="2"/>
  <c r="Y449" i="2" s="1"/>
  <c r="M449" i="2"/>
  <c r="V448" i="2"/>
  <c r="S448" i="2"/>
  <c r="Y448" i="2" s="1"/>
  <c r="M448" i="2"/>
  <c r="Z447" i="2"/>
  <c r="Y447" i="2"/>
  <c r="AA447" i="2" s="1"/>
  <c r="X447" i="2"/>
  <c r="W447" i="2"/>
  <c r="V447" i="2"/>
  <c r="U447" i="2"/>
  <c r="R447" i="2"/>
  <c r="O447" i="2"/>
  <c r="L447" i="2"/>
  <c r="Y446" i="2"/>
  <c r="V446" i="2"/>
  <c r="S446" i="2"/>
  <c r="M446" i="2"/>
  <c r="Y445" i="2"/>
  <c r="V445" i="2"/>
  <c r="S445" i="2"/>
  <c r="M445" i="2"/>
  <c r="Z444" i="2"/>
  <c r="AA444" i="2" s="1"/>
  <c r="Y444" i="2"/>
  <c r="X444" i="2"/>
  <c r="W444" i="2"/>
  <c r="V444" i="2"/>
  <c r="U444" i="2"/>
  <c r="R444" i="2"/>
  <c r="O444" i="2"/>
  <c r="L444" i="2"/>
  <c r="V443" i="2"/>
  <c r="S443" i="2"/>
  <c r="Y443" i="2" s="1"/>
  <c r="M443" i="2"/>
  <c r="V442" i="2"/>
  <c r="S442" i="2"/>
  <c r="Y442" i="2" s="1"/>
  <c r="M442" i="2"/>
  <c r="Z441" i="2"/>
  <c r="W441" i="2"/>
  <c r="T441" i="2"/>
  <c r="T440" i="2" s="1"/>
  <c r="N441" i="2"/>
  <c r="J441" i="2"/>
  <c r="M441" i="2" s="1"/>
  <c r="N440" i="2"/>
  <c r="N439" i="2" s="1"/>
  <c r="Y438" i="2"/>
  <c r="V438" i="2"/>
  <c r="S438" i="2"/>
  <c r="M438" i="2"/>
  <c r="Z437" i="2"/>
  <c r="X437" i="2"/>
  <c r="W437" i="2"/>
  <c r="T437" i="2"/>
  <c r="S437" i="2"/>
  <c r="U437" i="2" s="1"/>
  <c r="U432" i="2" s="1"/>
  <c r="R437" i="2"/>
  <c r="P437" i="2"/>
  <c r="V437" i="2" s="1"/>
  <c r="N437" i="2"/>
  <c r="J437" i="2"/>
  <c r="L437" i="2" s="1"/>
  <c r="Y436" i="2"/>
  <c r="V436" i="2"/>
  <c r="S436" i="2"/>
  <c r="M436" i="2"/>
  <c r="AA435" i="2"/>
  <c r="Z435" i="2"/>
  <c r="Y435" i="2"/>
  <c r="W435" i="2"/>
  <c r="V435" i="2"/>
  <c r="U435" i="2"/>
  <c r="R435" i="2"/>
  <c r="X435" i="2" s="1"/>
  <c r="O435" i="2"/>
  <c r="L435" i="2"/>
  <c r="V434" i="2"/>
  <c r="S434" i="2"/>
  <c r="Y434" i="2" s="1"/>
  <c r="M434" i="2"/>
  <c r="Z433" i="2"/>
  <c r="Z432" i="2" s="1"/>
  <c r="Y433" i="2"/>
  <c r="W433" i="2"/>
  <c r="V433" i="2"/>
  <c r="U433" i="2"/>
  <c r="R433" i="2"/>
  <c r="X433" i="2" s="1"/>
  <c r="O433" i="2"/>
  <c r="L433" i="2"/>
  <c r="T432" i="2"/>
  <c r="S432" i="2"/>
  <c r="N432" i="2"/>
  <c r="V431" i="2"/>
  <c r="S431" i="2"/>
  <c r="Y431" i="2" s="1"/>
  <c r="M431" i="2"/>
  <c r="V430" i="2"/>
  <c r="S430" i="2"/>
  <c r="Y430" i="2" s="1"/>
  <c r="M430" i="2"/>
  <c r="V429" i="2"/>
  <c r="S429" i="2"/>
  <c r="Y429" i="2" s="1"/>
  <c r="M429" i="2"/>
  <c r="V428" i="2"/>
  <c r="S428" i="2"/>
  <c r="M428" i="2"/>
  <c r="J427" i="2" s="1"/>
  <c r="W427" i="2"/>
  <c r="T427" i="2"/>
  <c r="Z427" i="2" s="1"/>
  <c r="N427" i="2"/>
  <c r="V426" i="2"/>
  <c r="S426" i="2"/>
  <c r="Y426" i="2" s="1"/>
  <c r="M426" i="2"/>
  <c r="V425" i="2"/>
  <c r="S425" i="2"/>
  <c r="Y425" i="2" s="1"/>
  <c r="M425" i="2"/>
  <c r="V424" i="2"/>
  <c r="S424" i="2"/>
  <c r="Y424" i="2" s="1"/>
  <c r="M424" i="2"/>
  <c r="V423" i="2"/>
  <c r="S423" i="2"/>
  <c r="M423" i="2"/>
  <c r="W422" i="2"/>
  <c r="T422" i="2"/>
  <c r="Z422" i="2" s="1"/>
  <c r="N422" i="2"/>
  <c r="J422" i="2"/>
  <c r="V421" i="2"/>
  <c r="S421" i="2"/>
  <c r="Y421" i="2" s="1"/>
  <c r="M421" i="2"/>
  <c r="V420" i="2"/>
  <c r="S420" i="2"/>
  <c r="Y420" i="2" s="1"/>
  <c r="M420" i="2"/>
  <c r="V419" i="2"/>
  <c r="S419" i="2"/>
  <c r="Y419" i="2" s="1"/>
  <c r="M419" i="2"/>
  <c r="V418" i="2"/>
  <c r="S418" i="2"/>
  <c r="M418" i="2"/>
  <c r="W417" i="2"/>
  <c r="T417" i="2"/>
  <c r="Z417" i="2" s="1"/>
  <c r="N417" i="2"/>
  <c r="J417" i="2"/>
  <c r="M417" i="2" s="1"/>
  <c r="O417" i="2" s="1"/>
  <c r="V416" i="2"/>
  <c r="S416" i="2"/>
  <c r="Y416" i="2" s="1"/>
  <c r="M416" i="2"/>
  <c r="V415" i="2"/>
  <c r="S415" i="2"/>
  <c r="Y415" i="2" s="1"/>
  <c r="M415" i="2"/>
  <c r="V414" i="2"/>
  <c r="S414" i="2"/>
  <c r="Y414" i="2" s="1"/>
  <c r="M414" i="2"/>
  <c r="V413" i="2"/>
  <c r="S413" i="2"/>
  <c r="M413" i="2"/>
  <c r="W412" i="2"/>
  <c r="T412" i="2"/>
  <c r="Z412" i="2" s="1"/>
  <c r="N412" i="2"/>
  <c r="V411" i="2"/>
  <c r="S411" i="2"/>
  <c r="Y411" i="2" s="1"/>
  <c r="M411" i="2"/>
  <c r="V410" i="2"/>
  <c r="S410" i="2"/>
  <c r="Y410" i="2" s="1"/>
  <c r="M410" i="2"/>
  <c r="V409" i="2"/>
  <c r="S409" i="2"/>
  <c r="Y409" i="2" s="1"/>
  <c r="M409" i="2"/>
  <c r="V408" i="2"/>
  <c r="S408" i="2"/>
  <c r="M408" i="2"/>
  <c r="J407" i="2" s="1"/>
  <c r="W407" i="2"/>
  <c r="T407" i="2"/>
  <c r="Z407" i="2" s="1"/>
  <c r="N407" i="2"/>
  <c r="V406" i="2"/>
  <c r="S406" i="2"/>
  <c r="Y406" i="2" s="1"/>
  <c r="M406" i="2"/>
  <c r="V405" i="2"/>
  <c r="S405" i="2"/>
  <c r="Y405" i="2" s="1"/>
  <c r="M405" i="2"/>
  <c r="V404" i="2"/>
  <c r="S404" i="2"/>
  <c r="Y404" i="2" s="1"/>
  <c r="M404" i="2"/>
  <c r="V403" i="2"/>
  <c r="S403" i="2"/>
  <c r="M403" i="2"/>
  <c r="W402" i="2"/>
  <c r="T402" i="2"/>
  <c r="Z402" i="2" s="1"/>
  <c r="N402" i="2"/>
  <c r="J402" i="2"/>
  <c r="V401" i="2"/>
  <c r="S401" i="2"/>
  <c r="Y401" i="2" s="1"/>
  <c r="M401" i="2"/>
  <c r="V400" i="2"/>
  <c r="S400" i="2"/>
  <c r="Y400" i="2" s="1"/>
  <c r="M400" i="2"/>
  <c r="V399" i="2"/>
  <c r="S399" i="2"/>
  <c r="Y399" i="2" s="1"/>
  <c r="M399" i="2"/>
  <c r="V398" i="2"/>
  <c r="S398" i="2"/>
  <c r="Y398" i="2" s="1"/>
  <c r="M398" i="2"/>
  <c r="Z397" i="2"/>
  <c r="Y397" i="2"/>
  <c r="AA397" i="2" s="1"/>
  <c r="W397" i="2"/>
  <c r="V397" i="2"/>
  <c r="U397" i="2"/>
  <c r="R397" i="2"/>
  <c r="X397" i="2" s="1"/>
  <c r="O397" i="2"/>
  <c r="L397" i="2"/>
  <c r="V396" i="2"/>
  <c r="S396" i="2"/>
  <c r="Y396" i="2" s="1"/>
  <c r="M396" i="2"/>
  <c r="Y395" i="2"/>
  <c r="V395" i="2"/>
  <c r="S395" i="2"/>
  <c r="M395" i="2"/>
  <c r="V394" i="2"/>
  <c r="S394" i="2"/>
  <c r="Y394" i="2" s="1"/>
  <c r="M394" i="2"/>
  <c r="Y393" i="2"/>
  <c r="V393" i="2"/>
  <c r="S393" i="2"/>
  <c r="M393" i="2"/>
  <c r="Z392" i="2"/>
  <c r="Y392" i="2"/>
  <c r="AA392" i="2" s="1"/>
  <c r="X392" i="2"/>
  <c r="W392" i="2"/>
  <c r="V392" i="2"/>
  <c r="U392" i="2"/>
  <c r="R392" i="2"/>
  <c r="O392" i="2"/>
  <c r="L392" i="2"/>
  <c r="V391" i="2"/>
  <c r="S391" i="2"/>
  <c r="Y391" i="2" s="1"/>
  <c r="M391" i="2"/>
  <c r="V390" i="2"/>
  <c r="S390" i="2"/>
  <c r="Y390" i="2" s="1"/>
  <c r="M390" i="2"/>
  <c r="V389" i="2"/>
  <c r="S389" i="2"/>
  <c r="Y389" i="2" s="1"/>
  <c r="M389" i="2"/>
  <c r="V388" i="2"/>
  <c r="S388" i="2"/>
  <c r="Y388" i="2" s="1"/>
  <c r="M388" i="2"/>
  <c r="Z387" i="2"/>
  <c r="Y387" i="2"/>
  <c r="AA387" i="2" s="1"/>
  <c r="X387" i="2"/>
  <c r="W387" i="2"/>
  <c r="V387" i="2"/>
  <c r="U387" i="2"/>
  <c r="R387" i="2"/>
  <c r="O387" i="2"/>
  <c r="L387" i="2"/>
  <c r="Y386" i="2"/>
  <c r="V386" i="2"/>
  <c r="S386" i="2"/>
  <c r="M386" i="2"/>
  <c r="V385" i="2"/>
  <c r="S385" i="2"/>
  <c r="Y385" i="2" s="1"/>
  <c r="M385" i="2"/>
  <c r="Y384" i="2"/>
  <c r="V384" i="2"/>
  <c r="S384" i="2"/>
  <c r="M384" i="2"/>
  <c r="V383" i="2"/>
  <c r="S383" i="2"/>
  <c r="Y383" i="2" s="1"/>
  <c r="M383" i="2"/>
  <c r="Z382" i="2"/>
  <c r="AA382" i="2" s="1"/>
  <c r="Y382" i="2"/>
  <c r="W382" i="2"/>
  <c r="V382" i="2"/>
  <c r="U382" i="2"/>
  <c r="R382" i="2"/>
  <c r="X382" i="2" s="1"/>
  <c r="O382" i="2"/>
  <c r="L382" i="2"/>
  <c r="V381" i="2"/>
  <c r="S381" i="2"/>
  <c r="Y381" i="2" s="1"/>
  <c r="M381" i="2"/>
  <c r="V380" i="2"/>
  <c r="S380" i="2"/>
  <c r="Y380" i="2" s="1"/>
  <c r="M380" i="2"/>
  <c r="V379" i="2"/>
  <c r="S379" i="2"/>
  <c r="Y379" i="2" s="1"/>
  <c r="M379" i="2"/>
  <c r="V378" i="2"/>
  <c r="S378" i="2"/>
  <c r="Y378" i="2" s="1"/>
  <c r="M378" i="2"/>
  <c r="Z377" i="2"/>
  <c r="Y377" i="2"/>
  <c r="AA377" i="2" s="1"/>
  <c r="W377" i="2"/>
  <c r="V377" i="2"/>
  <c r="U377" i="2"/>
  <c r="R377" i="2"/>
  <c r="X377" i="2" s="1"/>
  <c r="O377" i="2"/>
  <c r="L377" i="2"/>
  <c r="V376" i="2"/>
  <c r="S376" i="2"/>
  <c r="Y376" i="2" s="1"/>
  <c r="M376" i="2"/>
  <c r="Y375" i="2"/>
  <c r="V375" i="2"/>
  <c r="S375" i="2"/>
  <c r="M375" i="2"/>
  <c r="V374" i="2"/>
  <c r="S374" i="2"/>
  <c r="Y374" i="2" s="1"/>
  <c r="M374" i="2"/>
  <c r="Y373" i="2"/>
  <c r="V373" i="2"/>
  <c r="S373" i="2"/>
  <c r="M373" i="2"/>
  <c r="Z372" i="2"/>
  <c r="Y372" i="2"/>
  <c r="AA372" i="2" s="1"/>
  <c r="X372" i="2"/>
  <c r="W372" i="2"/>
  <c r="V372" i="2"/>
  <c r="U372" i="2"/>
  <c r="R372" i="2"/>
  <c r="O372" i="2"/>
  <c r="L372" i="2"/>
  <c r="V371" i="2"/>
  <c r="S371" i="2"/>
  <c r="Y371" i="2" s="1"/>
  <c r="M371" i="2"/>
  <c r="V370" i="2"/>
  <c r="S370" i="2"/>
  <c r="Y370" i="2" s="1"/>
  <c r="M370" i="2"/>
  <c r="V369" i="2"/>
  <c r="S369" i="2"/>
  <c r="Y369" i="2" s="1"/>
  <c r="M369" i="2"/>
  <c r="V368" i="2"/>
  <c r="S368" i="2"/>
  <c r="Y368" i="2" s="1"/>
  <c r="M368" i="2"/>
  <c r="Z367" i="2"/>
  <c r="Y367" i="2"/>
  <c r="AA367" i="2" s="1"/>
  <c r="X367" i="2"/>
  <c r="W367" i="2"/>
  <c r="V367" i="2"/>
  <c r="U367" i="2"/>
  <c r="R367" i="2"/>
  <c r="O367" i="2"/>
  <c r="L367" i="2"/>
  <c r="Y366" i="2"/>
  <c r="V366" i="2"/>
  <c r="S366" i="2"/>
  <c r="M366" i="2"/>
  <c r="V365" i="2"/>
  <c r="S365" i="2"/>
  <c r="Y365" i="2" s="1"/>
  <c r="M365" i="2"/>
  <c r="Y364" i="2"/>
  <c r="V364" i="2"/>
  <c r="S364" i="2"/>
  <c r="M364" i="2"/>
  <c r="V363" i="2"/>
  <c r="S363" i="2"/>
  <c r="Y363" i="2" s="1"/>
  <c r="M363" i="2"/>
  <c r="Z362" i="2"/>
  <c r="AA362" i="2" s="1"/>
  <c r="Y362" i="2"/>
  <c r="W362" i="2"/>
  <c r="V362" i="2"/>
  <c r="U362" i="2"/>
  <c r="R362" i="2"/>
  <c r="X362" i="2" s="1"/>
  <c r="O362" i="2"/>
  <c r="L362" i="2"/>
  <c r="V361" i="2"/>
  <c r="S361" i="2"/>
  <c r="Y361" i="2" s="1"/>
  <c r="M361" i="2"/>
  <c r="V360" i="2"/>
  <c r="S360" i="2"/>
  <c r="Y360" i="2" s="1"/>
  <c r="M360" i="2"/>
  <c r="V359" i="2"/>
  <c r="S359" i="2"/>
  <c r="Y359" i="2" s="1"/>
  <c r="M359" i="2"/>
  <c r="V358" i="2"/>
  <c r="S358" i="2"/>
  <c r="Y358" i="2" s="1"/>
  <c r="M358" i="2"/>
  <c r="Z357" i="2"/>
  <c r="Y357" i="2"/>
  <c r="AA357" i="2" s="1"/>
  <c r="W357" i="2"/>
  <c r="V357" i="2"/>
  <c r="U357" i="2"/>
  <c r="R357" i="2"/>
  <c r="X357" i="2" s="1"/>
  <c r="O357" i="2"/>
  <c r="L357" i="2"/>
  <c r="V356" i="2"/>
  <c r="S356" i="2"/>
  <c r="Y356" i="2" s="1"/>
  <c r="M356" i="2"/>
  <c r="Y355" i="2"/>
  <c r="V355" i="2"/>
  <c r="S355" i="2"/>
  <c r="M355" i="2"/>
  <c r="V354" i="2"/>
  <c r="S354" i="2"/>
  <c r="Y354" i="2" s="1"/>
  <c r="M354" i="2"/>
  <c r="Y353" i="2"/>
  <c r="V353" i="2"/>
  <c r="S353" i="2"/>
  <c r="M353" i="2"/>
  <c r="Z352" i="2"/>
  <c r="Y352" i="2"/>
  <c r="AA352" i="2" s="1"/>
  <c r="X352" i="2"/>
  <c r="W352" i="2"/>
  <c r="V352" i="2"/>
  <c r="U352" i="2"/>
  <c r="R352" i="2"/>
  <c r="O352" i="2"/>
  <c r="L352" i="2"/>
  <c r="V351" i="2"/>
  <c r="S351" i="2"/>
  <c r="Y351" i="2" s="1"/>
  <c r="M351" i="2"/>
  <c r="V350" i="2"/>
  <c r="S350" i="2"/>
  <c r="Y350" i="2" s="1"/>
  <c r="M350" i="2"/>
  <c r="V349" i="2"/>
  <c r="S349" i="2"/>
  <c r="Y349" i="2" s="1"/>
  <c r="M349" i="2"/>
  <c r="V348" i="2"/>
  <c r="S348" i="2"/>
  <c r="Y348" i="2" s="1"/>
  <c r="M348" i="2"/>
  <c r="Z347" i="2"/>
  <c r="Y347" i="2"/>
  <c r="AA347" i="2" s="1"/>
  <c r="X347" i="2"/>
  <c r="W347" i="2"/>
  <c r="V347" i="2"/>
  <c r="U347" i="2"/>
  <c r="R347" i="2"/>
  <c r="O347" i="2"/>
  <c r="L347" i="2"/>
  <c r="Y346" i="2"/>
  <c r="V346" i="2"/>
  <c r="S346" i="2"/>
  <c r="M346" i="2"/>
  <c r="V345" i="2"/>
  <c r="S345" i="2"/>
  <c r="Y345" i="2" s="1"/>
  <c r="M345" i="2"/>
  <c r="Y344" i="2"/>
  <c r="V344" i="2"/>
  <c r="S344" i="2"/>
  <c r="M344" i="2"/>
  <c r="V343" i="2"/>
  <c r="S343" i="2"/>
  <c r="Y343" i="2" s="1"/>
  <c r="M343" i="2"/>
  <c r="Z342" i="2"/>
  <c r="AA342" i="2" s="1"/>
  <c r="Y342" i="2"/>
  <c r="W342" i="2"/>
  <c r="V342" i="2"/>
  <c r="U342" i="2"/>
  <c r="R342" i="2"/>
  <c r="X342" i="2" s="1"/>
  <c r="O342" i="2"/>
  <c r="L342" i="2"/>
  <c r="V341" i="2"/>
  <c r="S341" i="2"/>
  <c r="Y341" i="2" s="1"/>
  <c r="M341" i="2"/>
  <c r="V340" i="2"/>
  <c r="S340" i="2"/>
  <c r="Y340" i="2" s="1"/>
  <c r="M340" i="2"/>
  <c r="J337" i="2" s="1"/>
  <c r="V339" i="2"/>
  <c r="S339" i="2"/>
  <c r="Y339" i="2" s="1"/>
  <c r="M339" i="2"/>
  <c r="V338" i="2"/>
  <c r="S338" i="2"/>
  <c r="M338" i="2"/>
  <c r="W337" i="2"/>
  <c r="T337" i="2"/>
  <c r="Z337" i="2" s="1"/>
  <c r="N337" i="2"/>
  <c r="V336" i="2"/>
  <c r="S336" i="2"/>
  <c r="Y336" i="2" s="1"/>
  <c r="M336" i="2"/>
  <c r="V335" i="2"/>
  <c r="S335" i="2"/>
  <c r="Y335" i="2" s="1"/>
  <c r="M335" i="2"/>
  <c r="V334" i="2"/>
  <c r="S334" i="2"/>
  <c r="Y334" i="2" s="1"/>
  <c r="M334" i="2"/>
  <c r="V333" i="2"/>
  <c r="S333" i="2"/>
  <c r="Y333" i="2" s="1"/>
  <c r="M333" i="2"/>
  <c r="Z332" i="2"/>
  <c r="Y332" i="2"/>
  <c r="AA332" i="2" s="1"/>
  <c r="W332" i="2"/>
  <c r="V332" i="2"/>
  <c r="U332" i="2"/>
  <c r="R332" i="2"/>
  <c r="X332" i="2" s="1"/>
  <c r="O332" i="2"/>
  <c r="L332" i="2"/>
  <c r="V331" i="2"/>
  <c r="S331" i="2"/>
  <c r="Y331" i="2" s="1"/>
  <c r="M331" i="2"/>
  <c r="Y330" i="2"/>
  <c r="V330" i="2"/>
  <c r="S330" i="2"/>
  <c r="M330" i="2"/>
  <c r="V329" i="2"/>
  <c r="S329" i="2"/>
  <c r="Y329" i="2" s="1"/>
  <c r="M329" i="2"/>
  <c r="Y328" i="2"/>
  <c r="V328" i="2"/>
  <c r="S328" i="2"/>
  <c r="M328" i="2"/>
  <c r="Z327" i="2"/>
  <c r="Y327" i="2"/>
  <c r="AA327" i="2" s="1"/>
  <c r="X327" i="2"/>
  <c r="W327" i="2"/>
  <c r="V327" i="2"/>
  <c r="U327" i="2"/>
  <c r="R327" i="2"/>
  <c r="O327" i="2"/>
  <c r="L327" i="2"/>
  <c r="V326" i="2"/>
  <c r="S326" i="2"/>
  <c r="Y326" i="2" s="1"/>
  <c r="M326" i="2"/>
  <c r="V325" i="2"/>
  <c r="S325" i="2"/>
  <c r="Y325" i="2" s="1"/>
  <c r="M325" i="2"/>
  <c r="V324" i="2"/>
  <c r="S324" i="2"/>
  <c r="Y324" i="2" s="1"/>
  <c r="M324" i="2"/>
  <c r="J322" i="2" s="1"/>
  <c r="V323" i="2"/>
  <c r="S323" i="2"/>
  <c r="Y323" i="2" s="1"/>
  <c r="M323" i="2"/>
  <c r="W322" i="2"/>
  <c r="T322" i="2"/>
  <c r="Z322" i="2" s="1"/>
  <c r="P322" i="2"/>
  <c r="N322" i="2"/>
  <c r="V321" i="2"/>
  <c r="S321" i="2"/>
  <c r="Y321" i="2" s="1"/>
  <c r="M321" i="2"/>
  <c r="V320" i="2"/>
  <c r="S320" i="2"/>
  <c r="Y320" i="2" s="1"/>
  <c r="M320" i="2"/>
  <c r="V319" i="2"/>
  <c r="S319" i="2"/>
  <c r="Y319" i="2" s="1"/>
  <c r="M319" i="2"/>
  <c r="V318" i="2"/>
  <c r="S318" i="2"/>
  <c r="Y318" i="2" s="1"/>
  <c r="M318" i="2"/>
  <c r="W317" i="2"/>
  <c r="T317" i="2"/>
  <c r="Z317" i="2" s="1"/>
  <c r="N317" i="2"/>
  <c r="V316" i="2"/>
  <c r="S316" i="2"/>
  <c r="Y316" i="2" s="1"/>
  <c r="M316" i="2"/>
  <c r="V315" i="2"/>
  <c r="S315" i="2"/>
  <c r="Y315" i="2" s="1"/>
  <c r="M315" i="2"/>
  <c r="V314" i="2"/>
  <c r="S314" i="2"/>
  <c r="M314" i="2"/>
  <c r="V313" i="2"/>
  <c r="S313" i="2"/>
  <c r="Y313" i="2" s="1"/>
  <c r="M313" i="2"/>
  <c r="W312" i="2"/>
  <c r="T312" i="2"/>
  <c r="Z312" i="2" s="1"/>
  <c r="N312" i="2"/>
  <c r="V311" i="2"/>
  <c r="S311" i="2"/>
  <c r="Y311" i="2" s="1"/>
  <c r="M311" i="2"/>
  <c r="V310" i="2"/>
  <c r="S310" i="2"/>
  <c r="Y310" i="2" s="1"/>
  <c r="M310" i="2"/>
  <c r="V309" i="2"/>
  <c r="S309" i="2"/>
  <c r="Y309" i="2" s="1"/>
  <c r="M309" i="2"/>
  <c r="V308" i="2"/>
  <c r="S308" i="2"/>
  <c r="Y308" i="2" s="1"/>
  <c r="M308" i="2"/>
  <c r="W307" i="2"/>
  <c r="T307" i="2"/>
  <c r="Z307" i="2" s="1"/>
  <c r="N307" i="2"/>
  <c r="Y306" i="2"/>
  <c r="V306" i="2"/>
  <c r="S306" i="2"/>
  <c r="M306" i="2"/>
  <c r="V305" i="2"/>
  <c r="S305" i="2"/>
  <c r="Y305" i="2" s="1"/>
  <c r="M305" i="2"/>
  <c r="V304" i="2"/>
  <c r="S304" i="2"/>
  <c r="Y304" i="2" s="1"/>
  <c r="M304" i="2"/>
  <c r="V303" i="2"/>
  <c r="S303" i="2"/>
  <c r="Y303" i="2" s="1"/>
  <c r="M303" i="2"/>
  <c r="Z302" i="2"/>
  <c r="Y302" i="2"/>
  <c r="AA302" i="2" s="1"/>
  <c r="X302" i="2"/>
  <c r="W302" i="2"/>
  <c r="V302" i="2"/>
  <c r="U302" i="2"/>
  <c r="R302" i="2"/>
  <c r="O302" i="2"/>
  <c r="L302" i="2"/>
  <c r="Y301" i="2"/>
  <c r="V301" i="2"/>
  <c r="S301" i="2"/>
  <c r="M301" i="2"/>
  <c r="V300" i="2"/>
  <c r="S300" i="2"/>
  <c r="Y300" i="2" s="1"/>
  <c r="M300" i="2"/>
  <c r="Y299" i="2"/>
  <c r="V299" i="2"/>
  <c r="S299" i="2"/>
  <c r="M299" i="2"/>
  <c r="V298" i="2"/>
  <c r="S298" i="2"/>
  <c r="Y298" i="2" s="1"/>
  <c r="M298" i="2"/>
  <c r="Z297" i="2"/>
  <c r="AA297" i="2" s="1"/>
  <c r="Y297" i="2"/>
  <c r="W297" i="2"/>
  <c r="V297" i="2"/>
  <c r="U297" i="2"/>
  <c r="R297" i="2"/>
  <c r="X297" i="2" s="1"/>
  <c r="O297" i="2"/>
  <c r="L297" i="2"/>
  <c r="V296" i="2"/>
  <c r="S296" i="2"/>
  <c r="Y296" i="2" s="1"/>
  <c r="M296" i="2"/>
  <c r="V295" i="2"/>
  <c r="S295" i="2"/>
  <c r="Y295" i="2" s="1"/>
  <c r="M295" i="2"/>
  <c r="V294" i="2"/>
  <c r="S294" i="2"/>
  <c r="Y294" i="2" s="1"/>
  <c r="M294" i="2"/>
  <c r="AA293" i="2"/>
  <c r="Z293" i="2"/>
  <c r="Y293" i="2"/>
  <c r="X293" i="2"/>
  <c r="W293" i="2"/>
  <c r="V293" i="2"/>
  <c r="U293" i="2"/>
  <c r="R293" i="2"/>
  <c r="O293" i="2"/>
  <c r="L293" i="2"/>
  <c r="Y292" i="2"/>
  <c r="V292" i="2"/>
  <c r="S292" i="2"/>
  <c r="M292" i="2"/>
  <c r="V291" i="2"/>
  <c r="S291" i="2"/>
  <c r="Y291" i="2" s="1"/>
  <c r="M291" i="2"/>
  <c r="Y290" i="2"/>
  <c r="V290" i="2"/>
  <c r="S290" i="2"/>
  <c r="M290" i="2"/>
  <c r="Z289" i="2"/>
  <c r="Y289" i="2"/>
  <c r="AA289" i="2" s="1"/>
  <c r="X289" i="2"/>
  <c r="W289" i="2"/>
  <c r="V289" i="2"/>
  <c r="U289" i="2"/>
  <c r="R289" i="2"/>
  <c r="O289" i="2"/>
  <c r="L289" i="2"/>
  <c r="V288" i="2"/>
  <c r="S288" i="2"/>
  <c r="Y288" i="2" s="1"/>
  <c r="M288" i="2"/>
  <c r="V287" i="2"/>
  <c r="S287" i="2"/>
  <c r="Y287" i="2" s="1"/>
  <c r="M287" i="2"/>
  <c r="V286" i="2"/>
  <c r="S286" i="2"/>
  <c r="Y286" i="2" s="1"/>
  <c r="M286" i="2"/>
  <c r="V285" i="2"/>
  <c r="S285" i="2"/>
  <c r="Y285" i="2" s="1"/>
  <c r="M285" i="2"/>
  <c r="Z284" i="2"/>
  <c r="Y284" i="2"/>
  <c r="AA284" i="2" s="1"/>
  <c r="X284" i="2"/>
  <c r="W284" i="2"/>
  <c r="V284" i="2"/>
  <c r="U284" i="2"/>
  <c r="R284" i="2"/>
  <c r="O284" i="2"/>
  <c r="L284" i="2"/>
  <c r="Y283" i="2"/>
  <c r="V283" i="2"/>
  <c r="S283" i="2"/>
  <c r="M283" i="2"/>
  <c r="V282" i="2"/>
  <c r="S282" i="2"/>
  <c r="Y282" i="2" s="1"/>
  <c r="M282" i="2"/>
  <c r="Y281" i="2"/>
  <c r="V281" i="2"/>
  <c r="S281" i="2"/>
  <c r="M281" i="2"/>
  <c r="V280" i="2"/>
  <c r="S280" i="2"/>
  <c r="Y280" i="2" s="1"/>
  <c r="M280" i="2"/>
  <c r="AA279" i="2"/>
  <c r="Z279" i="2"/>
  <c r="Y279" i="2"/>
  <c r="W279" i="2"/>
  <c r="V279" i="2"/>
  <c r="U279" i="2"/>
  <c r="R279" i="2"/>
  <c r="X279" i="2" s="1"/>
  <c r="O279" i="2"/>
  <c r="L279" i="2"/>
  <c r="V278" i="2"/>
  <c r="S278" i="2"/>
  <c r="Y278" i="2" s="1"/>
  <c r="M278" i="2"/>
  <c r="Y277" i="2"/>
  <c r="V277" i="2"/>
  <c r="S277" i="2"/>
  <c r="M277" i="2"/>
  <c r="V276" i="2"/>
  <c r="S276" i="2"/>
  <c r="Y276" i="2" s="1"/>
  <c r="M276" i="2"/>
  <c r="Y275" i="2"/>
  <c r="V275" i="2"/>
  <c r="S275" i="2"/>
  <c r="M275" i="2"/>
  <c r="W274" i="2"/>
  <c r="T274" i="2"/>
  <c r="Z274" i="2" s="1"/>
  <c r="N274" i="2"/>
  <c r="J274" i="2"/>
  <c r="V273" i="2"/>
  <c r="S273" i="2"/>
  <c r="Y273" i="2" s="1"/>
  <c r="M273" i="2"/>
  <c r="V272" i="2"/>
  <c r="S272" i="2"/>
  <c r="Y272" i="2" s="1"/>
  <c r="M272" i="2"/>
  <c r="V271" i="2"/>
  <c r="S271" i="2"/>
  <c r="Y271" i="2" s="1"/>
  <c r="M271" i="2"/>
  <c r="Y270" i="2"/>
  <c r="V270" i="2"/>
  <c r="S270" i="2"/>
  <c r="M270" i="2"/>
  <c r="J269" i="2" s="1"/>
  <c r="W269" i="2"/>
  <c r="T269" i="2"/>
  <c r="Z269" i="2" s="1"/>
  <c r="N269" i="2"/>
  <c r="V268" i="2"/>
  <c r="S268" i="2"/>
  <c r="Y268" i="2" s="1"/>
  <c r="M268" i="2"/>
  <c r="Y267" i="2"/>
  <c r="V267" i="2"/>
  <c r="S267" i="2"/>
  <c r="M267" i="2"/>
  <c r="J264" i="2" s="1"/>
  <c r="V266" i="2"/>
  <c r="S266" i="2"/>
  <c r="Y266" i="2" s="1"/>
  <c r="M266" i="2"/>
  <c r="Y265" i="2"/>
  <c r="V265" i="2"/>
  <c r="S265" i="2"/>
  <c r="M265" i="2"/>
  <c r="W264" i="2"/>
  <c r="T264" i="2"/>
  <c r="Z264" i="2" s="1"/>
  <c r="N264" i="2"/>
  <c r="V263" i="2"/>
  <c r="S263" i="2"/>
  <c r="Y263" i="2" s="1"/>
  <c r="M263" i="2"/>
  <c r="V262" i="2"/>
  <c r="S262" i="2"/>
  <c r="Y262" i="2" s="1"/>
  <c r="M262" i="2"/>
  <c r="V261" i="2"/>
  <c r="S261" i="2"/>
  <c r="Y261" i="2" s="1"/>
  <c r="M261" i="2"/>
  <c r="V260" i="2"/>
  <c r="S260" i="2"/>
  <c r="Y260" i="2" s="1"/>
  <c r="M260" i="2"/>
  <c r="Z259" i="2"/>
  <c r="Y259" i="2"/>
  <c r="AA259" i="2" s="1"/>
  <c r="X259" i="2"/>
  <c r="W259" i="2"/>
  <c r="V259" i="2"/>
  <c r="U259" i="2"/>
  <c r="R259" i="2"/>
  <c r="O259" i="2"/>
  <c r="L259" i="2"/>
  <c r="V258" i="2"/>
  <c r="S258" i="2"/>
  <c r="Y258" i="2" s="1"/>
  <c r="M258" i="2"/>
  <c r="Y257" i="2"/>
  <c r="V257" i="2"/>
  <c r="S257" i="2"/>
  <c r="M257" i="2"/>
  <c r="V256" i="2"/>
  <c r="S256" i="2"/>
  <c r="Y256" i="2" s="1"/>
  <c r="M256" i="2"/>
  <c r="Y255" i="2"/>
  <c r="V255" i="2"/>
  <c r="S255" i="2"/>
  <c r="M255" i="2"/>
  <c r="Z254" i="2"/>
  <c r="Y254" i="2"/>
  <c r="X254" i="2"/>
  <c r="W254" i="2"/>
  <c r="V254" i="2"/>
  <c r="U254" i="2"/>
  <c r="R254" i="2"/>
  <c r="O254" i="2"/>
  <c r="L254" i="2"/>
  <c r="V253" i="2"/>
  <c r="S253" i="2"/>
  <c r="Y253" i="2" s="1"/>
  <c r="M253" i="2"/>
  <c r="V252" i="2"/>
  <c r="S252" i="2"/>
  <c r="Y252" i="2" s="1"/>
  <c r="M252" i="2"/>
  <c r="Y251" i="2"/>
  <c r="V251" i="2"/>
  <c r="S251" i="2"/>
  <c r="M251" i="2"/>
  <c r="V250" i="2"/>
  <c r="S250" i="2"/>
  <c r="Y250" i="2" s="1"/>
  <c r="M250" i="2"/>
  <c r="Z249" i="2"/>
  <c r="AA249" i="2" s="1"/>
  <c r="Y249" i="2"/>
  <c r="X249" i="2"/>
  <c r="W249" i="2"/>
  <c r="V249" i="2"/>
  <c r="U249" i="2"/>
  <c r="R249" i="2"/>
  <c r="O249" i="2"/>
  <c r="L249" i="2"/>
  <c r="Y248" i="2"/>
  <c r="V248" i="2"/>
  <c r="S248" i="2"/>
  <c r="M248" i="2"/>
  <c r="V247" i="2"/>
  <c r="S247" i="2"/>
  <c r="Y247" i="2" s="1"/>
  <c r="M247" i="2"/>
  <c r="Y246" i="2"/>
  <c r="V246" i="2"/>
  <c r="S246" i="2"/>
  <c r="M246" i="2"/>
  <c r="V245" i="2"/>
  <c r="S245" i="2"/>
  <c r="Y245" i="2" s="1"/>
  <c r="M245" i="2"/>
  <c r="Z244" i="2"/>
  <c r="AA244" i="2" s="1"/>
  <c r="Y244" i="2"/>
  <c r="W244" i="2"/>
  <c r="V244" i="2"/>
  <c r="U244" i="2"/>
  <c r="R244" i="2"/>
  <c r="X244" i="2" s="1"/>
  <c r="O244" i="2"/>
  <c r="L244" i="2"/>
  <c r="V243" i="2"/>
  <c r="S243" i="2"/>
  <c r="Y243" i="2" s="1"/>
  <c r="M243" i="2"/>
  <c r="Y242" i="2"/>
  <c r="V242" i="2"/>
  <c r="S242" i="2"/>
  <c r="M242" i="2"/>
  <c r="V241" i="2"/>
  <c r="S241" i="2"/>
  <c r="Y241" i="2" s="1"/>
  <c r="M241" i="2"/>
  <c r="Y240" i="2"/>
  <c r="V240" i="2"/>
  <c r="S240" i="2"/>
  <c r="M240" i="2"/>
  <c r="Z239" i="2"/>
  <c r="Y239" i="2"/>
  <c r="AA239" i="2" s="1"/>
  <c r="X239" i="2"/>
  <c r="W239" i="2"/>
  <c r="V239" i="2"/>
  <c r="U239" i="2"/>
  <c r="R239" i="2"/>
  <c r="O239" i="2"/>
  <c r="L239" i="2"/>
  <c r="V238" i="2"/>
  <c r="S238" i="2"/>
  <c r="Y238" i="2" s="1"/>
  <c r="M238" i="2"/>
  <c r="Y237" i="2"/>
  <c r="V237" i="2"/>
  <c r="S237" i="2"/>
  <c r="M237" i="2"/>
  <c r="V236" i="2"/>
  <c r="S236" i="2"/>
  <c r="Y236" i="2" s="1"/>
  <c r="M236" i="2"/>
  <c r="Y235" i="2"/>
  <c r="V235" i="2"/>
  <c r="S235" i="2"/>
  <c r="M235" i="2"/>
  <c r="Z234" i="2"/>
  <c r="Y234" i="2"/>
  <c r="AA234" i="2" s="1"/>
  <c r="X234" i="2"/>
  <c r="W234" i="2"/>
  <c r="V234" i="2"/>
  <c r="U234" i="2"/>
  <c r="R234" i="2"/>
  <c r="O234" i="2"/>
  <c r="L234" i="2"/>
  <c r="V233" i="2"/>
  <c r="S233" i="2"/>
  <c r="Y233" i="2" s="1"/>
  <c r="M233" i="2"/>
  <c r="J232" i="2" s="1"/>
  <c r="W232" i="2"/>
  <c r="T232" i="2"/>
  <c r="Z232" i="2" s="1"/>
  <c r="N232" i="2"/>
  <c r="V231" i="2"/>
  <c r="S231" i="2"/>
  <c r="Y231" i="2" s="1"/>
  <c r="M231" i="2"/>
  <c r="J230" i="2" s="1"/>
  <c r="Z230" i="2"/>
  <c r="W230" i="2"/>
  <c r="T230" i="2"/>
  <c r="S230" i="2"/>
  <c r="P230" i="2"/>
  <c r="V230" i="2" s="1"/>
  <c r="N230" i="2"/>
  <c r="Y229" i="2"/>
  <c r="V229" i="2"/>
  <c r="S229" i="2"/>
  <c r="M229" i="2"/>
  <c r="J228" i="2" s="1"/>
  <c r="W228" i="2"/>
  <c r="V228" i="2"/>
  <c r="T228" i="2"/>
  <c r="Z228" i="2" s="1"/>
  <c r="P228" i="2"/>
  <c r="N228" i="2"/>
  <c r="V227" i="2"/>
  <c r="S227" i="2"/>
  <c r="M227" i="2"/>
  <c r="W226" i="2"/>
  <c r="T226" i="2"/>
  <c r="Z226" i="2" s="1"/>
  <c r="N226" i="2"/>
  <c r="J226" i="2"/>
  <c r="M226" i="2" s="1"/>
  <c r="O226" i="2" s="1"/>
  <c r="Y225" i="2"/>
  <c r="V225" i="2"/>
  <c r="S225" i="2"/>
  <c r="M225" i="2"/>
  <c r="Z224" i="2"/>
  <c r="Y224" i="2"/>
  <c r="AA224" i="2" s="1"/>
  <c r="W224" i="2"/>
  <c r="V224" i="2"/>
  <c r="U224" i="2"/>
  <c r="R224" i="2"/>
  <c r="X224" i="2" s="1"/>
  <c r="O224" i="2"/>
  <c r="L224" i="2"/>
  <c r="V223" i="2"/>
  <c r="S223" i="2"/>
  <c r="Y223" i="2" s="1"/>
  <c r="M223" i="2"/>
  <c r="Z222" i="2"/>
  <c r="AA222" i="2" s="1"/>
  <c r="Y222" i="2"/>
  <c r="W222" i="2"/>
  <c r="V222" i="2"/>
  <c r="U222" i="2"/>
  <c r="R222" i="2"/>
  <c r="X222" i="2" s="1"/>
  <c r="O222" i="2"/>
  <c r="L222" i="2"/>
  <c r="V221" i="2"/>
  <c r="S221" i="2"/>
  <c r="Y221" i="2" s="1"/>
  <c r="M221" i="2"/>
  <c r="Z220" i="2"/>
  <c r="Y220" i="2"/>
  <c r="AA220" i="2" s="1"/>
  <c r="X220" i="2"/>
  <c r="W220" i="2"/>
  <c r="V220" i="2"/>
  <c r="U220" i="2"/>
  <c r="R220" i="2"/>
  <c r="O220" i="2"/>
  <c r="L220" i="2"/>
  <c r="Y219" i="2"/>
  <c r="V219" i="2"/>
  <c r="S219" i="2"/>
  <c r="M219" i="2"/>
  <c r="AA218" i="2"/>
  <c r="Z218" i="2"/>
  <c r="Y218" i="2"/>
  <c r="W218" i="2"/>
  <c r="V218" i="2"/>
  <c r="U218" i="2"/>
  <c r="R218" i="2"/>
  <c r="X218" i="2" s="1"/>
  <c r="O218" i="2"/>
  <c r="L218" i="2"/>
  <c r="V217" i="2"/>
  <c r="S217" i="2"/>
  <c r="Y217" i="2" s="1"/>
  <c r="M217" i="2"/>
  <c r="V216" i="2"/>
  <c r="S216" i="2"/>
  <c r="Y216" i="2" s="1"/>
  <c r="M216" i="2"/>
  <c r="V215" i="2"/>
  <c r="S215" i="2"/>
  <c r="Y215" i="2" s="1"/>
  <c r="M215" i="2"/>
  <c r="Z214" i="2"/>
  <c r="W214" i="2"/>
  <c r="T214" i="2"/>
  <c r="P214" i="2"/>
  <c r="N214" i="2"/>
  <c r="V213" i="2"/>
  <c r="S213" i="2"/>
  <c r="Y213" i="2" s="1"/>
  <c r="M213" i="2"/>
  <c r="J210" i="2" s="1"/>
  <c r="V212" i="2"/>
  <c r="S212" i="2"/>
  <c r="P210" i="2" s="1"/>
  <c r="S210" i="2" s="1"/>
  <c r="M212" i="2"/>
  <c r="V211" i="2"/>
  <c r="S211" i="2"/>
  <c r="Y211" i="2" s="1"/>
  <c r="M211" i="2"/>
  <c r="W210" i="2"/>
  <c r="T210" i="2"/>
  <c r="Z210" i="2" s="1"/>
  <c r="N210" i="2"/>
  <c r="Y209" i="2"/>
  <c r="V209" i="2"/>
  <c r="S209" i="2"/>
  <c r="M209" i="2"/>
  <c r="V208" i="2"/>
  <c r="S208" i="2"/>
  <c r="Y208" i="2" s="1"/>
  <c r="M208" i="2"/>
  <c r="Y207" i="2"/>
  <c r="V207" i="2"/>
  <c r="S207" i="2"/>
  <c r="M207" i="2"/>
  <c r="Z206" i="2"/>
  <c r="W206" i="2"/>
  <c r="U206" i="2"/>
  <c r="T206" i="2"/>
  <c r="P206" i="2"/>
  <c r="S206" i="2" s="1"/>
  <c r="Y206" i="2" s="1"/>
  <c r="AA206" i="2" s="1"/>
  <c r="N206" i="2"/>
  <c r="J206" i="2"/>
  <c r="V205" i="2"/>
  <c r="S205" i="2"/>
  <c r="Y205" i="2" s="1"/>
  <c r="M205" i="2"/>
  <c r="V204" i="2"/>
  <c r="S204" i="2"/>
  <c r="Y204" i="2" s="1"/>
  <c r="M204" i="2"/>
  <c r="Z203" i="2"/>
  <c r="Y203" i="2"/>
  <c r="X203" i="2"/>
  <c r="W203" i="2"/>
  <c r="V203" i="2"/>
  <c r="U203" i="2"/>
  <c r="R203" i="2"/>
  <c r="O203" i="2"/>
  <c r="L203" i="2"/>
  <c r="V202" i="2"/>
  <c r="S202" i="2"/>
  <c r="Y202" i="2" s="1"/>
  <c r="M202" i="2"/>
  <c r="Y201" i="2"/>
  <c r="V201" i="2"/>
  <c r="S201" i="2"/>
  <c r="M201" i="2"/>
  <c r="Z200" i="2"/>
  <c r="Y200" i="2"/>
  <c r="AA200" i="2" s="1"/>
  <c r="W200" i="2"/>
  <c r="V200" i="2"/>
  <c r="U200" i="2"/>
  <c r="R200" i="2"/>
  <c r="X200" i="2" s="1"/>
  <c r="O200" i="2"/>
  <c r="L200" i="2"/>
  <c r="Y199" i="2"/>
  <c r="V199" i="2"/>
  <c r="S199" i="2"/>
  <c r="M199" i="2"/>
  <c r="V198" i="2"/>
  <c r="S198" i="2"/>
  <c r="Y198" i="2" s="1"/>
  <c r="M198" i="2"/>
  <c r="Z197" i="2"/>
  <c r="AA197" i="2" s="1"/>
  <c r="Y197" i="2"/>
  <c r="W197" i="2"/>
  <c r="V197" i="2"/>
  <c r="U197" i="2"/>
  <c r="R197" i="2"/>
  <c r="X197" i="2" s="1"/>
  <c r="O197" i="2"/>
  <c r="L197" i="2"/>
  <c r="Y196" i="2"/>
  <c r="V196" i="2"/>
  <c r="S196" i="2"/>
  <c r="M196" i="2"/>
  <c r="Y195" i="2"/>
  <c r="V195" i="2"/>
  <c r="S195" i="2"/>
  <c r="M195" i="2"/>
  <c r="Z194" i="2"/>
  <c r="AA194" i="2" s="1"/>
  <c r="Y194" i="2"/>
  <c r="W194" i="2"/>
  <c r="V194" i="2"/>
  <c r="U194" i="2"/>
  <c r="R194" i="2"/>
  <c r="X194" i="2" s="1"/>
  <c r="O194" i="2"/>
  <c r="L194" i="2"/>
  <c r="V193" i="2"/>
  <c r="S193" i="2"/>
  <c r="Y193" i="2" s="1"/>
  <c r="M193" i="2"/>
  <c r="W192" i="2"/>
  <c r="T192" i="2"/>
  <c r="Z192" i="2" s="1"/>
  <c r="P192" i="2"/>
  <c r="R192" i="2" s="1"/>
  <c r="X192" i="2" s="1"/>
  <c r="N192" i="2"/>
  <c r="J192" i="2"/>
  <c r="V191" i="2"/>
  <c r="S191" i="2"/>
  <c r="P190" i="2" s="1"/>
  <c r="M191" i="2"/>
  <c r="W190" i="2"/>
  <c r="T190" i="2"/>
  <c r="Z190" i="2" s="1"/>
  <c r="N190" i="2"/>
  <c r="J190" i="2"/>
  <c r="L190" i="2" s="1"/>
  <c r="V189" i="2"/>
  <c r="S189" i="2"/>
  <c r="Y189" i="2" s="1"/>
  <c r="M189" i="2"/>
  <c r="W188" i="2"/>
  <c r="T188" i="2"/>
  <c r="Z188" i="2" s="1"/>
  <c r="S188" i="2"/>
  <c r="P188" i="2"/>
  <c r="V188" i="2" s="1"/>
  <c r="N188" i="2"/>
  <c r="J188" i="2"/>
  <c r="M188" i="2" s="1"/>
  <c r="O188" i="2" s="1"/>
  <c r="Y187" i="2"/>
  <c r="V187" i="2"/>
  <c r="S187" i="2"/>
  <c r="P186" i="2" s="1"/>
  <c r="M187" i="2"/>
  <c r="W186" i="2"/>
  <c r="T186" i="2"/>
  <c r="Z186" i="2" s="1"/>
  <c r="N186" i="2"/>
  <c r="J186" i="2"/>
  <c r="L186" i="2" s="1"/>
  <c r="V185" i="2"/>
  <c r="S185" i="2"/>
  <c r="Y185" i="2" s="1"/>
  <c r="M185" i="2"/>
  <c r="W184" i="2"/>
  <c r="T184" i="2"/>
  <c r="Z184" i="2" s="1"/>
  <c r="S184" i="2"/>
  <c r="P184" i="2"/>
  <c r="V184" i="2" s="1"/>
  <c r="N184" i="2"/>
  <c r="J184" i="2"/>
  <c r="M184" i="2" s="1"/>
  <c r="O184" i="2" s="1"/>
  <c r="Y183" i="2"/>
  <c r="V183" i="2"/>
  <c r="S183" i="2"/>
  <c r="P182" i="2" s="1"/>
  <c r="M183" i="2"/>
  <c r="W182" i="2"/>
  <c r="T182" i="2"/>
  <c r="Z182" i="2" s="1"/>
  <c r="N182" i="2"/>
  <c r="J182" i="2"/>
  <c r="L182" i="2" s="1"/>
  <c r="V181" i="2"/>
  <c r="S181" i="2"/>
  <c r="Y181" i="2" s="1"/>
  <c r="M181" i="2"/>
  <c r="Y180" i="2"/>
  <c r="V180" i="2"/>
  <c r="S180" i="2"/>
  <c r="P179" i="2" s="1"/>
  <c r="M180" i="2"/>
  <c r="W179" i="2"/>
  <c r="T179" i="2"/>
  <c r="Z179" i="2" s="1"/>
  <c r="N179" i="2"/>
  <c r="J179" i="2"/>
  <c r="L179" i="2" s="1"/>
  <c r="V178" i="2"/>
  <c r="S178" i="2"/>
  <c r="Y178" i="2" s="1"/>
  <c r="M178" i="2"/>
  <c r="Y177" i="2"/>
  <c r="V177" i="2"/>
  <c r="S177" i="2"/>
  <c r="M177" i="2"/>
  <c r="Z176" i="2"/>
  <c r="Y176" i="2"/>
  <c r="AA176" i="2" s="1"/>
  <c r="W176" i="2"/>
  <c r="V176" i="2"/>
  <c r="U176" i="2"/>
  <c r="R176" i="2"/>
  <c r="X176" i="2" s="1"/>
  <c r="O176" i="2"/>
  <c r="L176" i="2"/>
  <c r="V175" i="2"/>
  <c r="S175" i="2"/>
  <c r="Y175" i="2" s="1"/>
  <c r="M175" i="2"/>
  <c r="Y174" i="2"/>
  <c r="V174" i="2"/>
  <c r="S174" i="2"/>
  <c r="M174" i="2"/>
  <c r="Z173" i="2"/>
  <c r="Y173" i="2"/>
  <c r="AA173" i="2" s="1"/>
  <c r="X173" i="2"/>
  <c r="W173" i="2"/>
  <c r="V173" i="2"/>
  <c r="U173" i="2"/>
  <c r="R173" i="2"/>
  <c r="O173" i="2"/>
  <c r="L173" i="2"/>
  <c r="Y172" i="2"/>
  <c r="V172" i="2"/>
  <c r="S172" i="2"/>
  <c r="M172" i="2"/>
  <c r="V171" i="2"/>
  <c r="S171" i="2"/>
  <c r="Y171" i="2" s="1"/>
  <c r="M171" i="2"/>
  <c r="AA170" i="2"/>
  <c r="Z170" i="2"/>
  <c r="Y170" i="2"/>
  <c r="X170" i="2"/>
  <c r="W170" i="2"/>
  <c r="V170" i="2"/>
  <c r="U170" i="2"/>
  <c r="R170" i="2"/>
  <c r="O170" i="2"/>
  <c r="L170" i="2"/>
  <c r="Y169" i="2"/>
  <c r="V169" i="2"/>
  <c r="S169" i="2"/>
  <c r="M169" i="2"/>
  <c r="V168" i="2"/>
  <c r="S168" i="2"/>
  <c r="Y168" i="2" s="1"/>
  <c r="M168" i="2"/>
  <c r="Z167" i="2"/>
  <c r="AA167" i="2" s="1"/>
  <c r="Y167" i="2"/>
  <c r="W167" i="2"/>
  <c r="V167" i="2"/>
  <c r="U167" i="2"/>
  <c r="R167" i="2"/>
  <c r="X167" i="2" s="1"/>
  <c r="O167" i="2"/>
  <c r="L167" i="2"/>
  <c r="V166" i="2"/>
  <c r="S166" i="2"/>
  <c r="Y166" i="2" s="1"/>
  <c r="M166" i="2"/>
  <c r="Y165" i="2"/>
  <c r="V165" i="2"/>
  <c r="S165" i="2"/>
  <c r="M165" i="2"/>
  <c r="Z164" i="2"/>
  <c r="Y164" i="2"/>
  <c r="AA164" i="2" s="1"/>
  <c r="W164" i="2"/>
  <c r="V164" i="2"/>
  <c r="U164" i="2"/>
  <c r="R164" i="2"/>
  <c r="X164" i="2" s="1"/>
  <c r="O164" i="2"/>
  <c r="L164" i="2"/>
  <c r="V163" i="2"/>
  <c r="S163" i="2"/>
  <c r="Y163" i="2" s="1"/>
  <c r="M163" i="2"/>
  <c r="Y162" i="2"/>
  <c r="V162" i="2"/>
  <c r="S162" i="2"/>
  <c r="M162" i="2"/>
  <c r="Z161" i="2"/>
  <c r="Y161" i="2"/>
  <c r="AA161" i="2" s="1"/>
  <c r="X161" i="2"/>
  <c r="W161" i="2"/>
  <c r="V161" i="2"/>
  <c r="U161" i="2"/>
  <c r="R161" i="2"/>
  <c r="O161" i="2"/>
  <c r="L161" i="2"/>
  <c r="Y160" i="2"/>
  <c r="V160" i="2"/>
  <c r="S160" i="2"/>
  <c r="M160" i="2"/>
  <c r="V159" i="2"/>
  <c r="S159" i="2"/>
  <c r="Y159" i="2" s="1"/>
  <c r="M159" i="2"/>
  <c r="AA158" i="2"/>
  <c r="Z158" i="2"/>
  <c r="Y158" i="2"/>
  <c r="X158" i="2"/>
  <c r="W158" i="2"/>
  <c r="V158" i="2"/>
  <c r="U158" i="2"/>
  <c r="R158" i="2"/>
  <c r="O158" i="2"/>
  <c r="L158" i="2"/>
  <c r="Y157" i="2"/>
  <c r="V157" i="2"/>
  <c r="S157" i="2"/>
  <c r="M157" i="2"/>
  <c r="V156" i="2"/>
  <c r="S156" i="2"/>
  <c r="Y156" i="2" s="1"/>
  <c r="M156" i="2"/>
  <c r="Z155" i="2"/>
  <c r="AA155" i="2" s="1"/>
  <c r="Y155" i="2"/>
  <c r="W155" i="2"/>
  <c r="V155" i="2"/>
  <c r="U155" i="2"/>
  <c r="R155" i="2"/>
  <c r="X155" i="2" s="1"/>
  <c r="O155" i="2"/>
  <c r="L155" i="2"/>
  <c r="V154" i="2"/>
  <c r="S154" i="2"/>
  <c r="Y154" i="2" s="1"/>
  <c r="M154" i="2"/>
  <c r="Y153" i="2"/>
  <c r="V153" i="2"/>
  <c r="S153" i="2"/>
  <c r="M153" i="2"/>
  <c r="V152" i="2"/>
  <c r="S152" i="2"/>
  <c r="Y152" i="2" s="1"/>
  <c r="M152" i="2"/>
  <c r="Y151" i="2"/>
  <c r="V151" i="2"/>
  <c r="S151" i="2"/>
  <c r="P150" i="2" s="1"/>
  <c r="M151" i="2"/>
  <c r="W150" i="2"/>
  <c r="T150" i="2"/>
  <c r="Z150" i="2" s="1"/>
  <c r="N150" i="2"/>
  <c r="J150" i="2"/>
  <c r="L150" i="2" s="1"/>
  <c r="V149" i="2"/>
  <c r="S149" i="2"/>
  <c r="Y149" i="2" s="1"/>
  <c r="M149" i="2"/>
  <c r="Y148" i="2"/>
  <c r="V148" i="2"/>
  <c r="S148" i="2"/>
  <c r="M148" i="2"/>
  <c r="J146" i="2" s="1"/>
  <c r="V147" i="2"/>
  <c r="S147" i="2"/>
  <c r="Y147" i="2" s="1"/>
  <c r="M147" i="2"/>
  <c r="W146" i="2"/>
  <c r="T146" i="2"/>
  <c r="Z146" i="2" s="1"/>
  <c r="S146" i="2"/>
  <c r="P146" i="2"/>
  <c r="V146" i="2" s="1"/>
  <c r="N146" i="2"/>
  <c r="Y145" i="2"/>
  <c r="V145" i="2"/>
  <c r="S145" i="2"/>
  <c r="M145" i="2"/>
  <c r="V144" i="2"/>
  <c r="S144" i="2"/>
  <c r="Y144" i="2" s="1"/>
  <c r="M144" i="2"/>
  <c r="Y143" i="2"/>
  <c r="V143" i="2"/>
  <c r="S143" i="2"/>
  <c r="M143" i="2"/>
  <c r="J141" i="2" s="1"/>
  <c r="V142" i="2"/>
  <c r="S142" i="2"/>
  <c r="Y142" i="2" s="1"/>
  <c r="M142" i="2"/>
  <c r="W141" i="2"/>
  <c r="T141" i="2"/>
  <c r="T117" i="2" s="1"/>
  <c r="S141" i="2"/>
  <c r="P141" i="2"/>
  <c r="V141" i="2" s="1"/>
  <c r="N141" i="2"/>
  <c r="Y140" i="2"/>
  <c r="V140" i="2"/>
  <c r="S140" i="2"/>
  <c r="M140" i="2"/>
  <c r="V139" i="2"/>
  <c r="S139" i="2"/>
  <c r="Y139" i="2" s="1"/>
  <c r="M139" i="2"/>
  <c r="AA138" i="2"/>
  <c r="Z138" i="2"/>
  <c r="Y138" i="2"/>
  <c r="X138" i="2"/>
  <c r="W138" i="2"/>
  <c r="V138" i="2"/>
  <c r="U138" i="2"/>
  <c r="R138" i="2"/>
  <c r="O138" i="2"/>
  <c r="L138" i="2"/>
  <c r="Y137" i="2"/>
  <c r="V137" i="2"/>
  <c r="S137" i="2"/>
  <c r="M137" i="2"/>
  <c r="V136" i="2"/>
  <c r="S136" i="2"/>
  <c r="Y136" i="2" s="1"/>
  <c r="M136" i="2"/>
  <c r="Y135" i="2"/>
  <c r="V135" i="2"/>
  <c r="S135" i="2"/>
  <c r="M135" i="2"/>
  <c r="Z134" i="2"/>
  <c r="Y134" i="2"/>
  <c r="AA134" i="2" s="1"/>
  <c r="W134" i="2"/>
  <c r="V134" i="2"/>
  <c r="U134" i="2"/>
  <c r="R134" i="2"/>
  <c r="X134" i="2" s="1"/>
  <c r="O134" i="2"/>
  <c r="L134" i="2"/>
  <c r="Y133" i="2"/>
  <c r="V133" i="2"/>
  <c r="S133" i="2"/>
  <c r="M133" i="2"/>
  <c r="V132" i="2"/>
  <c r="S132" i="2"/>
  <c r="Y132" i="2" s="1"/>
  <c r="M132" i="2"/>
  <c r="Y131" i="2"/>
  <c r="V131" i="2"/>
  <c r="S131" i="2"/>
  <c r="M131" i="2"/>
  <c r="Z130" i="2"/>
  <c r="Y130" i="2"/>
  <c r="AA130" i="2" s="1"/>
  <c r="W130" i="2"/>
  <c r="V130" i="2"/>
  <c r="U130" i="2"/>
  <c r="R130" i="2"/>
  <c r="X130" i="2" s="1"/>
  <c r="O130" i="2"/>
  <c r="L130" i="2"/>
  <c r="V129" i="2"/>
  <c r="S129" i="2"/>
  <c r="Y129" i="2" s="1"/>
  <c r="M129" i="2"/>
  <c r="Y128" i="2"/>
  <c r="V128" i="2"/>
  <c r="S128" i="2"/>
  <c r="M128" i="2"/>
  <c r="V127" i="2"/>
  <c r="S127" i="2"/>
  <c r="Y127" i="2" s="1"/>
  <c r="M127" i="2"/>
  <c r="Z126" i="2"/>
  <c r="AA126" i="2" s="1"/>
  <c r="Y126" i="2"/>
  <c r="W126" i="2"/>
  <c r="V126" i="2"/>
  <c r="U126" i="2"/>
  <c r="R126" i="2"/>
  <c r="X126" i="2" s="1"/>
  <c r="O126" i="2"/>
  <c r="L126" i="2"/>
  <c r="V125" i="2"/>
  <c r="S125" i="2"/>
  <c r="Y125" i="2" s="1"/>
  <c r="M125" i="2"/>
  <c r="Y124" i="2"/>
  <c r="V124" i="2"/>
  <c r="S124" i="2"/>
  <c r="M124" i="2"/>
  <c r="V123" i="2"/>
  <c r="S123" i="2"/>
  <c r="Y123" i="2" s="1"/>
  <c r="M123" i="2"/>
  <c r="AA122" i="2"/>
  <c r="Z122" i="2"/>
  <c r="Y122" i="2"/>
  <c r="X122" i="2"/>
  <c r="W122" i="2"/>
  <c r="V122" i="2"/>
  <c r="U122" i="2"/>
  <c r="R122" i="2"/>
  <c r="O122" i="2"/>
  <c r="L122" i="2"/>
  <c r="Y121" i="2"/>
  <c r="V121" i="2"/>
  <c r="S121" i="2"/>
  <c r="M121" i="2"/>
  <c r="V120" i="2"/>
  <c r="S120" i="2"/>
  <c r="Y120" i="2" s="1"/>
  <c r="M120" i="2"/>
  <c r="Y119" i="2"/>
  <c r="V119" i="2"/>
  <c r="S119" i="2"/>
  <c r="M119" i="2"/>
  <c r="Z118" i="2"/>
  <c r="Y118" i="2"/>
  <c r="W118" i="2"/>
  <c r="V118" i="2"/>
  <c r="U118" i="2"/>
  <c r="R118" i="2"/>
  <c r="X118" i="2" s="1"/>
  <c r="O118" i="2"/>
  <c r="L118" i="2"/>
  <c r="V116" i="2"/>
  <c r="S116" i="2"/>
  <c r="P115" i="2" s="1"/>
  <c r="M116" i="2"/>
  <c r="Z115" i="2"/>
  <c r="W115" i="2"/>
  <c r="T115" i="2"/>
  <c r="O115" i="2"/>
  <c r="N115" i="2"/>
  <c r="M115" i="2"/>
  <c r="L115" i="2"/>
  <c r="J115" i="2"/>
  <c r="V114" i="2"/>
  <c r="S114" i="2"/>
  <c r="Y114" i="2" s="1"/>
  <c r="M114" i="2"/>
  <c r="W113" i="2"/>
  <c r="T113" i="2"/>
  <c r="Z113" i="2" s="1"/>
  <c r="P113" i="2"/>
  <c r="R113" i="2" s="1"/>
  <c r="X113" i="2" s="1"/>
  <c r="N113" i="2"/>
  <c r="J113" i="2"/>
  <c r="V112" i="2"/>
  <c r="S112" i="2"/>
  <c r="P111" i="2" s="1"/>
  <c r="M112" i="2"/>
  <c r="Z111" i="2"/>
  <c r="W111" i="2"/>
  <c r="T111" i="2"/>
  <c r="O111" i="2"/>
  <c r="N111" i="2"/>
  <c r="M111" i="2"/>
  <c r="L111" i="2"/>
  <c r="J111" i="2"/>
  <c r="V110" i="2"/>
  <c r="S110" i="2"/>
  <c r="Y110" i="2" s="1"/>
  <c r="M110" i="2"/>
  <c r="J108" i="2" s="1"/>
  <c r="V109" i="2"/>
  <c r="S109" i="2"/>
  <c r="P108" i="2" s="1"/>
  <c r="M109" i="2"/>
  <c r="Z108" i="2"/>
  <c r="W108" i="2"/>
  <c r="T108" i="2"/>
  <c r="N108" i="2"/>
  <c r="V107" i="2"/>
  <c r="S107" i="2"/>
  <c r="Y107" i="2" s="1"/>
  <c r="M107" i="2"/>
  <c r="J105" i="2" s="1"/>
  <c r="V106" i="2"/>
  <c r="S106" i="2"/>
  <c r="P105" i="2" s="1"/>
  <c r="M106" i="2"/>
  <c r="Z105" i="2"/>
  <c r="W105" i="2"/>
  <c r="T105" i="2"/>
  <c r="N105" i="2"/>
  <c r="V104" i="2"/>
  <c r="S104" i="2"/>
  <c r="Y104" i="2" s="1"/>
  <c r="M104" i="2"/>
  <c r="J101" i="2" s="1"/>
  <c r="V103" i="2"/>
  <c r="S103" i="2"/>
  <c r="Y103" i="2" s="1"/>
  <c r="M103" i="2"/>
  <c r="V102" i="2"/>
  <c r="S102" i="2"/>
  <c r="Y102" i="2" s="1"/>
  <c r="M102" i="2"/>
  <c r="W101" i="2"/>
  <c r="T101" i="2"/>
  <c r="P101" i="2"/>
  <c r="R101" i="2" s="1"/>
  <c r="X101" i="2" s="1"/>
  <c r="N101" i="2"/>
  <c r="V100" i="2"/>
  <c r="S100" i="2"/>
  <c r="Y100" i="2" s="1"/>
  <c r="M100" i="2"/>
  <c r="V99" i="2"/>
  <c r="S99" i="2"/>
  <c r="Y99" i="2" s="1"/>
  <c r="M99" i="2"/>
  <c r="J97" i="2" s="1"/>
  <c r="V98" i="2"/>
  <c r="S98" i="2"/>
  <c r="P97" i="2" s="1"/>
  <c r="M98" i="2"/>
  <c r="Z97" i="2"/>
  <c r="W97" i="2"/>
  <c r="T97" i="2"/>
  <c r="N97" i="2"/>
  <c r="N96" i="2"/>
  <c r="V95" i="2"/>
  <c r="S95" i="2"/>
  <c r="Y95" i="2" s="1"/>
  <c r="M95" i="2"/>
  <c r="Y94" i="2"/>
  <c r="V94" i="2"/>
  <c r="S94" i="2"/>
  <c r="M94" i="2"/>
  <c r="V93" i="2"/>
  <c r="S93" i="2"/>
  <c r="M93" i="2"/>
  <c r="Z92" i="2"/>
  <c r="W92" i="2"/>
  <c r="T92" i="2"/>
  <c r="N92" i="2"/>
  <c r="M92" i="2"/>
  <c r="O92" i="2" s="1"/>
  <c r="L92" i="2"/>
  <c r="J92" i="2"/>
  <c r="Y91" i="2"/>
  <c r="V91" i="2"/>
  <c r="S91" i="2"/>
  <c r="M91" i="2"/>
  <c r="V90" i="2"/>
  <c r="S90" i="2"/>
  <c r="Y90" i="2" s="1"/>
  <c r="M90" i="2"/>
  <c r="Y89" i="2"/>
  <c r="V89" i="2"/>
  <c r="S89" i="2"/>
  <c r="M89" i="2"/>
  <c r="Z88" i="2"/>
  <c r="W88" i="2"/>
  <c r="T88" i="2"/>
  <c r="N88" i="2"/>
  <c r="M88" i="2"/>
  <c r="O88" i="2" s="1"/>
  <c r="J88" i="2"/>
  <c r="L88" i="2" s="1"/>
  <c r="V87" i="2"/>
  <c r="S87" i="2"/>
  <c r="Y87" i="2" s="1"/>
  <c r="M87" i="2"/>
  <c r="Y86" i="2"/>
  <c r="V86" i="2"/>
  <c r="S86" i="2"/>
  <c r="M86" i="2"/>
  <c r="V85" i="2"/>
  <c r="S85" i="2"/>
  <c r="M85" i="2"/>
  <c r="Z84" i="2"/>
  <c r="W84" i="2"/>
  <c r="T84" i="2"/>
  <c r="N84" i="2"/>
  <c r="M84" i="2"/>
  <c r="O84" i="2" s="1"/>
  <c r="L84" i="2"/>
  <c r="J84" i="2"/>
  <c r="Y83" i="2"/>
  <c r="V83" i="2"/>
  <c r="S83" i="2"/>
  <c r="M83" i="2"/>
  <c r="V82" i="2"/>
  <c r="S82" i="2"/>
  <c r="Y82" i="2" s="1"/>
  <c r="M82" i="2"/>
  <c r="Y81" i="2"/>
  <c r="V81" i="2"/>
  <c r="S81" i="2"/>
  <c r="M81" i="2"/>
  <c r="V80" i="2"/>
  <c r="S80" i="2"/>
  <c r="M80" i="2"/>
  <c r="Z79" i="2"/>
  <c r="W79" i="2"/>
  <c r="T79" i="2"/>
  <c r="N79" i="2"/>
  <c r="M79" i="2"/>
  <c r="O79" i="2" s="1"/>
  <c r="L79" i="2"/>
  <c r="J79" i="2"/>
  <c r="Y78" i="2"/>
  <c r="V78" i="2"/>
  <c r="S78" i="2"/>
  <c r="M78" i="2"/>
  <c r="V77" i="2"/>
  <c r="S77" i="2"/>
  <c r="Y77" i="2" s="1"/>
  <c r="M77" i="2"/>
  <c r="Y76" i="2"/>
  <c r="V76" i="2"/>
  <c r="S76" i="2"/>
  <c r="M76" i="2"/>
  <c r="V75" i="2"/>
  <c r="S75" i="2"/>
  <c r="M75" i="2"/>
  <c r="Z74" i="2"/>
  <c r="W74" i="2"/>
  <c r="T74" i="2"/>
  <c r="N74" i="2"/>
  <c r="M74" i="2"/>
  <c r="O74" i="2" s="1"/>
  <c r="L74" i="2"/>
  <c r="J74" i="2"/>
  <c r="Y73" i="2"/>
  <c r="V73" i="2"/>
  <c r="S73" i="2"/>
  <c r="M73" i="2"/>
  <c r="Z72" i="2"/>
  <c r="W72" i="2"/>
  <c r="T72" i="2"/>
  <c r="P72" i="2"/>
  <c r="N72" i="2"/>
  <c r="M72" i="2"/>
  <c r="O72" i="2" s="1"/>
  <c r="J72" i="2"/>
  <c r="L72" i="2" s="1"/>
  <c r="V71" i="2"/>
  <c r="S71" i="2"/>
  <c r="M71" i="2"/>
  <c r="Z70" i="2"/>
  <c r="W70" i="2"/>
  <c r="T70" i="2"/>
  <c r="N70" i="2"/>
  <c r="M70" i="2"/>
  <c r="O70" i="2" s="1"/>
  <c r="L70" i="2"/>
  <c r="J70" i="2"/>
  <c r="Y69" i="2"/>
  <c r="V69" i="2"/>
  <c r="S69" i="2"/>
  <c r="M69" i="2"/>
  <c r="Z68" i="2"/>
  <c r="W68" i="2"/>
  <c r="T68" i="2"/>
  <c r="P68" i="2"/>
  <c r="N68" i="2"/>
  <c r="M68" i="2"/>
  <c r="M65" i="2" s="1"/>
  <c r="J68" i="2"/>
  <c r="L68" i="2" s="1"/>
  <c r="X67" i="2"/>
  <c r="W67" i="2"/>
  <c r="T67" i="2"/>
  <c r="U67" i="2" s="1"/>
  <c r="R67" i="2"/>
  <c r="O67" i="2"/>
  <c r="N67" i="2"/>
  <c r="L67" i="2"/>
  <c r="AA66" i="2"/>
  <c r="Z66" i="2"/>
  <c r="X66" i="2"/>
  <c r="W66" i="2"/>
  <c r="T66" i="2"/>
  <c r="U66" i="2" s="1"/>
  <c r="R66" i="2"/>
  <c r="N66" i="2"/>
  <c r="L66" i="2"/>
  <c r="Y60" i="2"/>
  <c r="V60" i="2"/>
  <c r="S60" i="2"/>
  <c r="M60" i="2"/>
  <c r="Y59" i="2"/>
  <c r="V59" i="2"/>
  <c r="S59" i="2"/>
  <c r="M59" i="2"/>
  <c r="Y58" i="2"/>
  <c r="V58" i="2"/>
  <c r="S58" i="2"/>
  <c r="M58" i="2"/>
  <c r="Y57" i="2"/>
  <c r="V57" i="2"/>
  <c r="S57" i="2"/>
  <c r="M57" i="2"/>
  <c r="Z56" i="2"/>
  <c r="AA56" i="2" s="1"/>
  <c r="Y56" i="2"/>
  <c r="X56" i="2"/>
  <c r="W56" i="2"/>
  <c r="V56" i="2"/>
  <c r="U56" i="2"/>
  <c r="R56" i="2"/>
  <c r="O56" i="2"/>
  <c r="L56" i="2"/>
  <c r="V55" i="2"/>
  <c r="S55" i="2"/>
  <c r="Y55" i="2" s="1"/>
  <c r="M55" i="2"/>
  <c r="V54" i="2"/>
  <c r="S54" i="2"/>
  <c r="Y54" i="2" s="1"/>
  <c r="M54" i="2"/>
  <c r="V53" i="2"/>
  <c r="S53" i="2"/>
  <c r="Y53" i="2" s="1"/>
  <c r="M53" i="2"/>
  <c r="V52" i="2"/>
  <c r="S52" i="2"/>
  <c r="Y52" i="2" s="1"/>
  <c r="M52" i="2"/>
  <c r="Z51" i="2"/>
  <c r="Y51" i="2"/>
  <c r="AA51" i="2" s="1"/>
  <c r="W51" i="2"/>
  <c r="V51" i="2"/>
  <c r="U51" i="2"/>
  <c r="R51" i="2"/>
  <c r="X51" i="2" s="1"/>
  <c r="O51" i="2"/>
  <c r="L51" i="2"/>
  <c r="Y50" i="2"/>
  <c r="V50" i="2"/>
  <c r="S50" i="2"/>
  <c r="M50" i="2"/>
  <c r="Y49" i="2"/>
  <c r="V49" i="2"/>
  <c r="S49" i="2"/>
  <c r="M49" i="2"/>
  <c r="Y48" i="2"/>
  <c r="V48" i="2"/>
  <c r="S48" i="2"/>
  <c r="M48" i="2"/>
  <c r="Y47" i="2"/>
  <c r="V47" i="2"/>
  <c r="S47" i="2"/>
  <c r="M47" i="2"/>
  <c r="AA46" i="2"/>
  <c r="Z46" i="2"/>
  <c r="Y46" i="2"/>
  <c r="W46" i="2"/>
  <c r="V46" i="2"/>
  <c r="U46" i="2"/>
  <c r="R46" i="2"/>
  <c r="X46" i="2" s="1"/>
  <c r="O46" i="2"/>
  <c r="L46" i="2"/>
  <c r="V45" i="2"/>
  <c r="S45" i="2"/>
  <c r="Y45" i="2" s="1"/>
  <c r="M45" i="2"/>
  <c r="V44" i="2"/>
  <c r="S44" i="2"/>
  <c r="Y44" i="2" s="1"/>
  <c r="M44" i="2"/>
  <c r="V43" i="2"/>
  <c r="S43" i="2"/>
  <c r="Y43" i="2" s="1"/>
  <c r="M43" i="2"/>
  <c r="V42" i="2"/>
  <c r="S42" i="2"/>
  <c r="Y42" i="2" s="1"/>
  <c r="M42" i="2"/>
  <c r="Z41" i="2"/>
  <c r="Y41" i="2"/>
  <c r="AA41" i="2" s="1"/>
  <c r="X41" i="2"/>
  <c r="W41" i="2"/>
  <c r="V41" i="2"/>
  <c r="U41" i="2"/>
  <c r="R41" i="2"/>
  <c r="O41" i="2"/>
  <c r="L41" i="2"/>
  <c r="Y40" i="2"/>
  <c r="V40" i="2"/>
  <c r="S40" i="2"/>
  <c r="M40" i="2"/>
  <c r="Y39" i="2"/>
  <c r="V39" i="2"/>
  <c r="S39" i="2"/>
  <c r="M39" i="2"/>
  <c r="Y38" i="2"/>
  <c r="V38" i="2"/>
  <c r="S38" i="2"/>
  <c r="M38" i="2"/>
  <c r="Y37" i="2"/>
  <c r="V37" i="2"/>
  <c r="S37" i="2"/>
  <c r="M37" i="2"/>
  <c r="Z36" i="2"/>
  <c r="AA36" i="2" s="1"/>
  <c r="Y36" i="2"/>
  <c r="X36" i="2"/>
  <c r="W36" i="2"/>
  <c r="V36" i="2"/>
  <c r="U36" i="2"/>
  <c r="R36" i="2"/>
  <c r="O36" i="2"/>
  <c r="L36" i="2"/>
  <c r="V35" i="2"/>
  <c r="S35" i="2"/>
  <c r="Y35" i="2" s="1"/>
  <c r="M35" i="2"/>
  <c r="V34" i="2"/>
  <c r="S34" i="2"/>
  <c r="Y34" i="2" s="1"/>
  <c r="M34" i="2"/>
  <c r="V33" i="2"/>
  <c r="S33" i="2"/>
  <c r="Y33" i="2" s="1"/>
  <c r="M33" i="2"/>
  <c r="V32" i="2"/>
  <c r="S32" i="2"/>
  <c r="Y32" i="2" s="1"/>
  <c r="M32" i="2"/>
  <c r="Z31" i="2"/>
  <c r="Y31" i="2"/>
  <c r="AA31" i="2" s="1"/>
  <c r="W31" i="2"/>
  <c r="V31" i="2"/>
  <c r="U31" i="2"/>
  <c r="R31" i="2"/>
  <c r="X31" i="2" s="1"/>
  <c r="O31" i="2"/>
  <c r="L31" i="2"/>
  <c r="Y30" i="2"/>
  <c r="V30" i="2"/>
  <c r="S30" i="2"/>
  <c r="M30" i="2"/>
  <c r="Y29" i="2"/>
  <c r="V29" i="2"/>
  <c r="S29" i="2"/>
  <c r="M29" i="2"/>
  <c r="Y28" i="2"/>
  <c r="V28" i="2"/>
  <c r="S28" i="2"/>
  <c r="M28" i="2"/>
  <c r="Y27" i="2"/>
  <c r="V27" i="2"/>
  <c r="S27" i="2"/>
  <c r="M27" i="2"/>
  <c r="AA26" i="2"/>
  <c r="Z26" i="2"/>
  <c r="Y26" i="2"/>
  <c r="W26" i="2"/>
  <c r="V26" i="2"/>
  <c r="U26" i="2"/>
  <c r="R26" i="2"/>
  <c r="X26" i="2" s="1"/>
  <c r="O26" i="2"/>
  <c r="O20" i="2" s="1"/>
  <c r="O19" i="2" s="1"/>
  <c r="O18" i="2" s="1"/>
  <c r="L26" i="2"/>
  <c r="V25" i="2"/>
  <c r="S25" i="2"/>
  <c r="Y25" i="2" s="1"/>
  <c r="M25" i="2"/>
  <c r="V24" i="2"/>
  <c r="S24" i="2"/>
  <c r="Y24" i="2" s="1"/>
  <c r="M24" i="2"/>
  <c r="V23" i="2"/>
  <c r="S23" i="2"/>
  <c r="Y23" i="2" s="1"/>
  <c r="M23" i="2"/>
  <c r="V22" i="2"/>
  <c r="S22" i="2"/>
  <c r="Y22" i="2" s="1"/>
  <c r="M22" i="2"/>
  <c r="Z21" i="2"/>
  <c r="Y21" i="2"/>
  <c r="AA21" i="2" s="1"/>
  <c r="X21" i="2"/>
  <c r="W21" i="2"/>
  <c r="V21" i="2"/>
  <c r="U21" i="2"/>
  <c r="U20" i="2" s="1"/>
  <c r="U19" i="2" s="1"/>
  <c r="U18" i="2" s="1"/>
  <c r="U17" i="2" s="1"/>
  <c r="U16" i="2" s="1"/>
  <c r="R21" i="2"/>
  <c r="O21" i="2"/>
  <c r="L21" i="2"/>
  <c r="Z20" i="2"/>
  <c r="Z19" i="2" s="1"/>
  <c r="Z18" i="2" s="1"/>
  <c r="Z17" i="2" s="1"/>
  <c r="Z16" i="2" s="1"/>
  <c r="T20" i="2"/>
  <c r="T19" i="2" s="1"/>
  <c r="T18" i="2" s="1"/>
  <c r="T17" i="2" s="1"/>
  <c r="T16" i="2" s="1"/>
  <c r="S20" i="2"/>
  <c r="S19" i="2" s="1"/>
  <c r="S18" i="2" s="1"/>
  <c r="S17" i="2" s="1"/>
  <c r="S16" i="2" s="1"/>
  <c r="N20" i="2"/>
  <c r="M20" i="2"/>
  <c r="N19" i="2"/>
  <c r="M19" i="2"/>
  <c r="M18" i="2" s="1"/>
  <c r="M17" i="2" s="1"/>
  <c r="M16" i="2" s="1"/>
  <c r="N18" i="2"/>
  <c r="N17" i="2" s="1"/>
  <c r="N16" i="2" s="1"/>
  <c r="O17" i="2"/>
  <c r="O16" i="2" s="1"/>
  <c r="W15" i="2"/>
  <c r="U15" i="2"/>
  <c r="T15" i="2"/>
  <c r="Z15" i="2" s="1"/>
  <c r="AA15" i="2" s="1"/>
  <c r="R15" i="2"/>
  <c r="X15" i="2" s="1"/>
  <c r="O15" i="2"/>
  <c r="N15" i="2"/>
  <c r="L15" i="2"/>
  <c r="X14" i="2"/>
  <c r="W14" i="2"/>
  <c r="T14" i="2"/>
  <c r="U14" i="2" s="1"/>
  <c r="U13" i="2" s="1"/>
  <c r="U12" i="2" s="1"/>
  <c r="U11" i="2" s="1"/>
  <c r="U10" i="2" s="1"/>
  <c r="R14" i="2"/>
  <c r="N14" i="2"/>
  <c r="O14" i="2" s="1"/>
  <c r="O13" i="2" s="1"/>
  <c r="O12" i="2" s="1"/>
  <c r="O11" i="2" s="1"/>
  <c r="O10" i="2" s="1"/>
  <c r="L14" i="2"/>
  <c r="Y13" i="2"/>
  <c r="S13" i="2"/>
  <c r="N13" i="2"/>
  <c r="M13" i="2"/>
  <c r="M12" i="2" s="1"/>
  <c r="M11" i="2" s="1"/>
  <c r="M10" i="2" s="1"/>
  <c r="Y12" i="2"/>
  <c r="Y11" i="2" s="1"/>
  <c r="Y10" i="2" s="1"/>
  <c r="S12" i="2"/>
  <c r="N12" i="2"/>
  <c r="N11" i="2" s="1"/>
  <c r="N10" i="2" s="1"/>
  <c r="S11" i="2"/>
  <c r="S10" i="2"/>
  <c r="R422" i="3" l="1"/>
  <c r="S422" i="3"/>
  <c r="U422" i="3" s="1"/>
  <c r="S589" i="3"/>
  <c r="R589" i="3"/>
  <c r="M228" i="3"/>
  <c r="O228" i="3" s="1"/>
  <c r="L228" i="3"/>
  <c r="M474" i="3"/>
  <c r="O474" i="3" s="1"/>
  <c r="L474" i="3"/>
  <c r="L888" i="3"/>
  <c r="M888" i="3"/>
  <c r="O888" i="3" s="1"/>
  <c r="M269" i="3"/>
  <c r="O269" i="3" s="1"/>
  <c r="L269" i="3"/>
  <c r="S727" i="3"/>
  <c r="R727" i="3"/>
  <c r="M79" i="3"/>
  <c r="O79" i="3" s="1"/>
  <c r="L79" i="3"/>
  <c r="M190" i="3"/>
  <c r="O190" i="3" s="1"/>
  <c r="L190" i="3"/>
  <c r="S732" i="3"/>
  <c r="R732" i="3"/>
  <c r="S111" i="3"/>
  <c r="U111" i="3" s="1"/>
  <c r="R111" i="3"/>
  <c r="M226" i="3"/>
  <c r="O226" i="3" s="1"/>
  <c r="L226" i="3"/>
  <c r="M337" i="3"/>
  <c r="O337" i="3" s="1"/>
  <c r="L337" i="3"/>
  <c r="M795" i="3"/>
  <c r="L795" i="3"/>
  <c r="S964" i="3"/>
  <c r="R964" i="3"/>
  <c r="M70" i="3"/>
  <c r="O70" i="3" s="1"/>
  <c r="L70" i="3"/>
  <c r="M192" i="3"/>
  <c r="O192" i="3" s="1"/>
  <c r="L192" i="3"/>
  <c r="R427" i="3"/>
  <c r="S427" i="3"/>
  <c r="U427" i="3" s="1"/>
  <c r="M232" i="3"/>
  <c r="O232" i="3" s="1"/>
  <c r="L232" i="3"/>
  <c r="M798" i="3"/>
  <c r="O798" i="3" s="1"/>
  <c r="L798" i="3"/>
  <c r="M92" i="3"/>
  <c r="O92" i="3" s="1"/>
  <c r="L92" i="3"/>
  <c r="R108" i="3"/>
  <c r="S108" i="3"/>
  <c r="U108" i="3" s="1"/>
  <c r="L437" i="3"/>
  <c r="M437" i="3"/>
  <c r="O437" i="3" s="1"/>
  <c r="O432" i="3" s="1"/>
  <c r="S722" i="3"/>
  <c r="U722" i="3" s="1"/>
  <c r="R722" i="3"/>
  <c r="S737" i="3"/>
  <c r="U737" i="3" s="1"/>
  <c r="R737" i="3"/>
  <c r="O72" i="3"/>
  <c r="T96" i="3"/>
  <c r="J146" i="3"/>
  <c r="J206" i="3"/>
  <c r="L206" i="3" s="1"/>
  <c r="P441" i="3"/>
  <c r="S441" i="3" s="1"/>
  <c r="U441" i="3" s="1"/>
  <c r="P454" i="3"/>
  <c r="S454" i="3" s="1"/>
  <c r="J701" i="3"/>
  <c r="N711" i="3"/>
  <c r="P795" i="3"/>
  <c r="S795" i="3" s="1"/>
  <c r="U795" i="3" s="1"/>
  <c r="L913" i="3"/>
  <c r="L974" i="3"/>
  <c r="O13" i="3"/>
  <c r="O12" i="3" s="1"/>
  <c r="O11" i="3" s="1"/>
  <c r="O10" i="3" s="1"/>
  <c r="P101" i="3"/>
  <c r="S101" i="3" s="1"/>
  <c r="L230" i="3"/>
  <c r="J322" i="3"/>
  <c r="L322" i="3" s="1"/>
  <c r="P474" i="3"/>
  <c r="R474" i="3" s="1"/>
  <c r="R583" i="3"/>
  <c r="J706" i="3"/>
  <c r="N781" i="3"/>
  <c r="L792" i="3"/>
  <c r="J856" i="3"/>
  <c r="J859" i="3"/>
  <c r="L959" i="3"/>
  <c r="P74" i="3"/>
  <c r="S74" i="3" s="1"/>
  <c r="J97" i="3"/>
  <c r="J141" i="3"/>
  <c r="T117" i="3"/>
  <c r="T64" i="3" s="1"/>
  <c r="P179" i="3"/>
  <c r="R179" i="3" s="1"/>
  <c r="J307" i="3"/>
  <c r="P407" i="3"/>
  <c r="S407" i="3" s="1"/>
  <c r="J636" i="3"/>
  <c r="J691" i="3"/>
  <c r="M691" i="3" s="1"/>
  <c r="O691" i="3" s="1"/>
  <c r="R757" i="3"/>
  <c r="J892" i="3"/>
  <c r="U13" i="3"/>
  <c r="U12" i="3" s="1"/>
  <c r="U11" i="3" s="1"/>
  <c r="U10" i="3" s="1"/>
  <c r="R586" i="3"/>
  <c r="J722" i="3"/>
  <c r="J732" i="3"/>
  <c r="M732" i="3" s="1"/>
  <c r="O732" i="3" s="1"/>
  <c r="N65" i="3"/>
  <c r="J105" i="3"/>
  <c r="M105" i="3" s="1"/>
  <c r="O105" i="3" s="1"/>
  <c r="L188" i="3"/>
  <c r="J312" i="3"/>
  <c r="P412" i="3"/>
  <c r="R412" i="3" s="1"/>
  <c r="J422" i="3"/>
  <c r="J712" i="3"/>
  <c r="N862" i="3"/>
  <c r="L74" i="3"/>
  <c r="P79" i="3"/>
  <c r="S79" i="3" s="1"/>
  <c r="L84" i="3"/>
  <c r="P92" i="3"/>
  <c r="S92" i="3" s="1"/>
  <c r="N117" i="3"/>
  <c r="J210" i="3"/>
  <c r="M210" i="3" s="1"/>
  <c r="O210" i="3" s="1"/>
  <c r="L264" i="3"/>
  <c r="L274" i="3"/>
  <c r="J317" i="3"/>
  <c r="J402" i="3"/>
  <c r="M402" i="3" s="1"/>
  <c r="O402" i="3" s="1"/>
  <c r="P417" i="3"/>
  <c r="J457" i="3"/>
  <c r="J641" i="3"/>
  <c r="M641" i="3" s="1"/>
  <c r="O641" i="3" s="1"/>
  <c r="P745" i="3"/>
  <c r="S745" i="3" s="1"/>
  <c r="P792" i="3"/>
  <c r="S792" i="3" s="1"/>
  <c r="O913" i="3"/>
  <c r="R92" i="3"/>
  <c r="M146" i="3"/>
  <c r="O146" i="3" s="1"/>
  <c r="L146" i="3"/>
  <c r="M182" i="3"/>
  <c r="O182" i="3" s="1"/>
  <c r="L182" i="3"/>
  <c r="S70" i="3"/>
  <c r="R70" i="3"/>
  <c r="R74" i="3"/>
  <c r="M108" i="3"/>
  <c r="O108" i="3" s="1"/>
  <c r="L108" i="3"/>
  <c r="L105" i="3"/>
  <c r="O68" i="3"/>
  <c r="S84" i="3"/>
  <c r="R84" i="3"/>
  <c r="M97" i="3"/>
  <c r="L97" i="3"/>
  <c r="S113" i="3"/>
  <c r="R113" i="3"/>
  <c r="M101" i="3"/>
  <c r="O101" i="3" s="1"/>
  <c r="L101" i="3"/>
  <c r="L141" i="3"/>
  <c r="M141" i="3"/>
  <c r="S190" i="3"/>
  <c r="R190" i="3"/>
  <c r="M322" i="3"/>
  <c r="O322" i="3" s="1"/>
  <c r="N13" i="3"/>
  <c r="N12" i="3" s="1"/>
  <c r="N11" i="3" s="1"/>
  <c r="N10" i="3" s="1"/>
  <c r="O66" i="3"/>
  <c r="R68" i="3"/>
  <c r="R72" i="3"/>
  <c r="R88" i="3"/>
  <c r="L113" i="3"/>
  <c r="R146" i="3"/>
  <c r="P150" i="3"/>
  <c r="P182" i="3"/>
  <c r="P206" i="3"/>
  <c r="S68" i="3"/>
  <c r="S72" i="3"/>
  <c r="S88" i="3"/>
  <c r="P210" i="3"/>
  <c r="P274" i="3"/>
  <c r="S307" i="3"/>
  <c r="R307" i="3"/>
  <c r="M307" i="3"/>
  <c r="O307" i="3" s="1"/>
  <c r="L307" i="3"/>
  <c r="P269" i="3"/>
  <c r="S97" i="3"/>
  <c r="S105" i="3"/>
  <c r="U146" i="3"/>
  <c r="L179" i="3"/>
  <c r="S188" i="3"/>
  <c r="R188" i="3"/>
  <c r="L214" i="3"/>
  <c r="P232" i="3"/>
  <c r="L68" i="3"/>
  <c r="L72" i="3"/>
  <c r="L88" i="3"/>
  <c r="P141" i="3"/>
  <c r="S192" i="3"/>
  <c r="R192" i="3"/>
  <c r="S230" i="3"/>
  <c r="R230" i="3"/>
  <c r="P312" i="3"/>
  <c r="M312" i="3"/>
  <c r="O312" i="3" s="1"/>
  <c r="L312" i="3"/>
  <c r="L402" i="3"/>
  <c r="S322" i="3"/>
  <c r="R322" i="3"/>
  <c r="L111" i="3"/>
  <c r="L115" i="3"/>
  <c r="L150" i="3"/>
  <c r="L186" i="3"/>
  <c r="P214" i="3"/>
  <c r="U454" i="3"/>
  <c r="P701" i="3"/>
  <c r="P264" i="3"/>
  <c r="P317" i="3"/>
  <c r="M317" i="3"/>
  <c r="O317" i="3" s="1"/>
  <c r="L317" i="3"/>
  <c r="P337" i="3"/>
  <c r="S184" i="3"/>
  <c r="S226" i="3"/>
  <c r="R226" i="3"/>
  <c r="P186" i="3"/>
  <c r="P228" i="3"/>
  <c r="M454" i="3"/>
  <c r="O454" i="3" s="1"/>
  <c r="L454" i="3"/>
  <c r="O464" i="3"/>
  <c r="O470" i="3"/>
  <c r="S402" i="3"/>
  <c r="R402" i="3"/>
  <c r="M427" i="3"/>
  <c r="O427" i="3" s="1"/>
  <c r="S437" i="3"/>
  <c r="R437" i="3"/>
  <c r="N440" i="3"/>
  <c r="N439" i="3" s="1"/>
  <c r="J412" i="3"/>
  <c r="R457" i="3"/>
  <c r="S474" i="3"/>
  <c r="M722" i="3"/>
  <c r="O722" i="3" s="1"/>
  <c r="L722" i="3"/>
  <c r="T711" i="3"/>
  <c r="S417" i="3"/>
  <c r="R417" i="3"/>
  <c r="O461" i="3"/>
  <c r="O467" i="3"/>
  <c r="M457" i="3"/>
  <c r="O457" i="3" s="1"/>
  <c r="L457" i="3"/>
  <c r="O571" i="3"/>
  <c r="M598" i="3"/>
  <c r="O598" i="3" s="1"/>
  <c r="L598" i="3"/>
  <c r="M407" i="3"/>
  <c r="O407" i="3" s="1"/>
  <c r="R407" i="3"/>
  <c r="J417" i="3"/>
  <c r="M441" i="3"/>
  <c r="L441" i="3"/>
  <c r="S457" i="3"/>
  <c r="P598" i="3"/>
  <c r="R454" i="3"/>
  <c r="P646" i="3"/>
  <c r="P706" i="3"/>
  <c r="S571" i="3"/>
  <c r="S574" i="3"/>
  <c r="S577" i="3"/>
  <c r="S580" i="3"/>
  <c r="M646" i="3"/>
  <c r="O646" i="3" s="1"/>
  <c r="L646" i="3"/>
  <c r="M706" i="3"/>
  <c r="O706" i="3" s="1"/>
  <c r="L706" i="3"/>
  <c r="U717" i="3"/>
  <c r="J745" i="3"/>
  <c r="S750" i="3"/>
  <c r="R750" i="3"/>
  <c r="U810" i="3"/>
  <c r="S641" i="3"/>
  <c r="J717" i="3"/>
  <c r="U732" i="3"/>
  <c r="J737" i="3"/>
  <c r="S742" i="3"/>
  <c r="R742" i="3"/>
  <c r="T862" i="3"/>
  <c r="L886" i="3"/>
  <c r="M886" i="3"/>
  <c r="O886" i="3" s="1"/>
  <c r="R450" i="3"/>
  <c r="R461" i="3"/>
  <c r="R464" i="3"/>
  <c r="R467" i="3"/>
  <c r="R470" i="3"/>
  <c r="R478" i="3"/>
  <c r="L571" i="3"/>
  <c r="L574" i="3"/>
  <c r="L577" i="3"/>
  <c r="L580" i="3"/>
  <c r="L583" i="3"/>
  <c r="U583" i="3"/>
  <c r="L586" i="3"/>
  <c r="U586" i="3"/>
  <c r="L589" i="3"/>
  <c r="U589" i="3"/>
  <c r="P636" i="3"/>
  <c r="R641" i="3"/>
  <c r="P691" i="3"/>
  <c r="L691" i="3"/>
  <c r="M754" i="3"/>
  <c r="O754" i="3" s="1"/>
  <c r="L754" i="3"/>
  <c r="M757" i="3"/>
  <c r="O757" i="3" s="1"/>
  <c r="L757" i="3"/>
  <c r="U792" i="3"/>
  <c r="T440" i="3"/>
  <c r="T439" i="3" s="1"/>
  <c r="S450" i="3"/>
  <c r="S461" i="3"/>
  <c r="S464" i="3"/>
  <c r="S467" i="3"/>
  <c r="S470" i="3"/>
  <c r="S478" i="3"/>
  <c r="P631" i="3"/>
  <c r="U727" i="3"/>
  <c r="L732" i="3"/>
  <c r="M750" i="3"/>
  <c r="O750" i="3" s="1"/>
  <c r="L750" i="3"/>
  <c r="U807" i="3"/>
  <c r="L870" i="3"/>
  <c r="M870" i="3"/>
  <c r="S696" i="3"/>
  <c r="R696" i="3"/>
  <c r="M696" i="3"/>
  <c r="O696" i="3" s="1"/>
  <c r="L696" i="3"/>
  <c r="M712" i="3"/>
  <c r="L712" i="3"/>
  <c r="M742" i="3"/>
  <c r="O742" i="3" s="1"/>
  <c r="L742" i="3"/>
  <c r="S782" i="3"/>
  <c r="U789" i="3"/>
  <c r="L450" i="3"/>
  <c r="L461" i="3"/>
  <c r="L464" i="3"/>
  <c r="L467" i="3"/>
  <c r="L470" i="3"/>
  <c r="L478" i="3"/>
  <c r="J727" i="3"/>
  <c r="S759" i="3"/>
  <c r="R759" i="3"/>
  <c r="U813" i="3"/>
  <c r="M856" i="3"/>
  <c r="L856" i="3"/>
  <c r="J631" i="3"/>
  <c r="M701" i="3"/>
  <c r="O701" i="3" s="1"/>
  <c r="L701" i="3"/>
  <c r="U798" i="3"/>
  <c r="U754" i="3"/>
  <c r="U757" i="3"/>
  <c r="M807" i="3"/>
  <c r="L807" i="3"/>
  <c r="M810" i="3"/>
  <c r="O810" i="3" s="1"/>
  <c r="L810" i="3"/>
  <c r="U816" i="3"/>
  <c r="T963" i="3"/>
  <c r="P974" i="3"/>
  <c r="R712" i="3"/>
  <c r="R717" i="3"/>
  <c r="M813" i="3"/>
  <c r="O813" i="3" s="1"/>
  <c r="L813" i="3"/>
  <c r="U819" i="3"/>
  <c r="U892" i="3"/>
  <c r="M973" i="3"/>
  <c r="M972" i="3" s="1"/>
  <c r="M971" i="3" s="1"/>
  <c r="M970" i="3" s="1"/>
  <c r="O974" i="3"/>
  <c r="O973" i="3" s="1"/>
  <c r="O972" i="3" s="1"/>
  <c r="O971" i="3" s="1"/>
  <c r="O970" i="3" s="1"/>
  <c r="S712" i="3"/>
  <c r="M816" i="3"/>
  <c r="O816" i="3" s="1"/>
  <c r="L816" i="3"/>
  <c r="U822" i="3"/>
  <c r="S870" i="3"/>
  <c r="R870" i="3"/>
  <c r="M819" i="3"/>
  <c r="O819" i="3" s="1"/>
  <c r="L819" i="3"/>
  <c r="U825" i="3"/>
  <c r="P859" i="3"/>
  <c r="S890" i="3"/>
  <c r="R890" i="3"/>
  <c r="M892" i="3"/>
  <c r="O892" i="3" s="1"/>
  <c r="L892" i="3"/>
  <c r="P913" i="3"/>
  <c r="S961" i="3"/>
  <c r="R961" i="3"/>
  <c r="M964" i="3"/>
  <c r="L964" i="3"/>
  <c r="L759" i="3"/>
  <c r="O789" i="3"/>
  <c r="O792" i="3"/>
  <c r="O795" i="3"/>
  <c r="M822" i="3"/>
  <c r="O822" i="3" s="1"/>
  <c r="L822" i="3"/>
  <c r="S886" i="3"/>
  <c r="R886" i="3"/>
  <c r="U888" i="3"/>
  <c r="S911" i="3"/>
  <c r="R911" i="3"/>
  <c r="U982" i="3"/>
  <c r="U981" i="3" s="1"/>
  <c r="U980" i="3" s="1"/>
  <c r="U979" i="3" s="1"/>
  <c r="U978" i="3" s="1"/>
  <c r="U977" i="3" s="1"/>
  <c r="T981" i="3"/>
  <c r="T980" i="3" s="1"/>
  <c r="T979" i="3" s="1"/>
  <c r="T978" i="3" s="1"/>
  <c r="T977" i="3" s="1"/>
  <c r="R789" i="3"/>
  <c r="R792" i="3"/>
  <c r="R795" i="3"/>
  <c r="R798" i="3"/>
  <c r="M825" i="3"/>
  <c r="O825" i="3" s="1"/>
  <c r="L825" i="3"/>
  <c r="P856" i="3"/>
  <c r="P959" i="3"/>
  <c r="S966" i="3"/>
  <c r="R966" i="3"/>
  <c r="L890" i="3"/>
  <c r="M890" i="3"/>
  <c r="O890" i="3" s="1"/>
  <c r="R807" i="3"/>
  <c r="R810" i="3"/>
  <c r="R813" i="3"/>
  <c r="R816" i="3"/>
  <c r="R819" i="3"/>
  <c r="R822" i="3"/>
  <c r="R825" i="3"/>
  <c r="R888" i="3"/>
  <c r="R892" i="3"/>
  <c r="U964" i="3"/>
  <c r="N968" i="3"/>
  <c r="S963" i="3"/>
  <c r="T973" i="3"/>
  <c r="T972" i="3" s="1"/>
  <c r="T971" i="3" s="1"/>
  <c r="T970" i="3" s="1"/>
  <c r="L966" i="3"/>
  <c r="M101" i="2"/>
  <c r="O101" i="2" s="1"/>
  <c r="L101" i="2"/>
  <c r="Y210" i="2"/>
  <c r="AA210" i="2" s="1"/>
  <c r="U210" i="2"/>
  <c r="M97" i="2"/>
  <c r="L97" i="2"/>
  <c r="M113" i="2"/>
  <c r="O113" i="2" s="1"/>
  <c r="L113" i="2"/>
  <c r="Y227" i="2"/>
  <c r="P226" i="2"/>
  <c r="V111" i="2"/>
  <c r="S111" i="2"/>
  <c r="R111" i="2"/>
  <c r="X111" i="2" s="1"/>
  <c r="P84" i="2"/>
  <c r="Y85" i="2"/>
  <c r="V108" i="2"/>
  <c r="S108" i="2"/>
  <c r="R108" i="2"/>
  <c r="X108" i="2" s="1"/>
  <c r="M141" i="2"/>
  <c r="L141" i="2"/>
  <c r="S150" i="2"/>
  <c r="R150" i="2"/>
  <c r="X150" i="2" s="1"/>
  <c r="V150" i="2"/>
  <c r="S179" i="2"/>
  <c r="R179" i="2"/>
  <c r="X179" i="2" s="1"/>
  <c r="V179" i="2"/>
  <c r="M228" i="2"/>
  <c r="O228" i="2" s="1"/>
  <c r="L228" i="2"/>
  <c r="M337" i="2"/>
  <c r="O337" i="2" s="1"/>
  <c r="L337" i="2"/>
  <c r="M402" i="2"/>
  <c r="O402" i="2" s="1"/>
  <c r="L402" i="2"/>
  <c r="M108" i="2"/>
  <c r="O108" i="2" s="1"/>
  <c r="L108" i="2"/>
  <c r="M230" i="2"/>
  <c r="O230" i="2" s="1"/>
  <c r="L230" i="2"/>
  <c r="V68" i="2"/>
  <c r="S68" i="2"/>
  <c r="R68" i="2"/>
  <c r="X68" i="2" s="1"/>
  <c r="V115" i="2"/>
  <c r="S115" i="2"/>
  <c r="R115" i="2"/>
  <c r="X115" i="2" s="1"/>
  <c r="S182" i="2"/>
  <c r="R182" i="2"/>
  <c r="X182" i="2" s="1"/>
  <c r="V182" i="2"/>
  <c r="Y188" i="2"/>
  <c r="AA188" i="2" s="1"/>
  <c r="U188" i="2"/>
  <c r="M210" i="2"/>
  <c r="O210" i="2" s="1"/>
  <c r="L210" i="2"/>
  <c r="J214" i="2"/>
  <c r="P337" i="2"/>
  <c r="Y338" i="2"/>
  <c r="M407" i="2"/>
  <c r="O407" i="2" s="1"/>
  <c r="L407" i="2"/>
  <c r="J412" i="2"/>
  <c r="Y141" i="2"/>
  <c r="AA141" i="2" s="1"/>
  <c r="U141" i="2"/>
  <c r="M192" i="2"/>
  <c r="O192" i="2" s="1"/>
  <c r="L192" i="2"/>
  <c r="P79" i="2"/>
  <c r="Y80" i="2"/>
  <c r="Z101" i="2"/>
  <c r="Z96" i="2" s="1"/>
  <c r="T96" i="2"/>
  <c r="M427" i="2"/>
  <c r="O427" i="2" s="1"/>
  <c r="L427" i="2"/>
  <c r="P74" i="2"/>
  <c r="Y75" i="2"/>
  <c r="P88" i="2"/>
  <c r="V105" i="2"/>
  <c r="S105" i="2"/>
  <c r="R105" i="2"/>
  <c r="X105" i="2" s="1"/>
  <c r="M146" i="2"/>
  <c r="O146" i="2" s="1"/>
  <c r="L146" i="2"/>
  <c r="N117" i="2"/>
  <c r="M264" i="2"/>
  <c r="O264" i="2" s="1"/>
  <c r="L264" i="2"/>
  <c r="M274" i="2"/>
  <c r="O274" i="2" s="1"/>
  <c r="L274" i="2"/>
  <c r="Y314" i="2"/>
  <c r="P312" i="2"/>
  <c r="AA20" i="2"/>
  <c r="AA19" i="2" s="1"/>
  <c r="AA18" i="2" s="1"/>
  <c r="AA17" i="2" s="1"/>
  <c r="AA16" i="2" s="1"/>
  <c r="P70" i="2"/>
  <c r="Y71" i="2"/>
  <c r="P92" i="2"/>
  <c r="Y93" i="2"/>
  <c r="AA118" i="2"/>
  <c r="Y146" i="2"/>
  <c r="AA146" i="2" s="1"/>
  <c r="U146" i="2"/>
  <c r="S186" i="2"/>
  <c r="R186" i="2"/>
  <c r="X186" i="2" s="1"/>
  <c r="V186" i="2"/>
  <c r="Y184" i="2"/>
  <c r="AA184" i="2" s="1"/>
  <c r="U184" i="2"/>
  <c r="M232" i="2"/>
  <c r="O232" i="2" s="1"/>
  <c r="L232" i="2"/>
  <c r="O66" i="2"/>
  <c r="O65" i="2" s="1"/>
  <c r="N65" i="2"/>
  <c r="N64" i="2" s="1"/>
  <c r="M105" i="2"/>
  <c r="O105" i="2" s="1"/>
  <c r="L105" i="2"/>
  <c r="M206" i="2"/>
  <c r="O206" i="2" s="1"/>
  <c r="L206" i="2"/>
  <c r="Y230" i="2"/>
  <c r="AA230" i="2" s="1"/>
  <c r="U230" i="2"/>
  <c r="P232" i="2"/>
  <c r="V210" i="2"/>
  <c r="R210" i="2"/>
  <c r="X210" i="2" s="1"/>
  <c r="V72" i="2"/>
  <c r="S72" i="2"/>
  <c r="R72" i="2"/>
  <c r="X72" i="2" s="1"/>
  <c r="V97" i="2"/>
  <c r="S97" i="2"/>
  <c r="R97" i="2"/>
  <c r="X97" i="2" s="1"/>
  <c r="S190" i="2"/>
  <c r="R190" i="2"/>
  <c r="X190" i="2" s="1"/>
  <c r="V190" i="2"/>
  <c r="S214" i="2"/>
  <c r="V214" i="2"/>
  <c r="R214" i="2"/>
  <c r="X214" i="2" s="1"/>
  <c r="M269" i="2"/>
  <c r="O269" i="2" s="1"/>
  <c r="L269" i="2"/>
  <c r="M422" i="2"/>
  <c r="O422" i="2" s="1"/>
  <c r="L422" i="2"/>
  <c r="P467" i="2"/>
  <c r="Y468" i="2"/>
  <c r="M641" i="2"/>
  <c r="O641" i="2" s="1"/>
  <c r="L641" i="2"/>
  <c r="V706" i="2"/>
  <c r="S706" i="2"/>
  <c r="R706" i="2"/>
  <c r="X706" i="2" s="1"/>
  <c r="Y20" i="2"/>
  <c r="Y19" i="2" s="1"/>
  <c r="Y18" i="2" s="1"/>
  <c r="Y17" i="2" s="1"/>
  <c r="Y16" i="2" s="1"/>
  <c r="O68" i="2"/>
  <c r="Y98" i="2"/>
  <c r="S101" i="2"/>
  <c r="Y106" i="2"/>
  <c r="Y109" i="2"/>
  <c r="Y112" i="2"/>
  <c r="S113" i="2"/>
  <c r="Y116" i="2"/>
  <c r="R141" i="2"/>
  <c r="X141" i="2" s="1"/>
  <c r="Z141" i="2"/>
  <c r="Z117" i="2" s="1"/>
  <c r="R146" i="2"/>
  <c r="X146" i="2" s="1"/>
  <c r="M150" i="2"/>
  <c r="O150" i="2" s="1"/>
  <c r="M179" i="2"/>
  <c r="O179" i="2" s="1"/>
  <c r="M182" i="2"/>
  <c r="O182" i="2" s="1"/>
  <c r="R184" i="2"/>
  <c r="X184" i="2" s="1"/>
  <c r="M186" i="2"/>
  <c r="O186" i="2" s="1"/>
  <c r="R188" i="2"/>
  <c r="X188" i="2" s="1"/>
  <c r="M190" i="2"/>
  <c r="O190" i="2" s="1"/>
  <c r="Y191" i="2"/>
  <c r="S192" i="2"/>
  <c r="AA203" i="2"/>
  <c r="Y212" i="2"/>
  <c r="R228" i="2"/>
  <c r="X228" i="2" s="1"/>
  <c r="S228" i="2"/>
  <c r="R230" i="2"/>
  <c r="X230" i="2" s="1"/>
  <c r="AA254" i="2"/>
  <c r="P264" i="2"/>
  <c r="P274" i="2"/>
  <c r="J312" i="2"/>
  <c r="P402" i="2"/>
  <c r="Y403" i="2"/>
  <c r="L417" i="2"/>
  <c r="P422" i="2"/>
  <c r="Y423" i="2"/>
  <c r="AA433" i="2"/>
  <c r="P441" i="2"/>
  <c r="M892" i="2"/>
  <c r="O892" i="2" s="1"/>
  <c r="L892" i="2"/>
  <c r="O906" i="2"/>
  <c r="N862" i="2"/>
  <c r="Z67" i="2"/>
  <c r="V206" i="2"/>
  <c r="P407" i="2"/>
  <c r="Y408" i="2"/>
  <c r="P427" i="2"/>
  <c r="Y428" i="2"/>
  <c r="S574" i="2"/>
  <c r="V574" i="2"/>
  <c r="R574" i="2"/>
  <c r="X574" i="2" s="1"/>
  <c r="Y643" i="2"/>
  <c r="P641" i="2"/>
  <c r="S717" i="2"/>
  <c r="R717" i="2"/>
  <c r="X717" i="2" s="1"/>
  <c r="V717" i="2"/>
  <c r="L732" i="2"/>
  <c r="M732" i="2"/>
  <c r="O732" i="2" s="1"/>
  <c r="P478" i="2"/>
  <c r="Y479" i="2"/>
  <c r="M696" i="2"/>
  <c r="O696" i="2" s="1"/>
  <c r="L696" i="2"/>
  <c r="T65" i="2"/>
  <c r="V101" i="2"/>
  <c r="V113" i="2"/>
  <c r="L184" i="2"/>
  <c r="L188" i="2"/>
  <c r="V192" i="2"/>
  <c r="L226" i="2"/>
  <c r="P317" i="2"/>
  <c r="J317" i="2"/>
  <c r="P464" i="2"/>
  <c r="Y465" i="2"/>
  <c r="Z482" i="2"/>
  <c r="Z439" i="2" s="1"/>
  <c r="S795" i="2"/>
  <c r="R795" i="2"/>
  <c r="X795" i="2" s="1"/>
  <c r="V795" i="2"/>
  <c r="O798" i="2"/>
  <c r="L888" i="2"/>
  <c r="V193" i="1"/>
  <c r="S193" i="1"/>
  <c r="R193" i="1"/>
  <c r="X193" i="1" s="1"/>
  <c r="Y752" i="2"/>
  <c r="P750" i="2"/>
  <c r="P746" i="1"/>
  <c r="Y747" i="1"/>
  <c r="P269" i="2"/>
  <c r="P412" i="2"/>
  <c r="Y413" i="2"/>
  <c r="L450" i="2"/>
  <c r="L461" i="2"/>
  <c r="AA487" i="2"/>
  <c r="P577" i="2"/>
  <c r="P732" i="2"/>
  <c r="U807" i="2"/>
  <c r="Y807" i="2"/>
  <c r="AA807" i="2" s="1"/>
  <c r="U108" i="1"/>
  <c r="Y108" i="1"/>
  <c r="AA108" i="1" s="1"/>
  <c r="V474" i="2"/>
  <c r="S474" i="2"/>
  <c r="Y724" i="2"/>
  <c r="P722" i="2"/>
  <c r="Z14" i="2"/>
  <c r="T13" i="2"/>
  <c r="T12" i="2" s="1"/>
  <c r="T11" i="2" s="1"/>
  <c r="T10" i="2" s="1"/>
  <c r="P307" i="2"/>
  <c r="J307" i="2"/>
  <c r="P450" i="2"/>
  <c r="Y451" i="2"/>
  <c r="P457" i="2"/>
  <c r="P461" i="2"/>
  <c r="Y462" i="2"/>
  <c r="L577" i="2"/>
  <c r="O482" i="2"/>
  <c r="S745" i="2"/>
  <c r="R745" i="2"/>
  <c r="X745" i="2" s="1"/>
  <c r="V745" i="2"/>
  <c r="V322" i="2"/>
  <c r="S322" i="2"/>
  <c r="R322" i="2"/>
  <c r="X322" i="2" s="1"/>
  <c r="M322" i="2"/>
  <c r="O322" i="2" s="1"/>
  <c r="L322" i="2"/>
  <c r="P417" i="2"/>
  <c r="Y418" i="2"/>
  <c r="M440" i="2"/>
  <c r="O441" i="2"/>
  <c r="O440" i="2" s="1"/>
  <c r="L470" i="2"/>
  <c r="O571" i="2"/>
  <c r="M482" i="2"/>
  <c r="S856" i="2"/>
  <c r="V856" i="2"/>
  <c r="R856" i="2"/>
  <c r="X856" i="2" s="1"/>
  <c r="V966" i="2"/>
  <c r="S966" i="2"/>
  <c r="M973" i="2"/>
  <c r="M972" i="2" s="1"/>
  <c r="M971" i="2" s="1"/>
  <c r="M970" i="2" s="1"/>
  <c r="O974" i="2"/>
  <c r="O973" i="2" s="1"/>
  <c r="O972" i="2" s="1"/>
  <c r="O971" i="2" s="1"/>
  <c r="O970" i="2" s="1"/>
  <c r="R206" i="2"/>
  <c r="X206" i="2" s="1"/>
  <c r="P454" i="2"/>
  <c r="P470" i="2"/>
  <c r="Y471" i="2"/>
  <c r="V636" i="2"/>
  <c r="S636" i="2"/>
  <c r="R636" i="2"/>
  <c r="X636" i="2" s="1"/>
  <c r="AA666" i="2"/>
  <c r="M822" i="2"/>
  <c r="O822" i="2" s="1"/>
  <c r="L822" i="2"/>
  <c r="M825" i="2"/>
  <c r="O825" i="2" s="1"/>
  <c r="L825" i="2"/>
  <c r="R966" i="2"/>
  <c r="X966" i="2" s="1"/>
  <c r="M437" i="2"/>
  <c r="AA532" i="2"/>
  <c r="Y578" i="2"/>
  <c r="P583" i="2"/>
  <c r="P586" i="2"/>
  <c r="P589" i="2"/>
  <c r="V598" i="2"/>
  <c r="P696" i="2"/>
  <c r="J722" i="2"/>
  <c r="M742" i="2"/>
  <c r="O742" i="2" s="1"/>
  <c r="N782" i="2"/>
  <c r="N781" i="2" s="1"/>
  <c r="M819" i="2"/>
  <c r="O819" i="2" s="1"/>
  <c r="L819" i="2"/>
  <c r="U825" i="2"/>
  <c r="Y825" i="2"/>
  <c r="AA825" i="2" s="1"/>
  <c r="Y895" i="2"/>
  <c r="P892" i="2"/>
  <c r="Y437" i="2"/>
  <c r="AA437" i="2" s="1"/>
  <c r="AA606" i="2"/>
  <c r="P691" i="2"/>
  <c r="J717" i="2"/>
  <c r="S742" i="2"/>
  <c r="R742" i="2"/>
  <c r="X742" i="2" s="1"/>
  <c r="J745" i="2"/>
  <c r="S759" i="2"/>
  <c r="R759" i="2"/>
  <c r="X759" i="2" s="1"/>
  <c r="S792" i="2"/>
  <c r="R792" i="2"/>
  <c r="X792" i="2" s="1"/>
  <c r="O795" i="2"/>
  <c r="U810" i="2"/>
  <c r="Y810" i="2"/>
  <c r="AA810" i="2" s="1"/>
  <c r="M283" i="1"/>
  <c r="O283" i="1" s="1"/>
  <c r="L283" i="1"/>
  <c r="P326" i="1"/>
  <c r="Y328" i="1"/>
  <c r="M636" i="2"/>
  <c r="O636" i="2" s="1"/>
  <c r="L636" i="2"/>
  <c r="V646" i="2"/>
  <c r="S646" i="2"/>
  <c r="M706" i="2"/>
  <c r="O706" i="2" s="1"/>
  <c r="L706" i="2"/>
  <c r="S727" i="2"/>
  <c r="R727" i="2"/>
  <c r="X727" i="2" s="1"/>
  <c r="M807" i="2"/>
  <c r="O807" i="2" s="1"/>
  <c r="L807" i="2"/>
  <c r="U813" i="2"/>
  <c r="Y813" i="2"/>
  <c r="AA813" i="2" s="1"/>
  <c r="AA20" i="1"/>
  <c r="AA19" i="1" s="1"/>
  <c r="AA18" i="1" s="1"/>
  <c r="AA17" i="1" s="1"/>
  <c r="AA16" i="1" s="1"/>
  <c r="M101" i="1"/>
  <c r="O101" i="1" s="1"/>
  <c r="L101" i="1"/>
  <c r="P321" i="1"/>
  <c r="Y323" i="1"/>
  <c r="L441" i="2"/>
  <c r="L454" i="2"/>
  <c r="L457" i="2"/>
  <c r="L474" i="2"/>
  <c r="AA544" i="2"/>
  <c r="S598" i="2"/>
  <c r="V631" i="2"/>
  <c r="S631" i="2"/>
  <c r="R646" i="2"/>
  <c r="X646" i="2" s="1"/>
  <c r="M691" i="2"/>
  <c r="O691" i="2" s="1"/>
  <c r="L691" i="2"/>
  <c r="V701" i="2"/>
  <c r="S701" i="2"/>
  <c r="S712" i="2"/>
  <c r="R712" i="2"/>
  <c r="X712" i="2" s="1"/>
  <c r="J727" i="2"/>
  <c r="V742" i="2"/>
  <c r="L757" i="2"/>
  <c r="P757" i="2"/>
  <c r="Y758" i="2"/>
  <c r="AA783" i="2"/>
  <c r="S789" i="2"/>
  <c r="R789" i="2"/>
  <c r="X789" i="2" s="1"/>
  <c r="O792" i="2"/>
  <c r="M810" i="2"/>
  <c r="O810" i="2" s="1"/>
  <c r="L810" i="2"/>
  <c r="U816" i="2"/>
  <c r="Y816" i="2"/>
  <c r="AA816" i="2" s="1"/>
  <c r="AA959" i="2"/>
  <c r="M646" i="2"/>
  <c r="O646" i="2" s="1"/>
  <c r="L646" i="2"/>
  <c r="Z711" i="2"/>
  <c r="J712" i="2"/>
  <c r="V727" i="2"/>
  <c r="S737" i="2"/>
  <c r="R737" i="2"/>
  <c r="X737" i="2" s="1"/>
  <c r="M813" i="2"/>
  <c r="O813" i="2" s="1"/>
  <c r="L813" i="2"/>
  <c r="U819" i="2"/>
  <c r="Y819" i="2"/>
  <c r="AA819" i="2" s="1"/>
  <c r="P859" i="2"/>
  <c r="M870" i="2"/>
  <c r="L870" i="2"/>
  <c r="V890" i="2"/>
  <c r="S890" i="2"/>
  <c r="R890" i="2"/>
  <c r="X890" i="2" s="1"/>
  <c r="O969" i="2"/>
  <c r="O968" i="2" s="1"/>
  <c r="N968" i="2"/>
  <c r="P580" i="2"/>
  <c r="M631" i="2"/>
  <c r="O631" i="2" s="1"/>
  <c r="L631" i="2"/>
  <c r="M701" i="2"/>
  <c r="O701" i="2" s="1"/>
  <c r="L701" i="2"/>
  <c r="V712" i="2"/>
  <c r="J737" i="2"/>
  <c r="L754" i="2"/>
  <c r="P754" i="2"/>
  <c r="Y755" i="2"/>
  <c r="O789" i="2"/>
  <c r="S798" i="2"/>
  <c r="R798" i="2"/>
  <c r="X798" i="2" s="1"/>
  <c r="M816" i="2"/>
  <c r="O816" i="2" s="1"/>
  <c r="O782" i="2" s="1"/>
  <c r="O781" i="2" s="1"/>
  <c r="L816" i="2"/>
  <c r="U822" i="2"/>
  <c r="Y822" i="2"/>
  <c r="AA822" i="2" s="1"/>
  <c r="Y889" i="2"/>
  <c r="P888" i="2"/>
  <c r="R74" i="1"/>
  <c r="X74" i="1" s="1"/>
  <c r="S74" i="1"/>
  <c r="V74" i="1"/>
  <c r="L84" i="1"/>
  <c r="T711" i="2"/>
  <c r="T439" i="2" s="1"/>
  <c r="S870" i="2"/>
  <c r="R870" i="2"/>
  <c r="X870" i="2" s="1"/>
  <c r="P886" i="2"/>
  <c r="Z981" i="2"/>
  <c r="Z980" i="2" s="1"/>
  <c r="Z979" i="2" s="1"/>
  <c r="Z978" i="2" s="1"/>
  <c r="Z977" i="2" s="1"/>
  <c r="AA31" i="1"/>
  <c r="N96" i="1"/>
  <c r="N64" i="1" s="1"/>
  <c r="N63" i="1" s="1"/>
  <c r="N62" i="1" s="1"/>
  <c r="N61" i="1" s="1"/>
  <c r="L108" i="1"/>
  <c r="M108" i="1"/>
  <c r="O108" i="1" s="1"/>
  <c r="M113" i="1"/>
  <c r="O113" i="1" s="1"/>
  <c r="L113" i="1"/>
  <c r="M273" i="1"/>
  <c r="O273" i="1" s="1"/>
  <c r="L273" i="1"/>
  <c r="U801" i="1"/>
  <c r="Y801" i="1"/>
  <c r="AA801" i="1" s="1"/>
  <c r="U899" i="1"/>
  <c r="Y899" i="1"/>
  <c r="AA899" i="1" s="1"/>
  <c r="M828" i="2"/>
  <c r="V870" i="2"/>
  <c r="M963" i="2"/>
  <c r="O964" i="2"/>
  <c r="O963" i="2" s="1"/>
  <c r="P964" i="2"/>
  <c r="Y965" i="2"/>
  <c r="V101" i="1"/>
  <c r="R101" i="1"/>
  <c r="X101" i="1" s="1"/>
  <c r="S101" i="1"/>
  <c r="S96" i="1" s="1"/>
  <c r="AA876" i="2"/>
  <c r="R911" i="2"/>
  <c r="X911" i="2" s="1"/>
  <c r="P223" i="1"/>
  <c r="Y224" i="1"/>
  <c r="Z789" i="2"/>
  <c r="Z782" i="2" s="1"/>
  <c r="Z781" i="2" s="1"/>
  <c r="U911" i="2"/>
  <c r="Y911" i="2"/>
  <c r="AA911" i="2" s="1"/>
  <c r="AA974" i="2"/>
  <c r="AA973" i="2" s="1"/>
  <c r="AA972" i="2" s="1"/>
  <c r="AA971" i="2" s="1"/>
  <c r="AA970" i="2" s="1"/>
  <c r="Y973" i="2"/>
  <c r="Y972" i="2" s="1"/>
  <c r="Y971" i="2" s="1"/>
  <c r="Y970" i="2" s="1"/>
  <c r="M79" i="1"/>
  <c r="O79" i="1" s="1"/>
  <c r="L79" i="1"/>
  <c r="Y113" i="1"/>
  <c r="AA113" i="1" s="1"/>
  <c r="U113" i="1"/>
  <c r="S278" i="1"/>
  <c r="V278" i="1"/>
  <c r="R278" i="1"/>
  <c r="X278" i="1" s="1"/>
  <c r="M459" i="1"/>
  <c r="O459" i="1" s="1"/>
  <c r="L459" i="1"/>
  <c r="AA884" i="2"/>
  <c r="O959" i="2"/>
  <c r="U961" i="2"/>
  <c r="Y961" i="2"/>
  <c r="AA961" i="2" s="1"/>
  <c r="P426" i="1"/>
  <c r="Y428" i="1"/>
  <c r="O446" i="1"/>
  <c r="O441" i="1" s="1"/>
  <c r="M441" i="1"/>
  <c r="Z862" i="2"/>
  <c r="Z14" i="1"/>
  <c r="T13" i="1"/>
  <c r="T12" i="1" s="1"/>
  <c r="T11" i="1" s="1"/>
  <c r="T10" i="1" s="1"/>
  <c r="M68" i="1"/>
  <c r="L68" i="1"/>
  <c r="V72" i="1"/>
  <c r="S72" i="1"/>
  <c r="R72" i="1"/>
  <c r="X72" i="1" s="1"/>
  <c r="Y85" i="1"/>
  <c r="P84" i="1"/>
  <c r="L97" i="1"/>
  <c r="M97" i="1"/>
  <c r="Y221" i="1"/>
  <c r="P219" i="1"/>
  <c r="P241" i="1"/>
  <c r="Y242" i="1"/>
  <c r="V416" i="1"/>
  <c r="S416" i="1"/>
  <c r="R416" i="1"/>
  <c r="X416" i="1" s="1"/>
  <c r="T862" i="2"/>
  <c r="U913" i="2"/>
  <c r="U959" i="2"/>
  <c r="U974" i="2"/>
  <c r="U973" i="2" s="1"/>
  <c r="U972" i="2" s="1"/>
  <c r="U971" i="2" s="1"/>
  <c r="U970" i="2" s="1"/>
  <c r="P92" i="1"/>
  <c r="U111" i="1"/>
  <c r="Y111" i="1"/>
  <c r="AA111" i="1" s="1"/>
  <c r="P237" i="1"/>
  <c r="Y238" i="1"/>
  <c r="P331" i="1"/>
  <c r="Y333" i="1"/>
  <c r="T65" i="1"/>
  <c r="V197" i="1"/>
  <c r="S197" i="1"/>
  <c r="P316" i="1"/>
  <c r="Y318" i="1"/>
  <c r="V598" i="1"/>
  <c r="S598" i="1"/>
  <c r="R598" i="1"/>
  <c r="X598" i="1" s="1"/>
  <c r="Z20" i="1"/>
  <c r="Z19" i="1" s="1"/>
  <c r="Z18" i="1" s="1"/>
  <c r="Z17" i="1" s="1"/>
  <c r="Z16" i="1" s="1"/>
  <c r="U66" i="1"/>
  <c r="U97" i="1"/>
  <c r="Y97" i="1"/>
  <c r="U115" i="1"/>
  <c r="Y115" i="1"/>
  <c r="AA115" i="1" s="1"/>
  <c r="U141" i="1"/>
  <c r="Y141" i="1"/>
  <c r="AA141" i="1" s="1"/>
  <c r="P191" i="1"/>
  <c r="Y192" i="1"/>
  <c r="R197" i="1"/>
  <c r="X197" i="1" s="1"/>
  <c r="V201" i="1"/>
  <c r="S201" i="1"/>
  <c r="AA206" i="1"/>
  <c r="P215" i="1"/>
  <c r="Y216" i="1"/>
  <c r="AA229" i="1"/>
  <c r="M331" i="1"/>
  <c r="O331" i="1" s="1"/>
  <c r="L331" i="1"/>
  <c r="M595" i="1"/>
  <c r="O595" i="1" s="1"/>
  <c r="L595" i="1"/>
  <c r="N13" i="1"/>
  <c r="N12" i="1" s="1"/>
  <c r="N11" i="1" s="1"/>
  <c r="N10" i="1" s="1"/>
  <c r="R70" i="1"/>
  <c r="X70" i="1" s="1"/>
  <c r="S70" i="1"/>
  <c r="V88" i="1"/>
  <c r="S88" i="1"/>
  <c r="R88" i="1"/>
  <c r="X88" i="1" s="1"/>
  <c r="Z96" i="1"/>
  <c r="U105" i="1"/>
  <c r="Y105" i="1"/>
  <c r="AA105" i="1" s="1"/>
  <c r="L105" i="1"/>
  <c r="M105" i="1"/>
  <c r="O105" i="1" s="1"/>
  <c r="Z117" i="1"/>
  <c r="U146" i="1"/>
  <c r="Y146" i="1"/>
  <c r="AA146" i="1" s="1"/>
  <c r="S150" i="1"/>
  <c r="R150" i="1"/>
  <c r="X150" i="1" s="1"/>
  <c r="P188" i="1"/>
  <c r="Y189" i="1"/>
  <c r="P195" i="1"/>
  <c r="Y196" i="1"/>
  <c r="V235" i="1"/>
  <c r="S235" i="1"/>
  <c r="AA302" i="1"/>
  <c r="T117" i="1"/>
  <c r="Z316" i="1"/>
  <c r="M326" i="1"/>
  <c r="O326" i="1" s="1"/>
  <c r="L326" i="1"/>
  <c r="M416" i="1"/>
  <c r="O416" i="1" s="1"/>
  <c r="L416" i="1"/>
  <c r="Y590" i="1"/>
  <c r="P589" i="1"/>
  <c r="V68" i="1"/>
  <c r="S68" i="1"/>
  <c r="AA118" i="1"/>
  <c r="P199" i="1"/>
  <c r="Y200" i="1"/>
  <c r="V239" i="1"/>
  <c r="S239" i="1"/>
  <c r="M321" i="1"/>
  <c r="O321" i="1" s="1"/>
  <c r="L321" i="1"/>
  <c r="V436" i="1"/>
  <c r="S436" i="1"/>
  <c r="R436" i="1"/>
  <c r="X436" i="1" s="1"/>
  <c r="Z65" i="1"/>
  <c r="R68" i="1"/>
  <c r="X68" i="1" s="1"/>
  <c r="P79" i="1"/>
  <c r="T96" i="1"/>
  <c r="V113" i="1"/>
  <c r="R113" i="1"/>
  <c r="X113" i="1" s="1"/>
  <c r="R239" i="1"/>
  <c r="X239" i="1" s="1"/>
  <c r="J278" i="1"/>
  <c r="M316" i="1"/>
  <c r="O316" i="1" s="1"/>
  <c r="L316" i="1"/>
  <c r="V97" i="1"/>
  <c r="V105" i="1"/>
  <c r="V108" i="1"/>
  <c r="M111" i="1"/>
  <c r="O111" i="1" s="1"/>
  <c r="V111" i="1"/>
  <c r="M115" i="1"/>
  <c r="O115" i="1" s="1"/>
  <c r="V115" i="1"/>
  <c r="M436" i="1"/>
  <c r="O436" i="1" s="1"/>
  <c r="L436" i="1"/>
  <c r="S450" i="1"/>
  <c r="R450" i="1"/>
  <c r="X450" i="1" s="1"/>
  <c r="V450" i="1"/>
  <c r="Y473" i="1"/>
  <c r="AA473" i="1" s="1"/>
  <c r="U473" i="1"/>
  <c r="M754" i="1"/>
  <c r="O754" i="1" s="1"/>
  <c r="L754" i="1"/>
  <c r="Y487" i="1"/>
  <c r="AA487" i="1" s="1"/>
  <c r="U487" i="1"/>
  <c r="R97" i="1"/>
  <c r="X97" i="1" s="1"/>
  <c r="R105" i="1"/>
  <c r="X105" i="1" s="1"/>
  <c r="R108" i="1"/>
  <c r="X108" i="1" s="1"/>
  <c r="R111" i="1"/>
  <c r="X111" i="1" s="1"/>
  <c r="R115" i="1"/>
  <c r="X115" i="1" s="1"/>
  <c r="L141" i="1"/>
  <c r="L146" i="1"/>
  <c r="P283" i="1"/>
  <c r="P346" i="1"/>
  <c r="L463" i="1"/>
  <c r="M463" i="1"/>
  <c r="O463" i="1" s="1"/>
  <c r="Y470" i="1"/>
  <c r="AA470" i="1" s="1"/>
  <c r="U470" i="1"/>
  <c r="Y102" i="1"/>
  <c r="Y114" i="1"/>
  <c r="S411" i="1"/>
  <c r="R411" i="1"/>
  <c r="X411" i="1" s="1"/>
  <c r="M426" i="1"/>
  <c r="O426" i="1" s="1"/>
  <c r="L426" i="1"/>
  <c r="Z470" i="1"/>
  <c r="Z449" i="1" s="1"/>
  <c r="Z448" i="1" s="1"/>
  <c r="T449" i="1"/>
  <c r="T448" i="1" s="1"/>
  <c r="L700" i="1"/>
  <c r="M700" i="1"/>
  <c r="O700" i="1" s="1"/>
  <c r="P273" i="1"/>
  <c r="L580" i="1"/>
  <c r="M580" i="1"/>
  <c r="L645" i="1"/>
  <c r="M645" i="1"/>
  <c r="O645" i="1" s="1"/>
  <c r="L715" i="1"/>
  <c r="M715" i="1"/>
  <c r="O715" i="1" s="1"/>
  <c r="J346" i="1"/>
  <c r="Y412" i="1"/>
  <c r="T441" i="1"/>
  <c r="Z446" i="1"/>
  <c r="Z441" i="1" s="1"/>
  <c r="M450" i="1"/>
  <c r="U463" i="1"/>
  <c r="Y463" i="1"/>
  <c r="AA463" i="1" s="1"/>
  <c r="R473" i="1"/>
  <c r="X473" i="1" s="1"/>
  <c r="S476" i="1"/>
  <c r="U483" i="1"/>
  <c r="Y483" i="1"/>
  <c r="AA483" i="1" s="1"/>
  <c r="S607" i="1"/>
  <c r="V607" i="1"/>
  <c r="R607" i="1"/>
  <c r="X607" i="1" s="1"/>
  <c r="Y640" i="1"/>
  <c r="AA640" i="1" s="1"/>
  <c r="U640" i="1"/>
  <c r="P586" i="1"/>
  <c r="Y587" i="1"/>
  <c r="Y597" i="1"/>
  <c r="P595" i="1"/>
  <c r="L640" i="1"/>
  <c r="M640" i="1"/>
  <c r="O640" i="1" s="1"/>
  <c r="L650" i="1"/>
  <c r="M650" i="1"/>
  <c r="O650" i="1" s="1"/>
  <c r="Y737" i="1"/>
  <c r="P736" i="1"/>
  <c r="O798" i="1"/>
  <c r="M421" i="1"/>
  <c r="O421" i="1" s="1"/>
  <c r="L421" i="1"/>
  <c r="M431" i="1"/>
  <c r="O431" i="1" s="1"/>
  <c r="L431" i="1"/>
  <c r="P459" i="1"/>
  <c r="Y460" i="1"/>
  <c r="Z491" i="1"/>
  <c r="V650" i="1"/>
  <c r="S650" i="1"/>
  <c r="L798" i="1"/>
  <c r="L446" i="1"/>
  <c r="S446" i="1"/>
  <c r="R446" i="1"/>
  <c r="X446" i="1" s="1"/>
  <c r="M476" i="1"/>
  <c r="O476" i="1" s="1"/>
  <c r="L476" i="1"/>
  <c r="P583" i="1"/>
  <c r="Y584" i="1"/>
  <c r="L655" i="1"/>
  <c r="M655" i="1"/>
  <c r="O655" i="1" s="1"/>
  <c r="Y742" i="1"/>
  <c r="P741" i="1"/>
  <c r="M759" i="1"/>
  <c r="O759" i="1" s="1"/>
  <c r="L759" i="1"/>
  <c r="M807" i="1"/>
  <c r="O807" i="1" s="1"/>
  <c r="L807" i="1"/>
  <c r="M473" i="1"/>
  <c r="O473" i="1" s="1"/>
  <c r="L473" i="1"/>
  <c r="R479" i="1"/>
  <c r="X479" i="1" s="1"/>
  <c r="O483" i="1"/>
  <c r="V655" i="1"/>
  <c r="S655" i="1"/>
  <c r="M751" i="1"/>
  <c r="L751" i="1"/>
  <c r="P421" i="1"/>
  <c r="P431" i="1"/>
  <c r="Y447" i="1"/>
  <c r="U466" i="1"/>
  <c r="Y466" i="1"/>
  <c r="AA466" i="1" s="1"/>
  <c r="M470" i="1"/>
  <c r="O470" i="1" s="1"/>
  <c r="L470" i="1"/>
  <c r="S479" i="1"/>
  <c r="P580" i="1"/>
  <c r="Y581" i="1"/>
  <c r="M710" i="1"/>
  <c r="O710" i="1" s="1"/>
  <c r="P721" i="1"/>
  <c r="V801" i="1"/>
  <c r="R801" i="1"/>
  <c r="X801" i="1" s="1"/>
  <c r="Y645" i="1"/>
  <c r="AA645" i="1" s="1"/>
  <c r="U645" i="1"/>
  <c r="U868" i="1"/>
  <c r="Y868" i="1"/>
  <c r="AA868" i="1" s="1"/>
  <c r="L479" i="1"/>
  <c r="L487" i="1"/>
  <c r="P592" i="1"/>
  <c r="R726" i="1"/>
  <c r="X726" i="1" s="1"/>
  <c r="S763" i="1"/>
  <c r="R763" i="1"/>
  <c r="X763" i="1" s="1"/>
  <c r="S766" i="1"/>
  <c r="R766" i="1"/>
  <c r="X766" i="1" s="1"/>
  <c r="S831" i="1"/>
  <c r="R831" i="1"/>
  <c r="X831" i="1" s="1"/>
  <c r="V831" i="1"/>
  <c r="U865" i="1"/>
  <c r="S837" i="1"/>
  <c r="Y865" i="1"/>
  <c r="AA865" i="1" s="1"/>
  <c r="U879" i="1"/>
  <c r="Y879" i="1"/>
  <c r="U895" i="1"/>
  <c r="Y895" i="1"/>
  <c r="AA895" i="1" s="1"/>
  <c r="R463" i="1"/>
  <c r="X463" i="1" s="1"/>
  <c r="R466" i="1"/>
  <c r="X466" i="1" s="1"/>
  <c r="R483" i="1"/>
  <c r="X483" i="1" s="1"/>
  <c r="S700" i="1"/>
  <c r="S705" i="1"/>
  <c r="S710" i="1"/>
  <c r="S715" i="1"/>
  <c r="S726" i="1"/>
  <c r="P731" i="1"/>
  <c r="M804" i="1"/>
  <c r="O804" i="1" s="1"/>
  <c r="L804" i="1"/>
  <c r="Y471" i="1"/>
  <c r="Y474" i="1"/>
  <c r="Y477" i="1"/>
  <c r="Y480" i="1"/>
  <c r="Y488" i="1"/>
  <c r="AA660" i="1"/>
  <c r="L741" i="1"/>
  <c r="V763" i="1"/>
  <c r="V766" i="1"/>
  <c r="L746" i="1"/>
  <c r="P759" i="1"/>
  <c r="Y760" i="1"/>
  <c r="M801" i="1"/>
  <c r="O801" i="1" s="1"/>
  <c r="O791" i="1" s="1"/>
  <c r="O790" i="1" s="1"/>
  <c r="L801" i="1"/>
  <c r="S834" i="1"/>
  <c r="R834" i="1"/>
  <c r="X834" i="1" s="1"/>
  <c r="AA837" i="1"/>
  <c r="M970" i="1"/>
  <c r="O970" i="1" s="1"/>
  <c r="L970" i="1"/>
  <c r="U975" i="1"/>
  <c r="Y975" i="1"/>
  <c r="AA975" i="1" s="1"/>
  <c r="P751" i="1"/>
  <c r="Y752" i="1"/>
  <c r="P754" i="1"/>
  <c r="Y755" i="1"/>
  <c r="P768" i="1"/>
  <c r="Y769" i="1"/>
  <c r="T791" i="1"/>
  <c r="T790" i="1" s="1"/>
  <c r="S901" i="1"/>
  <c r="R901" i="1"/>
  <c r="X901" i="1" s="1"/>
  <c r="V901" i="1"/>
  <c r="P819" i="1"/>
  <c r="Y820" i="1"/>
  <c r="S825" i="1"/>
  <c r="R825" i="1"/>
  <c r="X825" i="1" s="1"/>
  <c r="AA956" i="1"/>
  <c r="Y651" i="1"/>
  <c r="Y656" i="1"/>
  <c r="Y701" i="1"/>
  <c r="Y706" i="1"/>
  <c r="Y711" i="1"/>
  <c r="Y716" i="1"/>
  <c r="P798" i="1"/>
  <c r="P816" i="1"/>
  <c r="Y817" i="1"/>
  <c r="S897" i="1"/>
  <c r="R897" i="1"/>
  <c r="X897" i="1" s="1"/>
  <c r="M920" i="1"/>
  <c r="O920" i="1" s="1"/>
  <c r="L920" i="1"/>
  <c r="Y968" i="1"/>
  <c r="AA968" i="1" s="1"/>
  <c r="U968" i="1"/>
  <c r="Z791" i="1"/>
  <c r="Z790" i="1" s="1"/>
  <c r="P804" i="1"/>
  <c r="S828" i="1"/>
  <c r="R828" i="1"/>
  <c r="X828" i="1" s="1"/>
  <c r="M837" i="1"/>
  <c r="O865" i="1"/>
  <c r="O837" i="1" s="1"/>
  <c r="T871" i="1"/>
  <c r="O973" i="1"/>
  <c r="O972" i="1" s="1"/>
  <c r="M972" i="1"/>
  <c r="Y983" i="1"/>
  <c r="S982" i="1"/>
  <c r="S981" i="1" s="1"/>
  <c r="S980" i="1" s="1"/>
  <c r="S979" i="1" s="1"/>
  <c r="U983" i="1"/>
  <c r="U982" i="1" s="1"/>
  <c r="U981" i="1" s="1"/>
  <c r="U980" i="1" s="1"/>
  <c r="U979" i="1" s="1"/>
  <c r="U837" i="1"/>
  <c r="V865" i="1"/>
  <c r="R865" i="1"/>
  <c r="X865" i="1" s="1"/>
  <c r="V868" i="1"/>
  <c r="R868" i="1"/>
  <c r="X868" i="1" s="1"/>
  <c r="U920" i="1"/>
  <c r="Y920" i="1"/>
  <c r="AA920" i="1" s="1"/>
  <c r="S922" i="1"/>
  <c r="R922" i="1"/>
  <c r="X922" i="1" s="1"/>
  <c r="V922" i="1"/>
  <c r="V975" i="1"/>
  <c r="R975" i="1"/>
  <c r="X975" i="1" s="1"/>
  <c r="M983" i="1"/>
  <c r="L983" i="1"/>
  <c r="AA991" i="1"/>
  <c r="AA990" i="1" s="1"/>
  <c r="AA989" i="1" s="1"/>
  <c r="AA988" i="1" s="1"/>
  <c r="AA987" i="1" s="1"/>
  <c r="AA986" i="1" s="1"/>
  <c r="Z990" i="1"/>
  <c r="Z989" i="1" s="1"/>
  <c r="Z988" i="1" s="1"/>
  <c r="Z987" i="1" s="1"/>
  <c r="Z986" i="1" s="1"/>
  <c r="S807" i="1"/>
  <c r="V807" i="1"/>
  <c r="S822" i="1"/>
  <c r="R822" i="1"/>
  <c r="X822" i="1" s="1"/>
  <c r="V825" i="1"/>
  <c r="Y866" i="1"/>
  <c r="Y869" i="1"/>
  <c r="M879" i="1"/>
  <c r="V879" i="1"/>
  <c r="M895" i="1"/>
  <c r="O895" i="1" s="1"/>
  <c r="M899" i="1"/>
  <c r="O899" i="1" s="1"/>
  <c r="S973" i="1"/>
  <c r="Y976" i="1"/>
  <c r="L922" i="1"/>
  <c r="L968" i="1"/>
  <c r="P970" i="1"/>
  <c r="V968" i="1"/>
  <c r="L973" i="1"/>
  <c r="Z978" i="1"/>
  <c r="V983" i="1"/>
  <c r="U991" i="1"/>
  <c r="U990" i="1" s="1"/>
  <c r="U989" i="1" s="1"/>
  <c r="U988" i="1" s="1"/>
  <c r="U987" i="1" s="1"/>
  <c r="U986" i="1" s="1"/>
  <c r="Y923" i="1"/>
  <c r="V973" i="1"/>
  <c r="Y823" i="1"/>
  <c r="Y826" i="1"/>
  <c r="Y829" i="1"/>
  <c r="Y832" i="1"/>
  <c r="Y835" i="1"/>
  <c r="Y898" i="1"/>
  <c r="Y902" i="1"/>
  <c r="T977" i="1"/>
  <c r="S412" i="3" l="1"/>
  <c r="U412" i="3" s="1"/>
  <c r="M206" i="3"/>
  <c r="O206" i="3" s="1"/>
  <c r="L210" i="3"/>
  <c r="R745" i="3"/>
  <c r="R79" i="3"/>
  <c r="L641" i="3"/>
  <c r="R441" i="3"/>
  <c r="R101" i="3"/>
  <c r="M432" i="3"/>
  <c r="S440" i="3"/>
  <c r="S179" i="3"/>
  <c r="M65" i="3"/>
  <c r="O65" i="3"/>
  <c r="N64" i="3"/>
  <c r="N63" i="3" s="1"/>
  <c r="N62" i="3" s="1"/>
  <c r="N61" i="3" s="1"/>
  <c r="N9" i="3" s="1"/>
  <c r="N8" i="3" s="1"/>
  <c r="N983" i="3" s="1"/>
  <c r="M636" i="3"/>
  <c r="O636" i="3" s="1"/>
  <c r="L636" i="3"/>
  <c r="L422" i="3"/>
  <c r="M422" i="3"/>
  <c r="O422" i="3" s="1"/>
  <c r="M859" i="3"/>
  <c r="O859" i="3" s="1"/>
  <c r="L859" i="3"/>
  <c r="S974" i="3"/>
  <c r="R974" i="3"/>
  <c r="S959" i="3"/>
  <c r="R959" i="3"/>
  <c r="U886" i="3"/>
  <c r="M727" i="3"/>
  <c r="O727" i="3" s="1"/>
  <c r="L727" i="3"/>
  <c r="U467" i="3"/>
  <c r="S691" i="3"/>
  <c r="R691" i="3"/>
  <c r="M737" i="3"/>
  <c r="O737" i="3" s="1"/>
  <c r="L737" i="3"/>
  <c r="U571" i="3"/>
  <c r="U457" i="3"/>
  <c r="S141" i="3"/>
  <c r="R141" i="3"/>
  <c r="U188" i="3"/>
  <c r="S269" i="3"/>
  <c r="R269" i="3"/>
  <c r="S210" i="3"/>
  <c r="R210" i="3"/>
  <c r="U70" i="3"/>
  <c r="S337" i="3"/>
  <c r="R337" i="3"/>
  <c r="U322" i="3"/>
  <c r="U68" i="3"/>
  <c r="S65" i="3"/>
  <c r="U101" i="3"/>
  <c r="O807" i="3"/>
  <c r="O782" i="3" s="1"/>
  <c r="M782" i="3"/>
  <c r="O441" i="3"/>
  <c r="O440" i="3" s="1"/>
  <c r="M440" i="3"/>
  <c r="U437" i="3"/>
  <c r="U432" i="3" s="1"/>
  <c r="S432" i="3"/>
  <c r="U961" i="3"/>
  <c r="U890" i="3"/>
  <c r="U759" i="3"/>
  <c r="O712" i="3"/>
  <c r="S631" i="3"/>
  <c r="R631" i="3"/>
  <c r="M717" i="3"/>
  <c r="O717" i="3" s="1"/>
  <c r="L717" i="3"/>
  <c r="L417" i="3"/>
  <c r="M417" i="3"/>
  <c r="O417" i="3" s="1"/>
  <c r="U184" i="3"/>
  <c r="S214" i="3"/>
  <c r="R214" i="3"/>
  <c r="U88" i="3"/>
  <c r="S206" i="3"/>
  <c r="R206" i="3"/>
  <c r="M96" i="3"/>
  <c r="O97" i="3"/>
  <c r="O96" i="3" s="1"/>
  <c r="S856" i="3"/>
  <c r="R856" i="3"/>
  <c r="T63" i="3"/>
  <c r="T62" i="3" s="1"/>
  <c r="T61" i="3" s="1"/>
  <c r="T9" i="3" s="1"/>
  <c r="T8" i="3" s="1"/>
  <c r="T983" i="3" s="1"/>
  <c r="U641" i="3"/>
  <c r="U750" i="3"/>
  <c r="S706" i="3"/>
  <c r="R706" i="3"/>
  <c r="U474" i="3"/>
  <c r="S228" i="3"/>
  <c r="R228" i="3"/>
  <c r="S317" i="3"/>
  <c r="R317" i="3"/>
  <c r="U192" i="3"/>
  <c r="U105" i="3"/>
  <c r="U307" i="3"/>
  <c r="R182" i="3"/>
  <c r="S182" i="3"/>
  <c r="U464" i="3"/>
  <c r="U226" i="3"/>
  <c r="U79" i="3"/>
  <c r="U911" i="3"/>
  <c r="U461" i="3"/>
  <c r="U963" i="3"/>
  <c r="U966" i="3"/>
  <c r="S859" i="3"/>
  <c r="R859" i="3"/>
  <c r="S711" i="3"/>
  <c r="U712" i="3"/>
  <c r="M631" i="3"/>
  <c r="L631" i="3"/>
  <c r="U782" i="3"/>
  <c r="U478" i="3"/>
  <c r="U450" i="3"/>
  <c r="U580" i="3"/>
  <c r="S598" i="3"/>
  <c r="R598" i="3"/>
  <c r="U407" i="3"/>
  <c r="S232" i="3"/>
  <c r="R232" i="3"/>
  <c r="S150" i="3"/>
  <c r="R150" i="3"/>
  <c r="U179" i="3"/>
  <c r="U74" i="3"/>
  <c r="U92" i="3"/>
  <c r="O964" i="3"/>
  <c r="O963" i="3" s="1"/>
  <c r="M963" i="3"/>
  <c r="U113" i="3"/>
  <c r="S636" i="3"/>
  <c r="R636" i="3"/>
  <c r="S913" i="3"/>
  <c r="R913" i="3"/>
  <c r="U870" i="3"/>
  <c r="S862" i="3"/>
  <c r="U745" i="3"/>
  <c r="U742" i="3"/>
  <c r="M745" i="3"/>
  <c r="O745" i="3" s="1"/>
  <c r="L745" i="3"/>
  <c r="U577" i="3"/>
  <c r="S646" i="3"/>
  <c r="R646" i="3"/>
  <c r="U417" i="3"/>
  <c r="S186" i="3"/>
  <c r="R186" i="3"/>
  <c r="S264" i="3"/>
  <c r="R264" i="3"/>
  <c r="S96" i="3"/>
  <c r="U97" i="3"/>
  <c r="U190" i="3"/>
  <c r="O141" i="3"/>
  <c r="O117" i="3" s="1"/>
  <c r="U84" i="3"/>
  <c r="M862" i="3"/>
  <c r="O870" i="3"/>
  <c r="O862" i="3" s="1"/>
  <c r="U230" i="3"/>
  <c r="M828" i="3"/>
  <c r="O856" i="3"/>
  <c r="O828" i="3" s="1"/>
  <c r="U696" i="3"/>
  <c r="U470" i="3"/>
  <c r="U440" i="3" s="1"/>
  <c r="U574" i="3"/>
  <c r="L412" i="3"/>
  <c r="M412" i="3"/>
  <c r="O412" i="3" s="1"/>
  <c r="U402" i="3"/>
  <c r="S701" i="3"/>
  <c r="R701" i="3"/>
  <c r="S312" i="3"/>
  <c r="R312" i="3"/>
  <c r="S274" i="3"/>
  <c r="R274" i="3"/>
  <c r="U72" i="3"/>
  <c r="V721" i="1"/>
  <c r="S721" i="1"/>
  <c r="R721" i="1"/>
  <c r="X721" i="1" s="1"/>
  <c r="M96" i="2"/>
  <c r="O97" i="2"/>
  <c r="O96" i="2" s="1"/>
  <c r="Y705" i="1"/>
  <c r="AA705" i="1" s="1"/>
  <c r="U705" i="1"/>
  <c r="U235" i="1"/>
  <c r="Y235" i="1"/>
  <c r="AA235" i="1" s="1"/>
  <c r="U193" i="1"/>
  <c r="Y193" i="1"/>
  <c r="AA193" i="1" s="1"/>
  <c r="M312" i="2"/>
  <c r="O312" i="2" s="1"/>
  <c r="L312" i="2"/>
  <c r="V798" i="1"/>
  <c r="S798" i="1"/>
  <c r="R798" i="1"/>
  <c r="X798" i="1" s="1"/>
  <c r="V759" i="1"/>
  <c r="S759" i="1"/>
  <c r="R759" i="1"/>
  <c r="X759" i="1" s="1"/>
  <c r="Y715" i="1"/>
  <c r="AA715" i="1" s="1"/>
  <c r="U715" i="1"/>
  <c r="S592" i="1"/>
  <c r="R592" i="1"/>
  <c r="X592" i="1" s="1"/>
  <c r="V592" i="1"/>
  <c r="Y655" i="1"/>
  <c r="AA655" i="1" s="1"/>
  <c r="U655" i="1"/>
  <c r="S583" i="1"/>
  <c r="R583" i="1"/>
  <c r="X583" i="1" s="1"/>
  <c r="V583" i="1"/>
  <c r="U450" i="1"/>
  <c r="S449" i="1"/>
  <c r="Y450" i="1"/>
  <c r="U201" i="1"/>
  <c r="Y201" i="1"/>
  <c r="AA201" i="1" s="1"/>
  <c r="V219" i="1"/>
  <c r="S219" i="1"/>
  <c r="R219" i="1"/>
  <c r="X219" i="1" s="1"/>
  <c r="V754" i="2"/>
  <c r="S754" i="2"/>
  <c r="R754" i="2"/>
  <c r="X754" i="2" s="1"/>
  <c r="V580" i="2"/>
  <c r="S580" i="2"/>
  <c r="R580" i="2"/>
  <c r="X580" i="2" s="1"/>
  <c r="M862" i="2"/>
  <c r="O870" i="2"/>
  <c r="O862" i="2" s="1"/>
  <c r="U701" i="2"/>
  <c r="Y701" i="2"/>
  <c r="AA701" i="2" s="1"/>
  <c r="U727" i="2"/>
  <c r="Y727" i="2"/>
  <c r="AA727" i="2" s="1"/>
  <c r="V326" i="1"/>
  <c r="R326" i="1"/>
  <c r="X326" i="1" s="1"/>
  <c r="S326" i="1"/>
  <c r="L717" i="2"/>
  <c r="M717" i="2"/>
  <c r="O717" i="2" s="1"/>
  <c r="V589" i="2"/>
  <c r="S589" i="2"/>
  <c r="R589" i="2"/>
  <c r="X589" i="2" s="1"/>
  <c r="S470" i="2"/>
  <c r="R470" i="2"/>
  <c r="X470" i="2" s="1"/>
  <c r="V470" i="2"/>
  <c r="S450" i="2"/>
  <c r="R450" i="2"/>
  <c r="X450" i="2" s="1"/>
  <c r="V450" i="2"/>
  <c r="V641" i="2"/>
  <c r="S641" i="2"/>
  <c r="R641" i="2"/>
  <c r="X641" i="2" s="1"/>
  <c r="R427" i="2"/>
  <c r="X427" i="2" s="1"/>
  <c r="V427" i="2"/>
  <c r="S427" i="2"/>
  <c r="Y113" i="2"/>
  <c r="AA113" i="2" s="1"/>
  <c r="U113" i="2"/>
  <c r="M214" i="2"/>
  <c r="O214" i="2" s="1"/>
  <c r="L214" i="2"/>
  <c r="Y650" i="1"/>
  <c r="AA650" i="1" s="1"/>
  <c r="U650" i="1"/>
  <c r="U598" i="1"/>
  <c r="Y598" i="1"/>
  <c r="AA598" i="1" s="1"/>
  <c r="L712" i="2"/>
  <c r="M712" i="2"/>
  <c r="V454" i="2"/>
  <c r="S454" i="2"/>
  <c r="R454" i="2"/>
  <c r="X454" i="2" s="1"/>
  <c r="M307" i="2"/>
  <c r="O307" i="2" s="1"/>
  <c r="L307" i="2"/>
  <c r="R402" i="2"/>
  <c r="X402" i="2" s="1"/>
  <c r="V402" i="2"/>
  <c r="S402" i="2"/>
  <c r="M871" i="1"/>
  <c r="O879" i="1"/>
  <c r="O871" i="1" s="1"/>
  <c r="S478" i="2"/>
  <c r="R478" i="2"/>
  <c r="X478" i="2" s="1"/>
  <c r="V478" i="2"/>
  <c r="S819" i="1"/>
  <c r="R819" i="1"/>
  <c r="X819" i="1" s="1"/>
  <c r="V819" i="1"/>
  <c r="V754" i="1"/>
  <c r="R754" i="1"/>
  <c r="X754" i="1" s="1"/>
  <c r="S754" i="1"/>
  <c r="Y837" i="1"/>
  <c r="Y700" i="1"/>
  <c r="AA700" i="1" s="1"/>
  <c r="U700" i="1"/>
  <c r="V741" i="1"/>
  <c r="R741" i="1"/>
  <c r="X741" i="1" s="1"/>
  <c r="S741" i="1"/>
  <c r="M449" i="1"/>
  <c r="O450" i="1"/>
  <c r="O449" i="1" s="1"/>
  <c r="Z64" i="1"/>
  <c r="U88" i="1"/>
  <c r="Y88" i="1"/>
  <c r="AA88" i="1" s="1"/>
  <c r="S237" i="1"/>
  <c r="R237" i="1"/>
  <c r="X237" i="1" s="1"/>
  <c r="V237" i="1"/>
  <c r="V426" i="1"/>
  <c r="S426" i="1"/>
  <c r="R426" i="1"/>
  <c r="X426" i="1" s="1"/>
  <c r="S223" i="1"/>
  <c r="R223" i="1"/>
  <c r="X223" i="1" s="1"/>
  <c r="V223" i="1"/>
  <c r="Y74" i="1"/>
  <c r="AA74" i="1" s="1"/>
  <c r="U74" i="1"/>
  <c r="U646" i="2"/>
  <c r="Y646" i="2"/>
  <c r="AA646" i="2" s="1"/>
  <c r="R412" i="2"/>
  <c r="X412" i="2" s="1"/>
  <c r="V412" i="2"/>
  <c r="S412" i="2"/>
  <c r="AA432" i="2"/>
  <c r="R274" i="2"/>
  <c r="X274" i="2" s="1"/>
  <c r="V274" i="2"/>
  <c r="S274" i="2"/>
  <c r="Y192" i="2"/>
  <c r="AA192" i="2" s="1"/>
  <c r="U192" i="2"/>
  <c r="S96" i="2"/>
  <c r="U97" i="2"/>
  <c r="Y97" i="2"/>
  <c r="R232" i="2"/>
  <c r="X232" i="2" s="1"/>
  <c r="S232" i="2"/>
  <c r="V232" i="2"/>
  <c r="S92" i="2"/>
  <c r="R92" i="2"/>
  <c r="X92" i="2" s="1"/>
  <c r="V92" i="2"/>
  <c r="V88" i="2"/>
  <c r="S88" i="2"/>
  <c r="R88" i="2"/>
  <c r="X88" i="2" s="1"/>
  <c r="M412" i="2"/>
  <c r="O412" i="2" s="1"/>
  <c r="L412" i="2"/>
  <c r="U108" i="2"/>
  <c r="Y108" i="2"/>
  <c r="AA108" i="2" s="1"/>
  <c r="U807" i="1"/>
  <c r="Y807" i="1"/>
  <c r="AA807" i="1" s="1"/>
  <c r="U239" i="1"/>
  <c r="Y239" i="1"/>
  <c r="AA239" i="1" s="1"/>
  <c r="U706" i="2"/>
  <c r="Y706" i="2"/>
  <c r="AA706" i="2" s="1"/>
  <c r="Y922" i="1"/>
  <c r="AA922" i="1" s="1"/>
  <c r="U922" i="1"/>
  <c r="U115" i="2"/>
  <c r="Y115" i="2"/>
  <c r="AA115" i="2" s="1"/>
  <c r="Y834" i="1"/>
  <c r="AA834" i="1" s="1"/>
  <c r="U834" i="1"/>
  <c r="U766" i="1"/>
  <c r="Y766" i="1"/>
  <c r="AA766" i="1" s="1"/>
  <c r="S580" i="1"/>
  <c r="R580" i="1"/>
  <c r="X580" i="1" s="1"/>
  <c r="V580" i="1"/>
  <c r="V431" i="1"/>
  <c r="R431" i="1"/>
  <c r="X431" i="1" s="1"/>
  <c r="S431" i="1"/>
  <c r="V595" i="1"/>
  <c r="S595" i="1"/>
  <c r="R595" i="1"/>
  <c r="X595" i="1" s="1"/>
  <c r="U607" i="1"/>
  <c r="Y607" i="1"/>
  <c r="AA607" i="1" s="1"/>
  <c r="M491" i="1"/>
  <c r="O580" i="1"/>
  <c r="O491" i="1" s="1"/>
  <c r="M278" i="1"/>
  <c r="L278" i="1"/>
  <c r="S199" i="1"/>
  <c r="R199" i="1"/>
  <c r="X199" i="1" s="1"/>
  <c r="V199" i="1"/>
  <c r="S191" i="1"/>
  <c r="R191" i="1"/>
  <c r="X191" i="1" s="1"/>
  <c r="V191" i="1"/>
  <c r="AA97" i="1"/>
  <c r="AA96" i="1" s="1"/>
  <c r="V316" i="1"/>
  <c r="R316" i="1"/>
  <c r="X316" i="1" s="1"/>
  <c r="S316" i="1"/>
  <c r="U416" i="1"/>
  <c r="Y416" i="1"/>
  <c r="AA416" i="1" s="1"/>
  <c r="M96" i="1"/>
  <c r="O97" i="1"/>
  <c r="O96" i="1" s="1"/>
  <c r="M65" i="1"/>
  <c r="O68" i="1"/>
  <c r="O65" i="1" s="1"/>
  <c r="Y798" i="2"/>
  <c r="AA798" i="2" s="1"/>
  <c r="U798" i="2"/>
  <c r="U759" i="2"/>
  <c r="Y759" i="2"/>
  <c r="AA759" i="2" s="1"/>
  <c r="R892" i="2"/>
  <c r="X892" i="2" s="1"/>
  <c r="V892" i="2"/>
  <c r="S892" i="2"/>
  <c r="AA14" i="2"/>
  <c r="AA13" i="2" s="1"/>
  <c r="AA12" i="2" s="1"/>
  <c r="AA11" i="2" s="1"/>
  <c r="AA10" i="2" s="1"/>
  <c r="Z13" i="2"/>
  <c r="Z12" i="2" s="1"/>
  <c r="Z11" i="2" s="1"/>
  <c r="Z10" i="2" s="1"/>
  <c r="Z9" i="2" s="1"/>
  <c r="Z8" i="2" s="1"/>
  <c r="Z983" i="2" s="1"/>
  <c r="R269" i="2"/>
  <c r="X269" i="2" s="1"/>
  <c r="V269" i="2"/>
  <c r="S269" i="2"/>
  <c r="S464" i="2"/>
  <c r="R464" i="2"/>
  <c r="X464" i="2" s="1"/>
  <c r="V464" i="2"/>
  <c r="U574" i="2"/>
  <c r="Y574" i="2"/>
  <c r="Z65" i="2"/>
  <c r="Z64" i="2" s="1"/>
  <c r="Z63" i="2" s="1"/>
  <c r="Z62" i="2" s="1"/>
  <c r="Z61" i="2" s="1"/>
  <c r="AA67" i="2"/>
  <c r="Y432" i="2"/>
  <c r="R264" i="2"/>
  <c r="X264" i="2" s="1"/>
  <c r="V264" i="2"/>
  <c r="S264" i="2"/>
  <c r="Y101" i="2"/>
  <c r="AA101" i="2" s="1"/>
  <c r="U101" i="2"/>
  <c r="N63" i="2"/>
  <c r="N62" i="2" s="1"/>
  <c r="N61" i="2" s="1"/>
  <c r="N9" i="2" s="1"/>
  <c r="N8" i="2" s="1"/>
  <c r="N983" i="2" s="1"/>
  <c r="S79" i="2"/>
  <c r="R79" i="2"/>
  <c r="X79" i="2" s="1"/>
  <c r="V79" i="2"/>
  <c r="U179" i="2"/>
  <c r="Y179" i="2"/>
  <c r="AA179" i="2" s="1"/>
  <c r="V226" i="2"/>
  <c r="R226" i="2"/>
  <c r="X226" i="2" s="1"/>
  <c r="S226" i="2"/>
  <c r="S589" i="1"/>
  <c r="R589" i="1"/>
  <c r="X589" i="1" s="1"/>
  <c r="V589" i="1"/>
  <c r="U72" i="1"/>
  <c r="Y72" i="1"/>
  <c r="AA72" i="1" s="1"/>
  <c r="R417" i="2"/>
  <c r="X417" i="2" s="1"/>
  <c r="V417" i="2"/>
  <c r="S417" i="2"/>
  <c r="Y795" i="2"/>
  <c r="AA795" i="2" s="1"/>
  <c r="U795" i="2"/>
  <c r="U190" i="2"/>
  <c r="Y190" i="2"/>
  <c r="AA190" i="2" s="1"/>
  <c r="U105" i="2"/>
  <c r="Y105" i="2"/>
  <c r="AA105" i="2" s="1"/>
  <c r="Y792" i="2"/>
  <c r="AA792" i="2" s="1"/>
  <c r="U792" i="2"/>
  <c r="V583" i="2"/>
  <c r="S583" i="2"/>
  <c r="R583" i="2"/>
  <c r="X583" i="2" s="1"/>
  <c r="R407" i="2"/>
  <c r="X407" i="2" s="1"/>
  <c r="V407" i="2"/>
  <c r="S407" i="2"/>
  <c r="U111" i="2"/>
  <c r="Y111" i="2"/>
  <c r="AA111" i="2" s="1"/>
  <c r="M982" i="1"/>
  <c r="M981" i="1" s="1"/>
  <c r="M980" i="1" s="1"/>
  <c r="M979" i="1" s="1"/>
  <c r="O983" i="1"/>
  <c r="O982" i="1" s="1"/>
  <c r="O981" i="1" s="1"/>
  <c r="O980" i="1" s="1"/>
  <c r="O979" i="1" s="1"/>
  <c r="Y828" i="1"/>
  <c r="AA828" i="1" s="1"/>
  <c r="U828" i="1"/>
  <c r="Y897" i="1"/>
  <c r="AA897" i="1" s="1"/>
  <c r="U897" i="1"/>
  <c r="V751" i="1"/>
  <c r="R751" i="1"/>
  <c r="X751" i="1" s="1"/>
  <c r="S751" i="1"/>
  <c r="Y479" i="1"/>
  <c r="AA479" i="1" s="1"/>
  <c r="U479" i="1"/>
  <c r="V421" i="1"/>
  <c r="R421" i="1"/>
  <c r="X421" i="1" s="1"/>
  <c r="S421" i="1"/>
  <c r="S441" i="1"/>
  <c r="Y446" i="1"/>
  <c r="U446" i="1"/>
  <c r="U441" i="1" s="1"/>
  <c r="M791" i="1"/>
  <c r="M790" i="1" s="1"/>
  <c r="U436" i="1"/>
  <c r="Y436" i="1"/>
  <c r="AA436" i="1" s="1"/>
  <c r="S195" i="1"/>
  <c r="R195" i="1"/>
  <c r="X195" i="1" s="1"/>
  <c r="V195" i="1"/>
  <c r="U70" i="1"/>
  <c r="Y70" i="1"/>
  <c r="AA70" i="1" s="1"/>
  <c r="U197" i="1"/>
  <c r="Y197" i="1"/>
  <c r="AA197" i="1" s="1"/>
  <c r="T9" i="1"/>
  <c r="T8" i="1" s="1"/>
  <c r="T992" i="1" s="1"/>
  <c r="U278" i="1"/>
  <c r="Y278" i="1"/>
  <c r="AA278" i="1" s="1"/>
  <c r="V886" i="2"/>
  <c r="S886" i="2"/>
  <c r="R886" i="2"/>
  <c r="X886" i="2" s="1"/>
  <c r="R888" i="2"/>
  <c r="X888" i="2" s="1"/>
  <c r="V888" i="2"/>
  <c r="S888" i="2"/>
  <c r="Y890" i="2"/>
  <c r="AA890" i="2" s="1"/>
  <c r="U890" i="2"/>
  <c r="L727" i="2"/>
  <c r="M727" i="2"/>
  <c r="O727" i="2" s="1"/>
  <c r="U631" i="2"/>
  <c r="Y631" i="2"/>
  <c r="AA631" i="2" s="1"/>
  <c r="L745" i="2"/>
  <c r="M745" i="2"/>
  <c r="O745" i="2" s="1"/>
  <c r="L722" i="2"/>
  <c r="M722" i="2"/>
  <c r="O722" i="2" s="1"/>
  <c r="M432" i="2"/>
  <c r="O437" i="2"/>
  <c r="O432" i="2" s="1"/>
  <c r="U636" i="2"/>
  <c r="Y636" i="2"/>
  <c r="AA636" i="2" s="1"/>
  <c r="U966" i="2"/>
  <c r="Y966" i="2"/>
  <c r="AA966" i="2" s="1"/>
  <c r="U322" i="2"/>
  <c r="Y322" i="2"/>
  <c r="AA322" i="2" s="1"/>
  <c r="S461" i="2"/>
  <c r="R461" i="2"/>
  <c r="X461" i="2" s="1"/>
  <c r="V461" i="2"/>
  <c r="S722" i="2"/>
  <c r="R722" i="2"/>
  <c r="X722" i="2" s="1"/>
  <c r="V722" i="2"/>
  <c r="S732" i="2"/>
  <c r="R732" i="2"/>
  <c r="X732" i="2" s="1"/>
  <c r="V732" i="2"/>
  <c r="M782" i="2"/>
  <c r="M781" i="2" s="1"/>
  <c r="M317" i="2"/>
  <c r="O317" i="2" s="1"/>
  <c r="L317" i="2"/>
  <c r="T64" i="2"/>
  <c r="T63" i="2" s="1"/>
  <c r="T62" i="2" s="1"/>
  <c r="T61" i="2" s="1"/>
  <c r="T9" i="2" s="1"/>
  <c r="T8" i="2" s="1"/>
  <c r="T983" i="2" s="1"/>
  <c r="U186" i="2"/>
  <c r="Y186" i="2"/>
  <c r="AA186" i="2" s="1"/>
  <c r="S70" i="2"/>
  <c r="R70" i="2"/>
  <c r="X70" i="2" s="1"/>
  <c r="V70" i="2"/>
  <c r="S74" i="2"/>
  <c r="R74" i="2"/>
  <c r="X74" i="2" s="1"/>
  <c r="V74" i="2"/>
  <c r="U68" i="2"/>
  <c r="Y68" i="2"/>
  <c r="Y825" i="1"/>
  <c r="AA825" i="1" s="1"/>
  <c r="U825" i="1"/>
  <c r="R79" i="1"/>
  <c r="X79" i="1" s="1"/>
  <c r="S79" i="1"/>
  <c r="S65" i="1" s="1"/>
  <c r="V79" i="1"/>
  <c r="V331" i="1"/>
  <c r="R331" i="1"/>
  <c r="X331" i="1" s="1"/>
  <c r="S331" i="1"/>
  <c r="S859" i="2"/>
  <c r="R859" i="2"/>
  <c r="X859" i="2" s="1"/>
  <c r="V859" i="2"/>
  <c r="V586" i="2"/>
  <c r="S586" i="2"/>
  <c r="S482" i="2" s="1"/>
  <c r="R586" i="2"/>
  <c r="X586" i="2" s="1"/>
  <c r="V970" i="1"/>
  <c r="S970" i="1"/>
  <c r="R970" i="1"/>
  <c r="X970" i="1" s="1"/>
  <c r="S964" i="2"/>
  <c r="R964" i="2"/>
  <c r="X964" i="2" s="1"/>
  <c r="V964" i="2"/>
  <c r="V757" i="2"/>
  <c r="S757" i="2"/>
  <c r="R757" i="2"/>
  <c r="X757" i="2" s="1"/>
  <c r="Y973" i="1"/>
  <c r="S972" i="1"/>
  <c r="U973" i="1"/>
  <c r="U972" i="1" s="1"/>
  <c r="AA983" i="1"/>
  <c r="AA982" i="1" s="1"/>
  <c r="AA981" i="1" s="1"/>
  <c r="AA980" i="1" s="1"/>
  <c r="AA979" i="1" s="1"/>
  <c r="Y982" i="1"/>
  <c r="Y981" i="1" s="1"/>
  <c r="Y980" i="1" s="1"/>
  <c r="Y979" i="1" s="1"/>
  <c r="S804" i="1"/>
  <c r="V804" i="1"/>
  <c r="R804" i="1"/>
  <c r="X804" i="1" s="1"/>
  <c r="Y901" i="1"/>
  <c r="AA901" i="1" s="1"/>
  <c r="U901" i="1"/>
  <c r="V731" i="1"/>
  <c r="S731" i="1"/>
  <c r="R731" i="1"/>
  <c r="X731" i="1" s="1"/>
  <c r="U763" i="1"/>
  <c r="Y763" i="1"/>
  <c r="AA763" i="1" s="1"/>
  <c r="V459" i="1"/>
  <c r="S459" i="1"/>
  <c r="R459" i="1"/>
  <c r="X459" i="1" s="1"/>
  <c r="V736" i="1"/>
  <c r="R736" i="1"/>
  <c r="X736" i="1" s="1"/>
  <c r="S736" i="1"/>
  <c r="S273" i="1"/>
  <c r="R273" i="1"/>
  <c r="X273" i="1" s="1"/>
  <c r="V273" i="1"/>
  <c r="Y411" i="1"/>
  <c r="AA411" i="1" s="1"/>
  <c r="U411" i="1"/>
  <c r="S346" i="1"/>
  <c r="R346" i="1"/>
  <c r="X346" i="1" s="1"/>
  <c r="V346" i="1"/>
  <c r="S215" i="1"/>
  <c r="R215" i="1"/>
  <c r="X215" i="1" s="1"/>
  <c r="V215" i="1"/>
  <c r="R92" i="1"/>
  <c r="X92" i="1" s="1"/>
  <c r="V92" i="1"/>
  <c r="S92" i="1"/>
  <c r="R84" i="1"/>
  <c r="X84" i="1" s="1"/>
  <c r="V84" i="1"/>
  <c r="S84" i="1"/>
  <c r="AA14" i="1"/>
  <c r="AA13" i="1" s="1"/>
  <c r="AA12" i="1" s="1"/>
  <c r="AA11" i="1" s="1"/>
  <c r="AA10" i="1" s="1"/>
  <c r="Z13" i="1"/>
  <c r="Z12" i="1" s="1"/>
  <c r="Z11" i="1" s="1"/>
  <c r="Z10" i="1" s="1"/>
  <c r="Y101" i="1"/>
  <c r="AA101" i="1" s="1"/>
  <c r="U101" i="1"/>
  <c r="U96" i="1" s="1"/>
  <c r="S782" i="2"/>
  <c r="Y789" i="2"/>
  <c r="U789" i="2"/>
  <c r="V321" i="1"/>
  <c r="R321" i="1"/>
  <c r="X321" i="1" s="1"/>
  <c r="S321" i="1"/>
  <c r="V696" i="2"/>
  <c r="S696" i="2"/>
  <c r="R696" i="2"/>
  <c r="X696" i="2" s="1"/>
  <c r="V457" i="2"/>
  <c r="S457" i="2"/>
  <c r="R457" i="2"/>
  <c r="X457" i="2" s="1"/>
  <c r="V577" i="2"/>
  <c r="S577" i="2"/>
  <c r="R577" i="2"/>
  <c r="X577" i="2" s="1"/>
  <c r="V746" i="1"/>
  <c r="S746" i="1"/>
  <c r="R746" i="1"/>
  <c r="X746" i="1" s="1"/>
  <c r="V317" i="2"/>
  <c r="S317" i="2"/>
  <c r="R317" i="2"/>
  <c r="X317" i="2" s="1"/>
  <c r="R422" i="2"/>
  <c r="X422" i="2" s="1"/>
  <c r="V422" i="2"/>
  <c r="S422" i="2"/>
  <c r="S467" i="2"/>
  <c r="R467" i="2"/>
  <c r="X467" i="2" s="1"/>
  <c r="V467" i="2"/>
  <c r="U214" i="2"/>
  <c r="Y214" i="2"/>
  <c r="AA214" i="2" s="1"/>
  <c r="U72" i="2"/>
  <c r="Y72" i="2"/>
  <c r="AA72" i="2" s="1"/>
  <c r="S84" i="2"/>
  <c r="R84" i="2"/>
  <c r="X84" i="2" s="1"/>
  <c r="V84" i="2"/>
  <c r="V768" i="1"/>
  <c r="R768" i="1"/>
  <c r="X768" i="1" s="1"/>
  <c r="S768" i="1"/>
  <c r="Y710" i="1"/>
  <c r="AA710" i="1" s="1"/>
  <c r="U710" i="1"/>
  <c r="Y831" i="1"/>
  <c r="AA831" i="1" s="1"/>
  <c r="U831" i="1"/>
  <c r="Y150" i="1"/>
  <c r="AA150" i="1" s="1"/>
  <c r="U150" i="1"/>
  <c r="V691" i="2"/>
  <c r="S691" i="2"/>
  <c r="R691" i="2"/>
  <c r="X691" i="2" s="1"/>
  <c r="Y856" i="2"/>
  <c r="S828" i="2"/>
  <c r="U856" i="2"/>
  <c r="U745" i="2"/>
  <c r="Y745" i="2"/>
  <c r="AA745" i="2" s="1"/>
  <c r="O141" i="2"/>
  <c r="M117" i="2"/>
  <c r="AA879" i="1"/>
  <c r="L737" i="2"/>
  <c r="M737" i="2"/>
  <c r="O737" i="2" s="1"/>
  <c r="V307" i="2"/>
  <c r="S307" i="2"/>
  <c r="R307" i="2"/>
  <c r="X307" i="2" s="1"/>
  <c r="V441" i="2"/>
  <c r="S441" i="2"/>
  <c r="R441" i="2"/>
  <c r="X441" i="2" s="1"/>
  <c r="AA978" i="1"/>
  <c r="AA977" i="1" s="1"/>
  <c r="Z977" i="1"/>
  <c r="Y822" i="1"/>
  <c r="AA822" i="1" s="1"/>
  <c r="U822" i="1"/>
  <c r="S816" i="1"/>
  <c r="R816" i="1"/>
  <c r="X816" i="1" s="1"/>
  <c r="V816" i="1"/>
  <c r="U726" i="1"/>
  <c r="Y726" i="1"/>
  <c r="AA726" i="1" s="1"/>
  <c r="O751" i="1"/>
  <c r="O720" i="1" s="1"/>
  <c r="M720" i="1"/>
  <c r="S586" i="1"/>
  <c r="R586" i="1"/>
  <c r="X586" i="1" s="1"/>
  <c r="V586" i="1"/>
  <c r="Y476" i="1"/>
  <c r="AA476" i="1" s="1"/>
  <c r="U476" i="1"/>
  <c r="M346" i="1"/>
  <c r="O346" i="1" s="1"/>
  <c r="L346" i="1"/>
  <c r="S283" i="1"/>
  <c r="R283" i="1"/>
  <c r="X283" i="1" s="1"/>
  <c r="V283" i="1"/>
  <c r="Y68" i="1"/>
  <c r="U68" i="1"/>
  <c r="S188" i="1"/>
  <c r="R188" i="1"/>
  <c r="X188" i="1" s="1"/>
  <c r="V188" i="1"/>
  <c r="N9" i="1"/>
  <c r="N8" i="1" s="1"/>
  <c r="N992" i="1" s="1"/>
  <c r="T64" i="1"/>
  <c r="T63" i="1" s="1"/>
  <c r="T62" i="1" s="1"/>
  <c r="T61" i="1" s="1"/>
  <c r="S241" i="1"/>
  <c r="R241" i="1"/>
  <c r="X241" i="1" s="1"/>
  <c r="V241" i="1"/>
  <c r="Y870" i="2"/>
  <c r="U870" i="2"/>
  <c r="U737" i="2"/>
  <c r="Y737" i="2"/>
  <c r="AA737" i="2" s="1"/>
  <c r="U712" i="2"/>
  <c r="Y712" i="2"/>
  <c r="U598" i="2"/>
  <c r="Y598" i="2"/>
  <c r="AA598" i="2" s="1"/>
  <c r="U742" i="2"/>
  <c r="Y742" i="2"/>
  <c r="AA742" i="2" s="1"/>
  <c r="U474" i="2"/>
  <c r="Y474" i="2"/>
  <c r="AA474" i="2" s="1"/>
  <c r="S750" i="2"/>
  <c r="R750" i="2"/>
  <c r="X750" i="2" s="1"/>
  <c r="V750" i="2"/>
  <c r="U717" i="2"/>
  <c r="Y717" i="2"/>
  <c r="AA717" i="2" s="1"/>
  <c r="Y228" i="2"/>
  <c r="AA228" i="2" s="1"/>
  <c r="U228" i="2"/>
  <c r="V312" i="2"/>
  <c r="S312" i="2"/>
  <c r="R312" i="2"/>
  <c r="X312" i="2" s="1"/>
  <c r="R337" i="2"/>
  <c r="X337" i="2" s="1"/>
  <c r="V337" i="2"/>
  <c r="S337" i="2"/>
  <c r="U182" i="2"/>
  <c r="Y182" i="2"/>
  <c r="AA182" i="2" s="1"/>
  <c r="U150" i="2"/>
  <c r="Y150" i="2"/>
  <c r="O64" i="3" l="1"/>
  <c r="U96" i="3"/>
  <c r="S482" i="3"/>
  <c r="S439" i="3" s="1"/>
  <c r="O781" i="3"/>
  <c r="S973" i="3"/>
  <c r="S972" i="3" s="1"/>
  <c r="S971" i="3" s="1"/>
  <c r="S970" i="3" s="1"/>
  <c r="U974" i="3"/>
  <c r="U973" i="3" s="1"/>
  <c r="U972" i="3" s="1"/>
  <c r="U971" i="3" s="1"/>
  <c r="U970" i="3" s="1"/>
  <c r="U913" i="3"/>
  <c r="M711" i="3"/>
  <c r="M117" i="3"/>
  <c r="M64" i="3" s="1"/>
  <c r="U264" i="3"/>
  <c r="O631" i="3"/>
  <c r="O482" i="3" s="1"/>
  <c r="M482" i="3"/>
  <c r="U691" i="3"/>
  <c r="U636" i="3"/>
  <c r="U232" i="3"/>
  <c r="U214" i="3"/>
  <c r="M439" i="3"/>
  <c r="U65" i="3"/>
  <c r="U312" i="3"/>
  <c r="U186" i="3"/>
  <c r="U228" i="3"/>
  <c r="U711" i="3"/>
  <c r="U631" i="3"/>
  <c r="U482" i="3" s="1"/>
  <c r="U439" i="3" s="1"/>
  <c r="M781" i="3"/>
  <c r="U959" i="3"/>
  <c r="U862" i="3" s="1"/>
  <c r="U859" i="3"/>
  <c r="U182" i="3"/>
  <c r="U206" i="3"/>
  <c r="U210" i="3"/>
  <c r="U274" i="3"/>
  <c r="U269" i="3"/>
  <c r="U701" i="3"/>
  <c r="U150" i="3"/>
  <c r="U598" i="3"/>
  <c r="O711" i="3"/>
  <c r="U141" i="3"/>
  <c r="S117" i="3"/>
  <c r="S64" i="3" s="1"/>
  <c r="U646" i="3"/>
  <c r="U317" i="3"/>
  <c r="U706" i="3"/>
  <c r="S828" i="3"/>
  <c r="S781" i="3" s="1"/>
  <c r="U856" i="3"/>
  <c r="U828" i="3" s="1"/>
  <c r="U781" i="3" s="1"/>
  <c r="U337" i="3"/>
  <c r="AA574" i="2"/>
  <c r="Y223" i="1"/>
  <c r="AA223" i="1" s="1"/>
  <c r="U223" i="1"/>
  <c r="Y188" i="1"/>
  <c r="U188" i="1"/>
  <c r="U888" i="2"/>
  <c r="Y888" i="2"/>
  <c r="AA888" i="2" s="1"/>
  <c r="Y407" i="2"/>
  <c r="AA407" i="2" s="1"/>
  <c r="U407" i="2"/>
  <c r="Y92" i="2"/>
  <c r="AA92" i="2" s="1"/>
  <c r="U92" i="2"/>
  <c r="U750" i="2"/>
  <c r="Y750" i="2"/>
  <c r="AA750" i="2" s="1"/>
  <c r="U426" i="1"/>
  <c r="Y426" i="1"/>
  <c r="AA426" i="1" s="1"/>
  <c r="O448" i="1"/>
  <c r="U326" i="1"/>
  <c r="Y326" i="1"/>
  <c r="AA326" i="1" s="1"/>
  <c r="U117" i="2"/>
  <c r="Y241" i="1"/>
  <c r="AA241" i="1" s="1"/>
  <c r="U241" i="1"/>
  <c r="S440" i="2"/>
  <c r="U441" i="2"/>
  <c r="Y441" i="2"/>
  <c r="AA871" i="1"/>
  <c r="Y577" i="2"/>
  <c r="AA577" i="2" s="1"/>
  <c r="U577" i="2"/>
  <c r="Y346" i="1"/>
  <c r="AA346" i="1" s="1"/>
  <c r="U346" i="1"/>
  <c r="Y964" i="2"/>
  <c r="U964" i="2"/>
  <c r="U963" i="2" s="1"/>
  <c r="S963" i="2"/>
  <c r="U892" i="2"/>
  <c r="U862" i="2" s="1"/>
  <c r="Y892" i="2"/>
  <c r="AA892" i="2" s="1"/>
  <c r="Y96" i="1"/>
  <c r="Y232" i="2"/>
  <c r="AA232" i="2" s="1"/>
  <c r="U232" i="2"/>
  <c r="M448" i="1"/>
  <c r="Y754" i="1"/>
  <c r="AA754" i="1" s="1"/>
  <c r="U754" i="1"/>
  <c r="Y478" i="2"/>
  <c r="AA478" i="2" s="1"/>
  <c r="U478" i="2"/>
  <c r="U219" i="1"/>
  <c r="Y219" i="1"/>
  <c r="AA219" i="1" s="1"/>
  <c r="M64" i="2"/>
  <c r="AA870" i="2"/>
  <c r="U828" i="2"/>
  <c r="Y746" i="1"/>
  <c r="AA746" i="1" s="1"/>
  <c r="U746" i="1"/>
  <c r="AA789" i="2"/>
  <c r="AA782" i="2" s="1"/>
  <c r="Y782" i="2"/>
  <c r="U316" i="1"/>
  <c r="Y316" i="1"/>
  <c r="AA316" i="1" s="1"/>
  <c r="Y819" i="1"/>
  <c r="AA819" i="1" s="1"/>
  <c r="U819" i="1"/>
  <c r="Y754" i="2"/>
  <c r="AA754" i="2" s="1"/>
  <c r="U754" i="2"/>
  <c r="Y422" i="2"/>
  <c r="AA422" i="2" s="1"/>
  <c r="U422" i="2"/>
  <c r="Y736" i="1"/>
  <c r="AA736" i="1" s="1"/>
  <c r="U736" i="1"/>
  <c r="Y195" i="1"/>
  <c r="AA195" i="1" s="1"/>
  <c r="U195" i="1"/>
  <c r="Y580" i="1"/>
  <c r="S491" i="1"/>
  <c r="U580" i="1"/>
  <c r="Z63" i="1"/>
  <c r="Z62" i="1" s="1"/>
  <c r="Z61" i="1" s="1"/>
  <c r="S711" i="2"/>
  <c r="Y74" i="2"/>
  <c r="AA74" i="2" s="1"/>
  <c r="U74" i="2"/>
  <c r="U65" i="2" s="1"/>
  <c r="U64" i="2" s="1"/>
  <c r="Y199" i="1"/>
  <c r="AA199" i="1" s="1"/>
  <c r="U199" i="1"/>
  <c r="AA68" i="1"/>
  <c r="Y768" i="1"/>
  <c r="AA768" i="1" s="1"/>
  <c r="U768" i="1"/>
  <c r="U321" i="1"/>
  <c r="Y321" i="1"/>
  <c r="AA321" i="1" s="1"/>
  <c r="U431" i="1"/>
  <c r="Y431" i="1"/>
  <c r="AA431" i="1" s="1"/>
  <c r="Y470" i="2"/>
  <c r="AA470" i="2" s="1"/>
  <c r="U470" i="2"/>
  <c r="Y583" i="1"/>
  <c r="AA583" i="1" s="1"/>
  <c r="U583" i="1"/>
  <c r="Y273" i="1"/>
  <c r="AA273" i="1" s="1"/>
  <c r="U273" i="1"/>
  <c r="S791" i="1"/>
  <c r="S790" i="1" s="1"/>
  <c r="Y798" i="1"/>
  <c r="U798" i="1"/>
  <c r="Y92" i="1"/>
  <c r="AA92" i="1" s="1"/>
  <c r="U92" i="1"/>
  <c r="U421" i="1"/>
  <c r="Y421" i="1"/>
  <c r="AA421" i="1" s="1"/>
  <c r="Y427" i="2"/>
  <c r="AA427" i="2" s="1"/>
  <c r="U427" i="2"/>
  <c r="U722" i="2"/>
  <c r="U711" i="2" s="1"/>
  <c r="Y722" i="2"/>
  <c r="AA722" i="2" s="1"/>
  <c r="O117" i="2"/>
  <c r="O64" i="2" s="1"/>
  <c r="AA68" i="2"/>
  <c r="Y583" i="2"/>
  <c r="AA583" i="2" s="1"/>
  <c r="U583" i="2"/>
  <c r="U482" i="2" s="1"/>
  <c r="Y464" i="2"/>
  <c r="AA464" i="2" s="1"/>
  <c r="U464" i="2"/>
  <c r="U88" i="2"/>
  <c r="Y88" i="2"/>
  <c r="AA88" i="2" s="1"/>
  <c r="AA97" i="2"/>
  <c r="AA96" i="2" s="1"/>
  <c r="Y96" i="2"/>
  <c r="U641" i="2"/>
  <c r="Y641" i="2"/>
  <c r="AA641" i="2" s="1"/>
  <c r="Y580" i="2"/>
  <c r="AA580" i="2" s="1"/>
  <c r="U580" i="2"/>
  <c r="Y759" i="1"/>
  <c r="AA759" i="1" s="1"/>
  <c r="U759" i="1"/>
  <c r="S720" i="1"/>
  <c r="Y721" i="1"/>
  <c r="U721" i="1"/>
  <c r="U720" i="1" s="1"/>
  <c r="S448" i="1"/>
  <c r="S781" i="2"/>
  <c r="U592" i="1"/>
  <c r="Y592" i="1"/>
  <c r="AA592" i="1" s="1"/>
  <c r="U312" i="2"/>
  <c r="Y312" i="2"/>
  <c r="AA312" i="2" s="1"/>
  <c r="AA856" i="2"/>
  <c r="Y828" i="2"/>
  <c r="U696" i="2"/>
  <c r="Y696" i="2"/>
  <c r="AA696" i="2" s="1"/>
  <c r="U595" i="1"/>
  <c r="Y595" i="1"/>
  <c r="AA595" i="1" s="1"/>
  <c r="U691" i="2"/>
  <c r="Y691" i="2"/>
  <c r="AA691" i="2" s="1"/>
  <c r="O278" i="1"/>
  <c r="O117" i="1" s="1"/>
  <c r="O64" i="1" s="1"/>
  <c r="O63" i="1" s="1"/>
  <c r="O62" i="1" s="1"/>
  <c r="O61" i="1" s="1"/>
  <c r="O9" i="1" s="1"/>
  <c r="O8" i="1" s="1"/>
  <c r="M117" i="1"/>
  <c r="M64" i="1" s="1"/>
  <c r="M63" i="1" s="1"/>
  <c r="M62" i="1" s="1"/>
  <c r="M61" i="1" s="1"/>
  <c r="M9" i="1" s="1"/>
  <c r="M8" i="1" s="1"/>
  <c r="M992" i="1" s="1"/>
  <c r="O992" i="1" s="1"/>
  <c r="U454" i="2"/>
  <c r="Y454" i="2"/>
  <c r="AA454" i="2" s="1"/>
  <c r="S117" i="1"/>
  <c r="S64" i="1" s="1"/>
  <c r="S63" i="1" s="1"/>
  <c r="S62" i="1" s="1"/>
  <c r="S61" i="1" s="1"/>
  <c r="S9" i="1" s="1"/>
  <c r="S8" i="1" s="1"/>
  <c r="S992" i="1" s="1"/>
  <c r="U992" i="1" s="1"/>
  <c r="Y816" i="1"/>
  <c r="AA816" i="1" s="1"/>
  <c r="U816" i="1"/>
  <c r="U317" i="2"/>
  <c r="Y317" i="2"/>
  <c r="AA317" i="2" s="1"/>
  <c r="Y459" i="1"/>
  <c r="AA459" i="1" s="1"/>
  <c r="U459" i="1"/>
  <c r="U449" i="1" s="1"/>
  <c r="U970" i="1"/>
  <c r="U871" i="1" s="1"/>
  <c r="Y970" i="1"/>
  <c r="AA970" i="1" s="1"/>
  <c r="S871" i="1"/>
  <c r="Y70" i="2"/>
  <c r="AA70" i="2" s="1"/>
  <c r="U70" i="2"/>
  <c r="Y461" i="2"/>
  <c r="AA461" i="2" s="1"/>
  <c r="U461" i="2"/>
  <c r="Y886" i="2"/>
  <c r="AA886" i="2" s="1"/>
  <c r="U886" i="2"/>
  <c r="Y586" i="1"/>
  <c r="AA586" i="1" s="1"/>
  <c r="U586" i="1"/>
  <c r="U307" i="2"/>
  <c r="Y307" i="2"/>
  <c r="AA307" i="2" s="1"/>
  <c r="U457" i="2"/>
  <c r="Y457" i="2"/>
  <c r="AA457" i="2" s="1"/>
  <c r="U84" i="1"/>
  <c r="Y84" i="1"/>
  <c r="AA84" i="1" s="1"/>
  <c r="S65" i="2"/>
  <c r="Y751" i="1"/>
  <c r="AA751" i="1" s="1"/>
  <c r="U751" i="1"/>
  <c r="Y589" i="1"/>
  <c r="AA589" i="1" s="1"/>
  <c r="U589" i="1"/>
  <c r="Y79" i="2"/>
  <c r="AA79" i="2" s="1"/>
  <c r="AA65" i="2" s="1"/>
  <c r="AA64" i="2" s="1"/>
  <c r="U79" i="2"/>
  <c r="Y269" i="2"/>
  <c r="AA269" i="2" s="1"/>
  <c r="U269" i="2"/>
  <c r="U96" i="2"/>
  <c r="Y412" i="2"/>
  <c r="AA412" i="2" s="1"/>
  <c r="U412" i="2"/>
  <c r="Y237" i="1"/>
  <c r="AA237" i="1" s="1"/>
  <c r="U237" i="1"/>
  <c r="Y402" i="2"/>
  <c r="AA402" i="2" s="1"/>
  <c r="U402" i="2"/>
  <c r="M711" i="2"/>
  <c r="M439" i="2" s="1"/>
  <c r="O712" i="2"/>
  <c r="O711" i="2" s="1"/>
  <c r="O439" i="2" s="1"/>
  <c r="Y589" i="2"/>
  <c r="AA589" i="2" s="1"/>
  <c r="U589" i="2"/>
  <c r="Y467" i="2"/>
  <c r="AA467" i="2" s="1"/>
  <c r="U467" i="2"/>
  <c r="U804" i="1"/>
  <c r="Y804" i="1"/>
  <c r="AA804" i="1" s="1"/>
  <c r="Y586" i="2"/>
  <c r="AA586" i="2" s="1"/>
  <c r="U586" i="2"/>
  <c r="AA712" i="2"/>
  <c r="Y84" i="2"/>
  <c r="AA84" i="2" s="1"/>
  <c r="U84" i="2"/>
  <c r="Y79" i="1"/>
  <c r="AA79" i="1" s="1"/>
  <c r="U79" i="1"/>
  <c r="U65" i="1" s="1"/>
  <c r="Y450" i="2"/>
  <c r="AA450" i="2" s="1"/>
  <c r="U450" i="2"/>
  <c r="AA150" i="2"/>
  <c r="AA117" i="2" s="1"/>
  <c r="Y117" i="2"/>
  <c r="Y731" i="1"/>
  <c r="AA731" i="1" s="1"/>
  <c r="U731" i="1"/>
  <c r="Y264" i="2"/>
  <c r="AA264" i="2" s="1"/>
  <c r="U264" i="2"/>
  <c r="Y274" i="2"/>
  <c r="AA274" i="2" s="1"/>
  <c r="U274" i="2"/>
  <c r="Z9" i="1"/>
  <c r="Z8" i="1" s="1"/>
  <c r="Z992" i="1" s="1"/>
  <c r="U859" i="2"/>
  <c r="Y859" i="2"/>
  <c r="AA859" i="2" s="1"/>
  <c r="Y741" i="1"/>
  <c r="AA741" i="1" s="1"/>
  <c r="U741" i="1"/>
  <c r="Y972" i="1"/>
  <c r="AA973" i="1"/>
  <c r="AA972" i="1" s="1"/>
  <c r="U331" i="1"/>
  <c r="Y331" i="1"/>
  <c r="AA331" i="1" s="1"/>
  <c r="Y337" i="2"/>
  <c r="AA337" i="2" s="1"/>
  <c r="U337" i="2"/>
  <c r="S862" i="2"/>
  <c r="Y283" i="1"/>
  <c r="AA283" i="1" s="1"/>
  <c r="U283" i="1"/>
  <c r="U782" i="2"/>
  <c r="U781" i="2" s="1"/>
  <c r="Y215" i="1"/>
  <c r="AA215" i="1" s="1"/>
  <c r="U215" i="1"/>
  <c r="Y757" i="2"/>
  <c r="AA757" i="2" s="1"/>
  <c r="U757" i="2"/>
  <c r="U732" i="2"/>
  <c r="Y732" i="2"/>
  <c r="AA732" i="2" s="1"/>
  <c r="AA446" i="1"/>
  <c r="AA441" i="1" s="1"/>
  <c r="Y441" i="1"/>
  <c r="Y417" i="2"/>
  <c r="AA417" i="2" s="1"/>
  <c r="U417" i="2"/>
  <c r="Y226" i="2"/>
  <c r="AA226" i="2" s="1"/>
  <c r="U226" i="2"/>
  <c r="Y191" i="1"/>
  <c r="AA191" i="1" s="1"/>
  <c r="U191" i="1"/>
  <c r="AA450" i="1"/>
  <c r="AA449" i="1" s="1"/>
  <c r="Y449" i="1"/>
  <c r="S117" i="2"/>
  <c r="M63" i="3" l="1"/>
  <c r="M62" i="3" s="1"/>
  <c r="M61" i="3" s="1"/>
  <c r="M9" i="3" s="1"/>
  <c r="M8" i="3" s="1"/>
  <c r="M983" i="3" s="1"/>
  <c r="O983" i="3" s="1"/>
  <c r="S63" i="3"/>
  <c r="S62" i="3" s="1"/>
  <c r="S61" i="3" s="1"/>
  <c r="S9" i="3" s="1"/>
  <c r="S8" i="3" s="1"/>
  <c r="S983" i="3" s="1"/>
  <c r="U983" i="3" s="1"/>
  <c r="O439" i="3"/>
  <c r="O63" i="3" s="1"/>
  <c r="O62" i="3" s="1"/>
  <c r="O61" i="3" s="1"/>
  <c r="O9" i="3" s="1"/>
  <c r="O8" i="3" s="1"/>
  <c r="U117" i="3"/>
  <c r="U64" i="3" s="1"/>
  <c r="U63" i="3" s="1"/>
  <c r="U62" i="3" s="1"/>
  <c r="U61" i="3" s="1"/>
  <c r="U9" i="3" s="1"/>
  <c r="U8" i="3" s="1"/>
  <c r="AA580" i="1"/>
  <c r="AA491" i="1" s="1"/>
  <c r="Y491" i="1"/>
  <c r="Y448" i="1" s="1"/>
  <c r="AA188" i="1"/>
  <c r="AA117" i="1" s="1"/>
  <c r="Y117" i="1"/>
  <c r="AA711" i="2"/>
  <c r="Y862" i="2"/>
  <c r="Y65" i="2"/>
  <c r="Y64" i="2" s="1"/>
  <c r="AA862" i="2"/>
  <c r="U440" i="2"/>
  <c r="U439" i="2" s="1"/>
  <c r="U63" i="2" s="1"/>
  <c r="U62" i="2" s="1"/>
  <c r="U61" i="2" s="1"/>
  <c r="U9" i="2" s="1"/>
  <c r="U8" i="2" s="1"/>
  <c r="Y482" i="2"/>
  <c r="AA448" i="1"/>
  <c r="Y720" i="1"/>
  <c r="AA721" i="1"/>
  <c r="AA720" i="1" s="1"/>
  <c r="O63" i="2"/>
  <c r="O62" i="2" s="1"/>
  <c r="O61" i="2" s="1"/>
  <c r="O9" i="2" s="1"/>
  <c r="O8" i="2" s="1"/>
  <c r="M63" i="2"/>
  <c r="M62" i="2" s="1"/>
  <c r="M61" i="2" s="1"/>
  <c r="M9" i="2" s="1"/>
  <c r="M8" i="2" s="1"/>
  <c r="M983" i="2" s="1"/>
  <c r="O983" i="2" s="1"/>
  <c r="AA964" i="2"/>
  <c r="AA963" i="2" s="1"/>
  <c r="Y963" i="2"/>
  <c r="S439" i="2"/>
  <c r="AA482" i="2"/>
  <c r="AA828" i="2"/>
  <c r="AA441" i="2"/>
  <c r="AA440" i="2" s="1"/>
  <c r="Y440" i="2"/>
  <c r="S64" i="2"/>
  <c r="Y65" i="1"/>
  <c r="Y64" i="1" s="1"/>
  <c r="Y781" i="2"/>
  <c r="U791" i="1"/>
  <c r="U790" i="1" s="1"/>
  <c r="AA65" i="1"/>
  <c r="U491" i="1"/>
  <c r="U448" i="1" s="1"/>
  <c r="AA781" i="2"/>
  <c r="Y711" i="2"/>
  <c r="Y871" i="1"/>
  <c r="AA798" i="1"/>
  <c r="AA791" i="1" s="1"/>
  <c r="AA790" i="1" s="1"/>
  <c r="Y791" i="1"/>
  <c r="Y790" i="1" s="1"/>
  <c r="U117" i="1"/>
  <c r="U64" i="1" s="1"/>
  <c r="U63" i="1" s="1"/>
  <c r="U62" i="1" s="1"/>
  <c r="U61" i="1" s="1"/>
  <c r="U9" i="1" s="1"/>
  <c r="U8" i="1" s="1"/>
  <c r="AA64" i="1" l="1"/>
  <c r="AA63" i="1" s="1"/>
  <c r="AA62" i="1" s="1"/>
  <c r="AA61" i="1" s="1"/>
  <c r="AA9" i="1" s="1"/>
  <c r="AA8" i="1" s="1"/>
  <c r="Y63" i="1"/>
  <c r="Y62" i="1" s="1"/>
  <c r="Y61" i="1" s="1"/>
  <c r="Y9" i="1" s="1"/>
  <c r="Y8" i="1" s="1"/>
  <c r="Y992" i="1" s="1"/>
  <c r="AA992" i="1" s="1"/>
  <c r="S63" i="2"/>
  <c r="S62" i="2" s="1"/>
  <c r="S61" i="2" s="1"/>
  <c r="S9" i="2" s="1"/>
  <c r="S8" i="2" s="1"/>
  <c r="S983" i="2" s="1"/>
  <c r="U983" i="2" s="1"/>
  <c r="Y439" i="2"/>
  <c r="Y63" i="2"/>
  <c r="Y62" i="2" s="1"/>
  <c r="Y61" i="2" s="1"/>
  <c r="Y9" i="2" s="1"/>
  <c r="Y8" i="2" s="1"/>
  <c r="Y983" i="2" s="1"/>
  <c r="AA983" i="2" s="1"/>
  <c r="AA439" i="2"/>
  <c r="AA63" i="2" s="1"/>
  <c r="AA62" i="2" s="1"/>
  <c r="AA61" i="2" s="1"/>
  <c r="AA9" i="2" s="1"/>
  <c r="AA8" i="2" s="1"/>
</calcChain>
</file>

<file path=xl/sharedStrings.xml><?xml version="1.0" encoding="utf-8"?>
<sst xmlns="http://schemas.openxmlformats.org/spreadsheetml/2006/main" count="16449" uniqueCount="3234">
  <si>
    <t>Указать название организации (на бланке организации)</t>
  </si>
  <si>
    <t>{"estimateId":5190696,"estimateVersionId":7228107}</t>
  </si>
  <si>
    <t>10</t>
  </si>
  <si>
    <t>EPCuo1KcDcR47V8fk7XOAlGDf2vuGmKF+iz9EjsOaSzVQvJ17y8v2jK2U72NMaB2oVv+xekx1zLyZg5TmA9SRySZV8R42jWRGMsJAOXhNost5XRSo5VhDZEA1dv50byIkVgrNiUoe0wNn0NrGAKkBIxS7KsKIKlyvJeIvNpYBLc=</t>
  </si>
  <si>
    <t>ТЕХНИКО-КОММЕРЧЕСКОЕ ПРЕДЛОЖЕНИЕ (ТКП)</t>
  </si>
  <si>
    <t>г. Москва, Кронштадтский б-р, вл. 14, БНК на 300 мест, ДОО на 150 мест</t>
  </si>
  <si>
    <t>Стоимость, указанная в предложении, включает в себя все необходимые затраты на выполнение полного комплекса работс НДС 22%</t>
  </si>
  <si>
    <t>Предельная стоимость производства работ (ПСПР)</t>
  </si>
  <si>
    <t>МФ-СТРОЙ ООО</t>
  </si>
  <si>
    <t>9701212867</t>
  </si>
  <si>
    <t>eF7s/XtvZMeV5o1+lYSBA0gkM2ffYl8KmD9KFFWT5SIziztzBj1Wo8HrtDC25CPJZ2Z60IAsWb6MbMvX6X5l69o90y/Q7xmUZJVVUpVKwHv+Pyf5FeaTnIidFxaTEbGftXKvnSm33a26kCzy+UXEXuuJiBU7/us3Xv0v3z37xo1vfOfou9/Y+cb/6+jb3zsbVR958Xvf/vbON87+88nZt6cf+MYr8y/Qf/6vz3/j5KXvfOelF5//xo1v6b+Y76L/ePnRnecvv9nzs+/2/OW3q772lcsvq/4++YfJF5N7k88m9y5ev/hpZ/Jl9ZdP9K9fTh5M7ncmjy9em/xh9lfzVT/Uvz/oPGW+sDP5ePKw+tQXzq98uvp5Jy+99PLpCy8evTr9oTfD6qNnr7z6wnf0xw5f+k/90ycEv/jqC6/+l1vfe2H+sb/duUr74vkL/4FH+1+ff/7yx+qfqf92Q4VFkBbpzpOf+rdnL7/ywksvzr4ii6I8DLK/taE8uwqKHgA8DpuS51ZR8soL/4E5gGxS9laRstJo/mjy28n/mLw7+fvJO5P3uuaXye/1//128sHkn/SvH1Yf+W1n8r7+wG8nv5n8Tv/1v+s/mX/xWz2qP9Jf8L59zEY3xtG6sP7Q62iKxxff10+afjZ3OpN39MP2ePLlxY8vXteP3Kf64TWfezD5XD+U3YvX9Fd8MnnY64SJ/tMvNd471aPdiYOgM3k0uX/x/YvX9Wd+o/Hfm34mVJefsfLHN8bxuvg/1JSPNd0j0wYmUO10Lt6YBy4tXwNcvK2RO5OvdLvcn3yq49LjyR/1n0wwelC1xheThxc/v/iR/vr7F6+br9Utdn/ycfXvzB9NM9zX/+rjizf1r5+an3bxlvnwNDa+Vv361rSx9L94a/KV/rKH1T+ahcr5Bx7rMPi4o3/gYy34K/2h+5Mv9E+41zHfRMfMx6a3OrpTfjP5sBNF/w9rcyc3xsm6mvv9WSPe103201njmna/2gfTxn5cRftPTJNVX/LJFU79SL2vnzr9uFkfqtvqxkCti/L3k3/sam0f6VDw3uT/6JhHYfKeTeVQ3Thcl8oiC8IojPI0sykr1Y3xupTp8fu4Chiv6YGg8+S/0r/aBrK6cTNbl8R3zLA0oeIzY1Q6Osh/OPnApvIZdeOZtal8Vz8t5rm6X8WOJ7zXE5HHJnpX3dhdm+h3qt6vRJsUpFVWyecrE/mczfysuvHsBirWoeu1i7f1rz/SH9JZxSZ9T93YW5v0304+1Q7ABNpHPZu459SN59YmTrfrxc8uftCrBur3Z9nT2oa31I1b65Q5edg1mco4Imug/zfqxr9Zm773tPP4iR6c96fOYSrVprKvbvTXpvJ/VlFKO1D9xLwx+bhXa2Rupze+ma5L7e9N6DQpSj8797SZecvkqeeff9HYPDNf1QifPhlyrQBra+sPtf4Pdsxk5V17OP3m2qSRh8Gd9Madtam1TR9A3fvpjYOv9fDdX1+r1w3fg7VJm8Za+7RmRzcwOjoG6Y3B2iDIz+AwvXH3az2Wh2tr69qxfHdt0sjD4DC9cbg2tSuE4jK9MfpaD99yfa1eN3xHa5PWVCgepzfGq0C8+tKrR9++xvD8N148+s7Z9NvyOZ5YEMOH+7NFscp6s4vnu6989+WR+dy+/pYvv3D07b3/5/de+O539HezUJ4vUf7rcrz/1H6+s1/kqXVBb19YdPmdl4cvvowqPch3DlxKD4SVDl9+4cQ2cK4JNU22vVCzbDBkVL660gAo853S1ayloGBa54/ynZFL5UhQJdzxpqm2R46OH8so/OsXTk/PXlzt+f+LfOcvXA37F+KyaYPg3+c7/96l9d+La4WHgmm27X/vGAo3b5KF/mX1XU7Phkev/rX+mJadHp9Ex8dHQfcsOVfdJA/Ou3menXePkjg4ilUSnp4eTb/y5Zf+0/QPxfS3BfDZt88Ww4SVI8NeZ/KrKiOabaP71b7dY7Pe9cDy8W61u/TA9uVmF/eX1pbKb/RzuKXQRvlb/Q/DGG6MBhJsoRNsVtgTrBBfQuejPYkHhc7FDqgDIShFh4IfWcM0KHYGLqaBEBP+VK6Y5Aud5B1spQxbFNDYaANwVGg/4AAaCQGFNCDS4BsXO2MXz1iAxwClz19NEct8r5ydvPqCZSqoU8T3vnN8Zuur60kitBHdLKxEcZwEeZCk8TLWNF/rLoAVmnz5V9+tEmatyNQm8RmmxOUn2tOIWJ6d/N31ipVFHn1gljFMXcesWsO6xbRb3Ogzaa5lSjdOA5kyDHb2w3RnPw0d01EmxHI6BCBo0ehAKz/Qyg8cyg+4yhVdOSnsDLTwgRY+cAgfcIXjj8GKiU0DlBqgdACUTIBr2asGgDZeRlr1SKseOVSPuKrxEM5IUVr0WIseO0SPOaKrwfJ8G3nIkYnCwKs6cTY1LJKUiuwqn+GqxB9DNBu9XxWE/MGsflYr5F/40pG1bmQ3DG70uUAtJyRHImKrbyETOTIQW7KiSyaFlYFD8YCtGB/0q+YeR87hKpdOOo5kw5aLB2pOtnFkGZbaJyK2eJpxJRr7MYq5buVsZVgmMdH0rOuTz3B14k8dmmreu34EabYhdzXZVCuJVe3nQ52WfmJOUJjTEza63TDUuYdJ2HLuiRy5h6u+hdxjl3zAlqzokklBZuBQPGArxp+CVXOPXXnJVS6de+xyR2y5ePTm5B672jFLrZE7e/ZayD2u7GPfc5orT53tDAslZ59eYlP6DFcp/uSh+edX1cGp6UmOL+enxz6dJiRz0OyBOXT2eFYvNDuedvG2DWo3jHTaYYK1nHZiR9rhqm8h7dglH7AlK7pkUnwZOBQP2Irxwb9q2rErL7nKpdOOXe6ILRcP3Jy0Y1c7Zql9Iia2knZciSf2as+cLQ1LZSSeXmHT+gxXK/70oann95PH03Ntkz92Lt42CUanGp2DLt6cnif6cjoLMsemqzcz6NnPp3oq9PaTh3UXZ5tNljJzJRvzbhjrzMTkbjkzJTv7oXJkJy5BC9kp2TlwyD5gy1Z02aRQNNCqBw7VA7Zq/DlZNUslO6VDfclVL52pkp2RQ/KILRmP95xsleyMHYrHLMXVGHl+kai+5ctc/+mll/+jBYOTtlyJK/EiFM5Gx5SyspZL7DNcscsB3NWs9LS106leOfHoykfuVTOqL80kyrqON01wD817S8zmkg11l4u6HOmd/fIdE2r+6oVXkGFkU/gsV6EiKQTUTX5RvQ3jg4558dHkn6oDL9VLCaaTWWMKqteC6D/9aDbDfeKlJuZQzDeqr+qERS+IelEQpb1O9T6R+QsOrqzB3uhc8S2mEHRpCDzRt9X7XWbmxKzWmo43h/fNOyh+Mp9Lmw8+mH6lEX/xZvXhN808/HH1JpP5aNHf3nzmR5ceyXzY7FB+0Xlq+lKA6jTPw51O2I07Fz+b6nG80WqP24Mp1oPfOTt65XsvQ0/UI+si/XNcgRkm8Ow/f/fsxVdsAl9cEhj2giCwSbzFlbhsEhwSq4SFCMyCrKcSm8Q+V2K4bAUcGo33qnIq4mSWhQc9e8PeZqsGc+hCtdPBLEuNM+UQ+022WDCNLsRaZF6zLbrptg8H44Nnn/qmeZWWfZH3DlsymExJUyF0VOyzVYN5kTH9mTa1fsq2rjS6q+EP2AiKiAAPGN2q23NZ12ZBXLVgkvhu04FjyFYMZo3vkoKGSqOesgq9yxaaE4Qi/T9cBIy77oBxyJZLSXVNjoSSq/jaHNinmB8o7voDxYgtH8yAxMmwHiQje5AYs5T+bXU0rZWpr9Vd3jQB1ala5XBNZDtTX6ZYMFtv1NSXiZpgqE1MfZkKFUkhoO7PU18z9Z1tCjyB+0W1a11J/7J6De3vJ+/vmEOYX1X72K9Xr2B9WL1m9kH1QugH070DU+erP/o78+rZr2bFv9V369nGwR53HIDeqIEJNFMgaIUamUAzJVJcBSAwipWeQFs3zPpciWueQHNVg5m42Qk0VyyYjIkTaLWYQCv3BJorGUzJQhNormowu64wgVZbVxrdPYHmIigiAjxgdKtuz2Vdm0Bz1YJJQmACzVUMZo3mJtBcoc1PoNViAu0MGIdsuZRU1+RIKLmKhSfQautKY7sn0Fz5YAakTqDV9sgeJMYspX/7t3/5t+Z/O60d+nDMo1OP+CQLnM0Mi6RNpa0qn+GqxKs50Dl09WK7qsBJz7O+qmqeqmtp7k8+W5rD2EB2w/RGnwvTcilT5ihj4qpf9iCAejy6TMuY7JIP2JIVXTIeUaoSJrviAVsxPuDhhOMoX7IrL7nKpUuX7HJHbLl4kCYmmqpsya52zFLbZopx1SnZ35M51x06WxmWSUwyrjTD1Ik/dcQ082V1UPCzaplueoLQ3CdULY49WE5CT1mzkHUg7YaZTkNM2JbTUO5IQ1z1LaQhu+QDtmRFl0yKNwOH4gFbMf5ArJqG7MpLrnLpNGSXO2LLxQM5Jw3Z1Y5Zao3c2bPXQhpyJSL7a8rmyiNnO8NCyYnIdcSQqRR/8tBU9KvJlzrDvD7bG5xeFDXfnjEv+3pgdlvuV5/+Q5WQHvvOtuc68TDRWk48jtdhstW3kHgcL7tkS1Z0yaQIM3AoHrAV48N/1cTjeFElV7l04nG8hpItFw/dnMTjeMkkS2278x936im82tt+n+Q09bjmQUyt+NOHJp9/WNShfD5/faQt3TyefGED2Q0LnW6YMO2mmyhwpBuuevl045B8wJas6JJJcWXgUDxgK8YH/IrpxqG85CoXTjcOuSO2XDxgM9KNQ+2YpbbteY4z4UTel5BlcIVkwwnHMd/hqsWfwOZTTjX3MW/9+rGeFE1fMzm7g/vRxRvVTOmL6SvBzNn3X0/emfzOhr4bBTf6XPyWk1S4sx+lO/ux/j3Wvyf690T/rvTvynE/D5ushQQW7hxonAONc6BxDjTOgcY50DgHDpwDNo6i45Ci2EDTDDTNQNMMNM1A0ww0zUDTDBw0AzYN/titmvjCnVJTlZqq1FSlpio1VampSgdVyaWSTorhzkijjDTKSKOMNMpIo4w0ysiBMmKj4CmHkzDDnbEmGWuSsSYZa5KxJhlrkrGDZMwiqcbalMQEOvHj9ouM6sqpoRcCfkVZI6cOFglVy41tcp/hygWLHCUyavVCmEdVdfi9yUNT3H3xo6oovUqsnSqjvlb9+n1TJG9uf9d/ejBbkNT/sPPNF4++d25q6v9VZ/JhNwxVL5z97RdRd7aDei0FMxtqOUfJnVrgKlQkhUx1e1x1KaZu9Vp6rkCwKrKJWnquxOVUvGItvVVcnytuvVX0bNVgbqFX0UdREbvK6NlqwexCK6OPwnkZvc72rjJ6tmQww5DmLOiw2GerBsN9/XwElXrAlqqIUuGBoVtvey7r2nSCqxbMA+xy+TzLeqm9YJ6tGUwNtIJ5T3y4y1baeMX8IjbcdceGQ7ZcSkLjDAZnxTxXcTMV86jMEVsmmNWIE0I9GEb2eDBmKTVSj9LoLEzCrFskadZNktO4m4dHUbcIj86Owlilp8UsZDing9+ZjQwLIHdK6JoURjRKFM82cfRQUSaPNo5nJDmW872vd8BZpTnobE5Gm3oUPfG7ZyaA1dlnPW80dSmzc8WulVtTKVmtyXaeMqeRp2egdzoXP9b/wnwv87FPZkeK/1C9xvTLi8V1QubrLt6oPvqVOUp/8fOq+PLhxU+n9TAXr/Wenk06zUu99MR3fgHEE/PX6RdEZv5qznibM9DT48wXP5z9HHsNjWQ/KbyfVp0yClIs2wkPBWFqOV3a/6oaGV9cvG6jek6SatlweKgI81Ebxi1JjOX07sFYcc4qCHFtXuuhWGluGwZRL7au7t0W5SMEbNIk7Zp/mBrJ6a8aydjJrf70dxv1vig1IXCw5yLuHh2KslGfO4TN25vD+t4sxYgrG5mfnSfpWXrUPT9NzrtJfpJ0j07CtBvnxelpEEX6W508376NtC5R3oxialNgeK3bSEEOQlRCbeTvppsH2uRpT/jV7H0396r3zDyeXary+V/NvNyvJx9O3u9OftGZvK//3T9M3pl+PIx2lLGgj2ztsSvZHgpvj1XtmiAFIeoS7JprJ0AQRMShOYo0b0mCUHMFgOHwaIIQLXq0pKcyG99tUT5CNGzSo8WzrB67PZokNSFarODRXD06FGWjPncIW41Hq+3NUox4utR3dHp+bL726DgsukkYHXePkuO0mybqOD0+L4owS55v36NZDfrNKKE2BYbXukcT5CBEJdSjTZf6fqAN2sOLn/6V8VxVvcfjyf3ZmxE/Nx9TwZb+/2AnDczfYpcdE0RXOPqqdkyQghBgCXbMvD3yD72OvVeek+QRcmWBNT/ckiShpgeAw2HLBCFas2WpzuHWcq/boniE+NekK0tmedz5DvB9UWpC0GC7MmeHDkXRqE8dglZjymo7sxQjrkzZ+clJep4dn3Tz7OSkmxQnYfc4OTrpnqdHUXR0fJzn2ayooFVTltia4makqE2B4bVuygQ5CEGJb8qq19V8Vb2j+hOz+Xrx84ufmMMvM3OWAOZMsAkU3gSrmjNBCkKcbc6cCfKImDMdKRxrZoIk1DQBcDjMmSBEa+ZMhb3UOse+LYpHiINNmjM1y+fO98vui1ITggbbnDk7dCiKRn3qELQac1bbmaUYcRv3rlwaLsc+ZeqBU7lahlv3GSim3OVI8ad/BorZUAnWUE2cgWIqVCSFTHV7XHXLwVnuDBRTIFjoTrFnzjNQTImUknFAoMN3McWt+QwUVzWYWxo+A8VVC2YX4hmodHEGKnWfgeJKBjMMyYeiw2KfrRoM902egeJKVUSp8MDQrbc9l7WkdsBWC+YBtkGP01ibOschKK5oMDc0eAiKq7T5Q1Dp4hCUMzgcsuVSMhpnNLgPQTEVt30IiisTTGvUQ1Dp9sgeEMYspUYqtmBvYJzzQc9smDsndB2C8r0T2EKJ4rW+CC/IQVh8QqeVjVZGCKIrHH3VaZggBWEdjTBdq1l8F+QRWXx3V0YIklCXAQEOxyRQEKK1xXdPZYQkHiH+kSY93vVajTRbr83ci++S1ISgwfb2nsoISTTqU4egeTtzWN+ZpRjx5lZGOO6zuRn53pdtbQoMr3VTJshBCEp8U9ZAZYRgEyi8CVY1Z4IUhDjbnDkT5BExZ+7KCEESapoAOBzmTBCiNXPmqYyQxCPEwSbNWT7L57nbnElSE4IG25x5KiMk0ahPHYJWY85qO7MUI67M2dn50WkUH513z4+PT7tJHEXdo/A46wYncZGfRMlZHM86vFVzZu38m1FBbQoMr3VzJshBCEqoOfv14pj3Jxdvza6yqoovHlTVE9qxVetmVV2Fqbx4/eKt+fFvbd20gTPFGtM1ts/NK3omn18eAt8KoyDYipR9zXpXsqUU3lKrejhBCkI4Jng4Vz2EIIiIeXOsvd+SBKFmEQDD4d0EIVrzbmGsesph3iT5CHGySfNWzPJ94TZvktSEaME2b6GKAufreiThqA8eAldj32q7sxQj3ty3PjourLkZB9SmwPDatm+SHISwhNq3f7FvfZTsJ4X304rmUZKCkA4I5hF566MklYiTtPtISQxqOgMg7D5SEqI9H+l+66MoHyFgN+gj42BqPKa/26j3RakJgYPvI91vfRRloz53CJvfRtb3ZilG3O75KPu6Xux76bnKrx3+WvP5KK7c5VDxJ38+ittQCdZQDZyP4ipUJIWAOnMpxE4n7lz8rOqiP04e9DqTj8zC643Ov3s275n3Zy73bHV75q+/qZ25/jf6K3XHhGG06L2pyX8w67nKkz+s9tCnDjtT5v2b+hv/ZvKJtuiVt67s972Zw37yjs5qFvDO5N3JLyb/MPnHbjWApiu6nzzxjs8w6lXfVP/0TqVw+pOmX1mJ/tJMOKrBaD79oPppr1Vf9ogyPis5Xz1RM/C2aZ93Oyq4eDOpigL0Xz+s/qqCaQP0bP2/x+3/5fwndgKNKxA8ZUDwv84TaFyJlHp9QGBqj9Z9rrxWzqBVt+xYe/42WzeYwZs9hcZWC+Zw2im0eHETV+y+iYstGczjJLt/bQdcRUUvsE4699nCwbxKP4gWJkmieoX9MBpbriLKhceHbsHtuawltQO2WjAlsKdDngu52JrBLEE7ixYncdFT9rNobKWNn0VbhIi77hBxyJZLyW2cwaDDQ97Lc5vokita5jhaFKaplqpsUkdsqWCOIx5J02NiZA8LY5bSjd2hiR1H0uKIRonitb5DI8hBWPBDZ/L/cndoBPtJ4f2ET9NtFHuSFISFVsJkE9qhEaRqc4dGEIO6UgxAOGexghjt7tEkNr7bonyEkE2atNXs0czucordN3OJUhNCB3tS4tujkWSjPnkIW80eTW1vlmLEm3szV+w4RjcbE4SmwPBaN5KCHISohBpJ8Zu5JNtD4e2xqmETpCBEXYJhc+0OCIKIeDTXzVySINRcAWBEaS+xbnn2JUFa9GnO27lE+QgRsUmfNrvPKXbfziVKTYgYK/g05+1comzUZw9hq/Fptb1ZihFv7juoYlflTUJtCgyvdZ8myEGISqhPa/IdVJLoCkdf1ZIJUhACLMGS+V9zIMkj5Mwc76CSJKGmB4AjUr00sS4F9iVJWvNm7hdRieIRgmCT1mx2q1PsvqJLlJoQOdjWzP0iKlE06qOHoNU4s9rOLMWIN/dFVLHrsJyiNgWG17ozE+QgBCW+M1v9RVSSTaDwJljVoQlSEOJscw5NkEfEoTlfRCVJQk0TAEfeK1yLZ4IgrRk08+4ia0i/LYpHiIVNGrTZzU6x+5ouUWpC4GAbNPfLqETRqE8eglZj0Go7sxQjbvcYmsNypV64bBlu3cfQmHKXI8Wf/jE0ZkMlWEM1cQyNqVCRFALq/MfQwsB5Du2JE1+XR8ku3tJ99mDpMNn0Q94DZasfEPswDMPOU1fdfOfJM2HV2bedxRvLzA98Qs0/6h/yecX5cUX56YzPVEY+uHjzyom26yfrFlvovac7k99XH75fzR8eVsWQpiSzWuPtXLxRjeu5hqrqcmfx/Xpaa/Vdnn/+Rduo2eOOmuWkKXd4jSkQPJZAsc7Ow2tMiZQCf0BgpOw5qc/V18rptSyKe4FV9222bjDxN3x6jasWTP3E02uLO9Ri9x1qbMlg+idNEq49b3mcql5kjQr7bOVgPqYfX1N5lGi/5Ti+xpWriHLhAaJbcHsua0ntgK0WTArsWZTvLjW2aDBRNHh+jau0+fNri7vU3EHikC2Xkt44o6GIdDjuFdbcUXJVyxxgyzM9dHuxdTyM2FLBNEc9wJZuj+yBYcxSaqRiOywGxjl59yxdcCfwrgNs/ptMrlGieK3vmghyEFYK0TWARutZBNEVjo7PmW0Ue5IUhEVPwhyuZrdEkEdkt8RdzyJIQl2zBTjCQCefzHrSuy+J0tp+iaegRRKPEAVJUyHvErtGmi2xu29WE6UmhA620/cUtEiiUZ89BM3bmcP6zizFiDe3oMVxxONm7L/HxNIUGF7r1kyQgxCU+NasgYIWwSZQeBOsatEEKQhxtjmLJsgjYtHcBS2CJNQ0AXDEaS9IHQ5NkKQ1h+apaJHEIwTDJh3a7Eau2H29mig1IXKwHZqnokUSjfroIWg1Dq22M0sx4s29Xi1xHQYrqE2B4bXu0AQ5CEEJdWhrvF5NsqUU3lK4kZu8j9Vr2Gj3JGkJYZtg+Fx1FYIgIk7PdQ2bJAg12wAYKna8vqgvCdKaz/NcxSbKR4ipTRq92d1dsfsqNlFqQsRgGz3fVWyicNSHD4GrsXq13VmKEW/uiz4TR6lz4r9OxLYuCeG1bfUkOQhhCbV6/2Jf9CnZTwrvJ9xo2ij2JCkI6YBgIJEXfUpSibhJu5eUxKCmMwDCWfErydGelXS/6VOUjxCzG7SSyez+rsR9G5soNSF28K2k+02fomzURw9h8zvJ+t4sxYj1//7yCQ9lhvO3fI6x2WNxygZ7M/G9+j7J8mXYlo7FRY5jcVy5y6FjxWNx7y35onud2Sm2L4FzbWmk5it8nbAzP1A1P+jWDeMd81tkbYBdbgMkWAPQjrtNfnXx1syL/lG73PsXr2vot2de9peT96aNUZ0Q+29Tj2JOiHWe6e93tdH9nzbAZ7mAigQIwNnU7XHVLQdxsVNZXIFgsT3BxzlPZXElUsrWAYFWcX2uuFaOZAWOI0632arBlEM/kBUGaeI6kMVWCyYd2oGsZHGdWOK+TowtGUw8JL+KDot9tmowW9APY7mkHrClKqJUeGDo1tuey1pSO2CrBfMA28jHsSkotmkesjWDqYF2DssTH+6ylTZ+DmsRG+66Y8MhWy4loXEGg+thK7mKZc5guWSO2DLBrEY8f6UHw8geD8YspUbqcZikcRon3Tw61TPH4jTtHqs47eq/nRwf5UV0FM+SnnOW6Jkzc2eKjvNXs4I+mBLFa31fQZCDsEaFTjbBfYVra/VPzEnlNxdmRStPzGdnP286rX3yOufqXR3vLu5xzjw3Ukj2lMJ7atVJoyAFYXWQMLmEdhYEqdrcWRDEoC5vAhCOWasgRGvbCkncyxzTW0k8QsQmzdJqdhVmN04l7vvDRKkJcYM9GXF26FAUjfrUIWg1mwq1nVmKEU/LU8KoKE7VSfcoPcq7icrybh6GZ93i6CQ9PkuiIoqOnm/fRka2priZxNSmwPBat5GCHISghNpIxvVh70ak+8MkG0ThDbKqWxOkIERdgltzbQUIgsgYNMf9YZIg1GQBYDgsmiBEaxbNc3eYKB8hHDbp0Wa3TSXuu8NEqQnRgu3RPHeHibJRnzuErcak1fZmKUa8ue9aUo7jYklCbgoIr3WTJshBiEqoSWvyXUuS6ApHX9WOCVIQAizBjvkP8kvyiLgy1/EuSRBqdgAwHK5MEKI1V+Z+yZIoHiH8NWnKZhdNJe5bw0SpCTGDbcrcL1kSRaM+dQhajSer7cxSjLjyZCfReXgangTd8OQk6ibHp0k3PwtU9+w8PEuLJI3z6Pj59j1ZYmuKm4miNgWG17onE+QgBCW+J6t5yVLlzRK/NxNsAoU3wareTJCCEGeb82aCPCLeLOhZ30x0SxKEmiUQDBtEXxKiNW8Wq17m8GaSeIQw2KQ3m90xlbgvDBOlJsQMtjdzduhQFI361CFoNd6stjNLMeJ2LwyzdufN2TWGdjiVX4Nb98koptzlSPH1PRnFbIAEa4ANOBnFBFQkQACu5h6xsKNHwdJlYZN7thLFe7MGse9I35vdFfbEq6CeKCOc3NeD4bG5bau6Key+2cKeVLeFPTab3B9rYZ9VP8aMoPkYNOWSH3b0MOPfHjatanziRrT5t5/dGKZ/hPvOMGsY3eN2LHiYgGCPXTvJTIHgyQHc73oOlTElUmrwAYGJ8+A/U18r58qSPOkVjtI7rm4wZTd8soyrFkzaxJNli6u+EvdVX2zJYOIm2ftra/9RECY9+4XO+2zlYMalny5L8jhQvdRxwowrVxHlwgNEt+D2gb1xB2y1YFJgz39MrMgLm+YhWzOYJ4gnzFSROk+YcZU2f8JscdOXO0YcsuVSshtnMEzjQ2DdICy5qmVOmWVRovJe4jhpxpUKZjnqSbN0e2SPC2OW0o3d6UhdJ838N2vwFxZ2Wt7pEOQgLPGhk3eRnQ7BJlB4E+CzWxvFniTFcsb2UBCmcjU7HYI87e50CIJQ11wBjDjtxdY5dl8SZBN2OyTxCKGQNB26lpmv7nbMbohK3Nd9iVIT4gbb7Xt2OyTRqE8egubtzGF9Z5ZixJt73VfqOsLlv1fD0hQYXuv+TJCDEJTE/Blw3ZdkEyi8CVb1Z4IUhDjbnD8T5GnXnwmCULMEgOHxZ4Igrfkz92VfoniEUNikP5vdD5W4L/sSpSbEDbY/c1/2JYpGffIQtBp/VtuZpRhx5c+i6FidnScn3SBNVTcMz/JuHpwW3SBQgUrzPCzUzLm06s+snX8zKahNgeG17s8EOQhBCfVnliP2pv7gYVXY8OX0k+YMlzlg/yv91b+qKgNMYYD+iHUldFeyBRTeAqvaM0EKQpgl2DNXJYQgiIgvc56pFwShZgcAQyW9xGow+5IgrfmyOCgcW1O3RfkIMbBJYza7zSlxX84lSk2IGGxj5u7RoSgb9dlD2GqcWW1vlmLEm/sOzdRxhksF1KbA8Np2ZpIchKiEOrN/we/QlOwphffUig5SkoKQDwgOEnmHpiSVjJ20YdySxKAmNADCWaQrydGal3S/RlMUjxC0G7SSanadk3JfziVKTQgdbCvpfo2mKBr1wUPQ/E6yvjNLMWJzN9fO9DBQi3dyWV+8dVP53yZfLEO2dvLMGjWf4cpdjhjrPXmWLk6ePXEB6uLkWTA9eWbtr11uAyRYA6z/5BkXUJEAATibuj2uOrBSnmD5HIuGXIFgWTzBvTmPT3ElUgrMAYH2FwFwxbVydsp5JxdbNZhyGCenoki5Tk6x1YJJh3ZySi3u5FLuO7nYksHEQ7Kp6LDYZ6sGswX91JTzTi62VEWUCg8M3Xrbc1lLagdstWAeYPt3Fea9wH5iiq0ZTA3EE1Pu+HCXrbTxE1OL2HDXHRsO2XIpCY0zGJx3cnEVy5yWct7JxZYJZjXiSSk9GEb2eDBmKTVSgzhK0rOT0EwRo24SFWH3OE6D7lGcpioNVBEfz0aJc5bomStzZ4qOk1IqolGieK3vJwhyEJam0Mnm12k/4Yn5bCP7CYI9pfCeWnXSKEhBWBQkTC6h/QRBqjb3EwQxqMuaAIRj1ioI0dpmQhjq5KNsfLdF+QghmzRNq9lNmN3jpNyXcolSEwIHezbi7tGhKBv1uUPYarYTanuzFCOujGSuztMijlU3O87DbnISn3aP9Vd0z4+D9Owsj/T/zYJqq0bSukh5U8XUpsDwWjeSghyEqIQaScatXL8gXcol2R4Kb49V7ZogBSHqEuyaay9AEETEoUWOAmJJEGquADAcHk0Qoj2P5r6US5SPEA2b9Giza5yU+1IuUWpCtOB7NPelXKJs1OcOYavxaLW9WYoRb+6lXJnjWJdKqE2B4bXu0QQ5CFEJ9WhNXsolia5w9FXtmCAFIcAS7Jj/uL0kj5Arc6ycCYJQswOA4XBlghCtuTL3pVyieITw16Qpm93jpNyXcolSE2IG25S5L+USRaM+dQhajSer7cxSjHhzX4WUuQ50KWpTYHitezJBDkJQ4nuy1V+FJNkECm+CVb2ZIAUhzjbnzQR5RLyZ61VIkiDULIFg2CD6khCteTPnW3Nui+IRwmCT3mx2j5NyX8olSk2IGWxv5n4Nkiga9alD0Gq8WW1nlmLE7V7KZY2hN2cO3A6n8mtw6z4axZS7HCm+vkejmA2QYA2wAUejmICKBAjA+S/lijqTv5vcu/ix/vvs4q2vqnLFj2fXVn0yvUvr8ay+zLyr6u3FW6r0N/rN5JOLNyzXeT35HatmfOKmrIezQWW+exj1pu+58l6cNb3vy3z6QfUzXptf6fXIdJapray+6Y+qG7++mH6q2i2vfv3+5H7P1kd73D4CDwYQnK5rU5gpEDwFgFtXzwExpkRKPT0g0PFalT5XXitHxMwBkNBxSIyrG0y+DR8S46oF0y/xkNjiei3lvl6LLRlMwSSjvtzWcRyqXm4d0fts4WDqpJ8Ty/LEfVSMq1YR1cLDQzfg9lzWktoBWy2YEVaYx7iPinE1g0mCeFQsj7OechwV4ypt/qjY4nItd4Q4ZMulpDbOYKiiQ2adB5Vc0TKnxcIwS90nxrhSwRRHPTGWbo/sYWHMUmqkYpsbBsY5efYsHXAn0K4TYxmNEsVrfcNCkIOwUofOwRstIhFEVzg6Pjm1UexJUhAWHQnTt5qNCkEekY0KZxGJIAh1yRTACONekthA+pIgrW1WeApJJPEIIZA0B/Kub2uk2fq2+04tUWpC3GCbfE8hiSQa9clD0LydOazvzFKMeHMLSXLXASz/9RX8fZudln2ZIAchKPF9WQOFJIJNoPAmWNWfCVIQ4mxz/kyQR8SfOQtJBEGoWQLAUL3QGvH6khyt2TP3lVqieIRI2KQ9m93CpNxXaolSE8IG2555akkk0agPHoJWY89qO7MUI97c8/G56+xVQW0KDK91eybIQQhKqD2TPx8v2B4Kb49VvZogBSHoEryaqxRCEETEpDnPxwuCUHMFgBEmvcDqNvuSIK25NN8ZeUk+QkRs0qbNrmRS7gu2RKkJEYNt03xn5CXZqM8ewlbj02p7sxQj3twXYuaO81ip/4YIS1NgeG37NEkOQlRCfdq/4BdiSvaUwntqRQcpSUHIBwQHibwQU5JKxE7ad2QlMagJDYBwVelKYrRnJc0LFO0bsqJ8hKDdoJVMZ3cype4LtkSpCaGDbyXdr8QUZaM+eQib30rW92YpRmxu2Prb6n87Cwfi9IuvnJ28+sJLL1pagmQX7Ut5qffN8HmwjOg6ROYWSXF/qV3lM1yVy6PK05Sgt3tPu6xPjZea+axp3ZrZGX2tWoC736k2S81Zotcv3tqpjutcMV+Pp+eMtDX7tLJr98wBo8l9G/ZuGt7oc9GvxUg3+2ohshzvP7WfuuIhV31CV+8s0bVKPnBIPmBLVnTJeKmuVjxwKB6wFeOPBz/mGuWlQ3nJVX6tdLtGOW1ojBxyR2y5eEgnVnBrtWOH2jFLbTUunm8nITmKstPIqzt0tjIsk5iS7Dqf4erEnzpWUjInR++bM69mseHizeogb3Vo9CfTw6yTz200u2mkcw2TqOVcEztyDVd9C7nGLvmALVnRJZOCysCheMBWjI/6VXONXXnJVS6da+xyR2y5eLTm5Bq72jFL7ROLei3kGle2ib3KI2c7w0LJ2aanbEqf4SrFnzxmvvlw8s7klzbJu2mskwpTdstJJdnZT5J8Zz8rgp39PAt39ossMr9kjmzDxWoh2yQ7B4blwLAcGJYDw3LgYjlgsyg6CyneDDTKwKAMDMrAoAwMysCFMmCj4E/Jqvkp2SkNUmmQSoNUGqTShVRykaQTV7IzMhwjwzEyHCPDMXJxjNgceE7gZLRkZ2wwxgZjbDDGBmPswhizMNqdVrmTXeLVHju7AJbKSHau6RVTK/4go+nu/WqF7y2byt000RmOqbTlDKd0Nkt39sMwM6kudKQ1LksLaU3pFJbuHBiAAxfAARtA0QFIkWag9Q+0/oHRP3DpH7D14+N+1QSmdLJKd0rDUbo4Si6HdNZSOkOlOyMjfuQSP2KLx2M6J1UpnZbSnbHRPnZpH7O0t5+fXBlKedUnzpaHxbIylCtHMdXizyolR306+cPszXXz99qZxDV9o53546edqqDHvNDux9Xb5O5PP/7FxWsXb+l/Z+qVbJi7qdJJjonacpLTCS7V+S01Mzk9kTNTuCwxszo9qdO/5/rjhWuvikvYQurTaU9jHaRmUqfndGY2p7H0BE/P7/TvGuvAgXXAxlJ0LFI8G2iqgaYapGZ+p6d3ZmKnqfRcT0/19O+aauCgGrCp8Edv1TSpU6SmK1Mz1dMzPTPH03R62qdnffp3TVc66EounXTy1IlTI41SM+vTkz4z3dNIegaoJ4D6d400ciCN2Eh4GuKkVJ1ONdE4NRNAPf8zMz9NpCeDei6of9dEYwfRmEX0RK4yYN/yJdwmXiK8yLaufJt6IVJnt2Bamcm253gdyzNcuctJaMWXCP+fVeHuD54s4Jim0k9Mpe/Fmya7VqUhD55IwjagXS7Qcs5p5KXANoXPchUqkkJA3eQXkw8m700+MBXK35j8U1VTbVzMJ1XZTeV8povSj2dvkbpai2P+VfVVnbDoBVEvCqK015kZJ9ONDzuVB/pKf6wb25pij9sUKdYUhHpfx4kxrsDl8l3Bl+dyJS7n7RVfnhvmkeP25z5XYSvvz3W9WvA2WzWYdehvz40yl9hvssWCaYf28tx08fLc1P3yXLZkMPWQJj/oqNhnqwbzC2NCM21q/ZRtXWl0V8MfsBEUEQEeMLpVt+eyrs1LuGrBHMEu7HYNkSFbMZg0aC/TTQLXG7fvsoXmBKFI/w8XAeOuO2AcsuVSMl2TI6HkKm7mRbq1geKuP1CM2PLBDEicXupBMrIHiTFLaQs3zlxOFq3O6GbqfUNdAR8WaGuyyJQLZuw1TBaZQGAyb2KyyFSoSAoBdZN3J3/X+d8/+O+dfDrni5L5nK8z+UPPpn2Pqx3M3A3M7pgCwUTdyOyOKZGS8wCBSVjEPWvs7XMVrnl2x1UNpolmZ3dcsWCeIM7ussXszvnu1TtsyWCuEJrdcVWDCWGF2V22daXR3bM7LoIiIsADRrfq9lzWtdkdVy2YIwRmd1zFYNJobnbHFdr87C5bzO6cAeOQLZeS6ZocCSVXsfDsLtu60tju2R1XPpgBqbO7bHtkDxJjllJzIHxn4SVNVmlxa9C623Ez9b3wMslzZ4tjWrmzPecZcaZcMIOjs71/MFO56hbHz6tJ3SfmTlGzDfXZbHfqQfWOn4cXP602r/4wvXL0yXtEq3f/zO+e/OJyVvigus7ywewTZvporo2cX0caduZXUtpaZ5fbOqBTaGLqyFSoSAoBdTL7jLPrRyfvd3Wc07/m0197YfV7Mf119rcw7Okf/qKtmfa4zQQ6kAZmqUyBoOFoZJbKlEjJ3YDAuOjZrwrucwWKTFKvJb/+c3uHh4PD2YtUpnV3xdMmEGnhVRIPrDn8NhsLTH/0WazzFsdvsrWC6Y84ic0Xk1jnG6rvsCWDKZA0iXUYPk2y1Xcz7LMZwES1wpQ237rSBe4pLRdBERHg4aNbdXsu69qUlqsWTCjwlBYIMyUUZoZsJDAF0ea8ztsg77J1Nj/lzRdTXuejeciWS0mbrJEyf6OXN7SUXP3CE+B860rTuyfAXPlg8qROgPPtkT2kjFlKq5FyVpxEp5HqHgXZUTcJ4qSbp0HQjYIgPQtP8qMimaUq58T4O0fO98ZxJ8euytmCRoni2abQHirKNNrG8Ywkx7Kx8PUOOL9+fzExvueeGN+7eLu6vkormjwy51ts5LuS5Aonx2emNoo9SYrlHO+haGDiKAiynNk9IJQJpjUy3JIEWc6lHhB0GproCFc45qGCJK29pDbJeiqx4d0WxSPEviYmVvPp1ewF+an7ugNRakLEgGcGcIcORdGojx6C5u3MYX1nlmLE7dabWbvzZuZ9/24BvwmwpR0Irlxw+QV1SBu6A8FtnQRrnQZ2ILgKFUkhoG4zdiAmf1fd+nq/+llPlC26xsHVEfPJ/IvvmXdQfqnd+vx2C3MFhvm7wTGXmGnJb1SfvHh78kfzj+3ledzeAdepVvevXIHgqhPFl7o2PrgSKSs4gMA87yV2w8kVuLaNjyycrkhmgW/jg40FZt0mNz7YWsGsS9v4yIL5xkfmfE//HbZkMPM24c81yVbfzbDPZgDzI3/jQwu/0gXOjQ82giIiwMNHt+r2XNbyxgdbLZhQ4OkNEGZKKMwM2UhgCmpq44Ots/GNj0V4uet+NA/ZcilpkzVSZvNEf2gpufplNz4WYeWuP6yM2PLB5Enc+NBDZmQPKWOW0o3d+EgcGx9ZSKNE8dre+JDkICz+odP6Bjc+JMkVTo5PiG0Ue5IUhGXMBiaOgiCtbnxIglBXXwGMIuvFoWMeKkiyARsfoniE2NfExGo+vQqna+XT323U+6LUhIgBzwzgDh2KolEfPQTNv/FR35mlGPH8KMaM2visFo9iKBvszSzywCZrO3hfOA7ec+WCyzGoY3pv8vHlsvi1N6L+QRunT2e3HJtL+R5MPtOG6rWLNy5+fvET/bdHnWpx2ixa36tWuB/ZWHe5rAnG2sS2BlOhIikE1Elva5g9i18v34VtOvqh/pD+JtUtyWa7a3q7dbWn8cXMOFc7HBdvd56qxsJ93fVfaQHaYl++tOHp2fBZ7G3MXhs3ue/YsGC2O7i+1IDvZAoEV4softK5YcGUSFl5QQS63xbHVbi+HYt4tpQYeXcsuFhgeqTvWIRh5tyy4IoF8yNxyyJabFlE7i0LrmQwRzbhrDXJVt/NsM9mAHPfClsW0daVLnBvWXARFBEBHj66Vbfnsq5tWXDVgikFnpgAcaaE4syQjQQmIdqWRZipnnLsWXCFNr9nES32LJzP5iFbLiVzsobKfIrnjS0lV7/wnkW0daXp3XsWXPlg+qTuWUTbI3tMGbOUGqnH58XJ2dlJ0D2Lj466YXh23M2D8/NuEKhApXkeFmqWXp1TZ89CAnf67NqziGmUKF7rexaCHIR1O3QGvupsLNgJu/o/1dGf+YPJJpNH//cn1f5G0tFzxHt6mnbP1k67ku2k8HYizI1/p2fHH+rJ7N9Pfq//e7cz+YfJu5N39HT53clHHf3Z/6X/8mHnzlCFnckvbMx7ksyE1U3CvNR0qoXkOUkSkQ2RoGcM4XWSW5Ik1GVZgCPKkl5gPdTXlyRpbUfE+X49UTpCYG1i2jafvMWzNfTYPYGTpCaEDHjecW0HL+hF1uE6FEWjPnkIWs2GSG1nlmLE8w2R+dKOGc4t7oikNtqbWeKljZZpW9oRCR0v03qGqxdc7kENmfVsyBOl97PLvGdnOu7pr3xkNkUm83cXf2kqTMzGyP1qR6Uq+zcr8ol2JY8mjzqTT/U3TIPqL7Z22OW2Q4K1QxPbJUyFiqQQUCe9XTI/+ZH3oumZj2D2W0935v/U3/lRdVrjdfND//ePfzX5ymyLGNe9GAWLcXOvsx8FAThg1DMXr5mzQp2Lt/V3uz/5fPbxMAj+s/6vo39WR5nypUfut2BxOwlcCCN4WNfeClMguKyFW1PP3gpTImWFCBEY9xyOk6lvfTsramc/S/V/mf4vn61+Jt5dFi4imHLpuyxFEjp3WbhiwZxL3GVJFrssiXuXhSsZTLtN2HVNstV3M+yzGcCUucIuS7J1pQvcuyxcBEVEgIePbtXtuaxruyxctWBygWc7QMwpdcwpdcwpdcwpoZgzZOOBqYm445Joy+zacuEqbX7LJVlsuTgf1EO2XEpCZY2b+STSG2hKrn7hLZdk60rTu7dcuPLBXErdckm2R/YAM2YpNVKD07RIlTrunuVp3E2OkqB7dKTOumcn+VF+fpwWZ8nxFMY5N/csVXDn564tF0WjRPFa33IR5CCsDKIz/A/NtE1PzX7aufjh1Tlc1zaDe+PizcWhkcnvI7v125VsA4W3AT53tlHsSVIQVjsJk0vnBokgicgGSWif492SBKGu0iIYUWKd7vclOVrbHXEfF5GkI8TAJqZb80mXmi2oK/fES5KaEC/g+QLan0NRMupjh5DVbI7U9mUpRjwrhcmjs+Mk6R4nJ1E3CYuT7vFRfN4NolDlURaqYzVrlVZ9mTVU3cxSalNgeK37MkEOQkzCfdn92SGUi59NHhq7dfH9ySeV7wqDYMv8p2ycu5KcCudc1XsJUhBiKcF7uRb2BUGErJfjsK4gCDUHIBiqFzr2CQRBWvNeocp6qaM2RZKPEOmadF/pLGM7r8/eF6UmRAy2+3L36FCUjfrsIWw1/qu2N0sx4sp/JeF5FmTHRTcLzzL9tUHYzdPzqJsdnUfFaarO1fnZ8+37L2slyM3Mdz2ctSkwvNb9lyAHISqh/ut3s4Wwex3zWhRznHdaN1EthFWFFI8mX138YFZlMV8Sy40xq4pZqpequIpaBJtC4U2xqkUTpCAEXIJFM4dw/9Dr2HvlOUkeGadmw7gliUHNFQiEs5xDkKM9mxb0lBXvtigeIR426dKyWV53XoO7L0pNCBp8l+bq0KEoGvXBQ9BqTFptZ5ZixNNFsuOTs6PzuOiqJDnpJll+3j1KA6X/1XF+Gh4fncZq9hS3atISW1PczLxXGFn9KoTXukkT5CAEJdSkXT8vZv5avYRD+zJz2mv62vqLt0zh8dKRqb+aVS1TD07tSjaSwhtpVfsmSEGIxAT75tzdFCQRMW6Bfan9liQINYMAGFFvNk2/Zt0EOVqzbs6zQrdF8QhRsknrls+yvfumVVFqQsBgWzfP4S9JNOqDh6DVWLfazizFiM3hr53p8ZsWz3xZX8p5Myu8kPEyZHtnvqwm8hmu3uWQsaFnvtLw8shX7jvyxWyGBGuGJo58MRUqkkJAnfiRL9dVP2s47nXlvFeqas57MXtoOQ/JnfdiCgSL6nEv6jnvxZS4nPBWPO8VKeflP0yBazvwlQc7+3mo/4v0f/PXXRXeA19cRDDf0g98hUGYOE98cdWCGZd44qtYnPhy3od4hy0ZTLpNeHRNstV3M+yzGcCMucKJr2LrShe4T3xxERQRAR4+ulW357KW1A7YasH0Ak9xgKBT6qBT6qBT6qBTQkFnyMYDkxPxxJeKXEdM77KVNn/iq1ic+HI+qIdsuZSUyho385mjN9CUXP3CJ76KrStN7z7xxZUPJlPqia9ie2QPMGOWUiMVq0I2MM6ZuWd9gjs7d5z4ygMaJYrX9qaJJAdhORCd34uc+JJsA4W3AT51tlHsSVIQljgJ00vXnogkicieiOvElyTIclr1gMCz1SIreoU1qvclUVrbFnEe+hKlI4TBJmZcs3lXHkwX0nP3Nayi1ISQAU8Z0P4cipJRnzyEzL8pUt+XpRjx5h76ctxScTP33ZZkbQoMr3VrJshBiEm4NWMe+pLkVDjnqvZLkIIQSwn2y7G6Lwki5L7sxcSSINQcAGBEeS9w3NAoSdKa+fKc+hLlI4S6Ju3X7Fa/3H1Foyg1IWSw7Zfn1JcoG/XhQ9hqDFhtb5ZixJt76itznPrKI2pTYHitGzBBDkJUQg2Y5KkvyaZQeFOs6tEEKQgBl+DR/Ke+JHlkrJoN45YkBjVXABDuog5JkPZ8mvPYlygeISA2adOiWWJ33/wnSk2IGnyb5jz2JYpGffIQtBqXVtuZpRjx5h77yhzHvvKY2hQYXusuTZCDEJRQl7aeY1+SjaTwRlrVvwlSECIxwb85tzgFSUScm+vYlyQINYMAGKoXFNZw2JcEac27uc99ieIRwmST3m12T1TuvvRLlJoQMdjezX3uSxSN+uQhaDXerbYzSzHi2bkvA93iuS9rt97MEy9ksgzZ3rkva13IM1y9yyGj1XNfX07ue87zTC9pfWDua525tIfTS1rNClp1Bmn+I8yfp2eQoifvBEs8B8S47ZVg7dXAATGuQkVSCKiTPiAWV0fC4tnRsLjT7VT1hH+8+JlZRNXjZvo9J19VP+In+kOfmqGEnSBbOkIWKj0mtPBK4Cczv3/v4ufm25qvNufCOtH0YJitV/a4vQJW7RMsrWvbmCkQrLvHnar7UBhX4nI2XPFQWFg4ior7XIHrOxSmdvbzVP+XTc9m5N4bwNh4YCKmHwjLAuU6D8YWC2Zi2nmwfHEDWO6+AYwtGUzGTXh3TbLVdzPssxnABMk/D5YvbgDL/TeAsREUEQEePrpVt+eyltQO2GrBzAJPfYB4U+p4U+p4U0LxZshGA3MS8SxYoDLX7V9spY2fBVsEmrvuh/SQLZeSSVljZj6b9AaZkqtf9izYIsDc9QeYEVs+mEeJZ8H0kBnZg8uYpdRIPQrDJFVJ0U3DEz1fT/Kse6xOsu75cXYanIa5StPZWHLO1j1rFtwZu+ssmKJRonit76QIchCWCNE5/0pnwUJ7JN6VbAOFtwE+S7ZR7ElSEJY9CbNK50aJIInIRonzLJggCHW5FsDI87ToKRtJX5KktZ2StBdZa3hui9IRomATk635lGt2Z1Tuvv9LlJoQMeDZAtqfQ1Ey6oOHkNXsk9T2ZSlGvLmVyLnrKFhKbQoMr3VnJshBiEmoMxOtRBZsCoU3xaoGTZCCEG4JBq2mElmQR8am2TBuSWJQcwUC4d5JEARpzaN5KpEl8QgBsUmTNrtYKndfEyZKTYgabJPmqUSWRKM+eQhajUur7cxSjHhzK5Fz13kx/10clqbA8Fp3aYIchKCEurQ1VSILNpLCG2lV/yZIQYjEBP/mXGATJBFxbs5KZEEQagYBMOKil1hB+pIgrXk3TyWyJB4hTDbp3Wb3TeXuy8NEqQkRg+3dPJXIkmjUJw9Bq/FutZ1ZihGbSuQKe2ZbjCdrsSS5sNHezP33baTLtG2VJEf2ue8zXL1gFRRqr2wlyWa1a/KwsljaVl282amWVR4aA3alQrnyZA8vftKbFhSHvoJiJm2C0TZRUMxUqEgKAXUiBcVhV7vjecnwvL7YFBSrJ+6f0BNfW9PscZsGrL0i2ENXVS9TIFhBhbs+T1UvUyKlFgkQmBWxay2OKXB9Vb3Fzn4R6P/CWZVd7q3q5eKBuYxe1atU5qzq5YoFkxmxqjdfVPU6r7u6w5YM5rMmfLAm2eq7GfbZDGCWWqGqN9+60gXuql4ugiIiwMNHt+r2XNaS2gFbLZhZ4GkEEG9KHW9KHW9KKN4M2WhgTqJV9eaxchb1coU2X9SbL4p6nc/oIVsuJZGyhsx8YuaNMSVXv3BRb751pendRb1c+WAapRb15tsje2wZs5RWUw5oA8PAOOe7nuk/d87rKuotaJQoXuubEoIchNU2dNYsWjoi2BQKbwp8wmqj2JOkICwkEuaWNaUjgjwiGxCO0hFBDOoiKADhma4KgrS2/eApHZHEIwTEJqZd88lXMVuxdl+zJ0pNiBrwvAHu0KEoGvXJQ9Bqth9qO7MUI97c0pHCUeBbBNSmwPDadmmSHISghLq09ZSOSDaSwhtpRf8mSUGIxAT/5iodkSQRcW5BL1LKhnJLEoWaQwCQyGw/JXb/JonSmn9zl4+I4hFCZYP+rZhd71S4r+oSpSZEDbZ/c5ePiKJRnz0Eze/f6juzFCOu/Ft4EkV5cXbeTbPqXq8o6ebxadE9TVSaZWFwGqSzDm/Vv9lLfwv/rRmWpsDwWvdvghyEoIT6t3cvy1BMfcqsDOXSmGkrd/ED/d8Pr74gb2rnvjKFLO9rJ/dOt7J1v9Df7jdVbcVHtrbZlWwbhbfNqrZNkIIQgJuwbYIkIrYt7KU2kFuSINTEgWBEaV7YUfqSKO2Ztl5knaXfFqUjhMcmPdvsRqjCfb+XKDUhZPA9m6M/h6Jk1CcPIauxbLV9WYoRG8/ms2LNFviG1kqFm0XkoVNFtEy37gpfrl6wIgp1US1V+HJpE4y2gQpfrkJFUgioa6PCNzJ/nTzoxK7C33D6YuEwnf6W2Ut/uW0GFmgRfKKj9JcrECyzotg/V+kvVyKlYgkQGOsE4HhXElfh2mp/i3hnv0j0f2pai1dEvtpfNh6Y5hqt/WWLBdMcrfa3iOa1v4Xzuqo7bMlgpmvCEGuSrb6bYZ/NAOYvfu2vFn6lC5y1v2wERUSAh49u1e25rCW1A7ZaMLXA8wkg3pQ63pQ63pRQvBmy0cCk1FjtL1to47W/izhz1/2MHrLlUjIpa8jMp2jeGFNy9cvW/i7iy11/fBmx5YNplFj7q4fMyB5bxiylG7srEQaO4t8ipmGifK1vSwhyENbd0Al1u9sSgm2j8LbBJ7c2ij1JCsIaI2G66dyWECRpd1tCEIS6OApgKFUkiQ2kLwmyAZsSknSE4NjEHGw+E5tdole4b0QUpSYEDHgSgfbnUJSM+twhZDWbErV9WYoRb24dcOh4+9PN2a2uhLbA+Fp3bIIchKCEOrY1FQILNpLCG2lV6yZIQYjETVg3QRIR6+YpBBZEoSYRACQvtAsNrIWVfUmU9uybuxBYEo8QKpv0b8ks57vvxxOlJkQNvn9zFwJLolGfPQStxsDVdmYpRry5x+21gYttbXGzUNS2wPhaN3CCHISohBo4yfP2kk2h8KZY1aYJUhACLsGm+c/bS/KImDX7eXtJDGqyACB8NSKCJK35NPeBe1E8QkRs0qfNLmEq3BdqiVITwgbbp7kP3IuiUR89BK3Gp9V2ZilGXL3v9wmH4jRir5ydvPrCSy9aWoHlwxxraKkHMymyZUxXGbBbLMVdXVYCW9U+w1W7PMI8TQt6qF9PHkw+rczTg8lnVVnv29UW5ds7psz3vs7HD82dpJ9NPrl4Y/KF9cveWHzh/Wr57L4NebdIb/S52NdCpZt7tUg5LSPMdvb1oDe/KPNLrn8JzV/D2PyiHEGTy5bQ2fBqDgN0oH/4gQE6MEAHBujAAB0YoAMX0AEbSNGB8PoOzTPQP3tgeAaGZ2B4BoZnYHgGLp4Bmwd/6PhRfVpPlu2Uhqs0XKXhKg1XabhKF1fJ5bpWP1TDRRt0I/2DRwZmZGBGBmZkYEYGZuSCGbFh8KRDLCjSLGP9c8eGZWxYxoZlbFjGhmXsYhmzWKoRN2Uxqam1F+g7jqvcLPzXBRTODsG0MpOqO7Ey5S4nGInTNY8nH08eTe6Z/FmtUlRVQn+w59/Jg87F9zuTr6rPfFGl1gezkqEHZl2jc/Fj803NwZx7+mseXS0qmn7rh7Plkeov+rt3Kin3q2/3uPrXD6tv/uXk3mwz65NOpL+oOmLytq15d7nNu5zjBI/zMBUqkkJAnchxnife0N8zBWOP9fcwff5Q/+29peFlFsGc48sskE0Pd9272u36G/1e/1MzUh5Ue6L6R96/eLOS/mX1IfM9ftr53z/473G4Mx2h9yafV9fZv+b54k5QffV00Olv/5aRdr9qBj0iZz9Pi+tEwfQ4WafbSYNuGOm//aG69t5+1GeP2+HL81C5s0hMgWDZN2Etyn0WiSmRUkENCFRJL7Hp63P1re8kkp4zaFl68hDMjgZk3qNIXD7QEdCPIsVR4jyKxBULWgLiUaRscRTJeefRHbZk0BasNumcL8xlW303wz6bAcy9jMnl/KhAtnWlC9xHkbgIiogADx/dqttzWdfmi1y1YGaBVzeBgFPqgFNqSSUWcIZsNjAp0c4iJXnqCDZ32UKbP4uULc4iOR/SQ7ZcSiZljZn5grE3yJRc/cJnkbKtK03vPovElQ/mUeLSgR4yI3twGbOUVrY1j1R4cpp11emJKZ04L7p5elSt0MdZXhTZcXw6hXEuG3znqNnCCDMbdywe+G9buEaJ4tkWGDxUlEUGG8czkhyEXUB09eH9q3Oyj/V07/WLN/Rfq1LWeeWqc6oWWDtzV7IRFN4I+AzcRrEnSUHY2iRMK52Fq4IkIrUQpnDVRnJLkoS6JwtwhLHrRWiCHK0VQ0QaL7dGgNuifIQ42MR0az7pymcb6O7730SpCSEDni/gPToUZaM+eghbTTlEbW+WYsSVOzsvlDqLT+JuqPLjbhie5d08OC26QaACleZ5WKi6agkJd+YomSioTYHhte7OBDkIUQl1Z09Urdq2bqra1Q+r7YKvLt7WHzCL8KEK3K9YE8RXOD7uy0R2AQQbgRCjCbauptBVkEfE3IW9QNlIbkmSUDMMwKGyXmgdYn1JkNbcnaZzeDtJOkIUbdLbzW4jKtxXS4lSE+IG29u5+nMoSkZ97hCyGmdX25elGPHU2eVpdnJyftY9PVdhN8nTtHt0mmTd8zg6PlFBmqRnJ8+37+xiW1PcDGer6ZS2gPjatnaiIISohHo7RzVttcY2s3aPnqyuqA4kTT6a/HbyPybvVqfI/746Tf67yf81rbCwtcquaKsovFVwy2fD2BPFIARfgmlzrcWJooj4tch+oOeWKAk1bwAcYWxfixPlaM2uhUncy6wddVsWkBAbG3Rsmmma5md/sIHvy4IT4gbbtLl7dSgLR33+EDi/b0N6tJSDbvOGgsixzBYGvvsXVBEv0625hJqtdzlm/LmG2ta+u+z2TbD2baCImi1RkSQC8gSrqG/My6ibKZyuqpvNn36iv9WnFz/V3+Iz/adPtLpPpwfjzD8142Q2hLTazlP63zyohpD+29PTT//1v54vfvZsnbPH7hywLo1ghx0Vz2yFYHUZ7nLdJc9sjZRKLURhmPdSl4VlSlxb2XMYRKbm2RyTDJJpHaI5NuWpfOYzgqm80dJnvlowl9Nqn7WcefHzrJltqu/wVYMZvYkZgIHZ6nsw9vkYYOLkV0Ab7Vc7wlkDzadQRAp4HJmW3V4IWxI84AsG8w08jQIiUGkiUGkiUAlGoCGfD8xWjdVC85U2Xgx9GXnueh7ZQ75iSpZljZ3F/NQfdUo2gmxJ9GXEmXeAsyiaTwCmWGJVtBk7C1FLYsc8sRu7QeM6Va3DFA0T5Wt/g0YQhLAIiS4qtLVBI9gqCm8VfJ5tw9gTxSAstBJmpO4NGkGUljdoBEmoC8QIR5H2UitKXxRlM/ZoJAEJ4bGJGdpinhbNV/Td9+bJghNCBzy5wHt1KAtHfQQRuLo9mvoeLeWgN7dw2r2jE5PbAuJr370JghDCE+remi6dFuVXOP/KPk0QgxBsCT7NX/0sCiTi1pzlz6Io1FyBgERJT80u57nu1wRZWvNrzhJoWTxCOGzUrcXz3O6+V0sWnBBA2G7NWQYti0Z9/hC0Oq9W35+lHPTmvoIgcpZCJ9S2wPja92qCIITghHo1mZcQiLaCwlthZccmiEEIuATH5l5ZE0QR8WrO9xCIolBzBQASFb3UubQmiNKaVfO8i0AWkBAPGzVryTy5uy/RkgUnxA62WfO8j0AWjvoIInB1dq2+R0s56HbLn10GTHnpkmW6tZc/M/Uux4w/lz/b2neX3b4J1r6NlD8zJSqSRECedPlztmN+DcPpb6rXCbtx5+JnZol18sfJg8aKo/U/cV40Mv8nD6ZThdnP+OaLR98770z+UX/dz/QMwRRQf6q/+s2L13c6T64Duwb/5Yb+8NsvvPrSiy+8+qSEy28QViKdpdbMgQCWvhHst7PUmqkQLF7DXbWv1JqpkVIEBihUcdoLra9j7LMlrrHUOjVV1tm8xlH5q6y5eKBjaLjKmqsWtAzUKmt1WWXtvGfrDl81aByamGgYmK2+B2OfjwHm51WqrNXW1Y7wVFlzKRSRAh5HpmW3F8KWBA/4gsFUA8/WgOBTmuBTgsFnyEcDc1SDBdZcpQIF1uqywNr5tB7yFVNyK2vYLGbA/oBTshGkC6zV1tUO8BRYcwnA7EousFbbC1FLYsc8sUbtcXQWqSA/7x6fnZ51kywsukdhknTjII+y6Oz85Cw6nfI41xs8Cy7cNQdngXVKw0T52t/2EQQhLHOiyxbvW+Zynuni7tnLZ6/ouVm1eLB7R7l2fQQbQeGNQJi4NzbdtTXInmiDENaACRNY9/6RIIrI/lFov6XoligJde0a4MhU0Etj6z3JfVGW1vaPVJT37Bcw3JYFJATWJqZ1i8ldOt9tSD0TPElwQuyAZyR4rw5l4ajPIAJXt39U36OlHHTl+85OjoOzIk27RRzF3SQ6SbrHR+dJt8hPiySIzrKz+XBv1fdZ10O17/NdrGJtC4yvfd8nCEIIT6jvIy3JV27vZjnoPvvCyV+/enz04mk3CoKgtLXErmhLKLwlcPMnsUFha5o90aYhhHKCDawr/BYEEjKDzsJvQRRqJgJAVBrprFrYWPqiLK25wShxbTnclgUkhNtG3WA29w7uWyVlwQkhhO0G3b06lIWjPoMIXJ0brO/RUg663WqixEan/Z3v/hZVqGW6tVcTMfWCm4KoPfvTrSZitm+CtW8j1URMiYokEZDXcjXR8gsRLe9DxF+F2GABkavWh9lN4AYswSM7a32YCsF9VJLpddb6MDVS9iMRhYHqpS4zy5S4xlofc5V8GMy323N/rQ8XD8znDdf6cNWCCZ1a65Nf1vo4L5G7w1cNpvUmpgEGZqvvwdjnY4DZc5Van3zrakd4an24FIpIAY8j07LbC2FLggd8wWCqgedSQPApTfApweAz5KOBOarBWh+uUoFan/yy1sf5tB7yFVNyK2vYLOan/oBTshGka33yrasd4Kn14RKA2ZVc65NvL0QtiR3zxG7snk/irPUpaJgoX/t7PoIghEVIdFGBtMtB3PMRbAmFtwQ+t25xz0ewaQgLtoT5bN2ejyBQ23s+gijU9WYEJAx6hf0td31Rls3Y85EEJITbJiZ7iylfMd8hcF96KgtOCCHwPAXv1aEsHPUZRODq9nzqe7SUg97cyu/EVQEU+i4Ts7YFxte6G5QEIYQn1A3KVH5LNoLCGwE3gs3tU9gaZE+0QQixm2D/nJXfkihCxi+xkdwSJaHmHIQjyXqF69YpSZbWfJ+v8lsUkBBYm/R94fyazdBzcaooOCF2sH2fr/JbFI76DCJwNb4P6NFSDlr/7y+fMDzGzn3L5++arf1RNlrt7Lx3wwThMm1LtT+OS16eYesFNwlRY+ao/ZkW8dyHK3/0Rz7VX/O4KuD5pHpX46yM58mXO5qlHvP9v7p44vWPT9TzhLN6nsnntjbbZbdZgrVZE/U8XImKJBGQJ13Pk/eiqizn8eSReTCznY7+NX96Wt4TPPGpNNnp6M+l2fS33HxhWlR/yeLpb8n8n/XCJ79n8XTPeN/qtZ9m4MyHXqeqBXrQqcrH7lUD5g+dyHcrKrdXwD1Vgt91le9wFYJboxQb6yzf4WqkbDECCuMwtVvtPlvh+qp3wmi2dx76r0Jlk4HJmF64o/LAWbjDVgtmY2LhTnh5FWrouQqVrRrMyU14egOz1fdg7PMxwDS5QuFOeHkValhzFSqbQhEp4HFkWnZ7IWxJ8IAvGEwy8MQIiDslGHeGfCowMdFqdvLMFXPu8pU2X7MTXl6A6n5QD/mKKQmVNWIW80x/rCnZCMI1O+HlBaj+ODPiE4CJlVqzE5oLUO0xZswTa9QenakoDwLVLYJcz+zT9Lh7HGXn3fz0PFYnYRacnM6SmHMW71nW4M7kXTU7YUTDRPna36URBCEsJqKLAR/pCWF1LGN5d2J+I4N1Mva+nia+Vk3J7k++MKsB7+oP/b9Nzcv75ljPPT3l/P7knq2BdkUbSOENhE+rbRh7ohiEtdMm5qGCJELbLtYgckuUhLrkC3DESd6bvev9+rRWEKW1XZcs70WFje+2LB8hTjYxQVtM0+b3Zoaem1BFwQmBA55bwJ06lGWjPoAIW92eS32HlnLQ7Z6vtu7+al8W++iKdJlu7XssTL3geg5qq75eeyzMNkuwNmtkj4UpUZEkAvL+Ze6xXDurbVi/rG51uHhLDy7D9kZ1evvi7ckf9TjV3+VBZ/ZtzHsBZmO0p5vtRVsP77F7GFxKa8InMxWCy2IU/+ver2FqpCwvAQpTHaMdL5LkKlzjfk0yXzeN/fs1XDIwsTe8X8NVC2Z26n5NfLlf47zJ9A5fNZjfm5gOGJitvgdjn48BptxV9mvirasd4dmv4VIoIgU8jkzLbi+EXd+v4QoGkww8pwLiTgnGnSGfCkxMDe7XcJUK7NfEl/s1zgf1kK+YklBZI2YxR/XHmpKNIL1fE29d7QDPfg2XAEys5P2aeHsh6vp+DUfsxu7XpM79moSGifK1v18jCLJsOnz9Ay4srGG/RrCBFN5A+BTdhrEnikFYdm1iHipI0vJ+jSAJdbkY4EizXmJ/tUZfFGUj9msk+QhxsokJ2mKaNr+MOfRcry0KTggc8NwC7tShLBv1AUTY6vZr6ju0lIOen5FJnl+YsxbPyFiPQWmfpny0wbW7xFvav3G8u+cZtt7lECKwf1O9mrTyXl3tqz65eKPaj1net5kd6jVvvp0askf6w1+aF99Wr3KB92SY7ZBg7dDIngxToiJJBORJ78lM32ObT3/thbPfo+r3YqdTzD5kDubNtltmL77t9Dr7Ve9X+3GztxqbcWBEfN7pXLyxGFMPqj89NK/F1Rb/4k0DcPGDSvNrncmH1Q3c5iT4vYvXLl6/0fn/ff9fF8X//vGvwijsdKoT1XpcTR7piXS1Czjdp3k4ez/zdLuxGsfTTRkz9v5YCZlt5Nw3w9Rs7NzXf4yU+Y7vT+7tdP6/D/91sBMk+mc8c/H69Ef83/cmH3Y6+kd3Oirwnb9hjg5wqa0JH81UCC6bUfyxez+HqZGy/AQojIteZE0wfbbCNe7npPN1Vf8l2WwyMNHT93MS3Q/O/RyuWjDTU/dzLi/JDj2XZLNVg/m+iemCgdnqezD2+Rhgul5lP+fykuyw5pJsNoUiUsDjyLTs9kLY9f0crmAwycBzLiDulGDcGfKpwMRE289xx5y7fKUC+zmX92O7H9RDvmJKQmWNmMUc1h9rSjaC9H7O5f3Y/jgz4hOAiZW8n2Pux7bHmDFPrFGbp0V+FIXH3SI7z7vJaXDePTpJo+55cJolUXQeR6dqyuNcIfAsmXBXCZz7OSkNE+Vrfz9HEISwTokuNLw/m/vde2J5YWlN4fItsbO1hGuzSfPJ+f7PR5PfTv7H5F09H/7Hye+qWfHkQ/3BX+gP/aaaKH80/cIwCoKLN1PzSxhZ4/uuaFsqvC3xlQAbxp4oBmEFlzJljW0kz4mSCG39BFaUW6Io1KVnACTqBZF1HaEvStLe1k8U573YGgduyxISgmoTs7nFnG5+k3LouRtbFJwQOuCJyHK3FlES9GLrIziUpaM+gwhd3fZPfZeWctDV9s8TLsHp6l45O3n1hZdetDQEy9RZO1cbOu+1j8G1ax9dGz9utRSvdrn3Y5X7DFvu8jDzNC7oyKxHd8ymzhcXr128ZdbML1/dqh2YDUc7p+xGn810LSS6oVaLiLP10HxnP4wi80uqf4kD80tifjGfSELzi/mEMp9QyvxiPpGaT6Tm69JM/5LF5hdzMVluviQ3X1KYLynMJwrzscJ8XaG/JApC80tsfknNL+ZjYWR+UeYX89fIfDbKzC/mr7H5F7H5WGy+JDafiM0njL4oMZ9I9I+MlPmT0Rel5k+p+ZORFmXmT7n5k5EWGVVRof8UB5H5RcuIw9D8Yv4UmT+Z1ojNz41j8yfzg2LTELEyf1LmT6YN4tT8KTN/ysyfcvOn3PzJ4MeF/lNieBPzMxLzMxLzMxLzMxLzMxLzM5I4deUg7ihK6KMIn/aboXNghs6BGToHZugcmKFzYIbOgRk6B2boHJihc2CGzoEZOgdm6ByYoXNghs6BGToHZugcmKFzYIbOgRk6B2boHJihc2CGzoEZOgdm6ByYoXNghs6BGToHZugcmKFzYIbOgRk6B2boHJihc2CGzoEZOgdm6ByYoXNghs6BGToHZugcmKFzYIbOgRk6B2boHJihc2CGzoEZOgdm6ByYoXNghs6BGToHZugcmKFzYIbOgRk6B2boHJihc2CGzoEZOgdm6ByYoXNghs6BGToHZugcmKFzYIbOgRk6B2boHJihc2CGzoEZOgdm6ByYoXNghs6BGToHZugcmKFzYIbOgRk6B66hc8AfOoo+dPD1Fj1yBmbkDMzIGZiRMzAjZ2BGzsCMnIEZOQMzcgZm5AzMyBmYkTMwI2dgRs7AjJyBGTkDM3IGZuQMzMgZmJEzMCNnYEbOwIycgRk5AzNyBmbkDMzIGZiRMzAjZ2BGzsCMnIEZOQMzcgZm5AzMyBmYkTMwI2dgRs7AjJyBGTkDM3IGZuQMzMgZmJEzMCNnYEbOwIycgRk5AzNyBmbkDMzIGZiRMzAjZ2BGzsCMnIEZOQMzcgZm5AzMyBmYkTMwI2dgRs7AjJyBGTkDM3IGZuQMzMgZmJEzMCNnYEbOwIycgRk5AzNyBmbkDMzIGZiRMzAjZ2BGzsCMnIFr5Az4IwfPx3zXN1tOz3dKM4JKM4JKM4JKM4JKM4JKM4JKM4JKM4JKM4JKM4JKM4JKM4JKM4JKM4JKM4JKM4JKM4JKM4JKM4JKM4JKM4JKM4JKM4JKM4JKM4JKM4JKM4JKM4JKM4JKM4JKM4JKM4JKM4JKM4JKM4JKM4JKM4JKM4JKM4JKM4JKM4JKM4JKM4JKM4JKM4JKM4JKM4JKM4JKM4JKM4JKM4JKM4JKM4JKM4JKM4JKM4JKM4JKM4JKM4JKM4JKM4JKM4JKM4JKM4JKM4JKM4JKM4JKM4JKM4JKM4JKM4JKM4JKM4JKM4JKM4JKM4JKM4JK1wgq2SPo2jJ1zQiipayRGTYjM2xGZtiMzLAZmWEzMsNmZIbNyAybkRk2IzNsRmbYjMywGZlhMzLDZmSGzcgMm5EZNiMzbEZm2IzMsBmZYTMyw2Zkhs3IDJuRGTYjM2xGZtiMzLAZmWEzMsNmZIbNyAybkRk2IzNsRmbYjMywGZlhMzLDZmSGzcgMm5EZNiMzbEZm2IzMsBmZYTMyw2Zkhs3IDJuRGTYjM2xGZtiMzLAZmWEzMsNmZIbNyAybkRk2IzNsRmbYjMyw</t>
  </si>
  <si>
    <t>GZlhMzLDZmSGzcgMm5EZNiMzbEZm2IzMsBmZYTMyw2Zkhs3IDJuRGTYjM2xGZtiMzLAZmWEzMsNm5Bo2I/6wwWdZxO0BPWrGZtSMzagZm1EzNqNmbEbN2IyasRk1YzNqxmbUjM2oGZtRMzajZmxGzdiMmrEZNWMzasZm1IzNqBmbUTM2o2ZsRs3YjJqxGTVjM2rGZtSMzagZm1EzNqNmbEbN2IyasRk1YzNqxmbUjM2oGZtRMzajZmxGzdiMmrEZNWMzasZm1IzNqBmbUTM2o2ZsRs3YjJqxGTVjM2rGZtSMzagZm1EzNqNmbEbN2IyasRk1YzNqxmbUjM2oGZtRMzajZmxGzdiMmrEZNWMzasZm1IzNqBmbUTM2o2ZsRs3YjJqxGTVjM2rGZtSMzagZm1EzNqNmbEbN2IyasWvUjHmj5onZbqu1mrFzD8Z7PWOwnndtxJ53bTD1grUbEhP2e7O3ZzysNlLMR+5X79BwnX1hEi5PvRqpwpz8yrw/5OLnFz+abgZ9pn/7yfQtIJ3Jb/Rn37dBPMuGUCQIAMAmb48tD6zhoOy6uAoFmQrBegzSboqzUJCpkVLXACi0quuz1YkUCV7T7LwRkC0bTB/0CkClXDdYf5OvFswf1ArA/LIC0HkF9B2+ajCLkFZI0aGxz5cNpob6JTlU6wFfqyJqhUeHab/thbDrqw9cwWBOYG+naVcf9FJrMw/5qsE8Qavbc0eKu3ylAnV7l3fdu6PEIV8xJb9xRoTrqSvZkpup00N1jvg6wSRHnG6bEbEQdX2ixxFbDYSj+CyOlOqq46O0mxRnWff4+CTvRllxFh6HUV4czdrdOQf8zlGz1XjV7zZMPRMsaJgon2226MGizBhtIM+IghAKR9Cp5DvVGxI+70w+NdV3+DRRkFLhlCvPxAQxCMUuhBmb+ypRQRSRQrnAXhhxS5SEWqODcNgo+qIUrdXIRZFnqigJSIh0pOlOXYnc/Krx0HN5vCg4IWqwPb27V4eycNSnD4Grq5Cr79FSDnp6LOIoVmmQ5N3j3FTTZWdn3fw0SronWXoUqDAMkuD4+faNmHXp7+a8Mp7QFhhf60ZMEoQQnlAj9mF1tOG1xYn9zzsXP9Z/eMMchnd5s85T8089nnx88d+qV11V7802JyDemfzy6dkRidHRy//x7NXZTfPAT7r4vtk8MOfun3yVsU2AeZPAxQ/Ne5KrUxnm5Q7Pm3cLzL7Pj6sXRjy8eGv6o4skV/H8pcvmL4mt63ZFu07hXbequ5TEIOQJgrs0W0Z/6HUmj2xAz4kCiXhMx1u4JDmoOQ6gcDhMSYrWHKYKnQZTlI8QwZs0mNH8TvPIc0u9KDghcLANprNTh7Js1GcPYavxl0CHlnLQlb88TY6yoyI764ZhGnaTNDrtHkVHJ9347Dw/yo/O8pOzk+fb95eOUxqR/3Y/S1tgfO37S0EQQnRC/eXvrno31Dom09swZtbxv1dvbHq9Mo3VRwbfefGFV7770suvvtK5uTvqDw46h0nQ+Yu9O3cG/87iPbsLC3rFX1bfb9ldLmzvp8Zcakv6xcyGmhe3mvdC2bplV7RbFN4tK3tHQQxCCiB4R1ctiSSJjGl0vbxVkoSaugAOl20UpGjNNoax8yUtt2UJCaG5UeMYzn2G51J0UXBC1GAbR0+3DmXpqM8fQldnHeu7tJSDbvOuvdi52Bj56IpsmW7d9b9cvctBY3Prf7mECUbYTv0vF0KRIAAAm7w9tjyw1qsJz8ZUCNZ1UbyYs/6Xq5FSHwUodLkspro11/+yZYPpo9n6X7ZaMH8Q63+jaFH/Gzmvz73DVw1mEZLtRIfGPl82mBqarP9la1VErfDoMO23vRC2JHjAFwzmBL4jV2nUC5RN9ZCvGswTzdX/spU2X/+7iBJ3PVHikK+Ykt84I8Jd/8uV3Hb9L1snmOSo9b96RCxELYkd88QatbnZKMhy1Y2VyvQ8UKluYX45OYlPVJQEJ+nRbKg454CeSTB3Huiq/41iGibK1/62gCAIYe0JnUo2sS1w8X3zgs66TYFbh3t/0dCWwGVdia0PdkX7QOF9sPI8URCDsJrXxHxSkKTlPQBBEuoaJMDhmp0KUmzIHoAkISEOkyZjdXsA8XzB2HPRtig4IWrwZxzePQBJOurzh9DV7QHUd2kpB135xOPjIFKnYdaNk7Oim6ijpJufpObqtyLKovAojcPz59v3idZMon1iQm0LjK99nygIQohPqE+sLxpevTwZrk+2/KjJ+5NfTf6HsaLTWuSHk8faWk6d6bx8uaaeZFajHOahNffvinaZwrtsZVspiEFIEARbWVeWLAgk4y5tHLdEOai5DaBweUtBita8pa8sWZKPELkbdZbza2Qjz73AouCEwMF2lr6yZEk26rOHsNX5yvoOLeWgN/f9A5GzLFlR2wLja99XCoIQohPqK5nvH5CkVDjlylZMEIMQUQlWzPn+AUkUERPmfP+AJAk1FSAcNoq+KEVrNsz3/gFRQEKka9SHqXna9ly9KgpOiBpsH+Z7/4AoHPXpQ+DqjFh9j5Zy0O0W+bqsVeqly5fp1l7ky9S7HDM2uMiXSZhghC0V+TIhFAkCADDV+zuduHPxM3Or5eSPkwc9cynlg8lXNzqT33Uzm/w9tnyw4Itg6ZybtkyFYHEX7tR8RcBMjZQiKUChy4Mx1a27CJgrG0wvDRcBc9WC+YVaBJxeFgE7L+W7w1cNZhmSK0WHxj5fNpg6Gi0C5mpVRK3w6DDtt70QtiR4wBcM5gS2YfcXAXNVg3miwSJgrlKBIuD0sgjYGSUO+Yop+Y0zIjxFwEzJrRcBc3WCSY5cBJxuL0QtiR3zxG7sIrzzOpjIe6nNdUyUr/1FeEEQwtIUOtXkLsILUiqcEp+p2TD2RDEIy2mEGZt7EV4QpeVFeEES6jIgwmGj6ItSbMYivCQgIdKRpjt1i/DZfMk28yzCS4ITogbb03sX4SXhqE8fAle3CF/fo6Uc9OZW2brfy+G9dMLWFhhf+0ZMEIQQnlAjxip9/VOrshXsMoV32cquUhCDkB8IrrKuylYQSMRbuqpsBTmouQ2gcDlLQYrWnKWvylaSjxC5GzWW+dyGOO/92pcFJwQOtrH0VdlKslGfPYStzlfWd2gpB725p/zdpSAFtS0wvvZ9pSAIITqhvvJP85S/YB8ovA9WNoqCGIR4TzCKzoIRQRIZh+g85S9IQs1TAIfLIwpStOYR/af8JQkJcbhRlzi/sSry3EEmCk6IGmyX6D/lL0lHff4QujqfWN+lpRx0u0XAiY3uZhgHXrpimW7dRcBcvWB5FmrcBIuAuYQJRthOETAXQpEgAICaImDrU7HHlr8coeWKgLkKweIuildzFgFzNS5nghWLgJNY2aNfn62wlULgUOVBL3U4LLZyMMs0WwvMVgumGWItcBwsaoFj5/VQd/iqwWRDcqfLzZ3meVjoRGkd2ft87WAaoRcER0kU5FEvsQ6RA75gRRQMjxPTiNsLYUuCB3zBYJLgW3h33BjyVYOJg1YVnMeJsyqYrbT5quBFvLjriReHfMWUhMcZEd5YUbJ1y5QGx2kcRrFjAI/4YsHER60P1mNjIWpJ7Jgn1qjFLosxPM7po2f+zJ1CuuqDY+9lONcxUb7Wtw8kQQjLVugstIntg6/D3YGS3aLwbsFnndd6Rk85TVHPFxX2653B/kG/HA4OR2Wn/OZfdJ65M97rJDqzVN310Myw9b++10l2AtNTtkbZE20UwkpjE3NZQZJ29yckSajrowBHkuW9wmoK+qIom7FJIUpIiPakaWDNJkU8v7su9lxHKApOCB38GY5vk0KUjvoQInQ1mxRAl5Zy0LNiFuTW69bdqKNIOo6obYHxte9GBUEI8Ql1o6zKZdCyXnGcwE/SfvKKG50XQV8XoL/jNy5+OKubNp/63Hzkeq3LrD46yVVs9nP0N6r+Ys2eu6Jdp/Cuwx2rDWNPFIOQKAges6ZYWhJIxmraOG6JclBzHEChf7SNoy/K0ZrL9JRLi/IRYnijHjOaGxLnNWn7suCE0MH2mJ5yaVE26tOHsNU5zPoOLeWgN/d9CImrXDqOqW2B8bXvMAVBCNEJdZjM9yFIUiqccmUzJohBiKgEM+Z8H4IkiogNc74PQZKEmgoAjjAOeql13twXRWnNi/leiiAKSAh3jZqx+UVVsefuMVFwQuhgmzHfSxFE4aiPIAJX58bqe7SUg263KFnZ6LS/Sjx0aRAs0629KJmpdzlmbHBRMpMwwQhbKkpmQigSBABQU5RsHWV7bPlgvRnB1zk3cpkKwdoy3K75ipKZGik1WojCKHYtiTEFtlST7Hzj6G2+cjDJNFyTzFULZhlqTXJyWZPsvBvqDl81mGtI3vTa6CjiIC3iXm5t8n2+eDCN0IuS0zyLQtcYOeALVkTB8EAxjbi9ELYkeMAXDCYJtoP3vqqYrRpMHA0WJXOVChQlJ5dFyc6AcchXTEl4rBHhDRYlW7hMVXIYxEEeuQbGiK8WzH3ksuRkeyFqSeyYJ3Zjl+mVsyxZ0TBRvvaX6QVBCOtW6DyUu0wvSKlwSnwaZ8PYE8UgrLURpnPuZXpBlJaX6QVJqGuEAEecBb3cRtIXJdmMVXpJQEK0I82E6lbp57fNxZ77A0XBCZGD7fG9q/SScNQnEIGrW6Wv79FSDnpzX12snFW5KbUtML72zZggCCE8oWasvlZ29apcuCx3Ta8uluwyhXfZys5SEIOQHwjOsq4aVxBIxF+6qnEFOai5DaBQqZWjL8rRmrf0VeNK8hFid6PWMp0bEed9Zfuy4ITQwbaWvmpcSTbq04ew1TnL+g4t5aA39+XFylmN67sgxNoWGF/7zlIQhBCdUGfZxNsHNu7lxZJ9oPA+WNkqCmIQ4j3BKjprSgRJZDyi8+UAgiTUPIVwxKropTaUvihKa0bR/3IASUJCMG7UKs6v24o9F6iJghNCB9sq+l8OIElHfQgRujqzWN+lpRx0u8XC1lik7Z/vHo80CJfp1l4szNQLFnCh7k2yWJhJmGCELRULMyEUCQIAqCkWzmzy99jylyO0YLEwUyFY80UxbO5iYaZGSu0UoDCKMpcRYwpspVg4L3qmEPK67tt83WCKabhUmKsWzDHUUuH8slTYecHVHb5qMNOQrOm1IR1ERaAcbwPe52sHcwi9UjiMUpU4x8gBX7EiKoYHimnF7YWwJcEDvmAwRbANvDNsDPmawaTRYKEwV6lAoXB+WSjsDBeHfMWUZMcZD95QUbJ1C9UJ50Ue5p46Ya5aMPGR64Tz7YWoJbFjnlijFttsMDzOuaNn8sydPzrrhAsaJsrX/gaCIAhhzQqdgrLqRcBdhq9NaYpglym8y/DpqA1jTxSDsGhImJbWlaYIAslsO9g4bolyUNc7EYogtu7y9kVBWtty8NWmSPIRgjdpVle34TC/Xy/2XJkoCk6IHez5iq82RZKN+vghbHXbDfUdWspBb+4RtNRV9TybtBDaAuNr3VpKghCiE2otmUfQJCkVTrmqG5PEIERUghtzHkGTRBHxYc4jaJIk1FQAcKR55DqCJknSmhXzHUETBSREuya9WBLMUnfivMFsXxacEDnYXsx3BE0UjvoEInA1Zgzo0VIOut3aD+sut7ZXvmsv0iBaplt37QdXL7gjh7ojwdoPLmGCEbZT+8GFUCQIBOAXkw8m700+qG6pmPzT5O8nH04+0h/41eSfJ7/tTB7rrvrUXN+2WNe839Hdem/ysfnUxVvTmyz0Hzth0QuiXhREaa96w5z5dblA+g/VIud8bfO+/uSslPofTXW1+Z6d8jtHLx/9h9POne/9545ZT714vddJ41R1zB8i911l3AYFtxoJRtNVjcJVCG4s4v7RU43C1UjZoEMUxklmn+/22RJF6lGu5c/+c3uHh4PDWQYtx/tPacsT7ehfYvNLYn5RT5sle0NikupOYM2rt/mgYJ5stoCFrRZMlMQCliRcFLAkzkut7vBVg+myCXttYLb6Hox9PgaYE+trWRzajeytqx3hojjgUygiBTyOTMtuL4QtCR7wBYNJB56jAGGoNGGoNGGoNGGoBMPQkA8J5q3mCmLYSpsviFmEn7ue5/aQr5iSb1kDaDED9Ieeko3QTG1MfdiZd4CLYMQnAPMstV5Gj52FqCWxY57Yjd3UyFz1MklEw0T52t/UEAQhLPOh03bupoYgpcIpCbPeBegnmu5Tw9jVvz2oLnU0x4W/r8EfL+ane997+aWTl77dUUVR/fmVo/OzTvm975693ImCjmtrYU+0XQhrnYTJq3uXRBCl5V0SQRLqGi3AkQRJzxjG6yh9UZQWt0niXmoFvC0LSIifTczjFrO5+V14iedyQ1FwQuiApyDXNveiqKdc2ySScNRHEIGr2yap79FSDrqyd2lymmUnZ3H3OMxzc5w26up/faz/1dFpeJwenebq5Pn27Z2rZiWmtgXG1769EwQhhCfU3v1aO5s3tKepypl1rr/XmdUym49WrzaZep972v39VH+k2tKoc0jmq2ytsyvaOgpvHdwW2jD2RDEIobgRFyeIIuTi7Ae1bomiUHMIABIFUS9wVbsIorRm49KiZ7+q/rYsHyFMNuri5nfoJZ5bEUXBCaGD7+JcnTqUZaM+gAhbnYmr79BSDnr6UrzjID1XJ0E3OQpC/RWR/lfpadbNVVEE5/nJmZpvdbRq4mJbW2gTl1DbAuNr38QJghCiE2riWAfNiGfa0CNtlRt84sV48zNr1wXYzrRdvilvfohNJdYZw65oHym8j1a2koIYhHxAsJI1h9gkgUQMpeMQmyQHNZkhFL4CGUGU1tykCnu5svHdluUjxOtG3WQyNx/Oe9b2ZcEJ0YPtJp2dOpRloz6ACFudm6zv0FIOunKT8dFpVITnQTfPg6NucpqE3eMsPeuepVERJZEqjvOZzWrVTSa2ttBuUlHbAuNr300KghCiE+omma9YjnbU9CXLl05x9v6C7vILl0dn3/nuS8Nvf++VThgEsflQXsRhajGccTL7dtcKh6evSTDeUf/Qpdrhmvcj2HppV7SXFN5LuJ+UKqZ+/kVbA+2JNhAh1xCcqrPuWpBExqK6Xu8sSULNkQhHkoe9wuVSBVlac6lhkEY9e6nWbVlCQiZo1KfO7yRLPLfMiYITYgfbp3q6dShLR30KEbo6p1rfpaUcdLtn/Kz7L9p7pl66eJlu7Wf8mHqXg8YGn/FjEiYYYUtn/JgQigSBAAid8YttZ/w+qpaMv6jc+Oudwf5BvxwODkfl9IoVc5C4mlA8NE1oigc6yU7gOdbHbEPwhEUT9pKpEDweQbGN7mN9TI2UYwaAwky5bvvgClzjob7MHOXLzS/F/CBN6j/Px2UEc2LD5/m4asGkSD3Pl16e53NeWnaHrxpMjU14aQOz1fdg7PMxwPy3ynm+dOtqR3jO83EpFJECHkemZbcXwpYED/iCwWwDT0iACFSaCFSaCFSCEWjI5wNzVYNH+bhKBY7ypZdH+ZyP7CFfMSXHssbOYqLnjzolG0H6KF+6dbUDPEf5uARgiiUf5Uu3F6KWxI55Yo1a7Ookw+OcVnvWFbhTa+dRPv/VUNcwUb72N3YEQQjLeejsnLmxs9l3Z0r2gcL7AJ962zD2RDGWvYgHo4nZryBJy5srgiTUZV2AI4/dpwIFSdrbWolTnVZcWyuShIRY3MR0cDEpnN+zmHiuzhQFJ0QOeCZD6NahLB31GUTovF06RLq0lIPe3JLy3Hku0H8bjK0tIL72vaIgCCE+oV6xvtD7T7GkXLCPFN5HK3tJQQxCRiB4ybqSckEgGUtp47glykFNZgCFZ3NGEKQ1P+krKJfkI0TrRt1kPrcezvv49mXBCbGD7SZ9BeWSbNTHD2Gr85L1HVrKQW/uK8Ry5/HEgtoWGF/7XlIQhBCdUC/JfYWYIKXCKXE31tYrxATbhRCiCfbO/fIJQRQRY+d+hZggCTW3ABxR1Etdr54QJGnN23nfICYJSAifjZq7+R1piefSO1FwQuRgmzvvG8Qk4ahPIAJX5+7qe7SUg263CLuw0d0MZ13tokuW6dZdhM3VC1aaoXZLsAibS5hghO0UYXMhFAkCARAqwk4sRdjLa6jL5wKrg5QP9Zd+bMaNNqBJ0Pn2C//hr1/tHL/wvbPqdGBiygB2Oo6N3z12u4KlcgS/6dqa5ioEi91wG+kpzOZqXE5RKxZmx6qwW90+W+H6KrNVuKN/MXeuKHPnikpmxZEq8JZns0HBbNlseTZbLZguieXZKliUZyvnVXF3+KrBpNmEyTYwW30Pxj4fA8yMK5Rna+1XO8Jdns2mUEQKeByZlt1eCFsSPOALBnMOPFMBwlBpwlBpwlBpwlAJhqEhHxJMW83VaLOVNl+jvQg/dz3P7SFfMSXdsgbQfB5YE3pKNoJwjfYi7Mw7wF2jzSYA8yy1RluPnYWoJbFjntiN3SspXDXayn+rzDVMlK/1vRJJEMJiHzp5Z+6VSFIqnJIw921nr0SyXQgrnoS5q3OvRBKl3b0SSRLqSi3AEQZZL7MuUfZFUTZis0QUkBA/m5jHLWZz4WxpXXku0BQFJ4QOeApC2SwRhaM+gghczWYJ0KOlHPTmXrdSuMqqVURtC4yvfXsnCEIIT6i9a/m6FcnWUXjr4LbQhrEnikEIxY24OEEUIRfnum5FEoWaQwAQFffyworSF0VpzcZ5rlsR5SOEyUZd3PyKNeW5NE8UnBA6+C7Ofd2KKBv1AUTY6kxcfYeWctCbezbOsRGrTVxMbQuMr30TJwhCiE6oias/sfYneDZOso8U3kcrW0lBDEI+IFjJmrNxkkAihtJxNk6Sg5rMAIq4UL3IGpf7oiituUnP6ThRPkK8btRNzu96U57L+0TBCdGD7SY9p+NE2agPIMJW5ybrO7SUg67cZBadR6dpkXfT4zDpJnkRd4vk/KwbpKd5cnpWBKdrcZOJrS20m0yobYHxte8mBUEI0Ql1k028lWu0d/OO731cTb+Kq3Pxw9n1LubLPrf1w65oPyi8H1Z2jIIYhJhPcIzO8mdBEhmr6HozlyQJNVcBHF6zKIjSmln0vppLlJAQkBu1i/PL3JTndj5RcELoYNtF76u5ROmoDyFCV2cY67u0lIPW//vLagXy+YUP/JbPGDZ7AC+01gloT6g8uCrIl3FbOoHneLPsM2y9y1GkiRN4k3uVOZru8lZH8t6q7NMn89W8izc7k6+qxb0faL9VVcPZqHbZVAlGRTt1Z5P4LFuiIklkyttjywOPCRC8Wd1qHlMoWOpPsV7uE2pMjZSSeUChVV2frU7kdNr1zXR7o97mywYTA/2sWRS41H6TrxZMDNSzZuryrJnzyrI7fNVgeiAZTHRo7PNlg/G//mwZqvWAr1URtcKjw7Tf9kLYkuABXzCYGtjeW2VZL7G+omXIFw2mCdqJMHeguMtXKnAiTF2eCHMGiUO+Ykp64wwIVyOXbMnNnABDdY74OsEcRz7npbYXopbEjnlijdpAped5fB51j6Mk6Ibh2bn+03HRzU+Lo+QkPkvj6GTK45zceWa77Ame86BXSuNEAdtf9hcEIawyoXPE9y9nfhc/vXJl+Q+ql3I8mty7+OHlGSg9Wbz4cVUJ/Mls5f7X+pOfVgUdZlb5pXntiSkLeX/y4eTdbmh/BndFW0nhrbTyhE4Qg7Cy1uDETxCo5bV5QRLqsiDA4ZpGClK0tizvmW5K4hGiJWnKVLcmn84XcD33KIqCEyIHf14Qpr3cdaxLEo767CFwdUvy9T1aykFXbi6Os/wkC1U3PD4Ju0lwrvSXBUU3VEdFGJ0FyUlx+vwa3Jx1i1e7Od/VIdbGwADbd3OCIIT4hLq5/27MmDZiDyb3zavUjE/7zBzWcpzrMu9y+ytj42zwu6LwCodf2aQJYhBCLW7SLn588boN5TlRFBF7plO/9cj6LVEUao5AQGwUfVGK1vxZ6Fw5uy0LSIiAjTq0+e1XynOhmSg4IWywHZq7V4eycNSnD4Grc2j1PVrKQbf7luLQtYLmv2JDLeOtvUiCqRfcBUMtU9NFEkyqBKNqpEiCKVGRJDLl7bHlgTthuA2rXStjCgV3v3CT5SuSYGqk7CIBCl3uialu3UUSXNlgYmi4SIKrFkwM1CKJ/LJIwnlh1B2+ajA9kPwkOjT2+bLB+N9okQRXqyJqhUeHab/thbAlwQO+YDA1sK22t0iCKxpMEw0WSXCVChRJ5JdFEs4gcchXTElvnAHhKZJgSm69SIKrE8xx5CKJfHshaknsmCd2c5fVHXuaeopX0DhRwPaX1QVBCItK6Byx4WV1QXiFw688TxPEIKyP4fM5z7K6IErby+qCKNSFPQTERtEXpdiMZXVJQEIEJE2D6pbV51fFKc/lf6LghLDB9vreZXVJOOrTh8DVLavX92gpB73BZayhq/AhDaiNgQG27tAkQQjxCXVoaypjlWwlhbfSqlZOEoMQk3ErV7c0LwkkYuicZaySJNSMAnA4/JwkRWt+zu3mRPEI0bJJN5cGs9yfeu6bEwUnRA62m/OVsYrCUZ89BK7GzQE9WspBt1wk4fJn/ssX0mW8dRdJcPWCu2CovWq4SIJLlWBUTRRJcCUqkkSmvD22PHAnrEEnxhQK7n5RHJazSIKrkbKLBCh0eSemujUXSbBlg4mh2SIJtlowMRCLJNJwUSSROq8SusNXDaYHkp9Eh8Y+XzYY/5sskmBrVUSt8Ogw7be9ELYkeMAXDKYGvtX2FEmwRYNporkiCbbS5oskFkHiridIHPIVU9IbZ0C4iyS4ktsukmDrBHMctUhCj4iFqCWxY57YzV2Cj1xFEmlE40QB21+CFwQhLCqhc8R1LcELtpLCW2nlCZ0gBmEhrcGJnyBQy0vwgiTUZUCAwzWNFKTYhCV4STxCtCRNmeqW4Oc3kaWeq+VEwQmRgz8v8C3BS8JRnz0Erm4Jvr5HSznoDS55jZwFFTG1MTDA9t2cIAghPqFurtmSV0l4hcOvbNIEMQihFjdp7pJXSRQRe+YueZVEoeYIBMRG0RelaM2f+UpeRQEJEbBRhza/3Sv1XNcmCk4IG2yH5it5FYWjPn0IXJ1Dq+/RUg665SKJ2IanPVfixcuW8dZeJMHUuxw0NqxIgkmVYFSNFEkwJSqSRKa8PbY8cCcMt2G1a2VMoeDuF26yfEUSTI2UXSRAocs9MdWtu0iCKxtMDA0XSXDVgomBWiSRXBZJOO/KusNXDaYHkp9Eh8Y+XzYY/xstkuBqVUSt8Ogw7be9ELYkeMAXDKYGttUuil6e2jQP+ZrBLNFgjQRXqUCNRHJZI+GMEYd8xZTsxhkPnhoJpuTWayS4OsEUR66RSLYXopbEjnlijdoTFR/F+VHYzY/js26Snhfdozw87RYn58FZfBaeHmfHUx7n3M4zuWXP75w1EorGiQK2v6ouCEJYU0KniFdqJHZMbcPvJ/+rG6hpBUSUBYG5TduGuiuKqnDUlSdlghiExbAGJ2+CQCIr6XqSp2wot0RRqGt5AIhrLihI0d5KehL0lDVL3ZYFJEQ90synbiVdzdddnZei7cuCE4IH2967e3UoC0d9+hC4upX0+h4t5aA3uNYhdtY6pNTGwADbd2WCIIT4hLqyhmsdBOEVDr+yTxPEIIRa3Kd5ah0EUUQcmqfWQRCFmiMQEBtFX5SiPYfmq3WQBCREwEYd2vwWrNRzr5koOCFs8B2ar9ZBEo769CFwdQ6tvkdLOeiWax2S3l/ZALXrcrw8NlR5XhRRvAy49moHpl5wOws1TU1XOzCpEoyqkWoHpkRFkgjIM4c9dzpx5+JnVQ/8cfKg15l8pNv3qxud8pkg0n9bOozlOFpFOaOlP3KvWgqbe2BrR+6xWwncWcP9YO26HVMouJ2Guz1f0QVTI2VbClAYKZu8PlteK1UXhdudcWWDKarhqguuWjBB+aoucJ13+DrBxETysteER8pdacEVDuYeeqWFCpztfMCXq4hy0U1Vm8wBXyaYCNgO3xUXhnzJYEqgVVjEvgoLrtIVKyxwjYd8jZTkxRkA7lhQskXLVFVkytm+I75UMIuRCitsEsc8iUYjdqDRUDinj575M38KGbomkVlAI0URW1+6lwQhLFyhs9A1vXRCspUU3kr4lNGGsSeKQVisa25OJwkkstLvfOmEJAl1qRHgiLKesoH0RUFaW+t3r/SL4hECJml2VLPSn81fFJx5Xv0sCk4IHux5gHudXxSN+vAhaDXr/EB/lnLQG1yJkfQip6GLqM2BIbZv6ARBCPEJNXTN1mJIwiscfmWfJohBCLW4T3PXYkiiiDg0dy2GJAo1SwAgUc+1jC8J0ppF85VjiAISgmCjJm3+KqnM83IwUXBC5GCbNF85higc9QFE4OpsWn2PlnLQLZdjKKfxSryAyTLgussxuHrBXS/UNzVcjsGlSjCqJsoxuBIVSSIgr6YcIxYrx6i6/P70c65yDG4rgbtwuCWsXbpjCgX33nDD5ynH4Gqk7GgBCh2xqM/Wt+Z6DLZsMEc1W4/BVgtmqKbqMdg6wcxEMrPXdjajXuEox2DrBnMPvRwjTCN3OQZbriLKXWUrdsCXCSYCtsN3l2OwJYMpoblyDLbSFssx2BopyYszAJyhoGRrlqnGiJLYXY3BlgrmsAaqMVgSN3fxXnmqMRxnFlykKGL7i/eCIIR1K3QS2vDivSC8wuHxiaANY08Ug7AEh8/UPIv3gihtL94LolDXDiGQLLKS9EVJNmP1XhKQEAVJE5661fv50bvMc5hSFJwQOtje3rt6LwlHfQIRuLrV+/oeLeWgN7hqVnmKLPz1wZbmwBDb92mCIIQIhfq0dVXNCraSwltpZUMniEGIyrihq116FwQSsXXuqllBEmpOATjyXuFayRcEac3UeSydJB4hYDZq6fK5Acg9lk4SnBA82JbOY+gk0agPH4JWZ+jq+7OUg265HCN1WbTcXxaslgHXXY7B1QtueqEOq+FyDC5VglE1UY7BlahIEgF5vnKMyQfPBIlMPYb2WPrnPda9OOtcV0UGt6HAjbjmbCFXKLj9RrF7zooMrkbKphai0GHjuPLWXJDBlg1mqWYLMthqwRzVVEEGWyeYm0hm9tpgcI2Gfb5uMPvQCzIidzMf8OUqotxVdmMHfJlgHmA7fHdBBlsymBGaK8hgK22xIIOtkZK7WAPANQJKtmaZgozY3bwjvlQwhzVQkMGSuLkL/am7ICOPaKQoYusL/ZIghHUrdBq6poV+yVZSeCvhc0Ybxp4oBmGtrsEZnSBQuwv9kiTUtUaEI3KV7EuCbMBCvygeIWCS5kY1C/35/Jxe7jl5KQpOCB7saYB7oV8UjfrwIWg1C/1Af5Zy0BtcYZu6KzfyhNocGGL7hk4QhBCfUEPXbIWtJLzC4Vf2aYIYhFCL+zR3ha0kiohDc1fYSqJQswQEUjgKbCVBWrNovgJbUUBCEGzUpCXzpO689ndfFpwQOdgmzVdgKwpHfQARuDqbVt+jpRx0y/UYmQ1P2y5lx5texhKGy3hrr8Zg6gV3vFDX1HQ1BpMqwagaqcZgSlQkiYC8mpdjWMfNHls+uDeGO7XaFTWmUHBHDPdhvhoJpkbKPhOiMEh71rDWZytsp0yi6OWpTfdtvm4wezRcJ8FVC2YPX53EtdxuGm97mtqNMldGv8NXDeYQkum0jGmleoF1eOzzpYOJglE4Eeqf7a6c4OpVRL3wKDFtuL0QtiR4wBcM5gm2L3fGjCFfM5gyGiyi4CpdsYji2igYXsaKu55YcchXTEl1nPHgixMlW7ZQVUUUhJ6yCq5WMOWRyir+tWm77YWoJbFjnlijFrtk3PA4J4SeGTF7UmifZulpoeNYqYsTBWx/NV4QhLAQhc4rr5RX7JiyiN9P/lc3UNPiiSgLgskj+8xhVxRV4aj4TM6GsSeKQVhBa3BGJwgksgKvZ37KhnJLFIW6AAiApHmvsEfyvihKe2vw2nurxAZ4WxaQEPpI06G6Nfj5KxFyz0suRMEJEYTt9d29OpSFoz6CCFzdGnx9j5Zy0BtcKpH1IltjaGuWURsDA2zfmgmCEOITas0aLpQQhFc4/MpmTRCDEGpxs+YplBBEEbFpnkIJQRRqjgBAil4axDaSvihJey7NVykhCUiIgo26tGye0zOPS5MEJ4QOvkvzVUpIwlGfQASuzqXV92gpB91ypURuw9O+y/FijhletIy39koJpl5wlwu1TU1XSjCpEoyqkUoJpkRFkgjIm/xi8sHkvckHZvHwG5N/mvz95MPJR/oDv5r88+S3nertEp/qlr58v8T9ju6Ce5OPzacu3jL/qvqqTlj0gqgXBVHaq0osTMFFV3ffx9WXfzZ9N8WVDrz4qf6aX+jffz55pP9u/PH9ySfmy3bMgbAH+isfVEPi805ULWnqD/+wstCvm88/1F/xg2p8mIFjLiZ5uzMbR/pbP//8i7aW32O3PLh5h7vM2iVBplBwxw73kL4iD6ZGys4XojCJXBcBcxWKFHlcy6D95/YODweHsxxajvef0qan2NkPi+BpMy80+k0y3Qms+fQ2Hw/Mj/RakLAoHDXN3+SrBfMjtRYkv6wFcb5t6w5fNZglm7DVBmar78HY52OAabG+LsSh3cjeutoRLooDPoUiUsDjyLTs9kLYkuABXzCYcOC5CRB8ShN8SjD4DPloYIqiFZVEzsBzl69UoKgkvywqcT6th3zFlNTKGjaL+Z4/4JRshGYKTOqDzbwDXAQjPgGYXcllJ/n2QtSS2DFPbDXticPz0yRIusFpEXeTVKXdogjDrjo+Oz45OQ/CKJo9Bs7ZtWd5gT3DdpadFDROFLD9vQ1BEMKqHjpJv/pWj5FlbjcrRAn/alqJcvF9s9uh53Tmyx53qtd+vD6d0OtZ5KJYZSt2vc9DsH0U3j74XNqGsSeKQVjDbHBiKggksgniqVURRKEuwSIgSdFLXfepS7K0tg1S6LBvjfu3ZfkI8bKJ6dpi0lbM18wLz8RNEpwQQeCZBtypQ1k26hOIsNVtgtR3aCkHvcGlKrmrVKVwvI7O3RgYYOt2ThKEEJ5QO9dsqYokvMLhca82eWe6g2RsafWKueqY6MzI3pt8UW0+PDRudfqh3+s/PjLXnl+8Pv3L7J+Yv/xq8lU3CzqTD3XTfTVrtgeLZptvekw+M255/pZuY33Nz35oa8890fYkhHzcNLprZiRRROyiu2ZGEoWarACQMOrlLrcoidKaWwyDsJemNsDbsoCEeNykXSyCmbuY/sEGvi8LTogdbLsYFaGzaEYUjvoIInA1fhHo0VIOuuWiGWtU1Q4w9OLFy3jrLprh6gW3A1ED13DRDJcqwaiaKJrhSlQkiYA8qaKZSOaSmC/1jzZregtHamvePXbzghuVuJesW4DkCgW3HXGn6KmM4WqkbN8BCiPlegUwV+D6CmOKaLYtXYTemhg2GZj+mq2JYasF0x+xJqYIFzUx02a2qb7DVw0mwSZcs4HZ6nsw9vkYYNZboSZGa7/aEe6aGDaFIlLA48i07PZC2JLgAV8wmGrgqQcQd0ow7gz5VGBeaq4chq20+XKYRby563lQD/mKKfmUNWIWMzl/rCnZCMLlMIs4M+8AdzkMmwBMrNRyGD12FqKWxI55Yo3a8yN1qufJqf8N6obHOW/2LByw586ucpgionGigO3vnwiCENbr0Om31CU3v5n8n109v/xdVwXm6xy1MZKNpfDGIkyZ3zW7KnpKfE+30fRQx9WzIIsmvDJbNRNBUzvkaNfZp6uWvQc36U6n2tW6PHby+c5UzIMnz53cn/3U3vzbq+oQSs/s85gypgdm56hactHav6gKnb7S//1Rf+VT1bLMF2YraIH1sTm3Uqk2CzXzm1vvTT7vme23x9O9pkr35539m+Vo77AzPBwMnuuk/5+/y9TTneqTWvTFj8wulKH9ZHrcZUmJhu3Zxsye6JghrAs3uA4gCCSys+S8WEiShLqqDXBEWS91LSsIkrS2r+Q+ii2KR8hSTcyPF7Pk+U00hedmIVFwQvSAp3bXXjCYJMr5xhxROuoDiNDVbSvVd2kpB93utlJkfVS1MY69eMky3tq3lZh6wRU11Nc2va3EpEowqka2lZgSFUkiIE9qWykW21aqxsr96eec20rM5gXX+hq0k0yh4PIdxSa6t5WYGinLYIDCXEu0HkPqsxWucV8pma/vxv59JS4ZmP8a3lfiqgXzH3VfKb7cV4o9+0pc1WAWbMI3G5itvgdjn48Bpr1V9pXirasd4dlX4lIoIgU8jkzLbi+EXd9X4goGcw08+QDiTgnGnSGfCkxMDe4rcZUK7CvFl/tKzgf1kK+YklBZI2YxlfPHmpKNIL2vFG9d7QDPvhKXAEys5H2leHsh6vq+EkesUYvdzGt4nBNnz8oBe/Ls3FdKaJwoYPv7SoIgy67D10Hg/FtqX+l9PZl8txvaJxa7oq2k8FYiTJbhDaWV9o4WzfY12Pex9eyeaM8SFm4bnKcLArW87SNIQl11Bjjyoud4+0hfFGUT9n0k8QhZpIn562IWO7/atvBcViwKTggf8NTr+hmxKOtFqY1uKEtHfQIRurp9n/ouLeWgW973cRlX5cW7dhnz2vd9mHqXo8aG7fswqRKMqpF9H6ZERZIIyBPZ95l88EyQyGz8TC3s4ycEubZ+mC0MLsc1aCmZQsEVNopVdG/9MDVSVqoAhZ4TRUyBa9z5SecrsMq/88MlAzNgwzs/XLVgBqTu/FzeuFx4blxmqwbzYBPO2cBs9T0Y+3wMMPGtsvOjtq52hGfnh0uhiBTwODItu70Qdn3nhysYTDXw9AOIOyUYd4Z8KjAvNbjzw1UqsPNzeWuz+0E95Cum5FPWiFlM5vyxpmQjSO/8qK2rHeDZ+eESgImVvPNj7nW2x5gxT+zm7vw4ViX1BDqlcaKA7e/8CIIQ1uzQGfi6dn4EW0nhrUSYLv955wfc+RHsWcLSbYPTdEGglnd+BEmo684Ah+/AjyDJJmz8SOIRkkgT09fFJHZ+n3LhuSFbFJwQPeCZF23jR5KO+gAidHUbP/VdWspBt7zxE9nwtG/13y2ZLuOtfeOHqRdc8EJtZ9MbP0yqBKNqZOOHKVGRJALyzPs2djpx5+Jns/cPPzC3Jur2/erGBrwOjtlK4Ipag66QKRRcJKO4PffmDVMjZbEJUOh8GzBT3hq3bvL5Emrm37rhkoE5rOGtG65aMIdRt26yy60b56XOd/iqwUzWhPc1MFt9D8Y+HwNMXats3WRbVzvCs3XDpVBECngcmZbdXgi7vnXDFQwmGngCAcSdEow7Qz4VmJUa3LrhKhXYuskut26cD+ohXzElm7JGzGI65o81JRtBeusm27raAZ6tGy4BmFjJWzfZ9kLU9a0bjlijFnvjheFxTn49s3/2BNi5deO/A/IaJwrY/taNIAhh1Q2dQ0tt3YAvgxNsLIU3Fj7vxXdw/vwyuFW3hlwvgxMcM4TV3QZXAQSBWt4bEiShLk0DHFHWUzaQvijIJmwNSeIRklQT0+PFJDmf7yM4L/belwUnBA94Zkd7F5wkHfX5Q+jqtobqu7SUg255ayi24WlfXHjxsmW8tW8NMfWCC2qorW16a4hJlWBUjWwNMSUqkkRAXs3W0Jpf6cZsJXDFrkFTyBQKLsJRzJ57a4ipkbKYBSh0xKI+W9/a9oaiIJiv0Rb+vSEuGZjEGt4b4qoFkxh1b6i43Bty3nV9h68aTGVNmF8Ds9X3YOzzMcDctcreULF1tSM8e0NcCkWkgMeRadnthbDre0NcwWCmgWcQQNwpwbgz5FOBaanBvSGuUoG9oeJyb8j5oB7yFVPSKWvELOZj/lhTshGk94aKrasd4Nkb4hKAiZW8N1RsL0Rd3xviiDVqseJIw+Oc/Xqm/+wZsGNvKAr8twhf40QB294bEgUhLLuhk2ipvSH/sR7RVlJ4K+EzXnxTaKX9n6/9sR7RniWsvjY2SxcFanXrRpRk2aB4SPA5v/32vL4oyPq3bmTxCDmkidnrbA6rmabr/LM/2MD3ZcEJwQOeeFFO9cjSUZ8/hM6/dYN0aSkH3fLWTWLD07Y19OLly3hr3rph6wXXu1DX2ezWDZsqwaga2LphS1QkiYA839bNBryVjd1Q4Jpag76QKRRcJqP4PdfuDVsjZbkJUejycUx5a9y8iaaLqFq6b/OGTwamsUY3b/hqwTRG27zRcuabN7Nmtqm+w1cNJrMm7K+B2ep7MPb5GGD24m/eGO1XO8K5ecOnUEQKeByZlt1eCFvevOELBhMNPIcA4k4Jxp0hnwrMSo1t3vCVNr55cxlv7noe1EO+Yko2ZY2YxYzMH2tKNoLs5s1lnJl3gHPzhk8AJlbi5o0ZOwtRy5s3PLGbu3mTODdvIhonCtj+5o0gCGHhDZ1Gr2vzRrCVFN5K+Jz3z5s36OaNYM8S1l8bnKQLArW8eSNIQl08Rjgcp0D7oiCbsHkjiUfIIU3MXhdz2Gi+0h955rGS4ITgAU+8aJs3knTU5w+hq9u8qe/SUg5a/+8vn1zDMOb1Wz432/BujrLxah8be3hVGCzztrSbEzqM9zNsweAKGOpDq+2cyg99XtmNT8w5aJOZteXRtvP1yQPjbqqT0saUPJh8pt2QsVL60z/Uv0+PNpvPTW1pZV2MX7t/8XMb+C4bPMHAG9nxYUpUJIlMeXtseeDyF8HCPYpsCp9jKwSXsiiezL3BwtRIWRICFFrV9dnqRPZXCBaKKxvMGvTNkzQNHWq/yVcLZg3q5kl8uXnivJf7Dl81mDpI9hMdGvt82WDgr98sQbUe8LUqolZ4dJj2214Iu74lwhUM5gS2M4/0D++F1o2EIV81mCdoWx7uSHGXr1RgyyO+3PJwRolDvmJKfuOMCNdTV7IlN7PFgeoc8XWCSY68kRFvL0Rd38jgiDVqz5Oz4yJNj7rH+nczHzzu5sH5cTcIlJ4q5nlYqFkadE79PJNh9vTPuZGR0DhRwPY3MgRBlh2Ar4PACeQ70+q++RzxgVlPr9bCZyWCplzMrJJ/oj/xZrUA/qj60i/NOrf+si+nX/Aby2u5pmWEj/RfP71448kPvT/51eR/dK9OUyefP3Xn3452Lien3cvZ6dM7HVMtN/nM/NSL71eL89/X//hjI3G2sh52wx118SP9lR/qf2gAHk4ed826vv6n96ccO51kJw71j/iDret2RbtO4V238vxSEIOwGojPQy9+fPG6DeU5URSZTQQbxy1RDuoSJkDhmtQKUmzC/oEkHiF0kyZwdfsHyXyx2Xnx+74sOCFisGcpcZ67unUoS0d9+BC6uv2D+i4t5aArb6nOiuwsyVX35Ow87CbHx2m3OErOuio4O1VRlJ4fn866vV1vaV3O1N5SURsDA2zfWwqCEAIU7i2ve7mqjuLedFPC2M3XqzMo1eZDOdzt/Nv+v73ZKfUPPnulqsP4TH/tT6ovM0bzkf5Y9S3u6z8GO7F51aqtpXZFW0rhLbWylRPEIARm3Mq5txQESWScXM8+Jb8likLNJwCIy8wJUmyCmZPEI8TKRs2cmmd+90XzsuCEmME2c1EQeMycJB314UPo6sxcfZeWctAtn+S1Fvhoe5Z68NKwWMZbf+0HUzC4gYfaqzXUfjDBEwy8kdoPpkRFksiUt8eWB+7zNWHUmArBPT2SAXPWfjA1UvbGAIUuZ8VUt+7aD65sMGs0XPvBVQtmDWrtR3pZ++G8afcOXzWYOkhuEx0a+3zZYOBvtPaDq1URtcKjw7Tf9kLYkuABXzCYE/hGXAVFb3YBwHUjzlUN5okGaz+4SgVqP9LL2g9nlDjkK6bkN86I8NR+MCW3XvvB1QkmOXLtR7q9ELUkdswTu7nr86mz9sN/C981ThSw/fV5QRDCmhM6gVzn+rxgSym8pVaezgliLKd3D0YT0z5BkrbX5wVRqEuEAIhrFilIsQnr85J4hFhJmjFdS+BL6/PZfDHXfZu4LDghZvCnBd71eUk66sOH0Hm7dIh0aSkHvcGFvKmz2MJ/Y5ylMTDA9s2cIAghQOFm7s+FvNOm2BXtOoV33cruUhCDkClwd+kp5BVEkbGXNo5bohzU9AZQuLylIMUmeEtJPELobtRb5nMj4r6AVxacEDHY3tJfyCtJR334ELo6b1nfpaUcdMu1H5kNT7vFwocXXSttWX/tB1MwuIGHur011H4wwRMMvJHaD6ZERZIIyLt8x7t5pbt+Bs1vTyynWpZb987Pz/7jq0ed4csvnZ+98soLL7149O1OEIadoemgvPpT5+Do1e+9rD8+fOHFM/P+uZ1OqCfjnf/c0XPyjjbkUU8ps+ZauzTbyzuutdk9djOC+5G4nXQvVjIVgnuPBJfoqVFhaqTs4QEKo8RxLKLPVrjuOhWubDDDNVynwlULZjhqnUpxWafivp2XrxpMcyRnjA6Nfb5sMEnR61RC/VOzrBe5ilW4ghVRMDxETCNuL4QtCR7wBYPJgT1zSMIk7dk30od81WDCoBWrFIW2ma5iFa5SgWKV4rJYxX2xLl8xJdFxRkQYhDowx46r7Eq2cJmSlSiJw1D1clfdClcsmPTIdSvF9kLUktgxT+zmbnVkrrqVMKBxooCtb3VIghDWy9DJ75+3OuZdtyvadQrvOnxufPHD2RvSzVpfR7faG5OPzRTX7B30bIx7ooyEVU184ureB5FEaXMfRJKDuhQLUER5L1E2kr4oyQbshYjiEWI7acZXsxcSzq8/DT032oqCE6IGe0bjrbMRpaM+gAhdzV4I0KWlHPQGF01nrjqb0HvDka0xMMD2zacgCCFA4eZzbUXTki2l8JbCvd7kf868nollT3g9x8L+nighIWbjTs+5RSFJImP0nPXUkijUVAOARMpsg1lXAvuiLJvg9iTxCMG0UbcXzq2B5ypXUXBC5GC7vTj3uT1JOuojiNDVub36Li3loFuufLEeoNX+LfLihct4a6984QoGtwRR/9V+5QsXPMHAm6h84UpUJImAPG2PP+jmvc7kPd0Tn2r393Ba8GKa1/SWbvuLH1681ZncmzwyV0DqD93XXWM69N6NzuT3umu+qK6HNKuEj6brtRevdya/mHw4+WjyweQXncnvJu9N/nHy0U6n6s775rO/McbS3NaoP/gDc+Hk9F5I07cXb+9YPffSSq7+YfrrXq+WgX9SjZF7naSbuotkuC0O7oM24UCZCsE9T5KzdBXJcDVS9g4BhYnqWesT+2yBa66RYcsGc2GzNTJstWAuJNbIhNGiRiZ0XtF3h68aTIgkD40OjX2+bDCd0Wtk4iAKsl7mKJFh61VEvfAIMW24vRC2JHjAFwymBvYUw/s+F7ZqMF00VyLDVtp8icwiUtz1RIpDvmJKmuOMiDBMsiDt2es4SrZumQqZRMWhHhXKpnXE1wpmPGqBjB4aC1FLYsc8sZu7R5E7C2RiGicK2P4ehSAIYVkNnSOvc49CsKUU3lL4jNWGsSeKQVhObGIaKEjS9kaEIAp1FRQASbJekFkjY18UZRP2ISTxCAGTNIeq24eI54vWzmsb92XBCYGDP0nwVp1I0lGfQISubh+ivktLOegNLnnOnVUnCbUxMMD2HZ0gCCFA4Y7uzyXP06bYFe06hXfdyhZTEIOQKXCL6alqFkSR8Zg2jluiHNT0BlContUo90U5NsFdSuIRgnej7nJ+q1/ouahRFJwQM9ju0vt+F1E66uOH0NW5y/ouLeWgW65ysS4ha7+ovHjRMt76q1yYgsFNPdTvraHKhQmeYOCNVLkwJSqSREDe5BeTDybvTT4wjfuNyT9N/r6qTnlP++V/nvy2o83uvPbl8cWPKut9v2MKXLTN1Z+6eMv8q+qrOmHRC6JeFERp56mqNz/rhfnTvc7kd92M+c4Y3RJBZ/JR584L/+GvX+3svvTiyctnr1Zvi+moILh4U5lK7Nd7nWhHVe+A2Vle6/18vtb7eSfY8b0nhtsd4D4nbkzda59MheCeJsFvekpgmBope4OAwihScc8axPtsiSJFMNeSbv+5vcPDweEs7Zbj/ae0UUp39C+Z+SV/2kRAA2GS8E5gzcO3+YxgXm24YoarFsyr1IoZdVkx47zH8A5fNZhcm/DjBmar78HY52OAqbK+gsah3cjeutoRLooDPoUiUsDjyLTs9kLYkuABXzCYb+BJDRCBShOBShOBSjACDfl8YLZqsAKHq1SgAkddVuA4H9lDvmJKlmWNncVk0R91SjZCM8U49RFn3gEughGfAEyx5BIdtb0QtSR2zBNbudvkNMtOzuLucZjn3SRVUfco1nP0pDg6DY/To9NcnUx5nFNzz9oEe3ruLNFJaZwoYPsbOoIghDVBdIL/6+o07JfVkYNPqgneX02n6uajepZnNkde0xOxe9MdmWnlzidmk8bspnT1bw+qLZbpVz2otnqqr7K1zq5o6yi8dfAptg1jTxSDsP5JmJo6drGeE0UR2TMJevZYeUsUhbpuC4DEcd4LcitLX5Slta2TtOipxMZ3W5aPECebmKstZmzpfKHdeanmviw4IXbA0wy4U4eybNQnEGGr2zmp79BSDnqD63IKZ12O9woqW2NggO3bOEEQQnhCbdyf63LmXbcr2nUK7zrcY172Xp2xrnpJRXln73svv/TKq0cvd25++9svv/S9F087UWBapKcbzvR89V0emD2U13Q/fF/3uf7GpmJeVe3mffeNYPMR8hPubT31QIIoIt7WVQ8kyEFNqwBFYl2v64titOZpPeVAkniEnNGopZ3fOxl6rhIVBSeEDLalDYMoUO56IEk86uOH4NW52vo+LeWgN/j8YGGvY9Su1nv5la0xMMD2Xa0gCCFC4a52fecHBVtK4S1FMJEbXqQj2J6EFIG7SncxjyCJjKl0H2QURKEmNgAkiqOwp0LXK3IEYTbBXUriEWJ3o+5yfvNk6LlMVBScEDrY7tJ/lFGSjvoMInR15rK+S0s56HaLzWNrn2q7WHjx4mW89RebMwUvh42vX7E5EzzBwBspNmdKVCSJgDyBYvMNv5X0+RdtXbLH7pLlZCNYcM5UCJbwkbyns+CcqZFSCgco9FxMylW4vnrzKNjRv4Tml2he7Vn46825jGBqbbjenKsWTK3UevPLW0xDzy2mbNVgfm3CkhuYrb4HY5+PAWbLVerNi62rHeGpN+dSKCIFPI5My24vhC0JHvAFg+kGntcAEag0Eag0EagEI9CQzwcmqwbrzblKBerNLy9FdT+yh3zFlCTLGjuL+aI/6pRsBOl682Lragd46s25BGCKJdebmztT7dFmzBO7sVs6ceCqN5/dhA1zooCtb+lIghCWBdE5/hq3dCRbSuEthc+41zPrtbTdnmjbEdZgG5gaS5K0vH0jibJsADwo8EzbdyGWJMsG7N6I4hHCdBNTxfmEMZrflRl5rj8VBSdEDniWQ9q9EaWjPoIIXc3uDdClpRz05ha8ax9pTSfaR/pvB7M0BgbYvo8UBCEEKNxH/rngfdoUu6Jdp/Cuw43tZhW8SzYfIUPh3tZd8C6JImNubRy3RDmoaRWgSFwvwJTk2ARXK4lHSBqNutr5naCR55pXUXBCzGC7Wn/Fuyge9flD8OpsbX2flnLQm/s6Dm1rrYFL29qI2hgYYPu2VhCEEKFQW9vy6zgkW0fhrYM7RxvGnigGIRrjDs79Og5JFBEH534dhyQKNYkAIHHay6yXEvZFSVqzcZ6XcYjyEaJkoz4umud8542I+7LghMjB9nGel3GIslGfP4StzsTVd2gpB91yZblr1zr24iXLeGuvLOcKXg4aX7vKci54goE3UVnOlahIEgF5MpXl70w+6Ob69/cW/7wqLjd9ZoaA7tCLH1681dHf59HFD6o98fu6v80ouXejM/m97u8vzIjR/X9/8mi6atzRSo20Dya/6Ex+pxX+4+SjnU41Qu6bz/5Gu/SP9Tf8XH/wB/r3L/S3M+vSlQPfse7AL60m3zdnLCv3/9B8WTXQkm7q25ln9iJYHUjwtM4dd6ZCsL4Pt6qeYnSuRkqdHKAwCnqRsinssxWusRg9MXXoyvySzkpBo9hbjM5mBLNxs8XobLVgNiYWo0fxohg9cl4jeIevGkzJTXh4A7PV92Ds8zHABLtCMbrWfrUj3MXobApFpIDHkWnZ7YWwJcEDvmAw3cATISAClSYClSYClWAEGvL5wGTVXDE6W2nzxeiLyHPX88ge8hVTkixr7CymmP6oU7IRhIvRFxFn3gHuYnQ2AZhiqcXoeuwsRC2JHfPEbu5uS+gsRk9onChg+7stgiDL/sPXQeCyQNu7LYKto/DWwSfmNow9UQzCmilhZurebRFEaXu3RRCFutoLgMS9IHbttgiSbMRuiyQfIUo2MVNbzNfmd4xGnmtjRcEJkQOeZMCdOpRloz5/CFvdbkt9h5Zy0BtcCR46K8EVtTEwwPZNnCAIITyhJu7PleDzrtsV7TqFdx3uMDesElyw+Qj5CXe2nkpwQRQRZ+uqBBfkoKZVgCLoxcoG0hcFac3VekrBJfEIWaNRU6vmHshzC6soOCFosE1tTSm4JB71AUTw6nxtfZ+WctAb/KaM0FkKnlIbAwNs39cKghAiFO5r1/emDMGWUnhLEWxk8+U6tpbZE20ZQrDHHaK7KkeQRMYgut+DIYhCTVEASBT0cuVa+xRE2QSXKIlHiMGNusT5JYGR59ZHUXBC4GC7RP9rMCTpqE8gQldnEuu7tJSD1v/7yyf7NdG/fcvnBhuuPXetb/puBFJhtMzbVu152ktsgp9hC16OI03Uns8XI6c1yFcWGfXvf5iWoz80Nq/yIN9fVJrPFjWNpamcyeyLgQJ0Jn2C0TdSgM6UqEgSmfL22PKWw/HqldVmEJj1zUc2oc+xhYI1aySL5iywZmqk1H4BCq3q+mx1IsXVBDvFlQ1mEHq9dBS61H6TrxbMINR66eyyXtp5Ed4dvmowjZCsKDo09vmywfhfXx+Naj3ga1VErfDoMO23vRC2JHjAFwymBrZLT4KilyY20UO+aDBN0Eqb3YHiLl+pQGlzdlna7AwSh3zFlPTGGRCuRi7ZkpspZUZ1jvg6wRxHLljOtheilsSOeWKN2uD45DQLwpPu0anKukl8lHSLVJ1187PkPDyJVVHEx1Me5yzQMy9mzwSdBcu+C7wsnChg+3sCgiCE9Sh0Lvn+k3NEU9RS1axUH6vmifcv3tAzxXudp+afejz5+OK/Te6bpW0z/TS1Je9Mfvn0rMxZBdWboas/d5596c6db+4ddP7dXr8szUukO2EYZ9NPPvvSt7/9H89enM1JURXzz3xqltv1nPaL2ey1qqj+tDpo3bn4cfXhh7bu2RXtHoV3z8ozSUEMwuJfgzNOQSChzQNXfYkgCXXlEuBwzV8FKTZh20ASjxCmSXO1um2D+UWZkefuU1FwQuRgT0jiLOolrl0DSTjqs4fA1e0a1PdoKQfd8gtqXMUihQcvjdQy3vo3CZiCwdUd1Nita5OASZ9g9I1sEjAlKpJEprw9tjxwJahBy8YUCq7+UKyYe5OAqZGyigIodJksprp1bxJwZYMZpOFNAq5aMINQNwkub/iMPDd8slWDaYRkPNGhsc+XDcb/RjcJuFoVUSs8Okz7bS+EXd8k4AoGUwPbk3s3CbiiwTTR4CYBV6nAJsHlZZzuIHHIV0xJb5wB4dkkYEpufZOAqxPMceRNAnPFpj0wjHliN3eTIHZtEsQBjRMFbH2TQBKEsPqEziXR5fk/lU0Cye5RePesOpOUxCAs9TU345QEaneTQJKEulAJcDjmr5IUG7BJIIpHCNOkuVrNJkE8v48x9lyxKQpOiBzsCYlvk0AUjvrsIXA1mwRAj5Zy0C1vEiQ2PG0M/Tctpct4a98k4AoGV3dQY7emTQIufYLRN7FJwJWoSBIBeeZ+sZ1O3Ln4WdVTf5w80P7oI93qX90wlvh3Xeu+2R4bAFwratDUMYWC60MUs+bcRuBqpKyzIAqDMOrl1kWAPlvjmjcT2LLBTNPsZgJbLZhpiJsJcbjYTIidFxHe4asG0w3JoKJDY58vG8wT9M2EKIyyIO0Vjh0FtmBFFAwPEdOI2wth13YU2ILBLME28L4dBbZoMGPQdhTi0PWqm7t8pc3vKCwixV1PpDjkK6ZkOtaACJPC3GWS2nSXbN0y2wpxWASp68VdI75YMOVR9xb02FiIura3wBK7uXsLjnvF9BQyonGigO3vLQiCEBat0Ckouqr/J7O3INg9Cu8efAK61Dbzdvt3d3Rbd6o7zh6ZRup0TSOYF2ya12qGiTVQ74niE1YWG5y+CgK1vCchSEJdF0U4QnNJZOaaDQvCbMLWhCQeIcqTZn51WxPz61hjz/26ouCEAMKe2Xi3JiThqI8gAle3NVHfo6UcdMtbE8qGp31l7MXLlvHWvzXBFAyuFaG+cF1bE0z6BKNvZGuCKVGRJALyarcmrCNsjw0ALjo16O2YQsGFJopnc29NMDVSFmwAhWbBzr6E0GdLXPfOBFc2mGga3pngqgUTDXVn4vLu2NhzdyxbNZhtSP4UHRr7fNlgmqDvTOSqUDqzuzYmuHoVUS88Qkwbbi+EXd+Y4AoGcwTbvns3JriiwXzR4MYEV6nAxsTlVa/uQHHIV0zJc5wBEaZZmha9TNl0l2zdMhsTYZQXcdRLrWJHfLFgxiNvTJirXO0hYswTu7kbE8q5MZHQOFHA9jcmBEGW7YCvg8AJKLol8CezMSHYPQrvHnz66d+Y+P7llWdLWxP2W0L3RBuAsLLY4PRVEKjlrQlBEuq6KMCRqKAXJa7ZsCDLJuxMSOIRwjxp5le3MzG/ujT23EUrCk6IH+ypjXdnQhKO+gQicHU7E/U9WspBt7wzYd2K18ZSefHyZbz170wwBYNrRagxXNfOBJM+wegb2ZlgSlQkiYC8yS8mH0zem3xg2vwbk3+a/H11a9d7k19N/nnyW+3Udf9po2y84cWPqpvM7ld3u04+Np+6eMv8q+qrOmHRC6JeFERpb3baorfsyZ/wncbI0ytimI0GrnQ1aCeZQsHVLYpNdO+GMDVSVokQhUFR2G/17rMliuyGXEuT/ef2Dg8Hh7NEWY73n9LOJn3axC4j3STLncCaL2/zycD81/CGCVctmP+oGybqcsPEeZHoHb5qMAk2YZsNzFbfg7HPxwCzWf0GikO7kb11tSNcFAd8CkWkgMeRadnthbDr2ypcwWCygeceQNwpwbgz5FOBmanBfReuUoF9F3W57+J8UA/5iikZlTViFlM5f6wp2QjNbMHUx5l5B7gIRnwCMLGS92XU9kLU9X0Zjlij9vQsjNLT8/NuHJ0G5sbrs+5RGETd0zBNw6OT4Pi4mCUx58TZs3LAnjw792VSGicK2P6+jCAIYcEOnX6jOyJ1+zLVbK3ak5nN3J49evk/dm69fPRfOoGerC3mdfAPbGALRrAnFN4T+DzbhrEnikFYCG1w5isI1PJGiiAJdRkX4YiCohe6JtKCLK1tpMQq6CXWMyy3ZQEJkbmJOeFiZji/CDn23G0tCk6IIPB0Bu/VoSwc9RlE4Oq2Uup7tJSDbnkrxXpLm/aCvlva0qhYxlv/VgpTMLiKhHq5dW2lMOkTjL6RrRSmREWSCMhb51YKo4aH2Wzg+laDlpIpFFyyolhF92YKUyNl6QdQmBVZL7Yp7LMVrnEvJZ+vaWb+vRQuGZgAG95L4aoFEyB1L+XyIu7YcxE3WzWYBZvwzQZmq+/B2OdjgOlslb2UbOtqR3j2UrgUikgBjyPTstsLYdf3UriCwVwDTz6AuFOCcWfIpwITU4N7KVylAnspl3d6ux/UQ75iSkJljZjFXM4fa0o2gvReSrZ1tQM8eylcAjCxkvdSzO3f9hgz5ond3L2UzLmX4rvD0sKJAra/lyIIQlixQ+ff6NbG13EvRbAnFN4T+ES7idmvIDNh2bTBWbIgUMsbL4Ik1EVfgCPPsl7gmnQLomzGvoskICGKNzF/XMwi51dJx57LwUXBCQEEnvrgvTqUhaM+gghc3b5LfY+WctAt77tYE572jYUPLw6W8da/78IUDK44ob5vXfsuTPoEo29k34UpUZEkAvLk9l2U/v0d/Z3e1f/328nvJv9L/6B39Xf9P8ynzc/8R/3Dfjf5v6Zf9fvJL/Vf39X/fVD99F9U/858dRjkebzTmXxy8ZYeHEbQPWNczTRgp3Pxw6l7vdFJwqjz1OHRtztZkKTWMLXHbnVwKa1BQ8oUCq6OUYyme9uGqZGyygQojIKedVWjzxa4vl2bJJivnhb+XRsuGZg+G9614aoF0yd11+byZvTYczM6WzWYQ5tw3QZmq+/B2OdjgMlwlV2bYutqR3h2bbgUikgBjyPTstsLYdd3bbiCwVQDT12AuFOCcWfIpwLzUoO7NlylArs2l5esux/UQ75iSj5ljZjFTNAfa0o2gvSuTbF1tQM8uzZcAjCxkndtzHXs9hgz5ok1ao/UcarOTtJudqzybnKehN08Kopukp6fhcFxobLgZMrjnHd7Fh7Yc2/Xrs3sZSEwJwrY+q6NJAhhvQ+dvaObKHW7NrM3k6WzrZvqL//ujvn7vzn79rdvvXz0vU4Qxvn0E7fvpEF3uLved5RJdpTCOwqfxdsw9kQxCMuszU2LJYHa3aeRJFk2BB4SeJId9TLHLFuSpLVtmjDKeoE1zd6WBSSE7SYmjPNpYzK/zDvxXM8uCk6IH/BcB+/VoSwc9QlE4Gq2aYAeLeWgW96msfbpzfmrEF144TLe2rdpuILBJSbU6K1pm4ZLn2D0TWzTcCUqkkRAntw2TXrteIzuvwf6H36hf/28c/Ez/bl71QB5MPvWny98+VOT31Sd/4X+0V8+PasoenJTJoy16f+l/uwf9X+fmH9ra+c9djuDq2UNOlCmUHABjOIsnRszXI2UhSRAYa56qePdtFyFa9yZiWYrpEno3Zlhk4EZs9mdGbZaMGMSd2aSy2vmE88182zVYNpswmgbmK2+B2OfjwHmvxV2ZrT2qx3h3plhUygiBTyOTMtuL4Rd25lhCwZzDTxbAeJOCcadIZ8KTEzN7cywlTa/M5NcXlbvflAP+YopCZU1YhaTP3+sKdkIwjszizgz7wD3zgybAEys1J2ZxFxmb48xY55YoxarijQ8zqm2Z62BPd127sxENE4UsP2dGUEQwhIfOmFHd0LqdmY28DyNZE8ovCfwmXnzc2HBFiCsujY4ZxYEannXRpCEumYMcBTm4nrXFFwQpbVtG9/pGlFAQkxvYja5mFPOLzpPPFfXi4ITAgg8EcJ7dSgLR30EEbi6bZv6Hi3loPX//vLJuZXxkt/ymctm93HstwBpWxl7eFWYLPO2tY/jqFB6hi0YXJBCbeF7k4+NJ9OWY76PY9bttTX7yngS/d/nM+NnNmbuV/sDj0zqrv70pf6Hr1d27vPZTo/+6xfVX43l+2xyr9oCeG3+sR/rH6F/jK1BdtkNkmAN0sjWDlOiIklkyttjywNXqQju7lFkU/gcWyG44kSxa+6tEKZGysoNoNCqrs9WJ7INck2z8+o9tmwwmzD2OGLfJgdXLphOqJsclzfWJ54b69mqwZxCsqXo2NjnywYjf/2mBqr1gK9VEbXCo8O03/ZC2PWtC65gMCmwHXuYRkVPWVUP+arBREHbmvCEirt8qQJ7E5f31bvDxCFfMSXDcYaEq5FLtuRm9iJQnSO+TjDNkXcczC319tAw5ok1ao+K+PwoyY66eZZH3SRURfcoVVk3y46SpDg6VqfZjMc5KfRMk9kTQ+eOQ0LjRAHb33EQBFm2AL4OAqeWHz4xj3xQTQi/NFVhehb5IzPR1PPIB53Jg8lnT84sTb3Y/Sc2Aa5MNO91Ju/rv+qPfmj2JPQ3/7IzLSiMg+DizdT8EoZPnBh59ln9Mf25Q1t77oq2p8Lbc+VpnyAGYe0Onx5e/PjidRvKc6IoIsv+iY3jligHdcURoHDNNQUp2lvvL1L3rFQSkBBRSROruvX++fXhiedCeFFwQsxgzx7cvTqUhaM+fQhc3Xp/fY+WctCV4zsuTuOz8CTspkESdpMkP+sWcV50ixMVZ2eZSo6T2fPcruOzLjNqx6eojYEBtu/4BEEI8Ql1fO+Yso4n9wLmJws+N3Zs8g+Vj/tBtdtgdgXMjoPxdtMDAqYkwFSN/P3knW51UsG8zuk31SGGj2ytsyvaOgpvnZX9myAGIRbj/k278z/YUJ4TRRHxb6E9hNwSJaHmEIDD5eAEKVpzcGHaK1Ib321ZPkKAbNTAqXm691xSLgpOCBpsA+fs1KEsG/XZQ9jq/Ft9h5Zy0JV/i5Q6i47PlP7ksf7aYxV18+RUu74iTsIoD0/yYrYc3a5/s65Mav+WUhsDA2zfvwmCEMIT6t/+7omCjXudyf/UZu6zamlOe7nO5MO9OP4rY+TCuGO+0KzMVU7OupizKwqvcPiV7ZkgBiHSNmLPBFFE7Jme4Skbyi1RFGqOQEBsFH1Ritb8WZL1ZqsP1/2ZJB8hADbqz+aXyiaea4JFwQlRg+3PnJ06lGWjPnsIW50/q+/QUg56ur52fHJ2dB4XXZUkJ90ky8+7R2mgukl4nJ+Gx0ensVrL+pp1BGh/5rv7yW5WIcD2/ZkgCCE8of7s1xevmU3P6YGsabHuG2ZNrTou9Fp1YKp6+cp0Pe13k19U62h/P/m9eU367JV6k3+YvDt7x/pHneoV6+9MPuzcGaqwM/mFrZV2RVtJ4a20spETxCCE5EaMnCCKkJEzFXDXUW6JolCTCQJio+iLUrRm5PK8l7t2SiX5CJGyUSOXzfO+5wZbUXBC1GAbOWenDmXZqM8ewlZn5Oo7tJSDbvd9dvbXCGhr5r1VKY6W8dZ/DoopeDlo/Omcg2I2SII1SCPnoJgSFUkiU94eWx5Y8k4wcM5zUEyFYHk77st856CYGilV4oBCl+Fiqlv3OSiubDCbNH0OiisXTCfUc1D55Tko582Cd/iqwZxCMqHo2NjnywYjf6PnoLhaFVErPDpM+20vhC0JHvAFg0mB7c/DJC16hfVF6UO+ajBRNHkOiis1J0hFBsLwMkzc9YSJQ75iSobjDAnPOSim5NbPQXF1gmmOfA4q316IWhI75ond3FV7x5uI9NSwoHGigO2v2guCENai0KnlulbtBVtJ4a208mROEIOw/kaY9LlX7QVR2l61F0ShrhwiIDaKvijFRqzaS/IRIiVpwlS3al/MF3k9N5iKghOiBntW4Fu1l2SjPnsIW92qfX2HlnLQG1we6zibcDNSAbUxMMDWjZwkCCE8oUau2fJYSXiFw6/qzyQxCJG2CX8miSLkz1zlsZIo1ByBgNgo+qIUrfkzT3msKB8hADbpz9T8UjnluSZQFJwQNdj+zFMeK8pGffYQthp/BnRoKQe9wcfPQ9fxJRVSGwMDbN+fCYIQwhPqz1o+fi7ZOgpvnZUNnCAGIRQ3YuAEUUQMnPP4uSQJNYcAHC7/JkjRmn/zHD8X5SMEyEb9WzhP95576ETBCUGD7d88x89F2ajPHsJW59/qO7SUg56urx2fxnGqv+z45Fx1k6PkqHt0FAXdkyCNzrM4D85Ojp5fg39LbI2h/VtEbQwMsH3/JghCCE+of3tfW7JPr5TdfkF/RWR12fGv9D/6orpp6g/m79WyXKe8lQYqNW+D1H+r3kP52twbhury/ZHm9ZG25twVbU6FN+fKhk8QgxC7ccPnfl+kJIqI4bNGnFuiHNSUA1C47J4gRWt2L1ZpL7RW0NyWBSQE1Eb93vw2IeW5H0oUnBAz2H7P3atDWTjq04fA1Rm++h4t5aBbPgbl2iKNvXjxMt7aj0FxBS9HjT+ZY1DcBkmwBmniGBRXoiJJZMrbY8sDK95x/+Y8BsVVCFa347bMcwyKq5FSJA4odFkupro1H4NiywazScPHoNhywXRCPAalLq+DUp7roNiqwZxCcqHo2NjnywYjf5PHoNhaFVErPDpM+20vhC0JHvAFg0mBbdCTJMl6oVX1kK8aTBQNHoNiS23+GJS6vA7KHSYO+YopGY4zJNzHoLiS2z4GxdYJpjnqMShlroOyh4YxT6xRmwcqD4+Pgu7ReWwuEkiCbhEUeff86FTlJ2GhjoM1rO5HrmNQKqFxooDt</t>
  </si>
  <si>
    <t>r+4LgixbAF8HgVNLgeugnGv9V5b6O1fX+p+8K8qz1i/YuApv3JXngIIYhHU7fK7oWesXRGl1rV+Qg7raCFC4Jp6CFK2t9YdhEDhulL8tS0iIr6RpVt1i//wqIeW5HEoUnBA02HMJT7cOZemozx9CV7faX9+lpRz0BpfnRs7jU4raGBhg+wZQEIQQoFAD2HZ5rmDrKLx1VnZwghiEYIw7OE95riCKiINzl+cKklBzCMDh8nCCFO15OE95riQfIUA26uDmlwkpz+1QouCEoMF3cJ7yXEk26rOHsNX5t/oOLeWgN/j4e+Q8XpVSGwMDbN+/CYIQwhPq3xo+/i4Ir3D4le2ZIAYh0jZizwRRROyZ5/i7IAo1RyAgNoq+KEVr/sx3/F2SjxAAG/Vn88uElOd2KFFwQtRg+zPf8XdJNuqzh7DV+bP6Di3loDf4PZOR8/iU74YFu1mFANv3Z4IghPCE+rM1vWdSspUU3korGzlBDEJIbsTICaIIGTnXeyYlUajJBAGxUfRFKVozcp73TIryESJlo0ZufpmQ8twOJQpOiBpsI+d5z6QoG/XZQ9jqjFx9h5Zy0C0fi3ItneVevGuXX63/WBRT8HLQ+NM5FsVskARrkEaORTElKpJEQJ5538VOJ+5c/MxUC07+OHnQ62jH+2Dy1Y2O7qwPumFPf37yvtlsnvfnxU97Nqo9NhVYOE/wfc7TVEyFYJE8bud8p6mYGim15oDCOM7tuwt9tsJWTlSFaZT3lLX/b/OVg7mo6UNVXLlgMqIeqrq8W0p57pZiqwYzEsnCLre3UkGhB0hsHSD7fO1g8qCfrMryMMli9/EqrmBFFAyPE9OI2wthS4IHfMFglmD7/GngcL0AgasazBy041Vxkir38Squ1JwgFRkIw8uAcdcTMA75iikpjzMkqmCR9AprHizZumXOWIVhFkVB0VPWcTHiqwVzH/mklblwyh4lxjyxm7sREDtPWhU0ThSw/Y0AQRDC8hY6W13XRoBgKym8lfD5oQ1jTxSDsKRHmBC6NwIEUdreCBBEoS5GAiAq6GWJFaUvirIRuwGSfIRwSZpK1e0GzC8pUp5bp0TBCaGDPUvw7QZIslEfQIStbjegvkNLOegNLruNXcem0oDaGBhg625OEoQQnlA312zZrSS8wuFXNWmSGIRI24RJk0QRMmmusltJFGqOAEDypKcyK0pfFKU1k+apvRXlI0TBJk1aOr+pKPVcPSUKTggdbJPmqb0VZaM+gAhbjUkDOrSUg97gs+2x62xUGlIbAwNs36QJghDCE2rSWj7bLtk6Cm+dlV2cIAYhFDfi4gRRRFyc82y7JAk1hwAcSaAcZ4X7oiitmbgw7YWOig9RPkKUbNTEza8rSj33T4mCEyIH28SF7usIRNmoDyDCVmfi6ju0lIOuTNxREZ8fJdlRN89y8zIjVXSPUpV1s+woSYqjY3WazUxbuyYusTWGNnERtTEwwPZNnCAIITyhJk7gDZXT4tKO+dbaEr4x+bIz3V598iWUHfMWyumHn31Wfyw27620tOeuaHsqvD1x27dcW1vV3VrrozvfPHv56DtHnf2jl4/+5m9e6Ex+Xxnle5OPJ493zMrmaxev93T7RErDVu/1fP7W4U5H+2mzqf36E+/4NH+sPjZ5aP6qv8Z8m8/0D9RfYBp+S7dx1eb6U2aL/OHFT6rXh97rFOajjvpfybYnZBzcq7rfpCmJIuJVrXHyligHNVECFGGsHJsrfVGU1pxqXKTOGx9EAQm5oFGrOr9oKfVcnSUKTggcbKvq7tWhLBz1EUTg6rxqfY+WctAtnxFzuc/Yi6eW8dZ+RowreDlq/MmcEeM2SII1SBNnxLgSFUkiIA84IxabM2LXrqZ9PPnC5RSZbOAZANwBOk+KcRWC9f64sfOcFONqpJTNIwqLoOdaXWQqbOWkWJIknnVDrnIwIzV8UowtF0xJxJNi6eX1W6nn+i22ajAvkZzs9dKHLImDXpLZtO/ztYMphH5SLEmCKHcZ0QO+YEUUDI8T04jbC2FLggd8wWCWYNv9aeBwrU1zVYOZo8GTYmypzZ8USy8v4nIHjEO+YkrK4wwJEyzM8UFrsCjZumVOiqVpkESF80outlgw9VEPiqXmSi57kBjzxBq12O0Nhsc52fTMttkTTtdBsTShcaKA7W94CIIs2wJfB4FTVoEND8EruSQbV+GNi88t7bNG9x6Ibj7yLsi/ihibILqpt8JEMTZBBLuAsJaJT4E9myCCKK1ugghyUFdgAYosdbw3tC9K0toeiPdKMVFCQn4gTR3rNkHm90+lnivFRMEJgYM9K/JeKSZKR30GEbq6XZD6Li3loDe47Dpxno1T1MbAANs3sIIghACFGti2y64FW0fhrYM7UBvGnigGIRjjLs5Tdi2IIuLi3GXXgiTUHAJwRFHey1zFLIIo7Rk5z/aJJB8hSjZq4+bXUKWee8VEwQmRg2/jPEvbkmzUBxBhqzNx9R1aykFv8AsOEufZuZTaGBhg+yZOEIQQnlAT1/ALDgThFQ6/skcTxCBE2kY8miCKiEfzvOBAEIWaIwCQJOulVpK+KElrHs33fgNJPkIQbNSjza+iSj13i4mCEyIH26P53m8gyUZ9/hC2Oo9W36GlHPQGv1I0cR6N89/PYTOsEGD7Hk0QhBCeUI+2pleKSraSwltpZTMniEEIyY2YOUEUITPneqWoJAo1mQAgpgKrsJH0RUlaM3OeN4qK8hGiZaNmbn4dVeq5X0wUnBA52GbO80ZRUTbq84ew1Zm5+g4t5aBbPjtmDananuVevHQZb/1nx5iCl4PGn87ZMWaDJFiDNHJ2jClRkSQC8mrPjhU72tlOHlU70K/rXqyWL692rf4nNso9NiV4PoDgBZ2nyJgKwbMAuMXznSJjaqSU1CMKo8JZ9cZUuAGnyLjKwdzU9CkyrlwwOVFPkV3eN5Z67htjqwYzFMnSLre3ylQcZY4rhPb52sFkQj9FFhV5ESbuU2RcwYooGB4nphG3F8KWBA/4gsEswfb9/lNkXNVg5mjyFBlXak6QigyE4WXAuOsJGId8xZSUxxkSVbBIe/azTiVbt8wpsiTJ4yx0nyLjigVTH/kUmbluzB4kxjyxm7s3oJynyAoaJwrY/t6AIAhhtQudvK5rb0CwlRTeSvh00YaxJ4pBWOEjzAfdewOCKG3vDQiiUNcmAZBQTy+tUbEvSrIRewOSfIRoSZpI1e0NzC+nSj23jYmCEyIHe47g2xuQZKM+fwhb3d5AfYeWctAbXIyrXCeqsoDaGBhg62ZOEoQQnlAz12wxriS8wuFX9WiSGIRI24RHk0QR8miuYlxJFGqOAEDiqBdbSfqiJK15NE8xrigfIQg26dGy+d1UmeeyMVFwQuRgezRPMa4oG/X5Q9hqPBrQoaUc9AafeleuA1NZSG0MDLB9jyYIQghPqEdr+dS7ZOsovHVWNnGCGIRQ3IiJE0QRMXHOU++SJNQcgnAoPWG1brP0RVFaM3GeU++ifIQo2aiJm99NlXkuGxMFJ0QOtonznHoXZaM+gAhbnYmr79BSDnqD372pXCeqZi/xIDQGBti+iRMEIYQn1MR9vd69Kdm4Cm9c3ANqQ/v7yT9ql/vR5Lf6zx9NPuhUbvcftPX9rXa8f9/VzfBg8qlp/4ufXrxNupnscbXb/cD8rnupvKXCUEXBoY44VTMWO6oz+Vh/5z/q/z6xvI6zZ2vkPdFGJuQZ3KG6364piSLiUK3R8ZYoBzU9AhQqzFy3VUiStGdPfW/XFCUkZIBGDer8QqrMc8WYKDghcPANqu/tmqJ01GcQoauzqPVdWspBt3xOzBqMtOmMvXjZMt7az4lxBS+HjT+Zc2LcBkmwBmninBhXoiJJBORVi6vvaQdaGfR/0qbUONH3tFX/58lvO5PHutmND324WMe935m/9F137lvmX1Vf1QmLXhD1oiBKe/PLyaJeZ/mS3U6X4mXXdctu52qpwY2q1kD/2dQbGKW7e504vvaj9ac/rooRvm++abdy2ZWATpA8//yLtoGwxx4I4CEJ3C87j9JxFYIHInAb7DlKx9VIOVeAKMzyXpTYJPbZEkXO0l2zAf3n9g4PB4czI1CO95/S1i3Z0b8o80tqfsmeNnNyQ2K8wU5gtQe3+aBgum/46B1bLpjviUfvsssL3DLPBW5s1WDSb2KeYGC2+h6MfT4GmKrrT+E5tBvZW1c7wkVxwKdQRAp4HJmW3V4IWxI84AsGsw482QLiUGniUGniUGniUAnGoSEfEkxcDZ7kY0tt/iRfdnkfnPvBPeQrpmRc1ghaTGX9sadkIzRzqK8+7sw7wEUw4hOAmZZ60i8z98XZY86YJ3Zz96xS10m/LKFxooDt71kJgiy7EF8HgcsPX7M9K8HGVXjjEtYJNn/WbmvpPdGWJqw/4xNxz8aVIEqrG1eCHNRFc4AiC6Ne4dq5EkRpcecqzHuZtbNuyxIS8kATM9LFvHR+iVjmuRdOFJwQOeDJFKFbh7J01IcQoavbuarv0lIOeoMr5FPnKUZFbQwMsH2jKghCCFCoUW27Ql6wdRTeOrjTtGHsiWIQgjFu4zwV8oIoIjbOXSEvSELNIQhHkBaOI2N9UZb2nFzai61HAG7L8hHCZKM+bn6PWOa5GE4UnBA6+D7O1alDWTbqE4iw1bm4+g4t5aCn76I4jeJAHUXdoAjPp197dH6SdcP8+CgO0zQ5Pl/DuyhS5znHlNoYGGD7Lk4QhBCeUBcHvIti+vawTlgtWmkLd/Fmtbp1f/KldalqV7QJFN4EuFVrvkzG0i57ou1CCOCNeD9BFBHv53nFhSAKNfUAIEnSU65FPEGS1qxfEvQK6/NzW5aPEFsbtX7z68kyz31zouCEyMG2fs5OHcqyUZ8/hK3O+tV3aCkHvcHvlE2dpyP997XYfDAE2L71EwQhhCfU+q3pnbKSraTwVsLdoQ1jTxSDEJIbMXOCKEJmzvVOWUkUajIBQKK0l8UuNyeI0pqbKwLHuzxuy/IRwmWjbm5+P1nmuXBOFJwQOthuztmpQ1k26gOIsNW5ufoOLeWgWz5ImNnwtD/LvXj5Mt76DxIyBS8HjT+dg4TMBkmwBmnkICFToiJJBORJHiSMzUFC3U2fXhkIjydfOA8T6kFDLkz8VxGjLjENgq0wUS2fJrQMhT32UFhOfYJHCZkKwRMZuBH2HSVkaqQcbAAU5vopsIbpPlvhGk8SFjv7UR6YX0LzSzQ/wZP7TxJyQcF83/RJQq5cMOFTTxJeXuKXeS7xY6sGs34T0wQDs9X3YOzzMcBcvcpJwnzrakd4ThJyKRSRAh5HpmW3F8KWBA/4gsGkA8+1gDhUmjhUmjhUmjhUgnFoyIcE81aTJwm5UnOCVKT5h5fx567nwT3kK6YkXNYIWsxl/bGnZCNInyTMt652gOckIZcAzLTkk4TmzkB7zBnzxG7u/k7mPElY0DhRwPb3dwRBCAuW6PrDuvZ3BFtJ4a2Ez/htGHuiGIRFWsJs1b2/I4jS9v6OIAp1eRkACeNerKyLCH1RlI3Y35HkI4TLJiZui+nb/I65zHNpoCg4IXTAcw64U4eybNQHEGGr29+p79BSDnqDC7Uz13G72XWShMbAAFt3c5IghPCEujmJQm3JJlB4E6xq1SQxCPG2CasmiSJk1Vx11ZIo1EwBgESRJoltKH1RlNasmqewWpSPEAubtGr5/Kq53HN3oCg4IXSwrZqnsFqUjfoAImw1Vg3o0FIOeoPfjJC5ztTlIbUxMMD2rZogCCE8oVat5TcjSLaOwltnZRcniEEIxY24OEEUERfnfDOCJAk1hwAcKk56gaOeWhKlNRPneTGCKB8hSjZq4uZXzeWeuwNFwQmRg23iPC9GEGWjPoAIW52Jq+/QUg56ut52fBrHqf6y45Nz1U2OkqPu0VEUdE+CNDrP4jw4Ozl6fg0mLrE1hjZxEbUxMMD2TZwgCCE8oSbuep3uFw2+ebVz5dWrV9+8GirkzauSzanw5sRdX3NvXpUqcLY19J5oQxOyC+5L3S9elUQR8aXWmHhLlIOaFAGKWKU9e7F7XxSlNVcap1EvUDbA27KAhLjfqC2dXy+Xe24MFAUnBA62LXX36lAWjvoIInB1vrS+R0s56JbP+VnnGtppxl68Yhlv7ef8uIKXo8afzDk/boMkWIM0cc6PK1GRJALy5M75Ffr3jb4Zu62DfNy+Bs9U4I7YeZCPqxA8EIEbXc9BPq5GyrkCRGFU9MLCJrHPlri+k3y5uRMwN3cC5uZOwHx+F1fuvxOQDQpm9IZP8rHlgimdeJIvv7wTMPfcCchWDeb1JmYCBmar78HY52OA2XiFk3z55Z2Aec2dgGwKRaSAx5Fp2e2FsCXBA75gMOvA0ykgDpUmDpUmDpUmDpVgHBryIcHE1eBJPrbU5k/y5Zd3Arof3EO+YkrGZY2gxWzVH3tKNoLwSb788k5Af9wZ8QnATEs9yZebOwHtMWfME2vUYteyGB7n2oBncYS9PuA6yZcnNE4UsP29KEGQZRfi6yBwheHrdSegZOMqvHEJSwHtzb1tLbYn2mKElWJ8Qu3ZYhJEaXWLSZCDur4NUKgw7WWuwidBlNa2mLx3+4kSEuJ5EzPLxfxyfhFc7rnbTxScEDngSRGhW4eydNSHEKGr22Sq79JSDnqDK9hz52FDRW0MDLB9wykIQghQqOFsu4JdsHUU3jq4Y7Rh7IliEIIxbuM8FeyCKCI2zl3BLkhCzSEAR5apXmjNh31RlPaMnKeCXZKPECUbtXHzm+Byz9V+ouCEyMG3cZ4Kdkk26gOIsNWZuPoOLeWgN/iNEbnzGGJKbQwMsH0TJwhCCE+oiRN5Y4RgEyi8CXCn1lapi2C7EAJ4I9ZPEEXE+nleQSGIQk09AEgc9aLCmkb7oiiteT/fKygk+QjBtVHvN78KLvfc7ScKTggdbO/newWFJBv1AUTY6rxffYeWctAb/O7X3Hl60X81js0IQ4Dtez9BEEJ4Qr3fmt79KtlKCm8l3B7aMPZEMQghuRE3J4gi5OZc736VRKEmEwAkLHpx5iqYFkRpzc153v0qykcIl426uflVcLnnbj9RcELoYLs5z7tfRdmoDyDCVufm6ju0lIPW//vLJ8mNS/uWz7Y1fAjQGpm0Ycs9vCpMl3nbOgRYOA8BMgUvR5EVDwH+Q3Xmz2yFfl6tGn1i9kCr3VPjwi7eMJbrWo1ezSHAB7NzgzbwXTZ4goE3ctiPKVGRJDLl7bHlLcfh1c+nfWWGQq9jr6h8ji0UrPbHzZnvmBpTI6VoHlBoVddnqxM5oXbd8tob9TZfNpg86OfNkix2HzfjqgWTB/W42eXFcbnn4ji2ajCDkDwoOjT2+bLB+F9/vAzVesDXqoha4dFh2m97IWxJ8IAvGEwNbHueJ0lvtrl83Z9zRYNpgnYozB0o7vKV5gSlyDAYXgaJu54gcchXTElvnAHheuhKtuRmzoChOkd8nWCOI5/0Mne22QPDmCe2Wrc/y9Lj7DzonuZR2E2iMO4eBceqe5qcFsdBnof5+YzHOQH0TInZk0DnSa+CxokCtr9uLwhCWIhCp5HvL9fbmuliVYt7uSjfcO2tYAMpvIFWnssJYhDW3QhzPveSvSCK0JJ9ZiO5JUpCXTBEOGwUfVGK1hbrw7RXpDa+27J8hBhJmijVLdbP7/XKPRe1iYITggZ7NuDs1KEsG/XZQ9jqFuvrO7SUg64sXBJEp0fnx2fdMFVRN1HBaff4LDntpmEeJGfn8WlcrMXCOc5OFQG1MTDA1i2cJAghPJEs3HzRn3osX3u1e2YHwZTgzhzf5QHyyePuE287nr9GOgziIDic/jWEDuhLNqjCG3RVyyeJQYjeuOVzn5qXRBGxfGFvdk71mueTRKHmHQDE4fkkKVrzfFpEr1A2wNuygISo2qTpK+Y3hBWeK99EwQlhg2363L06lIWjPn0IXI3rA3q0lIOeHrZS6iw6PlPd4uRYO8Rj/Q/y5FT/qyJOwigPT/JitirdruuLbY2hXV9IbQwMsH3XJwhCiE+o6wMOW1V3e8TmRgtTKHKvWr+z+oFdUXiFw6/s0AQxCKEWd2juRTlJFBGHFjiunLglikLNEQiIjaIvStGeQ8t6ibWXbsvyEQJgowZtfvtX4bnOTRScEDX4Bs3VqUNZNuqzh7DV+bP6Di3loCt/lp7nQXp+GnTPo+C8m5ykRTc/LYruydlZEqTx+VGQzOJru/7MOgK0P4uojYEBtu/PBEEI4Qn1Z00ciLoz7HrOPkk2iMIbZGXPJohBiL6NeDZBFCnP5jr8JMlCTRwIiY2iL0rRmmnL817uqNcV5SNExUZN2/xqrMJz2ZkoOCFssE2bs1OHsmzUZw9hqzNt9R1aykG3e9eZsvaptmGxBy9NgmW8tR9z4gpeDhpfu2NOXPAEA2/imBNXoiJJZMrbY8sDa9kJTq3mmBNXKFi/jvswzzEnrkZKHTig0OWvmOrWfMyJLRtMHs0ec2KrBZMH8ZhTcXmrVuG5VYutGswgJMuJDo19vmww/jd5zImtVRG1wqPDtN/2QtiS4AFfMJga+G7cc8yJLRpME80dc2Irbf6YU3F59ZU7SBzyFVPSG2dAuI85cSW3fcyJrRPMcdRjToW50MoeGMY8sRu7Gq8C1zGn2YvrYE4UsP3VeEGQZQPg6yBwGtnCarxggyi8QVaeuwliEJbVCHM892q8IErrq/GCLNQVQYTERtEXpdiI1XhJPkJUJE2N6lbj53cIFZ5roUTBCWGD7/89q/GSbNRnD2GrW42v79BSDnpzS1y1aYtsjaFNm6I2BgbYvmkTBCGEJ9S0NVziKgivcPiVDZogBiHSNmLQBFGkDFpiQ7klikLNEQiIjaIvStGaP/OVuEryEQJgo/5sfj1Q4bnvSRScEDXY/sxX4irJRn32ELY6f1bfoaUc9OYePNf+zLp4qP1ZSm0MDLB9fyYIQghPqD/7Ghw8F2xQhTfoyp5PEIMQvXHP5zl4Logi4vk8B88FUah5BwBxeT5BivY8n+/guSQgIao2avrm9wIVnoueRMEJYYNv+nwHzyXhqE8fAlfn+up7tJSD3tw3RuohYA2/2vVl1MbAANt3fYIghPhEcn2tvjFSsoEU3kAruzhBDEI4xl2cZ+VOEEXExTnfGClJQk0jCIeNoi9K0ZqJ87wxUpSPECMb9XDz24AKz/VOouCEoMH2cJ43RoqyUZ89hK3OwtV3aCkH3fIxJ1d9W+7FC5fx1n/MiSl4OWh8/Y45McETDLyRY05MiYokEZBn3jWx04k7Fz8zS5eTP04e9DrauD6YfHVDO9mw89Tkw+kl9hdvdbqdyS+1N35t8unFzy9eM911b9ZJn+o//dgaFvbYqGBdPMHz1R2ZYgpddnWiR6aYGik15YBCl1djqlv3kSmubDARNXxkiqsWTETUI1OXN0MVnpuh2KrBbESyr+jQ2OfLBnNJo0emuFoVUSs8Okz7bS+ELQke8AWDqYHt7PMkcq/OckWDaaLBI1NcpTlBKTIMhpdB4q4nSBzyFVPSG2dAeI5MMSW3fmSKqxPMceQjU+ZmKHtgGPPEbu46f+g8MlXQOFHA9tf5BUEIa1jolHQN6/yCDaTwBsLnhTaMPVEMwpIdYc7nXucXRGl5nV+QhLrWiHDYKPqiFBuxzi/JR4iRpIlS3Tr//CKhwnMzlCg4IWiwZwO+dX5JNuqzh7DVrfPXd2gpB73BBbqh4wBVPPPbhMbAANu2cKIghPBEsnCbXKAr2qAKb9AVLZ8oBiF645bPWaAriiJi+ZwFuqIo1LwDgNg9nyhFa57PU6ArC0iIqg2aPs009QizP9jA92XBCWGDbfo8BbqycNSnD4Hzuz6kR0s56A1+11HoOJYVByG1MTDA9l2fIAghPqGuT/xdR6INovAGWdm1CWIQwi/u2pwLdaIoIq7N/a4jURZq4kBIbBR9UYrWbJv7XUeyfISo2KhrC+c53n1dlCw4IWywXZv7XUeybNRnD2GrM231HVrKQbdckutafIu8eNEy3rpLctmCwSIo1Ea1XpLLBk8w8AZKctkSFUkiIM9fkjt5p2sdXHtsALCaiuDl/IW2bKFgBRXu1NyFtmyNlEokRGGgo19ik9hnS2yl2jaPo569vOc2XziYZRqtt+WrBbMMrd5Wy5nX2+o/Outt+arBVEPyptcGRxolaS9TNun7fOlgsqDX3CZ5kSW9xOpCDvh6FVEvPEpMG24vhC0JHvAFg5mCb9+dQWPIFw1mDVrdbRYUjvuw7vKVNl53exks7nqCxSFfMSXbsQaEJ1CUbNkytbdZnKRhL7WuGI/4WsGcR6y/NSNjIWpJ7JgndnOX8SNH/W0cxDROFLD9ZXxBEMKCFTr/bGEZX7BBFN4g+KTPhrEnikFYjyNM/dzL+IIorS/jC7JQlxIBkrCnlDUt9UVJNmIpX5KPEBlJ06W6pfx4vvLrvH1qXxacEDr4cwHPUr4kG/X5Q9jqlvLrO7SUg97gawsiZ9VtQm0MDLB94yYIQghPqHFr9NoCUXiFw69s0gQxCJG2EZMmiCJl0hIbyi1RFGqOAECSXmhfX+yLkrTm0dxXF8jyEYJgox4tmad099VSsuCEyMH2aO6rC2TZqM8fwlbn0eo7tJSD3uCTUZGzRlZRGwMDbN+jCYIQwhPq0b4GJ6MEG1ThDYr7vpo2fbzciL+e/9XUbdzT7Wz+cu/i7c7kfVN1Y94rsGMc8msXr/c6t0ZBUEx+v9PRVrlqaFeL668w3/Yz/RP1Rzq6mbd0ez/11093TFPrz5rl1IcXPzFKtYowmH5Y/3pvutJqvknP1iV7ol1CyES4h/Wc8hJEEfGwnlNegijUHIqAFEFPhVaWvihLey7Wd9ZLEpCQJxq1sWruetw3cMmCE4IH38b6znpJwlGfQQSuzsfW92gpB91y2bDLmaZevHgZb/1lw0zBy1Hj61c2zARPMPBGyoaZEhVJIiCvtmzYmpj32ABgMRhu6WrLhplCwQIwimFzlw0zNVIKqQCFcVb0cteWL1NiO2XDSdKLUpvw23zhYJZpuGyYqxbMMtSy4fSybNh5DdMdvmow1ZDM6bVRHQVppnqRtUJ0n68dzBb0uuEwK1JV9FRhE3zAF6yIguFxYhpxeyFsSfCALxjMFWwHX4UNZRM95IsG80aDhcNcpQKFw+ll4bAzXBzyFVPyHWdAVKEi7CXWUFGydctUDkdpkeRFL7aGiRFfLJj3yKXD6fZC1JLYMU+sUYu9I87wOGePnukzewbpLB3OaJwoYPu7G4IghFUrdA7a+qt7RRtI4Q2ETwRtGHuiGIRFOsJ00F2lIogissLvenWvKAl1cRHgiFLV0z/CxtIXZWltgT9Me6G1DOe2LB8hUpKmUN7VYMM0Xw12X9QnC04IHezZgelU66AdyrJRn0CEzduhQ6RDSznoDS5TiZ2lxP67JiyNgQG2b+QEQQjhiWTkNrtMRbBBFd6guPEjlql88+zlo+8cdfaPXj76m795oTP5fWWX700+njy+rE559tk0zvVs+tA0XPrM6GqZyryRLxvfUahSqKpIxVV9ItjShASDe1NP9Ykgiog39VSfCKJQUyMAkha5NqdWo90XZWnNnHqrTyQBCeG/UXeaz82M886wfVlwQvBgu1Nv9YkkHPUZRODq7Gl9j5Zy0Bt80i12VlEX1MbAANu3p4IghPiE2tOGT7oJwiscHreSNow9UQxCqMV9mmcNURBFxKd5TroJolBzBAASql5YuGpTBFHas2meo26SfIQo2KhLK+Y53X0JmCw4IXTwXZrnqJskG/UBRNjqTFp9h5Zy0Bv8Hqm4Zx0BN+PQfzeGpTEwwNZNmiQIITyhJk3+PVKSDaLwBlnVuEliEKJvE8ZNEkXKuLneIyXJQk0cAInqpYVjfU2SpDXj5nmPlCgfITI2adzC+bVPoeciL1FwQuhgGzfPe6RE2ajPH8JWY9yADi3loFs+2+WyYqEXL1nGW/vZLq7g5aDxtTvbxQVPMPAmznZxJSqSRECe/2xX2Hlq8qH+xH3jdDvdzuSXk8e6Xz69+PnFa6a77s066VP9px9bw8IeGxWs7Cc4v5pTYFyhy95O8hQYVyOlKh5QmFmr3/tseWs/AcYWDuaiZk+AsdWCuYh4AiwMFyfAQueVUXf4qsGERHKw1/b4VW5eCuk4AMaWDqYU+gGwOM2LxDFADvh6FVEvPEpMG24vhC0JHvAFg1mCb/I957/YosGM0dz5L7bS5s9/LYLFXU+wOOQrpmQ6zoAwgSJ0NHTJli1z/EupOAkdQWLE1wrmPOrpLz0yFqKWxI55Yjd3wT9xnf6anRGAOVHA9hf8BUEIy1roLLWFBX/BBlF4g+BTQxvGnigGYdWOMO1zL/gLorS+4C/IQl1wBEh0GHSt9wuCbMR6vyQfITCSZkt16/3RfHnYeRXYviw4IXLwpwKe9X5JNurjh7DVrffXd2gpB73B1bSJ67BXGFMbAwNs37cJghDCE+rbmq2mlYRXOPzKHk0QgxBpG/FogihSHi2xodwSRaHmCAAkdpxX74uCtGbRPLW0onyEGNioRZvfBBV6rvYSBScEDrZF89TSirJRHz+Erc6i1XdoKQe9wefxE9eBp9n7wwmNgQG2b9EEQQjhCbVom38eX7JBFd6guO27esD+iZPzk491Q/1R//fJ9Lj81Ssalo7PR7pZossD+cPn9gL7qsyeaAsREgPuKN3n6CVRRByl+xy9JAo1pSEgibnVx4bSF0Vpz1N6jtGLAhKidqOmcn51Vei5i0wUnBA7+KbSc4xeFI76CCJwda6yvkdLOegNfl1n4jyhpaiNgQG27yoFQQjxieQqW31dp2QDKbyBcJdow9gTxSCEY9zKeRYHBVFErJzzdZ2SJNQ0AnDocGgtpO2LgrTm4zzv6hTlI4TJRm3c/Oam0HMXlyg4IW6wbZznXZ2ibNTHD2Grc3H1HVrKQbd8XEvZ8LQvS714ahlv/ce1mIKXg8bX77gWEzzBwBs5rsWUqEgSAXmVP31v8oGxuN+Y/JN2r8a6vjf51eSfJ7/taDP8+uRT7YEfLmzx/c78zZu6894y/6r6qo4eh0HUi4Io7U3v8Aqr3ylv+dzoy2g7VysDblSlAfrPpjzAlAbs7nXi+NorR/WnP65qB8zIf9ytVlOrF4927Ju6e+yRAZ5bILjkutNtTKHgWQXcA/tOtzE1Umr+EYX6ybAG6T5bocgBt2suoP/c3uHh4HDmA8rx/lPat2U7+pfc/FLoX6LgaTM7NiTGGuwEVndwmw8KZnvOgbioVxQ2td/kqwWzPfVA3OWVaKHnSjS2ajDlNzFHMDBbfQ/GPh8DTOD1h+Mc2o3srasd4aI44FMoIgU8jkzLbi+ELQke8AWDqQeeaAFhqDRhqDRhqDRhqATD0JAPCaYt+hG7xBqC7vKVChyxu7xizf3cHvIVU9ItawAt5rH+0FOyEZo5blcfduYd4CIY8QnAPEs+hGeuYLOHnDFP7Obu6SjnIbyMxokCtr+nIwhCWKxE1x7WsKcj2EAKbyB8AcCGsSeKsWwXPBiE2ap7T0cQpeU9HUES6qIywGEuNXWdyRMkaXNTJ7a+3uO2LB8hTjYxYVtM2+b3dYWeC9hEwQmBA55rwJ06lGWjPn8Im7dDh0iHlnLQG1zwrZxn8nJqY2CA7ds4QRBCeCLZuM0u+BZsUIU3KG77XNswm70JY2v8PdHGJ+Qc3Kx6askFUUTMqqeWXBCFmi0RkDzr5amVpS/K0ppfTVTeS6wLMbdlAQkZoVHDOr/BK/TcySYKTggebMPq7tWhLBz1GUTg6hxrfY+WctDTt0icRnGgjqJuUITn3STJz7pH5ydZN8yPj+IwTZPj8zW8RUI5jygW1MbAANt3rIIghPiEOlbgLRJTe6mdTmVytLt9s7JN2qVabc6uaBMovAlwj9layYxgwxBCOO7/PIuVgigi/s/zdgpBFGruAUCSXmB3sn1RkvbcX9ArrHy3ZfkIwbVR8ze/GSz0XPUmCk6IHHzz5+rUoSwb9flD2Oq8X32HlnLQG/zmV+U6SBj5r0+xNAYG2Lr3kwQhhCfU+8m/+VWyQRTeILgTtGHsiWIQom8Tvk0SRcq3ud78KslCTRwASdhTsXW/pi9K0ppxKwLHLRK3ZfkIkbFJ4xbNbwaLPFe9iYITQgfbuDk7dSjLRn3+ELYa4wZ0aCkH3fLZQetCrLZioRcvXcZb+9lBruDloPG1OzvIBU8w8CbODnIlKpJEQJ7c2UHV5NlB88VmFJj6AKPltSe3r8Mg8LztzLFnTdmybmQR9HIf/fnnX7SNij32qAAPbxBMcs25Qa7QZRsseW6Qq5FykAFQmKSRvRa0z1a4vnODUWROC8bml8T8omYHdqLQe26QDQpm+mbPDbLVgpmeeG4wurxIL/JcpMdWDab7JuYHBmar78HY52OAyXuFc4Na+9WOcJ8bZFMoIgU8jkzLbi+ELQke8AWDqQeeZAFhqDRhqDRhqDRhqATD0JAPCaat5s4NspXmBKVI6w8vw89dz3N7yFdMSbesAbSYw/pDT8lGED43uAg78w5wnxtkE4B5lnpuMDKX99lDzpgndnO3cFLXucEoonGigO1v4QiCEBYq0XWHFrZwBBtE4Q2CT/ZtGHuiGIR1WMLs1L2FI4jS+haOIAt1CRkgSXtFYo2AfVGSjdjCkeQjRMYmpmiLidr8srfIc3ufKDghdMCzC7hTh7Js1OcPYavbwqnv0FIOeoPrrlPXScEopjYGBti+cRMEIYQn1LhJ1F1LNoHCmwC3ag3vOFgaZU+0UQjRuxHjJ4giZfwSG8otURRq3gFAwrynAmsO7YuitGb8PEXXonyEyNqo8ZtfIRd57gQUBSeEDrbx8xRdi7JRH0CErc741XdoKQe9wa+ISF0H7qKE2hgYYPvGTxCEEJ5Q47f5r4iQbFCFNyjBRjJeEbHeWhtbw++JNjwh3+BW1f16CEkUEavqfj2EJAo1UwIgudJxP3V5VUGW9ryq5/UQooCEbNCoWZ3fTBd57hoUBScED75Z9bweQhSO+gwicHVutb5HSznoDX4vbeo8IqiojYEBtu9WBUEI8YnkVlt9L61kAym8gXD3acPYE8UghGPcy3mWHQVRRLyc8720kiTUNAJwxFHcy63Fc31RlNacnOfFtKJ8hEDZqJGbX04XeW4bFAUnRA62kfO8mFaUjfoAImx1Pq6+Q0s56JZPDFpjqnZmqRcvW8Zb/4lBpuDloPH1OzHIBE8w8EZODDIlKpJEQJ7cicGEfGLwm2cvH33nqLN/9PLR3/zNC53J7yufXf2sy0XLZ59N4zyOgkPjytNnRte2zSs7frlY7FjKLFT1mtumDwN2gsSsgVprUPbYvQ4eyyB44LoTgUyh4NEK3OH6TgQyNVKOKAAKkyLtha5VSKbENR4JNFcJRuYqwchcJRjP7/CK/FcJskHBVN7wkUCuWjCVU48EXl4lGHmuEmSrBvN5ExMAA7PV92Ds8zHA7LzKkcDLqwSjmqsE2RSKSAGPI9Oy2wthS4IHfMFg7oFnUUAYKk0YKk0YKk0YKsEwNORDgnmrwSOBXKUCRwIvrxJ0P7eHfMWUfMsaQItJqj/0lGwE6SOBl1cJ+sPOiE8A5lnykUBzlaA95Ix5Yjd3yyZzHgnMaJwoYPtbNoIghJVIdGFhDVs2gg2k8AbCZ/c2jD1RjGW74MEgTFfdWzaCKC1v2QiSUFeMAY44yXqOyN8XZdmIPRtJPkKkbGLKtpi4ze+eizyXCYqCE0IHPNuAO3Uoy0Z9AhE2b4cOkQ4t5aA3uFI8cx4RzKmNgQG2b+QEQQjhiWTkNrtSXLBBFd6guPFbx1aKren2RJuOkDFws+mp9RZEETGbnlpvQRRqrgNAijDqFZl1/t0XZWnNbXprvSUBCfG8Ubs5vzgu8lwFKApOCB5su+mt9ZaEoz6DCFyd36zv0VIOeoNfSZE5TyYW1MbAANv3m4IghPiE+k2RV1IINoHCmwB3iK3WvQg2DiGM4x7Qs+AoiCLiAT2vphBEoeYfACQstJu1Lp72RVHas4CeV1NI8hEibKMOcH59XOS5D1AUnBA6+A7Q82oKSTbqA4iw1RnA+g4t5aA3+GWymeuwX+y/Y8fSGBhg6wZQEoQQnlADKP8yWckGUXiD4HbQhrEnikGIvk0YN0kUKePmepmsJAs1cQAkOv4l1ilwX5SkNePmeZmsKB8hMjZp3OL59XGx5z5AUXBC6GAbN8/LZEXZqM8fwlZj3IAOLeWgWz7dZ+1TbcVCL16+jLf2031cwctB42t3uo8LnmDgTZzu40pUJImAPKHTfWYJ0GwAzzrw/tQtTx7f0B03XSW9eMt8XVcb5F+ad45NPr34+cVrZgjcm3X8p/pPP1468ed5FdnV14otbUJHwcWb0eW29vC5vSC0LhTtsXsGPAVBMKo1J/C4QpetqOQJPK5GyokARGFc9FzvAeNKXN8JvNhcyhebS/licylfPL8NK/ZfyscGBdNtsyfw2GrBdEs8gRdfXsoXey7lY6sGc24TJt3AbPU9GPt8DDCDrnACL768lC+uuZSPTaGIFPA4Mi27vRC2JHjAFwzmHnimA4Sh0oSh0oSh0oShEgxDQz4kmLeaO4HHVpoTlCKtP7wMP3c9z+0hXzEl37IG0GIi6Q89JRtB+ARefHkpnz/sjPgEYJ6lnsCLzaV89pAz5ond3H2U3HUCL45onChg+/sogiCE1UJ08t/CPopggyi8QfAZtw1jTxSDsBhKmJ6691EEUVrfRxFkoa7jAiRRLyisJH1Rko3YR5HkI0TGJqZoi4na/A632HMpnyg4IXTAswu4U4eybNTnD2Gr20ep79BSDnpaAa3UWXR8prrFyXHYTY5V1M2T06ibFHESRnl4khdrqIDOXSfu4pjaGBhg+8ZNEIQQnlDjBlRAG3MWxmZR3Wzv3KveoPC6DX5XFF7h8CubNEEMQqRtxKQJokiZtMSGcksUhZojABClo51176kvStKaR0t0LLfW8tyW5SMEwUY92vy6tdhzf54oOCFysD2as1OHsmzU5w9hq/No9R1aykFXHu00iTKVZWE3jk7ybhienXWPwiDqnoZpGh6dBMfHxWy0t+vRrCNAe7SE2hgYYPseTRCEEJ5Qj7b0VgRn9cx0ce2JtyB0yltRGEbB9Fx//MyoU73foFDmlL7r5Qi2JtsVbTKFNxnu7Dat3ESw/QiJAbeU7pcfSKKIWEr3yw8kUagpDQCJVNYLQuvWR1+UpTVTGRZFz/4usduygISw3airnF+LFnsuuhMFJwQPtqt09+pQFo76DCJwdbayvkdLOegNfmtq7jz7pqiNgQG2bysFQQjxiWQrW31rqmQDKbyBcBNpw9gTxSCEY9zLeZYHBVFEvJzzramSJNQ0AnAUWS/LrCmxL4rSnpNzvzRVlI8QKBs1cvN70WLPRXei4ITIwTdy7pemirJRH0CErc7H1XdoKQet//eXlX+ZPa7Gn33LZ9gaPhtnLZXVVi318KrwGm9LZ+OiwHk2jil4OYrInI17PPnCrLlVG7BvTz/w0OzCVmfeOmat77Mntmers3EPTGHd4l9ps/bIrPj9avL+zLKRz9d9qqUEO5F5Y5P+Bq5Vn112SyZYSzZy2I4pUZEkMuXtseWBVf8EO2h/O9dzbIVgyT7u8nxHzZgaKaXvgEKruj5bncgpM8vWulX2bb5sMA3Rz4yFqVIOud/kywXzEPXQ2OW1bbHn2ja2ajAZkewsOjb2+bLByF9/SAzVesDXqoha4dFh2m97IWxJ8IAvGEwKfKcfJGlPxTbVQ75qMFHQznZ5QsVdvlSBw12X16u5w8QhXzElw3GGhOuxK9mSmznMheoc8XWCaY58ZMtcmmYPDWOe2EptcXRcBEHcVcdJ3E2Ko6ybHx+ZMpQ0jfQ/TU6zsymPczbpmV+zZ5TOI1sZjRMFbH/5XxCEsKqFzknfma71X04HF/sAQov/gs2j8OZZeRYniEFYwiPM9tyL/4IoIov/rqV/QQ7qyiNA4Zo6ClK0uepfWPPZbVk+QnwkTZO8i8SGab5I7LkqTRScEDL4cwFXpw5l2ajPHsLm7dAh0qGlHPTfTmceJ9nRaX7eDY+PUv21RdHN41R1T6MozPQ3Co/OZ6O9XfvmOriVUxsDA2zfvgmCEMITbt+uX4t2b7qLMF/dv9fRX2W2FEz5sLFujy3XonW6T17xNbsYrQgjPVwPpn+Ng2DL/Je7b0WTbDuFt93K3k4QgxCoCd7OuZIvSCJi7cJe4HJ3gijUDAOAuNydIEVr7i5PVC9SNsD/P3v/viNZcp35gq/iEDBAMSPD4fti+0Lg/FEseSU8qyI8Knb4HDREoZFXgFBLGlDSQY+AAcgqURdQUlHN1rSGoki1uueoBz0Hk2SxyGRdX8HjFc6TzDaPcPdMDzPb31pun7mzuwQomVWZlfn9zPZe9tmyZXs95AIK4mdUe7duZFUEWpNRwQVRQ23v/LN6wYWTvn0I3JC/G57Rjge98ndP8rbo//Xj06dt8eS0LPPytMknk9Nn2eO2fVxnVf3sIP7Omevv/V0rHQwMML2/I4II4hPq78CL+ZNyqCGXazTeoo6GwUdjb8dGxBDEXoFj82fjiCgUyzbxrBoPqCjSRQMBcVHMqBTJLFvZz5LTWD/k8gkiYlTHtu48VQRaiVHBBVFD7di8k3rBZZO+ewjbkGEbntCOB33En8BsfdepylB7DudgYIDJDRsTRBCeUMPG/wQmc0AMPiD7ejYmhiD6xvBsTBSSZ/N9AZOJIl03EBAXxYxKkcyzNc248RTqUvkEQTGmZyvXTafKQBcxKrggaqg9m3dSL7hs0ncPYRvwbMCEdjzotF3EKuec9i4s/MH1dhfv4DeltIJ3g8ZXN6W0I1liIxnjppRWohFJBOTZHgv3R8Xo+m/6UX6x/OXy5XjUu+KXyy+/bg+v//nUWXcyVQOAZfMCb+g7gdUq3LV9zLtUWo2SSnNAYVFPxq1L4UytMMl9qmxSTsaVp9xNrRxcryJfqVLLBRcs4ZWqctuHqwz04VKrBlctkc2981g3pm0m49r5aJ/ptYPrhPxeVZUVTdGOjedylVqwEQqGnxM7iCcbYTuC53rB4Cqh3gusAoe7/+yFXjW4csguV+Vlk3ueiPf0UuNfriq3nbP8AeNSr1iy5GkeCRssTL+lcLqJTq2bc8OqzSe1rQg1LrFXerHg0ie9ZlXazljuILHQiT3aY4HKs7/rN6S5jBMFTH8sQAQRZMDQDW2CYwHigBh8QPBNnwtjSsUQJPgEWz//sQARJfWxABFFmpoEQPodTlU4UWZUlKM4G2DyCSKjaNM0dDawbqRUBjpjUcEFoUO9HwidDTDZpC8gwjZ0NjA8oR0P+ngLcHvj5rT+vXErpIOBAaY3bkQQQXhCjRu5AJc5GgYfjb1dGxFDEHqjuDYiCsm1+QpwmSjSRQMAafNx7UaZUVGSubZAFS6VTxAWo7q2dWulMtAriwouCB1q1xaowqWySV9AhG3ItQ1PaMeDPt5r8b1rK1yD0bu2UjoYGGB610YEEYQn1LUd1bV45tgZfOxwj/fK8L1WD7PTL2s9gLfDt+2AtRmiVzpqvTKM2wF2NNO6HU/bceuz/pdsvvTT67+yjc/6GWtu/u3r3bjGrlGfUkddsK4ILKm3hoRIQnGk/lv8TBTpggiAFG01bipnbJ9RWZJZ0tWtb1/tChNQEPSjetJ1X6Yy0GmLCi6IHWpPGrrLT4WTvoMI3JApHZ7Rjgd9vJ/a7E1p6RqM3pQa6WBggOlNKRFEEJ9wU5r2U5vM4TH48OC+04UxpWIIgrHAyPlzi0QUipPz2Tgih3QJAShy0/s4n4sjoiRzcVnlKRl7yOUTBMmoJm7dlKkMdNmiggvihtrE2Ul1VnFdcNmkLyDCNuThhie040Envirmq8yrQnhmsot3+KtiSsG7QeOrq2LakSyxkYxyVUwp0YgkAvJWhvcny3+2c/Jby3/t7bD1wj/pp+m/L/9+1Fvq9/th/9jmbm/N9cc3+cWf2V+6/r79r1a/a5S140neP955Nb69Y7b639+kxOfo9eqEr6/KE1YlCL9aqX5rOiqKO1K8FQqjSema/Kl68sELFAJn7U2RKhWClyVwwxy6ZqfUKLlzAChsJ+PGaetnaoWUa3Z3LMPs7enl5fzy1jR0i7M3epNX3+9/aOwPbf+DmXzNRlpLYn3E/YnTSjzUg4LWIPatPK1c0BtIb+VtG52VgUZnatWgQYixo7Aw92YBjDM9Brg6D1/Q82i3su+9PhE+inM9hRFSwM+RHdmTjbAdwXO9YHDRgbdlQBzqbBzqbBzqbBzqwDh0oYcE162Yl/y0UgmX/LYd1Pwv7qVesWTBVT1Bm21vOPZ0aoQ49/2G4856AnwEV3oCcKUVXwK0vdbcMWehE3u8B0CZ9xJgLeNEAdMfABFBBLlNNFWR/ACIODwGHx58c+/CmFIxdt1CAEOwTfUfABFRkh4AETmk+WeAoiqq8cT5AY4ZFSXlAVDh/JDEQy6fIEjG2K5tNm3r/lxloOEaFVwQN+CdBjypF1w26QuIsAUn9AKZ0I4HfcSV5Zn3PmCoO4lzMDDA9B6OCCIIT7iHO6bKcuLYGXzscIMnPGA5/BGLa9yn1HEXrCwCR+o9OCGSUAxpoLaciCJdEgGQth7nhXODPqOiJPOkje0mVboAH3IBBVE/qildNxUrA23iqOCC0KE2pf5ZveDCSV9BBG7IlQ7PaMeDPuKvVGTe+46tdDAwwPSulAgiiE+oK2V/pYI4GgYfDdxnujCmVAxB7BXYNn8ikYhC8W2Br1QQUaSLBgCS5+M6c6ZlZlSUZL6tnIxbn21j8gnCYlTbtm4tVgZ6xVHBBaFDbdu8k3rBZZO+gAjbkGsbntCOB33EH4XNfBcCTagJi3MwMMDkro0JIghPqGvjfxSWOSAGH5B9jRsTQxB9Yxg3JgrJuPk+CstEka4bAEjWh0Bfwo2Jksy4tb3H9hwCU/kEkTGmcTPr/mIm0DCOCi4IHWrj5p3UCy6b9AVE2AaMGzChHQ+6/7/fvX/jV34nZMwi3wb0HO+aUD8Ck9257JjuNqBT8DfUgneDx/+4twHtpTPkNqB2JEtsJGPcBtRKNCKJSnlTtTzw6oDABvqOXbUKdx0e876aVqOkfB5Q6FQ3U6uj3FW765ndg/pQLxtchuQ3z/K68d88U8sF1yHhzTOz7QdnAv3g1KrBxUjkYtFn40wvG4z8wzfNUK3neq1GqBV+Ouz4nWyE7Qie6wWDi4La4OeTqhy3nr4PatXgQiG8IOYPFe/ppca/IGa2XeD8YeJSr1iywmkeCd9r16klx7kQhuq80usElznptS9je7+5Q8NCJ9aqfdw+NY/KojnNH2XtaVk1z08fG1teXJXN06fZ06e5uX24vbvJwLZavaP0XfsyuYwTBUyf5ieCCJJZ6J70p7u3vey+cXUT7DaHH//mF3OEDD5Ce2/kiBiC5J1gw+fP+xNRKHl/z82DB1QSadYR4PDtH4kUyTL+WTVunXeZH3L5BEFStFcayvivu4aZQBs4KrggaKg3BN5JveCySd89hG0o4z88oR0PeuXhijx//rQpy9Oqqs1pWZv29NHTOjs1k/73PnpeTWpb7Zzew/nOBQrpYGCA6T0cEUQQnlAP57r29dJas1cvMU1XMKN/M19cjt6avzu/vPV3/+atUVvc/LSaTO7Z/88m/ltdzKEx+NDsbd6IGII4LDBv3mw9kSSxdyOSSNcPgMPn3YgUybxbPskzT030Qy6hIDxGdW/r7mEm0A6OCi6IGnu4t6YcF750LpNO+v4hdEP+bXhKOx70EV+Qyn0XpEwpHQwMML1/I4IIAhTq38gXpJijYfDR2NuyETEEwVdg2fz5NiIKxbP5L0gxUaSLBgLiophRKZKZtkAHXyqfICJGtWzr3lom0C2NCi6IGmrLFujgS2WTvnsI25BhG57Qjgd9xHejcu/dKCMdDAwwvWEjggjCE2rYEtyNIg6IwQdkb89GxBBE3yiejYhC8mzeu1FEFOm6gYC4KGZUimSerWnGja8al8knCIpRPdu6l5YJNEejgguihtqzeSf1gssmffcQtiHPNjyhHQ86cXM0X9qsCuBVJtvFO/x1KKXg3aDx1XUo7UiW2EhGuQ6llGhEEpXypmp5YOW7wPl5D1iVCsEqd9zQha5DKTVKisUBhT6nplR36OtQWtngMhT7OpRWLrgOSa9DbRtxmUAjLrVqcDESuVf02TjTywYjf9TrUFqtRqgVfjrs+J1shO0InusFg4uC2tjnE1OOa5+116oGF4qY16G0UgnXobb9svxh4lKvWLLCaR6JwHUopeTk16G0OsFlTnwdynbBcoeGhU7s8Wb2C+91qFrGiQKmz+wTQQRJLHRPmiCzTxwQgw/I3vs2IoYgRyfY3/kz+0SU1Jl9Ioo0u4iAuChmVIqjyOwz+QRBUbQ3Gsrsr5skmUDXKyq4IGqoNwChzD6TTfruIWxDmf3hCe140EdcPlt4rz+Fmy04BgMDTO/ZiCCC8IR6Nnb5LHE0DD4aexs2IoYg9EYxbEQUkmHzls8SUaSLBgLiophRKZIZtlD5LJNPEBGjGrZ1/yAT6AhFBRdEDbVhC5XPMtmk7x7CNmTYhie040Ef8X31wnvfqZUOBgaY3rARQQThCTVsSe+rE4fG4EOzt3sjYgjisMC9ecspiCQU8+a/r04kka4fAIfPuxEpknm38H11JqEgPEZ1b+s+QibQGIoKLogaavfWmwvjT7gx6aTvH0I35N+Gp7TjQR/xNyML3/WnaiIdDAwwuX9jgggCFOrfDvDNSOYIGXyE9rVxTAxBQBbYOG8SjomS1scxSaTrCMDh8XFMimQ+LvDNSCqfIEjGdHHVuqlQFegSRQUXBI09XJz3m5FUNum7h7ANeDhgQjsedOLrUD5XFvpieWXyXbyDX4fSCt4NGl9dh9KOZImNZIzrUFqJRiRRKW+qlgdWvguMny9/p1W46+mY16G0GiXF4oBCn1NTqjvwdSi1bHAZinwdSi0XXIeE16GqbXeoKtAdSq0aXIxE7hV9Ns70ssHIH/M6lFqrEWqFnw47ficbYTuC53rB4KKgN/ZtOxnXpUv1hV41uFBEvA6llhr/OlS17Q7lDxOXesWSFU7zSPivQ2klp74OpdYJLnPS61CV7Q7lDg0LndjjzfSXvutQt52IYU4UMH2mnwgiSGKhe9JDZPqJI2TwEdp7I0fEECTtBBs+f6afiJI4008kkWYbAQ7f/pFIcRSZfiafIEiK9kpDmf51M6Eq0B2KCi4IGvoNQSDTz2STvnsI21Cmf3hCOx70EVfblr7rUbefTxMMBgaY3sMRQQThCfVwKattmUNj8KHZ27wRMQRxWGDevNl6Ikli70Ykka4fAIfPuxEpknm3YLUtlVAQHqO6t3UroSrQHYoKLogae7i3PB8bT7UtlU76/iF0Q/5teEo7HvQRX28vfbelbus9BIOBAab3b0QQQYBC/Rv5ejtzNAw+GntbNiKGIPgKLJs/30ZEoXg2//V2Jop00UBAXBQzKkUy0xa43k7lE0TEqJZt3UyoCnSHooILoobasgWut1PZpO8ewjZk2IYntONBH/E3JEvv9SgjHQwMML1hI4IIwhNq2PjfkGQOiMEHZG/PRsQQRN8ono2IQvJsvm9IMlGk6wYC4qKYUSmSebbANySpfIKgGNWzrZsJVYHuUFRwQdRQe7bANySpbNJ3D2Eb8mzDE9rxoBNfhzIuvN6FVUG8Yhfv8NehlIJ3g8ZX16G0I1liIxnlOpRSohFJVMqbquWBle8C5+c9YFUqBKvccUMXug6l1CgpFgcU+pyaUt2hr0NpZYPLUOzrUFq54DokvQ617Q5VBbpDqVWDi5HIvaLPxpleNhj5o16H0mo1Qq3w02HH72QjbEfwXC8YXBTUxj6f1GZcOlVf6FWDC0XM61BaqYTrUNvuUP4wcalXLFnhNI9E4DqUUnLy61BaneAyJ74OZbtDuUPDQif2eDP7xnsdqpZxooDpM/tEEEESC92TJsjsEwfE4AOy976NiCHI0Qn2d/7MPhEldWafiCLNLiIgLooZleIoMvtMPkFQFO2Ngolgy7ROBAe6Q1HBBVFDvQEIZfaZbNJ3D2ELTugFMqEdD/qIy2eN9/pTIx0MDDC9ZyOCCMIT6tnY5bPE0TD4aOxt2IgYgtAbxbARUUiGzVs+S0SRLhoIiItiRqVIZthC5bNMPkFEjGrY1s2EqkB3KCq4IGqoDVuofJbJJn33ELYhwzY8oR0P+ojvqxvvfadWOhgYYHrDRgQRhCfUsCW9r04cGoMPzd7ujYghiMMC9+YtpyCSUMyb/746kUS6fgAcPu9GpEjm3cL31ZmEgvAY1b2tWwlVge5QVHBB1FC7t6xq+3Xcl3Bj0knfP4RuyL8NT2nHgz7ib0Ya3/WneiIdDAwwuX9jgggCFOrfDvDNSOYIGXyE9rVxTAxBQBbYOG8SjomS1scxSaTrCMDh8XFMimQ+LvDNSCqfIEjGdHH1uplQHegORQUXBI09XJz3m5FUNum7h7ANeDhgQjsedOLrUM457V1Z+Ivl5S7ewa9DaQXvBo2vrkNpR7LERjLGdSitRCOSqJQ3VcsDK98Fxs+Xv9Mq3PV0zOtQWo2SYnFAoc+pKdUd+DqUWja4DEW+DqWWC65DwutQ9bY7VB3oDqVWDS5GIveKPhtnetlg5I95HUqt1Qi1wk+HHb+TjbAdwXO9YHBRUBv7vA/A48a5TlzoVYMLRcTrUGqp8a9D1dvuUP4wcalXLFnhNI+E/zqUVnLq61BqneAyJ70OVdvuUO7QsNCJPd5Mf+W7DlXnMk4UMH2mnwgiSGKhe9JDZPqJI2TwEdp7I0fEECTtBBs+f6afiJI4008kkWYbAQ7f/pFIcRSZfiafIEiK9kpDmf51M6E60B2KCi4IGuoNQSjTz2STvnsI21Cmf3hCOx70EVfbVr7rUXUhHQwMML2HI4IIwhPq4VJW2zKHxuBDs7d5I2II4rDAvHmz9USSxN6NSCJdPwAOn3cjUiTzbsFqWyqhIDxGdW/rVkJ1oDsUFVwQNfZwb8Vk3Hqqbal00vcPoRvyb8NT2vGgj/h6e+W7LVWX0sHAANP7NyKIIECh/o18vZ05GgYfjb0tGxFDEHwFls2fbyOiUDyb/3o7E0W6aCAgLooZlSKZaQtcb6fyCSJiVMu2biZUB7pDUcEFUUNt2QLX26ls0ncPYRsybMMT2vGgj/gbkpX3epSRDgYGmN6wEUEE4Qk1bPxvSDIHxOADsrdnI2IIom8Uz0ZEIXk23zckmSjSdQMBcVHMqBTJPFvgG5JUPkFQjOrZ1s2E6kB3KCq4IGqoPVvgG5JUNum7h7ANebbhCe140ImvQzl9eO/CqiCe2cU7/HUopeDdoPHVdSjtSJbYSEa5DqWUaEQSlfKmanlg5bvA+XkPWJUKwSp33NCFrkMpNUqKxQGFPqemVHfo61Ba2eAyFPs6lFYuuA5Jr0Ntu0PVge5QatXgYiRyr+izcaaXDUb+qNehtFqNUCv8dNjxO9kI2xE81wsGFwW1sQ9fh9KqBheKmNehtFIJ16G23aH8YeJSr1iywmkeicB1KKXk5NehtDrBZU58Hcp2h3KHhoVO7PFm9mvvdahaxokCps/sE0EESSx0T5ogs08cEIMPyN77NiKGIEcn2N/5M/tElNSZfSKKNLuIgLgoZlSKo8jsM/kEQVG0NxrK7K+bCdWB7lBUcEHUUG8AQpl9Jpv03UPYhjL7wxPa8aCPuHy29l5/aqSDgQGm92xEEEF4Qj0bu3yWOBoGH429DRsRQxB6oxg2IgrJsHnLZ4ko0kUDAXFRzKgUyQxbqHyWySeIiFEN27qZUB3oDkUFF0QNtWELlc8y2aTvHsI2ZNiGJ7TjQR/xffXae9+plQ4GBpjesBFBBOEJNWxJ76sTh8bgQ7O3eyNiCOKwwL15yymIJBTz5r+vTiSRrh8Ah8+7ESmSebfwfXUmoSA8RnVv61ZCdaA7FBVcEDXU7i18X51JJ33/ELoh/zY8pR0P+oi/GVn7rj/dpmIFg4EBJvdvTBBBgEL92wG+GckcIYOP0L42jokhCMgCG+dNwjFR0vo4Jol0HQE4PD6OSZHMxwW+GUnlEwTJmC6uWTcTagLdoajggqCxh4vzfjOSyiZ99xC2AQ8HTGjHg058Hapx4fWuLPzF8moX7+DXobSCd4PGV9ehtCNZYiMZ4zqUVqIRSQTk2d4P90fF6Ppv+lF+sfzl8uV41Dvhl8svvz7qp/afT52VoVM1AFgbL7CGvgyfVuGu62NemNJqlJSTIwqzIh8bl8SZWmKSW1N5vwiN89Kl/KFeObhgRb44pZYLrljCi1PNto9UE+gjpVYNLlsin3t3vFuTN5mnWO5MLx5cKeTXp4rMlJOsfxk9l6jUio1QMfyk2FE82QjbETzXCwYXCvV2IJ9UxbhpXaov9KrBxUN2iarM6trzRLynlxr/ElWz7SnlDxmXesWSVU/1SBRFXRgzLp0H9Z1aOOcqVVkX2SRrxreftdhRe6VXCy5/0gtVje0v5Q4TC53Y4z0raHwXqm5vbcKcKGD6swIiiCANhu5qD3FWQBwhg48QvhV0YUypGIK0n2BD6D8rIKIkPisgkkjzlQhHYZxGa0YFSXlckDkn6iGXTxAnRduooeOCdUeiJtBiigouiBvq/YF3Ui+4bNLXD2EbOi4YntCOB33EJbuN745VU0gHAwNMb+OIIILwhNq4lCW7zKEx+NDg/u2V0XntLGVkPydw8w82tf9i+dHqH17Ycxz7W+1Ryyer85wvrr9zf9T/wneu3x+PHlxlk8n9Ue+G7UcH+j/lZ71d/mX//z+3hrj/Bftn/qr/E/q/dD2g9g/8bHR/9d2CT6//qp+b/u8Z3YzyffuLL24+aWD/hLFr2KfUYResGwK/6T2AIJIktptEEul6h3D47SYRJJndvKky9tWnMAkFET2q4Vy3UGoCXbGo4ILAsYfhbMpx4akyptJJX0GEbshyDk9px4M+4mv9je+WWFNKBwMDTG85iSCCAIVaTvK1fuZoGHw0cJfpwphSMQTBV+Da/FlCIgrFtvmv9TNRpIsGAJI3fSB0s8yoLMmsW+ByP5VPEBejGrd1K6Um0BuLCi6IHWrjFrjcT2WTvoEI25BtG57Qjgd9xF/QbLyXw4x0MDDA9LaNCCIIT6ht439BkzkgBh+QvZ0bEUMQfaM4NyIKybn5vqDJRJGuGwBIVrXjxl2INKOyJHNuge9oUvkEoTGqc1s3VGoCHbKo4ILYoXZuge9oUtmkbyDCNuTchie040EnvhLmzP73XqwK4tW7eIe/EqYUvBs0vroSph3JEhvJKFfClBKNSCIgb/BKmPNpnaoBwEp/gUP0nsgqFYJV/bjxC10JU2qUFMcDCgvPYfBMLfAILoRplYPLVewLYVq54HolvRC27aTVBDppqVWDi5bI5e6Od11PJu144vQHZ3rp4Cohvw7WVE2beztqqfUaoV74KbFjeLIRtiN4rhcMLhHqjUA+Mb4vCVzoVYPLRszLYFqphMtg245a/nBxqVcsWe80j0RVTurS02WtU8vmXAXLiklRNN7WWmqx4LonvglmW2u5Y8RCJ/Z4DwZa702wWsaJAqY/GCCCCLJf6GY2wcEAcUAMPiD4hs+FMaViCJJ7gm2f/2CAiJL6YICIIk1LAiClx1XNqCBHcSrA5BPERdF+aehUYN2MqQl016KCCwKHejMQOhVgsklfP4Rt6FRgeEI7HvQRl+G23ptfjXQwMMD0to0IIghPqG1jl+ESR8Pgo7G3ZyNiCEJvFM9GRCF5Nm8ZLhFFumgAIPXYZ9mIHMksW6gEl8kniIlRLdu6HVMT6K9FBRfEDbVlC5XgMtmkbx/CNmTZhie040Ef8WX91ntzqpUOBgaY3rIRQQThCbVsSS/rE4fG4EOD+zfFZf23n9m/9tUL+m+XVf3qDX17O//T6/cH7uf3v7TP/XziSAuWCoHF9FaDEEkoDtN/P59IIl3iAI6iHpeli2RGJUlmMcMX9JmEgige1WSue0Y1gTZgVHBB5FCbzN4DGX9mkEknfQcRuiGbOTylHQ/6iD/t2fpuerXhfhqOwcAAk9tMJoggQKE28wCf9mSOkMFHCHebLowpFUMQkAVWzpstZKKk9XJMEuk6AnAEvByTJJmXC3zbk8onCJQxnVy77hzVBlqBUcEFgWMPJzfOnGVZF1w26fuHsA34OGBCOx502ntftdOb984s/HH5Zhfv4Pe+tIJ3g8ZX9760I1liIxnj3pdWohFJBOQN3vty5tenagCwqF9gD32ZPq3CXefHvPel1SipgwcUmmri3uDO1AoPf/FLrRxcryJf/FLLBRcs4cWvdtsJrA10AlOrBlctkc29e0OiKfJJ5rEIZ3rx4EIhv/qV9W9inZXey19qxUaoGH5S7CiebITtCJ7rBYPrhH430DbtuHYuHRd61eDaEfHyl1pq/Mtf7bYTmD9kXOoVSxY91SORZWZS+G6KdmrhnOtfeVFmfazw3v9SqwWXP+n9r9Z2AnOHiYVO7NEeF9QT3/2vNpdxooDpjwuIIIIsGLqpPcRxAXGEDD5C+E7QhTGlYgiyfoL9oP+4gIiS+LiASCJNVwIcVZ2PS095MRPlKM4LmHyCSCnaSA2dF6xbR7WBXmBUcEHk0O8QAucFTDbpC4iwDZ0XDE9ox4M+3vLi2pOs741cIR0MDDC9kSOCCMITauRSlhczh8bgQ4M7OEV58fKn1upa2/tqifFk0i5//EqNcT/Mq5/YbmGv3KpzlxvbAd233pg59IK1Q+A6vacQRJLEppNIIl3zAI6g6SSiJDOdwYJjKqEgrke1nev2UW2gIxgVXBA69rCdee7J9l5w6aQvIUI3ZDyHp7TjQR/vpwh64+k8d++NZykdDAwwvfEkgggCFGo8yZ8iYI6GwUcD95oujCkVQxB8Bb7Nny0kolCMm/9TBEwU6aIBgGSl5/xkRiVJZtwCHyOg8gmiYlTbtm4f1Qb6gVHBBZFDbdsCHyOgsknfP4RtyLQNT2jHgz7ez37WniK63rQZ6WBggOlNGxFEEJ5Q08b/7CdzQAw+IHv7NiKGIPpG8W1EFJJv8332k4kiXTcAkKYcT5zpqBmVJJlvC3z3k8onCIxRfdu6eVQb6AZGBRdEDrVvC3z3k8omff8QtiHfNjyhHQ868a0wXwFeFcRrd/EOfytMKXg3aHx1K0w7kiU2klFuhSklGpFEQN7grbDSBTBVA4DV/gJ/6D2PVSoEK/tx2xe6FabUKCmQBxTmvtNTpbwjuBKmVQ4uVrGvhGnlgquV9ErYthdYG+gFplYNLlkij3unKqDNsonn3s+ZXjq4RsgvhNV120z818G0eo1QL/yU2DE82QjbETzXCwYXCPU2ILd9n9zfNLnQqwYXjZjXwbRSCdfBtr3A/OHiUq9YstppHgnTTJpyXDhDRaeWzbkMlmVVW/vixJVeLLjuie+C2V5g7hix0Ik93kOBzHsXrJZxooDpDwWIIILcF7qVTXAoQBwQgw8Ivt1zYUypGILUnmDT5z8UIKKkPhQgokiTkgBI6esozeQ4iiMBJp8gLIq2S0NHAuvOUW2gFRgVXBA31HuB0JEAk0369iFsQ0cCwxPa8aCPuP7Wcwuid22NdDAwwPSujQgiCE+oa2PX3xJHw+CjsbdlI2IIQm8Uy0ZEIVk2b/0tEUW6aAAgtYtiRqVIZthCtbdMPkFEjGrY1n2j2kAjMCq4IGqoDVuo9pbJJn33ELYhwzY8oR0P+ohv6mfeC1OtdDAwwPSGjQgiCE+oYUt6U584NAYfGty9xbup35jXbur3/4G9dP/B8me2UobWD4w54IIVQ+AzvfUgRBKKzfTfzyeSSFc6gKMoxs4DoBkVJJnRDN/OZxIKYnlUq7nuHdUG2oFRwQWBQ201s6rtTYcvO8ikk76CCN2Q2Rye0o4HfcTf98w8F73KSbinhmMwMMDUZpMKIghQqNlM/31P6ggZfIRwz+nCmFIxBAFZ4OR8GUMqSlIrRyWRriMAh9fKUUGSWTn/1z25fII4GdHI9Uw3q/7tT1zgZ1xwQdzYw8j5vu7JZZO+fghb2MYhE9rxoBPf+3If25aT4Afmq8ku3qHvfakF7waN/+nvfalHssRGMsK9L7VEI5IIyBu89+Xe+k7VBGBdv8AeehJ9aoW7zo948UutUVIKDyjMJ7XnA0xqhQe/+6VXDi5Yce9+6eWCK5bs7lcvZ333q/+p9+6XXjW4bIl87p0LHVmW1b5va57ptYMLhfzyl6mrui48gs/1go1QMPyc2EE82QjbETzXCwZXCf1moG1bX82nXjW4csS7/aWXGv321zZgvBcIGJd6xZIlT/NIlFmZmWZsnHegO7VuzvWvpjJZ5as/u9KLBZc+4fUv+2xsRO2IXejEHu9RQe65/lVOchknCpj+qIAIIkiBoTvaQxwVEEfI4COEbwNdGFMqhiDlJ9gL+o8KiCiJjwqIJNJcJcCRl/2a6kSZUVGO4rCAySeIlKJN1NBhQb7OLftbgXHBBZFDvz8IHBYw2aQvIMI2dFgwPKEdD/qIC4xzz42wclJIBwMDTG/kiCCC8IQauYQFxtShMfjQ4A7OV2C8fDF659m3H/VDcvbo24/+9E+/NVr+eOVxX9iK4W1l8W//dlU0RT65fL0L2O0dulcagvn7gLnLjFv7b91VxdRRFiwTAoPpPWwgkiT2l0QS6fIGcAT9JRElmb8M1RVzCQUhPKrDLNaGxN/1iwsuCB17OMxiMm59GWgmnfQlROiGPObwlHY86CP+6kDuucRWTkrpYGCA6T0mEUQQoFCPyf3qAHU0DD4auK10YUypGILgK/Bt/sQgEYVi3LxfHaCiSBcNAMRk47p2osyoKMmcm//TA1w+QViM6tvK9SLvb/vFBReEDrVv8396gMsmfQERtiHXNjyhHQ/6iL/wmXtvgxnpYGCA6V0bEUQQnlDXRv/CJ3VADD4gexs3IoYg+kYxbkQUknHzfOGTiiJdNwCQIhtPKifKjIqSzLj5P/LJ5RNExqjGzazXeX/fLy64IHSojZv/I59cNukLiLANGbfhCe140Invf/kSaFUQL9vFO/z9L6Xg3aDx1f0v7UiW2EhGuf+llGhEEgF5w/e/xv1vWdVQfnH9V/3v+MXNXHxqz99X8/Ty+s9djFM1I1j7L/CQ3kNbpUKwzh+3hqEbYkqNknJ5QKG9IWZcCmdqhUdwQ0yrHFzSYt8Q08oF1zTpDbFqe0PM3x1Mrxpc2ERO+G4OOs+M7ybQmV47uJRobojVTeO7D3SuF2yEguHnxA7iyUbYjuC5XjC4Sqi3C+EbYlrV4MoR84aYVirhhli1vSHm7w+mVyxZ8jSPRJmVrb0h5hzpTq2bdUOsaorMf0NMKxZc+sQ3xKqTjagdsQud2OM9Pii8N8RqGScKmP74gAgiSJKhe94ExwfEATH4gOD7QhfGlIohyAEKtn7+4wMiSurjAyKKNHsJgPSrUuZelmZUlKM4PmDyCSKjaNMUzDZbpnW22d8jjAsuCB3q/UDo+IDJJn0BEbbghF4gE9rxoI+4Wrfw3ghrpIOBAaY3bkQQQXhCjRu7Wpc4GgYfjb1dGxFDEHqjuDYiCsm1eat1iSjSRQMAMdm48VbrElGSubZQtS6TTxAWo7q2Zr3I+xuFccEFoUPt2kLVukw26QuIsA25tuEJ7XjQR3yPv/DesWqlg4EBpndtRBBBeEJdW9J7/MShMfjQ4BZup9TixaoM4zfwZj9x3AULh8BzeotEiCQUy+m/2U8kkS54AEdeti6OGZUjmd0MX+tnEgoielTD2a79ib9dGBdcEDfUhjN8rZ9JJ30DEbohyzk8pR0P+oi/AVr4Lojdfk1fMBgYYHLLyQQRBCjUch7gG6DMETL4COHO04UxpWIIArLAyHmTh0yUtE6OSSJdRwAOr5NjciRzcoEPgFL5BGEypo/L1s2lskC3MCq4IGzs4eO8HwClsknfPoRt</t>
  </si>
  <si>
    <t>wMUBE9rxoBPfFvP5svA36PNdvIPfFtMK3g0aX90W045kiY1kjNtiWolGJBGQt/K7P1n+s52T31r+a++GrRX+ST9N/33596shX/6in7pPNz7749E6H9k/Jt+3/9XNxGTteJL3j3dejUfLH11/57S4f3PdbPXP7lke2TrNm3+wV9ReLD9a/cML+4TZ32ofgk9WT9oX19/Zpj8fXGW2DeIm9dmL+Xj5y/7/fy7Nd97kme/bX3xxUytq/4Re8GtlCF9f1SGsag1+tZL91nRUFHdyr95ShNHEGaOm6qcAvCkhcNi+VKlW4a55Zt6n02qUXC5AFE7yZmx8tlipkXKj7o57mL09vbycX976h25x9kbv9/L7/Q+F/aG0P5iv2aBrSayluD9xuoqHelDQJUS+gKeWC9oE4QW8bNuiLQu0aFOrBr1CjM2Fhbk3C2Cc6THAhXr4Lp5Hu5V97/WJ8FGc6ymMkAJ+juzInmyE7Qie6wWDyw68QwPiUGfjUGfjUGfjUAfGoQs9JLhyRbzPp5Ya/z5ftu345n9xL/WKJUuu6gna7IDDsadTI8S52jccd9YT4CO40hOAK630vl9mO8K5Y85CJ/Z4T4NK332/27QhzIkCpj8NIoII0pxo1uIQp0HEETL4COFbfRfGlIohSOsK9qr+0yAiSuLTICKJNB8NcFRZnY1N6WKZUVlSnggVjYvvIZdPECpjbNo2W7d1B7Es0BKOCi4IHfB+A57UCy6b9A1E2IZOhIYntONBH3Epeem7AJgV0sHAANM7OSKIIDyhTi5lKTlzaAw+NLiF+007SHEN+5Q67IJ1Q2A5vccjRJLEjpNIIl3vEI68KMfFxLl6z6gwySxnPjHluC1dhA+5hIKoHtV0rluKZYEucVRwQfBQm87AtF5w6aSvIUI3ZDuHp7TjQR/xdydK3w3GrJQOBgaY3nYSQQQBCrWd5O9OMEfD4KOBO00XxpSKIQi+AufmTxYSUSjWzf/dCSaKdNEAQHJTj7PSZ92ILMmsWznxGzcmnyAuRjVu665iWaBNHBVcEDvUxs07qRdcNukbiLAN2bbhCe140Ef8ndfSewvQSAcDA0xv24gggvCE2jb+d16ZA2LwAdnbuRExBNE3inMjopCcm+87r0wU6boBgGSmHOeNr8SZyJLMubW9y/ad8zL5BKExqnNbtxXLAn3iqOCC2KF2bt5JveCySd9AhG3IuQ1PaMeDTnzzz7jwei9WBfGKXbzD3/xTCt4NGl/d/NOOZImNZJSbf0qJRiQRkEe4+Td6Y/V4/Gpcf218c/kv11z+e/WAelJlyx/fPYn+9/b/N4fO/7/VDsD+N399sKt8ymkF71QIfLP3rFqpELwQgdvh0FU+pUbJvQJAoW2H7HO5SoUHvMhX2+t7jf2h7X/IJ+sLNFX4Ip8WFFz0Y1/k08oFV33pRb5tJ70s0ElPrRpc+mPsFSzMvVkA40yPAa67+1zkq+69PhGBi3xaCiOkgJ8jO7InG2E7gud6weCiA2+4gDjU2TjU2TjU2TjUgXHoQg8JrlsxL/JppRIu8m0b8/lf3Eu9YsmCq3qCNhvacOzp1Ajsi3zVvdcnIHCRT0sArrTii3y2cZ875ix0Yo/3QMd4L/LVMk4UMP2BDhFEkLVEkxAJDnSIA2LwAcE36i6MKRVj1x8EMAQbU/+BDhEl9YEOEUWaTgZAynFVlS6SGZXkKI5zmHyCwBhji7bZqK3bvGWBvn1UcEHkgHcX8KRecNmk7x/CFpzQC2RCOx70EddPG++1vUY6GBhget9GBBGEJ9S3seuniaNh8NHY27QRMQShN4ppI6KQTJu3fpqIIl00AJB6XNeFi2RGJUlm2kLV00w+QVSMatrWXd6yQNs+KrggcqhNW6h6mskmff8QtiHTNjyhHQ/6iL+1YLyX3lrpYGCA6U0bEUQQnlDTlvRbC8ShMfjQ4A7usHUrrkGcUgdRsAoI/KO3GoVIQrGP/i8nEEmkqxfAUdSB7yYQUZLZx/B3E5iEgggd1UCue7ZlgTZ8VHBB6FAbyPB3E5h00pcQoRuykMNT2vGgj/jDq8Z3AS8Pd7NxDAYGmNxCMkEEAQq1kAf48CpzhAw+QriTdGFMqRiCgCzwct5cIBMlrZljkkjXEYSjqbzfXWWiJDNzge+uUvkEkTKmlcvXjdvyQCc+KrggcqitXOC7q1Q26QuIsA0YOWBCOx504vt4zpLB3pqFv/1f7uId/D6eVvBu0PjqPp52JEtsJGPcx9NKNCKJgDzCfbzbS3iF5hJe78nts2d9+2t5zUm7ymu+cl9u9ROr65VT/AjfjkVu7k0i3NzTPgDgJQqBv/blSrUKd60z8+aeVqPkIgGgsKxrl76ZWt/h7u3ltgFfbhvw5bYBX75ufJWHG/CpQUFzEPnenlou6A6E9/bybQO+PNCAT60atAgx9hQW5t4sgHGmxwDX5z3u7eXbBnz5QAM+NYURUsDPkR3Zk42wHcFzvWBwyYE3ZkAc6mwc6mwc6mwc6sA4dKGHBFetiPf21FIbgVRk+C+28ee9wIt7qVcsWW5VT9Bm4xuOPZ0agXxvL9824AvHnSs9AbjSSu/t5bYBnzvmLHRij/ccqPLd28tzGScKmP4ciAgiyG6iyYpDnAMRR8jgI4Tv8F0YUyqGIJsr2Kf6z4GIKInPgYgk0jQ0wJE3lRNkRgU5ilMgJp8gTsbYsW32betmbXmg+x4VXBA34M0GPKkXXDbp64ewDZ0CDU9ox4M+4orwyneNLy+kg4EBprdxRBBBeEJtXMqKcObQGHxocP/2G3iI4hr5KXXkBUuHwHJ6j0aIJIkdJ5FEuuQBHKbO3aWYMypJMssZrCKnEgqielTTuW7Vlge671HBBZFDbTqDVeRUOuk7iNAN2c7hKe140Ef89YjKdxExL6WDgQGmt51EEEGAQm0n+esRzNEw+GjgTtOFMaViCIKvwLb5M4VEFIpv8389gokiXTQAkCxrPSgzKkoy5xb4fASVTxAWo/q2da+2PNB8jwouCB1q3xb4fASVTfoCImxDrm14Qjse9BF/q7Xy3v0z0sHAANO7NiKIIDyhro3/rVbmgBh8QPY2bkQMQfSNYtyIKCTj5vtWKxNFum4AIHU2Nk6SGZUkmW8LfKuVyicIjFF927pTWx5ovUcFF0QOtW8LfKuVyiZ9/xC2Id82PKEdDzrxVT/nLYveiVVBPLOLd/irfkrBu0Hjq6t+2pEssZGMctVPKdGIJALyCFf9Nq33ssm6914Z89pfY147se7/A3v6/IGVFOWgGrntN9inr1fTj1r4tp/yGQCvXggstvdIW6kQvDeBO+fQbT+lRsn1A0Bh3rjj+kwt8IDX/Wybvty26cttm75i3R4rD7fpU4OCBiH2dT+tXNAhSK/7bdv05YE2fWrVoE2Isa+wMPdmAYwzPQa4Ru9z3W/bpi8faNOnpjBCCvg5siN7shG2I3iuFwyuOfDmDIhDnY1DnY1DnY1DHRiHLvSQ4LIV87qfVirhut+2TZ//xb3UK5ast6onaLP5DceeTo3Avu63bdMXjjtXegJwpRVf97Nt+twxZ6ETe7xHP7X3ul8t40QB0x/9EEEEGU40YZHg6Ic4IAYfEHxT78KYUjF2/UEAQ7Av9R/9EFFSH/0QUaSpZwCkHN9Wad7d5xJBjuLkh8kniIsxdmibfdq6qVse6NJHBRcEDnhzAU/qBZdN+vohbMEJvUAmtONBH3Gdde293tdIBwMDTG/biCCC8ITaNnadNXE0DD4ae3s2IoYg9EbxbEQUkmfz1lkTUaSLBgBSjydOkBkVJJlnC1VZM/kEQTGqZ1v3dMsDTfqo4ILAofZsoSprJpv09UPYhjzb8IR2POgj/iRD7b0b10oHAwNM79mIIILwhHq2pJ9kIA6NwYcGN3C/OQUurgGfUgdcsGIIrKa3bIVIQnGa/i8xEEmkKx3AURTjxrloz6gkyZxm+EsMTEJBMI/qNdfN3/JAPz8quCByqL1m+EsMTDrpO4jQDbnN4SnteNBH/B3X2nenrwj3xHEMBgaY3G0yQQQBCnWbB/iOK3OEDD5CuOl0YUypGIKALLBy3qwhEyWtl2OSSNcRhKNqfRXNTJJkXi7wIVcqnyBQxnRyxbr7WxFo50cFFwQOtZMLfMiVyiZ9/xC2AR8HTGjHg058x885p70zC3cSqHbxDn7HTyt4N2h8dcdPO5IlNpIx7vhpJRqRREAe9Y5fsb7jl038l/z6p+idZ99+9PuPRmePvv3oT//0W6Plj1eP0eov2SY/f/u3q6Ip8snlnet1K0O//Tit9Ju0rf23jJt93/wD1+RP1ZMPXrQQWGtfllSrcNc1My/3aTVKLhsACvO8GdubR3clztQSD3e9r7Dd/Arbza+w3fyKdRetItzNTw0KeoPI1/vUckFzILzeV2y7+RWBbn5q1aBDiLGlsDD3ZgGMMz0GuDzvcb2v2HbzKwa6+akpjJACfo7syJ5shO0InusFg6sOvC8D4lBn41Bn41Bn41AHxqELPSS4cEW83qeW2gikIsN/sY0/7wVe3Eu9YsmKq3qCNvvecOzp1Ajk633FtptfOO5c6QnAlVZ6va+w3fzcMWehE3u8p0CN73pfkcs4UcD0p0BEEEFyE81VHOIUiDhCBh8hfIPvwphSMQTJXMFW1X8KRERJfApEJJFmoRGOomq8NT1MlqM4B2LyCUJljE3bZuu27v9WBBr6UcEFoQPeb8CTesFlk76BCNvQOdDwhHY86Jvq8UdP2uZZUZ2aJ0/NafnoSX3aZll12rT1k+zJk+zx0+rRNw/g5JwhuHdyhXQwMMD0To4IIghPqJODqsdvjwl+/+aY4Nbi9bbNfQRw88vdgyorm8nk0v5Tb+5e3BxdrT/6sPq3P+oN5HdWB1ofL3+++qtXBdi/uP3XHy1f7JSmO7cBb1HH3OBjjnvDIz+ScY3ylDrKgvVHYF29pyxEksTOlUgiXTcBjrzu14DKaQJmVJZ0zrUp2rE7LfOQSyhYHKJ613UTuSLQF5AKLogdeu/qn9YLLp30LUTohtzr8JR2POgj/l5F47v7aMvoZYOBAaZ3r0QQQYBC3Sv5exXM0TD4aOC+0oUxpWIIgq/AuPlzjkQUinPzf6+CiSJdNAAQU48nhRNlRkVJ5twCX6yg8gnCYlTftm4jVwT6AlLBBaFD7dsCX6ygsklfQIRtyLUNT2jHgz7ij8M23juERjoYGGB610YEEYQn1LXxPw7LHBCDD8jexo2IIYi+UYwbEYVk3Hwfh2WiSNcNAKQox3nuzFzMqCjJjFvg87BUPkFkjGrc1n3kikBjQCq4IHSojVvg87BUNukLiLANGbfhCe140IkvDbYuvN6KVUG8ehfv8JcGlYJ3g8ZXlwa1I1liIxnl0qBSohFJBORRLw2Wm0uD/bNvfffHq0fq81VlwO230b5c/dl/1f+Rv7i9rOf7wNoxnGMTrhY6no+p+vkAb3gI/Lf3xFupELyegdvq0L1CpUbJLQdAYWXGE98JtVLhAa8V2q6Bhe0aWNiugeW6W1cR7hqoBgXdQ+xrhVq5oH2QXivcdg0sAl0D1apBDxFj02Fh7s0CGGd6DHAB3+da4bZrYDHQNVBNYYQU8HNkR/ZkI2xH8FwvGFx04J0bEIc6G4c6G4c6G4c6MA5d6CHBdSvmtUKtVMK1wm3XQP+Le6lXLFlwVU/QZmccjj2dGoF9rXDbNTAcd670BOBKK75WaLsGumPOQif2eA+GWu+1wlrGiQKmPxgiggjSn2g2I8HBEHFADD4g+I7fhTGlYuz6gwCGYGPqPxgioqQ+GCKiSPPSAEg7ritnumBGJTmKcyEmnyAwxtiibTZq6y5zRaBtIBVcEDng3QU8qRdcNun7h7AFJ/QCmdCOB33EZdieb+D2vq2RDgYGmN63EUEE4Qn1bewybOJoGHw09jZtRAxB6I1i2ogoJNPmLcMmokgXDQAkq8a3nWLvmjYiSTLTFqrCZvIJomJU07ZuM1cE+gZSwQWRQ23aQlXYTDbp+4ewDZm24QnteNBH/OWH1nt3rpUOBgaY3rQRQQThCTVt/2N8+YE45gYfc9waHnW9jGuMp9QxFqw+At/qrYIhklBsq/+7D0QS6aoJcNTNeNI6D5VmVJRktjX82QcmoWBliGpc1x3rikATQiq4IHSojWv4sw9MOulLiNANWdfhKe140Ef8+dnWd4GwDHfycQwGBpjcujJBBAEKta4H+Pwsc4QMPkK40XRhTKkYgoAs8HLeHCQTJa2ZY5JI1xGAo2gn49JTIc1ESWfm/F+fpfIJImVMK1eum9aVgS6EVHBB5NBbOf/XZ6ls0hcQYRswcsCEdjzo/v9+d2Xmym+GndofPXvyx9/6wz9wDITKqPk8WhbgNPlkl9N3s9CvVmK/tpcLnXK/oZa7+5gFBhc1WasT2g+Xn9m84H2bW7o5r/14+dn191dZwv4Xf7U66n1h80irC2YOpt47ZV+fqcHuREU/2X5B8ebCTGn7cJW2BVdZ+UKhlqSUk+C1x1b+uZV/buWf++Sf6+UbuXy88LhXP7fq51b93Kd+rlePvyD6MHxz16G0LZRK2z3JQ9GpKe7UrQ9QyB6fKyv9ykq/8km/0kvHw7+wZr1XvrDKF1b5wqd8oVO+ena+uVm/fie0oMW8Kl/6atPLPEiRe8cfE6tczKxml95vqPXuhv19L8qvMgS315ZfW8w8S9lodS5yc3TlIntLTba7DBAvrmslGpFEpbypWt7ufoF3b1qrcDeBwLw3rdW4uyLueW/aqW6mVke5M323LMw9qA/1ssFFQX4Duikq7wVotVpwVRBegC7zzQXo0tsA5V29anBtEO0H0EfjTC8bDPzD5h/Veq7XaoRa4afDjt/JRthdf68VDK4J6vxRaya+Yb7QqwbXCdk9ZX+keE+vtBEoRZ6Di22UeC8QJS71iiXrm+aJ8D0OnVpynGvJqM4rvU5wkRNu5OwTsRF1d/umEbsys/XTJ4Up6tMqn5jT8onJT5vsUXZaVc2zsn38qHr69PZR8e7sfv9R3ENl736p398VMkyUz7UHDGBJ9oEukG9QQQQnJegG8Yd3N4Grz5p9vPM9teXH6yrIv7str3tpv6f2Y1uit/o+2vuu4XiLOhwGH469t2xEDMExUIytHZGEc37s4nhA5ZAeXgEUvm0ikSLZwXHAIz7kEgoComhXNHR0vO4UVAaaP1HBBTGDZP2ZdNL3D6EbOjwentKOB53ya7Sl7xpxWQboesG7dAdPsSv1gmkU1EExUuxKshIji5JiV0o0IomAvGx0/Te2g+jyl+PR8l96o/rl10fLH9rPubqET9XCwURLDIemVAgmVQTOK5B8V2qUJCcAhUU59twK1gpMkn8PGyatcnDRiJyC16oFVw1pCr7cpuC9/YDe1asG1w6R2bzzUOdtZQJ5eK12cHWQ5+HzdjJpx7kvF6/Va4R64cfEjuHJRtjdXLxWMLhEkAy5VjW4bMhy8VluSn8yXiuVkIwvt8l4b7y41CuWrHeaRyIYKzq1bk5GvixMVowbX1ZeqxVc98RZ+fJkI+puVl4j9miz8rk3K29kmChf+qw8EUSQhEL3lPSsPHE4DD4c+C5v+R+uv9eD/+K2IYf9ltb1X67u/K8+vfV3y39e/mD5n2xjkNFq923vvP3i5vMB90fL/8/y7/ut4Y+WPzjt/+fv+5/cfD/1H5f/X/sRrk9uvsxlx3X0b0ZZvy9bfSfg4/4Xvrsa5E+v/9retPtiVRlue4LYjzfY+3SnI/uT/o+wHUhevK7q5SjffHTg9b/j+oN+nm4+OpGPlr/q//Fn13++fOGaqSl1pgRJxBjbWiJJ0oMHIoc08QlQBLbIRJAjOXtgEgrCvmg7OHT2sG6bVgb64FHBBWGDtNVh0klfQYRu6OxheEo7HnTas4fCRdcbzSpI1+7SHfzsQakXzB+hPpFx9qAkKzGyKGcPSolGJBGQR+hLNx5Z839qO9Gls7yjI/O8yvkF828xvKxSIZhrE3jUwBGNUqMkZQUoLCfuO78ztUDKEc2dJdrVVq6sb/s3leE+cmoycO1VHuE417J39GrBxVd6hLNtI1cG2sipVYNLcAzPbmHuzQIYZ3oMcL0dPs3xaLey770+ET6Kcz2FEVLAz5Ed2ZONsLtnPFrB4BoDb3yAuNOBcedCTwWuSzHPgLRSCWdA275x/jf1Uq9YsqCqHpnNPjIcbDo1QpzjoOFAs54AH8GVngBcWcWHRLZvnDvILHRij/aQqPAeEoV7sdzBRPnSHxIRQQTZQnTzTz8kIg6HwYdDsB3/n3fHTJyqXccTmKoYO2siSdJTIiKHNEUNUAR26USQdKdElWnGhZPwIZdQEPdj7Dg3+851E7Uy0BWPCi4IG/BmSTCtF1w66SuI0AWn9AKZ0o4HffN5w1csmdd5Rv2+oe+qSqiTjMmLXUzfcVHcrxs6xX5DLXb3Gdv/24b/eWVYPvd+sLCxHyxUqk39wcL2/lnZZvfP6tydDTnTk5RyEnzTe/vBwvb+uZV/7pN/rpdv5PLxHe/NBwvb+3Orfu5TP9erx596fWC9zaq19ztL0fkoOjUF/YOF7f0rK/3KJ/1KLx2P58Jkyc0HC9v7C6t84VO+0ClfPTvfTLkyedMhbVB+6R14WK1qbfJWMijl4u8pujr966pFlM1g/PzOUflt64IvVw0NbN+n79nfeLPzHt3WPHzuAuxXtdauakrKxKuamfSrminsD5X9wS5ylf3Hyv5jbX+1tv9Yr/7R/mpj/7GpfUugFjvBEtiznlvWc8t6blnPLeu5ZT23rOeW9dyynlvWc8t67mM917MaOaso6M0t6tyizi3q3KLOLercos4t6tyizi3q3KLOLerchzrXo+Iv7b6La4/cWeTOIncWubPInUXuLHJnkTuL3FnkziJ3PuROjcxeiXvOK8t5ZTmvLOeV5byynFeW88pyXlnOK8t5ZTmvfJxXek58sdMs2z3mwmIuLObCYi4s5sJiLizmwmIuLObCYi4s5sKHudBhvrLG2/9J9FHi3FcF+GY/KkGKyjtZmFjlOu+vWtTqBUsm0IX+J+u2RTdVi3/ZL+n9sm4T4F8sv1wdavzSLuf2M/yj3gDYTPkXNz2Mrr836tf75S/63/TB8qP+N3zP7Qk+XnWFvHEF9+1vuem+/tFtn81frDLsb9h+m8tf9T/f/B33bXekHy5/uvpvXqxy+J/av/AHyx/1qlfHAmsB46+t/4ZPVgV+31s1llx1dl9+5hr+t9TDv7sYE0srtRKNSCIgb7e08nVrqC2t/LGd5NXJzy9vGojenMG8NpGr06LV3/Xrm2rZ1QP6on/UjusB/WTV4OtLe9j0NfuXrv7CT1dC88n/5Qa+/2WL9FerEuGXPv/8Rk9o/6yXrxQH218cWVirZPO2vhxlZnLS////Ukwm9tjKHm79P20bsa+NXQ/UVP1AgXU2ghMni/VR/ww4X8631ULB0hnBgZK/pFOrcdf27VnSmU+y3NNVaKbWeLiqTpPZrVZ+W2JlJsHSTjUeaFDkpZ154/04h1osaFCElZ196FgXFBpvi6Z39apBm7LfRn19wmYm92YBjDM9BrjcKzbe64KrXvvrE+Gv7FRTGCEF/BzZkT3ZCLuzN1YLBlcc+LASiD2djT0dGHsu9GjgGiUr7yxzb3GnWmj84s5NzHkv8LJe6hVLllbVU7M+/h2IN50agVzcuYk16wnwF3eqCcC1VZj4sM/ORtSdDIZKrFX7xDx72k6a9vTxM2NOy8fPmtPm6ePidPI8b6pH+dPHjx+ZGx5vcuP3H8Us7gykDN7sA5QME+VzpUECWJJUiAvkG1QQQZEPmiP5bzYB0e/O7M7r5zf1ix/Zjxuu9qB2O/rhuqjzZ6ttsC14vPlnbwvo1e8JtYC+PyomS0/j4beoA2jwAcRTCC6MKRVDUPMk2Lh6W0EzUSi1khP39e8HVJLdFTpAgm6Aq0kxrq1Pv8syo7IkK5jsN/i581bDQy6fIJLG2MZtNnPZbW3dzU9c4GdccEHogHcg8KRecNmkbyDCNlAsCUxox4Ne+bxnj54VTx+32WnVlk9OyyIvT5uifnxqnjzOH2VVU07qZ99M7/M8FZUml44Fxpfe5xFBBNEJ9Xn/uCrItPdCVtdxPrOW7fqD67+1Ofverr1xc0zxnd74fdg7uN4Hfu3fWpuXmVX63TUEb1GHwOBDgDu13u2+cv7w6c2QXH+/t6M3l2NGb9zY1h8t//fRLfno+nvu13pKxReEaYHDGzqaIAJRfJ5nN/mASiJdZQCOsszrcV4418wZFSaZ0avHmXOuHnLxBJE0qs/L17bA23nvjAsuCCBqn+eb0wsumvQFRNCGbN7wfHY86NWdmPubRSFxTZLPyBVB2kN0cbFqK29NklIveNiH+rD/tCqRsJm0Va7NloHcFErcXO799WhVoHRTsLGqsej/ufchH99cJF6Vedhc2+0F5Berm8DWp1x/YNNx9g+16bj+z7lJ0v2itzO9k7Huzn0T9i31wJTYwESpFlJKNCKJSnlTtTzwJBA3eNd/6b5j/7ZaIniiJ7Fs/qoTpUbJ0Rig0KluplZHqTe5m/D0fZpWLRtcVBR1JLm/y4taLbiqSAtJim0hibdd27t61eDaInKm6KNxppcNRv7hwhFU67leqxFqhZ8OO34nG2E7gud6weCioDbtZlw4JV/oJYOLhKzswx8m3tMrJdR9FNu6D2+IuNQrlixumsfB39NFKzlOnQeq80qvE1zhxNUcxclG1I7YhU6sVdu05XOTm+L08dOnj07LrDKn7dOyOn3y/Hn97HmdF0/L29XEuy0M7JO1W0NvNUcpw0T50mf5iSC7q39ofsDd5U/tNZKbLP9nqzT3x6vLCp/e1nK8f1Ocsa7o+C9222l/709PC+fL9RaV3+D8e+/QiBiCTBu+k1t+5gwgb1NJKDl6G7h9WXoiizRJiJC4KGZUimTp+bwJtDehEgqioGgfNJShL9cZXW87vjMuuCBuqM1+YFovuHTS9w+hG0rSD09px4NeubRHWVZWpmxPq+yJOS3Lpj59bJ7Up88f108nT7PGVNXtwCR1ab4UvpGOBcaX3qURQQTxCXVp//k2of/Xo+s/X35s/2FVmvH58ovT1Q3N717/xaqSdvVx0e9ef3D9vZVrs6Zt+ePMXSj+FnUQDD4Ie1s1IoYg5Aqsmr9ulohC8mqlz6oRUaRLBQLiophRKZJZtWqc1S68h1w8QRyM6tPWPctMoA0dFVwQNNQ+zTenF1w06ZuHoA2ZtOH57HjQ6XrQWePl3ML3tqsK0FX1ZJfu4JUTSr27EeN/vMoJ5cCU2MBEqZxQSjQiiYC85U9Xw26viH16f2SL5e+PitH139x8JGX50vdZD6V+8BQNd3mB0gqlRPDUDHdvodIKpUbJ6ROgsDDOVW6m1pekuMJ3YvpQLxtcdyIXV2jVgguPtLhi23/NBPqvqVWDy4/IrN555dpJPm6c6+aZXjm4PsjrK/q/tvF9TeFcr9cI9cIPiR3Dk42wHcFzvWBwdVDb+UCNhVYyuFrIaiyKovXXWGiVEmosto3T/JHiUq9YssppHodAlOjUqjllFlmeTfLCX2uhFQsueOJaC9sWzR0eFjqxR5vF97ZFM8FWHHcxUb70WXwiiCB7he5HSVl84iAYfBDwjZ0LY0rFECTk8P1dIItPREmdxSeiSHOJAEj/V48L346RiHIMqXwmniAYinZHQ6n8dWMpE+gVRgUXRA619w+k8plo0tcPQRtK5Q/PZ8eDPt6q2MJbbxFqOOMcC4wvvVMjggiCE+rU4lfFEvkNzr+3SSNiCEKtwKR5q2KJJCSP5q+KJbJIVwmIxJ/VJ5Ik82jhylgmoSASRrVpzXpZbwI2jQkuiB1qmxaujGXSSd9BhG7IqQ1PaceDXn++4jYxbL6Z9PMVpYu292JtgNYUd2gTFWE0Y+PS+w21XvAUDLdS9hT/o1X1xRfrD8a6u30s//PyR8u/uzFV67qMW4tlP7JlD9SvP1iVXfT/2xuyT5Yf3/xyHvjimHIUSmwUolRcKCUakURAHqezzStlHP0//XDVf+bz7cNw33axufNF4VV3m50kqS3Y6R+VG0n27952qfnkpjGM/ZbwqsvNTd3OurTH/urPR6+0kln9UbZcx9x+xq0X9ne3DW0srO2As/rzfj3KR75na6qeOPAwUeJynfvHt9UKwbND3L2GKk2UGiVncIjC1oxrX+cYpURKscmdldvVOaayDTkr2z6m2rRwaFffuPe2j9EygouxvDLFTAL9Y7RqwdVYWpnSbitT2kBlilY1uCbHMPUW5t4sgHGmxwAX1eEyFY92K/ve6xPhozjXUxghBfwc2ZE92QjbETzXCwbXG3hnBESgzkagzkagDoxAF3o+cLWSVbrUVaCLjFYpodKl3Va6eF/ZS71iySqrenY2O85w1OnUCHHKXoYjznoCfARXegJwiRXXwrQnG1E7Yhc6sattSWae1/0+/rRon2WnZVFVp4/ap+1p/vhZv73PJk/6f7rh8e7nAwkO7Z7eVwtTTWSYKF/yExYmiCCviKYF7naR2dnuvbj+0AX6FhXU4KD4ttqFMaViCNKhgk2mt96FiUI5S3Hulh9QOXbX0QAHumMt2mzsrmScUVHSHaQU48K5Oj3k8gnCXYwd13rfVU1uc+5VoHcnFVwQN+DNAjypF1w26QuIsA0cogAT2vGgV2asevSoeVw8bk/rqihPy8nz9vSRedL/MMmzJ8+K/g9ab2eTmjFPuUsVbHvjGguML70ZI4IIohNqxv6LPZ9ZJbw/senuF8tPrz+0uX+bCr8tcnn3fymWn61+mpvr7+XGmxZ/iwpvcPi9DRoRQxBocYPmv3DKRKEYNG87PiaJdIUAOEwzrovShTKjoiSzaHU5LpzB/CGXTxAEo1q0dfO2KtCNjwouiBxqi+ad1Asum/QFRNiGLNrwhHY86BuL9ryZVM+fTk6f55Pnp+WTqj1tnrbt6ZNnz8pJVTx/NClvY2xSi+YMwL1Fy8VjAfGlt2hEEEF0Qi3anbqJ0e1XSG6/aLIybX99Y9lGy39c/mDVQvkflj/u//+f1h7u4tRko+UPXAPyFnVADD4ge9s2IoYg+OK2LZBXI6KQbJsNa3dRHlBRpMsGAJK346Ly1CgzUZL5tnYyzp3FLg+5fILIGNW3rbuxVYHuelRwQehQ+zbvpF5w2aQvIMI25NuGJ7TjQaf9KJwzpPZOrAjQVXW2S3foemStXrD2CTVSB65H1o5CiY1CjHpkrUQjkgjI+5+6Hvm/rn7lZf+7PscrkrVTB1aICUytryJZqxCs8cK9aqAiWatRUisFKGx97Z21+g5YjlzaSmRzWwdYFcFKZDUeuAzHrURWqwXXYWElcrVtQFgFGhCqVYOrcQzzbmHuzQIYZ3oMcDndoxK51/76RPgrkdUURkgBP0d2ZE82wnYEz/WCwXUG3gEBwaezwacDg8+FHg1coOIVIauVxi9CrrYtDf1v66VesWRhVT02m21lOOB0agRyEfIm2KwnwF+ErCYAV1dpEXJlmx+6A81CJ/ZoD1WMtwi5lGGifOkPVYggu84jND9gLiDBoQpxQAw+IPie24UxpWIIMqOC/af/UIWIkvpQhYgizekCIFk5cX9bYUYlOYozFSafIDDG2JZtNmfr5nlVoB8iFVwQOeAdBTypF1w26fuHsA2dqQxPaMeDPt67Y8ZbrmykY4HxpbdtRBBBdEJt2x53x4igBgfd244RMQRBNYodI6JQ7JgzFjygckjXAoAia2onyIwKksyKhW6OMfkEwS6qFVu3yKsCLQ+p4IKoobZioZtjTDbp64ewDVmx4QnteNBpy1uch5y9uaqCdPku3cHLW5R6wQM11BsdurxFOQolNgpRyluUEo1IIiCPUt6SnS5/3YeMU5uwfDkq7P+uWyZuJvn6+6+XqFx/31mk8nKoREVQO9M/kS/7v+C7q9+5Wzkz9PW9sWsip+qJBA8hBe7WW+yiVAieJeKmNVTsotQoOZMDFJZtU40rnydVajxgwUttC14a+0O7PniuwlUvWkZwdY5c9aJVCy7P0qqXbWfIKtAZUq0aXKRjeHoLc28WwDjTY4Cr7D5VL9W91yciUPWipTBCCvg5siN7shG2I3iuFwwuOPDGCIhAnY1AnY1AHRiBLvR84HIVsfRFq5RQ+rLtNOl/ZS/1iiXLrOrZ2Ww5w1GnUyOwS1+qe69PQKD0RUsALrHi0hfbi9IdbRY6sVbt46x5VFXtk1NjHren5aPi8Wn7+NmT06Ysnj1/1haT58WTGx7vBj+Q4dBu8r2lL7UME+VLf4ZCBBGkFdE8wd0zlNe2aK90N/rZag9qe1LedjtaXUv4s/7//3y1O1z9druNXP2eVepg+dPlPyx/dLqqlvnB8p+W/3G11f2X+6Ni4jsJeIs6gAYfQHz/7sKYUjF2jUQAQ7B79Z/NEFEoZzPZ2HlU/4BKIk0PAxxNW5txmzlXhhkVJtkJTZaPcyffQy6fIJTG2M1t9nTrzodVoJMlFVwQO+CNCDypF1w26SuIsAUn9AKZ0I4Hfbzf9qu8xTLhZlGOscD40hs9IoggOqFGL/K3/YjwBoff26QRMQSBFjdpgW/7EVEoJs3/bT8iiXSFADiysu1NWuMzaUSYZCYt9HU/Jp8gDEY1aeumh1WgjyUVXBA71CYt9HU/Jpv0FUTYhkza8IR2POjjvYhWeb/u14rHAuJLb9KIIILohJq0BBfRiANi8AHZ27gRMQTBFzdugewaEYVk3LwX0Ygo0mUDAKnLety2zhA4o7IkM26hq2hMPkFojGrc2vU6H+haSAUXxA61cQtdRWOySd9AhG3IuA1PaMeDTlv/XLvo3izrUF+Qqi526Q5d/6zVuxsyfrPrn7WjUGKjEKP+WSvRiCQC8ij1z8ufbP6zlY3uZ3U16S/7P+Pj3kh/0v/se6ObL+uNlv9H//f/uP+PVqfh/a+9chr+M3k/cO3IgvVhAtPpK0jWKgQrvHAvGShI1mqUVEoBCnMzbieeemStxMPVI9e2FXi9bsRbT4KlyGo8cKGMW4qsVguulMJS5HqyKUWuvW2/3tWrBtfLGPbawtybBTDO9BjggrdHKXKv/fWJ8JciqymMkAJ+juzInmyE7Qie6wWDSw28RwGCT2eDTwcGnws9GrhGxatCViuNX4W8CTrvBd7WS71iydqqemzWG7+BgNOpEchVyJtgs54AfxWymgBcXaVVyP2zsxG1I3ahE3u05x61rwq5DnV4cmCifMnPPZggguQeulvnn3swB8TgA4Lvil0YUyqGIHcp2IJ6zz2YKInPPZgo0qwrAFKMm8ZJMqOSHMOpB5VPEBhjbMs2m7N178I60IySCi6IHPCOAp7UCy6b9P1D2AZOPYAJ7XjQx3t5rPbVFN9+w0owFhhfettGBBFEJ9S2Hd/lMeYAGnwA97Z5RAxBsI5i84goFJvnvTzGJJGuMgBHab+jUrpQZlSUZDYvcHWMyicIpFFt3rrVYR3oXUkFF0QOtc0LXB2jsklfQIRtyOYNT2jHg05b3OIMqb1xK4J05S7dwYtblHp3Q8ZveHGLchRKbBSiFLcoJRqRREAepbjlN/TjfgOtLD2f99NOJXjEKfC43moapULwpFJiXf3VNEqNkhM/RGGW24Ia5/HLTC3ygPU0tqFlve4pV4cbWqrxwLU5cj2NVi24OEvrabYNLetAQ0u1anCJjuHoLcy9WQDjTI8BrrH71NNsG1rWAw0t1RRGSAE/R3ZkTzbCdgTP9YLBxQbeFgHBp7PBpwODz4UeDVylItbTaJUS6mm2DS39b+ulXrFkdVU9Npu9ZjjgdGoEdj3NtqFlONhc6QnA1VVcT2MbWroDzUIn9mgPZhpvPU0pw0T50h/MEEF2nUdofsAEwREezBAH0OADKNi4O7pL/dl2A3szHDdD8M/9///L8u+X/7j8Bxf8lAovSMoKtrr+4xwiSuLjHCKJNJsMcOSTfFKNq8JJM6PSHMWJDpNPEIFj7P82u8B1o8U60DmTCi4IHvDW5c6D27+BzsTZBZdN+g4ibEMnOsMT2vGgj7feuvEW7hjpWGB86f0hEUQQnVB/mKDemjggBh8Q3O+5MKZUDEHwjeLciCgU5xaotyaiSJcNACSrGltyXbtgZlSYZM4tVHLN5BPExqjObd2XsQ402qSCC4KH2rmFSq6ZbNJXEGEbcm7DE9rxoNPW4rQuut6LVUE6s0t38Focpd7dkPEbXoujHIUSG4UotThKiUYkEZBHqcWJ9aGZV5OLgk/NKMcWPK8U+E5vcYxSIXjsiNvJUHGMUqPk+A5QGPzUjFLiAUtjbOvLulmfToe7XqrxwKUycmmMVi24VkpLY7ZdL+tA10u1anDFjGGwLcy9WQDjTI8BLnn7lMZsu17WA10v1RRGSAE/R3ZkTzbCdgTP9YLBpQbepQDBp7PBpwODz4UeDVyjIpbGaJUSSmO2DS/9b+ulXrFkbVU9NputXzjgdGoEdmnMtuFlONhc6QnA1VVcGmMbXroDzUIn9miPPlpvaUwtw0T50h99EEEE6T10v57g6IM4IAYfEHxf7MKYUjF2PUEAQ7AF9R99EFFSH30QUaR5VwAk9KkZIslRnHsw+QSBMca2bLM5W3c7rAPtK6nggsgB7yjgSb3gsknfP4QtOKEXyIR2POjjrWhuvRUr4S5RjrHA+NLbNiKIIDqhtu0IK5qJA2jwAcRtXtSKZiK8IMRHMYdEFIo59Fc0E0mkaxPAEfxADRElmTkMlTMz+QThN6o5XHdZrANtM6nggsihNoehcmYmm/QFRNiGzOHwhHY86P7/fvfV19X0//M7IRcYt0omc6bgewPYBnhNke/yJiqTySbeOhmlYPDUDzZwd4pbXmyLYHpr9vHys9VnS95fpd4+u7/z75ZfnPbu5eP+v/gL697sb1kVZ6z+iJ8vv1gZu/5ffffmEycfL3+xcoXf6b2N/StWKb3bb5IsP9pJAdp/fVOUY//Np9d/Nb4p88izm6+hlDcfQ7n1kz+//r41navf++ub31jen9z+1sb+zo97xJXPdE3IW+oJKbEJkZXs9BbPVqm8uBm2l7cD/uH13/YM37WGcFMVsxnB22H/89svyPT/yvnllt9WgxoRKAIZv/DnpsbrV+PWlgAFn+31DuOHy5/e/Ee/sM/gz/q/ze5IVk/g9Qf2Vz5dPas3j6P9Ls/mD7BP3F9aodvf83LzrG4+3JOb20/2ZKfF5nNAy5euqZmqpwY8zBX4cm/dkFIheCYrsdv+uiGlRsnZJqIwqxuPKZmpNR6ucKiZ3O9/sI2qmk2vmDZcPaRlBC2EvHooyyrjLx/SygU9hLR8qN2WD3nbbL6rVw0aiRhbEQtzbxbAONNjgMvvPuVD7b3XJyJQPqSlMEIK+DmyI3uyEbYjeK4XDK448H4OCEGdDUGdDUEdGIIu9HzgeiWrIcpsa2vjKyLSSiUUEbXbIiLvO3upVyxZaFUPz2arHA47nRqBXUTU3nt9AgJFRFoCcJEVFxG1JxtRO2IXOrErg9v/judtW5w2k/LpaWmqR6ePJo+fnRaP80lbPn5a1M9vHypvHiKQmVHnInxVRE2oL5eDEwVMfhzFBBHkQ/fKZryesHhx/aEL9S0qqsFRBdtnjHbUXV0u3rlaXI7efOf/+ubV9B0X/pSKL0gAC7ao3qMjJgrp6KhwkTygkuwuwgESdMdbNEWWjSvjgplRYZIdHjXj2on3kIsniJUxNmzrbVszuT1qaAJNhqnggtAB7zXuvH6T8e3XX+7sH6hs0jcQYRs4OwImtONBH289eP8IeCqLmlBDL/dgQIDprRwRRBCeUCvHLwhnDojBBwQ3fC6MKRVDEH2jGDciCsW4+QvCmSjSdQMAyepq3OROFzqjsiQzboGScCqfIDRGdW7rZpVNoPsoFVwQO9TOLVASTmWTvoEI25BzG57Qjgd9UxJePH6UNdnktMiqZ6dlljWn7eTZ4/735u1T86QpJvXtpKd1bs6w1Tu3XDoYGGB650YEEYQn1Ln9dNXLyJYw9wbNFj+8uP7w+i9WFRS2suPX/9Z6s+VPlz92FmG+RcU1OO7evoyIIYitAl9mq2A+Go/cH7V5mwpEcWfO5PwDKod0YUAoQmUkTJZk1iyrxu7v6zzk8gliX1Rrtm4w2QQ6hlLBBeFDbc28k3rBZZO+gQjbkDUbntCOB70pyL71JPZ/UhZk+45AiyCvv+8Lplbiql4ryM7dib5vqAWDdVSoewoXrb5yuc7WWq/qUVelzd+9/vD2H5WV1q99BTFJwbV2wEtswGUF1y6Jv62WaEQSAXmMUuk3bmulm+ykKb5me4q+fnPT9eXLOwXUv1yZ+Z/tWfesHWewCk3ggX11z1qFYB2ZwNT66561GiXlWIDCYpKNq9IlcaaWeMCyZ9tKtDH2h+q25rAJ9xNVM4ILtaLseVIX3rJntVxwpRaWPTfbhqJNoKGoWjW4XMcw/Bbm3iyAcabHABfBPcqem21D0Wagoaiawggp4OfIjuzJRtiO4LleMLjgwLsmIAR1NgR1NgR1YAi60POBy5Ww7LmatN6yZ7XU+GXPzbatqP+dvdQrlqyzqodnsyENh51OjUAue262bUXDIedKTwAustKy58a2FXWHm4VO7OrEZWLabNI8O62qJ89Oy0emOm3rypw+afPyWflk8rh5fIBamcxb9lzKOFHA9CcuRJBdAxKaoD1yBr7v8LC+u8McMoMPGb6ldmFMqRiCtKtgx+qvpiGiJD2vIXJIs8UARW1KJ8iMCpLssKYet76zGiaeIGrG2LptNnDr1pFNoBcoFVwQNOBdh6sA2mldLrhs0rcPYRs6qxme0I4HfcRlNJm3ANqIBwMCTG/qiCCC8ISaur3LaIi4Bsfd25ARMQSxVWDIhspoiEBJbRmRQ7owABTBUwkiSjJjFqqiYfIJQl9UZ7ZuDdkEen1SwQXRQ+/MAlU0TDbpC4iwDTmz4QnteNArZ9ZUTf6kflqfPi7qyWlZPXt+2j4pH58WbTFpn7ePHhXPbrPOaZ2Z05v3zqySDgYGmN6ZEUEE4Ql1Znevpi3/bvn3y39Z/mT5T6fLH9n/WWXOfrT8l5VJc0G/RYU2OPTe/oyIIYiwAn/mT5gRUSjObDLOjQvlARVFujYAILUZe5NmRJJ03syaT+c+7SEXUBD9opqzar2WBzpGUsEFoUNvzryzesGFk76BCNyQOxue0Y4HnbYTe+bLhNUBvKqudvEOX9KsFLwbNb4qaUZLmpUDXmIDHqWkWSnRiCQC8qglzfVJOzlp1VXNn6yOxr+03eKvP7g/Wn0W+oubD0K/XH80es+KZ+U07K5rxIpnpUKwhAx3uaGKZ6VGSSUWonBSVWPjdAIztcYDljw3ttq57X9oJ+t6wzpc8qxlBBfy2CXPWrngSi4tea63Jc/efm/v6lWDy3mMDYCFuTcLYJzpMcBFcp+S5/re6xMRKHnWUhghBfwc2ZE92QjbETzXCwZXHHgXBYSgzoagzoagDgxBF3o+cL2KWfKslUooea63Jc/ed/ZSr1iy0Koens3+NBx2OjUCu+S5vvf6BARKnrUE4CIrLnmuTzaidsQudGJXBhf6II3l8WYDAukQdUbAW/Ic7rN1hxMFTH8GQwQRZCHRnEKCzwMSB8TgA4JvqF0YUyqGIMkq2JD6z2eIKLsuIICC71wDnwckokizwwBIZtpxe1sVeXeDS2RJdkIT+jwgk08QGmPszza7tHUPySbQFJQKLogd8NYCntQLLpv0DUTYhs5nhie040EfcV2z53Ckd26tdDAwwPTOjQgiCE+oc9u7rpmIa3DcvX0ZEUMQWwW+bKiumQhEcWe+umYih3RhQCiCZw9ElmTWLFTYzOQTxL6o1qxdr+SBdolUcEH4UFuzUGEzk036BiJsQ9ZseEI7HvQRf0cg9xU2t6EGJO7BgACTWzMmiCA8odbsGL4jwBwygw/ZvvaOiSGIzwJ75027MVFSGjsmh3RZASjyqvLdV2OSJLN1/g8JUPEEYTOmq2vXjbfaQCc1Krggauhdnf9DAlQ26euHsA24OmBCOx706qPPr9gZr237o2dP/vhbf/gHjoFQuTZPLq0N9x0xu5y+ymi/WokX2xZHe+qitXJ3H7PA4IKO61977/Tdm0PMOxWutybqy5W1soea37OFpqvf/nJTsOoC7E1U9vWZmvJOiPRj7hchb6oN29wWGtqvrLaV/aG5f2YmE/tDbn8o7Q+V/cH+QmZ/IbO/kNlfyOwvZPYXcvsLuf2F3P5Cbn8ht79Q2F8o7C/0xP0P9t+Vmf3B/r6y7n8w9reYwv5g/zPT9j9U9r+o7H9R2f+itv9Fbf+L2v4Xjf0vGvtfNPa/sLWSxnKY1v4XFqGaZPaH0v7Q/xeVFV5l/a9WVmmV259ZaZVVVZX2Z6X9mdVSGfuzyv7MKqhq+7Pa/sz+vZX9GG3V2p/Zv622Y1VP7M/s31Fnxre4aB+HUv444HUw9hk4t8/AuX0Gzu0zcG6fgXP7DJzbZ+DcPgPn9hk4t8/AuX0Gzu0zcG6fgXP7DJzbZ+DcPgPn9hk4t8/AuX0Gzu0zcG6fgXP7DJxbzHP7DJzbZ+DcPgPn9hk4t8/AuX0Gzu0zcG6fgXP7DJzbZ+DcPgPn9hk4t8/AuX0Gzu0zcG6fgXP7DJzbZ+DcPgPn9hk4t8/AuX0Gzu0zcG6fgXP7DJzbZ+DcPgPn9hk4t8/AuX0Gzu0zcG6fgXP7DJzbZ+DcPgPn9hk4t8/AuX0Gzu0zcG6fgXP7DJzbZ+DcPgPn9hk4t8/Aue8ZONc/A0b+DOCVRP0jMLePwNw+AnP7CMztIzC3j8DcPgJz+wjM7SMwt4/A3D4Cc/sIzO0jMLePwNw+AnP7CMztIzC3j8DcPgJz+wjM7SMwt4/A3FLO7SMwt4/A3D4Cc/sIzO0jMLePwNw+AnP7CMztIzC3j8DcPgJz+wjM7SMwt4/A3D4Cc/sIzO0jMLePwNw+AnP7CMztIzC3j8DcPgJz+wjM7SMwt4/A3D4Cc/sIzO0jMLePwNw+AnP7CMztIzC3j8DcPgJz+wjM7SMwt4/A3D4Cc/sIzO0jMLePwNw+AnP7CMztIzD3PQJz/SOAL356i3VT/NkPYWcfhc4+Cp19FDr7KHT2Uejso9DZR6Gzj0JnH4XOPgqdfRQ6+yh09lHo7KPQ2Uehs49CZx+Fzj4KnX0UOvsodJa2s49CZx+Fzj4KnX0UOvsodPZR6Oyj0NlHobOPQmcfhc4+Cp19FDr7KHT2Uejso9DZR6Gzj0JnH4XOPgqdfRQ6+yh09lHo7KPQ2Uehs49CZx+Fzj4KnX0UOvsodPZR6Oyj0NlHobOPQmcfhc4+Cp19FDr7KHT2Uejso9DZR6Gzj0JnH4XOPgqdfRQ6+yh0vkehUz8Kd0oiBx4F2WpwZef/ys7/lZ3/Kzv/V3b+r+z8X9n5v7Lzf2Xn/8rO/5Wd/ys7/1d2/q/s/F/Z+b+y839l5//Kzv+Vnf8rO/9Xdv6vLOKVnf8rO/9Xdv6v7Pxf2fm/svN/Zef/ys7/lZ3/Kzv/V3b+r+z8X9n5v7Lzf2Xn/8rO/5Wd/ys7/1d2/q/s/F/Z+b+y839l5//Kzv+Vnf8rO/9Xdv6v7Pxf2fm/svN/Zef/ys7/lZ3/Kzv/V3b+r+z8X9n5v7Lzf2Xn/8rO/5Wd/ys7/1d2/q/s/F/Z+b/yzf+Vfv7xTYawprSf/oWd/oWd/oWd/oWd/oWd/oWd/oWd/oWd/oWd/oWd/oWd/oWd/oWd/oWd/oWd/oWd/oWd/oWd/oWd/oWd/oWd/oUlXNjpX9jpX9jpX9jpX9jpX9jpX9jpX9jpX9jpX9jpX9jpX9jpX9jpX9jpX9jpX9jpX9jpX9jpX9jpX9jpX9jpX9jpX9jpX9jpX9jpX9jpX9jpX9jpX9jpX9jpX9jpX9jpX9jpX9jpX9jpX9jpX9jpX9jpX9jpX9jpX9jpX9jpX9jpX9jpX9jpX/imf6Gb/lfSqPYpSNZoyFuAe5tE8lHU3ocYE6vcd/Y/OvV+Q613d1O2553cH/e7ys9vrihu9pI3u9Dr79k9p03l28uXHy9/fZvw//HyPy7/q4vpLTXT7s6CeO1VK9GIJCrlTdXydpN6vOugWoW7GX7mdVCtxl1ru+d1UKe6mVod5SLo3VJl96A+1MsGlwPN3c7MJ/cdvVxwQRDe7Wzzzd3O1tsd8F29anBZECXq0GfjTC8bjPzDCSVU67leqxFqhZ8OO34nG2F3d+paweCioD7lKVrfKF/oRYPrhPAapj9SvKeXGv8a5iZKvBeIEpd6xZIFTvNE+Aa5U0uOc+0S1Xml1wmucsKNsH0iNqLu7tw0Yldm7EnW9DvK4rRpy8lp+STPT9vyqTmtnz19VPe/0D6rbhcU76bu9x/FrQNbVYK5MPutXSHDRPlc278AlmQL6AL5BhVEUM+A7g1/ut792fr81bZvdLMHfOfbf/gHf/hHf/zo26PlL64/WP5stKr2uqkVe/W+5eo352ZyL68mk3u1/SqOa2Deog6MwQdm790bEUNQtoHv8uw3kFwob1NROMVeY+MieUAlkdabABy+TSORIlmpVx8G/NtLJqAgOIp2SEPFXsW6NijQ+pMKLoga6m2Af1YvuHDStw+BG6r2Gp7Rjged8vOX/hqvMkBX1ceXaFfq3Y0ZR5VoVzKVGFOURLtSohFJVMqbquWBORXcgvkT7UqFYAJF4qz8iXalRkkeAlDo80xKdYdOtGtlg8tB7ES7Vi64IEgT7eU20e5t7fauXjW4LIhsJPpsnOllg5E/aqJdq9UItcJPhx2/k42wu4l2rWBwUVA77GCiXSsaXCdiJtq1UgmJ9nKbaPdGiUu9YskCp3kiAol2peTkiXatTnCVEyfay5ONqLuJdo3Yo020+2uojAwT5UufaCeCCHJJ6N4wYaKdODAGH5i9d29EDEHKDN/lBRLtRJTEiXYiiTTVB3D4No1EiuNItDMBBcFRtEMaSrSve0a2gSagVHBB1FBvA4KJdiac9O1D4IYS7cMz2vGg0ybaCxdd78aqIF2zS3fwRLtSL5hRQc1U3ES7kqnEmKIk2pUSjUiiUt5ULQ/MqeAWzJ9oVyoEEygSZ+VPtCs1SvIQgEKfZ1KqO3SiXSsbXA5iJ9q1csEFQZpor7aJdm8vyHf1qsFlQWQj0WfjTC8bjPxRE+1arUaoFX467PidbITdTbRrBYOLgtphBxPtWtHgOhEz0a6VSki0V9tEuzdKXOoVSxY4zRMRSLQrJSdPtGt1gqucONFenWxE3U20a8QebaK98Cbaaxkmypc+0U4EEeSS0L1hwkQ7cWAMPjB7796IGIKUGb7LCyTaiSiJE+1EEmmqD+DwbRqJFMeRaGcCCoKjaIc0lGiv12nZQGdXKrggaqi3AcFEOxNO+vYhcEOJ9uEZ7XjQaRPtpYuud2PhdkjtLt3BE+1KvWBGBTVTcRPtSqYSY4qSaFdKNCKJSnlTtTwwp4JbMH+iXakQTKBInJU/0a7UKMlDAAp9nkmp7tCJdq1scDmInWjXygUXBGmivdkm2r1N/d7VqwaXBZGNRJ+NM71sMPJHTbRrtRqhVvjpsON3shF2N9GuFQwuCmqHHUy0a0WD60TMRLtWKiHR3mwT7d4ocalXLFngNE9EINGulJw80a7VCa5y4kR7c7IRdTfRrhF7tIn20ptob2WYKF/6RDsRRJBLQveGCRPtxIEx+MDsvXsjYghSZvguL5BoJ6IkTrQTSaSpPoDDt2kkUhxHop0JKAiOoh3SUKJ93Sy0DXR/pYILooZ6GxBMtDPhpG8fAjeUaB+e0Y4HnTbR7oynb5rbqfbQNZNdugMn2tV6wYwKaqZiJtrVTCXGFCHRrpZoRBKV8qZqeWBOBbdgvkS7WiGYQJE4K1+iXa1RkocAFLo9k1rdYRPtetngchA30a6XCy4IskR7L2edaLd9ZnyJdr1qcFkQ2Uj02TjTywYjf8REu16rEWqFnw47ficbYbuJdr1gcFFQO+xAol0vGlwn4iXa9VKjJ9q3UeK9QJS41CuWLHCaJ8KbaFdLTpxo1+sEVzlhot0+ERtRu4l2ndijTbR7tkr91i6TYaJ8qRPtVBBBLgndGyZLtFMHxuADs/fujYghSJnhuzxvop2KkjTRTiWRpvoADt+mkUhxDIl2LqAgOIp2SOFEe890k5a9/YkL/IwLLoga6m1AINHOhZO+fQhcONGOzGjHg06baHdeo+zdWB6ky3bpDp5oV+oFMyqomYqbaFcylRhTlES7UqIRSVTKm6rlgTkV3IL5E+1KhWACReKs/Il2pUZJHgJQ6PNMSnWHTrRrZYPLQexEu1YuuCBIE+35NtHub4aqVw0uCyIbiT4bZ3rZYOSPmmjXajVCrfDTYcfvZCPsbqJdKxhcFNQOO5ho14oG14mYiXatVEKiPd8m2v3NUPWKJQuc5okIJNqVkpMn2rU6wVVOnGjPTzai7ibaNWKPNtFeeRPthQwT5UufaCeCCHJJ6N4wYaKdODAGH5i9d29EDEHKDN/lBRLtRJTEiXYiiTTVB3D4No1EiuNItDMBBcFRtEMaSrQX67SsvxkqF1wQNdTbgGCinQknffsQuKFE+/CMdjzotIn22kXXu7EySJfv0h080a7UuxszjirRrmQqMaYoiXalRCOSqJQ3VcsDcyq4BfMn2pUKwQSKxFn5E+1KjZI8BKDQ55mU6g6daNfKBpeD2Il2rVxwQZAm2sttot3fDFWvGlwWRDYSfTbO9LLByB810a7VaoRa4afDjt/JRtjdRLtWMLgoqB12MNGuFQ2uEzET7VqphER7uU20+5uh6hVLFjjNExFItCslJ0+0a3WCq5w40V6ebETdTbRrxB5tor32JtqNDBPlS59oJ4IIckno3jBhop04MAYfmL13b0QMQcoM3+UFEu1ElMSJdiKJNNUHcPg2jUSK40i0MwEFwVG0QxpKtJt1WtbfDJULLoga6m1AMNHOhJO+fQjcUKJ9eEY7HnTaRLvze4W9G6uCdMUu3cET7Uq9YEYFNVNxE+1KphJjipJoV0o0IolKeVO1PDCnglswf6JdqRBMoEiclT/RrtQoyUMACn2eSanu0Il2rWxwOYidaNfKBRcEaaK92iba/c1Q9arBZUFkI9Fn40wvG4z8URPtWq1GqBV+Ouz4nWyE3U20awWDi4LaYQf8tVYyuEoI0+wmM/40u1YqIc1ebdPs/laoesWS5S3m89CpJSdPs2t1gmucOM1enWxE3U2za8QebZq98abZg63F7mKifOnT7EQQQSYJ3RkmTLMTB8bgA7P33o2IIUiY4Xu8QJqdiJI4zU4kkSb6AA7flpFIcRxpdiagIDiK9kdDafZ6nZT1t0LlgguihnoTEEyzM+Gkbx8CN5RmH57RjgedNs3euuh6NxZsC9SUu3QHT7Mr9YL5FNRMxU2zK5lKjClKml0p0YgkKuVN1fLAjApuwfxpdqVCMIEicVb+NLtSoyQPASj0eSalukOn2bWyweUgdppdKxdcEKRp9mabZve3QtWrBpcFkY1En40zvWww8kdNs2u1GqFW+Omw43eyEXY3za4VDC4Kaocd8NdayeAqETPNrpVKSLM32zS7vxGqXrFkeYv5PHRqycnT7Fqd4BonTrM3JxtRd9PsGrFHm2ZvvWn2VoaJ8qVPsxNBBJkkdGeYMM1OHBiDD8zeezcihiBhhu/xAml2IkriNDuRRJroAzh8W0YixXGk2ZmAguAo2h8NpdnbdVLW3wiVCy6IGupNQDDNzoSTvn0I3FCafXhGOx502jR75pzTN83tv/fhmV28Q+fZtXrBhArqpqLm2bVMJcYUI8+ulWhEEpXypmp5YEoF92DePLtWIZhBkVgrb55dq1GSiAAUekyTVt2B8+xq2eB6EDnPrpYLLgjCPHu27YSaBTqhqlWDy4LIR6LPxpleNhj5Y+bZ1VqNUCv8dNjxO9kIu5NnVwsGFwW1xfYbbLVkcJWImGdXS42fZ8+2fVD9MeJSr1iyvMV8Hjq15NR5drVOcI2T5tkz2wfVHRcWOrFHm2fvl3JPoj0LNxa7w4kCJk+0M0EEuSR0a5gu0c4cGIMPzN6bNyKGIGWGb/L8iXYmStpEO5NEmuoDOHx7RiLFUSTaqYCC4CjaIA0k2rN128ws0AiVCi6IGupdQCjRToWTvn0I3ECiHZjRjgedONHus2N5EK/axTt4ol2pF8yooG4qbqJdyVRiTFES7UqJRiQRkGff1PujYnT9Nzejv3w5Hi3/Zfly+eXXR2+/U/cPkAtgqgYAsy64S/On4pUKwSSLxHz5U/FKjZJcBaKw9cSHmVphknS8/9PMD/XCwXUjdkJeKxdcOKQJ+W3H1CzQMVWtGlw+RH5zd7zratK0/qS8Vjq4SsiT8llbT0zmz8xrBRuhYPgxsYN4shF2NzOvFQyuEWpPHvqiu1o0uGzEzM1rpRJy89vWqf5wcalXLFnvNE9EKFR0atmc/HzeGlNXY+NL0mvFguueOElve6i6Q8RCJ/Z4k/SZN0lfyDhRwPRJeiKIIA+FbisTJumJA2PwgcE3fi6MKRVDkG7Dt3+BJD0RJXGSnkgiTRMCHHmbjysnyoyKchyZeiagIEKKdk5Dmfp1380s0EmVCi4IHepdQTBTz4STvoII3FCmfnhGOx504ky903v2nqwM4tW7eAfP1Cv17gaNo8rUK5lKjClKpl4p0YgkAvJuMvXuPL1n4zFVqwdTMLhP86fplQrBfIvEfvnT9EqNkrQFoDAvvFl6pcDDZ+m1wsE1I3aWXisXXDSkWfptu9Us0G5VrRpcOkRec3e828kkkKTXKgcXCHmSPi+KIpCj1+o1Qr3wQ2LH8GQj7G6OXisYXCDUbjyYo9eKBteMmDl6rVRCjn7bddUfLC71iiWLneaJCASKTq2ak6IvyrYNZOi1WsE1T5yht81X3QFioRN7vBn63JuhNzJOFDB9hp4IIsg/odvJhBl64sAYfGDwDZ8LY0rFEKTZ8J1fIENPREmcoSeSSNODAEdR+hP0RJLjSNAzAQUBUrRpGkrQr/t1ZoEOrFRwQeRQbwmCCXomnPQNROCGEvTDM9rxoBMn6AsXXm/JqiBes4t38AS9Ui+YZUEdVdwEvZKpxJiiJOiVEo1IIiBvqJQ+95XSKwHAFAzu1Pw5eqVCMN8iMWD+HL1SoyRtASisjUveTC3v8Bl6rXBw0YidodfKBVcNaYZ+26c1C/RpVasG1w6R2XTU85jAx2200sElQp6ir03t1Xuu12uEeuGnxI7hyUbY3RS9VjC4Pqj9eDBFrxUNLhkxU/RaqYQU/bZjqz9aXOoVS9Y6zRMRihSdWjYnR59lRZX7noorvVhw2RMn6W3rVneIWOjEHm+S3lPm0O8Iw73Q7nCigOmT9EQQQQ4K3VImTNITB8bgA4Nv+lwYUyqGINWGb/0CSXoiSuIkPZFEmiJEOLLcTTKjkhxHkp4JKAiQon3TUJJ+3e0zC/RvpYILIod6UxBM0jPhpG8gAjeUpB+e0Y4HnThJX7rweksWbmfU7uIdPEmv1AsmWlBHFTdJr2QqMaYoSXqlRCOSCMgLZOhzZ8euqVo7mH/BTZo/P69UCCZbJN7Ln59XapTkLACFZTZ2TvNMLfDwGXqtcHDFiJ2h18oFlwxphn7b4jULtHhVqwYXDpHTvDPeVTHJ/Rl6rXRwfZBn6Ms8zxp/hl6r1wj1wk+JHcOTjbC7GXqtYHCFUJvxYIZeKxpcNGJm6LVSCRn6bbNXf7S41CuWrHaaJyIUKTq1bE6GviqKvPYn6LVawVVPnKC3TV/dEWKhE3u8CfrSm6BvZZwoYPoEPRFEkH9Ct5MJE/TEgTH4wOAbPhfGlIohSLPhe79Agp6IkjhBTySRpgcBjiof1y6QGRXkOPLzTEBBfBTtmoby8+s2oVmg8SsVXBA41FuCYH6eCSd9ARG4ofz88Ix2POjE+XlnTH3T5JMQXjvZxTt0fl6rF0yzoIYqan5ey1RiTDHy81qJRiQRkJdtkvOvpeadT/dULRtMvOD2zJua1yoEsywS1+VNzWs1SpIVgMK8Dw0ugTO1wIOn5tXCwcUicmpeLRdcLYSp+XzbFTYPdIVVqwbXDJHJ3B3vtsl9me4zvXJwZZBn5nNTGl9+8Fyv1wj1wg+JHcOTjbA7mXm1YHCBUNvwUGZeLRpcMyJm5tVS42fm8217WH+wuNQrlix2miciECg6tWpOYr5ostqn9UqvFVzzpIn53HaJdQeIhU7s8SbmPduqfhuYyThRwOSJeSaIIPGE7iPTJeaZA2PwgcF3ei6MKRVDkF/Dd37+xDwTJW1inkkizQsCHEXtq/FighxFYp4KKIiPoj3TQGI+X7cVzQONYqnggsCh3hGEEvNUOOkLiMANJOaBGe140IkT8847m70jy4N42S7ewRPzSr1gkgU1VHET80qmEmOKkphXSjQiiYC88Ndt+ue8/8ef9jPxiTWw199dfrJ8MXrwJ3/8vz379uji23/4+8/++Nnv/dHo8s13R9Uka0dvLH+2mqYvTpe/up2vld/92ujUzljvhO2k9v/74ei1P3H5i94bf7iZ+VH/93+6fDlaTfsL++ctP+p1/Kj/Wf9fXH/XPhFf9Fpf9H+EfUx+Pep/+HL1p/X/uPpTXn7d/v4fOyPvVD38YP4It5n+AwalQjBZJHGP/gMGpUZJzgVQ2I4Ll76ZWt/hzxe0wsE1L/b5glYuuOhJzxe2TW7zQJNbtWpw6RN55TtPR+WtkT3TKwcXOPn5Qlu0hf94QSvXCOXCz4gdwpONsLvHC1rB4PKg3kwEjxe0osEVI+bxglYq4Xhh2+HWHysu9YolS53qifDHiU6tmnO8kJW2Ga/v6/lqreCSJz5esP1t3QFioRN7vMcLlfd4oZBxooDpjxeIIIL0GbobTni8QBwYgw8Mvl91YUypGIIsIb7vCxwvEFESHy8QSaTZTYSjGLdOkhmV5DjOF5iAggAp2jMNnS+sm6Hmgfa2VHBB5FBvCYLnC0w46RuIwA2dLwzPaMeDTny+4LyD1FuyMoiX7+Id/HxBqXc3aBzV+YKSqcSYopwvKCUakURAXvh8oXKcLiw/6v/h5fWf3fjflcHdOS3ovvXYhpLRG9d/sfzYHgEc5RGDcgbAHBJuNf1HDEqFYMJI4iD9RwxKjZK8C6CwHZcufTO1vsMfMWiFg8te7CMGrVxw3ZMeMWw79OaBDr1q1eDqJ7LLd1OHVeU/YtAqB9c4xRFD2Zb+IwatXCOUCz8jdghPNsLuHjFoBYPLg3o/ETxi0IoGV4yYRwxaqYQjhm2DXn+suNQrlix1qifCHyc6tWrWEUNe+rp4X+m1gkue+IjBNuh1B4iFTuzxHjHU3iMGI+NEAdMfMRBBBBk0dEOc8IiBODAGHxh8y+rCmFIxBIlCfN8XOGIgoiQ+YiCSSBOcCIfnC2szKshxnDAwAQXxUbRlGjphWHdzzQP9eanggsCh3hEETxiYcNIXEIEbOmEYntGOB534hMF5map3ZFUQr9jFO/gJg1IvmGNBDVXcEwYlU4kxRTlhUEo0IolKeVO1PDC/gtswf/pdqRBMpkjclT/9rtQoyUkACp3qZmp1SZLvASuklQ2uB7FT71q54IIgTb1vW+/mgda7atXgsiDykeizcaaXDUZ+ed7d33JXrdUItcJPhx2/k42wu0l3rWBwUVBb7IDB1koGV4mYKXetVELKfdtw1x8jLvWKJctbzOehU0vm5Nt9Oq/0OsE1Tpxrt3123XFhoRN7vLn2xptrD/asu8uJAqbPtRNBBLkkdGuYMNdOHBiDD8zemzcihiBlhm/yArl2IkriXDuRRJrqAzh8e0YixXEk2pmAguAo2iANJdrXHVnzQI9dKrggaqh3AcFEOxNO+vYhcEOJ9uEZ7XjQ/f/97v0bz/I7IXMWOeHeujB7WxbqImWKO62EkyXcnYnLb6j1gpkV1FXJE+4/Xf6H5f/bxfSWmqnEmKIk3JUSjUiiUt5ULQ/MreBezJ9wVyoEUykSi+VPuCs1SjISgEKfeVKqO3TCXSsbXA9iJ9y1csEFQZpw33bSzQOddNWqwWVB5CfRZ+NMLxuM/FET7lqtRqgVfjrs+J1shN1NuGsFg4uC2mqX3j7FF3rR4DohTLn7I8V7eqmElPu2g64/SlzqFUsWOM0TEUi5KyUnT7lrdYKrnDjlbjvnuiPDQifWqn2UlU9K86Q4LR49Madlm01Om+ppc1pUT8un2fPHzePi+Q2Pd1cX2N6qd3belHsr40QB06fciSCCrBK6OXwt5b7a990m0evJ5N8Xtfn3ZuTifIvKaXDOvXdjRAxBLgzftQUy6EQUTgbdxfGAyiHN4AEUvi0gkSJZ/txv/x5yAQWRTrTfGcqfrzum5oEeuFRwQczgmHomnPTtQ+CG8ufDM9rxoNMWqrubPL1pikkAr2rLXbxD5821esEECWqNoubNtUwlxhQjb66VaEQSAXmhT+H8r79tP7T/d/ZTODdzsfx4MznX37dVIz9e/vTro+VPlj+7/s7y4+u/7P///Zvv2rxc/mq0/Mj+MdffXf33L66/s/oIzueref1o+UU/q/1/9MX1n9lv3lx/eH+0/Pno+kP78Zzlr/vf/3Ln10fXH/T/9tNe4i96HfZTOn97/X4v5kP7dHy6fNn/w/dH9vs39mEZLf9b/9s/u3lqrt8fLf8PSzB6w/F5na+NVrI+vf6r/hdvvqmTTSa2mKVH/yTE8Nn1B69r/Nubb/t83P/LD9farLLvrrTdDIl9inv4/g/62x71pX247b/60n4yqP9jvlh9Zeg7Nx8Lsn/PzfP/ov+DP7j5vM/q60L240Gr//b2j7e/f1Wms56eT1ZwdgA+Wv35v7IDZMflPy9/sPwvy39a/sflP/Y/+38t/+m0/58f9f/qP/eT/g/9z34w6n/1h5sPEb32F/yw//V/HL35e39y+u63/uCZbbXQD+kPrLbT/o970c/b5/17aeWv/sPlz+xPXh3rsetlmKpfBjAhh/t97ymNViGYfRPYeP8pjVajJIkFKMzz2tf6QKswyUlNyH6rhYMeJPJZjVouaEKEZzXFtrVyEWitrFYNWhHR3mV3vFszybJx6TmvUUsHHYf8vCbPW1P7ux+oBRuhYPgxsYN4shF259BGLRhcIyj7O7VocNkQHtqE7kmopcY/tCm2zZX94eJSr1iy3mmeiFCo6NSyOQc3RVkWxt//QC0WXPekpzeFba/sDhELndijPb3JJ77TmyLcq/AOJwqY/PSGCSLIaaIpCvXpDZPT4Jx4TqDH+q2bfd3unnP58WtbWuducvOf3WQC7G4yyyeT6+/lZb/6fPMPVt/W/UW/wf149UHbft/7Yb9T7Tfeq197ZT/916PVHtZumF+c9j/92eoCyq9ur58Uo+Vnd/4L2+HP7nk/7TX85ervX/+2n/R/pf1G7ge3u2s7kz9f/UGrzf3H/S/b/f/L1fa5/5Puinn3//zODzEVo7d9v3X0Ri/gL26yFast/sfrREG/vf5klQOzQ/sdm+y4/vP+9324Sn/ZrMBoNUi3OTI7D68nxexY3my07XT1E9X/Zf2f8tFq5/3zr93V+OD//n/79h8+6edw9Sd+3vOv0hv20f7p8p9GedNPWC37z0bVZP0f/aD/pU9sUuN0lYvoh3ZUXX+vXM3/f+7/w89WqY6PbUrkp8v/tvzJqLyf9/+tsb/+3+wk9dq/HL17PirG5vp7/T6q//f/8fpvbzo52ifj9sPJ76+SJ5bxZT/QNo/zoR235csbEfZZ/DM7bKN/9wd/9K2nz+y//bvVnKxuMr3yWeabxFU/vn/teomn1JdYcA6B5zL8Z5dMlJRnl0wO6ekJQBFKjBBJjuL8kgooWOtFOYCB88ti3Vi6CLQKp4IL4gZnf8uEk76BCNzA+SUwox0P2t7/seS3O2q7xUh4Dyj37TbyAK4pJ7u4ic4zPdfJv6HWCyYR0c2CPQ6xfm7d7OGL3pR9fnOAZj3hz/p/ceugf7T8u9sTzdc7Tmx6Qtz84s9HuXWq</t>
  </si>
  <si>
    <t>vdO5/tBF/paavMTIo5x6KiUakUSlvKlaHphjxL2b/xxKqRBMKAosWeAcSqlRkpcDFDrVzdTqkpxB+W8LqWWDq4b8BKrMfcbgHb1acNWQHkBte28Xgd7batXg2iEyn+ijcaaXDQZ++eGT/7KQWqsRaoWfDjt+Jxthd8+dtILBNUHty7MqH0+cd7cv9KLBZUJ27uQPFO/plRKOnbZNt/1B4lKvWLK8aR4I/10hrWTOkZP/rpBaJ7jGiU+bbLdtd2BY6MSuzOLzfpv4/Onk9Hk+eX5aPqna0+Zp254+efasnFTF80eT8vY19O78Alth9e7Pe9pUyDhRwPSnTUQQQQYK3UD+cJUC//w2Q73aEH5gzydW5ybf6XeCr36Ka3X8clPB9+P+///p395sGt+9ODXZaPkD14C8RR0Qgw/I3ps2IoYgwSbY3H2y/MiF8jYVhZKYn4ytMbuL8oCKIs0MIiAuihmVIllevmnGjW9XyeQTBEXRzmgoLb/ux1wEOmxTwQVRQ23/vZN6wWWTvnsI21BWfnhCOx70yrOZxphi8vzp6eTpM3Na5m1++vhJPTltnjfPHj+tmmdPHplvHsCzOb1p79lK6WBggOk9GxFEEJ5Qz/ajVzs7/3xV5fL58otTW1rS/9svb43by9sbJLbq4Opbv/d7f/Ltb/27R7eO7fLNd0ftZFLc/NPF5fzt0XRxOR+5b5u9RR0ggw/Q3h6OiCGIxlE8HBGF5OEKF8kDKol0GUE4XBQzKkUyC5flWTU2lYvwIZdQECWjmrhyveZ7m9OeccEFYUNt4srWjFufi2PCSV8/BG7IxQ3PaMeDTnw33OfLTACvas0u3sFrKZR6wfMw1FYdopZCSV5i5FFqKZQSjUiiUt5ULQ88NxNYNW8thVIheEiGO7BQLYVSo+SwCVDo81ZKdYeupdDKBleNyLUUWrXgqiGtpTDbWgpvO9J39arBtUNkNtFH40wvGwz8UWsptFqNUCv8dNjxO9kI2xE81wsG1wS1Dw/WUmhFg8tExFoKrVJCLYXZ1lJ4g8SlXrFkedM8EIFaCqXk5LUUWp3gGieupTAnG1E7Yhc6scebl8+9tRSVjBMFTJ+XJ4IIMk7oBvIAeXniABl8gPbexBExBAk2wWbPn5cnoiTOyxNJpIlBhMNFMaNSHElenkkoiJKirdJQXr5aZ3G9HWzPuOCCsKHeDwTz8kw46euHwA3l5YdntONBH3FFbO6trqilg4EBpndxRBBBfEJdXIKKWOKAGHxA9nZtRAxB+I3i2ogoJNfmrYglokjXDQTERTGjUiSzbaGKWCafIChGNW3rtqZFoFEtFVwQNdSmLVQRy2STvnsI25BnG57QjgeduJbCuQvuXVioV1PVVrt4B6+lUOoFz8NQE3WIWgoleYmRR6mlUEo0IolKeVO1PPDcTGDUvLUUSoXgIRnuv0K1FEqNksMmQKHPWCnVHbqWQisbXDUi11Jo1YKrhrSWYtvEtgg0sVWrBtcOkddEH40zvWww8EetpdBqNUKt8NNhx+9kI2xH8FwvGFwT1DY8WEuhFQ0uExFrKbRKCbUU2x62/iBxqVcsWd40D0SglkIpOXkthVYnuMaJaylsD1t3YFjoxB5vFr7w1lK0Mk4UMH0WnggiSDihG8gEWXjigBh8QPbetBExBPk0webOn4UnoqTOwhNRpJlABMRFMaNSHEUWnsknCIqindFQFn7dHLUItLulgguihtr+h7LwTDbpu4ewDWXhhye040Efcf1r4aucuO2JJBgMDDC5Z2OCCMIT6tnS178yB8jgA7Svh2NiCKJxDA/HRCF5OOfJ3wMqiXQZQThcFDMqRTILF6x/pRIKomRME1dObtf80tuZ8IwLLggbahMXqn+lwklfPwRuwMUBM9rxoBPXUpQuvN6XhVua1Lt4h66l0OoFz8NQW3WAWgoteYmRx6il0Eo0IolKeVO1PPDcTGDVfLUUWoXgIRnuwAK1FFqNksMmQKHPWynVHbiWQi0bXDXi1lKo1YKrhrCWosw2tRSlt3vXu3rV4NohMpvoo3Gmlw0G/pi1FGqtRqgVfjrs+J1shO0InusFg2uC2oeHainUosFlIl4thVpp/FqKTZB4LxAkLvWKJcub5oHw11JoJaeupVDrBNc4aS1F/0RsRO2IXejEHm9evvTVUpS5jBMFTJ+XJ4IIMk7oBvIAeXniABl8gPbexBExBAk2wWbPn5cnoiTOyxNJpIlBhMNFMaNSHElenkkoiJKirdJQXj5fZ3G9rdvOuOCCsKHeDwTz8kw46euHwA3l5YdntONBH3FFbOmtriikg4EBpndxRBBBfEJdHL8iljkgBh+QvV0bEUMQfqO4NiIKybX5KmKZKNJ1AwFxUcyoFMlsW6AilsonCIpRTdu6sVcZ6NRGBRdEDbVpC1TEUtmk7x7CNuTZhie040EnrqVwhtPehZVBvGYX7+C1FEq94HkYaqIOUUuhJC8x8ii1FEqJRiRRKW+qlgeemwmMmreWQqkQPCTD/VeolkKpUXLYBCj0GSulukPXUmhlg6tG5FoKrVpw1ZDWUpTbWgpvt6539arBtUPkNdFH40wvGwz8UWsptFqNUCv8dNjxO9kI2xE81wsG1wS1DQ/WUmhFg8tExFoKrVJCLUW5raXwBolLvWLJ8qZ5IAK1FErJyWsptDrBNU5cS1GebETtiF3oxB5vFt54aymMjBMFTJ+FJ4IIEk7oBjJBFp44IAYfkL03bUQMQT5NsLnzZ+GJKKmz8EQUaSYQAXFRzKgUR5GFZ/IJgqJoZzSUhTfrpK23U9sZF1wQNdT2P5SFZ7JJ3z2EbSgLPzyhHQ/6iOtfjbdyopIOBgaY3rMRQQThCfVsB6h/JQ6QwQdobw9HxBBE4ygejohC8nCFi+QBlUS6jCAcLooZlSKZhQvXvzIJBVEyqolbd/EqA33ZqOCCsKE2ccH6Vyac9PVD4IZc3PCMdjzoxLUUzje192V1EK/dxTt4LYVSL3gehtqqQ9RSKMlLjDxKLYVSohFJVMqbquWB52YCq+atpVAqBA/JcAcWqqVQapQcNgEKfd5Kqe7QtRRa2eCqEbmWQqsWXDWktRT1tpbC263rXb1qcO0QmU300TjTywYDf9RaCq1WI9QKPx12/E42wnYEz/WCwTVB7cODtRRa0eAyEbGWQquUUEtRb2spvEHiUq9YsrxpHohALYVScvJaCq1OcI0T11LUJxtRO2IXOrHHm5evvLUU4V4mdzhRwPR5eSKIIOOEbiAPkJcnDpDBB2jvTRwRQ5BgE2z2/Hl5IkrivDyRRJoYRDhcFDMqxZHk5ZmEgigp2ioN5eWbdRbX27rtjAsuCBvq/UAwL8+Ek75+CNxQXn54Rjse9BFXxFbe6opWOhgYYHoXRwQRxCfUxSWoiCUOiMEHZG/XRsQQhN8oro2IQnJt3opYIop03UBAXBQzKkUy2xaqiGXyCYJiVNO2buxVBjq1UcEFUUNt2kIVsUw26buHsA15tuEJ7XjQiWspnDnDN42ZBPDqyWQX79C1FFq94HkYaqIOUEuhJS8x8hi1FFqJRiRRKW+qlgeemwmMmq+WQqsQPCTD/VeglkKrUXLYBCj0GCutugPXUqhlg6tG3FoKtVpw1RDWUpjJppbCeLt1vatXDa4dIq+JPhpnetlg4I9ZS6HWaoRa4afDjt/JRtiO4LleMLgmqG14qJZCLRpcJuLVUqiVxq+l2ASJ9wJB4lKvWLK8aR4Ify2FVnLqWgq1TnCNk9ZS9E/ERtSO2IVO7PFm4WtfLYUJ9TJxcKKAybPwTBBBwgndQPKz8MwBMfiA7L1pI2II8mmCzZ03C89ESZyFZ6JIM4EIiItiRqU4hiw8lU8QFEU7o4EsvMluk7bG26ntjAsuiBpq+x/IwlPZpO8ewjaQhQcmtONBH3H9a+2rnDC5dDAwwPSejQgiCE+oZ0tf/8ocIIMP0N4ejoghiMZRPBwRheThChfJAyqJdBlBOFwUMypFMgsXrH+lEgqiZFQTt+7iZQJ92ajggrChNnGh+lcqnPT1Q+CGXNzwjHY86MS1FI0Lr/dlRRAv28U7eC2FUi94HobaqkPUUijJS4w8Si2FUqIRSVTKm6rlgedmAqvmraVQKgQPyXAHFqqlUGqUHDYBCn3eSqnu0LUUWtngqhG5lkKrFlw1pLUUxbaWwtut6129anDtEJlN9NE408sGA3/UWgqtViPUCj8ddvxONsJ2BM/1gsE1Qe3Dg7UUWtHgMhGxlkKrlFBLUWxrKbxB4lKvWLK8aR6IQC2FUnLyWgqtTnCNE9dSFCcbUTtiFzqxx5uX9+yn+v1fKeNEAdPn5YkguwYgNEHgBvIAeXniABl8gPbexBExBAk2wWbPn5cnoiTOyxNJpIlBhMNFMaNSHElenkkoiJKirdJQXr5cZ3G9rdvOuOCCsKHeDwTz8kw46euHwA3l5YdntONBH3FFbOOtrjDSwcAA07s4IoggPqEuLkFFLHFADD4ge7s2IoYg/EZxbUQUkmvzVsQSUaTrBgLiophRKZLZtlBFLJNPEBSjmrZ1Yy8T6NRGBRdEDbVpC1XEMtmk7x7CNuTZhie040EnrqVw5uV7F1YF8fJdvIPXUij1gudhqIk6RC2FkrzEyKPUUiglGpFEQJ6tcL8/KkbXf9MP8ovlL5cvx6PexL5cfvn10dvv5P0//HRnOh78yR//b8++Pbr49h/+/rM/fvZ7f7RKVVaTPBu90c/mp/1M3SY7f9X/1P7jyh9/bXQ66o3xi1szbVOer/2p/X/0af/vNnPdK/h0+XLUS/rc2uz+P/qo1/Kj/mf9f3H93dHyy/5f/bL/h+/Yv8z67y/6f2X/tP4fV3/Ky6/b3/9jZ4SeqicAPBkUWFFvtYhSIXgMiDvMULWIUqPkOA1QmNfOjNhMrS9JvUhRN57F5qFeOLg2Rq4Y0aoF10ZpxUi1rRjx9iR7V68aXCFFjvrOSzcpexnjSenSfqbXDq5x8rKRLGsy7yNyrhdshILh58QO4slG2I7guV4wuEKotx3B2hGtaHDRkNWOVGXurx3RKiXUjlTb2hFvuLjUK5YsdpoHoizroho3zkjRqWVz6keyus5a31NxpRcLLnviIpLqZCNqR+xCJ/Z4jx9abxFJLeNEAdMfPxBBBJk2dOec4PiBOCAGHxB8t+rCmFIxBIlEwZ7Pf/xAREl9/EBEkaZAAZAyGztX0BkV5ChOIJh8grgo2i8FE9aWaZ2w9napO+OCCwKHeisQOoFgsklfP4QtOKEXyIR2POgjrv1tvVUjodYuzsHAANPbNiKIIDyhtu0Atb/EATL4AO1t44gYgmgcxcYRUUg2rnCRPKCSSJcRgKPJx86r8DMqSDIXFy7/ZRIKAmVUH7duYmYCbemo4ILIofZxwfJfJpz0DUTghozc8Ix2POi0pSSFc057a9YG8YpdvIOXkij1ggdlqLM6RCmJkrzEyKOUkiglGpFEQF64lKRAS0mySWZGb/S/w6Y5318VfHx4O0urUo918chNmcf1X0epLIlaWqKcEPDgUOBPvaUlSoXgKSFuO0OlJUqNktM2QGGel2PjUjhTKzx8cYlWOLhaRi4u0aoFV0tpcUm7LS7xNml7V68aXDNFJvvOLqls82qcOVf7M710cNGT15a01aSp/KUlWr1GqBd+SuwYnmyE7Qie6wWDK4R6HxIsLdGKBheNiKUlWqWE0pJ2W1riDRaXesWSxU7zQBRV0bTj3BkoOrVsUmlJWWZ56y8t0YoFFz1xaUl7shG1I3ahE3u0ZxTFxFdaUk1knChg8jMKJogg9YbupNOfUTAHyOADhO9mXRhTKoYg0yjYA3rPKJgoac8omCTSDCnAUdXjwrhIZlSS4zikoBIKIqVo/zRwSFFNblPalbeN3xkXXBA61JuD0CEFFU76CiJwA4cUwIx2POjjLRLunZyn2qQKt8NxDAYGmN7JEUEE8Ql1cvwiYeaAGHxA9nZuRAxB+I3i3IgoJOfmKxJmokjXDQCkKMZV7USZUVGSebdAmTCVTxAZozq3dae3KtC6jwouCB1q5xYoE6aySV9AhG3IuA1PaMeDTlxd4kuq5UG8chfv0NUlWr3gSRnqpA5QXaIlLzHyGNUlWolGJBGQF64uadDqkmoyMW+8/mmS0fKzfoq+F6WOJGIZiXbkwUNCgRH1lZFoFYIngri/DJSRaDVKTtYQhe4FeKbWd/AiErVwcFGMW0SiVgsuisIikirfFJFU3u507+pVg0ujyErfSWM3k7Zf150DfqaXDq5t8iKSuv9b/b1t1HqNUC/8lNgxPNkI2xE81wsG1wf1biNURKIWDS4Z8YpI1ErjF5FsgsV7gWBxqVcsWeo0D0TeZnXlCRSdWjapiCQzpvI3uVGLBRc9aRFJ/2hsRO2IXejEHu/RQ+YtIilknChg+qMHIoggwYZumBMcPRAHxOADgm9SXRhTKoYgfyjY8fmPHogoqY8eiCjSzCcAktcujBkV4yiOHZh8gqgo2isNHTsU6yy1t1fhGRdcEDbUG4HQsQOTTfryIWxDxw7DE9rxoI+48jfz1ouU0sHAANObNiKIIDyhpu0Alb/EATL4AO1t4ogYgmgcxcQRUUgmrnCRPKCSSJcRgOO2q9ldD0fESObhwmW/TEJBmIzq4taN7KpAa0IquCBuqF1csOyXCSd9/xC4IRs3PKMdDzpx9YjPmJkgntnFO3j1iFIveESG+qpDVI8oyUuMPEr1iFKiEUkE5IWrRzL04yRmkpejN5Yf9b/10+sP7KweX2cb7ZiD54ICA+qtG1EqBA8BcV8ZqhtRapQcpiEK88a4ze9MLfHwpSNa4eCKGLl0RKsWXBGlpSNmWzribcb3rl41uC6KjPSd4W4qu1nISpf2M712cGWT144YM8kmzbj0FY9oBRuhYPg5sYN4shG2I3iuFwwuEurdRrB4RCsaXDciFo9olRKKR8y2eMQbLi71iiXrneaByCdNL2KcO7/q2ql1c6pHmtzYB7jyVY9oxYLrnrh6xJxsRO2IXejEHu9BRO6tHqlknChg+oMIIoggw4ZumA9wEEEcIIMPEL5pdWFMqRiChKJgH+g/iCCiJD6IIJJIE6EAR9HvKt3fnppRUY7kMIJJKAiVoj3U0GFEtU5de1sYnnHBBbFDvT0IHkYw4aTvIAI3dBgxPKMdD/qIC4Fzb01JLR0MDDC9lSOCCOITauUSFAITB8TgA7K3dSNiCMJvFOtGRCFZN28hMBFFum4AILZ/bt06WWZUlmTmLVQNzOQThMao1m3d2q4K9Cqkggtih9q6haqBmWzSNxBhG3JuwxPa8aATl5E4N8S9Fwt38Kl28Q5eRqLUCx6XoVbqEGUkSvISI49SRqKUaEQSAXkDZSQGLCPJJlk+esOWgdhPj6wSnF+c9n/ax71Pft+65KOrKVFOAHhcKDCk3poSpULwbBD3maGaEqVGyRkbonDibXWtVXj4khKtcHB1jFxSolULro7SkpJmW1Libcr3rl41uEaKPPXdjHZhmnHlXN3P9NLBRU5eUVIWRdt6PopwrtdrhHrhp8SO4clG2I7guV4wuEKotx3BghKtaHDRiFhQolVKKChptgUl3mBxqVcsWex0D0RZmHHr3LZ0atmcepLKTFrftvlKrxVc88TlJM3JRtSO2IVO7PGeQRTecpJWxokCpj+DIIIIEm3oxjnBGQRxQAw+IPhm1YUxpWII8oiCLZ//DIKIkvoMgogizYACIJnxNIWbUUmO4gSCyScIjKLd0tAJRLtOWHubFJ5xwQWRQ70VCJ1AMNmk7x/CNnQCMTyhHQ/6iMuAC1/tSD2RDgYGmNy3MUEE4Qn1benLgJkDZPAB2tfHMTEE0TiGj2OikHycM33wgEoiXUYAjmIyLp3xcEYlSWbjglXAVEJBpIxp5Op137o60ImQCi4IHWojF6oCpsJJX0EEbsDJATPa8aAT15KULrzem4X79dS7eIeuJdHqBc/JUGt1gFoSLXmJkceoJdFKNCKJgLyBWpL+McOKSaz5zUdv9L+j98rWOv9sVUdyhFUk2qEHzwgFVtRXRaJVCB4I4g4zUEWi1Sg5WAMU5p4jkJla4MGLSNTCwWUxbhGJWi24LAqLSOpsU0RSe3vvvatXDS6OIjd9J0NYF83YOMf7TK8cXNzkNSRt01SelOa5Xq4RyoWfETuEJxthO4LnesHg8qDeboRKSNSiwRUjXgmJWmn8EpJNqHgvECou9YolK53mgSjq0v9FEq1qTgVJVja2Z7ungkStFVzwpBUk/YOxEbUjdqETe7wnEaWvgqTOZZwoYPqTCCKIIL+GbpcPcBJBHCCDDxC+ZXVhTKkYgnSiYPvnP4kgoiQ+iSCSSNOgAEflqcicUUGO5CCCSSgIlKKt09BBRL5OW3s7Fp5xwQWRQ70zCB5EMOGkbyACN3QQMTyjHQ/6iEuBS29JSSEdDAwwvZEjggjiE2rk+KXAzAEx+IDsbdyIGILwG8W4EVFIxs1XCsxEka4bAEgxLt2fEJ1RSZJZt0ApMJVPEBijGrd1J7s60JqQCi6IHGrjFigFprJJ3z+Ebci3DU9ox4NOXEDiDES9EyuDeM0u3sELSJR6wTMy1EgdooBESV5i5FEKSJQSjUgiIG+ggAStH8kmhe1psyrkWM3WyhwzPkiiqyUZu6Zhqp4G8LRQYEq9xSRKheDRIO41Q8UkSo2SIzZEYTM2LoEztcDDF5NohYNLZORiEq1acImUFpOU22ISbyu+d/WqwYVSZKzvpLTbthkXtUv5mV45uNDJi0nqNvM9Hud6uUYoF35G7BCebITtCJ7rBYPLg3rnESwm0YoGV4yIxSRapYRiknJbTOINFZd6xZKVTvNA5DZMVM4w0alVk4pJsqauPc/ElV4ruOCJi0nKk42oHbELndjjPYMw3mISI+NEAdOfQRBBBKk2dOuc4AyCOCAGHxB8u+rCmFIxBJlEwXbPfwZBREl9BkFEkeZAAZB8XNdOkhmV5CjOIJh8gsAo2ioNnUGYdcra27HwjAsuiBzqnUDoDILJJn3/ELahM4jhCe140EdcBGy8tSOVdDAwwPS+jQgiCE+obztAETBxgAw+QHv7OCKGIBpH8XFEFJKPK1wkD6gk0mUE4DBjY1wgMypIMhcXLgJmEgoCZVQft+5gVwd6ElLBBZFD7eOCRcBMOOkbiMANGbnhGe140ImLSZxvam/N6iBeu4t38GISpV7wjAx1VocoJlGSlxh5lGISpUQjkgjIe/sdM87uj7LTwpaT3B8t/6Ef2U+v/9YO+moO/rx3wLbAY7T8sv/nj3tH/PNV9cbLV2tGbuo4tpNm/8X1n63c8gvXAEzVAwCe0wn8oLeMQ6kQPJTDbV6ojEOpUXK4BSjMTeGt41AqPHwdh1Y4uDpFruPQqgVXJ2kdR72t4/D2wntXrxpco0Smdne4W9O0vW93RoczvXRwkZEXcmSTpmwDpRxawUYoGH5M7CCebITtCJ7rBYNLhNr4B0s5tKLBVSNiKYdWKaGUo96WcnijxaVesWS10zwQZf/qtePGGSk6tWxSLUeV12WgmEMrFlz1xMUc9clG1I7YhU7s8R4KVN5ijnAPnTucKGD6QwEiiCDXhW5dD3AoQBwggw8Qvn10YUypGILUnmAT6D8UIKIkPhQgkkhTkgBHXY0nxkUyo5IcyakAk1AQKUUbqKFTgWadQ/a2DzzjggtCh3pzEDwVYMJJX0EEbuhUYHhGOx70EZflVt7yjlY6GBhgeidHBBHEJ9TJJSjLJQ6IwQdkb+dGxBCE3yjOjYhCcm7eslwiinTdAECKZjzJnSgzKkoy7xaqy2XyCSJjVOe27ipXB9oEUsEFoUPt3EJ1uUw26QuIsA0Zt+EJ7XjQics5nMnDN83tXHvwssku3qHLObR6waMy1EkdoJxDS15i5DHKObQSjUgiIK93rv+8/Mnyn+3g/tbyX3v7ao3sT5b/Yfnfl38/spOz/IUt2/DMm/2vVr9rlLX9Gj7OJ3k1XnWlwb4pMmonWTV6A25Fo2wzs/psyRc3pSjLT++P7n4RxRnTpup5Ao8UBbbVV3WiVQieH+JuNFB1otUoOYcDFLZFm41bXyNDrUhK4cmd9Xj29vTycn55uyJ3i7M3zkyT3e9/6JfjPi5a/XZpvj9xPskP9Xjgahu3PEWtFlxtheUpzWRTntJ42+u9q1cNrrkxPLqFuTcLYJzpMcAFdLhUxaPdyr73+kT4KM71FEZIAT9HdmRPNsJ2BM/1gsHFBt7oAMGns8GnA4PPhR4NXKXiVbmolcavctkEnfcCb+ulXrFkdVU9Nuvd40DA6dQIcSpehoPNegJ8BFd6AnB1lZbB9M/ORtSO2IVOrFX7tDWPajN5clo/fvz4NMueNafN5NnkdDIxE1M1Tdaa2/XXu1cPJCvU+3VfGUwTbAR0lxMFTH54wgQRpAjRLb+8DKb/B3vWYn/hr1fdSW/+9c2dgusP+h3g+9cfbP51v2e1W8KXq89F3u4Rf9hvHz+wu9JVsuGzVzeQ90fLf1r+8I3VRrB/hdclNq6hfos61AYfasEG/kf7b7Hvh5qxMkdEkKYVbJW9JzxMFNIJj6c2h0kizS8DHHmT1WPTOGFmVJhkRzxZXYxLzxkPFVAQwGPsHze7yOz2SKDxdmY844ILgge89bnz4Ga9wfAc8lDhpC8hAjdwyAPMaMeDPuLqnNpXnXNbwS8YDAwwvcEkggjiE2ow+dU5zAEx+IDgNnBr+d5863Ti3BBNqVSCaBzFyhFRSFbOV6zDRJEuIwBI1ssa163zEZtRYZJ5uXbi6dr8kMsnCJVRrdy6Y18T6MFIBRcED7WVyyYTT9b3ggsnfQcRuCErNzyjHQ86cb2O8019c73b9OFlu3gHr9dR6gXPDlFvdYh6HSV5iZFHqddRSjQiiYA8Ur1OjtbrVJM8WyUTP1192mWV1/3V6i/8+MZvcwp4XLMyVc8KeGAq8Kne6hylQvDcE7efoeocpUbJ+SGgMM/rcelSOFMrPGBpTmlLc8z6dLwIl+Zo8cCFNXJpjlYtuLBKS3OKbWmOt3Hhu3rV4PIaw49bmHuzAMaZHgNcK/cpzSnuvT4RgdIcLYURUsDPkR3Zk42wHcFzvWBwpYE3NUDw6Wzw6cDgc6FHA5eoiKU5WqWE0pxiW5rjfVsv9YolS6vqsdlsFMMBp1MjsEtzinuvT0CgNEdLAK6u4tKc4mQjakfsQif2eE9OPJvdfnNeyjhRwPQnJ0SQXesRmiBwd5/g5IQ4IAYfEHxHjZ2cEKkEyU/BjtR/ckJESX1yQkSRZm0BkKIcZ75jEyLJURybMPkEcTLGNm2zWSvXSXZvO8kzLrggcsA7DNGxCRNO+gIicEPHJsMz2vGgj7jEuvFWwBjpYGCA6X0cEUQQn1Af9xtdYk0caoMPNe4QYx2EhMusiaMiWCeiOEwiCslhOh/VB1QS6foGcFR9nHYG6hmVJJnBDNZYMwEFETyqw1y3Q2wC/S2p4ILIoXaYpizHZemCu+DCSd9ABG7IYQ7PaMeDTlyY07rwes9YBfHyXbyDF+Yo9YInh6jlO0RhjpK8xMijFOYoJRqRREAeqTCnQAtzsklmRm/0v8Nmct9fldh8eDu9q+KadSnOTWHN9V8P1ulELdRRzhJ4fCowrd5CHaVC8BQU96KhQh2lRslpIqKwMWNnaJ+pFR6wUKe2hTrN+qy8ChfqaPHAhTZyoY5WLbjQSgt1qm2hjrcp5Lt61eByG8OfW5h7swDGmR4DXDv3KdSp7r0+EYFCHS2FEVLAz5Ed2ZONsB3Bc71gcKWBNzlA8Ols8OnA4HOhRwOXqIiFOlqlhEKdaluo431bL/WKJUur6rHZbBzDAadTI7ALdap7r09AoFBHSwCuruJCnepkI2pH7EIn9ngPeFpvoU4t40QB0x/wEEEE6UF0t/8bfcBDHGqDDzW+dydtqMPnPcRB2jUzgUESbJ395z1ElMTnPUQSabYZ4DBm7G51OKOSHMd5DxNQENBj7Cc3u8p6fTrg7Wp6xgUXRA54K3TnopcJfFOHCSd9AxG44IxeIDPa8aCPuDK89VYUBdt/uQYDA0xvOIkggviEGs4EleHEATH4gOC2EKsMJ1IJonEUH0dEIfk4b2U4EUW6jAAgeT1uGifKjIqSzMmFSsOZfIJAGdXIrRtdNoHWpVRwQehQG7lgaTgTTvoGInBDRm54RjsedNrCHfeWq7dmbRCv2MU7eOGOUi94kog6q0MU7ijJS4w8SuGOUqIRSQTkkQp3GrRwp+o3baM3Xq8dHy0/6//I7w3W6MQs0VHOB3hwKvCn3hIdpULw/BO3naESHaVGyTkioLAyY19eUCnwcBU67eR+/0O2PiRvwxU6WjxwRY1coaNVC66o0gqddluh4+3z+a5eNbiuxjDiFubeLIBxpscAF8l9KnTae69PRKBCR0thhBTwc2RH9mQjbEfwXC8YXGjg3QwQfDobfDow+Fzo0cAVKmKFjlYpoUKn3VboeN/WS71iycqqemw2O8RwwOnUCOwKnfbe6xMQqNDREoCrq7hCpz3ZiNoRu9CJPdoDk3Liq9BpJzJOFDD5gQkTRJAHRLf1/AMT5oAYfEDwrTR0YMKkEmQ9BRtS74EJEyXxgQkTZXcJDqCgG9x23BgnyYxKcgznJVQ+QZyMsU1bb9bayW12vQ20JaaCCyIHvMOQnJdQ4aQvIAI3cF4CzGjHgz7eSuvex3kKX9pwZy3HYGCA6X0cEUQQn1Af95tcac0caoMPNe4Q9z8BCRZVM8dDsEJE8ZZEFJK3dD6kD6gk0pUN4Mjace35SiOTJJm1DBVVUwEFsTuqt1y3tWwDjUqp4ILIofaWRd6M29IFd8GFk76BCNyQtxye0Y4HnbgWx5f1y4N45S7eoWtxtHrBM0PU7B2gFkdLXmLkMWpxtBKNSCIgj1SLk2VgMU42Kcreia7qZlbTvMrg2t3AL1f/8D7U4SpmWY52asDTUoFT9ZXlaBWCh564AQ2U5Wg1Sg4PAYWF0yHP1PIOWJRT2KKc8vZcvM2DRTlqPHBpjVuUo1YLLq3Copw23xTltN5mnu/qVYMLbAxHbmHuzQIYZ3oMcLXcoyin1/76RPiLctQURkgBP0d2ZE82wnYEz/WCwWUG3tYAwaezwacDg8+FHg1cn+IV5aiVxi/K2QSd9wJv66VesWRdVT02m61iOOB0agRyUc4m2KwnwF+UoyYAV1dpUU7/7GxE7Yhd6MQe72FO5i3KKWScKGD6wxwiiCAhiO7vf6MPc4hDbfChxnfrEXfQ4VMd4sAIcrOCvbL/VIeIkvhUh0gizSkDHK3vk7VMjuM402ECCkJ4jB3kZh9ZrE8AAr2SqeCCuAFvfu6mi/wfyqHCSd8/BG7oTGd4Rjse9BHXfWfeeqFSOhgYYHqLSQQRxCfUYiao+yYOiMEHBDeCWN03kUoQjaO4OCIKycV5676JKNJlBAApx60TZEYFSebjQmXfTD5BmIxq49b9NttAB1UquCBwqG1csOybCSd9/xC4IRs3PKMdDzpxaY7PmJkgntnFO3hpjlIveHKI+qpDlOYoyUuMPEppjlKiEUkE5LFKc9AGV2aS28TiR/1vXadbhytxYhbiKCcCPCEV2FJvIY5SIXjQibvNUCGOUqPkwBBRmE8KdzicqSUesBinssU49fo83ISLcbR44GIauRhHqxZcTKXFOGZbjONt4PmuXjW4pMbw4Bbm3iyAcabHANfHfYpxzL3XJyJQjKOlMEIK+DmyI3uyEbYjeK4XDC418EYGCD6dDT4dGHwu9GjgGhWxGEerlFCMY7bFON639VKvWLK2qh6bzeYwHHA6NQK7GMfce30CAsU4WgJwdRUX45iTjagdsQud2OM9Kcm9xTiVjBMFTH9SQgQRpADRHX2CkxLigBh8QPBdNHZSQqQSJDwFW1L/SQkRJfVJCRFFmqkFQLJmMi4rJ8uMynIUhyVMPkGkjLFR22zXqnVqPdB2mAouiB3wHkN0WMKEk76CCNzQYcnwjHY86CMuq869NS+1dDAwwPROjggiiE+ok/uNLqsmDrXBhxr3iPrTj3AVNXEcBCtDFFdJRCG5SufD+YBKIl3RAI6imoxbJ8qMipLMUwYLqZmAgqAd1VSu+1O2gY6jVHBB6FCbyrIsxkXtgrvgwklfQQRuyFQOz2jHg05cgeMMRb1NDPfhqnbxDl6Bo9QLHheiLu8QFThK8hIjj1KBo5RoRBIBeawKHANW4IyySZb3JvQfe5/+2a3VH7rXR6zHUU4LeEgqsKneehylQvCsE3efoXocpUbJmSGicFJ6y3GUCg9YjtPeP6smk/WJeBMux9HigStr5HIcrVpwZZWW4zTbchxvW8539arB9TWGIbcw92YBjDM9BrhY7lOO09x7fSIC5ThaCiOkgJ8jO7InG2E7gud6weBKA+9qgODT2eDTgcHnQo8GLlERy3G0SgnlOM22HMf7tl7qFUuWVtVjs9kphgNOp0Zgl+M0916fgEA5jpYAXF3F5TjNyUbUjtiFTuzxHuJ4Cqz73Xkr40QB0x/iEEEE+UB0e/8bfYhDHGqDDzW+WY+1gQ4f6RBHRZCXFeyV/Uc6RJTERzpEEmk+GeAo+nDtO9EhkhzHiQ4TUBDBY2wgN9vIdp3/D/Q+poILIge897mzVzCBT+Mw4aRvIAI3dKIzPKMdD/qIC74LT5lQdbuLFAwGBpjaYVJBBPEJdZj0gm/qgBh8QHAfiBR8U6kE0TiCj6OikHycp+CbiiJdRgCQzIwrN8qMipLMyfnrvbl8gkAZ0cj1TDfL/u1PXOBnXHBB6FAbuUC9NxdO+gYicGEjh8xox4Pu/+93798s+78TMmqRS3RKF2Zv0ULtuUyZ7WImK9Fx7oW/odYLHiGiDmv/Ep1VncgntsTCmjS0UEfNX2L8EQp11BKNSKJS3lQtDzxGFJg3T8GKWiF4Goh7Mn/Bilqj5FQNUOhUN1OroxSr3HW67kF9qJcNrh2KIpTadxb8jl4tuHbIilB6OesilP6n3iIUvWpwBRFZT/TRONPLBgP/cNEJqvVcr9UItcJPhx2/k42wHcFzvWBwTdC7clOP3XeHL/SiwWVCVjTiDxTv6ZVGLxrZBon3AkHiUq9YsrxpHgjfS9epJccpEkF1Xul1gmucsBTEPhEbUTtiFzqxVu2TelI8mzztN3+meXxaVk+fnD561j47bctHj8tnz83z7Mktj3f/F9gIq/eAnlKQapLLOFHA9Il6Iogg/4RuI18tBbn61u/93p98+1v/7tFo+dP+X39x/Wej5d8vf25/Oqpv9ofB2gwqu8HZ996fETEEmTTBPs6fhCeikJLw7mIKKok0A4hwuChmVIp06feiGde+/DsTUBD/RJugofx7vs7W+vvVcsEFUUPt9MvWjFtf/p0JJ337ELih/PvwjHY86CMupCi9hRSFdDAwwPT+jAgiiE+oP0tQSEEcEIMPyN6mjYghCL9RTBsRhWTanLu6B1QS6bKBcLgoZlSKZKatacaNL+nP5BPExKierViv8P6+kFxwQdBQezbvpF5w2aTvHsI2ZNmGJ7TjQSf+molx4fUmrAzg1Vm9i3fwUgml3t2Y8RtbKqHkLzH+KKUSSolGJBGQZ89C7o+K0fXf9EP9YvnL5cvxqHeyL5dfft1+mqTs/+knm++aOObk1P2lknaSVePQp0hG/R/56e1VttUHa1bX1l6Oeg2fW3Pd/0cfxfxciXrEwZM+gQH1Vn8oFYLHerivDFV/KDVKjscQhfVk7MyEzdQKk1SA5O1kbJym/aFeOLgoRq4B0aoFF0VpDUi5rQHxNj58V68aXBpFVvpuJrDK2nHmfDzO9NLBVU1eB9I7uKweV75aEK1eI9QLPyV2DE82wnYEz/WCwRVCvdsI1oJoRYOLhqwWpJ74vlz0nl4poRak3NaCeIPFpV6xZLHTPBB51ebVuHLaiE4tm1MPkuUTK9Z9AfhKLxZc9MRFIeXJRtSO2IVO7PEeOhhvUYiRcaKA6Q8diCCCBBu6YU5w6EAcEIMPCL49dWFMqRiC/KFgz+c/dCCiJD50IJJIE58AR29dJ74tJJHkKA4emHyCuCjaLQ0dPJh1ntrfT5ULLggc6q1A6OCBySZ9/xC2oYOH4QnteNBHXMtrvLUilXQwMMD0to0IIghPqG2LW8tLZDc4+94OjYghCLRRHBoRheTQnM/WAyqJdIUAOEwf8EoXyYxKksyhBet5mYCCGBjVolXrFd3fP5ELLogcaosWrOdlwknfQARuyKMNz2jHg05cHFK58HrXVQfxml28gxeHKPWCJ2CoaTpccYiSv8T4oxSHKCUakURAHqvhDa2qJG7FiHIawPNAgTf1VowoFYKHf7jlDFWMKDVKDtEAhXnTx0Rn5nKmlkgpGbmz5Do63FSTxna4aW+aTPT6Vx/h93S40eOBC6qysMQ5Ge/o1YILqrSwpN4Wlnj7+b2rVw0uqzF8uIW5NwtgnOkxwNVxuMjEo93Kvvf6RPgozvUURkgBP0d2ZE82wnYEz/WCwaUG3swAwaezwacDg8+FHg1coyIWqGiVEgpU6m2BivdtvdQrlqytqsdms0EMB5xOjRCnWGU42KwnwEdwpScAV1dxBUt9shG1I3ahE3u8RyGVt4Il3MnnDicKmP4ohAgiSAOiu/q4RyFEdoOz49tleM8a6ilDxRYkQAXbU//RCREl8dEJkUSauAU4mnLcuHtzz6go6c5OTOlpPv6QCygImjH2bJudW7POtPv7k3LBBaED3m7cSdJk3qYyXDjpK4jADZ2dDM9ox4M+4rLkylvf0koHAwNMb+qIIIL4hJq6BGXJxAEx+IDgTg9rKkOkEkTjKEaOiEIycs5JeUAlka4iAEfejHPvsQURJZ2RC/SUYfIJ4mRUH9euV31/c0AuuCByqH1csKcME076BiJwQz5ueEY7HrTtKfNK6LH2LGVvGWea8c0qmwRwTVns4iaqiWndi8I31HrBwzvUaP1k+TP7DYzrP98YrVUJw43N+t62auGVj2bclMfYYodfrRJML6+/syqr+fXo+i9XLabXhTGfrNpHv1h+1v+Wv+h//t2b33b/1V/5YvnR6me9t+v/qNuaiS9Xkt6//VOXv1h+MZrcz21JQv/nXv/l9fuuIX1LPaQlNqQxymy0Eo1IolLeVC0PPBMU2EJf+YlWIXi0h7u9QPmJVqPkiAxQ6FQ3U6ujVJ7c9dC+djVq2eByJK8oyYuq9H6rRC0XXI+EJSXZZFNSknn70L2rVw2uSiJbiz4bZ3rZYOQfLiFBtZ7rtRqhVvjpsON3shG2I3iuFwwuCmrHX+Wlp43rhV40uE7ISkACkeI9vdT4NSCbKPFeIEpc6hVLFjjNE+FvWKOVHKfmA9V5pdcJrnLSyo7+idiI2hG70Im1ap/kbZHn2ePTp23x5LQs8/K0ySeT02fZ47Z9XGdV/ex2QfFuKgO7bPXG0lfZcft5LJgTBUx+CMAEESS30L3pf3ple9nvS//3fvv5q9XGsd8b9tvQaVH8W7shnJT2+oX99x8vf7b6VbtV/eL05l/aEwLXaLxFHQ2Dj8beezYihiBxJ9jbeVP+TBRSyj83LpQHVBRpxhEBcVHMqBTJ0v1lP0vOpOFDLp8gIor2RQPp/iy7TQ5n3p6DZ1xwQdRQm3/vpF5w2aTvHsI2kO0HJrTjQd9UbZRP6/rJs+L0cdY0p2Vl8tNHxbPHp2X76Gn2uHr0tDFPvnkAw+ap2shy6WBggOkNGxFEEJ5Qw3a3auO2FMNdvHFzldKeGPzCZv5P+//pvdvyy9vf9bL/hc9vfpdrdN6ijo7BR2dvA0fEEITiKAaOiEIycO4M0gMqinQRQUBcFDMqRTIDVzWeb7k+5PIJImRUA7fuWJcFehBSwQVRQ23gvJN6wWWTvnsI25CBG57Qjge9MnCP26fmUVk0p/mjrO1/b/P89LF5lJ82Vdk8fZo9fZqb23RyWgNXuAajN3CFdDAwwPQGjggiCE+ogfvpbeHF+tsav7alGp8uP17++tbIjZb/ZVWq8WerkhGbmltdL7I+7ea3f7n8YtT/Mf+w/NHpqiT3B8t/Wv7H1Tc9/sU1Qm9RR8jgI7S3iSNiCMJxFBNHRKGYuMy9D3xAJZGuIwCHz8MRKZJ5uKwat5WL7yGXTxAko3q4dQu7LNCTkAouCBpqD+ed1Asum/TdQ9iGPNzwhHY86JWHe1Tlk0eT4vlp/fyRLc/NstNHz58/Oy3N0/z5o2eTJ+b5428ewMOVrsHoPVwpHQwMML2HI4IIwhPq4X7kqLp9aa3ZK4W2o3eeffvR7z8a/f6jbz/60z/91q256w3by1We7te3Zq97kJmyPr/9p3wyuf5e/8Oo/6M/cw3VW9ShMvhQ7W3miBiCuCwwc95yWSIJycu5vyPygIoiXVAAEJ+ZI1KkM3NFU45b4yJ8yCUUxMuodq5cr/7e3l1nXHBB2FDbOVMa71V4Kpz09UPghvzc8Ix2POjEnxF2XnbsHZoJ4NVZu4t38CtTSr27QeOrK1Nbw6Yc0hIb0ihXppQSjUiiUt5ULQ+sjo/hAZUKwVJ4kbfzXplSapRUlAMKfaZNqe7QV6a0ssHlKPaVKa1ccD2SXpky2ytT3nZQ7+pVg6uSyMaiz8aZXjYY+aNemdJqNUKt8NNhx+9kI2xH8FwvGFwU1A4/m5hs3BQu1Rd61eBCEfPOlFYq4c6U2d6Z8oaJS71iyQqneSQCd6aUkpPfmdLqBJc58Z0pc7IRtSN2oRO7cmOT5/lTUz4+ffTYmNOyeFyePs6Kyekj87x53phn9aQ9QAVH470zVck4UcD02X8iiCCbhW5O98j+/53tjLKq4lj9s5lM2ptf+JEt2LVFIHZbebsl/fLmN63PBFxj9xZ17Aw+dntv8YgYgrxejK0gkST1cQARRZqPBEB8O0siRbLjgLY0/j0oE1AQP0XbqKHTgHULuizQVJAKLoga6r2Cf1YvuHDStw+BGzoNGJ7Rjgd9xBW6jfeKVS0dDAwwvb8jggjiE+rvDlGhSxwhg4/Q3i6OiCGIxwIX56/QJaKQbJwzjDygkkjXEYDD5+KIFMlcXKhCl8knCJJRTVy9XvIDvemo4IKgoTZxoQpdJpv03UPYhjzc8IR2POgjvibvacvce7hGOhgYYHoPRwQRhCfUw6W+Jk8cHYOPzt7+jYghCMVR/BsRheLfAtfkiSjSRQQBcVHMqBTJDFzomjyTTxAhoxq4dTOjLNCeigouiBpqAxe6Js9kk757CNuQgRue0I4HfcQfpmy8V6xa6WBggOkNHBFEEJ5QA8f+MCVxNAw+GnsbNiKGIPRGMWxEFJJh836YkogiXTQQEBfFjEqRzLCFPkzJ5BNExKiGbd21KAv0oaKCC6KG2rCFPkzJZJO+ewjbkGEbntCOB534DlXrwnuzyichvHyyi3foO1Ravbsx46s7VBu7ph3SEhvSGHeotBKNSKJS3lQtDyyXFzhAX+GcViFYGo8bu8AdKq1GSYU5oNDj2LTqDnyHSi0bXI4i36FSywXXI+EdqnzbdioPtJ1SqwZXJZGLRZ+NM71sMPLHvEOl1mqEWuGnw47fyUbYjuC5XjC4KKgNfmbyfGwal+oLvWpwoYh4h0ottRFIRR6Ei22YeC8QJi71iiUrnOaR8N+h0kpOfYdKrRNc5qR3qHLbd8odGhY6sceb3vfs1fq9Zaing4MTBUye3meCCJJZ6OaUnN5njobBR2PvTRsRQ5CoE2zuvOl9Jkri9D4TRZpiREBcFDMqxTGk96l8gogo2hgNpPfzdZuiPNB3igouiBpq9x9I71PZpO8ewjaQ3gcmtONBH3FBbeu7FJXn0sHAANMbNiKIIDyhhi1xQS1zdAw+OnsbOCKGIBRHMXBEFJKB8xXUMlGkiwgC4qKYUSmSGbhAQS2VTxAhoxq4dZuiPNB3igouiBpqAxcoqKWySd89hG3IwA1PaMeDPuJb7a3vRlReSAcDA0xv4IgggvCEGrgD3GpnjpDBR2hvE0fEEITjKCaOiEIxcd5b7UwS6ToCcPg8HJEimYcL3Gqn8gmCZFQPt25TlAf6TlHBBUFD7eECt9qpbNJ3D2Eb8nDDE9rxoI+471TruxSVl9LBwADTezgiiCA8oR5ujy9P7t13ijlUBh+qvc0cEUMQlwVmzlsvSyQheTnfhyaZKNIFBQDxmTkiRTozF+o7RSUUxMuodm7dpSgP9J2iggvCht7O+af1gksnff8QuiFDNzylHQ867aUp4wxGvUUzQbxsF+/gl6aUenejxleXpraOTTmkJTakUS5NKSUakURAni2/uD8qRtd/04/zi+Uvly/Ho+W/9H75y6+P3n7HeTFxqlYPls/H8IhKhWCpvMj7ee9UKTVKKs4RhVlVuATO1AKTXKvKTJ55rko81CsH16zYN6u0csFFS3qzatudKg90p1KrBpcukdm983jUVWvaemxKl/gzvXhwkZDfr8rrsi2K3H/LSqvYCBXDT4odxZONsB3Bc71gcJlQ7wmqvPdlzph3oRcNrhyyS1aFKSv/JSutVMIlq22jKn/EuNQrlix5mieizst6MhlnTr/TqXVzblqVWV60beO/b6VVCy5+4vtWtmeVO0gsdGKP9uTATLz3rSoZJwqY/uSACCLIhKH72oOeHBCHyuBDhW8GXxmtL1wDdHYzQLZr1xd2a7769S/6ffyL6+9cvz/uR6jN8nYyOb8/uv7zVe7g/dH2xpr96erf3XQC63+P/Qt+1f9l/W8YFZPJveJ2OPtfsuXWn17/1WoKXoyam3/b//jiphDb/gFj16hPqaMuyFjG2MQSSVIfdBBRpIlWBCQvy3HpDOUzKkvi4w5f9QqTUBDkRTvAoeOOdRumPNBYiwouCB7qrY0pzbjwlSAz4aQvIQI3dNoxPKMdD/p4S5B7E+pcUHoTGuxQ4RoMDDC9CSWCCOITakIPUYJMHCGDjxDuPV0YUyqGIB4LzJy/BJmIQnJzzjDygEoiXUcQjqI1Y6fTmVFR0nm5apw5p+ohl08QKaM6uXUzpjzQXYsKLogcaidnJ9W5AbngsklfQIRtyMgNT2jHgz7ejwH0Rs55StEbuUY6GBhgeiNHBBGEJ9TIpf4YAHF0DD46e5s4IoYgFEcxcUQUiokLfAyAiCJdRACQrC7HpRNlRkVJ5uJCXwRg8gnCZFQXt+7IlAdabFHBBaFD7eJCXwRgsklfQIRtyMUNT2jHgz7eb3D2Lq50DUbv4lrpYGCA6V0cEUQQnlAXx/4GJ3E0DD4ae7s2IoYg9EZxbUQUkmvzfoOTiCJdNACQvJ2MayfKjIqSzLWFPsTJ5BOExaiubd2WKQ/02aKCC0KH2rWFPsTJZJO+gAjbkGsbntCOB534ypinNq8If/M938U79JUxrd7dmPHVlbGNZ9MOaYkNaYwrY1qJRiQRkBe+MpY5T9qmavm78Z53Z0yrEKz8x91f4M6YVqOkgB5QaNpibFwKZ2qFaS6NTfrdeOM5K1UrB1etyJfG1HLBZUt4aazYtuMqAu241KrBxUtkdh0Xg6oqG1dO73em1w6uEvI7Y1k5KSaF7xk51ys2QsXwg2JH8WQjbEfwXC8YXCbUW4KbyOE5kFerBpeOiJfG1FLjXxortp25/BHjUq9YsuZpHgkbLYwZ16VLd6fWzbk0lmeT0pjMe2lMrRZc/KSXxgrbpMsdJRY6scd7QJD5Lo0V4QYYdzhRwOQHBEwQQSYM3dmSDwiYo2Hw0cB3fC6MKRVDkOUT7Py8BwRMlMQHBEwUaX4SAMnKZlz4TgiYLMdwQkDlE8RF0aZp4ISgWHd2KgKtuqjggtih3g4ETgiobNI3EGEbOCEAJrTjQR9xda7nfkRv23LpYGCA6W0bEUQQnlDblrg6lzk6Bh+dvW0cEUMQiqPYOCIKycb5qnOZKNJFBABp2vHE7UhnVJRkLi5QnUvlE4TJqC5u3d6pCPTrooILQofaxQWqc6ls0hcQYRtyccMT2vGgj/iyfOa7Y1UU0sHAANO7OCKIIDyhLu4Al+WZI2TwEdrbyRExBOE4ipMjolCcnPeyPJNEuo4AHHWWu0lmVJJkPi5wV57KJwiUUX3cusVTEejZRQUXBA61jwvclaeySd8/hG3Ixw1PaMeDXvm4evI8f2rKx6ePHhtzWhaPy979FZPTR+Z587wxz+pJexAfV7oGo/dxpXQwMMD0Po4IIghPqI/b48ubf9e7vdU3Im/+2Uwm7c0v/Mjm7qwVtIW9t0XBX978pvX3OF1j9xZ17Aw+dns7PCKGIFALHJ632JZIQjJ4vm9bMlGkKwwAUhVmPPHdpGeyJPN4bWk8dU4PuYCCKBrV5K3bPhWBTl5UcEHsUJs8/6xecOGk7yACN+Tyhme040EnvpXlO0U1QbxiF+/gt7KUeneDxle3srauTTmkJTakUW5lKSUakURAXra5j/XqbazC+bBO1bLBMvsYBlGpECypFxk/720spUZJZTqgsHReuZup5aW5ihXq36VWDi5Vsa9iaeWCa5X0Kta2f1cR6N+lVg2uWCKLe2eX0rZtPq6cz8eZXjq4MihuYk2augxcxNIKNkLB8GNiB/FkI2xH8FwvGFwh1NuAm7jhjHgXetXgqhHzIpZWKuEi1rZ7lz9eXOoVS5Y7zSNhY0U2rp3PRKeWzbmHlVVFlvmeiiu9WHDhE1/Dsr273DFioRNr1WItFiyPdw8a2ISr96Hea1iVjBMFTH+CQAQR5L7QreweJwh79+5iDpXBhwrf/7kwplQMQdIvxn6QSJL6wICIIk1WAiBlO859JSFEkmTHBcFWWFRCQcwUbaaGzgvWjZOKQCssKrggdOg3CqtpNS66Cy6d9B1E6IYODIantONBH3F5r6earTd14X4SjsHAANObOiKIIEChpu4Q5b3EETL4CO3t5YgYgoAs8HL+8l4iCsnMOcPIAyqJdB0BOIzxVvcSQdJZuUB1L5NPECejGrl146Qi0AmLCi6IG3ojF6juZbJJXz+EbcjGDU9ox4M+4rv2ufeWViMdDAwwvY0jggjCE2rjUt+1J46OwUdnbwtHxBCE4igWjohCsXCBu/ZEFOkiAoBU49bFMaNyJLNwoYv2TD5BjIxq4dZdk4pAGywquCBuqC1c6KI9k0369iFsQxZueEI7HvQRf+Uy917QaqWDgQGmt3BEEEF4Qi0c+yuXxNEw+GjsbdmIGILQG8WyEVFIls37lUsiinTRAECyzNsugQiSzLOFPnHJ5BMExaiebd0zqQg0waKCCwKH2rOFPnHJZJO+fgjbkGcbntCOB534ulXhwnuzKsPfVC938Q593UqrdzdmfHXdauPYtENaYkMa47qVVqIRSQTkrc6bf7L8ZztVv7X81+U/rI6if7L8D8v/vvz7UT/r7/fD/nE/D+tz7o9Hq3n6mf2l6+/b/2r1u0aZ/XLiOJ/k1Xj09jvteLT8p/6puH1Y1onT7YS+WBc8nt0UPI6ayWRyfvvJhH66P7Zm/Yv+p5/3j+THo3zy721vjf6vtb/c/1n9zz9afnr94c2v24P11b/7bJWA/WL1xFjN3+l1vLY/+Ppqg7DaBPxqtUF4azqynyDp/xT7rL8/tEcY9duIN/pn/vqD1aNs08af3QzTJ6svOfRP/dfGrjmfqud8d5Hk3VXTKgRvHeCGOXBXTatRUrwPKKzqceN0FTO1Qsp1tTuOYfb29PJyfnnrGbrF2RtnVZnd73/I7Q+F/aH8mg2wlsTaiPsTp5N4qAcFnYHqdlsxbp1p5Xf0ckFrILzdVm4bjZWBRmNq1aBBiLGhsDD3ZgGMMz0GuCgP33TzaLey770+ET6Kcz2FEVLAz5Ed2ZONsB3Bc71gcNGBd2VAHOpsHOpsHOpsHOrAOHShhwTXrYi35dRS49+WK7dty/wv7qVesWTBVT1B613vQOzp1Ahxbs4Nx531BPgIrvQE4EorvU5X2q5m7piz0IldWbTy6ZP8iXl++rwqn5+WWd2cto+fFKd53UzaJ+bZo7I6wHlP4btOV4Z7hdzhRAGTn/cwQQSpTTRVsXPe85N+1/X5KlVht3M3tTuv7uG+GE3y0gX+FhXc4OCC3Xrsvaxvq0ocGEHOV7Cl9R4WMVFIh0VZ7blwx2SRpqsBkiwfTzJnmnZGRUl5XtQ6Q8tDLp8gqMbY3m02eesOWmWgJRoVXBA74J0JPKkXXDbpC4iwDZwXARPa8aCPuEy78N22K3PpYGCA6T0fEUQQnlDPl7hMmzk6Bh8d3Bi6MKZUDEEojmLjiCgsG2dcKA+oKNJFBADJepLGuQWeUVGSubiqHRufi2PyCcJkVBe37qBVBlqiUcEFoUPt4ryTesFlk76ACNuQixue0I4HfcTfTCh8l+3KQjoYGGB6F0cEEYQn1MUd4JsJzBEy+Ajt7eSIGIJwHMXJEVEoTs77zQQmiXQdATjyshwXhZNlRmVJ5uSyanx7I+muk2PyCUJlVCe37qFVBpqiUcEFoUPt5LyTesFlk76BCNuQkxue0I4HfcSfNC18d+7KUjoYGGB6J0cEEYQn1Mkd8pOmzKEy+FDhli5RpbNrtKbU0RKEf4Fz9FYnE0lIxtH35VQminTdAkDqfFzlvhQgESWdcezFjifONeYhl1AQm6Nax3VjrjLQao0KLogdeuvon9YLLp30JUTohszj8JR2POjEl/+cc9rbQRPEM7t4B7/8p9S7GzW+uvy3dYfKIS2xIY1y+U8p0YgkAvK+uvwnLpgcvWFxbAdnS/XB9Z+dXv+Z5bKfHLHvxW2C+ofLn94fKa8JKp8O8MZGDCOuVAhetxAZbO81QaVGya0FRGFmfF/M0Co84DXByl4OrO0Pjf2hXV/PMeFrglpQ0EPEviaolQuaCOk1wW0TvDLQBE+tGrQSMTYfFubeLIBxpscAl+99rgmae69PROCaoJbCCCng58iO7MlG2I7guV4wuOjAOzggDnU2DnU2DnU2DnVgHLrQQ4LrVsxrglqphGuC26Z6/hf3Uq9YsuCqnqDN/jgcezo1AvuaoLn3+gQErglqCcCVVnxN0Hbdc8echU7s8R5Rld5rgpWMEwVMf0RFBBGkQdGkxkGPqIhDZfChwjMBifbjrtGaUkdLkGaOsTMmkqQ+oiKiSLPjCEhejE1jXCwzKsuRnFExCQXBOcY2cbNZXPeCKwPt/ajgguAB73AE03rBpZO+hQjd0BnV8JR2POgjLlUvvRcOw01yHIOBAaZ3j0QQQYBC3eMhStWJI2TwEcJNY2+xVyNiD+c+ff2E5+XonT949CfPR8v/+srhyCsHKavBtCdE3x29NRnlZuSrF59Sh0UQ4AXu0F/6TkQh2UNnWHpAJZGuSwBHmZmxs4Z4RiVJ5w0Dhe9MPkHgjeoM1+3lykC/QCq4IHDonWE7dt/WuOCySd8/hG3IFw5PaMeDPuIPUZTeK4yNdDAwwPS+kAgiCE+oL0z9IQri6Bh8dHBP6MKYUjEEoTiKhyOiUDxc4EMURBTpIgKAZHW/HjpRZlSUZC4u9CEKJp8gTEZ1cesOc2WgZSAVXBA61C4u9CEKJpv0BUTYhlzc8IR2POgjbhlYeq8vttLBwADTuzgiiCA8oS6O3DKQORoGH429XRsRQxB6o7g2IgrJtflaBjJRpIsGAJI346Z2osyoKMlcW+gjsEw+QViM6trWPebKQNNAKrggdKhdW+gjsEw26QuIsA25tuEJ7XjQie8NOgPRm5UJtyyodvEOfW9Qq3c3Znx1b3Dj2bRDWmJDGuPeoFaiEUkE5JHuDWb9j86yzYHrg6tn4sXNWbSd79tn5cuRmUz6mLb6437V/4H9H7wp3rz+XnW/ZdwPDF0PdE3rVD2tu+sg78KfViF4cQJ3xYELf1qNkvsHgMKq97ut51MZWomHu/FnbGNAYxsDGtsY0KwbcplwY0A1KLj6R77xp5YLLv/CG39m2xjQBBoDqlWDJiDGpsHC3JsFMM70GODCu8eNP7NtDGgGGgOqKYyQAn6O7MiebITtCJ7rBYOrDrzzAuJQZ+NQZ+NQZ+NQB8ahCz0kuHBFvPGnlhr/xp/ZNgb0v7iXesWSFVf1BK13tgOxp1MjkG/8mW1jwHDcudITgCut9MafsY0B3TFnoRN7vKc6xnfjz4Q75tzhRAGTn+owQQTpSzQdQT7VYY6GwUcD36a7MKZUDEFqVrAt9Z7qMFESn+owUaRJZQAkM/U4zz0l1UyWYzjWofIJ4mKMHdpmn7ZuBWcCvf2o4ILYAW8u4Em94LJJ30CEbeBYB5jQjgd9xCXVxnfVzuTSwcAA09s2IoggPKG2LXFJNXN0DD46e9s4IoYgFEexcUQUko3zlVQzUaSLCADS2o4wzg9AzKgoyVxcoKSayicIk1Fd3LoVnAn09qOCC0KH2sUFSqqpbNIXEGEbcnHDE9rxoI/4gwnGdzHOFNLBwADTuzgiiCA8oS7uAB9MYI6QwUcId3JpPpjAHBZBeI/iDIkoFGfo/WACk0S6LgEceV6V40lduWBmVJhk1jDwzQQqnyD2RrWG695yJtAskAouiB1qaxj4ZgKVTfoKImxD1nB4Qjse9Moa1pPn+VNTPj599NiY07J4XPaGspicPjLPm+eNeVZP2oNYw9I1GL01LKWDgQGmt4ZEEEF4Qq3hHl9iXX2BdGWAVv9sC3pvfuFHzoLf1a+tS3xdY/cWdewMPna4aXRhTKkYgkAtMHne4mIiCcnj+b6ZykSRrjAASFXn47ZwBssZlSWZx2urydh9+fAhF1AQRaOavHUPOBNo60cFF8QOtcnzz+oFF076DiJwQy5veEY7HnTi23nO7Wbv20wQr97FO/jtPKXe3aDx1e28rWtTDmmJDWmU23lKiUYkEZBHuZ3XPxj/fJo3Y5uhtSfvN1/1/3x1QP/JaJP9/Y3u7eea16l6XsGLEjEctFIheMtB5Iy91/OUGiWXBQCFuSc9NFMLPODlPNuOz9h2fMa24zPrNlgm3I5PDQou/rEv52nlgqu/9HLeth2fCbTjU6sGPUCMTYOFuTcLYJzpMcB1d5/Ledt2fGagHZ+awggp4OfIjuzJRtiO4LleMLjmwDsvIA51Ng51Ng51Ng51YBy60EOCy1bMy3laqYTLedt2fP4X91KvWLLeqp6gzcY2HHs6NQL7ct62HV847lzpCcCVVnw5z7bjc8echU6sVYs1X7E83jRCII+iTiV4L+dVMk4UMP0hEBFEkL5EsxF7HALt3Y6POVQGHyp8C59oC+0arSl1tATp4RgbYyJJ6qMlIoo0rQ2A5OOy8W20iSTJDpaCzfiohILQHGOTuNkqrju3mUAzPiq4IHTA+xvBtF5w6aTvIEI3dLQ0PKUdD/qIa8sr7w3BcAcax2BggOm9IxFEEKBQ73iI2nLiCBl8hHDL6MKYUjEEAVng5fy14EQUkplzhpEHVBLpOgJwNOPC+LwckSSdlwsUgjP5BIEyqpNb91ozgeZ5VHBB4NA7Od+kXnDZpO8fwjbk44YntONBH/GXHirvHcFGOhgYYHofRwQRhCfUx6X+0gNxdAw+Ont7OCKGIBRH8XBEFIqHC3zpgYgiXUQgkKJ0roczKkkyExf60AOTTxAlo5q4das1E+idRwUXRA61iQt96IHJJn3/ELYhEzc8oR0P+oi/slp5b/O10sHAANObOCKIIDyhJo79lVXiaBh8NPY2bUQMQeiNYtqIKCTT5v3KKhFFumhAIMbn2YggyTxb6BOrTD5BUIzq2daN1kygcx4VXBA41J4t9IlVJpv09UPYhjzb8IR2POj+/373/o1V+Z2QJ4t8R89Zn/JmVYW+7W/Kchcz2R0958nFN9R6d2PH/wR39OxVMOSOnnZIS2xIY9zR00o0IolKeVO1vN24zrtqplUI1uzjHi9w1UyrUVL6Dih0qpup1VHumd01nO5BfaiXDS5HiltjbVN45L6jlwuuR8JbY9W2pVsVaOmmVg2uSiI3iz4bZ3rZYOQfviWGaj3XazVCrfDTYcfvZCNsR/BcLxhcFNRGP8tNMS4Ll+oLvWpwoZBd7gqEivf0UhuBVORBuNiGifcCYeJSr1iywmkeCd9r16klx7nMheq80usElznpla3K9lNzh4aFTqxVO5mYtpyUT0/N0+fPTrPs2fPTdlLmp83T9lH5pHhWFfmTGx7vrjKwvVbvLH1XtqpQlxIHJwqYPNPPBBEktdDN6asf9QjsGV9cf3hbxvHmg7y4+dl0hXjz82rVbdv+kIUuaTEHx+CDs/cejoghyN/F2OsRSSh5/8wdQB5QSaR5R4DDt3MkUiTL+eeTohlPjIvwIZdQECBF+6SBrH+17sNVBRqrUcEFUUO/Gcgm/QrufHAvuHTS9w+hG8j7A1Pa8aCP+OJU7bs4VeXSwcAA0zs4IoggQEkdXMKLU8wRMvgI7W3jiBiCgCywcd76DSYKycc5w8gDKol0HQE4fD6OSJHMx2XVuK1cfA+5fIIgGdXFrftwVYHGalRwQdDQuzjfpF5w2aTvHsI25OGGJ7TjQR9xvW3tuzRVFdLBwADTezgiiCA8oR6OXG/LHA2Dj8befo2IIQi9UfwaEYXi1/z1tkwU6aKBgLgoZlSKZIat7GfJWbv3kMsniIhRDdu6O1YVaHdGBRdEDbVh807qBZdN+u4hbEOGbXhCOx70Ed9yr30XpKpSOhgYYHrDRgQRhCfUsCW+5c4cHYOPzt4GjoghCMVRDBwRhWTgfLfcmSjSRQQBcVHMqBTJDFzVjEtfcS6TTxAhoxq4deOrKtDKjAouiBpqA+ed1Asum/TdQ9iGDNzwhHY86MSdzJzXNntLZgJ4dd7s4h38lpRS727M+OqW1NauKYe0xIY0yi0ppUQjkqiUN1XLAwviBQ7QWzmnVAgWv+PGLnRLSqlRUkMOKPQ5NqW6Q9+S0soGl6PYt6S0csH1SHpLattbqwr01lKrBlclkYtFn40zvWww8ke9JaXVaoRa4afDjt/JRtiO4LleMLgoqA1++JaUVjW4UMS8JaWVSrgltW2B5Q8Tl3rFkhVO80gEbkkpJSe/JaXVCS5z4ltStrGVOzQsdGKPN93feG9JVTJOFDB9up8IIkhmoZvT1Ol+4ugYfHT23sQRMQSJO8Fmz5/uJ6KkTvcTUaQpRwTERTGjUhxFup/JJ4iQoo3SULp/3YyoCvSXooILooZ6NxBK9zPZpO8ewjaU7h+e0I4HfcQFto33klS4RYNjMDDA9AaOCCIIT6iBYxfYEkfD4KOxt2EjYghCbxTDRkQhGTZvgS0RRbpoICAuihmVIplhCxXYMvkEETGqYVt3HaoCbaSo4IKooTZsoQJbJpv03UPYhgzb8IR2POgjvtXeeG9EhdsxOAYDA0xv2IgggvCEGrZD3GonjpDBR2hvE0fEEITjKCaOiEIxcf5b7UQS6ToCcPg8HJEimYcL3Wpn8gmCZFQPt246VAW6SFHBBUFD7eFCt9qZbNJ3D2Eb8nDDE9rxoI/425KN95JUKx0MDDC9hyOCCMKT1MMl+rYkcXAMPjh72zcihiASC+ybt0KWSEJyb75vSxJJpCsIwOFzb0SKZO4t/G1JJqEgQEb1b+sGRFWgoxQVXBA19P4t+G1JJp30/UPohhzc8JR2POjEt6RaF96bVT0J4rW7eIe+JaXVuxs1vroltTFs2iEtsSGNcUtKK9GIJCrlTdXywIL4CB5QqxAsfpd4O+8tKa1GSQ05oNDj2rTqDnxLSi0bXI4i35JSywXXI+EtqXrbS6oO9JJSqwZXJZGPRZ+NM71sMPLHvCWl1mqEWuGnw47fyUbYjuC5XjC4KOgtfuiWlFo1uFBEvCWllhr/llS97SXlDxOXesWSFU7zSPhvSWklp74lpdYJLnPSW1K17SXlDg0Lndjjzfe3vltSdagtg4MTBUye72eCCNJZ6OY0bb6fOTgGH5y993BEDEHmLsZej0iSNt/PJJHmGwEO386RSHEc+X4qoSBAivZJA/n+et14qA70kqKCC6KGfjMQyvdT6aTvH0I3kO8HprTjQR9x1a0n2947uFw6GBhgegdHBBEEKKmDS1h1yxwhg4/Q3jaOiCEIyAIb5626ZaKQfJwzjDygkkjXEYDD5+OIFMl8XKDqlsonCJJRXdy69VAd6CVFBRcEDb2L81fdUtmk7x7CNuThhie040Ef8VX31ndzqi6kg4EBpvdwRBBBeEI9HPmqO3M0DD4ae/s1IoYg9Ebxa0QUil/zX3VnokgXDQTERTGjUiQzbIGr7lQ+QUSMatjWrYfqQC8pKrggaqgNW+CqO5VN+u4hbEOGbXhCOx70EX9csvVdk6pL6WBggOkNGxFEEJ5Qw5b445LM0TH46Oxt4IgYglAcxcARUUgGzvdxSSaKdBFBQFwUMypFMgMX+LgklU8QIaMauHXroTrQS4oKLogaagMX+LgklU367iFsQwZueEI7HnTaW1KVc057S2ZCeMVkF+/gt6SUendjxle3pLZ2TTmkJTakUW5JKSUakUSlvKlaHlgQL3CA3so5pUKw+B03dqFbUkqNkhpyQKHPsSnVHfqWlFY2uBzFviWllQuuR9JbUtteUnWgl5RaNbgqiVws+myc6WWDkT/qLSmtViPUCj8ddvxONsJ2BM/1gsFFQW3ww7ektKrBhSLmLSmtVMItqW0vKX+YuNQrlqxwmkcicEtKKTn5LSmtTnCZE9+Ssr2k3KFhoRN7tOn+auK9JVXJOFHA9Ol+IoggmYVuTlOn+4mjY/DR2XsTR8QQJO4Emz1/up+IkjrdT0SRphwREBfFjEpxFOl+Jp8gQoo2SkPp/nXroTrQS4oKLoga6t1AKN3PZJO+ewjbULp/eEI7HvTxFtj2Bs6ZNewNXLBPg2swMMD0Bo4IIghPqIFjF9gSR8Pgo7G3YSNiCEJvFMNGRCEZNm+BLRFFumggIC6KGZUimWELFdgy+QQRMaphW7ceqgO9pKjggqihNmyhAlsmm/TdQ9iGDNvwhHY86OO91d4btsI1GL1hCzZlcA0GBpjesBFBBOEJNWyHuNVOHCGDj9DeJo6IIQjHUUwcEYVi4vy32okk0nUE4PB5OCJFMg8XutXO5BMEyagebt16qA70kqKCC4KG2sOFbrUz2aTvHsI25OGGJ7TjQR/vtyV7D1e6BqP3cK10MDDA9B6OCCIIT1IPl+jbksTBMfjg7G3fiBiCSCywb94KWSIJyb35vi1JJJGuIACHz70RKZK5t/C3JZmEggAZ1b+tGw/VgV5SVHBB1ND7t+C3JZl00vcPoRtycMNT2vGgE9+S8lSyNZMgXraLd+hbUlq9u1Hjq1tSG8OmHdISG9IYt6S0Eo1IIiDPfoT2/qgYXf9NP84vlr9cvhyPlv+yfLn88uujt98pXeqnavVgvXwEi6hVCNbGS6yf9xKVVqOkxBxQWOSe/e1MrTDJRao8b/rg6lT+UK8cXLQi36VSywVXLeFdqmbbcaoJdJxSqwbXLpHb3R3v/u/vfcu4dAaIM712cJGQX6hqjalNMc49t6rUgo1QMPyc2EE82QjbETzXCwZXCf2WIDf5uHTaxwu9anDlkN2qKsu69Oxe3tNLjX+rqtn2nvIHjEu9YsmSp3kkykmW1/k4c2b6O7VuztWqrCyKKm/H7hfvSq8WXPukF6wa24bKLXahE3u8RwWeTF+/LQ12dLjLiQImPypggggyYei+Nu1RAXNwDD44+Pav38I7h2Rkb6bd/IPdDr5YfrT6h9X1s5/akhhbHtNv4F9cf+f6/fHowdWkbs/uj67/fJUxeN+mBD5eVdXc1Mz02/4XdsO/+jN/1f9l/V9qx/Re//+r4ex/yV6B+/T6r/qtZ//3jLLJzb/uf3xxczvO/kFj17BPqcMuSFLG2LcSSdIebTBJpKlVgKOwnrB0ocyoKInPNzz1KVRCQVQX7fgGzjeadaOlJtA7iwouCB36zUzofINKJ30JEbqB8w1gSjse9BFXGXvKA3vbmUsHAwNMbzuJIIIAJbWdCauMmSNk8BHCvacLY0rFEARkgZfzVhkzUUhmzhlGHlBJpOsIwFE05bhsXCgzKkoyM5dV48w5VQ+5fIJIGdXKrfstNYEGWlRwQeTQW7l+Un1Z</t>
  </si>
  <si>
    <t>aSab9AVE2IaM3PCEdjzoI77fn/muizWFdDAwwPRGjggiCE+okSPf72eOhsFHY2/TRsQQhN4opo2IQjFt/vv9TBTpogGANJ6v082oIMk8W+CKP5VPEBSjerZ1y6Um0EOLCi4IHGrPFrjiT2WTvn4I25BnG57Qjgd9xB/VzHzXw5pSOhgYYHrPRgQRhCfUsyX+qCZzdAw+Ont7OCKGIBRH8XBEFJKH831Uk4kiXUQAkNJ3xjijkiQzcYEPa1L5BFEyqolbt11qAn20qOCCyKE2cYEPa1LZpO8fwjZk4oYntONBJ74h5jsTNUG8fBfv4DfElHp3Y8ZXN8S2lk05pCU2pFFuiCklGpFEQF74hljmDJxTtXyw+F/gEr2ldkqFYKE/bv5CV8SUGiX18oDCvGy9qTmlwiO4IqZVDq5asa+IaeWCy5b0iti23VYTaLelVg0uXiKzuzvepmqKIvPcJD/TawdXCfkVsbosJpUZF74rYlrBRigYfk7sIJ5shO0InusFg6uEekcQviKmVQ2uHDGviGmlEq6IbRtv+QPGpV6xZMnTPBJFlrV1/+4VLt2dWjfpiliWlaatx63zxbvSqwXXPvEVMduDyx0lFjqxx3tckHuviFUyThQw/XEBEUSQCEM3tqmPC4ijY/DRwTeALowpFUOQ9BNsBP3HBUSU1McFRBRpuhIAKepxUTlRZlSUozgvYPIJwqRoCzV0XrDu29QEGnFRwQWhQ707CJ0XMNmkLyDCNnReMDyhHQ/6iAt1c++Nq3CTC8dgYIDpXRwRRBCeUBfHLtQljobBR2Nv10bEEITeKK6NiEJybd5CXSKKdNEAQGzwczfMnlFRkrm2UKkuk08QFqO6tnXzpibQjYsKLggdatcWKtVlsklfQIRtyLUNT2jHgz7ie/K593pVuK2FYzAwwPSujQgiCE+oazvEPXniCBl8hPZ2ckQMQTiO4uSIKBQn578nTySRriMAR94249aJMqOiJDNyoXvyTD5BpIxq5NYdnJpASy4quCByqI1c6J48k036AiJsQ0ZueEI7HvQRf2cz9965aqWDgQGmN3JEEEF4khq5RN/ZJA6OwQcH93Dy72y++nHNfJK/9nHNTzaJy/WZ9Bej1Z/86dZI8z62SRx7wfIhMJ7eCmAiCcl3+j62SSSRLnsAR16X44mvoJiIksx3hj+2ySQUhPaoznPdeaoJNBOjggtCh955Bj+2yaSTvoQI3ZD3HJ7Sjged+KqYJy3Yhr9OX+ziHfqqmFbvbtT46qrYxmpqh7TEhjTGVTGtRCOSCMgbuCrmfGinavngJYAIRlGrECz4lxhA71UxrUZJ3TygMO+NT+lSOFMrPPxVMbVycNWKfFVMLRdctoRXxdptN7E20E1MrRpcvER2985VsbJos3acOR+QM712cJVQXBWzV0BqbzcxtWAjFAw/J3YQTzbCdgTP9YLBVUK/JwhdFVOrBleOiFfF1FLjXxVrt93E/AHjUq9YsuRpHok+OBs70s5g0al1k66KTaqqzifebmJqteDaJ70q1tpuYu4osdCJPd5TjsJ3VawN97i4w4kCJj/lYIIIUmHoxjbtKQdzcAw+OPj+T37K4esm1pjlj1898fhodV7xwfJnN3t90tEGc8AF+ckYO1YiSdqjDSaJNKsKcOS2ONq58M+oKMdxtEElFMRz0V5v4GijXTedagN9xKjggtCh38aEjjaodNKXEKEbONoAprTjQR9xfXThu9V2WyUoGAwMML3hJIIIApTUcCasj2aOkMFHCHedLowpFUMQkAVezlsfzUQhmTlnGHlAJZGuIwBH3lTjSeNCmVFRkpm5QH00lU8QKaNauXXbqTbQR4wKLogceivnr4+msklfQIRtyMgNT2jHgz7izxMUvotubSEdDAwwvZEjggjCE2rkyJ8nYI6GwUdjb9NGxBCE3iimjYhCMW3+zxMwUaSLBgBi2rEzPTWjgiTzbIGPE1D5BEExqmdbt51qA33EqOCCwKH2bIGPE1DZpK8fwjbk2YYntONBH/GHQQvfnba2lA4GBpjesxFBBOEJ9WyJPwzKHB2Dj87eHo6IIQjFUTwcEYXk4XwfBmWiSBcRAKQw49pn4ogkyUxc4LugVD5BlIxq4tZtp9pAHzEquCByqE1c4LugVDbp+4ewDZm44QnteNCJL4eVLrzelpkgXrmLd/DLYUq9uzHjq8thW8umHNISG9Iol8OUEo1IIiAvfDnMvfudquWDZf8Cl+gttVMqBEv8cfMXuhym1CiplAcUVr4uYlp9R3A1TKscXLNiXw3TygUXLenVsG0XsTbQRUytGly6RFb3zmtXtFk9LlqX9DO9dHCJkN8My5qsrbw9xNR6jVAv/JTYMTzZCNsRPNcLBlcI9W4gfDFMqxpcNWJeDNNKJVwM2/YQ84eLS71iyXKneSTqqmjHtXOcO7VqzrWwvM7bclw6X7orvVZw1RNfCrP9w9wRYqETe7zHBKX3Ulgl40QB0x8TEEEECTB0Q5v6mIA4OgYfHXzj58KYUjEEyT7BBtB/TEBESX1MQESRpikhkNZNMqOSHMUxAZNPECVFe6ehY4J1t6k20D6MCi6IHOqNQeiYgMkmff8QtqFjguEJ7XjQR1yfW3ovWoW7cjgGAwNMb+KIIILwhJo4dn0ucTQMPhp7mzYihiD0RjFtRBSSafPW5xJRpIsGAJKNjZtkRiVJZtpCBbpMPkFUjGra1s2m2kD3MCq4IHKoTVuoQJfJJn3/ELYh0zY8oR0P+ohvx5feS1XhDhyOwcAA05s2IoggPKGm7RC344kjZPAR2tvIETEE4TiKkSOiUIyc/3Y8kUS6jgAc9bhwgsyoIMlsXOhuPJNPECej2rh1q6k20DuMCi6IG2obF7obz2STvn4I25CNG57Qjgd9xF/VLL33rFrpYGCA6W0cEUQQnqQ2LtFXNYmDY/DB2dvBETEEkVjg4LwFtEQSkoHzfauSSCJdQQCOalz76nGJIMkMXPhLlUxCQYyMauHWHZvaQBMuKrggcOgtXPBLlUw66SuI0A2ZuOEp7XjQie9ZGRfem/Uk/FF3s4t34HtWar27UeOre1Zrz6Ye0hIb0gj3rNQSjUgiIG+VvfzJ8p/tVP3W8l+X/7BKbP5k+R+W/33596shX/6in+5tq9iPbz6n/jP7S9fft//VzcRk7biPtPkkr0ZvrB6dX43L8mvj0dvvlONRvE+91+1rvW1/tdL28W2Ctpf4IsoH30evn/B/fXXEvzrG/9VK9lvTUVG8osN5yt+PUS9uJWxSuh6DqfoxAG8j7G+31QrBmwcSG+27r6bWKCngBxSWphwXzomeqSVSrqzdcRGzt6eXl/PLWx/RLc7eOKsn2f3+h9z+UNgfyq/ZoGtJrLW4P3G6i4d6UNAtxL3hppcL2gXZDbdezvqG2+04u1S/q1cNmoYY2wwLc28WwDjTY4AL9fBtN492K/ve6xPhozjXUxghBfwc2ZE92QjbETzXCwZXHXivBsShzsahzsahzsahDoxDF3pIcOGKd2VOLzX6lblt/Hkv8OJe6hVLVlzVE3S7Ex6KPZ0aIc79ueG4s54AH8GVngBcaYW36uyzsxG1I3ahE3u8h0LGc6uuj1YyThQw9aEQFUSQ8ETTF0kPhaiDY/DBEezyf8P2365hn1KHXZCLjrGrJpIkPcSikkgz6ABH2bbjui5dLDMqS8JzrDofT9ylSFxCQViPscHcbDNv23Pd/sQFfsYFF8QOeG8kmNYLLp30LUTowudYyJR2POgjrik3nouA9e2TIRgMDDC97ySCCAKU1HemqymnjpDBRwg3ny6MKRVDEJAFZs5XU05FIbk5Zxh5QCWRriMIR1WYceVpoEuFSWbnsmpcNC6+h1w+QayMauby9crv77nGBRfEDrWZ807qBZdN+goibENWbnhCOx70EX/TwXiuB9aTQjoYGGB6K0cEEYQn1Mpxv+lAHQ2Dj8beto2IIQi9UWwbEYVi27zfdKCiSBcNACTLirFpnCwzKksy21ZOxq3Tlj7k8gniYlTbVqxXeX/bNS64IHaobZt3Ui+4bNI3EGEbsm3DE9rxoI/4e6rGcx2wvi3xFAwGBpjethFBBOEJtW1pv6dKHR2Dj87eNo6IIQjFUWwcEYVk4zzfU6WiSBcRAKRqehL3nUAqSjIXV7W+Th5cPkGYjOriyvWi7++7xgUXhA61i/NO6gWXTfoCImxDLm54QjsedOL7gM6ru70vM0G8ahfv4PcBlXp3Y8ZX9wG3nk05pCU2pFHuAyolGpFEQB71PmCzug+YTTQXAl+tQuz/1NeqED/Z5GHXLv+L0epP3sqMUZWY7Fag8mEA72cITLe3flGpELxcgXvp0K1ApUbJHQVAYV57viA0Uys84KXAyl4FrO0Pjf2hXV/GMeFLgVpQ0DLEvhSolQt6BumlQLO9FOhve6dXDTqHGDsNC3NvFsA402OAq/U+lwLNvdcnInApUEthhBTwc2RH9mQjbEfwXC8YXHTg7RoQhzobhzobhzobhzowDl3oIcF1K+alQK1UwqVAs70U6O+jp1csWXBVT9BmOxyOPZ0agX0p0Nx7fQIClwK1BOBKK74UaE42onbELnRij/doyNOv+M369qtiMCcKmP5oiAgiyHmiOYzUR0PE0TH46OB7fRfGlIohyO8Kdqn+oyEiSuqjISKKNDMNgJR9VHQmZGdUkqM4GWLyCaJkjP3aZtdWrQ8S/K32uOCCyAFvNeBJveCySd8/hG3oZGh4Qjse9BGXZVfeG3bhFjaOwcAA05s4IoggPKEmjl2WTRwNg4/G3qaNiCEIvVFMGxGFZNq8ZdlEFOmiAYBUzdjn2YggyTxbqCabyScIilE9W71e4v2d9rjggsCh9myhmmwmm/T1Q9iGPNvwhHY86CP+KkLlvUoX7lfjGAwMML1nI4IIwhPq2Q7xVQTiCBl8hPb2cUQMQTiO4uOIKBQf5/8qApFEuo4AHG1TjxvnmjijoiQzcqFvIjD5BJEyqpFr1uu+v9ceF1wQOdRGLvRNBCab9AVE2IaM3PCEdjzom+Rb0z4p89zYT2E9OZrPqlbey3WtdDAwwPRGjggiCE9SIwd/VvXyf53s8VlV4uAYfHBwD/cbWcXsGvspdewFy4fAeHprk4kkFN858X5blUgiXfYAjrwelz7bSSRJZjvzLC89xvohl1AQ2aMaz3btU/wdArnggsihNp6Bab3g0knfQYRuyHoOT2nHg058I7B24b1ZZ+FeBPUu3qFvBGr17kaNr24EbpymdkhLbEhj3AjUSjQiiYA8wo3A1S3AXHML0NeWoDHLH7/qpT9aOeEPrIgopjnK1b9tLcJoUo7e6N+L6w9Wj7v9ez67GcpP7Gtk/1pnbJ6qH4vdlZR3N1CrELxjgfvqwN1ArUbJVQVAYVONa+coztQKD3c3MLMNAzPbMDCzDQOzdaOuLNwwUA0KmofIdwPVckH3ILwbmG0bBmaBhoFq1aCHiLHrsDD3ZgGMMz0GuG7vcTcw2zYMzAYaBqopjJACfo7syJ5shO0InusFg4sOvHUD4lBn41Bn41Bn41AHxqELPSS4bkW8G6iWGv9uYLZtGOh/cS/1iiULruoJWm+MB2JPp0Yg3w3Mtg0Dw3HnSk8ArrTSu4GZbRjojjkLnVirFmvyYnm8aYhAHkadivDdDczCXWzucKKAyU+2mCCC/CeazRCfbO3VMJA5OAYfHMGm/zdmZ+4a8Cl1wAVJ6RjbaSIJ5TjL2yqQSSJNpQMcrRkXrW93TkRJd54V6hRIJRTE8xg7y83+ct1WLgt0CqSCC0IHvCkSTOsFl076EiJ0A+dZwJR2POgjromvffcYs1w6GBhgesNJBBEEKKnhTFgTzxwhg48Q7jpdGFMqhiAgC7yctyaeiUIyc84w8oBKIl1HAI4iy8eZ180RWZK5uUBRPJVPECqjerl1X7ks0CiQCi4IHWovFyiKp7JJ30CEbcjJDU9ox4M+4i9S1L7bjVkhHQwMML2TI4IIwhPq5MhfpGCOhsFHY2/XRsQQhN4oro2IQnFt/i9SMFGkiwYAkmfjyrn+zagkyUxb4JMUVD5BVIxq2tZd5bJAm0AquCByqE1b4JMUVDbp+4ewDZm24QnteNBH/C3Y2neTMSulg4EBpjdtRBBBeEJNW+JvwTJHx+Cjs7eJI2IIQnEUE0dEIZk437dgmSjSRQQAyWw1rc/FEVGSubjAx2CpfIIwGdXFrbvKZYE2gVRwQehQu7jAx2CpbNIXEGEbcnHDE9rxoBNfCnQGot6XmSBes4t38EuBSr27MeOrS4Fbz6Yc0hIb0iiXApUSjUgiIO+rS4GkS4Grv68fAgv2wfWfnfZQ/cNsE8zLz++PdFcGlQ8NeHtDYM69NY5KheDVC9xzh64MKjVKbjAACvOmHHvPsZUSD3hn0PYTzGw/wcz2E8zWfbyycD9BNSjoLWLfGdTKBc2F9M7gtp9gFugnqFYNWowYWxILc28WwDjTY4DL+j53Brf9BLOBfoJqCiOkgJ8jO7InG2E7gud6weCqA+/rgDjU2TjU2TjU2TjUgXHoQg8JLlwx7wxqpRLuDG77Cfpf3Eu9YsmKq3qCNvvmcOzp1AjsO4PbfoLhuHOlJwBXWvGdQdtP0B1zFjqxx3uG1HjvDFYyThQw/RkSEUSQHEWTHanPkIijY/DRwZMCLowpFUOQCBZsU/1nSESU1GdIRBRpChsAKfNx7a6EnVFRjuIMicknCJMxNmybbdu6/1wWaChIBReEDnivAU/qBZdN+gIibENnSMMT2vGgj7h8u/FexAt36nEMBgaY3sURQQThCXVx7PJt4mgYfDT2dm1EDEHojeLaiCgk1+Yt3yaiSBcNAKTuY2DhIplRSZKZtlD5NpNPEBWjmrZ1A7os0FGQCi6IHGrTFirfZrJJ3z+Ebci0DU9ox4M+4q8nNN47d+GuPI7BwADTmzYiiCA8oabtEF9PII6QwUcIN3LLH92MyGj5i+WnNvW4rYN6OXrnDx79yfPR8r9uq0lGr1SerAbzRe9wvzt6azLKzcjnpqbUYRGE9yjGkIhCMYb+rzEQSaTrEsIxyc14fZn7rjUkwiSzhqHPMTD5BLE3qjVct7TLAj0KqeCC2KG2hlk7LpwP7QWXTfoKImxD1nB4Qjse9BF/ybXx3uxrpYOBAaa3hkQQQXiSWsNEX3IlDo7BB0fkCn9DyqldAz6lDrhgzRD4TW+VM5GEZDd9X3IlkkjXOoCjyIpx6XWbRJZkbjP8KVcmoSCgR/Wb6z52WaA1IRVcEDvUfjP8KVcmnfQtROiGHOfwlHY86P7/fvf/8YpD8VrKP3r25I+/9Yd/4BgIlaP05BnzUPsDU5pdTt91RL9aiU/c3kh0yv2GWu7uYxYYXNAN/hd7TLvK/v16dWD7c5v2+3JVg/fF6kLg56tSPfuzn/cOZPPvrr9//b2d61Qu1Ld61K/P1Lx3wqUfeL9oeXO9JrctuXJ7x6awPyvsz0r7s9L+zNifmdL+0PY/VLZrV2V/obJ3ceqJ/cH0PzT2Z43xBFn1UJTyocBLnS3/ueU/t/znlv/c8p9b/nPLf275zy3/ueU/t/znlv/c8p9b/nPLf275z33853p+I+fHC6V7/LnFn1v8ucWfW/y5xZ9b/LnFn1v8ucWfW/y5xZ9b/LnFn1v8ucWf+/Dnenz81dcvMDeXO3LbECq3NzwK+7PC/qy0Pyvtz4z9WT8MnR2Gzg5DZ4ehs8PQ2WHo7DB0dhg63zB06mG4U+k/MAyyN+DKsl9Z9ivLfmXZryz7lWW/suxXlv3Ksl9Z9ivLfmXZryz7lWW/suxXPvYrPTu+tAqvCfToC4u+sOgLi76w6AuLvrDoC4u+sOgLi76w6AuLvrDoC4u+sOgLi77woS906KvH/wbdLte/E3IbMT9+UPjuE+Sh7+Ob8s6nHZJ8+8D+r9P5fkOtd3fx3fPbB/+tNxof2LST/d91OZnr6wcf336FYGst7OcQPuh/x0v7cQN7EGezJt+9/vD2H/s/ZlV39gt7hHlTmWYv068uFdx80sBmcl67i3D74QPXpxdurijcpmDG9m/7ee92/nL58SgPZbq0o7y7rhM/h6CVaEQSAXm7n0OwGbfPbxNbH2s/h7D8Yf98fHnzwKzycvbTFc4nbtT/QTefBPj8+oPR6mn49MbW3r95lNbP4ec3xteeEH8xMpOJIz1nHyR7ANz/yniUnRaj67/pf/3F8pfLl9/85h+45mGqnofdPTTvCwNaheBFTUlOzfuFAa3GXSe15xcGykk7bpz7vJla4uG+MJDbhsS53drkdqeTm9ubvXkW/MKAGhRcwDVfGDCV9wsDarngEi78wkCebb4wkHv78ryrVw0u5Pttodepxjy7NwtgnOkxwJVSsf1d3/Tttb8+Ef4vDKgpjJACfo7syJ5shN3deWoFg6sOnLUF4lBn41Bn41Bn41AHxqELPSS4cEm/MFCUnhj0nl5q/C8MbOLPe4EX91KvWLLiqp6gdU58IPZ0agTyFwY2cWc9Af4vDKgJwJVWmDqwz85G1N39vkbs6pF5nGVm8rw8fdY+yU/Lx21++qjK6tOifvzk/8/evy5JclznguirpO1fYFVFWlzc48Jt+tFoFfpks+uCiioAXYJMltcRTSIpE8mxYzYmMwIgKGpICuBtNgwgCQLUGclsnz2ncWmiATQar5D1CvMkx1fkpboy3T3WWhkrMnu2tDcL1V2X/r4VHmt96+Lug36ss2QwmfFxlgK+0292lqX6r43mLeOsaDSx/GxFAw8tSuHARuR5USKEzudGFYVPbmaB8yEW97jzbITDM+580ElCGIrtPPd878j6Vt4WNZzGGw6fgdtoHIrSIDSACQmsc1hZkkq70yOSTKh9awyPKM7CbmLfktcTZdPa/EjmOFPwriw9ggttIpdbZnSLq8Ziz91xosQJvgOdhqwP2XczaxnnVJYb9RXEcPM+0FPMAy3lSM+OkNJJqFRYBKOw6MOYSR7k4TgNwlCHOs3zqNBz5dOqwLO+1UbgJVRb4Pi1L/AEiRC8E1bgfVCV6UHWzQvyX1Q9geqvjHJ7OC/0R3FoZICRedPHZkFfvQUn/k4/r35OX72pPT0bQXNovDk2lm2CNAiulyDbnH0HQSYtqzZBJtSQgeChdNjNI1cbQ5BLa5otNqJU2fjdleVHcIuNirbFVWOx5+44UeIEz8EWbc6HeirLjfoGYrjVibb6B1rKka5EWzzUA/Pd5jtGEzhTKgqDoq8HQTgYmr/ItTJK79X2RZvVaxnRpqi2wPFrX7QJEiF4J6xoW+6Gggmc2aYlUGRfLDYuVcdFTd+f/i6ydkZui/LVeL4bqzJBGgTfSlBlMA/1SbdjV8sviBKSEWc2HndEeVADA4KFd8BEkEpryizKu6k1iN+V5UfwfY0qs8X1YbHnPjhR4gTvwVZmzod6KsuN+gJiuNUps/oHWsqRrpRZnubxMBtlwSDJwkClsGtrqAZBUiRhMSn6/WTc9rFQ8F/rAjDKTFNtgePXvjITJELwTlhltn4g+/SX099WF5H9Ppi+C/+pWp/vTj+sRJqN9G1R0hpPemN5JkiD4GAJ8szd6xSkIiLM3Cd2SlKhhgYEkSiMu0pbDy7qiXJpT5yFUTdNbQTvyhIk+L9G1ZleBHPPJVmixAnOg6/OnE/1VJYc9R3EkKuTZ/VPtJQj3eZ1vYmzf5l62GVJscpu6zvWmHhXfcZ/7ljz7lhjWlnhrNzIjjUmRE2CiIC3AzvWYIvaF1dvLPrb8wP2p4+v3qiueIahxq/h6mfY0vYIhhl/PX2/0e1slid0yH5Cq1FOcC8bEyFySwBe9fr2sjExUibrEQiVclyA1GMj3OJWNrgnN4azOWI4ryMJF1tIUv9WNi5RZGRveisbFy4ytlO3sqXXW9mcN9vc46NGRvgmMgIgs9fz0Dji00CG0E22sqV7Nx+EZysbl4UmskCvI7Ds/hLYCuATPmBk0EGnVQg/VIIfKsEPleCHSqQfOuWTRMatJreycaEKbGVLr7eyOV/cMz5iSsBlraBl1ur3PSWbgvRWtnTv5gPwbGXjMkBGWvJWtnR/CWoF7AUPbCV0J3mYTkZhMInDSaCGaQFn6RXBcDxWYZpM+qGav7HOGoGnSMKtEzi3svlvL1mjieXXfmtGkAihNIktNay3ZuyX5M6un3jPpKOwS+2d6e/M/34/3+N27zTQUWf6ts0gt0UNovEGwafcNhqHojRW5YGHBiEvdbdtBKkItW1c1+NKUqGWjBFE0m7qumhNkklrTZsi7MbWptRdWX4Ex9hEhrbM0xb3csWei9ZEiRM8Bzq5QD/UU1lu1PcPw837QE8xD7SUI727s86xs8Hjv1nEYgscv/ZlmyARgnfCyrbNZ50F+Wo8341VmSANgm8lqLK6WWdBQiLazDXrLMiDGhgQLHwNCEEmrQkz36izJD+C62tUmC1uxYo915yJEic4D7Yw8406S3Kjvn8YbnXCrP6BlnKkd/fkAPfFFAXVFjh+7QszQSIE74QVZuInBwiaQ+PNsbFuE6RBcL0E3eac8hBkIiPYnCcHCDKhhgwED5V3daptVHqiVFrTbL6DAyT5Ebxio5ptca9U7LkqTJQ4wXGwNZvv4ABJbtQXEMOtTrPVP9BSjvTuHucZu7anJb5bSqy2wPFrXbNJEiF4J6xm253jPCUNp/GG21TdSdIgOGmCunP2SiWptCvvJJlQowuGRxypbuQ6zVOSTGsCz32apyg9ggdtUt8l4VwOzD6xET+SJU5wHWx95znNU5Qb9Q3EcKvRd4gHWsqRbnd/m6PKlvjOmc9UuMpu2/vbuHhXXcZ/7m/z7W/jWlnhrNzE/jYuRE2CiIAns7/t/zQ/8hg2npkf/8q3w61mk1pnqehne9rMN3wKawg2xUEGUK0g2Pf2dfUXry+W0yPzg4ul8tTXHuH3vLmucOM+uNXYJ7ftjYtwVQ1LbnvjYqRM4SMQqqSrMhvCHhvh9ra9JXCDWwI3uCVwg1uyuDkp8d/gxiaKDPgNb3tjw0WGfOK2t+T6BrfEc4MbGzUy8DeRJwCZvZ6HxhGfBjKybrDtLbm+wS2pucGNzUITWaDXEVh2fwlsBfAJHzAy6KCTLYQfKsEPleCHSvBDJdIPnfJJIuNWg9ve2FCb3/aWXN/g5n5xz/iIKQGXtYKWyazf95RsCsLb3pLrG9z8fueczwAZaanb3hK4wc3ucy54YAHtsBiEaZymwWhUxIHqh3lQTMJBMMqHo9E4z6J0NF9UztKBp3bCLR+4tr0lMY0mll/7LR9BIoSC5SYVCJPPrWSNB4tqQ/X5vJ3zzvQ987/ZQYWnt13z1ZL20Hh7EBJxnEk65fnZxbfOL846t7710q3zw2/Z6B+K0ieUcQnprLsDJEhFqANk3a1zR5QJtf6M4QF5mGsqW5JLaw2g1N0AkqRH8KdNJHbL9G5x+1fiuc5NlDjBc6BzElsDSNm4ncpyo76AGG51DaD6B1rKkd7doWzncYhJQrUFjl/7ak+QCME7YdWe9FC2pDk03hx4sWejcShKg+B6CaLN2YMQZCKk2VxTO4JMqCEDwUNl3TxytTQEqbQm2TxD2aL8CF6xUc22uPwr8dzmJkqc4DjYms0zlC3KjfoCYrjVabb6B1rKkd7dEw7cIz6Kagscv/Y1myARgnfCaraNTziQ5KvxfDcWZYI0CL6VIMpqTjiQJCSjzWw87ojyoAYGBAvfrIkgk9aEmeeEA1F+BNfXqDBb3P2VeC5zEyVOcB5sYeY54UCUG/X9w3CrE2b1D7SUI727J4Ymzt1ymmoLHL/2hZkgEYJ3wgoz+RNDJQ2i8QbZWLkJ0iA4X4Jyc/dABamIaDb3iaGSVKhhA0Ek7erYKkB7okxak22eE0NF+REcY6OybXEnWOK55U2UOMFzsGWb58RQUW7U9w/DrU621T/QUo50u5vgXEIs9bKLVtltfRMcE++qy/jPTXDeTXBMKyuclRvZBMeEqEkQEfC2uwnu5tIyH2A5fAX/ztWb1QTkbC19dfUW/IqnN7A9mC22Cu/D6Rdm4fwMlgz8u7M1aBaoQTvrsj8yP53OdtU9V/1rFcMFspu/dr4r7hsHcP/cw+lnFV2D5LVqfb5uviN4Cnf1b1Wr3yxj/E465tNHbmogyG5nF5uJELkjAa+mfTvpmBgpg/0IhDrpZqkNYY+NcIs76eACuQQukEvgAjm1uLgp8V8gxyaKVA1N76TjwkXqBupOuusL5BLPBXJs1Ej10ESyAWT2eh4aR3wayPC8yU666wvkkpoL5NgsNJEFeh2BZfeXwFYAn/ABI4MOOmND+KES/FAJfqgEP1Qi/dApnyQybjW5k44LVWAn3fUFcu4X94yPmBJwWStomRH7fU/JpiC9k+76Ajm/3znnM0BGWvJOOrhAzu5zLnhgd7YdpJw76TIaTSy/9ttBgkQIVU9sGaOFdpCgQTTeIPh03kbjUJTGqjzw0CDkpe52kCCVtttBglSo5WgEkbwb2gcieqJMdqIdJMmP4BibyNCWedrivrHEc4GcKHGC50AnF+iHeirLjfr+Ybh5H+gp5oGWcqR3d7xaObfEee9ssdkCx6992SZIhOCdsLJt8/FqQb4az3djVSZIg+BbCaqsbrxakJCINnONVwvyoAYGBAtfA0KQSWvCzDdeLcmP4PoaFWaL+8YSzwVyosQJzoMtzHzj1ZLcqO8fhludMKt/oKUc6d09q0A5970VVFvg+LUvzASJELwTVpiJn1UgaA6NN8fGuk2QBsH1EnSbc8pDkImMYHOeVSDIhBoyEDx00Y3sTZOeKJXWNJvvrAJJfgSv2KhmW9w3lngukBMlTnAcbM3mO6tAkhv1BcRwq9Ns9Q+0lCO9u6eJKtcktvJetmKzBY5f65pNkgjBO2E1G+7ozA1OE5W0h8bbAy/akCZBniYqSZ/gswliz9k6laQipPYcp4lKMqEGGwSPWEWFvQnRE6XSmtpzHyYqSo/gTpsUe2px+Zjy3CYnSpzgONhiz3OYqCg36vuH4VYj9hAPtJQj3e5GOm1jZ+Sb/8z7eJXdtjfScfGuuoz/3Ejn20jHtbLCWbmJjXRciJoEEQFPZiPdr29eBf2f2+huaHPms0fuaCBobleBlYtwVU5LbqPjYlwN1Btuo4tyI/ddIpkJcXv76BTcSKfgRjoFN9KpxU1Qyn8jHZsoUjQ0vI+ODRcpG4j76NT1jXTKcyMdGzVSPDSRawCZvZ6HxhGfBjI6b7CPTl3fSKdqbqRjs9BEFuh1BJbdXwJbAXzCB4yMOuiEDeGHSsBTgh8qwQ+VSD90yieJDFwN7qNjQ21+H526vpHO/eKe8RFTIi5rBS0TYr/vKdkUhPfRqesb6fx+55zPABlpqfvoFNxIZ/c5Fzyw1ZJBXWgPfJzlB0/9hVuCcO2jUzGNJpZf+z0kQSKEoudGVYxPbmae8+1y0z9VeeCPqyvIH8EgN3wZcs0qCVxcWf7O9N2g2mwHfabfVKnxhwedJITmROe553tH1rfytqjhNN5w+KzfRuNQlAah9ktIYN1NI0EqQk0jx4iQJBNq0RrBQ5uEvRtqG5eeKJfWukaZu2skSY/gQJvI5Jb53OLGMuW5gk6UOMFzoJMQW9fIOtV7KsuN+gJiuNV1jeofaClHenfHurVrv51KqLbA8Wtf3gkSIXgnrLyTHuuWNIfGm2Nj0SZIg+B6CaLN2XUQZNKyZhNkQg0ZCB4xSLbQ+lR6olxa02yeuW5RfgS32KhoW1xZpjx30IkSJ3gOtmjzzHWLcqO+gRhudaKt/oGWcqR395AE7dqLpxTVFjh+7Ys2QSIE74QVbRsfkiDJV+P5bqzKBGkQfCtBldUckiBJSEac2XjcEeVBDQwYFr7xEkEqrSkzzykJovwIvq9RZba4s0x5LqETJU7wHmxl5jklQZQb9QXEcKtTZvUPtJQjXSmzPM3jYTbKgkGShYFKx5OgGKpBkBRJWEyKfj8Zz4cGWlVm1gVglJmm2gLHr31lJkiE4J2wymz91NHpL6e/nX44/cP098H0XfhP1fh8d761zkb6tihpjSe9sTwTpEFwsAR55u50ClIREWZhN9Y2KndEqVBDA4KIMj5OW6n0RKm0p83CqJumNoJ3ZQkS3F+j4mxxM5nyXDUnSpzgO/jizPlUT2XJUV9BDLk6dVb/REs50u1ukbM+UqO3Ui+7ZJXd1rfIMfGu+oz/3CLn3SLHtLLCWbmRLXJMiJoEEQFPZosc8665T2drYLZJrgN/A+uiWksGwcO6bXPz/W2eXWy2h3HIfhirAU1wzxoTIXL0H69vfXvWmBgpE/Q4hNa2SY8NcIs71uDmNwU3vym4+U0vblxS/pvf2ESRMbzpHWtcuMgoTt2xdn3zm/Lc/MZGjYzlTWh/ILPX89A44tNABstNdqxd3/ymam5+Y7PQRBbodQSW3V8CWwF8wgeMjDnoBArhh0rwQyX4oRL8UIn0Q6d8ksiw1eSONS5UgR1r1ze/uV/cMz5iSrxlraBlfur3PSWbgvSOteub3/x+55zPABlpyTvW4OY3u8+54IHd2R5M6tyx5r9OZY0mll/7PRhBIoQiJLao0FAPRpC0xpPGJ9A2GoeiNFYlgIcGIfV092AEqbTdgxGkQi0AI4lYT1vsiTLZjRaMJEGC92siDVsmY4vbwJTnejdR4gTXgc4g8E/1VJYc9Q3EkPM+0VPMEy3lSO/u6HLq3G+WU22B49e+OBMkQnBPWHG2+eiyIF+N57uxLhOkQXCuBF1WN7osSEhEnblGlwV5UAMDhoW7yyBIpD1l5hlcluRH8HyNCrPFbWDKc72bKHGC7+ALM8/gsiQ36uuH4Vany+ofaClHenfPAUidW8oKqi1w/NrXZYJECN4Jq8vEzwEQNIfGm2Nj2SZIg+B6CbLNOckhyERGrznPARBkQg0ZOB6JS7IJMmlNsvlOAZDkR3CKjUq2xWVgynO7myhxgt9gSzbfKQCS3KjvH4ZbnWSrf6ClHOndvd0tde010/7LTyy2wPFrXbJJEiF4J6xkw11ltsHtbpL20Hh74DUb0iTI290k6RN8NkHrOVunklSExJ6133hHlAk12CB4KJPoahuTniiT1sSe+3I3UXoEb9qk1tOLu8C053I3UeIEv8HWep7L3US5UV8/DLcarYd4oKUc6XZ3rmU2dka9+Y+PV6vstr1zjYt31WX858413841rpUVzspN7FzjQtQkiAh4MjvXfl89/AfVnrLZKfqP4LfN9qEtL3Ezf/nFbMsaXNP2WvWHj6pS7pMKw+PO9HdJGN7coAbLJQpnj9+kBz+tzupffCEO3evikG105G4BgtZ11TW5CJGj/hQJ69yhxsW4GiE33KGWdmOrEXtsgNvboabhTjWdzPeDaP9Namx6yAjd8L40NlxkjCbuS9PXN6lpz01qbNTISN2EsAcyez0PjSM+DWQo3GBfmr6+SU3X3KTGZqGJLNDrCCy7vwS2AviEDxgZadDZEcL7lOB9SqT3OeVTQ4aoBnejsaE2vxtNX9+f5n5dz/iIKbGVtW6WOaff45RsCsK70fT1/Wl+b3POZ4CMr9TdaBruT7N7mgse2J3t0mSu3Wg6ptHE8mu/SyNIhFBX3KRQ0GyXRtAeGm8PQr78wbzi8fNVQzwJZmmsyZMfLI5rWZrFZLKxPU4ditqAUHIlpK/uVo0glZZbNYJMqLViDI8o6hbW7UI9USq70KuRpEfwqU2kdMvEbnEDl/ZcqSZKnOA40NnI6jPNu7k13p/KUqO+fhhqda2a+udZypHe3eMHMtcON51QbYHj177gEyRCcE5YwdfM8QOSpDWeNF7V2WgcitIg+NdGhJkgFRFh5j5+QJIKNTQgiERd7ToBWpJJa8LMd/yAKEGC92tUmi3u2dKei9NEiRNcB1ua+Y4fECVHfQMx5OrEWf0TLeVItztHY812jdxSXnZ6ld3W52iYeJHdOaxa+n/6HA3Tygpn5UbmaJgQNQkiAp7MHM2vzfr4erZgPOc/f1Qd7Pxk+kXnOVgA8KThx95YWXLf6FTLbr4qHsA6qRbMbGFUv+r2C9FBZ/rBC5HxhGtTN3G1Q7JrexCH7AeB7HgSNLBztoaJENm4xEtb32wNEyOl/4dAmGXdxFqZ6bERbnG4RsNwTQof4CBonS8a3co/ZsMligzgTY/ZcOEiQzh1zEZdj9k4bz27x0eNDORNCH8gs9fz0Dji00BGyk3GbNTezQfhGbPhstBEFuh1BJbdXwJbAXzCB4wMOujsCeGHSvBDJfihEvxQifRDp3ySyLjV5MANF6rAwI26HrhxvrhnfMSUgMtaQcvk1O97SjYF6YEbtXfzAXgGbrgMkJGWPHCj9pegVsBe8MDubP8ldw7caBpNLL/2+y+CRAgVSGxFoaH+iyBpjSeNz55tNA5FaRCKqITc091/EaTSdv9FkAq1+osgEhXdJLaWPXuiVHajASNJkOD+msjDltnY4sJG7bmCU5Q4wXegUwj8Uz2VJUd9BTHk6how9U+0lCO9u+c/587pmJRqCxy/9tWZIBGCe8Kqs43Pf5bkq/F8NxZmgjQIzpUgzGrOf5YkJCLPrGnbHVEe1MCAYOHrMwgyaU+auQ+AFuVHcH2NKrN0Ecc9VyWKEic4D74ycx8ALcqN+v5huNUJs/oHWsqR3t0DoHPXAdDaf0mJxRY4fu0LM0EiBO+EFWbSB0BLmkPjzbGxbhOkQXC9BN3mHOYQZCIj2FwHQEsyoYYMBI9cd0Pl0myCVFrTbJ4ToEX5Ebxio5ptcfeW9tymJkqc4DjYms1zArQoN+oLiOFWp9nqH2gpR7rSbNEginQ4UcG4GMaBGhRx0E+jLDCybjjoxzpLBpNX29ds1gVgNFtOtQWOX/uaTZAIwTthNZt1ePqTmwOvfzMbXZ7+CQ6Lg8Lb1U+q896ezE+Vm22zr4Zep+9P35m+GxgpODt/4DfVRO6HB50khLZc57nne0fWt+G2qOE03nAbqztBGgQnTVB37napIJWW5Z0gE2p0QfCIozjthvbWb0+UTGsCL3OfJCBJj+BBG9V3izu8tOdSNlHiBNfB1ndw6rO1JHMqy436BmK41em7+gdaypE2//fXTwkbkG1/5dNxze5eK2xsjYIrPGy1KlbZtrR7LbbHhOfZeFddyIa713519bNqC9LH1Um8K8f0YnawLTeUwaG+HV3tJGt675rNgrfZFlQ4CzayM40JUZMgIuAJ7EybPavPulGUm4f/H+ZPD6qK68PFzOLNhTJdnvhsVtybN0S++ecs+x+fu/pFtUPtz+ZzOK3PiPhvdGES8sH0s0WvHX7my9m+tI5vXxrzMaxGLcF9aUyEyPl+ioZ170tjYqSMySMQxlnRLZQNYo8NcXsb09LwwHyI4EO82AtS+PekcTkiwzJ9T1oUhpF7TxoXLjIwU/ekFdd70py3o93jo0aG5ybUPZDZ63loHPFpIGPkJnvSir2bD8KzJ43LQhNZoNcRWHZ/CWwF8AkfMDLgoFMkhAsqwQWV4IJKpAs65fNDhivadjSTshi17dqOxoUqsB2tuN6O5nxnz/iIKXGWtXiW2aff7ZRsCtLb0Yq9mw/Asx2NywAZZMnb0Yr9JagVsBc8sJW+7ffzQTIogixNVKDCSRH09dB8CONoOE70JFu4UGdu7yl2cPN713a01HeLlYUmll/rPRpJIoQKI7ZE8CeTqz2Zny0C484mi38L0sdq2HnWm7n3F4nJ+uHTWF+9GWvPeTKS5DWePD51ttE4FKVBKJbiU084NcZG5QVRKiJ9ltA+eXdHlMlqdPUwwWayuXF2ubUg0BOl0l6XRXUTR5tFlB/BCTaRiC3SsXRxF2PquVxTlDjBc6BzCPRDPZXlRn0BMdxq2iyIB1rKkZ5d0aHHoyLMi2Aw1jpQAxi5GQ2SIJzEedqPR4NBX7/avkSzLgAj0Xw3kVhtgePXvkQTJELwTliJVlXfr15/uvruGKL5qKryw8BMU0M1NgPeFjWgxhtwY5knSIPgrPEyzz1OI0lFROaprrYxuSPKhBplEDyiWBeOyYSeKJfWdF4Ud+PUxu+uLD+CJ21U50ULWeC5dVGUOMF1sHWe86GeynKjvoEYbnU6r/6BlnKkZ6W4SR6mk1EYTOJwEqhhWpjvLYpgOB6rME0m/VDNnWyrOs/qtYzOi6m2wPFrX+cJEiF4J6zOWz8ZCv5YDe7AyMxrVXHu57PSXGf6nhFqINremf7O/O/3i1rdaaCjzvRtm0FuixpE4w2ysW4TpEFwvo3oNkEqIrot7EL6uk7ljigVathAEFFRtygc29wkqbSm24qwaz8V664sP4JnbFS3LS7gSj0XqokSJ7gOtm5zPtRTWW7UFxDDrU631T/QUo50u5d22E8TMlIs8dDLVLpKb9tzz1y8yMEqrJJ6hueeuRZUOAs2MffMhahJEBHwJOee47jNued/q67geHT107m6x00+cx8EchCNoG9dk89chMhRMrxs9Uw+czFSJrIQCJPQ+FZXv5gJcYuTzwqGnvV84jBNvEPPbHrIoNzw0DMbLjIqE4ee02Q59Jw6rze7x0eNjM1NaHkgs9fz0Dji00AGyA2Gng32mw/CPfTMZqGJLNDrCCy7vwS2AviEDxgZa9AJEcL7lOB9SqT3OeVTQwapBued2VCbn3deep0XPa/rGR8xJbqy1s0yzfR7nJJNQXjeeeltFg/APe/MZoCMr9R5Z7N2lqBWwF7wwO5skyUKnQPPisYTS7D9LosgkVXt4XtAyNpAC10WQYNovEHwebSNxqEoDUKplJCFurssglTa7rIIUqEWeRFElO5mudXT90Sp7ESXRZIfwTM2kZkt8zO1KMp7LksUJU5wHeikAv1QT2W5UV9ADLe6Lkv9Ay3lSO/uFLQRbtZinBFummoMHMH2hZsgEYJ7wgq3HRyDFjSgxhsQL/QsNqzuOpm3HmbmmJngj+Z/H05/awTwOzbyh6LkCT6+EXkoSEVEHrqHpwWZUIMTgkeUZElXWTc+90S5tCYPfcPTkvwI/rdRebi45yv13NwmSpzgOtjyMI669p2dp7LcqG8ghludPKx/oKUc6ZaHcFyVutRLL1ult/UhHCZeZKMPq9ee5SEcpgUVzoKNDOEwIWoSRAQ8iSGc5+ZTOB0jEA7Mh9x8UDEMysD9fI9goqbSrE89+G92vEdZwLox62p2h4xZDtVZgwDV/A0M5yxW28/hy7N7/16vvv4Ifs8BqOLfGY5/EZof/A384o4RzDeHgx6tLOADSEQezPCYz7+YYzNpRwe+9+vqpsHZ2v+q+urH8DsfVf/mfCVX6z4MYeGb3/BpNz6AG2y+Nhj+aAC+Zhbyk+mns1/16OkffnjjRzvRQQSJUHig/yI+iOE3zG/Icc0VMdcWstdLkOzOuSImQmTLFq/EfXNFTIyUzicCYV7ork5dg+5MjFscLMoWXf3UP1PEZYbUGE3PFHHhIkUGdaYovZ4pcl4Md4+PGik1mkhNgMxez0PjiE8DGe83mSlK924+CM9MEZeFJrJAryOw7P4S2ArgEz5gZJxB53cIx1MiHc8pnxUyNtHGiUKHx3mRj1Nglii9niVyvqZnfMSUiMpaL8ts2e9pSjYF6VmidO/mA/DMEnEZIOMqeZYo3V+CWgF7wQNbJXJ5OCmGKg1UrpNAZeMo6A+TMDA/OMri8SRUyfyJOGsTnuIMuz7hnCXKaDyxBNtvSQkSIZREsSUO7+GJVY71dVVw+LHJ9H50s/UE3zI7UnHP/P8knKVqNqvcFrWKxlsFXxOw0TgUpbEqCTw08Omn51RFQSoiHSP3qYqCTKj1agQPXZgcKrNR6YlSaa1h5DtVUZIfwTs2kZUtc7PFXZap53JSUeIEz4FOKNa7gKqbW3X4qSw56huIIed9oqeYJ1rKkW65Y+QaEfJfzpWv0tt6x4iJF1nGwcqpZ7ljxLSgwlmwkY4RE6ImQUTAE+4YFdAsCuFDVNcxer/qwcAElPk72AfwSSXmPzOr5F+qb57vAvCqeMDyk6rt8sXNL2zSY3q/6uyAAL15g+7VGze7SqsdJ1yXqbveWkoOwllrSbq3xFyFyJofXty7e0tMhMj6HV6z+3pLTIyUShgCYZYX3SixZhY9NsYt9paKRYk39/eWuMyQaqTp3hIXLlKOUHtL+XVvyXnB6T0+aqQoaSKLATJ7PQ+NIz4NpDLYpLeU7918EJ7eEpeFJrJAryOw7P4S2HpviQsYGWfQqSDC8ZRIx3PKZ4WMTY31lrg4BXpL+XVvyfmanvERUyIqa70s82q/pynZFKR7S/nezQfg6S1xGSDjKrm3lO8vQa33ljhgd7e35KgN3DK+icYTS7D93pIgEUL1FFsMaau3JGgVjbcKvnpgo3EoSoNQIcann57ekiCVlntLgkyolW0EjygJ4244B72ezgqS2YnukiQ/gn9sIi9bZmfFohfhuUZZlDjBd6BTirV1W+QOJX4qS476DmLI1XWX6p9oKUfa/N9fP+V8QL78lU+nNdxtsrrZW1kWeuhqHa3Sbanb5LhH7Hk2XmRhByuw/tv0AZS1F3vJq0J31WOolNSstP7EiKwv562DxW7yX09/NX1v+qv5nz7uxPPTWmHv9Ffwm76omkzw8bXpQ5sJbrNNoHAmaKJdxIWoSRCZ8A7Z8JD1HbyQc/YRuAiRtRq8PvP0EbgYKVUPBEIruh4bnUgHAVv9usuHjQwfjPaAyjJne4ANFxk/iO2BLFy2BzLnxZz3+KiRUYQkQ7Fr44gPG+n569sBWKzHfKyaiBW9OsB++0tga0V/NmBkUGAr9DhM4m5mLSSe8lEjAwWtqO9xFS/yoTZf11+6iRc9buKMj5gS4ThLwvXalWzIzdTxsTjP+TiRYY5arTcrYglqrVrPAlvJWR0NB1qNgr6aTAI1VsNgkA/zQI/Hxbjfj/N8wceZBXrSYnYm6KrWZ957DNd5Ygm2Xq2XJEKoRmGTyXm1vlPliw9mk4KzcatlvT4K9yK9V23ht1G+LUpZ4ylvnJkJ0iCU0/AZnLsUL0lFpBRv9Qp3RHlQi4AIFq50UJBFaxX43JM3SvIj+DxS6lNTgc8Wl+9mntuURYkTXAZb3zsf6qksN+q7h+FWU4BHPNBSjvRsgGIcptkg1EF/FI4CpXMdFIPxIBiMJoMizcMkHM6lSruSzFoHNJIsphoDR7B9SSZIhOCesJLsxnB/pcAqWfZk+nC+raCakdDhnvn/4YEK4U+JU5sJctd47htrM0EaBEeL12bVto5Puh37c3lBlFCrCk2QBzVKIFi4FJogi9YUmlLdzPqU7sryI7jARhXa4prdzHNvsihxguNgKzTnQz2V5UZ99zDc6hRa/QMt5UjPTvSPJ9EoGoZBNBzGgRqMVJCPzY+OJ9E4LVSa5PHg1S0oNNcARUI1Bo5g+wpNkAjBPfEVGgxQVJMYsAkYBl7/FTZi0pSaoA003gYbKzVBGgSH26BSEyTUqlIT5EGNFggWLqUmyKI1pZbobpba+N2V5UdwhY0qtWQR2D3344oSJzgOtlJzPtRTWW7Udw/DrU6p1T/QUo50pdSifjGKh2kU5HEyCVSc6GAQFXkwLrIwGg1GmVbjV7eg1JTNGEapKaoxcATbV2qCRAjuCa3Upl9W52E86Ezfre4JeuPqx53pvxmZ9nl1gsVsbPbT+QVMsQ7DqzejePaxqx2a4LaoFTTeChtrNUEaBJdL0GrOmVVBJjIizT4IcUeUCTVUIHi4ZJogi9ZkmqfjKUmP4AYbVWmLCxUzzw2ZosQJLoOt0iIdh137yS+nsuyoLx+GXZ1Oq3+kpRzplo+0UzZ6RnlpD71MFav0tr7JiIl31Ws8y5uMmCZQOBM0ssmICVGTIDLhHbLhIefJmxBsTITI2XGKEHNvMmJipIxgIxC6JBYT3bY3GXFhI8NH05uMuHCR8YO6yUhfbzJyXmx4j48aGUVIuhO7No74sJGev9FNRlysmogVvTrAfvtLYCuAT/iAkUGBLclVpruZ9fCKUz5oZJxoco8RF6rAHiN9vcfI6SXO+IgpAY6zIjx7jJiQW99jxMWJjHLkPUZ6fwlqBewFD2yFNh7o8UQNgzBNdRBFcBtuOCqCMNShTvM8KvQ8DDqTQE8WzE4EnXuMUhpPLMH2i/CCRAjVJ2wu+Z7JD1+7er0z/cTkkF/PjnxeHBFWJY+vwfHYcCD1InuMZheGPjZ/Y32Wt0VNoPEm2DhRE6RBKKc1kdAJMmm5Ai/IhFoERPBwpYeCLFqrwCdh0VWuRFKSIMELknKhuhp8uijYem79FCVOcBpswR+FqqutdyGdypKjvn0YcnUl+PonWsqR3uFtR8q57ch/xY7FGDiC7as0QSIE/4RVac1uOxLkrvHcN5ZngjQInpYgz+qGWQUJyag0G487ojyoUQLBwqXRBFm0ptF8244k+RFcYKMSbXFNXOa5+E+UOMFxsCWab9uRJDfqu4fhVqfQ6h9oKUd6h7cdKee2I/8NAhZj4Ai2r9AEiRDcE1+hNbHtSNAGGm+DjZWaIA2Cw21QqQkSalWpCfKgRgsEC5dSE2TRmlLzbTuS5EdwhY0qtXwR2D3XnIkSJzgOtlLzbTuS5EZ99zDc6pRa/QMt5Ujv8KmKyrntqKAaA0ewfaUmSITgnrBKrZFTFQUpazzljYWZIA2Cf8ULM8+pioJUWpVkgjyoYQHBwiXJBFm0Jsl8pypK8iP4vEYl2eIWnMxzr5EocYLLYEsy36mKktyo7x6GW50kq3+gpRzplncYaRu9W1ke+ujpcJXetncYcfEiZ8OxGmmbO4y4JlA4EzSxw4gLUZMgIuDBcakHnaRz9QvYRz/98/RRtzP9ECb5vvnyX6ZdeCDvTt+78Rjenf5++rYRwf8WrG+17zxXPdcvq0IlPC+Y9YOLQh9/Y/78Hptvh3/py2rv/j+bP71WaefHK4/W/IMd86eHZhXBD8C3fN6Zfgp10E41YPjZ9NOrN67eNJ89Mf/642odPejazH3INjdyOB4vP50DdlyEyEl4gqp075jiYqQMlGMQRrk9I+6xEbayaypJw66yPv67fODIoNjwvik2XGRUJO6byq8vZ8o9lzOxUSNjI0lLr/Vk4zRLupm1KXfEh46MafS9U1Gm8izt5o4NVGzAmggYvUzAiPtLYCuAT/iAkTGCnW94b2lio0bGDdoOqjiOdFdbDfwiH2rzO6jy61ua3P7ijI+YEvBYS0KFaR45UpaSjVtmG1WcxolZFrF1WZzzwSIjH3UvVQ73NdmdxAUP7O52FrRrL1Ue0XhiCbbeWZAkQqiyYbPmJjoLkpQ1njI+BbXROBSlQSgT4lM7d2dBkkqbnQVJHtTqJoZFbBXTPVEeu9BbEOVH8HqkfKimt5AvLvjJPTc2iRInOA221vf0FkS5Ud8+DLea3gLigZZypHd465R2bZ3KY6oxcATbF2WCRAjuCSvKGt06Jcld47lvrM4EaRAcLV6d1Q3kShJqVaMJ8qBGCQQLXVidXU+UR2sazbN5SpQfwQk2qtEWV/zknjubRIkTXAdbo3k2T4lyo759GG51Gq3+gZZypHd485R2bZ7KE6oxcATb12iCRAjuia/RGtg8JWkDjbfBxlpNkAbB4Tao1QQJtarVBHlQowWGhb0J2RPl0ZpW82yfEuVHcIaNarXFJT+559YmUeIE18HWap7tU6LcqG8fhludVqt/oKUc6R2+tUm7tk/limoMHMH2tZogEYJ7Qms1mVubJK2g8VbYWK0J0iC4XIJac460CjKRkWmuMyMlmVBDBYZHEnZjq9PriVJpTat5Wp+S9Ai+sFGptrjnJ/dc3SRKnOA32FLNe3WTKDvqG4hhVyfW6h9pKUe65Y1VVgFu5Jf20lu7mWrrG6uYeFe9xrO8sYppAoUzQSMbq5gQNQkiAp53Y5U2n688yI9B+87n/R5AFRNay1dvdq5eN3/9xvQj25Od/vpb0/c61Q993Zl+EEUxTA4+gSf7sFoXjzrf+m7/h5POjU1ZsJFKx7Any6D4zfRjo7+rlWDkN6hx82ufTD96Gtqj6Wc3dn19OTvUfbbefj39YPp+MH27A+K8OtX96jX4DZ/O/6XZd1ar0xCarzX4crU/zPz9V7PNX+h9YTM4Xz9V8DWI35++30nD/3eczQi7toExFwdyxL8JzcxEiBznp2hh9zYwJkbKVDwCYaLzrvWY6R4bYSvbwEwo7kYu+coFjgzhTW8D48JFxnDqNrDr67Nyz/VZbNTISE7S/mu7JXSkctcB6kd87MgQTN8HpuMiK4pu4doHxgWsiYDR6wSMuL8EtgL4hA8YGSTYCZLvIi02aGTcaHIbGBeqwDaw64u03P7ijI+YEvA4KyLK4H6Abm71FSUbt8w2sKxQqfET9tfunA8WGfnI28DgSi072Ase2Aot6mIH4ONMzj3VCXaC7twGltJ4Ygm23yERJEKoCmJzfIkrtSRNoPEmwCfQNhqHojQIZc4mUj1BJi23RwSZUIuzCB5J4dLXPVEqrbVHfPdqiRIkuEJSklTXIFncwpR77tUSJU7wHGz977tXS5Qc9RXEkKvrj9Q/0VKO9A5vDkudm8O8V1jYjIEj2L5UEyRC8E9Yqdbs5jBB7hrPfWONJkiD4GkJGq1u4FiQkIxUs/G4I8qDGiUwLLJC2Yj0RIm0JtN8u8Mk+RG8YKMqbXETU+65WkuUOMF3sFWab3eYJDfq64fhVifS6h9oKUd6h3eHpc7dYd7bK2zGwBFsX6QJEiG4J75Ia2J3mKANNN4GG4s1QRoEh9ugWBMk1KpYE+RBjRYIFjqx9iZ7ojxa02q+3WGS/AjOsFGttriLKfdcriVKnOA62FrNtztMkhv17cNwq9Nq9Q+0lCO9w0dgps7dYQXVGDiC7Ws1QSIE94TVao0cgSlIWeMpbyzNBGkQ/CtemnmOwBSk0qooE+RBDQsIFklm9W49UR6tiTLfEZiS/Aher1FRtriNKfdcryVKnOA02KLMdwSmJDfq24fhVifK6h9oKUfa/N9fz5TZfD07Zdf3x8MffPt737VYgqG6HKWxwneyutbxKk3XbjA3VoqSWmwIs4J9ng12dY15DItUS+/PdwV9aSTSIxvY2wbsN3tsxGu+zg15M1dXXhw9d5QV0cFRnmQO38YmoegknHOtVuTHgPzYhfyYj1zTkeOHXA3wEwB+4gJ+wgeOX+p8bwoESiBQugiUbAJrQ9A1BGjr5RxQn7tQn/NR4103cSDagL4A0Bcu0Bc80NViebXN+OMadi4iL/zEaXM0WlYEssN9ng0X/2JiY9C/V5tNv5qn6A87VVcFdiS/Dvs9YT9qVbKfbXB9E75xltVXf72MXuYbbERN/IogfjHZth2/4gPzQcOH3ESyEMJZqOBDZj5EIXxI4EMKHwrzIY7hg4YP8BNJFQCVKwByrdBGAIwPjoH6MVA/BurHQP0YqB8D9WOgfgzUj4H6MVA/BurHQP0YqB+7qB/zqWs6dZJXPAHmJ8D8BJifAPMTYH4CzE+A+QkwPwHmJ8D8BJifAPMTYH4CzE9czE/4zPFv+sYhOD4owQIlWKAEC5RggRIsUIIFSrBACRYowQIlWKAEC5RggRIsULosULItIB7D44NzoH0OtM+B9jnQPgfa50D7HGifA+1zoH0OtM+B9jnQPgfa5y7a53za+PjJEgHxwQWwvgDWF8D6AlhfAOsLYH0BrC+A9QWwvgDWF8D6AlhfAOsLF+sLHuunKppA/q98aqK5002qjzYWRkzEXhba+exwYJlKouvY6fU8G+9qeN3wcJP3q5MhPpnLgsURJ3bx8MH03ekv58eZPC0kHsz/7v9YfHV2/7CN920279WAKniiCReiJkFkwjtkw1utJcqdqcFFiNwbTegpuM/U4GJcjfEbnqlhRddjo2vlPA13E4ANGxky6KdpmBzZeZgGGy0yZhAP0yji5WEahfP0/3t81MjIQcrKsEvjiA8b6fjr0ygs1mM+Vk3Eil4dYL/9JbD1jIULGBkT2L2lLOwqxw46NmZklKCdoOH2Ey/ykTZ/gMbSR7zo8RFnfMSU6MZZDy4jl2zIMmdnuHCe83EiQxwxQYQVsQS1ntpxwALaoR6PijAvgsFY60ANYN/maJAE4STO0348Ggz6esbHmfV9p9/k6Njsoyv3S2g0sfxs+aGHFiVHtBF5XpQIYYYCmzz+h0kDH5g0EM5HnKeOT5+f8eDqrfmR4tOPzHd8WR11OPvzn6pDNX5s/vcT878fzb7d/N38OMSqhP3+9J3pu4HJOj+cvj39/fQ35uMfpx8edJLQ/FOf2Ax4W9SAGm/AjVM8QRqEkRJCKuh4Ii+IUhGZQ1NdbWNyR5QJdRYGwcOVWQqyaG0OLYq7mSsFleRH8KGkNKpmDq1Y3DRSeK6OESVOcBrsXMH5UE9luVHfPQy3mjk0xAMt5UjPiveTPEwnozCYxOEkUMO0MN9bFMFwPFZhmkz6oZq711YVnlXI3lpsSyfYAsevfYUnSITgnbAK79fVUdhfPdUcgD9WB1VDe+C164Oz4Wy094xEA7n2zvR35n+/n4u/e6eBjjrTt20GuS1qEI03yMaKTZAGwfk2otgEqYgotrALhbd1KndEqVDDBoaIjUVPlEVrki3Pu7lLsknyIzjFRiXb4r6RwnOFjChxgtdgSzbnQz2V5UZ99zDc6iRb/QMt5Ui3d4FM4hFh2sMuw+8YaG3EgokX2SjDaqj2RyyYvBWOdyMjFkyImgQRAc96aUxV1zRWf6qu+ZH5i88WVc2OeZ5P5o9gecdM5/YL0V+YPCs6MGL3cfxf4c/JX8QqPMg7jkmJQ7YdkH07ghx0znIwESK7dHiV55vlYGKkdLsQCJO8yO2b23tsiK0MdKRZVxc23Hf5uJERquGJDi5aZIiiTnRcX49SeK5HYaNGBiqSrl01d5wmqoi786Nf1yUsFzsy2NDHOpIwK7IkdQ93cBFrImL0QgEr7i+BrQA+4QNGBgm2+jduI7W6u1M+ZmTYoA13RFGu3dMdXKgC0x3X16O4/cUZHzEl3nEWhPEVaZ51s9yGu2TjlhnxUGlUpKFyD3pw0SIjH3nQA+5HsfuICx7YnW0DxM5Bj5RGE8uv/TaAIBFCxQubwrbQBhA0iMYbBJ842mgcitIgFPQIeZ+7DSBIpe02gCAVaikSQUTnynFMXk+Uyk70AiT5ETwjKWeq6wUs7tYoPLeliBInuA52NuDrBUhyo76AGG51vYD6B1rKkd7dAd3Y2TnIqLbA8WtftwkSIXgnrG7bwQFdQQNqvAE31nmCNAjOuhGdJ0hFROe5B3QFmVCjDIJHlGkVd621kp4ol9Z0XhR3Q6uOvSvLj+BJG9V5i+s5Cs99K6LECa6DrfPgoWY2bqey3KhvIIZbnc6rf6ClHOl2Zz4SGzuj3PwnlKPP6Gpt5oOJF9lKwwqv9mc+mLwVjncjMx9MiJoEEQGv0ql/mP4RrLp+mFr1BD6t5PCT+Y2CN09Yg5+qvqsTFd3Q5DxhnHah6vmu+firq5/N77iZlUcfVP99eEN3m9/42Dx4OLv76g140PBfwLD4wmvmPw/N8nhr9sfXu7Mn36l+12ezpQTo/sX8+k/hiuoOrKMvq595vRLuFe6rN+HHHpj19lND5/NuJwqSzvR/LAZdXn31u7YHdch+UMh+I0G0OodSmAiR3UW8FvUNpTAxUpp0CISF7ubKhrDHRigyk7IWinsvHJ6dnZzNg/H8tD84wC8MvwHuEPBDVD4IrYH5Lp8eMtA2PLrCRYuMtNTRlfx6dMV5gck9PmpkvG1CngOZvZ6HxhGfBjJ81k+xOLAD7L2bD8LF4pjPQhNZoNcRWHZ/CWwF8AkfMDLSoHMchPMpwfmUSOdzyqeGDFFNDsBwoQoMwOTXAzDO1/WMj5gSW1nrZpk5+j1OyabQzCxMvbdZPAAXg3M+A2R4Jc/H5PtLUCtgL3hgAe0o0xNdFP1AZ6oIVJHoIC8mWTDuh8VE5VoXah7KnHm6p1DBzdWd8zEFjSaWX/t9FkEihOogNt3/j5VMrpqQ+TFcplVlaF893Wn5g0n4f28+/mr6zvTDzrx78kfz8VfT/2GSyPc6p7fjqHNks8ttUbtovF0IubbNNKtNqINN+k02Qx2KGopQZSXkuu4GjSAVkQaNNWm/I8qDWhxGsIiKqJu6ujOCVFrrzuTd+XbF9cxZkh7B/TaR/S1zwMXVT4XnLi9R4gS3gU5c1hZt2M2slfxTWW7U9w/Dra45U/9ASznSlTjM0zweZqMsGCRZGKh0PAmKoRoESZGYby76/WQ8z5FaFYf2IZx8nv8RbIHj17Y4FCVC8E5Ycbg+PD395fS3RsT8Yfr7YPou/KdSNO9OP6wuW7WRvi1KWuNJ45WfjcahKA2Cg21Al4lSEdFlzgFpUSrU0IAgEqlu4hiQFqXSmjSLQqM97ZMzsgQJ7q9BcWY4zWL5/BMb8SNZ4gTfsYE4cz3VU1ly1FcQQ86vzjBPtJQj3e7ojLKxM3rLd69OptUquy2PzrDxIlt5WLnU9ugMm7fC8W5gdIYNUZMgIuBtY3Tm6ifmNz42/wMJ/dXWhmfmCxNwfWl7Sofsp4TsZhI0q2Nuho0Q2ZTES1H33AwbI6W3h0CYGD9pHXPtsRFubW4mD+HOyzCZta7hAjnP3AyfHjLKNjo3w0eLDLO0uRkDZzE3MzezDfU9PmpksG1CnAOZvZ6HxhGfBjJ28udmAPvNB+Gcm+Gz0EQW6HUElt1fAlsBfMIHjIw06AwH4XxKcD4l0vmc8qkhQ1RzczN8qI3PzVx7nRc9r+sZHzEltrLWzTJt9Huckk1Bdm7m2tssHoBzbobPABleiXMzsHaWoFbAXvDA7mxrRDnmZoyLotHE8mu/NSJIhFAbxOb6DbVGBElrPGl8Fm2jcShKg1DeJKSZ7taIIJW2WyOCVKh1WQQR3VWxqzMiyGQ3OiOSBAner4nka5mCxYs6uvO6xyNZ4gTXgc4b8E/1VJYc9Q3EkKvrjNQ/0VKOdCXOBqH5u6EaBlF/aL43TuIgL/IiSCaDJAyjSb9YpLatijPX3EpCtQWOX/viTJAIwT1hxZl1qPlGLX42u3v1mvnym/M53tlo7jvT92C6udJs0z9OP7AH19uiFtF4i+CVG9IonfL87OJb5xdnnVvfeunW+eG3bPQPRekT3HYjik+QiojiszqbO6I8qMEGwSKLu4myMemJMmlN7qVd+9XGd2XpEbxpo2IvWUgD9z2PssQJXmMDsdfNrGv2VJYb9fXDcKvTevUPtJQj3e4UjLaxM+pNedm570vHgaWoMtwUDBMvsjGHFV/tT8EweSsc70amYJgQNQkiAp7IFEwUTD83TqL6mJiPN68kEjhXZjEX8zF8YbaY4Pc/vLmIzO/twFVG3YPqQqOu7dEcsh8NsiFJUKjO0RcmQmRfES88faMvTIyU9hwCocqUa+cbG+IWZ180zL6ki/az8s++cOkhY2vDsy9ctMjgSp19UdezL85LEu/xUSNDbBOKHMjs9Tw0jvg0kBFzk9kXtXfzQXhmX7gsNJEFeh2BZfeXwFYAn/ABI0MNOq1BOJ8SnE+JdD6nfGrIGNXk7AsXqsDsi7qefXG+rmd8xJTgylo3y2TR73FKNgXp2Re1d/MBeGZfuAyQ4ZU8+6L2l6BWwF7wwAJa3BZi4ONMzT21CW567px90TSaWH7tt1cEiRAKgtgMv60zY0TtovF2IaTX2zkzRtRQhMIqIdl1t2MEqbTajhHkQa0HI1gUqugmrvEbQSqt9WOcZ8bI0iO43yayv2UOqBfle+dtnEeyxAluA5244M+MkeVGff8w3Or6MfUPtJQjvbuD0do5e5NSbYHj1744FCRC8E5YcdjQYLQgaY0njVd+NhqHojQIDrYRXSZIRUSXeQajBalQQwOCSBZBn81GpSdKpTVp5p2MliRIcH+NirN0Ecvdt2rKEif4jg3EmWcyWpIc9RXEkKtTZ/VPtJQj3e60jPWRGr3lv0wqXWW39WkZJl5kKw8rl9qflmHyVjjejUzLMCFqEkQEPJFpmadPY5E6O0Zj52NgPCZyTcYwHwOyXUkQpc7JGCZCZNcRrzV9kzFMjJTmHQJhYoXXY8Pb4lRMDlMxxaIxnfmnYrj0kDG04akYLlpkEKVOxWTXUzHOayTv8VEjQ2kT0hvI7PU8NI74NJCRcZOpmGzv5oPwTMVwWWgiC/Q6AsvuL4GtAD7hA0aGGXT+gnA+JTifEul8TvnUkPGpyakYLlSBqZjseirG+bqe8RFTAitr3SyTQr/HKdkUpKdisr2bD8AzFcNlgAyv5KmYbH8JagXsBQ/szjY+HImtScRzGk0sv/YbH4JECJU/bCbfUONDkLTGk8bnyDYah6I0CMVLQo7pbnwIUmm78SFIhVp1RRBR9p15PVEeu9H1kCRI8H1NpF7LBCxf1Mjd19nKEic4DnTWgH+qp7LkqO8fhlxd16P+iZZypHf3PJjUOZNSUG2B49e+NBMkQnBPWGmGO/pks/NgBC2i8RbB6zakUbDnwQjSJ7jtRvSeIBURvecaQBbkQQ02CBapq0EhSKM1rec5DEaSHsGVNqr0ioUucF9YKUuc4DI2UHruw2AkuVHfPQy3OqFX/0BLOdLm//76YDaA8Fc+IdfsmIu1iHgrj3wXP2lPxRMHliLNbo65WJfi82y8yN4cVoExx1yqvzJqZD7g8mvzlfcOYILi19P3Z38XuydduNQVjnoTky5ciJoEkQnvkA0P2ZojqDXXBAgXIbLDhhdhngkQLkZKowqB0KGvuOhEBkDWS5l2o97lw0ZGDfpgR5oUzsEONlpk2CAOdkThcrAjcl5yeI+PGhk8SJoTuzSO+LCRjr9+kAOL9ZiPVROxolcH2G9/CWwF8AkfMDImsOV4EncTq2Y75WNGRgnaHIbbT7zIR9r8GMbSR7zo8RFnfMSU6MZZD653rmRDbmbsAovznI8TGeKowxVmRSxBrYC94IEFtEM9HhWhyfoGY60DNRjnQT4aJEE4ifO0H48Gg76e8XEmfp4MmJv8uYYrIt+tQhaaWH6tV/AliRDKTtj88T9MsvjA5IJfmmzwY+upGosDRz6qBvKhcj37M/+ojYNOErrKxLdFDajxBtw4xROkQajCEVJBZ+FekopI4d5x8vAdUSbU8iGChyuzFGTRWuU+iruZKwWV5EfwoaQ0qqZ0H0XzSm/kuTtVlDjBabBzBedDPZXlRn33MNxqSveIB1rKka4UXjrJw3QyCoNJHE4CNUwL871FEQzHYxWmyaQfqrl7bVXhOWY0ophqCxy/9hWeIBGCd8IqvPXxWfhjtSUSOgRwtNyXVz+vNjx+3pm+ZyQayLV3pr8z//v9XPzdOw101Jm+bTPIbVGDaLxBNlZsgjQIzrcRxSZIRUSxuUdrJalQwwaGiI1FT5RFa5Itz7u5S7JJ8iM4xUYl2+JWvshzz6IocYLXYEs250M9leVGffcw3OokW/0DLeVIt3uYSG5jZ0RY4mGX6WyV3danLJh4kY0yrIbaypQFk7rCUW9kyoIJUZMgIuBBCnbQSW7ej1OVNs2jeqq0+ZH5i88Whc2OeaRP5ke6dGEs+dH06292br9gzV8O2WSR/TmC7HPObDARIrtxeDXnm9lgYqR0tRAIi9i4SRvCHhthK3MbSdRV1g7KXT5uZCBqeHCDixYZiaiDG8n14IbzXr57fNTIeESSr2vj6nmR5N3QuqyP+NCR8YQ+vKHzPINZX9cEBxewJgJGLxMw4v4S2ArgEz5gZIRgS3xwGlbMp3zMyJhBm+AodN7VrgkOLlKBCY7keoLD6SzO+IgpsY6zHoyj0EZxWzdTlmzYMlMceZ6EadqdH8C9AvacDxYZ9MijHMn+EtQK2Ase2J0t9OfOUQ5Fo4nl136hX5DIqiDwPR9kktpCoV/QIBpvEHxeaKNxKEqDULIjZHzuQr8glbYL/YJUqMVGBJHIaO2osHLpiXLZiXK/JD+CayTlS3XlfrWoDntu+BQlTvAd7FzAV+6X5EZ9AzHc6sr99Q+0lCO9uzO4uXNCQ1NtgePXvnATJELwTljhtoMzuIIG1HgDbiz0BGkQnHUjQk+Q</t>
  </si>
  <si>
    <t>iojQc8/gCjKhRhkMjySPuk6dJ8ilNZ0Xxd3QWgu6K8uP4Ekb1XmLC98izw1+osQJroOt8+ChZjZup7LcqG8ghludzqt/oKUc6fkhGvBMWzxEo7CxNAou9bDUnnIoDixFmd0c77D6l+fZeFddx3bGO6x3xYDmWrtN5Ivpw/p5D6YtFM4Wjcx7MCFqEkQEPLH7Y5aP89GN62S+aR7p2jSJ/SKZG/fFdOGo4vnISVV2NV82oMwn8WLs5FerV8n4bo7hPgBkh5EgVJ0zKEyEyH4iRX+6Z1CYGCl9OQRC180xXHgiAyhrsdd2c0yUHZgP+fzyhqi6qs15cwybHjKi0udUtErdcypctMiQSp1TSa/nVJw34t3jo0YG1ib0OJDZ63loHPFpIGNi/cyKAzvA3rv5IFwsjvksNJEFeh2BZfeXwFYAn/ABI8MMOqlBOJ8SnE+JdD6nfGrI+ESbd8kjz4klXKQC8y7p9byL82094yOmxFXWsllmin6HU7IpNDP7Uu9sFg/AxeCczwAZXckDMen+EtQK2Ase2Cr/i7UamJQ86A91Eqh+XAT9UZwERRYPxpkeDGM1mPFx5uOewgQ3J3cOxGQ0mlh+7fdVBIkQqoHYtH6bfZXOc8/3jqzv6G1RM2q8GQnp9vpWCsuB5k9Z0eTmHxib/GH6KzjjHZLgt6f/zfwVHPr+buf0dhJ2jl62GedQ1Dir+sRjHEIq7O7ZCFIR6tlYt43dEWVCrRgjeGhlo9ETpdFmuya2xtO7svwIDrqJ9HCZJGaL6r7nilFR4gSvgc5s1kays26ubdxOZblRXz4MN+8DPcU80FKO9Oxym8Fw3J8kRaCVGgYqyydBPw11oKJBPooG/VGi529zq/LRNZbju+jHagscv/bloyARgnfCyscm5qmNkvz94opC+J7/y/zhg869U9+QtaCVNN5KeHVoo3EoSoPgkRvRcYJURHScZ8hakAo1liCIOC8qlOTRmpIrwm5sFdx3ZfkRfGWjSm5xq13kuadQlDjBb7CVnPOhnspyo759GG51Sq7+gZZypNs9T8V+PLMRZ4WHXqbzVXpbn7hh4kU2BrHaajcmbpi2UDhbNDJxw4SoSRAR8J6hiZt/MxIdyrc/nUvzTWdumI8A2QwlCFTnzA0TIbKnidedvpkbJkZKbxCBUIX2+8d6bIDbm7qJwwPzIVo0vgv/1A2XHjKsNjx1w0WLDKvUqZvieurGeVHfPT5qZHBtQowDmb2eh8YRnwYyLm4ydVPs3XwQnqkbLgtNZIFeR2DZ/SWwFcAnfMDIQIPOaBDOpwTnUyKdzymfGjJCNTh1w0UqMHVTXE/dON/WMz5iSmRlLZtlmuh3OCWbgvTUTbF38wF4pm64DJDRlTx1U+wvQa2AveCB3dm2SRS6xm7ikMYTS7D1vokkEUItEJvbb6lvImkljbcSPqW20TgUpUGofxLSUmffRJJKy30TSSqrgdhDBZvmpsYtWpn0RJnsQudElB/BWzaRrC1StjicF9pj54WRR7LECZ4DnWegH+qpLDfq+4fhVtM5QTzQUo707o5QGzHnGIKJfTcpWY2BI9i+mBMkQnBPWDG3qzPUkmbUeDPi1R5uhhrstWhe1A9V/9Yo46eGquOOY6Za0liEyNCIphSkIqIpnTPVkkyoIQ3BI0scY8c9USatSUrPWLUoP4LPblRSLq4vjD33UYoSJzgOtqSEu+ut1aFTWW7U9w/DrU5S1j/QUo50y8M4ropf7KVXrNLb9jAOFy+yX4jVeDsxjMO1hcLZoolhHC5ETYKIgCc2jLPp9E2nqvN+Nls/8M//i/kdn5rf+0UHvvhl9Z2vVwK3Anb1JozkPDCL7Kfm937e9HE53AeG7KgS9KxrdIeLENkYpchU5+gOFyOlwYhAmKTdyDG7w0W4xdmdBGZ31Lx9Hsfe2R02PWQUbnZ2h40WGYWJsztxvJzdiZ3XPt7jo0bG4ia0O5DZ63loHPFpIMPoBrM7BvvNB+Ge3WGz0EQW6HUElt1fAlsBfMIHjIw06AQI4XxKcD4l0vmc8qkhQ1RzsztspM3P7iydzouet/WMj5gSWlnLZplV+h1OyaYgPLuzdDaLB+Ce3WEzQEZX6uyOWTtLUCtgL3hgd7fdEzlndxIaTyzB9ts9gkQIpUNsKWBn2z2CZtR4MxJSdFS7p5kjcySNQ6jSEtJhd3tHkErL7R1BJtTyMoJHqruR/RaAniiVnejvSPIjOOkmcsRlppgs2gHOG0qPZIkTPAc6vSEcmyPKjfoCYrjV9XfqH2gpR3qH578j58iQohoDR7B9DSlIhOCesBpyW/PfglbSeCvhJaKNxqEoDYJLbkTMCVIREXOe+W9BKtRggiCiu8o5rCPIpDUx55v/luRH8JaNirnFTZax52pSUeIEz8EWc775b0lu1PcPw61OzNU/0FKOdMvDOi55pn300nCV3taHdZh4kQ1CrLrajWEdpi0UzhaNDOswIWoSRAQ8mWGd/1ENwPx5+sg6qvN00faZGNRhPixk+5QgZp2DOkyEyC4oXqP6BnWYGCndRAzCJLP70B4b4RYHdVIY1MkWvXLtH9Th0kNG4IYHdbhokRGYOqijrwd1nBd53uOjRsbhJnQ7kNnreWgc8WkgQ+gmgzp67+aD8AzqcFloIgv0OgLL7i+BrQA+4QNGRhp08oNwPiU4nxLpfE751JAhqsFBHS5SgUEdfT2o43xbz/iIKaGVtWyWGaXf4ZRsCtKDOnrv5gPwDOpwGSCjK3lQR+8vQa2AveCB3d0mS+wc1ElpPLEE22+yCBIhlA2xZYBtNVkEraTxVsJn3zYah6I0CKVSQl7qbrIIUmm7ySJIhVrkRRCJw26qbEx6okx2oskiyY/gLZtI1pYpW7qoyXtuJBYlTvAc6DwD/VBPZblR3z8Mt7omS/0DLeVI7/DUdeycmPHdumU1Bo5g+2JOkAjBPWHF3M5OXQuaUePNuLHaE6RB8NmNqD1BKiJqzz0fLciEGmwQPGKVdVMrlZ4oldbUnm8+WpIfwZ02qvYWt1DGnmtFRYkTPAdb7Tkf6qksN+oLiOFWp/bqH2gpR7rlkZrERs/oN99dW1kardLb+kgNEy+ylYeVX7sxUsO0hcLZopGRGiZETYKIgPf/0JGahi+u4j4uZKuTIGedQzVMhMiOJUWluodqmBgpnT8EwjjJuonVjD02xC1O1RQHR3kSLhrbuX+qhksPGYQbnqrhokUGYepUTX49VeO8pfMeHzUyFDch3YHMXs9D44hPAxlFN5mqyfduPgjPVA2XhSayQK8jsOz+EtgK4BM+YGSoQec/COdTgvMpkc7nlE8NGaManKrhIhWYqsmvp2qcb+sZHzEltrKWzTKp9Duckk1Beqom37v5ADxTNVwGyOhKnqrJ95egVsBe8MDubiMmcU7VFDSeWILtN2IEiRAqh9hKwM42YgTNqPFmJGTo65Zcv9rg1zdN25lb5o/mfx9Wdxu8Y7PGoag1CFVZQgLs7ucIUmm5nyPIhFpORvBQcdaNMmtdsifKZScaOpL8CG65iaxwmRsWi/q/52pjUeIE14FOaNbKQOb9s1aBTmW5Ud9ADLe6hk79Ay3lSO/wLHbiGt9JQqoxcARbV42SRAjuCasatzSLLWkljbcSXhTaaByK0iC45CbUnCQVETXnnsWWpEINJggiie7qwjGeI0mlNTXnGcYW5Udwl02quWRxQWbiufFUlDjBdbDVnGcYW5Qb9QXEcKtRc4gHWsqRbnk8R9noGX3mvX0rjVfpbXs8h4sX2RPEyqudGM/h2kLhbNHEeA4XoiZBRMCTGc95/6nH+agTBdPPjSMJQFE/6iTw36tfzAZ4eOM7tUfa2Ix+yDY6svNJUKWuIRsuQmQDEy82PUM2XIyURiACYVGk3dg6W9ljQ9zekE0Sw5BNMu9zJ5F3yIZNDxlKmx2yYaNFhlLikE0SLYdsEuftm/f4qJEBtQkBDmT2eh4aR3wayFi4wZCNwX7zQbiHbNgsNJEFeh2BZfeXwFYAn/ABI0MNOotBOJ8SnE+JdD6nfGrIGNXckA0bafNDNkun86LnbT3jI6bEVtayWaaGfodTsikID9ksnc3iAbiHbNgMkNGVOmRj1s4S1ArYCx7Y3W2XKNeQzXycGs0TS7D9dokgEUL9D5vPb6tdImgljbcSPo220TgUpUGoeRISU3e7RJBK2+0SQSrUai2CSKSKrkqsXHqiXHaiXyLJj+Avm0jXlklbvCivey4HFiVO8B3oTAP9UE9luVHfQAy3un5J/QMt5Ujv8My0ck6/JFRj4Ai2L+cEiRDcE1bO7erMtKQZNd6MG+s9QRoEn92I3hOkIqL3nMPOkkyowQbDIyuSbmxvS/dEybSm9zzTzqL8CA61Ub23uA0y8VzvKUqc4DvYes9zfI0oN+oriOFWp/fqH2gpR7rl+Rhto2cUnPLSS1bpbX0+hokX2c7DCrDdmI9h2kLhbNHIfAwToiZBRMB7Vudj6s6nsZn9kG12ZNuSIEydEzJMhMjuI0VvuidkmBgpXTwMwihLuplr0JqJcYsjMhpGZNJFl1r5R2S49JDRtOERGS5aZDSljsio6xEZ552X9/iokTG1CQ0OZPZ6HhpHfBrIcLjJiIzau/kgPCMyXBaayAK9jsCy+0tgK4BP+ICRsQadyCCcTwnOp0Q6n1M+NWSQanBEhotUYERGXY/ION/WMz5iSnBlLZtlduh3OCWbgvSIjNq7+QA8IzJcBsjoSh6RUftLUCtgL3hgd7enop0jMprGE0uw/Z6KIBFCCRCb0u9sT0XQjBpvRkKqLXkOjaQ1COVVQgbsbs0IUmm5NSPIhFoXRvCIoyju5qE1zvREyexEa0aSH8EvN5EWLpNDvajke67/FSVO8B3ojIZwEI0oN+oriOFW15qpf6ClHOkdnqzWzlGclGoMHMH2ZaMgEYJ7wsrGbU1WC1pJ462EV4U2GoeiNAguuRE5J0hFRM55JqsFqVCDCYJIlKXdMM1sXHqiXFqTc77Jakl+BH/ZqJxb3CKZeK4FFSVO8B1sOeebrJbkRn0DMdzq5Fz9Ay3lSJv/++t/ekrHOPXa98fDH3z7e9+1GIIl11xKzXchltb5Kk/XyI0bLUWEXU/dWOE+z4a7usw8xkVKrX+fPqpmahZTG08PaMzLbI4RnKfHbsw32IgaSZV9s8dmu+Yq3XQ385TzJnp+cJSrCD4o+JCZDzqEDwl8SOED3PeSwnkUKXTc09zlR7mMFZ0xvpsBNI+B5jHQPAaax0DzGGgeA81joHkMNI+B5jHQPHbRPObT1HSa+JaHYXkCLE+A5QmwPAGWJ8DyBFieAMsTYHkCLE+A5YmL5QmfJf5t5ceEeQs2PyiBbQlsS2BbAtsS2JbAtgS2JbAtgW3pYluy2a514GrY0pbtOVA8B4rnQPEcKJ4DxXOgeA4Uz4HiOVA8B4rnLornfIr42Ebs0hmGF8DwAhheAMMLYHgBDC+A4QUwvACGF8DwAhheuBhe8Bg+lcxDWPwrX1RvcpA2dnbtfLdk6PVbLluZo409UZ2JFznzgw3p71UjkU+mX0Asr+7Zs01f3pyhvf7uxdTt07F9/k0fd+L5rOTVWzYL3GZbYDXsSU7PMiFqEkQmvEM2POTkD6Eo45wyZSJEDvDgay2+KVMmRsogDAKhFV2PjU5kvnS9gmU36l0+bGTwoM+NqlS550a5aJHRgzo3en1/YeK5v5CNGhlDSHkSdmkc8WEjHX99soPFeszHqolY0asD7Le/BLaef3ABI2MCu9gWpXE3LGygT/mgkWGCNufpdhQv8pEKzHle3zfodhJnfMSU8MZZEK6XrmRDbmauE4vznI8TGeOIeSGsiCWo9SyPA7bSsrnWSTgZBeForAMVF3EwGGZhkE/y8WCU5uNhX8/4OBPA7/SbbcPH8F8bTZMGFjSaWH62VNFDi5Iu2og8L0qE0FXC5pHvPp0Rflxtzvxq+iQw/3lk/vbreSv+kfnCYizz/Nt/93c//Mdv/31/3oM/u3WvU4RhMvvT6dnJC53Di7OTTmx9+26LGkjjDYTP4e788Af/6/gfO6f/+L3vjH8w/rvvzxlHaSfoTH9XDWwuhzFvJNifTr80f1eV0h9Ov+oYK34JNXWYcH1QbUb8pNvpmPwcRmJfu3ptVoT/s/nDbIfl55Cxf139umVF/pvw/b+zWvZQ1LKEvh4h/XTPBAhSEZoJSGxM7ogyoTYkMTxsLHqiLFobBojiKO1q13SnJEOC4yYlb3XjAItb6RLPNYOixAlug52hqEJ3C+u6PZUlR339MOTq5gHqn2gpR7rSlekkD9PJKAwmcTgJ1DAtgnxUFMFwPFZhmkz6oZp72FZ1pWNmQIVUW+D4ta4rJYkQ3BNWVzYx3XnvNPAMckoaROMNgteRNhqHojQI3rcJ0SZJRUi0uQY5JalQwwaGiI1FT5RFa6otz7u5o1khyo/gFJvUbGpx95zyXCYoSpzgNdiazflQT2W5Ud89DLcayYZ4oKUc6TYPS4udIsx/SYNaZbftGQ8uXmR/DquhtjjjwbWAwlmgiRkPLkRNgsiEd8iGh+znEfSaa8aDixDZvMPLMM+MBxcjpQmGQOjSV0x0W57xYMNGBo9mZzzYaJHRgzjjoa6vz1Oe6/PYqJExhCQ5sUvjiA8b6fibnPFgY9VErOjVAfbbXwJbAXzCB4yMCWw17pvxYINGhonmZjzYSJuf8VDX1925ncQZHzElvHEWhHvGgwu57RkPNk5kjKPOeCi4xM7uGC54YHe2Fu8c9VcxjSaWX/u1eEEihLITNo9soRYvaBCNN8jGOZsgDUJVjZDbuWvxglTarsULUqHWAzFEbCx6oix2ohYvyY/gFEmJUV0tfnGvmfJcVCdKnOA12OrfV4uX5EZ99zDc6mrx9Q+0lCO9u2O57sp9QrUFjl/7kk2QCME7YSVb+2O5kgbSeANtLOEEaRCccSMSTpCKkIRLbEzuiDKhRhEMDxuLniiL1hScdwZWlCHBSzaq4RZ3lSnP5XOixAlug63hfDOwouSorx+GXJ2Iq3+ipRzpdgcqrA7VyDLlZadX2W19oIKJF9kMw6qqbQ5UMC2gcBZoZKCCCVGTIDLhHbLhIZtnBMXmHKhgIkR2yvBCzDdQwcRI6TghELokFhPdtgcquLCRwaPhgQouWmT0oA5UXF+2pjyXrbFRI2MISXNil8YRHzbS8Tc6UMHFqolY0asD7Le/BLYC+IQPGBkT2HLcO1DBBY0MEw0OVHCRCgxUXF+O5nYSZ3zElPDGWRCegQom5NYHKrg4kTGOPFABV57ZHcMFD+zOVucT50CFptHE8mu/Oi9IhFB3wuaRW6jOCxpI4w20cQ4nSINQZiPkeu7qvCCVlqvzgkyo5UEMDxuLniiLHanOSzIkeElSplRXnV9cV6U894+JEie4DXY64K3OS5Kjvn4YcnXV+fonWsqR3t2pWOetFiql2gLHr30RJ0iE4J6wIq6FqVhBg2i8QTYWbYI0CN63EdEmSEVItDmnYgWpUMMGhoiNRU+URWuqzTcVK8mP4BQb1WyLO6mU55IxUeIEr8HWbL6pWElu1HcPw61OstU/0FKOdLsDFcrGzoiwzMsuXWW39YEKJl5kMwyrobY5UMG0gMJZoJGBCiZETYLIhHfIhodsnhH0mnOggokQ2SnDyzDfQAUTI6XjhEDo0ldMdNseqODCRgaPhgcquGiR0YM6UJFdD1RknoEKLmpkDCFJTuzSOOLDRjr+RgcquFg1ESt6dYD99pfAVgCf8AEjYwJbjXsHKrigkWGiwYEKLlKBgYrseqDC6STO+Igp4Y2zIDwDFUzIrQ9UcHEiYxx5oCLbX4JaAXvBA7uztXjlHKjwXbZioYnl134tXpAIoeyEzSNbqMULGkTjDbJxziZIg1BVI+R27lq8IJXVyO6hgk8CPbV4QSrUeiCGiI1FT5TFTtTiJfkRnCIpMaqrxeeL0q3zKrkjWeIEr8FW/75avCQ36ruH4VZXi69/oKUc6d2dgVXO8YmCagscv/YlmyARgnfCSrYtzMAKGkjjDbSxhBOkQXDGjUg4QSpCEi6xMbkjyoQaRTA8bCx6oixaU3D+GVhJhgQv2aiGW9zppTy3tIkSJ7gNtobzzsBKkqO+fhhydSKu/omWcqTbHajQNna3ch162WWr7LY9UMHFi2yGYVXVFgcquBZQOAs0MVDBhahJEBHw4Ezvg07SufqFMfWD6Z+nj7qd6YdG7X79zc7tFyLzh/dXH8ufpx/Bs/nSyOPqCVYKefoQvunqZ3C179VbB52q+Pnl1b+ap15dJ/zISOc/w+XB1TfDpcAP4XnDMoCC6adVufRBVSl9eNCZ/3NfVw//yfwH5z/0cWf6WaXF4ReYf27xzz6ZfjJ9cnPRPPjm7CbiT+FLT5VkzT/7sPrj7JdWP/dkdjnxAgVwuPqpIfgG/AT812Ayn8HfwlXGwM6gmv2+56Zfm68+6gAoIHX1ZvWPPpo+Xtx2/I2ubR0cstcBsktJkMauyRUuQmRLEq94PZMrXIyU1h4CYZIXuX0sr8eG2Mr4SpLl3djak77LB44M1s0OsLDRIqM1cYBFh8sBFu28M+0eHzUyZpM0/tp7pzKVxbqbWVf2ER88MtzSx1iiPMxznXVTxzALG7EmIkavFLDi/hLYCuATPmBkmGCnQr5hFjZoZOSgDbOkReocZmEjbX6YZekwXvQ4jDM+YkrE4yyINInyIuqm1qJHycYtM9ESZ1ES52lXWdfFOR8tMvRR51rM4liCWgF7wQO7s00S7Zpr0f4LZtZoYvm13iSRJEIo/2HT+fabJJIG0ngD4VNpG41DURqEaichE3Q2SSSptNskkWRCrdIieERRWnS1NUHviXLZjVaJKEOCrySlUTWtEh3NC+vaeavekSxxgvNg5we+VokoOepLiCFX0ypBPNFSjvTujihr17zL3KERbIHj176UEyRCcE9YKSc/oixpEI03yMbSTZAGwfs2It0EqQhJN9eIsiQVathAENG56mZWYdMTpdKadPPMKYvyI3jGRoXb4uI17blJT5Q4wXWwhZtnTlmUG/UFxHCr0231D7SUI93uiIvVDxkllnjZ5avstj7iwsSLbJdhhdQ2R1yYFlA4CzQy4sKEqEkQEfD8Iy7x+oTLnR/+4H8d/2Pn9B+/953xD8Z/9/156TJKO+ZB/s7qFg/ZdJEtOoIIdE5yMBEi+3F4beeb5GBipPS1EAiLOLKXDntshNsf5OACR4akhgc5uGiRMYk6yJFcD3I472q7x0eNjEwkIbu2OFSuo7yrcxv2Iz52ZEyhz3GoOFO5EQGuMQ4uYE0EjF4nYMT9JbAVwCd8wMgYwVb73jEOLmhk2GhwjIOLVGCMI7ke43C6izM+Ykq4Yy0IVSRJ4mg5lWzcMmMcqYriWDny1XM+WGTcI09xJPtLUCtgL3hgd7b0nzqnOBSNJpZf+6V/QSKrmsD3fJAZawulf0GDaLxB8NmhjcahKA1C/Y6Q9blL/4JU2i79C1KhVh4RRKIk70aFlUtPlMtO1P4l+RFcIyllqqv9q0Wp2Hlz35EscYLvYGcDvtq/JDfqG4jhVlf7r3+gpRzp3R2/TZ0zG5pqCxy/9oWbIBGCd8IKty2M3woaSOMNtLGQE6RBcMaNCDlBKkJCzprl3hFlQo0iCB5xlnYTa3msJ0qlNRnnn76VZEhwlY0KucXVbtpzWZ8ocYLvYAs57/StJDnqO4ghV6fk6p9oKUe63SmOzMbOaLPUy65YZbf1KQ4mXmSvDCuttjnFwbSAwlmgkSkOJkRNgsiEd8iGh+yoEWSbc+qCiRDZPsOrMd/UBRMjpQ2FQGhF12Oja2Xiwn3zCxs2Mng0PG/BRYuMHtR5i/R63sJ5lds9PmpkDCFpTuzSOOLDRjp++qiF++YXNlZNxIpeHWC//SWwFcAnfMDImMCW4y4bn/IhI4NEgzMWXKQCMxbp9YyF00Wc8RFTgluTy6FkQ5YZr3Df+8LGiYxw5MmKdH8JagXsBQ/szhboM+dkRUajieXXfoFekAih6oTNIrdQoBc0kMYbaOMMTpAGochGyPTcBXpBKi0X6AWZUIuDGB42Fj1RFjtSm5dkSPCSpDzJW8kFTotKrvM2vyNZ4gS3wU4GvLV5SXLU1w9DzvtETzFPtJQjvbvjsZlzysJ/K47FFjh+7Ys4QSIE94QVcS2MxwoaROMNsrFoE6RB8L6NiDZBKkKizTkeK0iFGjYwRGwseqIsWlNtvsFYSX4Ep9ioZlvc9aY9l/eJEid4DbZm8w3GSnKjvnsYbnWSrf6BlnKk2x2nsO6HNSKs8LHLwlV2Wx+nYOJFtsKwGmqb4xRMCyicBRoZp2BC1CSICHg1974k/3nxi/DFL8yFgGxSEpSxc3CFiRDZk8QLXt/gChMjpbeHQBhnsd0r99gIWxle8R4XwgWODNYNj69w0SKjNXV8pbgeX3FenHePjxoZs0kSf+21C+MiC7vz3U/rap6LHRlt6TMsUZwmYeiQ6Md8wJoIGL1OwIj7S2ArgE/4gJExgp0HeY8L4YJGho0GR1m4SAVGWYrrURanuzjjI6aEO86CUCqKQ0c7o2TDlhlnifJC6chxqNA5Hywy7JFnWor9JagVsBc8sDvbDsldMy3ze7zQNLH8Wm+HSBIhVP6wqbx8O0TSIBpvEHzabKNxKEqDUNgkJH3OdogklZbbIZJUqCVZBBFlpKt1HKcnymQXWiKi/AiOkZQv1bRE0nBeQU+d9/gdyRIneA52KuBpiYhyo75/GG41LRHEAy3lSO/uKHLummJJvXfd2GyB49e+bBMkQvBOWNnW/iiypIE03kB4GWc/4vsvx9//9v/y3U6Uhx0VdiLdCTpGyz6Y69+qm3GjH/Kpkb9vdao6/8PpV9Dq+BJ6AdBGeFC1Lz5xFP8l7UXw+o3oRUEqQnrRKrLuiDKhhisEj9x1y25PlElrctE79yzKkOCSGxWMi/vjUs+NgKLECa6DLRh9c8+i5KivIIZcnWKsf6KlHOl2h2isFUqjAWMvu2iV3baHaLh4kQ05rITb4hAN1wIKZ4Emhmi4EDUJIgJezRCNNivtP8doRMdouEsB2SIlKGTXGA0XIbIfihe+njEaLkZKXxGBME4T+9lWPTbCrY/RsIEjw3WzYzRstMh4TRyjSePlGE3qvJzvHh81MmqTVP6quYsi07obWtf1ER86MtxypmjiRKfOKRo2YE0EjF4mYMT9JbAVwCd8wMgQwc6EfFM0bNDIqNHcFA0bafNTNEtv8aLHW5zxEVOiHWdBwHVXJkWxlqdKNmypKZpEJ9o5RcMGi4x61CkaszSWoFbAXvDA7mw7pnBO0SQ0mlh+7bdjBIkQan/YXH4L7RhBA2m8gfB5tLUbo8NYNdCB6cClrV/Cj1y9Nstm/2z+MEuhP4cU+uvq1321yDS/6bvkVdKyhOorIS11N24EqbTcuBFkQq0aI3hkxkNbXXRPlMmONG4kGRKcNymlq2vcJIsyv/OqxyNZ4gTXwU5XvI0bSXLUVxBDrq5xU/9ESznSuzuhXThHfRTVFjh+7WtLQSIE94TVli1MaAsaROMNgteSNhqHojQI3rcR4SZIRUi4OSe0BalQwwaCSFJ0tbZS6YlSaU26+Ua0JfkRPGOjwm1x+1/quc5RlDjBdbCFm29EW5Ib9QXEcKvTbfUPtJQj3e7ATWR9pkaKaS+9eJXe1idumHiRvTusktrmxA3TAgpngUYmbpgQNQkiAp5RsH+c/mH6RzDuf5n+u5GxIGj/MP3V9L9PfzubZ/l0+rCytu35wU9V39WJim4Yd+MwTrswqnNgPsTwIVKWkR1rfbIIo9Rfn+w2WnpkPgJkG5OgTJ2TLkyEyJ4lXnD6Jl2YGCm9PwTCRKdpt7DascfGKDLrshZxey8cnp2dnM1jbnlx9JzRSOmB+ZB9Azwe4IfgexBa4+9dPj1kPG14IoaLFhlPqRMx+noixnnR4T0+amRUbUKFA5m9nofGEZ8GMjTWT8c4sAPsvZsPwsXimM9CE1mg1xFYdn8JbAXwCR8wMtagUxmE8ynB+ZRI53PKp4YMUg0O1nCRCgzW6OvBGufbesZHTAmurGWzzA/9DqdkU2hmyKbe2SwegIvBOZ8BMrqSJ2/0/hLUCtgLHtid7Y5EoXP0JqXxxBJsvz0iSIRQBMQm9S20RwQNovEGwSfQ1znsrdtBaF2vh6KsCCVPQk7q7pYIUmm7WyJIhVqsRRCB+dAwsR6u3RPl0lq7pAi7sZXfXVl+BE/ZRKK2TNfSRXXded3mkSxxgu9A5xhrxaPQfU+rKDnqK4ghV9cvqX+ipRzpSsmF8SjJJ1EUDAZhZL43z4K+zlUwiKKoCMM8TZLJq1tQcq5Bl4xqDBzB9pWcIBGCf8IqOfoQdSXeZgX12edVx+B9o/HeM+ruw+kfp293zIc/Gcn3zqwt8OH0T504icIgVIXRfElYRIZoHEbqYFnwtxnztqgxNd6YeBV4w57u7sZzsNHXSGQjj7+x1uo48HYrBC1CiAKNKEhBKkIKMrExuSPKhBq9EDyiMDOhOLO+cz1RMq0pSJfUuCtLj+CgGxWQi3sgU8/NnqLECa6DLSDjKO4mLgEpSY76CmLI1QnI+idaypFueeDGVdzz3oKVJav0tj5ww8SLbA1iFd02B26YFlA4CzQycMOEqEkQEfCkBm6e9QumYLanRkOnYaiNhP6sMs/DRZUZjrR5c11NCw4OMZfSaqwUHBxiIkT2ZPHK2Tc4xMRI6W0iEMZF1I1dc0NMiFucGyoOjvIsXLTuc//cEJceUhY0PDfERYuUBdS5ofx6bsh5o+c9PmqkOGgimwAyez0PjSM+DWSE32RuKN+7+SA8c0NcFprIAr2OwLL7S2ArgE/4gJGhBp2SIZxPCc6nRDqfUz41ZIxqcG6Ii1Rgbii/nhtyvq1nfMSU2MpaNss01+9wSjYF6bmhfO/mA/DMDXEZIKMreW4o31+CWgF7wQO7u92myDk3VNB4Ygm2320SJEIoZmJrEzvebRI0psYbE19DsDaYSNmxv9ckaA9CwZiQCLt7TYJUWu41CTKhFroRPPKsmzivUxCksgudJkl6BOfcRG64zBCLRV/CeZ3qkSxxguNApzVru8jivFsoG7lTWXLUFxBDrq7TVP9ESznSOzx0HrlGlbKQagwcwdbFoyQRgn/Cikf5oXNJg2i8QfACEDV0LsmK4I2bkHGSVIRknGvoXJIKNYwgiKikm7puUZWk0pqO88yci/IjOMomhVy2uHQz89yiKkqc4DrYQs43cy5KjvoGYsjVCDnEEy3lSJv/++uZmlOv+qXa98fDH3z7e9+1WIKh1JSNppFovru/dOo+Jh2NlaK+FtNDVrDPs8GurjGPYZEK63dQeJvduPT0VMZ8AuXqzU41D/QVzEZUWuyLq58Y+fW5jZYRU9E3e2xua27RTW4zrzjrl2cx9MvhsI0MOud5Ah80fMjgA/xdEcEH+EIBXyjgC4X5QhGaLxRRAh8UfNDwIYUPufkQh/Ahhg/w1QT+TsMfNfxRw/dp+LsUvi+FL6TwBTj4o0jhC5m9c3bEN62imxbfIQF7HoM9j8Gex2DPY7DnMdjzGOx5DPY8Bnsegz2PwZ7HYM9jsOcx2PMY7HkM9jwGex6DPY/Bnsdgz2Ow5zHY8xjseQz2PAZ7HoM9j8Gex2DPY7DnMdjzGOx5DPY8dtnzmG9PTbcnvl9jzHkC5jwBc56AOU/AnCdgzhMw5wmY8wTMeQLmPAFznoA5T8CcJ2DOEzDnCZjzBMx5AuY8AXOegDlPwJwnYM4TMOcJmPMEzHkC5jwBc56AOU/AnCdgzhMw5wmY88RlzhO+OfFujR85Z41qY9YSzFqCWUswawlmLcGsJZi1BLOWYNYSzFqCWUswawlmLcGsJZi1BLOWYNYSzFqCWUswawlmLcGsJZi1BLOWYNYSzFqCWUswawlmLcGsJZi1dJm1ZJt1rSFaY1baG38OtjwHW56DLc/Bludgy3Ow5TnY8hxseQ62PAdbnoMtz8GW52DLc7DlOdjyHGx5DrY8B1uegy3PwZbnYMtzsOU52PIcbHkOtjwHW56DLc/Bludgy3Ow5TnY8txly3O+LfGShtidNaa8AFNegCkvwJQXYMoLMOUFmPICTHkBprwAU16AKS/AlBdgygsw5QWY8gJMeQGmvABTXoApL8CUF2DKCzDlBZjyAkx5Aaa8AFNegCkvwJQXYMoLMOUFmPICTHnhMuUFz5TV6/7qUiT+lU81NjdyrlxN4Sz2cnB36nFQWYqx62hhP89Gixwo40rG6adVOe616/srb0z3zkfJH00/60zfNn8BA8RfV0PEs26lS0syya5KHcHBci5ETYLIhHfIhreapcsNK3MRIgfB8DU7z7AyFyNloAqB0Iqux0YnMqeM75OyYSNjBH3+OEp04RxAZsNFxgniAHJ2fZVn5rnKk40aGS9IWTh2bRzxYSM9f32Gi8V6zMeqiVjRqwPst78Etp6icQEjgwK/bBsnUbcobKhP+aiRgYI2MexxFS/yoTY/Mpxd3+HpdhNnfMSUCMdZEq7XrmRDbmZEGIvznI8TGeaIqSasiCWo9XyOAxbQTkaTfBj28yDWWRyoMM2Dot8vgnFW5JNRMckHk8mMjzPV+06/yVkOZwplEr6ERhLLzpYUekhREkMbkedFiRD6k9ic8f2rH1U9hUewH/RxNY4KO0wfVQMcP/sbG8fbohw1nuPGeZggDUJHlZCvQcvncbV5GPYLv26j9YIoLZHBDKtLuCPKg9oTRrBwJYKCLFobyIhCl7C6K0uQ4PFIWU/dRMbibsTMc9ulKHGC/+BLe+dTPZUlR337MOTqJjLqn2gpR7qSY/FQZXqYwPDtJDXfOxkFeT7IgzQZKvOdwyzX8/e5RTlm1ZxGjimqJXDs2pdjgkQIzgktx2bngsCWrLWS/NXPXXJMkKPGc9xYjgnSILhTghxzls8FmcgosG6obVTuiFKhhgEEEZcIE2TRmgjLk7wbWgtxd2UJEvxcoyJscdFh5rm5UpQ4wWuwRZj7qZ7KkqO+fRhydSKs/omWcqQrETZKs36uhnkwSmLzvVGUBHms+8Ek05NJPxqMo0G7+5tAhCU2SxgRpqmWwLFrX4QJEiE4J6wIe7c6h+wL2B3vUlyChDSe0MaKS5AGwXcSFBeuACZIS0Z+2XjcEeVB9f4IFi7tJciiNe3lmZiQpEdwbo0qL72I0557C0WJE7wHW3nFKnGXvyTJUd89DLk65VX/REs50u2dYaycBa3Uwy0zenSF25YHSploV/3FszFQyiSrcGQbGShlQtQkiAh4kXl7DzpJ5+oXs8cyfdSFU5YeTb/+Zuf2C0Vn+is4UheeTXVo7pPp5+Y5VL3d6wfxqHP2veHfTb733YMOCN2r17ude9/++2/3D2bH84LAqs6EejvS8/OLrx87HAMFp0JVv/0hNIw7t//228P+//K9ztHYuKq///bQ4Il057b57O86cVaEB3DO8GzJfLw43Pfrquv8Y4Psy6ufP/0D9/4iScPQ/N7HB7MVNz8deX7usv9Hlz959QZYYPrl7LsXYL9aHt/8eScqrt6MFfxzoV78EJzo/Jn53PyDTx/QbH7r1ZvXv/onlS1e71zfGgJ2uz7I+P3pL6tznFwHADBXEnLMiyClncVLJkLkSBdBFXtmf5kYKZNRCISJI9z02ABbGf/Ns8Ix0XeXDxwZ05seAObCRcZ16gBwej0A7Lxt7B4fNTK+k3KBtUUdhoXu2s8JO+JDR0Zr+hCwSlWWdXPXIDAXrybiRa8SsOH+EtgK4BM+YGSEYKdLURTH7kFgLmpk1KANAsdhkne1axCYC1VgEDi9HgR2uoszPmJKuOMsiSRXYdqNrSu5ZMOWGQZOiyxKu5lrIJiLFRn2yAPB6f4S1ArYCx7YHW1+xM6B4IxGEsuu/eaHIBFCfRCb8yOaH4KENJ4QPmm20TgUpUEoXxIyNlzzQ5BWq80PQR7UAiyChScVFCSyC/0PSXoE/0bKebzVcuC0qJZ77nAUJU5wIGxB7+1/SJKjvn4Yct4neop5oqUc6V0d/42d3RL/3RMWS+DYtS++BIkQnBNWfPHGfwU5ajzHjfWYIA2COyXoMWcFXZCJjARzj/8KUqGGAQSRRHcLq57siTJpTYZ5R4AlCRJ8XaNCLF+Ebc9FeKLECZ6DLcS8I8CS5KhvIIZcnRCrf6KlHOk2B1FcQ72Fl5te5bblQRQmWmSjCquLWhpEYZJVOLKNDKIwIWoSRAQ8oSuziy5yhOVw+L3J977beeF7wx9+v3OLObpy6+/73x51nqtwmF/4D3/7ve9+o7VBEOaTRLb5mpCxTITIlh5JnjoHQZgYKZ0xBEIVOqt/TIAigyBrsdl2X3UewjHbcMJ2Hs/vjc2q64icl1azOSLDL2tmJHf0qr/Fh4sMwdSZkeJ6ZsR57dM9PmpkKG5CtgOZvZ6HxhGfBjLI1s+POLAD7L2bD8LF4pjPQhNZoNcRWHZ/CWwF8AkfMDLcoHMfhAsqwQWV4IJKpAs65fNDBivG/Imy3mDzIh+qwPxJcT1/4nxnz/iIKVGWtXiWWaXf7ZRsCs3MotS7nMUDcDE45zNABlnyhEqxvwS1AvaCBxbQ4s5TAT7OHN5TxODl8a4JlfnIIZokll3rTRJJIoTCIbYYwDqyTpKjxnPEJ9g2GoeiNAilTkJ2iRpakaQl0zGx8bgjymM1mHp4bJ62ShJprVsSRWE3tz6pu7IECU6vibRrkXzli1vncs89gqLECS4EnTHgn+qpLDnqC4ghV9MtQTzRUo70ro6tJK6xlfmyIFgCx659RSZIhOCc0IqMM7YiyVHjOW6syARpENwpQZG56v2STGREmHNsRZIKNQwgiKi4GzvGViSZtCbEch13w9RG8K4sQYKva1SIRYuwHXmEmCRxgudgCzH3Uz2VJUd9AzHk6oRY/RMt5Ujv6uatxDXkksdUS+DYtS/EBIkQnBNWiNVv3pIkpPGENlZdgjQIvpOgunB1MEFaMhLMxuOOKA+q90ew8NTBBIm0Jr/cm7dE6RH8W6PiK16EaufdWkeyxAkOhC2+Ep11U2uH+VSWHPX1w5CrE1/1T7SUI23+768PZrKjtVuRlY2jkVWJh6NO3acU4KBS5NLTs8NW3/k8Gy1yYAmriVizw+bPj6CG1Zm+bQTVY5gZreZLv5p+ctCZ/rpqN3559fOrt+AHbfRvs+krHP0mpom5EDUJIhPeIRsecmaJIN6cJTMmQuTUEUGHuUdkuRgpwzsIhFZ0PTY6kflYgnDiwkZGDfrIa55kzlPS2GiRgYM48Zony4nX3Hkb0z0+amQAIYlO7NI44sNGOv76CVcs1mM+Vk3Eil4dYL/9JbAVwCd8wMiYwNbjUZyHXWU18ykfNTJO0KZT3Z7iRT7S5odTl17iRY+XOOMjpsQ3zopw35LMhdzMMCoW5zkfJzLIUUdOzYpYgloBe8EDO1MSA5MEDuJgrNQwUKPMpIH9eBIMRzqdhMN0OEnarqsr58ipopHEsmu/ri5IZDX8+54OMof84/ThjTOolwnjk+kXfzPfbfo72A0IM6jVMMQ/VykmbFz83GaB26IW0HgLbJyjCdIg1NGayOUEmcjU3u1e4o4oE2r5D8HDlRkKsmit9B5FqXInkZIMCV6QlAjVVd8XV7zlnkv7RIkTvAZf7bsf66ksO+r7h2FXV36vf6SlHOk2j+zQNm5GdWkPtyxLV7ltuezORIusmmAl09bK7kz6Cke/kbI7E6ImQWTCO2TDQ5ZYmpBqTITIcgpFgrnL7kyMlLIEAqFLXDHRbbvszoWNjBoNl925aJGBg1p219dld+ctcPf4qJEBhKQ2sUvjiA8b6fgbLbtzsWoiVvTqAPvtL4Gtl925gJExgS/EvWV3LmpknGiw7M5FKlB219dld6eXOOMjpsQ3zorwlN2ZkFsvu3NxIoMcueyu95eg1svuHLA7WnbXzrJ7SiOJZdd+2V2QCKHghM0hJcrughbQeAtsnKMJ0iAU0JrI5QSZtFx2F2RCLfsheLgyQ0EWO1J2l2RI8IKkRKiu7J4uarTOe+SOZIkTvAZf7XvL7pLsqO8fhl1d2b3+kZZypNssu6c2bkZ1ZV5u2Sq3LZfdmWiRVROsZNpa2Z1JX+HoN1J2Z0LUJIhMeIdseMgSSxNSjYkQWU6hSDB32Z2JkVKWQCB0iSsmum2X3bmwkVGj4bI7Fy0ycFDL7tl12d15+dg9PmpkACGpTezSOOLDRjr+RsvuXKyaiBW9OsB++0tg62V3LmBkTOALcW/ZnYsaGScaLLtzkQqU3bPrsrvTS5zxEVPiG2dFeMruTMitl925OJFBjlx2z/aXoNbL7hywO1p2T51ld/81UGsksezaL7sLEiEUnLA5pETZXdACGm+BjXM0QRqEAloTuZwgk9U47mFCyflcZXdBJtSyH4KHKzMUZLEjZXdJhgQvSEqE6srui9sMc8/9lKLECV6Dr/a9ZXdJdtT3D8Ouruxe/0hLOdJtlt2t0tKorsLLLV/ltuWyOxMtsmqClUxbK7sz6Ssc/UbK7kyImgQRAQ9O7jzoJJ2rX8we1PRRtzP9EB7BNzu3X4ALI9+9egMuqDT/76P5JZBzCfz+Uw/vERxy/d70l9PfTj/oJOHVm7m+ejMJF/dCwr2R5nd/evUGXCT5sLq98oH5y0edLIQbL39i/sGvqtMAP66OyF5cTDlT01c/74QHSnfObt3rRGGULy44Md8NSGwWPmRbGFklakJtMhEiK0IUFenuHDAxUiorCITWZmiPja6VzoGnHHiXjxwZ+xpuHnDRIsMftXlwfTlk7rkcko0aGQZJmnnV3Fmax47VccRHjoxg9P6BDuPY3ULgwtVEuOg1AibcXwJbbyFwASODAz+p8LYQuKiRAYPWQohirbva1UPgQhXoIVxf5+h2Fmd8xJRIx1kSHkdRslHLtBEynSTuTgIXKjLikTsJcFWj3UFc8MDuaCchc3USipBGEsuu9U6CJBFCDQ2bFgt0EiQtoPEWwKedNhqHojQINcEGcjtJJu12EiSZUCuZCB6pfXC2J8pjN3oJogwJfpCUF9X0EorFXX+F5/ZGUeIEv8GX/b5egig76huIYVfTS0A80lKOdJu9BOtNBEZ3+W9EKla5bbeXwEWLLKJgRdO2eglc+gpHv4leAheiJkFEwPP3EtKd6yUUYZSieglcCyPLRU3oTSZCZGmIoiOdvQQuRkqFBYNQq8IudntsiNtvKLCRIwNgsw0FNlpkDCQ2FIpo2VAonFcZ3uOjRsZCknBeWx1Fnqg066bKBv6IDx4Zyeg9hSguUl2k3czRVmAj1kTE6JUCVtxfAltrK7ABI+MEP7/wtRXYqJGxo8G2Ahtq822Fpct40eMyzviIKUGPtSS87qJkA5fpLESFUnmhHVdbn/PRIqMftblgVscS1FpzgQV2R5sLubO5ENNIYtm131wQJEIoqmHzZInmgqAFNN4C+Dx0+n8aI5i0rwNJo0kSIekE5o7s6VCUIaF+2EQeKMik5b6DIBNq1RPDIwtVN3SllYJcdqT3IMmQ4CZJKVRd72Fxw2rhuTNXlDjBd/BzA2/vQZId9S3EsKvrPdQ/0lKOdJu9B+tgi5FliY9bHq5y23LvgYkWWW/Baqqt9R6Y9BWOfiO9ByZETYKIgOfvPUQ71Xw4gMXxcPpFtSbeACwds6QeVr/Q/Fjn5ThMgiiMEpvND9k2R1aZmlChTITIihJFXbq7EUyMlMIMAmGsrDbssfHtQCuCixwZDxtuRXDRIkMitRVxfQ1w4bkGmI0aGRpJOnrV3ElY5Drt5laLH/GxI+MavRMRh7HWLhV8zAesiYDR6wSMuL8Ett6I4AJGhgh+suFtRHBRI8NGk40ILlSBRsT1jcBuh3HGR0yJd5wl4XUWJRu3TB8iCZM8iZx7HNhgkZGP3IaAu4HtTuKCB3ZH2xCOgQ6T7yoaSSy79tsQgkRWNYHv6SBTZok2hKAFNN4C+JTURuNQlAahXthElifIpOVegyATapUTwSNOU3vFrCfKZEc6DZIMCZ6QlCHVdRoWl8kWnvuBRYkTPAdf/Hs7DZLsqO8ghl1dp6H+kZZypNvsNETWJ2qkl/aRM7nKCrkttxqYaJH1FKxu2lqrgUlf4eg30mpgQtQkiAh407eNvP3D9I9g/P8y/ffpO9MPph+av/jV9L9Pf9upHs+nRv4arTsXwA87Vb/hI/jS1c/gp6rv6kRFN4y7cRin3Wd8fwTz0SDLTU1oVSZCZGmJokHdHQkmRkqFBoMwi4yfdO2iZWIU6UqsheDeC4dnZydn8yBcXhw9Z2RT+g1wkgAdAvFBaI3Fd/nMkLGV2bWwZizf4qNFRldq1+L6FuXCc4syGzUyyjahyYHMXs9D44hPAxkt6xsYDuwAe+/mg3CxOOaz0EQW6HUElt1fAlvvanABI8MMOrFB+J0S6XdO+ayQoanJrgcXqkDX4/pCZvebesZHTImprCWzzBP9zqZkU2imAVLvaBYPwMXgnM8AGVnJXRG4utnuZC54YHe0KxKFzrZISmOJpdd+W0SQCKEYiE3vJdoighbQeAvg02cbjUNRGoTiZhOppiCTltsigkyoJVkMjzw32iVzZa6CZFrsjOSJe+5OkiHBGTaRhS1zscV9v4XnCmdR4gTngU4gCI/1VJYd9TXEsKvrjNQ/0lKOdKudEZf6yrzk9Cq5LXdGmGiRNRusdNpaZ4RJX+HoN9IZYULUJIgIeEKdkWd090YHFpf53We37pk/Rl3bwztkPzxkUasJQctEiCxQUYSqu3fCxEip8yAQundzMPFtsW+SL+qXmb9vwmWGjLwN9024aJGxl9o3ub4Gu/Bcg81GjYzBTSh2ILPX89A44tNAxtJN+ibZ3s0H4embcFloIgv0OgLL7i+BrfdNuICRIQad9iD8Ton0O6d8Vsiw1GTfhAtVoG9yfaO2+0094yOmxFPWkllmkX5nU7IpSPdNsr2bD8DTN+EyQEZWct8E7t62O5kLHthd7Zs4KqImc/decbnOEkuv/b6JIBFCqRCb/Ev0TQQtoPEWwCfXNhqHojQIpc8m0kxBJqsx38OEko66+iaCTKgFWwQP33YSQSY70jSRZEjwhE2kYMtEbHFbc+G5gFuUOMFzoLMHwmM9lWVHfQcx7OqaJvWPtJQj3WrTxOqKjPQqvOR27dYMJlpkwQarm7bWNGHSVzj6jTRNmBA1CSICnlDTZOeu7o7CKF7ZTeJqiTAfDbJe1YRWZSJE1p4oGtTdEmFipJRwEAgTG7oeG93WGiJFGC4Kk4W/IcJlhoyqDTdEuGiRcZXaELm+2rvwXO3NRo2Mr02ocSCz1/PQOOLTQMbJTRoixd7NB+FpiHBZaCIL9DoCy+4vga03RLiAkQEGndIg/E6J9DunfFbIoNRkQ4QLVaAhcn09uPtNPeMjpkRT1pJZZoh+Z1OyKUg3RIq9mw/A0xDhMkBGVnJDBK4QtzuZCx7YXW2IxI6GSDEXn2iWWHptN0REiRDKgNjEvvmGiKgFNN4C+MTZRuNQlAahrLl5kinKpNWGiCiT1QDrYYJOWbv2pFWUx060Q2QZEvxgEwnYPA0znGa18/knNuJHssQJfgOdOxAe66ksO+obiGHnb4dgHmkpR9r8318fzILaX/lkWKNtEatLMgIs8pDU6bb2kmgb2ufZaJFlG6x6YrVFjHL6rDP99fTd6Xud6cedqGO+H/TW5+YT8wNVW+RxdfEY/O+R+fh49tdPrn5cdUzegrr7+7BZ4OOrN67erPYOQNUcfsB5uNJtts0UzmYN9FLYEDUJIgKeUC8l7lYtkxvLZFV1z9fHu9PfGxB/mv5bUKnu12bNjnlPzfyWKIo73/pu/4eTifmdfzC/0fyuxUKa906qds1Pzfd/XC2+6veaJfTAfAPsMgGsPzI/+KATxQd63qT5arYLxbKwzGePO+avXqt2ozysOjTwV7BWLelB9SXzz5pfAR9fMxaqAFSYb6xn6AXNjBN5qVS//icVoIoOvBufwScfVf/40nReinOGX1T/7MMbZn6/+pEvK1BfmFdRA7XH9tYSe6UiK39NqH4mQmQVj6LmXa0lNkZKMQyDMMyzbmStv/TYGLfYYIoPzIcEPij4oOFDCh8y+JDDh8J8iEL4EMGHeFYaNmR9LSm+LZCKht6SilQcu65k4cNFihpaT8rAWfSk5na2ob7HR40UN02kREBmr+ehccSngdQb/J4UYL/5IJw9KT4LTWSBXkdg2f0lsNWeFB8wMjKh80qEqyrBVZXgqkpwVSW4qhJcVQmuqgRXVYKrKsFVleCqSqSrOuXbARn/aF2sOEoSh5t6kQ+18S7WtYt60fNun/ERUwI3a5EtE3u/eyrZFGS7WNeuafEAnF0sPgNkMCZ2sWDtLEGtdrF4YKvsM8knYTLIgzBWOlCZSoP+JBkEhRoVKsnScJAMZnyc5RNPHYlZQnF2sWIaSyy99rtYgkQI1VtsHeY/IFW9esMkxiZvfAIfPp4lc5CG/g3Ei+RA79mPUbktSlbjyeKrEzYah6I0CIVnfOp69dOr121UXhClItKxirupjckdUSbUejmGRx6n3XR+ncR6KixIprW2VdgtrM/qriw9gtdrIkFbpmnxosHhvnteljjBdaBzC+wzPZWlRn0BMdTqGlb1z7OUI10psqI/6Wf90TCI01AFajDJgzyKkyCJCxWrVOk8m2uVNhVZbDOFUWQJ1RQ4eu0rMkEiBN9EVmRL9RVrG7HbosQ0ntjG6kuQBsGFNqK+BKmIqC+o2awTuSNKhOr7MTRylcfd2DUzJEimRfEV5zZ6d2XpERxco+IrWQRr54XKR7LECZ5jA/Flf6anstSoLyCGWp34qn+epRzpWTksHQ5Vf1AEOgnTQKlBGAzCeBRkybAfq9FQ6XTwauviy+qyjPhSVFPg6LUvvgSJEHwTVnz9afopDEvAhER1xCjsnl2duKh02dOTJ4shcPj7NNyLrTH1tqgpNN4UG8s1QRoEp9uIXBOkIiLXQmexTJAJNVwgeKQ67iaRsnHpiXJpTa7pbuaa75akR3CJjco1tQjv7tuTZYkTPAdbrrme6aksNer7h6FWJ9fqn2cpR3q2By8e6klf54Ga6H6gsqQf9KNUB4XKingwGvVHo7lh2pRrVpdl5JqmmgJHr325JkiE4Juwcu0DI8AeGsnmF2yeeW+2lhO0k8bbaWMtJ0iD4JEb0XKCVES0XGzP/e6IMqHGEgwPHYZdnVhflJ4omdbEXNZNYhu9u7L0CA6zUTGnF8HffQGvLHGC62CLOdczPZWlRn0BMdTqxFz98yzlSFdiLs3743iQRME4G8SBiuB787wI4nQ0UjrLJ8VoPpHZppjTNlMYMZdSTYGj176YEyRC8E1YMff+Uxv1fr44QeGr6YNKzj0wqu3Lq7eu/vXqX+D8hNlX49wItL3wIA1nf06mj22WuC1qCY23xMZyTZAGwefi5Vq1s/OTbsf+XF4QJSQi2hynjd4RZUKNGRgeSai6qb371BMl05poS1wH2d6V5UfwjI2qtnQR5d3XdMoSJ3gQtmpzPtRTWW7UVxDDrU621T/QUo50JdtGY6XyKAyDfphMAhVPBsGgCJNg0o9GYa70OFH9V1uXbdYWiJFtGdUUOHrtyzZBIgTnxJNttfU0I9dUWE22OcWaIH+N57+xWBOkQXC1DYo1QUIiYs0x2npHlAk1UmB4mIy6G4YusSZIpjWxlubdyNUvleRH8IeNirVsEdvddzXKEid4ELZYcz7UU1lu1FcQw61OrNU/0FKO9Kxh2i9G8TCNgjyuvjfRwSAq8mBcZGE0Gowyrcavti7WrG0BI9Z896TYy40oeu2LNUEiBOeEFmvVUUCvw0E+71YHBL1x9ePO9N9Wj/2ZV9+gtXP1ZhTPPna1QxrcFrWCxlthY8kmSIPgcAmSzXmEkSATEa3mPrhUkAk1UGB4RIXuFmFhI9MTJdOaVgsdx3HclaVH8IaNSrV8EdndN7nJEid4DrZUi1KdOh7rqSw76juIYVcn1uofaSlHelZZG2RZav6NoJ+NR4EaT8ZBPxqHQaSG4SgZ9EeTaPJq62LNmmHeWngzgilw9NoXa4JECO4JK9beg7MiZ2LtN0a1vXn1+tUbcAXc1WvVwY1fGZ0GMk1X14TZGN8WZazxjDcWZoI0CO6VIMzqammChIT02XxCZF2gCVKhBgcMkUhFXW3l0hPl0po+U93UmnXflaVHcICN6rNiEczdt3zJEic4ELY+cz3TU1lq1PcPQ61OnNU/z1KO9EycRaMoGukiGOhJEajBMAzyQhlJNwyjNAzjwUTNfWyb4syaUt4qIt8R+3ZToOi1Ls4kiRB8E1acvV1dufrw6kdBdST2o+lXlRhL9+wXQNwW5afx/DaVYpI0CJ4UL8XcWwYkqQiJsMTG5I4oE2oMwPBQsPNdObYMSJJpTYTF3VzZ6N2VpUdwdE2KsGhxGUzkud9HlDjBdbBFmOuZnspSo76AGGo1IgzxPEs50rMtAwOdjPM4DcbDdByoPnxvmobBKJmMtB6PBslo/i63KcLs/WyjwoiH9GL5ta/CBIkQnBNWhT11JUxn+nu4U2j6CG5ame8eqM6yvXpz+tXVW1dvda7+Ga5TuXr96uezL0Njs+OunUmaQuNNsbFgE6RB8LqNCDZBKi0LNkEm1HiB4eEXbIJkWhNs7q6mKD2CT2xUsEWLAO+5h0SUOMF1sAVbEjuvYxTlRn0DMdzqFFv9Ay3lSM9Ot80mE10Mh0G/6CfwvYn5Xiix5VGoIp2O8/5cyrSq2KxzJUaxxVRb4Pi1r9gEiRC8U0OKDa6m+7NTr2mfXBO0g8bbYWO5JkiD4HMbkWuCVFqWa4JMqMECw8Mv1wTJ7IJck6RHcIiNyrXF2fWR5y4CUeIE18GWa3HWzV1yTZIb9Q3EcKuTa/UPtJQjDbdnP6VTQIW1d4u2spE1eizxks1WybZyi3Zsn0p+no121X9seIv276cPjJj6qDodo7rZt7rV9/GUdrf27ObsDpyIBpdAwTlqcDXwk/lNv8lB3KluOIZ/48urf61k2VsduFq5+u1fXv3c/LtwrNqD2a3bHfhB+E3Tjzvwe2cQHsPVxNUZbZ/bbHqbbVOFs2kTt2xzIWoSRCa8Qza8Vecud7UyF+Gq3JO8WpmLcTWMbHi1shVdj41O5FJlgirjwkbGIsb9x3HkvP6YjRYZjYjXH0fJ8vrjyHl+/j0+amRUIila7NI44sNGOv76646xWI/5WDURK3p1gP32l8BWAJ/wASNjAlvsu2x8yoeMDBK0+4fdbuJFPtKcgBSzCE6vXcSLHhdxxkdMCW5NLoeSDbmZ64axOM/5OJER7gcktwB221+CWgF7wQP7T/908L+1lSVqG26TJSoP7iyPnEbGYW06S2SiRcbj/zmzRKZNkWKhkSyRCVGTIDLhHbLhIRVBE1kiEyFSADSTJTIxUgIpAmHsANhjA9x2osiFjQxHDSeKXLTIgERNFNV1oui8ueMeHzUyMEklilzYSN9PTxRjBe+fO1vkAtZEwOglAkbcXwJbzxa5gJGxQSJb5EJGBgtitpgbSejKFrlIBbJFdZ0tOv3EGR8xJcg1uRxKNmSZbDFJE7d/OOeDRcY6csqo9peg1lNGDtg2U8bUhtukjNqHu9i1xiITLTIy/8+ZMjJtqnA2bSRlZELUJIgIeNO3p3+c/mH6R5i4+y/Tf5++M/1g+qH5i19N//v0t53qGX4K12wtT/Z92KluZ4CD416/+hn8VPVdnajohnE3DuO0a6N8yKaMlBpNpKFMhEhl0UwaysRIidAIhLrI4D4BG8YeG+O2M1EubGSUazgT5aJFxjlqJqqvM1HntUP3+KiR8U4qE+XCRoaU+kzUMV8GL9veTcO7jH/MZ6GJLNDrBiy7vwS2np5yASNjhkR6yoWMDCINpqdcpALpqb5OT53O44yPmBL8mlwOJRtyM+lpvdNYGNxl9HM+A2RUJOesen8Jaj1n5YCdD8fOXXW7w7HWkX2Tw6YeHjotnEbHYeXlsMqZwzLRImM6Nof9HTVb/WD67vSX831Ij6afdcxPfgFbk8z3PDLZDvzoF3AOY2f6qcl5Hi5+m0lu34TfVZ2sbbPIbbZFkHKhkQyUCVGTIDLhHbLhISN/E9kiEyEy0DeTLTIxUgImAqGrY8lEt+08kQsbGUkYeWIWK3eiyIWLDCbURDG9ThSdF53d46NGBhWpRJELG+n56xNFLNZjPlZNxIpeHWC//SWw9XSQCxgZFNjpYJREnoyQixoZKIgZodtVvMiHKpASptcpodNNnPERUyIcZ0l4UkIm5GZSQizOcz5OZJgjJ37p/hLUeuLHAQtoJ0nR10WcB0kUTYIoGo+DoghVMIrSNOoPw8GgmEcUZ0L4nX7Dh1hk9kTLpIUZjSWWni119LCipI82Is+LElkVAL7Hg8wsn7pF6UYmWPUqq2svTaII51pA6li1NH8z/dX0/c73/yLWcIBFp/zeD787ev57/X8cdcof/sP4H1/49nfHNsvcFrWMxltm4/RNkMZqNPfQaCLNE2Qic6iFjccdUR7UDfUIFq6UUZDFLpxlIUmP4BhJ2ZGjyrw8y2JxVWLkuftSlDjBYQilAJLsqC8fhp33kZ5iHmkpR7rVITPHFUmR77aoLI9XyW25QM9Ei6ylYGXULhXomRZROIs0UqBnQtQkiAh4cMDgQSfpXP1i9uymj7qd6YfmgXz9zc7tF6Lc/On9lYf5+dOP0ojj+eP7wCyB94LquZhn2KkuvHpsBPOPzHfA8XCwJr64+pF5fq/D+J8Rzv+v03udF86Mnr56Y/oRTJ7B+XEPOveOOmGqs+//bRfuNf1dZP7zRwPtM/Pb4ADgn8GvghnCh9Xk4eedJNRwpWkShgcA5UsYJoSvP6jgfeKaWGM+AWS5qQlxykSILC0RRKenB8HESKnQYBAmXW0D2GMD3HYbggsbGS+bbkNw4SJDJrUNkV+3IZy3Qt7jo0aGTpLQxq6NIz5sZHyjtyHiJM5ci+OYj1cT8aJXCNhwfwlsvRXBBYyMDUJ5CBc1Ml7QWhGxzl130L7IhyrQisivWxFOV3HGR0wJdKwlkaW5drcjmLBl2hGJKiLXzPM5Hysy5JFbEvn+EtR6S4IDdldbErmzJVHQWGLptd+SECRCqLxhc+k2WxKCltF4y+ATVhuNQ1EahApjE1mfIJNWWxKCPKhVUQwLdwYpSGQXuhKS9Ai+kZQs1XUlFtfORp5rhEWJE3yGUDYgyY76/mHY1XUl6h9pKUe61a5EYSN3q4hDH7lCrZLbbleCixZZWsEqqR3qSnAtonAWaaIrwYWoSRAR8CQ2rnduvxCHXXjCD67eMM//UzilwDzc1wLzqx/CvYKwHD6Y6evO9JfV7/+wk8BayKvrBa/eTOGDDkFjH3TObt3rFGGY2Gx5yLYlsobUgNLkIkTWiwgK0t1f4GKklF0wCLOiW2gbxB4bokiHYS2K9l44PDs7OZvH0fLi6LmjIo6+AYsaoFfbA0NrOL3LZ4YMj6wmRNItrAHyW3y4yAhJbELE4bIJETsv3r3HR42MlE3oaiCz1/PQOOLTQIa3+qaEAzvA3rv5INyb6NksNJEFeh2BZfeXwNZaFWzAyDCDTk4QjqdEOp5TPitkaGqwlcGG2nwrY+lwXvS8qWd8xJSYyloyi1yvxtmUbArNtDXqHc3iAbg33rMZIEMrtdlh1s4S1FqzgwV2V5sdhavZEUc0llh6rTc7JIkQCnrYFL3FZoekZTTeMvg82EbjUJQGoXDZRAoqyKTNZockD2qxFcPCl84KUtmBdocoPYJ3bCItWyZni+vCY8/976LECV4DnVGsPtM0T9ztDlF21DcQw66m3YF4pKUc6TbbHXbRaeRY7CWXrpLbcruDiRZZxMFqqV1qdzAtonAWaaTdwYSoSRAR8ITaHVm3c+vvB+PvdzvTt69+VG27MA93+uU3YV/FA/OQXzNP8/XqF67t6bj6hXnwT6p187javvFFtT/jMSwb8/FRBfX88M7FvVtn8Ol/7cBXlr/TLC3DqZOG4fTtFJZXEQbTD4NIm+/7CtaQWWT/YvB8PjtW+snVj2HnxtXPO9MPO5EOkrxzetY76tz7iyQLw/86W8tfw/YP879/XiK++ZO/hZ+Mi8VPpvCDhu4nS06n9+7BbzwIO9PH//XG+wFo3zdfi6qv2VbLIXu1ICttTahpJkJk1Yygkj0NHSZGSvEJgVDlWTez9hF6bIhbbOgki7pq7G/ocJkhBUDTDR0uXKQGoDZ04uuGjvOi93t81Egt0ETmAGT2eh4aR3wayAC+SUMn3rv5IDwNHS4LTWSBXkdg2f0lsPWGDhcwMsyg0y+E4ymRjueUzwoZmpps6HChCjR04uuGjvNNPeMjpsRU1pJZZrN+Z1OyKUg3dOK9mw/A09DhMkCGVnJDJ95fglpv6HDA7mhDJw6dDZ2ExhJLr/2GjiARQskSW4Ros6EjaBmNtww+07fROBSlQSjNNpGCCjJptaEjyINaTkaw8KazglR2oaEjSY/gHZtIy5bJWbKo/ieeBE2SOMFroDOKtVcvDSPHbodTWXbUNxDDrq6hU/9ISznScA3GwUy1tHb9ReySZcpDUmfhKsmWGjvWgPY8G+2q59h6Y+fX5i/e60w/7kQd82Mgwj6fHcsEtzrC0UrViUpfzY9mulFbfwvOgHrfZp/bbPsonH0aafMwIWoSRCa8QzY8ZMGnCVHHRIgs3hDEmqevwMRIqYEgEFrR9djoRFoKBG3FhY2MK4x+QZIVzlOo2HCRoYXaL1DX/QLnvdz3+KiRIYYkTLFr44gPG+n56/sDWKzHfKyaiBW9OsB++0tg610ALmBkUGBr9jjM0q5ObKhP+aiRgYJW5fe4ihf5UAWq/Oq6yu90E2d8xJQIx1kS7sswuJCbqepjcZ7zcSLDHLl2r/aXoNZr9xywleJO8kmYDPIgjJUOVKbSoD9JBkGhRoVKsjQcJIMZH2d66MmTmSmis3avaSyx9Nqv3QsSIVSnsHnmf1y9cfWjqzemX0OS+AQ+fFxNXUG++PhvIJ1MDvReZH1qt0XJajzZjTMyQRqEwho+c7v6qX0K8wVRKjL1eG0jckeUCLUciKDhygMFWbRYi7fvHbkrS4/g7UgpT10tXi8Kt87Lq49kiRNcBlvXu57pqSw16puHoVZXiK9/nqUc6UqJFf1JP+uPhkGchipQg0ke5FGcBElcqFilSufZXKO0qcSsxT+jxFKqKXD02ldigkQIvomsxJaqK7a+obdFiWk8sY1VlyANggttRHUJUhFRXYmrqi5IhOr7ETRcqkuQRYuqK7aeRX1Xlh7BszWqutJFlHbeD3skS5zgMjZQXfZneipLjfrmYajVqa7651nKka5UVzYoUh0m40DneWG+N8+DQTZJzR/DYb/fT9O4P361ddVlLaUb1eW9X81mChy99lWXIBGCb0KrrupuqS+qm6U+nk1SfAr6a/qZ+evZHswvpo86Vz+tRlk/PuiYn4B9mh9M35m+N3230mrTDxPrU70tagyNN8bGSk2QBsHt4pWaeWaf2Ki8IEpFRKmF3UTbqNwRpUKNGBgiNhY9URataTXtupHlriw/gkNsVKwtbgyNPZfAihIneA22WHM+1FNZbtR3D8OtTq3VP9BSjvSsW5kOh6o/KAKdhGmg1CAMBmE8CrJk2I/VaKh0Oni1dbWmbKYwas13G5C9XIii175aEyRCcE5YtfYnOMR7+qjaTPQ6iDM4BuKpyVW4HnQmyZ463GJxfgT8fRruzZfxulYTNIXGm2JjrSZIg+B18VrNU1UTpCKl1WxM7ogyoYYLDA8bi54oi/akWjd1KTVJegRn2KhSyxeB3XnX4ZEscYLP4Cs1xzM9laVGffMw1OqEWv3zLOVIV0JtlBTpMFFJoMLxMFBJOA4GqY6C4SQf5/0onMSZerV1oaZtpjBCraCaAkevfaEmSITgm7BCDW5VeWjEml+qdap9TV+Zv3qjOmzs42pL0scg1tgqTtBOGm+njVWcIA2CR25ExQlSEVFxSTe1MbkjyoQaSxA8XCpOkEVrKi7S3cIl4yT5EVxlozJucRle7LnfUJQ4wWmwZZzzoZ7KcqO+exhudTqu/oGWcqQrHZeogRqPhuNAh6D50igNBuN4EhQjlWUg+sKi/2rrOs7qem8V83kVgilw9FrXcZJECM4Jq+Pef/rE1Zkm+2r6oNJxD4xc+/Lqrat/nZ3rCl+Lc6PL9sIDFVYjbPaDVW+L2kDjbbCpRpOkQXC3eI1WnSPwSddx4O0LooRElJpjhvWOKBNqtEDwcCg1SRatKbU47ubWp3RXlh/BGTap1JJwHtgTz915osQJroOt1JwP9VSWG/Xdw3CrUWqIB1rKkZ5V3MZK5VEYBv0wmQQqngyCQREmwaQfjcJc6XGitqDUrAUYo9Qiqilw9NpXaoJECM5pA6Xmq54hVJogf43nv7FKE6RBcLUNqjRBQiIqTdldxR1RJtRIgeDhUmmCLFpTaWnaLRy7DUT5ERxhoyptcdtS4rlAS5Q4wXWwVZrzoZ7KcqO+exhudSqt/oGWcqQrlRaOB9lgOImD/jDKAzUYjYN8nKRBMhwO1HCk8zycr/Y2VZr1+RuVFlNNgaPXvkoTJEJwTmiV9vQVRCtHLpo/Xr01fQwHNdbrN5s1botaQ+OtsbFmE6RBcLx4zebufkpSEVJrrpqaIBNqxEDwcKk1QRatqTXVLVwlNUl6BH/YqFiLF7Hdc3uRKHGCz2CLNdczPZWlRn3zMNTqtFr98yzlSFdaLeoXo3iYRkEeV7ou0cEgKvJgXGRhNBqMMq3Gr7au1QqbKYxWS6imwNFrX6sJEiH4JrxWW15r8i50Pa/euPpxZ/pv0wfTz6sj0uAyzh9NP/2b2aHbsQ7DqzejePaxqx31m9uiVtB4K2ys0QRpEPwtXqM5T7uWZCIi0aJuqG1U7ohSoUYKBBGXRhNk0ZpGcx+yLUqP4Acb1WiL2y4SzwUmosQJPoOt0SIdh905i3WZJsmO+vJh2NXJtPpHWsqRnjU+B1mWFmEe9LPxKFDjyTjoR+MwiNQwHCWD/mgSTV5tXaZF1vfa6DRFtQWOX/s6TZAIwT9hddp7cI3JTKf9Bq6uv3r96g2j1z65es1ItAfms0+rcpoO4a45G+Pboow1nvHGmkyQBsG/EjRZXa9TkFDb0kyQCjU6IIi4pJkgi9akmXJuARWlR3B9jUoztYjjzssGjmSJE1wHW5q5numpLDXqm4ehVqfL6p9nKUe60mXjSZKmo3QQRBGU2qJ0GPSHQ11tOBibvxvn8Xyxt6rLIpstjC7TVFvg+LWvywSJEJwTQ5c9uPqREV+P4Hzbar8AXAL8HFw2AHW0r6/eMiLti+mDb9TrNEELaLwFNtZpgjQIzrZBnSZISESnhV374cp3RKlQowWGiI1FT5RFazot7uYunSZJj+AKG9Vpi3PqE8+9A6LECa6DrdNcz/RUlhr1zcNQq9Np9c+zlCNd6bTBYDjuT5Ii0EoNA5Xlk6CfhuZ7o0E+ioymS/T8XW5Vp1n7MEanpVRb4Pi1r9MEiRCcE1an/bq6duCratRsdgRuVT97NLsJyoi0B7ClYDZ/1jGq7u3pB9MPp+9Mf2f+9/t593P6p+nvp+9O/2A+fgjf83+ZP3zQuXeqo870bZuVbotaSeOttLGWE6RBcMgELec8G1eSipCKs6Z8d0SZUEMJhoeNRU+URWsiLs/dKk6SH8FRNqriFufeJ557DESJE5wGW8U5H+qpLDfqu4fhVifj6h9oKUd61gaNRlE00kUw0BM4RncYBnmhJoEahlEahvFgoubutVUZl9hsYWQc+ZhgHL/2ZZwgEYJ3wsq4t6simlFsQXWdwaPpV1U5Ld1T1jf1tig/jee3sQATpEHwpXgB5tksIEhFSIBl2kbljigVahTAELGx6ImyaE2BecpokvQILq5RAbY4yj7x3E0gSpzgNNgCzFNGk6RGffMw1Or0V/3zLOVIgwDz6SrHBfA8</t>
  </si>
  <si>
    <t>TeWqi/mO883yZJXc8rZ6HFaKUEorsNqAdWwTe56NdtVduCyLVEO/mz6ZNR+nf+5U3av5rks4bXb6yfRJ56ndldWtTx9M353+cl7MejT9rDP9tfmL9zrTjzsRNCrhPvTPO4tdm4+mj6G5Wf3vkfn4eG0z5/vT9232uc22j8LZZ66m/ubb38csPxvEv2RD1CSICHiwl/ugk3SufjF7ktNH3c70Q2Pir7/Zuf1C3O08vZ+2erKfP/1cn0y/mD/Ld6e/N/r4T9N/C6o9Ha/Nap0d8x/zu8xviaK4863v9n84mZjf+Yf5mcTzh15t/XgLjir+6OqnVVW0Wi/zNfLB9P3gL1/oVCcaP+qY57+yO8R8axQfaGhpH3TgV3UA79UbV2/ePPPYfGYWkVlVFdMvK5j/XNH6YvalL6omOnx8bfqwWl+dNLx6M87mwA865he+Nj9Z+avKGI9hvRrMD2DBr6zR2fHLX8Gv+qgy1kPzqYLNK+ZDZw7XGBJsBZfSVn/oVJYzv76yMnx4uHgZzHf96OqNtd8YLX/ZCpQvzA8+NL/gy/k79Plix/PyccIDWv11KQA0H7q2hXvIXrirEduxcPES373XhIlwVb07EOKVe9QN7fsT7rAxrooDB0asJC9clyX22AjXJLcD4kZyW+VhN3KdpcIFjtQdS+Dld/7x9Lu2CLC2DpKscOxU+RYfLlJ6LOFagK7JQrDe/kwVAjKXGLzHR42UIKRsZW11qDjJi25uXdlHfOxIebDEjl8gcRaqLO5m1jVyzEesiYjRCwWsuL8EtgL4hA8YGSX4OV2YpV1tXRinfNTIyPEPJK8Rh2ne1dYV8SIfak6AilkIp9ce40WPxzjjI6aEPM6SiIooicKsG1q3hpds4DEyEP6A5ioKyLULxxaIcz5aZPT7AclNgPX2l6BWwF7wwO5qtya2N8pvFUlBY4ml136zRpAIoZKJLU/QmzWC/DSeHz53t9E4FKVBqLviMzlPs0aQStvNGkEq1JIxgkhahN3CzqUnymUXWjaS9AiOjpQE1bVsFpehJJ7bbUSJE1wHX967WzaS1KjvH4ZaXcum/nmWcqR3dvI5trdMbhXzmE8wBY5e6yJMkgjBN2FF2JYGnyWtpPFW2lTKSdIg+GO8lHMPPktSEZJyjsFnSSbUSILgUcSOMcKeKJPWdJxn+FmUH8FZNink1OKuFOW5/EaUOMFxsIWcZ/hZlBv1/cNwq1FyiAdaypHe2bMGYntj0ig53wnzVlPg6LWv5ASJEJwTVskJHDUgaQGNt8DGKk2QBsHZElRazVEDkoSEtJrrqAFJKtRggSASJ2E3sXPpiXJpTa65y26i9AgOsVG1trgzRXkuwRElTnAgbLXmLruJUqO+fxhqdWKt/nmWcqR39sDOuKtspjBiLaaaAkevfbEmSITgmxhijXtepyRjjWe8sTgTpEHwrQ2KM0FCIuLMfV6nJBVqcEAQKdKsm6RWLj1RLq2JM/epnaL0CA6wUXG2uCRFeS69ESVOcCBsceY+tVOUGvX9w1CrE2f1z7OUI72zl97EXavLMuIsoZoCR699cSZIhOCbsOJM6NIbSStovBU2FmyCNAj+liDYXBuRJJm0rdQEqVAjBYKIX6kJcmlNqbmvvhGlR/CGjSq1xT0pynP1jShxgudgKzXv1Tei7KivIIZdnVirf6SlHOmdvU067qY2UxixpqimwNFrX6wJEiG4J7xYE71NWtIaGm+NjUWbIA2C68WLNveeA0kqIqrNeZu0JBNqxEDwSPK06Cqr++uJcmlNtLnvlBalR/CKjYq2xSUqynMpjihxgudgizb3ndKi1KjvH4ZanWKrf56lHOlKsSVqoMaj4TjQYZgGKo3SYDCOJ0ExUlkWq9EwLPqvtq7YrKHdKDZNNQWOXvuKTZAIwTehFdtTIu3nM1321fRBpd0eGCFnlFs1tDY/DyfOjTbbCw9UCH9KnMU1QRtovA021mmCNAjeFq/TaruhgoRE1FrkVGuCTKjRAsMjCnVXu9SaIJfW1Jrx7LlLrknyI7jERuXa4i4V5bkbR5Q4wYGw5ZrzoZ7KcqO+gRhudXqt/oGWcqRns2pjpfIoDIN+WFXjJoNgUIRJMOlHozBXepyoLeg162kkRq+lVFPg6LWv1wSJEJzTBnrNV0dDaDVB/hrPf2OtJkiD4Gob1GqChES0mrKndndEmVAjBYZHkoSOq1t7olxa02pp2i0c50GK8iO4w0a12uLCFOW5AUeUOMGBsLWa86GeynKjvoEYbnVarf6BlnKkZ1otKdJhopJAheNhtfMgGKQ6CoaTfJz3o3ASZ+rV1rVaYTOF0WoZ2RQoeu1rNUEiBOeE1WofmAj/cPopHKZWjbA9BM1mOfT6yfx87xvnb4OMq9d3NjvdFrWTxttpY00nSIPgkvGaztMnFaQiouYS+2jFHVEm1FiC4ZFEaTe1BsaeKJfW1Fyku4Vruk2SH8FhNqrmFtevKM91OqLECa6DreacD/VUlhv1DcRwq1Nz9Q+0lCNdqTmVDoeqPygCnUCVTg3CYBDGoyBLhn0o0imdDl5tXc1F1gVg5BzxIGAsv/blnCARgnfCyrk/GZn2ZY2YYys2QVNovCk2VmyCNAhutxHFJkhFRLGF9jOA7ogyocYLBI84S7uJNZPtiVJpTbBp975RSXoEj9ioXssX4d1538GRLHGC42DrNdczPZWlRn39MNTq5Fr98yzlSFdyLRsUqQ6TcaDzHM7dzfNgkE1S88dw2O/30zTuj19tX65ZWwZGrhVUW+D4tS/XBIkQnBNWrv2HkWEPqssMHi6uyPu0Umefmb/+FPSb+ctHcAcc3HX38UHH/MQfpr+afjB9Z/re9N2ZkvvQvsPotqgxNN4YGws2QRoEv4sXbJ4zcwWpSAk2baNyR5QKNWQgiCRwpJG2cumJcmlPsmn3DlJJfgS32KhmW5yXrzz3H4gSJ/gOvmZzPdRTWW7UNxDDrU601T/QUo50JdqK/qSf9UfDIE5DZb53kgd5FCdBEhcqVqnSeTZXM62Ktthmi1uFJh8hjOPXumiTJELwTmjRBk1QuN63kl/Jgd6zn+95W5SYxhPbVIBJ0iA4UbwAc1fMJKmICLDE6v3viBKhOn8EjThLXfUySSatia+wGzum1UTpEbxbk9pLL064154rC0SJE9wGW3u5numpLDXq24ehViO9EM+zlCM9a28m+SRMBnkQxkoHKlNp0J8kg6BQo0IlWRoOksGr7Usva2XFSK+Iagscv/allyARgnMiSy+4m+AJfKhunYIm5vTxUo7Zq5y3RclqPNmN5ZggDYJfbUSOCVIRkWNwAfs6kTuiRKgBAUMjyaPCfopkT5RLi4KssNK7K0uP4PMaFWSLU+y151YCUeIEx7GBILM/01NZatT3D0OtTpDVP89SjrT5v782P6zMz/yVT3A5bpTniS2X0oo9JHUWrZKsbpQ/WFdRDqwUBZVWYLUBq+y3IzzPRrvqNlyWRcqk3xk5VF0WMP1zp9rDNz/vDCb4p58Y4fTU9FfVdPxg+u70l7PTac1fP4KuZGf6NlwKdfXa1evVyP9X008OOnD752xb59Vb8PM2K9xmW0HhrDDXT3/z7e9jFpkN4l+yIWoSRCa8Qza8VS/sgIeXbs6jcLkIV1WZAyFBkXVDe4fkDhvjqsN3YMSKLSu6HhvdmoRywNtQPrl6iWzYyOixhF1+5x9Pv2t7w1exFmniQPstPlpk/FiiteBci/FgvP1ZiAdkrsh+j48aGUdI0hO7NI74sJGOfwkbvTRcWI/5WDURK3p1gP32l8BWAJ/wASNjAluVF2Hs3NXLBo0ME//QkKN4kY80JyDFLIPTayfxosdJnPERU8IbZ0G4XrqSDTlGhrwfNOIczvk4kTHuByTHAHbbX4JaAXvBA1tJsaGKkiiMTDZY9AOlcxX0h+MsSIv+KIwmo0G/P38NnRmgJxVmZoH2O9pNHpjQWGLptV9xFyRCqD5hU8n3V7LHz5/OHZ9MvzAp4fSP1TTq/3f6/5t+OP3D/JKT6UfV7qOfmR+o/hxVt53AB+W5ok7SOBpvnI3TN0EahEJbE2meIBOZAr3dgdwRZUKtECJ4uJJGQRat1ebzOOzm1mmQu7IECf6RlCLVVecXN2Noz2UnosQJToOdB7if6qksOerbhyFXV5+vf6KlHGmYmPCpskbr8spGzugx5SGX5WqV3Jbr8ky0yHoKVkxtuy7PtILCWaGRujwToiZBZMI7ZMND1mCaEGxMhMiCC0WIuevyTIyUwgUCoUtiMdFtuy7PhY2MHg3X5blokfGDWpdX13V5510Y9/iokXGEJDqxS+OIDxvp+Buty3OxaiJW9OoA++0vga3X5bmAkTGBr8e1dutxLmhkmGiwLs9FKlCXV9d1eaeTOOMjpoQ3zoLw1OWZkFuvy3NxImMcuS6v9peg1uvyHLCzaJH1o7wYmtxvFAZqAKe9RuaPRR7GeZpnyaCYO2ZnBuhJgZlZoLMur2kssfTar8sLEiHUnbCpZH1dfi1NnBfmf7kozNvscFvUDhpvh40zNUEahGpaExmdIJOWS/CCTKhFQAQPV34oyKK1EnyW5d3QtWNRkiDBFZKyoboS/OLqHO25C0mUOMFpsCW/+6meypKjvn0YcnUl+PonWsqRbrUEr23kjPRKveT0Krktl+CZaJGlE6xu2nYJnmkFhbNCIyV4JkRNgsiEd8iGhyy3NCHYmAiRtRWKEHOX4JkYKTUKBEKXxGKi23YJngsbGT0aLsFz0SLjB7UEn16X4J1X5tzjo0bGEZLoxC6NIz5spONvtATPxaqJWNGrA+y3vwS2XoLnAkbGBLYe95bguaCRYaLBEjwXqUAJPr0uwTudxBkfMSW8cRaEpwTPhNx6CZ6LExnjyCX4dH8Jar0EzwG7qyV47SzBZzSWWHrtl+AFiRDqTthUUq4EL2gHjbfDxpmaIA1CNa2JjE6QScsleEEm1CIggocrPxRksRsleEmCBFdIyobqSvCLO7S051I0UeIEp8GW/N4SvCQ56tuHIVdXgq9/oqUc6VZL8FaBaaSX/w6RdJXclkvwTLTI0glWN227BM+0gsJZoZESPBOiJkFkwjtkw0OWW5oQbEyEyNoKRYi5S/BMjJQaBQKhS2Ix0W27BM+FjYweDZfguWiR8YNags+vS/DOi7Pu8VEj4whJdGKXxhEfNtLxN1qC52LVRKzo1QH2218CWy/BcwEjYwJbj+eeG1TYoJFhosESPBepQAk+vy7BO53EGR8xJbxxFoSnBM+E3HoJnosTGePIJfh8fwlqvQTPAVtp2XycDfN0EqgsG5gPg8IkgHoShH0d54MknmT5cMbHmQF6UmBmFugswRc0llh67ZfgBYkQ6k7YVPLd6QOTAr5mssfXZ1dYd6aPqz88gFuwr/65Siu/MDnhWm2+Y+N/W5S/xvPfOEMTpEGoojWRyQkykSm923jcEeVBLf0hWLiyQkEWrRXePdmjJD2C+yNlQHVl98W1etpzT6IocYLDkJH5kuSo7x6GXF3Zvf6JlnKkWy27ZzZyt4r5PeYuctkque2W3blokeUSrFbactmdawWFs0ITZXcuRE2CiIAHlz4cdJLO1S9mz2v6qNuZfgiP4Jud2y8k5g/vP/WoHq09gY75j9G+08+rry6OXjQPb/re9JfT304/qBlBOWSbAlnOaUAYchEiazcEwecu8XMxUmogCIRZ5Ehce2yErZT5q5OlreOzd/nAkfGq2UI/Gy0yYhEL/Wm4LPSnzhv/7vFRIyMXSeaumjtVaZoYmWANukd87Mh4Q6/2p7kBpbr2C12P+YA1ETB6nYAR95fA1kr+bMDIGMHOBXwH0rNBI8MGreQfKaW62lHzZ0Ntvua/9BcvevzFGR8xJd5xVgT4ijhxLIqSjVum8B+FiVJh2lXahvacjxYZ+ajlf7M4lqDWyv8ssJVMQx2FCnycmagnFWdmo67yf+q/iW2NJZZe6+V/SSKE+hc2pa2fwG/ycHpJ42i8cfBppI3GoSgNQqmviRRQkIlMb8A1li/JhFqhRPAwiLqZK6MUpNJaiwDOMi8cTQJRggQnScqeapoE6eK+0dRzf6wocYLnYCcGvhPqRclRX0EMuZomAeKJlnKkW20SWFW9EWWxl1y+Sm7LTQImWmSpBauott0kYFpB4azQSJOACVGTICLg+ZsE6kaT4MnVP5vH8ODqLXh+MBnzOjymP4JGvvoxPKLO9D/M84RvfdC5FelOFIMaTuFDbDL+q59Uy+D1ztmte0UYWXfDHLJNgywINaEYmQiR1R+KEnQ3DZgYKUUUDMIosz7mHhtgKz0D95Ebd/nAkeGr4Z4BFy0ygFF7BtdX16aeq2vZqJGBjKR610trYarjtJtag/ARHzwy/tCbBlGUxCrPnRsF2Ig1ETF6pYAV95fA1rsGXMDIIMFPDjxn9bBBI+NGk10DLlSBrsH1PbZuj3HGR0wJeJwV4fcWJRu4UNsgLfIsiZ27BthokcGP3DaAO23tXuKCB3YWRjB7x4GPMzf1JOfM/NTZNkhoLLH02m8bCBIhVMSwSW5924B5cI+kHTTeDvgc0kbjUJQGoc7XRL4nyKTlDoEgE2p5EsMjLpKuK38UpNJah8B3eo8oQYI/JOVKdR2CxY2nqecOW1HiBM/BTgJ8p/eIkqO+ghhydR2C+idaypFutUNgTeuM/lJecsUquS13CJhokYUVrHjadoeAaQWFs0IjHQImRE2CiIDn7xBEWcemhK/3z67toP1ifbftqm42n3wEP9KF7sKD6WfVr/sRfN8D8w88hN/ZSe2theuhHPPD71TfWf3Qg+qXf2Kz9SHb1shqUhMSlIkQWTqiSEt3y4GJkVKBQSCMjQe0AeyxAW6/5cAFjoyHDbccuGiREZHacri+lTf13MrLRo2MjCQZvfbW5SqM3A0HLnRkOKM3HOIwC13V5WM+Xk3Ei14lYMP9JbD1dgMXMDJAsDMNb7uBCxoZM5psN3ChCrQbrq/ndXuLMz5iSrDjrAifpyjZsGWaDUkU6rSbaRvWcz5WZNAjtxrgml67YS94YHe11VA4Ww2axhJLr/1WgyARQmkNmy3LtRoE7aDxdsAnozYah6I0CAXDJvI8QSYttxoEmVDrnAgecdKdI15PGwWZ7EanQZIgwR2SUqS6TsPiYtfUc1WvKHGC42Drf2+nQZIc9Q3EkKvrNNQ/0VKOdJudBvvmfiO/Uh+5Ilwlt+VOAxMtsp6C1U7b7jQwraBwVmik08CEqEkQEfBqOg2x+dPvNugrXL3WmX5mfvbr6m+gj/CV+cmH08cd85/PnD2Lqzc78OChA2EgwY+Z3/xxp1pJsIbMj0N74Wvz5QdmaX05/72PDsyPTR93of1g1sj0o9m3PjJf/NR8/Nj879OrN+ZfXK5FAwQ+qVAvf9fVW7ANo1p58PWPq38adl+Atv95tRDNb/p6tlJh/8XjeaekssvbZkW/fwC/erUZcnCzo1IRWPRalls3Djppsvjs6e+4+lnn6g3AWW0KMWgAydfAAb4Mb8obtuV2yF5uyFpaEyKciRBZOKOIa3ezhYmRUn9CIEzd8zlMgK00W9yHd7JhIwVBw60WLlqkJKC2Wq5vX049ty+zUSOlASmPwC6NIz5sZCynt1nSKFZpN3e1Wbh4NREveoWADfeXwNbbLFzAyNDATrN858KyQSOjRZNtFi5UgTbL9RXMbk9xxkdMCXOcFaFVkrn2U5Vs2DJtliLKs7Abu3Z0cLEiAx65zQJXMds9xAUPbJWroI4lBj7ODN9T4mBm+c42S0ZjiaXXfptFkAihrogtFTR+D4Qkf43nj8/AbTQORWkQqqRNZHaCTGTaKzYed0R5UEu7CBaeLFGQSGu9FU82KUmP4AFJGZG3Dg+cFnV4zw3MosQJPkNG8kuSo75+GHLeJ3qKeaKlHOlWOysuxeW9X6yIVsltubPCRIssn2Dl0rY7K0wrKJwVGumsMCFqEkQEvOnb0z9O/zD9Ixj/v0z/ffqOeRYfmr/41fS/T3/bqZ7Sp1UXoKrmG+n7cFbr/wi+dPUz+KnquzpR0Q1jk0vGadd+h8QnNx/dQefOvSDSB67uChwmZX7i4dVPqy/DMlls7IB+zVM3UDwwv+H6Fopu59a9TniQBOGBgt/9+KDzt52qB/Pk6scVgLc6zxn40K548I1OklXf1F1dp9U//5rBUzV4zLeYBfmhwQtrNC46p2e9o6e2ozy1ucT2vA/ZzxtZv2pCADMRIotVBGHraW0wMVJqPgiEWVh050FvXbYyIYo0N9aie++Fw7Ozk7N5fC8vjp4zgqz4BixqgA4x/iC0hvm7fGbIsM3pf7ju7/gWHy0ycFP7H9dXX6eeq6/ZqJEBvAm1D2T2eh4aR3wayAhc3w9xYAfYezcfhIvFMZ+FJrJAryOw7P4S2HqXhAsYGWXQKRPC75RIv3PKZ4WMTE22UbhQBdoo19dou9/UMz5iSkhlLZllCup3NiWbQjMtlXpHs3gALgbnfAbIyEputMCF23Ync8EDWwlF1NHOwMeZ8HsqHsyk39loKWgssfTab7QIEiGUGbGVg/r9LI3euCFoHI03Dj5bt9E4FKVBqKg2kYQKMpHpwjg3uQgyoRaCETyyPOymiSunFeTSWism15Hjvt+7sgQJXrKJ9GyZpC1ucU4993KLEie4DnRmsfb+aZV248TG7lSWHfUlxLCr68bUP9JSjnSr3RhrfLhVZKGXXLxKbrvdGC5aZDEHq6m23I3hWkHhrNBEN4YLUZMgIuAJdWMQl3UcDr83+d53Oy98b/jD73dudZ67vq/jG13nbR03jtR6t1oYj6slVH368fJfufrR1VvQQoHWy2xFmfX0je7q+WCWnsutv+9/e2TQACcD8R/+9nvfNYn07N+d/XL4tbM9MeaPXdvzPWQ/X2RdrAHhy0WIrHFRBK2z+8LFSCkVYRAmcdK1Fid6bIjb675k0bwKmoXe7gubGTJMN9t9YaNFBmpi9yW7vo8889xHzkaNDNhNyHsgs9fz0Dji00BG3A26Lwb7zQfh7r6wWWgiC/Q6AsvuL4GtdV/YgJFRBp0jIfxOifQ7p3xWyMjUYPeFDbX57kt2faG5+0094yOmhFTWklmknDXOpmRTEO6+LB3N4gG4uy9sBsjISu2+ZHDfud3JXPDAzmIU5jAL4ONM8D0VDmaS7+q+ZN57Q9dZYum13n2RJEKoK2IrBfXdF+ZpYpJ20Hg7EBJxWrq8kiBf58UHnWW+i093yemtoHUJRdwm0mBBJu32fySZUEvPGB5Kp93IlVULcmmv/xOm3dzR/xElSPDTTSSIyzRxcUF35rlyXZQ4wXWgc5v1YlAUdrW2sTuVZUd9CTHsavo/iEdaypE2//fX//RUwHXqxO+Phz/49ve+azEEQyZaH61RiLGHpc7WWLoaQW6sFPG36AVZwT7PBru6xDyGRQq831Ti40fz1oHRGZWsmz6y4TaqLf5mjw1+ze+50W/m9uZ11OTAfNAuP8cloegk8MkqID8G5Mcu5Md85JqOHJ+kGuAnAPzEBfyEDxy/6vl+dV4DSw5KF4GSTWCtslFDgLZezgH1uQv1OR813osTCxoG9AWAvnCBvuCBfspDwlr/K19Iam42QTtrFomXg3IaHgeVFY66hTMkMdEiOx3YeHRjNMF9yuI8af5RdcLic9OPTVLdvfrnLvzIUz//aZUmmwzb/Oyjqnv98cHsb6E9XnWkO7AR8eurH3W/Ma9bfGBy+odXP5lv/wME/7I4WdFmuNtsw60GEslpBiZETYKIgCcwzXAwe1CfdfPCPLP3rv612lsK9ZOrN6vHdn0Uy8PZP/v/qfaHVgdTzn7h46oIMzsgs/qOD+c//AT+9M1OVlVxojCsNoZ2gk4Udq5+alac+e7v2ix+yLY4svODL6wAThvEF9gQkW0cSsXEPWDAxEjphmAQWuH12PC2OFygFk2+xD9cwGWGjLP04QLzL4fd0Bpqv8WHi4y11OmC5Hq6wHnV6T0+amTM3SyLWpaNkr2eh8YRnwYyAjLyqGXTL9m7+SA80wVcFprIAr2OwLL7S2Dr6RQXMDLGoCtwCMdTIh3PKZ8VMizRpgt05HQ6L/KhCkwXJNfTBc439YyPmBJPWUtmWdD0O5uSTUF6uiDZu/kAPNMFXAbI0EpMxmHtLEGt5+EcsFV2Mx5HfTjLKdZqGKhRkQX9aJQEYx2Gup9mo+FkOOPjTNG/029yukB3nVs7M0UjiWVnS+Y9pCgJvY3I86JEVjWH7+kgc/157RkuA3Cf+DP9TRDPU/NfTb8yfzQp469hN2fVWQ/D5/72G53DXmpV6LdFLaLxFiFkyMQMtuNPVm1WORS1CqHH10gWK0hFZj7AxuOOKA9qYxLDwpURC9JobTAgjmFrqP1mpbuyFAletonsbpnjqUUf2XmP7ZEscYLbQCcmayWESGeu81dPZelRX0EMvbrZgPpnWsqRbm9vqO5aR8eMrNMeblmRr3Lbcv+FiXbVY/zP139hGk7hDNdI/4UJUZMgIuA9w/2XKL/uvyhV239hWhxZG2tEuTIhIgtdBEXq6b8wMVLqRQiEStng9djwtth/SRdlUO3vv3CZIeNs0/0XLlxkrKX2X/R1/8V5Aew9PmpkzG1CoQOZvZ6HxhGfBjICbtJ/0Xs3H4Sn/8JloYks0OsILLu/BLbef+ECRsYYdJqDcDwl0vGc8lkhw1KT/RcuVIH+i77uvzjf1DM+Yko8ZS2ZZdLodzYlm4J0/0Xv3XwAnv4LlwEytJL7L3p/CWq9/8IBC2hHRZKnaqCDPFfjQMVDGObP82DcH6STVA/6RTJ3/84U3VOj4KXpzv5LSiOJZdd+/0WQCKEyiM31sf2XSM1z899Dv2HWgMmrnKyo7b8IWkTjLULIkIkZrL3/skxWXfszBc1CqKQ2ksYKUmm1ASPIg1r9RbBwpsSCNNprwCRhkjlO9bgrS5HgZptI75ZJXroo1jtvuD2SJU5wG+jMZO25FjpzX5UmSo/6CmLo1TVg6p9pKUd6uTmzmFN36rxGd2emNppG4mUemmZRrNJ09WKa3Z1pP6zseTba1UW2+fbM96tbqv65kh43KvEW3EZtZbA9kwm+7e2ZucvLcfErOn58ojnfmWkHfcwHremg8bnlbFOmHfMJHzN+mfNd6bxqZcdesrGLb8W0Az7nA8Z7a2LhYbYL0473goe3Wh0zvOC4W9qAmTrrCr6LSXSWOW2Og8qLOOY/1nmF59lwkd0IbMh5F0oAkPdWhzk9ffTz9QnAB1AG+MP0DzYit9lEVh24ZEeeCVGTICLgrXbkq7MYYDBidh4DpyMPJy/ffIYPze+AT59UP/rZ/NfPzvLqwIHf8wOl4Dvg6KlHnekXcBDVp9MHUPx4GkZ1cSfcsPnnao5jcVj4zUGN7uz4r886V29UxRM4H6v6ro/hH5qdNgFDJF88DRO+DCdidePoqYOxHky/POhEQdK5+sVsqsR+NMUh+4kiuzH4Uon7KCsmQmRnhVAB8TT8mRgpDQoEwiJXof0M/R4bokjTfxW4+3p3Nmxk4KR39KMkdqD9Fh8tMnZSG/rXl2Vmnssy2aiRIZSU92CXxhEfNjJgMtKdZV/t+nLMrOZyTDYLTWSBXjdg2f0lsPX8hwsYGTLYZTLPjDIXMjKG0LrzUZE7kL7IRyrQnL+++NLtPM74iCmxr8nlULIhSzfjry+69DuNcz4DZFQk5sSwVpag1nNiDtiqDFuNw19HR9lSrGscvvCiR4/DN1OCjVxJMBMlviaFzYN/YzKQr6t096vqiN9qPtmSgplc+CuT45hMp/qmrxZH6T2ZH5n8cfUXj6spd/PHh9MvqmzrsY2/yZ0LKOEyjdByCTe3D5Ed8fGvChoEfrx7mpVwHaCP+aA1HTTeI1UlXAfmEz5m/OuCDluOEq4De8nGLl3CdQA+5wPGe3liuKpKuA68Fzy8T5VwhaOUq2qb+y400FnhNDMaJS1O2XE+z8aJf/V2JVJ1noOfq3ZyfTYv9D2A4+nhp61r77YxjgljXAu1HcYiRxhj428jjNlBH/NBazpokqc6cWE+4WPGv0sbhzE79pKNXTyM2QGf8wHjwwArjNnxXvDwPg1YPI45I1nkQ56HTkujcVIjWTd2BTMmVPwLiA1mf3iq1fSgM/3d9A/T922YTYyJIMYwgbcdY1wzfWz8bcQYV6mXDVrTQZPcyIkL8wkfM36JbxxjXEOCXOziMcZV1mMDxrtoVoyx473g4a3833x1tBBjnFEm9mJfu969lSjjHK3kosW/hdhAQxutzOHmCy74toNN4go2XPxtBBs76GM+aE0HTfInJy7MJ3zM+GW+cbCxYy/Z2MWDjR3wOR8w3lezgo0d7wUPLwCev4UAW3i0ch5wnCEn8TJInBbHAeXFm65yVuqYcJFTIdiA89+mD67+pSrQzetu1QZCqN2Zj4+u3oLBu9mdkk8608+W3/ywMy/uPZgN+s0H6eDopT9XmRLMz33eea46WGm2bROmM381fd9Vm2OaYzUICI5nciFqEkQEvOnvp/+t83//+P/oxGkYz+wfp4tBSxv2QzZ25FRJA4OIXITIIZJGBhG5GFcD6IaDiCoqEvueph4bosgg4loQsp0+lKsD80HPTwLJ/VdAsOkhwxF9YDF17R38Fh8sMiQR5xXz6wsgcs8FEGzUyMi0WTKx2Juaw5nsbhpHfBrIiMLIKRajSPn1BRB5zQUQbBaayAK9jsCy+0tg60kGFzAy0qDnFxG+pwTfUyJ9zymfGjJE0eYcC9de9Bf5QJsfc8yv74Bwv6xnfMSUyMpaNYt90zX+pmRTEB57zK/vgPD7mnM+A2RsJearsHaWoNbzVQ5YQBuGaTIaT0bBaJQWQRSN+0EeTqIgDHWo0zyPCj0Pv85U9jt99yk3jHTWmdAqGkUsN1vS66FESXxtRJ4XJbIqOnzPBpkSv18dN1RtD/u0ymg/ro7a+Wp+bvDsLmIYaoFdadVpRB935nvY5qfvVIluJzmIr94sZjcfqNB18cFtUfNovHkI+eeMXxTHc25Xbyaeix0k+a2qBg8/fI7qPldIkkqb5wpJ8lgNyR4e2IQ3SsO0G2sbl54ol9YOFzIMu5E11N2VJUjwn00kbsv0bXEPQO6520GUOMFzoHOO1acaF4Vz15QoOeo7iCHnfaKnmCdaypGupN1Qp1ERFWEQDtI8UPlABQPjOYJxkQ31aKLyLJq82q60sxY7jbTTVDvguLUv7QSJEFwTVtp9AGdFXL1+9c9/Axn/bKS4knFPpp93lAYR80V1rITK91JrhfW2KGWNp4yXazYah6I0CL4Vr8qqFtMncJuHjdALooRa1WaCPKhxAcFCJ4WrFSFIpD1h5pZlkvQIvq9RWaYXQdxztL8ocYLrYMsy1zM9laVGffkw1OpEWf3zLOVI39hmHA8mo0F/nAeDST4J1NBIuiIajYKwn4WZLrIkDefv9FKcrRps/PfjpRlY8T820eMP04+u/vfZNqLO9J3pb6bvd6Yfzc4F+tH0wdVrlSh4OJ/2nh8dBFuUHsDZQ/BjP5k+sh/3Y2RdCvN4qdWcUIBctyTOKlaX4LbGZh5h3pXNXG+/ED1Fp4evhs+n+eycjsU4aTonfH18Nuxnp3QiRgn/TvJ92Lw3Z6dWSlFba8TUUKOtvnMXn3MxPqu5bQ0f0sq7cNG5EKHzVFLhTN0bGGp3b/91HTwZ6zjP8Ic2NjPObtXbz7NB4sd7kWG2Gip8vQqnr1/9bBE8q795cr0XuMq7P54+sZExWTacGsxl1PZou+vUYDb+1WCIwE9zR8cu0Md80JoOmuRzTlyYT/iY8Wt/43DmOjWYi118tN11ajAbMN5jswKS69RgFt6nqj7CEccZc1wHO81gt3w0UtrNbDCfZ8PEv3nYqAOZ3WsmsrwB57FWp7R+Ve2jmn5dnVQL50N8OrtFxxWLHtgomliUQyxi8mw7FhWuWMTF30YssoM+5oPWdNAkd3PiwnzCx4x/IzaORXbsJRu7eCyyAz7nA8b7clYssuO94OF9yquLxyJnNCq8wFs+AMlEI9eB9Vyg+LcPG48+mN0gbiLNn92xCP7/p1c/MkHrk9kd9k+u65MwcGYjaSISHMjHZdpyRCpcB/Kx8bcQkRygj/mgNR00yemcuDCf8DHj34lNI5IDe8nGLh2RHIDP+YDxHp0TkRx4L3h4K4c5Xx0thCRXUCpcpzBV2Ns+y6gKSs4zJrhY8e8gNi7Rzpgo4NA8Lvi2Q43r0Dw2/jZCjevQPDZoTQdN8iYnLswnfMz4Zb5xqHEdmsfFLh5qXIfmsQHjPTUr1LgOzWPhBcBzLyJ+xkTtlpzCdSTTjEHstDgOKCfawB1eNrDPs8Gu+uwNT5j4DZwJcfWGyXHmDZ9ZQ6iaxPzR9GvzldcgMfpqdh0TpEuPIHHqzC+A+vrp02PnlztVkxhwYxT80OwWsHdhZ05Q/fqn5jQ+P4DhjgdXP4VJjvmVVNWRFJ3F7eEfm78wP/AYvuHqDZshb7MNuRo8BM+m4ELUJIgIeMuzKaKZuRPzLoVwMIXuTD/p2sAfssGnOPCEEVPYv/WaDeQLbJDIzb+EsVH3+RRcjKvBd9PzKWzoemx0IkdTrGJ235HFho2MTvQjJ+IkTrVrZ8m3+ICRUYp47EQRLY+dKCL3sRNs1MhwRcovsKvjiA8bGRwYacVi63cR7d00vPuYCTYLTWSBXjdg2f0lsPU8gwsYGTPYs8Xua7LYkJERhHZ8RKLyIs+dR0iwwTZ/hMTSf7zo8R9nfMSU4NfkiijZkIWPjFj6jYXB3UdGsBkgYyMx/YS1sgS1nn5ywC5H2AH23357NBp/97bJ0k6rJA0opINhPBj0w2CsJjpQeTgJ8jybBH2VhP1Eq2g06s++c5m2wk7mG+zdk5mzfxEdt6wZ+f3i4H6R2TuS9+39SKC+ag4s1er5rrpZFEP8UgVal8XBpYvWpRCtVVeMooVfv4bVrVvFwa1bLl63bgkQeyqVci9Rd4mokSUahQf3o/TgfmqvHd13NSlgi4pK3UfTrK5DFA3iOjTYLw32Swf2Sy721cWGwk5cbAa7+ZCaDw70Zi0y4FeBddtLyrGUIlcVckZIbXctOdYQG3Qri8i1dFion6qXbm/t2AXP/cglIWaE9HbXjh30JRt0K2vHDhoWFQP1U1XX7a0d+xHb9+eXi7oIpdtdO3bQl2zQrawdO2hYVAzUTxVCt7d2lJFB2rF+Ei8p99h9K+tHGQ1kB37JBt7KGlIggOzIYYUxoD8lfuA/NzqWMbLGOiOErmavkrOxeQlKjh4y7skkZIX1Kcz41TOvNETzflzUjV3VhpfZ+BUZPx75GQL5K2zkmoKc7Xvs7oaLedXd1GOmrpZzhM0v2fiR5VaOyzFG3V8AW/c1HMDG2eyMe9Ee/Dp3pyhtuBddu2BeZuOXdS/1yF9hI9cU5A27Fy7mNtxLvc0v2fhF3YveXwBbdy8cwIvq98EOpOT28wbuQ0fPyUtl7iG4VmSxHfQlG3QrktgOGuqEDNQ7sXbsW4PvR66dwTNC7ku6Wlk7dtCXbNCtrB07aFhUDNQ7Uc5xNM4i106+GaF4u2vH0RZjg25l7bh6XizUu+B3Yvumm/uRt6eSbbed5QB9yQbdxtpxgIZFxUC9C34njg7ux+nB/cT8NzH/Vea/yvxXm//q1L6uYm+/JcOLahQ36rqKDi4NoUtD6NIQujSELg2hS0Po0kHokk2olTUXHZgP0DtN4LMEPlPwmYLPNHzm4AXrlUHsqcIi5MzbKCwu7sOJo9oU6aXY28HJ3L2DFgoCCPwvs/ErMn488jME8lfYyDUFOd/Bza/gQlC5z6bSQp0Agf+SjV+yThBH+wtg656JAxgQ99N4HKkoCwqVZoFSoyTIo34cFFF/3I8SnY6K+TNxO63vzFeTmONauK/ZAzMPz+vAvG3EdVNgbWB91Wqpb/66xbXL9b4Y5WqJ5OOJSsdpP5iM1CRQ+VAF/WGUBklejEZhHJtfNdyZJZKgloi3QWizF84G21oiCWKJSFGeeZH+aDKA7+0PoiJQUTwI+mqQBqnSg3QwKYooUzuzRBRqiSiqvXA22NYSqe+93RejXC2RyXCYTrLBMMiz4TBQxTAKBqo/DCZpP477g0GeZ/nOLBGNWiKaai+cDba1ROr7J/fFKG+pJbpMjNJa7i/NL2l3tWLcA3ltJEb1+F9m41dk/HjkZwjkr7CRr75E9Wp8g0VUIqjcZ1NpIzGqx3/Jxi+aGKX7C2DriREH8DMnaTJUvPI1cyymwNpgW/Eqq12u98UoP3uSJkctEV/PxmovnA22tURyxBKRolwtkfGkP4qT/iSYDAajQCVxHPSjQRaEw6TIh7EaJ8nulFcK1BLxtWas9sLZYFtLpEAsESnKz1wFLgkxSyTxtUnsXhdlgy0tkSSsXyJilLecGCX1xfKXEl/tWedb7Rgh8L/Mxq/I+PHIzxDIX2EjX32J6tX4BouoRFC5z6bSQmKEwH/Jxi+ZGCXR/gLYWmLEAvzMxStUxyjxtU8spsDaYFvxCtExEqP8zHWMElTHKPG1T6z2wtlgW0sE0TESo/zMlVcSVMcoUVR74WywrSWC6BiJUX7myisJqmOUaKq9cDbY1hJBdIzEKG87Maovlr8EOb6Hu3sLdRuJUT3+l9n4FRk/HvkZAvkrbOSrL1G9Gt9gEZUIKvfZVNpIjOrxX7LxiyZG6f4C2HpixAH8zEkaVMco8bdP1kyBtcG24hWiYyRG+dmTNKiOUeJvn1jshbPBtpYIomMkRvmZ6xglqI5R4m+fWOyFs8G2lgiiYyRG+ZmrwClUx0j52yc2r4uywZaWiEJ0jMQoV9v/gfeM9rb3HKn64vlLyr97wX0faAuJEgL/y2z8iowfj/wMgfwVNvLVl6penW+wiEoElftsKi0kSgj8l2z8komSivYXwNYSJRZgQDyIVJqkiQryeGQcWTFKg4FO0sD8aTjo50XcT+Y+agfiF6qDpHztFIspsDbYVvxCdJDEKM8kThQXxUgPg37azwOls9zEumgcFP1hOhiruDC6eWeWCKqDpPwbcCz2wtlgW0sE0UESo/zMlVsUqoOkFNleKBtsa4kgOkhilKslMown0SgahkE0HMaBGoyM7xmHOhhPonFqVHSSx4OdWSKoDpLSVHvhbLCtJYLoIIlR3nIHSdUXz19S/lr0dhOjevwvs/ErMn488jME8lfYyFdfono1vsEiKhFU7rOptJEY1eO/ZOMXTYzS/QWw9cSIA/iZi1eoDpLyt1P4ztv2qtVS3/x1Q3SQxCg/cx0kheogKX87xWIvnA22tUQQHSQxyrPz8+KBHk/UMAjTVAcmfTJJVDgqgjDUoU7zPCr07pRXUB0k5W+nWOyFs8G2lgiigyRG+ZmrwGlUB0n72yn8ctR2lohGdJDEKEMH6WB2luI2O0e6vmj+kvbXoLd6OwYC/8ts/IqMH4/8DIH8FTby1ZepXpVvsIhKBJX7bCotJEgI/Jds/JIJko72F8DWEiQWYEAcJrFKx0b8GI9llHJcGBmUpGHQT0zMS0NdJIPi1V2JW6jOkfa3UdZMgbXBtuIWonMkRnm290hP0iJJdJAN8ihQw2QUDMx3BJNBmI7HeWz+X7YzSwTVOdL+NorFXjgbbGuJIDpHYpSfuc6RRnWOtKLaC2eDbS0RROdIjPIzV2bRqM6R1lR74WywrSWC6ByJUd5y50jXF81f0v4a9HYTo3r8L7PxKzJ+PPIzBPJX2MhXX6J6Nb7BIioRVO6zqbSRGNXjv2TjF02M0v0FsPXEiAP4mZM0qM6R9rdR+PHd9qrVUt/8dUN0jsQoP3uSBtU50v42Cj++b2mJIDpHYpSfvdwZ1TnS/jYKP5Hc0hJBdI7EKD9zFbgU1TlK/W0UfjlqO0skRXSOxCj/0+LqUSCfrK6DVWOgrndi2aK6iyt1sfdWn/Nwlb1T1aLw44Vtdd+WA/QlG/SqlEWBRqvZ2Z1aDtDmCxzUADva9tpJHGvHW7vOt3v3qAP0JRt0K2vHDhoWFQM1wNbbXjvq4L5S+cH9rAgP7udZdHC/yGL44LgMOfVWu/N4u4tKHVwCm0tgcwlsLoHNpYvNJZtNK6tNwU1/hs6tW8Dn1i0gdOsWMIKPrjuUWZx2wo9ps+7Sg/tRlMGijBwLUHnpbfdmU0Ph0lC4BAqXLgqXbAqtrDoNqwvulwQSsADtLGB9MmjsxEIziyw1aywFv2fcHji8TIEPNC7Q/Dc3f1+4BJn2kt7uBaiG2KUhdpmCCzQeEHyfIWbcofGG5r+G2KWD2CWbWCuLEtZjCssxrdwheMPKDWaq8o7gHOGzHL7qYAhLm0Gx4jijCOt2G0NmNjYvpb7yq9ruSdZpfb37ZTZ+RcaPR36GQP4KG7mmIGf7OLvb4mJedVv1mKmr5Rxh80s2fsnuSJruL4Ct+xoO4O20au3uxVvfL9w5fBvupb4/8TIbv6x7qUf+Chu5piBv2L1wMbfhXuptfsnGL+pesv0FsHX3wgE8P2xpbvNtH7aU1reQXkp9LSS13T3FCPwvs/HLeqF65K+wkWsKcrYXWnYQ6qncZ1NpwznV479k4xd1Tvn+Ati6c+IArgoD42IYj2Id9MOsH6gQdv+kYRjEYZiOo2HeL9Rao2ZrDTtUTzctaKbA2sD6qtVS3/x1Q/R0xShvSR4v4lVW36x8KfM2Kwt396KFeIXA/zIbv2i8QiB/hY189SWqd5IbLKISQeU+m0oL8QqB/5KNXzJeZeH+AthavGIBftbiVRZh4lXmvWlr3RRYG2wpXmX1OxLvi1Fe5FvFjPa2qsfL+FW/3e2lzNvH3m7VB4H/ZTZ+2fhVj/wVNvLVl6reaW6wiEoElftsKm3Er3r8l2z8ovEr3l8AW49fHMCAeDAphuPxMAzGSb8Px3AMgjycTHby9JUMtf808w4/rJsCa4NtxS/E/lMxyov4Fc379dsuGGb1Oy1fgi0EHmPEzne3jQBWj/9lNn7ZAFaP/BU28tW3qt5rbrCISgSV+2wqbQSwevyXbPyiAUztL4CtBzAOYEAcjtIi1XoQjPM0CVRfhUG/r8fB2IjwfDJIi7EavLorAQy19TnTNFNgbbCtAIbY+ixGea5x8ng8UCoYKDiwMCqGwaCfmGAXRzqPs0gPdLEzSyRFLZGUai+cDba1ROrHP+6LUa6WiIomWZgNiiCLxpn53jAy+fwkDrL+JC5GqZ7oyXhnlghqQ2rmaw9b7YWzwbaWSH0L/74Y5ZkXGQzH/UlSBFqpYaCyfBL001Cbnxrko2jQHyVwwt2OLBHUhtTM26SzvlIoG2xridQ3Uu+LUd6RQwiz+u7cS1nhtYF79ryNBKke/8ts/IqMH4/8DIH8FTby1ZepXpVvsIhKBJX7bCptJEj1+C/Z+EUTpGJ/AWw9QeIAftYSpBy1BTr3NesspsDaYEtxK69vqN4Xo/zMJUg5qomZe3fy2uyFs8G2lgiiiSlG+ZlLkPIYtUT8LROLvXA22NYSqW9r3Rej/MwlSDmqlZT7+yq2Vwplg20tEUQrSYzyPEGCOLLNBCmvL56/lCuvDdz7IFtIkBD4X2bjV2T8eORnCOSvsJGvvkz1qnyDRVQiqNxnU2khQULgv2Tjl0yQcrW/ALaWILEAA+J+FKlUqyJIo6FxWyrPgoEeZsFkkI3CUZTrNN0d9YvqIOWaZgqsDbYVtxAdJDHKz576RXWQcn87xWIvnA22tUQQHSQxys+e+kV1kHJ/O8ViL5wNtrVEEB0kMcrLQar5I9/2JHBe3yt5Kff3SrZ6vAQC/8ts/IqMH4/8DIH8FTby1beqXnttsIhKBJX7bCptyOB6/Jds/KIyON9fAFuXwRzAz5zGQe28zAuaKbA22FYAq29r3Rej/MxpnALVSir8fRWLvXA22NISKRCtJDHKs/1wwzjOi/EkSLOq7RSrIE9GRTBSOs2yKByFabozSwTVSir8fRWLvXA22NYSQbSSxChvef92Ud8jeanw9Uj0drcPIPC/zMavyPjxyM8QyF9hI199ieql1gaLqERQuc+m0oLqReC/ZOOXVL1FvL8AtqZ6WYCfuXiFaloWvg6exRRYG2wrXiGalmKUnz3Vi7p/sVBUe+FssK0lUt/Oui9G+ZnLnQtUC6nQVHvhbLCtJYJoIYlRroq/FfHVNbBqCNTBySw7VKdeF9nBfQMSPmj4kMNJ6/DHKIEP2mGX1GMXZX4nVsyg2OH1THXetfnnL4HSJVC6BEqXQOkSKF26KF2yKa3qGxQltMSZnXRdwCHXwAk+6upjXp3FXv2N4QUf7cTg2HYGs0oIzZfkq9ttTBT1XZqXCn+XZquXhSLwv8zGr8j48cjPEMhfYSPXFOR8L7fw9vVU7rOptJGi1eO/ZOMXTdGy/QWwdc/EAQyI0zzW0XCUBXoEgxrRpDBRtl+F2iTLiyIbJKNXd0VcoTbeFf4ejeVCM5wNtiWu6vto98UoV0tkUmg9ToZJEOl8AMeZ5EEemnRuF0+xKVC9q8LfyLHdnImywbaWCKJ3JUZ5tkTyNBsOJ+NgNNFRoPI0DfojlQWTJB4MdZjCfYG7skSiENW8Mt9GthjKCltaJIZP/SqRI73l5oRR/LXszSP3H1W41c27GAYv8xkoMgM89jMM9lf42FdfpnrRtcFSKjFk7vPJtKCAMQwu+QwkNbBBtb+EtqaCeZifvQAW4wKYv21j2W2Es8LWAlh9b+2+HOlnTgpHIaqjZb6NbDGUFba2TBA9LTnSz1xSHYWorpb5NqrFcFbY2jJB9LXkSG9dDte3bMwj1172W92qiWHwMp+BIjPAYz/DYH+Fj331ZarXXxsspRJD5j6fTCtyuJ7BJZ+BrBzW+0toFjnMwQygB/E41mE+CQbj0ThQWVQE/UipIAnzOIvHk+E43qEAhtqTZ76NZgysFbYWwBC78uRIV8tkPByE48II5iKJk0DFQxUM+hMVFPmoUGE8zsbRztzPEYWofXnm26gWw1lha8ukvt11X4701nVOfffEPHJf+0QXepV9uzqnnsHLfAbCOqce+yt87KsvU31g3WAplRgy9/lkWtE59Qwu+QxkdU6+v4Rm0TkczM9eAEP1Ns230YyBtcLWAhiiuylH+tmTwxGuvRn5L2WzWAxnhW0tkwjT3hQjvTiCYP7Ut30CQRTVd3jMEvB2S8Kt3qaJYfAyn4Gs7kFgf4WPffXlqg+0GyylEkPmPp9MG7oHweCSz0BU90TQ7oxc7U4WZgDdH+s4D0MdFGFuvFqaDoJBnE2CfDRJ9DDKwuFod3RPhGt3Rt7O37oxsFbYWkDDtDvFSG87cY/qu3jmkfu7eFs9RAfD4GU+A+EAVo/9FT721Zep3mNusJRKDJn7fDKtBLB6Bpd8BrIBLNlfQrMEMA7mZy+A4TrskaIZA2uFrQUwTIddjPQiI5s7yu1nZPVNRrMEtM8a4XYHUBEMXuYzEA5o9dhf4WNffbnqPegGS6nEkLnPJ9NKQKtncMlnIBvQoOM+h2YJaBzMADpPi7wfR4OgyCZ5oEbhJOgP0ziYhKNMxfEkiUfzVbYLAQ3XcY9SmjGwVthaQMN03MVILze6rwmbVVOg9k2zLFFtdI8i2Noex/AhNR+SED4o+ABfULDnXcEXNHxBw2Z4DV9I4QspfF8KW+Uz2BafFeZDDt+Sw7cU8C0FfKGAv6u21BfmW2LYVx8b45kPKXyAv4ti+KDhA/wxhq/GGXyAPybwEwn8XQLfksAXEvgC4IsVfEGZfzLW8Bngi1P4LIXPAFqcwWc5fAbQYkAVF+azJIzhg4GRwPb+JILPYvgMrJHAv5sk8Bn8QwkYItHwmYbPwAZJCp9l8FkGn+XwWQ6fAf3EaJ77Cvgq+DcU/BsK/g0F/4aCf0PBv6GS1LUCvc38ED9rhVpHeOdfHSkAi+cSFs8lLJ5LWDyXsHguYfFcwuK5hMVzCYvnEhbPJSyeS1g8l7B4LmHxXMLiuYTFcwmL5xIWzyUsnktYPJeweC6j6vACs3guYfFcwuK5hMVzCYvnEhbPJSyeS1g8l7B4LmHxXMLiuYTFcwmL5xIWzyUsnktYPJeweC5h8VzC4rmExXMJi+cSFs8lLJ5LWDyXsHguYfFcwuK5hMVzCYvnEhbPJSyeS1g8l7B4LmHxXMLiuYTFcwmL5xIWzyUsnktYPJeweC5h8VzC4rmExXMJi+cSFs8lLJ5LWDyXsHguYfFcwuK5hMVzCYvnEhbPJSyeS1g8l67Fc8lfPKtBF7V40HF3dngDLB7z0awe+JjCR7N+4KOqPlZfVdVJDqr6qq6+qqtzHnT11bT6alp9f1qdBZFVZz6YtWQ+5tV35tV3FtV3FtVXi+rvZ2dHFPCdcXWCBCwq+JhWH6u/j+Lqo64+Vn8TV98TZ9XH6m+S6meT6u+T6juT6qtJ9dUKP6wx+AhIYJXBx+rztPo8rT6vkMNSMx/z6vMKeVxhhuV26xasN/gICJPqjAtYcuZjXH1e2TCp8MCyMx+rfz2prAcrDz5Wn1d2g8VnPmbV51n1eV59nlefVxaDJXjrlqrso6p/V1X/rqr+XVX9u6r6d1X177qWIjxtzlrcqS5c/cCFUUne4YVwy0XMegYv8xkI53z12F/hY9cU7HzFtdSe9WTu88m0kvPVM7jkM5DN+WD6KHJNH7EwA+ion4yTWOtAD/ppoIpxFgwGwzyIs2IcDaI4L/o7c/ZdFOGmj6KCZgysFbaW82Gmj8RIz0oDfRODQ5UHgxzyw2w8DvJRrIJhlvZDHUWhCgc7s0xi3PRR7B3EsVkMZ4VtLZMYM30kRrpaJiPVz/pFNg4iI3IDlcajoB/3h0EynuT9vD/Ohzu0hTlGnQ5uvo1qMZwVtrZM6idR7suR3nZPP66faDCP3DvR4Dk9sA05jGDwMp+BIjPAYz/DYH+Fj331ZarXXxsspRJD5j6fTBtyGMHgks9AVA7H8f4S2rocZmGe6RwT0rJcB4nWmfFiRh3BJevBcJgMdazCYdovXt2ZAIY7XCH2DzisGQNrha0FsPpJlPtypOcnhoexHkVZkKhxESjdV0E+TGEcoIizOOqnSTTZnWWCG/0A10+zGM4KW1smmNEPMdLPXnIdo44Nj+BR0iyGs8LWlkn9GMB9OdJbl8P17WTzyFMv+3yVfbtyuJ7By3wGiswAj/0Mg/0VPvbVl6lef22wlEoMmft8Mq3I4XoGl3wGsnI43V9Cs8hhDuZnL4DhDleI/ecMrBkDa4WtBTDM4QpipJ9BOYw6wdt8G9ViOCtsbZnUt77uy5F+BpNrXK8p9rZdbBbDWWFrywTTaxIjvW05nNS3UF4y3+Rlv9XbSTAMXuYzUGQGeOxnGOyv8LGvvkz1+muDpVRiyNznk2lDDiMYXPIZiMrhJNxfQluXwyzMz1x7M8G1NxP/cdWW0/ZxVthWAEsw7U0x0s/esEQS45aJv6NisRjOCltbJvWtr/typJ+95DrB9ZoSf9vFYjGcFba2TDC9JjHSW5fD9S0U88iVh30ahqvs25XD9Qxe5jNQZAZ47GcY7K/wsa++TPX6a4OlVGLI3OeTaUUO1zO45DOQlcNqfwnNIoc5mJ+9AIZrbyaaZgysFbYWwDDtTTHSz151OMFtK05SqsVwVtjaMqlvfd2XI/3sVYcTXK8p8bVdrBbDWWFrywTTaxIjvXU5XN9CMY/c10JJt3ygJYLBy3wGiswAj/0Mg/0VPvbVl6lef22wlEoMmft8Mq3I4XoGl3wGsnIYttIlrq10LMzPns7BtTeTgmYMrBW2FsAw7U0x0s9e1qRwW+mUr6NitRjOCttaJqq+9XVfjvS2dY6qb6GYR+5roaRhvMq+VZ2DYPAyn4GszkFgf4WPffVlqg+sGyylEkPmPp9MGzoHweCSz0BU5yg4uFu5Du5mYX72Ahiuval8nT6LMbBW2FoAw7Q3xUhXyyRVoywbjpNgEOU5JPVxYH56YH6qP4oGaX+U690ZllC49qbydfqsFsNZYWvLBNPeFCM9K/sNwnSih2Gg+mFkviM2P5WOsiDXRRFO8uFYR3p3lgluK51SVIvhrLC1ZVLf+rovR3p24GR/FBfRJAzyPOwHaqSiYJCl42CcxkWsYl0M8nh3lgmu16Q01WI4K2xtmWB6TWKkt5411bdQzCNPvey3e7g2gsHLfAaKzACP/QyD/RU+9tWXqV6mb7CUSgyZ+3wyrWRN9Qwu+QxksybYSjeHZsmaOJifufamwrU3lb/TZztnGmWFrQUwTHtTjPQzKIdxW+mUv6NisxjKCltbJvWtr/typJ/BGgyu16T8bReLxXBW2NoywfSaxEhvWw7r+hbKS+abvOzdJ323IYcRDF7mM1BkBnjsZxjsr/Cxr75M9fprg6VUYsjc55NpQw4jGFzyGYjKYQ1b6bRrKx0L8zMXwDRuK532d1TWjIG1wrYCmK5vfd2XI/3sNRE0rtek/W0Xi8VwVtjaMsH0msRIP3tZk8b1mrS/7WKxGM4KW1smmF6TGOlqmWTxJB6lRR6kg0gFKi+SoFCTcRCmo1yNxkU42qVlgus1aUW1GM4KW1smmF6TGOl/mt/Ymc+Ib/32Fl3fUjFLQHusocPtns+HYPAyn4EiM8BjP8Ngf4WPffXlqpftGyylEkPmPp9MK1lUPYNLPgPZLApu7JxDs2RRHMwAOtTpJE8mcTCIVRhE0XhiPhsUQT4q+mqYjNMk3iF5jNtap30dFosxsFbYWkCrb4XdlyM9G55IsnyYRTqIBkOjkcKJNt8WFkGk+0UUj0M1LEa7s0xwvSfta8NYLYazwtaWCab3JEZ669Xi+paKeeT+lopeZd+uzqln8DKfgbDOqcf+Ch/76stUH1g3WEolhsx9PplWdE49g0s+A1mdA1vrtGtrHQvzsxfAcO1O7e/8rRkDa4X/f3Xv0is7klxr/pWLGgnYSYAPdz4auAPhAuqRerApHT6UGgTjISW6lClkpfp2X6D+e7vHidxXYni4LRrTaOE1iDp5duzM9S0aaeZcfKg1MCTuFINObxyusVvr6njCEnAMc0GrTGo6CpvkoLXnnJqOVNwmj0cqum/jBQgGPoHsnANoH/na1zsT3Vh3lFKPwEx8mCPmHIBg5hOIzjm1v7WufnVrHUtzeg0MizvrePIXeJUk5oJaA0PiTjHo9MbhGos763jyF3AMc0GtTJC4Uwxafc6hUzy3yU2UXvc1qwDBwCcQnnNo7SNf+3pnohvrjlLqEZiJD3PInEMTzHwC2TnHPzn0IS0w53A0e9FnW52q9lRk7VJdM1PfuuzUFpesO9/ya3UtLkuz/Pg2DQy7m7O228xAXVBrYHTaOslBJzjnYPFmXW91DHNBrUyQeFMMWmnOebFpX5zeLmzbdl2pe3NvTYcKA5/AbCbAtX8i2ke+9vVOQzfQP6pkJr7oQ+YW2vaZTyA3t4SE+mmFozS5szINFis0L86wvzIDdUGrDTVIrCAGnd600mAn75oX57FeO4a5oFYmyMk7Mei3mlYaE6XUvfeyoZfMA59AdloBtI987eudhm6bf1TJTHzRR0wrgO0zn+DwaYWlNL02hC2amxfrx1dmoC6otSFk0SwGneBQiz1opIlP+AHHMBfUyoRegE1y0G81rbTx0V332t+WXnwMfAKzmQDX/oloH/na1zsN3Tb/qJKZ+KKPmFYA22c+weHTCktpcm2oxRbNbXz9yL96MbRHkfDsveqrDbXIolkMOr2htsXu3G7NVscwF9TKhF6ATXLQStPK1xUvLR2Xuk1uw/Tfc7BC9+VgAMHAJxCeYmjtI1/7emei2+mOUuoRmIkPc8h0QxPMfAK56ea/e18/vqQF5hyOZi8au+zhXRoYdlamfXGC4pUZqAtqDQw5KyMGneCcg92p3cZuWg46hrmgVibIndpi0OpzDn1Oym3y6I2eRbmmP3bOoQkGPoHwnENrH/na1zsT3Vh3lFKPwEx8mEPmHJpg5hPIzjn+Tu321Z3aLM1etKmK28XkJssvXeWf2ldnXVcUmV2uy9k1vKIsH8/WeocGht2p3XbbzEBdUGtgyJ3aYtDpzTkddklVF71pOeQY5oJWmXT0KepJDlp7zunom1PdJo/e6FnoXvELEAx8Atk5B9A+8rWvdya6se4opR6BmfgwR8w5AMHMJxCdczp/p3b36k5tlmYv+nayF3fEquPhxbs0MCy36l5EOK/MQF1Qa2BIbiUGrd7A6BuQ3SaP3oBc6F4EChAMfALhBkZrH/na1zsTfcTcUUo9AjPxYQ5pYDTBzCeQbWDVx5e0QAPjaPaisfT9XRoYlqh3ZpsZqAtqDQxJ1MWg1RsYHSK6TW6j9LrXBQIEA59AuIHR2ke+9vXORB8xd5RSj8BMfJhDGhhNMPMJZBuYT9Qf0gINjKM5vQaGJepdvc0M1AW1BoYk6mLQ6g2MDordJo8HxboPewQIBj6BcAOjtY987eudiT5i7iilHoGZ+DCHNDCaYOYTyDaw5uNLWqCBcTSndwoRuwOri+fGgQfaYS6oNTA64J/koNUbGB0Uu00eD4p1n+IHEAx8AuEGRmsf+drXOxN9xNxRSj0CM/FhDmlgNMHMJ5BtYN3Hl7RAA+NoTm0FVubQRRzua9vMQF1QamCOh6zaSQ5auYGVOZ1bu00ez4BVX5+IEAx8AtEGhmgf+drXOxN9xNxRSj0CM/FhDmhgCMHMJ5BsYE7Vx5e0pwbG05xeAyuxBha/noH/JsHQPkfC/wH7HXARhxz0Xx/vAy4eR0rtFwKXOR1kuxqIhcK2yF/uxId0NJpg4BMIdzRa+8jXvt676EPojlLqEZiJD3NIR6MJZj6BbEerPr6kBToaR/P9nKK5Ll1dn7LF/b8/rC1Zm9+WLM+tO+K1bdHZxwHrHToadFWH+9o2M1AX1DoacFWHHPS9TOy1a66mtdn5eisysyx15treNbP59WLLsr4tl/p9ygR6/r772lbHMBfUyoRO/Cc5aPWVO50cu01eR+jrolvTHzvn0AQDn0B4zqG1j3zt652Jbqw7SqlHYCY+zCFzDk0w8wlk55z640taYM7haE6vgUHPSXBf22YG6oJaA6MT/0kOOsFxGIrY3de2Ooa5oFYmQMQuB60+59Cpotvk0YSuVD6fQxMMfALhOYfWPvK1r3cmurHuKKUegZn4MIfMOTTBzCeQnXO6jy9pgTmHozm5BlZgEXsRTZufzUBd0GpgBRKxi0GnNw4XBVYm0VQv5BjmglqZ0PHrJAetPecUdIznNnk0xitVH4+KEAx8Atk5B9A+8rWvdya6se4opR6BmfgwR8w5AMHMJxCdc4ry40va85zD0pxeA4PeaO++ts0M1AW1BkanrZMcdILjMBZv+ktLtjmGuaBWJki8KQatPufQqZ3b5DZKX67pj51zaIKBTyA859DaR7729c5EN9YdpdQjMBMf5pA5hyaY+QSyc479+JIWmHM4mr3o2lya5nytsqVoW/+MzDI7Ve5QZrrTpVjq06W173PFaQHdtO6+ts0M1AW1BkanrZMcdIJzDhZvFtGkL+QY5oJamSDxphh0gqsmLN4soklfyDHMBbUyQeJNMWj1cZhOdNwmj6cjqk/RRQgGPoHZTIBr/0S0j3zt652Jnr92lFKPwEx8mEPGYZpg5hPIjsM+3nxIC4zDHM3JNbASizfLeNIXeKAs5oJWAyuReFMMOr1xuMTizTKe9IWeOwy5oFYmSLwpBp3e4rossTKJJyoBxzAX1MqEjr4mOWjtcbikIxS3yeMRiuozuRGCgU9gNhPg2j8R7SNf+3pnouevHaXUIzATH+aIcRggmPkEouNw6e/eLF/dvcnSnF4Dw+JNv09vMQN1Qa2BIfGmGHSC4zB296bflNscw1xQKxM6+prkoBNcXGNZk29M2xzDXFArEyRrEoP+errJow78+KX6dJOSzlRcDcQyFav7clmEYOATmM0EuPZPRPvI177eu+iBbEcp9QjMxIc5ZD6mCWY+gex83Hx8SQvMxxzNXnS+nC9NXpyz08U2malOJutqe83aq7kV58p2XbX8+DYdDcs7y1j0FzADdUGtoyF5pxi0+gkeOuJxmzwel6i+swYhGPgEwg2M1j7yta93JvqIuaOUegRm4sMc0sBogplPINvAfN75kBZoYBzNyTWwCss7q3j0F3p9C+SCVgOrkLxTDFq7gVV0jOc2eTzGU31nDUIw8AlkGxigfeRrX+9M9BFzRyn1CMzEhzmigQEEM59AtIFV/onJ1asnJrM0p9fASqyBxdPmwOtbMBfUGhgSsYtBqzcwOlV0mzye0Km+swYhGPgEwg2M1j7yta93JvqIuaOUegRm4sMc0sBogplPINvAfMRevYrYWZrTa2BYxF6ZbWagLqg1MCRiF4NWb2B0cuw2uY3S676zBiAY+ATCDYzWPvK1r3cm+oi5o5R6BGbiwxzSwGiCmU8g28D8HcQPaYEGxtHsRV+uRVlfbresKi/3F5dcs1ORl9mlqOvidM6XpXvs4+/QwLCrOqp6mxmoC2oNDLmqQwxavYHRubXb5LEMuC51H90OEAx8AuEGRmsf+drXOxN9xNxRSj0CM/FhDmlgNMHMJ5BtYP4ijurVRRwszek1MOwijip+/3bg8dSYC2oNDLmIQwxavYHRubXb5NEMuMpf7rOHNDCaYOATCDcwWvvI177emegj5o5S6hGYiQ9zSAOjCWY+gWwD8xdxPKQFGhhHsxd9skttr+c6axbbZuZmiqwtuy4z9e1a5Etnm/x97tIx2EUcJno9w7MZqAtaDcwgF3GIQWs3MEPn1m6TRzPgSvdhywDBwCeQbWCA9pGvfb0z0UfMHaXUIzATH+aIBgYQzHwC0QZm/EUc5tVFHCzNya3ATIk1sOj1DM9moC6oNTDkIg4x6K8bw9rv5OqvvTZ0kO1qIBYK20L3wQkAwcAnEO5otPaRr329d9GH0B2l1CMwEx/mkI5GE8x8AtmO5q/qMK+u6mBpvi/Juup2Ms0pa5u2zExhu+xU2yZrmpMx3Wmxl6b48W06GnZVhzHbzEBdUOtoyFUdYtD3Mlm6S3UtzkVW527lZkx7zbqq7bLubKvm2liz+CXhu5QJ9uAEY7c6hrmgViZ04j/JQf/1O7a9lsvVuh8u/u55W2atubji6ipTlG1xbrv2fcoEi9hNvdUxzAW1MkEidjHo70eT5Xw93aous8acM9O0N3fkya07Bi3tpVhOl8q+0dEEe0i3iaV64R0LckGtTOj4dZKDVj8PSMd4bpNHY7yqXNMfu2qiCQY+gdlMgGv/RLSPfO3rnYke03eUUo/ATHyYQ1ZNNMHMJ5BdNbUfX9ICqyaO5vQaWIc1sHiq92QG6oJaA6Pj10kOOr1x2GJ5p41HfwHHMBe0ysQieacYdHqLa4s9pNvGI5bQjgW5oFYmdBY2yUF/P5osl6qq3deW880db07mlJ1OZZ6d87q8NVWbX8+n9ykTLHyy8RwmtGNBLqiVCRI+iUFrr5osfXrdbfLoDYiV7jtrAIKBT2A2E+DaPxHtI1/7emeix/QdpdQjMBMf5ohVE0Aw8wlEV03WZ032VdbE0uxFt7lt3YScZ25+9oGDybMu79rsdrrY9lx0dsnfqIFhWZM128xAXVBrYEjWJAad4DiMZU3WbnUMc0GtTJCsSQw6wcU1ljXZWOwSdAxzQa1MkKxJDDq9U3UWy5ps9A6y4I4FuaBWJkjWJAatvmqiT6+7TR4/Va17hR5AMPAJzGYCXPsnon3ka1/vTPSYvqOUegRm4sMcsmqiCWY+geyqyWdN9lXWxNKcXgPDsiYbj1341w2E9jkS/g/Y75CsSQw6vXG4xrKmOh678K9CUiqTGsmaxKDTW1zXWNZUx2MX/jWNWmWCZE1i0OldFl5jWVMdj134V0hrlQmSNYlBa6+aavr0utvk8VPVuu8LAQgGPoHZTIBr/0S0j3zt652JHtN3lFKPwEx8mCNWTQDBzCcQXTXVPmuqX2VNLM3JZU01ljXVZpsZqAtqDQzJmsSgExyHsayptlsdw1xQKxMkaxKDTnBxjWVNdTx2CTiGuaBWJkjWJAad3qm6Gsua6njsEtqxIBfUygTJmsSg1VdN9Ol1t8njp6p1X1IFEAx8ArOZANf+iWgf+drXOxM9pu8opR6Bmfgwh6yaaIKZTyC7avJZU/0qa2JpTq+BYVlTHY9dAu9rwlxQa2BI1iQGnd443GBZUxOPXQKOYS5olUmDZE1i0Oktrhssa2risUtox4JcUCsTJGsSg07vVF2DZU1NPHYJOIa5oFYmSNYkBq29amro0+tuk8dPVeu+GREgGPgEZjMBrv0T0T7yta93JnpM31FKPQIz8WGOWDUBBDOfQHTV1PisqXmVNbE0p9fAsKypMdvMQF1Qa2BI1iQGneA4jGVNjd3qGOaCWpkgWZMY9PfF9aWscnsqs7wrbt+/e7qdm6xol1NV1LVZbm+0uMaypiYeuwQcw1xQKxMkaxKDTu9UXYNlTU08dgntWJALamWCZE1i0OqrJvr0utvk8VPVuq/jBQgGPoHZTIBr/0S0j3zt652JHtN3lFKPwEx8mENWTTTBzCeQXTX5rKl5lTWxNKfXwLCsqYnHLoE302IuqDUwJGsSg05vHG6xrKmNxy4BxzAXtMqkRbImMej0FtctljW18dgltGNBLqiVCZI1iUGn9wy9Fsua2njsEtqxIBfUygTJmsSgtVdNLX163W3y+Klq3XfAAwQDn8BsJsC1fyLaR7729c5Ej+k7SqlHYCY+zBGrJoBg5hOIrppanzW1r7ImlubksqYWy5pas80M1AW1BoZkTWLQCY7DWNbU2q2OYS6olQmSNYlBJ7i4xrKmNh67BBzDXFArEyRrEoNO71Rdi2VNbTx2Ce1YkAtqZYJkTWLQf/39tbfdd3L/cBDV19629Pl2VwOxc9e20L3RCSAY+ARmMwGu/RPRPvK1r/cuem7fUUo9AjPxYQ5ZRtEEM59Adhnlw6f2VfjE0nzvaNemXppbnl3a0g1JZVFlp3yx2cVcuiVv26K9vc/zjVosfGpjOUzADNQFtY6GhE9i0PcyMXl5Od2Wa1bU1i25bH7Jlqu5ZHXR5uZ6qy5V9z5l0mHhUxfLYYKOYS5olUmHhE9i0OndD9dh4VMXy2GCjmEuqJUJEj6JQd/LpL65Ift2ybNbmbsl17nusvbSddn5ejVu+r6dctO8T5lg4VMXy2GCjmEuqJUJEj6JQWuHTx19vt1t8ui5a5Ov6Q9dNQEEA5/AbCbAtX8i2ke+9vXORI/pO0qpR2AmPswRqyaAYOYTiK6aOh8+da/CJ5bm9BoYFj51ZpsZqAtqDQwJn8SgExyHsfCps1sdw1xQKxMkfBKDTnBxjYVPXTSHCTmGuaBWJkj4JAad3qm6DgufumgOE3IMc0GtTJDwSQxafdVEn153mzx6n4Qp1vTHrppogoFPYDYT4No/Ee0jX/t6Z6LH9B2l1CMwEx/mkFUTTTDzCWRXTT5r6l5lTSzN6TUwLGvqYrFLwAzUBbUGhmRNYtDJjcNVDmVN7mtbHcNcUCoTx0OXiRx0cudgqhzKmtzXtjqGuaBWJkDWJAetPA5XOR2huE0evX/HlGv6I8dhhGDgE5jNBLj2T0T7yNe+3pno+WtHKfUIzMSHOWAcRghmPoHkOOxUfXxJexqHeZrTa2AV1sDiicqTGagLag2Mjr4mOejkQoQqh7Im97WtjmEuqJUJkDXJQSe4aoKyJve1rY5hLqiVCZA1yUGrj8N0hOI2eTxCqdb0x47DNMHAJzCbCXDtn4j2ka99vTPR89eOUuoRmIkPc8g4TBPMfALZcbj++JIWGIc5mlM7O1zlULzpvrbNDNQFtQYGxJty0AnOOS1WJvFEJeAY5oJamdDR1yQHneCqCcqa3Ne2Ooa5oFYmQNYkB53eOZgCy5qKeOwScAxzQatMCiRrEoPWXjUVdITiNnk8QjFr+kNXTQDBwCcwmwlw7Z+I9pGvfb0z0WP6jlLqEZiJD3PEqgkgmPkEoqumovj4kva8amJpTq+BlVgDiycqT2agLqg1MDr6muSg0xuHCyxrKuKxS8AxzAW1MkGyJjHo9BbX</t>
  </si>
  <si>
    <t>BZY1FWarY5gLamWCZE1i0OmdqiuwrKmwWx3DXFArEyRrEoNWXzXRp9fdJo+fqrZr+mNXTTTBwCcwmwlw7Z+I9pGvfb0z0WP6jlLqEZiJD3PIqokmmPkEsqsmnzU9pAVWTRzN6TUwLGsq4rHLkxmoC2oNDMmaxKATHIexrKmIxy4BxzAX1MoEyZrEoL8vrqEnyL5LmWBZUxGPXQKOYS6olQmSNYlBp3eqrsSypjIeuwQcw1zQKpMSyZrEoLVXTSV9et1t8vipatVnBSMEA5/AbCbAtX8i2ke+9vXORI/pO0qpR2AmPswRqyaAYOYTiK6aSp81la+yJpbm9BoYljWV8diF/wTD0D5Hwv8B+x2SNYlBpzcOl1jWVMZjl9DzUCEX1MoEyZrEoNNbXJdY1uQnhG2OYS6olQmSNYlBp3eqrsSyJr8ptzmGuaBWJkjWJAatvmqiT6+7TR4/Vd2s6Y9dNdEEA5/AbCbAtX8i2ke+9vXORI/pO0qpR2AmPswhqyaaYOYTyK6afNb0kBZYNXE0p9fAsKypjMcuT2agLqg1MCRrEoNOcBzGsqYyHrsEHMNcUCsTJGsSg05wcY1lTWU8dgk4hrmgViZI1iQGnd6pugrLmqp47BJwDHNBq0wqJGsSg9ZeNVX06XW3yeOnqts1/aGrJoBg4BOYzQS49k9E+8jXvt6Z6DF9Ryn1CMzEhzli1QQQzHwC0VVT5bOm6lXWxNKcXgPDsqYqHrs8mYG6oNbAkKxJDDq9+5oqLGuq4rFLwDHMBbUyQbImMeh7mVxM2dimKbKqPLdZUVzd6FzkZXZxY3NxOufL0lXvUyZY1lSZrY5hLqiVCZI1iUGnd6quwrKmym51DHNBrUyQrEkM2v3vn+/k+XdyXw7/pLqMos+3uxqInbu2hfIyiiYY+ARmMwGu/RPRPvK1r/cuem7fUUo9AjPxYQ5ZRtEEM59Adhnlw6eHtMAyiqP5Lro7LV2eV5ldTOVGo1OTtcvJT0p1XbpfNZfm+uPbdDQsfKpiOUzADNQFtY6GhE9i0PcyKdpzc7q0t6xYTrX7rltttVXtul9ZFo37FxWn2xvNx1j4VMVymKBjmAtqZYKET2LQ9zI5l13l/nrJLl11zowpTdaWeZ5di6Xrlqaom+sblQkWPlWxHCboGOaCWpkg4ZMYdHrn7gwWPplYDhN0DHNBq0wMEj6JQWuHT4Y+3+42efzcdbemP3TVBBAMfAKzmQDX/oloH/na1zsTPabvKKUegZn4MEesmgCCmU8gumoyPnwyr8Inlub0GhgWPpl4DvNkBuqCWgNDwicx6PTGYYOFTyaewwQcw1xQKxMkfBKDTm9xbbDwyZitjmEuqJUJEj6JQad3qs5g4ZOxWx3DXFArEyR8EoNWXzXRp9fdJo+dqq5tvqY/dtVEEwx8ArOZANf+iWgf+drXOxM9pu8opR6Bmfgwh6yaaIKZTyC7avJZ00NaYNXE0ZxeA8OyJhOLXQJmoC6oNTAkaxKDTnAcxrImE73nJ+QY5oJamSBZkxh0gotrLGsysdgl6BjmglqZIFmTGHR6p+osljXZ6D0/IccwF7TKxCJZkxi0v2TPg/+ofKWepU+zu00fO2VtC93MCSAY+ARmMwGu/RPRPvK1r3cqelzfUUo9AjPxYY5YPQEEM59AdPVkfeZkX2VOLM1e9NJd7MlUbVaeii4ztZuSFn+zb1ub9nIpLpfSvs+dLBbLnGwsfgmYgbqg1siQzEkM+l4mbjC6XVpjsrpubGYa22WnS1NkNnffPd3qvKnM+5QJljnZWPwSdAxzQa1MkMxJDDq91ZPFMidrtjqGuaBWJkjmJAad4OoJy5ys3eoY5oJamSCZkxi0duZk6dPsbpPHT1kXa/pjV000wcAnMJsJcO2fiPaRr329M9Fj+o5S6hGYiQ9zyKqJJpj5BLKrJp85PaQFVk0czek1MCxzsvH45ckM1AW1BoZkTmLQCY7DWOZk4/FLwDHMBbUyQTInMegEF9dY5mTj8UvAMcwFtTJBMicx6PRO1dVY5lTH45eAY5gLWmVSI5mTGLT2qqmmT6+7TR69PcKWa/pDV00AwcAnMJsJcO2fiPaRr329M9Fj+o5S6hGYiQ9zxKoJIJj5BKKrptpnTfWrrImlOb0GhmVNdfRWn2czUBfUGhiSNYlBpzcO11jWVEdv9Qk5hrmgViZI1iQGnd7iusayptpsdQxzQa1MkKxJDDq9U3U1ljXVdqtjmAtqZYJkTWLQ6qsm+vS62+TxU9XVmv7YVRNNMPAJzGYCXPsnon3ka1/vTPSYvqOUegRm4sMcsmqiCWY+geyqyWdND2mBVRNHc3oNDMua6njs8mQG6oJaA0OyJjHoBMdhLGuq47FLwDHMBbUyQbImMegEF9dY1lTHY5eAY5gLamWCZE1i0OmdqmuwrKmJxy4BxzAXtMqkQbImMWjtVVNDn153mzx+qtqs6Q9dNQEEA5/AbCbAtX8i2ke+9vXORI/pO0qpR2AmPswRqyaAYOYTiK6aGp81Na+yJpbm9BoYljU18djlyQzUBbUGhmRNYtDpjcMNljU18dgl4BjmglqZIFmTGHR6i+sGy5oas9UxzAW1MkGyJjHo9E7VNVjW1NitjmEuqJUJkjWJQauvmujT626Tx09V2zX9sasmmmDgE5jNBLj2T0T7yNe+3pnoMX1HKfUIzMSHOWTVRBPMfALZVZPPmh7SAqsmjub0GhiWNTXx2OXJDNQFtQaGZE1i0AmOw1jW1MRjl4BjmAtqZYJkTWLQCS6usaypiccuAccwF9TKBMmaxKDTO1XXYllTG49dAo5hLmiVSYtkTWLQ2qumlj697jZ5/FR1vaY/dNUEEAx8ArOZANf+iWgf+drXOxM9pu8opR6BmfgwR6yaAIKZTyC6amp91tS+yppYmtNrYFjW1MZjlyczUBfUGhiSNYlBpzcOt1jW1MZjl4BjmAtqZYJkTWLQ6S2uWyxras1WxzAX1MoEyZrEoNM7VddiWVNrtzqGuaBWJkjWJAatvmqiT6+7TR4/Vd2s6Y9dNdEEA5/AbCbAtX8i2ke+9vXORI/pO0qpR2AmPswhqyaaYOYTyK6afNb0kBZYNXE0p9fAsKypjccuT2agLqg1MCRrEoNOcBzGsqY2HrsEHMNcUCsTJGsSg05wcY1lTW08dgk4hrmgViZI1iQGnd6pug7Lmrp47BJwDHNBq0w6JGsSg9ZeNXX06XW3yeOnqts1/aGrJoBg4BOYzQS49k9E+8jXvt6Z6DF9Ryn1CMzEhzli1QQQzHwC0VVT57Om7lXWxNKcXgPDsqYuHrs8mYG6oNbAkKxJDDq9cbjDsqYuHrsEHMNcUCsTJGsSg05vcd1hWVNntjqGuaBWJkjWJAad3qm6DsuaOrvVMcwFtTJBsiYxaPVVE3163W3y+Klq3bfcAgQDn8BsJsC1fyLaR7729c5Ej+k7SqlHYCY+zCGrJppg5hPIrpp81vSQFlg1cTSn18CwrKmLxy78d++F9jkS/g/Y75CsSQw6wXEYy5q6eOzCf5OnVpkgWZMYdIKLayxr6uKxC/+9wFplgmRNYtDJnaozOZQ1ua9tdQxzQalMHA9dJnLQyqsmk9On190mj56qrvM1/ZGrJoRg4BOYzQS49k9E+8jXvt6Z6DF9Ryn1CMzEhzlg1YQQzHwCyVWTU/XxJe1p1cTTnF4Dg7Im97VtZqAuqDUwIGuSg05uHDY5lDW5r211DHNBrUyArEkOOrnFtcmhrMl9batjmAtqZQJkTXLQyZ2qMzmUNbmvbXUMc0GtTICsSQ5afdVEn153mzx6qrp+esfvsasmmmDgE5jNBLj2T0T7yNe+3pnoMX1HKfUIzMSHOWTVRBPMfALZVVP98SUtsGriaE6vgUFZk/vaNjNQF9QaGJA1yUEnOA5DWZP72lbHMBfUygTImuSgE1xcQ1mT+9pWxzAX1MoEyJrkoNM7VVdgWVMRjV1CjmEuaJVJgWRNYtDaq6aCPr3uNnn8VHW5pj901QQQDHwCs5kA1/6JaB/52tc7Ez2m7yilHoGZ+DBHrJoAgplPILpqKnzWVLzKmlia02tgWNZUxGOXJzNQF9QaGJI1iUGnNw4XWNZUxGOXgGOYC2plgmRNYtDpLa4LLGsqzFbHMBfUygTJmsSg0ztVV2BZU2G3Ooa5oFYmSNYkBq2+aqJPr7tNHj9V/fSO32NXTTTBwCcwmwlw7Z+I9pGvfb0z0WP6jlLqEZiJD3PIqokmmPkEsqsmnzU9pAVWTRzN6TUwLGsq4rFL4I3lmAtqDQzJmsSgExyHsaypiMcuAccwF9TKBMmaxKATXFxjWVMRj10CjmEuqJUJkjWJQad3qq7EsqYyHrsEHMNc0CqTEsmaxKC1V00lfXrdbfL4qeqnd/weumoCCAY+gdlMgGv/RLSPfO3rnYke03eUUo/ATHyYI1ZNAMHMJxBdNZU+aypfZU0szek1MCxrKuOxS+CN5ZgLag0MyZrEoNMbh0ssayrjsUvAMcwFtTJBsiYx6PQW1yWWNfkJYZtjmAtqZYJkTWLQ6Z2qK7GsyW/KbY5hLqiVCZI1iUGrr5ro0+tuk8dPVT+94/fYVRNNMPAJzGYCXPsnon3ka1/vTPSYvqOUegRm4sMcsmqiCWY+geyqyWdND2mBVRNHc3oNDMuaynjsEnhjOeaCWgNDsiYx6ATHYSxrKuOxS8AxzAW1MkGyJjHoBBfXWNZUxmOXgGOYC2plgmRNYtDpnaqrsKypiscuAccwF7TKpEKyJjFo7VVTRZ9ed5s8fqr66R2/h66aAIKBT2A2E+DaPxHtI1/7emeix/QdpdQjMBMf5ohVE0Aw8wlEV02Vz5qqV1kTS3N6DQzLmqp47BJ4YznmgloDQ7ImMejv4/Dp3LXXqs7s+eJmotO5ybqiqLO2a87F+Vwsl/r0PmWCZU1VPHYJOIa5oFYmSNYkBp3e4rrCsiY/7G9zDHNBrUyQrEkMOr1TdRWWNVV2q2OYC2plgmRNYtDqqyb69Lrb5PFT1U/v+D121UQTDHwCs5kA1/6JaB/52tc7Ez2m7yilHoGZ+DCHrJpogplPILtq8lnTQ1pg1cTRnF4Dw7KmKh67BN5Yjrmg1sCQrEkMOsFxGMuaqnjsEnAMc0GtTJCsSQw6wcU1ljVV8dgl4BjmglqZIFmTGHR6p+oMljWZeOwScAxzQatMDJI1iUG7//3zvVTMug7WVvzlev7tp19+FnCi/8e//xuHWP7gPoz/qF+5EDtlbct87cLLkRdiwadeDzB7gNkDzK8AZj7AeuKFAOCh1+t3s60D8J/m/hlG8D/hMHiI4juD/79/ih5x6JUhq8y+jjP0uXF3lImdG7dl+XJLHbFQBwgGPoHZTIBr/0S0j3ztdot2/hHr69hNw0x8mCMW6gDBzCcQXaib8uNLWuAwxdHsRdvmcq5s1WR1mbv56mxdzyxORVbX7dV0y6m+XLof32ZmwnIrE4twAmagLqjNTEhuJQatfabZ0HGM2+QmQu+AXu6zhzQwmmDgEwg3MFr7yNe+3pnoI+aOUuoRmIkPc0gDowlmPoFsAzMfX9ICDYyjOb0GhkWlxm4zA3VBrYEhUakYtHoDo9Mht8njScvTK6qPbWA0wcAnEG5gtPaRr329M9FHzB2l1CMwEx/mkAZGE8x8AtkG5qPSh7RAA+NoTq+BYVGpiaeGT2agLqg1MCQqFYP+ftb6zr4uhLUX0JlSlhWP09bdD5Ppih+mpsxf2RCLAm2JP4EWYsGPQI/T1t0PsweYXwHMfIBjTlt3/oS1I/jbv32F4L/FYfhPp631KszmrsJs5T9q/+ELrvb/WPt/bPxPG/+Pzf0f/U9b/49t86ocu6gT+KO9IPCt5ehoZ087e9rZ086edva0s6edPe3saWdPO3va+RXtzKc9pHYdrf+s7p/1/fNezfX9b+r73zT37zT3v2m+/839O+39b16A3/cLBvk7BTWWTka/uS9FKXXvQwMIBj6B2UyAa/9EtI987XaLdv4R9PdxBYCZ+DBHLBMAgplPILpMsPnHl7TnwxRLsxd9ttdLl7ddtlytmxWXa5u1l6XK8lvZ1qfysiynR5W9wTLBFtAywcbD9dBNFJALWssES989OclB38vkerpWl6Vza4jOnDNT+cvqqmbJ7HkpT0Xdmry5vk+ZlFiZxMPNgGOYC2plQqfQkxz0fTXpfvtxGNefe+h005VAPN3UzfcAgoFPIDz30NpHvvb1zkU32h2l1CMwEx/mkLmHJpj5BLJzT/XxJS0w93A0e9FtZ262tFW2XC6nzBS1zbqLqbPz7dZcb01ZXcz73CJgsTtmrdlmBuqCWkOjU+lJDvpeJqeiMLU1XVYXZzcjmbbJFntustvSXPJL0dq6fp+z6BaLga3d6hjmglqZIDGwGLR2DGzp5Mtt8jpCXzevL5k+ZM6hCQY+gfCcQ2sf+drXOxPdWHeUUo/ATHyYQ+YcmmDmE8jOOT4GfkgLzDkczek1MCwGttFE9NkM1AW1BobEwGLQCY7D2B2zNnrzaMgxzAW1MkHumBWD/v38zuNWR8+ve36HvjHUlUAXccNWynMPTTDwCYTnHlr7yNe+3rnoRrujlHoEZuLDHDL30AQzn0B27uk+vqQF5h6OZi/aFvbWuCNXVnXXIjNVXWen7tJl5XJ1B7QiP7t/+vFdGlqN3bRdR0O+ZzNQF7QaWk2nsZMc9PcHypxO7VItXdbUlclMfuuykz27j7wsztfK/YsK+z5lgsWfdTQJDDmGuaBWJkj8KQad3nOHaiz+rKNJYNAxyAW1MkHiTzFo7dOANZ3wuE0efQhpU6zpDx2HAYKBT2A2E+DaPxHtI1/7emei568dpdQjMBMf5ohxGCCY+QSi43Dt4876VdzJ0pxeA8PiztpsMwN1Qa2BIXGnGHSCqyYs7qztVscwF9TKBIk7xaDV5xw64XGbPJ6WlGv6Y+ccmmDgEwjPObT2ka99vTPRjXVHKfUIzMSHOWTOoQlmPoHsnOPjzoe0wJzD0exFL0V7quvunFnrVvbmVC1Zt1zPWWuq6+3aVfmtOv/4Ng0MizvrePL3ZAbqgloDQ+JOMegET/thcWcdT/4CjmEuqJUJEneKQSe4asIeEFzHEpWwY5ALamVCR1+THLT2ONzQEco396Uo/es7z48YhwGCgU9gNhPg2j8R7SNf+3pnouevHaXUIzATH+aIcRggmPkEouNw4+/ubF7d3cnSnFwDa7B4s4m+cvHZDNQFrQbWIPGmGHR6q6YGizebWNIXdAxzQa1MkHhTDFp9zqETHbfJ4+nI66eUHDLn0AQDn0B4zqG1j3zt652Jbqw7SqlHYCY+zCFzDk0w8wlk5xwfbzav4k2W5vQaGBZvNmabGagLag0MiTfFoBMch7F4s7FbHcNcUCsTJN4Ug1afc+hEx23yeDpi1/THzjk0wcAnEJ5zaO0jX/t6Z6Ib645S6hGYiQ9zyJxDE8x8Atk5x8ebD2mBOYejOb0GhsWbTTzpezIDdUGtgSHxphh0guMwFm828aQv4BjmglqZIPGmGPTvd3MW+Xdyb4Dq7ZwNHeO5GojFeLYq13YcO/jQBAOfQHjwobWPfO3rvYvutDtKqUdgJj7MIYMPTTDzCWQHH38750NaYPDhaL4PPpW/UqOrsjY3l8zY+pSd8uWaVUuZd2a5VM2t+/FdOlqL3c7Zxu9sfDIDdUGro7V0/DrJQac3H7dY3tnG72wMOQa5oFYmSN4pBv19Pq6WU9EWeVYV9TUzRdFmXX5d3HfL7mLPbZU39fuUCZZ3trHoL+gY5oJamSB5pxj013z82Oz+/1Tn45bOfFwNxPITW+kGoADBwCcwmwlw7Z+I9pGvfb130QPZjlLqEZiJD3PEfAwQzHwC0fm49QFo+yoAZWm+d7TcdkXeXrO6PrvD2snWWdfUNjt3pbmac760yxsNPlgA2pptZqAuqHU0JAAVg05w8MEC0NZudgxyQa1MkABUDPr70wDrtjw3lyZbqibPTH29Zd3ZLFnVVXl3606n6tq+T5nUWJnUWx3DXFArEzocm+SgtXPylg5Z3CaPhyy6b7UCCAY+gdlMgGv/RLSPfO3rnYmev3aUUo/ATHyYQ8ZhmmDmE8iOw83Hl7TAOMzRnN55QCwAbeNZYODNPZgLag0MCUDFoBMch7H7O9tYxBJ0DHNBrUzoLGySg05vcd1h4VMXv6Us5BjkglaZdEj4JAZ9P118R1/XwdoK6AW4LCe+v+e4K/2btI3/8G8y7tofJpvn/qP0H8Z/1P7D/6DwPyj8Dwr/g8L/oPA/KP0PSv+D0v+g9D8o/Q8q/4PK/6Cy/sP/nSn8h/+eadyHf9Oy9W9atv5Ny9a/adnW/jdq/xu1/43G/0bjf6Pxv9H63/CvW7at/43W/4bnsJ3/DY9Q54X/MP7D/UbthdeF+2ntldal/5OXVntVtfF/Mv5PXktt/Z9q/yevwD8DffKXzky1/+/Wrf9T5//k/2uN96rJ/Z/8f6Mp7KtSigdU+IWTUEHgM+H39z8792ZfBbOvgtlXweyrYPZVMPsqmH0VzL4KZl8Fs6+C2VfB7Ktg9lUw+yqYfRXMvgpmXwWzr4LZV8Hsq2D2oLOvgtlXweyrYPZVMPsqmH0VzL4KZl8Fs6+C2VfB7Ktg9lUw+yqYfRXMvgpmXwWzr4LZV8Hsq2D2VTD7Kph9Fcy+CmZfBbOvgtlXweyrYPZVMPsqmH0VzL4KZl8Fs6+C2VfB7Ktg9lUw+yqYfRXMvgpmXwWzr4LZV8Hsq2D2VTD7KphfVcHMr4L1UA1VATxXP96L7dzzn+b+eX/ntXPxb//WV4L/LO+f5v5Z3z/vPy3uPy3uPy3uPy3uPy3uPy3vPy3vPy3vPy3vPy3vP63uP63uP3X0/vP+96a4f96/78rDfd7f2W3v7+y293d22/s7u32N+M/779b3323uv9vcf7e5/257/937m7t9rfjP++/eeX25+E//u75g/Ke5f/rfre90vmjc553Fl437vCuv75p95fjP+5/vOn3xuM/6/ue7tvr+PnFfQO7zrseXkPvs7n++a2juPvsycp/3/+6rQvJbhlNJvpQeDUb9fZsdnde6qSOe1zYv95cjzsgABAOfwGwmwLV/ItpHvna7RTt/gvma5WiYiQ9zxBkZgGDmE4iekenKjy9pgcMUR7MX3ZyL1h1Mq6ztTO6W5WWZdeZis+Z6ObmBOu+u9WMff4c1VIWtoeJp7ZMZqAtqayg6Vp/koLUjhY6OZ90mNxH6ulFuYDTBwCcQbmC09pGvfb0z0UfMHaXUIzATH+aQBkYTzHwC2QZmPr6kBRoYR3N6DQy7dKKz28xAXVBrYMilE2LQ6g2MviLAbfI6Sv/6Je+HNDCaYOATCDcwWvvI177emegj5o5S6hGYiQ9zSAOjCWY+gWwD8/eOP6QFGhhHc3oNDLt3vItfIBB4qzvmgloDo6/kmOSg1RsYfUWA2+TxKwK6l/vsIQ2MJhj4BMINjNY+8rWvdyb6iLmjlHoEZuLDHNLAaIKZTyDbwNqPL2mBBsbRnF4Dw67W6bptZqAuqDUw5GodMWjlBmZz+iKUb+5LMfo2f7nPHtDAEIKBTyDawBDtI1/7emeij5g7SqlHYCY+zAENDCGY+QSSDcyp+viS9tTAeJpTa2A2h55O4L62zQzUBaUG5njIqp3koNUbGJ1bu00ey4DrVvUtwgjBwCcQbmC09pGvfb0z0UfMHaXUIzATH+aQBkYTzHwC2QZWfnxJCzQwjub0Ghh0EYf72jYzUBfUGhhwEYcctHoDo3Nrt8lNlL58uc8e0sBogoFPINzAaO0jX/t6Z6KPmDtKqUdgJj7MIQ2MJpj5BLINzHx8SQs0MI7m9BoYdBGH+9o2M1AX1BoYcBGHHLR6A6Nza7fJ6yi96gsdEYKBTyDcwGjtI1/7emeij5g7SqlHYCY+zCENjCaY+QSyDaz++JIWaGAczek1MOgiDve1bWagLqg1MOAiDjlo9QZG59Zuk0cz4Fb1QZUIwcAnEG5gtPaRr329M9FHzB2l1CMwEx/mkAZGE8x8AtkG1n58SQs0MI7m9BoYdBGH+9o2M1AX1BoYcBGHHLR2Ayvo3PqbLeIZsOor2BCCgU8g28AA7SNf+3pnoo+YO0qpR2AmPswRDQwgmPkEog2s8BdxFK8u4mBpTq6BFdhFHEX8eobAa6YwF7QaWIFcxCEGrd7A6NzabfJ4Bqz6bFSEYOATCDcwWvvI177emegj5o5S6hGYiQ9zSAOjCWY+gWwD8xdxFK8u4mBpTq+BYRdxFPHrGQIP9sNcUGtgyEUcYtDqDYzOrd0mN1F61SdxIAQDn0C4gdHaR7729c5EHzF3lFKPwEx8mEMaGE0w8wlkG5i/iOMhLdDAOJrTa2DYRRyF3WYG6oJaA0Mu4hCDVm9gdG7tNnkdpVd9EgdCMPAJhBsYrX3ka1/vTPQRc0cp9QjMxIc5pIHRBDOfQLaB+Ys4HtICDYyjOb0Ghl3EUcSvZ+A/lCK0z5Hwf8B+h1zEIQat3sDo3Npt8ngGrPokDoRg4BMINzBa+8jXvt6Z6CPmjlLqEZiJD3NIA6MJZj6BbAPzF3EUry7iYGlOr4FhF3EU3TYzUBfUGhhyEYcYtHYDK+nc+pv7Uoy+030SB0Aw8AlkGxigfeRrX+9M9BFzRyn1CMzEhzmigQEEM59AtIGV/iKO8tVFHCzNyTWwEruIo4xez/BsBuqCVgMrkYs4xKDVGxidW7tNHs2AO90ncQAEA59AuIHR2ke+9vXORB8xd5RSj8BMfJhDGhhNMPMJZBuYv4ijfHURB0tzeg0Mu4ijjF7P8GwG6oJaA0Mu4hCDVm9gdG7tNrmJ0pcv99lDGhhNMPAJhBsYrX3ka1/vTPQRc0cp9QjMxIc5pIHRBDOfQLaB+Ys4HtICDYyjOb0Ghl3E4feLLWagLqg1MOQiDjFo9QZG59Zuk9dRet0ncQAEA59AuIHR2ke+9vXORB8xd5RSj8BMfJhDGhhNMPMJZBuYv4jjIS3QwDia02tg2EUcZfR6hmczUBfUGhhyEYcYtPvfP3vwH3XfzGxLOr92mz6WBfu3eKs2Mppg4BMINzJa+8jXvt6p6CPnjlLqEZiJD3NII6MJZj6BbCPzF3OUry7mYGn2ok+FORt7rrLqdLaZ6Yo8a+tLm1X1xVyK29Iu1e3Ht2lk2MUcZbfNDNQFtUaGXMwhBq29Eqvo/Pqb+1KEvu50HykFEAx8AtkGBmgf+drXOxN9xNxRSj0CM/FhjmhgAMHMJxBtYJW/mKN6dTEHS3NyDazCLuao4tc1BJ6uhLmg1cAq5GIOMWi/EvPk7Xdw95/RXZFVdJ7tSiCWDVuje3UiQDDwCYQbGq195Gtf71z0EXRHKfUIzMSHOaSh0QQzn0C2ofmLO6pXF3ewNHvR9c0d7m6XPLuV+S0z57rL2kvXZefr1eR1dTvl5oH1Dg0Nu7ijil3nEDADdUGtoSEXd4hB38vEttYNTbdLll+urvmVXZkt58Z1wFt7XS51ez2f7PuUicHKxGx1DHNBrUzo4H+Sg1ZfuNMBstvkNkJfd7qP0gQIBj6B8JxDax/52tc7E91Yd5RSj8BMfJhD5hyaYOYTyM459uNLWmDO4WhOr4HVWAOrt5mBuqDWwOjgf5KDTnAcxpL2Kh46BxzDXFArEyRpF4NWn3PoUNFt8ujd1p3uE1cBgoFPIDzn0NpHvvb1zkQ31h2l1CMwEx/mkDmHJpj5BLJzjk/Yq1cJO0tzeg0MS9irWNgcMAN1Qa2BIQm7GHR647DJoTIx8VAv4BjmglaZGDp9neSgteccQ6d4bpPHUzzdB/MCBAOfQHbOAbSPfO3rnYlurDtKqUdgJj7MEXMOQDDzCUTnHFN8fEl7nnNYmtNrYCXWwGIhXsAM1AW1BkanrZMcdHrjsMHiTRO/jTvgGOaCWpkg8aYYtPqcQ6d2bpObKL3uHRMAwcAnEJ5zaO0jX/t6Z6Ib645S6hGYiQ9zyJxDE8x8Atk5x9+7/pAWmHM4mtNrYNi968ZuMwN1Qa2B0WnrJAed4DiMxZum3uoY5oJamSDxphi0+pxDp3Zuk8dTO93HfAMEA59AeM6htY987eudiW6sO0qpR2AmPswhcw5NMPMJZOec5uNLWmDO4WhOr4G1WAOLh3iBJ15jLqg1MDptneSgExyHsXjTxJO+gGOYC2plgsSbYtDac46lU7tv7ksR+iZ/fYvJEXMOQDDwCWTnHED7yNe+3pnoxrqjlHoEZuLDHDHnAAQzn0B0zrH+BmL76gZilubkGpjFbiC2sRAvYAbqglYDs3TaOslBpzcOWyzetLGkL+gY5oJamSDxphi0+pxDp3Zuk8dSuybXfWkAQDDwCYTnHFr7yNe+3pnoxrqjlHoEZuLDHDLn0AQzn0B2zqk+vqQF5hyO5vQaGHbDsDXbzEBdUGtgdNo6yUEnOA5j8aa1Wx3DXFArEyTeFINWn3Po1M5t8jpKX67pj51zaIKBTyA859DaR7729c5EN9YdpdQjMBMf5pA5hyaY+QSyc45/NPdDWmDO4WhOr4FhNwzbWIgXMAN1Qa2B0WnrJAed4DiMxZs2lvQFHcNcUCsTJN4Ug1afc+jUzm3yWGrX5LqvIAEIBj6B8JxDax/52tc7E91Yd5RSj8BMfJhD5hyaYOYTyM453ceXtMCcw9GcXAOrsRuG63iIF3gbB+aCVgOr6bR1koNObxyusXizjid9AccwF9TKBIk3xaC155yaTu3cJo+ndroP+AcIBj6B7JwDaB/52tc7E91Yd5RSj8BMfJgj5hyAYOYTiM45tX8e8kPa85zD0pxeA8NuGK7jIV7gWfeYC2oNjE5bJznoBMdhLN6szVbHMBfUygSJN8Wg1eccOrVzm9xG6XWfhwwQDHwC4TmH1j7yta93Jrqx7iilHoGZ+DCHzDk0wcwnkJ1z/POQH9ICcw5Hc3oNDLthuK63mYG6oNbA6LR1koNOcBzG4s06nvTxHw2sVSZIvCkGrT7n0Kmd2+Tx1E73ecgAwcAnEJ5zaO0jX/t6Z6Ib645S6hGYiQ9zyJxDE8x8Atk5xz8PuX71PGSW5vQaGHbDcB0P8fiPBg7tcyT8H7Df0WnrJAed3jjcYPFmE0/6+I8GViqTBok3xaC155yGTu3cJo+ndrrPQwYIBj6B7JwDaB/52tc7E91Yd5RSj8BMfJgj5hyAYOYTiM45jX8ecvPqecgszek1sBJrYPEQj/9o4NA+R8L/AfsdnbZOctDpjcMNFm828aSP/2hgrTJB4k0xaPU5h07t3CY3UXrd5yEDBAOfQHjOobWPfO3rnYlurDtKqUdgJj7MIXMOTTDzCWTnHP885Ie0wJzD0ZxeA8NuGG7sNjNQF9QaGJ22TnLQCY7DWLzZ1Fsdw1xQKxMk3hSDVp9z6NTObfJ4aqf7PGSAYOATCM85tPaRr329M9GNdUcp9QjMxIc5ZM6hCWY+geyc45+H/JAWmHM4mtNrYNgNw008xOM/Gji0z5Hwf8B+R6etkxx0guMwFm828aSP/2hgrTJB4k0xaO05p6VTu2/uSzH6Il/THzrnAAQDn0B2zgG0j3zt652Jbqw7SqlHYCY+zBFzDkAw8wlE55zWPw+5ffU8ZJZmL/rS2VNj83PWLMuSFcW1zdr8mmd5bnNbt23R2ccB6w0aWIvdMNxGQ7xnM1AXtBpYS6etkxx0enNOi8WbbTTpCzmGuaBWJki8KQatPufQqZ3b5NHUrtB9HjJAMPAJhOccWvvI177emejGuqOUegRm4sMcMufQBDOfQHbO8c9Dbl89D5mlOb0Ght0w3JptZqAuqDUwOm2d5KATHIexeLO1Wx3DXFArEyTeFINWn3Po1M5t8jpKX67pj51zaIKBTyA859DaR7729c5EN9YdpdQjMBMf5pA5hyaY+QSyc45/HvJDWmDO4WhOr4FhNwy30RDv2QzUBbUGRqetkxx0guMwFm+20aQv5BjmglqZIPGmGLT6nEOndm6TR1O7Qvd5yADBwCcQnnNo7SNf+3pnohvrjlLqEZiJD3PInEMTzHwC2TnHPw/5IS0w53A0J9fAOuyG4S4e4vGf+Rra50j4/ftdR6etkxx0euNwh8WbXTzpCziGuaBWJki8KQatPed0dGrnNnk8tdN9HjJAMPAJZOccQPvI177emejGuqOUegRm4sMcMecABDOfQHTO6fzzkB/Snucclub0Ghh2w3AXD/ECz3zFXFBrYHTaOslBJzgOY/FmZ7Y6hrmgViZIvCkGrT7n0Kmd2+Q2Sq/7PGSAYOATCM85tPaRr329M9GNdUcp9QjMxIc5ZM6hCWY+geyc45+H/JAWmHM4mtNrYNgNw129zQzUBbUGRqetkxx0guMwFm928aQv4BjmglqZIPGmGLT6nEOndm6Tx1M73echAwQDn0B4zqG1j3zt652Jbqw7SqlHYCY+zCFzDk0w8wlk5xz/POTu1fOQWZrTa2DYDcNdPMQLPPMVc0GtgdFp6yQHndw4XOdQvOm+ttUxzAWlMnE8dJnIQbv//bP7ZT8Q/JPivFPndHrnNn0svbNG9b4rhGDgE4jOO4j2ka99vVPRDXZHKfUIzMSHOWDeQQhmPoHkvONUfXxJe5p3eJq96HOTV9f84g5ftl0yU1/O2enaXbPOnBZzvdlbcS5+fJtGVmKNLBbmBcxAXVBrZHTqOslBJzjvQDGn+9pWxzAX1MoEiDnloJXP69Q5nd65TW4i9E2h+v4HhGDgEwjPObT2ka99vTPRjXVHKfUIzMSHOWTOoQlmPoHsnGM+vqQF5hyO5vQaGHTjsPvaNjNQF9QaGJ26TnLQCY7DUMzpvrbVMcwFtTIBYk45aPU5h07v3CaPp3eq739ACAY+gfCcQ2sf+drXOxPdWHeUUo/ATHyYQ+YcmmDmE8jOOc3Hl7TAnMPRnF4Dg24cdl/bZgbqgloDo1PXSQ46wXEYijnd17Y6hrmgViZAzCkH7fMrT959B/cHDdUcq6DTvG/uSxE3rFG93xwhGPgEsnMPoH3ka1/vXHSj3VFKPQIz8WGOmHsAgplPIDr3FPnHl7TnuYel+T73lF1VlsWSXbrqnBlTmqwt8zy7FkvXLU1RN9fHPv4GDa2AbiR2X9tmBuqCVkMr6PR1koP+PveYS9Ocr1W2FG3rZiRbZqfq6qal7nQplvp0ae35fcoEizuLePIXukMfckGtTJC4Uwz6XiZLd7EnU7VZeSo69932li32VGZtbdrLpbhcStu+T5lgcWcRT/4CjmEuqJUJEneKQd/L5FSX+SmvbllzO/lRuiiy0+12zYy9lLfTNT/b2/I+ZQLd1em+ttUxzAW1MqGjsEkOWvtscUFHKm6T2wh9U6i+RQ8hGPgEZjMBrv0T0T7yta93JnpM31FKPQIz8WEOWTXRBDOfQHbVZD++pAVWTRzNXnST38qLNUt2WqzNTLUYNx1VeXayt/bW2muTd28052BxZ1FvMwN1Qa2BIXGnGHSC4zB0V6f72lbHMBfUyoSOwiY56AQX11j2VMRjmNB7ByEX1MoEyZ7EoBM8VYdlT0U8hgk4hrmgViZI9iQGrb1qKunT69/cl2L0Zb6mP3TVBBAMfAKzmQDX/oloH/na1zsTPabvKKUegZn4MEesmgCCmU8gumoqfdZUvsqaWJqTa2AlljWV0ee3PpuBuqDVwEokaxKDTm8cLrGsqYzFLkHHMBfUygTJmsSg01tcl1jWVEYfphlyDHNBrUyQrEkMOr2sqcSyJj9IbnMMc0GtTJCsSQxafdVEn153m9xG6XWfNAEQDHwCs5kA1/6JaB/52tc7Ez2m7yilHoGZ+DCHrJpogplPILtq8lnTQ1pg1cTRnF4Dw7KmMhq7PJuBuqDWwJCsSQw6wXEYy5rKaOwScgxzQa1MkKxJDDrBxTWWNZXR2CXkGOaCWpkgWZMYdIKn6rCsqYzGLiHHMBfUygTJmsSgtVdNFX16/Zv7UpS+XNMfumoCCAY+gdlMgGv/RLSPfO3rnYke03eUUo/ATHyYI1ZNAMHMJxBdNVU+a6peZU0szck1sArLmqp47PJkBuqCVgOrkKxJDDq9cbjCsqYqHrsEHMNcUCsTJGsSg05vcV1hWVMVj10CjmEuqJUJkjWJQad3WXiFZU2V2eoY5oJamSBZkxi0+qqJPr3uNrmN0us+DQIgGPgEZjMBrv0T0T7yta93JnpM31FKPQIz8WEOWTXRBDOfQHbV5LOmh7TAqomjObmsqcKypioeu/DvUQ3tcyT8H7DfIVmTGHSC4zCWNVXx2IV/x7tWmSBZkxh0gotrLGuq4rEL//kZWmWCZE1i0AmeqsOypioeu/CfxqNVJkjWJAatvWoy9On1b+5LUfqnN5wfumoCCAY+gdlMgGv/RLSPfO3rnYke03eUUo/ATHyYI1ZNAMHMJxBdNRmfNZlXWRNLsxfdmcu5dPNxdquNG52Lps265VxlZdPm3dleT6Z+nwZmsKzJxGOXJzNQF7QamEGyJjHo9MZhg2VNJh67BBzDXFArEyRrEoNOb3FtsKzJxGOXgGOYC2plgmRNYtDpnaozWNZkzFbHMBfUygTJmsSg1VdN9Ol1t8ltlN6u6Y9dNdEEA5/AbCbAtX8i2ke+9vXORI/pO0qpR2AmPswhqyaaYOYTyK6afNb0kBZYNXE0p9fAsKzJxGOXJzNQF9QaGJI1iUEnOA5jWZOJxy4BxzAX1MoEyZrEoBNcXGNZk4nHLgHHMBfUygTJmsSg08uaDJY1mXjsEnAMc0GtTJCsSQxae9Vk6dPr39yXovT1mv7QVRNAMPAJzGYCXPsnon3ka1/vTPSYvqOUegRm4sMcsWoCCGY+geiqyfqsyb7Kmliak2tgFsuabDx2eTIDdUGrgVkkaxKDTm8ctljWZOOxS8AxzAW1MkGyJjHo9BbXFsuabDx2CTiGuaBWJkjWJAad3n1NFsuarNnqGOaCWpkgWZMYtPqqiT697ja5jdI3a/pjV000wcAnMJsJcO2fiPaRr329M9Fj+o5S6hGYiQ9zyKqJJpj5BLKrJp81PaQFVk0czcllTRbLmmw8dnkyA3VBrYEhWZMYdILjMJY12XjsEnAMc0GtTJCsSQw6wcU1ljXZeOwScAxzQa1MkKxJDDrBU3VY1mTjsUvAMcwFtTJBsiYxaPe/f/bg7nf+SXP1VNOn2b+5L0VcsEb3/iaAYOATmM0EuPZPRPvI177eqehxfUcp9QjMxIc5YvUEEMx8AtHVU+0zp/pV5sTS7EXnue1Mbi6ZvbjBuSiut6zLjZuNLt3JnKtrXZXvM+/UWOZUx+KXgBmoC1qNrEYyJzHo9FZPNZY51bH4JegY5oJamSCZkxh0emNxjWVOdSx+CTqGuaBWJkjmJAad3iK7xjKn2mx1DHNBrUyQzEkMWjtzqunT7G6T2wh9U7Zr+mNXTTTBwCcwmwlw7Z+I9pGvfb0z0WP6jlLqEZiJD3PIqokmmPkEsqsmnzk9pAVWTRzN6TUwLHOq4/HLkxmoC2oNDMmcxKATHIexzKmOxy8BxzAX1MoEyZzEoBNcXGOZUx2PXwKOYS6olQmSOYlBJ3iqDsuc6nj8EnAMc0GtTJDMSQxae9XU0KfXv7kvRem7Nf2hqyaAYOATmM0EuPZPRPvI177emegxfUcp9QjMxIc5YtUEEMx8AtFVU+OzpuZV1sTSnFwDa7CsqYnf6vNkBuqCVgNrkKxJDDq9cbjBsqYmFrsEHcNcUCsTJGsSg05vcd1gWVMTi12CjmEuqJUJkjWJQad3qq7BsqbGbHUMc0GtTJCsSQxafdVEn153m9zG6Kt8TX/sqokmGPgEZjMBrv0T0T7yta93JnpM31FKPQIz8WEOWTXRBDOfQHbV5LOmh7TAqomjOb0GhmVNTTR2eTYDdUGtgSFZkxh0guMwljU10dgl5BjmglqZIFmTGHSCi2ssa2qisUvIMcwFtTJBsiYx6ARP1WFZUxONXUKOYS6olQmSNYlBa6+aWvr0+jf3pSh9saY/dNUEEAx8ArOZANf+iWgf+drXOxM9pu8opR6BmfgwR6yaAIKZTyC6amp91tS+yppYmpNrYC2WNbXR2OXZDNQFrQbWIlmTGHR643CLZU1tNHYJOYa5oFYmSNYkBp3e4rrFsqY2GruEHMNcUCsTJGsSg07vVF2LZU2t2eoY5oJamSBZkxi0+qqJPr3uNrmN0pdr+mNXTTTBwCcwmwlw7Z+I9pGvfb0z0WP6jlLqEZiJD3PIqokmmPkEsqsmnzU9pAVWTRzN6TUwLGtq47HLkxmoC2oNDMmaxKATHIexrKmNxy4BxzAX1MoEyZrEoBNcXGNZUxuPXQKOYS6olQmSNYlBJ3iqDsua2njsEnAMc0GtTJCsSQxae9XU0afXv7kvRemrNf2hqyaAYOATmM0EuPZPRPvI177emegxfUcp9QjMxIc5YtUEEMx8AtFVU+ezpu5V1sTSnFwD67CsqYvHLk9moC5oNbAOyZrEoNMbhzssa+risUvAMcwFtTJBsiYx6PQW1x2WNXXx2CXgGOaCWpkgWZMYdHqn6josa+rMVscwF9TKBMmaxKDVV0306XW3yW2UXvfJ4wDBwCcwmwlw7Z+I9pGvfb0z0WP6jlLqEZiJD3PIqokmmPkEsqsmnzU9pAVWTRzN6TUwLGvq4rEL/3mooX2OhP8D9jskaxKDTnAcxrKmLh678J+urFUmSNYkBp3g4hrLmrp47MJ/VrtWmSBZkxh0gqfqsKypi8cu/Dc/aJUJkjWJQSuvmpqcPr3+zX0pSm/X9EeumhCCgU9gNhPg2j8R7SNf+3pnosf0HaXUIzATH+aAVRNCMPMJJFdNTtXHl7SnVRNPc2oNrMmhrMl9bZsZqAtKDczxkFU7yUEnNw43OZQ1ua9tdQxzQa1MgKxJDjq5xXWTQ1mT+9pWxzAX1MoEyJrkoJM7VdfkUNbkvrbVMcwFtTIBsiY5aPVVE3163W1yG6Wv1/THrppogoFPYDYT4No/Ee0jX/t6Z6LH9B2l1CMwEx/mkFUTTTDzCWRXTfbjS1pg1cTRnF4Dg7Im97VtZqAuqDUwIGuSg05wHIayJve1rY5hLqiVCZA1yUEnuLiGsib3ta2OYS6olQmQNclBfz+atN3ZlKX152vOb3+qDsqa3Ne2Ooa5oFYmQNYkB629airo0+vf3Jei9M2a/tBVE0Aw8AnMZgJc+yeifeRrX+9M9Ji+o5R6BGbiwxyxagIIZj6B6Kqp8FlT8SprYmlOLmsqsKypiMcuT2agLmg1sALJmsSg0xuHCyxrKuKxS8AxzAW1MkGyJjHo9BbXBZY1FfHYJeAY5oJamSBZkxh0eqfqCixrKsxWxzAX1MoEyZrEoNVXTfTpdbfJbZT+6R2/x66aaIKBT2A2E+DaPxHtI1/7emeix/QdpdQjMBMf5pBVE00w8wlkV00+a3pIC6yaOJrTa2BY1lTEY5fAG8sxF9QaGJI1iUEnOA5jWVMRj10CjmEuqJUJkjWJQSe4uMaypiIeuwQcw1xQKxMkaxKDTvBUHZY1FfHYJeAY5oJamSBZkxi0+98/30vlqausrfjL9fzbT7/8LOBE/49//zdTUxY/uI/afVT+T5X/k/F/Mv5P1v/JGv/RuY+68h/+B3XrPprcf1j30fo/tfaFjWXsnLc1+F0tkBn42OwdmL0Ds3dg9g7M3oHZOzB7B2bvwOwdmL0Ds3dg9g7M3oHZOzB7B2bvwPzKgZnvwHrmhhyAx25vgJuunQP+s/af1f3P1f3P5v5nc/+zvf/ZGeE/O//prPCf9586M9ync8N/Wv/Z3v/8whD/X+M44i0pHjuK+79/ih5B6ZUua7f5/bhZ0uf6v7kvRSl141qAYOATmM0EuPZPRPvI1263aOcfgX/vRQDMxIc54sQDQDDzCURPPJTFx5e0wGGKo/l+mFqKwuY3k127c5mZpXOrz7posqpZzsuptE213H58lxmwxHK4MhZJBcxAXdCaAUskhxOD/n5+yla5MXmXXfLu5OfFNmvza525OTK3ddsWnS3fp0ywHK6MRVJBxzAX1MoEyeHEoO9lUp7t4r7tvnG5+TNYRZ51J7tk+XJ2f9Fa42rrfcoEy+H8hLDNMcwFtTJBcjgx6HuZtHVbnptLky1Vk2em9qvPs1myqqvy7tadTtX1fc5PlRYrE7vVMcwFtTKhM5pJDlo7ri3pc/1uk8fP9Xdr+mNXTTTBwCcwmwlw7Z+I9pGvfb0z0WP6jlLqEZiJD3PIqokmmPkEsqum+uNLWmDVxNF8H4dvbV7fLnl2K/NbZs5158+cdtn5ejV5Xd1OuXlgvUMDw3K4Mh5JPZmBuqDWwJAcTgw6wXEYy+HKeCQVcAxzQa1MkBxODDrBxTWWw5XxSCq0Y0EuqJUJksOJQad3qq7KoTKp4reZBBzDXNAqk4q+H2iSg9ZeNVX06XW3yaP3lZh8TX/oqgkgGPgEZjMBrv0T0T7yta93JnpM31FKPQIz8WGOWDUBBDOfQHTVVPmsqXqVNbE0e9Hnbsnrsq6zy8UdwMwpb7Puli/ZpT07lW1T1Jfux7dpYFjWVMVil4AZqAtqDQzJmsSg0xuHKyxrqqK3P4Ucw1xQKxMkaxKDTm9xXWFZU2W2Ooa5oFYmSNYkBp3eqboKy5oqu9UxzAW1MkGyJjFo9VUTfXrdbfLoqWpTrOmPXTXRBAOfwGwmwLV/ItpHvvb1zkSP6TtKqUdgJj7MIasmmmDmE8iumnzW9JAWWDVxNKfXwLCsqYrGLs9moC6oNTAkaxKDTnAcxrKmKhq7hBzDXFArEyRrEoNOcHGNZU1VNHYJ7liQC2plgmRNYtDpnaozWNZkorFLyDHMBa0yMUjWJAatvWoy9Ol1t8njp6rLNf2hqyaAYOATmM0EuPZPRPvI177emegxfUcp9QjMxIc5YtUEEMx8AtFVk/FZk3mVNbE0e9FYYv4uDQzLmkw8dnkyA3VBrYEhWZMYdHrjsMGyJhOPXQKOYS6olQmSNYlBp7e4NljWZMxWxzAX1MoEyZrEoNO7r8lgWZOxWx3DXFArEyRrEoNWXzXRp9fdJo+fqq7W9MeummiCgU9gNhPg2j8R7SNf+3pnosf0HaXUIzATH+aQVRNNMPMJZFdNPmt6SAusmjia02tgWNZk4rHLkxmoC2oNDMmaxKATHIexrMnEY5eAY5gLamWCZE1i0AkurrGsycRjl4BjmAtqZYJkTWLQ6WVNFsuabDx2CTiGuaBVJhbJmsSgtVdNlj697jZ5/FS1WdMfumoCCAY+gdlMgGv/RLSPfO3rnYke03eUUo/ATHyYI1ZNAMHMJxBdNVmfNdlXWRNLc3oNDMuabDx2eTIDdUGtgSFZkxh0eotri2VNNh67BBzDXFArEyRrEoNWn3PoCMVtchOlf/2M6EPmHJpg4BMIzzm09pGvfb0z0Y11Ryn1CMzEhzlkzqEJZj6B7JxjPr6kBeYcjub0GhgWb1q7zQzUBbUGhsSbYtDpnR222LusbDxRCTiGuaBWJnT0NclBp3d22GJZk43HLgHHMBfUygTJmsSg07uQ02JZk43HLgHHMBfUygTJmsSg/+pfUuTJv4P7F6+ovnHF0pGKK4FYpGKN7rODAYKBT2A2E+DaPxHtI1/7eueix/YdpdQjMBMf5pBVFE0w8wlkV1Hdx5e0wCqKo/k+95xO7VItXdbUlclMfuuykz27j7wsztfK3u5vkX2ThlZjcWcdf0tW6MGXkAtaDa1G4k4x6O+hgr1eurztsuVqrWt+fka6LFWW38q2PpWXZTm9UZkUWJnE31IUcAxzQa1M6ChskoNO7+kQNZY91bEYJrxjQS6olQmSPYlBa4cKNR2puE0ej1TqNf2h4zBAMPAJzGYCXPsnon3ka1/vTPT8taOUegRm4sMcMQ4DBDOfQHQcrquPL2nP4zBLc3oNDLu1rjbbzEBdUGtgdBQ2yUEnOA5j2VNttzqGuaBWJkj2JAatPufQkYrb5HWUXvdFywDBwCcQnnNo7SNf+3pnohvrjlLqEZiJD3PInEMTzHwC2TnH31r3kBaYcziavWjT5rfubOrMtLbKTHMtstO5yjP3i5emvN5y418L8i4NDIs763jyF3j9I+aCWgND4k4xaPUGRqd4bpPHU7z25T57SAOjCQY+gXADo7WPfO3rnYk+Yu4opR6BmfgwhzQwmmDmE8g2sPbjS1qggXE0p9fAsLs561iIFzADdUGtgdFp6yQH/fuFGN1j6/+ofCFGQ6d439yXIm5Yq/tgfYBg4BPINjRA+8jXvt656CPojlLqEZiJD3NEQwMIZj6BaENr8o8vac8NjaXZi3Y/Oy/WXLKTud0yczXnbGnPbWav1+56OpVtWxY/vktDa7CEvYmGzc9moC5oNbQGSdjFoL/PPde8bpbcZqdLfsmMbW3WLdclWy63pavbvMrP73OdclNiZRINm0OOYS6olQmSsItBfw8oyltxKc55VpzvF6teTNZe3a9eb8W17kxdteXyPmWC3d3ZxEK9oGOYC2plQqevkxz098vZT92lPNdF1paVO/KUlc2Womuza9fkxWW5NNZc36dMsLizMVsdw1xQKxMk7hSD1j4N2NApntvkNkLfKF++DhAMfAKzmQDX/oloH/na1zsTPabvKKUegZn4MIesmmiCmU8gu2qyH1/SAqsmjua76HKx15sbmPO6tr/fu3Xp3vO2vQa7u7Opt5mBuqDWwOj0dZKDTnDVhMWdTTz5CziGuaBWJkjcKQad4KoJu7uziScsoQv+IRfUyoSOwiY56ARP1WHZUxOPYQKOYS6olQmSPYlBa6+aWvr0+jf3pRi9zdf0h66aAIKBT2A2E+DaPxHtI1/7emeix/QdpdQjMBMf5ohVE0Aw8wlEV02tz5raV1kTS3NyDazFsqY2+rzMZzNQF7QaWItkTWLQ6a2aWixramOxS9AxzAW1MkGyJjHo9FZNLZY1tdEbyEKOYS6olQmSNYlBp5c1tVjW1JqtjmEuqJUJkjWJQauvmujT626T2yi97hV6AMHAJzCbCXDtn4j2ka99vTPRY/qOUuoRmIkPc8iqiSaY+QSyqyafNT2kBVZNHM3JZU0tljW10dgldN0A5oJaA0OyJjHoBFdNWNbURmOXHReraZUJkjWJQSe4asKypjYau+y4WE2rTJCsSQw6wVN1WNbURmOXHVdIa5UJkjWJQd/vc7rXSrUuhLUXf7mef/vpl58FrOj/8e//Zmq64oeprZoXDnTxWyPKtQMvx10IA594vfbZa59faZ/52teDLqQdnnW9dDfSOu1/+7evxPufc9Tfz9moV1T5g/uw/qN1tZX7AsuN/2jcR5H7j8p/1P6jcx9l6T+s//C/Ud1L0rwqyfi9GvgLoSEfNpdk+cPs4WcPP3v42cPPHn728LOHnz387OFnDz97+NnDzx5+fgU/8+GPqenyB/9p75+tr+/8XuXOAP/Z+E9ngf+s7p/1/bPzn2V5/7T3z/vvVt/3kLAV9z2I4YU341EI6o/57ugc4Jv7UpRS92VJAMHAJzCbCXDtn4j2ka/dbtHOP+L+Ps4AMBMf5ohzVwDBzCcQPXfVlR9f0gKHKY7m+2oTemrZmywjOiyj6+K3RgVe4YC5oLWM6JCMTgw6vcdfdlhG15mtjmEuqJUJktGJQWtndB0dS7hNbiP0TWS1dsicQxMMfALhOYfWPvK1r3cmurHuKKUegZn4MIfMOTTBzCeQnXN8RveQFphzOJrTa2BYRtfV28xAXVBrYEhGJwad4DiMZXRdPK4KOIa5oFYmSEYnBq0+59DRk9vk8ejp9Rm8Q+YcmmDgEwjPObT2ka99vTPRjXVHKfUIzMSHOWTOoQlmPoHsnOMff9m9evwlS7MXfWnszXbdKbON6TLTVTZru1uTXU95dzOttZ15SgP1GhgWC3fxhPTJDNQFtQaGxMJi0PcywV6U/R5l0ubQ2/3c17Y6hrmgVCaOhy4TOWjlOafN6duc3CaP3+Zk1vRHzjkIwcAnEJ1zEO0jX/t6Z6Ib645S6hGYiQ9zwJyDEMx8Ask5x6n6+JL2NOfwNKfXwEqsgcVCvIAZqAtqDYxOWyc56HuZLLn7u7M5Z8XpnPsbjEo3E7k1fnVbqjwvbqfufd5i3OZQvOm+ttUxzAW1MgHiTTlo9TmHTu3cJjdRetXrcxCCgU8gPOfQ2ke+9vXORDfWHaXUIzATH+aQOYcmmPkEsnOO+fiSFphzOJpTO5/T5tALJd3XtpmBuqDWwOi0dZKDTnAchuJN97WtjmEuqJUJEG/KQavPOXRq5zZ5PLVTfb86QjDwCYTnHFr7yNe+3pnoxrqjlHoEZuLDHDLn0AQzn0B2zmk+vqQF5hyO5vQaGHTXq/vaNjNQF9QaGJ22TnLQCZ7PgeJN97WtjmEuqJUJEG/KQfu7Xt0v+3aqed9VW9Dp3Tf3pYgLVnneAQgGPoHsvANoH/na1zsV3WB3lFKPwEx8mCPmHYBg5hOIzjtF/vEl7XneYWn2orGrDd+kkRXQk1bd17aZgbqg1cgKOnWd5KCTu2y9LbCYs4glfkHHMBfUygSJOcWgtc/rFHR65zZ5PL1r1vTHzjk0wcAnEJ5zaO0jX/t6Z6Ib645S6hGYiQ9zyJxDE8x8Atk5p/r4khaYczia02tg0I3D7mvbzEBdUGtgdOo6yUEnOA5jMac/HbHNMcwFtTJBYk4x6Md5HX8U1z2vQ6d4btPXERes9rxDEwx8AuF5h9Y+8rWvdyq6we4opR6Bmfgwh8w7NMHMJ5Cdd+qPL2mBeYej2YuuSmsWdxDLTmdbZeZUdtnpUlZZ15TLtbHLuTTLj2/TyKAbiN3XtpmBuqDWyOj0dZKD/p5jLefr6VZ1mTXmnJmmvWWnOnftr1jaS7GcLpXN36dMsLiziCV/QccwF9TKBIk7xaDVz+vQKZ7b5PEUr13THzvn0AQDn0B4zqG1j3zt652Jbqw7SqlHYCY+zCFzDk0w8wlk55zu40taYM7haE6ugZXYDcRl/F7aJzNQF7QaWEmnrpMcdHrjcInFnGX8nsWAY5gLamWCxJxi0NpzTkmnd26Tx9K7xj69D/rQOQcgGPgEsnMOoH3ka1/vTHRj3VFKPQIz8WGOmHMAgplPIDrnlOXHl7TnOYelOb0Ght1AXMbDvMDb7TEX1BoYnbpOctAJjsNYzOkP/dscw1xQKxMk5hSDVp9z6PTObXIbo6/zNf2xcw5NMPAJhOccWvvI177emejGuqOUegRm4sMcMufQBDOfQHbOsR9f0gJzDkdzeg0Mu4HYl9IWM1AX1BoYnbZOctAJjsNYvFnGkr6gY5gLamWCxJti0OpzDp3auU0evUmxVn1XO0Iw8AmE5xxa+8jXvt6Z6Ma6o5R6BGbiwxwy59AEM59Ads5pP76kBeYcjub0Ghh2A3EZDfGezUBdUGtgdNo6yUGnNw5XWLxZRZO+kGOYC1plUiHxphi09pxT0amd2+TR1K4u1/SHzjkAwcAnkJ1zAO0jX/t6Z6Ib645S6hGYiQ9zxJwDEMx8AtE5p/LPR65ePR+ZpTm9BlZiDSwa4j2bgbqg1sDotHWSg05vHK6weLOKJn0hxzAX1MoEiTfFoNXnHDq1c5vcROlV33eFEAx8AuE5h9Y+8rWvdya6se4opR6Bmfgwh8w5NMHMJ5Cdc/zzkR/SAnMOR3N6DQy7cbiy28xAXVBrYHTaOslBJzgOY/FmVW91DHNBrUyQeFMM2t9ffi+Vcl0Hayv+cj3/9tMvPws40f/j3/+NQ2x/mFpT+A/jPxr3YXP/UfmP2n907sMNde7D+o/2lVvxmxjxm2ogZryfedDZg84edPagswedPejsQWcPOnvQ2YPOHnR+BTrzQdc9DwKF257n9N2t/cF9OlL/ae6fjf90sP6zun/W98/Ofzpg/2nvn2Fk/2/lMN975qOwf1R+lEJFp1PuKBe9wVL5kjSAYOATmM0EuPZPRPvI1263aOcfMb96Bw0z8WEOGe1pgplPIDva+6i2ehXVsjR70ba1tspvlyy/XF27LrsyW85NnrW39rpc6vZ6fqNnAlVYVFvFUsuAGagLajMbEtWKQaf3hDGDRbUm+ljZkGOYC1plYpCoVgxa+xSmodMpt8njSY/uq2wBgoFPIDvnANpHvvb1zkQ31h2l1CMwEx/miDkHIJj5BKJzjvFRrXkV1bI0p9fAsKjWxFPLwOs6MRfUGhgS1YpBpzcOGyyqNfHUMuAY5oJamSBRrRi0+pxDp1Nuk5sove6rbAGCgU8gPOfQ2ke+9vXORDfWHaXUIzATH+aQOYcmmPkEsnOOj2of0gJzDkdzeg0Mi2qN3WYG6oJaA0OiWjHoBMdhLKo19VbHMBfUygSJasWg1ecc+gZLt8lj6VxT677aDSAY+ATCcw6tfeRrX+9MdGPdUUo9AjPxYQ6Zc2iCmU8gO+f4V9k+pAXmHI7m9BoY9mxnE7/fkv/6qtA+R8L/AfsdnbZOctAJjsNYvGliSV/QMcwFtTJB4k0xaO05x9Kp3bfWxm+w1H3VCUAw8Alk5xxA+8jXvt6Z6Ma6o5R6BGbiwxwx5wAEM59AdM6x/hW2D2nPcw5Lc3INzGLPdrbxEC/wOgfMBa0GZum0dZKDTm8ctli8aeNJH/9leFplgsSbYtDqcw6d2rlNHk/tdF91AhAMfALhOYfWPvK1r3cmurHuKKUegZn4MIfMOTTBzCeQnXP8K2ztq1fYsjSn18CwZztbs80M1AW1BkanrZMcdILjMBZvWrvVMcwFtTJB4k0xaPU5h07t3Cavo/S6rzoBCAY+gfCcQ2sf+drXOxPdWHeUUo/ATHyYQ+YcmmDmE8jOOf7VtQ9pgTmHozm9BoY929nGQ7zA6xwwF9QaGJ22TnLQCY7DWLxp40lfwDHMBbUyQeJNMWj1OYdO7dwmj6Z2zdPdZsfOOTTBwCcQnnNo7SNf+3pnohvrjlLqEZiJD3PInEMTzHwC2TnHv7r2IS0w53A0J9fAauyG4Toa4j2bgbqg1cBqOm2d5KDTG4drLN6so0lfyDHMBbUyQeJNMWjtOaemUzu3yaOpXaP7qhOAYOATyM45gPaRr329M9GNdUcp9QjMxIc5Ys4BCGY+geicU/tX1z6kPc85LM3pNTDshuE6GuI9m4G6oNbA6LR1koNOcBzG4s3abHUMc0GtTJB4Uwxafc6hUzu3yW2UvlzTHzvn0AQDn0B4zqG1j3zt652Jbqw7SqlHYCY+zCFzDk0w8wlk5xz/6tqHtMCcw9GcXgPDbhiu621moC6oNTA6bZ3koO9lkpeXqr0VRbYseeG+2zbZybYmW4qi6PLcTVnV7X3KBIs362jSF3IMc0GtTJB4Uwxafc6hUzu3yaOpXaP7qhOAYOATCM85tPaRr329M9GNdUcp9QjMxIc5ZM6hCWY+geyc45+HXL96HjJLc3oNDLthuI6HeIHXOWAuqDUwOm2d5KDTG4cbLN5s4klfwDHMBa0yaZB4Uwz6r/dXnXh2sy6EtRfQ6zBYVnx/10nj32HS+FeaNP6VJq1/w0nrX2nS+reetP7vOv8mlM7/oPM/6PwPOveDLnc/6IrKfxj/Yf1H7T9a91Hm/qP0H/6n/qUqnfX/aP0/+reodNb/Xe2/51+l0tX+B7X/Qe1/0OSvtkssT7Qb3vgOmYt3zu8vVWn8y1Ia/+6Uxr87pfWvUmn9u1Na/3qV1v9d51+50vkfdP4Hnf+Bc3T2js7e0dk7OntHZ+/o7B2dvaOzd3T2js7e0dk7OntHZ+/o7B2dvaOzd3T2js7e0dk7Or9ydOY7um7jkKNwJ3+8vaW5v42lub+fpbm/n6W9v7Glvb+fpb2/yaW9/313f8NLd/9pd/9pd/9p53/q3XWfRXX/NPdPe/+s75/+HTHeY/9Z3j/v37m/O8b77D/vf3N/U4y32n3W9+/f3xfj3faf95/W95++MNxzcBz3lhffHff/p/rumIaO+1zbiEVnVvm1kADBwCcwmwlw7Z+I9pGv3W7Rzu9AX82Yhpn4MEeslQCCmU8gulZqfPbdvMq+WZq96Nvl1p7zU5uVtikzN/y0WXc6ddm16drbpbu1y+191koNln03sRg4YAbqgtoQjGTfYtD3MinPprHnyq+mbrX77u2Ste3SZnV1Nu6b56Z9o9dCNlj23ZitjmEuqJUJkn2LQd/L5FI3p9aturNLVbrvFkWVtaU9ZbfG3m6nYrkWyxstqbFbexu71THMBbUyoXPRSQ5aOzpo6HzNbfI6Qt80uq8YAggGPoHZTIBr/0S0j3zt652Jnr92lFKPwEx8mEPGYZpg5hPIjsP+1t6HtMA4zNGcXgPDsu8mHgMHXqOCuaDWwJDsWww6wXEYu7W3icdtAccwF9TKhM5FJzlo9TmHztfcJo/na7qvGAIIBj6B8JxDax/52tc7E91Yd5RSj8BMfJhD5hyaYOYTyM45/tbeh7TAnMPRnNxpvxbLvtt4DBx4jQrmglYDa5HsWww6vTmnxW7tbeN3uQYcw1xQKxPk1l4x6PRWTW2JlUksUQk6hrmgViZ09DXJQfsraTz4j8ppeEtHKW7Tx6MU3dN/AMHAJzCbCXDtn4j2ka99vVPRc9iOUuoRmIkPc8RYDBDMfALRsbj1TzBuXz3BmKXZiy7yxR3LljK7GnPOzKVxR7NTecvOF1vf8nN9vlVv1MiwmLM128xAXVBrZEjMKQatfV6npdM7t8lthL5pdF+pCBAMfALhBkZrH/na1zsTfcTcUUo9AjPxYQ5pYDTBzCeQbWD+Ft+HtEAD42hOr4Fht/i29TYzUBfUGhiduk5y0OoNjE7v3CaPp3e678oDCAY+gXADo7WPfO3rnYk+Yu4opR6BmfgwhzQwmmDmE8g2MP9O4Ie0QAPjaE6vgWHJehsPmQPvA8NcUGtgSLIuBq3ewOgw0W3yeDCn+xI0gGDgEwg3MFr7yNe+3pnoI+aOUuoRmIkPc0gDowlmPoFsA/PJ+kNaoIFxNCfXwDosWe/iIXPgRU+YC1oNrEOSdTFo7QbW0YGx2+TxwFj37VYAwcAnkG1ggPaRr329M9FHzB2l1CMwEx/miAYGEMx8AtEG1hUfX9KeGxhLc3oNrMQaWPy6hsAbfDAX1BoYcjGHGLR6A6Nza7fJo8+CbvOX++whDYwmGPgEwg2M1j7yta93JvqIuaOUegRm4sMc0sBogplPINvA/EUc3auLOFia02tg2EUcndlmBuqCWgNDLuIQg1ZvYHRu7Ta5jdF3us/kAQgGPoFwA6O1j3zt652JPmLuKKUegZn4MIc0MJpg5hPINjB/EcdDWqCBcTSn18Cwizi6epsZqAtqDQy5iEMMWr2B0bm12+TRDLjTvbsUIBj4BMINjNY+8rWvdyb6iLmjlHoEZuLDHNLAaIKZTyDbwPxFHA9pgQbG0ZxeA8Mu4uii1zM8m4G6oNbAkIs4xKDVGxidW7tNHs2AO+UMjCYY+ATCDYzWPvK1r3cm+oi5o5R6BGbiwxzSwGiCmU8g28D8RRwPaYEGxtGcWgPrcugiDve1bWagLig1MMdDVu0kB/24odlza97Q3OV0fu02ffwh5qorMYRg4BOINjJE+8jXvt6p6CPnjlLqEZiJD3NAI0MIZj6BZCNzqj6+pD01Mp5mL9pU7S2vljbLS2Mz05g6O92qJevMpTNVU+dLtfz4No2sxBpZ7LqGgBmoC2qNDLiYQw76Xibd6XZqTpdzVta5ycxya7O2KKusKjtTmtrY+wPm36VMoKfAu69tdQxzQa1M6KB/koP+fjSpz2dzWrrMVnmdGbPk2ZKXl6ypzqfSXM7G1m90NIGSdfe1rY5hLqiVCZCsy0F/Xz2VZ3s72TYzN3tyR57qlJ2K2rojT9OVy+Vyuly69ykT6Cnw7mtbHcNcUCsTOnWd5KDvZVK3p2u5VEV2bdxyyxT+u23buQPR5WJs0966S/s+ZQLFnO5rWx3DXFArEyDmlIP+/nA5txBvizzPTnl1y0x5W7LF9bnsdioueWvstTKn9ykT6JHc7mtbHcNcUCsTOgKb5KC/N51TdynPdZG15f27lc2Womuza9fkxWW5NNZc36dMoMzJfW2rY5gLamUCZE5y0N+PJkvT1O6/kZ2a6yUz19vVNahrnhXmnF+q5XS5Fbf3KRPo3cDua1sdw1xQKxM6j5jkoL+XSXEpiovtssXeOrcqOudZ2xn/qti8qPO8XG7v827grsACgCJ2LjzsGOSCVpkUSAAgBv19hF1sdW3LOrue62tmTv67dZ1nl+p2sfZ6WarL2zwfuSug5yO7r211DHNBrUzok8KTHPT302vN7Wa78zk7dafKf7dy3/VHHjfcmMLW1/b0PqfXCuwsbLH5hCTmglqZIGdhxaB9nHgn/w6u9dbgF5s6flJR9WlcThy53QY+gdlMgGv/RLSPfO3rnYjOq/6okpn4ouvNoreWzD8gts98AtGYsKg+vqQ9x4QszTpX4r040pgIQNO+fr/9IUca+sz6wCcQPtLQ2ke+drtF+x99pOGKPuRIQ9s+8wlkjzTm40ta4EjD0fxWRxobA+iUZxo6nBn4BMJHGlr7yNdut2j/o480XNGHHGlo22c+geyRxn58SQscaTiaH6upR6Vrrab++9eSmk7R3BGpjoDaWvVuA4Rg4BMIH5Fo7SNfu92inX1E+t+nKWiYiQ9zyJGKJpj5BLJHqvrjS1rgSMXR7EXfqu5ku7LNqqK4ZUVxvWZdl5vsUtR1cTrny9I99vF3OD2IJdxFPOwNXHiPuaB2ehBJuMWglUbn/93A6ODWbfLozYJt+XKfPaSB0QQDn0C4gdHaR7729c5EHzF3lFKPwEx8mEMaGE0w8wlkG1j78SUt0MA4mtNrYNhFFUXs+oKAGagLag0MuahCDFq7gZX0tQLf3Jdi9J3qez8RgoFPINvAAO0jX/t6Z6KPmDtKqUdgJj7MEQ0MIJj5BKINrMw/vqQ9NzCW5uQaWIldx1NGHwD9bAbqglYDK5HreMSg1RsYfXmK2+Sxy1OaTvW9nwjBwCcQbmC09pGvfb0z0UfMHaXUIzATH+aQBkYTzHwC2QZWfnxJCzQwjub0Ghh2A28ZfQD0sxmoC2oNjL7saJKDfjywxG901SyspC+JcJveRFywTf5y3z2kkdEEA59AuJHR2ke+9vVORR85d5RSj8BMfJhDGhlNMPMJZBuZvz7oIS3QyDiavWjsqRXv0siwe8f9frHFDNQFtUZGX2syyUGn98CSErt33B9xtjmGuaBWJnTQP8lB38ukWbra5tU1s/7ucrO0bbY0t9r9Y34+nU51XZ6u71MmWLJeRkPmkGOYC2plgiTrYtDpPdemxO4dL6O3UQePv5ALamVCp66THPT3m4Krrj5XpspMfj1npsqv2VLbIjvf2mt7KvJb2Zj3KRMs5ixjiV/QMcwFtTJBYk4x6HuZVGYx18vZHXlyX1J1UWfLtbxl3cU0ja+pvHufB5ZU2L3jVfQ26pBjmAtaZVLREdgkB53ec20qLHOqordRB3csyAW1MkEyJzHoe5nk16VZzrcyO52L1s0xl2vWXqs6q87nxZwvbrrJ3+fMblViZRI7zR10DHNBrUzoPGKSg07v8UcVFgBU0dtZQ45hLqiVCRIAiEGn9/ijCnuCZ2W2Ooa5oFYm9EnhSQ76XibXW1XXl3rJisIfeYr67I5BZ3sffK/u765t+UZNBzsLW9mtjmEuqJUJchZWDPpeJstyvp5ulVs839+V0LS37FTn7rvF0l4KV1KVfZ/HH1XYWdhq8wlJzAW1MkHOwopBp/cwtQo7C1ttPiGJuaBWJshZWDFo7avrKvrkotvk8dsjVF/IjBAMfAKzmQDX/oloH/na1zsTnYLvKKUegZn4MPVmmK2l9A8IwcwnEL0oofL3N1Wv7m9iaU6vgWEn/qvYOfCAGagLag0MOfEvBp3eOGywE/8mektFyDHMBa0yMciJfzHo9BbXBjvxb6L3XYQcw1xQKxPkxL8YdHqn6gx24t/EzoGHj7+QC2plgpz4F4NO78S/wU78m+hF8CHHMBfUygQ58S8GnV6MaLAT/8Zs</t>
  </si>
  <si>
    <t>dQxzQa1MkBP/YtDpXbtisBP/xm51DHNBrUyQE/9i0Oldu2KwE/8mdg483KYhF9TKBDnxLwad3gWTBjvxb2LnwMOOQS6olQly4l8MOr3Lrw12+bXZeK4RdUGtTOiTwpMcdHo3cxjsLKzZfEISc0GtTJCzsGLQ6d0aZrGzsHbzCUnMBa0yschZWDHo9G40tdhZWLv5hCTmglqZIGdhxaAfT0xwY4ruExMsfZLRbfrYSUbb6L45BSAY+ARmMwGu/RPRPvK1r3cqOg3fUUo9AjPxYerNMFtL6R8QgplPIHpxgvWP/nlIe744gaX5PhafTVEVeeGOZt0pcz3OZKfztcnq7nTJi9tlOZ3e5+IEiwUANn4R/JMZqAtqjQwJAMSgta+us/R5bbfJTYS+aXUfvgoQDHwC4QZGax/52tc7E33E3FFKPQIz8WEOaWA0wcwnkG1g/pE/D2mBBsbRfE+wq+ZUtJ2/FOKSu1WbP7dcuH/s2rxs67aplu6xh7xDA8MyJ2u3mYG6oNbAkMxJDFq9gdFRitvk8Sjl6d3AxzYwmmDgEwg3MFr7yNe+3pnoI+aOUuoRmIkPc0gDowlmPoFsA/Pvb3pICzQwjub0GhgWc9p44hd40znmgloDQ2JOMWj1Bkand26Tx9M73aeHAwQDn0C4gdHaR7729c5EHzF3lFKPwEx8mEMaGE0w8wlkG5i/v8m+ur+JpdmLtu21Obf1LTNNs7iPpXMHMHvL8pMt26Uqb017/vFtGhiWrNt4yBx4kDbmgloDQ5J1MWjtBlbTgfE396Uove47vQGCgU8g28AA7SNf+3pnoo+YO0qpR2AmPswRDQwgmPkEog2s9u9vql+9v4mlObkMrMYu5qjj1zU8mYG6oNXAauRiDjFo9QZG59Zuk8cy4KZtX+6zhzQwmmDgEwg3MFr7yNe+3pnoI+aOUuoRmIkPc0gDowlmPoFsA/MXcdSvLuJgaU7uFGKNXcRRx29ofDIDdUGtgSEXcYhBqzcwOrd2m9xE6buX++whDYwmGPgEwg2M1j7yta93JvqIuaOUegRm4sMc0sBogplPINvA/EUcD2mBBsbRnF4Dwy7iqO02M1AX1BoYchGHGLR6A6Nza7fJ6xh9l7/cZw9pYDTBwCcQbmC09pGvfb0z0UfMHaXUIzATH+aQBkYTzHwC2QbmL+J4SAs0MI7m5DKwGruIo45ez/BsBuqCWgNDLuIQg1ZvYHRu7TZ5NAPudO8DAwgGPoFwA6O1j3zt652JPmLuKKUegZn4MIc0MJpg5hPINjB/EUf96iIOlub0MjDsIo6622YG6oJaA0Mu4hCD1m5gDZ1bf3NfitKXL/fZIxoYQDDwCWQbGKB95Gtf70z0EXNHKfUIzMSHOaKBAQQzn0C0gTX+Io7m1UUcLM3JnUJssIs4muj1DM9moC5oNbAGuYhDDNo/keP7Yn1dB2sr/nI9//bTLz8LONH/49//jUOsfnAf9pUBsRjYNviBB8LAjz1e++y1z6+0z3zt60MOpB0+6njp/uBS/eA/w+L9Tzjqvfzuu3pfR6oPe2nokNkdVeJPCtC9Vx4gGPgEwjMSrX3ka7dbtPOPUF/Hahpm4sMcMiPRBDOfQHZGqj6+pAUOUxzNXrS5XouTP0tZWv+eiUvXuEZ5qbKrzXN7qpvL+fY+Z6kb7DHe/kGgW8xAXVCbkeiLAyY5aPVFPh0yu01uI/RNp3uhK0Aw8AmEGxitfeRrX+9M9BFzRyn1CMzEhzmkgdEEM59AtoHZjy9pgQbG0exFX7qqrc1is7Y118yUZ7/ma9vselrqW22X0/3Nxu/SwLAnxzf1NjNQF9QaGH1xwCQH/bXI77p1Iay9gJaYLCseq/z2FXwsY7YN/oAOiAA/7jwW+GHZM1/2MWv7sGz/E47u+ynFR+H8qLOqf3G4iCV8ttG9TbWhc9WBTyA8/NDaR752u0U7+8jz4njDFX3IkEPbPvMJZIccH8U3r6J4luZ797qvwtzh53GY0etgbf6qg3VRNnxshgjwovrewV7InvmyD+lgL2T7UuLo/k8dTLGCihcV1MZyPtvgN2hABJsrKCx75ss+poLCsu+1xdB9F65fQq/WEG0sKLQtfok0RLC5hF71MrbsY0ooLPteXAzd77ESa6tXJRQN/Fr8IkWIYHMJhWXPfNnHlFBY9r24GLrvwcV33f5YpLES+zo93dKR0jf3pSjl0ytFDl2hAQQDn8BsJsC1fyLaR752u0U7/4j0+2kyAGbiwxyxcgMIZj6B6Mqt9flq+ypfZWn2ovO8ri7X2yW7XOouK4rrKWvzW5Hluc1t3bbF/T0d/7UXqp2ebrF8tTXbzEBd0Do93SL5qhj0vUzOti66osuzfKnbzLSLyZY6r/2bt8/2cjNt41/Q/i5lgt3t3NqtjmEuqJUJnb1NctD/5TxQufhr8K9tttzaW2bOrsi64nLJ8lOTN7ZrqjrP1+Wyduz65+uXA3+sYY8Ju3llUR20yB8yn93BSIMNDgLEe9xjAA9TzWJU66YHUcF97/f5PEzlfyKA5blqqjyhdcie8nwVxbWvsqHSlm2z4dQ4RLC5/l5FcWzZxywAX0ZxLN1eeKNeQd2rCnp1mv87kvap8LDsmS/7mAoKy77XFkP3Xbh2BXWvwpT21dn970jKp8JfyJ75sg+poBey77XF0P0e5zG7V2lK9+r0/p1J+1T4C9kzX/YxJfQyTWHp9sIfZ/i0zmOGcL45zihN+XIrHHG+sqNvGRv4BGYzAa79E9E+8rXbLdrZR54Xxxuu6PXxhha9tWT+AbF95hOInpfsio8vaYHDDkfz15mEv/71Tz/8p3/pn/6PP/1d4f7mv/zbHmu9//Sv+f1v/vLb//fn618c+p9uv/z8m///8y9//uVX/4fTr/+y+H/b35V/Z03buJXsn34+/Zv/D/zDT/92/ct/+7+u//O/ff7yb6ef3X/tLz/9L/eDovzhT//x8+X6659/+tl/7+df3P+5Xzv9+ad/+dkXpv/X/usvv/70v9x/6/Rn940/X2+/uV//f66//vbT+f43Z/e166/u7/7nr6d//4fr/+t+57df/+Pq/i2LQ7z+ete6/PLbb7/82/c/+b/sPcXv/8EfAgj5/X9+1fqny0+nf/nlZ//f4vz2XTDrN3/96V/+lfmrv/3y75xfdL95++nPd1D//75A3Rf+8suf3eb3tXD5Hy9/1xfG6dffnr/wey34YviPf1uuv/7dL7+6MvteQP5P/+OXi/+v/J/Xn6+/OpPd9/79119++97H/bf+/Mv5/7668vv9r69ey/e9yv3lTz//qzuU/ebF//8r5I7C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</si>
  <si>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</si>
  <si>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</si>
  <si>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</si>
  <si>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</si>
  <si>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</si>
  <si>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</si>
  <si>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</si>
  <si>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</si>
  <si>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</si>
  <si>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</si>
  <si>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</si>
  <si>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</si>
  <si>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</si>
  <si>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</si>
  <si>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</si>
  <si>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</si>
  <si>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22%</t>
  </si>
  <si>
    <t>Материалы/
оборудование</t>
  </si>
  <si>
    <t>СМР, ПНР</t>
  </si>
  <si>
    <t>Стоимость, руб.с НДС 22%</t>
  </si>
  <si>
    <t>Общая стоимость,
руб.с НДС 22%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</si>
  <si>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</si>
  <si>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</si>
  <si>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</si>
  <si>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</si>
  <si>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</si>
  <si>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</si>
  <si>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6.1</t>
  </si>
  <si>
    <t>Подготовка строительства</t>
  </si>
  <si>
    <t>1.1.1.1</t>
  </si>
  <si>
    <t>6.1.2</t>
  </si>
  <si>
    <t>Организация строительной площадки</t>
  </si>
  <si>
    <t>1.1.1.1.1</t>
  </si>
  <si>
    <t>6.1.2.4</t>
  </si>
  <si>
    <t>Временные здания и сооружения</t>
  </si>
  <si>
    <t>1.1.1.1.1.1</t>
  </si>
  <si>
    <t>6.1.2.4.9</t>
  </si>
  <si>
    <t>Монтаж ярусных конструкций для работ на высоте</t>
  </si>
  <si>
    <t>1.1.1.1.1.1.1</t>
  </si>
  <si>
    <t>6.1.2.4.9.1.1</t>
  </si>
  <si>
    <t>Монтаж, демонтаж, аренда строительных лесов</t>
  </si>
  <si>
    <t>АРОР "Черновые отделочные работы" от 19.02.2026. Применительно: Монтаж и демонтаж лесов в высоких помещениях и в верхних зонах лестничных клеток (подвал, 1-3 этажи)</t>
  </si>
  <si>
    <t>м2</t>
  </si>
  <si>
    <t>b834d9d5-d82e-4a35-aecd-d355084311b3</t>
  </si>
  <si>
    <t>eba7ef85-9ce3-49cb-925f-78ecd339c642</t>
  </si>
  <si>
    <t>5d66fcfd-8f62-4681-97b3-5e2f6219863f</t>
  </si>
  <si>
    <t>1.1.1.1.1.1.2</t>
  </si>
  <si>
    <t>АРОР "Черновые отделочные работы" от 19.02.2026. Применительно: Монтаж и демонтаж лесов в высоких помещениях и в верхних зонах лестничных клеток для отделки стен. ММП, Спортзал, Библиотека, ЛК потолки.</t>
  </si>
  <si>
    <t>1.1.2</t>
  </si>
  <si>
    <t>6.2</t>
  </si>
  <si>
    <t>СМР корпуса без отделки</t>
  </si>
  <si>
    <t>1.1.2.1</t>
  </si>
  <si>
    <t>6.2.2</t>
  </si>
  <si>
    <t>СМР надземной части корпуса (без отделки)</t>
  </si>
  <si>
    <t>1.1.2.1.1</t>
  </si>
  <si>
    <t>6.2.2.4</t>
  </si>
  <si>
    <t>Внутренние стены и перегородки</t>
  </si>
  <si>
    <t>1.1.2.1.1.1</t>
  </si>
  <si>
    <t>6.2.2.4.2</t>
  </si>
  <si>
    <t>Устройство перегородок</t>
  </si>
  <si>
    <t>1.1.2.1.1.1.1</t>
  </si>
  <si>
    <t>6.2.2.4.2.4</t>
  </si>
  <si>
    <t>Устройство перегородок и зашивка коммуникаций ГКЛ</t>
  </si>
  <si>
    <t>1.1.2.1.1.1.1.1</t>
  </si>
  <si>
    <t>6.2.2.4.2.4.1.3</t>
  </si>
  <si>
    <t>Устройство перегородок на металлическом каркасе по системе Knauf / С-115.1 / А2-16</t>
  </si>
  <si>
    <t>09081587-04d0-4a7e-b27a-26e6c1596cec</t>
  </si>
  <si>
    <t>5f0da678-df96-489e-bd05-e5f79b4d6b88</t>
  </si>
  <si>
    <t>0ed13e26-7903-4b3b-80e2-92ed86dbdc43</t>
  </si>
  <si>
    <t>1.1.2.1.1.1.1.1.1</t>
  </si>
  <si>
    <t>Прочие материалы для перегородок из ГКЛ (лента, шпатлевка, грунтовка, шуруп, дюбель и пр.) / двойной каркас / 2 слоя облицовки</t>
  </si>
  <si>
    <t>комплект</t>
  </si>
  <si>
    <t>334080476.1521788</t>
  </si>
  <si>
    <t>27245632.1521788</t>
  </si>
  <si>
    <t>a62e1417-9467-44d3-81a2-91aea1356d96</t>
  </si>
  <si>
    <t>1.1.2.1.1.1.1.1.2</t>
  </si>
  <si>
    <t>Лист гипсокартонный_ / ГСП-А ПЛУК / 12,5 мм</t>
  </si>
  <si>
    <t>334080476.1521728</t>
  </si>
  <si>
    <t>27245632.1521728</t>
  </si>
  <si>
    <t>8ef46e6a-fd4f-48c4-ac16-389dd02262ec</t>
  </si>
  <si>
    <t>1.1.2.1.1.1.1.1.3</t>
  </si>
  <si>
    <t>Профиль_/стоечный/50*50*0,60/3м</t>
  </si>
  <si>
    <t>пог. м</t>
  </si>
  <si>
    <t>334080476.54565</t>
  </si>
  <si>
    <t>27245632.54565</t>
  </si>
  <si>
    <t>aadfbe6a-ab19-412b-a4b6-645b6bf99174</t>
  </si>
  <si>
    <t>1.1.2.1.1.1.1.1.4</t>
  </si>
  <si>
    <t>Профиль_/направляющий/50*40*0,60/3м</t>
  </si>
  <si>
    <t>334080476.54570</t>
  </si>
  <si>
    <t>27245632.54570</t>
  </si>
  <si>
    <t>fcc6f7bc-87cc-49c1-b4ac-f6a22abb8878</t>
  </si>
  <si>
    <t>1.1.2.1.1.1.1.2</t>
  </si>
  <si>
    <t>1.1.2.1.1.1.1.2.1</t>
  </si>
  <si>
    <t>334080585.54565</t>
  </si>
  <si>
    <t>27245633.54565</t>
  </si>
  <si>
    <t>1.1.2.1.1.1.1.2.2</t>
  </si>
  <si>
    <t>334080585.54570</t>
  </si>
  <si>
    <t>27245633.54570</t>
  </si>
  <si>
    <t>1.1.2.1.1.1.1.2.3</t>
  </si>
  <si>
    <t>Гипсовые строительные плиты_ / влагостойкий / 12,5*1200*2500</t>
  </si>
  <si>
    <t>334080585.54553</t>
  </si>
  <si>
    <t>27245633.54553</t>
  </si>
  <si>
    <t>efad23af-fbbd-4322-a1b7-0c398c24e336</t>
  </si>
  <si>
    <t>1.1.2.1.1.1.1.2.4</t>
  </si>
  <si>
    <t>334080585.1521788</t>
  </si>
  <si>
    <t>27245633.1521788</t>
  </si>
  <si>
    <t>1.1.2.1.1.1.1.3</t>
  </si>
  <si>
    <t>1, 2, 3 этажи. Тип: WD8. Перегородка ГKЛ тип С112 по серии Knauf толщиной 75мм. Двуслойная обшивка из КНАУФ-листов ГСП-А 12.5мм с одной стороны на одинарном металлическом каркасе из профиля ПН 50х40/ПС 50х50 Knauf.</t>
  </si>
  <si>
    <t>1.1.2.1.1.1.1.3.1</t>
  </si>
  <si>
    <t>334080586.1521788</t>
  </si>
  <si>
    <t>27245768.1521788</t>
  </si>
  <si>
    <t>1.1.2.1.1.1.1.3.2</t>
  </si>
  <si>
    <t>334080586.1521728</t>
  </si>
  <si>
    <t>27245768.1521728</t>
  </si>
  <si>
    <t>1.1.2.1.1.1.1.3.3</t>
  </si>
  <si>
    <t>334080586.54565</t>
  </si>
  <si>
    <t>27245768.54565</t>
  </si>
  <si>
    <t>1.1.2.1.1.1.1.3.4</t>
  </si>
  <si>
    <t>334080586.54570</t>
  </si>
  <si>
    <t>27245768.54570</t>
  </si>
  <si>
    <t>1.1.2.1.1.1.1.4</t>
  </si>
  <si>
    <t xml:space="preserve">1, 2, 3 этажи. Тип: WD10. Перегородка с однослойными обшивками из КНАУФ-листов на одинарном металлическом каркасе С111 (Профиль ПС 50х50 мм., плита КНАУФ-Файерборд с обеих сторон толщиной 12,5 мм.) Минераловатный утеплитель, толщ. 50мм.
</t>
  </si>
  <si>
    <t>1.1.2.1.1.1.1.4.1</t>
  </si>
  <si>
    <t>334080587.54565</t>
  </si>
  <si>
    <t>27245765.54565</t>
  </si>
  <si>
    <t>1.1.2.1.1.1.1.4.2</t>
  </si>
  <si>
    <t>334080587.54570</t>
  </si>
  <si>
    <t>27245765.54570</t>
  </si>
  <si>
    <t>1.1.2.1.1.1.1.4.3</t>
  </si>
  <si>
    <t>Плита КНАУФ-Файерборд</t>
  </si>
  <si>
    <t>334080587.54553</t>
  </si>
  <si>
    <t>27245765.54553</t>
  </si>
  <si>
    <t>1.1.2.1.1.1.1.4.4</t>
  </si>
  <si>
    <t>334080587.1521788</t>
  </si>
  <si>
    <t>27245765.1521788</t>
  </si>
  <si>
    <t>1.1.2.1.1.1.1.5</t>
  </si>
  <si>
    <t>6.2.2.4.2.4.2.3</t>
  </si>
  <si>
    <t>Облицовка стен по системе Knauf / С-625 / в 1 слой / А-13, А-23</t>
  </si>
  <si>
    <t>Выгружается из БО по объектам BIM-КЦ</t>
  </si>
  <si>
    <t>834d4ba1-3405-4dac-a941-111c00f37ea2</t>
  </si>
  <si>
    <t>c67aa5d8-bca5-4d0b-9a75-8aee0e2c4115</t>
  </si>
  <si>
    <t>1.1.2.1.1.1.1.5.1</t>
  </si>
  <si>
    <t>Прочие материалы для облицовки стен из ГКЛ (лента, шпатлевка, грунтовка, шуруп, дюбель и пр.)_ / 1 слой ГКЛ / профиль ПН/ПС 75 мм</t>
  </si>
  <si>
    <t>334080478.1277440</t>
  </si>
  <si>
    <t>27245691.1277440</t>
  </si>
  <si>
    <t>b1463634-82d7-49d6-b536-2d7cba892a32</t>
  </si>
  <si>
    <t>1.1.2.1.1.1.1.5.2</t>
  </si>
  <si>
    <t>Лист гипсокартонный_ / ГСП-Н2 ПЛУК / 12,5 мм</t>
  </si>
  <si>
    <t>334080478.1521731</t>
  </si>
  <si>
    <t>27245691.1521731</t>
  </si>
  <si>
    <t>a1299d5c-a6a8-4578-811e-9ac6be42922a</t>
  </si>
  <si>
    <t>1.1.2.1.1.1.1.5.3</t>
  </si>
  <si>
    <t>334080478.54565</t>
  </si>
  <si>
    <t>27245691.54565</t>
  </si>
  <si>
    <t>1.1.2.1.1.1.1.5.4</t>
  </si>
  <si>
    <t>Профиль_/направляющий/50*50*0,40/3м</t>
  </si>
  <si>
    <t>334080478.54566</t>
  </si>
  <si>
    <t>27245691.54566</t>
  </si>
  <si>
    <t>c2f1d1c0-1cc2-4bd4-8e05-ef1e6946382b</t>
  </si>
  <si>
    <t>1.1.2.1.1.1.1.6</t>
  </si>
  <si>
    <t>1, 2, 3 этажи. Тип: WD11 Однослойная облицовка из гипсокартона на КНАУФ-профиле, отнесенном от базовой стены С 625(Профиль ПС 50х50 мм., плита КНАУФ-ГКЛ с одной стороны толщиной 12,5 мм)</t>
  </si>
  <si>
    <t>1.1.2.1.1.1.1.6.1</t>
  </si>
  <si>
    <t>334080588.54566</t>
  </si>
  <si>
    <t>27245766.54566</t>
  </si>
  <si>
    <t>1.1.2.1.1.1.1.6.2</t>
  </si>
  <si>
    <t>334080588.54570</t>
  </si>
  <si>
    <t>27245766.54570</t>
  </si>
  <si>
    <t>1.1.2.1.1.1.1.6.3</t>
  </si>
  <si>
    <t>Лист гипсоволокнистый ГВЛВ 12,5мм Г1</t>
  </si>
  <si>
    <t>334080588.7352</t>
  </si>
  <si>
    <t>27245766.7352</t>
  </si>
  <si>
    <t>22b5ef4c-0665-11e8-80d9-005056881952</t>
  </si>
  <si>
    <t>1.1.2.1.1.1.1.6.4</t>
  </si>
  <si>
    <t>334080588.1277440</t>
  </si>
  <si>
    <t>27245766.1277440</t>
  </si>
  <si>
    <t>1.1.2.1.1.1.1.7</t>
  </si>
  <si>
    <t>6.2.2.4.2.4.2.4</t>
  </si>
  <si>
    <t>Облицовка стен по системе Knauf / С-626 / в 2 слоя / А-10, А-27</t>
  </si>
  <si>
    <t>b14f4e38-3585-4dc2-957c-30490faf4592</t>
  </si>
  <si>
    <t>efdd910f-d4d5-47d8-bf4c-279f25591fc4</t>
  </si>
  <si>
    <t>1.1.2.1.1.1.1.7.1</t>
  </si>
  <si>
    <t>Прочие материалы для облицовки стен из ГКЛ (лента, шпатлевка, грунтовка, шуруп, дюбель и пр.)_ / 2 слоя ГКЛ / профиль ПН/ПС 75 мм</t>
  </si>
  <si>
    <t>334080479.1571304</t>
  </si>
  <si>
    <t>27245718.1571304</t>
  </si>
  <si>
    <t>03246ec1-2d72-4291-b360-a366560593b9</t>
  </si>
  <si>
    <t>1.1.2.1.1.1.1.7.2</t>
  </si>
  <si>
    <t>334080479.1521716</t>
  </si>
  <si>
    <t>27245718.1521716</t>
  </si>
  <si>
    <t>85f69335-7b81-4c3d-b059-fb06ee828287</t>
  </si>
  <si>
    <t>1.1.2.1.1.1.1.7.3</t>
  </si>
  <si>
    <t>334080479.54565</t>
  </si>
  <si>
    <t>27245718.54565</t>
  </si>
  <si>
    <t>1.1.2.1.1.1.1.7.4</t>
  </si>
  <si>
    <t>334080479.54570</t>
  </si>
  <si>
    <t>27245718.54570</t>
  </si>
  <si>
    <t>1.1.2.1.1.1.1.8</t>
  </si>
  <si>
    <t>1, 2, 3 этажи. Тип: WD2 Зашивка приборов отопления ГВЛВ. Двуслойная обшивка из КНАУФ-листов 12.5мм с одной стороны на одинарном металлическом каркасе.</t>
  </si>
  <si>
    <t>1.1.2.1.1.1.1.8.1</t>
  </si>
  <si>
    <t>334080589.54565</t>
  </si>
  <si>
    <t>27245767.54565</t>
  </si>
  <si>
    <t>1.1.2.1.1.1.1.8.2</t>
  </si>
  <si>
    <t>334080589.54570</t>
  </si>
  <si>
    <t>27245767.54570</t>
  </si>
  <si>
    <t>1.1.2.1.1.1.1.8.3</t>
  </si>
  <si>
    <t>334080589.1521716</t>
  </si>
  <si>
    <t>27245767.1521716</t>
  </si>
  <si>
    <t>1.1.2.1.1.1.1.8.4</t>
  </si>
  <si>
    <t>334080589.1571304</t>
  </si>
  <si>
    <t>27245767.1571304</t>
  </si>
  <si>
    <t>1.1.3</t>
  </si>
  <si>
    <t>6.3</t>
  </si>
  <si>
    <t>Отделка, столярные работы, мебель и оборудование</t>
  </si>
  <si>
    <t>1.1.3.1</t>
  </si>
  <si>
    <t>6.3.1</t>
  </si>
  <si>
    <t>Отделка нежилых помещений</t>
  </si>
  <si>
    <t>1.1.3.1.1</t>
  </si>
  <si>
    <t>6.3.1.5</t>
  </si>
  <si>
    <t>Отделка СКБ</t>
  </si>
  <si>
    <t>1.1.3.1.1.1</t>
  </si>
  <si>
    <t>6.3.1.5.1</t>
  </si>
  <si>
    <t>Полы</t>
  </si>
  <si>
    <t>1.1.3.1.1.1.1</t>
  </si>
  <si>
    <t>6.3.1.5.1.1</t>
  </si>
  <si>
    <t xml:space="preserve">Подготовка полов под финишное покрытие </t>
  </si>
  <si>
    <t>1.1.3.1.1.1.1.1</t>
  </si>
  <si>
    <t>6.3.1.5.1.1.2.1</t>
  </si>
  <si>
    <t>Шлифование поверхности полов</t>
  </si>
  <si>
    <t>АРОР "Черновые отделочные работы" от 19.02.2026. Подвал тип П-3</t>
  </si>
  <si>
    <t>e50b3957-f575-49e1-8cf0-0b7ee81680c4</t>
  </si>
  <si>
    <t>18978ed0-562d-48a1-b2d0-a8ed7d233c9b</t>
  </si>
  <si>
    <t>8a7cac49-151b-40fd-a08b-5e72f8ff4034</t>
  </si>
  <si>
    <t>1.1.3.1.1.1.1.2</t>
  </si>
  <si>
    <t>НЗ № 8 от 24.02.2026 г.</t>
  </si>
  <si>
    <t>1.1.3.1.1.1.1.3</t>
  </si>
  <si>
    <t>6.3.1.5.1.1.6.3</t>
  </si>
  <si>
    <t>Устройство разделительного слоя / из пленки полиэтиленовой / в 1 слой</t>
  </si>
  <si>
    <t xml:space="preserve">АРОР "Черновые отделочные работы" от 19.02.2026. Тип: П-7, П-8, П-8.1, П-9, П-9.1, П-11. 
</t>
  </si>
  <si>
    <t>672f52f6-b26d-4fee-8a2b-3f641d01bb01</t>
  </si>
  <si>
    <t>91058521-be9a-4628-9277-514b8aa56189</t>
  </si>
  <si>
    <t>1.1.3.1.1.1.1.3.1</t>
  </si>
  <si>
    <t>Пленка полиэтиленовая_/200мкр</t>
  </si>
  <si>
    <t>334080488.55069</t>
  </si>
  <si>
    <t>29220848.55069</t>
  </si>
  <si>
    <t>1e9c2d25-a07a-4034-8600-2006e1c8a943</t>
  </si>
  <si>
    <t>1.1.3.1.1.1.1.4</t>
  </si>
  <si>
    <t>АРОР "Черновые отделочные работы" от 19.02.2026. Тип: П-7, П-8, П-8.1, П-9, П-9.1, П-11. Заведение полиэтиленовой пленки в полах на стены на высоту стяжки.</t>
  </si>
  <si>
    <t>1.1.3.1.1.1.1.4.1</t>
  </si>
  <si>
    <t>334080591.55069</t>
  </si>
  <si>
    <t>29220849.55069</t>
  </si>
  <si>
    <t>1.1.3.1.1.1.1.5</t>
  </si>
  <si>
    <t>6.3.1.5.1.1.9.1</t>
  </si>
  <si>
    <t>Обработка полов гидрофобизирующим составом</t>
  </si>
  <si>
    <t>АРОР "Черновые отделочные работы" от 19.02.2026. Тип: П-1. Грунтовка глубокого проникновения (обеспыливание) пол в подвале.</t>
  </si>
  <si>
    <t>8110adda-1540-4bb8-b3b7-609310f23e25</t>
  </si>
  <si>
    <t>a1d4b7cf-4f07-494c-98d4-9910479c9aa6</t>
  </si>
  <si>
    <t>1.1.3.1.1.1.1.5.1</t>
  </si>
  <si>
    <t>Грунтовка глубокого проникновения 0,1-0,15 кг/м²/24 часа</t>
  </si>
  <si>
    <t>ЛАСТИМИН УНКОНТ ЛЮКС LP51 А</t>
  </si>
  <si>
    <t>кг</t>
  </si>
  <si>
    <t>334080490.1586132</t>
  </si>
  <si>
    <t>29220846.1586132</t>
  </si>
  <si>
    <t>bf9ceec0-e3aa-11eb-80ff-005056881952</t>
  </si>
  <si>
    <t>1.1.3.1.1.1.1.6</t>
  </si>
  <si>
    <t>6.3.1.5.1.1.11.3</t>
  </si>
  <si>
    <t>Устройство стяжки СКБ / армированная сеткой от 41 мм до 60 мм</t>
  </si>
  <si>
    <t xml:space="preserve">АРОР "Черновые отделочные работы" от 19.02.2026. Тип: П-8.1, П-8.2, П-10, П-10.1 Цементно−песчаная стяжка M200 армированная сеткой 5Bр1 с ячейкой 100x100 − 50мм. 
</t>
  </si>
  <si>
    <t>ab62b66c-87c5-4996-bbcc-d9044c8dc3c3</t>
  </si>
  <si>
    <t>52f6b76b-892a-4180-890e-fe6cef6a41a6</t>
  </si>
  <si>
    <t>1.1.3.1.1.1.1.6.1</t>
  </si>
  <si>
    <t>Смесь цементно-песчаная сухая_/М200</t>
  </si>
  <si>
    <t>334080492.54612</t>
  </si>
  <si>
    <t>29223867.54612</t>
  </si>
  <si>
    <t>0d69655b-e863-4a40-aa5e-ec8a8fb69e4b</t>
  </si>
  <si>
    <t>1.1.3.1.1.1.1.6.2</t>
  </si>
  <si>
    <t>Сетка эл/св_/100*100*5</t>
  </si>
  <si>
    <t>334080492.55156</t>
  </si>
  <si>
    <t>29223867.55156</t>
  </si>
  <si>
    <t>bf82eb44-b4c2-419c-ba3f-021582715b59</t>
  </si>
  <si>
    <t>1.1.3.1.1.1.1.6.3</t>
  </si>
  <si>
    <t>Лента кромочная демпферная_/8*100мм/20м</t>
  </si>
  <si>
    <t>334080492.55045</t>
  </si>
  <si>
    <t>29223867.55045</t>
  </si>
  <si>
    <t>41f707b9-71e7-4101-86f2-7af29d65f5fe</t>
  </si>
  <si>
    <t>1.1.3.1.1.1.1.6.4</t>
  </si>
  <si>
    <t>Грунтовка универсальный ЛАСТИМИН_ / УНКОНТ ЛЮКС LP51 А</t>
  </si>
  <si>
    <t>334080492.1139608</t>
  </si>
  <si>
    <t>29223867.1139608</t>
  </si>
  <si>
    <t>bbceaf39-544c-478f-a605-41b8d1bad350</t>
  </si>
  <si>
    <t>1.1.3.1.1.1.1.7</t>
  </si>
  <si>
    <t>6.3.1.5.1.1.11.4</t>
  </si>
  <si>
    <t>Устройство стяжки СКБ / армированная сеткой от 61мм до 80 мм</t>
  </si>
  <si>
    <t xml:space="preserve">АРОР "Черновые отделочные работы" от 19.02.2026. Тип: П-8, П-9, П-9.1, П-11. Цементно−песчаная стяжка M200 армированная сеткой 5Bр1 с ячейкой  100x100 − 65мм. 
</t>
  </si>
  <si>
    <t>69309f48-e9fb-4ccc-8a31-9b4745ed871a</t>
  </si>
  <si>
    <t>23adf7dc-e836-4d8a-ab74-26a79242b402</t>
  </si>
  <si>
    <t>1.1.3.1.1.1.1.7.1</t>
  </si>
  <si>
    <t>334080493.54612</t>
  </si>
  <si>
    <t>29220850.54612</t>
  </si>
  <si>
    <t>1.1.3.1.1.1.1.7.2</t>
  </si>
  <si>
    <t>334080493.55156</t>
  </si>
  <si>
    <t>29220850.55156</t>
  </si>
  <si>
    <t>1.1.3.1.1.1.1.7.3</t>
  </si>
  <si>
    <t>334080493.55045</t>
  </si>
  <si>
    <t>29220850.55045</t>
  </si>
  <si>
    <t>1.1.3.1.1.1.1.7.4</t>
  </si>
  <si>
    <t>334080493.1139608</t>
  </si>
  <si>
    <t>29220850.1139608</t>
  </si>
  <si>
    <t>1.1.3.1.1.1.1.8</t>
  </si>
  <si>
    <t>6.3.1.5.1.1.11.9</t>
  </si>
  <si>
    <t>Устройство стяжки СКБ / неармированная с приготовлением раствора от 21 мм до 40 мм</t>
  </si>
  <si>
    <t>АРОР "Черновые отделочные работы" от 19.02.2026. Тип: П-3, П-3.1, П-3 - межэтажные площадки. Цементно−песчаная  стяжка M150 выравнивающая  −  25мм.</t>
  </si>
  <si>
    <t>da575ed1-c272-422d-983d-739497fc72b8</t>
  </si>
  <si>
    <t>f7755555-debb-45b8-8188-83a4c4b11754</t>
  </si>
  <si>
    <t>1.1.3.1.1.1.1.8.1</t>
  </si>
  <si>
    <t>Смесь цементно-песчаная сухая_/М150</t>
  </si>
  <si>
    <t>334080494.54611</t>
  </si>
  <si>
    <t>29220847.54611</t>
  </si>
  <si>
    <t>a1146549-61c5-4487-b5c7-fb7d0d185669</t>
  </si>
  <si>
    <t>1.1.3.1.1.1.1.8.2</t>
  </si>
  <si>
    <t>334080494.55045</t>
  </si>
  <si>
    <t>29220847.55045</t>
  </si>
  <si>
    <t>1.1.3.1.1.1.1.8.3</t>
  </si>
  <si>
    <t>334080494.1139608</t>
  </si>
  <si>
    <t>29220847.1139608</t>
  </si>
  <si>
    <t>1.1.3.1.1.1.1.9</t>
  </si>
  <si>
    <t>6.3.1.5.1.1.12.1</t>
  </si>
  <si>
    <t>Устройство наливных полов СКБ / толщ. до 10 мм</t>
  </si>
  <si>
    <t>АРОР "Черновые отделочные работы" от 19.02.2026. 1-й этаж. Тип П-5, П-9, П-10.</t>
  </si>
  <si>
    <t>b65fecf4-86b0-47e5-a873-50746e1e06fc</t>
  </si>
  <si>
    <t>1c1d8a34-6071-4900-a8e0-abeca2f16e8f</t>
  </si>
  <si>
    <t>1.1.3.1.1.1.1.9.1</t>
  </si>
  <si>
    <t>334080496.55045</t>
  </si>
  <si>
    <t>29196678.55045</t>
  </si>
  <si>
    <t>1.1.3.1.1.1.1.9.2</t>
  </si>
  <si>
    <t>334080496.1139608</t>
  </si>
  <si>
    <t>29196678.1139608</t>
  </si>
  <si>
    <t>1.1.3.1.1.1.1.9.3</t>
  </si>
  <si>
    <t>Наливной пол_ / Унифицированный по ПИК-СТАНДАРТ</t>
  </si>
  <si>
    <t>334080496.1352734</t>
  </si>
  <si>
    <t>29196678.1352734</t>
  </si>
  <si>
    <t>1c2289ef-6763-4a24-83d9-d4567710d066</t>
  </si>
  <si>
    <t>1.1.3.1.1.1.1.10</t>
  </si>
  <si>
    <t>АРОР "Черновые отделочные работы" от 19.02.2026. 1-й этаж. 2-й и 3-й этаж. Тип П-13, П-16, П-17.</t>
  </si>
  <si>
    <t>1.1.3.1.1.1.1.10.1</t>
  </si>
  <si>
    <t>334080592.1352734</t>
  </si>
  <si>
    <t>29196677.1352734</t>
  </si>
  <si>
    <t>1.1.3.1.1.1.1.10.2</t>
  </si>
  <si>
    <t>334080592.1139608</t>
  </si>
  <si>
    <t>29196677.1139608</t>
  </si>
  <si>
    <t>1.1.3.1.1.1.1.10.3</t>
  </si>
  <si>
    <t>334080592.55045</t>
  </si>
  <si>
    <t>29196677.55045</t>
  </si>
  <si>
    <t>1.1.3.1.1.1.2</t>
  </si>
  <si>
    <t>6.3.1.5.1.2</t>
  </si>
  <si>
    <t>Гидроизоляция, тепло-звукоизоляция, утепление</t>
  </si>
  <si>
    <t>1.1.3.1.1.1.2.1</t>
  </si>
  <si>
    <t>6.3.1.5.1.2.1.2</t>
  </si>
  <si>
    <t>Устройство обмазочной гидроизоляции с проклеиванием швов армированной лентой из стекловолокна / в 2 слоя</t>
  </si>
  <si>
    <t>АРОР "Черновые отделочные работы" от 19.02.2026. Тип П-5. Подвал. Обмазочная  гидроизоляция пола в 2 слоя. Мастика Технониколь №31, праймер Технониколь № 01, полосы геотекстиля 200 мм - 60-120 г/м2</t>
  </si>
  <si>
    <t>405b7847-8cb0-4821-ac01-f56e7770b070</t>
  </si>
  <si>
    <t>8a135a98-3599-429e-b287-6354f720abc7</t>
  </si>
  <si>
    <t>1.1.3.1.1.1.2.1.1</t>
  </si>
  <si>
    <t>Праймер битумный_ / Технониколь №01</t>
  </si>
  <si>
    <t>334080499.55059</t>
  </si>
  <si>
    <t>29223865.55059</t>
  </si>
  <si>
    <t>68251cd7-5dc5-41f9-86a1-86f378997b3d</t>
  </si>
  <si>
    <t>1.1.3.1.1.1.2.1.2</t>
  </si>
  <si>
    <t>Лента армированная Серпянка 150мм</t>
  </si>
  <si>
    <t>полосы геотекстиля 200 мм - 60-120 г/м2</t>
  </si>
  <si>
    <t>334080499.7431</t>
  </si>
  <si>
    <t>29223865.7431</t>
  </si>
  <si>
    <t>f955e3c3-158b-11e8-80d9-005056881952</t>
  </si>
  <si>
    <t>1.1.3.1.1.1.2.1.3</t>
  </si>
  <si>
    <t>Гидроизоляционная мастика_/ТЕХНОНИКОЛЬ №31</t>
  </si>
  <si>
    <t>334080499.55060</t>
  </si>
  <si>
    <t>29223865.55060</t>
  </si>
  <si>
    <t>f867ccfe-df51-4866-ad47-f32bc50646ec</t>
  </si>
  <si>
    <t>1.1.3.1.1.1.2.2</t>
  </si>
  <si>
    <t>АРОР "Черновые отделочные работы" от 19.02.2026. Тип: П-5. Обмазочная  гидроизоляция пола в 2 слоя, площадь  заведения на стены (пилоны) на h=200 мм.</t>
  </si>
  <si>
    <t>1.1.3.1.1.1.2.2.1</t>
  </si>
  <si>
    <t>334080593.55060</t>
  </si>
  <si>
    <t>29223866.55060</t>
  </si>
  <si>
    <t>1.1.3.1.1.1.2.2.2</t>
  </si>
  <si>
    <t>334080593.7431</t>
  </si>
  <si>
    <t>29223866.7431</t>
  </si>
  <si>
    <t>1.1.3.1.1.1.2.2.3</t>
  </si>
  <si>
    <t>334080593.55059</t>
  </si>
  <si>
    <t>29223866.55059</t>
  </si>
  <si>
    <t>1.1.3.1.1.1.2.3</t>
  </si>
  <si>
    <t>АРОР "Черновые отделочные работы" от 19.02.2026. Тип: П-7, П-11, П-15. 1-3 этажи. Обмазочная  гидроизоляция пола в 2 слоя  Гидроизоляция полимерная Knauf Флэхендихт, Лента гидроизоляционная Plitonit ГидроЛента 12 см.</t>
  </si>
  <si>
    <t>1.1.3.1.1.1.2.3.1</t>
  </si>
  <si>
    <t>Полимерная гидроизоляция Ceresit / CL51</t>
  </si>
  <si>
    <t>Гидроизоляция полимерная Knauf Флэхендихт</t>
  </si>
  <si>
    <t>334080594.1193512</t>
  </si>
  <si>
    <t>29240474.1193512</t>
  </si>
  <si>
    <t>b2e2508f-bede-4719-a144-308272efce2d</t>
  </si>
  <si>
    <t>1.1.3.1.1.1.2.3.2</t>
  </si>
  <si>
    <t>Лента гидроизоляционная / ASO-Dichtband-2000S</t>
  </si>
  <si>
    <t xml:space="preserve"> Лента гидроизоляционная Plitonit ГидроЛента 12 см</t>
  </si>
  <si>
    <t>334080594.839808</t>
  </si>
  <si>
    <t>29240474.839808</t>
  </si>
  <si>
    <t>ecb0e966-9323-42c4-baf4-98d9402e7e13</t>
  </si>
  <si>
    <t>1.1.3.1.1.1.2.4</t>
  </si>
  <si>
    <t>АРОР "Черновые отделочные работы" от 19.02.2026. Тип: П-7, П-11, П-15 площадь заведения стены (пилоны) на h=200 мм. Гидроизоляция полимерная Knauf Флэхендихт.</t>
  </si>
  <si>
    <t>1.1.3.1.1.1.2.4.1</t>
  </si>
  <si>
    <t>334080595.839808</t>
  </si>
  <si>
    <t>29240473.839808</t>
  </si>
  <si>
    <t>1.1.3.1.1.1.2.4.2</t>
  </si>
  <si>
    <t>334080595.1193512</t>
  </si>
  <si>
    <t>29240473.1193512</t>
  </si>
  <si>
    <t>1.1.3.1.1.1.2.5</t>
  </si>
  <si>
    <t>6.3.1.5.1.2.2.1</t>
  </si>
  <si>
    <t>Устройство оклеечной гидроизоляции с подготовкой из битумного праймера / в 1 слой</t>
  </si>
  <si>
    <t>АРОР "Черновые отделочные работы" от 19.02.2026. Тип: П-8.2 (пом.1.17, 1.18), П-10 (пом.1.64,  1.67,  1.68, 1.69,  1.73,  1.74), П-10.1 (пом.1.19). Фольгоизол или аналог 2 мм.</t>
  </si>
  <si>
    <t>b0e4a360-f0f4-4b32-848c-1316cdd739d6</t>
  </si>
  <si>
    <t>52b98750-a8fa-47b1-96e4-d689159ebbac</t>
  </si>
  <si>
    <t>1.1.3.1.1.1.2.5.1</t>
  </si>
  <si>
    <t>Теплоизоляция_ / Фольгоизол Порилекс НПЭ ЛП лавса</t>
  </si>
  <si>
    <t>334080501.726318</t>
  </si>
  <si>
    <t>29240478.726318</t>
  </si>
  <si>
    <t>ae528005-908e-466b-b27f-8df35c170cd3</t>
  </si>
  <si>
    <t>1.1.3.1.1.1.2.6</t>
  </si>
  <si>
    <t xml:space="preserve">АРОР "Черновые отделочные работы" от 19.02.2026. Тип: П-8.2 (пом.1.17, 1.18), П-10 (пом.1.64,  1.67,  1.68, 1.69,  1.73,  1.74), П-10.1 (пом.1.19). Фольгоизол или аналог 2 мм заведение на высоту стяжки и наливного. 
</t>
  </si>
  <si>
    <t>1.1.3.1.1.1.2.6.1</t>
  </si>
  <si>
    <t>334080596.726318</t>
  </si>
  <si>
    <t>29240477.726318</t>
  </si>
  <si>
    <t>1.1.3.1.1.1.2.7</t>
  </si>
  <si>
    <t>6.3.1.5.1.2.4.1</t>
  </si>
  <si>
    <t>Устройство тепло-звукоизоляции полов / минвата / в 1 слой</t>
  </si>
  <si>
    <t>АРОР "Черновые отделочные работы" от 19.02.2026. Тип: П-7, П-8, П-8.1, П-8.2, П-9, 9.1, П-10, П-10.1, П-11 . Mинераловатный  утеплитель Технофлор Стандарт: ρ=99−121  кг/м3, предел прочности на сжатие не менее 25 кПа, λ=0,041  Bт/м°С  −  50мм.</t>
  </si>
  <si>
    <t>af86ab82-d73d-4a1e-bbf7-c759e5f4c78d</t>
  </si>
  <si>
    <t>712c77f6-f7c6-46fe-bc4a-fb39db44eb02</t>
  </si>
  <si>
    <t>1.1.3.1.1.1.2.7.1</t>
  </si>
  <si>
    <t>Плита теплоизоляционная минераловатная_ / ТЕХНОФЛОР СТАНДАРТ / 1200х600х120</t>
  </si>
  <si>
    <t>м3</t>
  </si>
  <si>
    <t>334080503.763905</t>
  </si>
  <si>
    <t>29240475.763905</t>
  </si>
  <si>
    <t>8698a21b-97f8-4d0f-ac62-f0d7422f32d5</t>
  </si>
  <si>
    <t>1.1.3.1.1.1.3</t>
  </si>
  <si>
    <t>6.3.1.5.1.3</t>
  </si>
  <si>
    <t>Устройство покрытия полов</t>
  </si>
  <si>
    <t>1.1.3.1.1.1.3.1</t>
  </si>
  <si>
    <t>6.3.1.5.1.3.2.1</t>
  </si>
  <si>
    <t>Устройство покрытия пола из линолеума</t>
  </si>
  <si>
    <t>Включая защиту ДВП</t>
  </si>
  <si>
    <t>51b31787-2db2-4031-aade-329f900ef9b7</t>
  </si>
  <si>
    <t>b58ad002-5dea-4a06-b953-f640911ed5b2</t>
  </si>
  <si>
    <t>1.1.3.1.1.1.3.1.1</t>
  </si>
  <si>
    <t>Клей для линолеума</t>
  </si>
  <si>
    <t>334080506.702694</t>
  </si>
  <si>
    <t>27245671.702694</t>
  </si>
  <si>
    <t>1a3e3255-5ba6-49e7-bbc8-279e1b1289a0</t>
  </si>
  <si>
    <t>1.1.3.1.1.1.3.1.2</t>
  </si>
  <si>
    <t>Сварочный шнур для линолеума (для объектов СКБ)_ / Tarkett / Сварочный шнур для спортивного линолеума "цветной" для школы / 94853 или 94854</t>
  </si>
  <si>
    <t>334080506.765921</t>
  </si>
  <si>
    <t>27245671.765921</t>
  </si>
  <si>
    <t>8a356048-b8f8-47ee-8d24-c76a0511040b</t>
  </si>
  <si>
    <t>1.1.3.1.1.1.3.1.3</t>
  </si>
  <si>
    <t>Линолеум (для объектов СКБ)_ / 4 мм  / Желтый / Omnisports ACTION R40 YELLOW / Tarkett / - / Спортивный линолеум для детского сада</t>
  </si>
  <si>
    <t>334080506.1757615</t>
  </si>
  <si>
    <t>27245671.1757615</t>
  </si>
  <si>
    <t>d4a7a97e-1161-462d-a2ac-3ef8a8ae8cec</t>
  </si>
  <si>
    <t>1.1.3.1.1.1.3.2</t>
  </si>
  <si>
    <t>1.1.3.1.1.1.3.2.1</t>
  </si>
  <si>
    <t>Линолеум (для объектов СКБ)_ / 4 мм  / серый / Omnisports ACTION R40 GREY / Tarkett / - / Спортивный линолеум для школы</t>
  </si>
  <si>
    <t>334080597.1757616</t>
  </si>
  <si>
    <t>27245672.1757616</t>
  </si>
  <si>
    <t>8a051785-3557-4655-9655-cc3c5240c6a9</t>
  </si>
  <si>
    <t>1.1.3.1.1.1.3.2.2</t>
  </si>
  <si>
    <t>Сварочный шнур для линолеума (для объектов СКБ)_ / Tarkett  / Сварочный шнур для линолеума ПВХ светло - серого для детского сада / 91811</t>
  </si>
  <si>
    <t>334080597.1757617</t>
  </si>
  <si>
    <t>27245672.1757617</t>
  </si>
  <si>
    <t>bb025d17-34e9-45a4-8c65-9092721a631f</t>
  </si>
  <si>
    <t>1.1.3.1.1.1.3.2.3</t>
  </si>
  <si>
    <t>334080597.702694</t>
  </si>
  <si>
    <t>27245672.702694</t>
  </si>
  <si>
    <t>1.1.3.1.1.1.3.3</t>
  </si>
  <si>
    <t>1, 2, 3 этажи. Тип: Л-7</t>
  </si>
  <si>
    <t>1.1.3.1.1.1.3.3.1</t>
  </si>
  <si>
    <t>334080598.702694</t>
  </si>
  <si>
    <t>27245781.702694</t>
  </si>
  <si>
    <t>1.1.3.1.1.1.3.3.2</t>
  </si>
  <si>
    <t>334080598.1757617</t>
  </si>
  <si>
    <t>27245781.1757617</t>
  </si>
  <si>
    <t>1.1.3.1.1.1.3.3.3</t>
  </si>
  <si>
    <t>334080598.1757616</t>
  </si>
  <si>
    <t>27245781.1757616</t>
  </si>
  <si>
    <t>1.1.3.1.1.1.3.4</t>
  </si>
  <si>
    <t>1, 2, 3 этажи. Тип: Л-4</t>
  </si>
  <si>
    <t>1.1.3.1.1.1.3.4.1</t>
  </si>
  <si>
    <t>Линолеум Таркетт OMNISPORTS SKY BLUE 40, толщина 4,0мм</t>
  </si>
  <si>
    <t>334080599.1757615</t>
  </si>
  <si>
    <t>27245780.1757615</t>
  </si>
  <si>
    <t>1.1.3.1.1.1.3.4.2</t>
  </si>
  <si>
    <t>334080599.765921</t>
  </si>
  <si>
    <t>27245780.765921</t>
  </si>
  <si>
    <t>1.1.3.1.1.1.3.4.3</t>
  </si>
  <si>
    <t>334080599.702694</t>
  </si>
  <si>
    <t>27245780.702694</t>
  </si>
  <si>
    <t>1.1.3.1.1.1.3.5</t>
  </si>
  <si>
    <t>1, 2, 3 этажи. Тип: Л-1</t>
  </si>
  <si>
    <t>1.1.3.1.1.1.3.5.1</t>
  </si>
  <si>
    <t>334080600.702694</t>
  </si>
  <si>
    <t>27245779.702694</t>
  </si>
  <si>
    <t>1.1.3.1.1.1.3.5.2</t>
  </si>
  <si>
    <t>334080600.1757617</t>
  </si>
  <si>
    <t>27245779.1757617</t>
  </si>
  <si>
    <t>1.1.3.1.1.1.3.5.3</t>
  </si>
  <si>
    <t>334080600.1757616</t>
  </si>
  <si>
    <t>27245779.1757616</t>
  </si>
  <si>
    <t>1.1.3.1.1.1.3.6</t>
  </si>
  <si>
    <t>1.1.3.1.1.1.3.6.1</t>
  </si>
  <si>
    <t>334080601.1757617</t>
  </si>
  <si>
    <t>27245782.1757617</t>
  </si>
  <si>
    <t>1.1.3.1.1.1.3.6.2</t>
  </si>
  <si>
    <t>334080601.702694</t>
  </si>
  <si>
    <t>27245782.702694</t>
  </si>
  <si>
    <t>1.1.3.1.1.1.3.7</t>
  </si>
  <si>
    <t>АРОР "ЧИСТОВЫЕ отделочные работы" от 19.02.2026. Л-1. Линолеум гетерогенный Форбо Smaragd Lux арт. 6365 т. 2мм</t>
  </si>
  <si>
    <t>1.1.3.1.1.1.3.7.1</t>
  </si>
  <si>
    <t>Клей водно-дисперсионный Eurocol 599 Eurosafe Super 20 кг</t>
  </si>
  <si>
    <t>334080602.702694</t>
  </si>
  <si>
    <t>29362334.702694</t>
  </si>
  <si>
    <t>1.1.3.1.1.1.3.7.2</t>
  </si>
  <si>
    <t>Грунтовка _ / универсальная водно-дисперсионная</t>
  </si>
  <si>
    <t>334080602.737422</t>
  </si>
  <si>
    <t>29362334.737422</t>
  </si>
  <si>
    <t>64d77ce3-b188-4652-a3eb-49ad1b6ad85c</t>
  </si>
  <si>
    <t>1.1.3.1.1.1.3.7.3</t>
  </si>
  <si>
    <t>Сварочный шнур для линолеума (для объектов СКБ)_ / Tarkett / Сварочный шнур для спортивного линолеума серого для школы / 91542</t>
  </si>
  <si>
    <t>334080602.765920</t>
  </si>
  <si>
    <t>29362334.765920</t>
  </si>
  <si>
    <t>8b06f5c0-4a01-4923-b6d7-85990f8ce515</t>
  </si>
  <si>
    <t>1.1.3.1.1.1.3.7.4</t>
  </si>
  <si>
    <t>Линолеум (для объектов СКБ)_ / 2,5 мм / Светло-серый / TempoPlus 1003/89316 / Tarkett / 34 / Линолеум ПВХ гомогенный для детского сада</t>
  </si>
  <si>
    <t xml:space="preserve">Линолеум гетерогенный Форбо Smaragd Lux арт. 6365 т. 2мм
</t>
  </si>
  <si>
    <t>334080602.765845</t>
  </si>
  <si>
    <t>29362334.765845</t>
  </si>
  <si>
    <t>3ad291f0-880a-4d41-b76e-e62924259b82</t>
  </si>
  <si>
    <t>1.1.3.1.1.1.3.8</t>
  </si>
  <si>
    <t>АРОР "ЧИСТОВЫЕ отделочные работы" от 19.02.2026. Л-3. Линолеум Таркетт OMNISPORTS GREY 40, толщина 4,0мм</t>
  </si>
  <si>
    <t>1.1.3.1.1.1.3.8.1</t>
  </si>
  <si>
    <t>334080603.1757616</t>
  </si>
  <si>
    <t>29362335.1757616</t>
  </si>
  <si>
    <t>1.1.3.1.1.1.3.8.2</t>
  </si>
  <si>
    <t>334080603.765920</t>
  </si>
  <si>
    <t>29362335.765920</t>
  </si>
  <si>
    <t>1.1.3.1.1.1.3.8.3</t>
  </si>
  <si>
    <t>334080603.702694</t>
  </si>
  <si>
    <t>29362335.702694</t>
  </si>
  <si>
    <t>1.1.3.1.1.1.3.9</t>
  </si>
  <si>
    <t>АРОР "ЧИСТОВЫЕ отделочные работы" от 19.02.2026. Л-4. Линолеум спортивный Форбо голубой 2040 light biue т. 4мм, м2</t>
  </si>
  <si>
    <t>1.1.3.1.1.1.3.9.1</t>
  </si>
  <si>
    <t>334080604.702694</t>
  </si>
  <si>
    <t>29371275.702694</t>
  </si>
  <si>
    <t>1.1.3.1.1.1.3.9.2</t>
  </si>
  <si>
    <t>334080604.737422</t>
  </si>
  <si>
    <t>29371275.737422</t>
  </si>
  <si>
    <t>1.1.3.1.1.1.3.9.3</t>
  </si>
  <si>
    <t>334080604.765920</t>
  </si>
  <si>
    <t>29371275.765920</t>
  </si>
  <si>
    <t>1.1.3.1.1.1.3.9.4</t>
  </si>
  <si>
    <t>Линолеум (для объектов СКБ)_ / 4 мм  / TEAL / Omnisports ACTION R40 / Tarkett / - / Спортивный линолеум для школы цветной</t>
  </si>
  <si>
    <t>334080604.1757614</t>
  </si>
  <si>
    <t>29371275.1757614</t>
  </si>
  <si>
    <t>72f2d698-6b14-4893-94fe-06d84de90d15</t>
  </si>
  <si>
    <t>1.1.3.1.1.1.3.10</t>
  </si>
  <si>
    <t>6.3.1.5.1.3.8.1</t>
  </si>
  <si>
    <t>Установка стыковочных профилей</t>
  </si>
  <si>
    <t>76703cd4-c8ff-4e22-abbd-2d5e394281cf</t>
  </si>
  <si>
    <t>d8cca10c-4815-473b-a7ff-575551ece3f3</t>
  </si>
  <si>
    <t>1.1.3.1.1.1.3.10.1</t>
  </si>
  <si>
    <t>Профиль для деформационных швов / Гидроконтур ПСН-100</t>
  </si>
  <si>
    <t>334080508.2809864</t>
  </si>
  <si>
    <t>27245706.2809864</t>
  </si>
  <si>
    <t>056f83f2-b240-11ef-b2b9-8d9a4c3e632c</t>
  </si>
  <si>
    <t>1.1.3.1.1.1.3.10.2</t>
  </si>
  <si>
    <t>Жидкие гвозди универсальные_/</t>
  </si>
  <si>
    <t>шт</t>
  </si>
  <si>
    <t>334080508.54854</t>
  </si>
  <si>
    <t>27245706.54854</t>
  </si>
  <si>
    <t>3378c715-1bc1-40f5-8d09-15a912e04c9d</t>
  </si>
  <si>
    <t>1.1.3.1.1.1.3.11</t>
  </si>
  <si>
    <t>1.1.3.1.1.1.3.11.1</t>
  </si>
  <si>
    <t>334080605.54854</t>
  </si>
  <si>
    <t>27245707.54854</t>
  </si>
  <si>
    <t>1.1.3.1.1.1.3.11.2</t>
  </si>
  <si>
    <t>334080605.2809864</t>
  </si>
  <si>
    <t>27245707.2809864</t>
  </si>
  <si>
    <t>1.1.3.1.1.1.3.12</t>
  </si>
  <si>
    <t>1.1.3.1.1.1.3.12.1</t>
  </si>
  <si>
    <t>334080606.2809864</t>
  </si>
  <si>
    <t>27245708.2809864</t>
  </si>
  <si>
    <t>1.1.3.1.1.1.3.12.2</t>
  </si>
  <si>
    <t>334080606.54854</t>
  </si>
  <si>
    <t>27245708.54854</t>
  </si>
  <si>
    <t>1.1.3.1.1.1.3.13</t>
  </si>
  <si>
    <t>1.1.3.1.1.1.3.13.1</t>
  </si>
  <si>
    <t>Профиль, ПМЮ-05 / 2700мм</t>
  </si>
  <si>
    <t>334080607.1276313</t>
  </si>
  <si>
    <t>27245709.1276313</t>
  </si>
  <si>
    <t>c53a38a1-8b3e-46f9-a81d-9cf0e3e1db7b</t>
  </si>
  <si>
    <t>1.1.3.1.1.1.3.13.2</t>
  </si>
  <si>
    <t>334080607.54854</t>
  </si>
  <si>
    <t>27245709.54854</t>
  </si>
  <si>
    <t>1.1.3.1.1.1.3.14</t>
  </si>
  <si>
    <t>1, 2, 3 этажи. Тип: SB02. Профиль Гидроконтур для деформационных швов напольный</t>
  </si>
  <si>
    <t>1.1.3.1.1.1.3.14._</t>
  </si>
  <si>
    <t>1.1.3.1.1.1.3.14.1</t>
  </si>
  <si>
    <t>334080608.2809864</t>
  </si>
  <si>
    <t>27245762.2809864</t>
  </si>
  <si>
    <t>1.1.3.1.1.1.3.14.1._</t>
  </si>
  <si>
    <t>315889923.2809864</t>
  </si>
  <si>
    <t>1.1.3.1.1.1.3.14.2</t>
  </si>
  <si>
    <t>334080608.54854</t>
  </si>
  <si>
    <t>27245762.54854</t>
  </si>
  <si>
    <t>1.1.3.1.1.1.3.14.2._</t>
  </si>
  <si>
    <t>315889923.54854</t>
  </si>
  <si>
    <t>1.1.3.1.1.1.3.15</t>
  </si>
  <si>
    <t>1, 2, 3 этажи. Тип: SB03. Профиль Гидроконтур для деформационных швов настенный</t>
  </si>
  <si>
    <t>1.1.3.1.1.1.3.15._</t>
  </si>
  <si>
    <t>1.1.3.1.1.1.3.15.1</t>
  </si>
  <si>
    <t>334080609.54854</t>
  </si>
  <si>
    <t>27245763.54854</t>
  </si>
  <si>
    <t>1.1.3.1.1.1.3.15.1._</t>
  </si>
  <si>
    <t>315889924.54854</t>
  </si>
  <si>
    <t>1.1.3.1.1.1.3.15.2</t>
  </si>
  <si>
    <t>334080609.2809864</t>
  </si>
  <si>
    <t>27245763.2809864</t>
  </si>
  <si>
    <t>1.1.3.1.1.1.3.15.2._</t>
  </si>
  <si>
    <t>315889924.2809864</t>
  </si>
  <si>
    <t>1.1.3.1.1.1.3.16</t>
  </si>
  <si>
    <t>1, 2, 3 этажи. Тип: РB04. Профиль Гидроконтур для деформационных швов потолочный</t>
  </si>
  <si>
    <t>1.1.3.1.1.1.3.16._</t>
  </si>
  <si>
    <t>1.1.3.1.1.1.3.16.1</t>
  </si>
  <si>
    <t>334080610.2809864</t>
  </si>
  <si>
    <t>27245789.2809864</t>
  </si>
  <si>
    <t>1.1.3.1.1.1.3.16.1._</t>
  </si>
  <si>
    <t>315889925.2809864</t>
  </si>
  <si>
    <t>1.1.3.1.1.1.3.16.2</t>
  </si>
  <si>
    <t>334080610.54854</t>
  </si>
  <si>
    <t>27245789.54854</t>
  </si>
  <si>
    <t>1.1.3.1.1.1.3.16.2._</t>
  </si>
  <si>
    <t>315889925.54854</t>
  </si>
  <si>
    <t>1.1.3.1.1.1.3.17</t>
  </si>
  <si>
    <t>1, 2, 3 этажи. Тип: SB01</t>
  </si>
  <si>
    <t>1.1.3.1.1.1.3.17.1</t>
  </si>
  <si>
    <t>334080611.1276313</t>
  </si>
  <si>
    <t>27245761.1276313</t>
  </si>
  <si>
    <t>1.1.3.1.1.1.3.17.2</t>
  </si>
  <si>
    <t>334080611.54854</t>
  </si>
  <si>
    <t>27245761.54854</t>
  </si>
  <si>
    <t>1.1.3.1.1.1.3.18</t>
  </si>
  <si>
    <t xml:space="preserve">АРОР "ЧИСТОВЫЕ отделочные работы" от 19.02.2026. SB01. Т-образный профиль. Алюминиевый, шириной 20мм, цвет шлифованная сталь
</t>
  </si>
  <si>
    <t>1.1.3.1.1.1.3.18.1</t>
  </si>
  <si>
    <t>Профиль T-образный ПМЮ-01_ / серебро матовое / 2700*30</t>
  </si>
  <si>
    <t>334080612.54698</t>
  </si>
  <si>
    <t>29371273.54698</t>
  </si>
  <si>
    <t>431fd404-0d93-4656-9911-5bebccf01228</t>
  </si>
  <si>
    <t>1.1.3.1.1.1.3.18.2</t>
  </si>
  <si>
    <t>Клей монтажный акриловый Момент Монтаж МВп-70 Суперсильный прозрачный 270 мл</t>
  </si>
  <si>
    <t>334080612.54854</t>
  </si>
  <si>
    <t>29371273.54854</t>
  </si>
  <si>
    <t>1.1.3.1.1.1.3.19</t>
  </si>
  <si>
    <t>АРОР "ЧИСТОВЫЕ отделочные работы" от 19.02.2026. SB02. Профиль Гидроконтур для деформационных швов напольный</t>
  </si>
  <si>
    <t>1.1.3.1.1.1.3.19.1</t>
  </si>
  <si>
    <t>Профиль для деформационных швов / Гидроконтур ДШ-АЛ-50/0</t>
  </si>
  <si>
    <t>Накладной профиль для напольного деформационного шва Гидроконтур ДШ-АЛ-50/0, алюминий, при ширине деф. шва 50мм. Стоимость крепежа (анкер для бетона с потай. головкой MASTER PROOF 6×75) включена в стоимость ДШ.</t>
  </si>
  <si>
    <t>334080613.2809868</t>
  </si>
  <si>
    <t>29371274.2809868</t>
  </si>
  <si>
    <t>fa5d15a6-b240-11ef-b2b9-8d9a4c3e632c</t>
  </si>
  <si>
    <t>1.1.3.1.1.1.3.20</t>
  </si>
  <si>
    <t>АРОР "ЧИСТОВЫЕ отделочные работы" от 19.02.2026. SB03. Профиль Гидроконтур для деформационных швов настенный</t>
  </si>
  <si>
    <t>1.1.3.1.1.1.3.20.1</t>
  </si>
  <si>
    <t>Накладной профиль для деформационного шва Гидроконтур ПСН-100. Стоимость крепежа (анкер для бетона с потай. головкой MASTER PROOF 6×75) включена в стоимость ДШ</t>
  </si>
  <si>
    <t>334080614.2809864</t>
  </si>
  <si>
    <t>29373765.2809864</t>
  </si>
  <si>
    <t>1.1.3.1.1.1.3.21</t>
  </si>
  <si>
    <t>АРОР "ЧИСТОВЫЕ отделочные работы" от 19.02.2026. РB04. Профиль Гидроконтур для деформационных швов потолочный</t>
  </si>
  <si>
    <t>1.1.3.1.1.1.3.21.1</t>
  </si>
  <si>
    <t>334080615.2809864</t>
  </si>
  <si>
    <t>29373766.2809864</t>
  </si>
  <si>
    <t>1.1.3.1.1.1.3.22</t>
  </si>
  <si>
    <t>1.1.3.1.1.1.3.22.1</t>
  </si>
  <si>
    <t>334080616.2809868</t>
  </si>
  <si>
    <t>29373759.2809868</t>
  </si>
  <si>
    <t>1.1.3.1.1.1.3.23</t>
  </si>
  <si>
    <t>1.1.3.1.1.1.3.23.1</t>
  </si>
  <si>
    <t>334080617.2809864</t>
  </si>
  <si>
    <t>29373761.2809864</t>
  </si>
  <si>
    <t>1.1.3.1.1.1.3.24</t>
  </si>
  <si>
    <t>1.1.3.1.1.1.3.24.1</t>
  </si>
  <si>
    <t>334080618.2809864</t>
  </si>
  <si>
    <t>29373763.2809864</t>
  </si>
  <si>
    <t>1.1.3.1.1.1.3.25</t>
  </si>
  <si>
    <t>6.3.1.5.1.3.14.1</t>
  </si>
  <si>
    <t>Устройство покрытия пола из кварцвинила / на клею</t>
  </si>
  <si>
    <t>d2a8c4cc-9752-499d-bcd0-96d63d6d3e47</t>
  </si>
  <si>
    <t>0f62f3eb-5d66-4427-b2d6-a309be9c6e5c</t>
  </si>
  <si>
    <t>1.1.3.1.1.1.3.25.1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</si>
  <si>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</si>
  <si>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334080510.1579985</t>
  </si>
  <si>
    <t>27245602.1579985</t>
  </si>
  <si>
    <t>f4eb966a-beb9-11eb-80fb-005056881952</t>
  </si>
  <si>
    <t>1.1.3.1.1.1.3.25.2</t>
  </si>
  <si>
    <t>Кварц-виниловая плитка / SPC VIVA Series с защитным слоем 0,3мм</t>
  </si>
  <si>
    <t>334080510.1745760</t>
  </si>
  <si>
    <t>27245602.1745760</t>
  </si>
  <si>
    <t>5e97e485-cef1-4bb6-9a4e-50ed5226fbd6</t>
  </si>
  <si>
    <t>1.1.3.1.1.1.3.26</t>
  </si>
  <si>
    <t>1.1.3.1.1.1.3.26.1</t>
  </si>
  <si>
    <t>334080619.1745760</t>
  </si>
  <si>
    <t>27245603.1745760</t>
  </si>
  <si>
    <t>1.1.3.1.1.1.3.26.2</t>
  </si>
  <si>
    <t>334080619.1579985</t>
  </si>
  <si>
    <t>27245603.1579985</t>
  </si>
  <si>
    <t>1.1.3.1.1.1.3.27</t>
  </si>
  <si>
    <t>3 этаж. П-11. Плитка виниловая Effekta Professional 011 P/8011 P Natural Pine PRO, 1000 x 200 х 2.55мм с защитным слоем 0.8 мм</t>
  </si>
  <si>
    <t>1.1.3.1.1.1.3.27.1</t>
  </si>
  <si>
    <t>цена 3880 руб/шт.</t>
  </si>
  <si>
    <t>334080620.1579985</t>
  </si>
  <si>
    <t>27245796.1579985</t>
  </si>
  <si>
    <t>1.1.3.1.1.1.3.27.2</t>
  </si>
  <si>
    <t>Цена 2000 руб/м2</t>
  </si>
  <si>
    <t>334080620.1745760</t>
  </si>
  <si>
    <t>27245796.1745760</t>
  </si>
  <si>
    <t>1.1.3.1.1.1.3.28</t>
  </si>
  <si>
    <t>КР-8. Отделка лестницы амфитеатра: Микроцементт АСТРА ЛОФТ, цвет Дубай, фактурная, с защитным покрытием, толщина 4-6мм</t>
  </si>
  <si>
    <t>1.1.3.1.1.1.3.28.1</t>
  </si>
  <si>
    <t>334080621.1745760</t>
  </si>
  <si>
    <t>27245798.1745760</t>
  </si>
  <si>
    <t>1.1.3.1.1.1.3.28.2</t>
  </si>
  <si>
    <t>334080621.1579985</t>
  </si>
  <si>
    <t>27245798.1579985</t>
  </si>
  <si>
    <t>1.1.3.1.1.1.3.29</t>
  </si>
  <si>
    <t>АРОР "ЧИСТОВЫЕ отделочные работы" от 19.02.2026 (поз.18). Л-7. Плитка виниловая Effekta Professional 8060 Т Light Concrete PRO 500х500 т. 2,5 мм, защитный слой 0,8 мм</t>
  </si>
  <si>
    <t>1.1.3.1.1.1.3.29.1</t>
  </si>
  <si>
    <t>334080622.737422</t>
  </si>
  <si>
    <t>29371272.737422</t>
  </si>
  <si>
    <t>1.1.3.1.1.1.3.29.2</t>
  </si>
  <si>
    <t>Клей водно-дисперсионный 528 Eurostar Allround 20кг. Средний расход 0,35кг/м2</t>
  </si>
  <si>
    <t>334080622.1579985</t>
  </si>
  <si>
    <t>29371272.1579985</t>
  </si>
  <si>
    <t>1.1.3.1.1.1.3.29.3</t>
  </si>
  <si>
    <t>Плитка виниловая Effekta Professional 8060 Т Light Concrete PRO 500х500 т. 2,5 мм, защитный слой 0,8 мм</t>
  </si>
  <si>
    <t>334080622.1745760</t>
  </si>
  <si>
    <t>29371272.1745760</t>
  </si>
  <si>
    <t>1.1.3.1.1.1.3.30</t>
  </si>
  <si>
    <t xml:space="preserve">АРОР "ЧИСТОВЫЕ отделочные работы" от 19.02.2026. П-11. Плитка виниловая Effekta Professional 011 P/8011 P Natural Pine PRO, 1000 x 200 х 2.55мм с защитным слоем 0.8 мм
</t>
  </si>
  <si>
    <t>1.1.3.1.1.1.3.30.1</t>
  </si>
  <si>
    <t>Effekta Professional 011 P/8011 P Natural Pine PRO, 1000 x 200 х 2.55мм с защитным слоем 0.8 мм</t>
  </si>
  <si>
    <t>334080623.1745760</t>
  </si>
  <si>
    <t>29386787.1745760</t>
  </si>
  <si>
    <t>1.1.3.1.1.1.3.30.2</t>
  </si>
  <si>
    <t>334080623.1579985</t>
  </si>
  <si>
    <t>29386787.1579985</t>
  </si>
  <si>
    <t>1.1.3.1.1.1.3.30.3</t>
  </si>
  <si>
    <t>334080623.737422</t>
  </si>
  <si>
    <t>29386787.737422</t>
  </si>
  <si>
    <t>1.1.3.1.1.1.3.31</t>
  </si>
  <si>
    <t>АРОР "ЧИСТОВЫЕ отделочные работы" от 19.02.2026. КР-8. Отделка лестницы амфитеатра: Микроцемент АСТРА ЛОФТ, цвет Дубай, фактурная, с защитным покрытием, толщина 4-6 мм</t>
  </si>
  <si>
    <t>1.1.3.1.1.1.3.31.1</t>
  </si>
  <si>
    <t>334080624.737422</t>
  </si>
  <si>
    <t>29386786.737422</t>
  </si>
  <si>
    <t>1.1.3.1.1.1.3.31.2</t>
  </si>
  <si>
    <t>334080624.1579985</t>
  </si>
  <si>
    <t>29386786.1579985</t>
  </si>
  <si>
    <t>1.1.3.1.1.1.3.31.3</t>
  </si>
  <si>
    <t>Микроцемент АСТРА ЛОФТ, цвет Дубай, фактурная</t>
  </si>
  <si>
    <t>334080624.1745760</t>
  </si>
  <si>
    <t>29386786.1745760</t>
  </si>
  <si>
    <t>1.1.3.1.1.1.3.32</t>
  </si>
  <si>
    <t>6.3.1.5.1.3.16.4</t>
  </si>
  <si>
    <t>Установка напольного плинтуса / полимерного на клею</t>
  </si>
  <si>
    <t>c9eb628d-6a9a-4823-a035-3a8c813e3e45</t>
  </si>
  <si>
    <t>1e8e5096-f9d4-45e8-8fba-752768fac6e1</t>
  </si>
  <si>
    <t>1.1.3.1.1.1.3.32.1</t>
  </si>
  <si>
    <t>Плинтус для линолеума (для объектов СКБ)_ / 50мм /  DoLLKEN WEISS 100 1137 / Dollken / Плинтус для линолеума для детского сада и школ</t>
  </si>
  <si>
    <t>334080512.1277526</t>
  </si>
  <si>
    <t>27245607.1277526</t>
  </si>
  <si>
    <t>0bcd701c-ad57-43a4-965e-8e4f1c35993b</t>
  </si>
  <si>
    <t>1.1.3.1.1.1.3.33</t>
  </si>
  <si>
    <t>1.1.3.1.1.1.3.33.1</t>
  </si>
  <si>
    <t>334080625.1277526</t>
  </si>
  <si>
    <t>27245608.1277526</t>
  </si>
  <si>
    <t>1.1.3.1.1.1.3.34</t>
  </si>
  <si>
    <t>1, 2, 3 этажи. Тип: ПЛ-3</t>
  </si>
  <si>
    <t>1.1.3.1.1.1.3.34.1</t>
  </si>
  <si>
    <t>Плинтус Dollken WL 50 темно - серый 146</t>
  </si>
  <si>
    <t>334080626.1277526</t>
  </si>
  <si>
    <t>27245787.1277526</t>
  </si>
  <si>
    <t>1.1.3.1.1.1.3.35</t>
  </si>
  <si>
    <t>1, 2, 3 этажи. Тип: ПЛ-4</t>
  </si>
  <si>
    <t>1.1.3.1.1.1.3.35.1</t>
  </si>
  <si>
    <t>Плинтус Dollken WL 50 светло - серый 138</t>
  </si>
  <si>
    <t>334080627.1277526</t>
  </si>
  <si>
    <t>27245788.1277526</t>
  </si>
  <si>
    <t>1.1.3.1.1.1.3.36</t>
  </si>
  <si>
    <t>АРОР "ЧИСТОВЫЕ отделочные работы" от 19.02.2026. ПЛ-3. Плинтус Dollken WL 100 темно - серый 146</t>
  </si>
  <si>
    <t>1.1.3.1.1.1.3.36.1</t>
  </si>
  <si>
    <t>Плинтус для линолеума (для объектов СКБ) 100 мм WL 100 Dark Gray 0146 Dollken Плинтус для линолеума для детского сада и школ</t>
  </si>
  <si>
    <t>334080628.1747273</t>
  </si>
  <si>
    <t>29384251.1747273</t>
  </si>
  <si>
    <t>de126dff-32d0-11ee-a102-d1661ac0bb93</t>
  </si>
  <si>
    <t>1.1.3.1.1.1.3.37</t>
  </si>
  <si>
    <t>АРОР "ЧИСТОВЫЕ отделочные работы" от 19.02.2026. ПЛ-3. Плинтус Dollken WL 100 светло - серый 138</t>
  </si>
  <si>
    <t>1.1.3.1.1.1.3.37.1</t>
  </si>
  <si>
    <t xml:space="preserve"> Dollken WL 100 светло - серый 138</t>
  </si>
  <si>
    <t>334080629.1747273</t>
  </si>
  <si>
    <t>29384250.1747273</t>
  </si>
  <si>
    <t>1.1.3.1.1.1.3.38</t>
  </si>
  <si>
    <t>АРОР "ЧИСТОВЫЕ отделочные работы" от 19.02.2026. ПЛ-5. КОННЕЛЮРНЫЙ ПРОФИЛЬ КОМБИНИРОВАННЫЙ 10883, высота 100мм, цвет: 412 (Ral 7046)</t>
  </si>
  <si>
    <t>1.1.3.1.1.1.3.38.1</t>
  </si>
  <si>
    <t>Плинтус для линолеума (для объектов СКБ)_ / 60 мм / WL 60 HellGrau 0138 / JL60-PC / Dollken / Плинтус для линолеума для детского сада и школ</t>
  </si>
  <si>
    <t>334080630.765970</t>
  </si>
  <si>
    <t>29384252.765970</t>
  </si>
  <si>
    <t>a5b65ec6-7b58-4f41-8299-46fe10b9570c</t>
  </si>
  <si>
    <t>1.1.3.1.1.1.3.39</t>
  </si>
  <si>
    <t>АРОР "ЧИСТОВЫЕ отделочные работы" от 19.02.2026. ПЛ-6. Плинтус гибкий эластичный Dollken (Долкен) WL 100, цвет: 130 Бежевый</t>
  </si>
  <si>
    <t>1.1.3.1.1.1.3.39.1</t>
  </si>
  <si>
    <t>Dollken (Долкен) WL 100, цвет: 130 Бежевый</t>
  </si>
  <si>
    <t>334080631.1747273</t>
  </si>
  <si>
    <t>29384253.1747273</t>
  </si>
  <si>
    <t>1.1.3.1.1.1.3.40</t>
  </si>
  <si>
    <t>6.3.1.5.1.3.18.1</t>
  </si>
  <si>
    <t>Облицовка ступеней СКБ керамогранитной плиткой с затиркой швов</t>
  </si>
  <si>
    <t>ee9b7492-3859-48da-970d-b4cb943f92b7</t>
  </si>
  <si>
    <t>fb6337dc-060b-41bd-b9cb-28c1f9d164ee</t>
  </si>
  <si>
    <t>1.1.3.1.1.1.3.40.1</t>
  </si>
  <si>
    <t>Ступени с насечками из керамического гранита Про Стоун  / 300х600х11 мм / DD600300R</t>
  </si>
  <si>
    <t>334080514.1277545</t>
  </si>
  <si>
    <t>27245720.1277545</t>
  </si>
  <si>
    <t>a93fa47a-8782-4159-a657-77a449ab5d71</t>
  </si>
  <si>
    <t>1.1.3.1.1.1.3.40.2</t>
  </si>
  <si>
    <t>Клей плиточный/Унифицированный по ПИК-СТАНДАРТ</t>
  </si>
  <si>
    <t>334080514.54630</t>
  </si>
  <si>
    <t>27245720.54630</t>
  </si>
  <si>
    <t>b9d3e1c1-6041-448e-9389-9c537e754b40</t>
  </si>
  <si>
    <t>1.1.3.1.1.1.3.40.3</t>
  </si>
  <si>
    <t>Затирка Цезерит СE33_/13 атрацит</t>
  </si>
  <si>
    <t>334080514.54635</t>
  </si>
  <si>
    <t>27245720.54635</t>
  </si>
  <si>
    <t>255e2be5-9cb1-4b52-84d2-49341281c898</t>
  </si>
  <si>
    <t>1.1.3.1.1.1.3.40.4</t>
  </si>
  <si>
    <t>334080514.1139608</t>
  </si>
  <si>
    <t>27245720.1139608</t>
  </si>
  <si>
    <t>1.1.3.1.1.1.3.41</t>
  </si>
  <si>
    <t>1.1.3.1.1.1.3.41.1</t>
  </si>
  <si>
    <t>334080632.1139608</t>
  </si>
  <si>
    <t>27245721.1139608</t>
  </si>
  <si>
    <t>1.1.3.1.1.1.3.41.2</t>
  </si>
  <si>
    <t>334080632.54635</t>
  </si>
  <si>
    <t>27245721.54635</t>
  </si>
  <si>
    <t>1.1.3.1.1.1.3.41.3</t>
  </si>
  <si>
    <t>334080632.54630</t>
  </si>
  <si>
    <t>27245721.54630</t>
  </si>
  <si>
    <t>1.1.3.1.1.1.3.41.4</t>
  </si>
  <si>
    <t>Подступенки из керамического гранита "Викинг"_/ SG605600R/серый/150х600х11мм</t>
  </si>
  <si>
    <t>334080632.54660</t>
  </si>
  <si>
    <t>27245721.54660</t>
  </si>
  <si>
    <t>2bd33641-bcf5-4a4a-aa20-c062f7380eca</t>
  </si>
  <si>
    <t>1.1.3.1.1.1.3.42</t>
  </si>
  <si>
    <t>1.1.3.1.1.1.3.42.1</t>
  </si>
  <si>
    <t>Ступени с насечками из керамического гранита "Викинг"_/SG605600R/ серый/300х600х11мм</t>
  </si>
  <si>
    <t>334080633.54659</t>
  </si>
  <si>
    <t>27245722.54659</t>
  </si>
  <si>
    <t>80581ba0-af32-4140-9098-fad58c195b0a</t>
  </si>
  <si>
    <t>1.1.3.1.1.1.3.42.2</t>
  </si>
  <si>
    <t>334080633.54630</t>
  </si>
  <si>
    <t>27245722.54630</t>
  </si>
  <si>
    <t>1.1.3.1.1.1.3.42.3</t>
  </si>
  <si>
    <t>334080633.54635</t>
  </si>
  <si>
    <t>27245722.54635</t>
  </si>
  <si>
    <t>1.1.3.1.1.1.3.42.4</t>
  </si>
  <si>
    <t>334080633.1139608</t>
  </si>
  <si>
    <t>27245722.1139608</t>
  </si>
  <si>
    <t>1.1.3.1.1.1.3.43</t>
  </si>
  <si>
    <t>1, 2, 3 этажи. Тип: КР-1.2, Проступь.</t>
  </si>
  <si>
    <t>1.1.3.1.1.1.3.43.1</t>
  </si>
  <si>
    <t>334080634.1139608</t>
  </si>
  <si>
    <t>27245771.1139608</t>
  </si>
  <si>
    <t>1.1.3.1.1.1.3.43.2</t>
  </si>
  <si>
    <t>334080634.54635</t>
  </si>
  <si>
    <t>27245771.54635</t>
  </si>
  <si>
    <t>1.1.3.1.1.1.3.43.3</t>
  </si>
  <si>
    <t>334080634.54630</t>
  </si>
  <si>
    <t>27245771.54630</t>
  </si>
  <si>
    <t>1.1.3.1.1.1.3.43.4</t>
  </si>
  <si>
    <t>Проступь: Керамогранит Kerama Marazzi Мирабо, арт. DD253400R\GR, цвет серый светлый, размер 300*600 мм, толщина 9мм.</t>
  </si>
  <si>
    <t>334080634.1277545</t>
  </si>
  <si>
    <t>27245771.1277545</t>
  </si>
  <si>
    <t>1.1.3.1.1.1.3.44</t>
  </si>
  <si>
    <t>1, 2, 3 этажи. Тип: КР-1.3, Подступенок.</t>
  </si>
  <si>
    <t>1.1.3.1.1.1.3.44.1</t>
  </si>
  <si>
    <t>Подступенок: Керамогранита Kerama Marazzi Мирабо, арт. DD253400R/2, цвет серый светлый, размер 600*145 мм, толщина 9мм.</t>
  </si>
  <si>
    <t>334080635.54659</t>
  </si>
  <si>
    <t>27245772.54659</t>
  </si>
  <si>
    <t>1.1.3.1.1.1.3.44.2</t>
  </si>
  <si>
    <t>334080635.54630</t>
  </si>
  <si>
    <t>27245772.54630</t>
  </si>
  <si>
    <t>1.1.3.1.1.1.3.44.3</t>
  </si>
  <si>
    <t>334080635.54635</t>
  </si>
  <si>
    <t>27245772.54635</t>
  </si>
  <si>
    <t>1.1.3.1.1.1.3.44.4</t>
  </si>
  <si>
    <t>334080635.1139608</t>
  </si>
  <si>
    <t>27245772.1139608</t>
  </si>
  <si>
    <t>1.1.3.1.1.1.3.45</t>
  </si>
  <si>
    <t xml:space="preserve">1, 2, 3 этажи. Тип: КР-9, Амфитеатр ступени. </t>
  </si>
  <si>
    <t>1.1.3.1.1.1.3.45.1</t>
  </si>
  <si>
    <t>334080636.1139608</t>
  </si>
  <si>
    <t>27245778.1139608</t>
  </si>
  <si>
    <t>1.1.3.1.1.1.3.45.2</t>
  </si>
  <si>
    <t>334080636.54635</t>
  </si>
  <si>
    <t>27245778.54635</t>
  </si>
  <si>
    <t>1.1.3.1.1.1.3.45.3</t>
  </si>
  <si>
    <t>334080636.54630</t>
  </si>
  <si>
    <t>27245778.54630</t>
  </si>
  <si>
    <t>1.1.3.1.1.1.3.45.4</t>
  </si>
  <si>
    <t>АМФИТЕАТР СТУПЕНИ-сиденья: Керамогранит Kerama Marazzi Монтиони SG511520R, 20х119,5 бежевый светлый.</t>
  </si>
  <si>
    <t>334080636.54659</t>
  </si>
  <si>
    <t>27245778.54659</t>
  </si>
  <si>
    <t>1.1.3.1.1.1.3.46</t>
  </si>
  <si>
    <t xml:space="preserve">АРОР "ЧИСТОВЫЕ отделочные работы" от 19.02.2026. КР-1.2. Проступь - Керамогранит Kerama Marazzi Мирабо, арт. DD253400R\GR, цвет серый светлый, размер 300*600 мм, толщина 9мм. Затирка: Церезит CE 33, цвет серебристо-белый 04
</t>
  </si>
  <si>
    <t>1.1.3.1.1.1.3.46.1</t>
  </si>
  <si>
    <t>Керамогранит Kerama Marazzi Мирабо, арт. DD253400R\GR, цвет серый светлый, размер 300*600 мм, толщина 9мм.</t>
  </si>
  <si>
    <t>334080637.54659</t>
  </si>
  <si>
    <t>29378730.54659</t>
  </si>
  <si>
    <t>1.1.3.1.1.1.3.46.2</t>
  </si>
  <si>
    <t>334080637.54630</t>
  </si>
  <si>
    <t>29378730.54630</t>
  </si>
  <si>
    <t>1.1.3.1.1.1.3.46.3</t>
  </si>
  <si>
    <t>Затирка Цезерит СE33_ /  10 манхетен.</t>
  </si>
  <si>
    <t>Затирка: Церезит CE 33, цвет серебристо-белый 04</t>
  </si>
  <si>
    <t>334080637.847323</t>
  </si>
  <si>
    <t>29378730.847323</t>
  </si>
  <si>
    <t>2d2305a2-091f-448e-afc7-18ba31664bf8</t>
  </si>
  <si>
    <t>1.1.3.1.1.1.3.46.4</t>
  </si>
  <si>
    <t>334080637.1139608</t>
  </si>
  <si>
    <t>29378730.1139608</t>
  </si>
  <si>
    <t>1.1.3.1.1.1.3.47</t>
  </si>
  <si>
    <t>АРОР "ЧИСТОВЫЕ отделочные работы" от 19.02.2026. КР-1.3. Подступенок Керамогранита Kerama Marazzi Мирабо, арт. DD253400R/2, цвет серый светлый, размер 600*145 мм, толщина 9мм. Затирка: Церезит CE 33, цвет серебристо-белый 04</t>
  </si>
  <si>
    <t>1.1.3.1.1.1.3.47.1</t>
  </si>
  <si>
    <t>334080638.1139608</t>
  </si>
  <si>
    <t>29378731.1139608</t>
  </si>
  <si>
    <t>1.1.3.1.1.1.3.47.2</t>
  </si>
  <si>
    <t>334080638.847323</t>
  </si>
  <si>
    <t>29378731.847323</t>
  </si>
  <si>
    <t>1.1.3.1.1.1.3.47.3</t>
  </si>
  <si>
    <t>334080638.54630</t>
  </si>
  <si>
    <t>29378731.54630</t>
  </si>
  <si>
    <t>1.1.3.1.1.1.3.47.4</t>
  </si>
  <si>
    <t>Керамогранит Kerama Marazzi Мирабо, арт. DD253400R/2, цвет серый светлый, размер 600*145 мм, толщина 9мм.</t>
  </si>
  <si>
    <t>334080638.54660</t>
  </si>
  <si>
    <t>29378731.54660</t>
  </si>
  <si>
    <t>1.1.3.1.1.1.3.48</t>
  </si>
  <si>
    <t>АРОР "ЧИСТОВЫЕ отделочные работы" от 19.02.2026. КР-9. АМФИТЕАТР СТУПЕНИ-сиденья: Керамогранит Kerama Marazzi Монтиони SG511520R, 20х119,5 бежевый светлый. Затирка: Церезит CE 33, цвет серебристо-белый 04</t>
  </si>
  <si>
    <t>1.1.3.1.1.1.3.48.1</t>
  </si>
  <si>
    <t>Керамогранит Kerama Marazzi Монтиони SG511520R, 20х119,5 бежевый светлый</t>
  </si>
  <si>
    <t>334080639.54659</t>
  </si>
  <si>
    <t>29378732.54659</t>
  </si>
  <si>
    <t>1.1.3.1.1.1.3.48.2</t>
  </si>
  <si>
    <t>334080639.54630</t>
  </si>
  <si>
    <t>29378732.54630</t>
  </si>
  <si>
    <t>1.1.3.1.1.1.3.48.3</t>
  </si>
  <si>
    <t>334080639.847323</t>
  </si>
  <si>
    <t>29378732.847323</t>
  </si>
  <si>
    <t>1.1.3.1.1.1.3.48.4</t>
  </si>
  <si>
    <t>334080639.1139608</t>
  </si>
  <si>
    <t>29378732.1139608</t>
  </si>
  <si>
    <t>1.1.3.1.1.1.3.49</t>
  </si>
  <si>
    <t>6.3.1.5.1.3.19.1</t>
  </si>
  <si>
    <t>Устройство плинтуса из керамогранитной плитки СКБ</t>
  </si>
  <si>
    <t>6c81bc23-a5ef-49af-8f1d-c7658256e887</t>
  </si>
  <si>
    <t>934f3c07-302a-412c-a8b5-2116f1199093</t>
  </si>
  <si>
    <t>1.1.3.1.1.1.3.49.1</t>
  </si>
  <si>
    <t>Плиточный клей_ / Унифицированный по ПИК-СТАНДАРТ</t>
  </si>
  <si>
    <t>334080516.1570753</t>
  </si>
  <si>
    <t>27245655.1570753</t>
  </si>
  <si>
    <t>be76b7f0-d821-4213-a0b5-d4d9b08818f1</t>
  </si>
  <si>
    <t>1.1.3.1.1.1.3.49.2</t>
  </si>
  <si>
    <t>Плинтус из керамического гранита Дайсен_ / светло-серый / SG610300R / 100х600х11мм</t>
  </si>
  <si>
    <t>334080516.54668</t>
  </si>
  <si>
    <t>27245655.54668</t>
  </si>
  <si>
    <t>402dafbe-1652-450d-be4d-61804ef3d391</t>
  </si>
  <si>
    <t>1.1.3.1.1.1.3.49.3</t>
  </si>
  <si>
    <t>334080516.54635</t>
  </si>
  <si>
    <t>27245655.54635</t>
  </si>
  <si>
    <t>1.1.3.1.1.1.3.49.4</t>
  </si>
  <si>
    <t>Грунтовка универсальный ЛАСТИМИН_ / LP-51 А</t>
  </si>
  <si>
    <t>334080516.54634</t>
  </si>
  <si>
    <t>27245655.54634</t>
  </si>
  <si>
    <t>6f806fd0-f20f-4c69-8d99-cee4063fa047</t>
  </si>
  <si>
    <t>1.1.3.1.1.1.3.50</t>
  </si>
  <si>
    <t>1.1.3.1.1.1.3.50.1</t>
  </si>
  <si>
    <t>334080640.54634</t>
  </si>
  <si>
    <t>27245656.54634</t>
  </si>
  <si>
    <t>1.1.3.1.1.1.3.50.2</t>
  </si>
  <si>
    <t>334080640.54635</t>
  </si>
  <si>
    <t>27245656.54635</t>
  </si>
  <si>
    <t>1.1.3.1.1.1.3.50.3</t>
  </si>
  <si>
    <t>334080640.54668</t>
  </si>
  <si>
    <t>27245656.54668</t>
  </si>
  <si>
    <t>1.1.3.1.1.1.3.50.4</t>
  </si>
  <si>
    <t>334080640.1570753</t>
  </si>
  <si>
    <t>27245656.1570753</t>
  </si>
  <si>
    <t>1.1.3.1.1.1.3.51</t>
  </si>
  <si>
    <t>1, 2, 3 этажи. Тип: П1 (Стены - Бордюр карандаш)</t>
  </si>
  <si>
    <t>1.1.3.1.1.1.3.51.1</t>
  </si>
  <si>
    <t>334080641.1570753</t>
  </si>
  <si>
    <t>27245783.1570753</t>
  </si>
  <si>
    <t>1.1.3.1.1.1.3.51.2</t>
  </si>
  <si>
    <t>334080641.54668</t>
  </si>
  <si>
    <t>27245783.54668</t>
  </si>
  <si>
    <t>1.1.3.1.1.1.3.51.3</t>
  </si>
  <si>
    <t>334080641.54634</t>
  </si>
  <si>
    <t>27245783.54634</t>
  </si>
  <si>
    <t>1.1.3.1.1.1.3.52</t>
  </si>
  <si>
    <t>1, 2, 3 этажи. Тип: ПК-1</t>
  </si>
  <si>
    <t>1.1.3.1.1.1.3.52.1</t>
  </si>
  <si>
    <t>334080642.54634</t>
  </si>
  <si>
    <t>27245785.54634</t>
  </si>
  <si>
    <t>1.1.3.1.1.1.3.52.2</t>
  </si>
  <si>
    <t>334080642.54635</t>
  </si>
  <si>
    <t>27245785.54635</t>
  </si>
  <si>
    <t>1.1.3.1.1.1.3.52.3</t>
  </si>
  <si>
    <t>Плинтус из керамогранита Грани Таганая Профи, арт. GT009М, цвет светло-серый, размер 600*100(h) мм, толщина 10мм, матовый.</t>
  </si>
  <si>
    <t>334080642.54668</t>
  </si>
  <si>
    <t>27245785.54668</t>
  </si>
  <si>
    <t>1.1.3.1.1.1.3.53</t>
  </si>
  <si>
    <t>1, 2, 3 этажи. Тип: ПК-4</t>
  </si>
  <si>
    <t>1.1.3.1.1.1.3.53.1</t>
  </si>
  <si>
    <t>334080643.1570753</t>
  </si>
  <si>
    <t>27245786.1570753</t>
  </si>
  <si>
    <t>1.1.3.1.1.1.3.53.2</t>
  </si>
  <si>
    <t>Плинтус из керамогранита Kerama Marazzi Мирабо, арт. DD638320R/6BT, цвет серый светлый, размер 600*95 мм.</t>
  </si>
  <si>
    <t>334080643.54668</t>
  </si>
  <si>
    <t>27245786.54668</t>
  </si>
  <si>
    <t>1.1.3.1.1.1.3.53.3</t>
  </si>
  <si>
    <t>334080643.54635</t>
  </si>
  <si>
    <t>27245786.54635</t>
  </si>
  <si>
    <t>1.1.3.1.1.1.3.53.4</t>
  </si>
  <si>
    <t>334080643.54634</t>
  </si>
  <si>
    <t>27245786.54634</t>
  </si>
  <si>
    <t>1.1.3.1.1.1.3.54</t>
  </si>
  <si>
    <t>1.1.3.1.1.1.3.54.1</t>
  </si>
  <si>
    <t>334080644.54634</t>
  </si>
  <si>
    <t>27245784.54634</t>
  </si>
  <si>
    <t>1.1.3.1.1.1.3.54.2</t>
  </si>
  <si>
    <t>334080644.54635</t>
  </si>
  <si>
    <t>27245784.54635</t>
  </si>
  <si>
    <t>1.1.3.1.1.1.3.54.3</t>
  </si>
  <si>
    <t>Kerama Marazzi, цвет бежевый, матовый, размер 20х2, арт. PFE017</t>
  </si>
  <si>
    <t>334080644.54668</t>
  </si>
  <si>
    <t>27245784.54668</t>
  </si>
  <si>
    <t>1.1.3.1.1.1.3.54.4</t>
  </si>
  <si>
    <t>334080644.1570753</t>
  </si>
  <si>
    <t>27245784.1570753</t>
  </si>
  <si>
    <t>1.1.3.1.1.1.3.55</t>
  </si>
  <si>
    <t>АРОР "ЧИСТОВЫЕ отделочные работы" от 19.02.2026. ПК-1. Плинтус из керамогранита Грани Таганая Профи, арт. GT009М, цвет светло-серый, размер 600*100(h) мм, толщина 10мм, матовый. Затирка: Церезит CE 33, цвет серебристо-белый 04</t>
  </si>
  <si>
    <t>1.1.3.1.1.1.3.55.1</t>
  </si>
  <si>
    <t>334080645.1570753</t>
  </si>
  <si>
    <t>29378733.1570753</t>
  </si>
  <si>
    <t>1.1.3.1.1.1.3.55.2</t>
  </si>
  <si>
    <t>керамогранит Грани Таганая Профи, арт. GT009М, цвет светло-серый, размер 600*100(h) мм, толщина 10мм, матовый.</t>
  </si>
  <si>
    <t>334080645.54668</t>
  </si>
  <si>
    <t>29378733.54668</t>
  </si>
  <si>
    <t>1.1.3.1.1.1.3.55.3</t>
  </si>
  <si>
    <t xml:space="preserve"> Затирка: Церезит CE 33, цвет серебристо-белый 04</t>
  </si>
  <si>
    <t>334080645.847323</t>
  </si>
  <si>
    <t>29378733.847323</t>
  </si>
  <si>
    <t>1.1.3.1.1.1.3.55.4</t>
  </si>
  <si>
    <t>334080645.54634</t>
  </si>
  <si>
    <t>29378733.54634</t>
  </si>
  <si>
    <t>1.1.3.1.1.1.3.56</t>
  </si>
  <si>
    <t xml:space="preserve">АРОР "ЧИСТОВЫЕ отделочные работы" от 19.02.2026. ПК-5. Плинтус из керамогранита Грани Таганая моноколор, арт. GT100, цвет бежевый, размер 600*100(h)мм, толщина 10мм, матовый. Затирка: Церезит CE 33, цвет серебристо-серый
</t>
  </si>
  <si>
    <t>1.1.3.1.1.1.3.56.1</t>
  </si>
  <si>
    <t>334080646.54634</t>
  </si>
  <si>
    <t>29378735.54634</t>
  </si>
  <si>
    <t>1.1.3.1.1.1.3.56.2</t>
  </si>
  <si>
    <t>Затирка: Церезит CE 33, цвет серебристо-серый</t>
  </si>
  <si>
    <t>334080646.847323</t>
  </si>
  <si>
    <t>29378735.847323</t>
  </si>
  <si>
    <t>1.1.3.1.1.1.3.56.3</t>
  </si>
  <si>
    <t>керамогранит Грани Таганая моноколор, арт. GT100, цвет бежевый, размер 600*100(h)мм, толщина 10мм, матовый.</t>
  </si>
  <si>
    <t>334080646.54668</t>
  </si>
  <si>
    <t>29378735.54668</t>
  </si>
  <si>
    <t>1.1.3.1.1.1.3.56.4</t>
  </si>
  <si>
    <t>334080646.1570753</t>
  </si>
  <si>
    <t>29378735.1570753</t>
  </si>
  <si>
    <t>1.1.3.1.1.1.3.57</t>
  </si>
  <si>
    <t>АРОР "ЧИСТОВЫЕ отделочные работы" от 19.02.2026. ПК-4. Плинтус из керамогранита Kerama Marazzi Мирабо, арт. DD638320R/6BT, цвет серый светлый, размер 600*95 мм. Затирка: Церезит CE 33, цвет серебристо-серый 04, м2</t>
  </si>
  <si>
    <t>1.1.3.1.1.1.3.57.1</t>
  </si>
  <si>
    <t>334080647.1570753</t>
  </si>
  <si>
    <t>29378734.1570753</t>
  </si>
  <si>
    <t>1.1.3.1.1.1.3.57.2</t>
  </si>
  <si>
    <t>Kerama Marazzi Мирабо, арт. DD638320R/6BT, цвет серый светлый, размер 600*95 мм.</t>
  </si>
  <si>
    <t>334080647.54668</t>
  </si>
  <si>
    <t>29378734.54668</t>
  </si>
  <si>
    <t>1.1.3.1.1.1.3.57.3</t>
  </si>
  <si>
    <t>Затирка: Церезит CE 33, цвет серебристо-серый 04, м2</t>
  </si>
  <si>
    <t>334080647.847323</t>
  </si>
  <si>
    <t>29378734.847323</t>
  </si>
  <si>
    <t>1.1.3.1.1.1.3.57.4</t>
  </si>
  <si>
    <t>334080647.54634</t>
  </si>
  <si>
    <t>29378734.54634</t>
  </si>
  <si>
    <t>1.1.3.1.1.1.3.58</t>
  </si>
  <si>
    <t>АРОР "ЧИСТОВЫЕ отделочные работы" от 19.02.2026. Применительно: Стены. П-1 Бордюр карандаш Kerama Marazzi, цвет бежевый, матовый, размер 20х2, арт. PFE017</t>
  </si>
  <si>
    <t>1.1.3.1.1.1.3.58.1</t>
  </si>
  <si>
    <t>334080648.54634</t>
  </si>
  <si>
    <t>29378736.54634</t>
  </si>
  <si>
    <t>1.1.3.1.1.1.3.58.2</t>
  </si>
  <si>
    <t>334080648.54635</t>
  </si>
  <si>
    <t>29378736.54635</t>
  </si>
  <si>
    <t>1.1.3.1.1.1.3.58.3</t>
  </si>
  <si>
    <t>Плинтус керамогранитный Дайсен SG211200R/3BT 600х95мм светло-серый</t>
  </si>
  <si>
    <t>Бордюр карандаш Kerama Marazzi, цвет бежевый, матовый, размер 20х2, арт. PFE017</t>
  </si>
  <si>
    <t>334080648.1747282</t>
  </si>
  <si>
    <t>29378736.1747282</t>
  </si>
  <si>
    <t>d4275771-32c8-11ee-a102-d1661ac0bb93</t>
  </si>
  <si>
    <t>1.1.3.1.1.1.3.58.4</t>
  </si>
  <si>
    <t>334080648.1570753</t>
  </si>
  <si>
    <t>29378736.1570753</t>
  </si>
  <si>
    <t>1.1.3.1.1.1.3.59</t>
  </si>
  <si>
    <t>6.3.1.5.1.3.20.1</t>
  </si>
  <si>
    <t>Устройство покрытия пола СКБ с затиркой и укрытием ДВП / из керамогранитной плитки до 0,2м2/шт</t>
  </si>
  <si>
    <t>081b575c-aa66-4b70-9cd0-d5d89da79337</t>
  </si>
  <si>
    <t>65901f49-c07c-422e-a40b-cfafb585dc26</t>
  </si>
  <si>
    <t>1.1.3.1.1.1.3.59.1</t>
  </si>
  <si>
    <t>Клей плиточный/ Унифицированный по ПИК-СТАНДАРТ</t>
  </si>
  <si>
    <t>334080518.54632</t>
  </si>
  <si>
    <t>27245634.54632</t>
  </si>
  <si>
    <t>29ab9003-5b43-49a7-8ba2-846628054d7e</t>
  </si>
  <si>
    <t>1.1.3.1.1.1.3.59.2</t>
  </si>
  <si>
    <t>Керамическая плитка Коллиано_ / светло - серый / SG912900N / 300*300*8мм</t>
  </si>
  <si>
    <t>334080518.54680</t>
  </si>
  <si>
    <t>27245634.54680</t>
  </si>
  <si>
    <t>18c7ad8f-1ba6-4999-8365-d221729a1af3</t>
  </si>
  <si>
    <t>1.1.3.1.1.1.3.59.3</t>
  </si>
  <si>
    <t>Затирка Цезерит СE33_/04 серебристо-серый</t>
  </si>
  <si>
    <t>334080518.54637</t>
  </si>
  <si>
    <t>27245634.54637</t>
  </si>
  <si>
    <t>c293221b-d93c-4424-8200-e1b99b7167e3</t>
  </si>
  <si>
    <t>1.1.3.1.1.1.3.59.4</t>
  </si>
  <si>
    <t>334080518.54634</t>
  </si>
  <si>
    <t>27245634.54634</t>
  </si>
  <si>
    <t>1.1.3.1.1.1.3.60</t>
  </si>
  <si>
    <t>1, 2, 3 этажи. Тип: КР-6</t>
  </si>
  <si>
    <t>1.1.3.1.1.1.3.60.1</t>
  </si>
  <si>
    <t>334080649.54634</t>
  </si>
  <si>
    <t>27245777.54634</t>
  </si>
  <si>
    <t>1.1.3.1.1.1.3.60.2</t>
  </si>
  <si>
    <t>334080649.54637</t>
  </si>
  <si>
    <t>27245777.54637</t>
  </si>
  <si>
    <t>1.1.3.1.1.1.3.60.3</t>
  </si>
  <si>
    <t>Керамогранит Kerama Marazzi Колиано, арт. SG912900N, цвет серый светлый, размер 300*300 мм, толщина 8мм, матовый.</t>
  </si>
  <si>
    <t>334080649.54680</t>
  </si>
  <si>
    <t>27245777.54680</t>
  </si>
  <si>
    <t>1.1.3.1.1.1.3.60.4</t>
  </si>
  <si>
    <t>334080649.54632</t>
  </si>
  <si>
    <t>27245777.54632</t>
  </si>
  <si>
    <t>1.1.3.1.1.1.3.61</t>
  </si>
  <si>
    <t>АРОР "ЧИСТОВЫЕ отделочные работы" от 19.02.2026. КР-6. Керамогранит Kerama Marazzi Колиано, арт. SG912900N, цвет серый светлый, размер 300*300 мм, толщина 8мм, матовый. Затирка: Церезит CE 33, цвет серебристо-серый 04</t>
  </si>
  <si>
    <t>1.1.3.1.1.1.3.61.1</t>
  </si>
  <si>
    <t>334080650.54632</t>
  </si>
  <si>
    <t>29331075.54632</t>
  </si>
  <si>
    <t>1.1.3.1.1.1.3.61.2</t>
  </si>
  <si>
    <t>Керамогранит Kerama Marazzi Коллиано, арт. SG912900N, цвет серый светлый, размер 300*300 мм, толщина 8мм, матовый.</t>
  </si>
  <si>
    <t>334080650.54680</t>
  </si>
  <si>
    <t>29331075.54680</t>
  </si>
  <si>
    <t>1.1.3.1.1.1.3.61.3</t>
  </si>
  <si>
    <t>334080650.54637</t>
  </si>
  <si>
    <t>29331075.54637</t>
  </si>
  <si>
    <t>1.1.3.1.1.1.3.61.4</t>
  </si>
  <si>
    <t>334080650.54634</t>
  </si>
  <si>
    <t>29331075.54634</t>
  </si>
  <si>
    <t>1.1.3.1.1.1.3.62</t>
  </si>
  <si>
    <t>6.3.1.5.1.3.20.2</t>
  </si>
  <si>
    <t>Устройство покрытия пола СКБ с затиркой и укрытием ДВП / из керамогранитной плитки от 0,2м2/шт</t>
  </si>
  <si>
    <t>69ce9bf3-5e4c-42a6-9cb7-1bf6547475ea</t>
  </si>
  <si>
    <t>abd27be4-9992-44fb-b098-3b2370fa29b6</t>
  </si>
  <si>
    <t>1.1.3.1.1.1.3.62.1</t>
  </si>
  <si>
    <t>Плиточный клей_ /  Унифицированный по ПИК-СТАНДАРТ</t>
  </si>
  <si>
    <t>334080519.739258</t>
  </si>
  <si>
    <t>27245665.739258</t>
  </si>
  <si>
    <t>b9d5a438-2a19-468f-b5a2-8648dd1dd258</t>
  </si>
  <si>
    <t>1.1.3.1.1.1.3.62.2</t>
  </si>
  <si>
    <t>Керамический гранит Estima YOUR COLOR_ / YC 93 / 600*600*10мм</t>
  </si>
  <si>
    <t>334080519.54693</t>
  </si>
  <si>
    <t>27245665.54693</t>
  </si>
  <si>
    <t>322fd844-6675-4759-ad71-5048daf60734</t>
  </si>
  <si>
    <t>1.1.3.1.1.1.3.62.3</t>
  </si>
  <si>
    <t>334080519.54637</t>
  </si>
  <si>
    <t>27245665.54637</t>
  </si>
  <si>
    <t>1.1.3.1.1.1.3.62.4</t>
  </si>
  <si>
    <t>334080519.54634</t>
  </si>
  <si>
    <t>27245665.54634</t>
  </si>
  <si>
    <t>1.1.3.1.1.1.3.63</t>
  </si>
  <si>
    <t>1.1.3.1.1.1.3.63.1</t>
  </si>
  <si>
    <t>334080651.54634</t>
  </si>
  <si>
    <t>27245666.54634</t>
  </si>
  <si>
    <t>1.1.3.1.1.1.3.63.2</t>
  </si>
  <si>
    <t>334080651.54637</t>
  </si>
  <si>
    <t>27245666.54637</t>
  </si>
  <si>
    <t>1.1.3.1.1.1.3.63.3</t>
  </si>
  <si>
    <t>334080651.54693</t>
  </si>
  <si>
    <t>27245666.54693</t>
  </si>
  <si>
    <t>1.1.3.1.1.1.3.63.4</t>
  </si>
  <si>
    <t>334080651.739258</t>
  </si>
  <si>
    <t>27245666.739258</t>
  </si>
  <si>
    <t>1.1.3.1.1.1.3.64</t>
  </si>
  <si>
    <t>1.1.3.1.1.1.3.64.1</t>
  </si>
  <si>
    <t>334080652.739258</t>
  </si>
  <si>
    <t>27245667.739258</t>
  </si>
  <si>
    <t>1.1.3.1.1.1.3.64.2</t>
  </si>
  <si>
    <t>334080652.54693</t>
  </si>
  <si>
    <t>27245667.54693</t>
  </si>
  <si>
    <t>1.1.3.1.1.1.3.64.3</t>
  </si>
  <si>
    <t>334080652.54637</t>
  </si>
  <si>
    <t>27245667.54637</t>
  </si>
  <si>
    <t>1.1.3.1.1.1.3.64.4</t>
  </si>
  <si>
    <t>334080652.54634</t>
  </si>
  <si>
    <t>27245667.54634</t>
  </si>
  <si>
    <t>1.1.3.1.1.1.3.65</t>
  </si>
  <si>
    <t>1.1.3.1.1.1.3.65.1</t>
  </si>
  <si>
    <t>334080653.54634</t>
  </si>
  <si>
    <t>27245668.54634</t>
  </si>
  <si>
    <t>1.1.3.1.1.1.3.65.2</t>
  </si>
  <si>
    <t>334080653.54637</t>
  </si>
  <si>
    <t>27245668.54637</t>
  </si>
  <si>
    <t>1.1.3.1.1.1.3.65.3</t>
  </si>
  <si>
    <t>334080653.54693</t>
  </si>
  <si>
    <t>27245668.54693</t>
  </si>
  <si>
    <t>1.1.3.1.1.1.3.65.4</t>
  </si>
  <si>
    <t>334080653.739258</t>
  </si>
  <si>
    <t>27245668.739258</t>
  </si>
  <si>
    <t>1.1.3.1.1.1.3.66</t>
  </si>
  <si>
    <t>1.1.3.1.1.1.3.66.1</t>
  </si>
  <si>
    <t>334080654.739258</t>
  </si>
  <si>
    <t>27245669.739258</t>
  </si>
  <si>
    <t>1.1.3.1.1.1.3.66.2</t>
  </si>
  <si>
    <t>334080654.54693</t>
  </si>
  <si>
    <t>27245669.54693</t>
  </si>
  <si>
    <t>1.1.3.1.1.1.3.66.3</t>
  </si>
  <si>
    <t>334080654.54637</t>
  </si>
  <si>
    <t>27245669.54637</t>
  </si>
  <si>
    <t>1.1.3.1.1.1.3.66.4</t>
  </si>
  <si>
    <t>334080654.54634</t>
  </si>
  <si>
    <t>27245669.54634</t>
  </si>
  <si>
    <t>1.1.3.1.1.1.3.67</t>
  </si>
  <si>
    <t>1.1.3.1.1.1.3.67.1</t>
  </si>
  <si>
    <t>334080655.54634</t>
  </si>
  <si>
    <t>27245670.54634</t>
  </si>
  <si>
    <t>1.1.3.1.1.1.3.67.2</t>
  </si>
  <si>
    <t>334080655.54637</t>
  </si>
  <si>
    <t>27245670.54637</t>
  </si>
  <si>
    <t>1.1.3.1.1.1.3.67.3</t>
  </si>
  <si>
    <t>334080655.54693</t>
  </si>
  <si>
    <t>27245670.54693</t>
  </si>
  <si>
    <t>1.1.3.1.1.1.3.67.4</t>
  </si>
  <si>
    <t>334080655.739258</t>
  </si>
  <si>
    <t>27245670.739258</t>
  </si>
  <si>
    <t>1.1.3.1.1.1.3.68</t>
  </si>
  <si>
    <t>1, 2, 3 этажи. Тип: КР-1</t>
  </si>
  <si>
    <t>1.1.3.1.1.1.3.68.1</t>
  </si>
  <si>
    <t>334080656.739258</t>
  </si>
  <si>
    <t>27245769.739258</t>
  </si>
  <si>
    <t>1.1.3.1.1.1.3.68.2</t>
  </si>
  <si>
    <t>Керамогранит Грани Таганая моноколор, арт. GT100, цвет бежевый, размер 600*600 мм ,толщина 10мм, матовый.</t>
  </si>
  <si>
    <t>334080656.54693</t>
  </si>
  <si>
    <t>27245769.54693</t>
  </si>
  <si>
    <t>1.1.3.1.1.1.3.68.3</t>
  </si>
  <si>
    <t>334080656.54637</t>
  </si>
  <si>
    <t>27245769.54637</t>
  </si>
  <si>
    <t>1.1.3.1.1.1.3.68.4</t>
  </si>
  <si>
    <t>334080656.54634</t>
  </si>
  <si>
    <t>27245769.54634</t>
  </si>
  <si>
    <t>1.1.3.1.1.1.3.69</t>
  </si>
  <si>
    <t>1, 2, 3 этажи. Тип: КР-2</t>
  </si>
  <si>
    <t>1.1.3.1.1.1.3.69.1</t>
  </si>
  <si>
    <t>334080657.54634</t>
  </si>
  <si>
    <t>27245774.54634</t>
  </si>
  <si>
    <t>1.1.3.1.1.1.3.69.2</t>
  </si>
  <si>
    <t>334080657.54637</t>
  </si>
  <si>
    <t>27245774.54637</t>
  </si>
  <si>
    <t>1.1.3.1.1.1.3.69.3</t>
  </si>
  <si>
    <t>Керамогранит Грани Таганая Feeria, арт. GTF467, цвет желтый, размер 600*600 мм, толщина 10мм, матовый.</t>
  </si>
  <si>
    <t>334080657.54693</t>
  </si>
  <si>
    <t>27245774.54693</t>
  </si>
  <si>
    <t>1.1.3.1.1.1.3.69.4</t>
  </si>
  <si>
    <t>334080657.739258</t>
  </si>
  <si>
    <t>27245774.739258</t>
  </si>
  <si>
    <t>1.1.3.1.1.1.3.70</t>
  </si>
  <si>
    <t>1, 2, 3 этажи. Тип: КР-3</t>
  </si>
  <si>
    <t>1.1.3.1.1.1.3.70.1</t>
  </si>
  <si>
    <t>334080658.739258</t>
  </si>
  <si>
    <t>27245775.739258</t>
  </si>
  <si>
    <t>1.1.3.1.1.1.3.70.2</t>
  </si>
  <si>
    <t>Керамогранит Грани Таганая Профи, арт. GT009М, цвет светло-серый, размер 600*600ммм, толщина 10мм, матовый.</t>
  </si>
  <si>
    <t>334080658.54693</t>
  </si>
  <si>
    <t>27245775.54693</t>
  </si>
  <si>
    <t>1.1.3.1.1.1.3.70.3</t>
  </si>
  <si>
    <t>334080658.54637</t>
  </si>
  <si>
    <t>27245775.54637</t>
  </si>
  <si>
    <t>1.1.3.1.1.1.3.70.4</t>
  </si>
  <si>
    <t>334080658.54634</t>
  </si>
  <si>
    <t>27245775.54634</t>
  </si>
  <si>
    <t>1.1.3.1.1.1.3.71</t>
  </si>
  <si>
    <t>1, 2, 3 этажи. Тип: КР-4</t>
  </si>
  <si>
    <t>1.1.3.1.1.1.3.71.1</t>
  </si>
  <si>
    <t>334080659.54634</t>
  </si>
  <si>
    <t>27245776.54634</t>
  </si>
  <si>
    <t>1.1.3.1.1.1.3.71.2</t>
  </si>
  <si>
    <t>334080659.54637</t>
  </si>
  <si>
    <t>27245776.54637</t>
  </si>
  <si>
    <t>1.1.3.1.1.1.3.71.3</t>
  </si>
  <si>
    <t>Керамогранит Грани Таганая Профи, арт. GT085М, цвет голубой, размер 600*600 мм, толщина 10мм, матовый.</t>
  </si>
  <si>
    <t>334080659.54693</t>
  </si>
  <si>
    <t>27245776.54693</t>
  </si>
  <si>
    <t>1.1.3.1.1.1.3.71.4</t>
  </si>
  <si>
    <t>334080659.739258</t>
  </si>
  <si>
    <t>27245776.739258</t>
  </si>
  <si>
    <t>1.1.3.1.1.1.3.72</t>
  </si>
  <si>
    <t>1, 2, 3 этажи. Тип: КР-10</t>
  </si>
  <si>
    <t>1.1.3.1.1.1.3.72.1</t>
  </si>
  <si>
    <t>334080660.739258</t>
  </si>
  <si>
    <t>27245773.739258</t>
  </si>
  <si>
    <t>1.1.3.1.1.1.3.72.2</t>
  </si>
  <si>
    <t>Керамогранита Kerama Marazzi Мирабо, арт. DD638320R, цвет серый светлый, размер 600*600 мм, толщина 9мм.</t>
  </si>
  <si>
    <t>334080660.54693</t>
  </si>
  <si>
    <t>27245773.54693</t>
  </si>
  <si>
    <t>1.1.3.1.1.1.3.72.3</t>
  </si>
  <si>
    <t>334080660.54637</t>
  </si>
  <si>
    <t>27245773.54637</t>
  </si>
  <si>
    <t>1.1.3.1.1.1.3.72.4</t>
  </si>
  <si>
    <t>334080660.54634</t>
  </si>
  <si>
    <t>27245773.54634</t>
  </si>
  <si>
    <t>1.1.3.1.1.1.3.73</t>
  </si>
  <si>
    <t>1, 2, 3 этажи. Тип: КР-1.1, Площадки лестниц</t>
  </si>
  <si>
    <t>1.1.3.1.1.1.3.73.1</t>
  </si>
  <si>
    <t>334080661.54634</t>
  </si>
  <si>
    <t>27245770.54634</t>
  </si>
  <si>
    <t>1.1.3.1.1.1.3.73.2</t>
  </si>
  <si>
    <t>334080661.54637</t>
  </si>
  <si>
    <t>27245770.54637</t>
  </si>
  <si>
    <t>1.1.3.1.1.1.3.73.3</t>
  </si>
  <si>
    <t>Площадка: Керамогранита Kerama Marazzi Мирабо, арт. DD638320R, цвет серый светлый, размер 600*600 мм, толщина 9мм.</t>
  </si>
  <si>
    <t>334080661.54693</t>
  </si>
  <si>
    <t>27245770.54693</t>
  </si>
  <si>
    <t>1.1.3.1.1.1.3.73.4</t>
  </si>
  <si>
    <t>334080661.739258</t>
  </si>
  <si>
    <t>27245770.739258</t>
  </si>
  <si>
    <t>1.1.3.1.1.1.3.74</t>
  </si>
  <si>
    <t>АРОР "ЧИСТОВЫЕ отделочные работы" от 19.02.2026. Кр-3, КР-6. Керамогранит Грани Таганая моноколор, арт. GT100, цвет бежевый, размер 600*600 мм, толщина 10мм, матовый. Затирка: Церезит CE 33, цвет серебристо-серый 04</t>
  </si>
  <si>
    <t>1.1.3.1.1.1.3.74.1</t>
  </si>
  <si>
    <t>334080662.739258</t>
  </si>
  <si>
    <t>29328538.739258</t>
  </si>
  <si>
    <t>1.1.3.1.1.1.3.74.2</t>
  </si>
  <si>
    <t>Керамогранит Грани Таганая моноколор, арт. GT100, цвет бежевый, размер 600*600 мм, толщина 10мм, матовый.</t>
  </si>
  <si>
    <t>334080662.54693</t>
  </si>
  <si>
    <t>29328538.54693</t>
  </si>
  <si>
    <t>1.1.3.1.1.1.3.74.3</t>
  </si>
  <si>
    <t>334080662.54637</t>
  </si>
  <si>
    <t>29328538.54637</t>
  </si>
  <si>
    <t>1.1.3.1.1.1.3.74.4</t>
  </si>
  <si>
    <t>334080662.54634</t>
  </si>
  <si>
    <t>29328538.54634</t>
  </si>
  <si>
    <t>1.1.3.1.1.1.3.75</t>
  </si>
  <si>
    <t>АРОР "ЧИСТОВЫЕ отделочные работы" от 19.02.2026 (поз.7). КР-2. Керамогранит Грани Таганая, арт. GT061М, размер 600x600x10мм, Янтарь матовый. Затирка: Церезит CE 33, цвет серебристо-серый 04</t>
  </si>
  <si>
    <t>1.1.3.1.1.1.3.75.1</t>
  </si>
  <si>
    <t>334080663.54634</t>
  </si>
  <si>
    <t>29328536.54634</t>
  </si>
  <si>
    <t>1.1.3.1.1.1.3.75.2</t>
  </si>
  <si>
    <t>334080663.54637</t>
  </si>
  <si>
    <t>29328536.54637</t>
  </si>
  <si>
    <t>1.1.3.1.1.1.3.75.3</t>
  </si>
  <si>
    <t>Керамогранит Грани Таганая, арт. GT061М, размер 600x600x10мм, Янтарь матовый.</t>
  </si>
  <si>
    <t>334080663.54693</t>
  </si>
  <si>
    <t>29328536.54693</t>
  </si>
  <si>
    <t>1.1.3.1.1.1.3.75.4</t>
  </si>
  <si>
    <t>334080663.739258</t>
  </si>
  <si>
    <t>29328536.739258</t>
  </si>
  <si>
    <t>1.1.3.1.1.1.3.76</t>
  </si>
  <si>
    <t>АРОР "ЧИСТОВЫЕ отделочные работы" от 19.02.2026. КР-3. Керамогранит Грани Таганая Профи, арт. GT009М, цвет светло-серый, размер 600*600 мм, толщина 10мм, матовый. Затирка: Церезит CE 30, цвет серебристо-серый 04</t>
  </si>
  <si>
    <t>1.1.3.1.1.1.3.76.1</t>
  </si>
  <si>
    <t>334080664.739258</t>
  </si>
  <si>
    <t>29328537.739258</t>
  </si>
  <si>
    <t>1.1.3.1.1.1.3.76.2</t>
  </si>
  <si>
    <t>Керамогранит Грани Таганая Профи, арт. GT009М, цвет светло-серый, размер 600*600 мм, толщина 10мм, матовый.</t>
  </si>
  <si>
    <t>334080664.54693</t>
  </si>
  <si>
    <t>29328537.54693</t>
  </si>
  <si>
    <t>1.1.3.1.1.1.3.76.3</t>
  </si>
  <si>
    <t>334080664.54637</t>
  </si>
  <si>
    <t>29328537.54637</t>
  </si>
  <si>
    <t>1.1.3.1.1.1.3.76.4</t>
  </si>
  <si>
    <t>334080664.54634</t>
  </si>
  <si>
    <t>29328537.54634</t>
  </si>
  <si>
    <t>1.1.3.1.1.1.3.77</t>
  </si>
  <si>
    <t>АРОР "ЧИСТОВЫЕ отделочные работы" от 19.02.2026 (поз.10). КР-4. Керамогранит Грани Таганая Профи, арт. GT085М, цвет голубой, размер 600*600 мм, толщина 10мм, матовый. Затирка: Церезит CE 33, цвет серебристо-белый 04</t>
  </si>
  <si>
    <t>1.1.3.1.1.1.3.77.1</t>
  </si>
  <si>
    <t>334080665.54634</t>
  </si>
  <si>
    <t>29331072.54634</t>
  </si>
  <si>
    <t>1.1.3.1.1.1.3.77.2</t>
  </si>
  <si>
    <t>334080665.54637</t>
  </si>
  <si>
    <t>29331072.54637</t>
  </si>
  <si>
    <t>1.1.3.1.1.1.3.77.3</t>
  </si>
  <si>
    <t>334080665.54693</t>
  </si>
  <si>
    <t>29331072.54693</t>
  </si>
  <si>
    <t>1.1.3.1.1.1.3.77.4</t>
  </si>
  <si>
    <t>334080665.739258</t>
  </si>
  <si>
    <t>29331072.739258</t>
  </si>
  <si>
    <t>1.1.3.1.1.1.3.78</t>
  </si>
  <si>
    <t xml:space="preserve">АРОР "ЧИСТОВЫЕ отделочные работы" от 19.02.2026 (поз.13). КР-10. Керамогранита Kerama Marazzi Мирабо, арт. DD638320R, цвет серый светлый, размер 600*600 мм, толщина 9мм. Затирка: Церезит CE 33, цвет серебристо-белый 04
</t>
  </si>
  <si>
    <t>1.1.3.1.1.1.3.78.1</t>
  </si>
  <si>
    <t>334080666.739258</t>
  </si>
  <si>
    <t>29331073.739258</t>
  </si>
  <si>
    <t>1.1.3.1.1.1.3.78.2</t>
  </si>
  <si>
    <t>Керамический гранит Kerama marazzi_ / Серый светлый / SG614800R/Напольный/Королевская дорога / 600*600*11</t>
  </si>
  <si>
    <t>334080666.720769</t>
  </si>
  <si>
    <t>29331073.720769</t>
  </si>
  <si>
    <t>3ac98e36-5cd5-4ac7-9116-897c1cc1bd6a</t>
  </si>
  <si>
    <t>1.1.3.1.1.1.3.78.3</t>
  </si>
  <si>
    <t>334080666.54637</t>
  </si>
  <si>
    <t>29331073.54637</t>
  </si>
  <si>
    <t>1.1.3.1.1.1.3.78.4</t>
  </si>
  <si>
    <t>334080666.54634</t>
  </si>
  <si>
    <t>29331073.54634</t>
  </si>
  <si>
    <t>1.1.3.1.1.1.3.79</t>
  </si>
  <si>
    <t>АРОР "ЧИСТОВЫЕ отделочные работы" от 19.02.2026 (поз.14). КР-1.1. Лестничная площадка: Керамогранит Kerama Marazzi Мирабо, арт. DD638320R, цвет серый светлый, размер 600*600 мм, толщина 9мм. Затирка: Церезит CE 33, цвет серебристо-белый 04</t>
  </si>
  <si>
    <t>1.1.3.1.1.1.3.79.1</t>
  </si>
  <si>
    <t>334080667.54634</t>
  </si>
  <si>
    <t>29331074.54634</t>
  </si>
  <si>
    <t>1.1.3.1.1.1.3.79.2</t>
  </si>
  <si>
    <t>334080667.54637</t>
  </si>
  <si>
    <t>29331074.54637</t>
  </si>
  <si>
    <t>1.1.3.1.1.1.3.79.3</t>
  </si>
  <si>
    <t>Керамогранит Kerama Marazzi Мирабо, арт. DD638320R, цвет серый светлый, размер 600*600 мм, толщина 9мм.</t>
  </si>
  <si>
    <t>334080667.720769</t>
  </si>
  <si>
    <t>29331074.720769</t>
  </si>
  <si>
    <t>1.1.3.1.1.1.3.79.4</t>
  </si>
  <si>
    <t>334080667.739258</t>
  </si>
  <si>
    <t>29331074.739258</t>
  </si>
  <si>
    <t>1.1.3.1.1.1.4</t>
  </si>
  <si>
    <t>6.3.1.5.1.4</t>
  </si>
  <si>
    <t>Приямки, системы грязезащиты</t>
  </si>
  <si>
    <t>1.1.3.1.1.1.4.1</t>
  </si>
  <si>
    <t>6.3.1.5.1.4.1.1</t>
  </si>
  <si>
    <t>Укладка систем грязезащиты на пол</t>
  </si>
  <si>
    <t>24d94b44-d345-4644-8c8c-8701a2ebc89e</t>
  </si>
  <si>
    <t>010124f9-1c79-4884-b200-84a0e7f1c696</t>
  </si>
  <si>
    <t>1.1.3.1.1.1.4.1.1</t>
  </si>
  <si>
    <t>Грязезащитное покрытие_ / Бразис Маркет</t>
  </si>
  <si>
    <t>334080522.55025</t>
  </si>
  <si>
    <t>27245597.55025</t>
  </si>
  <si>
    <t>57dc3537-6205-4c52-81a1-668e49ba6dd9</t>
  </si>
  <si>
    <t>1.1.3.1.1.1.4.2</t>
  </si>
  <si>
    <t>1 этаж. Тип: ГР-1</t>
  </si>
  <si>
    <t>1.1.3.1.1.1.4.2.1</t>
  </si>
  <si>
    <t>Входная решетка БРАЗИС стандарт, ЩЕТКА-ТЕКСТИЛЬ-скребок Y 1м2, текстиль коричневый - высота решетки 20 мм, скребок узкий 2 зубца</t>
  </si>
  <si>
    <t>334080668.55025</t>
  </si>
  <si>
    <t>27245728.55025</t>
  </si>
  <si>
    <t>1.1.3.1.1.1.4.3</t>
  </si>
  <si>
    <t>АРОР "ЧИСТОВЫЕ отделочные работы" от 19.02.2026. Гр-1. Входная решетка БРАЗИС стандарт, ЩЕТКА-ТЕКСТИЛЬ-скребок Y 1 м2, текстиль коричневый - высота решетки 20 мм, скребок узкий 2 зубца</t>
  </si>
  <si>
    <t>1.1.3.1.1.1.4.3.1</t>
  </si>
  <si>
    <t>Входная решетка БРАЗИС стандарт, ЩЕТКА-ТЕКСТИЛЬ-скребок Y 1 м2, текстиль коричневый - высота решетки 20 мм, скребок узкий 2 зубца</t>
  </si>
  <si>
    <t>334080669.55025</t>
  </si>
  <si>
    <t>29386785.55025</t>
  </si>
  <si>
    <t>1.1.3.1.1.2</t>
  </si>
  <si>
    <t>6.3.1.5.2</t>
  </si>
  <si>
    <t>Стены</t>
  </si>
  <si>
    <t>1.1.3.1.1.2.1</t>
  </si>
  <si>
    <t>6.3.1.5.2.1</t>
  </si>
  <si>
    <t>Черновые работы по поверхности стен</t>
  </si>
  <si>
    <t>1.1.3.1.1.2.1.1</t>
  </si>
  <si>
    <t>6.3.1.5.2.1.1.1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</si>
  <si>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</si>
  <si>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>АРОР "Черновые отделочные работы" от 19.02.2026. Монтаж сетки стеклотканой на швах сопряжения бетонных и других поверхностей стен, перегородок (газобетон, ПГП, кирпич) и углах 20% от площади поверхности (ширина полос проклейки 150+150=300мм - ЖАН).</t>
  </si>
  <si>
    <t>376b0b05-e1f7-4eb4-858c-54cfc94012c5</t>
  </si>
  <si>
    <t>7942ddbf-4120-45ca-9456-f48a3ec42d9b</t>
  </si>
  <si>
    <t>1.1.3.1.1.2.1.1.1</t>
  </si>
  <si>
    <t>Шпатлевка гипсовая_ / белая / Унифицированная по ПИК-СТАНДАРТ, 30кг</t>
  </si>
  <si>
    <t>334080526.54622</t>
  </si>
  <si>
    <t>29241738.54622</t>
  </si>
  <si>
    <t>c5ed9089-be55-4be8-8db3-0f286a2dbba5</t>
  </si>
  <si>
    <t>1.1.3.1.1.2.1.1.2</t>
  </si>
  <si>
    <t>Лента армирующая ( серпянка)_/150мм</t>
  </si>
  <si>
    <t>Ширина ленты 300 мм (по КЦ 150мм х2)</t>
  </si>
  <si>
    <t>334080526.55040</t>
  </si>
  <si>
    <t>29241738.55040</t>
  </si>
  <si>
    <t>eae3db91-694c-4324-837b-5cb2a168407e</t>
  </si>
  <si>
    <t>1.1.3.1.1.2.1.2</t>
  </si>
  <si>
    <t>6.3.1.5.2.1.6.1</t>
  </si>
  <si>
    <t>Заделка отверстий в стенах в местах прохода коммуникаций / до 150 см2</t>
  </si>
  <si>
    <t>6c686aa5-2fc0-465a-afa4-f4f578e5a06f</t>
  </si>
  <si>
    <t>02ad6415-f1a9-4a22-a93f-38e40f45143c</t>
  </si>
  <si>
    <t>1.1.3.1.1.2.1.2.1</t>
  </si>
  <si>
    <t>Плита минераловатная_ / Урса П-30</t>
  </si>
  <si>
    <t>334080528.55187</t>
  </si>
  <si>
    <t>27245599.55187</t>
  </si>
  <si>
    <t>894f5253-bdda-4165-9d46-cff7ef723d43</t>
  </si>
  <si>
    <t>1.1.3.1.1.2.1.2.2</t>
  </si>
  <si>
    <t>334080528.54611</t>
  </si>
  <si>
    <t>27245599.54611</t>
  </si>
  <si>
    <t>1.1.3.1.1.2.1.3</t>
  </si>
  <si>
    <t>Подвал, 1, 2, 3 этажи.</t>
  </si>
  <si>
    <t>1.1.3.1.1.2.1.3.1</t>
  </si>
  <si>
    <t>334080670.54611</t>
  </si>
  <si>
    <t>27245799.54611</t>
  </si>
  <si>
    <t>1.1.3.1.1.2.1.3.2</t>
  </si>
  <si>
    <t>334080670.55187</t>
  </si>
  <si>
    <t>27245799.55187</t>
  </si>
  <si>
    <t>1.1.3.1.1.2.1.4</t>
  </si>
  <si>
    <t>6.3.1.5.2.1.8.5</t>
  </si>
  <si>
    <t>Подготовка поверхности СКБ / стен / по штукатурке / 2мм</t>
  </si>
  <si>
    <t>АРОР "Черновые отделочные работы" от 19.02.2026. Подвал. Грунтовка, шпатлевка на цементной основе стен, колонн и простенков шириной до 500 мм. Базовый слой 2 мм</t>
  </si>
  <si>
    <t>2d82ee91-3b80-41a0-9d47-bde670b317cb</t>
  </si>
  <si>
    <t>235f7698-b192-4ccd-97e9-3a61b0165ad1</t>
  </si>
  <si>
    <t>1.1.3.1.1.2.1.4.1</t>
  </si>
  <si>
    <t>Шпатлевка цементная</t>
  </si>
  <si>
    <t>334080530.1272014</t>
  </si>
  <si>
    <t>29241740.1272014</t>
  </si>
  <si>
    <t>515f7d43-39e1-4366-a9d9-2be3d410ca9d</t>
  </si>
  <si>
    <t>1.1.3.1.1.2.1.4.2</t>
  </si>
  <si>
    <t>Уголок малярный_ / L=3м /25х25 мм</t>
  </si>
  <si>
    <t>334080530.18405</t>
  </si>
  <si>
    <t>29241740.18405</t>
  </si>
  <si>
    <t>6aa8b3b9-7634-40f9-a5c9-a021ce35f715</t>
  </si>
  <si>
    <t>1.1.3.1.1.2.1.4.3</t>
  </si>
  <si>
    <t>334080530.54634</t>
  </si>
  <si>
    <t>29241740.54634</t>
  </si>
  <si>
    <t>1.1.3.1.1.2.1.5</t>
  </si>
  <si>
    <t>АРОР "Черновые отделочные работы" от 19.02.2026. Подвал. Грунтовка, шпатлевка на цементной основе стен, колонн и простенков шириной до 500 мм. Финишный слой 2 мм</t>
  </si>
  <si>
    <t>1.1.3.1.1.2.1.5.1</t>
  </si>
  <si>
    <t>334080671.54634</t>
  </si>
  <si>
    <t>29241741.54634</t>
  </si>
  <si>
    <t>1.1.3.1.1.2.1.5.2</t>
  </si>
  <si>
    <t>334080671.1272014</t>
  </si>
  <si>
    <t>29241741.1272014</t>
  </si>
  <si>
    <t>1.1.3.1.1.2.1.6</t>
  </si>
  <si>
    <t>АРОР "Черновые отделочные работы" от 19.02.2026. 1-й, 2-й и 3-й этаж стены, колонны и простенки шириной до 500 мм. Грунтовка, шпатлевка на гипсовой основе. Базовый слой 2 мм.</t>
  </si>
  <si>
    <t>1.1.3.1.1.2.1.6.1</t>
  </si>
  <si>
    <t>334080672.54621</t>
  </si>
  <si>
    <t>29241736.54621</t>
  </si>
  <si>
    <t>b18a669c-55b9-4a3b-9bec-843efe930f3c</t>
  </si>
  <si>
    <t>1.1.3.1.1.2.1.6.2</t>
  </si>
  <si>
    <t>334080672.18405</t>
  </si>
  <si>
    <t>29241736.18405</t>
  </si>
  <si>
    <t>1.1.3.1.1.2.1.6.3</t>
  </si>
  <si>
    <t>334080672.54634</t>
  </si>
  <si>
    <t>29241736.54634</t>
  </si>
  <si>
    <t>1.1.3.1.1.2.1.7</t>
  </si>
  <si>
    <t>АРОР "Черновые отделочные работы" от 19.02.2026. Отделка технических ниш ЭОМ. Шпаклевка базовый слой 2 мм</t>
  </si>
  <si>
    <t>1.1.3.1.1.2.1.7.1</t>
  </si>
  <si>
    <t>334080673.54634</t>
  </si>
  <si>
    <t>29241739.54634</t>
  </si>
  <si>
    <t>1.1.3.1.1.2.1.7.2</t>
  </si>
  <si>
    <t>334080673.54621</t>
  </si>
  <si>
    <t>29241739.54621</t>
  </si>
  <si>
    <t>1.1.3.1.1.2.1.8</t>
  </si>
  <si>
    <t>АРОР "Черновые отделочные работы" от 19.02.2026. 1-й, 2-й и 3-й этаж стены, колонны и простенки шириной до 500 мм. Грунтовка, шпатлевка на гипсовой основе. Финишный слой 2 мм.</t>
  </si>
  <si>
    <t>1.1.3.1.1.2.1.8.1</t>
  </si>
  <si>
    <t>Шпатлевка финишная СТАРАТЕЛИ</t>
  </si>
  <si>
    <t>334080674.54621</t>
  </si>
  <si>
    <t>29241737.54621</t>
  </si>
  <si>
    <t>1.1.3.1.1.2.1.8.2</t>
  </si>
  <si>
    <t>334080674.54634</t>
  </si>
  <si>
    <t>29241737.54634</t>
  </si>
  <si>
    <t>1.1.3.1.1.2.1.9</t>
  </si>
  <si>
    <t>АРОР "Черновые отделочные работы" от 19.02.2026. Отделка технических ниш ЭОМ. Шпаклевка финишный слой 2 мм</t>
  </si>
  <si>
    <t>1.1.3.1.1.2.1.9.1</t>
  </si>
  <si>
    <t>334080675.54634</t>
  </si>
  <si>
    <t>29242662.54634</t>
  </si>
  <si>
    <t>1.1.3.1.1.2.1.9.2</t>
  </si>
  <si>
    <t>334080675.54621</t>
  </si>
  <si>
    <t>29242662.54621</t>
  </si>
  <si>
    <t>1.1.3.1.1.2.1.10</t>
  </si>
  <si>
    <t>6.3.1.5.2.1.10.5</t>
  </si>
  <si>
    <t>Штукатурка стен цементным, цементно-песчаным раствором с предварительной огрунтовкой / толщ. от 21 до 40 мм / высотой от 4,01 до 8 метров</t>
  </si>
  <si>
    <t>Леса применяются отдельной расценкой.</t>
  </si>
  <si>
    <t>АРОР "Черновые отделочные работы" от 19.02.2026 поз.96. Штукатурка стен по ПГП под облицовку плиткой и стен выше плитки толщиной 25 мм. 1-3 этажи</t>
  </si>
  <si>
    <t>8bf6a8a2-6644-4f01-93be-2d8656ddd398</t>
  </si>
  <si>
    <t>021b202b-78b5-4d45-af3a-c2baaf384e72</t>
  </si>
  <si>
    <t>1.1.3.1.1.2.1.10.1</t>
  </si>
  <si>
    <t>Штукатурка цементная</t>
  </si>
  <si>
    <t>Штукатурка цементная STRUKTUR AKVATEK</t>
  </si>
  <si>
    <t>334080532.726518</t>
  </si>
  <si>
    <t>29241735.726518</t>
  </si>
  <si>
    <t>6340f993-804d-456a-a0be-3b2094bd37f9</t>
  </si>
  <si>
    <t>1.1.3.1.1.2.1.10.2</t>
  </si>
  <si>
    <t>334080532.54634</t>
  </si>
  <si>
    <t>29241735.54634</t>
  </si>
  <si>
    <t>1.1.3.1.1.2.1.10.3</t>
  </si>
  <si>
    <t>Профиль маячковый_/ПМ6</t>
  </si>
  <si>
    <t>334080532.55029</t>
  </si>
  <si>
    <t>29241735.55029</t>
  </si>
  <si>
    <t>b3ba1810-316e-4118-90eb-ce29d5c83076</t>
  </si>
  <si>
    <t>1.1.3.1.1.2.1.11</t>
  </si>
  <si>
    <t>6.3.1.5.2.1.12.2</t>
  </si>
  <si>
    <t>Штукатурка стен гипсовыми смесями с предварительной огрунтовкой СКБ / толщ. от 21 до 40 мм / высотой от 4,01 до 8 метров</t>
  </si>
  <si>
    <t>АРОР "Черновые отделочные работы" от 19.02.2026 (поз.81+83). Гипсовая штукатурка стен по ж/б толщиной 25 мм. 1-3 этажи</t>
  </si>
  <si>
    <t>e97400ea-ba91-4266-8e4d-399c9b83bcf7</t>
  </si>
  <si>
    <t>635cc207-b262-46f6-8a6a-9126054e7be7</t>
  </si>
  <si>
    <t>1.1.3.1.1.2.1.11.1</t>
  </si>
  <si>
    <t>Штукатурка гипсовая_ / Унифицированная по ПИК-СТАНДАРТ, 30кг</t>
  </si>
  <si>
    <t>334080534.54616</t>
  </si>
  <si>
    <t>29241732.54616</t>
  </si>
  <si>
    <t>b059108e-66ce-4a56-9765-c924e4c0b8b7</t>
  </si>
  <si>
    <t>1.1.3.1.1.2.1.11.2</t>
  </si>
  <si>
    <t>334080534.55029</t>
  </si>
  <si>
    <t>29241732.55029</t>
  </si>
  <si>
    <t>1.1.3.1.1.2.1.11.3</t>
  </si>
  <si>
    <t>Грунтовка БЕТОН-КОНТАКТ_/</t>
  </si>
  <si>
    <t>334080534.54633</t>
  </si>
  <si>
    <t>29241732.54633</t>
  </si>
  <si>
    <t>8682c7d7-b370-46ef-9c4b-39309f9aa3e8</t>
  </si>
  <si>
    <t>1.1.3.1.1.2.1.12</t>
  </si>
  <si>
    <t>АРОР "Черновые отделочные работы" от 19.02.2026 (поз.87+90+93). Гипсовая штукатурка стен по кирпичу, блоку и ПГП толщиной 25 мм. 1-3 этажи</t>
  </si>
  <si>
    <t>1.1.3.1.1.2.1.12.1</t>
  </si>
  <si>
    <t>334080676.54634</t>
  </si>
  <si>
    <t>29241733.54634</t>
  </si>
  <si>
    <t>1.1.3.1.1.2.1.12.2</t>
  </si>
  <si>
    <t>334080676.55029</t>
  </si>
  <si>
    <t>29241733.55029</t>
  </si>
  <si>
    <t>1.1.3.1.1.2.1.12.3</t>
  </si>
  <si>
    <t>334080676.54616</t>
  </si>
  <si>
    <t>29241733.54616</t>
  </si>
  <si>
    <t>1.1.3.1.1.2.2</t>
  </si>
  <si>
    <t>6.3.1.5.2.2</t>
  </si>
  <si>
    <t>Чистовые работы по поверхности стен</t>
  </si>
  <si>
    <t>1.1.3.1.1.2.2.1</t>
  </si>
  <si>
    <t>6.3.1.5.2.2.5.1</t>
  </si>
  <si>
    <t>Монтаж стеновых панелей / МДФ</t>
  </si>
  <si>
    <t>b2326418-0853-41eb-bc43-46c8d1898110</t>
  </si>
  <si>
    <t>b8870282-1815-44c5-86df-97868dc667da</t>
  </si>
  <si>
    <t>1.1.3.1.1.2.2.1.1</t>
  </si>
  <si>
    <t>Панель МДФ  / Kronostar дуб натуральный / 250*2600*7мм</t>
  </si>
  <si>
    <t>334080537.1180659</t>
  </si>
  <si>
    <t>27245674.1180659</t>
  </si>
  <si>
    <t>7c186503-8940-4c22-94d5-7eda76509e63</t>
  </si>
  <si>
    <t>1.1.3.1.1.2.2.2</t>
  </si>
  <si>
    <t>1.1.3.1.1.2.2.2.1</t>
  </si>
  <si>
    <t>334080677.1180659</t>
  </si>
  <si>
    <t>27245675.1180659</t>
  </si>
  <si>
    <t>1.1.3.1.1.2.2.3</t>
  </si>
  <si>
    <t>1.1.3.1.1.2.2.3.1</t>
  </si>
  <si>
    <t>334080678.1180659</t>
  </si>
  <si>
    <t>27245676.1180659</t>
  </si>
  <si>
    <t>1.1.3.1.1.2.2.4</t>
  </si>
  <si>
    <t>1.1.3.1.1.2.2.4.1</t>
  </si>
  <si>
    <t>334080679.1180659</t>
  </si>
  <si>
    <t>27245678.1180659</t>
  </si>
  <si>
    <t>1.1.3.1.1.2.2.5</t>
  </si>
  <si>
    <t>1.1.3.1.1.2.2.5.1</t>
  </si>
  <si>
    <t>334080680.1180659</t>
  </si>
  <si>
    <t>27245679.1180659</t>
  </si>
  <si>
    <t>1.1.3.1.1.2.2.6</t>
  </si>
  <si>
    <t>1.1.3.1.1.2.2.6.1</t>
  </si>
  <si>
    <t>334080681.1180659</t>
  </si>
  <si>
    <t>27245681.1180659</t>
  </si>
  <si>
    <t>1.1.3.1.1.2.2.7</t>
  </si>
  <si>
    <t>1.1.3.1.1.2.2.7.1</t>
  </si>
  <si>
    <t>334080682.1180659</t>
  </si>
  <si>
    <t>27245683.1180659</t>
  </si>
  <si>
    <t>1.1.3.1.1.2.2.8</t>
  </si>
  <si>
    <t>1.1.3.1.1.2.2.8.1</t>
  </si>
  <si>
    <t>334080683.1180659</t>
  </si>
  <si>
    <t>27245684.1180659</t>
  </si>
  <si>
    <t>1.1.3.1.1.2.2.9</t>
  </si>
  <si>
    <t>1.1.3.1.1.2.2.9.1</t>
  </si>
  <si>
    <t>334080684.1180659</t>
  </si>
  <si>
    <t>27245685.1180659</t>
  </si>
  <si>
    <t>1.1.3.1.1.2.2.10</t>
  </si>
  <si>
    <t>1.1.3.1.1.2.2.10.1</t>
  </si>
  <si>
    <t>334080685.1180659</t>
  </si>
  <si>
    <t>27245686.1180659</t>
  </si>
  <si>
    <t>1.1.3.1.1.2.2.11</t>
  </si>
  <si>
    <t>1, 2, 3 этажи. Тип: FK7.1.</t>
  </si>
  <si>
    <t>1.1.3.1.1.2.2.11.1</t>
  </si>
  <si>
    <t>334080686.1180659</t>
  </si>
  <si>
    <t>27245757.1180659</t>
  </si>
  <si>
    <t>1.1.3.1.1.2.2.12</t>
  </si>
  <si>
    <t>1, 2, этажи. Тип: FK1.1</t>
  </si>
  <si>
    <t>1.1.3.1.1.2.2.12.1</t>
  </si>
  <si>
    <t>334080687.1180659</t>
  </si>
  <si>
    <t>27245794.1180659</t>
  </si>
  <si>
    <t>1.1.3.1.1.2.2.13</t>
  </si>
  <si>
    <t>1, 2, 3 этажи. Тип: FK7.2.</t>
  </si>
  <si>
    <t>1.1.3.1.1.2.2.13.1</t>
  </si>
  <si>
    <t>334080688.1180659</t>
  </si>
  <si>
    <t>27245758.1180659</t>
  </si>
  <si>
    <t>1.1.3.1.1.2.2.14</t>
  </si>
  <si>
    <t>2, 3 этажи. Тип: FK28</t>
  </si>
  <si>
    <t>1.1.3.1.1.2.2.14.1</t>
  </si>
  <si>
    <t>334080689.1180659</t>
  </si>
  <si>
    <t>27245795.1180659</t>
  </si>
  <si>
    <t>1.1.3.1.1.2.2.15</t>
  </si>
  <si>
    <t>1 этаж. Тип: FK25</t>
  </si>
  <si>
    <t>1.1.3.1.1.2.2.15.1</t>
  </si>
  <si>
    <t>334080690.1180659</t>
  </si>
  <si>
    <t>27245726.1180659</t>
  </si>
  <si>
    <t>1.1.3.1.1.2.2.16</t>
  </si>
  <si>
    <t>1, 2, 3 этажи. Тип: FK2.1. Покраска Gutver Prometeks RAL 6019 (бело-зеленый) - Матовая краска для стен или аналог. Класс пожарной опасности: КМ0</t>
  </si>
  <si>
    <t>1.1.3.1.1.2.2.16.1</t>
  </si>
  <si>
    <t>334080691.1180659</t>
  </si>
  <si>
    <t>27245752.1180659</t>
  </si>
  <si>
    <t>1.1.3.1.1.2.2.17</t>
  </si>
  <si>
    <t>1, 2, 3 этажи. Тип: FK6. Покраска грифельная краска Siberia (черный) - Матовая краска для стен или аналог. Класс пожарной опасности: КМ0</t>
  </si>
  <si>
    <t>1.1.3.1.1.2.2.17.1</t>
  </si>
  <si>
    <t>334080692.1180659</t>
  </si>
  <si>
    <t>27245756.1180659</t>
  </si>
  <si>
    <t>1.1.3.1.1.2.2.18</t>
  </si>
  <si>
    <t>1.1.3.1.1.2.2.18.1</t>
  </si>
  <si>
    <t>334080693.1180659</t>
  </si>
  <si>
    <t>27245687.1180659</t>
  </si>
  <si>
    <t>1.1.3.1.1.2.2.19</t>
  </si>
  <si>
    <t>6.3.1.5.2.2.5.2</t>
  </si>
  <si>
    <t>Монтаж стеновых панелей / ПВХ</t>
  </si>
  <si>
    <t>ceaf9f3c-cc6f-438d-b04a-fee052df879a</t>
  </si>
  <si>
    <t>cc38b2b0-78ba-4425-95a0-d4c1d50bec1c</t>
  </si>
  <si>
    <t>1.1.3.1.1.2.2.19.1</t>
  </si>
  <si>
    <t xml:space="preserve">Панель ПВХ / 2700x375x5 </t>
  </si>
  <si>
    <t>334080538.1504881</t>
  </si>
  <si>
    <t>27245696.1504881</t>
  </si>
  <si>
    <t>a14c45c3-3ac5-4910-86d8-36d4d1fb8b3f</t>
  </si>
  <si>
    <t>1.1.3.1.1.2.2.20</t>
  </si>
  <si>
    <t>1, 2, 3 этажи. Тип: WD1. Боковые стены ММП: Обрешетка из гипсокартонного профиля, в ячейки профиля укладываются плиты типа Шуманет Эко (или аналог) толщиной 100мм. к гипсокартонному профилю крепятся листы из негорючих неперфорированных акустических листов на стекломагнезита САУНДЛАЙН-АКУСТИКА НГ или листов ГКЛ Aku-Line Pro (Аку-Лайн Про либо аналог).</t>
  </si>
  <si>
    <t>1.1.3.1.1.2.2.20.1</t>
  </si>
  <si>
    <t>"Акустические листы САУНДЛАЙН-Акустика НГ 1200х2400
Подвес прямой
Профиль омега-образный 3 м
Профиль-заглушка 3 м
Одноуровневый соединитель
Профиль L–образный 3 м
Профиль F–образный 3 м (учитывается в конструкциях при монтаже панелей с наличием углов)
Профиль Gyproc Стандарт ППН 28х27
Профиль Gyproc Стандарт ПП 60х27
Анкер-клин 6х40
Саморез ПШО 4,2х25
Шуруп LN 3.5х11
Дюбель для теплоизоляции
Акуфон lnside
Базальтовая ткань</t>
  </si>
  <si>
    <t>334080694.1504881</t>
  </si>
  <si>
    <t>27245764.1504881</t>
  </si>
  <si>
    <t>1.1.3.1.1.2.2.21</t>
  </si>
  <si>
    <t>6.3.1.5.2.2.8.1</t>
  </si>
  <si>
    <t>Лакокрасочные работы СКБ / окраска стен / в 2 слоя</t>
  </si>
  <si>
    <t>4c24ca93-b856-4913-a3fe-bc768660074c</t>
  </si>
  <si>
    <t>923030ab-0b8a-4717-9906-e76b6d6d03d6</t>
  </si>
  <si>
    <t>1.1.3.1.1.2.2.21.1</t>
  </si>
  <si>
    <t>334080540.54634</t>
  </si>
  <si>
    <t>27245646.54634</t>
  </si>
  <si>
    <t>1.1.3.1.1.2.2.21.2</t>
  </si>
  <si>
    <t>Краска водно-дисперсионная Tikkurila_ / RAL 9003 / PROF EURO 20</t>
  </si>
  <si>
    <t>334080540.758318</t>
  </si>
  <si>
    <t>27245646.758318</t>
  </si>
  <si>
    <t>585530fd-0de5-4292-bc70-8f8ebd68eca5</t>
  </si>
  <si>
    <t>1.1.3.1.1.2.2.22</t>
  </si>
  <si>
    <t>1.1.3.1.1.2.2.22.1</t>
  </si>
  <si>
    <t>334080695.758318</t>
  </si>
  <si>
    <t>27245647.758318</t>
  </si>
  <si>
    <t>1.1.3.1.1.2.2.22.2</t>
  </si>
  <si>
    <t>334080695.54634</t>
  </si>
  <si>
    <t>27245647.54634</t>
  </si>
  <si>
    <t>1.1.3.1.1.2.2.23</t>
  </si>
  <si>
    <t>1.1.3.1.1.2.2.23.1</t>
  </si>
  <si>
    <t>334080696.54634</t>
  </si>
  <si>
    <t>27245648.54634</t>
  </si>
  <si>
    <t>1.1.3.1.1.2.2.23.2</t>
  </si>
  <si>
    <t>334080696.758318</t>
  </si>
  <si>
    <t>27245648.758318</t>
  </si>
  <si>
    <t>1.1.3.1.1.2.2.24</t>
  </si>
  <si>
    <t>1.1.3.1.1.2.2.24.1</t>
  </si>
  <si>
    <t>334080697.758318</t>
  </si>
  <si>
    <t>27245649.758318</t>
  </si>
  <si>
    <t>1.1.3.1.1.2.2.24.2</t>
  </si>
  <si>
    <t>334080697.54634</t>
  </si>
  <si>
    <t>27245649.54634</t>
  </si>
  <si>
    <t>1.1.3.1.1.2.2.25</t>
  </si>
  <si>
    <t>1.1.3.1.1.2.2.25.1</t>
  </si>
  <si>
    <t>334080698.54634</t>
  </si>
  <si>
    <t>27245650.54634</t>
  </si>
  <si>
    <t>1.1.3.1.1.2.2.25.2</t>
  </si>
  <si>
    <t>334080698.758318</t>
  </si>
  <si>
    <t>27245650.758318</t>
  </si>
  <si>
    <t>1.1.3.1.1.2.2.26</t>
  </si>
  <si>
    <t>1.1.3.1.1.2.2.26.1</t>
  </si>
  <si>
    <t>334080699.758318</t>
  </si>
  <si>
    <t>27245651.758318</t>
  </si>
  <si>
    <t>1.1.3.1.1.2.2.26.2</t>
  </si>
  <si>
    <t>334080699.54634</t>
  </si>
  <si>
    <t>27245651.54634</t>
  </si>
  <si>
    <t>1.1.3.1.1.2.2.27</t>
  </si>
  <si>
    <t>1.1.3.1.1.2.2.27.1</t>
  </si>
  <si>
    <t>334080700.54634</t>
  </si>
  <si>
    <t>27245652.54634</t>
  </si>
  <si>
    <t>1.1.3.1.1.2.2.27.2</t>
  </si>
  <si>
    <t>334080700.758318</t>
  </si>
  <si>
    <t>27245652.758318</t>
  </si>
  <si>
    <t>1.1.3.1.1.2.2.28</t>
  </si>
  <si>
    <t>1.1.3.1.1.2.2.28.1</t>
  </si>
  <si>
    <t>334080701.758318</t>
  </si>
  <si>
    <t>27245653.758318</t>
  </si>
  <si>
    <t>1.1.3.1.1.2.2.28.2</t>
  </si>
  <si>
    <t>334080701.54634</t>
  </si>
  <si>
    <t>27245653.54634</t>
  </si>
  <si>
    <t>1.1.3.1.1.2.2.29</t>
  </si>
  <si>
    <t>1, 2, 3 этажи. Тип: FK2. Покраска Gutver Prometeks RAL 6021 (бледно-зеленый) - Матовая краска для стен или аналог. Класс пожарной опасности: КМ0</t>
  </si>
  <si>
    <t>1.1.3.1.1.2.2.29.1</t>
  </si>
  <si>
    <t>334080702.54634</t>
  </si>
  <si>
    <t>27245751.54634</t>
  </si>
  <si>
    <t>1.1.3.1.1.2.2.29.2</t>
  </si>
  <si>
    <t>334080702.758318</t>
  </si>
  <si>
    <t>27245751.758318</t>
  </si>
  <si>
    <t>1.1.3.1.1.2.2.30</t>
  </si>
  <si>
    <t>1, 2, 3 этажи. Тип: FK3. Покраска Gutver Prometeks RAL 1015 (светлая слоновая кость) - Матовая краска для стен или аналог.  Класс пожарной опасности: КМ0</t>
  </si>
  <si>
    <t>1.1.3.1.1.2.2.30.1</t>
  </si>
  <si>
    <t>334080703.758318</t>
  </si>
  <si>
    <t>27245754.758318</t>
  </si>
  <si>
    <t>1.1.3.1.1.2.2.30.2</t>
  </si>
  <si>
    <t>334080703.54634</t>
  </si>
  <si>
    <t>27245754.54634</t>
  </si>
  <si>
    <t>1.1.3.1.1.2.2.31</t>
  </si>
  <si>
    <t>1, 2, 3 этажи. Тип: FK8. Покраска Gutver Prometeks RAL 6005(зеленый мох) - Матовая краска для стен или аналог. Класс пожарной опасности: КМ0</t>
  </si>
  <si>
    <t>1.1.3.1.1.2.2.31.1</t>
  </si>
  <si>
    <t>334080704.54634</t>
  </si>
  <si>
    <t>27245759.54634</t>
  </si>
  <si>
    <t>1.1.3.1.1.2.2.31.2</t>
  </si>
  <si>
    <t>334080704.758318</t>
  </si>
  <si>
    <t>27245759.758318</t>
  </si>
  <si>
    <t>1.1.3.1.1.2.2.32</t>
  </si>
  <si>
    <t>1, 2, 3 этажи. Тип: FK13. Покраска Gutver Prometeks RAL5024 (голубой) - Матовая краска для стен или аналог. Класс пожарной опасности: КМ0</t>
  </si>
  <si>
    <t>1.1.3.1.1.2.2.32.1</t>
  </si>
  <si>
    <t>334080705.758318</t>
  </si>
  <si>
    <t>27245747.758318</t>
  </si>
  <si>
    <t>1.1.3.1.1.2.2.32.2</t>
  </si>
  <si>
    <t>334080705.54634</t>
  </si>
  <si>
    <t>27245747.54634</t>
  </si>
  <si>
    <t>1.1.3.1.1.2.2.33</t>
  </si>
  <si>
    <t>1, 2, 3 этажи. Тип: FK15. Покраска Gutver Prometeks RAL1012 (лимонно-желтый) - Матовая краска для стен или аналог. Класс пожарной опасности: КМ0</t>
  </si>
  <si>
    <t>1.1.3.1.1.2.2.33.1</t>
  </si>
  <si>
    <t>334080706.54634</t>
  </si>
  <si>
    <t>27245749.54634</t>
  </si>
  <si>
    <t>1.1.3.1.1.2.2.33.2</t>
  </si>
  <si>
    <t>334080706.758318</t>
  </si>
  <si>
    <t>27245749.758318</t>
  </si>
  <si>
    <t>1.1.3.1.1.2.2.34</t>
  </si>
  <si>
    <t>1, 2, 3 этажи. Тип: FK1.1. Покраска Gutver Prometeks RAL 9002 (серо-белый) - Матовая краска для стен или аналог. Класс пожарной опасности: КМ0</t>
  </si>
  <si>
    <t>1.1.3.1.1.2.2.34.1</t>
  </si>
  <si>
    <t>334080707.758318</t>
  </si>
  <si>
    <t>27245743.758318</t>
  </si>
  <si>
    <t>1.1.3.1.1.2.2.34.2</t>
  </si>
  <si>
    <t>334080707.54634</t>
  </si>
  <si>
    <t>27245743.54634</t>
  </si>
  <si>
    <t>1.1.3.1.1.2.2.35</t>
  </si>
  <si>
    <t>1, 2, 3 этажи. Тип: FK11. Покраска Gutver Prometeks RAL1034 (пастельно-желтый) - Матовая краска для стен или аналог.  Класс пожарной опасности: КМ0.</t>
  </si>
  <si>
    <t>1.1.3.1.1.2.2.35.1</t>
  </si>
  <si>
    <t>334080708.54634</t>
  </si>
  <si>
    <t>27245745.54634</t>
  </si>
  <si>
    <t>1.1.3.1.1.2.2.35.2</t>
  </si>
  <si>
    <t>334080708.758318</t>
  </si>
  <si>
    <t>27245745.758318</t>
  </si>
  <si>
    <t>1.1.3.1.1.2.2.36</t>
  </si>
  <si>
    <t>FK5.1, 1-3эт, Иллюстрация с предварительной окраской фона</t>
  </si>
  <si>
    <t>1.1.3.1.1.2.2.36.1</t>
  </si>
  <si>
    <t>334080709.758318</t>
  </si>
  <si>
    <t>27245797.758318</t>
  </si>
  <si>
    <t>1.1.3.1.1.2.2.36.2</t>
  </si>
  <si>
    <t>334080709.54634</t>
  </si>
  <si>
    <t>27245797.54634</t>
  </si>
  <si>
    <t>1.1.3.1.1.2.2.37</t>
  </si>
  <si>
    <t>АРОР "ЧИСТОВЫЕ отделочные работы" от 19.02.2026. FK1. Покраска Gutver Prometeks RAL 9016 (белый) - Матовая краска. Класс пожарной опасности: КМ0 (подвал, 1, 2, 3 этажи)</t>
  </si>
  <si>
    <t>1.1.3.1.1.2.2.37.1</t>
  </si>
  <si>
    <t>Краска водно-дисперсионная интерьерная структурная Акриловая Глубокоматовая, НГ(КМ0), RAL 9003</t>
  </si>
  <si>
    <t>Краска Gutver Prometeks RAL 9016 (белый) - Матовая, КМ0</t>
  </si>
  <si>
    <t>334080710.12878</t>
  </si>
  <si>
    <t>29405050.12878</t>
  </si>
  <si>
    <t>d95a750c-7bbb-11e8-80e0-005056881952</t>
  </si>
  <si>
    <t>1.1.3.1.1.2.2.37.2</t>
  </si>
  <si>
    <t>Prometeks AC-01</t>
  </si>
  <si>
    <t>334080710.54634</t>
  </si>
  <si>
    <t>29405050.54634</t>
  </si>
  <si>
    <t>1.1.3.1.1.2.2.38</t>
  </si>
  <si>
    <t>АРОР "ЧИСТОВЫЕ отделочные работы" от 19.02.2026. FK2. Покраска Gutver Prometeks RAL 6021 (бледно-зеленый) - Матовая краска. Класс пожарной опасности: КМ0</t>
  </si>
  <si>
    <t>1.1.3.1.1.2.2.38.1</t>
  </si>
  <si>
    <t>334080711.54634</t>
  </si>
  <si>
    <t>29410389.54634</t>
  </si>
  <si>
    <t>1.1.3.1.1.2.2.38.2</t>
  </si>
  <si>
    <t>Gutver Prometeks RAL 6021 (бледно-зеленый) - Матовая, КМ0</t>
  </si>
  <si>
    <t>334080711.12878</t>
  </si>
  <si>
    <t>29410389.12878</t>
  </si>
  <si>
    <t>1.1.3.1.1.2.2.39</t>
  </si>
  <si>
    <t>АРОР "ЧИСТОВЫЕ отделочные работы" от 19.02.2026. FK3. Покраска Gutver Prometeks RAL 1015 (светлая слоновая кость) - Матовая краска.  Класс пожарной опасности: КМ0</t>
  </si>
  <si>
    <t>1.1.3.1.1.2.2.39.1</t>
  </si>
  <si>
    <t>Gutver Prometeks RAL 1015 (светлая слоновая кость) - Матовая, КМ0</t>
  </si>
  <si>
    <t>334080712.12878</t>
  </si>
  <si>
    <t>29432236.12878</t>
  </si>
  <si>
    <t>1.1.3.1.1.2.2.39.2</t>
  </si>
  <si>
    <t>334080712.54634</t>
  </si>
  <si>
    <t>29432236.54634</t>
  </si>
  <si>
    <t>1.1.3.1.1.2.2.40</t>
  </si>
  <si>
    <t>АРОР "ЧИСТОВЫЕ отделочные работы" от 19.02.2026. FK8. Покраска Gutver Prometeks RAL 6005 (зеленый мох) - Матовая краска. Класс пожарной опасности: КМ0</t>
  </si>
  <si>
    <t>1.1.3.1.1.2.2.40.1</t>
  </si>
  <si>
    <t>334080713.54634</t>
  </si>
  <si>
    <t>29432237.54634</t>
  </si>
  <si>
    <t>1.1.3.1.1.2.2.40.2</t>
  </si>
  <si>
    <t>Gutver Prometeks RAL 6005 (зеленый мох) - Матовая, КМ0</t>
  </si>
  <si>
    <t>334080713.12878</t>
  </si>
  <si>
    <t>29432237.12878</t>
  </si>
  <si>
    <t>1.1.3.1.1.2.2.41</t>
  </si>
  <si>
    <t>АРОР "ЧИСТОВЫЕ отделочные работы" от 19.02.2026. FK11. Покраска Gutver Prometeks RAL1034 (пастельно-желтый) - Матовая краска.  Класс пожарной опасности: КМ0</t>
  </si>
  <si>
    <t>1.1.3.1.1.2.2.41.1</t>
  </si>
  <si>
    <t>Gutver Prometeks RAL1034 (пастельно-желтый) - Матовая, КМ0</t>
  </si>
  <si>
    <t>334080714.12878</t>
  </si>
  <si>
    <t>29432232.12878</t>
  </si>
  <si>
    <t>1.1.3.1.1.2.2.41.2</t>
  </si>
  <si>
    <t>334080714.54634</t>
  </si>
  <si>
    <t>29432232.54634</t>
  </si>
  <si>
    <t>1.1.3.1.1.2.2.42</t>
  </si>
  <si>
    <t>АРОР "ЧИСТОВЫЕ отделочные работы" от 19.02.2026. FK13. Покраска Gutver Prometeks RAL5024 (голубой) - Матовая краска. Класс пожарной опасности: КМ0</t>
  </si>
  <si>
    <t>1.1.3.1.1.2.2.42.1</t>
  </si>
  <si>
    <t>334080715.54634</t>
  </si>
  <si>
    <t>29432233.54634</t>
  </si>
  <si>
    <t>1.1.3.1.1.2.2.42.2</t>
  </si>
  <si>
    <t>Gutver Prometeks RAL5024 (голубой) - Матовая, КМ0</t>
  </si>
  <si>
    <t>334080715.12878</t>
  </si>
  <si>
    <t>29432233.12878</t>
  </si>
  <si>
    <t>1.1.3.1.1.2.2.43</t>
  </si>
  <si>
    <t>АРОР "ЧИСТОВЫЕ отделочные работы" от 19.02.2026. FK15. Покраска Gutver Prometeks RAL 1012 (Лимонно-желтый) - Матовая краска. Класс пожарной опасности: КМ0</t>
  </si>
  <si>
    <t>1.1.3.1.1.2.2.43.1</t>
  </si>
  <si>
    <t>Gutver Prometeks RAL 1012 (Лимонно-желтый) - Матовая, КМ0</t>
  </si>
  <si>
    <t>334080716.12878</t>
  </si>
  <si>
    <t>29432234.12878</t>
  </si>
  <si>
    <t>1.1.3.1.1.2.2.43.2</t>
  </si>
  <si>
    <t>334080716.54634</t>
  </si>
  <si>
    <t>29432234.54634</t>
  </si>
  <si>
    <t>1.1.3.1.1.2.2.44</t>
  </si>
  <si>
    <t>6.3.1.5.2.2.8.3</t>
  </si>
  <si>
    <t>Лакокрасочные работы СКБ / окраска откосов / в 2 слоя</t>
  </si>
  <si>
    <t>8bf08378-dbd9-4e80-8ee7-0ff14f296665</t>
  </si>
  <si>
    <t>b733a2ef-d78f-437c-90c9-4eabfe04c553</t>
  </si>
  <si>
    <t>1.1.3.1.1.2.2.44.1</t>
  </si>
  <si>
    <t>Краска Tikkurila Проф Евро 7 / RAL 9003</t>
  </si>
  <si>
    <t>334080541.1527563</t>
  </si>
  <si>
    <t>27245673.1527563</t>
  </si>
  <si>
    <t>c703e0d9-c58b-46dc-ae9e-94ab4ef5f1c1</t>
  </si>
  <si>
    <t>1.1.3.1.1.2.2.44.2</t>
  </si>
  <si>
    <t>334080541.54634</t>
  </si>
  <si>
    <t>27245673.54634</t>
  </si>
  <si>
    <t>1.1.3.1.1.2.2.45</t>
  </si>
  <si>
    <t>1, 2, 3 этажи. Тип: FK14. Отделка откосов - Gutver Prometeks RAL 9016. Матовая краска для стен или аналог. Класс пожарной опасности: КМ0</t>
  </si>
  <si>
    <t>1.1.3.1.1.2.2.45.1</t>
  </si>
  <si>
    <t>334080717.54634</t>
  </si>
  <si>
    <t>27245748.54634</t>
  </si>
  <si>
    <t>1.1.3.1.1.2.2.45.2</t>
  </si>
  <si>
    <t>334080717.1527563</t>
  </si>
  <si>
    <t>27245748.1527563</t>
  </si>
  <si>
    <t>1.1.3.1.1.2.2.46</t>
  </si>
  <si>
    <t>АРОР "ЧИСТОВЫЕ отделочные работы" от 19.02.2026. FK14. Отделка откосов - Gutver Prometeks RAL 9016. Матовая краска. Класс пожарной опасности: КМ0</t>
  </si>
  <si>
    <t>1.1.3.1.1.2.2.46.1</t>
  </si>
  <si>
    <t>Gutver Prometeks RAL 9016. Матовая, КМ0</t>
  </si>
  <si>
    <t>334080718.1527563</t>
  </si>
  <si>
    <t>29434041.1527563</t>
  </si>
  <si>
    <t>1.1.3.1.1.2.2.46.2</t>
  </si>
  <si>
    <t>334080718.54634</t>
  </si>
  <si>
    <t>29434041.54634</t>
  </si>
  <si>
    <t>1.1.3.1.1.2.2.47</t>
  </si>
  <si>
    <t>6.3.1.5.2.2.9.1</t>
  </si>
  <si>
    <t>Облицовка поверхности стен СКБ с затиркой швов / керамической, керамогранитной плиткой до 0,2м2/шт</t>
  </si>
  <si>
    <t>8d513ad3-1fbc-4730-be59-389995ce51d8</t>
  </si>
  <si>
    <t>a0ecae9b-7c0c-412d-a794-953bf76fc42d</t>
  </si>
  <si>
    <t>1.1.3.1.1.2.2.47.1</t>
  </si>
  <si>
    <t>334080543.54637</t>
  </si>
  <si>
    <t>27245661.54637</t>
  </si>
  <si>
    <t>1.1.3.1.1.2.2.47.2</t>
  </si>
  <si>
    <t>334080543.737422</t>
  </si>
  <si>
    <t>27245661.737422</t>
  </si>
  <si>
    <t>1.1.3.1.1.2.2.47.3</t>
  </si>
  <si>
    <t>334080543.739258</t>
  </si>
  <si>
    <t>27245661.739258</t>
  </si>
  <si>
    <t>1.1.3.1.1.2.2.47.4</t>
  </si>
  <si>
    <t>Керамический гранит Kerama marazzi_ / Синий /  SG1547N /  200х200 мм</t>
  </si>
  <si>
    <t>334080543.1570533</t>
  </si>
  <si>
    <t>27245661.1570533</t>
  </si>
  <si>
    <t>a620a03f-7faf-4c11-affe-45d2fae0c5fb</t>
  </si>
  <si>
    <t>1.1.3.1.1.2.2.48</t>
  </si>
  <si>
    <t>1.1.3.1.1.2.2.48.1</t>
  </si>
  <si>
    <t>Керамический гранит Kerama marazzi_ / Белый / 5009/ Калейдоскоп / 200х200</t>
  </si>
  <si>
    <t>334080719.758609</t>
  </si>
  <si>
    <t>27245662.758609</t>
  </si>
  <si>
    <t>70f2d54b-ab55-43b4-b130-a5f8f85e7098</t>
  </si>
  <si>
    <t>1.1.3.1.1.2.2.48.2</t>
  </si>
  <si>
    <t>334080719.739258</t>
  </si>
  <si>
    <t>27245662.739258</t>
  </si>
  <si>
    <t>1.1.3.1.1.2.2.48.3</t>
  </si>
  <si>
    <t>334080719.737422</t>
  </si>
  <si>
    <t>27245662.737422</t>
  </si>
  <si>
    <t>1.1.3.1.1.2.2.48.4</t>
  </si>
  <si>
    <t>334080719.54637</t>
  </si>
  <si>
    <t>27245662.54637</t>
  </si>
  <si>
    <t>1.1.3.1.1.2.2.49</t>
  </si>
  <si>
    <t>1.1.3.1.1.2.2.49.1</t>
  </si>
  <si>
    <t>334080720.54637</t>
  </si>
  <si>
    <t>27245663.54637</t>
  </si>
  <si>
    <t>1.1.3.1.1.2.2.49.2</t>
  </si>
  <si>
    <t>334080720.737422</t>
  </si>
  <si>
    <t>27245663.737422</t>
  </si>
  <si>
    <t>1.1.3.1.1.2.2.49.3</t>
  </si>
  <si>
    <t>334080720.739258</t>
  </si>
  <si>
    <t>27245663.739258</t>
  </si>
  <si>
    <t>1.1.3.1.1.2.2.49.4</t>
  </si>
  <si>
    <t>334080720.1570533</t>
  </si>
  <si>
    <t>27245663.1570533</t>
  </si>
  <si>
    <t>1.1.3.1.1.2.2.50</t>
  </si>
  <si>
    <t>1, 2, 3 этажи. Тип: FK9</t>
  </si>
  <si>
    <t>1.1.3.1.1.2.2.50.1</t>
  </si>
  <si>
    <t>334080721.1570533</t>
  </si>
  <si>
    <t>27245760.1570533</t>
  </si>
  <si>
    <t>1.1.3.1.1.2.2.50.2</t>
  </si>
  <si>
    <t>334080721.739258</t>
  </si>
  <si>
    <t>27245760.739258</t>
  </si>
  <si>
    <t>1.1.3.1.1.2.2.50.3</t>
  </si>
  <si>
    <t>334080721.737422</t>
  </si>
  <si>
    <t>27245760.737422</t>
  </si>
  <si>
    <t>1.1.3.1.1.2.2.50.4</t>
  </si>
  <si>
    <t>334080721.54637</t>
  </si>
  <si>
    <t>27245760.54637</t>
  </si>
  <si>
    <t>1.1.3.1.1.2.2.51</t>
  </si>
  <si>
    <t>1, 2, 3 этажи. Тип: FK16</t>
  </si>
  <si>
    <t>1.1.3.1.1.2.2.51.1</t>
  </si>
  <si>
    <t>334080722.54637</t>
  </si>
  <si>
    <t>27245750.54637</t>
  </si>
  <si>
    <t>1.1.3.1.1.2.2.51.2</t>
  </si>
  <si>
    <t>334080722.737422</t>
  </si>
  <si>
    <t>27245750.737422</t>
  </si>
  <si>
    <t>1.1.3.1.1.2.2.51.3</t>
  </si>
  <si>
    <t>334080722.739258</t>
  </si>
  <si>
    <t>27245750.739258</t>
  </si>
  <si>
    <t>1.1.3.1.1.2.2.51.4</t>
  </si>
  <si>
    <t>334080722.758609</t>
  </si>
  <si>
    <t>27245750.758609</t>
  </si>
  <si>
    <t>1.1.3.1.1.2.2.52</t>
  </si>
  <si>
    <t>1 этаж. Тип: FK31</t>
  </si>
  <si>
    <t>1.1.3.1.1.2.2.52.1</t>
  </si>
  <si>
    <t>334080723.1570533</t>
  </si>
  <si>
    <t>27245727.1570533</t>
  </si>
  <si>
    <t>1.1.3.1.1.2.2.52.2</t>
  </si>
  <si>
    <t>334080723.739258</t>
  </si>
  <si>
    <t>27245727.739258</t>
  </si>
  <si>
    <t>1.1.3.1.1.2.2.52.3</t>
  </si>
  <si>
    <t>334080723.737422</t>
  </si>
  <si>
    <t>27245727.737422</t>
  </si>
  <si>
    <t>1.1.3.1.1.2.2.52.4</t>
  </si>
  <si>
    <t>334080723.54637</t>
  </si>
  <si>
    <t>27245727.54637</t>
  </si>
  <si>
    <t>1.1.3.1.1.2.2.53</t>
  </si>
  <si>
    <t>АРОР "ЧИСТОВЫЕ отделочные работы" от 19.02.2026. FK9. Настенная плитка Kerama Marazzi 8000N Белое солнце 20x30, белая, глянцевая, моноколор. Затирка: Церезит CE 33, цвет серебристо-серый 04 (с учетом откосов).</t>
  </si>
  <si>
    <t>1.1.3.1.1.2.2.53.1</t>
  </si>
  <si>
    <t>Затирка Основит / серебро 024</t>
  </si>
  <si>
    <t>Затирка: Церезит CE 33, цвет серебристо-серый 04.</t>
  </si>
  <si>
    <t>334080724.1735329</t>
  </si>
  <si>
    <t>29393980.1735329</t>
  </si>
  <si>
    <t>94dc2c5f-f64f-4178-9bc3-27809c5ea463</t>
  </si>
  <si>
    <t>1.1.3.1.1.2.2.53.2</t>
  </si>
  <si>
    <t>334080724.737422</t>
  </si>
  <si>
    <t>29393980.737422</t>
  </si>
  <si>
    <t>1.1.3.1.1.2.2.53.3</t>
  </si>
  <si>
    <t>334080724.739258</t>
  </si>
  <si>
    <t>29393980.739258</t>
  </si>
  <si>
    <t>1.1.3.1.1.2.2.53.4</t>
  </si>
  <si>
    <t>Kerama Marazzi 8000N Белое солнце 20x30, белая, глянцевая, моноколор.</t>
  </si>
  <si>
    <t>334080724.1570533</t>
  </si>
  <si>
    <t>29393980.1570533</t>
  </si>
  <si>
    <t>1.1.3.1.1.2.2.54</t>
  </si>
  <si>
    <t>АРОР "ЧИСТОВЫЕ отделочные работы" от 19.02.2026. FK9. Настенная плитка Kerama Marazzi 8000N Белое солнце 20x30, белая, глянцевая, моноколор. Затирка: Церезит CE 33, цвет серебристо-серый 04 (на Кнауф-флизен по ПГП, с учетом откосов).</t>
  </si>
  <si>
    <t>1.1.3.1.1.2.2.54.1</t>
  </si>
  <si>
    <t>334080725.1570533</t>
  </si>
  <si>
    <t>29396517.1570533</t>
  </si>
  <si>
    <t>1.1.3.1.1.2.2.54.2</t>
  </si>
  <si>
    <t>Клей для плитки Knauf Флизен серый класс C0 25 кг</t>
  </si>
  <si>
    <t>334080725.739258</t>
  </si>
  <si>
    <t>29396517.739258</t>
  </si>
  <si>
    <t>1.1.3.1.1.2.2.54.3</t>
  </si>
  <si>
    <t>334080725.737422</t>
  </si>
  <si>
    <t>29396517.737422</t>
  </si>
  <si>
    <t>1.1.3.1.1.2.2.54.4</t>
  </si>
  <si>
    <t>334080725.54637</t>
  </si>
  <si>
    <t>29396517.54637</t>
  </si>
  <si>
    <t>1.1.3.1.1.2.2.55</t>
  </si>
  <si>
    <t>АРОР "ЧИСТОВЫЕ отделочные работы" от 19.02.2026. FK16. Керамическая плитка Kerama Marazzi, калейдоскоп 5009, размер 200х200х6,9. Затирка: Церезит CE 33, цвет серебристо-серый 04 на Кнауф-флизен</t>
  </si>
  <si>
    <t>1.1.3.1.1.2.2.55.1</t>
  </si>
  <si>
    <t>334080726.54637</t>
  </si>
  <si>
    <t>29399332.54637</t>
  </si>
  <si>
    <t>1.1.3.1.1.2.2.55.2</t>
  </si>
  <si>
    <t>334080726.737422</t>
  </si>
  <si>
    <t>29399332.737422</t>
  </si>
  <si>
    <t>1.1.3.1.1.2.2.55.3</t>
  </si>
  <si>
    <t>334080726.739258</t>
  </si>
  <si>
    <t>29399332.739258</t>
  </si>
  <si>
    <t>1.1.3.1.1.2.2.55.4</t>
  </si>
  <si>
    <t>334080726.758609</t>
  </si>
  <si>
    <t>29399332.758609</t>
  </si>
  <si>
    <t>1.1.3.1.1.2.2.56</t>
  </si>
  <si>
    <t>АРОР "ЧИСТОВЫЕ отделочные работы" от 19.02.2026. КР-28. Подоконник Плитка Kerama Marazzi 8000N Белое солнце 20x30, белая, глянцевая, моноколор. Затирка: Церезит CE 33, цвет серебристо-серый 04</t>
  </si>
  <si>
    <t>1.1.3.1.1.2.2.56.1</t>
  </si>
  <si>
    <t>334080727.1570533</t>
  </si>
  <si>
    <t>29399333.1570533</t>
  </si>
  <si>
    <t>1.1.3.1.1.2.2.56.2</t>
  </si>
  <si>
    <t>334080727.739258</t>
  </si>
  <si>
    <t>29399333.739258</t>
  </si>
  <si>
    <t>1.1.3.1.1.2.2.56.3</t>
  </si>
  <si>
    <t>334080727.737422</t>
  </si>
  <si>
    <t>29399333.737422</t>
  </si>
  <si>
    <t>1.1.3.1.1.2.2.56.4</t>
  </si>
  <si>
    <t>334080727.54637</t>
  </si>
  <si>
    <t>29399333.54637</t>
  </si>
  <si>
    <t>1.1.3.1.1.2.2.57</t>
  </si>
  <si>
    <t>6.3.1.5.2.2.9.2</t>
  </si>
  <si>
    <t>Облицовка поверхности стен СКБ с затиркой швов / керамической, керамогранитной плиткой от 0,2м2/шт</t>
  </si>
  <si>
    <t>9000ff2e-4eba-41cc-a074-c46fe92c125a</t>
  </si>
  <si>
    <t>543139c7-05c6-47e9-8a5c-0d2e4272c803</t>
  </si>
  <si>
    <t>1.1.3.1.1.2.2.57.1</t>
  </si>
  <si>
    <t>Плитка керамогранитная_ / AG23 / Estima / 600х600х10 мм</t>
  </si>
  <si>
    <t>334080544.2498810</t>
  </si>
  <si>
    <t>27245627.2498810</t>
  </si>
  <si>
    <t>0059404d-5dfe-11ef-9042-8d9a4c3e632c</t>
  </si>
  <si>
    <t>1.1.3.1.1.2.2.57.2</t>
  </si>
  <si>
    <t>334080544.739258</t>
  </si>
  <si>
    <t>27245627.739258</t>
  </si>
  <si>
    <t>1.1.3.1.1.2.2.57.3</t>
  </si>
  <si>
    <t>334080544.54637</t>
  </si>
  <si>
    <t>27245627.54637</t>
  </si>
  <si>
    <t>1.1.3.1.1.2.2.57.4</t>
  </si>
  <si>
    <t>334080544.737422</t>
  </si>
  <si>
    <t>27245627.737422</t>
  </si>
  <si>
    <t>1.1.3.1.1.2.2.58</t>
  </si>
  <si>
    <t>1.1.3.1.1.2.2.58.1</t>
  </si>
  <si>
    <t>334080728.737422</t>
  </si>
  <si>
    <t>27245628.737422</t>
  </si>
  <si>
    <t>1.1.3.1.1.2.2.58.2</t>
  </si>
  <si>
    <t>334080728.54637</t>
  </si>
  <si>
    <t>27245628.54637</t>
  </si>
  <si>
    <t>1.1.3.1.1.2.2.58.3</t>
  </si>
  <si>
    <t>334080728.739258</t>
  </si>
  <si>
    <t>27245628.739258</t>
  </si>
  <si>
    <t>1.1.3.1.1.2.2.58.4</t>
  </si>
  <si>
    <t>334080728.2498810</t>
  </si>
  <si>
    <t>27245628.2498810</t>
  </si>
  <si>
    <t>1.1.3.1.1.2.2.59</t>
  </si>
  <si>
    <t>1.1.3.1.1.2.2.59.1</t>
  </si>
  <si>
    <t>334080729.2498810</t>
  </si>
  <si>
    <t>27245629.2498810</t>
  </si>
  <si>
    <t>1.1.3.1.1.2.2.59.2</t>
  </si>
  <si>
    <t>334080729.739258</t>
  </si>
  <si>
    <t>27245629.739258</t>
  </si>
  <si>
    <t>1.1.3.1.1.2.2.59.3</t>
  </si>
  <si>
    <t>334080729.54637</t>
  </si>
  <si>
    <t>27245629.54637</t>
  </si>
  <si>
    <t>1.1.3.1.1.2.2.59.4</t>
  </si>
  <si>
    <t>334080729.737422</t>
  </si>
  <si>
    <t>27245629.737422</t>
  </si>
  <si>
    <t>1.1.3.1.1.2.2.60</t>
  </si>
  <si>
    <t>1.1.3.1.1.2.2.60.1</t>
  </si>
  <si>
    <t>334080730.737422</t>
  </si>
  <si>
    <t>27245630.737422</t>
  </si>
  <si>
    <t>1.1.3.1.1.2.2.60.2</t>
  </si>
  <si>
    <t>334080730.54637</t>
  </si>
  <si>
    <t>27245630.54637</t>
  </si>
  <si>
    <t>1.1.3.1.1.2.2.60.3</t>
  </si>
  <si>
    <t>334080730.739258</t>
  </si>
  <si>
    <t>27245630.739258</t>
  </si>
  <si>
    <t>1.1.3.1.1.2.2.60.4</t>
  </si>
  <si>
    <t>334080730.2498810</t>
  </si>
  <si>
    <t>27245630.2498810</t>
  </si>
  <si>
    <t>1.1.3.1.1.2.2.61</t>
  </si>
  <si>
    <t>1, 2, 3 этажи. Тип: FK4</t>
  </si>
  <si>
    <t>1.1.3.1.1.2.2.61.1</t>
  </si>
  <si>
    <t>Керамогранит Грани Таганая Профи, арт. GT079M, цвет зеленый чай, размер 600*600 мм, толщина 10мм, матовый.</t>
  </si>
  <si>
    <t>334080731.2498810</t>
  </si>
  <si>
    <t>27245755.2498810</t>
  </si>
  <si>
    <t>1.1.3.1.1.2.2.61.2</t>
  </si>
  <si>
    <t>334080731.739258</t>
  </si>
  <si>
    <t>27245755.739258</t>
  </si>
  <si>
    <t>1.1.3.1.1.2.2.61.3</t>
  </si>
  <si>
    <t>334080731.54637</t>
  </si>
  <si>
    <t>27245755.54637</t>
  </si>
  <si>
    <t>1.1.3.1.1.2.2.61.4</t>
  </si>
  <si>
    <t>334080731.737422</t>
  </si>
  <si>
    <t>27245755.737422</t>
  </si>
  <si>
    <t>1.1.3.1.1.2.2.62</t>
  </si>
  <si>
    <t>1, 2, 3 этажи. Тип: FK10</t>
  </si>
  <si>
    <t>1.1.3.1.1.2.2.62.1</t>
  </si>
  <si>
    <t>334080732.737422</t>
  </si>
  <si>
    <t>27245744.737422</t>
  </si>
  <si>
    <t>1.1.3.1.1.2.2.62.2</t>
  </si>
  <si>
    <t>334080732.54637</t>
  </si>
  <si>
    <t>27245744.54637</t>
  </si>
  <si>
    <t>1.1.3.1.1.2.2.62.3</t>
  </si>
  <si>
    <t>334080732.739258</t>
  </si>
  <si>
    <t>27245744.739258</t>
  </si>
  <si>
    <t>1.1.3.1.1.2.2.62.4</t>
  </si>
  <si>
    <t>Керамогранит Грани Таганая, арт. GT202M, цвет кристально молочный, размер 600*600 мм, толщина 10мм, матовый.</t>
  </si>
  <si>
    <t>334080732.2498810</t>
  </si>
  <si>
    <t>27245744.2498810</t>
  </si>
  <si>
    <t>1.1.3.1.1.2.2.63</t>
  </si>
  <si>
    <t>1, 2, 3 этажи. Тип: FK12</t>
  </si>
  <si>
    <t>1.1.3.1.1.2.2.63.1</t>
  </si>
  <si>
    <t>334080733.2498810</t>
  </si>
  <si>
    <t>27245746.2498810</t>
  </si>
  <si>
    <t>1.1.3.1.1.2.2.63.2</t>
  </si>
  <si>
    <t>334080733.739258</t>
  </si>
  <si>
    <t>27245746.739258</t>
  </si>
  <si>
    <t>1.1.3.1.1.2.2.63.3</t>
  </si>
  <si>
    <t>334080733.54637</t>
  </si>
  <si>
    <t>27245746.54637</t>
  </si>
  <si>
    <t>1.1.3.1.1.2.2.63.4</t>
  </si>
  <si>
    <t>334080733.737422</t>
  </si>
  <si>
    <t>27245746.737422</t>
  </si>
  <si>
    <t>1.1.3.1.1.2.2.64</t>
  </si>
  <si>
    <t>1, 2, 3 этажи. Тип: FK27</t>
  </si>
  <si>
    <t>1.1.3.1.1.2.2.64.1</t>
  </si>
  <si>
    <t>334080734.737422</t>
  </si>
  <si>
    <t>27245753.737422</t>
  </si>
  <si>
    <t>1.1.3.1.1.2.2.64.2</t>
  </si>
  <si>
    <t>334080734.54637</t>
  </si>
  <si>
    <t>27245753.54637</t>
  </si>
  <si>
    <t>1.1.3.1.1.2.2.64.3</t>
  </si>
  <si>
    <t>334080734.739258</t>
  </si>
  <si>
    <t>27245753.739258</t>
  </si>
  <si>
    <t>1.1.3.1.1.2.2.64.4</t>
  </si>
  <si>
    <t>334080734.2498810</t>
  </si>
  <si>
    <t>27245753.2498810</t>
  </si>
  <si>
    <t>1.1.3.1.1.2.2.65</t>
  </si>
  <si>
    <t>АРОР "ЧИСТОВЫЕ отделочные работы" от 19.02.2026 (поз.44). FK4. Керамогранит Грани Таганая Профи, арт. GT079M, цвет зеленый чай, размер 600*600 мм, толщина 10мм, матовый. Затирка: Церезит CE 33, цвет серебристо-белый 04</t>
  </si>
  <si>
    <t>1.1.3.1.1.2.2.65.1</t>
  </si>
  <si>
    <t>334080735.2498810</t>
  </si>
  <si>
    <t>29393979.2498810</t>
  </si>
  <si>
    <t>1.1.3.1.1.2.2.65.2</t>
  </si>
  <si>
    <t>334080735.739258</t>
  </si>
  <si>
    <t>29393979.739258</t>
  </si>
  <si>
    <t>1.1.3.1.1.2.2.65.3</t>
  </si>
  <si>
    <t>334080735.54637</t>
  </si>
  <si>
    <t>29393979.54637</t>
  </si>
  <si>
    <t>1.1.3.1.1.2.2.65.4</t>
  </si>
  <si>
    <t>334080735.737422</t>
  </si>
  <si>
    <t>29393979.737422</t>
  </si>
  <si>
    <t>1.1.3.1.1.2.2.66</t>
  </si>
  <si>
    <t>АРОР "ЧИСТОВЫЕ отделочные работы" от 19.02.2026 (поз.48). FK10. Керамогранит Грани Таганая, арт. GT202M, цвет кристально молочный, размер 600*600 мм, толщина 10мм, матовый. Затирка: Церезит CE 33, цвет серебристо-белый 04</t>
  </si>
  <si>
    <t>1.1.3.1.1.2.2.66.1</t>
  </si>
  <si>
    <t>334080736.737422</t>
  </si>
  <si>
    <t>29396514.737422</t>
  </si>
  <si>
    <t>1.1.3.1.1.2.2.66.2</t>
  </si>
  <si>
    <t>334080736.54637</t>
  </si>
  <si>
    <t>29396514.54637</t>
  </si>
  <si>
    <t>1.1.3.1.1.2.2.66.3</t>
  </si>
  <si>
    <t>334080736.739258</t>
  </si>
  <si>
    <t>29396514.739258</t>
  </si>
  <si>
    <t>1.1.3.1.1.2.2.66.4</t>
  </si>
  <si>
    <t>Плитка керамогранитная_ / RW03 / Estima / 600х600х10 мм</t>
  </si>
  <si>
    <t>334080736.2498809</t>
  </si>
  <si>
    <t>29396514.2498809</t>
  </si>
  <si>
    <t>c89c4225-5dfc-11ef-9042-8d9a4c3e632c</t>
  </si>
  <si>
    <t>1.1.3.1.1.2.2.67</t>
  </si>
  <si>
    <t>АРОР "ЧИСТОВЫЕ отделочные работы" от 19.02.2026. FK12. Керамогранит Грани Таганая Профи, арт. GT085М, цвет голубой, размер 600*600 мм, толщина 10мм, матовый. Затирка: Церезит CE 33, цвет серебристо-серый 04 (с учетом откосов)</t>
  </si>
  <si>
    <t>1.1.3.1.1.2.2.67.1</t>
  </si>
  <si>
    <t>334080737.2498810</t>
  </si>
  <si>
    <t>29396516.2498810</t>
  </si>
  <si>
    <t>1.1.3.1.1.2.2.67.2</t>
  </si>
  <si>
    <t>334080737.739258</t>
  </si>
  <si>
    <t>29396516.739258</t>
  </si>
  <si>
    <t>1.1.3.1.1.2.2.67.3</t>
  </si>
  <si>
    <t>334080737.54637</t>
  </si>
  <si>
    <t>29396516.54637</t>
  </si>
  <si>
    <t>1.1.3.1.1.2.2.67.4</t>
  </si>
  <si>
    <t>334080737.737422</t>
  </si>
  <si>
    <t>29396516.737422</t>
  </si>
  <si>
    <t>1.1.3.1.1.2.2.68</t>
  </si>
  <si>
    <t>АРОР "ЧИСТОВЫЕ отделочные работы" от 19.02.2026. FK12. Керамогранит Грани Таганая Профи, арт. GT085М, цвет голубой, размер 600*600 мм, толщина 10мм, матовый. Затирка: Церезит CE 33, цвет серебристо-серый 04 (на Кнауф-флизен, с учетом откосов)</t>
  </si>
  <si>
    <t>1.1.3.1.1.2.2.68.1</t>
  </si>
  <si>
    <t>334080738.737422</t>
  </si>
  <si>
    <t>29396515.737422</t>
  </si>
  <si>
    <t>1.1.3.1.1.2.2.68.2</t>
  </si>
  <si>
    <t>334080738.54637</t>
  </si>
  <si>
    <t>29396515.54637</t>
  </si>
  <si>
    <t>1.1.3.1.1.2.2.68.3</t>
  </si>
  <si>
    <t>334080738.739258</t>
  </si>
  <si>
    <t>29396515.739258</t>
  </si>
  <si>
    <t>1.1.3.1.1.2.2.68.4</t>
  </si>
  <si>
    <t>334080738.2498810</t>
  </si>
  <si>
    <t>29396515.2498810</t>
  </si>
  <si>
    <t>1.1.3.1.1.2.3</t>
  </si>
  <si>
    <t>6.3.1.5.2.3</t>
  </si>
  <si>
    <t>Устройство подоконников, оконных откосов</t>
  </si>
  <si>
    <t>1.1.3.1.1.2.3.1</t>
  </si>
  <si>
    <t>6.3.1.5.2.3.1.2</t>
  </si>
  <si>
    <t>Штукатурка поверхностей откосов сухими смесями с предварительной огрунтовкой поверхности / толщ. свыше 20 мм</t>
  </si>
  <si>
    <t xml:space="preserve">АРОР "Черновые отделочные работы" от 19.02.2026. Гипсовая штукатурка по бетону колонн, простенков до 500мм, толщиной 25 мм. 1-3 этажи
</t>
  </si>
  <si>
    <t>48850735-d48e-4f91-9491-54524f0a59a1</t>
  </si>
  <si>
    <t>30117393-41c8-442e-9221-b04847a4affb</t>
  </si>
  <si>
    <t>1.1.3.1.1.2.3.1.1</t>
  </si>
  <si>
    <t>Штукатурка гипсовая_ / Унифицированная по ПИК-СТАНДАРТ, 30кг (BIM)</t>
  </si>
  <si>
    <t>334080547.1570749</t>
  </si>
  <si>
    <t>29277320.1570749</t>
  </si>
  <si>
    <t>1b1150f4-e9c2-4b92-a617-37bcba2573bf</t>
  </si>
  <si>
    <t>1.1.3.1.1.2.3.1.2</t>
  </si>
  <si>
    <t>Сетка стеклотканевая 120г/м2, ячейка 5х5мм</t>
  </si>
  <si>
    <t>334080547.26040</t>
  </si>
  <si>
    <t>29277320.26040</t>
  </si>
  <si>
    <t>65304409-d09a-11e8-80e6-005056881952</t>
  </si>
  <si>
    <t>1.1.3.1.1.2.3.1.3</t>
  </si>
  <si>
    <t>Профиль маячковый_/ПМ10</t>
  </si>
  <si>
    <t>334080547.55030</t>
  </si>
  <si>
    <t>29277320.55030</t>
  </si>
  <si>
    <t>2c5b3048-8dfb-4910-9a5b-0bcdfb85437b</t>
  </si>
  <si>
    <t>1.1.3.1.1.2.3.1.4</t>
  </si>
  <si>
    <t>334080547.54633</t>
  </si>
  <si>
    <t>29277320.54633</t>
  </si>
  <si>
    <t>1.1.3.1.1.2.3.2</t>
  </si>
  <si>
    <t>АРОР "Черновые отделочные работы" от 19.02.2026. Гипсовая штукатурка по блоку ячеистому, кирпичу и ПГП простенков до 500мм, толщиной 25 мм. 1-3 этажи</t>
  </si>
  <si>
    <t>1.1.3.1.1.2.3.2.1</t>
  </si>
  <si>
    <t>334080739.54634</t>
  </si>
  <si>
    <t>29277321.54634</t>
  </si>
  <si>
    <t>1.1.3.1.1.2.3.2.2</t>
  </si>
  <si>
    <t>334080739.55030</t>
  </si>
  <si>
    <t>29277321.55030</t>
  </si>
  <si>
    <t>1.1.3.1.1.2.3.2.3</t>
  </si>
  <si>
    <t>334080739.26040</t>
  </si>
  <si>
    <t>29277321.26040</t>
  </si>
  <si>
    <t>1.1.3.1.1.2.3.2.4</t>
  </si>
  <si>
    <t>334080739.1570749</t>
  </si>
  <si>
    <t>29277321.1570749</t>
  </si>
  <si>
    <t>1.1.3.1.1.2.3.3</t>
  </si>
  <si>
    <t xml:space="preserve">АРОР "Черновые отделочные работы" от 19.02.2026. Цементная штукатурка простенков до 500мм  по ПГП под облицовку плиткой и  выше плитки толщиной 25 мм. 1-3 этажи
</t>
  </si>
  <si>
    <t>1.1.3.1.1.2.3.3.1</t>
  </si>
  <si>
    <t>Штукатурка цементная, сухая, ТАНИЛИТ_/PC10</t>
  </si>
  <si>
    <t>334080740.54613</t>
  </si>
  <si>
    <t>29285268.54613</t>
  </si>
  <si>
    <t>c9b06266-dd92-4a08-9f0b-d8cdde8716d9</t>
  </si>
  <si>
    <t>1.1.3.1.1.2.3.3.2</t>
  </si>
  <si>
    <t>334080740.26040</t>
  </si>
  <si>
    <t>29285268.26040</t>
  </si>
  <si>
    <t>1.1.3.1.1.2.3.3.3</t>
  </si>
  <si>
    <t>334080740.55030</t>
  </si>
  <si>
    <t>29285268.55030</t>
  </si>
  <si>
    <t>1.1.3.1.1.2.3.3.4</t>
  </si>
  <si>
    <t>334080740.54634</t>
  </si>
  <si>
    <t>29285268.54634</t>
  </si>
  <si>
    <t>1.1.3.1.1.2.3.4</t>
  </si>
  <si>
    <t xml:space="preserve">АРОР "Черновые отделочные работы" от 19.02.2026. Цементная штукатурка откосов оконных, средняя толщина с перекрытием примыкания 60мм (основная толщина 25 мм), без рассвета - откос прямой. 1-3 этажи
</t>
  </si>
  <si>
    <t>1.1.3.1.1.2.3.4.1</t>
  </si>
  <si>
    <t>334080741.54634</t>
  </si>
  <si>
    <t>29285267.54634</t>
  </si>
  <si>
    <t>1.1.3.1.1.2.3.4.2</t>
  </si>
  <si>
    <t>334080741.55030</t>
  </si>
  <si>
    <t>29285267.55030</t>
  </si>
  <si>
    <t>1.1.3.1.1.2.3.4.3</t>
  </si>
  <si>
    <t>334080741.26040</t>
  </si>
  <si>
    <t>29285267.26040</t>
  </si>
  <si>
    <t>1.1.3.1.1.2.3.4.4</t>
  </si>
  <si>
    <t>334080741.54613</t>
  </si>
  <si>
    <t>29285267.54613</t>
  </si>
  <si>
    <t>1.1.3.1.1.2.3.5</t>
  </si>
  <si>
    <t xml:space="preserve">АРОР "Черновые отделочные работы" от 19.02.2026. Гипсовая штукатурка откосов оконных, средняя толщина с перекрытием примыкания 60мм (основная толщина 25 мм), без рассвета - откос прямой. 1-3 этажи
</t>
  </si>
  <si>
    <t>1.1.3.1.1.2.3.5.1</t>
  </si>
  <si>
    <t>334080742.1570749</t>
  </si>
  <si>
    <t>29289989.1570749</t>
  </si>
  <si>
    <t>1.1.3.1.1.2.3.5.2</t>
  </si>
  <si>
    <t>334080742.26040</t>
  </si>
  <si>
    <t>29289989.26040</t>
  </si>
  <si>
    <t>1.1.3.1.1.2.3.5.3</t>
  </si>
  <si>
    <t>334080742.55030</t>
  </si>
  <si>
    <t>29289989.55030</t>
  </si>
  <si>
    <t>1.1.3.1.1.2.3.5.4</t>
  </si>
  <si>
    <t>334080742.54633</t>
  </si>
  <si>
    <t>29289989.54633</t>
  </si>
  <si>
    <t>1.1.3.1.1.2.3.6</t>
  </si>
  <si>
    <t>АРОР "Черновые отделочные работы" от 19.02.2026. Цементная штукатурка откосов дверных в подвале, средняя толщина 25 мм - откос прямой.</t>
  </si>
  <si>
    <t>1.1.3.1.1.2.3.6.1</t>
  </si>
  <si>
    <t>334080743.54633</t>
  </si>
  <si>
    <t>29289991.54633</t>
  </si>
  <si>
    <t>1.1.3.1.1.2.3.6.2</t>
  </si>
  <si>
    <t>334080743.55030</t>
  </si>
  <si>
    <t>29289991.55030</t>
  </si>
  <si>
    <t>1.1.3.1.1.2.3.6.3</t>
  </si>
  <si>
    <t>334080743.26040</t>
  </si>
  <si>
    <t>29289991.26040</t>
  </si>
  <si>
    <t>1.1.3.1.1.2.3.6.4</t>
  </si>
  <si>
    <t>334080743.54613</t>
  </si>
  <si>
    <t>29289991.54613</t>
  </si>
  <si>
    <t>1.1.3.1.1.2.3.7</t>
  </si>
  <si>
    <t>АРОР "Черновые отделочные работы" от 19.02.2026. Наращивание подоконников пескобетоном М300 толщиной 100 мм, шириной 200 мм</t>
  </si>
  <si>
    <t>1.1.3.1.1.2.3.7.1</t>
  </si>
  <si>
    <t>Смесь цементно-песчаная сухая М200</t>
  </si>
  <si>
    <t>334080744.54613</t>
  </si>
  <si>
    <t>29289990.54613</t>
  </si>
  <si>
    <t>1.1.3.1.1.2.3.7.2</t>
  </si>
  <si>
    <t>334080744.54633</t>
  </si>
  <si>
    <t>29289990.54633</t>
  </si>
  <si>
    <t>1.1.3.1.1.2.3.8</t>
  </si>
  <si>
    <t>АРОР "Черновые отделочные работы" от 19.02.2026. Гипсовая штукатурка балок (по типу откосов) в составе потолка CF1, СF13, толщиной 25мм.</t>
  </si>
  <si>
    <t>1.1.3.1.1.2.3.8.1</t>
  </si>
  <si>
    <t>334080745.54633</t>
  </si>
  <si>
    <t>29295733.54633</t>
  </si>
  <si>
    <t>1.1.3.1.1.2.3.8.2</t>
  </si>
  <si>
    <t>334080745.55030</t>
  </si>
  <si>
    <t>29295733.55030</t>
  </si>
  <si>
    <t>1.1.3.1.1.2.3.8.3</t>
  </si>
  <si>
    <t>334080745.26040</t>
  </si>
  <si>
    <t>29295733.26040</t>
  </si>
  <si>
    <t>1.1.3.1.1.2.3.8.4</t>
  </si>
  <si>
    <t>334080745.1570749</t>
  </si>
  <si>
    <t>29295733.1570749</t>
  </si>
  <si>
    <t>1.1.3.1.1.2.3.9</t>
  </si>
  <si>
    <t>6.3.1.5.2.3.2.1</t>
  </si>
  <si>
    <t>Выравнивание поверхностей откосов толщ. до 5 мм с предварительной огрунтовкой поверхности</t>
  </si>
  <si>
    <t>АРОР "Черновые отделочные работы" от 19.02.2026 поз.118. Шпаклевка откосов оконных гипсовыми смесями (этажи 1, 2, 3). Базовый слой 2 мм.</t>
  </si>
  <si>
    <t>1bd78791-ea55-4aed-83db-0bd34db05925</t>
  </si>
  <si>
    <t>f9b8ac25-8b08-4829-b5d2-9adcab5c69cb</t>
  </si>
  <si>
    <t>1.1.3.1.1.2.3.9.1</t>
  </si>
  <si>
    <t>334080549.18405</t>
  </si>
  <si>
    <t>29241734.18405</t>
  </si>
  <si>
    <t>1.1.3.1.1.2.3.9.2</t>
  </si>
  <si>
    <t>334080549.54622</t>
  </si>
  <si>
    <t>29241734.54622</t>
  </si>
  <si>
    <t>1.1.3.1.1.2.3.9.3</t>
  </si>
  <si>
    <t>334080549.54634</t>
  </si>
  <si>
    <t>29241734.54634</t>
  </si>
  <si>
    <t>1.1.3.1.1.2.3.10</t>
  </si>
  <si>
    <t>АРОР "Черновые отделочные работы" от 19.02.2026 поз.122. Шпаклевка откосов оконных гипсовыми смесями (этажи 1, 2, 3). Финишный слой 2 мм.</t>
  </si>
  <si>
    <t>1.1.3.1.1.2.3.10.1</t>
  </si>
  <si>
    <t>334080746.54634</t>
  </si>
  <si>
    <t>29242660.54634</t>
  </si>
  <si>
    <t>1.1.3.1.1.2.3.10.2</t>
  </si>
  <si>
    <t>334080746.54622</t>
  </si>
  <si>
    <t>29242660.54622</t>
  </si>
  <si>
    <t>1.1.3.1.1.2.3.11</t>
  </si>
  <si>
    <t>АРОР "Черновые отделочные работы" от 19.02.2026 (поз. 137, 138, 142). Применительно: Уголок малярный с сеткой. Берется только материал, СМР =0. Для шпаклевки откосов, балок, колонн и простенков шириной до 500мм, д.2,5мп. Расход при ширине до 500мм 1,1/0,5=2,2мп/м2.</t>
  </si>
  <si>
    <t>1.1.3.1.1.2.3.11.1</t>
  </si>
  <si>
    <t>Уголок малярный_/перфорированный/25*25*3000мм</t>
  </si>
  <si>
    <t>334080747.55026</t>
  </si>
  <si>
    <t>29295730.55026</t>
  </si>
  <si>
    <t>480f9c46-4853-47e1-ac30-340d72ef0430</t>
  </si>
  <si>
    <t>1.1.3.1.1.2.3.12</t>
  </si>
  <si>
    <t>АРОР "Черновые отделочные работы" от 19.02.2026 (поз. 139, 140, 141). Применительно: Профиль углозащитный перфорированный оцинкованный. Берется только материал, СМР =0. Под штукатурку балок, откосов, колонн и простенков ш. до 500мм, д.3,0мп.  Расход при ширине до 500мм 1,1/0,5=2,2мп/м2.</t>
  </si>
  <si>
    <t>1.1.3.1.1.2.3.12.1</t>
  </si>
  <si>
    <t>334080748.55026</t>
  </si>
  <si>
    <t>29295731.55026</t>
  </si>
  <si>
    <t>1.1.3.1.1.2.3.13</t>
  </si>
  <si>
    <t>6.3.1.5.2.3.9.2</t>
  </si>
  <si>
    <t>Зашивка приборов отопления / ГВЛВ / в 2 слоя на каркасе</t>
  </si>
  <si>
    <t>663ba77e-b098-40f4-94fa-887123ae612f</t>
  </si>
  <si>
    <t>0382bb4a-a04e-4008-974d-d8ed2569c155</t>
  </si>
  <si>
    <t>1.1.3.1.1.2.3.13.1</t>
  </si>
  <si>
    <t>Угол пластиковый_/10*15*2,5м</t>
  </si>
  <si>
    <t>334080551.55028</t>
  </si>
  <si>
    <t>27245600.55028</t>
  </si>
  <si>
    <t>551cb54d-a4ff-4e4c-b8c8-5ee9eaa28821</t>
  </si>
  <si>
    <t>1.1.3.1.1.2.3.13.2</t>
  </si>
  <si>
    <t>Профиль_/стоечный/50*50*0,40/3м</t>
  </si>
  <si>
    <t>334080551.54564</t>
  </si>
  <si>
    <t>27245600.54564</t>
  </si>
  <si>
    <t>4e067b05-ad0d-4585-9beb-bdfb968030c2</t>
  </si>
  <si>
    <t>1.1.3.1.1.2.3.13.3</t>
  </si>
  <si>
    <t>334080551.54566</t>
  </si>
  <si>
    <t>27245600.54566</t>
  </si>
  <si>
    <t>1.1.3.1.1.2.3.13.4</t>
  </si>
  <si>
    <t>Плита Кнауф Файерборд_ / 2500х1200х12.5 м</t>
  </si>
  <si>
    <t>334080551.1523192</t>
  </si>
  <si>
    <t>27245600.1523192</t>
  </si>
  <si>
    <t>1a9d2c61-823f-4235-b198-e9701dbd754e</t>
  </si>
  <si>
    <t>1.1.3.1.1.2.3.14</t>
  </si>
  <si>
    <t>1.1.3.1.1.2.3.14.1</t>
  </si>
  <si>
    <t>334080749.7352</t>
  </si>
  <si>
    <t>27245601.7352</t>
  </si>
  <si>
    <t>1.1.3.1.1.2.3.14.2</t>
  </si>
  <si>
    <t>334080749.54564</t>
  </si>
  <si>
    <t>27245601.54564</t>
  </si>
  <si>
    <t>1.1.3.1.1.2.3.14.3</t>
  </si>
  <si>
    <t>334080749.54566</t>
  </si>
  <si>
    <t>27245601.54566</t>
  </si>
  <si>
    <t>1.1.3.1.1.2.3.14.4</t>
  </si>
  <si>
    <t>334080749.55028</t>
  </si>
  <si>
    <t>27245601.55028</t>
  </si>
  <si>
    <t>1.1.3.1.1.2.3.15</t>
  </si>
  <si>
    <t>1, 2, 3 этажи. Тип:WD6. ГКЛ 2 слоя КНАУФ-Файерборд (толщина 12,5 мм) на металлическом каркасе с решеткой для воздухообмена.</t>
  </si>
  <si>
    <t>1.1.3.1.1.2.3.15.1</t>
  </si>
  <si>
    <t>334080750.55028</t>
  </si>
  <si>
    <t>27245791.55028</t>
  </si>
  <si>
    <t>1.1.3.1.1.2.3.15.2</t>
  </si>
  <si>
    <t>334080750.54564</t>
  </si>
  <si>
    <t>27245791.54564</t>
  </si>
  <si>
    <t>1.1.3.1.1.2.3.15.3</t>
  </si>
  <si>
    <t>334080750.54566</t>
  </si>
  <si>
    <t>27245791.54566</t>
  </si>
  <si>
    <t>1.1.3.1.1.2.3.15.4</t>
  </si>
  <si>
    <t>334080750.1523192</t>
  </si>
  <si>
    <t>27245791.1523192</t>
  </si>
  <si>
    <t>1.1.3.1.1.2.3.16</t>
  </si>
  <si>
    <t>1, 2, 3 этажи. Тип:WD5. Зашивка вертикальных труб отопления ГKЛ тип С112 по серии Knauf толщиной 52мм. Двуслойная обшивка из КНАУФ-листов ГСП-А 12.5мм с одной стороны на одинарном металлическом каркасе из профиля ПП 60x27 Knauf.</t>
  </si>
  <si>
    <t>1.1.3.1.1.2.3.16.1</t>
  </si>
  <si>
    <t>334080751.7352</t>
  </si>
  <si>
    <t>27245790.7352</t>
  </si>
  <si>
    <t>1.1.3.1.1.2.3.16.2</t>
  </si>
  <si>
    <t>334080751.54564</t>
  </si>
  <si>
    <t>27245790.54564</t>
  </si>
  <si>
    <t>1.1.3.1.1.2.3.16.3</t>
  </si>
  <si>
    <t>334080751.54566</t>
  </si>
  <si>
    <t>27245790.54566</t>
  </si>
  <si>
    <t>1.1.3.1.1.2.3.16.4</t>
  </si>
  <si>
    <t>334080751.55028</t>
  </si>
  <si>
    <t>27245790.55028</t>
  </si>
  <si>
    <t>1.1.3.1.1.3</t>
  </si>
  <si>
    <t>6.3.1.5.3</t>
  </si>
  <si>
    <t>Потолки</t>
  </si>
  <si>
    <t>1.1.3.1.1.3.1</t>
  </si>
  <si>
    <t>6.3.1.5.3.1</t>
  </si>
  <si>
    <t>Черновые работы по поверхности потолков</t>
  </si>
  <si>
    <t>1.1.3.1.1.3.1.1</t>
  </si>
  <si>
    <t>6.3.1.5.3.1.6.1</t>
  </si>
  <si>
    <t>Подготовка поверхности СКБ / потолка / ЖБ / 5 мм</t>
  </si>
  <si>
    <t>d8ade7bb-05e7-4786-90a0-891f405ecdf1</t>
  </si>
  <si>
    <t>d89f0cdd-97a2-4d68-95d2-a137bc57c6ad</t>
  </si>
  <si>
    <t>1.1.3.1.1.3.1.1.1</t>
  </si>
  <si>
    <t>334080555.54622</t>
  </si>
  <si>
    <t>27245705.54622</t>
  </si>
  <si>
    <t>1.1.3.1.1.3.1.1.2</t>
  </si>
  <si>
    <t>334080555.54634</t>
  </si>
  <si>
    <t>27245705.54634</t>
  </si>
  <si>
    <t>1.1.3.1.1.3.1.2</t>
  </si>
  <si>
    <t>1, 2, 3 этажи. Шпаклевка базовая до 5 мм. Тип: CF1=2861,1 м2; CF13=240,8 м2</t>
  </si>
  <si>
    <t>1.1.3.1.1.3.1.2.1</t>
  </si>
  <si>
    <t>334080752.54634</t>
  </si>
  <si>
    <t>27245792.54634</t>
  </si>
  <si>
    <t>1.1.3.1.1.3.1.2.2</t>
  </si>
  <si>
    <t>334080752.54622</t>
  </si>
  <si>
    <t>27245792.54622</t>
  </si>
  <si>
    <t>1.1.3.1.1.3.1.3</t>
  </si>
  <si>
    <t xml:space="preserve">АРОР "Черновые отделочные работы" от 19.02.2026. ЛК. Выравнивание гипсовыми штукатурными смесями т.5 мм низа площадок и лестничных маршей. 1-3 Этажи
</t>
  </si>
  <si>
    <t>1.1.3.1.1.3.1.3.1</t>
  </si>
  <si>
    <t>Штукатурка фасадная_ / ОСНОВИТ СТАРТВЭЛЛ PC21 M</t>
  </si>
  <si>
    <t>Штукатурка гипсовая, Унифицированная по ПИК-СТАНДАРТ</t>
  </si>
  <si>
    <t>334080753.40145</t>
  </si>
  <si>
    <t>29299410.40145</t>
  </si>
  <si>
    <t>d75f599a-5749-4935-89f7-ea09f4855943</t>
  </si>
  <si>
    <t>1.1.3.1.1.3.1.3.2</t>
  </si>
  <si>
    <t>334080753.54633</t>
  </si>
  <si>
    <t>29299410.54633</t>
  </si>
  <si>
    <t>1.1.3.1.1.3.1.4</t>
  </si>
  <si>
    <t>АРОР "Черновые отделочные работы" от 19.02.2026. ЛК. Выравнивание цементными штукатурными смесями т.5 мм низа площадок и лестничных маршей. Подвал</t>
  </si>
  <si>
    <t>1.1.3.1.1.3.1.4.1</t>
  </si>
  <si>
    <t>334080754.54633</t>
  </si>
  <si>
    <t>29299411.54633</t>
  </si>
  <si>
    <t>1.1.3.1.1.3.1.4.2</t>
  </si>
  <si>
    <t>Штукатурка цементная, сухая, ТАНИЛИТ_/РС15</t>
  </si>
  <si>
    <t>334080754.54614</t>
  </si>
  <si>
    <t>29299411.54614</t>
  </si>
  <si>
    <t>b0309c4c-1ac0-4232-8989-3fb3001fa915</t>
  </si>
  <si>
    <t>1.1.3.1.1.3.1.5</t>
  </si>
  <si>
    <t>АРОР "Черновые отделочные работы" от 19.02.2026. 1-й, 2-й, 3-й этажи. Выравнивание гипсовыми штукатурными смесями 5 мм в составе потолков  CF1., CF13.</t>
  </si>
  <si>
    <t>1.1.3.1.1.3.1.5.1</t>
  </si>
  <si>
    <t>334080755.40145</t>
  </si>
  <si>
    <t>29299408.40145</t>
  </si>
  <si>
    <t>1.1.3.1.1.3.1.5.2</t>
  </si>
  <si>
    <t>334080755.54633</t>
  </si>
  <si>
    <t>29299408.54633</t>
  </si>
  <si>
    <t>1.1.3.1.1.3.1.6</t>
  </si>
  <si>
    <t>АРОР "Черновые отделочные работы" от 19.02.2026. Подвал. Выравнивание цементными штукатурными смесями 5мм в составе потолков CF1.1.</t>
  </si>
  <si>
    <t>1.1.3.1.1.3.1.6.1</t>
  </si>
  <si>
    <t>334080756.54633</t>
  </si>
  <si>
    <t>29299412.54633</t>
  </si>
  <si>
    <t>1.1.3.1.1.3.1.6.2</t>
  </si>
  <si>
    <t>334080756.54614</t>
  </si>
  <si>
    <t>29299412.54614</t>
  </si>
  <si>
    <t>1.1.3.1.1.3.1.7</t>
  </si>
  <si>
    <t>6.3.1.5.3.1.6.4</t>
  </si>
  <si>
    <t>Подготовка поверхности СКБ / стен / ГКЛ, ПГП / 2мм</t>
  </si>
  <si>
    <t>fa1c67dc-3027-4791-83d8-da340ce63151</t>
  </si>
  <si>
    <t>9715c536-701e-4362-beb4-5db4688b691c</t>
  </si>
  <si>
    <t>1.1.3.1.1.3.1.7.1</t>
  </si>
  <si>
    <t>334080556.54622</t>
  </si>
  <si>
    <t>27245657.54622</t>
  </si>
  <si>
    <t>1.1.3.1.1.3.1.7.2</t>
  </si>
  <si>
    <t>334080556.54634</t>
  </si>
  <si>
    <t>27245657.54634</t>
  </si>
  <si>
    <t>1.1.3.1.1.3.1.8</t>
  </si>
  <si>
    <t>1, 2, 3 этажи. Шпаклевка базовая до 5 мм. Тип: CF2</t>
  </si>
  <si>
    <t>1.1.3.1.1.3.1.8.1</t>
  </si>
  <si>
    <t>334080757.54634</t>
  </si>
  <si>
    <t>27245793.54634</t>
  </si>
  <si>
    <t>1.1.3.1.1.3.1.8.2</t>
  </si>
  <si>
    <t>334080757.54622</t>
  </si>
  <si>
    <t>27245793.54622</t>
  </si>
  <si>
    <t>1.1.3.1.1.3.1.9</t>
  </si>
  <si>
    <t>6.3.1.5.3.1.6.6</t>
  </si>
  <si>
    <t>Подготовка поверхности СКБ / потолка / по штукатурке / 2мм</t>
  </si>
  <si>
    <t>АРОР "Черновые отделочные работы" от 19.02.2026. Потолки Подвал: шпаклевка цементными смесями. Базовый слой 2 мм. В составе CF1.1.</t>
  </si>
  <si>
    <t>42d08cea-07ba-4dbe-a8b0-b5e7c8673109</t>
  </si>
  <si>
    <t>7a2a024b-7aa6-4bee-9d60-f94b39f3d674</t>
  </si>
  <si>
    <t>1.1.3.1.1.3.1.9.1</t>
  </si>
  <si>
    <t>Шпатлевка гипсовая_ / белая / Унифицированная по ПИК-СТАНДАРТ, 30кг (BIM)</t>
  </si>
  <si>
    <t>Шпаклевка цементная белая ОСНОВИТ БАЗСИЛК PC30 MW</t>
  </si>
  <si>
    <t>334080557.1570750</t>
  </si>
  <si>
    <t>29299416.1570750</t>
  </si>
  <si>
    <t>3254b4be-ac53-4a29-ad23-972be75bc24b</t>
  </si>
  <si>
    <t>1.1.3.1.1.3.1.9.2</t>
  </si>
  <si>
    <t>334080557.1139608</t>
  </si>
  <si>
    <t>29299416.1139608</t>
  </si>
  <si>
    <t>1.1.3.1.1.3.1.10</t>
  </si>
  <si>
    <t>АРОР "Черновые отделочные работы" от 19.02.2026. Потолки Подвал: шпаклевка цементными смесями. Финишный слой 2 мм. В составе CF1.1.</t>
  </si>
  <si>
    <t>1.1.3.1.1.3.1.10.1</t>
  </si>
  <si>
    <t>334080758.1139608</t>
  </si>
  <si>
    <t>29299417.1139608</t>
  </si>
  <si>
    <t>1.1.3.1.1.3.1.10.2</t>
  </si>
  <si>
    <t>Шпаклевка цементная финишная белая ОСНОВИТ БЕЛСИЛК PC32 W</t>
  </si>
  <si>
    <t>334080758.1570750</t>
  </si>
  <si>
    <t>29299417.1570750</t>
  </si>
  <si>
    <t>1.1.3.1.1.3.1.11</t>
  </si>
  <si>
    <t>АРОР "Черновые отделочные работы" от 19.02.2026. Подвал: шпаклевка цементными смесями низа площадок и лестничных маршей. Базовый слой 2 мм. В составе CF1.1.</t>
  </si>
  <si>
    <t>1.1.3.1.1.3.1.11.1</t>
  </si>
  <si>
    <t>334080759.1570750</t>
  </si>
  <si>
    <t>29299413.1570750</t>
  </si>
  <si>
    <t>1.1.3.1.1.3.1.11.2</t>
  </si>
  <si>
    <t>334080759.1139608</t>
  </si>
  <si>
    <t>29299413.1139608</t>
  </si>
  <si>
    <t>1.1.3.1.1.3.1.12</t>
  </si>
  <si>
    <t>АРОР "Черновые отделочные работы" от 19.02.2026. Этажи: шпаклевка гипсовыми смесями низа площадок и лестничных маршей. Базовый слой 2 мм. В составе CF1.1.</t>
  </si>
  <si>
    <t>1.1.3.1.1.3.1.12.1</t>
  </si>
  <si>
    <t>334080760.1139608</t>
  </si>
  <si>
    <t>29299418.1139608</t>
  </si>
  <si>
    <t>1.1.3.1.1.3.1.12.2</t>
  </si>
  <si>
    <t>334080760.1570750</t>
  </si>
  <si>
    <t>29299418.1570750</t>
  </si>
  <si>
    <t>1.1.3.1.1.3.1.13</t>
  </si>
  <si>
    <t>АРОР "Черновые отделочные работы" от 19.02.2026. Этажи: шпаклевка гипсовыми смесями низа площадок и лестничных маршей. Финишный слой 2 мм. В составе CF1.1.</t>
  </si>
  <si>
    <t>1.1.3.1.1.3.1.13.1</t>
  </si>
  <si>
    <t>Шпатлевка финишная Гипсовая СТАРАТЕЛИ</t>
  </si>
  <si>
    <t>334080761.1570750</t>
  </si>
  <si>
    <t>29299419.1570750</t>
  </si>
  <si>
    <t>1.1.3.1.1.3.1.13.2</t>
  </si>
  <si>
    <t>334080761.1139608</t>
  </si>
  <si>
    <t>29299419.1139608</t>
  </si>
  <si>
    <t>1.1.3.1.1.3.1.14</t>
  </si>
  <si>
    <t>АРОР "Черновые отделочные работы" от 19.02.2026. Потолки 1-й, 2-й и 3-й этаж: шпаклевка гипсовыми смесями. Базовый слой 2 мм.</t>
  </si>
  <si>
    <t>1.1.3.1.1.3.1.14.1</t>
  </si>
  <si>
    <t>334080762.1139608</t>
  </si>
  <si>
    <t>29299414.1139608</t>
  </si>
  <si>
    <t>1.1.3.1.1.3.1.14.2</t>
  </si>
  <si>
    <t>334080762.1570750</t>
  </si>
  <si>
    <t>29299414.1570750</t>
  </si>
  <si>
    <t>1.1.3.1.1.3.1.15</t>
  </si>
  <si>
    <t>АРОР "Черновые отделочные работы" от 19.02.2026. Потолки 1-й, 2-й и 3-й этаж: шпаклевка гипсовыми смесями. Финишный слой 2 мм.</t>
  </si>
  <si>
    <t>1.1.3.1.1.3.1.15.1</t>
  </si>
  <si>
    <t>334080763.1570750</t>
  </si>
  <si>
    <t>29299415.1570750</t>
  </si>
  <si>
    <t>1.1.3.1.1.3.1.15.2</t>
  </si>
  <si>
    <t>334080763.1139608</t>
  </si>
  <si>
    <t>29299415.1139608</t>
  </si>
  <si>
    <t>1.1.3.1.1.3.2</t>
  </si>
  <si>
    <t>6.3.1.5.3.2</t>
  </si>
  <si>
    <t>Чистовые работы по поверхности потолков</t>
  </si>
  <si>
    <t>1.1.3.1.1.3.2.1</t>
  </si>
  <si>
    <t>6.3.1.5.3.2.3.2</t>
  </si>
  <si>
    <t>Лакокрасочные работы СКБ / окраска потолков / в 2 слоя</t>
  </si>
  <si>
    <t>55dcd11a-c570-4894-be4e-3c3874402761</t>
  </si>
  <si>
    <t>3997b616-bcf5-4c13-ae76-75afa96c846f</t>
  </si>
  <si>
    <t>1.1.3.1.1.3.2.1.1</t>
  </si>
  <si>
    <t>Gutver Prometeks RAL 9016 - Матовая краска для стен или аналог.  Класс пожарной опасности: КМ0</t>
  </si>
  <si>
    <t>334080560.758318</t>
  </si>
  <si>
    <t>27245613.758318</t>
  </si>
  <si>
    <t>1.1.3.1.1.3.2.1.2</t>
  </si>
  <si>
    <t>334080560.54634</t>
  </si>
  <si>
    <t>27245613.54634</t>
  </si>
  <si>
    <t>1.1.3.1.1.3.2.2</t>
  </si>
  <si>
    <t>1.1.3.1.1.3.2.2.1</t>
  </si>
  <si>
    <t>334080764.54634</t>
  </si>
  <si>
    <t>27245614.54634</t>
  </si>
  <si>
    <t>1.1.3.1.1.3.2.2.2</t>
  </si>
  <si>
    <t>334080764.758318</t>
  </si>
  <si>
    <t>27245614.758318</t>
  </si>
  <si>
    <t>1.1.3.1.1.3.2.3</t>
  </si>
  <si>
    <t>1.1.3.1.1.3.2.3.1</t>
  </si>
  <si>
    <t>334080765.758318</t>
  </si>
  <si>
    <t>27245615.758318</t>
  </si>
  <si>
    <t>1.1.3.1.1.3.2.3.2</t>
  </si>
  <si>
    <t>334080765.54634</t>
  </si>
  <si>
    <t>27245615.54634</t>
  </si>
  <si>
    <t>1.1.3.1.1.3.2.4</t>
  </si>
  <si>
    <t>1.1.3.1.1.3.2.4.1</t>
  </si>
  <si>
    <t>334080766.54634</t>
  </si>
  <si>
    <t>27245616.54634</t>
  </si>
  <si>
    <t>1.1.3.1.1.3.2.4.2</t>
  </si>
  <si>
    <t>334080766.758318</t>
  </si>
  <si>
    <t>27245616.758318</t>
  </si>
  <si>
    <t>1.1.3.1.1.3.2.5</t>
  </si>
  <si>
    <t>1, 2, 3 этажи. Тип: CF1. Покраска жб плиты перекрытия, включая инженерное оборудование, расположенное в зоне открытого потолка: подготовка бетонного основания, штукатурка, шпаклевка (при необходимости).</t>
  </si>
  <si>
    <t>1.1.3.1.1.3.2.5.1</t>
  </si>
  <si>
    <t>334080767.758318</t>
  </si>
  <si>
    <t>27245729.758318</t>
  </si>
  <si>
    <t>1.1.3.1.1.3.2.5.2</t>
  </si>
  <si>
    <t>334080767.54634</t>
  </si>
  <si>
    <t>27245729.54634</t>
  </si>
  <si>
    <t>1.1.3.1.1.3.2.6</t>
  </si>
  <si>
    <t>1, 2, 3 этажи. Тип: CF2 Покраска Gutver Prometeks RAL 9016 КМ0</t>
  </si>
  <si>
    <t>1.1.3.1.1.3.2.6.1</t>
  </si>
  <si>
    <t>334080768.54634</t>
  </si>
  <si>
    <t>27245736.54634</t>
  </si>
  <si>
    <t>1.1.3.1.1.3.2.6.2</t>
  </si>
  <si>
    <t>334080768.758318</t>
  </si>
  <si>
    <t>27245736.758318</t>
  </si>
  <si>
    <t>1.1.3.1.1.3.2.7</t>
  </si>
  <si>
    <t>1.1.3.1.1.3.2.7.1</t>
  </si>
  <si>
    <t>334080769.758318</t>
  </si>
  <si>
    <t>27245617.758318</t>
  </si>
  <si>
    <t>1.1.3.1.1.3.2.7.2</t>
  </si>
  <si>
    <t>334080769.54634</t>
  </si>
  <si>
    <t>27245617.54634</t>
  </si>
  <si>
    <t>1.1.3.1.1.3.2.8</t>
  </si>
  <si>
    <t>1, 2, 3 этажи. Тип: CF13. Покраска жб плиты перекрытия, включая инженерное оборудование, расположенное в зоне открытого потолка: подготовка бетонного основания, штукатурка, шпаклевка (при необходимости).</t>
  </si>
  <si>
    <t>1.1.3.1.1.3.2.8.1</t>
  </si>
  <si>
    <t>334080770.54634</t>
  </si>
  <si>
    <t>27245731.54634</t>
  </si>
  <si>
    <t>1.1.3.1.1.3.2.8.2</t>
  </si>
  <si>
    <t xml:space="preserve"> Gutver Prometeks RAL Design 180 40 15 - Матовая краска для стен или аналог.</t>
  </si>
  <si>
    <t>334080770.758318</t>
  </si>
  <si>
    <t>27245731.758318</t>
  </si>
  <si>
    <t>1.1.3.1.1.3.2.9</t>
  </si>
  <si>
    <t>1, 2, 3 этажи. Тип: CF15.2. Покраска жб плиты перекрытия, включая инженерное оборудование, расположенное в зоне открытого потолка: подготовка бетонного основания, штукатурка, шпаклевка (при необходимости).</t>
  </si>
  <si>
    <t>1.1.3.1.1.3.2.9.1</t>
  </si>
  <si>
    <t>Gutver Prometeks RAL 5024 - Матовая краска для стен или аналог.  Класс пожарной опасности: КМ0</t>
  </si>
  <si>
    <t>334080771.758318</t>
  </si>
  <si>
    <t>27245732.758318</t>
  </si>
  <si>
    <t>1.1.3.1.1.3.2.9.2</t>
  </si>
  <si>
    <t>334080771.54634</t>
  </si>
  <si>
    <t>27245732.54634</t>
  </si>
  <si>
    <t>1.1.3.1.1.3.2.10</t>
  </si>
  <si>
    <t>АРОР "ЧИСТОВЫЕ отделочные работы" от 19.02.2026. CF1, CF2, CF14. Покраска Gutver Prometeks RAL 9016 - Матовая краска. Класс пожарной опасности: КМ0</t>
  </si>
  <si>
    <t>1.1.3.1.1.3.2.10.1</t>
  </si>
  <si>
    <t>334080772.54634</t>
  </si>
  <si>
    <t>29436604.54634</t>
  </si>
  <si>
    <t>1.1.3.1.1.3.2.10.2</t>
  </si>
  <si>
    <t>Краска водно-дисперсионная /  КМ0 / "ПАЛИТРА РУСИ" ТУ 2310-049-51309101-2014, RAL 9016</t>
  </si>
  <si>
    <t>334080772.1506604</t>
  </si>
  <si>
    <t>29436604.1506604</t>
  </si>
  <si>
    <t>02d38f11-bb01-4c87-a584-b1119008633f</t>
  </si>
  <si>
    <t>1.1.3.1.1.3.2.11</t>
  </si>
  <si>
    <t>АРОР "ЧИСТОВЫЕ отделочные работы" от 19.02.2026. CF13. Покраска жб плиты перекрытия, включая инженерное оборудование, расположенное в зоне открытого потолка. Краска Gutver Prometeks RAL6005 (зеленый мох) - Матовая краска. Класс пожарной опасности: КМ0</t>
  </si>
  <si>
    <t>1.1.3.1.1.3.2.11.1</t>
  </si>
  <si>
    <t>334080773.1506604</t>
  </si>
  <si>
    <t>29436605.1506604</t>
  </si>
  <si>
    <t>1.1.3.1.1.3.2.11.2</t>
  </si>
  <si>
    <t>334080773.54634</t>
  </si>
  <si>
    <t>29436605.54634</t>
  </si>
  <si>
    <t>1.1.3.1.1.4</t>
  </si>
  <si>
    <t>6.3.1.5.4</t>
  </si>
  <si>
    <t>Монтаж потолочных конструкций</t>
  </si>
  <si>
    <t>1.1.3.1.1.4.1</t>
  </si>
  <si>
    <t>6.3.1.5.4.1.1</t>
  </si>
  <si>
    <t>Монтаж подвесного потолка / из Аквапанелей</t>
  </si>
  <si>
    <t>31f0cce8-2c10-4d50-97c2-6b4add5a1db9</t>
  </si>
  <si>
    <t>6f7b5bd4-421f-4077-8516-796d4fef9b1c</t>
  </si>
  <si>
    <t>1.1.3.1.1.4.1.1</t>
  </si>
  <si>
    <t>Прочие материалы_</t>
  </si>
  <si>
    <t>334080563.714896</t>
  </si>
  <si>
    <t>27245636.714896</t>
  </si>
  <si>
    <t>fdf8c0a8-2572-4068-9aa9-e798fd9f8bff</t>
  </si>
  <si>
    <t>1.1.3.1.1.4.1.2</t>
  </si>
  <si>
    <t>Плита Аквапанель_</t>
  </si>
  <si>
    <t>334080563.703444</t>
  </si>
  <si>
    <t>27245636.703444</t>
  </si>
  <si>
    <t>2c475c37-a5f6-40fd-88b8-63c49f8c7850</t>
  </si>
  <si>
    <t>1.1.3.1.1.4.1.3</t>
  </si>
  <si>
    <t>Каркас_</t>
  </si>
  <si>
    <t>334080563.714897</t>
  </si>
  <si>
    <t>27245636.714897</t>
  </si>
  <si>
    <t>d67a84c8-d326-4113-825a-f75ffa1be1b7</t>
  </si>
  <si>
    <t>1.1.3.1.1.4.2</t>
  </si>
  <si>
    <t>1, 2, 3 этажи. Тип: CF9 Влагостойкие панели Rockfon, арт. Lilia, кромка А15. Подвесная система Chicago Metallic Т15 Click 2790, основной профиль Т15 Click L=3600мм, поперечный профиль Т15 Click L=600мм, угол пристеночный 19х24 L=3050мм, размер плиты 600х600мм, цвет белый, класс ПБ КМ1</t>
  </si>
  <si>
    <t>1.1.3.1.1.4.2.1</t>
  </si>
  <si>
    <t>334080774.714897</t>
  </si>
  <si>
    <t>27245742.714897</t>
  </si>
  <si>
    <t>1.1.3.1.1.4.2.2</t>
  </si>
  <si>
    <t>334080774.703444</t>
  </si>
  <si>
    <t>27245742.703444</t>
  </si>
  <si>
    <t>1.1.3.1.1.4.3</t>
  </si>
  <si>
    <t>АРОР "ЧИСТОВЫЕ отделочные работы" от 19.02.2026. CF9. Влагостойкие панели Ecofon Focus A, кромка А15. Подвесная система Alaid (от Ecophon), размер плиты 600х600мм, цвет белый, класс ПБ КМ1</t>
  </si>
  <si>
    <t>1.1.3.1.1.4.3.1</t>
  </si>
  <si>
    <t>334080775.714896</t>
  </si>
  <si>
    <t>29438309.714896</t>
  </si>
  <si>
    <t>1.1.3.1.1.4.3.2</t>
  </si>
  <si>
    <t>334080775.703444</t>
  </si>
  <si>
    <t>29438309.703444</t>
  </si>
  <si>
    <t>1.1.3.1.1.4.3.3</t>
  </si>
  <si>
    <t>334080775.714897</t>
  </si>
  <si>
    <t>29438309.714897</t>
  </si>
  <si>
    <t>1.1.3.1.1.4.4</t>
  </si>
  <si>
    <t>6.3.1.5.4.1.2</t>
  </si>
  <si>
    <t>Монтаж подвесного потолка / типа Армстронг, Грильято</t>
  </si>
  <si>
    <t>2666ca34-b663-41c7-b8b7-caa2f71855b8</t>
  </si>
  <si>
    <t>fd6369e7-760a-4bf3-8c56-a6af236cf5cf</t>
  </si>
  <si>
    <t>1.1.3.1.1.4.4.1</t>
  </si>
  <si>
    <t>Реечный потолок_ / Металлический</t>
  </si>
  <si>
    <t>334080564.715461</t>
  </si>
  <si>
    <t>27245723.715461</t>
  </si>
  <si>
    <t>10b4c8b2-e44c-4d73-8a2f-cd56f0c6cf37</t>
  </si>
  <si>
    <t>1.1.3.1.1.4.5</t>
  </si>
  <si>
    <t>1.1.3.1.1.4.5.1</t>
  </si>
  <si>
    <t>334080776.715461</t>
  </si>
  <si>
    <t>27245724.715461</t>
  </si>
  <si>
    <t>1.1.3.1.1.4.6</t>
  </si>
  <si>
    <t>1.1.3.1.1.4.6.1</t>
  </si>
  <si>
    <t>334080777.715461</t>
  </si>
  <si>
    <t>27245725.715461</t>
  </si>
  <si>
    <t>1.1.3.1.1.4.7</t>
  </si>
  <si>
    <t>1, 2, 3 этажи. Тип: CF5. Кубообразный Потолки АЛБЕС 30х85х3000мм, между рейками 70 оцинкованная сталь 0,45 RAL 1018 матовый</t>
  </si>
  <si>
    <t>1.1.3.1.1.4.7.1</t>
  </si>
  <si>
    <t>334080778.715461</t>
  </si>
  <si>
    <t>27245740.715461</t>
  </si>
  <si>
    <t>1.1.3.1.1.4.8</t>
  </si>
  <si>
    <t>1, 2, 3 этажи. Тип: CF6. Кубообразный Потолки АЛБЕС 30х85х3000мм, между рейками 70 оцинкованная сталь 0,45 RAL 9016 матовый</t>
  </si>
  <si>
    <t>1.1.3.1.1.4.8.1</t>
  </si>
  <si>
    <t>Цена 3000 руб/м2</t>
  </si>
  <si>
    <t>334080779.715461</t>
  </si>
  <si>
    <t>27245741.715461</t>
  </si>
  <si>
    <t>1.1.3.1.1.4.9</t>
  </si>
  <si>
    <t>1, 2, 3 этажи. Тип: CF16. Кубообразный Потолки АЛБЕС 30х85х3000мм, между рейками 70 оцинкованная сталь 0,45, текстура дерева W203-1013</t>
  </si>
  <si>
    <t>1.1.3.1.1.4.9.1</t>
  </si>
  <si>
    <t>334080780.715461</t>
  </si>
  <si>
    <t>27245733.715461</t>
  </si>
  <si>
    <t>1.1.3.1.1.4.10</t>
  </si>
  <si>
    <t>АРОР "ЧИСТОВЫЕ отделочные работы" от 19.02.2026. CF6. Кубообразный Потолки АЛБЕС 30х85х3000мм, между рейками 70 оцинкованная сталь 0,45 RAL 9016 матовый</t>
  </si>
  <si>
    <t>1.1.3.1.1.4.10.1</t>
  </si>
  <si>
    <t>334080793.715461</t>
  </si>
  <si>
    <t>29438308.715461</t>
  </si>
  <si>
    <t>1.1.3.1.1.4.11</t>
  </si>
  <si>
    <t>АРОР "ЧИСТОВЫЕ отделочные работы" от 19.02.2026. CF16. Кубообразный Потолки АЛБЕС 30х85х3000мм, между рейками 70 оцинкованная сталь 0,45, текстура дерева W203-1013 или RAL1011.</t>
  </si>
  <si>
    <t>1.1.3.1.1.4.11.1</t>
  </si>
  <si>
    <t>334080795.715461</t>
  </si>
  <si>
    <t>29442620.715461</t>
  </si>
  <si>
    <t>1.1.3.1.1.4.12</t>
  </si>
  <si>
    <t>АРОР "ЧИСТОВЫЕ отделочные работы" от 19.02.2026. CF5. Кубообразный Потолки АЛБЕС 30х85х3000мм, между рейками 70 оцинкованная сталь 0,45 RAL1012 матовый.</t>
  </si>
  <si>
    <t>1.1.3.1.1.4.12.1</t>
  </si>
  <si>
    <t>334080799.715461</t>
  </si>
  <si>
    <t>29452406.715461</t>
  </si>
  <si>
    <t>1.1.3.1.1.4.13</t>
  </si>
  <si>
    <t>6.3.1.5.4.1.5</t>
  </si>
  <si>
    <t>Монтаж подвесного потолка / из ГКЛ в 1 слой с применением профиля ПП двухуровневый</t>
  </si>
  <si>
    <t>АРОР "ЧИСТОВЫЕ отделочные работы" от 19.02.2026. CF2. Подвесной потолок из КНАУФ-листов тип П112 Knauff. Однослойная обшивка из файерборда 12,5мм, на двухуровневом усиленном металлическом каркасе из Knauf профилей. CF2.1. Однослойная облицовка низа балок из файерборда 12,5мм на клее КНАУФ-Перлфикс 5 мм.</t>
  </si>
  <si>
    <t>9db9b53b-019b-417e-9a7e-63765aecdc39</t>
  </si>
  <si>
    <t>e46d5038-35de-4ac8-ac10-5170e0258bf1</t>
  </si>
  <si>
    <t>1.1.3.1.1.4.13.1</t>
  </si>
  <si>
    <t>Шуруп со сверлом_/3,5*11</t>
  </si>
  <si>
    <t>334080565.54821</t>
  </si>
  <si>
    <t>29444726.54821</t>
  </si>
  <si>
    <t>438f03b8-0245-4746-af3b-94d943760b3b</t>
  </si>
  <si>
    <t>1.1.3.1.1.4.13.2</t>
  </si>
  <si>
    <t>Шуруп_/3,5*25</t>
  </si>
  <si>
    <t>334080565.54822</t>
  </si>
  <si>
    <t>29444726.54822</t>
  </si>
  <si>
    <t>9afa7adc-2604-4bf8-8123-329424645872</t>
  </si>
  <si>
    <t>1.1.3.1.1.4.13.3</t>
  </si>
  <si>
    <t>Удлинитель профилей_/потолочный/60*27</t>
  </si>
  <si>
    <t>334080565.54575</t>
  </si>
  <si>
    <t>29444726.54575</t>
  </si>
  <si>
    <t>46cc4ab9-5306-44b0-b02d-73ca24dc456b</t>
  </si>
  <si>
    <t>1.1.3.1.1.4.13.4</t>
  </si>
  <si>
    <t>Соединитель профилей двухуровневый_/потолочный/60*27</t>
  </si>
  <si>
    <t>334080565.54577</t>
  </si>
  <si>
    <t>29444726.54577</t>
  </si>
  <si>
    <t>12c5fa58-4f5a-473a-a165-94792bddadd9</t>
  </si>
  <si>
    <t>1.1.3.1.1.4.13.5</t>
  </si>
  <si>
    <t>Профиль_ / направляющий / 28*27*0,60 / 3м</t>
  </si>
  <si>
    <t>334080565.715059</t>
  </si>
  <si>
    <t>29444726.715059</t>
  </si>
  <si>
    <t>68ae2b31-e7b2-413a-a889-26dd4578f9d8</t>
  </si>
  <si>
    <t>1.1.3.1.1.4.13.6</t>
  </si>
  <si>
    <t>Профиль_/потолочный/60*27*0,40/3м</t>
  </si>
  <si>
    <t>334080565.54568</t>
  </si>
  <si>
    <t>29444726.54568</t>
  </si>
  <si>
    <t>de448100-a03f-42fb-b903-fa1d0845e34a</t>
  </si>
  <si>
    <t>1.1.3.1.1.4.13.7</t>
  </si>
  <si>
    <t>334080565.1523192</t>
  </si>
  <si>
    <t>29444726.1523192</t>
  </si>
  <si>
    <t>1.1.3.1.1.4.13.8</t>
  </si>
  <si>
    <t>Лента Дихтунгсбанд_/50мм</t>
  </si>
  <si>
    <t>334080565.55042</t>
  </si>
  <si>
    <t>29444726.55042</t>
  </si>
  <si>
    <t>db776908-a7ed-4efe-a1e0-14c0d3badf1f</t>
  </si>
  <si>
    <t>1.1.3.1.1.4.13.9</t>
  </si>
  <si>
    <t>Анкер-клин_/6*40</t>
  </si>
  <si>
    <t>334080565.54828</t>
  </si>
  <si>
    <t>29444726.54828</t>
  </si>
  <si>
    <t>d1d11d59-b5f9-4bc0-894f-4c016002bf47</t>
  </si>
  <si>
    <t>1.1.3.1.1.4.13.10</t>
  </si>
  <si>
    <t>Подвес Нониус / верхняя часть / 1200 мм</t>
  </si>
  <si>
    <t>334080565.57051</t>
  </si>
  <si>
    <t>29444726.57051</t>
  </si>
  <si>
    <t>6b53e826-ec6e-4ac0-8660-d3fd55edb3d0</t>
  </si>
  <si>
    <t>1.1.3.1.1.4.13.11</t>
  </si>
  <si>
    <t>Подвес Нониус / нижняя часть / 125 мм</t>
  </si>
  <si>
    <t>334080565.57052</t>
  </si>
  <si>
    <t>29444726.57052</t>
  </si>
  <si>
    <t>97ff59cc-a9a3-4ac3-86e0-18104156e8a2</t>
  </si>
  <si>
    <t>1.1.3.1.1.4.14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</si>
  <si>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</si>
  <si>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</si>
  <si>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</si>
  <si>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</si>
  <si>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1.1.3.1.1.4.15</t>
  </si>
  <si>
    <t>1.1.3.1.1.4.16</t>
  </si>
  <si>
    <t>АРОР "ЧИСТОВЫЕ отделочные работы" от 19.02.2026.</t>
  </si>
  <si>
    <t>1.1.3.1.1.4.17</t>
  </si>
  <si>
    <t>6.3.1.5.4.4.1</t>
  </si>
  <si>
    <t>Монтаж подвесного потолка СКБ / из акустических древесных плит</t>
  </si>
  <si>
    <t>c705c4a9-d32a-459e-a39e-ceba03e1c601</t>
  </si>
  <si>
    <t>4b59e369-024b-4661-bd71-e22473890c37</t>
  </si>
  <si>
    <t>1.1.3.1.1.4.17.1</t>
  </si>
  <si>
    <t>Плита древесноволокнистая ДВП s=25мм SoundBoard SuperFine</t>
  </si>
  <si>
    <t>334080569.1747145</t>
  </si>
  <si>
    <t>27245626.1747145</t>
  </si>
  <si>
    <t>f39a5928-311f-11ee-9904-d1661ac0bb93</t>
  </si>
  <si>
    <t>1.1.3.1.1.4.18</t>
  </si>
  <si>
    <t>1, 2, 3 этажи. Тип: CF18. Подвесной потолок из СМЛ-лист Лемарк с покрытием HPL FR Дуб рона LM 0657sh. КМ1. Размеры панелей 3050х1300, или аналог.</t>
  </si>
  <si>
    <t>1.1.3.1.1.4.18.1</t>
  </si>
  <si>
    <t>334080782.1747145</t>
  </si>
  <si>
    <t>27245735.1747145</t>
  </si>
  <si>
    <t>1.1.3.1.1.4.19</t>
  </si>
  <si>
    <t>АРОР "ЧИСТОВЫЕ отделочные работы" от 19.02.2026. CF20. Саундлюкс-Техно Соло БелТ 3/8 1200х600х50мм, RAL 9003</t>
  </si>
  <si>
    <t>1.1.3.1.1.4.19.1</t>
  </si>
  <si>
    <t>334080794.1747145</t>
  </si>
  <si>
    <t>29442621.1747145</t>
  </si>
  <si>
    <t>1.1.3.1.1.4.20</t>
  </si>
  <si>
    <t>АРОР "ЧИСТОВЫЕ отделочные работы" от 19.02.2026. CF7. Albes. Артикул: Кассетный потолок эконом с кромками "TEGULAR"; кассета АР 600А6/90-Т-15; несущий профиль Т 15-38 PRIM L=3700; поперечный профиль Е 15-29 PRIM L=600; уголок PLL L=3,0 м; подвес АП L=1,0 м</t>
  </si>
  <si>
    <t>1.1.3.1.1.4.20.1</t>
  </si>
  <si>
    <t>334080796.1747145</t>
  </si>
  <si>
    <t>29448381.1747145</t>
  </si>
  <si>
    <t>1.1.3.1.1.4.21</t>
  </si>
  <si>
    <t>6.3.1.5.4.4.2</t>
  </si>
  <si>
    <t>Монтаж подвесного потолка СКБ / из ГКЛ в 1 слой с применением профиля ПП</t>
  </si>
  <si>
    <t>2958f052-386d-4488-b826-0762b112545c</t>
  </si>
  <si>
    <t>3f978f2b-872c-42ab-be18-f6c72259b319</t>
  </si>
  <si>
    <t>1.1.3.1.1.4.21.1</t>
  </si>
  <si>
    <t>334080570.54821</t>
  </si>
  <si>
    <t>27245620.54821</t>
  </si>
  <si>
    <t>1.1.3.1.1.4.21.2</t>
  </si>
  <si>
    <t>334080570.54822</t>
  </si>
  <si>
    <t>27245620.54822</t>
  </si>
  <si>
    <t>1.1.3.1.1.4.21.3</t>
  </si>
  <si>
    <t>Шпаклевка д/заделки швов, ШОВСИЛК_/Т33</t>
  </si>
  <si>
    <t>334080570.54624</t>
  </si>
  <si>
    <t>27245620.54624</t>
  </si>
  <si>
    <t>7b96503e-5889-4b88-b7f6-580caaa662ae</t>
  </si>
  <si>
    <t>1.1.3.1.1.4.21.4</t>
  </si>
  <si>
    <t>334080570.54575</t>
  </si>
  <si>
    <t>27245620.54575</t>
  </si>
  <si>
    <t>1.1.3.1.1.4.21.5</t>
  </si>
  <si>
    <t>Соединитель профилей одноуровневый_/потолочный/60*27</t>
  </si>
  <si>
    <t>334080570.54576</t>
  </si>
  <si>
    <t>27245620.54576</t>
  </si>
  <si>
    <t>d396c343-40ec-430e-b651-cf8e8a10f274</t>
  </si>
  <si>
    <t>1.1.3.1.1.4.21.6</t>
  </si>
  <si>
    <t>Профиль_/направляющий/28*27*0,40/3м</t>
  </si>
  <si>
    <t>334080570.54569</t>
  </si>
  <si>
    <t>27245620.54569</t>
  </si>
  <si>
    <t>34b4edce-5006-4616-be2f-9d47724dc09a</t>
  </si>
  <si>
    <t>1.1.3.1.1.4.21.7</t>
  </si>
  <si>
    <t>334080570.54568</t>
  </si>
  <si>
    <t>27245620.54568</t>
  </si>
  <si>
    <t>1.1.3.1.1.4.21.8</t>
  </si>
  <si>
    <t>Подвес профиля прямой_/потолочный/60*27</t>
  </si>
  <si>
    <t>334080570.54573</t>
  </si>
  <si>
    <t>27245620.54573</t>
  </si>
  <si>
    <t>0eb7bcf2-ac18-4bde-8e36-3ccb4cd58803</t>
  </si>
  <si>
    <t>1.1.3.1.1.4.21.9</t>
  </si>
  <si>
    <t>334080570.1523192</t>
  </si>
  <si>
    <t>27245620.1523192</t>
  </si>
  <si>
    <t>1.1.3.1.1.4.21.10</t>
  </si>
  <si>
    <t>334080570.55042</t>
  </si>
  <si>
    <t>27245620.55042</t>
  </si>
  <si>
    <t>1.1.3.1.1.4.21.11</t>
  </si>
  <si>
    <t>Лента армирующая ( серпянка)_/50мм</t>
  </si>
  <si>
    <t>334080570.55038</t>
  </si>
  <si>
    <t>27245620.55038</t>
  </si>
  <si>
    <t>ef366d6b-1118-416c-acc5-430ee111e823</t>
  </si>
  <si>
    <t>1.1.3.1.1.4.21.12</t>
  </si>
  <si>
    <t>334080570.1139608</t>
  </si>
  <si>
    <t>27245620.1139608</t>
  </si>
  <si>
    <t>1.1.3.1.1.4.21.13</t>
  </si>
  <si>
    <t>334080570.54828</t>
  </si>
  <si>
    <t>27245620.54828</t>
  </si>
  <si>
    <t>1.1.3.1.1.4.22</t>
  </si>
  <si>
    <t>1, 2, 3 этажи. Тип: CF2. Подвесной потолок из КНАУФ-листов тип П112 Knauff. Однослойная обшивка из ГСП-DF или файерборда 12,5мм, на двухуровневом металлическом каркасе ПП 60х27 Knauff, усиленном с шагом профилей не более 400х400 мм, отступ от стен по периметру не более 100 мм, с шагом креплений/подвесов не более 600х600.</t>
  </si>
  <si>
    <t>1.1.3.1.1.4.22.1</t>
  </si>
  <si>
    <t>334080783.54828</t>
  </si>
  <si>
    <t>27245737.54828</t>
  </si>
  <si>
    <t>1.1.3.1.1.4.22.2</t>
  </si>
  <si>
    <t>334080783.1139608</t>
  </si>
  <si>
    <t>27245737.1139608</t>
  </si>
  <si>
    <t>1.1.3.1.1.4.22.3</t>
  </si>
  <si>
    <t>334080783.55038</t>
  </si>
  <si>
    <t>27245737.55038</t>
  </si>
  <si>
    <t>1.1.3.1.1.4.22.4</t>
  </si>
  <si>
    <t>334080783.55042</t>
  </si>
  <si>
    <t>27245737.55042</t>
  </si>
  <si>
    <t>1.1.3.1.1.4.22.5</t>
  </si>
  <si>
    <t>334080783.1523192</t>
  </si>
  <si>
    <t>27245737.1523192</t>
  </si>
  <si>
    <t>1.1.3.1.1.4.22.6</t>
  </si>
  <si>
    <t>334080783.54573</t>
  </si>
  <si>
    <t>27245737.54573</t>
  </si>
  <si>
    <t>1.1.3.1.1.4.22.7</t>
  </si>
  <si>
    <t>334080783.54569</t>
  </si>
  <si>
    <t>27245737.54569</t>
  </si>
  <si>
    <t>1.1.3.1.1.4.22.8</t>
  </si>
  <si>
    <t>334080783.54568</t>
  </si>
  <si>
    <t>27245737.54568</t>
  </si>
  <si>
    <t>1.1.3.1.1.4.22.9</t>
  </si>
  <si>
    <t>334080783.54576</t>
  </si>
  <si>
    <t>27245737.54576</t>
  </si>
  <si>
    <t>1.1.3.1.1.4.22.10</t>
  </si>
  <si>
    <t>334080783.54575</t>
  </si>
  <si>
    <t>27245737.54575</t>
  </si>
  <si>
    <t>1.1.3.1.1.4.22.11</t>
  </si>
  <si>
    <t>334080783.54624</t>
  </si>
  <si>
    <t>27245737.54624</t>
  </si>
  <si>
    <t>1.1.3.1.1.4.22.12</t>
  </si>
  <si>
    <t>334080783.54822</t>
  </si>
  <si>
    <t>27245737.54822</t>
  </si>
  <si>
    <t>1.1.3.1.1.4.22.13</t>
  </si>
  <si>
    <t>334080783.54821</t>
  </si>
  <si>
    <t>27245737.54821</t>
  </si>
  <si>
    <t>1.1.3.1.1.4.23</t>
  </si>
  <si>
    <t>6.3.1.5.4.4.4</t>
  </si>
  <si>
    <t>Монтаж подвесного потолка СКБ / типа Армстронг, Грильято</t>
  </si>
  <si>
    <t>86b87f1a-32b5-4855-8388-b5bf81a42325</t>
  </si>
  <si>
    <t>42e8bac0-98f1-4b1f-8603-9612c710de3f</t>
  </si>
  <si>
    <t>1.1.3.1.1.4.23.1</t>
  </si>
  <si>
    <t>Подвесной потолок ГРИЛЬЯТО_ / белый / 100х100х40мм</t>
  </si>
  <si>
    <t>334080571.1196508</t>
  </si>
  <si>
    <t>27245621.1196508</t>
  </si>
  <si>
    <t>7c413101-029a-4584-ace7-69ad01fdbaa7</t>
  </si>
  <si>
    <t>1.1.3.1.1.4.24</t>
  </si>
  <si>
    <t>1.1.3.1.1.4.24.1</t>
  </si>
  <si>
    <t>Подвесной потолок Армстронг / Белый</t>
  </si>
  <si>
    <t>334080784.1353009</t>
  </si>
  <si>
    <t>27245622.1353009</t>
  </si>
  <si>
    <t>137a189c-acd0-4b00-a19c-980286873b94</t>
  </si>
  <si>
    <t>1.1.3.1.1.4.25</t>
  </si>
  <si>
    <t>1.1.3.1.1.4.25.1</t>
  </si>
  <si>
    <t>334080785.1353009</t>
  </si>
  <si>
    <t>27245623.1353009</t>
  </si>
  <si>
    <t>1.1.3.1.1.4.26</t>
  </si>
  <si>
    <t>1.1.3.1.1.4.26.1</t>
  </si>
  <si>
    <t xml:space="preserve">Кассетный металический потолок  </t>
  </si>
  <si>
    <t>334080786.847703</t>
  </si>
  <si>
    <t>27245624.847703</t>
  </si>
  <si>
    <t>58e7c86f-477b-47b9-985f-0a528b32f78c</t>
  </si>
  <si>
    <t>1.1.3.1.1.4.27</t>
  </si>
  <si>
    <t>1, 2, 3 этажи. Тип: CF3. Потолки Грильято ячейки 100х100 АЛБЕС Белый</t>
  </si>
  <si>
    <t>1.1.3.1.1.4.27.1</t>
  </si>
  <si>
    <t>334080787.1196508</t>
  </si>
  <si>
    <t>27245738.1196508</t>
  </si>
  <si>
    <t>1.1.3.1.1.4.28</t>
  </si>
  <si>
    <t>1, 2, 3 этажи. Тип: CF4. Потолочная плита Рокфон Школа A15 1200х600х20, цвет RAL9016</t>
  </si>
  <si>
    <t>1.1.3.1.1.4.28.1</t>
  </si>
  <si>
    <t>334080788.1353009</t>
  </si>
  <si>
    <t>27245739.1353009</t>
  </si>
  <si>
    <t>1.1.3.1.1.4.29</t>
  </si>
  <si>
    <t>1, 2, 3 этажи. Тип: CF17 Подвесной металлический кассетный потолок Албес. Размер панели 600х600х20, цвет белый. Или аналог</t>
  </si>
  <si>
    <t>1.1.3.1.1.4.29.1</t>
  </si>
  <si>
    <t>334080789.1353009</t>
  </si>
  <si>
    <t>27245734.1353009</t>
  </si>
  <si>
    <t>1.1.3.1.1.4.30</t>
  </si>
  <si>
    <t>1, 2, 3 этажи. Тип: CF12. Металлический кассетный потолок с заполнением из металлических стержней в одном направлении, см. альбом индивидуального изготовления. Производитель Группа компаний АСП, или аналог, панели размер 1200х600, 630х600, размеры уточнить по месту</t>
  </si>
  <si>
    <t>1.1.3.1.1.4.30.1</t>
  </si>
  <si>
    <t>334080790.847703</t>
  </si>
  <si>
    <t>27245730.847703</t>
  </si>
  <si>
    <t>1.1.3.1.1.4.31</t>
  </si>
  <si>
    <t>АРОР "ЧИСТОВЫЕ отделочные работы" от 19.02.2026. CF3. Потолки грильято, GL-15, металлическая решетка 600х600 с ячейками 100х100. AL 0,3-0,4 мм, h профиля (база) 37 мм. подвесная система Т-15/29 PRIM Албес белый</t>
  </si>
  <si>
    <t>1.1.3.1.1.4.31.1</t>
  </si>
  <si>
    <t>334080791.1196508</t>
  </si>
  <si>
    <t>29442622.1196508</t>
  </si>
  <si>
    <t>1.1.3.1.1.4.32</t>
  </si>
  <si>
    <t>АРОР "ЧИСТОВЫЕ отделочные работы" от 19.02.2026. CF4. Потолочная плита Ecofon Focus A (Школа). 1200х600х20, цвет белый. Кромка ровная прямая (тип А). Подвесная система Alaid (от Ecophon), белая матовая.</t>
  </si>
  <si>
    <t>1.1.3.1.1.4.32.1</t>
  </si>
  <si>
    <t>Потолочная плита Ecofon Focus A 1200х600х20, белый, тип А. Подвесная система Alaid белая матовая.</t>
  </si>
  <si>
    <t>334080792.1353009</t>
  </si>
  <si>
    <t>29442623.1353009</t>
  </si>
  <si>
    <t>1.1.3.1.1.5</t>
  </si>
  <si>
    <t>6.3.1.5.5</t>
  </si>
  <si>
    <t>Дверные блоки</t>
  </si>
  <si>
    <t>1.1.3.1.1.5.1</t>
  </si>
  <si>
    <t>6.3.1.5.5.9.5</t>
  </si>
  <si>
    <t>Монтаж металлических дверей (в т.ч. монтаж доводчиков, доборов и пр.) / Спец. помещения</t>
  </si>
  <si>
    <t xml:space="preserve">АРОР "ЧИСТОВЫЕ отделочные работы" от 19.02.2026, поз.89. Люки технические "Хаммер" модель "Техно": 700х2100 мм - 10 шт. 
</t>
  </si>
  <si>
    <t>4c725119-3a75-4b27-ba73-02723be28b74</t>
  </si>
  <si>
    <t>f3186a64-2972-4005-b8d0-d1ab82a673d6</t>
  </si>
  <si>
    <t>1.1.3.1.1.5.1.1</t>
  </si>
  <si>
    <t>Дверь металлическая Д-2 / Вн ДСГ 1000х2000(h) EI60</t>
  </si>
  <si>
    <t>Люки технические "Хаммер Техно": 700х2100 мм</t>
  </si>
  <si>
    <t>334080574.2645692</t>
  </si>
  <si>
    <t>29448379.2645692</t>
  </si>
  <si>
    <t>4ee1a77b-254c-4d97-a1d3-e5005a67dcfc</t>
  </si>
  <si>
    <t>1.1.3.1.1.5.2</t>
  </si>
  <si>
    <t xml:space="preserve">АРОР "ЧИСТОВЫЕ отделочные работы" от 19.02.2026, поз.89. Люки технические "Хаммер" модель "Техно": 700х1800 мм - 44 шт. 
</t>
  </si>
  <si>
    <t>1.1.3.1.1.5.2.1</t>
  </si>
  <si>
    <t>Дверь металлическая Д-14 / Нр ДСГ 800х1900(h) EI60</t>
  </si>
  <si>
    <t>Люки технические "Хаммер Техно": 700х1800 мм.</t>
  </si>
  <si>
    <t>334080798.2645732</t>
  </si>
  <si>
    <t>29448378.2645732</t>
  </si>
  <si>
    <t>d93864b5-884e-42cc-ac88-eab6f65ba934</t>
  </si>
  <si>
    <t>1.1.3.1.1.6</t>
  </si>
  <si>
    <t>6.3.1.5.99</t>
  </si>
  <si>
    <t>Прочие работы</t>
  </si>
  <si>
    <t>1.1.3.1.1.6.1</t>
  </si>
  <si>
    <t>6.3.1.5.99.1.2</t>
  </si>
  <si>
    <t>Клининг СКБ / Школа, ДОО</t>
  </si>
  <si>
    <t>АРОР "Черновые отделочные работы" от 19.02.2026. Клининг единоразовый по готовности к сдаче отделки каждого помещения. Без учета повторных клинингов. П.21. Подвал, 1-3 этажи</t>
  </si>
  <si>
    <t>90274ed7-a7cc-4668-bade-a91fc3084cb7</t>
  </si>
  <si>
    <t>79ded6e1-cde1-41f5-837f-2a793db25461</t>
  </si>
  <si>
    <t>1.2</t>
  </si>
  <si>
    <t>12</t>
  </si>
  <si>
    <t>Дополнительные работы, неучтенные основным проектом</t>
  </si>
  <si>
    <t>1.2.1</t>
  </si>
  <si>
    <t>12.1</t>
  </si>
  <si>
    <t>Дополнительные работы, неучтенные основным проектом (невозмещаемые)</t>
  </si>
  <si>
    <t>1.2.1.1</t>
  </si>
  <si>
    <t>12.1.21</t>
  </si>
  <si>
    <t>Отделка МОП</t>
  </si>
  <si>
    <t>1.2.1.1.1</t>
  </si>
  <si>
    <t>12.1.21.99</t>
  </si>
  <si>
    <t>1.2.1.1.1.1</t>
  </si>
  <si>
    <t>12.1.21.99.4.1</t>
  </si>
  <si>
    <t>Защитные мероприятия по защите пола от повреждений ( доска ДВП)</t>
  </si>
  <si>
    <t>НЗ № 2602 от 26.02.2026</t>
  </si>
  <si>
    <t>95c5e766-de29-4bb5-a9a9-52d479ca5b32</t>
  </si>
  <si>
    <t>31540ab4-10e3-4dcc-a340-cb78442fc71c</t>
  </si>
  <si>
    <t>43208d3c-f276-4d19-80eb-e1ae8df17cbf</t>
  </si>
  <si>
    <t>1.2.1.1.1.1.1</t>
  </si>
  <si>
    <t>Плита древесноволокнистая в размер ДВП 3,2х900х2140мм</t>
  </si>
  <si>
    <t>ДВП 1220х2140х3 мм</t>
  </si>
  <si>
    <t>334080583.1522697</t>
  </si>
  <si>
    <t>29316869.1522697</t>
  </si>
  <si>
    <t>0063defd-dd69-11ea-80f1-005056881952</t>
  </si>
  <si>
    <t>1.2.1.1.1.1.2</t>
  </si>
  <si>
    <t>Скотч_/простой 45 мк /48*66</t>
  </si>
  <si>
    <t>334080583.55037</t>
  </si>
  <si>
    <t>29316869.55037</t>
  </si>
  <si>
    <t>c5619190-0b68-48b4-b606-e97c5df4871f</t>
  </si>
  <si>
    <t>2. Объект ИДП без распределения на секции</t>
  </si>
  <si>
    <t>2bfdbae8-bf8f-4cfd-91dd-0a7075973600</t>
  </si>
  <si>
    <t>2.1</t>
  </si>
  <si>
    <t>2.1.1</t>
  </si>
  <si>
    <t>6.7</t>
  </si>
  <si>
    <t>Обслуживание площадки строительства</t>
  </si>
  <si>
    <t>2.1.1.1</t>
  </si>
  <si>
    <t>6.7.2</t>
  </si>
  <si>
    <t>Содержание площадки и других объектов</t>
  </si>
  <si>
    <t>2.1.1.1.1</t>
  </si>
  <si>
    <t>6.7.2.99</t>
  </si>
  <si>
    <t>2.1.1.1.1.1</t>
  </si>
  <si>
    <t>6.7.2.99.3.1</t>
  </si>
  <si>
    <t>Дежурство на корпусе на период отопительного сезона / Кол-во секций, башен от 1 до 4 / в 1 смену</t>
  </si>
  <si>
    <t>НЗ № 1 от 31.10.2025 г.</t>
  </si>
  <si>
    <t>мес</t>
  </si>
  <si>
    <t>3b515324-0d8a-4ec6-8f4a-6e3b67948354</t>
  </si>
  <si>
    <t>50052417-d33c-4399-8f00-069f04a32627</t>
  </si>
  <si>
    <t>d38ca17c-a6ec-4189-b64f-18bf31ba905c</t>
  </si>
  <si>
    <t>Общая стоимость работ, руб.с НДС 22%</t>
  </si>
  <si>
    <t>eF7s/WtzJMeRJoz+lTKZrRkJoGrzFnlps/3QDYK91Wqg0MiqXZsdjo3hukNbidQhqXdnd23MeNF1KYm6zuilxOtod16zec9a89Jik91smr3n+zmJv7C/5IRnXQAkIiLdvdKjihpphmigUACeJyLS/fFw94j/9o1X/st3Tr9x4xvfPvzON7a+8X8cfuu7p+P6lRe++61vbX3j9G+PT781feEbL8/foD//b8994/jFb3/7xRee+8aNv9RfwG/Rn168uvXcxS97bvbbnrv4dfV7X754W/119Y/VF9X96rPq/vnr5z/pVV/WX3ysP35ZPawe9Kon569Wn8y+hHf9QP/7sPcUvLFXfVQ9qr/1hfWdT9d/7/jFF186ef6Fw1emf/RmWL96+vIrz39bv3bw4n8enlwC/MIrz7/yX25/9/n5a3+3dZXtC2fP/0ce2//23HMXf1b/Tf3VDRUWQVqkW5e/9e9OX3r5+RdfmL0ji6I8DLK/M1F5ZhkqegHweJiQPLsMkpef/4/MBWSCsrMMlKVW84fVb6r/Ub1T/bZ6u3q3Dx+q3+v/+031fvVP+uMH9Su/6VXv6Rd+U/26+p3+8u/1Z/ATv9Gr+kP9hvfMaza6MYlWReuTQU+zeHL+mn7S9LO51ave1g/bk+rL8x+dv64fuU/1wwvfe1h9rh/K/vmr+h0fV48GvTDRn/1C03u7frR7cRD0qsfVg/PXzl/X3/m1pv/u9DuhuviOkX98YxKviv8HmuUTze4xjAEYqq3e+Rtzw6XhawLnb2nKveorPS4Pqk+1XXpS/VF/BsboYT0aX1SPzn92/kP9/gfnr8N79Yg9qD6qfw4+hWF4oH/qo/Pv64+fwl87fxNentrGV+uPb04HS//Em9VX+m2P6h+amcr5C0+0GXzS03/wiQb8lX7pQfWF/gv3e/BLtM18ArPV05Py6+qDXhT9K+NwJzcmyaqG+73ZID7QQ/aT2eDCuF+dg+lgP6mt/ccwZPVbPr7CUz9S7+mnTj9uxofqjroxUqti+fvqD32N7UNtCt6t/s8ePArVuyaU++rGwapQFlkQRmGUp5kJWaluTFaFTK/fJ7XBeFUvBO0n/7X+aFrI6sbNbFUQ34ZlCabiMxAqPW3kP6jeN6G8pW7cWhnKd/TTAs/Vg9p2XNJelyyPCfS2urG9MtBv17NfgwYXpFHWzucrsHzWYX5G3XhmDRFr0/Xq+Vv64w/1S9qrmKDvqBs7K4P+m+pTrQDA0D4emMA9q248uzJwelzPf3r+vUG9UF+beU/jGN5WN26vEmb1qA+eChSR0dD/W3Xj364M37taefxYL84HU+UwhWpCOVQ3hitD+T9rK6UVqH5i3qg+GrQKmTvpjW+mq0L7ezCd4KL0s3Nfi5k3wU8999wLIPMgXtUUPr1sco0EVjbWH2j8729BsPKO2Zx+c2XQyMvgbnrj7srQmsIHJO7d9Mbe13r57q5u1NuW797KoE1trTms2dIDjF0do/TGaGUkyM/gfnrj3td6Le+vbKxb1/K9lUEjL4OD9MbBytAuYYrL9Mb4a718y9WNetvyHa8MWlemeJLemCxD4pUXXzn81jUOz33jhcNvn05/LZ/HpQ0x/HJ/psiX2W+18fnOy995aQzf29W/8qXnD7+18//67vPf+bb+bQaWZw2W/6ac7D61m2/tFllm3NDbFQZdfvul/RdewiLdy7f2bEj3hJHuv/T8sWnhXAMKQ7a5QNMUGDIoX1lqAZT5Vmkb1lIQMG3yx/nW2IZyLIgSPfEwVJtjy8RPZBD+zfMnJ6cvLPf8/0W+9Re2gf0Lcdi0RfAf8q3/YMP6H8SxopcCDNvmf7AshZs3lwO6lHt+u5Y0j6qH59+b7o3Waf0nFzm3h9PtqnpLtfpCf5y/rl/6Xl0T8Hj6Q+dvGckVeXJDL/ZkVQR/bkJ1q8jVqgC9MxvvH05zAPenmvL8Nf3SqxcK0zya2yvE/Wl1v/fUv3q6V6eCvoQkqwnhM6tDaILzbzUcWH6rwlT9wrL8Vhbo/ApUar3Ovrya6H1Yf/FG9ZX+rH7xi0uydpb+hlTbx3XqGFItj6ap8fOfWZbqyjjCUm1dpqtCZ1mmKSzTVWGqfmlZpstEXEsBsi7TevHVIRhYztlS/WhWpfakLvX44vyN85/1oFatXsDguvQi7T01XebTGri5BX542QLfN+qI7RUOg17JT83ZIUzvqnBa1nQGa3pVmKpfWdZ0vipAH9QO/osemNqr1UUgqOaLG0ouXocim9fr731ab0oZ063bK+RSV5INLMtwVagsyzCHZbgqTNWvLcuwWBWgX122i9Xn+t83q89hV2u6OlUPHLulImWFsFFOfVXoLCuvgJW3Kkw75oVXBCvCU/32esjYg2qNr+rK1wd1dcSXU58MZZr/va6rBFOoXaBeo9plz+e/N3/h6br088m0UlEv4TdnMhVM6WdarD46/0ldCwRq4fG1v2QLslY3RDaekImAopuW9b8y4Ob1XwR6/a8MU/X3lgdgZdXrv9SL+1O9Ri+nC+oC4mnID4mDB/Oq5C8MRchaxOo1/ob+0UtFbbX9flw/NOfXGjT0G/S3LKt8ZePwMYzDpVHo15LcUCJpWeWrAm5Z5SGs8lVhqv7BsspX1sxgDt3qqsGvauk7a0WCTYRP6vc9gRrjj3szAQzbjNMupOof4Av932euys3tFXLF2ORVgbOs1ghW66owVb+1rNZ4VYAa27EfQLeAZZWtDGO99Vpbfqhvvt++EbAyqJY1F8OaWxWm6m3LmktWBehdrVffPH/9cr+QFgWv9bTpfBuKOH6r/7HsVtW7ArDB9WP90vfnLTpToaxNaf9S31RtZf/V1KrWv6Kla3N7hSNySe/D2u5dkwjw6r8ySSKjhH9mdVQsTwAkwVaGqfqd5QlQqwJ06Qm4tjjnYgEqr7S2hVVerwZY35dbz+An5iHdo1o5TNtqon7cq4XF1GxefR5mUVW9hKAWX/UWjYMPYHXBX7scfMLfBEj1w/ZZQ47ob9qepJWNbONJamKuX6sHx/LcrAq45bmB7N3KMFW/tzw3K8vT/FMtoKeJtwt1fSlPd18v5ZlrqLte61bV2qTC/F//WVMAOk3wf6ofi7eMFpe3V726QbvUbgOr391988zqgFoeAcgMrgxT9Y7lEVhZWufX0+28qev4ZJa2fvXCeczbsqdbCLa9j5XB/1RbXliFWsnPbPEnlmW4KoiWZQjJvJVhMsdkehmuLK3z7rQu3KlEXDrkyaWff6pWHtr6ahuttf3TszbbT+s1XG/vwUbwG+ffr7f3Hk0L1esDIZ5AhyvEDz+sLfHMrMNjAJCiIExgkel/1ezfdAbJpltWNp41qv5FkHshVNpe1GM7LbnWI/qg+mxWdm0k+MzqCMIc9J977gWYg9m/Wd/yqEHCcmVAq/csj9qq8ljVB3rRfw6PGc60rwqnXpGv1dkayz7lM6uDZllnkJ5cGSbLQQ1hEKwsYfSrWsXWGnZ6MkqdGdd2+GEtNup48PzV3o1e9YdB9dtB9e7g0qEwUz19/rOtqRp+NNjqnfa/ffj8t4zLdIU0jYsB8NyYrBBV9YFtOawsswInClyue34CWwewFfeD6klHa2BV3GxrIKzXwKpQVR/a1sDK8hVwVFKdmKxPlpqd2/JFb3qQ2CwQvoh+p8vFNtmrImGb7KiebCKqv6p/18np/uErf6Nf0xjTo+Po6Ogw6J8mZ6qf5MFZP8+zs/5hEgeHsUrCk5PD6TtfevE/Tz8ppv8s2J1+63TRoXKZHro9L9RP4S9nkeCT+Q4HTNVDw+v9S/XOjbfDAXLGku2b+Y0hXpFhB+Xv9A+GMXowOujtK6C3LzD39gnxS+j8aE1AewW0AZpJ7QmRUnRS6G4h4DQqtkY2TiMhTvincsn+wgL6C83cShluUUDjRluA4wJaEc2ExkKEQhoh0uKbFFsTG5+JAB8glD531UU0+b18evzK8wYPqF3Ed799dGqaq+tOIjQxummOgOI4CfIgSeMmralz1lOARgj+8q+/UzvMVpCpCeItJsTmE+0YRJyfhYqc5mGZCz/6cCp6tQCeHhRp3F/fLm4MmWyueUo7nQ48ZRhs7Ybp1m4aWjrhmSSa7hBBgmaN9jTyPY18z4J8j4tc0ZGTzM5IAx9p4CML8BEXOP4xWNKxaQKlJlBaCJRMAte8VwsB2noZa9RjjXpsQT3mosabcIaL0qAnGvTEAnrCAV0vlud8+CGLJwrNuy9z1Il1qNEgSa7IjPIWFyX+McR6o/fq7Moni4LTL1zuyBaX3xhyCXl2SBZHxEbvwRNZPBAbsqJDJpmVkQXxiI0Yv+iX9T0Wn8NFLu10LM6GDRdvqDnexuJlWGgvWWxxN2NzNOYt3jluZR1lNEyioxlEJpy3uDjxTx3W1bxraq4xOJt6J/HzaVXVEzgxTDuoLyy5yjDUvofJ0LPviSy+h4veg+8xQ95jQ1Z0yCQjM7IgHrER45+CZX2PGXnJRS7te8xwx2y4eOvN8T1mtBMWWoA7e/Y8+B6b9zHnnObIU+s4o4GSvc8gMSG9xUWKf/Kw/ueXdQnCtEPyy/nFNZ/OCnfrc7rOX9OeZ3pU6R9dzRHbYaTdDpOYZ7cTW9wOF70Ht2OGvMeGrOiQSfZlZEE8YiPGL/5l3Y4ZeclFLu12zHDHbLh4w81xO2a0ExbaSzbRi9uxOZ7YiT2zjjQaKsPxDAoT1ltcrPinD+t6fr+og/pj7/ytuk75tXln1vRsyDoKggrnugj/83nzyOVmrfm1auClIFYycd4OY+2ZmLw9e6ZkazdUFu/EZeDBOyVbexbYe2zYig6bZIpGGvXIgnrERo1/Tpb1UslWaUFfctFLe6pka2yBPGZDxtt7jrdKtiYWxBMW4nqNPLdwVH/p8lz/+cWX/pOBBsdt2RxX4qRQWAcdh5TltWxgb3HBNg24bVjpbmurV1dnPr7yyv06ovqybs8x7eNNHRychQaB1ccmqttcqk1Lb52Xb4Op+evnX8YsIxPCZ7gIFQkhAl318/oizvehGxUaWaHMvj7sZxrMgiiobyTVn/1wFuFePh8Bfqp+Vy8sBkE0iIIoHfQu6nPrePfSHuyN3hXdAoWgjSVwaW7rq2Vn4gR2a+uTFarp9ZeLs8LgxYfTd9b9V9+vX67bwuG87PuL1VIXiz+csphqpPpAPfjVcKxDnbOsT93e6oX9uHf+0ykey7EMO9wZTHEz+O3Tw5e/+xLqiXps3KR/lgswwwE8/dvvnL7wsgngCw2A4WDev9CAeJsLMcdB/D9e/NZ3UUbJBO7fcsE1FYwFXO1NMaOXBdlAJSaIQy7EsKlTLBhBGNYOHyOzmsCDgXnW77BRIx38ArVVXjWhxpmygP0mGyzSxy/AGmBe01R66DYPRpO9Z576Jlwxbt6BvsuGjPT0pDgNuyp22agTImq86J4OtX7KNq4Mum3g99gUFJECesHoUd2cw7oWonHRIj3Yd7o2HPtsxEiX9h2S0VBpNFBGoPfYQJGO7TvY+d9fGIx7doNxwIZLcXVdroSSi/hagO5CzDcU99yGYsyGj/SAxEhdL5Kx2UhMWEj/rm6S8xKXG6XvTTCoVtQqRxds+onLmWCR3nqt4nIm1QRHtYu4nIlQkRAi0P05Lq/vZJgdd3VB94s6pT7t7R0A6N9X721Bh+hXdZL99fpkNR3CV7/QRD+qj7CrExtQhKxf/R0c5fjVrDK5/m0D0zrY4a4DpDbqILpnAkRKoU6ieyZEpAhaMrpngqNIHsToRbHS0b0x1TjkQlxxdM9FjZQJ3Ub3XLBIpUCM7tUiulf26J4LGakXhKJ7Lmqk618iulcbVwbdHt1zKSgiBfSC0aO6OYd1LbrnokV6MIHonosY6dK6i+65QJGOjRDdq0V0bzUYB2y4FFfX5UoouYiFo3u1cWWw7dE9Fz7SA1Kje7U5NhuJCQvp3/3dX/0d/G/LW7uMJchPHeCTLLAOMxokLc43orzFRYmvg8EG+B/oUOn9ujRMB4Ff1dVi93vzwxmvBFgmItthemPIJeO5CMx88fQuG31TgyDQ463LtADMDHmPDVnRIeMtSl38ZUY8YiPGL3i0w7EUfpmRl1zk0kVfZrhjNly8kSY6mrrgy4x2wkLr08XYKrzMRyvPcYfWUUbDJDoZm5th4sQ/dUQ382XdYvlZvYc47b2Eo/rmxyBfdUJPGb2QcSFth5l2Q0yynt1QbnFDXPQe3JAZ8h4bsqJDJtmbkQXxiI0Y/0As64bMyEsucmk3ZIY7ZsPFG3KOGzKjnbDQAtzZs+fBDdkckfmAtznyyDrOaKBkR2RrzmQixT95WFf0y+pL7WFenyUup6fEznNHcExafafRg9mNFfWp/65TAXLteJjUPDuewuJ4uOg9OB4z5D02ZEWHTLIwIwviERsxfvkv63jMyEsucmnHY4Y7ZsPFm26O4zGjnbDQ+o1/7K6ncGL3fRLn1PXY4iAmVvzTh3U+/7gokvl8fvCmyd08qb4wEdkOC+1umGT8upvIcm41G728u7FA3mNDVnTIJLsysiAesRHjF/yS7saCvOQiF3Y3FrhjNly8wWa4GwvaCQut7zjH6nAi5/FtGbp8s2OHY4l3uGjxT2D3Lqc3u4vs/Ec6KJoe0Dm7xunx+Rt1pPTF7Oq+z+vrj81X1W5HwY0hl75nJxVu7Ubp1m6s/431v4n+N9H/Kv2vSs0OjM3MgwMLt/Y0nT1NZ0/T2dN09jSdPU1nz0Jnj01H0emQrNhIsxlpNiPNZqTZjDSbkWYz0mxGFjYjNhv8Y7es4wu3Ss2q1KxKzarUrErNqtSsSgurkstK2imGW2NNZaypjDWVsaYy1lTGmsrYQmXMpoJ3ORyHGW5NNJOJZjLRTCaayUQzmWgmEwuTCYtJvdamTMDQiR9UsPCoNp8aOkmgD3frpCVi4VA13NgE9xYXLrLIUcKj1kfpzK5erh7VN5L9sK6Yrx1rr/aor9YfX4MKfrhLVH/2cLYhqX+w980XDr97Nr0WuvqgH4ZqEM6++nnUn2VQr7lg5kA1fZRcSwUXoSIhZKLb4aJLceiWL/TnAkRWRXZR6M+FiKyHXK7QnwuuqROWLPQ3jtyQC261Jf5s1EjHRy/xj6IittX4s9EiXR+txj8K5zX+WorYavzZkJHujxRQYZfFLhs10he1B0tYqHtsqIoIFb0w9OhtzmFdi3W4aJFOil3Ln2fZIDVX87MxI/0WrZrfYR/usZEi3Re+nH9hG+7ZbcMBGy7FoXEWg7Wcn4u4m3J+LMwxGybSqxGjVb0YxmZ7MGEhBaiHaXQaJmHWL5I06yfJSdzPw8OoX4SHp4dhrNKTYmYyrLHqt2crw0CQG6/aItaIxhJLzxTVOlhRIlsTj1uSPJr+3jU7yJAXWsShp7y+Uvkx3ChYh7sP68vX31x0ZNu2laGMs94w7j0FfdzT7vGt3vmP9E/A74LXPp41Y39Sn0775fnilih43/kb9atfwSEE5z+rK0Mfnf9kWqxz/urg6VlEDGe16ah8fq/HpeB6+oYIgmvojofu8WkjOFwQXv8dc4GP5Dwp/DwtG88KsmjKCQcLQtw7zTt8Va+ML85fN7F6VpJVU3A4WBGCZRON25I0mmrEQWPJgFqQRFOjOEgsGXgLkrgWnDtYLBWgh0E0iI37p3dE+RG8DinSvCaCpmp4+lFTAk28MZz+a2K9K8qaYP3YAZV9RvdFuVGfOww352zut89mKca41sL56VmSnqaH/bOT5Kyf5MdJ//A4TPtxXpycBFGkf9Xxc/61sHET+GYUU4cCR8+7FhbkQbBKWC38u2l6RitVLWy/mh13dL8+ZujJ7MKfz/96Jkh/VX1Qvdevft6r3tM/94/V29PXw2hLgY5+bBqPbcnxUPjxWFZzCrIgWF2C5rTlWgSJiMhMSxnsbUki/oSmIAmqw0PMhUVoCpLwKDSTgcpM/O6I8iOY9C6FZjyTJrFdaEqyJpi8JYSmbUb3RblRnzsMtxah2TqbpRjj6abr4cnZEbz38Cgs+kkYHfUPk6O0nybqKD06K4owS57zLzRj01DcjBLqUODoeReagjwIVgkrNKebrt/TKvPR+U/+GoRjXRb0pHowO93zc3hNBRv6/4OtNICvYpumFKSu8NSX1ZSCLAgGlqAp4QTUTwY986w8K8lHSFoGRv9wW5KJP20pSILq4xCTYdGWgiS8actUCxFjaeMdUXoEI96ltExmYsR6GP+uKGuC5WNLS+uE7otSoz51GGotyrJ1MksxxrWyPDs+Ts+yo+N+nh0f95PiOOwfJYfH/bP0MIoOj47yPJsZVK/KMjENxc1IUYcCR8+7shTkQTBKfGVZH830VX1Y/MeQyz//2fmPodFrpjAThMIUHAKFH4JlFaYgC4Kd7U5hCvIRUZjaUlh2LwWZ+FOYgiSovg4xGRaFKUjCm8JU4SA17nbcEaVHMOZdKkw1EyXWA6F3RVkTLB9bYVondF+UGvWpw1BrUZitk1mKMfZxi9OFarSkvVMHOZWrJrlVNy0y4TYtxZ9+0yJzoBLcQHXRtMhEqEgImeh2uOiaxlmuaZEJENn8QdGY1qZFJkRk18eS4pEJjtLjgRg9iyhkgltx0yIXNdLxddy0yEWLdH3EpsV00bSY2psWuZCR7o8kkrHLYpeNGumLumxa5EJVRKjohaFHb3MOq4F2xEaLdFLs6CFOY604LV2LXNBIx9Vh1yIXKdJ/EboW00XXotU4HLDhUjwaZzXYuxaZiH13LXJhIt0atWsx3RybDcKEhRSg4lIiQMYarDpCdW7AautadJ0wbmCJpec9zSHIg7Azho15Oy2gEaSu8NSXjREFWRA2+QixZEt6Q5CPSHrDXkAjyMRfekOQBHWjFTEZlkhWkIS39IajgEaSHsGIkyK3a5rianojm+2IZ/b0hiRrguVjByiOAhpJatSnDkPNOZn77ZNZijFe3wIayxVfN6OcOhQ4et6VpSAPglHiK8sOCmgEh0Dhh2BZhSnIgmBnu1OYgnxEFKa9gEaQiT+FKUiC6usQk2FRmIIkvClMRwGNJD2CMe9SYeYzUZLbFaYka4LlYytMRwGNJDXqU4eh1qIwWyezFGNcK8zTs8OTKD48658dHZ30kziK+ofhUdYPjuMiP46S0zieTbhXhWmc/JtRQR0KHD3vClOQB8EoYRXmrxaHS3x8/ubsisK6RudhXWSjZWe9g1mX30CBzuvnb84PndD6U6tQqOmZ7nZ+DqebVZ9fHD2xEUZBsBEpc/ZgW3KkFH6klhWigiwI5pggRG1lM4JERBSoJQtyW5KIPwEqSILqChFzYRGggiS8CdAwVgNlUaCS/AjGvksFWsxES2FXoJKsCSaPrUBDFQXWk84kyVEfPAy5Fg3aOp2lGOP1PfXXcpvazTigDgWOnm8NKsmDYJawGvRf7Km/kvOk8PO0pAKWZEFwBwQFjDn1V5KViBw2i2FJGt7EsCQJqk9GzIRZDEuS8CeG7af+ivIjeJ0OxXAcTNXT9F8T611R1gTrxxfD9lN/RblRnzsMN7cWbp/NUoyx34ZG8w5r7Lq5Q+XXujVX3NDIhds0FX/yDY3cgUpwA9VBQyMXoSIhRKCDm422enHv/Kf1FP2xejjoVR/CFviN3r9/Jh/A+cnNma3vp/7VN3V4oX9Gv1NPTBhGi9mbRioPZzNXBxaP6pKMaZiQKTh/Wf/iX1cf6zijDhDqGOL+LEy4fAt2Hcq8Xb1T/bz6x+oP/XoBTffWP750xnMYDepfqv96r0Y4/UvTd9agv4SoqV6M8O2H9V97tX7bY8r6rOF8dakE5S0Yn3d6Kjj/flLXmOgvP6i/VMF0AAam+d/hzn/T/4m1jHIBIjtvCCLe2jLKhdgU6SIto1xwlAYbxOilZlcy5MLz0jRa32NnXJZ32LiR8qLbtlE2WqTAoLWNxou7LmP7XZdsyEiRQYpFrhVKqKgYBMawfpcNHOn06Z2jYZIkalCYu0fZcBURLnp96BHcnMNqoB2x0SL9FTtWc1x5ycaMdGG05tE4iYuBMjePspEiPRm+eXRhIu7ZTcQBGy7Ft3EWgzYP+SDPTaBLLmiZ/tEoTFMNVZmgjtlQkT6O2EOq18TYbBYmLKRrmwOLLT2kcURjiaXnPQcmyIOwG4ndZviXmwMTnCeFnyf8HoKJxY4kC8IuMCESRuXABFn5zIEJ0vCXAxMkQd2LR8yENRQXpOE3C5aY+N0R5UfwO6TIsyULNrstMbbffSnKmmD/2JGVKwsmyY365GG4tWTBWmezFGO8vndfxpa+19maIAwFjp53NSzIg2CVsGpY/O5LyfFQ+PFYVnUKsiBYXYLqtOVfBImICE3b3ZeSRPxJTUESVIeHmIsoHSTGzPhQkohHsWm9/1KUH8Gsdyk2Zzcmxvb7L0VZE8zeEmLTev+lKDfqs4fh1iI2W2ezFGO8vsf3xbYCrYQ6FDh63sWmIA+CVcKKzS6P75OkrvDUl9WVgiwIBpagK92Hq0jyEZKXluP7JJn405eCJKg+DjEZkRqkiXFneSjJxJvAtJ/hJ0qPYMm71JezexNj+yWYoqwJ5o+tL+1n+IlSoz56GGot8rJ1Mksxxut7hl9s625V1KHA0fMuLwV5EIwSX14uf4af5BAo/BAsKzMFWRDsbHcyU5CPiMy0nuEnycSfzBQkQfV1iMnIB4VtG1OQiDeVCce+Gf3SHVF6BIPepcqc3Z0Y2y/CFGVNsH5slWk/x0+UGvXJw1BrUZmtk1mKMfbbN2rRjamTXNYkt+q+USbcpqX40+8bZQ5UghuoLvpGmQgVCSECnbtvNAysjaOXWjQvej/P39Rz9rDR/Tl9ydkBunxH5wdhGPaeuhqS9C43cdbNqluLwx7hD15C8wf9Rz6veX5Us/x0xg+qhR+ef/9KC+r1VthFRcbg6V71+/rlB3UQ9KguEIYy5Xq3vXf+Rr2u5xjqSuStxe8baKz1b3nuuRdMq2aHu2qaTlOu25QJENmqQ9H/1m5TJkRkj86Swp4JjtKRgxi9SJkd5pCLz0u7aRbFg8CI+w4bN1KVdNxuykWL1CXEdtPFLaWx/ZZSNmSkNiFFMNeMQR6nahAZTdYuGzlSLND7TVUeJVoMWvpNuXAVES56gegR3JzDaqAdsdEiPRY7xHPdVsoGjfRiHTaccpEinRmh4XRxW6ndSByw4VLcG2c1FJE2x4PC6DtKLmqZjtM800t3EBvXw5gNFenmqB2n6ebYbBgmLKQAFZfDAjLWnQXHvgp3d8HWceq+ZusaSyw973kpQR6EbUzsBkWnZU+C1BWeOj6gN7HYkWRB2JElBJgt+ShBPiL5KHvZkyATf/koQRLUXXHEZISB9qCZ8XyJoSQVbxkpR92TJD2CKSfFc9eUxdWM1Oy6y9h+d6koa4L9Y4crjronSWrUZw9DzTmZ++2TWYoxXt+6J0tP1s04pw4Fjp53fSnIg2CU+Pqyg7onwSFQ+CFYVmcKsiDY2e50piAfEZ1pr3sSZOJPZwqSoPo6xGTE6SBILTJTkIk3mekofJKkR7DoXcrM2Z2Xsf0CU1HWBPPHlpmOwidJatRHD0OtRWa2TmYpxnh9LzBNbN2bBXUocPS8y0xBHgSjhJWZK7zAVHKkFH6k8Gq0eg9X1mNiuyPJlmC2CarVVn4jSERErtouOpUk4k+tCpKgukzEXKjYcvLbUJKIN7HquOxUlB/BMXSpVme3Y8b2y05FWRPMHlutui47FSVHffgw5Fr0aut0lmKM1/eg58RS1p+477oy7RCj6PnWq5I8CGYJq1f/xR70LDlPCj9PeLVsYrEjyYLgDggqGHPQsyQrEUlsFsSSNLwJYkkSVJ+MmAlrFbwkD3962H7Ssyg/guPpUA8nsxsyE/t9p6KsCQaQr4ftJz2LcqM+ehhubjncPpulGGP9v7+6JARhOf+lS/Z228eqTGRvJq77W5Isb5L11McaWfpYuXCbpmPJPtZ3G+Lufm/WdvolohE1jdR8r7UX9uYdkPPO1H4Yb8E/kXEAtrkDkOAGgNafWv3y/M2ZoP6jluoPzl/XpN+aCfJfVO9OB6Nu6fzvU6EFLZ29W8Pdvlbr/9NE8BkuQUUiiCBnQrfDRdc04mJtlFyAyAYUghi1tlFyITbFpkgbJRccpc8EMXrGkRtywXnpoQwsPYl32KiR/pDeQRkGaWLroGSjRXpEWgdlsriwM7Ff2MmGjPSKJDGNXRa7bNRIV0bvnrRB3WNDVUSo6IWhR29zDquBdsRGi3RS7CgjjqF43oR5n40Z6bdojZMO+3CPjRTpvvCNkwvbcM9uGw7YcCkOjbMYbA9byUUs0zRpgzlmw0R6NWLDpF4MY7M9mLCQAtSjMEnjNE76eXSiw9riJO0fqTjt66+Ojw7zIjqMZ07PGsI6AnpuGGtpmJwVr6JZYumZgl0HK0rAa+JxS5IHYQMNGwkjMzfXsiGXAmb59M2stulSsD37e9OY+6vmyT/v1IX5cAJQ5rguSXKmFH6mlo1oBVkQti4JkS8qdyPIymfuRpCGv9yNIAnqBjJiJiyhtyAJb4mbJB5klhhdkh7B7ZBCzZa8zexOx8R+Q6coa4LxY0dU1gndF6VGfeow1FrSNq2TWYoxnlYxhVFRnKjj/mF6mPcTleX9PAxP+8XhcXp0mkRFFB0+518LR6ahuJnE1KHA0fOuhQV5EIwSVgszLuh8JyLd0Ck5IAo/IMtKTkEWBKtLkJy2ZIsgERmVabmhU5KIP50pSILq8RBzYdGZgiS86UzH7Zyi/Ag2vUuhObvPMbHfzinKmmDy2ELTcTunKDfqc4fh1qI0W2ezFGO8vsfUKUt/Z5KQhwJFz7vSFORBsEpYpdnlMXWS1BWe+rKaUpAFwcASNKX7+BBJPiLS0taPKUnEn7QUJEF1cYi5sEhLQRLepKX9fDpRegQb3qWynF3lmNjv5RRlTTB8bGVpP59OlBr1qcNQaxGWrZNZijGuheVxdBaehMdBPzw+jvrJ0UnSz08D1T89C0/TIknjPDp6zr+wTExDcTNR1KHA0fMuLAV5EIwSX1i2nE9XC8zELTAFh0Dhh2BZgSnIgmBnuxOYgnxEBGYwMJ6HdluSiD+BKUiC6uowc2EiMZQk4U1gxmqQWQSmJD2CLe9SYM5ucUzsV3KKsiYYPrbAtE7ovig16lOHodYiMFsnsxRj7PdKTuN03pxdFGwmp/Jr5FbdysiE27QUX99WRuYAJLgBWINWRiZBRSKIINdyU2fY06ugcR1ndd9Utnt/NiDmAof7s9s4L52id6m0tnqgF8MTuM+yvovzAVREVPV9nE+gZuIjDeyz+s/ACpqvQSgh/qCnlxn/fs5ppe+lO0fnv352J6f+E/ZbOY1mdIc7scgGG4LGtxUmMAEiu2nwot3RBcqEiGyjWVKOM8FRmmYQo5dYjxFh4vPSCJrkyaCwlJlycSP1RMetoFy0SEVBbAVdXKaZ2C/TZENGqgpS7HEtRRQFYTJIjOptl40cKQfo7aBJHgdqkFpaQrlwFREueoHoEdzcMw/uiI0W6bHYwRnYirwwYd5nY0Y6MWJLqCpSa0soFynSlxFaQhd3adptxAEbLsW7cRbD1D4ExjxyyUUt0xaaRYnKB4mlNZQLFenlqK2h6ebYbBcmLKRrm0tKba2h7muf+LseW55zSYI8CPuP2J0FkVyS4BAo/BDgQ28Tix1JFk2P7WBBiDNbckmCfPzmkgSJ+MslCZKg7moj5iJOB7FxF2MoSWQd8kmS9Aj2nBTTXZMXV/NJszsYE/uFmqKsCcaPHbI48kmS1KhPHoaaczL32yezFGO8vhdqpraeS/elT4ahwNHzLjIFeRCMkpjIRFyoKTkECj8Ey4pMQRYEO9udyBTk41dkChLxJzIFSVBdHWIuHCJTkIg3kWm/TlOUHsGedykyZzcwJvbrNEVZE4wfW2Tar9MUpUZ98jDUWkRm62SWYoxrkRlFR+r0LDnuB2mq+mF4mvfz4KToB4EKVJrnYaFm8suryDRO/s2koA4Fjp53kSnIg2CUsCLTcLAHlKk8qutfvpx+E5ou4ViPX+p3/7IuIIH6Ef2KcU96W3IEFH4EltWYgiwIZpagMW0FM4JERMSl9SQPQSL+xKUgCaqLQ8yFSgaJUeoPJYl4E5dxUFgynXdE+REMeZfqcnZfYmK//lKUNcHssdWlfUb3RblRnz0MtxZ52TqbpRjj9T1DObU0XaqAOhQ4er7lpSQPglXCyst/wWcoS86Uws/UkjJYkgXBHxBkMOYMZUlWMprYROO2JA1viliSBNUrI2bCWrguycObILYfoyxKj+B5OtTDanZhorJffynKmmD/2HrYfoyyKDXqg4eh5pbD7ZNZijGG2y+3pt17Hm+9NJ5ZeFOFDpJJVjRJemsVNVrNW1y4TYux2lbRdNEqeume9EWraDBtFTXO1zZ3ABLcAKy+VZRLUJEIIsiZ0O1w0SG7Rwi61bJ9ywWIbBUhSFBrvyMXYlNiivQ7csFROkIQo2c+VoQLzkuzo/XWSzZqpD9ktDpGkbK1OrLRIj0irdVRLW69VPZbL9mQkV6RpKGxy2KXjRrpyuhtjtZbL9lQFREqemHo0ducw2qgHbHRIp0UO7hQYT4IChPmfTZmpN8itjja7cM9NlKk+8K3OC5swz27bThgw6U4NM5isN56yUUs095ovfWSDRPp1YitjXoxjM32YMJCClCDOErS0+MQ4teon0RF2D+K06B/GKepSgNVxEezVWINYR2BPDeMtbQ2qojGEkvPFOw6WFECXhOPW5I8CPtm2Ej465SxuRRsd5KxEZwphZ+pZSNaQRaEHUtC5IvK2Aiy8pmxEaThL2MjSIK6cYyYCUvoLUjCW7omDLUHVSZ+d0T5EfwOKdZsydfMbkpU9msvRVkTrB87pLLP6L4oN+pzh+HWkrBpnc1SjHGthnN1lhZxrPrZUR72k+P4pH+k39E/OwrS09M80v838wxe1bBxG/imiqlDgaPnXQ0L8iBYJawaZtx7+XPStZeS46Hw47Gs5hRkQbC6BM1py7YIEhGRmZGlWF6SiD+hKUiC6vAQc2ERmoIk/AlN+7WXovwIJr1LoTm7KFHZr70UZU0weXyhab/2UpQb9bnDcGsRmq2zWYoxXt9rLzNLH6ZKqEOBo+ddaAryIFglrNDs8tpLSeoKT31ZTSnIgmBgCZrSfciHJB8haWnZwxQk4k9aCpKgujjEXFikpSAJb9LSfu2lKD2CDe9SWc5uSlT2ay9FWRMMH1tZ2q+9FKVGfeow1FqEZetklmKM1/cUuczWgamoQ4Gj511YCvIgGCW+sFz+FDnJIVD4IVhWYAqyINjZ7gSmIB8RgWk7RU6SiD+BKUiC6uowc2EiMZQk4U1gWg8cuyNKj2DLuxSYs5sSlf3aS1HWBMPHFpj2E+REqVGfOgy1FoHZOpmlGGO/114aHcHNWRhhJqfya+RW3cvIhNu0FF/fXkbmACS4AViDXkYmQUUiiCDnvvYy6lX/UN0//5H+ena15Vd1Ce9Hs4shP57eVvlkVnMJx/y9tTjgT/+iX1cfn79huDDz8m+sh/HSXZSPZosKfnsYDaZHBDqvppzeqAnfflj/jVfnl2Y+hsmCeuP6l/6wvlPzi+m36uKL+uNr1YOBaY52uHOEbJYhyHVbjQETILIzBq+/HR2dTIjIlpgllTUTHKUBBjF6lpOmhlx4Xno6oWMrtHR1cnEjlUHHXZ1ctEhtQOzqXFxgqewXWLIhI/UBKYpojnUch2qQG1f0Lhs40q/TGzuzPLH3dnLRKiJa9PLQA7g5h9VAO2KjRbqrJYIse28nFzPSgxF7O/M4GyhLbycXKdKREXo7F9dX2i3EARsuxbVxFkNtHTJjkFZyQcu0d4ZhltpbPLlQkS6O2uKZbo7NZmHCQgpQcekjIGON7B37Gtzo3tbimdFYYul5TwkJ8iBsI2I3CDqtNRKkrvDU8ZGzicWOJAvCjightmxJBQnyEUkFWWuNBIn4SwUJkqBuSiPmIowHSWIiMpQk4i0d5Kg3kqRHsOOkQO6arLiaDppddKjst1aKsiYYP3ak4qg3kqRGffIw1JyTud8+maUY4/WtN8ptHZM5dShw9LyLS0EeBKPEF5cd1BsJDoHCD8GyIlOQBcHOdicyBfmIiExrvZEgEX8iU5AE1dUh5kINQqPZHkry8KYx7ZdWitIjmPMuNebsnkNlv7RSlDXB9rE1pqPkSJIa9cHDUGvRmK2TWYoxXt9TOXJbs2RBHQocPe8aU5AHwShhNab8qRyC46Hw47Gs4BRkQTC6BMFpq5gRJCKiNK2ncggS8ac0BUlQHR5iLsJkEBh1/1CSiDep6TqZQ5Ifwax3qTVnlx4q+xWWoqwJZo+tNV0nc0hyoz57GG4tYrN1Nksxxut7IHJuaaBM3dcXGYYCR8+32JTkQbBKWLH5L/hAZMmZUviZWlIGS7Ig+AOCDMYciCzJSkQTmxP8kjS8KWJJElSvjJgJW+W6JA1/ehgO0DXn90X5ETxPh3o4nd16mNqvsBRlTbB/fD1sPxJZlBv1ycNwc+vh9tksxRjDHZZ/V/9vayGjrKL35dPjV55/8QXDSJA0r3lTNXVeb5IHTYq2rk87SIqETc0ob3FRNleVYyiRAvVdLRU/BUE4E4vTWk5ItL9ab4U+6NW5d2j+e/38za26v+6KgnwybQzU+vLTWnPeh47A6oGJ9nYa3hhyqV+zkXbuy5nIcrL71G5qs4dc9AkdvbVs3Qh5zwJ5jw1Z0SHjy9c14pEF8YiNGP948G0uIC8tyEsu8mvtDC3IaUtjbIE7ZsPFm3RiV4NGO7GgnbDQ1uviOT8OydKokEZO3KF1lNEwiS7JjPMWFyf+qWM5JWj1fgBN6rBjcv79uvO+7vL+8bT7vPrcxGY7jbSvYTLy7Gtii6/hovfga8yQ99iQFR0yyaiMLIhHbMT4Vb+srzEjL7nIpX2NGe6YDRdvrTm+xox2wkJ7aWfSg6+xeZvYiTyyjjMaKNnbDJQJ6S0uUvyTx/Q3H1RvV78wQd5OY+1UmLA9O5VkazeJi63dTC/W3TyNtnaLNIYPucXbcGl58DbJ1h5w2QMue8BlD7js2bjssbkoOheSvRlpKiOgMgIqI6AyAiojG5URmwr+KVnWPyVbJVAqgVIJlEqgVNoolVxK0o4r2RoDjzHwGAOPMfAY23iM2TzwPoHj0ZKtCdCYAI0J0JgAjYmNxoRFw29YZXd2iRN7bJ0CNFSGs7OFV0ys+AcZ6+7eq3f43jSh3E4T7eGYSD17OAXebGs3DDNwdbYNOy4XD25NgQvb2gMCezYCe2wCik6AZGlGGr/2W1sjwD+y4R+x8ePX/bIOTIGz2iqBR2njUXJ5SHstBR5qawzgxzbwYzZ4vE3nuCoFbmlrAtgnNuwTFnb//snmoZQTfWIdeTRYloey+SgmWvyzSvFRn1afzI6anB9ECY5regQlfPppr65KghMof1Qf//hg+voX56+ev6l/DoquTDS3U6WdHJOqZyenHVyq/Vua60gu0P/pOC7ToV2mIzuNcTfXrxc218dl6MH1abenae1pWnua1p6mtadp7WlaexrYnqa1Z6G1x6al6LRI9mykWY00q5FmNdKsRprVSLMaaVYjjWukWY0srEZsVvhHb1k3qV2kZldqdqVmV2p2pWZXanalxldqdqWFXcllJ+08tePUlMaa0lhTGmtKY01prCmNNaixpjS2UBqzKeHdEMelaneqGU00o4lmNNGMJprRRDOaaEwTzWhiYTRhMbrkq4DYX7ocbhenfi+8rc3fpk4SqXVacFiZznZgOaLoFhdu0wkteer3/1VXH3/vcgHH1JV+DOXK598H71qXhjy85IRNhLa5hJo+p5NTvE0In+EiVCSECHTVz6v3q3er96HM+hvVP9WF4aBiPq7LbmrlM92UfjI7We1qLQ78VP2uXlgMgmgQBVE66M2EE0zjo16tgb7Sr/Vj01DscIcixQ0FoWjZ0rvHBdisQRY87ZoLsVlfLHLaNRdcU1Qsedp1mEeZualxyEXo5cBr21mgd9iokS6Rftx1lNnAfpMNFukTaaddp4vTrlP7addsyEi/SIrMsKtil40a6fwY0dZ0qPVTtnFl0G0Dv8emoIgU0AtGj+rmHNa1oImLFunA2FXntiWyz0aM9Gi006+TwHZE/j02UKRfwx9+vTAY9+wG44ANl+LpulwJJRdxNydftxqKe25DMWbDR3pAYuyrF8nYbCQmLKQe7q+6iGSNyuhm6jyNsUB3MviKZJlwkR57BZEskxDSmXcRyTIRKhJCBLrqneofev/7e3/fy6cBaZTMA9Je9cnAhH2Hix3puTsIPZkAkY66k9CTCRHpopcMPZngKA4ZMXpJWMQDo2MYchGuOPTkokb6sG5DTy5YpBMjhp7ZIvS0HoJ8lw0Z6ciEQk8uaqS3WiL0zDauDLo99ORSUEQK6AWjR3VzDuta6MlFi3RgAqEnFzHSo3UXenKBIv0aIfTMFqGn1WAcsOFSPF2XK6HkIhYOPbONK4NtDz258JEekBp6Zptjs5GYsJBCK/3WQuiCV/GYVDXmiW6mrkNbkzy3jjgOKzcUtXbXM+EiPTg2FP1HiDPrC2s/ryPOj+H6ZEjgfTbL6z2sj3h6dP6TOu33yfR25ctXJtdHP82v2f3iImR9WN/c+3D2DYht4Ybc+c3LYW9++65pdLa5o4NUCl3EtUyEioQQgU4mQzu7abl6r6/tnP6YTz8OwvrfYvpx9lUYDvQff8E0TDvcYUIqkA5CaCZApODoJIRmQkRKjSVDaCY4irBAjF5cDMxXtg+5AEUi6GueefjszsHB6GB2Ps60nLJ4GqykBl4rjMAoMO6waSF9Mz3Etl5Y+002VqRvJkbY+SLCth4Bf5cNGemfSRG2RY1qJhtDO4ddNgekF10i3s43rkyBPd7mUlBECujlo0d1cw7rWrzNRYv0duh4G2FmSpSZ2WdTQvpHWkBuvfj2Hhsn0kkS4vF8EY9bH80DNlyK22StlPlBbU7TUnLxC0fn+caVobdH51z4SOdJjc7zzbHZpExYSOuVclocRyeR6h8G2WE/CeKkn6dB0I+CID0Nj/PDIpm5KmvU/u1D63GA3MjdVhBd0Fhi6ZniewcrSoxv4nFLkkdTWLhmBxn8v7eI2u/bo/b752/Vl9xpRNVjaFsyMd+WZK7wzPFhs4nFjiSLpo93sOggqhUk0vTsDiKU6NdoGW5LEmm6fgeRJWNkQRJNQeAggY2lE22mC0swLcjE2wHKSTZQiYneHVF6BAPeRXQ4jxFnN1Ck9vtERFkTzB46vEFP6L4oNeqjh6HmnMz99sksxRj7LTc0TufNzHk2dIE+pdJTjocLF7mHhJV5a5rj4Y5OghudDnI8XISKhBCBbj1yPNU/1BdcP6j/1qWqVds6uLpiPp6/+T6cj/qlDjnm18fAHTPwNdCBqw415Dfqb56/Vf0RfthcncmdHeRm2/IinAsQuXVGEde21BIXInLXbDnZzAVH2SNDjF6eDxKzGuYCXFlqKQune75Z4EotsWkhJUGXqSU2VqQkoKWWsmCeWsqsF1zcZUNGyoIuggfNZGNo57DL5oB03vzUkgZ+ZQqsqSU2BUWkgF4+elQ357AaaEdstEhvh469EGamRJmZfTYlpH/sKrXExol0kvjU0sK83LM/mgdsuBS3yVopsyDWbVpKLn7Z1NLCrNxzm5UxGz7SeRJTS3rJjM0mZcJCurappcSSWspCGkssPd+pJUkehJ1J7J5Dh6klSeYKzxwfrZtY7EiyIOyxdhDVChLxmlqSJOIttSRJgrq/jZiLIhvEoSWYFmSyBqklUXoEA95FdDiPEcNpNmL6r4n1rihrgtlDhzfoCd0XpUZ99DDU3Kml9sksxRjP24lmrEEsemwnUiayN7PIQTZZ2ckWheVkCy5c5J4SVva9W310kXi4dh7yJ1r9fTq7qB2u5HxYfaZV4avnb5z/7PzH+qvHvXr7H9IC9+scwmMT120u1wTHtYvEEROhIiFEoJNOHEFW6Ff1xapfXj4D+5PqkX5J/5L6ondIKFZf1QlIyBp9MVP/dQ7p/K3eU/VaeKCn/isNQMcJF6eiPD1bPovs0ezQyOqBJSXEHHfkJlkH4pkJELnlRRHF1pQQEyJyt2tJucsER9nbwoye/axILsLV5YTi2WZt5MwJcWkhfTc9JxSGmTUpxAWLdN7EpFC0SApF9qQQFzLSgXch+zWTjaGdwy6bA9IxL5EUijauTIE9KcSloIgU0MtHj+rmHFYD7YiNFunv0FETws6UKDuzz6aE9JC0pFCYqYGyZIW4QJF+kpAVihZZIeuzecCGS/GcrKUyjz+dtqXk4hfOCkUbV4benhXiwke6T2pWKNocm23KhIUUoB6dFcenp8dB/zQ+POyH4elRPw/OzvpBoAKV5nlYqJl7tcb1jl0ObmxvywrFNJZYeqYdAAcryi6AicctSR6ETUXs9sCyoWKwFfb1f6qnv/MJeJPq8f/zcZ1BSno6gL2vY8j7pnHalhwnhR8nQuD+Ox26f6Aj7d9Wv9f/vdOr/rF6p3pbx/LvVB/29Hf/l/7ig97dfRX2qp+bOO9IciZsvRKCZphUA5NnJZmIpJyCAQjC60xuSzLxl3MSJEHd+EZMRpQlg8DYXTuUZOIt52Q9hVOUHcE7dBF7ziPQeJaliO1RqCRrgt1DB0/XcqTBIDIu131RatQnD0OtJeXUOpmlGON5ymm+PwXL2WPOKTWxvZklTrZRk62nnFNoOXLvFhcvcs8KqyqN/U2X2kd6Wki9Xf1i1pd0X7/zMaSdqvnx619CIRKknh7UOau6dQVyHomWVo+rx73qU/0L06D+wjQO29xxSHDj0EVCiolQkRAi0EknpObdS/kgmvYtBbN/Bnoy/6f+zY/rjqPX4Y/+7x/9svoKEk8QOixWwWLd3O/tRkGAXDDq1vmr0O/WO39L/7YH1eez18Mg+Fv9X0//rZ6CKrfH9rPyuJOE3M0jCHFb9ooJELk3h9fXjuwVEyJyV25J4cwER9mDw4xePLDIYSa+1eWu1NZulur/Mv1fPttfTpx5LC5FpB6g57GKJLTmsbhgkYKAmMdKFnmsxJ7H4kJGaoIuYgnNZGNo57DL5pAQOdD3m5ONK1Ngz2NxKSgiBfTy0aO6OYfVQDtio0V6PnQohrA5pbY5pbY5pbY5Jcrm7LPpIf0mMaeVaD1vS2pxkSLdJyGplSySWtYH9YANl+JQWetmHuE6DU3JxS+c1Eo2rgy9PanFhY/0pdSkVrI5NhuYCQspQA1O0iJV6qh/mqdxPzlMgv7hoTrtnx7nh/nZUVqcJkdTMtaNA8c+CnfzwJbUUjSWWHqmLQYHK8o2g4nHLUkehG1L7PbDBxBT6rjxJ73zH1wNMPum8PKN8+8vGp+q30dm6bctOQYKPwb4wN7EYkeSBWErlhD5WlNQgkxEUlChOca7LUnEXwZKkAR1HxwzF1Fi3FAZSvLwln+ytzxJsiMY8i5ixnnkqGYpC2WPHiVZE4weOujBzue+KDPqY4dh1pJ+ap3LUozxrGIqj06PkqR/lBxH/SQsjvtHh/FZP4hClUdZqI7UbFS8ikujqbqZpdShwNHzLi4FeRBsEl5cPpg1Up3/tHoEmvH8terjWjyGQbAB/ykTz21JngrPc1kBKciCYEsJAtKWOhEkIqQfLV3zgkT86UdBElRHhpkLNQgtGRtBIt4EZKiyQWopYZLkRzDXXUrIdCY7UruElGRNMHtsCWmf0X1RbtRnD8OtRUS2zmYpxrgWkUl4lgXZUdHPwtNMvzcI+3l6FvWzw7OoOEnVmTo7fc6/iDQWDN3MXHeNGocCR8+7iBTkQbBKWBH5u9mW5P0eHLIEffXT8pp6S7Kut3lcfXX+vVkxznxzMgd1Wdc81Uc02WqfBIdC4YdiWZ0pyIJgcAk6E7rhPxn0zLPyrCQfGblponFbkoY/sSlIgurwMDNhrQ4S5OFPawYDZaR3R5Qewah3KTWzmTixXgy/K8qaYPn4UtM2ofui1KgPHoZai9JsncxSjPF0u/Lo+PTwLC76KkmO+0mWn/UP00DpnzrKT8Kjw5NYzZ5ir0ozMQ3Fzcx5b55RdKPoeVeagjwIRgmrNK83eMKX9ZE+WlxCe+b0mpHzN6HIvtHj+NezCn1qp+O25CAp/CAtq0EFWRAsMUGDWpPlgkxE1GdgTnrcliTiT38KkqC6QcRcRIPZhsk1/SnIw5v+tDb33RGlRzD1XerPfCZZ7HeUi7ImWD22/nR0a0pSoz54GGot+rN1MksxxtCtuTXtl/PYpGk8p/hmVjhJxk2S/po0ExPeW1y8TZOxpk2aaXjRo5m7ejSZw5DghqGLHk0mQkVCiEAn3qNpu19uBf2ZVxo0U9XSoMmcoaYfkmvQZAJENprgBbWjQZMJEdlhsqRUZoJreuMlGzQjZb1xjglwZR2aebC1m4f6v0j/Nz8BsHB2aHIpIsUAvUMzDMLE2qLJRYuUA8QWzWLRomm9IfguGzJSEXQRQGgmG0M7h102B6Q7X6JFs9i4MgX2Fk0uBUWkgF4+elQ357AaaEdstEjfh46/EEan1Ean1Ean1EanRBmdfTY9pOcktmiqyNYTfo+NFOlACS2axaJF0/qgHrDhUlwqa93Mw1qnoSm5+IVbNIuNK0Nvb9Hkwkc6U2qLZrE5NhuYCQspQMVV3AMZ67aBY/OEu3VgadHMAxpLLD3TBoODFWWTwcTjliQPwl4ldvNBpEVTcgwUfgzwcb2JxY4kC8L+KyH2tWWdJJmIZJ1sLZqSRLxlnSRJNLWBgwQ65C6yYlAYXdNQkoq3xJO1S1OUHcGWdxE2zoLHPJimKnL7BeairAl2Dx33YOdzX5QZ9cnDMHOnndrnshRjvL5dmpbbh27mriv6jEOBo+ddXwryINgkvL5kdmlK8lR4nstqSEEWBFtK0JCW/IkkESEJaS6clyTiT0IKkqA6MsRcRPkgsNxtLMnEm4J0tGmK8iPY6y415Ow+3Nx+ubEoa4LdY2tIR5umKDfqw4fh1qIiW2ezFGO8vm2amaVNM4+oQ4Gj511FCvIgWCWsipRs05QcCoUfimWFpiALgsElCE13m6YkHxm9aaJxW5KGP7UpSILq8BAzYa8RkiTiT2xa+zRF6RGsepdaM5qpE/vduqKsCaaPrzWtfZqi1KhPHoZai9RsncxSjPH69mlmlj7NPKYOBY6ed6kpyINglLBSczV9mpKDpPCDtKwIFWRBsMQEEWrNmAsyEZGftj5NSSL+BKggCaobRMyFGgSF0aYPJYl4E6D2Rk1RegRb36UAnd3EmNuv1RRlTTB7bAFqb9QUpUZ98jDUWgRo62SWYoxnjZpA2mOjpnFab+aJk2TSJOmvUdNYZnSLi7dpMrw2an5ZPXA04E3vcn8I17rPpOaj6V3usJdZNw3O/wR8Pm0ajC7fupk4Ojq545XgxquDjk4uQkVCiEAn3dEZ1z2c8ayXM+71e3WN7R/Pfwrb2XrdTH9n9VX9J36sX/oUlhKu5bPR8xkqvSY08Brgx7Og5f75z+DXwruhkbMXTTs5TbOyw50VZCcLQZfbqhCYAJG9KHi5be/i5EJENqEsKaSZ4JqueskuzrCwdAEMuQBX18WptnbzVP+XTZupcucdm2x6SJVA7+DMAmVr4GSDRcoEWgNnvrhjM7ffscmGjFQKXQQWmsnG0M5hl80hIXIg91blizs2c/cdm2wKikgBvXz0qG7OYTXQjthokW4PHZch7E2p7U2p7U2Jsjf7bGpIh0ls3gxUZrtfk40U6TfxzZsLQ3PP/pAesOFSPClrzcxDXaeRKbn4ZZs3FwbmntvAjNnwkX6U2Lypl8zYbFwmLKQA9TAMk1QlRT8Nj1U/SfKsf6SOs/7ZUXYSnIS5StPZWrJuJTg2VLjbCbbmTUVjiaVn2nRwsKJsPJh43JLkQdi/xG5ILNW8GZot8bbkGCj8GOBDeBOLHUkWhD1ZQshrTUUJMhFJRVmbNwWJ+EtFCZKgbogj5iLP02KgTEyGkky85aLSQWQs9bojyo5gyruIGOdx4+xWxtx+w6Yoa4LZQ4c82PncF2VGffAwzFoyUa1zWYoxXt+q+9zWu5lShwJHz7u8FORBsElYeSladS84FAo/FMuqTEEWBHNLUJktVfeCfGS0ponGbUka/pSmIAmqw8PMhD2nI0jEm9B0VN1L0iNY9S6V5uzqxtx+Eacoa4LpYytNR9W9JDXqk4eh1iI1WyezFGO8vlX3ua3B031RlGEocPS8S01BHgSjhJWaK6q6FxwkhR+kZUWoIAuCJSaIUOtWpyATEflprboXJOJPgAqSoLpBxFzExSAxzsZQkog3AeqoupekR7D1XQrQ2Y2Ouf16TlHWBLPHFqCOqntJatQnD0OtRYC2TmYpxhiq7mvaM+0FwtJj+X1hYnszd18GlTbZ+iq/j8wB/C0uXmRRHVYjmsrvYd+xelTrRK0Nz7/fqze4HoGKvFKNXwvLR+c/HkyL50NX8TyTbYJj20XxPBOhIiFEoBMpng/7WuLPy+PntfRQPK8uXY6ko3fT0OxwhwZZykfQuLYKdiZAZEEeXro6KtiZEJGVeEuKUiY4St0dYvSyIrbtdjIBrq6CvdjaLQL9XzirKM2dFexcekhHS69gVyqzVrBzwSI9LbGCPV9UsFsvirzLhox0tl2IdM1kY2jnsMvmgHShS1Sw5xtXpsBewc6loIgU0MtHj+rmHFYD7YiNFun20DEOwt6U2t6U2t6UKHuzz6aGdJi0CvY8VtYCdi5QpNskFLDniwJ26zN6wIZLcaSsJTOPGp02puTiFy5gzzeuDL29gJ0LH+lGqQXs+ebYbFsmLKR1PIRKEQEZazDu2JvgBuS2AvaCxhJLzxS2O1hRQncTj1uSPAhbgdiQXrTCSHAoFH4o8NG0icWOJAvCLich8G2pMBLkI5LisVQYCdLwl+ARJEHdZkbMhCPmFiTiLcHjqDCSpEew6l3EjvMIspjlBOwX2YqyJpg+dPCDntB9UWrUJw9DrSXB0zqZpRjj9a0wKizF7EVAHQocPd9SU5IHwShhpeZqKowkB0nhB2lJESrJgmCJCSLUVmEkyUREfgaDSCkTlduSVLxJUEkSVEeImI0IspSJWYRKUvEmQu1VRqL0CPa+QxFazC5QLOyXYYqyJpg+tgi1VxmJUqM+exhqbhHaPpmlGONahIbHUZQXp2f9NKtvzoySfh6fFP2TRKVZFgYnQTqbcK8iNDYNxc3CfaWTYShw9LyLUEEeBKOEFaHvXFQrQRnTrFrpQl1qPXr+Pf3fD66eGTrVpF9BvdN7Wo6+3a+16c/1r/t1XYLzoWlstiXHRuHHZlntKciCYIC70J6CTES0ZzhITURuSxLxpzwFSVC9H2YuojQvzPMxlKTiT3kOIuN+yR1RdgQb36XwnN25WNhv0BRlTbB7fOFpmc99UWbUJw/DrEV3ts5lKcYYhKdLT3ZbzB4aC19uFpGDnSqiJrtVV7Nz8SIL7LBS0FM1O5dtgmPbQTU7F6EiIUSg81HNHsGX1cNebCtyD6cHxofp9J/MXObOHbOm4Rcrc+cCRFbtUTSsrcydCxFZr7ekOmWCo1TnIUYv1t7JcnwcF+HK6tyLeGu3SPR/alp3WkSuOnc2PaQP7rTOnQ0W6YNpde5FNK9zL6wXPd5lQ0a64S7UumayMbRz2GVzQDpXfp27Bn5lCqx17mwKikgBvXz0qG7OYTXQjthokX4PHewg7E2p7U2p7U2Jsjf7bGpIj9lZnTsbKNJv4uvcF3bmnv0ZPWDDpXhS1pKZx49OG1Ny8cvWuS/syz23fRmz4SPdKLHOXS+Zsdm2TFhI1zbvEwaWQvciptHE8vOe+BHkQdgUxEb7fhM/gmOj8GODj7xNLHYkWRA2QAmxsDXxI8jEb+JHkIi/xI8gCer2M2IulCqSxERkKElkDdI+kuwIFr6LQHIeTs6uny3sdwmLsiZYPXQkhJ3PfVFm1OcOw6wl7dM6l6UY4/WteQ8tB+LdnN2HThgLHD/vslOQB8EoYWXnioreBQdJ4QdpWf0pyIJgibvQn4JMRPSno+hdkIo/BSpIguoJEbORFzoeCIxFxENJKv40qL3oXZIewd53KUKTmXCx30Aryppg+vgi1F70LkmN+uxhqLWo0NbJLMUYr+8hH1qFxqaxuFko6ljg+HlXoYI8CFYJq0IlT/mQHAqFH4pltaYgC4LBJWhN9ykfknxEFKf5lA9JGv7UpiAJqsdDzISr5EiQiTexaT/mQ5Qewax3KTZn1xwW9isrRVkTbB9bbNqP+RClRn30MNRaxGbrZJZijOtz3C/JLKuafPn0+JXnX3zBMAosMWnZzUwdNJMia9K0lbzbwVIk4kXVuxHtLS7a5gpzDC1SCP6qelh9WivAh9VndQn7W3XG+60tKGl/oEXFI7i6/LPq4/M3qi+Mb3tj8cYH9UbmAxPl7SK9MeTSvmYq7byXs5TTqtRsa1cvevig4EOuP4TwZRjDB2UxmlxuCZ0bvjgICO3pP74HhPaA0B4Q2gNCe0Boz0Zoj01I0Qnhy4U0n5H+2yPgMwI+I+AzAj4j4DOy8Rmx+eAfOr5Vn5YnZlsl8CqBVwm8SuBVAq/Sxqvk8rpWjtbCi7boxvoPj4HMGMiMgcwYyIyBzNhGZswmg3c6xPo0zWWi/+4EuEyAywS4TIDLBLhMbFwmLC71iptyAdfk7WIUS2vWzcJ9DUxhnRAcVqZTtTtWJtymg5HoJHtSfVQ9ru6D/6y3Wuqis0/M/rd62Dt/rVd9VX/ni9q1PpxVoD2EzZne+Y/gl0IT2n39nsdXa9Smv/rRbI+n/kL/9l4N5UH9657UP/2o/uVfVvdnacWPe5F+U91O9ZZpeLe5w9v0cYKta0yEioQQgU6kde3SzSsDqD98on8HzPkj/dW7jeUFO3nW9QW7fNNGxvtXp13/ot/rH4WV8rDOTus/+eD8+zX0L+uX4Hf8pPe/v/f3cbg1XaH3q8/1X9YEHW/uBfW7p4tO//o3AdqDehj0ipz9PQ2uFwXT1slev5cG/TDSX30Cq9PS1rbDnfBmHCrXd8cEiOwiIGyo2fvumBCR/QNLbpYxwVG6BRCjp5JBYsI35OJbXdedDmg0LB3ZBLM2mMzZdsflh5Qr9La7OEqsbXdcsEi9Qmy7yxZtd9aL9u6yISM1y3IR8XzXMNsY2jnssjkghQEj8p23xWQbV6bA3nbHpaCIFNDLR4/q5hzWtWCWixbp9tBbrwiDU2qDU2pIJc7g7LO5IT0mre8uyVOLsbnHBor0m4S+u2zRd2d9SA/YcCmelLVm5rvZTiNTcvEL991lG1eG3t53x4WP9KPEfQ29ZMZm4zJhIa01dR6p8Pgk66uTYyhOOSv6eXpYpw/iLC+K7Cg+mZKx7ml8+7Db0hPYKrDsbLhv0bnGEkvPtPvhYEXZATHxuCXJg5CixG6NvHc1YPxIx6Kvn7+hv6wrnucFztY4MjBO5rbkICj8IOC3B0wsdiRZEPKuhJjXWt8syESk2gTqm01Mbksy8VdwIkiCmvVGTEYY245VFOThrdwk0vRyoxm7I8qPYMy7iBnnkWM+K1GwX04qyppg99BBD35G90W5UR89DLeWgpPW2SzFGNcS86xQ6jQ+jvuhyo/6YXia9/PgpOgHgQpUmudhodrqUSQkpqUopaAOBY6ed4kpyINglbAS81Jxsyk5Vpc4f1AnZL46f0u/AGmOUAX2AxsF6Ss8fby4FMmzCA4CwUYTtGlLPbQgHxGFGg4CZWJyW5KJP4UqSILqJhGTobJBaHxOhpJEvElUzc4iUCXZEVxBlwJ1dlVeYb/3UJQ1wfixBaptPvdFmVGfOwyzFnnaOpelGOOpPM3T7Pj47LR/cqbCfpKnaf/wJMn6Z3F0dKyCNElPj5/zL09j01DcDGd5DcpYoPj51qeiRAhWCStQLUXX9W7nTJ8+vlyEUzffVR9Wv6n+R/VOfezDb+vjH35X/d/TQhzTqGyLjorCjwpet5po7IjSIBhfgvK07YqKUhERnZG57+u2KBNvolOUBdX7IWYjjM3boqI8vInOMIkHmXG53ZElSLDwHepOzWkqVmafmIjvyhInWD+29LTP6r4sOerzhyHnVp+YGS3lSPu8eiay7HiGgetiHVXETXYr7hdg423ajD83DJjGd5s9vglufDvoGGBDVCSICHiCLQM35j0D3XQJ1KX88NmP9a/69Pwn+ld8pj/7WKP7dNoFCj8K62S2hDTa3lP6Zx7WS0h/9fT023/zb+b70APT5OywJwdZ50gQ9ZbyfjZCZLUiXqvb6/vZGJGFisuqcCY6Sl0iZvzCfJDaBDYT4sqK/MMgggp/6FgOkmnVLXQwOur8+RyRQqPTQn8+WqTSoFX6azjzUv/ZMJtQ3+WjRuqNLuITILMxdNDY5dNAunV+vT9gvzoR1op/PgtFZIFeRzCymwtgDcAjPmCkN0QHeQgLVIIFKsEClUgLtM/nh/SlnVX+85EiPSq+9P/C8txzPLIHfMQUL8taO4vo2W11SjYF2QaAC4sznwBrCwCfAdLFEnsAYO0sQDXATnhg1zYJZjvgQJspGk0sP/9JMEEihC1S7JaHrySY4Kgo/KjgdwFMNHZEaRC2gQnxsj0JJkjFcxJMkInHJJggC+omPGY2inSQGidkKEplPfJgkgQJRr6LOHMRbUbzrIn9XldZ4gQDiA6R8LO6L0uO+ghiyLXlwdpntJQjvb59AvasWUweCxQ//xpUkAjBPGE1aNedAqL8FZ7/0mpTkAbB2BLUprvYX5SQiOa0VvuLUvEoOgVZUD0eZjqiZKBmt8ddV52CXLypTmvJvyw9glHvVHPGc4Viv/hRljjBDLI1p7XsX5Ya9fnDUGtTnO3zWcqRXt/DTyJr6X9CHQscP/+KU5AIwThhFafM8Seio6Dwo7C07hSkQTC4BN1p3+UUpCKiOK0noIhS8ag4BVlQPR5iOqJikFq3OQWpeBOcjmNQZAkSrHqnkjOZSxT7NY+yxAkWkC05HUehyJKjPoIYcm2is31GSznSfsv9bTJSOdklTXYrL/dn4m3ajD+X+5vGd5s9vglufDsp92dCVCSICHjS5f7ZFnwMw+k/atAL+3Hv/Kew3V39sXrYWTOA/hHrLVLzH3k4DXhmf+ObLxx+96xX/UG/76c6zoGGgU/1u79//vpW7/KevG3xX5SI7H/r+VdefOH5Vy5DuPgFYQ3S2lrAXAjIYkpCEGFtLWAiRJZD4mMDV2sBEyOyEHJZ0c9ERyl6RIyfitNBaDxsd8iGuMLWghS6CrJ5Ta9ydxVw6SH1TMddBVy0SEFD7SpQF10F1ise7/JRI2VNF2EQkNkYOmjs8mkg1cMyXQVq4+pEOLoKuCwUkQV6HcHIbi6ANQCP+ICRjhAdSyKMTwnGp0Qan30+NaQH7bChgIsU6UcpDQXqoqHA+rQe8BFTfCtr2Szic7fBKdkUpBsK1MbVCXA0FHAZIL0ruaFAbS5ANcBOeGAB7VF0GqkgP+sfnZ6c9pMsLPqHYZL04yCPsuj07Pg0Opnyse6GOLaDuDsi1oaClEYTy89/ak2QCGETFrup8p4h0nQEs9unL52+rCPHemtj+66yZdYEB0HhB4GwrdBZMG4akB3RASHsUBPCa3uOTpCKSI4uNN9Bd1uUiccUnSALan4AMRuZCgZpnJu4DEW5eMvRqSgfmC8JuiNLkOAeughOFyFqOs/opI4wVZI4wQKi4yr8rO7LkqM+gxhybTm69hkt5UjX6vX0+Cg4LdK0X8RR3E+i46R/dHiW9Iv8pEiC6DQ7nS93r+rVuOes1avr8i/jWOD4+VevgkQI5gmrXklpj1qz3ixH/WeeP/6bV44OXzjpR0EQlKaR2BYdCYUfCbyElUgCmYZmR3RoCKacIGbbGh0ECQlJWmujgyAVj5pWkAXVnyKmQ6WR1gaFictQlIs3TRsltvTPHVmCBKfRqabN5grIfn+zLHGCIWRrWvus7suSoz6DGHJtmrZ9Rks50n7rzhITO61SXZeMqUI12a287oyJt2kz/lx3Zhrfbfb4Jrjx7aTujAlRkSAi4HmuO2seFWs4KRZ/SGyHpWa2qjDmNCGT4QSlb60KYyJE5rRJ0t1aFcbEiMxmL6vJmegomWvM+AVqkNqkNhPiCqvCiq3dMAzmhRm5uyqMSw+pNjquCuOiRcoNalVYflEVZr2H9S4fNVJ0dBGkAJmNoYPGLp8G0rcvUxWWb1ydCEdVGJeFIrJAryMY2c0FsAbgER8w0hGiIz2E8SnB+JRI47PPp4b0oB1WhXGRIv0opSosv6gKsz6tB3zEFN/KWjaL6NltcEo2BemqsHzj6gQ4qsK4DJDelVwVlm8uQDXATnhg1zavllirwgoaTSw//3k1QSKELVLslgcpk0TMqwmOhMKPBD7y95hXExwawnYyIdpuy6sJEvKdVxOk4jGvJsiCuqePmY4wGBTm8z+HolzWI68mSZDgNLoIWReBazHPwtgvDpclTjCE6GgLP6v7suSozyCGXFterX1GSznS69vpkNhqxULXVZbGscDx865pJYkQzBNW08p0OkgOgsIPAl7OdpcLMg3IjuiAEGw3QcRaOx0kqQjJ18TE5LYoE3/qVZIF1XNiZiPJBoXtbkRJLt7Uq6vTQZQgwT10qV7D+VXVoePycVHiBAvIVq+uTgdRctRnEEOuRb0iZrSUI63/91eXZBuI0r90qdRuq8SUia3Wp84bzIKwydZTlZjlKrJbbLxNGyJTJTYt93qArhHTr3yq3/OkLvX6uD7FdlbwdfnYW9h2g9//1fmlg3EvVX6Fs8qv6nPTmG2zxyzBjVkXlV9ciIoEEQFPuvIrH0R1AdeT6jE8mNlWT3/Mn54WggWXvpUmWz39vTSb/pPDG9Oi/iKLp/8k8x8bhJd/Z/H0ABR8fSAyLJz50uvVVWMPe3Wh4f16wXzSi1w3i3NnBZnfJqh2W6EXFyEyTU0R49ZCLy5GZIJ6WZnNREdJRiPGLw5TczgzZCNcXZ1XGM2qLEL3deJsZkipQC/xUnlgLfFio0VqBWKJV3hxnXjouE6cjRqpGLqIOIDMxtBBY5dPA+nElyjxCi+uEw9brhNns1BEFuh1BCO7uQDWADziA0a6QHTYhrA7JdLu7PNZId0mrborz2w25x4fKdJ5Eqq7wotLxO0P6gEfMcWhslbMIgp225qSTUG4uiu8uETcbWfGfAZIx0qt7grhEnGzjZnwwALaw1MV5UGg+kWQn/aTND3qH0XZWT8/OYvVcZgFxyczJ2bdY3BsunD3GWzVXWFEo4nlZ9qNcNCi7EiYiNwSJULY6sRuVXyow9W6vaiZAZrfpGMMFd/TQeyrdcD4oPoC9ire0S/9v6E66j1oT7uvA+LXqvumAdoWHSCFHyB80G+isSNKg7Cz20WULMhEKLVlNCK3RZl4TG0JsqBuqyNmI07yweyOjuvBuSAVb5mtLB9EhYnfHVl+BGvfRZi5CDbnd0+HjtvERYkTzB86QkJP6r4sN+oDiOHWltdqn9BSjrTf0w6MGXatLmMXuyJtslt5HouJF7krhRWHX688FnPMEtyYdZLHYkJUJIgIeP8y81jXTk4Arl/Wt/Gcv6kXF3B7oz5L4fyt6o96nerf8rA3+zVwSsdsjQ70sL1gmuEd9gwjNwS7UPtMhMjNPYqKt+fEmBiR23rL6nMmOsoWHmL8Uu1BjB2BQzbCFebEkvnedOzOiXGZIWVHxzkxLlqk7qDmxOKLnJj1lu+7fNRI9dFFsAJkNoYOGrt8GkhBsExOLN64OhGOnBiXhSKyQK8jGNnNBbAG4BEfMNIFoiM+hN0pkXZnn88K6TY7zIlxkSKdJyUnFl/kxKwP6gEfMcWhslbMIoJ225qSTUE6JxZvXJ0AR06MywDpWMk5sXhzAaoBdsIDu7Y5sdSaE0toNLH8/OfEBIk0RYdrfpDbHivIiQkOkMIPEH4DwURjR5QGYVO4iyhZkInnnJggE485MUEW1C15xGyk2SAxH9czFKWyFjkxSX4Ea99FmLkINpN5</t>
  </si>
  <si>
    <t>CiVxBJySxAnmDx0hoSd1X5Yb9QHEcGvLibVPaClHet7rlTy3kJgee72M7XxabSoX2yBusvWUI7OcB3aLjbdpQgRyZPVhzLWC7Gt1+PH5G3XOq5kbm7XYw1nfU1n5WL/8JRz1XR8Phc57McchwY1DJ3kvJkRFgoiAJ533mp7cnU8/DsLZv1H9b7HVK2YvQYPpLKU1O+q7N+jt1rNf5zxn57jDOgAQn/d6528s1tTD+rNHcBC4DlTOvw8Ezr9XY361V30Aa6c+l+H++avnr9/o/f9e+zdF8b9/9MswCnu9+nwDva6qx/HWNNM6zYU9mp1IP03p1ut4mviCtffHGsgsWfYAlikkzx7oTyMFv/G96v5W7//76N8EW0Gi/8at89enf+L/uV990OvpP93rqcDVR8ZcHcgNwy6iASZC5OYfReXbc2ZMjMhtv2X1OxMdZYsPMX5xMYiM7m/IRrjCnFk637t23eF+h88MKUPoObNEz4M1Z8ZFi9Qh1JyZusiZWS9Cv8tHjVQjXQQzQGZj6KCxy6eBFBPL5MzUxtWJcOTMuCwUkQV6HcHIbi6ANQCP+ICRLhAdESLsTom0O/t8Vki3ScuZ2W3OPT5SpPOk5MzURc7M+qAe8BFTHCprxSwibLetKdkUpHNmauPqBDhyZlwGSMdKzpmpzQWoBtgJD2wtENMiP4zCo36RneX95CQ46x8ep1H/LDjJkig6i6MTNeVj3b9wbOhw9zCsObOURhPLz7TT4aBF2e0wEbklSoSwi4rdBnlvFpnev7T50djxuDgXe7bTcS3WhW/Oc2wfVr+p/kf1jo7W/1D9ro7Zqw/0iz/XL/26DuM/nL4xjILg/PspfAgjo33fFh1LhR9L/D6FicaOKA3C/jIloI5NTJ4VZSKUXguMVG6LUvGYXxNkQd3eR0xHNAgi417NUJSJv/RaFOeD2GjN7sgyJLiGLmLSRWSazvMxqSM6lSROMIDocKo5rUWUBIPYaEj2ZdlRn0EMu7YUW/uUlnKk6xTbJa1j1aYvnx6/8vyLLxgGgiVNjZOrZanzMuHg2mXCtuSaHS1FcV7k14xwb7HhNpeZY3CRutLYggaJsy/OXz1/E/ISF4dVax1poqP1X3ZjyOZ0zSTaSS1nEWe7uvnWbhhF8CHVH+IAPiTwAb6RhPABvqHgG0rBB/hGCt9I4X1ppj9k8N0shg/w5gyulszhl+bwlhxey+HHCnhfAd8o4BuF/lmtp+FDDB/0+6IQvgwT+KB/IorgS8AXRfAagIwi+AYgjWL4BsCNYv0nowQ+S+AzBZ8p+AxARil8lsFnAC0CVFEOnxXwdwFGHETwAT4L4bMQPoO/G0fwGfyhOIbPEvgsgc8UfKbgsxQ+g4GIM/gsg8+AfpzDZ8A3hr+RwN9I4G8k8DcS+BsJ/I0kymw+iLuKEvoqwm9ewNLZg6WzB0tnD5bOHiydPVg6e7B09mDp7MHS2YOlswdLZw+Wzh4snT1YOnuwdPZg6ezB0tmDpbMHS2cPls4eLJ09WDp7sHT2YOnswdLZg6WzB0tnD5bOHiydPVg6e7B09mDp7MHS2YOlswdLZw+Wzh4snT1YOnuwdPZg6ezB0tmDpbMHS2cPls4eLJ09WDp7sHT2YOnswdLZg6WzB0tnD5bOHiydPVg6e7B09mDp7MHS2YOlswdLZw+Wzh4snT1YOnuwdPZg6ezB0tmDpbMHS2cPls4eLJ09WDp7sHT2YOnswdLZg6WzB0tnD5bOHiydPVg6e7B09mxLZ4+/dBR96eB3jfTKGcHKGcHKGcHKGcHKGcHKGcHKGcHKGcHKGcHKGcHKGcHKGcHKGcHKGcHKGcHKGcHKGcHKGcHKGcHKGcHKGcHKGcHKGcHKGcHKGcHKGcHKGcHKGcHKGcHKGcHKGcHKGcHKGcHKGcHKGcHKGcHKGcHKGcHKGcHKGcHKGcHKGcHKGcHKGcHKGcHKGcHKGcHKGcHKGcHKGcHKGcHKGcHKGcHKGcHKGcHKGcHKGcHKGcHKGcHKGcHKGcHKGcHKGcHKGcHKGcHKGcHKGcHKGcHKGcHKGcHKGcHKGcHKGcHKGcHKGcHKGcHKGcHKGcHKGdlWzoi/cvD+mK/6ZkmBfKuEFVTCCiphBZWwgkpYQSWsoBJWUAkrqIQVVMIKKmEFlbCCSlhBJaygElZQCSuohBVUwgoqYQWVsIJKWEElrKASVlAJK6iEFVTCCiphBZWwgkpYQSWsoBJWUAkrqIQVVMIKKmEFlbCCSlhBJaygElZQCSuohBVUwgoqYQWVsIJKWEElrKASVlAJK6iEFVTCCiphBZWwgkpYQSWsoBJWUAkrqIQVVMIKKmEFlbCCSlhBJaygElZQCSuohBVUwgoqYQWVsIJKWEElrKASVlAJK6iEFVTCCiphBZWwgkpYQaVtBZXsFXRts71lBdFc1hiWzRiWzRiWzRiWzRiWzRiWzRiWzRiWzRiWzRiWzRiWzRiWzRiWzRiWzRiWzRiWzRiWzRiWzRiWzRiWzRiWzRiWzRiWzRiWzRiWzRiWzRiWzRiWzRiWzRiWzRiWzRiWzRiWzRiWzRiWzRiWzRiWzRiWzRiWzRiWzRiWzRiWzRiWzRiWzRiWzRiWzRiWzRiWzRiWzRiWzRiWzRiWzRiWzRiWzRiWzRiWzRiWzRiWzRiWzRiWzRiWzRiWzRiWzRiWzRiWzRiWzRiWzRiWzRiWzRiWzRiWzRiWzRiWzRiWzRiWzRiWzRiWzRiWzdi2bMb8ZYOPsohJDr1qJrBqJrBqJrBqJrBqJrBqJrBqJrBqJrBqJrBqJrBqJrBqJrBqJrBqJrBqJrBqJrBqJrBqJrBqJrBqJrBqJrBqJrBqJrBqJrBqJrBqJrBqJrBqJrBqJrBqJrBqJrBqJrBqJrBqJrBqJrBqJrBqJrBqJrBqJrBqJrBqJrBqJrBqJrBqJrBqJrBqJrBqJrBqJrBqJrBqJrBqJrBqJrBqJrBqJrBqJrBqJrBqJrBqJrBqJrBqJrBqJrBqJrBqJrBqJrBqJrBqJrBqJrBqJrBqJrBqJrBqJrBqJrBqJrBqJrBqJrBqJrBqJrBqJrBqJrZVM+GtmkvRrtd62NiaSXJeqxvYO+JwYJnxuuPMGCZeZAWKRMB+f3YKzKM6HQSvPKjPgrF1STEZNkOvTipdq1/COTjnPzv/4TSl9Zn+58fT02x61a/1d98zkXiGTUKRSCAImODtsOEhK1EouSNbMSYTIbKqhJQTshZjMjEi60mWTfYw0VFqRxDjZxy7IRudSCHmNczWG1rZsJHOjV5lqVRqr7LkokV6N2qVZX5RZZk7qiy5qJE+jrR/i10au3zYSMfVvmGIxbrHx6qIWNGrA8ZvcwHs+t4IFzDSY7GTfTrmCAapcZj3+aiRXoxWG2m3FPf4SJG+jFIbmV/URlqtxAEfMcW/cVaE7akr2ZC7qYXE4hzzcSKdHHEzAFbEAtT1MJQDtl4Ih/FpHCnVV0eHaT8pTrP+0dFx3tdx+Gl4FOog/HA27tYI9duH3VY81v+aaOo4taDRxPIzxbIOWpR41kTkligRQlkLNtB9uz7p4/Ne9SlUOOKDWEGWCs9y6ThRkAahFIcQT9qvdhakIlKMGJjLNm6LMvFYiyjIgloHhZkNE4uhKAtvdYhR5Ah4JQkS7DUpaGsrQyzmNWuFowxRkjjB9rEjE/us7suSoz59GHJtVYjtM1rKkZ420BzGKg2SvH+UQ8Vidnraz0+ipH+cpYeBCsMgCY6e8y8njdurN+c9FISxwPHzLicliRDME1ZOflA3wby6OHni8975j/Qnb8ChDjaF2Xtq/q0n1Ufn/70+eK4+Yx96Zd6ufvH0rJlmfPjSfzp95ZVZZ037Xzp/DRI0cH7E5WPPTQDgRIzzH8CZ6nX/DhxS8hyckTH7PT+qDz55dP7m9E8XSa7i+QHt8EVimrpt0alT+KlbViNL0iD4CYJGhrTcJ4Ne9dhE6FlRQiJK2XImniQPfzpZkgXVUyPmwqKTJVl408kqtMpkUX4EP9SlTI6CmaiafmIivitLnGD+2DLZOqn7styozx6GW4tKRkxoKUe6VsknyWF2WGSn/TBMw36SRif9w+jwuB+fnuWH+eFpfnx6/Jx/lWzcadEq2X0rq2EscPz8q2RBIgTrhFXJv7uqQLECOJne/zMTwH9fn5/2ei1961dG337h+Ze/8+JLr7zcu7k9Ho72egdJ0PuLnbt3R//eoKD7CyF9RSXXv6+pkRfi/VOQyFpYfzET03AYNJzSZpqWbdFpUfhpWVoBC9IguACCArZVHUkykZG+tgOhJZl4FL+CLKgOGDEbNvEryMKb+A1j69FKd2QZEhxMp/I3nKul0CF/JYkTbB9b/jqmdV+WHfX5w7BrE8DtU1rKkfZ5R2ps3fiNXOyKrMlu1fXuXLxNo7G+9e5chgmOoZ96dy4JRSKBIGCCt8OGh6we7EJ5MhEiKwUpitJa787FiKwRXFYrMtFR6gER42fTgEx0K653Z8NGOrdu693ZaJHejVjvHkWLevfIein7XT5qpI8jiWLs0tjlw0Y6ri7r3dlYFRErenXA+G0ugDUAj/iAkR6LHy+oNBoEyoR6n48a6cW6q3dnI0X6MkK9+8JK3HNYiQM+Yop/46wIe707F7Lvenc2TqSTo9a76xWxANUAO+GBrVUYJGOyXPVjpTIdpSrVL+DD8XF8rKIkOE4PZ0vFGqE6QnRulGqrd49iGk0sP/+pF0EihJ0xbKDbRerl/DU49Lct8XL7YOcvOkq7XFQgmeZgW3QOFH4Olo5iBWkQ9hq7iHYFmXjOswgy8ZhnEWRB3edFzIYtxhZksSZ5FkmGBG9CCinb8izxfFPeevX6rixxgu3jx03OPIskO+rzh2HXlmdpn9JSjnStdo+OgkidhFk/Tk6LfqIOk35+nMKVnUWUReFhGodnz/lXu0Z/qNVuQh0LHD//aleQCME+YdVue5H88uX46Hp8w5+q3qt+Wf0PENTT2vtH1RMtkKf6el6u31J5NKvJD/PQqGC2RadM4adsaXEsSIPgIAjiuK0MX5CQjEY28bgtysOjQhZkQfXQiLmwKWRBFt4UsqsMX5Ifwf90qo/nl5hHjlvpRYkTzB9bH7vK8CW5UZ89DLc2ddw+oaUc6fU9+ySyluEr6ljg+PlXx4JECNYJq46ZZ59IslR4lksLSkEaBItKEJTWs08kqYhISevZJ5JMPIpJQRZUh4aZDROLoSgLb2LSdfaJKEGCve5UTaq5+HBcEC5KnGD72GrSdfaJKDnq04ch1yYn22e0lCPtt6jdJhBTJ7u8yW7lRe1MvE2bscZF7UyGCY6hp6J2JglFIoEgAN0qW724d/5TuHu5+mP1cABXJz+svrrRq37Xz0zwd9jwmwZasOidiRBZLojXm66idyZGZKHgskqSiY5SFIgYP5tCZKJbddE7FzbS+XVc9M5Fi/R+1KL39KLo3Xol7F0+aqQPJGlm7NLY5cNGOrZOi965WBURK3p1wPhtLoA1AI/4gJEeix1OuIveuaiRXqzDoncuUqQvoxS9pxdF71YrccBHTPFvnBXhKHpnQvZe9M7FiXRy5KL3dHMBqgF2wgO7tokO62VkkfNKtes0sfz8JzoEiRA2zrCBMDfRIchS4Vni40gTjR1RGoTNPkI8aU90CFLxnOgQZOIx0SHIgrrVipkNE4uhKIv1SHRIEiTYa1LQ5twWB07zbfHMkeiQJE6wfezIxJnokCRHffow5Jwzuo+Z0VKO9PpWldvP+nFejWQaCxw//3JSkAjBPGHlJKvU+0+tqlxwyhR+ypbWxoI0CP6BoI3bqsoFCYkoZFtVuSAPj/pYkAXVQyPmwqaPBVl408euqnJJfgT/06k8zudiynrH5q4scYL5Y8tjV1W5JDfqs4fh1qaO2ye0lCO9vieM2IuGCupY4Pj5V8eCRAjWCauO/zRPGBGcA4Wfg6XlriANgr0nyF1raZEgExmdaz1hRJCJR6UryILqbRGzYVO6giy8KV33CSOSDAnepFOtO78dMnLc9ylKnGD72FrXfcKIJDvq84dh16Z226e0lCPtt+g9MbG7GcaBk13RZLfqoncuXmTBH1Z+Cha9cxkmOIZ+it65JBSJBIJAS9G78anYYcNvWmi5oncuQmS5IEVxWoveuRiRhYJLakkuuqafWrLoPYmV2TYP2Qi9FL6HKg8GqUX/sZEjfWC3te9stEgnSKx9j4NF7XtsvWLxLh810hWStHNzuNM8Dwvtxo0re5ePHenk6AXwURIFeTRIjEtkjw9YEQGj1wkM4uYCWAPwiA8Y6cL4AYbdbuzzUSPdGq0KPo8TaxU8GynSuRGq4Bf24p7DXhzwEVMcHmdFOG1FycYtUwofp3EYxZYFPOaDRTo+aj28XhsLUA2wEx5YQIu7qgz4WINbR3TPDXBt9fCx8yq26zSx/LynaCSJEDbVsDFyFymar8P9u5LTovDTgo+Jr82MDoih/OuLmvbrvdHu3rDcHx2My175zb/o3bo72ekl2rPU0/UI4n/90/d7yVYAM2UalB3RQSHsg3YRaQsy8ZsDkmTiLwckyYK6B42YjSTLB4VR2gxFqaxHIkiUIcFnkYLZlkRQPL//NXZc6StKnGAA+XGaKxEkyo76EGLYtSSCEFNaypGelT3FKg2SvH+Un+X9JDs97ecnUdI/zlJIJ4VBEhw9519TW5oC4og6Fjh+/jW1IBGCfcJqalalPlJ4X9HNiL+kVfEVTT0v+r8OQP/Gb5z/YNYnAN/6HF65XhU16wdIchVDzkz/ovoLo/fcFp06hZ86vO420dgRpUFwFASl3NIcIElIRjCbeNwW5eFRLguyoHpqxFzoP23iMRTl4U0rO9oDRPkRPFGnSjmayyrrlaS7ssQJBpCtlB3tAaLcqE8fhlubTm6f0FKO9PqexZLY2gPimDoWOH7+dbIgEYJ1wupk5lkskiwVnuXSklKQBsGiEiSl9SwWSSoiYtJ6FoskE49yUpAF1aEhZiOMg0EamagMRal4U5SuA1lECRKMdqeScn4pZOy451OUOMEAsiWl60AWUXLURxBDrk1Tts9oKUfabxG+MrHTKjFxsEuDoMlu5UX4TLxNm7HGRfhMhgmOoacifCYJRSKBINBShG9cZTts+MgKRoI6tZYGMBEiqxXxotNVhM/EiKxTXFZOMtFRahIx4xfFtm1HJkBPNfjWE6Xv8JEjXWDHNfhctEgfSK3BTy5q8K33K97lo0Z6QpJyvrY6ijhIi3iQG4d8lw8+IYJHL5A0z6LQtkb2+IAVETB6ocAgbi6ANQCP+ICRLowdXziPomejRrq1DovwuUiRzo1ShJ9cFOFbDcYBHzHF4bFWhNNYlGzgMlX4YRAHeWRbGGM+WqTvI5fhJ5sLUA2wEx7YtU2FKGsZvqLRxPLznwoRJELYVcNGydxUiCBLhWeJDzJNNHZEaRB2AgnBpj0VIkjFcypEkInHVIggC+o+LGI24iwY5CYmQ1Em65EJkSRIsNmkeK4tEzK/sTV23MErSpxg/9iRijMTIkmO+gRiyLVlQtpntJQjvb5H0ytrFXpKHQscP/+SUpAIwTxhJWV7bfjyVejoMvQVHU0vOWUKP2VL62NBGgT/QNDHbdXngoREVLKt+lyQh0eNLMiC6qERc6FS42wMRXl4U8iu6nNJfgQP1KlATudyyno36K4scYIBZAtkV/W5JDfq04fh1qaP2ye0lCO9vofTK2v1uesaK+NY4Pj518eCRAjWCauPuzj5ZO0Op5ecA4Wfg6UFryANgr0nCF5r9ZEgExmlaz2YRJCJR60ryILqbTGzEatikJqoDEWpeJO77oNJJBkSXEqngnd+tWXsuKxUlDjBALIFr/tgEkl21IcQw65N8rZPaSlH2m9xvNEWaRHrum0qDcImu5UXxzPxIksCsRpUsjieyTDBMfRUHM8koUgkEARaiuMzE/wdNvymhRYsjmciRFYRUmSnvTieiRFZP7isoGSio9QKIsYvijKbTGQC9FIcnxcDKPy9jvsOHzfSAXZcGs9Fi/SA1NL4/KI03npJ5F0+aqQfJAnna0s6iIpAWU573+VjR3o4emV8GKUqsa6RPT5iRUSMXigwipsLYA3AIz5gpANjhxdWs7HPx4x0aR0WxnORIh0bpTA+vyiMt5qLAz5iirPjrAenqSjZuIXq4vMiD3NHXTwXLdLxkevi880FqAbYCQ8soMUldICPNbJ1hPbc6NZaF1/QaGL5+U/SCBIh7KhhA2RWZREyk/O1KWISnDKFnzJ8sGyisSNKg7ClSQia24qYBAnJpHZMPG6L8vCY2BFkQd1TxsxFEBvrAYaiRLyldVxVTJL8CC6IFJu2JXXmd9TGjmuHRYkTLCA76nJVMUlyoz5+GG5tKZ32CS3lSK9v42hqq/KfhV6EscDx8y6QJYkQrBNWIDMbRyVZKjzLZTWlJA2CRSVoSmvjqCQVETVpbRyVZOJPT0qyoDo0xGykeWRrHJVk4k1QuhpHRQkSbHaXijIJZgIksd4WuitLnGD/2IrS1TgqSo76BGLItUhKxIyWcqT9VgkZ6yG0SHRdzpQGUZPdqquEuHiR2VGsxhOsEuIyTHAM/VQJcUkoEgkMgZ9X71fvVu/XdylV/1T9tvqg+lC/8Mvqn6vf9Koneqo+hatSF3vMD3p6Wu9XH8G3zt+c3rekP+2FxSCIBlEQpYP67E342GwI+KTecJ7vMz/Q35y1DvwBugngd/bKbx++dPgfT3p3v/u3PdjbPn990EvjVPXgk8h+Lyh3QJFpX4JcttUtcREik7x4FeyoW+JiRKZ3l9W3THSUVC5m/OIkM+8pDNkQRSqXrnn34bM7Bwejg5l/Lye7T2lBFm3pDzF8SOCDehqSO8AEXP5WYPT6d/hEkV6821InNlqkGyeWOiXhotQpsV4MeZePGunMuxD/QGZj6KCxy6eB9NjtVU8W7AB74+pE2Fjs8VkoIgv0OoKR3VwAawAe8QEjXSI6gkKYoRLMUAlmqAQzVCLN0D6fJNKrdlc6xUaK9K2E0qmF+bnneG4P+Igp/pa1gBbxqdv0lGwK3VRRtZud+QTYGIz5DJB+llpZpdfOAlQD7IQHdm0TR5mtsiqJaDSx/PwnjgSJEDYhsZsK3MSRIEuFZ0mIyRdEP9bsPgWOff3Pw/piZGjef00Tf7KInne++9KLxy9+q6eKov785cOz01753e+cvtSLgp4tfbMjOi6EnVhCaG3PRAlS8ZyJEmTiMRMlyIK6D46YjSRIBiB7r1MZilLxmIqKB6mR4B1ZggQv0EU0uohJ5/fJJo4LgkWJEwwgOpC6lkCNooGypaIkyVEfQQy5tlRU+4yWcqRrkZomJ1l2fBr3j8I8h+b2qK9/+kj/1OFJeJQenuTq+Dn/ItW4E6lFakwdCxw//yJVkAjBPGFF6q+0PntDK7O6fF8rlvu9We0+vFoflzRVcPe1hv2JfqVOG7XpPHiXaXS2RUdH4UcHL25NNHZEaRBMcSdaVJCKkBY1NybeFqXiUYwKsqB6QsR0REE0CGx1UYJUvInRtBioxMTvjiw/grHvVIvO76FNHDcLixInGEC+FrVN6r4sN+oDiOHWJkXbJ7SUIz09LvQoSM/UcdBPDoNQvyPSP5WeZP1cFUVwlh+fqnnayasUjU1joaVoQh0LHD//UlSQCME6YaUoqz2U2ImKbUStNe2lI0PnnabXAZg6US/OEJ23nqrEGPdsi86Rws/R0oJYkAbBHxAEcUvrqSQhEVlsTP7cFuXhURMLsqC6ZMxcuEquBKl408QqHOTKxO+OLD+C1+lUEydzCWW903RXljjBBrI1sXVS92W5UR9ADLc2Tdw+oaUc6VoTx4cnURGeBf08Dw77yUkS9o+y9LR/mkZFlESqOMpnYtGrJk5MY6E1saKOBY6ff00sSIRgnbCamHmEfrSlpofoX+jd2dkp/eaB+uPTb3/nxf1vffflXhgEMbyUF3GYGmRznMx+3bVC+ekRLaCA9R9t1Mq3nM1imqVt0VlS+FnCq2Kp5oHnXjAN0I7oABF8DUFvW/sMBJnICG3b8f2STDxKbUEWVE+PmY0kDweFTWsLcvGmtcMgjQbmEsY7sgwJ/qxTtT2//zNx3OgqSpxgAdlq2zGt+7LsqE8hhl2b3m6f0lKOtN/OXGMuTCvo1MkubrJbeWcuE2/TaKxxZy6TYYJj6Kkzl0lCkUhgCAh15samztwP6+37L+qY4vXeaHdvWO6PDsbl9CIwaP+vw6JHMIRQjtJLtgJHMy5zDJGdR12IZCZCZNsQRfzam3GZGJENQ8vKWiY6SnMQYvwyZbtrigtwha24GTTg5vChmLe/pe4uXC5HpMfuuAuXixbpsqlduOlFF6714s+7fNRIx92F0gcyG0MHjV0+DaR3XqYLN924OhGOLlwuC0VkgV5HMLKbC2ANwCM+YKQvRIdLCAtUggUqwQKVSAu0z+eH9KQdNuBykSL9KaUBN71owLU+sgd8xBQfy1o7izDUbXVKNgXpBtx04+oEOBpwuQyQLpbcgJtuLkA1wE54YGvNiLq4D/hYg37Hrgc38Lc24LovJrxGE8vPf/JMkAhhsxG7d8BMnq33/dOSc6Dwc4DfGDDR2BGl0dQiDhpdxOaCTDwnsASZeExgCbKgbp0jZiOP7b28gkz8pa/iVDtHW/pKkiHBo3QR1C5C2/ldxYnj+mlR4gT7h47HCNO6L8uO+gxi2DmndB8zpaUc6fVtocit3bzuO8tMY4Hi51/xChIh2Ces4m1vbPhTbKEQnCOFn6OlFbEgDYJHICjithYKQUIywtjE47YoD4+yWJAF1SUj5sKRKBMk4k0VuxooJPkRfE6nmjifCyjr3be7ssQJFpCtiV0NFJLcqI8fhlubIm6f0FKO9Poewphbm4oL6ljg+PlXxIJECNYJq4i5hzAKslR4lnhN6esQRsFxIZhogki1H3wjSEVEntoPYRRk4lGgCrKgekjEbETRILUdeyPIxJtCdZ7BKEmQ4AQ6lajz+0gTxwWzosQJ9o8tUZ1nMEqSoz6BGHJtGrV9Rks50n6bDgoTu5vhbKpt7JImu1U3HXDxImsXsaJRsOmAyzDBMfTTdMAloUgkMASEmg4SQ9NBcz+72c1btz8/0m/9CNaNltFJ0PvW8//xb17pHT3/3dO6pzeBwpKtnqWUYIc9rsjiS4JqthU7cBEiyyfxYtjRiMDFiCycXFLmctE1HeiSjQixKszhxJCNcHWdCCrc0h/gZjAFN4OpZFYMrAJnOwKbKNKXd9uOwEaLdObEdgQVLNoRlPW61bt81EiX3kUIAGQ2hg4au3waSL+9RDuCxn51IuztCGwWisgCvY5gZDcXwBqAR3zASI+IjqMQZqgEM1SCGSrBDJVIM7TPJ4l0qt31JLCRIl0roSdhYX7uOZ7bAz5iirtlLaB5lNpieko2BeGehIXZmU+AvSeBzQDpZ6k9CXrtLEA1wE54YNc2H1XYehKU++6zazSx/LznoySJELYisVsLzHyUJEuFZ0mIzP3koyTHhbAfS4isrfkoSSp+81GSTPzloyRZUHfDEbMRBtkgM24DD0WprEVCSpQgwQt0EY0uYtJwlr5QjsuqRYkTDCA6kKIkpETJUR9BDLmWhBRiRks50ut7KVhhayNQEXUscPz8i1RBIgTzhBWpni8FkxwdhR8dvLg10dgRpUEwxZ1oUUEqQlrUdimYJBWPYlSQBdUTIqZDxYO8ME7IUJSKNzHquBRMlB/B2HeqRefXmSrHBbWixAkGkK9F7ZeCiXKjPoAYbm1StH1CSznS69vRakmKaykaU8cCx8+/FBUkQrBOWCna3mf6J9jRKjlHCj9HSwtiQRoEf0AQxC0drZKERGSxpaNVkodHTSzIguqSEXMRF2oQGb3LUJSKN03s6GkV5UfwOp1q4vm9qspxUa4ocYINZGtiR0+rKDfqA4jh1qaJ2ye0lCNda+IsOotO0iLvp0dh0k/yIu4XydlpP0hP8uTktAhOVqKJE9NYaE2cUMcCx8+/JhYkQrBOWE3cxbmG452bd10nGnZ9mGHv/AezS8jgbZ+b5mFbdB4Ufh6W1r2CNAg2n6B7reX+gkxkBK/tbENJJh4lryALqsdFzIZT8gpS8SZ5nYcbijIkuJVORe/84lTluAlXlDjBALJFr/NwQ1F21IcQw65N9rZPaSlHWv/vry7ZUFCzf+mSt922zYbGyhOtbJWDrgryJl1PfbOWE8ZvsfE2rUgXfbPV/VriTesG6kbaN2sR+PF8Z/X8+73qq3qj9XtaNdZVoiZW22xWCY4VrVfWBPEZNkRFgsiEt8OGh2yfISjMtp1VJlBkCwxFQNr7SpkYkc0vy0pDJjpKowti/IxjN2SjE+kpvV48Yp7yO3zYSLdF7xCNAhvab/LRIt0WtUNUXXSIWq/9vMtHjXReJPmLXRq7fNhI79TeEYrFusfHqohY0asDxm9zAawBeMQHjHRc7MhAZdkgMR77tM8HjXRitD5Ou6G4x0eKdGWUPk510cdpNRIHfMQU98ZZELZBLtmQu+nbxOIc83EifRy5O1NtLkA1wE54YAFtoNKzPD6L+kdREvTD8PRMf3ZU9POT4jA5jk/TODqe8rGGno5YnB1+WtszUxpPLEFTkOrgRQlUTURuiRIh7IFhI9j3LuLS858sKow+rR7o1+Cgn8fV/fMfXHQu6lD2/Ed15fvHs+zIr/Q3P61LfyDm/RKOUoICoveqD6p3+qH5GdwWHSWFH6Wlw01BGoR9vw7DUkFCnvMfgkw85j8EWVC3XhGzYQuGBVl4S304gmZJegSbTwr82vIe6XyT3HFnsShxgv3jRzdhOshtzZiS5KjPHoZcW9qjfUZLOdK1Jo3jLD/OQtUPj47DfhKcKf22oOiH6rAIo9MgOS5OnluBJjUWA2hN6rrgyjgYOIL+NakgEYJ9wmrSvwdJqeXkw+oBHDIJavMzaLG0dGPCKZd/DWLURH5blLzCk19aagrSIJhavNQ8/9H56yYqz4pSERGZ2vUbD5q4LUrFo8oUZEH1dJjpMLEYirLwpjJD6y7mHVmCBDveqc6c3zSpHJeHihInGD+2zrTP6r4sOerThyHXpjPbZ7SUI+33FPrQtpvpvghKNemtvJyGiReZkcQKv67LaZisEhyrTsppmBAVCSIT3g4bHjIriReTrfuWTKDITCReKrrKaZgYkTnIZTUgEx0l34gYP5u2Y6JbdTkNFzbSbXVcTsNFi3Rb1HKa/KKcxnrp4l0+aqTzIqld7NLY5cNGeqdOy2m4WBURK3p1wPhtLoA1AI/4gJGOix0IOMtpuKCRTqzDchouUqQro5TT5BflNFYjccBHTHFvnAXhKKdhQvZeTsPFifRx5HKafHMBqgF2wgO7vqkLS/ZbB6AFjSeWoP/UhSARwpYXNoLtOHUhSF7hyS8dRQrSIOze4aNNR+pCkIrv1IUgFY+pC0EW1M1TzHSYWAxFWaxH6kKSIMGOk4K5ttTF/LpV5bhAV5Q4wfixIxZn6kKSHPXpw5BrS120z2gpR3qNy7ZDW4lMGlAHA0fQu86UJEKwT1iduaKybclRUvhRWlaQStIg2GS8IG1Lf0gSEpGl1rJtSSb+VKkkC6pfRMyGRZVKsvCmSu2aVJQeweZ3qUnTYKZgUsfdrqLECfaPrUldZdui5KjPHoZciyZFzGgpR9pzOY1NZbqvCEqb9FZdTsPFi8xIYkVix+U0XFYJjlUX5TRciIoEkQlvhw0PmZXsUE8ygSIzkRSdaC2n4WJE5iCXVYBMdJR8I2L8bMqOiW7F5TRs2Ei31W05DRst0m0Ry2nScFFOk1qv47vLR410XiS1i10au3zYSO/UZTkNG6siYkWvDhi/zQWwBuARHzDScfEDAUc5DRs00ol1V07DRop0ZYRymoWRuOcwEgd8xBT3xlkQ9nIaLmTf5TRsnEgfRy2n0StiAaoBdsIDu75pjshWTpNGNJ5Ygv7THIJECFte2Ah2VWkOwVFS+FFaOtwUpEHY5uswLBUk5DnNIcjEY5pDkAV1qxUxG7ZgWJDFOqQ5JOkRbD4p8GtLc8xv80wd17OKEifYP35040pzSJKjPnsYcm1pjvYZLeVIr3GJd2QtvYmpg4Ej6F+TChIh2CesJu22xFuSvMKTX1pqCtIgmFq81LSXeEtSERGZ9hJvSSoeVaYgC6qnw0yHicVQlIU3lekq8RYlSLDjnerM+Q2ZqePKU1HiBOPH1pmuEm9RctSnD0OuTWe2z2gpR9pzOU1soqeVY+KklzXprbychom3aTTWrJyGySrBseqknIYJUZEgMuHtsOEhs5J4Mdm6b8kEisxE4qWiq5yGiRGZg1xWAzLRUfKNiPGzaTsmulWX03BhI91Wx+U0XLRIt0Utp0kuymms90je5aNGOi+S2sUujV0+7IQIG700HOU0XKyKiBW9OmD8NhfAGoBHfMBIx8UOBIpikKcmzPt8zEgf1mE1DRcp0pNRqmmSi2oaq4044COmeDfOenBU0zAhe6+m4eJEujhyNU2yuQDVADvhgQW0xyo+jPPDsJ8fxaf9JD0r+od5eNIvjs+C0/g0PDnKjqZ8rJGnI/RmR5/WahpF44kl6D9zIUiEsOOFDWCvVNNsQRXM76v/1Q/UtFYmyoKgemwOYbZFqSo81aVDRkEahK26DkNLQUIi2QodgioTlduiVDxmKwRZUPdLEdNhi2gFWfjLViTBQBl97R1ZggTbTYrf2rIVar63bb1YdFeWOMEEsoMU+6zuy5KjPn0Ycm3ZivYZLeVIr3FVTGytikmpg4Ej6F9bChIh2Cestuy4KkaQvMKTX1ptCtIgmFq82nRUxQhSEdGZjqoYQSoedaYgC6qnw0yHicVQlIU/nemqipEkSLDjnerM+U2SqeNuUFHiBOPH15muqhhJctSnD0OuTWe2z2gpR9pzVUxioqeVo+tKqvT6lVQrr4ph4kUmFrHCr+uqGCarBMeqk6oYJkRFgoiABw3aW724d/7Tegb+WD0c9KoP9fh+daNX3goi/VWjgdLSDknpq9Sv3K83Jec63jiRO+xRQuY48Zq2dQeVCRSZ2MQrVldxDhMjMqW5rBRloqOkLxHjZ5OYTHReinMKu3DkwkZ6z46Lc7hokd6TWpyTXRTnWG+hvMtHjfShJNGNTWrv8mEjnWSnxTlcrIqIFb06YPw2F8AagEd8wEjHxY5HbKZinw8Z6cJotTmxqzaHixTpyCi1OdlFbY7VRBzwEVOcG2c5OGpzmJC91+ZwcSI9HLk2J9tcgGqAnfDAAlpcBzLwsca/jg0Adgxsrc1xX5BluJgZR9B//kSQCGHfDRtGr+qkG8FRUvhRwse8Jho7ojQIe40dBqWChETSLfaTbgSZeMy2CLKg7vciZsMWCguy8JZtceRaJOkRbD4p7GvLteTznXnr7aa7ssQJ9o8d2zgyLZLUqE8ehlpbpqV9Pks50mtc0ZNYK3oK6mDgCPpXpIJECNYJq0g7rugRJK/w5JcWmoI0CIYWLzQdFT2CVEQkpqOiR5CKR40pyILq6TDTYWIxFGXhTWM6K3okCRLseKcqc37xZeq4ylSUOMH4sVWms6JHkhz16cOQa9OZ7TNaypH2XNGjTPRuhlngpFc06a26ooeLF5mNxAq/jit6uKwSHKsuKnq4EBUJIgJeS0VPLFbRU0/5g+n3bBU93FFCJkbxmrZt85QLFJkOxStWR0UPFyMyEbqkFOWioyQ9EeNnkZhcdCuu6GHDRnrPbit62GiR3pNY0ZMFi4qezHoR5l0+aqQPJYlu7C7nLh820kl2WdHDxqqIWNGrA8ZvcwGsAXjEB4x0XOx4xF7Rw4aMdGHdVfSwkSIdGaGiZ2Ei7jlMxAEfMcW5cZaDvaKHC9l3RQ8bJ9LDUSt69IpYgGqAnfDArm/+RNkqejL3HV3XeGIJes+fSBIh7Lthw+hu8yeS5BWePD6UNdHYEaVB2ELEx5r2/IkkFc/5E0kq/vInkiyoO7iY6TCxGIqyWIv8iShBgh0nhXIt+ZMsnO22Z9ZLU3dliROMHzteceVPRMlRnz4MuZb8CWJGSznSa1w5rmx1OllEHQwcQf86U5AIwT5hdeaKKsclR0nhR2lpQSpIg2CT8YK0NfkhSEhEllorxyWZeFSlgiyofhExGzZVKsjCmyp1aFJJegSb36kmnd+omTnuSBUlTrB/bE3qUKSS1KhPHoZamyJtn89SjrTnip7URE9rzNhFLwya9FZe0cPE2zQZa1bRw2SV4Fh1UtHDhKhIEBHwXBU91fu3gkSmpEeLRP33nuhZnE2utaiHOVDI3GiHupYJFJkRpehVe1EPEyMyF7qsEmWio+Q9EeNnU5hMdKsu6uHCRjrQjot6uGiRDpRa1BNfFPVYr+O8y0eNdKMk1Y0VoLt82Eg/2WlRDxerImJFrw4Yv80FsAbgER8w0nGxAxJHUQ8XMtKFdVjUw0WKdGSUop74oqjHaiIO+Igpzo2zHBxFPUzI3ot6uDiRHo5c1BNvLkA1wE54YNc32ZJai3oSGk8sQf/JFkEiTffvmiBkJL2qZIvgKCn8KOHDXhONHVEahM3GDoNSQUKeky2CTDwmWwRZULd8EbNhC4UFWaxDskWSHsHmk8K+tmRLMt+ct97zuitLnGD/2LGNI9kiSY365GGotSVb2uezlCO9xmXmqbX8R1EHA0fQvyIVJEKwTlhF2nGZuSB5hSe/tNAUpEEwtHih6SgzF6QiIjEdZeaCVDxqTEEWVE+HmQ4Ti6EoC28a01lmLkmQYMc7VZnz60AzxwWvosQJxo+tMp1l5pLkqE8fhlybzmyf0VKOtOeiHuPR6lo5pk56YZPeyot6mHibRmPNinqYrBIcq06KepgQFQkiAl7LMT3GdbPDho/MWOLFZuuuJhMoMk+Jl5KuUhsmRmSGclmNyERHyUZixi9IB0ajO2Qj9FNuUwxyYwXoHT5upG/ruN6Gixbp26j1NulFvY31os+7fNRID0eSxIY1rdQgMC6PXT50pBuj19xEof7b9robLl5FxIteJTCGmwtgDcAjPmCkF2NHDVabsc/HjHRoHRbecJEi3Rql8Ca9KLyx2ooDPmKKq+OsB5edKNmwZYpv4igIHQU4XKxIl0cuwEk3F6AaYCc8sID2WMWHcX4Y9vOj+LSfpGdF/zAPT/rF8VlwGp+GJ0fZ0ZSPNVx1xOvskNVagOO8D+w6TyxB/+kOQSKEbTJs1HulAGcLCmd+X/2vfqCm5TVRFgTVY3Ncsy1KVeGp4uNME40dURpNL+2g0WG8KUhIJMWh41JlonJblIrHFIcgC+omK2I60nxQ5MYJGYpS8Zfn0BGESkwE78gSJBhwUlB3TVU08hzZfFfcejPrrixxgh1kRyz2Wd2XJUd9BDHknDO6j5nRUo70GtfTZNZ6GucdYKbBwBH0LzAFiRDsE1ZgdlxPI0he4ckvLTkFaRBMLV5yOuppBKmIiE1HPY0gFY9iU5AF1dMhpqMYpEFsYjIUZeJPa7pqaiQJEmx5p1pzfiFn5rhgVZQ4wQDytaarpkaSHPUJxJBr05rtM1rKkfZcU5Ob6Gn1WDjpRU16K6+pYeJFZhyx4q/rmhomqwTHqpOaGiZERYKIgFf9vHq/erd6HzZyv1H9U/Xb6oPqQ/3CL6t/rn7Tq4+z+VSP9MWBNg96egruVx/Bt87fhJ+q39ULi0EQDaIgSgd1MQ6U5vT19H1Uv/2z6WE4Vybw/Cf6PT/X//6seqy/BpX/oPoY3rYF7ZsP9Tsf1kvi815Uby/rl39QBwKvw/cf6Xd8r14fsHDgMq23erN1pH/1c8+9YBr5HfbIIxOpeK3cuj3LBIrMnuKVsKsciIkRmTddVuIy0VFypJjxS6KBMiEcshGKlANd8+/DZ3cODkYHMw9fTnaf2g3zYEt/CJ+G2Bvwg6vfCoze/g6fHtJ706uGwqIYFMa47pt8tEjvTa0aKi6qhqyXid7lo0b68C5EP5DZGDpo7PJpIJ12ewWRBTvA3rg6ETYWe3wWisgCvY5gZDcXwBqAR3zASHeIjpwQxqcE41Mijc8+nxrSgdLKjyKr4bnHR4p0o5Tyo+Ki/Mj6tB7wEVNcK2vZLKJRt8Ep2RS6KUVqNzbzCbAxGPMZIL0ruUCp2FyAaoCd8MDWQVkcnp0kQdIPToq4n6Qq7RdFGPbV0enR8fFZEEbR7DGwxv6OzQ92/G8rUMoDGk8sQe/5I0kihD1H7BbC1ROCxobIc1ayFP71tGbp/DXIKOmIE972pFcfIfT6dLtBx7iLsqaN2HI2kOT4KPz44CN9E40dURqEHdbuwmZJQiKJJntVkyQVf4kmSRZNOeFggY/Wi0EaGWdkKMrFW6qp0M7L6L3uyPIjWP0ugs556JkHs7xEbr2ddleWOMEOouMl9KTuy3KjPoEYbi2JJsSElnKk17ioKbcVNeXOC9NMg4Ej6F+UChIhmCesKO22qEmSvMKTxyvO6u1plg7EdX3oZt20PZPj96sv6gTPI9Dc05d+rz99rH9Av3P6xexH4ItfVl/1s6BXfaCH7qvZsD1cDNs8sVR9Bpp/fvUCCHj4249M47kjOp4Ek4+XvvbqKkkqIqLXXl0lScWj6BVkQXW5iOkIo0Fu1byCVLxp3jAIB6mxd+6OLEGCV+lU9M7vUc0dN+OKEidYQLbojYrQWl4lSo76CGLItane9hkt5Uh7Lq8y+gatYyMnvbhJb9XlVVy8yNQsVoZ2XF7FZZXgWHVRXsWFqEgQEfCkyqsimfvLvtR/GvZXF7raNLw77OFFJo3xirh1M5gJFJkCxutdRw0VFyMy+buskGWioyR6EeMXKbONHbIBrrCEKp4VMOSRs3qKzQzpnLutnmKjRTpnYvVUHi2qp3Lrxa13+aiRLroLTQ9kNoYOGrt8GkifvET1lMZ+dSLs1VNsForIAr2OYGQ3F8AagEd8wEhHiA6MEHanRNqdfT4rpNfsrnCKjRTpOwmFUwt7c8/xoB7wEVP8KWvFLOJMt60p2RSEC6cWdmY+AfbCKTYDpGOlFk7ptbMA1QA74YEFtGeH6kRH8an70gvgY43qHdsa7MjeWjgV03hiCfrPUQkSIewmYjcHpK5W+3X1f/V19Pu7vgrgfbYqKsHBUvjBIgT070DmSgfs9/UYTZuTrvY0LYbwSiwNYSpUmVnGdfbtemTvo4d0q1dnDi/apz7fmoJ5eLl/6sHsrw7mv17VzVQDyKVBwdtDyM7VG0Ia+xd1SdxX+r8/6nc+VW8afQHptgWtj6D/qkYN20jzK8/vV58PIMX5ZJrPq3F/3tu9WY53Dnr7B6PRs730//MPmXq6V39Tgz7/IWT6gO3H07atBhJNdmBaMzuia4awa93hLoUgIZHsnfU6O0kmHpN3giyomQPEbETZILVtjggy8Za7sx+MIEqP4Gu7iPIXsX48z/NY713elSVOsIHoAPXa0atJoqyncImyoz6AGHZtqbv2KS3lSPtN3UXGR1XL+8RJL2nSW3nqjom3aTXWLHXHZJXgWHWSumNCVCSICHhSqbtYLHVXr5UH0+9ZU3fM4UXuWHYoiplAkZuQFLFrT90xMSK3H5eVsUx0lK1GxPjlegCNx+UM2QhXmLtT8z30xJ274zJDeueOc3dctEjvTM3dJRe5O+s9wHf5qJE+ugtVD2Q2hg4au3waCZEGY0892bg6EY7cHZeFIrJAryMY2c0FsAbgER8w0hOiQyOE3SmRdmefzwrpNjvM3XGRIp0nJXeXXOTurA/qAR8xxaGyVswi0HTbmpJNQTp3l2xcnQBH7o7LAOlYybm7ZHMBqgF2wgMLaHEX1gMfa1jv2Ndgh/bW3J2i8cQS9J+7EyRC2E/E7g5I5e7e06HuO/3QHPZsi46Swo8SIZRHJ+2Wys8thu1rkFszzeyO6MwStpU73EUQJOQ5tSbIxGNqTZAFdWcfMRt5MQhz2+aFIJV1yK1J0iP4wi6i8EUsPr/2Pbde+74rS5xgBNEB5PVexygbRKmJ3b4sO+oTiGHXlltrn9JSjrTn3JpNfqdOeqpJb+W5NSZe5L4dVj13nVtjskpwrDrJrTEhKhJEBDyR3Fr1/q0gkUmuTYX4k0uAbOk15ggjNxU7FMZMoMh9QorgtafXmBiRO4TLSlkmOspuIGL8HJ1xTIArzK5l813u1J1d4zJD+ueOs2tctEj/TM2upRfZNesN43f5qJFeugtdD2Q2hg4au3waSLe8THYt3bg6EY7sGpeFIrJAryMY2c0FsAbgER8w0hGigyOE3SmRdmefzwrpNTvMrnGRIn0nJbuWXmTXrA/qAR8xxZ+yVswi1HTbmpJNQTq7lm5cnQBHdo3LAOlYydm1dHMBqgF2wgO7vtk1y86vDu/d9/Ne44kl6D+7JkiEsKOI3R9YVXZNcJQUfpQIwfyfs2vI7JrgzDZ1k2NmO9xEECTkObsmyMRjdk2QBXVvHzEbrsY1QSbrkFyTpEdwhV0E4YtQPJtnYjJHOC5JnGAD0fEjLbkmyY76AGLYOad0HzOlpRxpz8m1yETv5jz9b6OXNumtPLnGxIvctsOK566Ta0xWCY5VJ8k1JkRFgoiAB+fDbvXi3vlPZyeuP4S7ePX4fnVjDY6OZI4Scl+wQ23LBIrc6qNoVnuCjIkRucm3rBploqNs6CHGz3quORPeCtNjxXybOnenx7jMkB624/QYFy3Sw1LTY/lFeix3pMe4qJF+tgtlDmQ2hg4au3waSMe6THos37g6EY70GJeFIrJAryMY2c0FsAbgER8w0g2iwxuE3SmRdmefzwrpMztMj3GRIj0nJT2WX6THrA/qAR8xxZuyVswiWHTbmpJNQTo9lm9cnQBHeozLAOlYyemxfHMBqgF2wgMLaHHnygAfa2ju2Jtgh+fW9FhB44kl6D89JkiEsCeIjfCl0mPIgyMFB0vhBwsfleOzZH8+OHLZ9Jvt4EjBNUPYe+5wj0KQkOf8myATj/k3QRbU7X/EbETZQJmIDEWJrEP6TZIewdV2EeQvQv1inqspHOG+JHGCCUTHp7RzIyXZUZ8/DLu29Fv7lJZypD2n32ITvZth4b7HOWvSW3X6jYsXuS2IFecdp9+4rBIcqy7Sb1yIigQRAa8l/bba4x+5o4Tcd+xO2nKBIrcSKZLVmn7jYkRuIi4pRrnoKBuGiPGzWMohG9/q8m9FONsHLwJn/o3NDOliu82/sdEiXSwx/1YEi/zbdJhNqO/yUSMdbRfSHMhsDB00dvk0kJ51ifybxn51Iuz5NzYLRWSBXkcwspsLYA3AIz5gpB9ExzcIu1Mi7c4+nxXSaXaXf2MjRbpOQv5tYW/uOR7UAz5iijtlrZh5tNhia0o2BeH828LOzCfAnn9jM0A6Vmr+Ta+dBagG2AkPLKDFlccCH2ts7ticYMfntvxbEdJ4Ygl6z79JEiFsCmJDfKn8W0t7muQoKfwo4eNxfOJtqRzb1789TXJmCXvDHe4hCBLymx6TZOIvPSbJgro9j5iNfFDYti4EiaxBekyUHsETdhGDLyLxcJZLmX5iIr4rS5xgAtHhI6k7TZQd9fnDsGtJjyGmtJQj7Tk9lpjoafEdOenlTXorT48x8SJ37bDauev0GJNVgmPVSXqMCVGRICLgudJj63CCI3egkDuDHapbJlDkZh9FtdozZEyMyG2+ZfUoEx1lSw8zfjaVyYS3wgRZPN+ojtwJMi4zpJPtOEHGRYt0stQEWXSRIIscCTIuaqSr7UKcA5mNoYPGLp8G0rcukyCLNq5OhCNBxmWhiCzQ6whGdnMBrAF4xAeMdIPoCAdhd0qk3dnns0L6zA4TZFykSM9JSZBFFwky64N6wEdM8aasFbOIF922pmRTkE6QRRtXJ8CRIOMyQDpWcoIs2lyAaoCd8MCub4IssSbIYhpPLEH/CTJBIoRtQWyQv6oEmeAoKfwo4SPyPyfIsAkywZkl7A53uIUgSMhzgkyQiccEmSAL6gY9ZjYsPdlDUSLrkCCTpEfwhF3E4ItIPJ5nU2JHNC5JnGAC0eEjLUEmyY76/GHYtSXI2qe0lCOt//dXl3diQIL/pUuTd5wxUya+Wo0nDr4qDJp8PWXMQkv4cIsNuGlHukiZ1aru81o0fQynEoC+0MJNi+fXq4eg0epzC0BaPaw+05oOBKH+9g/0v9ODBuB7U3FdCzBQnQ/Of2Yivs0mnuCId5JVY0JUJIhMeDtseMhNPIIQfWzcA3iWjRC5IUdRlvYkFhMjcituWc3IREfZdkOMn3Hshmx0IjksgsDjwkb6NHqCKk1DC9pv8tEifRo1QZVcJKgSR4KKixrp2EjiGLs0dvmwEyJs9NKwYd3jY1VErOjVAeO3uQDWADziA0Z6LHbcEOk/PgiNyZp9PmqkF6OlleyW4h4fKdKXUdJKyUVayWolDviIKf6NsyJsT13JhtxNGgmLc8zHiXRy5GRRsrkA1QA74YEFtGfJ6VGRpof9I/0vRKtH/Tw4O+oHgdKBbJ6HhZq5QWtg6gjV2cGpNVmkaDyxBE0hrIMXJYw1EbklSoSwRYYNb9+e1nfOI9iHkLOo8w2zIlEoGIRMxMf6G9+vkwyP67d+CbkE/bYvp2/4teEIv2kh6WP95afnb1x+6b3ql9X/6F8NoqvPn7r778ZbF6Fz/yJ2fnqrB/WS1WfwV89fqxMgr+kf/gggzrIXYT/cUuc/1O/8QP8gEHhUPelD7kT/6IMpj61eshWH+k98Ypq6bdGpU/ipWzr6FaRB2KvER8nnPzp/3UTlWVEqMokaE4/bojw8pmkEWVC3iRFzYQvNBVmsQ45Gkh7BAZHC0LYcjZpv6CtHjkaSOMHusWOtOM9t07ovy4768GHYteVo2qe0lCNdK2R1WmSnSa76x6dnYT85Okr7xWFy2lfB6YmKovTs6GQ27X4VsnHLWCvklDoYOIL+FbIgEYKBwivk64q0rri5P038gGh+ve6lqhM85f52798N/93NXqn/8OnLdcXOZ/q9P67fBnL5sX6t/hUP9KfBVgyHS5tGalt0pBR+pJYWpII0CIYZL0jtaRtBJjJ6dBDEJiq3Ral4lKSCLKheETEdNkkqyGIdJKkkPYLF71SSpnP9kjokqSRxguVjS9IoCBySVJId9eHDsGuTpO1TWsqR9txXn5roaZHpvtS2aNJbfZUQEzAymYoViSuoEmIST3DEO6kSYkJUJIhMeDtseE3DK1glxESIzK+SZKS1SoiJEZlZXVYfMtFRsqiI8bPpPia6VVcJcWEjfVrHVUJctEifRq0Syi6qhKy3y9/lo0Y6NpIWxi6NXT5spFvqtEqIi1URsaJXB4zf5gJYA/CIDxjpsfhhggqKQWG8j3GfjxrpxTqsEuIiRfoySpVQdlElZLUSB3zEFP/GWRGOKiEmZO9VQlycSCdHrhLKNhegGmAnPLDrmwNJrVVC7rtdr/HEEvSfAxEkQtgRw4a3q8yBCI6Uwo/U0sGmIA3CTmAXQakgE985EEEqHnMggiyo27CI6bDFwoIs1iEHIkmPYPFJcV9bDiSfb5jnjhyIJHGC5eMHN84ciCQ76sOHYdeWA2mf0lKO9BoXrqfWspyCOhg4gv4lqSARgoHCS9I/F65Ph2JbdOoUfuqW1siCNAieAq+RHYXrglRkRLKJx21RHh4VsiALqpNGzIVNIQuyWAeFLEmP4IA6Vcjzm8wLx+X0osQJdo+tkN2F65LsqA8fhl2bQm6f0lKOtOcqIeN2881oNtcWetG1IqhVVwmxASOTqVjN6r1KiE08wRHvoEqIDVGRICLgXdzNAVdx6GcQ/rm0tW3Y+t45Ozv9T68c9vZfevHs9OWXn3/xhcNv9YIw7O3DBOX1Z729w1e++5J+ff/5F07hZM6tXhgEQe9ve5p6T4cV0UAp2P9u3SYf5D3bPvkOexiRuWG8KLZtHLMRIvPABK1rrWZiY0RmgJfTsWx0lGwvYvyixNKkNGQjXG1FEx820v92WtHER4v0v7SKJg1nXtGkP7VWNPFRI50wSbdjl8YuHzbShdIrmkL9V7NsEJnLmviAFREweonAIG4ugDUAj/iAka6LHdckYZIOAmOl/D4fNdKd0cqaikKLYOP43uMjRTo1fFnTham45zAVB3zEFEfHWRFhEGrDHFsuSC3ZwGWKm6IkDkM1yI3rYswHi3R6xAonWBwLUA2wEx7Y9U0nZZYKpygIaTyxBH2nk0SJEHbzsKH5n9NJ86nbFp06hZ86fOR+/oPZzRawE9nTo/ZG9REE4JCfGZg47ohyJOy54sNqa65JlIrHXJMoD2+5JlEW1O1uxFxE+SBRJiZDUSarzzfJ0iN4KFLc6s43aU7T5MTsExPxXVniBNvHjstcFVmy7KgPIIadO9+EmdJSjvQaNwlkloqsKIiog4Ej6F9CCxIhGCi8hF5Vk4DoSCn8SOEVa/U/Z4oVbNklxWpJnuyIMiTYbLxetaeBBJnIyFVb/4AoFY+KVZAF1WEipiNSkDA17soORbmsg2aVpEdwCZ1q1mgucOzXocsSJ9g/tmaNc5dmlWRHfQQx7No0a/uUlnKkPddIGdvetQqNnfTCJr3V10gxASPTs1gVuYIaKSbxBEe8kxopJkRFgoiAp0X++/180Kve1TPxqdawj6alUTC8MFt67M9/cP5mr7pfPYZrlPVLD/TUwITev9Grfq+n5ov6imXYsX083Ts/f71X/bz6oPqwer/6ea/6XfVu9Yfqw61ePZ0P4Lu/BnkMNx7rF78HlzZP71aGuT1/a8sYOTR21fUf0+97vd6S/3G9Ru73kn7qKKdijjgyJ92FjmYiROafSfrYWk7FxIjMPC8rfJnoKFlmxPglamCssx2yAa66mooLG+mpO66m4qJFempqNVV8UU1lvb72Lh810l2TFD52aezyYSOdLb2aKg6iIBtktmIqLl5FxIteITCGmwtgDcAjPmCk42IHQK4zoviokc6sw2IqLlKkS6MUU8UXxVRWS3HAR0xxc5wVEYZJFqSDoDDhLtm4ZWqpEhWHelUoE9YxHyvS45FLqeLNBagG2AkP7PrmgXJrKVVC44kl6D8PJEikKQdcE4SM4FeZBxIcKYUfKXw8baKxI0qDsNnZRZAqyMR3skeQisdkjyAL6k4zYjqSbBBkRvs+FKWyDrkeSXoEs0+KBNtyPck8MWC9+nhXljjB/PFDHWd9kiQ76hOIYdeW62mf0lKO9BqX+OfW+iRFHQwcQf+6VJAIwUDhdemfS/ynQ7EtOnUKP3VLC2VBGgRPgRfKjip+QSoyStnE47YoD48yWZAF1Ukj5kINjEHLUJTHOmhkSXoEF9SpRlZzQWW/7FiWOMHysTWy68woWXbUxw/Drk0jt09pKUfacz2UcTtfq97USS9q0lt9PRQTcNNsfP3qoZjEExzxTuqhmBAVCSICXvXz6v3q3ep9GNxvVP9U/bauY3pXq/5/rn7T05J9XiX15PyHdQDxoAelUFqs62+dvwk/Vb+rFxaDIBpEQZT2nqpn87NBmD896FW/62fMc6j0SAS96sPe3ef/49+80tt+8YXjl05fqU+g6qkgOP++gs6D1we9aEvV50ptNffdP5/vu3/eC7acZ08xpwOZc8bLa/s+NBMhMr9MUM2OYikmRmRmeVlFzERHySIjxi+KVDwwupghG6JIudQ1STB8dufgYHQwEwXlZPcpLeOyLf0hhw/F02CfgQRIhK3AqBLu8DkivX7HtVVctEivT62tSi9qq6x3/N7lo0a6/i6iBSCzMXTQ2OXTQDry9lorC3aAvXF1Imws9vgsFJEFeh3ByG4ugDUAj/iAkd4QHXIhLFAJFqgEC1QiLdA+nx/Sl3ZYq8VFivSolFqt9KJWy/rIHvARU7wsa+0sQlm31SnZFLop22q3OPMJsDEY8xkgXSy5mCvdXIBqgJ3wwNbaOznJsuPTuH8U5nk/SVXUP4xPj/pJcXgSHqWHJ7k6nvKxbhw4dk7YmwfWYi7nDYfXeWIJ+k+aCRIh7Fhitx9+Vfemf1m3znxch59/Pd1IgFd1DAoJqFd1mHh/mvWa1nh9DIkwyFj19T8P6zTW9F0P63Ra/S7T6GyLjo7Cjw5+A8BEY0eURlMmOGgQAmdLpvBZUSoiealgANLvOpXbolQ8pqYEWVD3xhHTEcf5IMiNMzIU5eItPZUWA5WY+N2R5Uew9l1EnIu4M5snM6wXU+/KEidYQHSwhJ7UfVlu1CcQw805ofuYCS3lSK9xBVdhreByXoBoGgwcQf9iVJAIwTxhxeifK7jmU7ctOnUKP3V4pXwxe23hQT1LKsp7O9996cWXXzl8qXfzW9966cXvvnDSiwIYkYEeOJj5+rc8hDzVq3oeXtNzrn8xdIioetyc52kJDh/BP+EVuqNyTJCKiEK3VY4J8vAozwVZUMUBYi4S497pUJSGN2XuKByTpEfwfJ0K83yu4+zXccsSJxg+tjAPgyhQ9soxSXrUxw9Dr02bt89pKUd6jbt+C3PFq9bmBXUwcAT9a3NBIgQLhdfmq+v6FRwphR8pghRe83IuwfEkuAi8NraXfQkykZHG9vZjQSoe1bEgC6p7RkxHFEfhQIW247kEyayDRpakR/BAnWrkYq6n7BdyyxInGEC2RnY3IEuyoz6DGHZtErl9Sks50n6bK2LjnN6MwsBJL27SW3lzBRdw02x87ZoruMQTHPEumiu4EBUJIgKeQHPFmt/s/dwLpinZYU9J09nINVhwESKLQkkK2tZgwcWILAddUhpz0VFKPxHj57jcm4twdf0VYbilP0TwIZ5VN4eBs7+CzRHp+Lvtr2CjRTp+Yn9FeHETeOi4CZyNGun9uwgYgMzG0EFjl08D6cuX6K/Q2K9OhL2/gs1CEVmg1xGM7OYCWAPwiA8Y6QzRURfCApVggUqwQCXSAu3z+SFdaXf9FWykSIdK6K8ILy4Wtz+yB3zEFCfLWjvzaLbF6pRsCsL9FQuLM58Ae38FmwHSxVL7K0K4d9xsbSY8sGubNosDW39F6L5B8hpPLEHvaTNJIoRNS+wOxArTZpIjpfAjhd8PWE1Mbhi7HdGxI+wQdxG4CzLxnCKTpOIvRSbJgro9j5gO53WMklzWIEMmSo/gbLoIeBdh7/y+6dBxhbgocYL9Q8dqpAyZKDvqI4hh15IhQ0xpKUd6fRs8tBo2OkWthiPqYOAI+lfDgkQIBgqvhv/c4DEdim3RqVP4qcPL8/Vq8JAcPoKHwit0e4OHJBUZiW7icVuUh0d9LsiCKg4Qc5HYjgaW5LEO2lySHsH1darN5/dqh46r0kWJEywfW5u7OzxE6VGfPwy9NnHePqelHOn1PQpIi3Oj4dLiPKYOBo6gf3EuSIRgobDi3PNRQJKjo/Cjg9e/Jho7ojQI1hivQ+1HAUlSEdGh9qOAJKl4lKKCLKiuEDEdcTrIchOToSgTb2LUcRCQKD+Cre9UjcZz5WK9fXhXljjB/rHVqOMgIFFu1OcPw61NirZPaClH2nMnha0OInHSS5r0Vt9JwQTcNBpfv04KJvEER7yTTgomREWCiIAn00nxdvV+P9f/vrv48bqZAuYMloCe0PMfnL/Z07/n8fn36iqLB3q+YZXcv9Grfq/n+wtYMXr+H1SPpzv4PY0UoL1f/bxX/U4j/EP14VavXiEP4Lu/1rHGR/oXfq5f/J7+9wv96yBHUMcRW8aajsbO/gPojK5jmEfwtnqhJf3UVevBnEVkvSlBmVtrOJgIkRWjeMHtar5gYkTWii6rpJnoKHWhiPGLgkGkTAiHbIQrbL5Q0HeRwodsXvqcuJsvuByRWqHj5gsuWqRWoDZfJBfNF9areO/yUSMFQxcRBpDZGDpo7PJpJEQajFLoZOPqRDiaL7gsFJEFeh3ByG4ugDUAj/iAkc4QHaYhLFAJFqgEC1QiLdA+nx/SlXbYfMFFinSolOaL5KL5wvrIHvARU5wsa+0sAmC31SnZFKSbL5KNqxPgaL7gMkC6WHLzRbK5ANUAO+GBXd+MVmhtvlA0nliC/jNagkQIu5zYTQvfGS3B0VH40cFvG5ho7IjSIOzoEuJme0ZLkIrvjJYgFY8ZLUEW1B11xHTEgyC2ZbQEmaxFRkuSH8HWdxFvLqLO+T3doePqdVHiBPuHDpXQk7ovy436/GG4tWW02ie0lCO9xp0PobXzIaUOBo6gfykqSIRgnrBS9M+dD/Op2xadOoWfOrxOXrPOB8HhI/gnvD53dD4IUhHR57bOB0EeHsW5IAuqOEDMRTCIlYnIUJSIN23uaH2QpEfwfZ1K83Su5Bw3nosSJ5g+tjRvaX2QpEd9ADH02tR5+5yWcqTX+JSe0Nr64L6FzzAYOIL+1bkgEYKFwqvz1Z3SIzhSCj9SBDHcfWGXaWR2REeGYOzxOtdevyXIREbm2s/gEaTiUekKsqA6WsR0RMEgV7Z9aEEq66B1JekRPEmnWnd+IW/ouGFZlDjB/LG1rvsIHkl21CcQw65N6rZPaSlHWv/vry7Pa6L/+UuXpu2418K21+y6t06FUZOvr16LdJCYAN9iA27akS56LeYbw9Oa+ysbvvrfT6btF49ArNZK6rVFZ8VsgxmEWa2vZm9GNFww2Sc49p00XDAhKhJEJrwdNrymOV6+kwAWAew1PzYBfZYNFFkFSRKa1oYCJkZk/eOyCpKJjlLriBg/49gN2ehEmgkIYo8LG+nf6P0BUWhD+00+WqR/o/YH5Bf9AdbLZO/yUSOdHEkoY5fGLh820ju19wNgse7xsSoiVvTqgPHbXABrAB7xASMdFzuGSIJikCYm0Pt80EgnRivltxuKe3ykSFdGKeXPL0r5rUbigI+Y4t44C8I2yCUbcjel+1icYz5OpI8jF+jnmwtQDbATHlhAGxwdn2RBeNw/PFFZP4kPk36RqtN+fpqchcexKor4aMrHGqM6onZ2nGot0C9oPLEETdGsgxclojURuSVKhLBbho1037scwUL5U13dVL9WR7EPzt/Qcez93lPzbz2pPjr/79UDSB9AcAxVSG9Xv3h6Vtavgvrk//rz3jMv3r37zZ293r/fGZYlXBLQC8M4m37zmRe/9a3/dPrCLGLGoph/51NIaeiI+4tZbF13EHxaH3vQO/9R/fIj0/Rsi06Pwk/P0nGuIA3C1mSH8bAgIaEEja0SSZCJx/yMIAvq7jBiNmxRuCCLdUjNSNIjOBtSxNmWmplfNh067g8XJU6wf+ywKs6iQWLLzEiSoz57GHJtmZn2GS3lSHs+9MpSVhQFDnpppJr0Vp6I4QJG7lFh5emKEjFc9gmOfReJGC5ERYLIhLfDhofcz+pOeHKBIvewKILSmojhYkTuXi0pFbnoKDtViPGzSEAuuhUnYtiwkf6t20QMGy3SvxETMdHFLdmR45ZsNmqkkyPJYuzS2OXDRnqnLhMxbKyKiBW9OmD8NhfAGoBHfMBIx8WOGFyJGDZopBPrLhHDRop0ZYRETHRxobXdSBzwEVPcG2dB2BMxXMi+EzFsnEgfR03ERHBNtdkwTHhg1zcRE9sSMZH7lsJrPLEEvSdiJIkQ9sawkS42BfKnkoiRnB6Fn56l41xBGoSNyA7jYUFCfhMxkkz8JWIkWVA3gxGzYYvCBVmsQSJGlB7B2ZAizpZETDS/0zhyXFMtSpxg/9hhlSsRI0qO+uxhyLUkYhAzWsqR9pyISUz0tLyNnPTSJr3VJ2KYgJF7VFh5uqpEDJN9gmPfSSKGCVGRICLgwUO91Yt75z+tZ+qP1UOt8j7Uo/7VDRD2v+sbc5M7bALIHa8OpSkTKHKXiyI57akaJkbk/tayYpKJjrKXhRm/IIwGeWHCOGRjXHXChgsb6Qc7Tthw0SL9IDVhE10kbKyX9N7lo0Y6Q5J8xi6NXT5spBejJ2yiMMqCdFDYsjZcwIoIGL1EYBA3F8AagEd8wEgfxg4vnFkbLmikP6NlbeLQdizWPT5SpFejZG2ii6yN1VIc8BFTPB1rQYRJAXdQpSbcJRu3TOomDosgtR3yN+aDRbo8cv4m2lyAaoCd8MCub/7GclulDnBjGk8sQf/5G0EihC01bICMzZz8yeRvBKdH4acHHx43xmY+bv/+rh7rXn1z5mMYpF4fBgGOFIaDhMPEaKh3ROkT9j07DK4FCXnO+wgy8Zj3EWRB3XvGzEYIFyhntphekMw6pH8k6RF8FSl+bUv/zK8qjxx3z4sSJ5hBdnzmTP9IkqM+ghhybemf9hkt5Uh7Tv8oEz2tjhMnvaxJb/XpHyZg5I4XVt2uKv3DZJ/g2HeS/mFCVCSICHit6R/jCtthE0BunXWoUJlAkdtlFOVpT/8wMSI3ypbVlEx0lE0xxPjBpmhsFO9DNsRVZ3+4sJFusOPsDxct0g1Ssz8X96pHjnvV2aiRvpCknrFLY5cPOyHCRi+NXBVK6w5b8oeLVxHxolcIjOHmAlgD8IgPGOnB2MGFM/nDBY30Zh0mf7hIkT6Nkvy5uAbdbigO+Igpfo6zIMI0S9NikCkT7pKNWyb5E0Z5EUeD1Ah2zAeL9Hjk5A9cc242ERMe2PVN/ihr8kfReGIJ+k/+CBIhbKhhw2Ns2uVPJvkjOD0KPz344Nid/Hnt4iLNRvrHfPf0jugAEPY9OwyuBQl5Tv8IMvGY/hFkQd17RsxGooJBlNhiekEu65D9kaRHcFak+LUt+zO/1jty3NMuSpxgBdkBmjP7I0mO+gRiyLVlf9pntJQj7Tn7Yyza0PI4ddLLm/RWn/1hAkbueGHl7aqyP0z2CY59J9kfJkRFgoiAV/28er96t3ofxvwb1T9Vv63vgny3+mX1z9VvdLyh50/LfVC45z+s78d8UN97Xn0E3zp/E36qflcvLAZBNIiCKB3MuoYGzcjiknqGcIReO8UcNOR+XYeimAkUuUdHEbv2jBMTI3J3blkZy0RH2YnDjF9QFIPIBHHIhiiScbrmxIfP7hwcjA5mbryc7D6ldVf2NFhWgA6ufCswevM7fGZI79xxUoqLFumdqUmp9CIpZb08+y4fNdJFdyHqgczG0EFjl08D6Wvbk1QW7AB74+pE2Fjs8VkoIgv0OoKR3VwAawAe8QEjXSE6MkLYnRJpd/b5rJB+s8PcFhcp0ntSclvpRW7L+qAe8BFTPCprxSwCTbetKdkUuklztduZ+QTYGIz5DJCOlZz7SjcXoBpgJzywgPbkNIzSk7OzfhydBP0wPD3tH4ZB1D8J0zQ8PA6OjoqZE7OG9Y59DXZob819ue/2vcYTS9B/7kuQCGE7Ebs5gM06teW+6liyznvN4spnDl/6T73bLx3+l16gQ8lF1In+gx2kuQRnQuFnAr8LYKKxI0qjKUQcNDqMywUJeU5WCTLxmKwSZEHdKsfMRhQUg9C2HSDIxVuyKlbBIDH2Yt2RJUjwL11Etov4NpsnNzJHjCtJnGAH0UEZflb3ZclRn0EMOeeM7mNmtJQj7TldlZnoaUXruvszjYomvdWnq5iAkXthWEW6qnQVk32CY99JuooJUZEgIuCtMl3FqPZiDhtyl65DYcwEitx4owhee8KKiRG55baslGWio2yvIcYvK7JBbEI4ZCNcYb6qmO8b5+58FZcZ0j13nK/iokW6Z2q+Kr/IV1nvlb/LR4300V2oeiCzMXTQ2OXTQDrbZfJV+cbViXDkq7gsFJEFeh3ByG4ugDUAj/iAkZ4QHRoh7E6JtDv7fFZIt9lhvoqLFOk8Kfmq/CJfZX1QD/iIKQ6VtWIWkabb1pRsCtL5qnzj6gQ48lVcBkjHSs5X5ZsLUA2wEx7Y9c1XZdZ8VUHjiSXoP18lSISwn4jdHcCmj76O+SrBmVD4mcBvA3QRmwtyJmzqdhjDCxLynNwSZOIxuSXIgrqxjpiNPMsGgW3rQJDKeuS2JAkSfFEXUfAiFi7mmZDCEQ9LEieYQXQAh5/VfVly1EcQQ64tt9U+o6Ucac+5LaPbvhnFgYteHDTprTy3xQWM3DfDqtcV5ba47BMc+y5yW1yIigQRAU8ut6X0v2/r3/SO/r/fVL+r/pf+Q+/o3/p/wrfhb/5B/7HfVf/39F2/r36hv3xH//d+/dd/Xv8cvDsM8jze6lUfn7+pFwcAug/yG4KZrd75D6Ya/EYvCaPe</t>
  </si>
  <si>
    <t>UweH3+plQZIazdQOe9SRG4LdyWouUOQeH0UuW1NjXIzI3b0lhTAXHWUnDzF+UTAw1ksM2QBXlxmLw9kOdRw4M2NsZkjn3m1mjI0W6dyJmbE4WGTGpsNsQn2Xjxrp4buICYDMxtBBY5dPA+mql8iMaexXJ8KeGWOzUEQW6HUEI7u5ANYAPOIDRjpCdGCFsDsl0u7s81khvWZ3mTE2UqTvJGTGFvbmnuNBPeAjpvhT1oqZx6kttqZkUxDOjC3szHwC7JkxNgOkY6VmxvTaWYBqgJ3wwALaQ3WUqtPjtJ8dqbyfnCVhP4+Kop+kZ6dhcFSoLDie8rHuCji2Rdg7A7bMWOy8gvo6TyxB75kxSSKE3Ujs3gI2UdWWGZudYpjO0mP1F//+Lnz9b0+/9a3bLx1+txeEcT79xp27adDf317teYaSE6XwE4XfYzDR2BGlQdgE7jBoFyTkNxcmycRfLkySBXUjHjEbUTTIbHsFgky8pcLCKBsEllSYKEGC8+ki7F0Ev+EscTL9xER8V5Y4wQqiIzb8rO7LkqM+gRhyLakwxIyWcqQ9p8KMc6rlbuSkFzbprT4VxgSM3CjDytVVpcKY7BMc+05SYUyIigQRAU8uFZZea/PS8/dQ/+AX+uPnvfOf6u/drxfIw9mv/nwRXTxV/bqe/C/0n/7y6Vnt2eXEVxjr0OUX+rt/1P99DD9rGucd9jgj9/w61NFMoMhtPIo+tie/mBiRG3jLKl8mOspmHWL8cjVILadscxGuMPsVz3ehI3f2i8sM6c87zn5x0SL9OTX7FV1kvyJH9ouLGunUuwgDgMzG0EFjl08D6Z2XyX5FG1cnwpH94rJQRBbodQQju7kA1gA84gNGekJ0LIWwOyXS7uzzWSHdZofZLy5SpPOkZL+ii+yX9UE94COmOFTWilmEpm5bU7IpSGe/oo2rE+DIfnEZIB0rOfsVbS5ANcBOeGABLa4uFvhYNwIcOyHszQBr9ium8cQS9J/9EiRC2IDEbidgs01t2a817AuTnAmFnwn8vkH3kbrgCBD2hDuM6AUJec6MCTLxmBkTZEHdl0fMRpEMwsy2kSBIxVtqzNUlJkqQ4Jm6iIkXkXE8T6TEjuhYkjjBDKLDOfys7suSoz6CGHJtqbH2GS3lSOv//dXlCBEU8V+6JHK3uTLzrWxaHCcOvipMmnx95costWy32ICbZmTJXNm71UegLLVwmufKIDeiBeZXoKz0f5/P5Cskvx7UOZjHIEDqz77UP/h6LUo/n2XT9Jdf1F+CcP2sul+nWV6dv/Yj/Sf0nzENyDZ7QBLcgHSSPmNCVCSITHg7bHjIvTaCRn1sDNWfZSNE7ptRRKc93cTEiNwxW1ZOMtFRdscQ42ccuyEbnUiq6Rpm60WtbNhIX8fII8WuRBIXLtLZURNJyUUiKXEkkriokR6PJJqxa2OXDzshwkavDRvWPT5WRcSKXh0wfpsLYA3AIz5gpMtixxNhGhUDFZtQ7/NRI90YLf3jMBX3+FCR3oyS/0ku8j9WM3HAR0zxcJwlYRvkkg25m3wPFueYjxPp5shZnWRzAaoBdsIDC2gPi/jsMMkO+3mWR/0kVEX/MFVZP8sOk6Q4PFIn2YyPNWR1BPHssNWa1VE0nliCpuDWwYsS4JqI3BIlQtg7wwa+H1yKch/W4eqXUBeoY9wfQhiso9yHveph9dnluBcqBh9cSrRcCYPv96r39Jf61Q8g76N/+Ze9aUlpHATn30/hQxhe6nx65hn9mv7egWk8t0XHU+HHc+mgVJAGYWcRH7ye/+j8dROVZ0WpiKRWjKb1tigPj4kVQRbUXV3EXNgiZkEW/nIqRWqPrSUJEvwCKTxsy6mo+Q68cuRUJIkTLB87BrLP6r4sOerThyHXllNpn9FSjnStW4+Kk/g0PA77aZCE/STJT/tFnBf94ljF2WmmkqNk9jz71a3GrVytW1PqYOAI+tetgkQI9gmrW9+GAqDL+ZZ5h8znICqrf6zV6PfqjA5kXiCrAwp12ugCxSNQX/Tb6u1+3XEDR7/9um7G+dA0Otuio6Pwo7O0ChWkQbDFeBWqY4xPTFSeFaUiokJDswm5LcrEow4VZEH1hIjZsOlQQRbedGiYDorUxO+OLD+Cme9UhqZz0ZI6ZKgkcYLpY8tQ66Tuy3KjPnsYbm0qtH1CSznStQqNlDqNjk6V/uaRfu+Rivp5cqK1axEnYZSHx3kxM61+VagxFaNVqOuiV+Ng4Aj6V6GCRAjmCatC/+FSac/9XvU/tST9rN4m1Yq0V32wE8d/DXI0jHvwRtglrfWocWNtW5S8wpNfWmQK0iBY2k5EpiAVEZGp41RlonJblIpHlSnIgurpMNNhYjEUZeFNZSbZIElM/O7I8iOY8U5V5vzC9dh64fquLHGC7WOrTOuk7styoz57GG5tKrN9Qks50tO9zqPj08OzuOirJDnuJ1l+1j9MA9VPwqP8JDw6PInVSvY6jStAq8ycOhg4gv5VpiARgnnCqsxfnb8KafRpG+W0OP0N2N+sm/xerdsc6wOdpnubv6t+Xu9p/rb6PVxvMTtstPrH6p3Z3Rgf9uqrMd6uPujd3Vdhr/q5aZS2RUdJ4UdpaTkqSINgkjuRo4JUhOQo1FRep3JblIpHOSrIguoSMdNhYjEUZeFNjub5ILfl3iX5Eex9p3I0n6sXxy3wosQJto8tR62Tui/LjfrsYbi1ydH2CS3lSPs96TOxFYEWDnppHDXprb57kQm4aTT+dLoXmQOS4Aakk+5FJkRFgsiEt8OG1zTHgt2LTITItg+8unR1LzIxNqWjUPciEx2ltwMxfjY5yES36u5FLmykr+u6e5ELF+nsqN2LxUX3ovXW3bt81EiPR5LI2LWxy4eN9Euddi9ysSoiVvTqgPHbXABrAB7xASNdFjt6CJO0GBTGCy72+aiRbqzL7kUuVKQ3o3QvFhfdi1YzccBHTPFwnCXh6F5kQvbevcjFiXRz5O7FYnMBqgF2wgO7vpkRyxltN6PZcTxonliC3jMjkkQIO2XYwHdFmRHJUVL4UVo21JSkQdgdJISk1syIJBXPmRFJKv4yI5IsqLuzmOkwsRiKsliHzIgoP4K9J4V9LZmRJJhtpCeOW8BFiRNsHzu2cWRGRLlRnz0Mt5bMCGJCSznSa1wObuko0nI0pA4GjqB/OSpIhGCesHK023JwSfIKT35plSlIg2BpO1GZglSEVKatHFySikeVKciC6ukw02FiMRRl4U1lOsrBRfkRzHinKnN+MWviuGpXlDjB9rFVpqMcXJQb9dnDcGtTme0TWsqRXuOjL0Jb02ESUQcDR9C/yhQkQjBPWJXp+egLydFR+NFZWoYK0iCY4k5kqCAVERlqPfpCkolHFSrIguoJEbNhU6GCLLypUMfRF6L8CGa+UxUazUWL485XUeIE08dWoY6jL0S5UZ89DLc2Fdo+oaUc6ele59FJHKf6bUfHZ6qfHCaH/cPDKOgfB2l0lsV5cHp8+NwKVGhiGgytQmPqYOAI+lehgkQI5gmrQt/TwvLTK2XmX9CPCtaC9RvVL/UPfVHf6vgJfF1vkfbK22mgUjgVWH9Vn0f86lzhhuriHGE4Rtg0nNuiw6nww7m0bBWkQbDdeNlqPzdYkoqIbDVanNuiPDyKVkEWVMeJmAubaBVk4U20xiodhMbKsjuyBAluoVPVOr+5L3HcxShKnGD52KrVPqv7suSoTx+GXJtsbZ/RUo605+ZFW9I9cdKLm/RW3rzIBdy0Gn8yzYvcAUlwA9JF8yIXoiJBZMLbYcNDdoLgVai1eZGLENn1gReXjuZFLkZku8eywpGJjtLagRg/myBkoltx8yIbNtLXddy8yIaLdHbE5sXk4urFxHH1Ihs10uORNDJ2bezyYSdE2Oi1YW9eZGNVRKzo1QHjt7kA1gA84gNGuix2+JAkSTYIYxPqfT5qpBvrsHmRDRXpzQjNi8nF1Yt2M3HAR0zxcJwlYW9e5EL23bzIxol0c9TmxQSuXjSbhgkPbK3DApWHR4dB//AshutukqBfBEXePzs8UflxWKijYAUZlMjavKhoPLEE/WdQBIkQtsqwga/A1YvWfMqVdErvaj7l8r2MjnyK4OAq/OAuHaEK0iDsKuIjWUc+RZCK13yKIA+P+RRBFtQdXcRc2MJnQRbe8ilhGASDxBZpSzIkeAlSsNiWUJlf25c4LmIUJU4wfeyIyDGt+7LsqM8fhl1bRqV9Sks50mtcjh5Zmx5T6mDgCPqXsYJECAYKK2N9l6MLjo7Cj87SOlSQBsEY43WooxxdkIqIDrWXowsy8ahEBVlQPSFiNmxKVJCFPyXqKEeX5Ecw853q0PnFfYnjJkZR4gTTx9ehjnJ0SW7UZw/DrU2Ftk9oKUd6jY/eiKxNka4Lg4yDgSPoX4UKEiGYJ6wK7fjoDUHyCk9+aZEpSINgaTsRmYJURESm4+gNQSoeVaYgC6qnw0yHicVQlIU3lek6ekOSH8GMd6oy5xf3JY6bGEWJE2wfW2W6jt6Q5EZ99jDc2lRm+4SWcqTX+LzhyNr0mFMHA0fQv8oUJEIwT1iVuarzhgVHSeFHaWk5KkiDYJI7kaOCVITkqPW8YUEqHuWoIAuqS8RMh4nFUJSFNznqOm9Ykh/B3ncqR+cX9yWOmxhFiRNsH1uOus4bluRGffYw3NrkaPuElnKkPTcz2rYxCye9axdNrr6ZkQm4aTT+dJoZmQOS4Aakk2ZGJkRFgoiAByc+bvXi3vlPoYq2+mP1cNDTuv1h9dWNnp6s9/vhQH+/eg/KF+bzef6TgYnVDptV04oL9kAyESKbR/Ci1NUDycTYVJxCPZBMdJQOEcT4xXFuzkMN2Qi99EGGaZQPlHF13uEjR3rKrlshuXCRrpLaCnlxj2PiuMeRjRrpL0kCuzneSgWFXiCxcYHs8rEjXRu9HzLLwySL7U2RXMCKCBi9TmAQNxfAGoBHfMBIH8aOQqaGw3aoChc10q/RmiLjJFX2pkguVKR7ozRFXtzoaDcYB3zEFJfHWRK1sUgGhdEPlmzcMp2RYZhFUVAMlHFdjPlokb6P3B8JlzuarcSEB3Z9ky2xrT9yNllonliC3pMtkkQIm2/YWHpFyRbJUVL4UcJHryYaO6I0CBuOhHDVmmyRpOI52SJJxV+yRZIFdcMXMR0qGGSJcUKGolTWIeMiyo9g9EkBYUvGRc0vBFSOGx5FiRMMIDvWcWRcRLlRH0AMt5aMC2JCSznSa1xmHtuaHWcxMGEwcAT9a1JBIgTzhNWk3ZaZS5JXePJLS01BGgRL24nUFKQiJDVtZeaSVDxKTUEWVE+HmI48GajMOCFDUSrepKaj1lyUH8GWdyo157cCKsc1j6LECQaQLTUdteai3KgPIIZbm9Rsn9BSjvQan6sR2zoaZ3lawmDgCPqXmoJECOYJKzU9n6shOToKPzpLa1FBGgRT3IkWFaQiokWt52pIMvEoRQVZUD0hYjaSQFnOKRiKUvEmRcN0EBoX3B1ZfgRb36kUnV8NqBx3PYoSJ9g/thQN7ZfmiHKjPoAYbm1StH1CSznStRQ9LOKzwyQ77OdZDsfBqaJ/mKqsn2WHSVIcHqmTbCY9/UrRxDQYWorG1MHAEfQvRQWJEMwTVooKnFQ8Labuwa/WwvaN6sveNGF/+TDiHpxGPH35mWf0azGcX2wYz23R8VT48cSL12YteV1nbuwH6H3z9KXDbx/2dg9fOvyv//X5XvX7Wu7frz6qnmzBLvOr568P9PjoMUim5zs/d/tgq6ejAiiTeP3SWc/waf1a9Qi+1O+BX/OZ/oP6DTDwG3qM6zHX34Kii0fnP66Pkb7fK+BVS7275NgTPA5ecdtPVJakIqK4jXbytigPj3pbkAXV3SPmIoyVJV03FKXiTW/HRWq9v0iUIMGjdSq455caKsc1laLECeaPLbjts7ovS476CGLItSnu9hkt5Uh77uy0aejESU816a28s5MLuGk1/mQ6O7kDkuAGpIvOTi5ERYKIgIfo7Iyhs/PaZfZPqi9sepfJDdkbg9ex1v5OLkJkHwxenjr6O7kYkQ0wy0pPJjpKswtm/IpgYNvBZSL00t+ZJIljb5aLHOkvO+7vZMNFOkxif6e6uOpSOa66ZKNGek2Szr5eJJMlcTCYneh2XVJzsSdE7OgFkiRBlNtk8h4fsCICRq8TGMTNBbAG4BEfMNKHsYORqeGw7f9zUSP9Wof9nWyoSPdG6O9UF5de2g3GAR8xxeVxlgQYC2j6NRqLko1bpr8zTYMkKqzXX7LBIl0ftb1TwfWXZiMx4YGtJRrqjiHgYw2FHXsB7HDY2t6paDyxBP0nlQSJELbgsAG1QFJJ8PpLycFV+MHFR77mmNaeZ9LDR840/euIkWjSQ70RJoqRaBKcAsJOKz5AdySaBKl4TTQJ8vCYaBJkQd3lRsxFllrOhR6KMvGWZ3Je3ynKkODlSAFwW6JpftejclzfKUqcYP7YsZ3z+k5RdtRnEMOuLdPUPqWlHOk1bjNIrB2tKXUwcAT9y3BBIgQDhZXhvtsMBEdH4UcHr6NNNHZEaRCMMV6LOtoMBKmIaFF7m4EgE49qVJAF1RMiZiOK8kFmK3sSpOJPjjpSWZL8CLa+UzE6v/JROe7wFCVOsH98MepIM0hyoz6AGG5tUrR9Qks50mt8uEpi7Xh1XzVlGAwcQf9SVJAIwTxhpWjHh6sIkld48ksrTUEaBEvbidIUpCKiNB2HqwhS8Sg1BVlQPR1iOpJskBrnYyjKxJvSdJ2tIsmPYMo7VZrzax+V4x5PUeIE+8dWmq6zVSS5UZ8/DLc2pdk+oaUc6TU+WjqxNrTm1MHAEfSvNAWJEMwTVmmu6mhpwVFS+FFaWpIK0iCY5E4kqSAVIUlqPVpakIpHSSrIguoSEdMBlYmFiclQlIk3Seo6WVqSH8HmdypJ51c/KsddnqLECfaPLUldJ0tLcqM+fxhubZK0fUJLOdKeOz6ViZ4WmYWTXtqkt/qOTybgptH40+n4ZA5IghuQTjo+mRAVCSICXmvHZ7Gl9Xn1uK5peF3PYr2VfHVq9Y+YWO6wWSL7ZgiK1tr7yUSI7JHBC1VX7ycTY1OFCvV+MtFRGmEw4xcV1ipPJsI16P3kIkd6zq57P7lwka6T2vt5cbenctztyUaN9J8kwd0cb5WpOMos1/Xt8rEjXR299zMq8iJM7L2fXMCKCBi9TmAQNxfAGoBHfMBIH8aOSty9n1zUSL/WZe8nFyrSvVF6Py/u9rQbjAM+YorL4yyJ2likg9RoLEo2bpnezyTJ4yy0935ywSJdH7n3E672NBuJCQ/s+uZflK33Mw1oPLEEvedfJIkQ9uKwofWK8i+So6Two4QPZk00dkRpEPYfCdGqNf8iScVz/kWSir/8iyQL6v4vYjpCHSQbbftQlMk65F9E+RFsPikcbMm/pPOLIFPHzZ6ixAn2jx3pOPIvotyozx+GW0v+BTGhpRzpNS4+V7Y+yDSkDgaOoH9JKkiEYJ6wkrTb4nNJ8gpPfmmlKUiDYGk7UZqCVISUpq34XJKKR6UpyILq6RDTEUeD2DgfQ1Em3pSmo/hclB/BlHeqNOf3QKaOiz1FiRPsH1tpOorPRblRnz8Mtzal2T6hpRzpNT5xQ9naHNOIOhg4gv6VpiARgnnCKk3PJ25Ijo7Cj87SUlSQBsEUdyJFBamISFHriRuSTDwqUUEWVE+ImQ2lBlFuojIUpeJNijpO3BDlR7D1nUrR+T2QqeNiT1HiBPvHlqKOEzdEuVEfQAy3NinaPqGlHOk1PoNZ2fogZxUehMHAEfQvRQWJEMwTVop+vc5glhxchR9cvJLVsvz31R+0Vv+w+o3+/MPq/V6t2f9RC/jfaN3+274ehofVpzD+5z85f4t0C+iTun7iIfyrZ6m8rcJQRcGBtjj1MBZbqld9pH/zH/V/HxuOZR6YBnlHdJAJfgavs+2nLEtSEdHZRut4W5SHR5UtyILq5BFzocLMdveSJBN/Itt1yrIoQ4If61Rmzy9/TB3XeYoSJ5g/vsx2nbIsyo76DGLYtQnt9ikt5Uh77u40GiMtnRMnvaxJb+XdnVzATbPxJ9PdyR2QBDcgXXR3ciEqEkQEvHqj+12to+sw45+0tAY9/a4OOP65+k2veqKHHdT0o8We+oPe/AoTPblvwk/V7+qFxSCIBlEQpYP5RaCR/uw92HCfL4Tzn/T6FEXeclvKc7cPGNel6NBoQ0dGrutSeleLV27U1Sv6c6hgAaTbO704vvan9bc/qstbXoNf2q9jhRpAL0iee+4F00LYYS8EZPMQXvVbG2C5CJGNQngx72iA5WJEdggtK9SZ6CjdQJjxy/JBlJggDtkQRTpgr4mU4bM7Bwejg5lMKSe7T2lhqbb0hxQ+ZPAhfxr2PYAJKJetwChe7vCJIsVIxw2zbLhINUJsmE0vLktNHZelslEjJUkXUQyQ2Rg6aOzyaSREGta1YsEOsDeuToSNxR6fhSKyQK8jGNnNBbAG4BEfMNInokNBhB0qwQ6VYIdKsEMl0g7t80ki3WqH/bdsqEjvSui/TS/uXrU/uAd8xBSPy1pBi0DbbXtKNoVuWnHb7c58AmwMxnwGSE9L7c9N4W5Ws82Z8MCub14wtfbnKhpPLEH/eUFBIoT9VOzmyNcsLyg4uAo/uIRdjPXfUzCN9I7oSBN2x/HbBI7koCAVr8lBQR4ek4OCLKiJCcRcZGE0KGzZQUEqHrODYT7IjEvujixDgjfrIq5eRNfzCztTxx2sosQJ9g8dEhKmdV+WHfUhxLBryw62T2kpR3qNO0JSa+9xSh0MHEH/cluQCMFAYeW2744QwdFR+NHB62UTjR1RGgRjjBejjo4QQSoiYtTeESLIxKMcFWRB9YSY2QjSwtLoORTl4k+PpoPY2PJyR5Yfwdh3qkbnd3amjktYRYkTDCBfjdomdV+WG/UJxHBr06LtE1rKkZ6eg3MSxYE6jPpBEZ5N33t4dpz1w/zoMA7TNDk6W8E5OKm1O9l9T5hhMHAE/WtRQSIE84TVoohzcKbnL/bCegNRC9Hz79c7jQ+qL43bhtuiQ6DwQ4AXnN0XVBnGZUd0XAgGvBMFK0hFRME6jtcRpOJRwgqyoDpQxHQkyUDZNlQFmXgTsEkwKIxW4I4sP4KH6FTAzq8CTR13u4oSJ9g/toC1Tuq+LDfq84fh1iZg2ye0lCO9xmeLp9ae5pw6GDiC/gWsIBGCecIK2FWdLS44Sgo/SniNa6KxI0qDYJI7kaSCVIQkqfVscUEqHiWpIAuqS0RMR5QOstimSQWpeNOkRWA5R+iOLD+C0e9Uk87vAk0dl7uKEicYQLYmtU7qviw36gOI4damSdsntJQj7bn9NzPR0yqzcNLLm/RW3/7LBNw0Gn867b/MAUlwA9JJ+y8ToiJBRMCTbP+Nof1XT9OnVxbCk+oLawuwXjTkgt1/HTHqddMg2AgT5bkH2LAUdthLoen6BBuAmQiRnUp4Oe9qAGZibGp1oQZgJjpKOxJi/HL9jBqdyJCNcHX9v1mwpT+E8CGCD/G8765w9/9yiSLVSNf9v1y4SDlC7f+9uDA3dVyYy0aN1CRdBDFAZmPooLHLp4FUEsv0/xYbVyfC0f/LZaGILNDrCEZ2cwGsAXjEB4x0iehIEGGHSrBDJdihEuxQibRD+3ySSK/aZf8vFyrSuVL6fy/u37U/uAd8xBSHy1pBi0jbbXtKNgXp/t9i4+oEOPp/uQyQnpbc/wv385ptzoQHdn1zaJmt/zcLaDyxBL3n0CSJELZTsbsjK8qhSY6Swo8Sfj/CRGNHlAZhC5kQS1tzaJJUPOfQJKn4y6FJsmjKCQcLbAwfxoNYGTdqhqJU1iGHJsqPYPS7CD/nQWg2v881c1zQK0qcYADRkRN6UvdluVEfQAy3lhwaYkJLOdJr3JiQ2Zpks5A6GDiC/jWpIBGCecJqUonGBMkhUPghWFpwCtIg2NtOBKcgFSHBaesjkKTiUXAKsqD6O8R0RJGej9hEZShKxZvgdDQSiPIjWPROBef8WtfMcU+vKHGCAWQLTkcjgSg36gOI4dYmONsntJQjvcansmS2Ttgsog4GjqB/wSlIhGCesILT86kskqOj8KOztBYVpEEwxZ1oUUEqIlrUeiqLJBOPUlSQBdUTImZDxckgsPQPSFLxJkUdh7KI8iPY+k6l6Pxa18xxT68ocYL9Y0tRx6EsotyoDyCGW5sUbZ/QUo70dO/z6CSOU/22o+Mz1U8Ok8P+4WEU9I+DNDrL4jw4PT58bgVSNDENhpaiMXUwcAT9S1FBIgTzhJWi1+vSv+jwBO7elSO4r57AHSrMCdySw6nww4nXrt2dwC1V0G8a6B3RgSZ4F7y6th/ALUlFRF0bbeJtUR4etbUgC6prR8xFrNKBuUVlKErFm7aO02gQKBPBO7IECd6rU3E9v8o1c9zOK0qcYP7Y4to+q/uy5KiPIIZcm7pun9FSjrTn7lxjxKT1cuKkVzTprbw7lwu4aTX+ZLpzuQOS4Aaki+5cLkRFgoiAJ9edW+h/f661+B/07/yw+o3+/EP9Z+pf/486OPpN9U71275W3A/rP/Dl+U/O37pBubn3SV3r/BD+1XFVeVuFoYqCA2236sCn2NJSHXpj/6j/+9gg772133LnGtlrhNf11vZbLkJkoxBerjvab7kYkR1Cy0pxJjpKNxBm/KJiEBr7T4ZsiCvsv4X7dzO4fzeD+3ez+b2Xmfv+XTZRpN7ouP+WDRcpOIj9t9nF/buZ4/5dNmqk6ugiTgEyG0MHjV0+jYRIg94Hl13cv5u13L/LZqGILNDrCEZ2cwGsAXjEB4z0iehgD2GHSrBDJdihEuxQibRD+3ySSLfaYf8tGyrSuxL6b7OL+3ftD+4BHzHF47JW0CKWdtuekk1BuP82u7h/1213xnwGSE9L7b/N4P5ds82Z8MDWChJ1eRjwse5cOLZu2LsX1v5bReOJJeg/3ydIhLBjit3/+Hrdvys5uAo/uISNCn87A6YR2xEdMcI+Nj7cd6TxBKl4TeMJ8vCYxhNkQc0hIOZChekgs5XICVLxlsZz3qMrypDglbqIjxdR8vzS1cxxj64ocYL9Q4d2hGndl2VHfQgx7NoSee1TWsqRXuOOjdzaIpxSBwNH0L9sFiRCMFBY2ey7Y0NwdBR+dPC610RjR5QGwRjjxaijY0OQiogYtXdsCDLxKEcFWVA9IWI2skwNQqNXH4pS8SdHHR0bkvwItr5TMTq/dTVzXKMrSpxg//hi1NGxIcmN+gBiuLVJ0fYJLeVIr/FpNbm1edh9JZthMHAE/UtRQSIE84SVoiKn1QgOgcIPAV5v+iqKEhwXggHvRMAKUhERsI7jbwSpeFSwgiyoDhQxHXE0iAqjGBiKUvGmYF3H30jyI7iIThXs/NrVzHGPrihxggFkK1jX8TeS3KgPIIZbm4Jtn9BSjvQanwGeW3uOc+pg4Aj6V7CCRAjmCatgV3UGuOAoKfwo4UWuicaOKA2CSe5EkwpSEdKk1jPABal41KSCLKguETEdYTGIM1sjgSAVb5rUdQa4JD+C0e9Uk86vXc0c9+iKEicYQLYmdZ0BLsmN+gBiuLVp0vYJLeVI6//91WXmoDX/0iU+O27dNVomLTsLB18Vpk2+vlp3C2vrLhNw04os2br7j3WnLiTXP6938D6GrHqdjwctef4GCMdrtastrbsPZ92+JuLbbOIJjngnLbpMiIoEkQlvhw2vaYeX7yr9CpbCoGeuNH6WDRTZBYOXmK7mUibGpn4Uai5loqO0uiDGzzh2QzY6kb7S62GFecrv8GEjXRu9SzTJYnuTKBct0rVRm0QvLmnNHJe0slEj/RtJIWOXxi4fNtI7tTeFYrHu8bEqIlb06oDx21wAawAe8QEjHRc7eMiTZJArE+h9PmikE6O1ctoNxT0+UqQro3RyXtykajcSB3zEFPfGWRC2h65kQ+6mcxOLc8zHifRx5P5MuB/VbBgmPLCA9ug0S4+ys6B/kkdhP4nCuH8YHKn+SXJSHAV5HuZnMz7W8NQRsLNDVFt/Zh7QeGIJmgJZBy9KMGsickuUCGGbDBvkvtesL4dgtq49v0h8dFtrLjlACj9Ay0aakjQIu4KEiNSaFpGkIpQWyUxMbosy8ZcVkWRB3ZTFzIaJxVCUhbeESJgOitTE744sP4KlJ4V7LQmRfH6HZu64FFWUOMH0sWMa66Tuy3KjPnsYbi0JEcSElnKkayGaBNHJ4dnRaT9MVdRPVHDSPzpNTvppmAfJ6Vl8EhcrEaLGdiUtREPqYOAI+heigkQI5okkROeJFeqRIFpx3ocsDZScz3TrxeEV1ZP+pdPs59cEhEEcBAfTL0PU4SCSA6rwA7q0cBWkQbDeeOFqP7FDkoqIcA0HeWKicluUikflKsiC6j0R02FTroIsvClXDWJQKBPBO7IECb6hU+k6v40zd1yvKkqcYPzY0tU+q/uy5KhPH4Zcm3Ztn9FSjvS0RVKp0+joVPWL4yOtc4/0D+TJif6pIk5C/beP82JmXP1q19g0GFq7RtTBwBH0r10FiRDsE1a7Ilok6xuoYrh3CUqK7td7qUZVsy1KXuHJL60zBWkQTC1eZzo2SAWpiOjMwHKl0G1RKh51piALqqfDTIeJxVCUhT+dmQ0S41q7I8uPYMY7lZnzmzZzx9WposQJto8vM22Tui/LjfrsYbi1qcz2CS3lSNcqMz3Lg/TsJOifRcFZPzlOi35+UhT949PTJEjjs8MgmXkJvyrTuAK0yoypg4Ej6F9lChIhmCesyuyijfHuft/RsSg5IAo/IEsrT0EaBOvbifIUpCKlPG0ti5JcPEpPQRZU94eZDxOLoSgLb9Izzwe5pY5dlB/BtncqPefXUOaOi0VFiROMH1t6Wid1X5Yb9dnDcGuTnu0TWsqR9nuvqDLOqRaTiYNemgRNeitvTuQCbhqNr11zIpd4giPeRXMiF6IiQWTC22HDQ/Z4EPRmS3MiFyiyrwOvJh3NiVyMyI6OZVUiEx2lewMxfjb1x0S34uZENmyka+u2OZGNFunaiM2J+cUNlrnjBks2aqR/Iwli7NLY5cNOiLDRS8PenMjGqohY0asDxm9zAawBeMQHjHRc/FjB0ZzIBo10Yt01J7KRIl0ZoTkxv7hm0m4kDviIKe6NsyDszYlcyL6bE9k4kT6O2pyYw+WRZsMw4YFd24yHCqzNiYrGE0vQf8ZDkAhhVwwb5HrIeAgOiMIPyNKRpSANwqYfIQK1ZzwEqXjPeAhy8ZjxEGRB3XXFzIeJxVCUxVpkPCT5EWw7KcBry3jM7+vLHVcwihInGD9+FOPIeEhyoz57GG5tGY/2CS3lSK9vSbeWnpFpMLT0TKmDgSPoX3oKEiGYJ6z07LikW5C8wpNfWmYK0iBY2k5kpiAVKZmZmKjcFqXiUWUKsqB6Osx0mFgMRVl4U5mukm5JfgQz3qnKnF/FlzvuVhQlTrB9bJXpKumW5EZ99jDc2lRm+4SWcqTX99ALrTJj02BolZlRBwNH0L/KFCRCME9Ylfk1OPRCcEAVfkCXVq6CNAjWG69cHYdeCFIRUa6OQy8EqXhUroIsqN4TMR025SrIwp9ydR16IUmQ4Bs6la7zO/hyx6WKosQJxo8vXV2HXkiSoz59GHJt2rV9Rks50ut7crBeAkYnorVrTh0MHEH/2lWQCME+kbSr35ODBQdI4QdoaS0qSINgjvFa1LGLKkhFRIvaTw4WZOJRigqyoDpDzGyYWAxFWXiToq6TgyX5ESx9p0p0fvNe7rhKUZQ4wfSxlajr5GBJbtRnD8OtTYi2T2gpR9pzc6Kt7rNw0gub9FbfnMgE3DQaX7/mRCbxBEe8k+ZEJkRFgoiAB6cpbvXi3vlPYRu5+mP1cNDT8vth9dUNrcfD3lPVB/obD0Cm9/q96hda4b9afXr+s/NXYbruzybpU/3Zj4xmYYdNtWnC5RsdmUCb2lS00ZGJsak6hRodmegonSCI8bMpSSa6VTc6cmEj3WTHjY5ctEg3SW10vLiFMXfcwshGjfSVJHGNXRq7fNhIT9dpoyMXqyJiRa8OGL/NBbAG4BEfMNJxseOOPInsO+Bc0Egn1mGjIxcp0pVRGh0vbmG0G4kDPmKKe+MsCEejIxOy90ZHLk6kjyM3OsItjGbDMOGBXd9cSmhrdCwCGk8sQe+5FEkihB02bMDsP5ciOUAKP0D4qNVEY0eUBmFDkRCRWnMpklT85lIkmfjLpUiyoO7nYmbDxGIoymIdcimi/AiWnhTuteRSivmlfYXjFkZR4gTTx45pHLkUUW7UZw/DrSWXgpjQUo70Ghekh7a2xyKkDgaOoH8hKkiEYJ5IQnStC9IlB1ThB3Rp4SpIg2C98cLVXpAuSUVEuNoL0iWpeFSugiyo3hMxHTblKsjCm3J1FaSLEiT4hk6l6/zOvsJxC6MocYLxY0tXV0G6KDnq04ch16Zd22e0lCO9xqfFhbZmyiKiDgaOoH/tKkiEYJ+w2lX+tDjJAVH4AVlaewrSIJhfvPZ0bJoKUhHRno7T4iS5eBSfgiyo7g8zHyYWQ1EW3sSn47Q4UX4E296p9pzf5Fc4rmYUJU4wfmzt6TgtTpQb9dnDcGuTnu0TWsqR9lyCbtsIjZ30oia9lZegcwEjy+qwYtB/CTqXeIIj3kUJOheiIkFEwHOXoFdv942La4dNAFmfR1CkLYXlXKDImjy83nQUlnMxIqvxltWRTHSUyjvM+AXaNicmiEM2RC/V5XkcDYrcBPwOHzjSB3ZbX85Gi/SBxPryIl7UlxfWe/vu8lEjHSFJOV9bHGmUpINMmaDv8qEjXRm9xjzJiywZJEaNtMfHq4h40asExnBzAawBeMQHjPRj/ODCajT2+aCRPo1WZ54FheVOyXt8pEjPRqgzXxiLew5jccBHTPF2rAXhMBQlG7ZMrXkWJ2k4SI3P3JiPFenzqPXmemUsQDXATnhg1zdVElnrzRMaTyxB/6kSQSJNQeCaIGR07CFVIjggCj8g+JDURGNHlAZht5AQmNpTJYJUvKdKBLl4TJUIsqBu1yLmIxwoZfRXQ1Ema5EukeRHsO+koK8tXZLMd9etNz3uyhInGEB+RONIl0hyoz5/GG5t6ZL2CS3lSK/x5TqRtcpcUQcDR9C//BQkQjBPWPnZ7eU6kuQVnvzSUlOQBsHSdiI1BalISc3EROW2KBWPSlOQBdXTIaYjGYTmvd6hKBNvStNxwY4oP4Ip71Rpzm/9KxzXOIoSJ9g/ttJ0XLAjyo36/GG4tSnN9gkt5UivcT9jZK0JT6mDgSPoX2kKEiGYJ6zS/Br0MwoOqMIPKF69tozpk+Yg/mr+JVT43NfjDF/cP3+rV70H9VlwpskW6PxXz18f9G6Pg6Cofr/V04K/HmjbiOt3wK/9TP9F/UpPD/OGHu+n/ubpHgy1/i5sbT86/zEg1SjCYPqy/nh/uusNv2RgmpId0SkheCK8Enf0ZgpSEVHijt5MQSoelbggC6oSwExHEQxUaJyRoSgXf1rc1aEpSZDg7ToV4/PLEQvHbZeixAkmkC/GXR2akuSozyCGXJsab5/RUo605zJ5m77OnPTiJr3Vl8kzATetxtevTJ5JPMER76RMnglRkSAi4LWWyRsd8w6bALK8EC9MW8vkmUCRJYUU2Wkvk2diRBYTLqsnmegohYOI8YuzYpDbigOYEP2UySfJIEpNwO/wgSN9YMdl8ly0SB9ILZPPLsrkrVcZ3uWjRjpCknS+tqqjIM3UIDJWRO/ysSN9Gb1OPsyKVBUDZTzGeI8PWBEBo9cJDOLmAlgD8IgPGOnJ2PFFbTaUCfQ+HzTSq3VYKM9FivRtlEL57KJQ3mouDviIKf6OsyBqUxEOEqOpKNm4ZSrlo7RI8mIQG83EmA8W6ffIpfLZ5gJUA+yEBxbQ4k7PBD7W2NYR3LPjW2upfE7jiSXoP4MkSISwp4aNkFdwNLvgACn8AOHDVBONHVEahC1EQrBqr2cSpCKSRbEfzS7IxGMSRZAFdQMXMRtRqgb6T5i4DEW5eEuihOkgNBZs3ZHlR7D3pECwLYcyvxu1cFx2K0qcYADZMQ5MqnHR7styoz6BGG5tKZT2CS3lSK9xQVNsLZ0vqIOBI+hfjgoSIZgnkhxd74ImwQFV+AHFy1diQdM3T186/PZhb/fwpcP/+l+f71W/r0X//eqj6slFHdMzz6RxHkfBAQxcemt8taBpPsgXg28paSpUXc5kq1MSHGmCg8ErbEedkiAVEYXtqFMSpOJRYguyoDp4xHSkRa4ltjHoGYpy8SaxnXVKkgQJTqxTjV3MJZn1fs5dWeIEE8jW2M46JUly1GcQQ65NZLfPaClHeo37U2NL10AcuK+EMgwGjqBvkS1KhGCfsCK70/5UUfIKTx4viE00dkRpEEwtXm1a93NFqYioTWt/qigVb2pTlAXV0yGmI1SD0Hx011CUij+xaW1QleVHsOUdak3NaapMZp+YiO/KEicYQL7WtDaoynKjPoAYbm6piZnQUo70Gp/EFw+MK0BLzZA6GDiC/qWmIBGCecJKTfGT+EQHROEHZGn5KUiDYH07kZ+CVKTkp+UkPlEuHvWnIAuq+0PMhxqk5nK4oSgTb/LTfhKfLD+Cfe9UfoZztWK/NFOWOMEAsuWn/SQ+WW7U5w/DrU1+tk9oKUfac0emTVBGTnpJk96qOzLZgJtG4+vWkckmnuCId9CRyYaoSBAR8NwdmWHvqeoD/Y0HoNd7/V71i+qJnpdPz392/ipM1/3ZJH2qP/uR0SzssKkiO14I+tXdu8kGiuxywatTe+8mG2NTeYr0brLRUXpZEOOX5SZ4Qza8Vfdt8oEjPWWnfZt8tEhPSevb1HDmfZv6U2vfJh810l2S9PW1ahCVw6G/xnW9y4eOdHj0ts04zYvEskD2+HgVES96lcAYbi6ANQCP+ICRPowfgti7Nvmgkf6ss65NPlKkV8N3bV4Yi3sOY3HAR0zxdJwFAYYitAx0yYYt07SpVJyEFiMx5mNF+jxizyasjAWoBtgJD+z6JlUSS89mHMQ0nliC/pMqgkQIm27YGNpDUkVwQBR+QPCBq4nGjigNwp4iISi1J1UEqXhPqghy8ZhUEWRB3dRFzIc25raciiCRtcipSPIjmHdSzNeWU4nnW/DWazd3ZYkT7B8/oHHkVCS5UR8/DLe2nEr7hJZypNe4ejyxtGjGs5JRwmDgCPpXn4JECOYJqz47rh4XJK/w5JdWmoI0CJa2E6UpSEVKaSYmKrdFqXgUmoIsqJ4OMR2x5ayMoSgRb0LTVTsuyY9gyTsVmslcl9iv0ZQlTjB/bKHpqh2X5EZ9/DDc2oRm+4SWcqTX+CyQxNqmqKiDgSPoX2gKEiGYJ6zQXPuzQEQHVOEHFC9erx7ucenUjuojPVB/1P99PD2q4+pFQo2jOyI9LNHFYSD7z+4E5r2lHdERIjgGvC62nuEhSkVEF1vP8BCl4lEXC7KgOmbMdCRwg56JylCUij9lbD/CQ5Ygwfd0Ko3VXEnZ7/2UJU6wgHxpbD/CQ5Yc9RHEkGvTxu0zWsqRXuNjmxNrX2VKHQwcQf/aWJAIwT6RtLHPY5tFB0jhBwivdU00dkRpEMwxXpA6NmoFqYgIUtuxzaJMPOpRQRZUZ4iYDW3UjQXmQ1Ei3tSo/cxmWX4EY9+pGE3n0sV+76UscYL1Y4tR+5nNstyojx+GW5sWbZ/QUo605yZLZaKn1WXmpKea9FbfZMkE3DQaX78mSybxBEe8kyZLJkRFgoiAV6vsd6v3Qah/o/onrcFBgL9b/bL65+o3PS3pX68+1Ur+0ULcP+jNT2DWk/cm/FT9rp5eh0E0iIIoHUzvywzrfymnPa/19fW9q7UmN+piE/05FJxAscn2Ti+Orx09rb/9UV2NAiv/Sb/e2a4PoO6ZywR22CsD2c9D0PptPalMoMgeHrySd/WkMjEiu3eW1ehMdJROHcz46efW6EKGbIQibanXNMrw2Z2Dg9HBTKWUk92ntKrMt/SHQn8IA/gQPg07EMAEhMtWYNQud/hEkVqE08YaDWYH9DbQfpOPFqlFqG2s2UUbq/36UT5qpCDpIoIBMhtDB41dPg2kvGhvabVgB9gbVyfCxmKPz0IRWaDXEYzs5gJYA/CIDxjpGNFhIMIMlWCGSjBDJZihEmmG9vkkkU6V3hibGE3QPT5SpGulNMZmF42x9utM+Ygp7pa1gBZRttv0lGwK3TTJtpud+QTYGIz5DJB+ltw6m20uQDXATnhg1zdvpqytszmNJ5ag/7yZIBHCVip2Z2QFeTPBAVL4AcJvT5ho7IjSIOwcE2Jpe95MkIrnvJkgE495M0EW1I17xGzANejG+RiKMvGZOItzE787svwI1r6LsHMRfObzPIv9slNZ4gTzh46Y0JO6L8uN+vxhuLUlztontJQjvcYNDsraSVtQBwNH0L8YFSRCME8kMbreDQ6CA6rwA4oXr7ZU13onukyDvyM6+ASfg5fcjt4JQSoiktvROyFIxaPmFmRB9fmY6cizQZ4aZ2QoysWb6k5UPkiM9Xh3ZAkS/FqnsruYqzT7/aeyxAkmkC277bO6L0uO+gxiyLXp7vYZLeVIT0+wOYniQB1G/eD/z97f9kp2XFfC4F9JNDAAVbcykeclzouA54NYThayWPfm5T03Z9CwjEa9AoIf2wPZftBjYACJlGQbsk2pZU97aFm01T2Pe9DzYEqiKJVIivwLef/C/JI5kfdmZtW5EXHW3nlWZLKbBlQusl641o44e6+IvXfsOnk+zvPq2fjR8yflOKkeP8qSosgfP79xsXF1d+YyxjeyJDyhy2EMjGB03c0kIvBPqO4GXrC5FsmtXltLtVajf38t/lqt7RRr96gmMLgJcKUcq7iKaRiBC8dVrP/imEmFomL9L+MwqcRTsUwW0ggKLEc+mbpPFXMqk3gadjqpnfwecPkJQsSQEjbZTOFMAmNVqcQF/k8vYX2Les7lJv3+EG49ChZY0IZH+ohfADe+9t+bZhyBMTCC8RUskYjAPaEKlv8CONMgBjcIrmddNGZUGgLvO4j6JFJhqU/fC+BMLhHlJ5GFNPwB65FMTObMAM6pTKLJz3rqmYn0gMtP4N8HlZ+bKZxJYKwqlbjAAarlp3dRz7ncpN8fwq1PfvYvaMMjHbnj13kp3grKNEiv6NI7eMevFnDXaXzpOn61xHOM+BAdv1qIRgQRgMfr+DVDdvza32x3ga04sVi+82pBRDKdBt6L9FRBSIogBrmQ3lVmfPObf+zaFTP1rgCbmgRSv6fbVwsUbEzChXyg21eLsSvSOd2+WnSS9iPAfnmRuiu452qEh+v2TTLb45vbH4z9obhps0vSYLevmiioQ4bt9lWjBXWIsNs32Q2tTQJDa9WoQTEyxOnFkrkzD9A41dMApcUe3b4t9tcXwt/tq2ZhhCzgfWQte7IF1gG80AMGAyN8BATcUGPdUGPdUGPdUAO6oXM9STCoDtftq0YKhlZBt2+yG4Pr/24v9Igl4Va1gbYn7LDradQUyN2+W7ezWQB/t6+aARhnpd2+iR2U63Y5Sx3Y402TFb5u3yST8UQJxk+TEYkIrlHRW5EIaTKiQQxuEPwqwkVjRqUhuCUWnJ39aTIilehpMiKXiGkyIgvpNT2wHsWkzp1+fE5lchRpMiY/gX8f4qC5PW5uBqsmgUm5VOICBwifkeBFPedyk35/CLe+NFn/gjY80kfcZ1D4+nvtxYjMGBjB+PKTSETgnlD5SekzIJrA4CbABefAWR2HUWZUowi89yDylUiFJV9zF5X7VCoR1SuRhTR6AsuRVBMzdSqBOZVKNPkaajJg8hPEh0Hl62ZcaxKYv0slLnCAavkaajJgcpN+gAi3Pvnav6ANj/QRP09TeNtkjdQYGMH48pVIROCeUPl6/M/TMA1qcIMKxLDieZrDVmW5DD+jGl4Qb3DB7X+ahkmFIrj9T9MwqUQU3EQW0ngPLEdl2uhV+BQ3kUs8xR14moZKUBDTBpXcmymwSWCuL5W4wAXqJXfgaRoqOek3iJDr09z9K9rwSB/x++SFt7G3kBoDIxhfcxOJCPyTSHNHfZ+caSCDGwjX0C4aMyoNgTvGFWngCphIhaJIve+TM5lEFKREFtJgCKxGlmaTyllUOqdSiaZHAw+UU/kJ3P2gcnQzCDYJTPalEhf4P7UcDTxQTuUm/QARbn1qtH9BGx7pyH2+zsjQ6ssySK/s0jt8n68ScNdpfPn6fJXEc4z4IH2+SohGBBGAx+vzzcV9vm8/+/ajP3o0On307Ud/8RffGq1+uj4trP9buwvk3/u9IquydHphzxbFm5e3CjHWh4rdxb3nWrk26+fOh27hHU1zex/trGqaqVe9G834fbxKoGDLEa7TQ328Soxgs9G+ClyJTtJYBNgvr4tJ4rvpVUI8YCOvHdub2LG9qR3bm27mZSbhsb1qoqDQGLiRV4sWFBrSRt7d2N4kMLZXjRpUG0McTyyZO/MAjVM9DVA77NPIuxvbm/SM7VWzMEIW8D6ylj3ZAusAXugBg5ERPuMBbqixbqixbqixbqgB3dC5niQYVQds5NUiBWOrpJF3N7bX/91e6BFL4q1qA22P0GHX06gpsBt5d2N7w27nUs8AjLPiRl47ttftcpY6sMebFiu9jbyVjCdKMH5ajEhEcE+KXnscIC1GNJDBDYTfPbhozKg0BNfCgsO0Py1GpBI5LUZkEjEtRmQhvZUHViPLy0mWOgte5lQuR5EXY/IT+PshDp7b4+dmzmsSGNxLJS5wgPCZCV7Ucy436ReIcOvLi/UvaMMjfcSdEaW3sbeWGgMjGF+OEokI3JNIjh53ZwTRoAY3KC5fD5GucpluRjWdIGLgkjnQ20CkQpHMgd4GIpWImpnIQhqxgeWok3RSl867kDmVSzTNHOxtYBIURKVBRfNmSGsSGLtLJS5wgWrRHOxtYJKTfoMIuT7V3L+iDY/0ET+HU/r6idPwBDeHMTCC0VUzk4jAP6GqmfEcDtMEBjcBrnNjVkgxjSNw47iS9V/+MqlQlKz/WRwmlXhKlslCGkWB5Ujq9mThvI6fU6nEE7L+Z3Go/ARxYkgdm25GtaaB2btU4gIHqNex/mdxqNykHyDCrUfGAgva8Egf8aPipa9FN02kxsAIxpexRCIC94TKWP6j4kyDGNwguKh10ZhRaQi87yDyk0iFJT99j4ozuUTUn0QW0vAHrEfrxXPndcScyiSa/Aw8Kk7lJ/Dvg8rPzajWNDB7l0pc4ADV8jPwqDiVm/T7Q7j1yc/+BW14pCP35DrXtBWUaZBe1aV38J5cLeCu0/jS9eRqiecY8SF6crUQjQgiAI/Uk2uvY21Jwc0Cfnyt+Veff71duOsb66sf2t83bmX+j+2rjatfXf3d1XfsFnhxs/C/an/2V50+3cBjjq8/zNgpa0inV99Pd4US52/Npu5a/Zl6ZcDuIIHc7umb1QIFO3xwMR3om9Vi7AplTt+sFp2kjwexX1ZPfC8kaiEerm82tQNwUzsAN7UDcNPN5Mk0PABXTRQUA8P2zarRgmJA2Deb7gbgpoEBuGrUoCIY4ghhydyZB2ic6mmA8X2Pvtl0NwA37RmAq2ZhhCzgfWQte7IF1gG80AMGIyN8DgPcUGPdUGPdUGPdUAO6oXM9STCqDtc3q0YKxlZB32y6G4Dr/24v9Igl8Va1gbbH3LDradQUyH2z6W4AbtjtXOoZgHFW2jeb2gG4bpez1IE93lxV5eubTTMZT5Rg/FwVkYjgLhO9moiQqyIaxOAGwe8DXDRmVBqCq1rB4dmfqyJSiZ6rInKJmKsispDelQPrkU6mtXM95lQmR5GrYvIT+PchDprb4+ZmXmoaGIBLJS5wgPAZCV7Ucy436feHcOvLVfUvaMMjfV3xb8yz9PEzM66fPE7G+WOTjqv8aTrO6yxP0ip5UtUHqPivfH2yaS41BkYwvvwkEhG4J1R+AhX/VmImmU1c2BTai/XrLe+6yN+jkjc4+b2lJpGGwNMOIjWJVFhSM3dRuU+lElFpEllIIx2wHKb12c4s5ZzKJJrSzNuIlLn4PeDyE7jyQZXmZrRpGphVSyUu8H9qpeld1HMuN+n3h3DrU5r9C9rwSK+V5tM8LU1ZJuMsfVKNk+TZs/GjZJqOnyZFkTx6Mn38uL7Z7XGVpnMHtErTSI2BEYyvNIlEBO4JVZqdF1m8dVbXF52vvMAyau6nSZJOr98Uyd68HK3fVqmNfSHE9zCLy2T3qCYzuMlwfXpshUlE+wkCAy6M/Q+vMKlQhLH/4RUmlYjCmMhCGpiB5UhNOZkmnodXmFyiSeOkrifu1xgfcAkKgs+g2ngzgjQNDJWlEhe4QLU29q/qOZec9BtEyPWJ4/4VbXikj/j17MrbsVpIjYERjC+OiUQE/kkkjqO+ns00kMENhEthF40ZlYbAHeOKNHBVS6RCUaTe17OZTCIKUiILaTAEVqMuJ2XpDOxzKpV4etT/eDaVn8DdDypHNzNI08BQWSpxgf/Ty1H/49lUbtIPEOHWp0b7F7ThkW7/7w/WKuzmc7Uq8/dDsnPgjlZnCXkrOMsAX5Pc4hupozWdejtalYC7XoTT0fr56hN7/7lO6b9//S8+tXn9dafqyN67/uaVhP+6o/WlLTjd/qlWcn5mb1//0+rDG+Ep7or9VQtleje1b961f4HvBu6e2pI5ZslBWmSVEI0IohLeTA2v69j37xN1v2/4lhoh2MqCa9VQg6gSI9jEsq8KVaKTNKwA9nPabq5GR+kNdZSSOGE/0MMGg6S80zMpjPHAfVsPF4yS0lbP3YjUNDAiVY0aDJUisY3ujVM9bDAu9bd2oljP9FiNECu8O6z9TrbAOoAXesBgyNKfQ6Z5MTGZC/W5HjUYxmQdmQFX8Y4eKhjNJC2Zu1GmfjdxoUcsiXCaLeH77Bo15GFaMFGcl3qcYJgTN1raAaVu17DUgV2jrR89rqfTbGwe59k4rx+V4+rxI1uwVBRp+0fzp+Wzaz7es27g9K8+73obLSsZT5Sg61Qc4CU5GbuIvEklIrhzQ0/MH1znU3aH1W2uhZRgIZrH4ObZ+4xJpCG4YBScRf0JFiIVSoLFl14h8oiYXiGykN7uAmvhOwATWcTMrNS+Qh8mP4GXFx32+jIrmymWaWAsKZW4wPHpTzS+RT3ncpN+ewi3vsxK/4I2PNL/9+vz05Py0dPq+Th5/Khof29dj6usMOOnaZqU7V+UPHp+s9vjilDnvWwrQmupMTCC8UUokYjAPeEi9PYI0hfXmZpNBuXFqP1dNm1jy+WtAP3cMYJ0NH51nObNENI6Sdvtenb9j9l0esf+r/JPIGXazuC221uhEmkIHLVAoXqzJUQmFIGaTKY+jUqkElGjEllI4ySwHD6NSmQRTaNWuZnclOreFqlMgoIoMKhI3QyNTANjQKnEBb5PLVL9q3rOJSf9+hByfSq1f0UbHum1Sn2S1ln7rx+Pn9bZk3Gep/m4SqfT8bPkcV0/LpOifHYQlZq5jPGNLAsNk3IaAyMYXaUyiQj8E6pSwUdBpnnf8EuXNe5RrWFwa+yrO5k0BL5XoDu9N6NMKhThOfVEjftUKvGEJ5OFNPQhy+FiMaeyiCY883avOQ85D7j8BH59SN2ZbaY8ZoGxnVTiAt+n1p3eRT3ncpN+ewi3HtkJLGjDI33ETyHXvibILJEaAyMYX3YSiQjcEyo7+U8hMw1icIPsrTyJNATedxDlSaRCUp6+l5CZVCIqTyILafRDlsPFYk5lEU15VtWk8hSwU/kJXPugynMz4DELTOykEhf4PrXy9C7qOZeb9NtDuPUpz/4FbXik407sLJxr2mrJNECvyOsuvYP3N2oBd53GV/2NWkvmmCWH6G/UQjQiiAA86yDujrLR1d+2Vn6x+vXq5WTUavuXqy++bssh/mXsrGSaqQmA7SQChevL6WsRdsUrswNSixHsGdlXkSrRSfpDAPtl5XRSuxDO1QijdEEm03w6KTzlnWrkYDQduBFSDRcMp8JGyGw38zILzLxUowZjqkiE39rWlamr6aR0bu1TPXYwism7IYskq7J6YjwtkWrARggY3ifWiCdbYB3ACz1gMIapTyprx+GeRH+uRw3GNVlLZJpXqWdHvKOHCoY3QUtktptS6XcYF3rEkpCn2RLWWZj2wOPcyo0aN6cvsk6npa2ANi6wl3qwYOiTNkdmdgql20ksdWCPNvVSeE6f7XE5k/FECcZPvRCJCO7n0ON2hNQL0SAGNwh+JHXRmFFpCK4fBQdTf+qFSCV26oVIJWLqhchCev0LLEd7Tisy54LMqVSOIv/C5Cfw76KjX1/+ZTO0MAtMoaQSFzhA9akmlH9hcpN+gAi3vvxL/4I2PNLHW3Deyk+nzG7lZy41BkYwvvwkEhG4J1R+sgvOidYwuDX21p5EGgLXO4j2JFIhaU9vwTmRSkTtSWQhDX3ActTppHQvyJxKJZr2DFWdM/kJnPug2nMzxjALzKWkEhc4QLX2DFWdM7lJP0CEW5/27F/Qhkf6eJ/kaLVn5jJGqz2N1BgYwfjak0hE4J5Q7XlUT3IwbWdw2+FK9RXzvVY51ZlNuTHgjfl20ya3JnpleuUrZtwZ2DG48saedrrlZ+0v2bvrT6/+2g4ZbVesuv63r0++nLisPqNaXRBXBMLaW21EZELR1f4XRJhUIupqIgtpWAeWI6uLSVU4I9ScyiWasF6/OOGrhmISFISuQZX1ZgZiFphqSSUu8IBqZR16R4RKTvoNIuT6pHX/ijY80sf75HIrrXOXMVppXUiNgRGML62JRAT+CZfWcZ9cZprH4ObB1bOLxoxKQ+CMBXLUf89LpELRoz4xSuQRUYwSWUgDIbAWqWnVqE+LEqlE06JJ4SmlfMDlJ3D1g0rRzQDELDDRkkpc4P3UUtQuqrO68ZzLTfoBItz6lGj/gjY80pEbPH0Vq2WInpl26R2+wVMJuOs0vmrw1Foyxyw5SIOnEqIRQQTgrWX7z1b/Ytfk363+rRX1VtH/rF2m/776h1F7MHi3NfvH9h795ojw8fVd7y/sL1390P6p9e8aJfVkmrbbOy0mN52h6///ZbqEHr1e7/L1dcHLuqjlN2vU92YjW7HVgeKteRlNc9fiz9SLDzYWCc4H3utqJcKu9Kc2xyoxgt1D+0p6JTpJpxBgv3o6qZxHp7kaIaU59pagmb81u7hYXNxImmZ5+kYrQau77Q91+0M+tT8kX7NxwDKxKufu1Cl0HuiJgsJl6F5aLVxQuUh7aXdDRbPAUFE1alC+DHHesWTuzAM0TvU0QO3Q31brwW5h33l9IXwszvQsjJAFvI+sZU+2wDqAF3rAYEiED42AH2qsH2qsH2qsH2pAP3SuJwlG1SFbc7VQweAqac3dTSv1f7gXesSSgKvaQdtDedj3NGoKw3Tp9vudzQL4GFzqGYCRVty6a+eaun3OUgf2eJNsibd1NzRfy8ETJRg/yUYkIrh5RS9SoifZiOYxuHnwqwcXjRmVhuCaWXCI9ifZiFSiJtmIPCIm2YgspHf8wFoUWTGZOh//mVOpxEyyZc5HbB5w+Qlc/RCHzu3RczMLMwsMN6USF3g/+LwEL+o5l5v0A0S49SXZ+he04ZE+4k6KxNvFW0uNgRGMr0SJRATuCVeix9RJQbSdwW2Hy1RhEuvwaSyX3WdUuwsii0BXe5NTRCYUWR3opSBSiaisiSykgR1YjrqcpJnzsmROpRJNWVd2cmPuIviAS1AQuwaV1psBnllgJCuVuMABqqW1f1XPueSknyBCrk9b969owyN9xC/kJL4u5Tw0KMxpDIxgdG3NJCLwT6i2Jr+Qw7SGwa2Bq2UXjRmVhsD3CsSn91KXSYWiPv0v5DCpxFOfTBbS0AcsR5pOysR5RTanUommPvPppPaITyo/gXMfUnzmmzGeeWAuK5W4wAGqxad3Uc+53KQfIMKtR3sCC9rwSB/x4+CJr403D40KcxoDIxhfexKJCNwTqj35j4MzDWJwg+wtP4k0BN53EPlJpEKSn77HwZlUIspPIgtp9AOWI2kdue/yk0klmvys2/OOp6yAyk/g3weVn5tZnnlgOCuVuMABquWnd1HPudykHyDCrU9+9i9owyPd/t8f3L1WXb8fkpcD9/B6CgbyNEDTJLdalOP18DoBv6kG3HUe/+P28NpWUaSHV2vJHLPkED28WohGBFEJb6aGB7bUCMSsL5GvRQj2w+AaNdBlqsUINsLsKz6V6Lpxbc8uU6ft5mp0lA7T2+cS95I/0MMGg6S8XzQtK3+/qBouGCWF/aL5bvZqHpi9qkYNhkqRxkb3xqkeNhiX+vtDUaxneqxGiBXeHdZ+J1tgHcALPWAwZKmPH+m0yCe108znetRgGBO2dfpdxTt6qGA0E7R15ruJq343caFHLIlwmi3h++waNeRh2jhRnJd6nGCYkzZr5nbOqts1LHVgLdrH9VPzKM+qcfooqcd5UT0fPza2nL7Iq6dPk6dPU3Ozub1n3cChX33e9TVr5pmMJ0rQdSoO8JKcjF1E3qQSEVy1oSfmD7s9mvZUu+7fvMmTDN+vybSQwS209zGTSENwtSg4jvpzK0QqlNyKp9PmPpVJxNQKkYX0ZhdYDd8pmMgiWlYlKSZ14eL3gMtP4OpFJ76+rMpmQmceGLlKJS5wfepjjXdRz7ncpN8ewq0vq9K/oA2P9FqJZmn6/GmV5+OiKM04L009fvS0TMZm2v7eR8+LaWmr++MrUWcIaZVoLjUGRjC+EiUSEbgnVIm6mjVfWoH5auvhbE1m9O8Xy4vRvcXDxcWNSv3390Z1dv3TYjq9Y/+XTP29mEzTGNw0e0tQIg2BHxZIUG9GhMgksgIlMomoQIkspFEQWA2fAiWyiKZA02maeDoZHnAZCpz8oBp0M6kzD4xepRIX+L49NGiVTzLf1TqTnfT7Q9j1qdD+JW14pI+4rTH1tjUaqTEwgvFVKJGIwEGhKpTd1ki0hsGtsbfwJNIQOF+B8PTffRKpUJRnoK2RSCWi9CSykIY+ZDlcLOZUFtGkp3c8/AMuP4FfH1R4buZY5oHJpFTiAt+nFp7eRT3ncpN+ewi3PtnZv6ANj/QRdzSm3o7GQmoMjGB82UkkInBPqOyM0NFINIjBDbK38iTSEHjfQZQnkQpJeXo7GolUIipPIgtp9EOWw8ViTmURTXlW1aTyVakz+Qlc+6DKczO3Mg8MIqUSF/g+tfL0Luo5l5v020O49SnP/gVteKQjDyL1XWGWAXqFSbr0Dt/EqATcdRpfNTFqLZljlhykiVEJ0YggKuHN1PC6fpzYxKhECHZ/4LI01MSoxAi2feyrN5XoJC0egP18OlKJ7tBNjFrYYJAcuolRCxeMktImxt3Qyzww9FKNGgyVIm2N7o1TPWwwLg3axKjFaoRY4d1h7XeyBdYBvNADBkOW+tiRTk0+KX0HDy1qMIwN2cSohQpGM0kT4242pd9NXOgRSyKcZksEmhiVkKM3MWpxgmFO3MRoJ066XcNSB/Z4syeZt4mxkvFECcbPnhCJCK7Y0BNzhOwJ0SAGN8jep0oiDcENouD06c+eEKl0Y3uACn5MDWRPiFQiZk+ILKQ3uMhyuFjMqSyOInvC5Cdw7aITXl/2ZDOQMA9MmKQSF/g+9TEmlD1hcpN+ewi3vuxJ/4I2PNJHXC6eeZsWa6kxMILxlSeRiMA9ocqTXS5OtIbBrbG37CTSELjeQWQnkQpJdnrLxYlUIspOIgtp6EOWw8ViTmURTXaGysWZ/AR+fVDZuZnVlwemL1KJC3yfWnaGysWZ3KTfHsKtT3b2L2jDI33Eb2Vkvi5FM5UaAyMYXXYyiQjcEyo7Y76VwTSNwU2zrwZl0hD4YYEG9RXeMJlQJKj3rQwmk3gKlMlCGgWB1fAoUCaLaAo0+FYGlaHAyQ+pQc1mZp8JDGGkEhf4PrUGbSWS8V5+UtlJvz+EXY8KBZa04ZE+4reDM1/TogkPBXIYAyMYX4USiQgcFKpCD/B2MNNCBrfQ3mKUSEPgkAVi1HshyqQSWY0SmURUo0QW0mgIrIZPjRJZRFOjgbeDqfwErn5QLboZ4GcCExmpxAWubw8t6n07mMpN+u0h3PqUaP+CNjzSkZsYfdoyDdJLu/QO3sSoBdx1Gl81MWotmWOWHKKJUQvRiCAq4c3U8MCOEIF89d6lKhGC3R8SVeptYtRi7GpOThOjFp2kxQOwn09HKtEduIlRDRsMkgM3MarhglFS2MRodpMYTWASoxo1GCpF2hrdG6d62GBcGrKJUY3VCLHCu8Pa72QLrAN4oQcMhiz9saOup5Myd6E+16MGw9iATYxqqGA0EzQxmt0kRr+buNAjlkQ4zZbwNzFqIcduYlTjBMOctInR2EmMbtew1IE93mxK7mtiNJmMJ0owfjaFSERwxYaemA+RTSFayOAW2vuYSaQhuFIUHEf92RQilcjZFCKTiNkUIgvpjS6wGr5TMJHFUWRTmPwErl504uvLpmwG95nAJEYqcYHr0x9rAtkUJjfpt4dw68um9C9owyN9xNXlua+p0eRSY2AE4ytRIhGBe0KVaNTqcqJpDG6avSUokYbADwskqDcjQmQSWYESmURUoEQW0igIrIZPgRJZRFOg4epyJkOBkx9Ug27G9pnAJEYqcYHv20ODpunE+KrLmeyk3x/Crk+F9i9pwyN9xE9r5N4eRyM1BkYwvgolEhE4KFSFkp/WYFrD4NbYW3gSaQicr0B4+u8+iVQoytP/tAaTSkTpSWQhDX3IcrhYzKksoknPwNMaVH4Cvz6o8NwM7jOBSYxU4gLfpxaegac1qNyk3x7CrU929i9owyN9xG8J596mxkJqDIxgfNlJJCJwT6js5L8lzDSIwQ2yt/Ik0hB430GUJ5EKSXn63hJmUomoPIkspNEPWQ4XizmVRTTlGXhLmMpP4NoHVZ6bwX0mMImRSlzg+9TKM/CWMJWb9NtDuPUpz/4FbXikIzcxGhe9VkuWQXpZl97hmxiVgLtO46smRq0lc8ySgzQxKiEaEUQlvJkaXtePE5sYlQjB7g9cloaaGJUYwbaPffWmEp2kxQOwn09HKtEduolRCxsMkkM3MWrhglFS2sS4m8RoApMY1ajBUCnS1ujeONXDBuPSoE2MWqxGiBXeHdZ+J1tgHcALPWAwZKmPHem0NJPcV++rRQ2GsSGbGLVQwWgmaWLcTWL0u4kLPWJJhNNsiUAToxJy9CZGLU4wzImbGO0kRrdrWOrAHm/2xHibGCsZT5Rg/OwJkYjgig09MUfInhANYnCD7H2qJNIQ3CAKTp/+7AmRSje2B6jgx9RA9oRIJWL2hMhCeoOLLIeLxZzK4iiyJ0x+AtcuOuH1ZU82g/tMYBIjlbjA96mPMaHsCZOb9NtDuPVlT/oXtOGRPuJyceNtWqylxsAIxleeRCIC94QqT3a5ONEaBrfG3rKTSEPgegeRnUQqJNnpLRcnUokoO4kspKEPWQ4XizmVRTTZGSoXZ/IT+PVBZedmcJ8JTGKkEhf4PrXsDJWLM7lJvz2EW5/s7F/Qhkf6iN/KML4uxWIqNQZGMLrsZBIRuCdUdsZ8K4NpGoObZl8NyqQh8MMCDeorvGEyoUhQ71sZTCbxFCiThTQKAqvhUaBMFtEUaPCtDCpDgZMfUoMWm7F9RWASI5W4wPepNWhS1K0a8Vx+UtlJvz+EXY8KBZa04ZE+4reDja9psQgPA3IYAyMYX4USiQgcFKpCD/B2MNNCBrfQ3mKUSEPgkAVi1HshyqQSWY0SmURUo0QW0mgIrIZPjRJZRFOjgbeDqfwErn5QLboZ3FcEJjFSiQtc3x5a1Pt2MJWb9NtDuPUp0f4FbXikIzcxOte01ZZpkF7epXfwJkYt4K7T+KqJUWvJHLPkEE2MWohGBFEJb6aGB3aECOSr9y5ViRDs/pCoUm8ToxZjV3Nymhi16CQtHoD9fDpSie7ATYxq2GCQHLiJUQ0XjJLCJsZiN4mxCExiVKMGQ6VIW6N741QPG4xLQzYxqrEaIVZ4d1j7nWyBdQAv9IDBkKU+dqRteJhUTtTnetRgGBuwiVENFYxmgibGYjeJ0e8mLvSIJRFOsyX8TYxayLGbGNU4wTAnbWIs7CRGt2tY6sAebzal8DUxFpmMJ0owfjaFSERwxYaemA+RTSFayOAW2vuYSaQhuFIUHEf92RQilcjZFCKTiNkUIgvpjS6wGr5TMJHFUWRTmPwErl504uvLpmwG9xWBSYxU4gLXpz7WhLIpTG7Sbw/h1pdN6V/Qhkf6iKvLC19TY5FLjYERjK9EiUQE7glVolGry4mmMbhp9pagRBoCPyyQoN6MCJFJZAVKZBJRgRJZSKMgsBo+BUpkEU2BhqvLmQwFTn5QDboZ21cEJjFSiQt83x4aNJtOal91OZOd9PtD2PWp0P4lbXikj/hpjcLb42ikxsAIxlehRCICB4WqUPLTGkxrGNwaewtPIg2B8xUIT//dJ5EKRXn6n9ZgUokoPYkspKEPWQ4XizmVRTTpGXhag8pP4NcHFZ6bwX1FYBIjlbjA96mFZ+BpDSo36beHcOuTnf0L2vBIH/FbwoW3qbGQGgMjGF92EokI3BMqO/lvCTMNYnCD7K08iTQE3ncQ5UmkQlKevreEmVQiKk8iC2n0Q5bDxWJOZRFNeQbeEqbyE7j2QZXnZnBfEZjESCUu8H1q5Rl4S5jKTfrtIdz6lGf/gjY80pGbGJ2niVZLlkF6pkvv8E2MSsBdp/FVE6PWkjlmyUGaGJUQjQiiEt5MDa/rx4lNjEqEYPcHLktDTYxKjGDbx756U4lO0uIB2M+nI5XoDt3EqIUNBsmhmxi1cMEoKW1i3E1iLAKTGNWowVAp0tbo3jjVwwbj0qBNjFqsRogV3h3WfidbYB3ACz1gMGSpjx3hJkYtajCMDdnEqIUKRjNJE+NuEqPfTVzoEUsinGZLBJoYlZCjNzFqcYJhTtzEaCcxul3DUgf2eLMnpbeJsZLxRAnGz54QiQiu2NATc4TsCdEgBjfI3qdKIg3BDaLg9OnPnhCpdGN7gAp+TA1kT4hUImZPiCykN7jIcrhYzKksjiJ7wuQncO2iE15f9mQzuK8ITGKkEhf4PvUxJpQ9YXKTfnsIt77sSf+CNjzSR1wuXnqbFmupMTCC8ZUnkYjAPaHKk10uTrSGwa2xt+wk0hC43kFkJ5EKSXZ6y8WJVCLKTiILaehDlsPFYk5lEU12hsrFmfwEfn1Q2bkZ3FcEJjFSiQt8n1p2hsrFmdyk3x7CrU929i9owyN9xG9llL4uxXIqNQZGMLrsZBIRuCdUdsZ8K4NpGoObZl8NyqQh8MMCDeorvGEyoUhQ71sZTCbxFCiThTQKAqvhUaBMFtEUaPCtDCpDgZMfUoOWm7F9ZWASI5W4wPepNWjwrQwqO+n3h7DrUaHAkjY80kf8dnDpa1osw8OAHMbACMZXoUQiAgeFqtADvB3MtJDBLbS3GCXSEDhkgRj1XogyqURWo0QmEdUokYU0GgKr4VOjRBbR1Gjg7WAqP4GrH1SLbgb3lYFJjFTiAte3hxb1vh1M5Sb99hBufUq0f0EbHunITYyVi16rLdMgvaJL7+BNjFrAXafxVROj1pI5Zskhmhi1EI0IIgDPOoi7o2x09betlV+sfr16ORm1ev7l6ouvj9ql/Zexs2J6piYA9owIBK73tlWJEOwPkehWb5ujFmNXlXLaHLXoJE0giP2SLJ0YF8S5GmKUXse0DZGTNHchf6BHDobTgdsd1XDBeCpsdyx3MxvLwMxGNWowqIpU+G171yatEk9x6KkePBjH5E2PWWLyadJ+jE7EZ3rERogY3inWiidbYB3ACz1gMIypDyvptMgmVe1Cfa5HDYY2WetjnpSlZ0e8o4cKRjhB62O5m9/odxkXesSSqKfaEllWZsZMcmdJR6MGzmmAzMssmSbVpDQutJd6tGD4k7ZBlnaWo9tNLHVgjzcfU/naIMtMxhMlGD8fQyQiuKRDz9yHyMcQLWRwC+EHVReNGZWG4FJScFz152OIVCLnY4hMIuZjiCykd8LIamTGKRfn</t>
  </si>
  <si>
    <t>VCIxUzKJc7s94PITeHvRYbAvJbOZ/lcGxjlSiQu8n/qU413Ucy436eeHcOtLyfQvaMMjfcQl6pWvM7LMpcbACMYXo0QiAveEitGoJepE0xjcNLgKfcU6r+WrRvYpk+t/sOmTF6uP1v/wwubK7G+16axP1jmzz6++c3fU/sJ3rt6djO5fJtPp3VGr6e2DJ+3f8otW9P+6/d8vraxvf8H+nb9p/4b2P7oxqP0LPxvdXb+Z8unVX7dr0/53RtdWvmt/8cX1cyr2b5i4zD6jml0QNwSq2ZvkITKJLJqJTCKKZiILadRGVsMvmolEoonm66p6XyUTk6EgLg0qmzfjCsvABEoqcYH720M2V/kk81XVM9lJP0GEXZ9w7l/Shkf6iJ8Uqby9nUZqDIxgfOFMJCJwUKhwJj8pwrSGwa2Ba2UXjRmVhsD5CrSn/8aWSIUiPv1PijCpRFSfRBbS0AcsR1q17ty9InMql2gCNPCwCJWfwLsPKj83YwvLwBxKKnGBB1TLz8DDIlRu0i8Q4dYnPvsXtOGRPuKXlCtvS2chNQZGML74JBIRuCdUfPJfUmYaxOAG2Vt/EmkIvO8g+pNIhaQ/fS8pM6lE1J9EFtLoByxHUtSTyl2gN6dyiaY/A+8pU/kJHPyg+nMzvLAMTKOkEhd4QLX+DLynTOUm/QIRbn36s39BGx7pyI2czkxMqyjLIL2yS+/wjZxKwF2n8VUjp9aSOWbJQRo5lRCNCCIAr7eR07lbZ2oCYAeMQOd6c/xKhGC3Cy5fQ42cSoxgm8u+ulSJTtLSAtgv8xQ/zNUAj6CNU4scDKZDt3Fq4YLRVNrGuZtaWQamVqpRgyFVpMG79i7L6bSeTJ3q5VQPHYxh8ibOqqjq1Du9Uo3XCPHCu8Ta8GQLrAN4oQcMBjD1MSWdGt/rJOd61GBQG7KFUwsVjG2SFs7d9Eq/u7jQI5bEO82WKPJpmXsmmjZq2JwGziSbZlnlHWOpBgvGPXH/ph1j6fYRSx3Y402+1N7+zUrGEyUYP/lCJCK4m0OP2hGSL0SDGNwg+HHURWNGpSG4ehQcSv3JFyKVbpAPUMFPr4HkC5FKxOQLkYX06hdYjtyjDedUIkeReWHyE3h30amvL/OyGXxYBiZZUokL3J/6SBPKvDC5ST8/hFtf5qV/QRse6SMuO6+9/Zq11BgYwfjik0hE4J5Q8ckuOydaw+DW2Ft5EmkIXO8gypNIhaQ8vWXnRCoRlSeRhTT0ActRTnzCk8gjmvAMlZwz+Qk8+6DCczP6sAzMsqQSF3g/tfAMlZwzuUm/PoRbn/DsX9CGR/qIHwqpff2OVXikksMYGMHowpNJROCeUOEZ86EQpmkMbhpchSoeCnnrmf3Pvvo4yFt5Ub76Ooh9GeTTq3d73gZpf2mPt0GYlhaECoFQ9tUNMZlQdLL3bRAmk3gymclCGqiB1cjKSZ67mMypTKIJ5eDjIFSGglg0pFSuNvMZq8DITSpxgf9TS+VWyRnvLS2VnfQbRNj1iGVgSRse6SN+4rn29WdW4alPDmNgBOOLZSIRgYNCxfIBnnhmWsjgFsI1s4vGjEpD4JAFgtR7c8ukElmREplEVKREFtJoCKxGSJESmURTpIE3nqn8BO5+UD26mdJYBcZuUokL3N8eenSSOMsVz7ncpN8fwq1PjfYvaMMjHbdbs3SeMFp9mQbpVV16B+/W1ALuOo2vujW1lswxSw7RramFaEQQAXi93ZrOXMdMTQBsdhGIXO+tqxIh2Ngi0a7ebk0txq4y5XRratFJulcA+5li6r5EmKsRHr5dU40cjKYDt2uq4YLhVNiuWe2mblaBqZtq1GBMFYnw231NVZZOE4+AOdWDB8OYvGEzab/EMsm9LZtqxEaIGN4p1oonW2AdwAs9YDCK6c8qdVVP3EMAz/Wowcg2YMumGioY4AQtm9Vu6qbfZVzoEUuCnmpLJImZZr7+7kYNnNO0mWZ50voKb9emGi0Y/qRdm5Wduul2E0sd2KNNyZRTX9dmlcl4ogTjp2SIRAR3dOiR+xApGaKFDG4h/JzqojGj0hDcSQpOq/6UDJFK5JQMkUnElAyRhfRKGFiNokwnuaecnknlKHIyTH4Cfy86DvblZDZjGqvA3E0qcYH/059zAjkZJjfpB4hw68vJ9C9owyN9vOX0pSch0srRXGoMjGB8OUokInBPqByNWk5PNI3BTYPrUEU5/epDK9iteH+1pH46rVc/faWmvjXz+id2MucrvbDu8npr0L3r64mmF8QOgXb2ZnqITCJLZyKTiNKZyEIauYHVCEpnIpVo0jlcYM9kKIhOg4rnzajGKjB9k0pc4AD3EM9p6rl5P+eyk36ECLs++dy/pA2P9PE+g9LK58xljFY+G6kxMILx5TORiMBBofKZ/AwK0xoGtwaumF00ZlQaAucrUJ/+m1siFYr89D+DwqQSUX8SWUhDH7AcSe7JyM2pTKLJz8BDKFR+At8+qPjcjGqsArM3qcQF/k8tPgMPoVC5Sb8/hFuf9Oxf0IZH+niffy49ZZmt9CykxsAIxpeeRCIC94RKT/7zz0yDGNwge6tPIg2B9x1EfRKpkNSn7/lnJpWI6pPIQhr9gOWo8snUeTU4pzKJpj4D7z9T+Qnc+6DqczOosQpM3qQSF/g/tfoMvP9M5Sb9/hBufeqzf0EbHunIvZy+wtQySK/u0jt8L6cScNdpfNXLqbVkjllykF5OJUQjggjA6+3lzF0EZmoCXU9P7OVUIgQ7XnDxGurlVGIEW132VaVKdJK2FsB+qS/ProR3BI2cWuRgKB26kVMLF4yl0kbO3dzNKjB3U40aDKgiBX6rfqROkqmnW+9UDx2MYPI2zrKsq6m/iVOL1wjxwrvE2vBkC6wDeKEHDIYv9SEltTMW3e8knetRgyFtyCZOLVQwskmaOHdzN/3u4kKPWBLtNFvCVNMqn2ROV9GoYXNaOJOkqEufn7jUgwXjnriD087ddPuIpQ7s8SZeEm8HZyXjiRKMn3ghEhHczKEH7QiJF6JBDG4Q/DDqojGj0hBcPAqOpP7EC5FKN8gHqOBn10DihUglYuKFyEJ68QssR+6+PJxTeRxF2oXJT+DcRYe+vrTLZkpjFRi7SSUu8H7qE00o7cLkJv36EG59aZf+BW14pI+43tzTu9Rqz1pqDIxgfO1JJCJwT6j2ZNebE61hcGvsLTyJNASudxDhSaRCEp7eenMilYjCk8hCGvqA5XDekcypLKLJzlCtOZOfwK8PKjs3MxqrwNBNKnGB71PLzlCtOZOb9NtDuPXJzv4FbXikj/iVkMTX5liHhyo5jIERjC47mUQE7gmVnTFfCWGaxuCmwTXocK+EVOa1V0LaP2Af/Hhv9QtbU0Wbvck0uCBiCNSyr3KIyYQilr1vgzCZxNPKTBbSeA2sRpZNPMXxTCLR5HLwZRAqQ0FEGlIw15s5jXVg9CaVuMD9qQVzUtStdPLc1FLZST9BhF2PZAaWtOGRPuJ3nhNfe2YdnvzkMAZGML5kJhIROChUMh/gnWemhQxuIVw5u2jMqDQEDlmgR723t0wqkQUpkUlEQUpkIY2GwGoEBCmRSDRBGnjlmcpP4O0HlaObQY11YPImlbjA++0hR72vPFO5ST8/hFufGO1f0IZHOnK3pqcQoE5D9Ippl97BuzW1gLtO46tuTa0lc8ySQ3RraiEaEUQAXm+3pvsAP1MzAPtdBCLXe+mqRAj2tki0q7ddU4uxq0w57ZpadJIGFsB+6bT0PU2nRXj4jk01cjCcDtyxqYYLxlNhx2a9G71ZB0ZvqlGDQVWkwm+1YSVJUvreTj7VYwfDmLxl05RFWWYewGd6wEYIGN4n1ognW2AdwAs9YDCG6Y8qdV17a5zVqMG4NmDPphoqGN4EPZv1bvCm32Fc6BFLQp5mS+RJnphqYioX7kaNm9O0WRUmKXz1lpd6sGDokzZt1nbspttJLHVgjzcdk/qaNutMxhMlGD8dQyQiuKBDz9uHSMcQLWRwC+GHVBeNGZWG4EJScFL1p2OIVCKnY4hMIqZjiCyk98HAaqR5qwycCzKnUjmKhAyTn8Dfi46CfQmZzZTGOjB2k0pc4P/0p5xAQobJTfoBItz6EjL9C9rwSB9xQX3q6+Osc6kxMILx5SiRiMA9oXI0akE90TQGNw2uQ30F9asXo7effftRa5LTR99+9Bd/8a3R6qdrpf7CVsjvKul/7/eKrMrS6cXrEzdvOl9fGb7pn7npLquv7b/1VdETrSwIEwKZ7E3oEJlEVslEJhFVMpGFNEgDqxFUyUQq0VRyuI6eyVAQiAbVyZtxjHVgwiaVuMAB7qGTs+mk9mUDmOykHyHCrk8p9y9pwyN9xC+epN7WUyM1BkYwvlImEhE4KFQpk188YVrD4NbAxbGLxoxKQ+B8BerTf0lLpEKRn/4XT5hUIupPIgtp6AOWwySTsnQuyJxKJZr+DDx7QuUncO6Dqs/NRMY6MGKTSlzgANXqM/DsCZWb9ANEuPVpz/4FbXikj/il59Tbw1lIjYERjK89iUQE7gnVnvyXnpkGMbhB9pafRBoC7zuI/CRSIclP30vPTCoR5SeRhTT6AcuRJZNp4VyQOZVKNPkZeOyZyk/g3weVn5uRjHVgxiaVuMABquVn4LFnKjfpB4hw65Of/Qva8EhH7tr0XWaWQXpJl97huzaVgLtO46uuTa0lc8ySg3RtKiEaEUQAXn/X5qT9Leva4s+v/rr9Hb+6XotPbUXHep1eXv3AxXGm5tgNBsS+TiVCsP8FF7ihvk4lRrDxZV/lqkQnaXIB7Gf7Oo0L4VyN8Aj6OrXIwYA7dF+nFi4YcaV9nbtJnHVgEqcaNRh2RTr99j1/mhhf/96pHjsY6DR9nWVV+br4zvSAjRAwvE+sEU+2wDqAF3rAYAxTH2bCfZ1a1GBcG7KvUwsVDG+Svs7dLE6/w7jQI5aEPM2WyJO8tn2dTks3atysvs6iyhJ/X6cWLBj6xH2ddhin20ksdWCPN0WTefs6KxlPlGD8FA2RiOAKDz2RR0jREA1icIPgp1YXjRmVhuCGUnAw9adoiFS6UT5ABT/BBlI0RCoRUzREFtIbYmA52tiauIPrnErlKFI0TH4C/y46+vWlaDbjG+vAPE4qcYEDVJ9qQikaJjfpB4hw60vR9C9owyN9xNXpmbePs5YaAyMYX34SiQjcEyo/2dXpRGsY3Bp7a08iDYHrHUR7EqmQtKe3Op1IJaL2JLKQhj5gOUwyqbzV6UQq0bRnqDqdyU/g3AfVnpsZjnVgKCeVuMABqrVnqDqdyU36ASLc+rRn/4I2PNJH/IZI5umMzG9yngJjYARja08qEYF7QrVnxDdEqKYxuGlwIdopynmxLtj50r0qQrW7IHAIlLOnnIjKhCKcfa+KUJlE081UFtKwDaxGmtcuHnMqj2iiOfSkCJehIC4NKJtbTtcq6+YnLuKnXOIC76eWzaEnRbjspF8gwi4snJElbXikj/gt6MzT1plPg6OhXMbACMYXzkQiAgeFCuf4b0FTLWRwC+H62UVjRqUhcMgCOeq7yKVSiaxHiUwi6lEiC2k0BFbDr0eJPKLpUf9D0Fx+Amc/qBpNNtLFP5mTS1zg/PZQo76HoLncpF8fwq1Pi/YvaMMjHbnH06cu0yC9tEvv0D2easBdp/E/fY+n2pI5ZskBejzVEI0IIgBvrdp/tvoXuyb/bvVvraa3gv5n7TL999U/rE2++lW7dJ9uTwsfjzZ3w+02+aH9U9cLk9STadpu77SYjFYfXH1nnN29bhJd/7N7lUe2fvn6H2xj6YvVR+t/eGF3mP2tdhN8st5pn199Z3cVff8ysYfs7TV0C+bj1a/b//1Sevd8fed/1/7ii+saavs3tIBfK2z5+rqyZV298ps17HuzUZbdugf3FreMpk4fNVPvArCDSHBO8F5bKxGC3UIS+e/rglVj7Ip7ShesGp2kJQix3zStJsYn2pUYKX2wt7TN/K3ZxcXi4kbdNMvTN1o1mt1tf8jtD8b+UHzNhgTLxAqeu1On5nmgJwpqmGHbZvVwQREja5tt4WzaZm/s7EL9UI8aVDJDHH0smTvzAI1TPQ1QRvR30HqwW9h3Xl8IH4szPQsjZAHvI2vZky2wDuCFHjAYFOHzI+CHGuuHGuuHGuuHGtAPnetJgnF1uC5cPVQwvOJduDv/807gw73QI5aEXNUO2p7Pw76nUVMYpiG33+9sFsDH4FLPAIy0wi5du3e2oDpglzqwx5txyz1duq23kvFECcbPuBGJCC5h0TuVQ2TciBYyuIXwiwgXjRmVhuDSWXCS9mfciFQiZ9yITCJm3IgspHf+wGoUSZlMTO7iMqdyiZl1yyoXvwdcfgKHP8TRc3sAzTZJGv/4VS5xgQOET03wop5zuUm/QIRbX9atf0EbHukjbp3IPW27+c29uMAYGMH4epRIROCeUD0atXWCaBqDmwYXol+2ZJXL7DOq2QVxQyCcvSkoIpPIupnIJKJuJrKQRm1kNdIsn2RTpwaZU8lEE87p1OSTm2mVt6Uzk6EgNg0qnfON0vJPZOUSF7hAtXQOLOs5l530M0TY9Ynn/iVteKSP+M2b3Nt3bKTGwAjGF89EIgIHhYpn7ps3VGsY3Bq4XnbRmFFpCJyvQH/6L26JVCgC1PvmDZVKRAVKZCENfcBypKacJLlPgBK5RBOg+dQvP5n8BN59UPlpNlrFP5KVS1zgAdXy07uo51xu0i8Q4dYnPvsXtOGRPuL3vnNv724hNQZGML74JBIRuCdUfNLf+6YaxOAG2Vt/EmkIvO8g+pNIhaQ/Pe99U6lE1J9EFtLoByxHYvJJWvlK/4lcounPuj3x+CoHmPwEDn5Q/Vls5Ip/JiuXuMADqvWnd1HPudykXyDCrU9/9i9owyMduV/XuOi1irIM0su69A7fr6sE3HUaX/Xrai2ZY5YcpF9XCdGIIALwCP26ozfW2+M3k/Jrk+uW3VTTsvtqycO0SFY/vV3b8B/t/7ZlDP/f9TnG/pm/OVgDrnJZu/GP2ICrRAg2CuGiPtSAq8QIdgjtq9aV6CTdQID9staAPg2uRHjA9tvKNt3W7Q/J1P6QbNreynD7rZYoKEmGbr/VwgU1ibT9tty13/qn1upRg8JkiJOMJXNnHqBxqqcBqoJ92m/LO68vRKD9VsvCCFnA+8ha9mQLrAN4oQcMhkT4OAj4ocb6ocb6ocb6oQb0Q+d6kmBUHbL9VgsVDK6S9tty137rH4KrRywJuKodtD1uh31Po6bAbr8t77y+AIH2Wy0DMNKK22/Lky2oDtilDuzxJs2Mt/22kvFECcZPmhGJCO5U0SuSCEkzokEMbhD8GsFFY0alIbgyFhyb/UkzIpWuCghQwc/XgaQZkUrEpBmRhfTKHliOfFIUuYvJnMrkKFJmTH4C9z7EQXN73Kw2GRb/jFwucYH/g89I8KKec7lJvz+EW1/KrH9BGx7pI+4XMN5m21pqDIxgfPVJJCJwT6j6ZPcLEK1hcGvsLT2JNASudxDpSaRCkp7efgEilYjSk8hCGvqA5SgnZZm5mMypTKJJz1C3AJOfwLcPKj3rjVLxj8jlEhf4P7X0DHULMLlJvz+EW5/07F/Qhkf6iN95Mb5W1SQ89sxhDIxgdOnJJCJwT6j0jPnOC9M0BjcNrkMPW+HkMuKMakRBFBCoYF/dEpMJRQR7X21hMomngZkspDEYWI2s9L/ZwqQSTQQH32yhMhTEmSFlcLKZj5oERt5SiQscoFoGB99sobKTfoQIux4hDCxpwyN9xA9wG1/bbBKeueYwBkYwvhAmEhE4KFQIH+ABbqaFDG4hXA+7aMyoNAQOWaBIvfeyTCqRJSmRSURJSmQhjYbIalSF9/1tJpVokjTw/jaVn8DfDypIN0NSk8DUWypxgf9TC9LA+9tUbtIPEOHWJ0f7F7ThkY7cRVu46LUCMw3Sy7v0Dt5FqwXcdRpfddFqLZljlhyii1YL0YggAvAIXbQ3rbOZpnW2PVnYvWdPH6/dMU/r9R3zK12u659YXK/UhQzwhjjSbzsdoN9WuwHA5iLBKcF7b61ECHYGScS/t99Wi7Er7Tn9tlp0kvYfwH556ew2mavxHa7bNrHDbhM77Daxw26TzZDJJDzsVk0UlC4Dd9uq4YLaRdhtm+yG3SaBYbdq1KCAGeLEY8ncmQdonOppgOphj27bZDfsNukZdqtmYYQs4H1kLXuyBdYBvNADBgMifGwE/FBj/VBj/VBj/VAD+qFzPUkwpg7YbauGCoZWQbdtsht26/9wL/SIJeFWtYO2x/Kw72nUFMjdtslu2G3Y71zqGYCRVtptm9hht26fs9SBPd5cW+Hrtk0yGU+UYPxcG5GI4O4VvUo5RK6NaCGDWwi/f3DRmFFpCO6aBadof66NSCVyro3IJGKujchCetUPrEZaFc7lmFOJHEWmjclP4O2HOHduT5+bwahJYNItlbjA+8FHJnhRz7ncpJ8fwq0v09a/oA2P9BF3QBS+5lt7TyIzBkYwvhglEhG4J1SMRu2AIJrG4KbBVeiXMFHlsvyManlB6BAIZ2/6icgksm4mMomom4kspIEbWA1Tpu7S4zmVSTThHO6aYDIUxKZBpfNmLGoSmHRLJS7wf2rpHO6aYLKTfoMIuz7x3L+kDY/0Eb9cU3jbh43UGBjB+OKZSETgoFDxTH65hmkNg1sD18suGjMqDYHzFYhP/60tkQpFffpfrmFSiSg/iSykoQ9YjiSpPQsyp1KJpj8DT9dQ+Qmc+6DqczMXNQkMuqUSFzhAtfoMPF1D5Sb9ABFufdqzf0EbHukjfrO78HbsFlJjYATja08iEYF7QrUn/81upkEMbpC95SeRhsD7DiI/iVRI8tP3ZjeTSkT5SWQhjX7AcpTJxDjXY05lEk19Bt7spvITuPdB1edmKmoSGHNLJS7wf2r1GXizm8pN+v0h3PrUZ/+CNjzSkRt0nd1HrZ4sg/RMl97hG3SVgLtO46sGXa0lc8ySgzToKiEaEUQAHqFBdzvmNplu5tzmQzbrVua1Goj2D9h6hvcspEFKH5Ae3d6ZuC2a1mrhHl3lHugGS2KPrhIh2E+E6/9Qj64SI9hItK+wV6KTNA0B9ksrd9SZqwEesEnXjsRN7Ejc1I7ETTejKJPwSFw1UVC+DN2kq4UL6hdpk+5uJG4SGImrRg2KmCFOPZbMnXmAxqmeBqgg9mnS3Y3ETXpG4qpZGCELeB9Zy55sgXUAL/SAwYgIHx0BP9RYP9RYP9RYP9SAfuhcTxIMqkM26WqhgrFV0qS7G4nr/3Av9Igl8Va1g7ZH87DvadQU2E26u5G4Yb9zqWcARlpxk64diev2OUsd2ONNr5XeJt1KxhMlGD+9RiQiuH9Fr1MipNeIBjG4QfArBxeNGZWG4HpZcGr2p9eIVLoqIEAFP14H0mtEKhHTa0QW0ut9YDnySZq5iMypRI4iu8bkJ/DuQ5wzt6fNzQDVJDARl0pc4P7gIxK8qOdcbtLPD+HWl13rX9CGR/qI+wpKb1NuLTUGRjC++CQSEbgnVHyy+wqI1jC4NfZWnkQaAtc7iPIkUiEpT29fAZFKROVJZCENfcBylJOpcznmVCLRlGeoq4DJT+DaB1Wem/mpSWAgLpW4wP2plWeoq4DJTfr5Idz6lGf/gjY80kf8HEzp62hNw0PRHMbACEZXnkwiAveEKs+Yz8EwTWNw0+Ay9MtTCuUy+IxqcEHEEAhmX4ETkwlFL3tfgWEyiSeXmSyk8RpYjSybVE7pMacyiaaXg6/AUBkKQtKQijndDFpNA7NzqcQF/k+tmIOvwFDZSb9BhF2PZgaWtOGRPuL3vEtfJ24antzmMAZGML5mJhIROChUMx/gPW+mhQxuIVw6u2jMqDQEDlkgSL03uEwqkRUpkUlERUpkIY2GyGoUta/Sn8kkmiINPOhN5Sdw94Pq0c2k1TQwOpdKXOD+1Ho08KA3lZv0+0O49anR/gVteKQjd+Y617TVl2mQXtGld/DOXC3grtP4qjNXa8kcs+QQnblaiEYEEYBH7czNNp25ydTfmtvuorefffvRHz0anT769qO/+ItvjVY/XW+j9X9kdxH9e79XZFWWTi9uNcWujyW7R8qlb5PX9t8y+nG/+ceuxZ+pFx9sQBIcELw31kqEYPeQRPd7W3K1GLuqntOSq0UnaREC7Jem1eTm8eHbUl0J8XBNuamdnJvaybmpnZybbiZWpuHJuWqioHIZuClXDReULsKm3HQ3OTcNTM5Vowb1yxAHHkvmzjxA41RPAxQPezTlprvJuWnP5Fw1CyNkAe8ja9mTLbAO4IUeMBgT4VMj4Ica64ca64ca64ca0A+d60mCYXXAplw1VDC6Cppy093kXP+He6FHLIm4qh20PZWHfU+jpkBuyk13k3PDfudSzwCMtNKm3NROznX7nKUO7PFm2ipfU+5NmxfMEyUYP9NGJCK4ekVvUg6RaSNayOAWwq8fXDRmVBqCq2bBQdqfaSNSiZxpIzKJmGkjspDe9COrkRWVv/qLyOUocm1MfgKHP8TRc3sA3cxaTQPDc6nEBQ4QPjXBi3rO5Sb9AhFufbm2/gVteKSvuyUePamrZ1kxNk+emnH+6Ek5rpOkGFd1+SR58iR5/LR49M0D6FFnIGn1aC41BkYwvh4lEhG4J1SPQt0SN6mYP7pOxdwI1VZ8utMs17/c3C+SvJpOL+w/tRL1xXV6cPPgzPrfftDK4O+sk4Yfr365/k+vGw5+dfOvP1q96LRiOA8z96g2N7jNcYV75Gkvl5VnVCsL4o9AgHszWUQmkfU3kUlE/U1kIY3+wGqkZRvJCqeUmVO5xNPfVVZPMqe3fcBlKAhxgyrwzcDWNDCDl0pc4AH1Cty/rOdcdtKvEGHXp8H7l7ThkT7it3Iqb8eykRoDIxhfgxOJCBwUqsHJb+UwrWFwa+Dq2EVjRqUhcL4C+em//yVSoehP/1s5TCoRBSiRhTT0Acthysk0cy7InEolmv4MvJZD5Sdw7oOqz83I1jQwg5dKXOAA1eoz8FoOlZv0A0S49WnP/gVteKSP+JHwytv5W0iNgRGMrz2JRATuCdWe/EfCmQYxuEH2lp9EGgLvO4j8JFIhyU/fI+FMKhHlJ5GFNPoBy5HlkzR13iLNqVSiyc/AM+FUfgL/Pqj83MxsTQNDeKnEBQ5QLT8Dz4RTuUk/QIRbn/zsX9CGRzpyq2/totcKyjJIr+zSO3yrrxJw12l81eqrtWSOWXKQVl8lRCOCCMCjtvrm21bfdu/b08PH6y31u3Wtyc3rkl+s/+6/bv/KX9202PqeqDyGyghCQ7Bjf8zU+6MbSIndwEqEYNsSfjgIdQMrMYL9SvuqfiU6SW8SYL/CTKa+WgYlwgM2A9sJvamd0JvZCb3ZZjJmGp7QqyYKapuhm4G1cEFxI20G3k3oTQMTetWoQYUzxJHIkrkzD9A41dMA5cU+zcC7Cb1pz4ReNQsjZAHvI2vZky2wDuCFHjAYEuFzJeCHGuuHGuuHGuuHGtAPnetJglF1yGZgLVQwuEqagXcTev0f7oUesSTgqnbQ9twe9j2NmgK7GXg3oTfsdy71DMBIK24GthN63T5nqQN7vMm32tsMXMl4ogTjJ9+IRASXs+hdS4TkG9EgBjcIfh/hojGj0hDcPQuOzf7kG5FKVwUEqODn60DyjUglYvKNyEJ69w8sRz0pC+eVzJzK5Chyb0x+Avc+xEFze9zcTHRNAyN6qcQF/g8+I8GLes7lJv3+EG59ubf+BW14pI+47cDzOnirPmupMTCC8dUnkYjAPaHqk912QLSGwa2xt/Qk0hC43kGkJ5EKSXp62w6IVCJKTyILaegDliMpJu6bkjmVSTTpGeo6YPIT+PZBpedmpGsamNFLJS7wf2rpGeo6YHKTfn8Itz7p2b+gDY/0Eb86U/s6XrPw8DWHMTCC0aUnk4jAPaHS83+IV2eYNje4zXGBe9SVVS4bz6g2FkQfgfr21UsxmVDEt/fNGSaTeNqbyUIa+4HVKKvJtC5cVOZUKtHEd/DJGSpDQXwbUn5nm+mwWWDgL5W4wAGq5XfwyRkqO+lHiLDrEeDAkjY80kf8DHnta/u92RkCY2AE4wtwIhGBg0IF+AGeIWdayOAWwuWyi8aMSkPgkAWK1HsfzKQSWZISmUSUpEQW0mgIrEZWTye5p3OASSWeJPW/Qk7lJ/D3gwrSzYDYLDDxl0pc4P/0gtT/CjmVm/QDRLj1ydH+BW14pNv/+4O1JM2/Gdabf/rsyZ9960/+2GEIldz0Kc00wNOk0y5PXz+wH61ERO5agp1w31TD7W6zgHFRqbjO+b+/+sze0d6193zXFQAfrz67+uH6xrb9xd+siwde2Du9dVuog1OrANOvz9XEbnlFP7P9nOJ1I1lmp0pmdqBkVvpcoZZJLmeC1+Rb+GcW/pmFf+aDf6aHb+Tw8YL8Fv3Col9Y9Asf+oUePf6B6N3wdQ9QZgcCZnYWoIdFo2Zxq5+jh4Vs+1xa6JcW+qUP+qUeOu7+hb0cLfKlRb60yJc+5Esd8vXe+eY2fv1+KKAN+cBF7uvZyLIgi9RrfwysMphZzC68b6rxdt3+vs9brO85bh4beC2YeULZaJ2juk4jupjdUzPrhgHicxNaiEYEUQlvpoYHtnYK7kq82TslQrAvU3IF4n3tQIuxe8HBee1Ai64br/d87cBpu7kaHeWlg9tlkO4lf6CHDYYs+bsFVVZ4ny1QowVjlvDZgizbPluQecd0PdSjBiOX6LSCbo1TPWwwLPUfTVCsZ3qsRogV3h3WfidbYLdPH1rAYMRS327VZuoz87keNRjFZK8L+D3FO3qkYCwTPC6w9RLvBLzEhR6xJL5pdoRvOzRqyMM8JoDivNTjBIOc8Jhpd8QW1O3DpQbsWmqXT59kJivHRTo14/yJScdV8igZF0X1LK8fPyqePr3ZKt5z5x898ueFlWdP7+kzl9FE+blOqAFaklOqi8ibVCJdARBaH/D4+pPbR9T1U4kfd95oXH28qZf98U0h5kv7RuNPbTHn+s3Fd13muEc1h8HNsfeBkkhDkKQa4uBJZMLJ0bt43KfyiJihJ7KQJgiBtfAddoksoiXnA0r3AZehwK2LznZ96fnNPLssMKKQSlzg+UgHGCY76feHsOtL0PcvacMjHfOd7tzX/H8zxsrNrgXcZXfwNIYSL3gZhOpARhpDySzHmA2SxlBCNCKIALxkdPW3dlr36teT0ernrdz+4uuj1U/sQ9cu4DM1cPC6aAidqUQIXg0J9GMgwaHECF4K7asNlegkF0CA/bJ84unR1wKMkuMIyzktcjCkDZzm0KIFY5o0zWF2aQ7vNLqHetRgZBNJ4VubOq0LE8h1aLGDsUue60jr6bSepL58hxavEeKFt4m14ckWWAfwQg8YDGCk44IWNRjUZPmOJDW5P+GhhQrGNknCw+wSHl5/caFHLIl3mi0R9BWNGjcn69HCSbJJ5ct8aLGCcU+c+TAnW1AdsEsd2KPNfKTezEcho4nyi5/5IBIRXJGhJ1565oNoDoObAz+Drv7T1fdb4r+6GaRk3+e7+qv1Cxzr5/x+vPqX1Y9W/9kOdBqt7wZs7+avrh/zuDta/b9X/9AeXD9Y/Wjc/r9/aH9y/bL0P63+P/Zhv0+uX/uzdh39+1HSnhrXr3Z83P7Cd9dG/vTqb2zH6Ofr3gA7y8k+pWL7Qscj+5P2r7CTo168jurlKN0+AfL6f+PqvXadrp+ASUer37T/+IurH6xeuFZqRl0pwRXnEIduIpOoyR0ij4jJHSIL6eUysBaBgz6RyJHkd5gMBcFLdKjty+9shnZmgSmsVOIC50c6sDHZST9BhF1ffqd/SRse6bj5HWc9VCuXyyC7usvu4PkdJV7wFgxVu4z8jpJZjjEbJL+jhGhEEAF4hKmok5E9woztHNR4wn10ZMpdub7gLeIQilyJELwxFCjtQBpMiRG8KtxXRSvRSa4FAfvlU3dn/VwNkJIGuyUgXENNs+pmemAWnmKqZgYqA2WazBlp39ajBaWBNE22G2KaBYaYqlGDAmGIE4Ulc2ceoHGqpwGqgf6MmQe7hX3n9YXwsTjTszBCFvA+spY92QLrAF7oAYMRED6WAX6nAf3OuZ4VGDWHzLNpoYLBU5Jn200t9X+pF3rEkoCq2jLbU27Y2TRqCsOk3PodzWYBfAwu9QzAyCpOxNmppW4ns9SBPdpEXOZNxFUymii/+Ik4IhHBXSZ6NUFPxBHNYXBzCC4L/uc9zxOXSnAZPcS5n8gkaiaOyCNiJo7IQpoGANYicNdAJBIvE1eYapI5GT7gMhREryHOzdvT82aEZxaYyUolLnB+8JFPsKznXHbSTxBh15eJ61/Shkf6+inUV4SlVz8P+haqM9a1wrkO0DRp1qXpS8kN+xKqE+ybarDdPbb/O6j/upZdv/M+blrbx02VaCM/bppP757mVXr3tEwSn3vTMsnlTPCj+/Xjpi38Mwv/zAf/TA/fyOHj5/b146Yt+oVFv/ChX+jR47te71iv7wZbFo1l0fhYNGoW7MdNW+iXFvqlD/qlHjruz4VXPuvHTVvkS4t86UO+1CFf751vxoxMvkudfBqEn3sND6NVxSZftYgWLv6dotHp39aj/ew9zC9vlSPcDGv5Yj3Cxc7r+779jdf3B6ObupLfuQjeawm2UU3LMnZUS9qoluf2h7L9wdggZ+w/GvuPhf3Vwv5jYf+xtL9a2n8sK08IVNOOEQKTNgS2XM8s1zPL9cxyPbNczyzXM8v1zHI9s1zPLNczH9czPVcj5ypyegtLdWGpLizVhaW6sFQXlurCUl1YqgtLdWGpLizVhY/qQk8V/2j3Dq5JG1xbyo2l3FjKjaXcWMqNpdxYyo2l3FjKjaXc+Cg3asr0SJy0kbjleWl5Xlqel5bnpeV5aXleWp6Xluel5XlpeV76eF7qeeLBThW2kzZstzSXlubS0lxamktLc2lpLi3NpaW5tDSXlubSR3Opo/lKjLf/L9ID5qmv0rIN9UmQReFdLAysMs77K0O1eMHCDzTQ/2wzqO26MvSv2pDehnV7jf/56ot1aubXNpzbkR2jVgDY+/7Pr6e2XX1/1Mb71a/a3/Te6qP2N3zfrQk+Xk/zvVYFd+1v+XidH/joZj7yr9Z5gjfsnOTVb9qfb/8bd+08uJ+sPlz/mRfrTMSn9j/4o9UHLep1cmMDYPK1zX/hk3UR5ffXA4G/u/57PnOZ/57a/N1gTCxf1UI0IogAvG756uvSUFu++lO7yOv81a+vBz9fZ5JeW8h1zmv93/rtdUXyeoO+aLfacW3QT9YjDb+wKbOv2f/o+j/46RpoOv0/XZNvf9lS+ut1GfZLn35+o2Vo/66XrxRg218cWbIWyfZrfTlKzPSk/d//kk2nNvlmU3T/Dzs48WsT14aaqTcUWC0kyJtZWh+1e8D5cb6lBgoWAAnSYv6yWS1GsPJnz5SXFl1XlO5ZNptOk9QzH22uxni4ytk8tafB7KaMLU+C5bNqeqB8kpfPppX3kRk1WFA+Catn82RbPZt7h8091KMGRdR+1wib/F+e3JkHaJzqaYBiRHEtsClqa7G/vhD+6lk1CyNkAe8ja9mTLbDbJ3ctYDAewqlUwPc01vc0oO8511MDI6ishDZPvQW0aqBgGBUU0G59zjuBj/VCj1gSWlW7ZpOc7vE3jZoCuYB262s2C+AvoFUzAGOr8FrG7p0tqNv3KxqwFu0T8+xpPa3q8eNnxozzx8+qcfX0cTaePk+r4lH69PHjR+aaj/fq5Y8eDVlAG7jQ+EbroGQ0UX6uS5oALclFjYvIm1QighIk9Abnv9nrkfbsaM+Fv7yuEf3IPiG6PiHbw/L7m8LZX6wP6bao9Pqf/8v62Py99n8/WJ8517/dnp3Xv+c6y/Ph6h9XH4zXVaTtyXL19+u7gJ/fHWXTlWcQ/D2qAQ1uQPyCw0VjRqUhqMgSHKs9K/IWlQqlHnXqfgDgPpVJvIpUJouuzgiwQI/xxTSblPa0cZvLnMolWlFqkk7SwsXvAZefIB4McRjdHknTm/rF65+4iJ9yiQscIHyOghf1nMtN+gUi3HoKUoEFbXik12r12aNn2dPHdTIu6vzJOM/SfFxl5eOxefI4fZQUVT4tn30zvlpNXbZo1WomtQXGL75aJRIReCdUrf7TuujVdhCtG7c+s8Lz6r2rv7N5kVZ0vnGdCvpOK1/fb3Voq2a/9h+sWE3MOsXhMsE9qgkMbgJcb7aa/ZUcz6fXJrn6YSuqr9uoRm9ci+8PVv/76Ib56Or77s96RqUvcNMCndqX/iESoqhVz5n4PpVJRLVKZCGNlcBqtHGunKSZM/LPqWSiydVykjh33AMuPUE8GFStZhtx452YesolLnCDarXqW9NzLjXpB4hQ6xOr/evZ8Eivu6fubkOb1aARq9d8cjQPsvU/zY6BlcjMV6vXCm/1mhJv14PsWb32n9fFNPZWc33vaQuGrktqrpvZfztal7Jdl/asq3Haf27V1MfXjfPrgiB773nTcP9i3flu1dbVe/Zq1P6l9mq0/XuuL0x/1YqyVo9Zjeru/L6nNkyOGWaQujIlRCOCqIQ3U8MDs7K4TL36K/ebEm+pIYLZVYnw9NcnKTGCidV9JaUSnSSJCtjPabu5Gh2lMun21bjvGWs1bDDkKSqOUv9cKzVaMOZJS47yXcmRd3zmQz1qMPKJdDO6NU71sHMhbHhr+LCe6bEaIVZ4d1j7nWyBdQAv9IDBkKU+UphJ5kyjneshgyFMViDkdxPv6JGCgUxSIZTvKoS8LuJCj1gS3DTbwT/FSgt5mIogFOelHicY4cR1P/nJFlQH7FIHdi3B6vy5SU02fvz06aNxnhRmXD/Ni/GT58/LZ8/LNHua30QT76E1cIrXHly9dT9GRhPl5zreBmhJjrguIm9SiQhuztCz74e2Heo6k/LZOpXw8brp5tObqp93r8t4NrU//8Ueiu3v/XCcOT+ue1T+Bue/9/mRSENwD4ifM1efOYP0W1QmlDyIddy+TAiRS8RMCJGF9CIWWQ8XizmVRbQUSFoFBjpRGQp8ueg015cFMZtbc+8Y1VMucYH3Ux9ZAst6zmUn/f4Qdn2JkP4lbXik11rzUZLkhcnrcZE8MeM8r8rxY/OkHD9/XD6dPk0qUxQ3homqNX1pkkJqC4xffK1JJCLwT6jW/NebpMnfjK5+sPrY/sO6iOd3q8/H637p71795bpyfP1g8Xev3rv6/lp7Wum5+mlifIKTaASDG2FvwUmkIXC5AsHprxMnUiEpTnfXzX0qlYiCk8hCGvCQ5XCxmFNZRBOcxSRxTkh4wKUn8OaDqs3NrMk8MD6USlzg+tRq07em51xq0i8PodYnNfvXs+GRjjc71MpH53VKKx6Dg0zKaZfdwWtslHi7HuN/vBobpWFyzDCD1NgoIRoRRADe6sO12W1j56d3R7at+u4oG1397fXDS6uXvqeClPjBjCauVQNFOEqIYAYT16ChIhwlRjB3ua+4VKKT5CkB+2XGGYPnanxRynB8ufUHethgVBy4DEeLFgyL0jKc3dzMPDA3U40aDI4iKX3LIdTTdFI5o/qpHjkYveSVOO1/tvK90HKmx2uEeOFNYm14sgXWAbzQAwZjl/qwEajG0UIGY5msGifLan81jhYpGNEk1Ti7gZd+T3GhRyyJcprtEPASjRo1pyAnSZNpmvmrcrRgwYAnrsqx4yzd7mGpA3u0mRLvOMs8OHzoNk2UX/xMCZGI4G4NPS2TMiVEIxjcCPix00VjRqUhuC7ET5+BTAmRSuxMCZFKxEwJkYX0vhZYjvY/PXFPXJ5TqRxDuoRJT+DSRWe8vnTJZiBgHpjxSCUu8H/qE0wgXcKkJv38EGp96ZL+9Wx4pI+3CjzzVubUUltg/OLrTSIRgXNC9ebwVeBE/gbnv7fUJNIQuFqB1PRWgROZkJSmvwqcyCWi1CSykMY6aD38GRYik2hKM1wJzmQo8OeDis16I07qgNhkEhd4QLXYDFeCM9lJv0GEXZ/e7F/Shkd68yTOjQs134z6JE7uYvuN/OYuzM3WZLfYRirXqSbGhfdNNd6uE9mzXOe63uOjdZ3O55sHwd2zplb/uvpg9eNrabip4LkRivb5QVt6cfXeukCn/f+trPxk9fH1L6f+txi1VsgxKwxRm6OFaEQQAXicuWqvFPy0//ST9fSz3+02w107Q+3Wi/Hr2WqdC2tb2tVulWtI9r+9m5H2yfVYMvtW/HrG2nWF16YIzP7qL0evDDJb/1W2sMvcPHDZAvvxzTg1S9bOX1v/fb8dpSPf3pqpFw5M7Eq0uvMU/JYaIZjHxTV4oCZJixHM4O6prbXoujF7z5qkpDaTsnJBnKshUsqSbukK19wyY4dVGzu8zGwGCJnpesKKb3iZmiMoFeQ1TGbqn16mRgtqBWENk5lua5iuzexC/VCPGlQMQxw5LJk78wCNUz0NMOT3FzR5sFvYd15fCB+LMz0LI2QB7yNr2ZMtsA7ghR4wGA3hcxvggRrrgRrrgRrQA53r+YGxVFYTVRb+GWZqpGBEFdREbT3PO4FP9kKPWBJlVXtncx7u8TqNmsIwBVL9HmezAD4Gl3oGYIiVVk21e2cLqgN2qQO7PjQl5nn5NM/GWf0sGedZUYwf1U/rcfr4WfY0T6ZP2n+65uO9bQhcv2hvHHxVUyaR0UT5ue4lArQkdxMuIm9SiQhuPdFLi9szzDqH0RdX77uI3qMSNThR/NDvojGj0hBc1gqOwN7KKCYVSr7KeZa/T+URL1fFZCG9JwfWIquTiSlcVOZUKvGSVdkkq138HnD5CZz2EOfG7ekxuclrmMD8aypxgfeDjzzwop5zuUk/QIRbT6IKWNCGR3otKYtHj6rH2eN6XBZZPs6nz+vxI/Ok/WGaJk+eZe1ftDmUR5WUnsIok0ptgfGLLymJRATeCZWU/8XmwNZJhU9sSuHF6tOr921+xaYbbsqhHv4v2eqz9U9Tc/X91HhTD/eo5A1Ofm+ZSaQhcLS4zPS3fzOpUGSmd6Qtk0lEoUlkIY1zwGqYalJmuYvKnEolmtAs80nmDEkPuPwErnxQobkZgGoCE22pxAX+Ty00vYt6zuUm/QARbn1Cs39BGx7pa6H5vJoWz59Ox8/T6fNx/qSox9XTuh4/efYsnxbZ80fT/CZSRBWazjDSCs1MbAuIX3yhSSQi8E6o0LxVYTO6edno5pWktfT8m2vhOVr90+pHq39d/Xz1j6uftv/7540SPR+bZLT6kcsg96gGMbhB9hafRBoC54uLz8AdJ5EKSXxat3abyn0qlYjqk8hCGvyA5UjrSVZ4avKZVKKpz3o6SZ3lUw+4/AT+fVD1uZloagITaqnEBQ5QrT69i3rO5Sb9ABFufeqzf0EbHum4z2UaF7tWT+YBdkWZdNkdvP5eibfrMr7k9fdKK+SYFQapv1dCNCKIALz/qevv/+v6V162v+t3ggp85dKBNYcCae6twFciBKsGccUdqsBXYgTrBfeV0kp0ktpAwH515isDUOI7YPm9sZX3xabuNQ9X3mvpgSJh4Mp7LVpQJUgr73dDfE1giK8aNagVhjhaWDJ35gEap3oauZCGog42v/P6QgQq77UsjJAFvI+sZU+2wDqAF3rAYBSEz2eA82ms82lA53OupwaGzwGL7rVIwSAqKbrfjQX2f60XesSSwKraNttDb9jhNGoK7KL7/M7rCxAoutcyAKOruOjeDhB2O5qlDuzRJq6Mt+jeyGii/OInrohEBBeb6E1FhMQV0SAGNwh+I+CiMaPSENzbCk7H/sQVkUrsxBWRSsTEFZGF9N4cWI4kn7rfa5lTmRxF3orJT+Dehzhcbo+YmwG0JjBTmEpc4P/gcxG8qOdcbtLvD+HWl7fqX9CGR/p4Oz6Ntzy/kNoC4xdffBKJCLwTKj736PgkEjU40b1FJZGGwKkOIiqJVCii0ukL7lN5RFSURBbSiAasRVKVzuWYU4lEE5Shfk8mP4HLHlRQbsbMmsDYYCpxge9TC8pQvyeTm/TzQ7j1Ccr+BW14pOMWQjkTzq1ELIPs0i67gxdCKfGCyU1U4R26EEpphRyzwiCFUEqIRgQRgEcphErGq9+2LmNsL49fjjL7/zdjh7eLfPXD14uZrn7oLGd62VfMJKiyanfky/Y/8N317+zWWPW9SzpxLeRMvZBgQlig0b1lUUqEYF4Xl96hsiglRjCju6+sVqKTZG8B++V1VUwKn2JWYjxgaVRlS6Pq9odiuilRKMP1UVqOoHYYuD5KixYUD9L6qN10ZROYrqxGDUqIIU4clsydeYDGqZ4GqAH2qY8q77y+EIH6KC0LI2QB7yNr2ZMtsA7ghR4wGA7hYxvggRrrgRrrgRrQA53r+YHBdMAiKS1SMKRKiqR205r9n+yFHrEkzKr2zvZAHPY6jZoCu0iqvPP6AgSKpLQMwBArLpKy85zd3mapA2vRPk6qR0VRPxkb87ge54+yx+P68bMn4yrPnj1/VmfT59mTaz7e64fA/Yv2CsJbJBWeNXiLJsovfp6KSERw6YneYtzOU712gHxltt4v1idkO9f5Ztbeur3me+3/frA+u65/uz3krn/P+mJj9eHqH1cfjNd1VT9a/fPq79cH8Z/fHWVTX7blHtWABjcgfrvgojGj0hDcAQvO1v78F5EKJf+VTJzlEPepTCJmwIgspFfwwGpUdWkmdeK8fZ5TyUTLgiXpJHXye8DlJwgIQ5xJtyfTzfRgE5gGTSUu8IDwcQpe1HMuN+kniHDry4L1L2jDI328r54W3rKqWmoLjF98uUokIvBOqFwd+NVTInmDk99bahJpCBwtLjUDr54SqVCkpv/VUyKTiFKTyEIa54DVSPK6lZqVT2oSyUSTmqF3T5n8BM58UKm5GRxsArOgqcQFHlAtNUPvnjK5ST9BhFuf1Oxf0IZH+njbRwvfu6dFaDSV2xYQv+hSk0lE4J1QqclvH2UaxOAG2Vd+MmkInC8uP/03nUwqJPnpax9lUomnP5kspMEPWI4yLyd17XTkcyqXaPIz0EBK5Sdw8EPKz2J6o1aKwIRgKnGBB1TLz0ADKZWb9AtEuPXIT2BBGx7puPX+zoqCVlCGplcVZdZld+h6fy3ersv4ctf7a62QY1YYot5fC9GIIALwKPX+q59t/9j6MNCu6nrRX7Z/x8ftceCT9mffH12/OTpa/R/tf/+n7R9a11e0v/ZKfcUvQhX4LsvO1JYFKw4F0tlXgK9FCNYM4oo4UICvxQhWC+4rdZXoJJWBgP1SM6mnnvp7LcTD1d8XqS29z24KX4skWHqvpgeG8WFL79VowTguLL0vkm3pfeEdnflQjxqM5kOIf0vmzjxA41RPAwzHe5Tet9hfXwh/6b2ahRGygPeRtezJFlgH8EIPGAyE8AkKcD6NdT4N6HzO9dTACDpc1b0aKRhHBVX3W6fzTuBrvdAjlsRW1bbZHkvDDqdRUyBX3W+dzWYB/FX3agZgdJVW3bd7ZwuqA3apA3u0uaXSV3V/02gJ00T5xc8tEYkIrh7Ru4QIuSWiQQxuEPzM7qIxo9IQ3KwKDsj+3BKRSuzcEpFKxNwSkYX0ZhtYjmxSVc71mFOZHEVmiclP4N6HOFxuj5ib+b9FYKAzlbjA/8HnInhRz7ncpN8fwq0vs9S/oA2P9PG2fJa+Gvoik9oC4xdffBKJCLwTKj6Pr+WTaUCDG3BvsUqkIXDWg4hVIhWKWPW2fDKZRNSqRBbSWAmsRm7fcMpdVOZUKtHEaqDhk8pPEA4GFaubccFFYP4zlbjA/6nFaqDhk8pN+gEi3PrEav+CNjzSccugnIGhlZ95kF3eZXfwMigl3q7L+JKXQSmtkGNWGKQMSgnRiCAC8ChlUF/SZ097xkF7Hj7VLiWYbhYodW/dlRIhmDWWCHB/3ZUSI5gv3ldaK9FJcsOI/ZLUll45E3VzNcgDVl7ZodDFZi5rER4KraYHKoeBK6+0aEHpIK282g2FLgJDodWoQQExxHnDkrkzD9A41dPIhTQUxRC7odBFz1BoNQsjZAHvI2vZky2wDuCFHjAYCuFDG+B8Gut8GtD5nOupgTF0wMorLVIwkkoqr3ZDof1f64UesSS6qrbN9iQcdjiNmgK78mo3FDrsbC71DMDoKq68skOh3Y5mqQN7tMmvylt5ZWQ0UX7xk19EIoLbTvT64giTX0QDGtyAgmsFx2zD7+2O19fmuDbBv7T/+/nqH1b/tPpHF/kZlbzgylhwEPenzIhUIqfMiEwipsyILKQ39sBqpNN0WkyKzLkmcyqbo8iaMfkJ4sgQp9jtWXYzrLgITJ+mEhe4QPgAdmvjtn7EeTl5zuUm/QYRbn1Zs/4FbXikj7e/oPKWeBVSW2D84qtcIhGBd0JVboT+AqJBDG4QXLW6aMyoNATOdxD9SaRC0Z+B/gIilYgClMhCGvyA5UiKyrYYlC4ycyqZaPoz1GLA5Cfw8IPqz81s4yIwrJpKXOAC1foz1GLA5Cb9BBFuffqzf0EbHum4VVu1i12rKMsgO9Nld/CqLSXersv4kldtKa2QY1YYpGpLCdGIIALwKFVbQz1e9epFr+D5KqVtwdyxQD17y6iUCMEUMC6KQ2VUSoxg8ndftatEJ0n0AvYLPl+lhHjAIio7PrqoN3UM4cnRanpgIB+4iEqLFozk0iKq3eToIjA5Wo0ajOdDyH9L5s48QONUTwMMyPsUUe0mRxc9k6PVLIyQBbyPrGVPtsA6gBd6wGAghM9QgPNprPNpQOdzrqcGRtABi6i0SME4Kimi2g2N9n+tF3rEktiq2jbbg2nY4TRqCuwiqt3Q6LCzudQzAKOruIjKDo12O5qlDuzRppdqbxFVJaOJ8oufXiISEVw+orcJEdJLRIMY3CD4qd1FY0alIbhbFRyQ/eklIpWuBghQwU/SgfQSkUrE9BKRhfRuG1iO0PNVRCZHkVti8hO49yEOl9sj5mZicBEYAU0lLvB/8LkIXtRzLjfp94dw68st9S9owyN9vBX8tbe2qZbaAuMXX3wSiQi8Eyo+j7CCn2hAgxsQF6uDVvATyQtc/CASl0iFInH9FfxEJhEVLpGFNMICqxF89IpIJZrEDZXvM/kJgsigEnczqbgIjJ6mEhf4P7XEDZXvM7lJP0CEW5/E7V/Qhke6/b8/ePVzNe3/+/2Qlh22nipxpkO+kZehWYcmS7t8IxVUJVNfRZUWcNeL7FlR9d9ulUG92JVLtQLz49Vn66eQ3l1fg352t/PvVp+PWw32cfsn/tJqUPtb1mU867/il6vP1/K0/VffvX426ePVr9ba9jutQrP/ifX16s07R6uPOtex9l9fl2/Zf/Pp1V9PrguC0uT6haX8+oGlG1X8y6sfWum8/r2/vf6N+d3pzW+t7O/8uKW4VsuuBbmnXpAcWxBZcVcrVG0904trs728Mfj7V3/XcviulbXb+qmtBW/M/oObV6naf+V8Der31ESNiChCcvgSsetqwN9MalssFtzbm3PST1YfXv+hX9k9+Iv2v2bPVesdePWe/ZVP13v1ejvat762f4HdcX9lge5+z8vtXt0+Bpaam2fAknG2fWJs9dK1NDP10oCJdcHpwldhpkUI5sclhwZvhZkWI5gZ3/M4oEUnyYIj9kvKyiOZ5mqMhysxK5O77Q92TGK5mVRWToN1ZmqOoMCR15klSWG8hWZquKDCERaaldNtoVnpHUH9UI8alDlDHJQsmTvzAI1TPQ1QHOxRaNZif30h/IVmahZGyALeR9ayJ1tgHcALPWAwHsKnTcAFNdYFNdYFNaALOtfzA6OprNosKfNyYjzlZmqoYFAVlJttXc87gW/2Qo9YEmhVm2dzkO9xO42aArncbOtyNgvgLzdTMwCDrLTcrN07W1AdsEsd2LX8bn/H87rOxtU0fzrOTfFo/Gj6+Nk4e5xO6/zx06x8frOpvLckgXsj9U2Jr96sDE2FdPBECbruUwK8JHcqLiJvUokIbmv3umt5/TrlxdX7Lqr3qFQNTlVwuMfYjprLi+Xbl8uL0Tfe/j9/43L2tov+jEpfcD0tOEB703NMKqT0XOZicp/KJF56jslCmh0AViOrsiSZ3LzOc/vgTiQTLUFXTUonvQdcegKPP8Sxc3v4TG7SOaV3bvYpl7jAAcInpltOZDopcxe3cy436ReIcOvJzwEL2vBIH2//Q7sFPDVoZSo2BkQwviAlEhG4J1SQ8hsgmAYxuEFw2eqiMaPSEHjfQeQnkQpFfvobIJhUIupPIgtp9AOWIymLSZU6TwRzKpdo8jPQAkHlJ3Dwg+rPzcDnMjDBm0pc4AHV+jPQAkHlJv0CEW59+rN/QRse6esWiOzxo6RKpuMsKZ6N8ySpxvX02eP296b1U/OkyqblzaLH1Z9Ot9Xqz0xqDIxgfP1JJCJwT6j+/HA9Sc+W7Lcy05bJvLh6/+ov17U2tgbot//BKszVh6ufOst171HpGpzu3uqSSEPgWwXq0tZLfTQZuR/KeotKiKIxnYmS+1QeEQUmkYU0vCFrESxMInKJJjCTYuJ+2+sBl5/Agw8qMDdDmsvA1G0qcYETVAtM76Kec7lJv0CEW5/A7F/Qhkd624Bwo6zs/4vZgOBLqudBvv7pZBhaiTZ8rQEhdV+6vqkG3PUizAaEV1tibW/Buv56Xcr/3av3b/5R2Vnw2vuwcRoMlAbPMYPLGgxcEH9PDdGIIALwGK0Bb9z0BlTJSZV9zc7lfr3f2vUm8K2GgV+vjyS/2LfOX2lnsK5RoOS9df5KhGBlokCaB+r8lRjBksR9ZbcSnaT8ELBfNk0m7iGVczXEA5b523HcZWF/KDc1tuGZ3GqOoIxQlPlPy8xf5q+FC+oIaZn/bih3GRjKrUYNiokhjiOWzJ15gMapnkYupKGoud0N5S57hnKrWRghC3gfWcuebIF1AC/0gMFwCJ/pABfUWBfUWBfUgC7oXM8PDKbCMv9iWvvL/LVQwZgqKfPfjeb2f7MXesSSOKvaPNvjctjtNGoK7DL/3WjusMu51DMAg6y4zN+O5na7m6UOrEX7eGrqZFo9GxfFk2fj/JEpxnVZmPGTOs2f5U+mj6vHB6iqSrxl/kbGEyXourUI8JLcXLiIvEklIrgT3edGw/e2F+stL6bJDG4y/MDvojGj0hBcCgvO0/66KyKVqDkxIo+IOTEiC+mNPLAWpcmdyzGnEomWECsntS8fxqQn8P1DHEC3x9DN+OUyME+bSlzg+uCzk6vgP3NxO+dyk359CLe+fFj/gjY80kdccJV4C/4LsTEggvGlKZGIwD2h0nTvgisiXYPT3VtWEmkIfKtAVvYVXBEJRRWXRB4RxSWRhTS8AWsRzBARqUSTl6F6KyY/gQMfVF9uxiuXgXnZVOICH6jXl4F6KyY36QeIcOvTl/0L2vBIr/VlVVTpk/JpOX6cldNxXjx7Pq6f5I/HWZ1N6+f1o0fZsxv/GldfOk8Yrb4spcbACMbXl0QiAveE6svbDaWrH6/+YfXz1c9W/zxefWD/3/oW84PVz9dS00X6HpW0wUnvrTKJNAQeVqAy/ZeXRCoUfTmdpMZF5T6VSkSJSWQhjXDAcpRm4r3AJDKJpzCthHaemR9wCQp8+KASs9woksB0ZipxgQPUS0zvqp5zyUm/QIRcn8bsX9GGR9qKzJB2HLiE33crWQXoFa347tA7fAm/EjBYdYeqvv+JSviVBs8xgw9Swq+EaEQQAXjUEv7ypJ6e1Ooq/k/WxRZftD/+5dV7d0frZ/8/v37w/+VmKMCeFf7KZejGNWKFvxJhV69TK/yVGMFqxH1FuBKdpPIQsd+0KCbGqVPmaowHLPGv757m1dT+kGzqa6twib+WIygzhi7x18IFdYa0xL/alfh7Z6Y+1KMGxcYQxxNL5s48QONUTwMM4fuU+Fd3Xl+IQIm/loURsoD3kbXsyRZYB/BCDxiMh/AZD3BBjXVBjXVBDeiCzvX8wGg6ZIm/FioYVCUl/tWuxN/7zV7oEUsCrWrzbE/PYbfTqCmwS/yrO68vQKDEX8sADLLiEv/qZAuqA3apA7uW39AjV5aP964icFmjvq/wlvjXMp4owfh5LiIRwR0peuMR4eFUokEMbhD8uO+iMaPSEFwBC47L/hwYkQopB+Z9OJVIpasSAlT2PX4TWUhv4IHlSEw9qavcxWVO5RItCxZ6OJXJT+Dghzhlbs+amznMZWCwNpW4wAPCByR4Uc+53KRfIMKtLwfWv6ANj/QR1/F7ElDfaM/IUmNgBKPrTyYRgXtC9ee+dfxMuganu6+6ZNIQ+FaBuuyp42cSomhMTx0/k0c8gclkIQ1vyFqE8kBMLtEEZqCQn8pP4MGHFJjV9EaPVIHRxFTiAieoFpiBQn4qN+kXiHDrEZjAgjY80kf8hknqK+SvQmOy3MaACMYXmEQiAveECsxjeMOEaTKDm2xvkUqkIfDPApHqvQJlUokqT4k8IspTIgtpcATWIi0KX5cpk0k0cep/xIRKT+D8B9WmmyGXVWBqKZW4wPfptan/ERMqN+nnh3Dr06b9C9rwSK8f9X9FlHnF558+e/Jn3/qTP3YYQqU9ffeaaYCnyUyXp68TwI9Woih3zQBOuG+q4Xa3WcC4oG78t1YBfvc6LX6rovtGCn6xFog2Tf59W1i9/u0vtwXaLoKtFEy/PlezvOUi/TT385DX9atVZktX7TvVVWl/sOWsdWJ/sL9Q21+o7S/U7S+YaWJ/yOwPxv5Q2h/sLyT2FxL7C4n9hcT+QmJ/IbW/kNpfSAv7g/13WWp/sL8vq9ofcvtb8tz+YP+Ymdof7J8w9k8Y+ycK+ycK+ycK+ydK+ydK+ydK+yds9a2xPExl/4SlYGr7Jyx6U7d/orDAi2n7q4VFWiT2ZxZaYVEVmf1ZZn9msRS5/ZmxP7MIisL+rLA/s/9d6zZOi8r+zP7XCmurom5/Vtr/RjktfMFFux1y+XbAK6vsHjize+DM7oEzuwfO7B44s3vgzO6BM7sHzuweOLN74MzugTO7B87sHjize+DM7oEzuwfO7B44s3vgzO6BM7sHzuweOLN74MzugTO7B87sHjizrM/sHjize+DM7oEzuwfO7B44s3vgzO6BM7sHzuweOLN74MzugTO7B87sHjize+DM7oEzuwfO7B44s3vgzO6BM7sHzuweOLN74MzugTO7B87sHjize+DM7oEzuwfO7B44s3vgzO6BM7sHzuweOLN74MzugTO7B87sHjize+DM7oEzuwfO7B44s3vgzLcHzvR7wMj3AF6b1m6Bhd0CC7sFFnYLLOwWWNgtsLBbYGG3wMJugYXdAgu7BRZ2CyzsFljYLbCwW2Bht8DCboGF3QILuwUWdgss7BZY2C2wsFtgYbfAwm6BhSW9sFtgYbfAwm6Bhd0CC7sFFnYLLOwWWNgtsLBbYGG3wMJugYXdAgu7BRZ2CyzsFljYLbCwW2Bht8DCboGF3QILuwUWdgss7BZY2C2wsFtgYbfAwm6Bhd0CC7sFFnYLLOwWWNgtsLBbYGG3wMJugYXdAgu7BRZ2CyzsFljYLbCwW2Bht8DCtwUW+i2ABz+9xLouJ25N2Nit0Nit0Nit0Nit0Nit0Nit0Nit0Nit0Nit0Nit0Nit0Nit0Nit0Nit0Nit0Nit0Nit0Nit0Nit0Nit0Nit0Nit0Nit0Fjyjd0Kjd0Kjd0Kjd0Kjd0Kjd0Kjd0Kjd0Kjd0Kjd0Kjd0Kjd0Kjd0Kjd0Kjd0Kjd0Kjd0Kjd0Kjd0Kjd0Kjd0Kjd0Kjd0Kjd0Kjd0Kjd0Kjd0Kjd0Kjd0Kjd0Kjd0Kjd0Kjd0Kjd0Kjd0Kjd0Kjd0Kjd0Kjd0Kjd0Kjd0Kjd0KjW8rNOqtcKvItmcryKLBpV3/S7v+l3b9L+36X9r1v7Trf2nX/9Ku/6Vd/0u7/pd2/S/t+l/a9b+0639p1//Srv+lXf9Lu/6Xdv0v7fpf2vW/tOt/adf/0q7/pWV8adf/0q7/pV3/S7v+l3b9L+36X9r1v7Trf2nX/9Ku/6Vd/0u7/pd2/S/t+l/a9b+0639p1//Srv+lXf9Lu/6Xdv0v7fpf2vW/tOt/adf/0q7/pV3/S7v+l3b9L+36X9r1v7Trf2nX/9Ku/6Vd/0u7/pd2/S/t+l/a9b+0639p1//Srv+lb/0v9euPHzKEVcrt8i/t8i/t8i/t8i/t8i/t8i/t8i/t8i/t8i/t8i/t8i/t8i/t8i/t8i/t8i/t8i/t8i/t8i/t8i/t8i/t8i/t8i/t8i/t8i/t8i8t4aVd/qVd/qVd/qVd/qVd/qVd/qVd/qVd/qVd/qVd/qVd/qVd/qVd/qVd/qVd/qVd/qVd/qVd/qVd/qVd/qVd/qVd/qVd/qVd/qVd/qVd/qVd/qVd/qVd/qVd/qVd/qVd/qVd/qVd/qVd/qVd/qVd/qVd/qVd/qVd/qVd/qVd/qVv+Ze65X/lMtjugmiD5Lwl3VUWZFF6NzEGVnnubH904n1Tjbd7KNuzB/2n7anyd9ctuduz5PUp9Or79sxpExK22fjj1W9v0hY/Xf396r+6ON1Tc+qeLIht3lqIRgRRCW+mhte91OO1P2sRdvMUzPZnLUawU2vf/IMSXVd479n+7LTdXI2O0vh8uzTfveQP9LDBYKXpZU58cN/WwwXDlbCXucq2vcyVdzbtQz1qMGiJrhHRvXGqhw3Gpf7rLhTrmR6rEWKFd4e138kW2O17BC1gMGSpc1BZ7bPyuR40GMWEbcd+T/GOHioYzARtx1sv8U7AS1zoEUsCnGZH+IzcqCEP02aM4rzU4wSjnPCYbnfEFtTtc6UG7FoqPkmqoj3Mj6s6n47zJ2k6rvOnZlw+e/qobH+hflbcBBTvkfOPHg1ba7eutnPRbA+euYwmys91OA3QkhxQXUTepBLpCoDQ+oAn1w83Z1PbybE+lI6uT6hvf/tP/vhP/vTPHn17tPrV1XurX4zWFXXX9Xiv9hevf3NqpnfSYjq9U9o3qlyGuUc1jMENs/fZkkhDUFSCn0Hti2QuKm9RqXAK6ibGxeQ+lUnEkjoiC2lND7AavqMvkUW0crrWmfkPyUyCAhcvOuf1FdTlm/qrwIBqKnGB71MfZvyres4lJ/36EHJ9FXX9K9rwSMd8UtdfR2cC7IrSr/MxsBKtiCUzlHi7PuOokhlKTjnGaZBkhhKiEUFUwpup4YE3Q7iQ9CczlAjBayCJPvQnM5QYwfuffZWfEp3krgewn0/RKdEdOpmhhQ0Gq6GTGVq4YLiSJjPMLpnhHSz6UI8aDFoikYvujVM9bDAuDZrM0GI1Qqzw7rD2O9kC6wBe6AGDIUut/4PJDC1oMIoNmczQQgWDmSSZYXbJDK+XuNAjlgQ4zY4IJDOUkKMnM7Q4wSgnTmaYky2oDtilDuzRJjP8VXSFjCbKL34yg0hEcNOFnlwjJjOIhjG4YfY+WxJpCC708DNoIJlBpBI5mUFkEjGZQWQhvU4FVsN39CWyOI5kBpOgwMWLznl9yYzNxOIqMIKaSlzg+9SHmWAyg0lO+vUh5PqSGf0r2vBIx01mZC52raYsg+yqLruDJzOUeMF7IVQSDpvMUHLKMU6DJDOUEI0IohLeTA0PvBnChaQ/maFECF4DSfShP5mhxAje/+yr/JToJHc9gP18ik6J7tDJDC1sMFgNnczQwgXDlTSZUe6SGd4Jww/1qMGgJRK56N441cMG49KgyQwtViPECu8Oa7+TLbAO4IUeMBiy1Po/mMzQggaj2JDJDC1UMJhJkhnlLpnh9RIXesSSAKfZEYFkhhJy9GSGFicY5cTJjPJkC6oDdqkDe7TJjMybzAhPs7tFE+UXP5lBJCK46UJPrhGTGUTDGNwwe58tiTQEF3r4GTSQzCBSiZzMIDKJmMwgspBepwKr4Tv6ElkcRzKDSVDg4kXnvL5kRrW5+g7MFacSF/g+9WEmmMxgkpN+fQi5vmRG/4o2PNJxkxm5i12rKesgu7rL7uDJDCVe8F4IlYTDJjOUnHKM0yDJDCVEI4KohDdTwwNvhnAh6U9mKBGC10ASfehPZigxgvc/+yo/JTrJXQ9gP5+iU6I7dDJDCxsMVkMnM7RwwXAlTWbUu2SGd1TsQz1qMGiJRC66N071sMG4NGgyQ4vVCLHCu8Pa72QLrAN4oQcMhiy1/g8mM7SgwSg2ZDJDCxUMZpJkRr1LZni9xIUesSTAaXZEIJmhhBw9maHFCUY5cTKjPtmC6oBd6sAebTIj9yUz6qmMJsovejKDSURw04WeXOMlM5iGMbhh9j1bMmkILvTwM6g/mcGkEjeZwWQSL5nBZCG9TgVWw3P0ZbI4imQGlaDAxYvOeT3JjHozgroOzBSnEhf4PvVhJpTMoJKTfn0IuZ5kBrCiDY903GSGcbFrNWVwLGU17bI7dDJDixe8F0Il4aDJDC2nHOM0RDJDC9GIICrhzdTwwJshXEh6kxlahOA1kEQfepMZWozg/c++yk+JTnLXA9jPp+iU6A6czFDDBoPVwMkMNVwwXAmTGXWyTWbU3tHPD/WowaAlErno3jjVwwbj0pDJDDVWI8QK7w5rv5MtsA7ghR4wGLLU+j+UzFCDBqPYgMkMNVQwmAmSGVsv8U7AS1zoEUsCnGZH+JMZWsixkxlqnGCUkyYz2h2xBdUBu9SBPdpkhucg1x48UxlNlF/8ZAaRiOCmCz25RkxmEA1jcMPsfbYk0hBc6OFn0EAyg0glcjKDyCRiMoPIQnqdCqyG7+hLZHEcyQwmQYGLF53z+pIZ6ebqOw0kM5jEBb5PfZgJJjOY5KRfH0KuL5nRv6INj3TcZEbhYtdqyizILumyO3gyQ4kXvBdCJeGwyQwlpxzjNEgyQwnRiCAq4c3U8MCbIVxI+pMZSoTgNZBEH/qTGUqM4P3PvspPiU5y1wPYz6folOgOnczQwgaD1dDJDC1cMFxJkxm7AeB1YAC4GjUYtEQiF90bp3rYYFwaNJmhxWqEWOHdYe13sgXWAbzQAwZDllr/B5MZWtBgFBsymaGFCgYzSTJjNwDc7yUu9IglAU6zIwLJDCXk6MkMLU4wyomTGXYAuNszLHVgjzaZUXiTGbmMJsovfjKDSKQrAELrA55cIyYziIYxuGH2PlsSaQgu9PAzaCCZQaQSOZlBZBIxmUFkIb1OBVbDd/QlsjiOZAaToMDFi855fcmMzbjoOjAAnEpc4PvUh5lgMoNJTvr1IeT6khn9K9rwSMdNZjhfaG01pQmyS7vsDp7MUOLt+oyjSmYoOeUYp0GSGUqIRgRRCW+mhgfeDOFC0p/MUCIEr4Ek+tCfzFBiBO9/9lV+SnSSux7Afj5Fp0R36GSGFjYYrIZOZmjhguFKmszYDQCvAwPA1ajBoCUSuejeONXDBuPSoMkMLVYjxArvDmu/ky2wDuCFHjAYstT6P5jM0IIGo9iQyQwtVDCYSZIZuwHgfi9xoUcsCXCaHRFIZighR09maHGCUU6czLADwN2eYakDe7TJjNKbzChkNFF+8ZMZRCKCmy705BoxmUE0jMENs/fZkkhDcKGHn0EDyQwilcjJDCKTiMkMIgvpdSqwGr6jL5HFcSQzmAQFLl50zutLZmzGRdeBAeBU4gLfpz7MBJMZTHLSrw8h15fM6F/Rhkc6bjKjcrFrNWVw3FyVddkdPJmhxAveC6GScNhkhpJTjnEaJJmhhGhEEJXwZmp44M0QLiT9yQwlQvAaSKIP/ckMJUbw/mdf5adEJ7nrAeznU3RKdIdOZmhhg8Fq6GSGFi4YrqTJjN0A8DowAFyNGgxaIpGL7o1TPWwwLg2azNBiNUKs8O6w9jvZAusAXugBgyFLrf8D6l8LGYxhwlSGSYw/laGFCoYySSpjN/7b7yMu9Igl4W3I/dCoIUdPZWhxgjFOnMqw47/dfmGpA3u0qYzKm8oIDqK8TRPlFz+VQSQiuOdCz60RUxlEwxjcMHufLIk0BNd5+Ak0kMogUomcyiAyiZjKILKQXqYCq+E7+BJZHEcqg0lQ4OJFp7y+VMZmWHQdGP9NJS7wfeqjTDCVwSQn/foQcn2pjP4VbXik46Yyahe7VlPWQXZ5l93BUxlKvOCt</t>
  </si>
  <si>
    <t>ECoJh01lKDnlGKdBUhlKiEYEUQlvpoYH3gvhQtKfylAiBK+BJPrQn8pQYgTvf/ZVfkp0krsewH4+RadEd+hUhhY2GKyGTmVo4YLhSprK2I3/rgPjv9WowaAlErno3jjVwwbj0qCpDC1WI8QK7w5rv5MtsA7ghR4wGLLU+j+g/rWQwRg2ZCpDCxUMZZJUxm74t99HXOgRS8LbkPuhUUOOnsrQ4gRjnDiVYYd/u/3CUgf2aFMZtSeVYW7WCqaJ8oudyqASEdxzoefWaKkMqmEMbpg9T5ZUGoLrPPwE6k1lUKlETWVQmURLZVBZSC9TgdVwH3ypLI4hlcElKHDxolNeOJXRcrq++L75iYv4KZe4wPepjzKBVAaXnPTrQ8iFUxnIijY80nFTGYlzTVtRGZ41Z7r0DpzLUOMFr4VQTThkLkPNKcc4DZDLUEM0IohKeDM1PPBiCFeSvlyGGiF4DyQRiL5chhojeAG0r/RTopNc9gD280k6JbrD5jL0sMFoNWwuQw8XDFeyXEYLZ5PLaH/qzWXoUYNBS6Ry0b1xqocNxqUBcxl6rEaIFd4d1n4nW2AdwAs9YDBkqQ8AAfmvhQzGsOFyGXqoYCjDcxk7H/FOwEdc6BFLwtuQ+6FRQ46cy9DjBGOcMJdhd8QWVAfsUgf2aHMZbSj3JTNSGU+UYPxkBpGI4KYLPbhGTGYQDWNww+x9tCTSEFzo4UfQQDKDSCVyMoPIJGIyg8hCep0KrIbv5EtkcRzJDCZBgYsXHfP6khnp5urbP/ybS1zg+9RnmWAyg0lO+vUh5PqSGf0r2vBIR05m+ERlFqRXdOkdPJmhxAveC6GacNhkhpJTjnEaJJmhhGhEEAF49j7g7igbXf3ttfVXLyej1c9XL1dffH301ttlu4FcBGZqAuDdEa41/ekOJULwqkgiIf3pDiVG8I5oX3GoRCe5D0LsV3u811yNMErKw/9U/gM9cDCqDZ300MIFw5o06ZHtkh7+KeF61GBwE6nhrr3LYlrV/sSHFjoYw+SJj6QupybxZz+0gI0QMLxNrBFPtsA6gBd6wGAEU58YAhM29KDBoDZk/kMLFYxtkvxHtst/+MeF6xFL4p1mR4RcRaOGzcmBpLUxZTExvkSIFiwY98SJkOxkC6oDdqkDe7yJkMSbCMllPFGC8RMhRCJdTRBaIPDQGzERQjSMwQ2DH0tdNGZUGoLLQPxwGkiEEKlEToQQmURMhBBZSK9igdVI63RSOBdkTqVyHNkQJkGBnxed//qyIfnm7tw/PZxLXOAA1WebYDaESU76CSLk+rIh/Sva8EhHzoY472BbZWmC9MouvYNnQ5R4u07jqLIhSk45xmmQbIgSohFBBOBdZ0PcuRDP8WmmRg9eJOFq058KUSIEb40kItKfClFiBK+L9pWHSnSSqyHAfmnmzYQoAR4+E6IFDka0oTMhWrhgSJNmQswuE+IfMa5HDQY2kRLu2rueTgOJEC1yMHzJEyFplmWBPIgWrxHihTeJteHJFlgH8EIPGAxf6rNCMA+iBQ1GtCHzIFqoYGCT5EHMLg/inzSuRywJdpodEXAUjRo1Jw2S5XUdyIJosYIxT5wFMSdbUB2wSx3Y482CpN4sSCHjiRKMnwUhEhHcjqGH3YhZEKJhDG4Y/DjqojGj0hBcAuLn0kAWhEglchaEyCRiFoTIQnoFC6xGlvuTIEQmx5EEYRIUuHnR0a8vCVJsrsz9U8e5xAX+T32wCSZBmOSkXyBCri8J0r+iDY905CRI5qLXCsvwmLuqS+/gSRAlXvCuCNWFwyZBlJxyjNMgSRAlRCOCCMDrawlJfS0hSgLgRRKuN/15ECVC8NZIIiP9eRAlRvC6aF+BqEQnuRoC7FcaF7y5Gt7hsyBa4GBIGzoLooULxjRpFqTcZUH8s8n1qMHIJpLCjoouE3gISwsdDGDyNEhpSi/eMz1eI8QL7xJrw5MtsA7ghR4wGL3Up4VgGkQLGgxoQ6ZBtFDBuCZJg5S7NIh/SrkesSTWaXZEyFM0aticPEiSZEXq2xWXerBg2BMnQsqTLagO2KUO7PEmQjylJO15NTw58xZPlGD8RAiRiOCGDD3wRkyEEA1jcMPgR1IXjRmVhuAiED+YBhIhRCqREyFEJhETIUQW0mtYZDWS1L0ecyqT40iEMAkK3Lzo9NeXCKk21+b+meVc4gL/pz7aBBMhTHLSLxAh15cI6V/Rhkc6ciIkd9FrhWUdpFd36R08EaLEC14Xobpw2ESIklOOcRokEaKEaEQQAXiBLEhaubDP1NjBWyRcavpzIEqE4JWRREH6cyBKjOBd0b7aUIlOci8E2C9PJs5NOFcDPHwWRAscjGdDZ0G0cMGAJs2C1LssiH+suR41GNZEOviWvYtsmvqzIFroYPSSZ0HyNE0qfxZEi9cI8cK7xNrwZAusA3ihBwzGL/VRIZgF0YIGQ9qQWRAtVDCySbIg9S4L4h9wrkcsiXaaHRHyFI0aNicLUmRZWvqTIFqsYNQTJ0Hqky2oDtilDuzxJkFyXxLkZlglzBMlGD0JwiQiuB1DD7vxkiBMwxjcMPhx1EVjRqUhuATET6b+JAiTStwkCJNJvCQIk4X0ChZYjSKdODP3cyqRo8iBUAkKvLzo7NeTA0k2o7GTwLBzKnGB+1MfbEI5ECo56QeIkOvJgQAr2vBIR86BGBe9VlcGh+vV0y69Q+dAtHjByyJUFg6aA9FyyjFOQ+RAtBCNCCIAL9kmQF5Lfzh390wNG7w+wkWmN/2hRQjeFUm0ozf9ocUIXhLtqwqV6CQXQoD90tZxuQDO1QAPnv5QAwdD2cDpDzVcMJYJ0x/JbhJ6EpiErkYNRjSRBO7au65SXzbhVI8cjFvy7EdqcuO7gz3T4zVCvPAmsTY82QLrAF7oAYPhS31ICGU/1KDBiDZg9kMNFQxsguxHshuJ7ncWF3rEkmCn2REBR9GoUXOSH1mVlD6sl3qsYMyTJj8SOxnd7SCWOrDHm/zwHPraQ2oq44kSjJ/8IBIRXIuhp9yIyQ+iYQxuGPwc6qIxo9IQ3P7h59JA8oNIJXLyg8gkYvKDyEJ69wqsRlb6qgGZRI4j+cEkKPDyopNfX/JjM0o7CQxHpxIXuD/1uSaY/GCSk36ACLm+5Ef/ijY80pGTH4WLXqsrsyC9pEvv4MkPJV7wqgiVhcMmP5SccozTIMkPJUQjggjAC7+E1e7z9h8/bFfiEyvDr767+mT1YnT/z//sf3v27dH5t//kj5792bM//NPRxTcejoppUo/eWP1ivUyfj1e/uVmvtWr/2mhsV6zV83ZR2////ui1v3H1q1bhv79d+VH73/909XK0XvYX9u9bfdTi+KD9Wfsnrr5rd8TnLdYX7V9ht8lvR+0PX6z/tvYf13/Ly6/b3/9Tp+edqc0P3oLhYtmfxFEiBK+8JBrYn8RRYgTvuvZVt0p0knstwH71JHPhm6vxHT6HowUORuShczhauGBIluZwdoPdk8BgdzVqMDCLlPyt3VF4a71P9cjB8CvP4dRZnflTOFq4RggX3iPWhCdbYB3ACz1gMHipjzrBFI4WNBjPhkzhaKGCYU2SwtlNdff7igs9YkmoU+0Iv59o1Kg5KZwktwPofdNM1FjBkCdO4diZ7m4HsdSBPd4UTuFN4eQynijB+CkcIpGuHAgtEHhWj5jCIRrG4IbBT9MuGjMqDcEdJn4qDaRwiFQip3CITCKmcIgspDfIyGpkk9q5HnMqk+PI4TAJCty86OTXl8PZDABPAiPdqcQF/k99sAnmcJjkpF8gQq4vh9O/og2PdOQcjrOXrhWWJkgv7dI7eA5HibfrNI4qh6PklGOcBsnhKCEaEUQAXjiHUzgyOKuP2n94efW9axW/lumdjEzzrcfWlYzeuPrL1cc2zXKUaRzlCoA3Ybhg9qdxlAjBay+JDvancZQYwfuufRWuEp3kbguwXz3JXfjmanyHT+NogYNBeeg0jhYuGJWlaZzdVPokMJVejRqMzSIxf/t6tij8aRwtcjACK9I4eZ370zhauEYIF94j1oQnW2AdwAs9YDB4qU87wTSOFjQYz4ZM42ihgmFNksbZDaX3+4oLPWJJqFPtCL+faNSoWWmcNE/8nTharGDIE6dx7FB6t4NY6sAebxqn9KZxChlPlGD8NA6RiOB+Dz2uR0zjEA1jcMPgB2oXjRmVhuAaEz+VBtI4RCqR0zhEJhHTOEQW0ktkZDU8b0rOqUSOI4vDJCjw8qKDX18WZzPBPAnMpKcSF7g/9bkmmMVhkpN+gAi5vixO/4o2PNKRszjOpsBWVwZnGdZZl97BszhKvOBNESoLh83iKDnlGKdBsjhKiEYEUQlvpoYH3hLhYtKf4lAiBK+EJBrRn+JQYgTvgvZVf0p0knsfwH5O283V6KIkOAJCTQsbjFZDpze0cMFwJU1v7MbNJ4Fx82rUYNASqVx0b5zqYYNxSZ7b8I+ZV2M1Qqzw7rD2O9kC6wBe6AGDIUt9AAjIfy1kMIYNmdbQQgVDmSStsRsy7/cRF3rEkvA25H5o1JA5OQ0fzks9TjDGifMZdra82y8sdWCPN59RefMZwQmnt3miBOPnM4hEBDdd6ME1Yj6DaBiDG2bvoyWRhuBCDz+CBvIZRCqR8xlEJhHzGUQW0utUYDV8J18ii+NIZjAJCly86JjXl8zYTCFPAnPlqcQFvk99lgkmM5jkpF8fQq4vmdG/og2PdPt/f3D3Wnn9fkhiDpzUqF00W3FZB2iarOrSjJbUcF4Ov6nGC94PodpQntT4cPWfVv8vF6d7ak45xmmQpIYSohFBVMKbqeGBN0S4ovQnNZQIwQshiVD0JzWUGMGboH0loBKd5NYHsJ9P2inRHTqpoYUNRquhkxpauGC4kiY1dtPjk8D0eDVqMGiJ1C66N071sMG4NGhSQ4vVCLHCu8Pa72QLrAN4oQcMhiz1QSBPfIMnzvWgwSgmTGv4PcU7eqhgMJOkNXZT4/1e4kKPWBLgNDsikNZQQo6e1tDiBKOcOK1hp8W7PcNSB9aifZTkT3LzJBtnj56YcV4n03FVPK3GWfE0f5o8f1w9zp5f8/GeOQOHb/W505fWSKcynihB1+k0wEtyQnUReZNKRHDnhR5dX0trrE+lN4mKcjr9j1lp/qMZuXjeo/I0OM99z4pMGoKbOvxM6c9SMKlwshQuHvepPOLlKJgspLekwFp4DrJMFtFyFH4R+4BLUOCvRae2nhxFupkSngbmvlOJCzwf5WhCJSf9+hByPTkKYEUbHum4DRepc01bhRgeHZh36R06N6HFC17zoAJv0NyEllOOcRoiN6GFaEQQAXihZ7P+L79nB5/82D6bdb0Wq4+3i3P1Q1tf9NPVh18frX62+sXVd1YfX/1V+793r9/Aern6zWj1kf1rrr67/vMvrr6zfjDrd+t1/Wj1ebuq7R/6/Op79n2sq/fvjla/HF29bx/aWv22/f0vO78+unqv/befthB/1eKwz2793dW7LZj37e74dPWy/YcfjuxbWXazjFb/rf3tn13vmqt3R6v/wzIYveF4iutrozWsT6/+uv3F6/e3kunUlj211D8Jcfjs6r3XMf7d9TtgH7f/8v0NNovsu2ts1yaxu7gl3/5Ff9dSfWk3t/1XX9jnxdq/5vP1i2TfuX5YzP53rvf/i/Yvfu/6KbD1S2T2obH1n7356+3vXxd0bZbnkzU5a4CP1n//b6yBrF3+dfWj1X9Z/fPq71f/1P7s/7n653H7/z5o/9W/tov+j+3PfjRqf/Un20fLXvsP/KT99X8afeMP/3z88Ft//MyOvmlN+iOLbdz+dS/adftd+11a+Os/uPqF/cmrtp64PoaZ+mMArxXxU4s3E6ZFCN4hCg4j/kyYFiN4ebjvQUOJTnJRCNgvTUvfKBotwijZsODhQAscVEgD58PUcEGJJMyHpck2H5Z6J4Q/1KMGhZLoZNW1d22mSTLJPTkxNXRQD8lzYmlam9I/jUYN2AgBw9vEGvFkC6wDeKEHDEYwzulTCxoMasLEWKjfRw0VjG2CxNjWXbwTcBcXesSSeKfZESFX0ahhc5JjWZ5nxj+PRg0WjHvSDFm7NbagOmCXOrBHmyFLp94MWSrjiRKMnyEjEhHcuKIXKPoMGZGnwXniNxYtrX93fersnohXH7924Haedbd/7Pqewp51k3Q6vfp+mrfR55t/vH4l/Fft8fvj9dPc7an8/fYc/fnqt+tfe+W0/zej9QnbHudfjNuf/mLdSPWbmzaqbLT67NafsPNg7Yn80xbDX63/+5vf9rP2P2lf+37v5uxvV/KX679offXwcfvL9nbi5fpw3/5Nt8E8/P995ycYitFbvt86eqMF8JfXdynrC4iPN9cY7eH/k/UNnTXtd+xVzNUP2t/3/vpyzt5ZjNZGurnBs+vw+pWdteX1NYBdrnah2v9Y+7d8tL4X+OXXbmO8/3/7v377T560a7j+G3/X8l9fvtit/eHqn0dp1S5YKftjo2K6+UM/an/pE3vlMl7flLSmHRVX38/X6/+v7R/8bH0R87G9sPlw9d9WPxvld9P2zxr76//NLlKL/YvRw7NRNjFX32/PUe2///urv7ue+2t3xs0T8O+ur3Ysx5etoe0t0/vWbquX1yDsXvyeNdvof/3jP/3W02f23/54vSbrjrxXHpi/vlZr7fs3ro94Rv2IBVkS/KYlkB8mUomaHybyiJgfJrKQZqiAtQhd7xCZHEeOmElQoFhENxl9OeJ0k1FMAzliJnGB9+Oc0pnkpF8gQq4vR9y/og2PtO1je8WB2oNSxH4299mwPTNlAbomn3bpRsoZex53eFONF7wKRY88NuVkVelm+M7nrbT83XWS0irbX7T/4uYc8MHqxzdZ49cnAG1n9Fz/4i9HqdXbrV67et/F/J6aeY4xHySzrIRoRBCV8GZqeOBNKa5A/bk+JULwWlQgLAO5PiVG8D50X9GoRCe5+wTs5ysWVKKLkufzd72pYYMxTZ7ly1OfbHlbjxaMadIkX7ZL8nlnyD/UowYjm0gao1vjVA8bDEvyBJ+/6U2N1QixwrvD2u9kC6wDeKEHDEYs9akhKdLJ1NmPc64HDQYxWW7P7yje0SMFQ5kktZftUnteJ3GhRywJb5oN4e9500LmpPX8PW9qnGCME2f0spMtqA7YpQ7sWso+bw+xz59Ox8/T6fNx/qSox9XTuh4/efYsnxbZ80fT/OYz9J5LAwd19dnUm9HLZTxRgq4TbICX5BTrIvImlUhXAIQWCDze/mSdZvjdTRZgfVx9z+aA1rmp77Tn1Fef7VunuK5rOH/a/u+f/8P1kfbh+dgko9WPXAa5RzWIwQ2y95GSSENw/Sc4en6y+shF5S0qFUryYzpxT267T6USMf9BZCG9fUWWw8ViTmURLfdRVZPKdzZm8hO4dtH5ri/1kW8uyvNA6oNJXOD71IcY76Kec7lJvz2EW1/mo39BGx7ptfI0lTHZ9PnT8fTpMzPO0zodP35STsfV8+rZ46dF9ezJI/PNAyhP501sqzyN1BgYwfjKk0hE4J5Q5fnBKymSVm1+fl2cNLZFSO2//eJGfr686YSy9SmX3/rDP/zzb3/rf310ozsvvvFwVE+n2fU/nV8s3hrNlheLkbtr8h7VQAY30N5KlEhD4I0HUaJEKiQl6jyn36cyiShEiSykwRBZDReLOZVFNCGapEkxMYWL4QMuQ4GvH1SKmo1y8Q5uP+USFzg/tRTNazOpfVqUSU76+SHk+rRo/4o2PNKRX2rwqcsiQK+oTZfewatulHi7TuNLWHWjZJ5jzAepulFCNCKISngzNTwwhykQnN6qGyVCMGGJ68hQ1Y0SI5iq3FchKtFJ0pKA/XzKT4nu0FU3WthgTBu46kaLFoxp0qqbYld14x3B/VCPGoxsIimMbo1TPWwwLA1adaPFaoRY4d1h7XeyBdYBvNADBiOW+pQQrLrRggaD2IBVN1qkYCiTVN0Uu6obr5O40COWhDfNhghU3SghR6+60eIEY5y46qY42YLqgF3qwB5v7iP1Vt2UMp4owfi5DyIRwX0Yerw9QO6DaCCDG2jvIyaRhuD6T3AU9ec+iFQi5z6ITCLmPogspJevyGq4WMypLI4k98FkKPD1ogNf8KbcctrclHunu59yiQucn/pUE8x9MMlJPz+EXHBFz5EVbXikj7gCPPXW4YTHijqMgRGMr0WJRAT+CdWiESrAiQYxuEH21p5EGgL3O4j2JFIhaU9vBTiRSkTxSWQhjX7IcrhYzKksoonPUAU4k5/AtQ8qPTcjv9PAEHcqcYHvU0vPUAU4k5v020O49SnP/gVteKQjV904byRaLVkH6RVdegevulHiBXOTqBQ8RNWNknmOMR+k6kYJ0YggKuHN1PDAHKZAbnqrbpQIwYQlriJDVTdKjGCqcl95qEQnSUsC9vPJPiW6Q1fdaGGDMW3gqhstWjCmSatudgPe08CAdzVqMLKJlDC6NU71sMGwNGjVjRarEWKFd4e138kWWAfwQg8YjFjqQ0Kw6kYLGgxiA1bdaJGCoUxSdbOb7+53Ehd6xJLwptkQgaobJeToVTdanGCME1fd2Pnubsew1IE93kxH5qu6yaYynijB6JkOJhHBdRh6vOVnOpgGMbhB9j1SMmkIbvsER09vpoNJJXKmg0klXqaDyUJ624osh4vFnMriGDIdVH4C1y463/VkOrLN4PAsMAqeSlzg+9SHmECmg8pN+u0h3HoyHcCCNjzSR1zvnflqbLLwfDiHMTCC8ZUnkYjAPaHKM369N9NABjfQ3kqUSEPgjQdRokQqJCXqzK7epzKJKESJLKTBEFkNF4s5lUU0IRqs96YyFPj6QaVoslEu3um+p1ziAuenlqKhem8qOennh5Dr06L9K9rwSEeuusld9Fp1mQbplV16h6660eIFc5OoODxA1Y2WeY4xH6LqRgvRiCAq4c3U8MAcpkBw+qputAjBhCWuIwNVN1qMYKpyX4WoRCdJSwL28yk/JboDV92oYYMxbdiqGzVaMKYJq26ydFt1k3knWz7UowYjm0gKo1vjVA8bDEtDVt2osRohVnh3WPudbIF1AC/0gMGIpT4lhKpu1KDBIDZc1Y0aKRjKBFU3WyfxTsBJXOgRS8KbZkP4q260kGNX3ahxgjFOWnXT7ogtqA7YpQ7s8eY+cm/VTSbjiRKMn/sgEhHch6HH2wPkPogGMriB9j5iEmkIrv8ER1F/7oNIJXLug8gkYu6DyEJ6+YqshovFnMriSHIfTIYCXy868PXlPrLNTbl3/Okpl7jA+alPNcHcB5Oc9PNDyPXlPvpXtOGRPuIK8Nxbh5NLjYERjK9FiUQE/gnVohEqwIkGMbhB9taeRBoC9zuI9iRSIWlPbwU4kUpE8UlkIY1+yHK4WMypLKKJz1AFOJOfwLUPKj03wzGzwLRTKnGB71NLz1AFOJOb9NtDuPUpz/4FbXikI1fdGBe9VkuaIL2qS+/gVTdKvF2f8SWsulEyzzHmg1TdKCEaEUQlvJkaHpjDFMhNb9WNEiGYsMRVZKjqRokRTFXuKw+V6CRpScB+PtmnRHfoqhstbDCmDVx1o0ULxjRp1Y3ZVd14J1k+1KMGI5tICaNb41QPGwxLg1bdaLEaIVZ4d1j7nWyBdQAv9IDBiKU+JASrbrSgwSA2YNWNFikYyiRVN2ZXdeN1Ehd6xJLwptkQgaobJeToVTdanGCME1fdmJMtqA7YpQ7s8WY6jLfqppDxRAnGz3QQiQiuw9DjbYRMB9EgBjfI3kdKIg3BbZ/g6OnPdBCpxM50EKlEzHQQWUhvW5HlcLGYU1kcRaaDyU/g2kXnu75MR7G5GPdOOz3lEhf4PvUhJpTpYHKTfnsIt75MR/+CNjzSR1zvbbw1NqXUGBjB+MqTSETgnlDleYB6b6KBDG6gvZUokYbAGw+iRIlUSEo0czG5T2USUYgSWUiDIbIaLhZzKotoQjRc781kKPD1g0rRzSTMLDDblEpc4PzUUjRY780kJ/38EHJ9WrR/RRse6chVN84vtVWX4QFadZfewatulHjB3CQqDg9RdaNknmPMB6m6UUI0IohKeDM1PDCHKRCc3qobJUIwYYnryFDVjRIjmKrcVyEq0UnSkoD9fMpPie7QVTda2GBMG7jqRosWjGnSqptqV3XjnWT5UI8ajGwiKYxujVM9bDAsDVp1o8VqhFjh3WHtd7IF1gG80AMGI5b6lBCsutGCBoPYgFU3WqRgKJNU3VS7qhuvk7jQI5aEN82GCFTdKCFHr7rR4gRjnLjqpjrZguqAXerAHm/uo/BW3dQynijB+LkPIhHBfRh6vD1A7oNoIIMbaO8jJpGG4PpPcBT15z6IVCLnPohMIuY+iCykl6/IarhYzKksjiT3wWQo8PWiA19f7qPe3JR7x5+ecokLnJ/6VBPMfTDJST8/hFxf7qN/RRse6SOuAC98dTj5VGoMjGB0LcokIvBPqBblV4AzDWJwg+yrPZk0BO53CO3JpELSnr4KcCaVeOKTyUIa/ZDlcLGYU1lEE5+BCnAqP4FrH1J65pvhmHlg2imVuMD3qaVnoAKcyk367SHcepQnsKANj3TkqpvSRa/VkqEBWuV02qV36KobLV4wN4lKwQNU3WiZ5xjzIaputBCNCKIS3kwND8xhCuSmr+pGixBMWOIqMlB1o8UIpir3lYdKdJK0JGA/n+xTojtw1Y0aNhjThq26UaMFY5qw6iZPtlU3uXeS5UM9ajCyiZQwujVO9bDBsDRk1Y0aqxFihXeHtd/JFlgH8EIPGIxY6kNCqOpGDRoMYsNV3aiRgqFMUHWzdRLvBJzEhR6xJLxpNoS/6kYLOXbVjRonGOOkVTftjtiC6oBd6sAeb6aj9FXd5KmMJ0owfqaDSERwHYYebyNkOogGMbhB9j5SEmkIbvsER09/poNIJXamg0glYqaDyEJ624osh4vFnMriKDIdTH4C1y463/VlOtLNxbh32ukpl7jA96kPMaFMB5Ob9NtDuPVlOvoXtOGRPuJ679JbY5NJjYERjK88iUQE7glVnvHrvZkGMriB9laiRBoCbzyIEiVSISnRzMXkPpVJRCFKZCENhshquFjMqSyiCdFgvTeVocDXDypFN5Mw88BsUypxgfNTS9FQvTeVnPTzQ8j1adH+FW14pCNX3Ti7Jlt1mQfpJV16B6+6UeLtOo0vYdWNknmOMR+k6kYJ0YggKuHN1PDAHKZAcHqrbpQIwYQlriNDVTdKjGCqcl+FqEQnSUsC9vMpPyW6Q1fdaGGDMW3gqhstWjCmSatu8l3VjXeS5UM9ajCyiaQwujVO9bBzIWx4awSqbrRYjRArvDus/U62wDqAF3rAYMRSnxKCVTda0GAQG7DqRosUDGWSqpt8V3XjdRIXesSS8KbZEIGqGyXk6FU3WpxgjBNX3eQnW1AdsEsd2OPNfXhOe+3p1Mh4ogTj5z6IRAT3Yejx9gC5D6KBDG6gvY+YRBqC6z/BUdSf+yBSiZz7IDKJmPsgspBeviKr4WIxp7I4ktwHk6HA14sOfH25D7O5KfeOPz3lEhc4P/WpJpj7YJKTfn4Iub7cR/+KNjzSR1wBXnnrcAqpMTCC8bUokYjAP6FaNEIFONEgBjfI3tqTSEPgfgfRnkQqJO3prQAnUokoPokspNEPWQ4XizmVRTTxGaoAZ/ITuPZBpedmOGYemHZKJS7wfWrpGaoAZ3KTfnsItz7l2b+gDY905KobZ46k1ZJlkF7apXfwqhslXjA3iUrBQ1TdKJnnGPNBqm6UEI0IIgDPtovfHWWjq79tjfxi9evVy8moleIvV198ffTW22n7Dx92luP+n//Z//bs26Pzb//JHz37s2d/+Kfra+NimiajN9rV/LRdqZuL59+0P7X/uFb5XxuNR628f3FzJLDXz6/9re0f+rT9d9u1bhF8uno5aiH9zh4W2j/0UYvlg/Zn7Z+4+u5o9UX7r37d/sN37H/MniI+b/+V/dvaf1z/LS+/bn//T50eeqZeADBLKxDU3roiJUIwJYvr5FBdkRIjmIzdVwAr0UkSr4D90tJ56zhX44tSWZSVlScUPtADByP3wLVFWrRg5JbWFpW72iLvvM6HetRg/Bbp/VsuYZq3MCbT3IX9VI8djMDyAqMkqRLvFjnTAzZCwPA+sUY82QLrAF7oAYPxS30oClYZaUGDIU1WZVTkqb/KSIsUDGySKqNyV2XkdRcXesSSYKfZEHleZsWkcnqKRg2bU2mUlGVS+3bFpR4sGPbE5UblyRZUB+xSB/Z4Uzy1t9woNELMwRMlGD/FQyQiuAdEz/URUjxEgxjcIPhZ2kVjRqUhuOYUnEj9KR4ilW6MD1DBj66BFA+RSsQUD5GF9JoZWI48mTh1wJxK5CiyPEx+Au8uOvX1ZXmqTVLAO+n1lEtc4P7UB5pQlofJTfr5Idz6sjz9C9rwSB9xrXvtrS+qpcbACMYXn0QiAveEis8D1LoTDWRwA+0tRok0BN54EDFKpEISo5mLyX0qk4halMhCGgyB1ajSifN5jTmVSDQtGi53ZzIUuPtB1ehmEGgeGO1KJS7wf2o1Gix3Z5KTfoEIuT452r+iDY903KKjzLmm3zBmGqSXdekduuhIixdMWqL68ABFR1rmOcZ8iKIjLUQjggjACxcdZWjRUTJNzOiN9nfYK+d316VB79+s0rooaFNmdF0QdPU3g9QgDVmEpF0QMIkrUNm+IiQtQjBji4vnQBGSFiOYq91TFmvRSfKygP3SNJ8YF8K5GuHBy5DUwMFYPmwZkhotGMuFZUhmui1DMt4Bpg/1qMGILjoC3DrD5XVaTBKnFjnVQwdDsrwKqS6mVeEtQlLjNUK88C6xNjzZAusAXugBg/FLfUoKFSGpQYMhbbgiJDVSMLAJipC2zuKdgLO40COWBDvNhsiKrKonqdNRNGrYpCKkPE/S2luEpAYLBj1pEVK7NbagOmCXOrBHmwfKpr4iJBOeqHaLJ0oweh6ISURwMYie8+PngZgGMriB8LO2i8aMSkNwDyo4oXrzQEwqcfNATCbx8kBMFtJbaGA1inKSGReTOZXJcSSCqAwF/l50CuxJBJnkJm1gvKNwT7nEBQ5QfcQJJYKo5KSfIEKuJxEErGjDI328RfGtHvXUJZlUagyMYHw9SiQi8E+oHuUXxTMNYnCD7K0/iTQE7ncQ/UmkQtKfvqJ4JpWIApTIQhr9gOXIsklROhdkTqUSTYEGyuKp/AT+fVD9uZmWagLjb6nEBQ5QrT8DZfFUbtIPEOHWJz/7F7ThkY5ch+S74MyC9PIuvYPXISnxgllLVA8eog5JyTzHmA9Sh6SEaEQQAXjhOqQKrUMqplPzxuvPHY1Wn7VL9P1BKo6GLDhSWh5M2ArktLfgSIkQzM7iKjlUcKTECOZl95W/SnSSHCxiP7c8mKvxHb7cSAscDNkDlxtp0YIhW1pulO3KjbyTWx/qUYOBWyT0b6UKqmndqg6nwU/10MHIKy83Ktv/qn+ymhqvEeKFd4m14ckWWAfwQg8YjF7qs1Cw3EgLGgxoA5YbaZGCYU1SbpTtyo28zuJCj1gS6jQbIq2TsvA4ikYNm1RulBhT+EesqcGCQU9cbpSdbEF1wC51YI83vZN4y41yGU+UYPz0DpFIVxGEFgg8zkdI7xANYnCD4EdoF40ZlYbgdlNwHvWnd4hUYqd3iFQipneILKS3y8BypKWLxpxK4yhSO0x+At8uOvH1pXbyTSbAO+/3lEtc4PzUx5lQaofJTfrxIdz6Ujv9C9rwSB9xpXvirSwyUmNgBONLTyIRgXtCpecBKt2JBjK4gfaWokQaAm88iBQlUiFJUedB/T6VSUQlSmQhDYbAatzEsdtKlEgjmhINl7kzGQqc/aBadDMM1gTG+1KJC7yfWosGy9yZ5KTfH0KuT4z2r2jDIx25zsgnL4sgPdOld/A6IyXertP4EtYZKZnnGPNB6oyUEI0IIgAvXGeUoA8emWmaj95YfdT+1k+v3rOrenxz1bQ2B3O0AhntrTBSIgQTsrg6DlUYKTGCqdh9da8SnSTtitgvrYz7gDFXQzx8kZEWOBivBy4y0qIF47W0yKjYFRl5B9U+1KMGo7ZI5t8yd1XYo4ytCrqN/VSPHYy78iojY6bJtJrkvjIjLWAjBAzvE2vEky2wDuCFHjAYwtRnoWCZkRY0GNUGLDPSIgVjm6TMqNiVGXndxYUesSTeaTZEOq1aEJPU+Y51o8bNqTOqUmM3cOGrM9KCBeOeuM6oONmC6oBd6sAeb7In9dYZlTKeKMH4yR4iEcH9H3qcP0Cyh2gggxsIP1K7aMyoNATXnYJTqj/ZQ6QSOdlDZBIx2UNkIb1sBlYja8/GxikW51QqR5LwYTIUOHzRSTCYHrCcNukB7xjgUy5xgQdUH3KCCR8mOek3iJALrug5sqINj/QRF76n3uqj8PA5hzEwgvEFKZGIwD+hgjRC4TvRIAY3yN4ClEhD4H4HEaBEKiQB6i18J1KJqECJLKTRD1iOpE4nZe1ckTmVSzQJGqp+Z/ITOPhBBehmPKwJzPulEhd4QLUADVW/M7lJv0CEW5/+7F/Qhkc6csGR83KiVZR1kF7RpXfwgiMlXjB1iQrCQxQcKZnnGPNBCo6UEI0IIgCvp+DIgAVHyTRJR2/YgiH7nNH6svnzcfu3fdyq/Xet1j+66iPlAoCpW4Gs9lYfKRGCeVpcLYeqj5QYwQztvjJYiU6SjUXsN00muQvhXI3w8MVHWuBg7B64+EiLFozd0uKjeld85B1Y+1CPGozgIsV/O2uQmWpSOLXHqR46GILltUd5ltW156GVMz1eI8QL7xJrw5MtsA7ghR4wGL/Uh6Jg6ZEWNBjSBiw90iIFA5uk9KjelR55ncWFHrEk2Ok2RJ6ZSe08VDVq2JzKo8JMa9+h/lKPFYx54sKj+mQLqgN2qQN7vHmezFd4dFMlBvNECUbP8zCJCK4B0WM9P8/DNIjBDYIfpV00ZlQagltOwYHUm+dhUomc52FSiZfnYbKQ3jIDy5EYz2DVOZXJMWR5qPwE7l105uvJ8hTTm6RA4R30e8olLvB/6gNNIMtD5Sb9/hBuPVkeYEEbHukjLnvPfFVGRXiUnMMYGMH46pNIROCeUPUZv+ydaSCDG2hvNUqkIfDGg6hRIhWSGnVegtynMokoRokspMEQWI1sOsmdXn1OZRJNjAar3qkMBf5+UDm6mf1aBKb5UokLHKBajoaq3qnkpJ8gQq5Pj/avaMMjHbnqKHfRaxVmGqRXdukduupIixfMWaIC8QBVR1rmOcZ8iKojLUQjggjA66k6arcZVnZkJXw6eqP9Ha3itweAX6wrjo6w3khrejBfKxDUvnojLUIwOYvr5EC9kRYjmJbdVwEr0UlSsID9Uk+ybK4GePByIzVwMGgPW26kRgsGbWG5UZFuy40K71zah3rUYOgWaf1bt7BlVk2M096neuRg6JVXG9VVVXiujc/0cI0QLrxHrAlPtsA6gBd6wGDwUh+GQsVGatBgPBuu2EiNFIxqgmKjrat4J+AqLvSIJZFOsyGyMve/cqRFzak1SvIqm3oKEi/1WMGAJ601ajfGFlQH7FIH9nizPbm31iiT8UQJxs/2EIkIbv/Qw/wBsj1EAxncQPiB2kVjRqUhuOwUHE792R4ilcjZHiKTiNkeIgvpVTOwGoWnAnlOJXIkyR4mQ4G7Fx0A+5I92SY14J36e8olLvB/6vNNMNnDJCf9AhFyfcme/hVteKSPuPQ99xYf5VJjYATjy1EiEYF/QuVohNJ3okEMbpC95SeRhsD9DiI/iVRI8tNb+k6kElF/EllIox+wHNkkL5zrMacyiSZAQ6XvTH4C9z6o/NxMgy0C432pxAX+Ty0/Q6XvTG7S7w/h1qc++xe04ZGOXGrkdEStnjRBelWX3sFLjZR4uz7jS1hqpGSeY8wHKTVSQjQiiAC8nlIjtNIomWZ2otq65Ge9WmuJz3jkSFd1NHEtw0y9DGDmViCtvWVHSoRgmhZXzKGyIyVGMEG7rxRWopMkYxH7VRPjAjhXAzx82ZEWOBjABy470qIFA7i07Mjsyo68Y2of6lGDYVwk+2+lDeq6mmSlC/mpHjkYhuVlR2Wd+LbHmR6uEcKF94g14ckWWAfwQg8YDF7qc1Gw7EgLGoxnA5YdaZGCUU1SdmR2ZUdeV3GhRyyJdJoNkVo3UTjdRKNGTSo7Sqqy9OyJSz1WMOCJy47MyRZUB+xSB/Z48zzGW3ZUyHiiBOPneYhEBBeB6ME+Qp6HaBCDGwQ/TLtozKg0BPecgsOoP89DpBI7z0OkEjHPQ2QhvWcGliOdlKVzPeZUJkeR52HyE7h30YGvL89TbNIC3qm/p1ziAv+nPs+E8jxMbtLvD+HWl+fpX9CGR/qIi96Nt8qolBoDIxhffRKJCNwTqj4PUPRONJDBDbS3GiXSEHjjQdQokQpJjWYuJvepTCKKUSILaTAEVsNMjHERmVOJRNOi4aJ3JkOBux9UjW6mwBaBub5U4gL/p1ajwaJ3JjnpF4iQ65Oj/Sva8EhHLjtyfqmtwAyPjau79A5edqTEC+YrUX14iLIjJfMcYz5I2ZESohFBBOC99baZJHdHyTizhUd3R6t/bC376dXfWaOv1+AHrY63pUCj1RftP3/c6vpfrut8Xr5aXXRd8bNbNPsvrr631vwvXAaYqQ0A5kwFqtZb8KNECCZIcbEaKvhRYgRTo/vKUCU6SRoUsF9qMm/FjxLh4St+tMDB2DlwxY8WLRg7pRU/1a7ixzsn9qEeNRhBRZK7a+7aVHV7qnD6rlM9dDAEykt+kmmV14GiHy1gIwQMbxNrxJMtsA7ghR4wGMDUx5Jg0Y8WNBjTBiz60SIFI5uk6KfaFf14vcWFHrEk2mk2RN5+evWkcnqKRg2bVPVTpGUeKPvRggWjnrjspzrZguqAXerAHm/ipfCW/dQynijB+IkXIhHBTRx6sD5A4oVoIIMbCD/cumjMqDQEF4+CI6o/8UKkEjnxQmQSMfFCZCG99gVWoywmU+NiMqcyOZLMC5OhwN+LjoF9mZd6c0/vHcF7yiUucIDqI04w88IkJ/0EEXJ9mZf+FW14pI+4DL3wFQKVU6kxMILR9SiTiMA/oXqUX4bONIjBDbKv/mTSELjfIfQnkwpJf/rK0JlU4glQJgtp9AOWI6sm09S5IHMqlWgKNFCHTuUn8O9D6s9yM5m1DIzapRIXOEC1/gzUoVO5ST9AhFuP/AQWtOGRjlz4U7rotYIyOLktmXbpHbrwR4sXTFuievAAhT9a5jnGfIjCHy1EI4IIwGv197+sfrb6F2vcf7f6t1aEWzn+s9V/Wv331T+M7OKsfmULfDzrZv/U+neNkrqN4ZN0mhaT9Uw07J2iUT1NitEb8CA05ZCz9VNIn18XLa0+vTu6/cqS06fN1OsEpncF4ttXn6RFCOZycU0dqE/SYgSzuPuKZSU6ScYWsF+d1cmk9g351YKklCjdUgvzt2YXF4uLG73QLE/faPVderf9Ifua9doWvxUOd6fO7+yBnh6oBYYtZFKjBbWAsJCpTLaFTKV39OxDPWpQEQxxgrBk7swDNE71NMDw3l/U5MFuYd95fSF8LM70LIyQBbyPrGVPtsA6gBd6wGAohI9hgPNprPNpQOdzrqcGxtDh6qHUSMFIKqiH2jqddwJf64UesSS6qrbN9mwbdjiNmsIwtVH9zmazAD4Gl3oGYHSVFky1e2cLqgN2qQNr0T6tzaPSTJ+My8ePH4+T5Fk1rqbPpuPp1ExNUVVJbW7ir/cmIXCVor5N8BVMlamMJ0owfoKKSERwgYleSMgLptp/sPks+wt/s57cff2vr3tjrt5rz6fvXr23/dftidoeWF+uH8i9OcH+pD3cvmfPzOurkM9ePd7eHa3+efWTN9bH1PYT3hRjuUx9j2pqg5tacL3wwf4XAHdDg8qZFhFcIgsO8v4sGpEKKYvmqeJiMomYRCOykN7hA6uRVkk5MZVzSeZUMtHSaEmZTXJfHo1JUBCGhjgFb8/C6Sbt4p1ufMolLnCB8AHu1sZNWpnkS6QxyUk/QoRcXyKtf0UbHukjruMqvXVcmdQYGMH4MplIROCfUJkcoY6LaBCDGwQXszvh+o1746nzWDejshJ440EEKZEKSZB6y7qIVCIqUiILaTAEliNpYU3K2vmhzKlkoinSejpJnY1/D7j8BA5/UEG6mXpbBuYYU4kLXKBakCbTqecG/pxLTvoNIuT6BGn/ijY80pEru5xfaisx8yC9pEvv4JVdSrxdp/ElrOxSMs8x5oNUdikhGhFEAB6psitFK7uKaZqsL3Y/XT8Xtb5j/836P/jx9amBU+rlWpWZelXA5LVAbXvruJQIwRw0LqJDdVxKjGD2eV91rEQnyTQD9kvTcpK7EM7VCA9YxGVsEVexqaPIw0VcWnpg2B+4iEuLFgz70iKufFfE5R3q+1CPGgz+Q5wWLJk78wCNUz2NXEhDUVeR33l9IQJFXFoWRsgC3kfWsidbYB3ACz1gMA7CRy7A+TTW+TSg8znXUwMD6IBFXFqkYBiVFHHluyIu79d6oUcsCa2qbbM9xoYdTqOmwC7iyu+8vgCBIi4tAzC6iou48pMtqA7YpQ7s8WanPEfxb5ib6UkwT5Rg/OwUkYjgshK9e4iQnSIaxOAGwc/7WHaKyEpwNSs4L/uzU0QqsbNTRCoRs1NEFtKbcWA5snyS+FJTRCZHkZpi8hN4+yEOm9sjp9kkMrwjmU+5xAX+Dz4niVJTTHLSDxAh15ea6l/Rhkf6iFsKKm+tVCE1BkYwvholEhH4J1SNfqlbCoimNripcZ07VLIp3FZAtIogTgyik4lUSDrZuVXvU5lElMlEFtIoDaxG0UYbZ7iZU5lEk8nBngImQUEcGlQnb0YKl4EZ0VTiAv+n1skmzyd57iJ3ziUn/QIRcn06uX9FGx7pyCVctYteq3zLIL20S+/gJVxKvGAWFxWuhyjhUjLPMeaDlHApIRoRRAAeqYQrQ0u4kmliRm+0v8Peqr+7LsZ6/2Z512VYm6Kt6xKsq7/pregatKRLuUpgKlsgvb0lXUqEYEYaV9Shki4lRjAXva9WVqKT5J0R+1Vm4gw8czXCA5Z0Vbakq95UVZThki4tPVAGDFzSpUULygBpSVe5K+nyDkx+qEcNioEhTg+WzJ15gMapngYY2fcp6SrvvL4QgZIuLQsjZAHvI2vZky2wDuCFHjAYB+EjGOB8Gut8GtD5nOupgQF0wJIuLVIwjEpKuspdSZf3a73QI5aEVtW22R5rww6nUVNgl3SVd15fgEBJl5YBGF3FJV3lyRZUB+xSB/Z4k2i1t6QrOLDxNk+UYPwkGpGI4PISvYv4UifRiKY2uKnxmwXScT+cUyMaSXCnLDjY+3NqRCqRc2pEJhFzakQW0ht9YDWMmbij7JzK5DhyakyCgrA0xKl4ezauNhkY72TwUy5xgf+DD3S3GhtN4J0uJjnpF4iQ68up9a9owyN9xJ0Qtbf2rJYaAyMYXzYTiQj8EyqbI3RCEA1icIPg4hbrhCCyEnjjQdQokQpJjXo7IYhUIspRIgtpMASWIy0nVeVckDmVSjQ9GmqFYPITuPtB5ehmWHQZGP9NJS5wgGo5GmyFYJKTfoEIuT452r+iDY903BIv98HxG+Zm1qaPXtald+gSLy1eMKuL6sMDlHhpmecY8yFKvLQQjQgiAI9U4lWhJV5Fe/QcvfF6r8Ro9Vn7V36/t5prwGIu7XqASWyByvYVc2kRgrloXDwHirm0GMEs9J6qWItOknEG7FeYiefuVQvwcLVcVXK3/SG9KaeopsFaLjU9MN4PW8ulRgvGe2EtVzXd1nJV3hnYD/Wowag/xDHBkrkzD9A41dMAQ/getVwt9tcXwl/LpWZhhCzgfWQte7IF1gG80AMGwyB81gKcT2OdTwM6n3M9NTB+DlfLpUYKRlFBLdfW6bwT+Fov9IglkVW1bTbn1x6H06gpkGu5ts5mswD+Wi41AzC6Smu52r2zBdUBu9SBPdqkVD711XJV4VmSt3iiBKMnpZhEBLeU6KUDPynFNIjBDYIf9KGkFJOV4E5WcFz2JqWYVCInpZhU4iWlmCykV+LActSTyjjXY05lcgw5KSo/gbcf4rC5PXImNxmMyjtp+5RLXOD/4HOSJCdFJSf9ABFyPTkpYEUbHunj7Sxo1ainRKpKpcbACMZXo0QiAv+EqtEvc2cB09QGNzWuc/fPMgWbCJj2EESIQRQykQpJITs36X0qk4gCmchCGp+B1UjqSel5v5bJJJpADjURUAkKItCgCnkzGroKDPumEhf4P7VCztJqUucucudcctIvECHXp5D7V7ThkY5cteW7gc2C9PIuvYNXbSnxgvlbVLIeompLyTzHmA9StaWEaEQQAXikqq0kAcu2kmmWt3p6XWG1Xub1bbo90/x6/Q/vQvMVBy3gUi4NmLkW6G1vAZcSIZiAxmV0qIBLiRFMPe8rkJXoJGlmwH6Z8xQyV8M7YPlWbsu3zKaCIguXb2npgYF/4PItLVow8EvLt7Jd+ZZ30PVDPWow/A9xXrBk7swDNE71NMBYvk/5Vnbn9YUIlG9pWRghC3gfWcuebIF1AC/0gMEgCB+6AOfTWOfTgM7nXE8NjJ4Dlm9pkYIxVFK+le3Kt7xf64UesSSuqrbN9iAbdjiNmgK7fCu78/oCBMq3tAzA6Cou38pOtqA6YJc6sMebMEu85Vu5jCdKMH7CjEikKz1CCwTePnypE2ZEUxvc1PhdwoDn+3DmjGgYwc2x4CTvz5wRqUTOnBGZRMycEVlI7+2B1ah9j3kzeRxH3oxJUBCIhjgHb0/D+SbL4h3/fcolLvB+8BHu9qWX//EtKjnp94eQ68ub9a9owyN9xH0OibeyzEiNgRGML5SJRAT+CRXKEfociAYxuEFwOYv1ORBZCbzxIFqUSIWkRb19DkQqEcUokYU0GALLkU9q53LMqUSiqdFQmwOTn8DZDypGNzOrq8AUcipxgftTi9FgmwOTnPT7Q8j1idH+FW14pCMXcfnkZRGkZ7r0Dl7EpcTbdRpfwiIuJfMcYz5IEZcSohFBBOCxirjQ8YpmmtpL3o/a37q5+u6v2RqyZEu5EGC2WiCuvSVbSoRg0hnXzKGSLSVGMN28rxhWopOklhH7pdPM7aznaogHLNsqbdlWtamcKMJlW1p6YKgfuGxLixYM9dKyrWJXtuUdbv1QjxoM+EOcECyZO/MAjVM9DTB671O2Vdx5fSECZVtaFkbIAt5H1rInW2AdwAs9YDAQwscswPk01vk0oPM511MDI+iAZVtapGAclZRtFbuyLe/XeqFHLImtqm2zPbqGHU6jpsAu2yruvL4AgbItLQMwuorLtoqTLagO2KUO7PFmo1Jv2VYp44kSjJ+NIhIRXFCi9w0RslFEgxjcIPgZH8tGEVl1NUKAleDA7M9GEanEzkYRqUTMRhFZSG/DgeVIqukkL5wrMqdyOYqEFJOfwN8PcdzcHjrLTfrCO0n7lEtc4AHhk5IoIcUkJ/0EEXLBFT1HVrThkT7iNoLUWx0VntPoMAZGML4eJRIR+CdUj36p2wiIpja4qXGlq88whbsGiHYQRIZBtDGRCkkbOzfnfSqTiNKYyEIal4HVyIrppHYuyJxKJZoyDjYOMAkKQs+g0ngz47kKTO2mEhc4QLU0zvNskpUucudcctJPECHXJ437V7ThkY5cq+V0Ra3YrYP0ii69g9dqKfGCqVtUqx6iVkvJPMeYD1KrpYRoRBABeKxaLQPWao2SaZK2Uvqf2tPGZzcHlr5uXGLllnJZwIS1QGx7K7eUCMG8M66hQ5VbSoxgxnlfdaxEJ8kuI/ab5t7CLSXCwxVu1dO77Q/JpnaiDhduaemBcX/gwi0tWjDuSwu36l3hlndk9UM9ajD6D3FcsGTuzAM0TvU0wFC+T+FWfef1hQgUbmlZGCELeB9Zy55sgXUAL/SAwTgIn7kA59NY59OAzudcTw0MoAMWbmmRgmFUUrhV7wq3vF/rhR6xJLSqts32HBt2OI2aArtwq77z+gIECre0DMDoKi7cqk+2oDpglzqwx5so85Tif6N1UTKeKMHoiTImEcFtJXr58GVOlDFNbXBT41cJQx3vg2kzplUEt8aCk7w3bcakEjdtxmQSL23GZNFVOAEW6AVC1gYdT9aMyeQosmZUgoI4NMQxeHMYrqc3OZbaO877lEtc4P/gE9ytE4/xP7dFJSf9AhFyPVkzYEUbHukjbnDIfAVldXiqpcMYGMH4OplIROCfUJ3Mb3BgGsTgBsHVLNTgwGQl8MaDqFEiFZIa9TU4MKlElKNEFtJgCCxHYiaFe0HmVCrR9Gigv4HKT+DuB5WjmynUdWCuOJW4wAGq5Wiov4FKTvoFIuT65Gj/ijY80u3//cHda/Hy+yG5OXAxV+6i2QrNNEDT5EmXZrRiLueJ/k01XjCdi+rE/Yu51hVFn9hiHCs14ZIuLf8c4z9ESZcWohFBVMKbqeGBKV2BBPWVNmkRgplZXFkGSpu0GMGc7L6SUYlOkn8F7Oe03VyNjlLWdPs04V7yB3rYYGRTlCuVvqqBt/VowcgmLFeq0225Uu2d1fxQjxqMbyJhjG6NUz1sMCz1lyehWM/0WI0QK7w7rP1OtsA6gBd6wGDE0p8ZTDlxd/Kf60GDQUxWXuR3FO/okYKhTFBetHUS7wScxIUesSS8aTaE76Nr1JCHKSdCcV7qcYIxTlo01O6ILagO2KUOrEX7pJxmz6ZP26OpqR6P8+Lpk/GjZ/WzcZ0/epw/e26eJ09u+HhPp4FjuvqE6i0aymQ8UYKuc2yAl+Qs6yLyJpWI4HYMPeS+WjR0+a0//MM///a3/tdHo9WH7b/+/Op7o9U/rH5pfzoqr0+vPVU8RO4G57736ZFIQ3DPJzhl+hMdRCqkRIdzb92nMomY5yCykN6yIqvhYjGnsoiX4siqSenLcTAJCry46CjXl+PINjfigZnvVOIC36c+r+S1mdS+HAeTnPTrQ8j15Tj6V7ThkT7ikpvcW3KTS42BEYyvMolEBP4JVZkRSm6IBjG4QfaWnkQaAvc7iPQkUiFJT+fZ9D6VSUTpSWQhDX7IarhYzKksoknPqppUvgQMk5/Asw+qPDeTeOvAbGUqcYHrUytP76Kec7lJvz2EW5/w7F/Qhkc68gtJxkWvlZImQK9Myi69gxfVKPF2fcaXtqhGyT/H+A9SVKOEaEQQAXi2ZO7uKBtd/W1r6herX69eTkatHn+5+uLr9rmjvP2nn23fSnKsydj9+lE9TYpJ6HmjUftXfnrTgLp+BGvdbPpy1GL4nT0itH/oo0GfQNJaHMy6CmS0t05IiRBMseLqOFQnpMQIJlf31b1KdJJEKmK/cjpx3jbO1Qij1Aql9XRinAejB3rgYMgeuFpIixYM2dJqIbOrFvIOBX6oRw0GbpHQv33bWiT1JHFuj1M9dDDmyiuGWn2ZlJPCVzWkxWuEeOFdYm14sgXWAbzQAwbjl/osFKwa0oIGQ5qsaqic+l5De0ePFAxskqohs6sa8jqLCz1iSbDTbIi0qNNiUjhFTqOGzakcStKpBetux7/UgwWDnrh8yJxsQXXALnVgjzexY7zlQ4WMJ0owfmKHSERw/Yce5yMkdogGMbhB8MOzi8aMSkNwuyk4kfoTO0QqkRM7RCYREztEFtLLZWA1WgE+9R2EiUyOIrnD5Cfw7qIzX19yp9jkAgIzyanEBe5PfaAJJXeY3KTfH8KtL7nTv6ANj/QR164bb1VRKTUGRjC++CQSEbgnVHwOW7tO5G5w7nvrTCINgaMdRGcSqZB0pnNv3acyiagziSykcQ5YDdO67dzFZE5lEk1nBuvXmQQFnnxQobmZWFsHZhBTiQv8n1poBuvXmeSkXyBCrk9p9q9owyMduYyocNFrtWN4jlzVpXfwMiIlXjAbiUq/w5URKfnnGP9ByoiUEI0IIgCPNW6NVn80bG2RchnA3KxAYXtri5QIwUQsLpxDtUVKjGAKdl9JrEQnSbcC9kur1mM777jnaoiU4qJbgsA5X62+e1pMpzcjjur1EFbvfDU1PTDcK0uQnIvxth4tGO6lJUjVrgTJO+v2oR41GPSHOCVYMnfmARqnehpg7O4vR/Jgt7DvvL4QPhZnehZGyALeR9ayJ1tgHcALPWAwEMJHLcD5NNb5NKDzOddTAyPogKVMWqRgHJWUMlW7Uibv13qhRyyJraptsz2+hh1Oo6YwTFlTv7PZLICPwaWeARhdxbVO1ckWVAfsUgf2eNNNhbfWqZbxRAnGTzcRiQguKdE7h2HTTUTuBueOH+bhE3V4ohmRtuB6VnB49qeniFQip6eITCKmp4gspJfjwGpU+aTKnQsyp1KJl58y+cRN8AGXoMD1D3Hy3J4/6002IzDjm0pc4ADhQ9Otq6YkMNKMSU76CSLk+vJT/Sva8EgfcRl+4amEKm6OnwJjYARjS1MqEYF/QqUpvQyfahCDGwTXq8hIMyorgTceQI5SqZDkqHNR7lOZRJOjVBbSWAisRlpNUk8KiUolnhz1TjTj8hN4+wHVaMvpWrvc/MRF/JRLXOD/1Go0MNGMS076BSLkwmoUWdGGR9pONHvF9ViRGXOyWemi2+rNJEDX5FmXbqTqqdod2t5U4wUTqahc/NnqF/ZdnasfbOXiutjlWix+f1ff8spDPNeFVLYs5jfry76XV99ZF2D9dnT1V+0f3JVQfWL/klZvftb+lr9sf/7d699299Vf+Xz10fpnrUJt/6qb6pov1pDevflbV79afT6a3k1t8Ur791791dW7LpPeU5s0x0w6QEGWGqIRQVTCm6nhgflZgbj1FCqpEYJpVlyz+guV1BjBBOu+alSJTpJMBezntN1cjY5So3T7nOIZlqaHDQZLee1RmhW57/0jPVwwWsqKj1o4m+Kj9qfe4iM9ajBmikQ3ujdO9bDBuNRfbIRiPdNjNUKs8O6w9jvZAusAXugBgyFLfR4p0twzqP1cDxqMYrJioYCneEcPFQxmeLXQzku8E/ASF3rEkgCn2RHecWlqyMNUB6E4L/U4wSgnrAGyO2ILqgN2qQNr0T5J6yxNk8fjp3X2ZJznaT6u0ul0/Cx5XNePy6Qon90EFO+RN3AHoD72emqAimkq44kSdB2OA7wkB2QXkTepRARXb+jJ+T+/cvhtT83/e3s4/s36WNueXNtD8izL/oM9rk5z20Zk//3Hq1+sf9UepD8fX/9Lm4VxWeMe1RoGt8beJ0oiDcG1ouDk6U+rEKmQ0iqpcVG5T6USMa9CZCG91UWWw8ViTmURLaWSt3vNeTH7gMtP4NdFp7u+lEq6uYD3zu095RIX+D71Eca7qOdcbtJvD+HWl1HpX9CGR/q6vid/WpZPnmXjx0lVjfPCpONH2bPH47x+9DR5XDx6Wpkn3zyA7HRexLayM5MaAyMYX3YSiQjcEyo7b9f33BTtuMt8rhubbVbmVza7Mm7/X6tAV1/c/K6X7S/87vp3uaxzj2odg1tnbxlKpCFwxYPIUCIVkgx134Pdp1KJKEOJLKShEFkOF4s5lUU0GVpUnre6H3D5Cfz8oDI026gW/xxfLnGB71PLUO+innO5Sb89hFufDO1f0IZHei1DH9dPzaM8q8bpo6Ruf2/1fPzYPErHVZFXT58mT5+m5sa1xpWhmcsYrQzNpcbACMaXoUQiAveEytAPb0p0Nu/1/NYW9Xy6+nj12xs5Olr9l3VRz/fWxUX2mnTdFGjV5vVv/2L1+aj9a/5x9cF4XYL+o9U/r/5+/U7Qz10Wuke1kMEttLcUJdIQuONBpCiRCkWKJu7T7H0qk4hKlMhCGg2B1fApUSKLaEo0KSY3D2PfVqJMfgJXP6gSzTfCxT/Xl0tc4PrUStS7qOdcbtJvD+HWp0T7F7ThkV4r0UdFOn00zZ6Py+ePbDl6kowfPX/+bJybp+nzR8+mT8zzx988gBLNXcZolaiRGgMjGF+JEokI3BOqRD9wVJm/tALzlcLy0dvPvv3ojx6N/ujRtx/9xV9860aitrLz5frO9Lc3krW5n5i8PLv5p3Q6vfp++8Oo/as/c5nqHtVUBjfV3pKUSEPglwWS1FseTmRCUqRTZ4rtPpVKRElKZCENi8By+CQpkUU8SZpV+cQ9HfABl6HA6w8qSs1Gw3jnZJ5yiQucn1qUmtz4nuHgkpN+fgi5PlXav6INj3TkZ+KdLcqtziwC9Mqk7tI7eKOjEm/XaXzV6LiTnUqT5phJB2l0VEI0IohKeDM1PLBrZAglq0QItoiIFKq30VGJEewN2Vd6KtFJ+kAA+/kkpRLdoRsdtbDBYDl0o6MWLhgtpY2Oxa7R0TtS8aEeNRgzRSIb3RunethgXBq00VGL1QixwrvD2u9kC6wDeKEHDIYs9fkjmZpkUjnT8+d61GAYG7LTUQsVjGaSTsdi1+nodRMXesSSCKfZEoFORyXk6J2OWpxgmBN3OhYnW1AdsEsd2LVWnD5Pn5r88fjRY2PGefY4Hz9Osun4kXlePa/Ms3JaH6DWp/J2OpYynijB+BkWIhHBXRt6dN4jw/JjO5drXe+z/mczndbXv/CBLVC35UL20HtzYP7i+jdt8i4u292j2s7gttv7AEqkIbh1HOKgSmQSO+VCpBIx5UJkIb3zBZbDdz4msoiWcqlz4z9JMwkKooDoMBi8n7ecNvfz/sG8XOIC36c+8fhX9ZxLTvr1IeSCK3qOrGjDI33EFemVtzGykhoDIxhfpRKJCPwTqlIPUZFOtJDBLbS3FiXSEPhjgRb1V6QTqZDEqNON3KcyiahFiSyk0RBYDZ8WJbKIpkVDFelMfgJXP6gUrTbCxT8Hlktc4PrUUjRUkc7kJv32EG59SrR/QRse6SN+oqPy9kbWUmNgBOMrUSIRgXtClWjsJzqI1jG4dfZWoUQaAlc8iAolUqGo0MATHUQqEWUokYU0FCLL4WIxp7KIJkNDT3Qw+Qn8/KAytN6oFv8oSC5xge9Ty9DQEx1MbtJvD+HWJ0P7F7ThkT7iB4orX2NkMpUaAyMYXYYyiQjcEypDyQ8UM61hcGvsKzuZNASudwjZyaRCkp2+B4qZVOLJTiYLaehDlsPFYk5lEU12Bh4opvIT+PUhZWeymRCYBGY+UokLfJ9adgYeKKZyk357CLce2QksaMMjHbnzsXbRa4VkaKJHmU679A7d+ajF2/UZX3U+7kSn0qQ5ZtIhOh+1EI0IohLeTA0PbCMR6FhfQakWIdgygsvTQOejFmNXe3I6H7XoJH0hgP18elKJ7sCdj2rYYLAcuPNRDReMlsLOx2Q34jEJjHhUowZjpkhjo3vjVA8bjEtDdj6qsRohVnh3WPudbIF1AC/0gMGQpT5+JCZNJ6ZyoT7XowbD2ICdj2qoYDQTdD4muxmPfjdxoUcsiXCaLeHvfNRCjt35qMYJhjlp52NiZzy6XcNSB/Z4Uyiek2R78k1lPFGC8VMoRCKCqzb06MxOoRCtYXBr7H2kJNIQXCMKjp7+FAqRSuwUCpFKxBQKkYX0GhdZDheLOZXFUaRQmPwEfl10vOtLoWxGAiaBGY9U4gLfpz7DhFIoTG7Sbw/h1pdC6V/Qhkf6iAvIa18ro/30ZMbACMaXnUQiAveEys7IBeRM6xjcOnvLUCINgSseRIYSqZBkqK+AnEklogwlspCGQmQ5XCzmVBbRZGiggJzKT+DnB5Whm5GASWDGI5W4wPepZWiggJzKTfrtIdz6ZGj/gjY80kf8okbt62O0WTKZMTCC8WUokYjAPaEy9AAvajAtZHAL7S1FiTQE7ngQKUqkQpGi3hc1mEwiKlEiC2k0BFbDp0SJLKIp0cCLGlR+Alc/qBLdjARMAjMeqcQFrk+tRAMvalC5Sb89hFufEu1f0IZH+ohnPNbeVkYjNQZGML4SJRIRuCdUie7xAvHeMx6ZpjK4qfaWpEQaAr8skKTe+nAiE5Ii9T04zKQSUZISWUjDIrAcPklKZBFPkoZmPFIZCrz+oKJ0MxEwCcx4pBIXOD+9KPUv6zmXnfT7Q9j1ydL+JW14pOO2OhqnM2qFZhGkl3TpHbzVUYm36zW+anXc6U6lSXPMpIO0OiohGhFEAJ5tFbg7ykZXf9va+cXq16uXk9Hq563q/+Lro7fedrYTz9TowbaSIZSuEiHYQiJSsN5OSCVGsHdkX2mqRCfpE0HslxTO3NZcDTBKM2Ri0sTT4PRAjxyMqEP3Q2rhgiFV2g+5mwSZBCZBqlGDgVUkxW9tj7KoTV1OTO4Cf6oHD4YweVdkWuZ1lqX+3kgtYiNEDO8Ua8WTLbAO4IUeMBjE1CeWIm1Vo9PnnetBg3FN1hqZmbzwt0ZqoYLhTdIauRsK6fcYF3rEkpCn2RFlmpfT6SRxqrFGjZvTH5knaVbXlb9LUosWDH7iLkk7H9LtJJY6sEebnTFTb5dkcAzRbZ4owfjZGSIRwT0deuo+aHaGaCqDmwo/qr5irc9dBjq9NpCdkPm5vThY//rnd0erF1ffuXp30lqoTtJ6Oj27O7r6wfpm493Rrs/U/nT9766nbra/x/4HftP+x9rfMMqm0zvZjTnbX7LtBZ9e/fV6CV6Mqut/2/744rrxwP4FE5fVZ1SrC+5ThzhiE5nETiYRqURMJhFZSC+zkeVI83ySOwPSnMolckrJKS0ecBkKQpXoHBvMP1hOm/xDYIgllbjABaoPaCY3k8xXcs8kJ/0IEXLBFT1HVrThkT7ekvtWSjvDYiulK6kxMILxpTSRiMA/oVL6ECX3RAsZ3EK4gnbRmFFpCPyxQJL6S+6JVEia1OlG7lOZRJSkRBbSaIisRlabiVOvzalU4inSYpI4N9wDLj+Bvx9Uj24GHyaBSZZU4gL/p9ajdlGdx6hzLjfpB4hw65Oj/Qva8Egf70MkrRx1ZoxaOVpLjYERjC9HiUQE7gmVo7EfIiFax+DW2VuKEmkIXPEgUpRIhSJFAw+REKlE1KJEFtJQCCxHUuaT3LkgcyqVaFo09BoJk5/A2Q+qRTfTD5PAOEsqcYEDVGvR0GskTG7SDxDh1qdF+xe04ZE+3reYWy2au4zxjSKdSo2BEYyuRZlEBO4J1aLkt5iZ1jC4NfbVnkwaAtc7hPZkUiFpT99bzEwq8bQnk4U09AHLkdbTSelckDmVSjTtGXiQmcpP4NyH1J7pZgRiGphpSSUucIBq7Rl4kJnKTfoBItx6tCewoA2PdORGT0/NahqeYJJ26R260VOLt+szvmr03ClPpUlzzKRDNHpqIRoRRABeuNHTXQA/U8MHm2QEYtdXhqpFCHbE4Bo20OmpxdgVqJxOTy06SdsLYD9TZxPjQjhXI4zT6jk100nlyaqrkYMxdeBWTzVcMKgKWz3T3ejLNDD6Uo0aDK0iKe5o5yuKZFI4lempHjsYw+Sdnkk+zaaZb4+c6REbIWJ4o1grnmyBdQAv9IDBIKY+sFx7Dk/phho1GNgGbPVUQwXjm6DVM91NwfR7jAs9YknM02wJ6y2MmZS5C3ejxs1p9UyTaW5M4m31VKMFg5+01TO1AzHdXmKpA3u8SZjE1+qZpjKeKMH4SRgiEcE9HXruZidhiNYwuDXw86iLxoxKQ3AHKTiX+pMwRCqxkzBEKhGTMEQW0jtgYDmSvJpk3iwMkctRZGGY/ATeXXT068vCbKYopoGxmFTiAg+oPtSEsjBMbtIvEOHWl4XpX9CGR/qIq9E9XU2t+MykxsAIxhefRCIC94SKz8jV6EzrGNw6e4tRIg2BKx5EjBKpkMSorxqdSSWiGCWykIZCYDmqejJ1nw7mVCrRtGigGp3KT+DsB9Wim1GKaWA2JpW4wAGqtWigGp3KTfoBItz6tGj/gjY80kf8UEfi64xMc6kxMILxtSiRiMA9oVr0AA91MC1kcAvtrUeJNATueBA9SqRC0aPehzqYTCLKUSILaTQEVqNMUvd6zKlMoqnRwDsdVH4Cdz+oGt2MU0wD8zGpxAXuT61GA+90ULlJvz+EW58a7V/Qhkd6rUbL6fP0qckfjx89NmacZ4/zVsNm0/Ej87x6Xpln5bQ+iBrNXcZo1aiRGgMjGF+NEokI3BOqRvd4gfnHrWZdvxV8/c9mOq2vf+EDe49qBa0tZL8pgv/i+jdt3mV22e4e1XYGt93eOpVIQ+CoBTrVW1xOZEKSqb43jplUIupUIgtpnASWo8jMZOp7xYPJJZpSrXPjqf97wCUoiAWDStXNiMU0MDWTSlzgAdVS1b+q51xy0m8QIdenVftXtOGRjtxL6cvLF0F6WZfewXsplXi7TuOrXsqd9lSaNMdMOkgvpRKiEUEE4CXbLspXeygz52adqWGD7SdDyFwlQrDVRCRfvT2USoxdbUrqoVSik/STAPbLnW28czW8OA2UoVmZauRgIB26gVILF4yk0gbK3azMNDArU40ajKciAX7rDFXXdTopnPvjVA8djFuK/slpVeaB9kktYCMEDG8Ta8STLbAO4IUeMBi/1IeUa7/hRH2uRw3GtCHbJ7VQwdAmaZ/cTcr0+4sLPWJJuNNsCesrkknp3BONGjanezIpsiTx7YpLPVgw8ImbJ+2cTLePWOrAWrTYICDLx3tCDlwRqE/J3ubJ8KSjWzxRgvGzNEQigps59KC9R5Zm7zmZTFMZ3FT46dRFY0al0Y30ARpDnFaJTGInZYhUIiZliCykF8LAcuT1JHVurTmVSbSUTHDsJJWhwPOLjoS35EgnJ7MZUpgGxk5SiQscoP64s15W42J3zmUn/QYRdsElPUeWtOGRPuJydk/dYytNK6kxMILxpSmRiMBBodL0EOXsRAsZ3EJ7K1IiDYFDFihSfzk7kQpJkjrdyH0qk4iKlMhCGg2B1TDGW81OJBJPkAaq2Zn8BN5+UDm6GVKYBqZOUokLvJ9ejgaq2ZncpJ8fwq1PjPYvaMMjfcTvfKTe3spaagyMYHwxSiQicE+oGI39zgfROga3zt5ClEhD4IoHEaJEKhQhGnjng0glohIlspCGQmA5iknt4jGn8ogmREOPfDD5CTz9oEJ0M6EwDYycpBIXeD+1EA098sHkJv36EG59QrR/QRse6SN+7Tj1tVVm4RlIDmNgBKMLUSYRgXtChSj5tWOmNQxujX2FJ5OGwPUOITyZVEjC0/faMZNKPOHJZCENfcByJIlv+A+TSDTlGXjqmMpP4NqHVJ7ZZj5hFhg4SSUucH9q5Rl46pjKTfr5Idx6lCewoA2PdOQmycxFr9WS4QkheZfeoZsktXi7PuOrJsmd7lSaNMdMOkSTpBaiEUEE4K0rGH62+he7VP9u9W+rf1wXN/xs9Z9W/331D6N21d9tzf5xuw6byomPR+t1+oX9pasf2j+1/l2jxL49O0mnaTEZvfV2PRmt/rndFTebZXOJvVvQF5tC4NPrQuBRNZ1Oz26ea2mX+2N75Pi8/env2i358Sid/kfr09r/rP3l9u9qf/7R6tOr969/3ZZqrP/dZ+vL8M/XO8Zi/k6L47VTztfXx5z1UeY362POvdkoy+6O2r/F7vV3+046o/Yw9Ea756/eW29le4X/2bWZPlm/ItPu+q9NXGs+U6852KEjOB/4ana1CMFuHFz2BzpMtRi7mp7TYapFJ2m5AexXlJPKqXnmaoSUJtNbemb+1uziYnFxo2ia5ekbrQJN77Y/ZPaH3P5gvmbdv2ViRc7dqVPnPNATBXWLqic1m9TOq/u39XBB4SLsSc12Qz2zwFBPNWpQvgxx3LFk7swDNE71NEDJ0N+f6sFuYd95fSF8LM70LIyQBbyPrGVPtsA6gBd6wGBIhM+MgB9qrB9qrB9qrB9qQD90ricJRtUBe1zVUMHgKuhxzXYjQv0f7oUesSTgqnbQ9kwe9j2NmsIw/a79fmezAD4Gl3oGYKSVNsFmdoKo2+csdWDXEi1/+iR9Yp6Pnxf583GelNW4fvwkG6dlNa2fmGeP8uIAObXM1wSbpTKeKMH4OTUiEcHFK3qR0smp/aw9E/5ufZFiD5vXVV6vnjA/H01vXti9fY1BJG5w4oK7hKFP2r6DNNEwghtpwYHbn5Aj</t>
  </si>
  <si>
    <t>UiEl5JLS0ybL5BIxI0dkIU0JAOuRpJNp4rwKn1OpxMzJ1U4H+YDLTxAahjikbo+qm2mVWWD8KJW4wAPC5yt4Uc+53KQfIMKtLyfXv6ANj/QRtyVkvh7ZLJMaAyMYX7kSiQjcE6pcI7clMK1jcOvg8tZFY0alIXDFg4hRIhWWGDUuKvepVCJqUSILaSgEliNp16NyXkfMqVSiadGinhifFmXyEzj7QbXoZlplFhg/SiUucIBqLepd1HMuN+kHiHDr06L9C9rwSB/xey2Zr0U2y6XGwAjG16JEIgL3hGrRA7zXwrSQwS20tx4l0hC440H0KJEKRY9632thMokoR4kspNEQWI00zydZ5lyROZVLND2aFJOscvF7wOUncPiD6tHNvMosMICUSlzgANV61Luo51xu0i8Q4danR/sXtOGRPuKnrTNvp6yRGgMjGF+PEokI3BOqRw/5tDXTVAY3FS5MI1X2u6w1o1pL4P4F+tdbjU9kQpK/vhe0mVQi6l8iC2n0BZajTCdF6ruOJVKJJ39bsJOpM1I+4DIURJhBBfBmCGYWGGtKJS7wgHoB7F/Wcy476UeIsOuTwP1L2vBIR27Z9YnaIkjPdOkdvGVXibfrNb5q2d1pXKVJc8ykg7TsKiEaEUQA3lctu+JC4tEbls6o3f2W1XtX3xtffc/yss8d2e/iJlnwk9WHd0fK5l7l7gA7mYY4TigRgm1IomOCt7lXiRHsP9pX/yvRSXqNEPslxvsKjxLhAZt7S9vSW9kf6vaHfLppqivCzb1aoqDCGbq5VwsXlDjS5t7dwNksMHBWjRoUOkMcjSyZO/MAjVM9DVBc7NPcW9x5fSECzb1aFkbIAt5H1rInW2AdwAs9YDAkwudLwA811g811g811g81oB8615MEo+qQzb1aqGBwlTT37gbY+j/cCz1iScBV7aDt6T3sexo1BXZzb3Hn9QUINPdqGYCRVtzcayfcun3OUgf2eNOAube5NzxT7RZPlGD8NCCRiOCSFr1yOWgakGgqg5sKv6eIdFvgstaMaq2uQAlYa4hzO5FJ7DQgkUrENCCRhTQDgSxHmk1MZVxc5lQuR5IHZDIUhJghDrvbI+9m7moWGKVLJS5wgfA5TbCs51x20q8QYRdc0nNkSRse6SNuzci9bcKV1BgYwfgamEhE4KBQDXyI1gyihQxuIVz6tgeFtUVsAvTT17NoL0dv//GjP38+Wv3XVxJQrySr1sa0Wbjvju5NR6kZ+fojZlSzCBy8QOP6Wz2IVEgi1+mW7lOZRNS4RBbS6AqsRp6YibNmfk5lEk/hBho9mPwE4WNQfbsZ5ZoFZvNSiQvcn17f1hN3d9I5l5v0+0O49anb/gVteKSP+BGc3Nt4XEuNgRGMr26JRATuCVW3sR/BIVrH4NbBla2LxoxKQ+CKB1GiRCoUJRp4BIdIJaIUJbKQhkJgOZKyjerOBZlTqUTToqFHcJj8BM5+UC26meaaBcbzUokLHKBai4YewWFyk36ACLc+Ldq/oA2P9BGP5819Tcd5eGKcwxgYwehalElE4J5QLUoez8u0hsGtsa/2ZNIQuN4htCeTCkl7+sbzMqnE055MFtLQByxHWk2q0rkgcyqVaNoz8Bg4lZ/AuQ+pPfPNPNc8MKCXSlzgANXaM/AYOJWb9ANEuPVoT2BBGx7pyN2+TkfUqsnwAJ6iS+/Q3b5avF2f8VW37055Kk2aYyYdottXC9GIIALwSN2+Sfujs5y5p+l3vSdeXFc32PW+2StfjMx02p6n13/db9q/sP2Lt0XNV98v7taMrt5QU69rWWfqZQV7kgSHAF+5rxYh2FCEa/tAm64WY1e4c9p0tegkXUOA/YpWjdee53e0EA/Xp5vbIby5HcKb2yG8+Wb4ZR4ewqsmCmqTgft01XBBcSLs0813Q3jzwBBeNWpQogxxpLFk7swDNE71NEBZsEefbr4bwpv3DOFVszBCFvA+spY92QLrAF7oAYMxET4XAn6osX6osX6osX6oAf3QuZ4kGFYH7NNVQwWjq6BPN98N4fV/uBd6xJKIq9pB23N32Pc0agrkPt18N4Q37Hcu9QzASCvt083tEF63z1nqwB5v5sz4+nTzVMYTJRg/c0YkIrhcRS9L2JkzojUMbg38EsFFY0alIbg4Fhya/ZkzIpXYmTMilYiZMyIL6cU9sByJKSdp6mkhYHI5itQZk5/Auw9xztyeNjdjV/PAHF0qcYEHhI9I8KKec7lJv0CEW1/qrH9BGx7pI24hML4G2TyTGgMjGF98EokI3BMqPiO3EDCtY3Dr7C1GiTQErngQMUqkQhKjvhYCJpWIYpTIQhoKgeWo7dwy5xM6cyqVaFo00EJA5Sdw9oNq0c3Y1TwwR5dKXOAA1Vo00EJA5Sb9ABFufVq0f0EbHukjfqzF+NpZ81xqDIxgfC1KJCJwT6gWPcBjLUwLGdxCuB6N81gL0ywC9z6IviVSoehb72MtTCYR5S2RhTS6AquRpkU+mZaFi8ycSiaawA2810LlJ4gggwrczRzXPDCYl0pc4AHVAjfwXguVm/QTRLj1Cdz+BW14pNcCt5w+T5+a/PH40WNjxnn2OG9lcTYdPzLPq+eVeVZO64MI3NxljFbgGqkxMILxBS6RiMA9oQJ3jxe51y9Rr2Xc+p9tAfv1L3zgLHBf/9qmpN1lu3tU2xncdrj0ddGYUWkIHLVAqnqL6YlMSErV93Y2k0pEqUpkIY2TwHIUZTqpM6fLn1O5RFOqdTGduFuGH3AJCmLBoFJ1M281D4zQpRIXeEC1VPWv6jmXnPQbRMj1adX+FW14pCP31DoPza36LIL0yi69g/fUKvF2ncZXPbU77ak0aY6ZdJCeWiVEI4IIwKP01LYb41/GaTWxt+W2luN6Rs3v1iUfn4y2N/Ff6jm6rnWdqdcVbCAa4hygRAh2/4j0vbepVomxK95JTbVKdJIWH8B+qecKbq4GeMCWWjv6Nrejb3M7+tZsRk7m4dG3aqKgNBm6pVYLF9Qm0pba3ejbPDD6Vo0aVChDHGksmTvzAI1TPQ1QFezTUrsbfZv3jL5VszBCFvA+spY92QLrAF7oAYMRET4XAn6osX6osX6osX6oAf3QuZ4kGFSHbKnVQgVjq6Sldjf61v/hXugRS+Ktagdtj91h39OoKbBbanejb8N+51LPAIy04pZaO/rW7XOWOrAWLTYizPLxXnIEbnnUFx3eltrwDLRbPFGC8RNtRCKCy1X0rmSPRNveo2+ZpjK4qfALhkgHfJe1ZlRrdQVKwFpDHNuJTGKn74hUIqbviCykqQNgOdJJXvmuC4hMoiXvgoNvqQwFAWaIo+72wLuZkpoHBt9SiQscIHxKEyzrOZed9BtE2AWX9BxZ0oZH+oh7KQpvX28lNQZGML4CJhIROChUAR+il4JoIYNbCBe+LhozKg2BQxYoUn/vA5EKSZI63ch9KpOIipTIQhoNgdWoJpnxKVIik3iKNND4wOQncPeD6tHNXNM8MKiWSlzg/vR61Leo51xu0u8P4danRvsXtOGRPuJXZgpvZ28tNQZGML4aJRIRuCdUjcZ+ZYZoHYNbZ28lSqQhcMWDKFEiFYoSDbwyQ6QSUYoSWUhDIbQcWe6M6nMqk2hSNPTIDJOfwNcPKkU3Y03zwJxaKnGB/1NL0dAjM0xu0u8P4dYnRfsXtOGRPuLXtgtfD64JD05zGAMjGF2KMokI3BMqRcmvbTOtYXBr7Cs9mTQErncI6cmkQpKevte2mVTiSU8mC2nog5bDeJQnk0g05Rl4apvKT+Dah1SeZjPU1ASm1FKJC9yfWnkGntqmcpN+fgi3HuUJLGjDI93+3x/cvRZcvx9SlgN31jrrtlpNGZpUY/K8SzNaZ60zi/SmGm/Xd/xP0FlrGziRzlqtSXPMpEN01mohGhFEJbyZGh7YDiOQtL5KUy1CsJcFV6qBBlEtxq4M5TSIatFJGlYA+zltN1ejo3SH3pbD7iV/oIcNBktFr2ddZR64b+vhgtFS2OtpduNTTWB8qho1GDNFWhvdG6d62GBc6u/tRLGe6bEaIVZ4d1j7nWyBdQAv9IDBkKU+hiSpySY3T4vfPohoUYNhTNaSGXAV7+ihgtFM0JJpdlNO/W7iQo9YEuE0W8L32TVqyMO0YKI4L/U4wTAnbbQ0dnap2zUsdWAt2unU1Pk0fzo2T58/GyfJs+fjepqn4+pp/Sh/kj0rsvTJNR/vmTdw+Fefe32Nljd1ijBPlKDrdBzgJTkhu4i8SSUiuHJDj86vPhQUONG+uHr/puDnG/fT7PpnszXF658Xtq1y/UMSaq1kGsfgxtn7hEmkIbhdHOIkSmRCya0kbgdyn8okYmqFyEJ6twushu/8S2QRLa+STrNqMjUuhg+4DAVuXnTa68usbGZemsAQUypxge/TH2mSaatDnBv3nMtO+v0h7PpyK/1L2vBIH3G7Y+lrdzSZ1BgYwfg6lEhE4KCkOjRiuyPTQga30N5ilEhD4JAFYtRf6UOkQlKjTjdyn8okoholspBGQ2A1fGqUyCKaGk2KSe18i+sBl5/A1Q+qRTczL01giCmVuMD16bWob1HPudyk3x7CrU+J9i9owyN9xPXlpa/V8abzQGAMjGB8JUokInBPqBJl15cTrWFwa+ytOok0BK53ENVJpEJRnYH6ciKViLKTyEIa+pDlcLGYU1lEk515u9ectaoPuPwEfn1Q2bmZRGkCo0WpxAW+Ty07vYt6zuUm/fYQbn2ys39BGx7pI35ho/S2NRqpMTCC8WUnkYjAPaGyM/ILG0zrGNw6e8tQIg2BKx5EhhKpkGSo74UNJpWIMpTIQhoKkeVwsZhTWUSToUU1yX1F60x+Aj8/qAzdDJk0gbGhVOIC36eWod5FPedyk357CLc+Gdq/oA2PdOSpoc5m61ZYFgF6ZVp16R28t1GJt+szvupt3IlOpUlzzKSD9DYqIRoRRCW8mRoe2Cgi0LHeilIlQrApBJenod5GJUawG2Rf3alEJ+n8AOzn05NKdIfubdTCBoPl0L2NWrhgtJT2Nu7mWJrAHEs1ajBmijQ2ujdO9bDBuDRob6MWqxFihXeHtd/JFlgH8EIPGAxZ6uNHuLdRixoMY0P2NmqhgtFM0tu4GzfpdxMXesSSCKfZEoHeRiXk6L2NWpxgmBP3Ntohkm7XsNSBPd6USuXtbQzPE7rFEyUYP6VCJCK4akOPzrFTKkTrGNw6ex8xiTQE14qCo6g/pUKkEjulQqQSMaVCZCG91kWWw8ViTmVxFCkVJj+Bnxcd94I38JbT5gY+MMuRSlzg+9RnmlBKhclN+u0h3IILeo4saMMjfcQF5ZW3tbGSGgMjGF+GEokI3BMqQ9kF5URrGNwae8tOIg2B6x1EdhKpkGSnt6CcSCWi7CSykIY+ZDlcLOZUFtFkZ6ignMlP4NcHlZ2bCX8mMLKRSlzg+9SyM1RQzuQm/fYQbn2ys39BGx7pI35Ro/L2MdZSY2AE48tOIhGBe0Jl5yFe1CBayOAW2luKEmkI3PEgUpRIhSJF/S9qEJlEVKJEFtJoCKyGT4kSWURToqEXNZj8BK5+UCW6GfBnAhMbqcQFrk+tREMvajC5Sb89hFufEu1f0IZH+ojfGK58rY3FVGoMjGB0JcokInBPUiUa541hpnEMbpx9RSiThsATC0SoryKcyYSkQT1vDDOZxNOgTBbSOAishkeDMllE06DBN4apDAVufkgVWmyG/RWB6Y1U4gLfp1ehoTeGqeyk3x/CrkeHAkva8EhH7m2sXfRaZRma0lGmdZfeoXsbtXi7XuOr3sad7FSaNMdMOkRvoxaiEUFUwpup4YGNIkMoWSVCsClEolC9vY1ajF39yelt1KKTdH4A9vNpSiW6A/c2qmGDwXLg3kY1XDBaCnsbi93cxiIwt1GNGoyZIpWN7o1TPWwwLg3Z26jGaoRY4d1h7XeyBdYBvNADBkOW/gAS6m1UowbD2IC9jWqoYDQT9DYWu7mNfjdxoUcsiXCaLeHvbdRCjt3bqMYJhjlpb2Nh5za6XcNSB/Z4cyq1r7exSGU8UYLxcypEIoLLNvToHDmnQjSOwY2z9wmTSENwrzjESZTIJHJOhcgkYk6FyEJ6pwushu/8S2RxJDkVJkOBmxed9vpyKpshf0VgbiOVuMD36Y80wZwKk530+0PY9eVU+pe04ZE+4ipzT0aj1aGZ1BgYwfg6lEhE4KCkOjRilTnTQga30N5ilEhD4JAFYtRbZc6kQlKjTjdyn8okoholspBGQ2A1fGqUyCKaGg1UmVP5CVz9oFp0M+avCMxtpBIXuD69FvVXmVO5Sb89hFufEu1f0IZH+oif2ah9/Y5FLjUGRjC+EiUSEbgnVImSn9lgWsPg1thbdRJpCFzvIKqTSIWiOv3PbDCpRJSdRBbS0Icsh4vFnMoimuwMPLNB5Sfw64PKzs2YvyIwt5FKXOD71LIz8MwGlZv020O49cnO/gVteKSP+JHh2tvcaKTGwAjGl51EIgL3hMrOyI8MM61jcOvsLUOJNASueBAZSqRCkqG+R4aZVCLKUCILaShElsPFYk5lEU2GBh4ZpvIT+PlBZehmzF8RmNtIJS7wfWoZGnhkmMpN+u0h3PpkaP+CNjzScXsbC+eatsKyCNHLpl16B+9tVOLt+oyveht3olNp0hwz6SC9jUqIRgRRCW+mhgc2igh0rLeiVIkQbArB5Wmot1GJEewG2Vd3KtFJOj8A+/n0pBLdoXsbtbDBYDl0b6MWLhgtpb2Nu7mNRWBuoxo1GDNFGhvdG6d62GBcGrS3UYvVCLHCu8Pa72QLrAN4oQcMhiz18SPc26hFDYaxIXsbtVDBaCbpbdzNbfS7iQs9YkmE02yJQG+jEnL03kYtTjDMiXsb7dxGt2tY6sAebUqlmHp7G4PTg27zRAnGT6kQiQiu2tCjc+yUCtE6BrfO3kdMIg3BtaLgKOpPqRCpxE6pEKlETKkQWUivdZHlcLGYU1kcRUqFyU/g50XHveANvOW0uYEPzG2kEhf4PvWZJpRSYXKTfnsIt+CCniML2vBIH29BeStDnTezrQytpMbACMaXoUQiAveEylB2QTnRGga3xt6yk0hD4HoHkZ1EKiTZ6S0oJ1KJKDuJLKShD1kOF4s5lUU02RkqKGfyE/j1QWXnZsxfEZjbSCUu8H1q2RkqKGdyk357CLc+2dm/oA2P9PG+qNHKzsxljFZ21lJjYATjy04iEYF7QmXnIV7UIFrI4BbaW4oSaQjc8SBSlEiFIkX9L2oQmURUokQW0mgIrIZPiRJZRFOioRc1mPwErn5QJboZ81cE5jZSiQtcn1qJhl7UYHKTfnsItz4l2r+gDY/08b4x3CrR3GWMbxTlVGoMjGB0JcokInBPUiUa541hpnEMbpx9RSiThsATC0SoryKcyYSkQT1vDDOZxNOgTBbSOAishkeDMllE06DBN4apDAVufkgVWm6G/JWBuY1U4gLfp1ehoTeGqeyk3x/CrkeHAkva8EhH7m30VHiWwSkdWdKld+jeRi3ertf4qrdxJzuVJs0xkw7R26iFaEQQAXh27tHdUTa6+tvWzi9Wv169nIxWP1+9XH3x9dFbb+cu9DM1erCPZAihq0QI9oxIBKy39VGLsStPOa2PWnSSxhDAflnquUOYqxFGaX9M06p1/U7kD/TIwZA6cAekGi4YU4UdkOVuumMZmO6oRg1GVpEW79q7/e+3qmqSO93XqR47GMLkbZC1MaXJJqmnF1IN2AgBw/vEGvFkC6wDeKEHDMYw/YElNekkd6I+16MG45qsFzLPy9xztnpHDxUMb4JeyHI359HvMC70iCUhT7Ml8mmSlukkcWZTGjVuTkNkkmdZkdaTytMWqUYLxj5pW2RpRz66vcRSB/Z40zGe29T20JzKeKIE46djiEQE93ToqTtyOoZoHIMbBz+crj5wm2Rk+0mv/8EeVl+sPlr/w7pp9ENbPGULqe6O2n/xnat3J6P7l9OyPr07uvrB+j7jXXth8fG6/uq6uurqL9s//tv21+3f+Zv2P9b+R61N77T/W5uz/SXbuPrp1V+3B+P2vzNKptf/uv3xxXVPq/2LJi6zz6hmF1yhDnGqJjKJnD4iMomYPiKykF5fA6uRWWWbu6jMqVQi55A8lUxUhoLYJDq39uWQNkMNy8CcSipxgQPUH8mCOSQmO+lHiLDryyH1L2nDI33EVfWecthWPGdSY2AE44tnIhGBg5KK54hV9UwLGdxCuIJ20ZhRaQgcskCReqvqmVRIktTpRu5TmUSUpEQW0mgIrEZW5ZO8clGZU6lEk6RJMUmcG+4Bl5/A3w8qSDezDcvAsEoqcYH/0wvSdlF9GQImN+kHiHDrk6P9C9rwSB/x2yKJr8mzzKXGwAjGl6NEIgL3hMpR8tsiTGsY3Bp7S08iDYHrHUR6EqlQpKf/bREmlYjak8hCGvqA5ag8r5TOqUSiKc/A8yJUfgLXPqjy3Iw3LAPzKqnEBe5PrTwDz4tQuUk/P4Rbn/LsX9CGR/qIH1dOvE2dRmoMjGB85UkkInBPqPKM/Lgy0zoGt87eSpRIQ+CKB1GiRCokJep7XJlJJaISJbKQhkJgOXJf1npOZRJNigYeWKbyE/j6QaXoZsRhGZhZSSUu8H9qKRp4YJnKTfr9Idz6pGj/gjY80pH7On1Z9iJIL+3SO3hfpxJv12d81de5E55Kk+aYSQfp61RCNCKIALxwX2fidJwzNXywKUagdb0lqEqEYAMMLmFDjZ1KjGDny77aVIlO0uUC2C/Na+/1pxLhETR2apGDMXXoxk4tXDCoShs7d6Mty8BoSzVqMLSKpHjX3qaosizxvE5xqscOxjB5Y2eZZ9PCTDJfY6cWsBEChveJNeLJFlgH8EIPGIxh6vNKuLFTixqMa0M2dmqhguFN0ti5G3LpdxgXesSSkKfZElmS1GX77WUu3I0aN6mxM0lyU5eT2rjQXurRgrFP3Nhp5126vcRSB/Z4UzKpt7EzPHXpFk+UYPyUDJGI4JoOPXbHTskQrWNw6+DHUxeNGZWG4EpScEz1p2SIVGKnZIhUIqZkiCykV8LAcmTlJCucCzKnUjmKnAyTn8DZiw6CwSt8y2lzhR8YekklLnCA6jNOKCfD5Cb9ABFuwQU9Rxa04ZE+4sL01NsnWUmNgRGMr0WJRATuCdWi7MJ0ojUMbo29tSeRhsD1DqI9iVRI2tNbmE6kElF7EllIQx+wHNaFl84FmVOpRNOeodJ0Jj+Bcx9Ue24GJZaByZdU4gIHqNaeodJ0JjfpB4hw69Oe/Qva8Egf8RsdqbcpspYaAyMYX3sSiQjcE6o9D/FGB9FCBrfQ3nqUSEPgjgfRo0QqFD3qf6ODyCSiHCWykEZDYDXSuprUzgWZU6lEk6OhNzqY/AT+flA5upmWWAbGX1KJC/yfWo6G3uhgcpN+gAi3Pjnav6ANj/QRv7ec+jolq/AMJocxMILR5SiTiMA9SeVonPeWmcYxuHFwJSp/b/nVR5bTafr/Z+9flyQ5jnNR9FXK1i+wu6ssb5EXLtMPYNSYU4Pp7kJn99IiCJqsr1s0iaBMJPc+ZseWGQEQJHVICrzuRQNIggB1tmSms/YZXIYYXGbwCtWvsJ/kRGTdprMjIj/3So8u7EVKqOlr9fd5RLp/Hu4Rce2Q5U+Xi8iLLocng+adP1ulA2KHLkvanhA+CPLZ1fEuyURIPTsOXZZkEk49S7KgBm9gNJIiG0WORntJKsHUs/fQZVGGhADVp34uF7c8lp6LO0WJExwgXz/7Dl0WZUd9CBF2HQoaGNJajnTgDZ6OJdrSf9dK2qZ32xs8uXjbXuMvGzxXgplp0gwzaR8bPLkQFQkiAK9jg6d10u6y4YObY/qQu0yE4EYYiox1bvDkYmyLVJkNnlx0lN0ugP0SLcsyG8IxG+Htb/BkIwdjas8bPNlwwaBK3OBZrm7uLD03d7JRg6GVJMZvbPDM0iquRrF1guzxsYMxjLHB02zcKpw3d7IBKyJgeJ4YI24vgbUAH/ABgzGMn7H4NniyUYNxrccNnmyoYHgjbPAsVzd3uh3GIR8xJeRxpoR2zspY2uosajZuoQ2eUZ4XSeS8uZONFox91A2epbm50+4ljnlgN7eSlLo2eJYJjSdKMHwlSZAIYaEOTbsDV5IEjaNw4+DZKb2S5Lq5s1TT3z1dVfqwqQm9Pn1/thIhVT4SNDhh9bSPfFqQSeDykSCTgOUjQRbUlWtgNBKzGcAqX8aiVDakfCTJkBCVSBlrV/loccFj6bmzU5Q4wQHykzFv+UiSHfUhRNh1lY+6h7SWI73B+wFS117UMqUaAyMYXjYLEiE4KKpsDrgfQNJCCrcQrp1tNHZFaRAcMkGROvcDSFIRkqRWN3JXlElASSrIghoNgdFIynwUlTYqY1EqwSSpZz+AKD+Cv+9VkC6ueCw9d3aKEif4P74gde8HEOVGfQARbl1ytHtAaznSG3w0SuranlpmVGNgBMPLUUEiBPeEylHho1EkraFwa6wtPQVpEFxvL9JTkIqI9HQfjSJJJaD2FGRBDX3AcKhqZF0qHIsSCaY8PQejiPIjuPZelefiisfSc2enKHGC+2MrT8/BKKLcqI8fwq1LeXYPaC1HeoMPiE6dO1EV1RgYwfDKU5AIwT2hyjPwAdGS1lG4ddZWooI0CK64FyUqSEVIiboOiJakElCJCrKghkJgOFI1sl9uMBZlEkyKes6HFuVH8PW9StHFFY+l585OUeIE/8eWop7zoUW5UZ8/hFuXFO0e0FqOdOAtnS5xmXvpZW16t76lk4m37TP+sqVzJTyZJs0wk/aypZMJUZEgAvD8WzrtOfwuGz64HYagdZ0tqEyE4NYXXML6tnQyMYJ7XtbVpkx0lP0tgP1y142dXHwbsKGTixyMqH1v6OTCBUMqdUPn6sbO0nNjJxs1GFhJQvyGU0iruBillQ36Hh86GMDo+znjMq5y532dbLyKiBeeJcaG20tgLcAHfMBg/GLnKv7tnFzUYEzrczsnFyoY2ijbOVf3dbrdxSEfMSXccaZEkafVqLDauWajltnMmRRJlY0yZcN6xMcKRj3yVk5zV6fdQxzzwG5uKSZzbuX0XxZ1gydKMHwpRpAIYXkOTbdDl2IEraNw6+BpqY3GrigNwlIkIT11l2IEqYQuxQhSCViKEWRBXQqGhqOyj8dYlMlGlGIk+RF8PSkD9K7cG06LlXvPVZ2ixAn+j53e+Eoxktyozx/CzTugE2RAaznSG9yPnjm3R5ZUY2AEw0tRQSIE94RKUel+dEFrKNwaa0tPQRoE19uL9BSkIiQ9nf3oglQCSk9BFtTQBwxHPFL28RiLMgkmPX0N6ZL8CL69V+m5uNix9NzUKUqc4P/Y0tPXkC7Jjfr8Idy6pGf3gNZypDf4ZI7MuRWyohoDIxheegoSIbgnVHrexskcghZSuIXWlqOCNAjuuBc5KkhFRI66T+YQZBJQjQqyoEZDYDSKUWodjrEokWBi1HcuhyQ/grfvVYwurnUsPfd0ihIneD+2GPWdyyHJjfr4Idy6xGj3gNZypDf4dOXMtTuy8l+5ZDEGRjC4GJUkQnBPVDEa5nRlSeMo3Djr6lBJGgRPTNChroZxSSZCMtRxZrEkk3AyVJIFNQ4Co5GPCkefuiSRYDLUe2KxKEOCp+9TiFaL2xErz4WXosQJ7o8vRH0nFouyoz6CCLsOKQoMaS1HOvDuSGWjp8Wl/4oS1aZ327sjuXjbXuMvuyNXypNp0gwzaR+7I7kQFQkiAK9ZSf7D9I9mqP7T9N+mv20Wmf8w/eX0P6a/aUw+/UgP9+py+Yezy0HeN9+6+on5rdnAxNVIe9okSvLBM83U+XiUZV8ZDZ5/IRsN+ru4pKj2nr635OMG28P5YrmG+KCX60sG13tGvto0jTSNIR83sO/sDtL0KRzWvhFtIw2uARZltmmwy54G4C6dPpIGJkJwRw4lGXDuMuVibEt9mV2mXHSUbTeA/TKVjVLrNByzIYpsNL2hccbP7x4eHhzOVU59vPeM1qXJjn5JzUtmXtRXTEgwTIzw2Yms2ucenyioZXrel8qGC4oZ4r7UanXRaOW5aJSNGpQ0fSRBhszW2ENjj08DlBHde1Qd2A3sresD4WKxz2ehiCzgeWQsu70E1gJ8wAcMxkQ4kwT8UG38UG38UG38UA36oQmfJBhWe9zoyoYKRlfCRtdqdW+p+8E95COmRFzWDFrm6X7fU7Mp9LPrtdvvLAbAxeCIzwCMtNS9sJW51tTuc455YDe38KZce2GrhMYTJRi+8CZIhLAciy6uBC68CRpH4cYhrEF8yVYHbGbfFTU7YaW8j5xfkEngQqEgk4CFQkEW1CoFMBpZVY2KIrNxGYtyCVgrLJJRZH167skyJASnPtLkZbK8uAqz8txuKkqc4AHhDI8wrBNZdtSnEGHXVSvsHtJajvQG76FQru27VUo1BkYwvHoWJEJwUFT1HHAPhaSFFG4hXELbaOyK0iA4ZIIkde6hkKQipEmtbuSuKJOAmlSQBTUaIqORp2qUJy5RKkgmmCiN81Fa2vjdk+VH8Pi9StLFdZiV535TUeIED8iWpM5Bnchyoz6CCLcuQdo9oLUc6Q0+T0a5NvVWGdUYGMHwglSQCME9oYJU+DwZSWso3Bpri09BGgTX24v4FKQiIj7d58lIUgmoPgVZUEMfMBxxnI5UaR2RsSiXYOIzi0ZzHjfFpyQ/gnfvVXwubsSsPFecihIneEC2+HQO6kSWG/UJRLh1ic/uAa3lSG/wudrKuYlXUY2BEQwvPgWJENwTKj4Dn6staR2FW2dtMSpIg+CKexGjglSExKjrXG1JKgHFqCALaigEhiMv9XhY+yXGolSCadG8ct5LJcqP4Ox71aKLKzErzx2nosQJDpCtRZ2DOpHlRn0AEW5dWrR7QGs50oF38Vo33Gt1mXvp5W16t76Ll4m37TP+sot3pTyZJs0wk/ayi5cJUZEgAvBEd/GWzS7eOOJs4326O1e/67Xu3E+Xa+KLXOXJoHnnFcw+unWD7eVlTgZw3xIhdXD29TIRgpuO8IzAt5eXiRHcbbSu1Geio+wsAuyXFI6z1cZshLe4lbcwG3hL81Lt7BVRtNhCl/u38nKJgoKm7628XLigoqFu5V1dMVt5rphlowZ1TR95kCGzNfbQ2OPTALXEOlt5863rA+HZystloYgs4HlkLLu9BNYCfMAHDIZEOJkE/FBt/FBt/FBt/FAN+qEJnyQYVfvcysuFCgZXylbe1Z217gf3kI+YEnBZM2iZrPt9T82mIL2VN9+6PgCerbxcBmCkJW/lNdfa2n3OMQ/s5pbfcudWXv/Fajd4ogTDl98EiRBWZNEVltDlN0HrKNw6+EqEjcauKI22WPDQIOTQ7vKbIJXQ5TdBKgHLb4IsqKv/wHBk2rdbY9dYlMlGVN8k+RF8fR9Z5zL3XNyCWnmutRUlTvB/cMIED+pElhv1+UO4eQd0ggxoLUd6g7ch5M59sSXVGBjB8FJUkAjBPaFSVHobgqA1FG6NtaWnIA2C6+1FegpSEZKezm0IglQCSk9BFtTQBwxHXo5cylOQSDDl6duDIMmP4Np7VZ6LS1Arz622osQJ7o+tPH17ECS5UR8/hFuX8uwe0FqO9AafyJI7N8BWVGNgBMMrT0EiBPeEKs/bOJFF0EIKt9DaalSQBsEd96JGBamIqFH3iSyCTAKKUUEW1GgIjEZVFqPSGtnHolSCyVHfeSyS/Aj+vlc5urgGtfLcaytKnOD/2HLUdx6LJDfqA4hw65Kj3QNay5GeLYSW1VmWJMocJni2Mcdr544tsUXkv1nNps0hgqHlqCgRgnuiylH4eO3Dv4nYx2uLGkfhxsGV6Jeya99m+11R2xPCB0E+O3rxRZmIqOfIcca2KJNg6lmUBTV4A6ORFKPMLp5FmQQTz0mcZI704J4sQ0J86lE+a04ztTX/wEZ8T5Y4wf+x5bNnWCey7KjPIMLOL6CRIa3lSAfex1vY6GlJ7L9Zp2jTu+V9vGy8ba/xl328K73MNGmGmbSHfbxsiIoEEYAnsI+32bubcPbuui7ZKdX0d09nBB82ev51A6IX6d/Lht1Vd8sgygbP6Ofi6vVmupu/8/nMlJ+ax8j8Watv3mVPC3D7Uh9ZBBMhuPcIzw7cO3rZGNvaX2RHLxtdW0+suaO3zEeFdYzHbIS3tqO3iBKzjzc1L5l5mV+KqZn4dvTyiYLSpt8dvXy4oLah7ejVcBY7eud2tqG+z0cNKpw+ciJDZmvsobHHpwGqCv6OXoP9+kA4d/TyWSgiC3geGctuL4G1AB/wAYMhEU4sAT9UGz9UGz9UGz9Ug35owicJRtX+dvTyoYLBFd/Ru/I/L3oe3EM+YkrAZc2gZdru9z01m4Lsjt6V31kMgHNHL58BGGmJO3rN3FmCaoE95oE1aLGryAwf5yKJZ5WIvVDi2NFbzC+eg3miBMNXDwWJEFZn0bUWcvVwnct5RY2jcOMQliS+NOsGNoPvihqcsGTeR7IvyESkZOi6lleUScCSoSALarkCGI1KjdLKtcYgSCVczdBzK68sQ0JU6iM/XmbJyaLA5L6VV5Y4wQHCqR1hWCey7KgPIcKuq2bYPaS1HOkN3gNSOHYf6/yeagyMYHjZLEiE4KCosjncHhBRCyncQrh2ttHYFaVBcMgEReraAyJKRUiSWt3IXVEmASWpIAtqNARGI42TUezUpIJcgmlS9yYQWX4Eh9+rIk0X8sV9Ka8scYIDZCtS9yYQWW7UJxDh1qVHuwe0liO9wafhFI49ycX8eHiCMTCC4fWoIBGCe0L1qOxpOKLWULg11taegjQIrrcX7SlIRUR7Ok/DEaUSUHwKsqCGPmA4kniUW6P4WJRJMOnpPg5Hlh/Bt/cqPbOFUnFfyStLnOD/2NLTfRyOLDfq84dw65Ke3QNay5He4DPBC+f+Y0U1BkYwvPQUJEJwT6j0DHsmuKh1FG6dtaWoIA2CK+5FigpSEZKijjPBRakElKKCLKihEBiO2HSZu7SoIJVgWtR9KLgsP4Kz71WLqoV0cV/JK0uc4ADZWtR9KLgsN+oDiHDr0qLdA1rLkQ68ldfqiLS6zL30yja9W9/Ky8Tb9hl/2cq7Up5Mk2aYSXvZysuEqEgQAXh/2cortJW3+XvaBIbY61c/GGpSejKbxf7p450Bb6Mvc9KAu5oIKYaz95eJENyShGcOvo2+TIzgXqR1UwImOsq+I8B+SZmNnB0PTIi3uNO3MPt7S/Ni7u6No8UOO+/dvXyioPLpe6cvFy4ofag7ffPVTl/33b181KAA6iNhMmS2xh4ae3waoOhYZ6dvvnV9IDw7fbksFJEFPI+MZbeXwFqAD/iAwZgIZ52AH6qNH6qNH6qNH6pBPzThkwTDap87fblQwehK2embr3b6uu/u5SOmRFzWDFpm9X7fU7MpSO/0zbeuD4Bnpy+XARhpyTt98+0lqBbYYx7Yza3Tlc6dvv7b427wRAmGr9MJEiEs3aJLMaHrdILWUbh18CULG41dURptseChQUii3XU6QSqh63SCVALW6QRZUMsEwHBkyaiwd36PRalsRJ1Okh/B2feRdi6Tz2JR1nFf3itLnOAA4YwJHtSJLDfqA4hw8w7oBBnQWo70Bm9XKJ3bZ0uqMTCC4bWoIBGCe0K1qPR2BUFrKNwaa2tPQRoE19uL9hSkIqQ9ndsVBKkE1J6CLKihDxiOQnvy1MZkLMokmPT0bVeQ5Efw7b1Kz3KhVNy398oSJ/g/tvT0bVeQ5EZ9/hBuXdKze0BrOdIbfHJL6dwpW1GNgREMLz0FiRDcEyo9b+PkFkELKdxCuBydvjWzyGD60fQzswy86ph7NHjhlZPvXQ6m/7rqOxo81aPUGPOB1umvDu5Eg0QNXJpwV9QsBPfei7wVpCIib90nwQgyCahuBVlQoysyGlGiRkXsaowSJBNM4PqOgpHkR4ggvQrcaqGH3PcByxIneEC2wI2rUWqdtBNZbtRHEOHWJXC7B7SWI73BJ3qXrv24sf9uN4sxMILBBa4kEYJ7ogrcMCd6SxpH4cYhadsvyfYBm8F3RQ1OiBkE1ezq6pdkIiSaHSd6SzIJJ5olWVAjNjAaaZyOMpdmluQSTDN7j/QWZUgIS32q5nhxZ2zsuQZYlDjBA7JVs/dIb1F21KcQYdehm4EhreVI6/994789pbOcwvg7F2ff/ea3X7EYgqWLUxtPLYl9l/moTLV5ujYRu9FS1O5qH7EV7nNsuO1p5jEuqGn/ZAr/zUrsJ00LwAdmCfaLpjf1SbON93HTwmo++kDrqOXXrn5y9UZrE6SNqpax8VfHbL433KWb8HrecrbtLDYXTMZm71liPkrMR6n5KDUfZeYjjXWvUJF5MXdQKvMNZfao5bF5yfVLYT4qcpeT5Zoio5sC3wJg+O8b/vuG/77hv2/47xv++4b/vuG/b/jvG/77hv++4b9v+O8b/vuG/77hv+/iv8/nr+j88Q0Emv6BoX9g6B8Y+geG/oGhf2DoHxj6B4b+gaF/YOgfGPoHhv6BoX9g6B8Y+gcu+gd8+vijzw8ws01PsbneMDY7nxLzUWI+Ss1HqfkoMx9pnLUxQ23MUBsz1MYMtTFDbcxQGzPULjPUbDPc2AHTYQbaE3BkuB8Z7keG+5HhfmS4HxnuR4b7keF+ZLgfGe5HhvuR4X5kuB8Z7keG+5GL+xGfOx5aidtnNPVjQ/3YUD821I8N9WND/dhQPzbUjw31Y0P92FA/NtSPDfVjQ/3YUD821I9d1I951JvpP6NuwvXXfWqjzyNLUtc+m3lq5GJx40CWICeWmH+tyvc5Nt528F3zxJJ/10LjdbN4Zv5dNCjazix5OD87ZCUtzCEmr+ufeGSOJDFFUbP28+rVm/NP9ds0nYwfmXLyrNfRHIHRbLaZHURi1qOu7dGZH1diOzBltnVnvpA0Mn/tA612fjx9OEi863VMK7fjuuAhJlyIigQRgNc+xMSsGz6eL8895B5iMv2Vnh9fzCZMs7poDpyxzriBfqPZQR6Pr14fNLPhs5ms3ZlNpcU8fDwTvqZa/2SgosiyyGgmkinG6++MBvEwHVz9TH//wfTP00cvv/yKbRx22ePQzqHlzgXhIgQ3MFNWBp3ngnAxttf9ZM4F4aJr67w1zwXJompUWrPQMRvi7Z0LEqcmQTOJV2zysDif78ePE++5IGyioLzgnAuicue5IGy4oMAgngsSJ8tzQWLn7XH3+ahBmbFegr9cCE22xh4ae3waYBxnJOeL/fka+/WBcJ8LwmahiCzgeWQsu70EdjMv5gIGYyK8pgz4odr4odr4odr4oRr0QxM+STCsUs8FSTOHD3qRDxWMroRzQZb+50XPg3vIR0yJuKwZtFyx9/uemk1B+FyQpd9ZDID7XBA2AzDSEhc2zNxZgrq5GsEB20yZ0zhW0WU2vKjOkmF2WiXDkzwuhmlxenZ6kqgiPb2c8XEuVHzrpN9+oeZfG81nizil0UT52ZY0PLQoyxo2Is+JEiHUZdda7/jweo46bxRyN8bP2mQ8jfE7gzQy7dODZ54b71mfyjuihlO44fD1ARuNXVEahPI0Ib12trVLUgncoSPIJGCHjiALam8AMhpxUkSj1L6RdizKJliPTuE4z/SeLD1CIOgjI13mpYsLMWPPDaeixAkeEE6mbm7HGBXWxaiJLDfqI4hw8w7oBBnQWo707Pg6lUZZFlXD86g6Ma085bCMLvJhFKlI5WUZV2qu34LKVOtTrWVqRrUFxi+8TBUkQvBOqEx9tymFGHE6L3p82tRdmi9p/flwXkyJk0iLGS1Wp5/rHPDqTXMW+vST5vfU1RvKUxcTNIfCzbG2+BSkQXC9BPHprO0IMgmsPQWZBNSegiyogQ8YjUxFozJ2lZQEuQRTnomW1pmN3z1ZfgTn3qv0XFyIGXtuOBUlTvB/bOnpHNSJLDfqE4hw65Ke3QNay5FupGdypk71T+ufOL8059nF0bA6UafD6PRMf6FUmdarL4eXnlavpaWnotoC4xdeegoSIXgnVHoud/+ZXq3ZJj2jKz9dbNRrjqqbvjP9XWytUt0R5atwvmtrS0EaBN9K0Jamc+7D0cCu+Z8XJSQjMW087oryCCgwBVlQwxswFt6WJUEqwfRlXI5yqxS5J8uP4MF71ZeLSy5jz62losQJPpCtL52DOpHlRn0AEW5d+rJ7QGs50o2+LPMyOSvOi+FpWkTDLDe7FM+y02FapVF1WZ2cpBehj6Qz/1ongNaXOdUWGL/w+lKQCME7ofry5sUc019Mf9Ncl/n74fQt809TTH9r+l4jNW2k74iSVjjptUWmIA2CgyWITHf1XJCKiLx0n3ksSSWgwhRkQQ1wwHDEUTLKlPXQtLEol3ASM4pHeW4jeE+WIMGL96ox84Uk8Vz5KEqc4AL5GtM5qhNZctRnECHXJTK7R7SWI21Upk889rvPNLGx07LRf6FI1WZ36/tMmXjbPuMv+0y9+0yZVs4wK/eyz5QJUZEgAvA2YJ+p2Vj66dXri46J+UUr08+vXt8xO09Ns+8X+vVHZiPqI9Pk+6vpO71uQrWM0C57hNpRTnAHKhMhuFUG1+6+HahMjOAemXVFORMdZT8MYL8sc1w2OGYjvMUNqOZO+tic95OYM4CSeLHxq/BvQOUSBXVH3xtQuXBB5UHdgFqsNqA671+7z0cN6o8+8hVDZmvsobHHpwEG+HU2oBZb1wfCswGVy0IRWcDzyFh2ewmsBfiADxgMiXDSB/ih2vih2vih2vihGvRDEz5JMKr2uQGVCxUMrpQNqMVqA6rzwT3kI6YEXNYMWubUft9TsylIb0Attq4PgGcDKpcBGGnJG1CL7SWoFthjHthGhl+WUX55Hg0vk+hymJ3llTmfsxqeXVxkUZ5enkTZ/Il1rmB4lnC4qxjODagljSbKL3z5S5AIYeEUXQi5Wf6yX0g/u17obZ0sm72lv53+Tv/3+/nO1PuToYoH05/bDHJH1CAKNwi+IGCjsStKg7AuTMia3aUxQSptEeChgqfX7qvoJakELI0JsqAuywPDkY9y13WgkkyCFcaqaJRYC3/3ZPkR3HsfeeYy21zcHhl7rgMVJU7wf3CKBA/qRJYb9flDuHWVxboHtJYjvbm9/YmziFZRbYHxCy8+BYkQvBMqPtfv7Rfkq3C+a2tLQRoE30rQll29/YKERBSmq7dfkEdAeSnIghregLHwFYMEmQSTl77Wfkl+BAfeq7xc3N0Yey7jFCVOcIFseelr7ZfkRn3+EG5d8rJ7QGs50pt7aonz4qHEf8GSTWpD/ILLS0kiBO+EykvpU0skzaFwc6yrPiVpEFwvQX26+oEkmcjITtepJZJMwglPSRbUwAeMRlaOVK5sVMaiVIIpT8+hJaL8CL69T+WZLG4/TDwXWooSJ7g/tvL0HFoiyo36ACLcOpQnMKC1HOnNPdY5cW0qTXx3aVltgfELrzwFiRC8E6o8N+dYZ0nDKdxwa2tUQRoEJ03QqM7quySVwCJVkElAkSrIghojkdFI4mwUu051liQTTKa6T3UWpUeIA72q1HghamKPSpUkTnCAbJXqOdVZlBv1CUS4danU7gGt5UiH3ZXqWvFMfOyyqM3utnelcvG2XcZfdqX6dqVyrZxhVu5jVyoXoiJBBODJ7Er9P/SvfG62i+pff+zbl9qxtXSwzEtmO1H1D3xk5pDZymrymGYGmd2qXzRfeG0xnR7pX1xMlae+9wjfqeq6LpU7cO3YJ7dZlYsQ3FZD0fPOzapcjOB+mnWVOhMdZe8MYL8sHWXWzRpjNsLb26yamNtSE3NbamJuS00WtxQm/ttS2URBOdLzZlU2XFCQEDerJqvbUhPPbals1KAs6SOLMWS2xh4ae3waYNxfY7NqsrotNem4LZXNQhFZwPPIWHZ7CawF+IAPGAyJcCoI+KHa+KHa+KHa+KEa9EMTPkkwqva4WZUNFQyuhM2qyeq2VPeDe8hHTAm4rBm0TLX9vqdmUxDerJqsbkv1+50jPgMw0lI3qybmtlS7zznmgTVoz6rTKE/yfHh+XiXD7CQqh9VldDo8L8/Ozy/KIs7P55PKubDhWdnhLm64NqvOdz/BNFF+4ctqgkQIy6nrrI/obLOV0+4s1kKaj+cls99O39b/zY5wndxx7SeQtIfC7UFYJsBMMqiPDo9fODo+HDz7wn959mj3BRv9XVH6hEVmQrLtrrIJUhGqsll3p90VZRKwyibIgrrGj4yGySZduxAkuQQrsuXuIpskPUJU6CM9XSapi5s2E8/VqaLECf4PzqxsRbbMxm0iy436ACLcuops3QNay5He3E0IzoNik4xqC4xfeM0qSITgnVDNKr4JQdAcCjcHLlltNHZFaRBcL0F6Ous8gkyElKerv0uQSUDlKciCGviA0ciKUWk/C2wsSiWY8PRtQpDkR/DtvSrPxUWbiefmVFHiBPfHVp6+TQiS3KgPIMKtS3l2D2gtR3pzT1dxN4Mpqi0wfuGVpyARgndClefap6tI8lU437WlpSANgm8lSMuO01UkCckoTBuPu6I8AupLQRbU8AaMha97SZBJMHnpOV1FlB/BgfcqLxf3bCaei1NFiRNcIFteek5XEeVGff4Qbl3ysntAaznSm3tydOrc45pTbYHxCy8vBYkQvBMqL+VPjpY0iMINsrb+FKRBcL4E/emuqgtSEVGe7pOjJakEFJ+CLKjBDxiOfKQSazIwFmUSTHx6To4W5Udw772Kz8X9m4nnRlVR4gT/xxafnpOjRblRnz+EW5f47B7QWo502K2rLjlZeNnFbXa3vnWVibftMv6yddW7dZVp5Qyzci9bV5kQFQkiAO92t65en1r6xUyHx+bvXL3RdAbP5tLjqzfNWzy97fTBbLI1eB9OP9UT5ydmypi/O5uDeoJqtLO+jUf6t/PZXthnmr/WMFwgu/62872sX9kxd70+nH7c0NVIXm3m52v6J4ZP4W7+VjP79TTG978yR78dQAX3vzIRgjt18JzAt/+ViRHcorOu2Geio2zHAeyn0lGR2xCO2Qhvcf+ruaw1MZe1puay1nRxSWLiv6yVTRTUNH3vf+XCBVUNdf/r6rLWxHNZKxs1qG36SIUMma2xh8YenwYoHtbZ/7q6rDXpuKyVzUIRWcDzyFh2ewmsBfiADxgMiXA+Cfih2vih2vih2vihGvRDEz5JMKr2uf+VCxUMrpT9r6vLWt0P7iEfMSXgsmbQMl/3+56aTUF6/+vqsla/3zniMwAjLXn/q7ms1e5zjnlgN7bkljn3v3rvDrtJE+UXvuQmSISwJosusgQouQkaROEGwRcbbDR2RWkQlpwJWbO75CZIpS0CPFTw9NpTchOkErDkJsiCuuQPDEc5iuytM2NRJhtRcpPkR3DvfeSZy2xzcbdn4rmsVZQ4wf/BKRI8qBNZbtTnD+HWVXLrHtBajvTmbifInBtZK6otMH7hxacgEYJ3QsXn+tsJBPkqnO/a2lKQBsG3ErRl13YCQUIiCtO1nUCQR0B5KciCGt6AsfAVgwSZBJOXvu0EkvwIDrxXebm42zPxXNYqSpzgAtny0redQJIb9flDuHXJy+4BreVIb+45KZlrt2rqvT7MKrUhfsHlpSQRgndC5aX0OSmS5lC4OdZVn5I0CK6XoD5d/UCSTGRkp+ucFEkm4YSnJAtq4ANGQ1WjOHUoT0kqwZSn55wUUX4E396n8kwXd3umnstaRYkT3B9beXrOSRHlRn0AEW4dyhMY0FqO9OaeKp25dh6k3ivBbLbA+IVXnoJECN4JVZ7YEcprnCotaQ+F2wOXnqBJwFOlJekTfDZBsjqL8ZJUhDSrtYx2V5RJQM0qyIIaMoHRSLK4spe1xqJUgmlW96HSovQIQaFXybq46DP13NwqSpzg/tiS1XOotCg36vOHcOuSrN0DWsuRDrv9VdnYaRGaeNklbXa3vf2Vi7ftMv6y/dW3/ZVr5Qyzch/bX7kQFQkiAE9m++uv9Pz4YjZh/rL59UaGwRx7cKcPIXNwLnYzEYLbdCgJgXPzKxcjuD9nXanPRNeWEWtufo1LnVK5JDwT4u3tfk3N7a+puf01Nbe/potbF1P/7a9soqCk6Xn3KxsuKGqIu1/T1e2vqef2VzZqUNr0kQkZMltjD409Pg1QO6yx+zVd3f6adtz+ymahiCzgeWQsu70E1gJ8wAcMxkQ4nQT8UG38UG38UG38UA36oQmfJBhWe9z9yoYKRlfC7td0dfur+8E95COmRFzWDFqm637fU7MpCO9+TVe3v/r9zhGfARhpqbtfU3P7q93nHPPANlPmNI5VdJkNL6qzZJidVsnwJI+LYVqcnp2eJKpITy9nfJyLI57VIe4CiWv3a5rSaKL8wtfpBIkQlmTXWmP58HpePN/kOv1Tk6X+QP/3Q/3f92ffNplwk6KaxZHB9J3pb6dvDZstsqaW9+smcX9vZ5BGpgA0eOa58Z71qbwjajiFGw5fk7DR2BWlQViZJqTX7sKcIBWhwpyrmUyQScDCnCALamEAGA0VRdEoUjYuY1EuwSpzhbsyJ0mPEAb6yEeXWenidtDUc92rKHGC/4NTKVtlLrVxm8hyoz6ACLeuylz3gNZypDd3G4Ny7ZKddxkSbIHxCy9SBYkQvBMqUsW3MQiaQ+HmWFt6CtIguF6C9HRWdgSZBFaegkwCKk9BFtTAB4xGYoRnZJ1bY1EuwZSnbx+DJD+Cc+9Vei6uB009972KEif4P7b09O1jkORGfQIRbl3Ss3tAaznSm3tAi3LuoFVUW2D8wktPQSIE74RKz7UPaJHkq3C+a2tLQRoE30rQlh0HtEgSkpGYNh53RXkEFJiCLKjhDRkLX8OSIJVg+tJzQosoP4IH71VfLu4HTT0XvooSJ/hAtr70nNAiyo36ACLcuvRl94DWcqQbfVnmZXJWnBfD07SIhll+cTmszrLTYVqlUXVZnZykF3P/GlRfWieA1pc51RYYv/D6UpAIwTuh+vLm6dPTX0x/M31v+ofp74fTt8w/TSn9rfmGWBvpO6KkFU56bZEpSIPgYAki0107F6QiIi+j0fz+65sKU5BKQIUpyIIa4IDhyLSnVtYBGYtSCacwo3iU5zaC92QJEpx4rxJzcQto6rnWVZQ4wQPyJaZzVCey5KiPIEKuS2N2j2gtRzrsxlbrkGrVWHjZpW12t76xlYm37TP+srHVu7GVaeUMs3IvG1uZEBUJIgBPZmMr817Xj2ZzYLa1dWC+YuZFM5c0goddm13nu1I9e09tg7HLHox2QBPcacpECG6JwVW6b6cpEyO4F2Zd+c1ER9n3gtnPWmAbswHe4j5Tc8tqam5Zzcwtq9nidsPUf8sqmyioMPreZ8qFC2oM6j7T1S2rqeeWVTZqUGn0kZkYMltjD409Pg0wlK+zz3R1y2raccsqm4UisoDnkbHs9hJYC/ABHzAYEeH0DvBDtfFDtfFDtfFDNeiHJnySYFDtc58pFyoYWyn7TFe3rLof3EM+Ykq8Zc2gZfbs9z01m4L0PtPVLat+v3PEZwBGWvI+U3PLqt3nHPPAbmydK3fuMy1pNFF+4etcgkQIS6TokkdPdS5B0gonjaf3Nhq7ojQIq7yExNhd5xKkErrOJUglYJ1LkAV1kR0cjtLGZCzKZDPKXJIECT68j2RymVIubt5MPVepihInOEA4D8JHdSJLjvoEIuS6ylzdI1rLkd7cVv3cuUu0otoC4xdeYgoSIbgnVGKu36ovyFfhfNdWl4I0CM6VoC67WvUFCYloTFerviCPgAJTkAU1vCFj4a74CBIJpy89jfqS/Aj+u1d5ubh5M/VcpSpKnOAB+fLS06gvyY36+CHcutRl94DWcqQ39wyS3LURNPNf7mWxBcYvuLqUJELwTqi6lD6DRNIcCjfHuuJTkgbB9RLEp6vnR5KJjOp0nUEiySSc7pRkQQ182GikDuEpySSY8PScQCLKj+Da+xSe2eLizcxzk6oocYL3YwtPzwkkotyozx/CrUN4AgNay5He3JtUc9cO0cx/RZfFFhi/8MJTkAjBO6HCE7s2dI2bVCXtoXB74MoTNAl4k6okfYLPJihWZzFekoqQZLXWfu+KMgkoWQVZUEMmMBpZPpofiXBTsgoyCSZZ3RepitIjxIReFevi3s3Mc5GqKHGC92MrVs9FqqLcqI8fwq1LsXYPaC1HOux+U2uTqtagiZdd1mZ32/tNuXjbLuMv+019+025Vs4wK/ex35QLUZEgAvBk9pv+vhn8B81O0NmdMI/Mu812jy4vTNVf/HS20dRcifpq88n7zbL6kwbD54Pp79Iour6t1EyXOJoNv05yftzcPLP4RhK558Uu2+jgLhqCYneuMTMRgltgKELcua+Ui7Ets2X2lXLRteP3mvtK81FiHeIxG+Dt7SvNzP2lWTbfxZX5by1l0wP1Q8+7SdlwQQVB3E2arW4tzTy3lrJRgzqij7TDkNkae2js8WmAgXqN3aTZ6tbSrOPWUjYLRWQBzyNj2e0lsBbgAz5gMA7CuRvgfWrjfWrQ+0z41MAA2uMeUjZUMI4S9pBmq7tK3Y/rIR8xJbay5s0yI/Z7nJpNQXgPaba6q9TvbY74DMD4St1Dmpm7Su2e5pgHdmMrYYVrD2mW0mii/MJXwgSJEFY911nG6LcSJmgPhduDkM2/O1+P+WnbEE+GsyRbZ/EPFkdALc2i8+zEHqd2RW1AWBAmJNfucpgglcDlMEEmActhgiyo6/HIaMTxqLJu8huLUtmEepgkPUJk6CMxXaani9suM8/1paLECe4PzqnaY1qOSqtqmchSoz5+CLWuclj3eNZypDf36JPCtS81y6i2wPiFl62CRAjOCZWt/Rx9Ikla4aRxbWqjsStKg+Bfe5GXglRE5KX76BNJKgH1pSALaoADhiMeKdcJ/5JMgslL39EnogQJPrxXgbm40zLzXFIqSpzgANkC03f0iSg56hOIkOuSmN0jWsuRDttxZV150KJRedmpNrtb77hi4m37jL90XHk7rphWzjAr99JxxYSoSBABeDIdV7/S8+OL2YTxnO//fnNw/5Ppp4NnzAQwI21+7fXWlPvKoJl281nxwMyTZsLMJkbzVneej3cG03efj3WyfaM/K2n2NY9sA7HLHgiw+kxQ8s4uLCZCsIiMC3RfFxYTI1g9Xld5M9FRKsWA/YpilFpXv8ZshLfYhpWbNqzCvJiD/rNq0RKh/A1ZXKKgvOi7IYsLFxQY1IYstWrIct4cep+PGpQZfaQlhszW2ENjj08DjOPrNGSpresD4WnI4rJQRBbwPDKW3V4CawE+4AMGQyKc2wF+qDZ+qDZ+qDZ+qAb90IRPEoyqfbZmcaGCwZXSmqVWrVnOB/eQj5gScFkzaJk6+31PzaYg3Zqltq4PgKc1i8sAjLTk1iy1vQTVAnvMA7uxNa7S2ZqV02ii/MLXuASJENZH0fWOnmpcgqQVThrP7W00dkVpEJZ4CZmxu8YlSCV0jUuQSsAalyAL6go7MBxxNUoT69LyWJTKZhS5JAkSnHgf2eQyp1xcepx5rrEWJU7wgHAihI/qRJYc9RFEyHUVubpHtJYjvbnn+5fOPir/TVkWW2D8wmtMQSIE94RqzLXP95fkq3C+a8tLQRoE50qQlx3n+0sSEhGZrnNWBXkEVJiCLKjhDRgLX81HkEk4gek+4F+UH8GB96ovi4Ua8VxLLEqc4AL5+tJ9wL8oN+rzh3DrkpfdA1rLkd7cA/5L5wH/JdUWGL/w8lKQCME7ofJS/IB/QXMo3Bxrq09BGgTXS1CfzrYfQSYystN5wL8gk4DCU5AFNfABo1GqUZS5lKcglWDK03fCvyQ/gm/vVXku7rnMPDeXihInuD+28vSd8C/JjfoAIty6lGf3gNZypBvlGZ/GsYous+FFdZYMs9MqGZ7kcTHU4vTs9CRRRXp6+XJ45WmdAFp5VlRbYPzCK09BIgTvhCpP62aBD683eP/trFV/+idzjKZZBL36YXMS5pP5eZuzIz6aJu/pO9PfTt8aakE7O/vk100H+ns7gzQyhd7BM8+N96xPwx1RwynccGtrVEEaBCdN0KjuArwglcAiVZBJQJEqyIIaI4HRSOIkH0X2loixKJlgMrVwn2IiSY8QB3pVqYv7MjPPBaiixAkOkK1Szan+1uWxiSw36hOIcOtSqd0DWsuR1v/7xlPyzIjPr/vUaL97Tisb22cL5bt1S2k7tdgG2nOa2CPbc2y8bRey5p7TX179pNk4+EFz0nrrGHZk3+lyG6g5tH2gmv2ffe84tVnwDtuCGWbBPvaTciEqEkQAnsB+0tlYfTyK41IP/r/rzx40q98PF7281yfKdHmiv55xb1xLVfSfs+xafubqZ82+0j/rj83dJToV+crIdAg/mH686N4wv/PZbDfpwLOblDsM7aglt5uUixDc90JR4s7dpFyMbZ0ts5uUi64dvdfcTZoU1ajKbBDHbIi3t51UxTv6JTEv6XwHl4q8O0nZHEHRQN9JGkdR7NxJyoYLygbiTlIVLXeSKucNo/f5qEHx0EfuYchsjT009vg0wAi+xk5Sjf36QLh3krJZKCILeB4Zy24vgbUAH/ABg+EQTuAAF1QbF1QbF1SDLmjC5wcGU9omUp1Q6VzAsYmUDRWMqYRNpEvX86LnmT3kI6bEWdbkWeTGHW6nZlMQ3kS6dDmLAXBvImUzAIMsdROpnjtLUC2wxzywjfo+OSlP09NqWORpNsyiy2p4os70S5TEZxepuiwWLtS58uBZiuGuPrg2kSrfHYoWmig/2xqFhxZlncJG5DlRIoT1T3QB4086k3wyP6/ItPdPP7t60yS3TXP/rP51/6/S6efNh4m6eiNRnjOqJMkrnDye2Nto7IrSICzl4omxOYnKRuV5USoitazI3qN5V5RJuFqWJAvqSjowGqV22aV10WUsSiVcJSsbpY5Slig/givvI51cJpWL+4yV54JqUeIE/wdnQvCgTmS5UR9AhFtHKQsY0FqO9OwiKXVxXkVlNTy9UGqYnZrmrPPTdBhdJmV+kpyfnp6ol8MLTesE0EIzodoC4xdeaAoSIXgnVGg2FY6r156ucDjard5vKimmtaqv9iubAe+IGlDhBlxbrArSIDhrXKy6G68kqYiI1WykbEzuijIJKFYFWVBjJTAacaIqRw/LWJRLMLUaJ6Mkt/G7J8uPEA96VavJQtx4bjgWJU5wgGy16hzUiSw36hOIcOtSq90DWsuRni2LXpZRfnkeDS+T6HKYneWV/tmqGp5dXGRRnl6eRNk8VARVq1avpdVqSrUFxi+8WhUkQvBOqFq9ebae+bRp8TLNVa82C6U/nS2TDqZva7lppOdvp7/T//1+sW46Gap4MP25zSB3RA2icIOsrT4FaRCcby/qU5CKiPqMRiYJv0nlriiVgPJTkAU1+AHDkcWjqnJsTpWkEkx9VtHIfq7gPVl+BP/eq/pcXHapPJeXihInOEC2+nQO6kSWG/UBRLh1qc/uAa3lSIe9Wsp+HpsWlJmHnjmOsEXv1vv8mXjbPuN/4j5/pgUzzIK99PkzISoSRACeZJ9/koTs8//X5qKoR1c/nucoYKc/cyDA1kaCSnd2+jMRgs2JuPj2dfozMYJdieuqaiY6SgciYL800p7f1VnAhHiLnf7KNPnniw7bzN/kz6UHSoa+m/y5cEHNQG3yz1ZN/s4rQu/zUYPKoY9Mw5DZGnto7PFpZEQajI7bbOv6QHia/LksFJEFPI+MZbeXwFqAD/iAwUgIp2uA96mN96lB7zPhUwNDaJ/9/VyoYCSl9Pdnq/5+5+N6yEdMia6sebNMgv0ep2ZTkO7vz7auD4Cnv5/LAIyv5P7+bHsJqgX2mAd2YwtZceRs8Fc0nijB8JUsQSKElU505SJAJUvQIAo3CJ7l22jsitIgLOQScmR3JUuQSuhKliCVgJUsQRbUhXRgODI1KsrURmUsSmUjKlmS/Aj+vY/8cpllqkXhw3MxsShxggOEUyN4UCey3KgPIMKtq5LVPaC1HOnN7frX8tO6pKjlZ041BkYwvPwUJEJwT6j83MC2f0EDKtyAuFy12LC5kWte3pmZY2aCP+r/3pv+Rsv439rI74qSJ/j4XkSuIBURkeveLCDIJKDGFWRBDbHAaMRpkY7mZzzeFLmCXIKJXN9mAUl+hCjSq8hd3KmpPLekihInOEC2yE3ikX0/9kSWG/UJRLh1idzuAa3lSAdu13KtmhZeekWb3q23azHxgkVXVHV+mdu1mBbMMAv20q7FhKhIEAF4Eu1az8z7tQZaIOzol1K/ZIlpqTJ34T4yvVeN8n5q4L868B6jY+aNnlezm870dGhOYTVQ9VdMG9ditv3UfHt2x+5rzfcfmffZMdr+d5rjX0X6F39t3nigZf/1NrJHrQm8Y9KpBzM8+uNP59h08jQwP/tFc6vvbO4/br77gXnPR83fnM/kZt5HkZn4+h0+GiU75p61LzSGP2qAr+qJ/GT60eytHj39yw+v/eog3olNOhftqL9KdhLzDvN73FwdaMy5BdbdCYmHswONiRAsn+P5hK8DjYkRrJuvmykw0VFq5ID9ykqNVO7asMHEeIstaOWi/6Pwd59xmYEKqO/uMy5cUAJRu8+KVfeZ83LV+3zUoBDqI3EyZLbGHhp7fBqgGlmn+6zYuj4Qnu4zLgtFZAHPI2PZ7SWwFuADPmAwCsLZJ+B4atDxTPiswMhJazyLHB7nRT5OMHpSus6KVdeZ8zE95COmRFTWfFnm8n5PU7MpSHedFVvXB8DTdcZlAMZVctdZsb0E1QJ7zAPbpJlldFmdZfkwK1U6zIqLeHhylkZD/YvnRXJxGWXpfEScKyeepSP26omz68x/1eQNnijB8GU/QSKEBVt0AcZ7rGyTAX7RLIf8QOeh379e3jM/Mjtsdkv/fxrNEkmbVe6IWkXhVsFXLGw0dkVpEBal8eTYc96sIBWRqpz7vFlBJgGrcoIsqDUBYDRUpTNBa8wai1IJVpTznTcryY/g4/vILZcZ5uI+aOW54FuUOMH/wWnRzUprNiqt2cRElhz1CUTIdVXluke0liMduCrnaiarvPTKNr1br8ox8YKLUago/DJX5ZgWzDAL9lKVY0JUJIgAPOGqXGUKcpF5ibuqcu80dS7TK6e/Zva9fNikJB/rWfLPzQ/Pd714cxGD5YdNaevT699Yp473TlM9MzL6+i30V69fr9y1q3pYJW90s3yX7kSz8p10/Y45C8GVSzxFcdfvmAjBVUg88/DV75gYwRXIdXMKJjrKaiNgv6KsRnFqzd7GbIy3V7/Lo8UyeuWv33GZgVqp7/odFy4olqj1u2pVv3Ne/n2fjxqUTH3kWIbM1thDY49PA9Qt69Tvqq3rA+Gp33FZKCILeB4Zy24vgbUAH/ABg1EQTlQBx1ODjmfCZwVGzt7qd1ycYPSk1O+qVf3O+Zge8hFTIiprviyzfr+nqdkUpOt31db1AfDU77gMwLhKrt9V20tQLbDHPLCbW79zrFw8q30TjSdKMHj9TpIIYW0XXaoJVL+TtIrCrYKvbdho7IrSIKxf48mxu34nSSVs/U6SSbj6nSSLtnrwsEBz8jiNklGUW6PWWJTMJlTwRPkRvHwf2eUix8yjeb0nd94JvidLnOAB4cToxrytSkc+MZElR30GEXIdFTxgRGs50vp/33jK+RgR9nWf2uy5omcNFlpnem/IVHGbbqCKnuMWy+fYeMHlKVQm/vfpA1M6WJzs0BQTmjpOowdn5YsnWip+Ni/PLM52+NX0l9O3p7+cf/bBIJmfT21OMnhs3unTppBnXl+dPrSZ4A7bBBlmgj5KclyIigSRCW+XDQ9cpcLlqLNWw0UIrjjhKtNTq+FiBFeb1tWPTHSUlSXAflbbjdnoRKo06ArjPT5sMLgxSjBZUThLMGy4YHQjlmDyeFmCyZ2XVt/nowZjHEkko3Njjw8bjEvdJRcU6z4fqyJihWeHsd/2ElgL8AEfMBiy2PlDEqXJqHCcPsdGDYYxWuHE4ype5EMFoxmhdrJ0Ey963MQhHzElwnGmhOuxq9mQ+6mVoDiP+DjBMEetiOgZsQTVAnvMA9uIbRWfnarsfHiSXV4Os4vsbHhanpVDdXFRXZycJGW54OPMUT1JOztPdVZEEhpPlKAtm/XwomS0NiLPiRIhrJWhqe68IjJostkHs17RWcPdsiYSR1ux2moOyrBRviNKWeGU184bBWkQFvvw/NJT7hCkIlLusHqFu6I8AhY7BFlQF1qBsXAltYIsglU5Sk/2K8mP4LlJCVxXlWNxMX3uvJh+T5Y4wfGxsxTnoE5kuVGfPYRbV5Gje0BrOdKzVpuLKC9OIzU8OY/Oh5kq1bA6vTgdnp5fnlZ5GaXR2VxwhRWW1rVWLSxTqjEwguGFpSARgntCheW1TSqNjmzE5ZPpw/n2mKabRkVb+v+jnSwyn6VOhSnIXeHc11aYgjQIjhZXmM32pA9HA/u4PC9KKKjOFOQRUGcKsqDGOmAsXDpTkEUwnZllo8I61+7J8iM48l515uIK+tx5Bf2eLHGC+2PrTOegTmS5UZ89hFuXzuwe0FqO9OwmluQyPo/PomF8dpYMs9PzbFhe6F+9uIwv8irL0zI5ffkWdGZqM4bWmRnVGBjB8DpTkAjBPfF1pmm1aXp2zJZ80+D9L2ZbNE1vCtpA4TZYW28K0iA43B71piChoHpTkEdAvSnIghrzgLFw6U1BFsH0ZqpGRW7jd0+WH8Gh96o3s4U88dwxL0qc4P7YetM5qBNZbtRnD+HWpTe7B7SWI93ozfikOk/O8nhYJunlMEtSNTyNq3J4URVRfH56Xqjs4uVb0JuZzRhabyqqMTCC4fWmIBGCe4L15vSz5oydB4PpW80tda9f/WAw/VctNj9pTsWZtYl/NL/+L1FRdPVGnMxeR8qhbO6IWkHhVlhbcQrSILhcguJ09mgLMpGRmvbWmruiTAKKTUEW1IAHjIZLbAqyCCY2PTV0SXoEZ96r1lxcSpx7bpkWJU5wfGytGaskGqXWta2JLDvqw4ew61Kb3UNay5EOfNinSz/mHnpFVrXp3frWQCbettf4Mm8NZJogw0zQy9ZAJkRFgsiEt8uGB+6z6EN2MhGCeyooctK9NZCJEdxMsa5QZKKjbJwA7OcSgEx0t701kAsbDG59bw3kwgWjG3VrYL7aGui89Pc+HzUY40iqGJ0be3zYYFzqdWsgF6siYoVnh7Hf9hJYC/ABHzAYstgJQ1aoUWE9EGfCBw1GsT53BnKhgsGMsjMwX+0MdHqJQz5iSoDjzAjPzkAm5OA7A7k4wShH3hmYby9BtcAe88A2aJNTdXGZnQ2jPFfDODY3xUfn1TCKVKTysowrNQ+DzhTVk6Oz01TnzkD/nW43eKIEwxc6BIkQ1sbQTPdtnb2+evXaYPqhznC/mB3Vvzg8sUltXzXXGpiLBBa5bTy7TPtz/RXrWN4RNYHCTbB2GilIg7DY10e6KcgkcJVDkEnAKocgC+pCKzAariRXkEWwKkcaVaPMlQ5LEiT4clJG510UN5wWi+Kem7NFiRNcHzttiaNsZL89diJLjvr0IeS8IzpBRrSWI73BmwUz52ZB/wVvFmNgBMNrTUEiBP+Eas1+NwsKclc497VFpiANgqcliMyu5m1BQjJa08bjriiPgEpTkAU11gFj4VKagiyCKU3fZkFJfgRH3qvQXFy1mnsuzxUlTnB/bKHp2ywoyY367CHcunRm94DWcqQ3eLNg5twsWFGNgREMrzMFiRDcE19n9rFZUNAGCrfB2npTkAbB4faoNwUJBdWbgjwC6k1BFtSYB4yFS28KsgimN32bBSX5ERx6r3qzWsgTz5WiosQJ7o+tN32bBSW5UZ89hFuX3uwe0FqO9Aafrpu5NgsWEdUYGMHgelOSCME9oXqzj9N1JSkrnPK68lKSBsG/4vLSfbquJJWQwlKSRzhhKcmCGtyAsXAIS0kWwYSl53RdUX4Ez92nsCwWN84VnjsERYkTHB9bWHpO1xXlRn32EG4dwhIY0FqOdOB9gcpGT0vF2EdPRW16t70vkIu3</t>
  </si>
  <si>
    <t>7TO+xPsCuSbIMBP0sS+QC1GRIALwzJU7O4N0cPUzc4bH9M/TR6PB9D3T4frVv/nrfGQG5K3p29eG4a3p76c/11L+X4c3j/kYPNOM62fNorEZL9MDa64W//wr8/H7XP+4+UufNeeG/Eh/9mqTAXzeGlr9Bwf6s4d6FplfMD/yyWD6kVmTHjSNtx9PP7p6/eoN/dET/dc/b+bRg5HN3Ltsc4ObRnAR7Ww85SIEd4gQtLF7nyMXI7g1ZF3dy0RH2QaC2C8u7asOYzbCIHsd0zwaZdbJeY8PHAzZPe92ZMMFYzZxt2Oxugix8FyEyEYNRm6S0r9RvU/yIh0V1vLtHh86GHHpOx7jIiuLfFQ6tj2yASsiYHiaGCNuL4G1AB/wAYMRjJ0NeW9EZKMGoxpt32OSxGqkHPse2VDB4EbY91isbkR0+4tDPmJKwGNNiSzKy9iRUNVs3DKbH5M8SfW0SBw7INlgwchH3QFZmLsR7U7imAd2c6s3yrUDskhoPFGC4as3gkQIa4BoTt9L9UaQssIp4wmyjcauKA3CIiaeeHqqN4JUglZvBHkErN4IsqCuICNjkVhTgrEoj42o30jyI/huUlbXVb9ZXKZXeG5HFCVOcH3sjMVXv5HkRn36EG5d9ZvuAa3lSG/whkfl2vA4X+EgGAMjGF5aChIhuCdUWva64VGSu8K5r60xBWkQHC2uMbsa0CUJBVWagjwCKk1BFtRYB4yFqqwueyzKI5jS9Gx5FOVHcOW9Ks3FdXqF535EUeIEB8hWmp4tj6LcqE8fwq1LaXYPaC1HeoO3PCrXlscioxoDIxheaQoSIbgnvtLsYcujpA0UboO1FacgDYLD7VFxChIKqjgFeQRUnIIsqDEPGQt7WXssyiOY4vRsehTlR3DpvSrOxYV6heeGRFHiBAfIVpyeTY+i3KhPH8KtS3F2D2gtR3qDb0hUzk2PimoMjGB4xSlIhOCeYMUpc0OipBUUboW1NacgDYLLJWhOZwu3IBMZsek6O1iSSUC5KciCGvCQ0UijUWJ13WNRKsEUp6eYLkmP4NF7FZyLO/UKzzWJosQJ3o8tOL3XJIqyoz6BCLsuydk9pLUc6cDbIa1phBaRuZfejVsgb307JBNv22t8mbdDMk2QYSboZTskE6IiQQTgebdDKv1xayA/MAp+3gf7wKwom2aFqzcGV6/pL78+fd82stNfvTB9e9D80heD6btxnJiO2idmZB828+LR4IVXTr53Obi2ldJsf1SJ2UmpUfx6+oHOIpqZoJMIk1Pot30yff9paI+mH1/bq/nZ7IqS2Xz71fTd6TvD6c8HJsVo7ii5etW8w0fzvzT7yWZ2akLzuWa+3ezq1F9/PNuyCe/mnMH54qnFd434nek7gzz6fybFjLBr8yZzcoBbX/pQ/kyE4DYXiqJ3b95kYgT3t6yr1ZnoKHtZAPulqhxZL0MYsxEG2byphcIodolrLnBQYPS9eZMLF1QY1M2bq6sqC89VlWzUoM4gZSY39jipOCtd13zs8bGDAoG+e1MlVVFVo8q1e5MLWBEBw/PEGHF7CawF+IAPGAxh7PTNd2klGzQY1frcvMmFCgY3yubN1aWVbn9xyEdMCXicGREX5habUWn1FTUbt8zmzaLKcu0nSmUDe8QHC0Y+8uZNc32l3Ucc88A2aKHrhwwf59KBZ+2EvXzg3LzpvV/pJk+UYPgqlCARwpolugIhcX2lpAkUbgI8vbfR2BWlQViE7SMRFWQSuAQlyCRgCUqQBXUBHBiNtHJlCWNRKsFKUL47LEUJEhw6KdXzViwMp0XFwnOHpShxgv9jZzG+OyxFyVEfQYScd0QnyIjWcqQ3eEtn7tzS6b1oyWYMjGB4wSlIhOCfUMHZ75ZOQe4K57620hSkQfC0BKXZ1WAvSEhGcNp43BXlEVBuCrKgxjpkLIoqsxEZixIJJjZ9ezol+RF8ea9ac3HrYeG5xlKUOMEDsrWmb0+nJDfq44dw65Ka3QNay5He4D2duXNPZ0U1BkYwvNQUJEJwT3yp2ceeTkEbKNwGa0tOQRoEh9uj5BQkFFRyCvIIKDkFWVBjHjAWKrVWu8eiPIIpTt+eTkl+BJfeq+Jc3HtYeC6yFCVOcIBsxenb0ynJjfr0Idy6FGf3gNZypDf4KOTctaez9F6+ZDMGRjC44pQkQnBPqOLs4yhkScoKp7yuwJSkQfCvuMB0H4UsSSWktJTkEU5aSrKgBjdgLNLC6qPHojyCSUvPUcii/Ai+u09pWS5uPiw9V1mKEie4Pra09ByFLMqN+vQh3DqkJTCgtRxp/b9vzPTlfD47xeN3Ls6++81vv2KxBEM7OpYpy9hDU6mkTdO1h9ONlaIHF9s4rWCfY4NtzzGPYUHN9858L99nWug9soHVki7+6piN+Iavc0Nez9XVx3vPaO+V7OyVSenybVwSGZ2Es9/binzfIN93Id/nI1d05HjztwZ+YIAfuIAf8IHjU53vTQ2B2hCoXQRqNoEbmwM6CNDmy5FBfeRCfcRHjbtu4kYBDfrYgD52gT7mgW4my8sh449rE0CZeOGnTpvDaFkRyA73OTZc/MFEY9C/NVvEH88XGh4OmgqXOUfgNbNL2+wib8ons23pb5gfnK1NNF9eRi/9AzaiOn4lJn4x2YaOX+mOfsnNS6VfqsS8KPNS6sAWxeYlMy+Ffokj85Kal9y8VCb2NQFQuQIg1wohAmC6s2+o7xvq+4b6vqG+b6jvG+r7hvq+ob5vqO8b6vuG+r6hvm+o77uo7/OpKzp1klc8MMwPDPMDw/zAMD8wzA8M8wPD/MAwPzDMDwzzA8P8wDA/MMwPDPMDF/MDPnP8SV87BKc7tbFAbSxQGwvUxgK1sUBtLFAbC9TGArWxQG0sUBsL1MYCtbFA7bJAzbaAeAxPd44M7SND+8jQPjK0jwztI0P7yNA+MrSPDO0jQ/vI0D4ytI8M7SMX7SM+bTx+skRAunNsWB8b1seG9bFhfWxYHxvWx4b1sWF9bFgfG9bHhvWxYX1sWB+7WB/zWD+1LmvIf92nJvo7k6h5tbHQYiL1slDOscPAMpXEyLED8jk23nZ4XfNIonea81w+nMuCxcFEdvHw7vSt6S/mhxA9LSQezL/2vy++a46rdNY7mLzbAVXwHCIuREWCyIS3y4bXXkuUOwmHixA8M4BQGXGfhMPFCB4WsG7Vg4murUDWPAnHarsxG12QU3A8JQoubDCg0c/AKSoX2hf4aMGIRjwCp0yXR+CUzttd7vNRg3GNlDOiU2OPDxsMS91JHop1n49VEbHCs8PYb3sJ7GY+xQUMRix25auIRpljxygbMxjDaOfeuP3Ei3ykYCQjHHuz9BEvenzEIR8xJbpx5oPLyDUbssyJNy6cR3ycYIgjpq9mRixB3Uw8OWAN2jN1cV5FZTU8vVBqmJ2afcrnp+kwukzK/CQ5Pz09UTM+zpz0Wyd9tufNXl2ZaUajifKzZa8eWpQM1kbkOVEi7fDvGx8wtf13naQ+0EmqOXN1ntg+ferNg6s355ctTN/XP/FZc3zq7PM/NUfh/ED/90P93/dnP66/Nj9itVlgf2f62+lbQ50Tvzf9+fT301/r1z9O39sZpJH+Ux/aDHhH1IAKN+DaCaggDULDCyFRdYzI86JURHr9spGyMbkryiRgt58gC2q/ETAarvxYkEWwXr84GRWuRFqSHyESkJLBrl6/xU1SpedqMFHiBNfHznicgzqR5UZ99hBuXb1+3QNay5GeFUguyyi/PI+Gl0l0OczO8kr/bFUNzy4usihPL0+ibB4kgupU66qt1qmKaguMX3idKkiE4J1Qnfqr5pKAx08VYMynzRH+pgTz6upKAXMu49taaBrR+dvp7/R/v59L2PuToYoH05/bDHJH1CAKN8jaulOQBsH59qI7BamI6M5oFCsblbuiVAIKT0EW1OCHDIeNxViURTDhWZaj0iU8JfkRXHuvwnNxn1TpuSJMlDjB97GFp3NQJ7LcqM8ewq1LeHYPaC1HOtwFYalHSuYedgW+tyRYMw4Tb9tlfOmacZi8M4x3L804TIiKBBGAZ70UrFlj1lZ/ao35ff2FjxcrzAM9nk/mQ7C8Q2xw5/n4r3S2GO9oyf558p/N5+lfJVm0Uw4cPTW7bDuANVSCqHV2/TARghVTXKv6un6YGMFa6boilImOUhcF7JeWVWk/amLMhhik9ScvRqqy4b7Hxw3Gz557f7howQBK7f1ZXX9Veq6/YqMGwyhJdbfNneRpViWjOcabApuLHQyF9AagNCqqIs3dbUBcxIqIGJ4oxorbS2AtwAd8wGAIY+cm2m3kVnc34WMGgxqtDSiOS+XuA+JCBWMbpQ9odf2V218c8hFT4h1nQmhfkZfFaH6q6c3cjYlbphkoy+MqjzJ3SxAXLRj5yC1B5v4ru4845oHd2FJL4mwJKmg0UX7hSy2CRAjrcWiCHaDUImgQhRsET2ttNHZFaRCWGwlZqbvUIkgldKlFkErAUosgC+pyLzAcqswcR2+ORalsRL1Fkh/Bv5Myvxuao1VvWdydVHpuwxIlTnCA7JzGV2+R5EZ9ABFu3gGdIANay5He3Ib0xFmd8d/WYLEFxi+8+hQkQvBOqPrcwIZ0QQMq3IBrq1VBGgRn3YtaFaQiolbdDemCTAKKVUEW1FgJjEZcqCwZWdetxqJcgqnVOBlFVjV+T5YfIR70qlYX1y+Vnvu0RIkTHCBbrZpBLWzcJrLcqE8gwq1LrXYPaC1HOmx3UGpjp/Vn5WUHn/sXrDuIiRcsa6LyMXx3EJN3hvHupTuICVGRIALwGrX9h+kfjVVvHtDYjMBHjah/Mr/39vqpjea3mp8axNUo0plblOQjswL9ln795dVP5neYzZaqHzT/PryWPeh3/FwPvLnV4Op1M9DmX4Nh8Y1X9T8P9fR4c/bpa6PZyA+a9/p4NpUMun/Wb/+RfsdPB2Yefdb8zmtN+tHgvnrD/NoDPd9+rOl8MhrEw3Qw/R+LlqiXX37FNlC77IECa78E6e1sX2IiBCu9uKL2tS8xMYIl3nW1MhMdpZwL2K9So/m2rpsKmIlQpHvphlAYP797eHhwOJcKs/NNq8icZRp/xThrg99ohp3IKhvu8emBMqDnJicuWlAHUJucqlWTk/Piqft81KAa6CN5MGS2xh4ae3waYHDv7ndyYDewt64PhIvFPp+FIrKA55Gx7PYSWAvwAR8wGAfhDAxwPrVxPjXofCZ8amAA7bNVigsVjKOUVqlq1SrlfFwP+YgpsZU1b5Z5rd/j1GwK/XRNdXubxQC4GBzxGYDhldxJVW0vQbXAHvPAGrTnhbpUVXUyVEVWDbMqVcOyuiyGFydRdZmVSlXZPJQ5VxE8yyjclQRXJ1UV0Wii/ILXsiSJENYu0cWIf2/lmU0v1Q/MJYhN/vj46WrWH6bvTn+vX385/e30vcG8QvVH/frL6f/QKe7bg8mdJB7s2exyR9QuCrcLYSXAZpp2oW9nnZqezVC7ooYirAETMnFnEUySikgRzLqkcFeUR7gSmCSLtjzxsEDT/7iKR7mjAiZJJVgFrBxVmY3ePVl6hCDSRw67yGSrxZV9lecORlHiBOcHp183Jm00KqzVkoksN+rzh3DrKIABA1rLkW4kbpmXyVlxXgxP0yIaZvnF5bA6y06HaZXqH65OTtKLuXsNKnEd7VqV75Yvqy0wfuElriARgndCJe7NzQLTX0x/o6XYH6a/H07fMv80uuyt6XvNVd820ndESSucNK5fbTR2RWkQHGwv6lKQioi6dG8IkKQSUGAKsqAGOGA44myUujYESFIJJjDjSCtoR4+VKEGCE+9VYsYLRRJ7JKYkcYIHXENiukZ1IkuO+ggi5Lo0ZveI1nKkwzZZZTZ2WjUmXnZZm91tN1lx8bZ9xpetyYrLO8N499FkxYWoSBABeLfRZHX1Q/2On+v/TCLw+NbarOYT0+D6zDZKu+xRAivLBOXt6rDiIgQLxLig9nRYcTGCleF1lTITHaUKDNgv1V7c2q49ZiO8xQ4rc4N0lc2bHKrE22HFpgdqgH47rNhoQRFA7LCqkmWH1czMNtT3+ahBKdBH6mDIbI09NPb4NMDIvkaHlcZ+fSDcHVZsForIAp5HxrLbS2AtwAd8wGAchPMvwPnUxvnUoPOZ8KmBAbTHDis2VDCOEjqsll7nRc/jeshHTImtrHmzTGr9HqdmUxDusFp6m8UAuDus2AzA8ErtsNJzZwmqBfaYB3Zjy0+Zs8MqpdFE+YUvPwkSIaxcoisRPZWfBEkrnDSe49to7IrSICy+EpJgd/lJkEro8pMglYDlJ0EW1LVvYDjUKEtc1SdBJptRfZIkSPDhfaSQy0QyXdQqnFcm78kSJzhAOPvBR3UiS476BCLkuqpP3SNay5FuJOZppL92lp0N45Mz/bNJmgzLqqyG6eVpGkXx5Um1SNCDSkyrktYSM6PaAuMXXmIKEiG4J1RiWpv4r9U7Zr3qV6/qb78x71uftaL/dvq26eZvlOf0j9N37RLhjqhFFG4RXH+CRhnUR4fHLxwdHw6efeG/PHu0+4KN/q4ofYLb7kW3ClIR0a1WZ3NXlEdA0SrIghoygbEoklGa2ZiMRZkEE635yL5KdE+WHiEm9CpZF1frVp67kkWJE3zfGpJ1VFjn7ESWG/XxQ7h1KdbuAa3lSIftl1I2dlqDKi+7Gxfy3Xq/FBNv22V86fqlmLwzjHcv/VJMiIoEEYAn0i8VD6efaCfRvKb69fqFeAJnVS06qD4w35hNJvP+D69PIv2+A3OR3minuU5vZBuaXfbQgMVhgs52NkkxEYI1Xlw++5qkmBjB4u660piJjlLIBeyXFZl7HyoT4i12SeWmS6pYNCoof5cUlx4Y+XvukuKiBUM/tUtKrbqknBcI3+ejBgVAH/mCIbM19tDY49MA4/k6XVJq6/pAeLqkuCwUkQU8j4xlt5fAWoAP+IDBQAgnXYDzqY3zqUHnM+FTAyNon11SXKhgIKV0SalVl5TzcT3kI6YEV9a8Waayfo9TsylId0mpresD4OmS4jIAwyu5S0ptL0G1wB7zwBq02IZ+w8e5cOBZOeEuHji7pHIaTZRf+BKWIBHCciW6/hDuHCpBuyjcLoTk/7bOoRI0FGHZl5CKu0teglSClrwEeQQseQmyoK65A2NRZdUodTVqCVIJVvPynEMlSY8QRPrIYZeZbL4okThvtN6TJU5wfnD6RTmHSpIb9flDuHXVvLoHtJYjvbkbAZSzS8t/haLFFhi/8BJXkAjBO6ESt6eNAIKkFU4a1682GruiNAgOthd1KUhFRF16NgIIUgkoMAVZUAMcMBxFbCqyNipjUSrBBKZ3J4AkQYIT71ViLi4yrjw3U4sSJ3jANSSmZyeAJDnqI4iQ69KY3SNay5EO21dlHVKtGksvu7zN7tb7qph42z7jS9dXxeSdYbx76atiQlQkiAA8kb6qp094kjqPSqGdVKaRKnb1UDGHASwdE6S1s4eKiRCsAOOK2ddDxcQIln7XlcJMdJQyL2C/1Gq8MRveLfZPVTt7ZRQtWhhKf/8Ulx4Y4Xvun+KiBUM8tX+qXPVPOa9Yvs9HDQb6PhIDQ2Zr7KGxx6cBxu11+qfKresD4emf4rJQRBbwPDKW3V4CawE+4AMGgyCcXQHOpzbOpwadz4RPDYyeffZPcaGCQZTSP1Wu+qecj+shHzElsLLmzTJl9Xucmk1Bun+q3Lo+AJ7+KS4DMLyS+6fK7SWoFthjHtiNLS450u5ntYui0UT5hS8uCRIhrEui6ww9FZcESSucNJ7B22jsitIgLK0SMmB3cUmQSujikiCVthDwUFk3oxZkQV3ZBoYjs++THYvy2IzKkiRBggfvI4FcppHVog7huRJelDjB/cG5Dz6qE1ly1OcPIddVWeoe0VqO9OaeMZU7upfKyH+joMUWGL/QAlOUCME9oQITO05pnTOmRC2icIvg6hM0CnbGlCh9gtvuQbWKUhFRrfaGe1EewSSrKAtqyATGIrcXi0RpBFOszgOmZOkRAkKPelVzmqmb+Qc24nuyxAmObw296jpgSpYb9dlDuPnlKjKgtRxp/b9v7MxaVb7uk6P9NkQVNpZaiPquHVSe1WcMLEVgXm+Isk7F59h4wTopqiOZDVHNl7SmmrdC/Up/5+0d02vzq+k7s68lzp4oNvUMo95DTxQboiJBZMLbZcMDy6QEzenoFWIjBKuduJR09wqxMYJlznVlIhMdpaQJ2M+l/pjoRFqFbi5624f8Hh82GNPoLUB5WrlagPhowaBGawHScBYtQPpDZwsQHzUY2kiKGJ0ae3zYYFjqbvlBse7zsSoiVnh2GPttL4G1AB/wAYMRi50spMkotSrKCR8zGMNoHTtuP/EiHykYyfCGnZWPeNHjIw75iCnRjTMfXM9czYbcT4MOivOIjxMMccQ2HDMjlqBaYI95YA3aM3VxXkU6Jz29UGqYnV6Uw/L8NB1Gl0mZnyTnp6cnasbHmZZ68nNuaupowynn+wlhmig/WwLroUVJYm1EnhMlQlgUQ7Pbf9ep7AOdqX6mc9UPrCf1LA4xer/ZWGKqA7PP+cf37AzSyLUUf0fUgAo34NoJqCANwhohIVF1F0cEqYgURxxnrd8VZRKwPCLIgrpEC4yGKz8WZBGsOhIno8KVSEvyI0QCUjLYVR5JFqvp7vvHZYkTXB8743EO6kSWG/XZQ7h1lUe6B7SWI93o1PyyjPLL82h4mUSXw+wsr/TPVtXw7OIii/L08iTK5kEiqE61rtpqnZpSbYHxC69TBYkQvBOqU2+2i5tPmw3KpgpjDt387OqnzfbjTwbTt7XQNKLzt9Pf6f9+P5ew9ydDFQ+mP7cZ5I6oQRRukLV1pyANgvPtRXcKUhHRnc5WclEqAYWnIAtq8EOGw8ZiLMoimPAsy1HpEp6S/AiuvVfhmS50ivuuYlniBN/HFp7OQZ3IcqM+ewi3LuHZPaC1HOmwBxRZN1hqKZl52BWqaLO79X4cJt62y/gy9uMwqWcY9V76cZgQFQkiAM/UtHYG6fXb2ZplZj1UTy0zv6+/8PFikXmgh/TJ/JiokWnDfzT94quDO89bs7BdNlmwVkoQr87uHiZCsDKKa1Jfdw8TI1gTXVdsMtFR6p+A/apEO3EbwjEbYZAOnzQeZdZa2z0+bjBM9tziw0ULxklqi0+2avFx3ll7n48ajJYkcX1j80hZpeUosk7rPT70jAgdnh6qLAvTs+7q9eECVkTA8DQxRtxeAmsBPuADBuMXOwExTsM6KyZ8zGBEo/X6VKocKVevDxcpGNcovT7ZqtfH6SwO+YgpsY4zH7SjUDofsG5trtmwZfp9yjKN8nwUKRvYIz5YMOiRm36y7SWoFthjHtiNLaaUzqYfRaOJ8gtfTBEkQlhxQ1PoAMUUQYMo3CB41mqjsStKg7CgSMhH3cUUQSqhiymCVAIWUwRZUBd0geGIdcYQ2+/aHIty2YiSiiQ/goMnZX1dJRW1WIF335ItS5zgAdkZja+kIsmN+gQi3LpKKt0DWsuR3tye89LZy5NTbYHxCy8/BYkQvBMqPzew51zQgAo34NpyVZAGwVn3IlcFqYjIVXfPuSCTgGpVkAU1ViKjkZbxyKlWBbkEU6txMoqs63L3ZPkR4kGvajVfiBv3LbiyxAkOkK1WzaAWNm4TWW7UJxDh1qVWuwe0liM9P5jHjGnAg3kqG0utQwsPS+VZmsbAUvTl9UYgq395jo0XLG2iMpLZCGS9qcwoxxt3WX06fdjdGcS0RYbZopfOICZERYIIwBO7vWw5nI+uXWb2VT2kN/qO7NeYXbutbGSOop83JzVL4PrbGpT+IFk0KP2yfZGZ594y9gCA1V6C3HZ2KzERgrVdiop2dysxMYJV3XX1MRMdpYIL2M9xbxkbnkir0g1lYLm3rIxKc29ZNbs6SONvblZx3FvGpwfGe3pHk8pyd0cTFy0Y8KkdTcWqo8l5W+x9Pmow7PeRLRgyW2MPjT0+DTBid3c3ObAb2FvXB8LFYp/PQhFZwPPIWHZ7CawF+IAPGAyCcMoFOJ/aOJ8adD4TPjUwetI6o8rYcwoSFykYQymdUcWqM8r5tB7yEVPiKmvaLPNYv8Op2RT66ZLqdjaLAXAxOOIzAKMruXWq2F6CaoE95oFtstNEZafZ6cXw5Eylw+wkqYYn50k6rIrk9KJQp2dJdjrj41wt8CybcFcMnK1TJY0mys+2ruChRVlbsBF5TpQIYa0SXXS4zdrV4JnnxnvWZ/SOqBkVbkbCYsDNLUGWiyiesuL0D9ouv9evvzR3c5gU/efT/66/ZC7reGswuZNGg72/sRlnV9Q4hGVhQqLurosJUhGqi1m3P94VZRKwLibIgroqD4yGymw0xqI0QpbEEldJTJIfIcz0keQuU91yUUFxX9MtS5zg++D87MYWhGJUKhu3iSw36sOHcOsqiXUPaC1Hena12unZxcllWg1Vlp0Ns6K8HJ7kkRpm8Wl5Hp+enKdq/jQHFcHWZWstgiuqLTB+4UWwIBGCd0JFcB/7B7Qe/v3iml/zM/+n/uTdwf2Jb1OBoJUUbiVc49po7IrSIHjkXtSoIBURNerZVCBIJaAcFWRBjYjAcLgu+xXlEUyPVtEosSY/92T5ETx+r3q0WsgX912/ssQJ3o+tR52DOpHlRn36EG5derR7QGs50mHPaIqtJZNny/nX7fQKVbbp3XZvFhcvWKRFFeJG9GZxbZFhtuijN4sLUZEgAvC+RL1Z/6oTDbOU/uN5grFmdxZ3CMDCNEFmu7qzuAjB+jKunj3dWVyMYGV5TVnMRUepIgP2yyL73ZxjNsDb68+K4x39ksxbJOLI25/FpgcG/X77s9howaBP7M+Ko2V/Vuy8xPY+HzUY+vtIFQyZrbGHxh6fBhi11+jP0tivD4S7P4vNQhFZwPPIWHZ7CawF+IAPGAyDcL4FOJ/aOJ8adD4TPjUwfvbXn8VGCkZRQn/W0um86HlaD/mIKZGVNW0WSWyHw6nZFIT7s5bOZjEA7v4sNgMwulL7s/TcWYJqgT3mgd3Y0lQcuRq0Yt+9fRaeKMHgtSlJIoSVSnTl4ZZqU5JWUriV8ITfRmNXlAZhdZaQNDtrU5JUAtemJKmEq01JsqCujgPDkWvnbh2PsSiTTahOifIj+Pw+Us5l4hnPixmx89LlPVniBP8HZ0vwoE5kuVGfP4RbR3UKGNBajvTmbhnQktTRLhUnVGNgBMNLUkEiBPeEStJN3TMgaUaFmxHXrNieAWOvRYGoexPBb7S+f2oTQTJw7CGQNBYhMvSijAWpiChj5x4CSSYBhbEgC2pgBkajSB1t9mNRJsGEsWcbgSg/QuTpVRgvrgCOPXc6ixInuD+2ME6TUWpdqZvIcqM+fwi3LmHcPaC1HOnAbVuu1dfUS69q07v1ti0mXrB2iyrVzWjbYtoiw2zRS9sWE6IiQQTgibVtrdunNWjW3D+ezR/z5/9Zv8dH+n0/HZhvftb85GuNTG+AXb1hmrce6En2Y/2+n/R9BBd3wMDqNkGVO5u8mAjBIjVFbLubvJgYwfL0ujKaiY5Sigbsl+aj2NXlxUR4i11emenyUotGi9Tf5cWlB2qEnru8uGhBjUDt8kpXXV7OK5Hv81GDSqGPzMKQ2Rp7aOzxaYBBfp0ur3Tr+kB4ury4LBSRBTyPjGW3l8BagA/4gME4CKdngPOpjfOpQecz4VMDA2iPXV5cpGAYpXR5pasuL+fTeshHTAmtrGmzzHn9DqdmU5Du8kq3rg+Ap8uLywCMruQur3R7CaoF9pgHdnNLarGzyyuj8UQJhi+pCRJpSw/fAIELFRtbUhM0o8LNSFhAgEpq/RzDJWkcwhoyIVl3l9AEqQQuoQkyCVhCE2RBXcIHRiNXo9h+e8tYlMpG1NAk+RFCTR+Z7jLfzRYlF+ct33uyxAn+D07SCEdxiXKjPoAIt64aWveA1nKkN3i/Q+xsLlNUY2AEwythQSIE94Qq4dva7yBoJYVbCRe6Nhq7ojQILrkXSSpIRUSSevY7CFIJqEkFWVBDIjAcapQ527oEmQSTpL79DpL8CD6/V0m6uA069lzvLUqc4P/YktS330GSG/X5Q7h1SdLuAa3lSAdu63KJzNxHL4/a9G69rYuJFyzWohpxM9q6mLbIMFv00tbFhKhIEAF4Mm1d/6Nplfrz9JG1qevpBfQvRUsXc7DAUjZBkjtbupgIwYo0rrR9LV1MjGAtel0JzURHqTsj9ksLu4cfsxHeYktXYVq6ykVXRe5v6eLSA/VBzy1dXLSgPqC2dOWrli7nJdf3+ahBldBHVmHIbI09NPb4NMAAv05LV751fSA8LV1cForIAp5HxrLbS2AtwAd8wGAchFMzwPnUxvnUoPOZ8KmBAbTHli4uUjCMUlq68lVLl/NpPeQjpoRW1rRZ5rt+h1OzKUi3dOVb1wfA09LFZQBGV3JLV769BNUCe8wDu7mFrMTZ0uW7QNLCEyUYvpAlSISwqIkuUtxWIUvQSgq3Er42YKOxK0qjrRQ8NAhZs7uQJUgldCFLkErAQpYgC+pCOjAcSTTKMxuTsSiTjShkSfIj+Pw+Us5l4lks6h7OS7b3ZIkT/B+cLcGDOpHlRn3+EG7eAZ0gA1rLkd7gXQaJs7fKd+ej1RgYwfCSVJAIwT2hknRjdxkImlHhZlxbswrSIPjsXjSrIBURzereDyDIJKBkFWRBDZnAaCRZMcqtAzIWpRJMs/r2A0jyIwSFXjXr4ibn2HM1tyhxgv9ja1bnoE5kuVEfQIRbl2btHtBajnTg5qvURk+r0MpLL27Tu/XmKyZesKyKisjNaL5i2iLDbNFL8xUToiJBBOD937T5qu9rE5nDBZadCaLc2X7FRAhWjyla291+xcQI1o3XVdFMdJQaMWC/JC1GqXWQx2yIt9d/lUQ7+iVetEBU/v4rLj1QIvTcf8VFC0oEav9Vteq/ct5gfZ+PGhQKfSQWhszW2ENjj08DjPHr9F9VW9cHwtN/xWWhiCzgeWQsu70E1gJ8wAcMBkI4OwOcT22cTw06nwmfGhhBe+y/4iIF4yil/6pa9V85n9ZDPmJKbGVNm2XK63c4NZuCdP9VtXV9ADz9V1wGYHQl919V20tQLbDHPLCbW+xKXf1XSUTjiRIMXuySJEJY10TXKTa12CVpRoWbkbB+cNOSN6+k+dV10w7mlvmj/u+95k6a39qssStqDcKaMSE9d9bMJKmErZlJMglXM5Nk0VYtHhboqkCWFKO4sK79jkW5bELRTJQfIbj0kdsuMtwkmtdYEudt3XuyxAkOEE7LbixmaS9iXcuayHKjPoEIt46iGTCgtRzpDd57kLoavRLvdZU2Y2AEw2tfQSIE94Rq31vaeyBpJYVbCZe2Nhq7ojQILrkXTSpIRUSTuvceSFIJKEoFWVBDIjAcqRqpytHIJUklmCb1bD4Q5Udw+r1q0sUl04nn1nBR4gQHyNakns0HotyoDyDCrUuTdg9oLUc6cCNXZqOnVWbipZe06d12IxcXL1ifRUXiRjRycW2RYbboo5GLC1GRIALwZBq53nlqOB8N4uH0E+1IhiYveDRIzb9XP5u1evEavTqPybIZfZdtdLAKTdDWrnYsLkKwmIxLZk87FhcjWEZeVwsz0VFKxoD9qiofJakN4pgN8RbbsVLTjpXNOyKSxNuOxaYHBvp+27HYaMFAT2zHSpJlO1bivJn6Ph81GO77SA8Mma2xh8YenwYYqddox9LYrw+Eux2LzUIRWcDzyFh2ewmsBfiADxgMhHCOBTif2jifGnQ+Ez41MIL2147FRgrGUUI71tLpvOh5Wg/5iCmxlTVtlomr3+HUbArC7VhLZ7MYAHc7FpsBGF2p7Vh67ixBtcAe88Bubkkqc7ZjpTSeKMHwJSlBIoTVSXS14bZKUoJWUriV8CTfRmNXlAZhRZaQNrtLUoJUQpekBKkELEkJsqCuiAPDEWfVKEutIzIW5bIRNSlJfgSv30fSuUw900UJw3nf9Z4scYIHhPMleFAnstyoTyDCrasm1T2gtRzpDd4jkDn7pDKqMTCC4UWpIBGCe0JF6cbuERA0o8LNuLZqFaRB8Nm9qFZBKiKq1d3cL8gkoGgVZEENmchoFFU6SuwNDGNRMsFUq6+7X5IfISz0qloXNyonniuyRYkTPCBbtXqOxBLlRn0EEW5dqrV7QGs50oE7qZSNntahyksvbdO79U4qJt62z/i/RScV0xYZZoteOqmYEBUJIgDvy9pJ1XXmlc3su2yzgyVkgrx29lIxEYKVYIpqdvdSMTGCNeB19TATHaXei9gvLtJR4dowwMR4i81UuWmmKhb9DMrfTMWlB8b6npupuGjBWE9tplKrZirnfdD3+ajBiN9HhmDIbI09NPb4NMBgvU4zldq6PhCeZiouC0VkAc8jY9ntJbAW4AM+YDASwmkW4Hxq43xq0PlM+NTAENpjMxUXKRhIKc1UatVM5XxaD/mIKcGVNW2Wuavf4dRsCtLNVGrr+gB4mqm4DMDoSm6mUttLUC2wxzywm1u3Us5mqpzGEyUYvm4lSISwQIkuOGxs3UrQjAo3I2EhQPRsK0FrEBZ/Cfm5u/wlSCVw+UuQScDylyAL6to7MBpJHCejMspsZMaiZDai/CXJjxBd+khulyluvqiWOG+03pMlTvCAcF5GOdxKkhv1EUS4dZW/uge0liO9wTsJlLNpy3+lo8UYGMHw4leQCME9oeL3tnYSCFpJ4VbCta2Nxq4oDYJL7kWUClIREaWenQSCVAKqUkEW1JAIDEdc5KMoL2xcxqJcgolS304CSX4Er9+rKF3cxJx4rtYWJU7wgGxR6ttJIMmN+gQi3LpEafeA1nKk9f++8d+eUmNO1fmdi7PvfvPbr1gMwRKdLr1ZengqVbZ5upqz3GgpUnLVn2WF+xwbbnuaeYwLCsZ/mz5quq8W/T1Pt/LMlzwdzVpPN2jpH7AR1cKw/OqYzfaGq3TTXc9Tzhsaqp29Mk3MizIvpX7JYvOSmZdCvyhzn5cyp8go0/2gKpcf5TLO6IzxypKhuW9o7hua+4bmvqG5b2juG5r7hua+oblvaO4bmvsumvt8mopOEy8/aZYHhuWBYXlgWB4YlgeG5YFheWBYHhiWB4blgWF54GJ5wGeJP638mDAvh1c7tWFbG7a1YVsbtrVhWxu2tWFbG7a1YVu72NZstjeqoR1sadP2yFA8MhSPDMUjQ/HIUDwyFI8MxSND8chQPDIUj1wUj/gU8dhGrJhqhseG4bFheGwYHhuGx4bhsWF4bBgeG4bHhuGxYXjsYnjMY/jUkoQJi1/3RfU+W64TZwW18rG4ecdykI7rxBPVmXjB/is0pL/dNM8+mX5qYnlzy6utT/d6t/Xqpxf92U/H9vkPfTBI5l21V2/aLHCHbYF22JPss2ZCVCSITHi7bHjt5EqwH5mJEGymwleMfP3ITIxgG9W6S0FMdJSWKcB+VtuN2ehEOpFvrhLah/weHzYY2ugdxlmeuTuMuWjB2EbtMF7dnpt4bs9lowYjHCmLQ6fGHh82GJa6UzEU6z4fqyJihWeHsd/2EtjN7IgLGIxY7KXAOE9GkRX0hA8aDGK0jmC3o3iRjxQMZZSO4NVtt24ncchHTAlvnAnheuhqNuR+OoBRnEd8nGCMI2atZkYsQd3MQTlgG6VdKpVGl+fD6PxCDbOkSoanZ0U0LC/Li9PzvLw4O1EzPs709Fsn/bY6JOZfG81nyzSi0UT52RJZDy1KMmsj8pwoEULNC81y33o6X/2g2WT8ePpkqP95pL/6xbzd4ZH+xqKB9+ibf//33/unb/7DybzP4fDZ+4MqitLZZ5PDg+cHu8eHB4PE+vTdETWQwg2EZ5h3v/fd//XinwaTf/r2ty6+e/H335kzjvPBcDD9XdPau2zbvZb+fzT9TH+tWeh/OH080Fb8zKz4m17oB82m2g9Hg8H0raZ5+tWrV2clgj/rT2Y7hT8x6wlfNG+3rBd81fz876yW3RW1LKHqSEiOnX0XklSE+i5SG5O7okzCtV1IsmgLFg+LNXNySRbBGi7iJM5HytEHLMqQEH5IKWhHy0W6uBM19VxyK0qc4PzYeVZWqVFlnbcTWXLUxw8h19FzAYxoLUe6Ucf5ZRnll+fR8DKJLofZWV4Ny/OqGp5dXGRRnl6eRNk8TgRVx46+jNR3u5rVFhi/8OpYkAjBPaHquI8+4PuToaflV9IgCjcIroZtNHZFaRC8by/SU5CKkPR0tfxKUgmoPQVZUIMfMhw2FmNRFsG0Z1mOSkfhSJQfwbX3qjwXN5+mnqtsRYkTfB9beToHdSLLjfrsIdy6hGf3gNZypEMewJg4pWTiYVfkWZvdbXcDcfGCtVJUCd5iNxDXAhlmgT66gbgQFQkiE94uGx5YWyWoTlc3EBchWEjFxaSnG4iLESyhrqsSmego5VLAfi71x0R3y91AbNhgaOu3G4iNFoxtxG6gdHV5a+q5vJWNGoxwJEGMTo09PmwwLPXZDcTGqohY4dlh7Le9BNYCfMAHDEYsdq7g6wZigwaDWH/dQGykYCgjdAOlq8tW3U7ikI+YEt44E8LdDcSFHLobiI0TjHHUbqDUXKFqdwzHPLAbW+9wbllJUxpNlF/4eocgEcKiGJrlBqh3CBpE4QZZO6MUpEFY8yNknu56hyCV0PUOQSoB6x2CLKhrrshw2FiMRVlsRL1Dkh/BtZPSu656x+JWzdRzTaoocYLvY+cwvnqHJDfqs4dw66p3dA9oLUd6c9vQ3dWRjGoLjF944SlIhOCdUOF5C23oggZSuIHWFqKCNAjOuBchKkhFSIimNiZ3RZkE1KGCLKixEBkNG4uxKItgOtTf8y3JkODre1Wii5syU8/Vp6LECc6PrUS9Pd+S5KiPH0KuS4p2j2gtRzps6401LGhxqbzsVJvdrbfeMPG2fcaXuPWGaYEMs0AvrTdMiIoEkQlvlw0PLGQSdKez9YaJEKxa4nLS13rDxAjWK9cVikx0lNokYD+XAGSiu+3WGy5sMLT13HrDRQvGNmrrzeqqz9Rz1ScbNRjhSIoYnRp7fNhgWOq19YaLVRGxwrPD2G97CawF+IAPGIxY7GTB23rDBQ0GsR5bb7hIwVBGab1ZXc3pdhKHfMSU8MaZEJ7WGybk4K03XJxgjCO33pgLN+2O4ZgHdmMrIKmz9San0UT5ha+ACBIhrIqhWe4tVEAEDaRwA62dYQrSICwCEjJRdwVEkErgCoggk4AVEEEW1CVYZDRsLMaiLDakAiLJkODrSfleVwVkcVli6rn9UpQ4wfmxkxpvBUSSHPXxQ8h1VUC6R7SWI725XeDO24jSgmoLjF94KSpIhOCeUCkaoAtc0CAKN8ja0lOQBsH79iI9BakISU9nF7gglYDaU5AFNfghw2FjMRZlEUx7+rrAJfkRXHuvynNxI2LqueJSlDjB97GVp68LXJIb9dlDuHUJz+4BreVIh229yWzstJT03eRV5Hmb3a233jDxgoVJVAneZusN0wIZZoFeWm+YEBUJIhPeLhseWMgkqE5n6w0TIVi1xMWkr/WGiRGsV66rEpnoKLVJwH4u9cdEd9utN1zYYGjrufWGixaMbdTWm3LVelN6Wm+4qMEIRxLE6NTY48MGw1KvrTdcrIqIFZ4dxn7bS2AtwAd8wGDEYucK3tYbLmgwiPXYesNFCoYySutNuWq9cTqJQz5iSnjjTAhP6w0TcvDWGy5OMMaRW2/K7SWoFthjHtiNrXdkztabikYT5Re+3iFIhLAohma5AeodggZRuEHWzigFaRDW/AiZp7veIUgldL1DkErAeocgC+qaKzIcNhZjURYbUe+Q5Edw7aT0rqveUS2Wx53Xse7JEif4PnYO46t3SHKjPnsIt656R/eA1nKkN7fnO3M12mQR1RYYv+DCU5IIwTuhwjN8z7ekgRRuoHWFqCQNgjPuQ4hKUhESoqmNyV1RJuF0qCQLaixERsPGYizKIpgO9fZ8izIk+Po+lWi2uBcz89x0Kkqc4PzYStTX8y1Kjvr4IeQ6pCgworUc6bCtN8rGTotL33VaRV602d126w0XL1iYRLXhLbbecC2QYRboo/WGC1GRIALwzD1yO4N0cPUzbeoH0z9PH40G0/e0Zv/iq4M7z8f6k3faw/Ln6ftmbD7TIr8ZwUbnTx+aH7r6iX6XR1dv7gyahejPrv5Fj7rR/foNH+tffKhfzQ/rLEFPBP1ipoFZvP6oWbp+0KxaP9wZzP/cF83gP5n/4vyXPhhMP24yCvMG+s8t/uyT6YfTJ9cnzYOvNp/rd/9w/tXZ8rj+sw+bT2dv2vzeE/33Hq9QGA5XP9YEXze/Yf7VmPRH5qv6Pc3c/kyjmr3fM9Mv9HcfDQwoQ+rqjeaPPpp+bt7WmOQrI9s82GXPA7BiTBD4rh4nLkKwPIzrdk+PExcjWBheV5Ez0VGKwID90rIq7e2lYzbEII1OaVGOEmv3wj0+cFBK9NvqxEYLagliq1MWL1udMud9ovf5qEFFQcpAbniFrMiKRI0K68ze44MHxQC94Skuo7JUxSh3tD2xESsiYnimGCtuL4G1AB/wAYNBjJ2o+dqe2KDBuEZre8qr3Nn2xEYKRjdC29PSYbzocRiHfMSUiMeZEHkal1U8yq1LMjUbt0zvU1LEaVLmo8zRAcVGC4Y+ageUnhxLUC2wxzywG1uIUq4OqCyh0UT5hS9ECRIhLE6iiw23UIgSNJDCDYQn+jYau6I0CGuxhDzVXYgSpBK4ECXIJGAhSpAFdSUcGI04zquRsi6CjEW5bEg5SpIhweOTksGuclSyKF44b6bdkyVOcIHsLMdbjpIkR30IEXJd5ajuEa3lSG9uS75ydkalVFtg/MILUkEiBPeEClL5lnxJgyjcIGsLUEEaBO/biwAVpCIkQF0t+ZJUAipQQRbU4AcMhyqzUWGVZ2NRKsEEqKcvX5Qfwb/3Kj8Xl5dmnttoRYkTHCBbfnr68kW5UR9AhFuX+uwe0FqOdNhmKKsf0noy87Ir2+xuvRmKibftMr7EzVBMC2SYBXpphmJCVCSIADx/M1Rysxfq7ve++79e/NNg8k/f/tbFdy/+/jvzZeQ4H+iB/J3VLe6y6YLlUoKUdfb8MBGCtVFcofp6fpgYwaroutKTiY5SAQXsVyWxfZF5zEZ4+y0/XOBgwOy55YeLFoyY1JafbNXy47zH9D4fNRg3STL7xuTIShWXI2U9bGOPjz0jYsfnR1JkpZYoroYfLmBFBAzPE2PE7SWwFuADPmAwgrFzEW/DDxc0GNR6bPjhIgVDG6XhJ1s1/DjdxSEfMSXcsSZEVqVp6ijr1WzcMg0/eRYnSebIpo/4YMG4R+73ybaXoFpgj3lgN7a8kjv7fRSNJsovfHlFkAhh+Q3NpwOUVwQNonCD4LmrjcauKA3C6iIhJ3WXVwSphC6vCFIJWF4RZEFd3QWGI07LUVxZR2QsymUj6iuS/AgOnpT4ddVX1GI53nn77Z4scYIHZOc0vvqKJDfqE4hw66qvdA9oLUd6c9vNc2d3T061BcYvvPwUJELwTqj8vIV2c0EDKdxAa8tRQRoEZ9yLHBWkIiRHrZWAu6JMAqpRQRbUWAiMRlLko9S6VDkWpRJMjPq7zSUZEhx+r3J0cT1q5rnwVpQ4wQOy5ai321ySHPUZRMh16dHuEa3lSIft9yls7LTCLLzsqja7W+/3YeIF65aoQLzNfh+mBTLMAr30+zAhKhJEJrxdNjywukkQn87+HCZCsJSJa0pffw4TI1jEXFctMtFRCpaA/ay2G7PRBenNcd87xoYNhraeO3O4aMHYRu3MKVadOc5rTu/zUYMRjqSI0amxx4cNhiV6U4773jE2VkXECs8OY7/tJbAW4AM+YDBisZMFl40nfMhgCOuxG4eLFAxklG6cYtWN43QRh3zElODW53So2ZBlGnHct46xcYIRjtyDU2wvQbXAHvPAbmwRpHD24PgvV7tBE+UXvggiSISwJobmuLdQBBE0kMINtHZ+KUiDsARIyEPdRRBBKoGLIIJMAhZBBFlQF2CR0bCxGIuy2JD6hyRDgq8nZXtd9Y9ysVruvBF3T5Y4wfmxUxpv/UOSHPXxQ8h11T+6R7SWI7257eCFsx+notoC4xdeigoSIbgnVIoGaAcXNIjCDbK29BSkQfC+vUhPQSpC0tPZDi5IJaD2FGRBDX7IcNhYjEVZBNOevkZwSX4E196r8lzcl5p5LsAVJU7wfWzl6WsEl+RGffYQbl3Cs3tAaznSYRtvrLvYny1V5GNXRG12t914w8ULliVRJXiLjTdcC2SYBfpovOFCVCSIALyOW8fSv1w7JnvtGHcigAVjgr53tThxEYL1YVy2e1qcuBjByvCaepyLjlIFBuyXFIk9ZozZCIO0OfmOIGIDB6VEv41ObLSgliA2Oqlo2eiknJfK3uejBhUFKQG54RSipCqikcps2Pf42EEtQO92ipM8jSJHArHPB6yIgOF5Yoy4vQTWAnzABwxGMHaW5juCiA0aDGr9NT2xkYKhjdD0tHQXL3rcxSEfMSXccSZElsVJ5CgZ1WzYMo1PcVllKnYcVHbEBwuGPWr3k54aS1AtsMc8sBtbcipd3U/Ke7HaTZoov+AlJ0kihHVJdKFBvuQkaRCFGwRP6m00dkVpEJZdCSmps+QkSSVwyUmSSriSkyQL6rI3MByZFuDW9rOxKJNNKDuJ8iO4d1LW11F2UvG8SqGcd+HuyRIn+D92QuMpO4lyoz5/CLeOshMwoLUc6c1tvS9d/U7zc1UJtsD4hRefgkQI3gkVn+Fb7yUNpHAD4WLUfjXDX19855v/yyuDuIwGWTSI1WA40Ir8wVzFNxWjazWnj7SIf3PQ1FIeTh+bctJnpt5iSjUPmhLRh64Ci6C9CF6/F9UrSEVI9VpF1l1RJgFFryALatAFRqOMR7m1C34syiSY6PX2+YsyJASWXmXv4g5W5blVV5Q4wQGyZa+vz1+UHPURRMh16d7uEa3lSIdtt7KWZrSSTb3s4ja7W2+3YuIFi6OoEL3NdiumBTLMAr20WzEhKhJEAF5Hu5XSM+0vDVeyDVfMqQCWqwk639lwxUQI1qZx+e5ruGJiBKvS6wpzJjpKBRqwX5Kn9tP8xmyEt99wxQUOiomeG664aEE1QW24SlcNV86La+/zUYOagpSDtM1dVYVSo8g6r/f40EExwOm3SlKVu/utuIAVETA8TYwRt5fAWoAP+IDBAMbO07z9VlzQYEzrsd+KixSMbJR+q3TVb+X0Fod8xJRox5kQ5rJFnUBZ53HNhi3Vb5WqVLn7rbhgwahH7rdKt5egWmCPeWA3tuRVOfutMhpNlF/4kpcgkbYi8I0PuNJwCyUvQQMp3EB4lm+teKkoyXqocg3MheafmV+5enWWa/9ZfzJL8D8xCf4Xzds9XuTBX/VdgC5pWcLaMCFpdhfHBKkELo4JMglYHBNkQV2ZB0aj0HHGGmjGokw2pDgmyZAQgkiJaVdxLFuUUpzXJe/JEic4QHbS5S2OSZKjPoIIua7iWPeI1nKkN3dHQuVsClNUW2D8witkQSIE94Qq5AA7EgQNonCD4IrYRmNXlAbB+/YiPwWpCMlP544EQSoB9acgC2rwA4YjrUZKWQdkLEolmAD1bUmQ5Efw773Kz8UNuspzJbIocYIDZMtP35YESW7UBxDh1qU+uwe0liMdtjUrto6pFpS5l17SpnfrvVlMvG2f8SXuzWJaIMMs0EtvFhOiIkEE4Gkd/sfpH6Z/NMb9T9N/02LcyPI/TH85/Y/pb2adTx9NHzbWto2f+a3mpwZxNYqSURIl+cg0de3ol8S8xJmlucu6VlxFce5fKx71ugzMHAKwpEzQ186eKCZCsH6My2ZfTxQTI1g5XlcPM9FRqsSA/VKV56PKOspjNkaRrqgbemD8/O7h4cHhXBHUx3vPaAVX7OiX8ivGHxv8RhrsRFZ1cI9PD4z2PfdOcdGC0Z7aO5WveqeclwDf56MGY34fOYIhszX20Njj0wADd3cflQO7gb11fSBcLPb5LBSRBTyPjGW3l8BagA/4gMFICCdagPOpjfOpQecz4VMDQ2iPLVhcpGAgpbRg5asWLOfTeshHTAmurGmzzF79DqdmU+inHavb2SwGwMXgiM8AjK7kHq18ewmqBfaYB3ZjK1Bx5GzSKmg8UYLhS1CCRAhLlOiSQ4ASlKBBFG4QPL1fZdjP3hlG1vm6K8qqrRE8rAgZs7siJUgldEVKkErAipQgC+qCODAcph86Sq2XIoxFuQQrSVXRKLHyuyfLj+Dv+0g3l0lnsahgOK+s3pMlTvCAcKZ0Y4Euct91LkqO+ggi5LwjOkFGtJYj3ejRKDlPy8s4Hp6eRrH+2bIYnqgyG57GcVxFUZmn6eXLt6BHXS1R3jsSbcbACIbXo4JECP4J1aP0TQONBJ0VLWYfN1WZd7RSfVtr1Pemf5z+fKBf/qSF629npZf3pn8aJGkcDaOs0so1japYE02iONtZFlVsxrwjakyFGxPXstfs6a4gPWO23Wuhr0X+V26Uk3a8FSFBixCiQC86WJCKkA5ObUzuijIJKIMFWVBjMDAacVRoQVFYPcdYlEwwHewSTPdk6RHCTK8yeHGXsvLcji1KnOAA2TI4iZNR6pLBkuSojyBCrksGd49oLUc6cGuWa6G18tJL2/RuvTWLiRcs06K69DZbs5gWyDAL9NKaxYSoSBABeFKtWV/26w1NF1hHJpBHkdKJwMeNeR4uVvzNMVlv3MwJBFvMmFOpHSsFW8yYCMH6OK7/fS1mTIxgZXxdZc9ER6mCA/ZLqniUuDrMmBBvr8Msj3b0S7xo8qj8HWZceqBo6bnDjIsWFC3UDrNq1WHmvO36Ph81KF36yHUMma2xh8YenwaoP9bpMKu2rg+Ep8OMy0IRWcDzyFh2ewmsBfiADxgMhHDCCDif2jifGnQ+Ez41MIL22GHGRQrGUUqHWbXqMHM+rYd8xJTYypo2yyTc73BqNgXpDrNq6/oAeDrMuAzA6EruMKu2l6BaYI95YDe3ohe7OszyiMYTJRi8oidJhLDUiq6cbHZFT9KYCjcmvsJhLeKRcndvPU/SHoTlbEKa7qznSVIJW8+TZBKunifJoq1ePCzQ1YGyGKWua3AkqWxANU+UHiHE9JHhLvLcPJrXfnLnleR7ssQJ7g9Ozm7smkzKUZXZyE1kyVEfQIRcRzUPGNFajvQGb7KIXU1tuf8iTIsxMILhJbAgEYJ/QiWw/CYLSYMo3CC4jIU2WUiyInjjXsSoIBUhMeraZCFJJaAaFWRBDYbAcGTpKHfdRC5JJZga9eyxEOVHcPe9ytHFxdW55yZyUeIEB8iWo749FqLkqE8gQq5LjnaPaC1HWv/vGzNNmr3sF5zfuTj77je//YrFEgy9mdloaqGZeGiq3H0NBoyVoiEXfWZWsM+xwbbnmMewoE78nVkEnd3393T/zrxX6eqNQdM59th00TSK8tOrH2oR+YmNlpaEyVfHbG433KKb3Hpecd67kJreBXNETmG6GIrMvOTmpdQvpflamZgX843SfKM036jMNyr9jSrKzIsyL7l5KcxLpV/i2Lyk5sV8NzFfy8ynmfk0Mz+Xma8p83PKfEOZb5jjeiplvmGKmnbnzDVtRjctXq0y9tw39tw39tw39tw39tw39tw39tw39tw39tw39tw39tw39tw39tw39tw39tw39tw39tw39tw39tw39tw39tw39tw39tw39tw39tw39tw39tw39tw39tw39tw39tw39tx32XOfb09FtydeO9PmPDDmPDDmPDDmPDDmPDDmPDDmPDDmPDDmPDDmPDDmPDDmPDDmPDDmPDDmPDDmPDDmPDDmPDDmPDDmPDDmPDDmPDDmPDDmPDDmPDDmPDDmPDDmPDDmPDDmPDDmPDDmPHCZ84BvTtyt8SPnvGkgNU0D5myawrQPaLPWxqy1MWttzFobs9bGrLUxa23MWhuz1sastTFrbcxaG7PWxqy1MWttzFobs9bGrLUxa23MWhuz1sastTFrbcxaG7PWxqy1MWttzFq7zFqzzXqjON1hVtoTf2RseWRseWRseWRseWRseWRseWRseWRseWRseWRseWRseWRseWRseWRseWRseWRseWRseWRseWRseWRseWRseWRseWRseWRseWRseWRseWRseWRseWRseWRseWRseeSy5RHflrikIVbKtSmPjSmPjSmPjSmPjSmPjSmPjSmPjSmPjSmPjSmPjSmPjSmPjSmPjSmPjSmPjSmPjSmPjSmPjSmPjSmPjSmPjSmPjSmPjSmPjSmPjSmPjSmPjSmPjSmPjSmPjSmPjSmPXaY85pmyedxfXorEr/tUY3+bEzJngT71cnB3TWBQWYpx5GgneI6NFmzu40rG6UfNouKrq9uTr/WBzzcdPJp+PJj+XH/BtJp/0bSbzyrHLi3JJNuWOoJbELgQFQkiE94uG147S5dra+ciBJvy8JVHT1s7FyPYjrfukiITHaX1DrCf1XZjNjqRjnZCLZoLG4xg9E71OFWVs1WdDReMYsRW9Xx1kXTuuUiajRqMZqQ1AnRu7PFhg3GpO/9Gse7zsSoiVnh2GPttL4HdTCC5gMGQxV9UTtJ4VFm7WSd81GAYo/WWe1zFi3yoYDQjNJfnqxuk3W7ikI+YEuE4U8L12NVsyP00k6M4j/g4wTBHTITNjFiCupltcsAatJfnl+VZdFIOE1UkwyzKy2F1clINL4qqvDyvLsvTy8sZH2ci+q2TPvtlnAmeTkczGkmUnS1l9ZCipK02Is+JEmnHf9/ogBntO1ffbyoej8y+5s+bxmWzU/pR0yTzk7+1cbwjylHhHNfOEgVpEOq9hGzSFKQ+bzbBm33vr9loPS9KS6T5xeoS7oryCNj5IsiCWncHxsKVzgqyCNb0EkcueXhPliDBb5Nyt66ul8XNvLnnrmVR4gQvyE9QnKM6kSVHffoQcl1dL90jWsuRbkRlcpYV6iw1bdqXuf7Zy/NhWZ6Wwzw9y/RPnhWlmj/PAUWldZFVi0pFtQTGLryoFCRCcE6wqJyd0mO2IN4oe1z91CUqBTkqnOPaolKQBsGdEkSls0QhyERGR44iZaNyV5RKQCkpyIIazIDhcElJQRbBpGSZlqPIuih6T5YgwVv3KiUX1+zmnnuTRYkTfB9bSrpHdSJLjvr0IeS6pGT3iNZypBspeZ4XJ2V2Vg7P00T/bBynwzJRJ8PLQl1ensSnF/Fp2P18RkpaF2G1lMyplsDYhZeSgkQIzgmVkm81Zxt+as60cOlGQUIKJ7S2bhSkQfCdBN2ILUYK0pIRkTYed0V5BFSQgiyoMQwYC5eCFGQRTEF6enAk6RFcdK/6MV+oDc/tuqLECT6QrR+TLHUvRUqSoz57CLku/dg9orUc6XCnu2fOxcXCw60osja3W26gZqJt+4svRwM1k2yGke2lgZoJUZEgAvDM9tmdQTq4+tlsWKaPRuaEt0fTL746uPN8NZj+0hw2bsamOU78yfQTPQ5Nt8BqIB4NDr999veX335lZ2Dk+tVro8H9b/7DN092ZgeXG5nYnEf381jNT3ZfDbs5gs6cSNe8+0PTgjC483ffPDv5X7492LvQruofvnmm8cRqcEd/9PeDpKiiHXMC+2zKfLA49vyLpo/hBxrZZ1c/ffoX7v9VmkeRft/Pd2Yzbn5u/PxEev+vLn/z6nVjgelns59egH28PNj+k0FcXb2RZObPRWrxS+as+4/1x/oPPn10vX7XqzdWb/3DxhavDVa3Qhm7rY54f2f6i+YMOdexHcyZ1A6Igr3uTIRgkyBB23t63ZkYwe7AdXU7Ex2lExCwX+oIhmM2wCDt7mVROTpY7/GBg4qj74Z3LlxQdVAb3otVw7vzrsv7fNSg+iBlKjcmdRRVamQ/e3CPDx3UEvSm9yzPimJUuhrfuXgVES88S4wNt5fAWoAP+IDB+MVO5uI4SdyN71zUYEyjNb4nUVqOlKvxnQsVDG2Uxvdi1fjudBeHfMSUcMeZEmmZRfkosbqKmg1bpvk9r4o4HxWuBnguVjDskRvgi+0lqBbYYx7YDS0wJc4GeP9FeDdIouzCF5gEiRBWL9EVCaDAJEhI4YTwlN5GY1eUBmFxlZBPYgUmQVrtYO2hRUhCbTzuivIIWGASZEFd5AbGwpPQChLZhBqTJD2ClyZlbl01psV9s7nnBmFR4gQ3yE5LvDUmSXLUxw8h11Vj6h7RWo70pra7J86KVEW1BMYuvIQUJEJwTqiE5LW7C3JUOMe1VaUgDYI7JahKZ5VCkImMkHS3uwtSCaglBVlQgxkwHKkaVVZtPxZlEkxMelveJQkSPHavcrJaiA/Pda2ixAn+jy0nvS3vkuSoTyBCrktOdo9oLUc6ZMtSauP2bDlfDXZxU21ut9uyxEULFg1RdRemZYlLNsPI9tGyxIWoSBABeNquf5z+YfrH2U2V/zb9bXOBzx+mv5z+x/Q3g2YwPmqsvejOeThrxXnffOvqJ7NLLPWHg7gaRTqbipJ8ZHqdRmCz0+7Zty+//crg+W+ffe87g2eZTU7P/sPJN88HzzQ49Bv+4999+5WvhGoZ4o4kWHLtQYxzEYLlVZLIdrUMcTGCddU11TMXHaWGCtgvi1wrrFyAIi1DN5TDzWvX98oiNnckmJsRinR+93rRXIbnuHv9Hp8jKA5Y3UWlo6vhBT5cUCAQu4uKaNldVDgvHbzPRw0KhT6SCkNma+yhscenAUqA7k4jB3YDe+v6QLhY7PNZKCILeB4Zy24vgbUAH/ABg8EQzswAF1QbF1QbF1SDLmjC5weGUkanUma9eexFPlQwohI6lZau50XPM3vIR0yJsqzJs8h5O9xOzabQT9dSt8tZDICLwRGfARhkqb1Meu4sQbXAHvPAGrTYGU2Gj3OFwbPEwltlcPUyFTGNJMoueCFKkghhWRNdqmAd5inJUeEc8fTfRmNXlAZhIZaQ+0LtTZK0ZKpSNh53RXmEK0lJsqAuiANj4Um+BYkEq0jFcTQqrfPtnixBguvuI3lcppCLO08Lzy22osQJjhDOe/BRnciSoz6ACLmOihQworUc6U1tcEpdDU5FQrUExi68rhQkQnBOsK7kNDhJclQ4x7V1pSANgjsl6EpnTUWQiYyUdDY4SVIJqCYFWVCDGTAcWTJKHA1OkkyCyclSJaMotxG8J0uQ4LF7lZPJQnwkHjkpSZzg/9hy0j2qE1ly1CcQIdclJ7tHtJYjvalbLlNnO1RKtQTGLrycFCRCcE6onOzecilJSOGE1taOgjQIvpOgHbE1SUFaMkLSxuOuKI+AKlKQBTWGAWPhWZMUJBJMRLq3XIrSI3jpXiVkuhAcznss92SJE9wgW0Kmqhjl1p6FiSw56uOHkOuSkN0jWsuR1v/7xs5MPH3dJxH77JXPbBy1OMw8HFXuPiEFg0oRfU/3ylt953NstG2/cRu98vrzR2Y9cTD9uZaFn5se6aaf+vH0w53B9FdNAfuzq59evWl+0Ub/Dpt+htHvpXueCVGRIDLh7bLhtf2vYEs4EyHYx0ZQk56WcCZGsIFtXaXIREdpVgPsZ7XdmI1OpB+cIOu4sMGYRm/xLtPCeX4kGy0Y1qgd3tmqw9t5o+F9PmowvJEkMTo19viwMyJseGq4sO7zsSoiVnh2GPttL4G1AB/wAYMRi50txEkZjTKrmSd81GAUo3Vjuz3Fi3ykYCyjNGNnq2Zsp5c45COmxDfOjHA9dTUbcj/N1yjOIz5OMMiRW6yz7SWoFthjHtiZkjjVKeppMrzIsrNhdl7oJPUkuRyenav8MjrLzy7T0LWLzNlirWgkUXa2FNZDipLG2og8J0qEsCqGZrh/nD68dnfAMp19Mv30b+d7v39n9uaanuumbeZHTQJsthG7tn4LWkDhFlg7gxSkQVjl6yPTFGQiU9+we4m7okwCVjgEWVCXWIHRcOW3giyClTfiOM/cqbAkQ4IvJ6VzXRWOxTWphefiW1HiBN/Hz1ncwzqRZUd9/hB2XSWO7iGt5UiHPAZI2bhp7Zh7uBVF3uZ2y6UNJlpw7QcVfrdW2mDSzzD6vZQ2mBAVCSIT3i4bHrhQ1IfgZCIEF4UoQtJd2mBiBJeD1pWITHSUpR/Afi7px0R326UNLmwwpvVc2uCiBcMatbSRr0obzhtS7/NRg+GNpIXRqbHHhw2GpV5LG1ysiogVnh3GfttLYC3AB3zAYMTipwne0gYXNRjFeixtcJGCsYxS2shXpQ2nlzjkI6bEN86M8JQ2mJCDlza4OMEgRy5t5NtLUC2wxzywG1raUM7SRkEjibILX9oQJEJYDkMzXInShqAFFG6BtTNIQRqE5b0+Mk1BJoFLG4JMApY2BFlQl1aB0XDlt4IsNqS0IcmQ4MtJ6Zx3HdxwWqyDO+9i3ZMlTvB9/JzFW9qQZEd9/hB23iGdIENay5EOWdqwCmStHf2XgRVtbrdc2mCiBdd+UOF3a6UNJv0Mo99LaYMJUZEgMuHtsuGBC0V9CE4mQnBRiCIk3aUNJkZwOWhdichER1n6Aeznkn5MdLdd2uDCBmNaz6UNLlowrFFLG+WqtOG8mPM+HzUY3khaGJ0ae3zYYFjqtbTBxaqIWOHZYey3vQTWAnzABwxGLH6a4C1tcFGDUazH0gYXKRjLKKWNclXacHqJQz5iSnzjzAhPaYMJOXhpg4sTDHLk0ka5vQTVAnvMA7uhpY3cWdqoaCRRduFLG4JECMthaIYrUdoQtIDCLbB2BilIg7C810emKcgkcGlDkEnA0oYgC+rSKjAarvxWkMWGlDYkGRJ8OSmd6yptLG76LTx3N4sSJ/g+fs7iLW1IsqM+fwi7rtJG95DWcqRDljYKG7dnyzLycivb3G63tMFFC679oMLvtkobXPoZRr+P0gYXoiJBBOCZqy92Bung6mezgZo+Gg2m75kh+OrgzvPmMuW3rl43lzfr/3t/fkHyXMi/89TgPTKXE7w9/cX0N9N3B2l09Uaprt5Io8WdyeZOZf3eH129bi5Zftjc7PxAf/HRoIjMbdA/1H/wcXP+6QfN1QaLS5tnOcHVTwfRTqYGh8/eH8RRXC6u19I/bZDYLLzLtjC41tWDZuYiBNe1KFrYWZ3hYgRXtNZUuVx0lNUrwH7WcviYjS5Idcaz5HqPjxyMzP0WaNhoweBMLNCUq4uTS8/FyWzUYJAmKfq2uYu8TByzY4+PHIyv9BqNipLEWaZhw1VEuPAcMSbcXgJrAT7gAwZDFz/l8ZVp2KjBcEYr08SJUiPlqNOwoYJRjVCnKVdXHbudxSEfMSXScaaEx1HUbNQypZpCpamzWsOGCkY8arWmNNcY2x3EMQ/shlZrCle1pvRfvHeDJMoueLVGkghhhQ9N2gWqNZIWULgF8KTYRmNXlAZhxbKPzFOQSdhqjSSTcNUaSRbU1WJgNHJ7A/hYlMdm1GtEGRK8OSm766jXlIt7cEvPzcaixAnej5+8+Oo1ouyoTyDCrqNeAwxpLUc6ZL3G2tCk1WPi5Va1ud1yvYaJFlwKQqXfrdVrmPQzjH4v9RomREWCCMDz12vyjavXVFGcY/UapoXBRa8+VDMTIbjARVHD7noNEyO4srWuzmWio6xiIfZTWWVPKMZsiBtQtOEiB8Nzz0UbLlowQlOLNsmqaOO8vvc+HzUYqUmy/sbsqMo0y4tRntnA7/HBg3GWXreJkypXVT4qXKUbLmJFRAzPFGPF7SWwFuADPmAwivGzH2/phosajGx9lm64UMEARyndJKvSjdNlHPIRU4Iea0p43UXNBi5TvYmrLCsrNYqUDe0RHy0Y/cgFnGR7CaoF9pgHdkMLOKWzgJPSSKLswhdwBIkQlvzQLF6igCNoAYVbAM+Sp/+HNoJOSgcmpdUprEmJDXNHbrcrypCwutlHlirIJHBtR5BJwNqOIAvqyjIyGkWUjSJXcizIZUPqO5IMCc6elAh21XcWt4qXnnviRYkTPCA/w/HWdyTZUZ9ChF1Xfad7SGs50iHrO5WNmxaXmY9bGbW53XJ9h4kWXDVCleGt1XeY9DOMfi/1HSZERYIIwPPXd+KNKvDsmMnxcPppMydeN1gGeko9bN5Q/9rgb5IoHcZRnNpsvsu2ObhW1oeWZiIE18UoGtld8WFiBBfE1lW/THSUxS/AfklmHeExG98GlHu4yMFo3XO5h4sWDNjUck+2Kvc4L7W+z0cNBm6Sym+bO42qUuUje5P4Hh97RsQOz48kSpRyafR9PmBFBAzPE2PE7SWwFuADPmAwgPFTIW+xh4saDGp9Fnu4UMHYRin2ZKtij9NhHPIRU+IdZ0p4nUXNxi1T60mjtExj914dLlgw8pFLPdn2ElQL7DEP7IaWehxNMzobVzSSKLvwpR5BIoTVPzShlyj1CFpA4RbAE2YbjV1RGoTVzD5yUEEmges5gkwC1nMEWVBXkoHRSPLcvio5FmWyIdUcSYYEf07K87qqOYsL1EvnBep7ssQJ/o+fwnirOZLsqM8gwq6rmtM9pLUc6ZDVnNg6olpA5j5yVdomd8vlHCZacFUIVX+3Vs5h0s8w+r2Uc5gQFQkiAG/6cy3S/zD9ozH+f5r+2/S303en7+kv/HL6H9PfDJrh+UiLeK3Y5zL+4aCp6bxvvnX1E/NbzU8N4moUJaMkSvLRl3yfD3NowEWzPhQ3EyG4QEZR0u6qDxMjuDK2rkZmoqOsgiH2K2LtxXMbxjEbo0jl54ZAGD+/e3h4cDiXCPXx3jNa1BVfMS7cQDcyYSeyKoV7fGZg5GdWhqxZ4Qt8tGDsp1aG8lVlyHkn+H0+alAD9JExGDJbYw+NPT4NMJZ3F4kc2A3sresD4WKxz2ehiCzgeWQsu70E1gJ8wAcMBkE47QL8Tg36nQmfFRg4+6wscaGC8ZNSWcpXlSXnk3rIR0yJqawps8xi/c6mZlPop8jU7WgWA+BicMRnAEZWcuUp316CaoE95oHd0MpTHDlLTwWNJUovfOlJkAhhqRJdfJAoPQlaQOEWwJN7G41dURrt+O+h0UciLMgkcOlJkEnA0pMgC+qyNzIaZakVWOHKvwXJBKw+lam7Q1OSIcGl95FLLjPKxR33pfOO+z1Z4gQXCKdBhGGdyLKjPoYIO++QTpAhreVIB60+uTSk9/bLSrXJ3XL1iYkWXHlCBeCtVZ+Y9DOMfi/VJyZERYIIwBOqPn1JdyENzOTS73347H39aTyyDd4ue/DApbk+ZDkTIbjMRpHb7voUEyO4vraukGaio6ylAfZz70pi4rvF2lS1WCMu/bUpLjNQF/Rcm+KiBZUBtTZVrmpTzkvd7/NRgwqhj3zCkNkae2js8WmAkX6d2lS5dX0gPLUpLgtFZAHPI2PZ7SWwFuADPmAwAMJJGeB3atDvTPiswKDZZ22KCxWMnZTaVLmqTTmf1EM+Yko8ZU2ZZY7rdzY1m4J0barcuj4AntoUlwEYWcm1qXJ7CaoF9pgHdlNrU45V52e1c6KxROmFr00JEiEsZKJLExK1KUELKNwCeOpvo7ErSoOwMNtHEizIJHBtSpBJwNqUIAvqojgwGr5tUYJMNqQwJcmQ4M/7SCSX6WS1qGJUnpRSkjjB/8E5EGFYJ7LsqM8gwq6rMNU9pLUc6aCFKasrerasIi8596HWGFaKMAQKU1y04LITqv5uqzDFpZ9h9PsoTHEhKhJEAJ5QYUptUl1qXmdKWruiHGUn7tCAq249KG4uQnAFjaKknWUnLkZw6WxNjcxFR1kmA+yX2tCN2ehur+hUxfPF3yryFp3YzMCY32/RiY0WjPrEolMVLYtOlfOG+vt81GD07yNXMGS2xh4ae3waYBRfo+iksV8fCHfRic1CEVnA88hYdnsJrAX4gA8YDH9wwgX4nRr0OxM+KzBk9lh0YkMFIyeh6LR0OC96ntRDPmJKNGVNmUX+2uFsajYF4aLT0tEsBsBddGIzACMrteik584SVAvsMQ/sphadElfRqYppLFF6wYtOkkQIi5TosoNA0UnSAgq3AJ7W22jsitIgLLr2kQILMglbdJJkEq7oJMmCuuANjEY6cqXe</t>
  </si>
  <si>
    <t>gjw2o+QkypDgzftII5fJZDyvT8w+sBHfkyVO8H5wBkQY1oksO+oTiLDrKDkBQ1rLkdb/+8bOLDR/3Scmey09WV2SlpGJh6TK3e1kGFaKPHy69KRsaJ9jowUXn1ANyCo9af338WD6q+lb07cH0w8G8UD/vFGNn+gP9C80pafPm+sszX+P9Ovnsy8/ufpBU5V609Q23jGbXj64ev3qjWYPjKlMmF9wHsR2h22zDLNZL/UqJkRFggjAE6pXJaOmLHVtmrRzh/n8eGv6ew3iT9N/HTa5w6uzgtK8bqnfJY6TwQuvnHzv8lK/5x/0O+r3WkykeX2qKYn9WP/8B83ka95XT6EH+gfMbimD9fv6Fx8M4mRHzQthj2e7qSwTS3/0+UB/6dVmV9XDpgpmvmTmqiXJab6l/6x+C/P6qrZQA6DBfG0+m3rbzDixl0rz9j9sADV0zLPxsfng/eaPL03npThn+GnzZx9eM/M7za981oD6VD+KylD73FW+Y85UcP2yj9yFiRBci6TkJO7yHRMjuAi5brbBREdZcETsF5XFKK5sGMdsjLdYxEt39EtmXpR5yc1LYV5K81Lt7FVRZF5i85KYl3Sx/J74y35cW4B6i172i7MkcV6RxYYLSi5q3S9Z1f0ST92PixqUXn0kbIbM1thDY49PA1RD69T9kq3rA+Gp+3FZKCILeB4Zy24vgbUAH/ABg3ETznoBV1UbV1UbV1UbV1UbV1UbV1UbV1UbV1UbV1UbV1UbV1WDrmrCtwMYnWmVwiROU4ebepEPFQzSlEphsqoUOp/tQz5iSuBmTbLlsoPfPdVsCtKVwmTr+gB4KoVcBmAwJlcKk+0lqBbYYx7YJjdOy8soPS2HUZKpYVZk+fDkMj0dVtl5laVFHp2mpzM+zsUdzyoXc4HHWSlMaSxRerZlIA8rylKQjchzokQIa8voKtG/m0T66nWdtuus9ol5+WCWapok+W9NvEh31Jb9sKI7omQVThZfO7HR2BWlQVgWxxPrqx9fvWaj8rwoFZGqYDLKbUzuijIJWBUUZEGtSSCjUSb5KK8yG5mxKJlgpcFoVFln3D1ZegTf3UeauUw200URKfUknJLECQ4QzpDQMZ3IUqM+gAi1rqJg93jWcqQbXVmdXJ4UJ+dnwySPsmF2elkOyzhJh2lSZUmWZ6os5oorpK60qmetKzOqKTB64XWlIBGCbyLryqWGTJSN2B1RYgontraGFKRBcKG9aEhBKiIa0qw83SRyV5RIQAkpyIIawZDBKLMyGSWpjcxYlExACZlYzxK6J0uP4KZ7lZDZQnJkHgkpSZzg/9aQkPYxnchSoz6ACLUuCdk9nrUc6dnSZH52lp2cVkOVRvkwy06j4WmUnA+L9Owkyc7PMpWfvhxcQlpdlpaQimoKjF54CSlIhOCbUAn5p+lHpq3G9NI0hyqbvezt3pxGXT7do7TY9GC+nkdbiVUZ3BE1hcJNsbboFKRBcLq9iE5BKiKiM3IuXAoyCag6BVlQgx4wGrlKRmmc2biMRbkEE51qVLj2M0jSIzj2XkXn4hr6ynkN/Z4scYL/Y4tO15hOZKlRnz+EWpfo7B7PWo70bOdscqYuT1Q5zC7VyTAr0pPhSZyrYZUVVXJ6fn5yfj43TEjRaXVZWnTmVFNg9MKLTkEiBN+Eis53tYx8qIWnX3Z69jewFamgnRRup7UVqSANgkfuRZEKUhFRpIk9g70ryiSgIhVkQY2IyGioKBqp1Pq4j0XJBJOkxShNbPTuydIjuP1eJWm+kDCeS+xFiRMcIFuSusZ0IkuN+gAi1Lokafd41nKkG0malycXyWkaDy+K02SYxeZny7IaJvn5eaaK8rI6n/vXkJJU2UyhJWlBNQVGL7wkFSRC8E2oJH3nqe21P12c3vJ4+qARpQ+09vzs6s2rf7n6Z3N2y+y7Sall5la0k0ezz9Pp5zZL3BG1hMItsbboFKRB8Lm46Gz2Y384GtjH5XlRQiLS03EO811RJgGlpyALauRDRiONslFur2eORckEk56p66Dye7L8CP69V+25uBe58lx1LUqc4AfZ2tM5qBNZbtRHEOHWJT67B7SWI92Iz/OLLCvjKBqeROnlMEsuT4enVZQOL0/i86jM1EWanbwcXHxai2pafJZUU2D0wotPQSIE58QTn51rm1p0ZlHT8emUnIL8Fc5/bckpSIPganuUnIKERCSno+X7riiTgJJTkAU13iGjkRXVKIpcklOQTDDJmZej2FWBl+RH8Oq9Ss5yoVA89yKLEif4QbbkdA7qRJYb9RFEuHVJzu4BreVIz0rwJ9V5cpbHwzJpfjZVw9O4KocXVRHF56fnhcouXg4uOa0lGi05K6opMHrhJacgEYJzgiVnc5jaa+YotLeaI9Zev/rBYPqv7YPT5iuhpsx29UaczF5HyiFw7ohaQeFWWFt4CtIgOFyC8HQeAifIRERxug+wFmQSUHEKsqCGO2Q04kqNqqiykRmLkgmmOCPHwUf3ZOkRfHqvgnNxxWbluTVVlDjB/7EFZ5yr3DGsE1l21GcQYdclObuHtJYjPVvlPC2KvIrK4UlxcT7MLi4vhifxRTSMs7PoPD09Ob+ML18OLjmtefKzVeS7FcauviF6oSWnKBGCe0Il59vmzOCZ5Py11p5vXL129bq5bvXq1eYA38dabRqxqZorOW2M74gyVjjjNeWlKA2CeyXIS/+6pighIZUZKRuVu6JUgslMURbUEIcMR5zFI2UdkbEol2AqMxvl1hWQe7L0CG68R5VpDkVtJMn8AxvxPVniBDfIVpmuMZ3IUqM+fwg1v8RExrOWIz2TmPF5HJ+raniqLqthdnoWDcsq08L0LIrzKEpOL7N5pAgpMa2JsZaYvgtj7KaA6IWXmIJECL4JlZg/by5pf3j1/WFzwcOj6eNGUuZb9uuM7ojyUzi/tQWlIA2CJ8UFpXNDkCgVISmZ2pjcFWUSUEkKsqBGMmQ0MnPGSGaNy2NRMsGkZDIqMxu9e7L0CO66VykZL6SH+849WeIEB8iWkq4xnchSoz6ACLUuKdk9nrUc6dmGoFOVXpRJPrw4yy+G2Yn52TyPhufp5blSF+en6fn8WQ4pJe0dElpLJlRbYPzCa0lBIgTnhGrJp65pG0x/b+75mz4yt5/N9wY1J7hfvTF9fPXm1ZuDqx+ZK86uXrv66ezbplQ+8KxjCppC4aZYW3YK0iB43V5kpyCVwLJTkElA2SnIghr1kNHwy05BMsFkp7NOLkuP4Nl7lZ3JQqa47xCTJU5wgGzZmSaui55luVGfQIRbl+7sHtBajvTsTPfi8lJVZ2fDk+okNT+b6p81y51lHGWxyi/Kk7kgC6o7rf1WWnemVFtg/MLrTkEiBO/Uk+40l97+2ak6lU90CtpB4XZYW3QK0iD43F5EpyCVwKJTkElA0SnIghrykNHwi05BMpsgOiXpEdx6r6IzXWgU9z1CssQJDpAtOpNiVLpEpyQ36hOIcOsSnd0DWsuR1v/7xlNqy2jJr/vEpeOiTZ6wzGxktarMvGSLNtnlraAYVopazBuwSoNN7HsOnmOjbfsPl2VBSfj76QMtCd9vziH61PRPfmxePjfa0PRTTv88aBr05qpRS8Qn0w+nTwZPbSJvfsscZfRoYE7QNNdQmnM3B2afT3Pa5sNBupPo99wZNH/js6t/acTlmwMtPl9t3v2zq5/qv2uO4XzQiFD9y581f05/aWDedwZBozKS1BzgabPpHbZNM8ymc3n5t9/8DjJlbRD/mg1RkSAy4e2y4bWduwMermxdu47YCNui1YGQIlgju4C4y8bYlqMOjOtKUSa6dpDzXZ4M2M9quzEb3Q3d6Ll2XkIzcmGDkXIJG754PU5iB9oX+GjBWLlEa8F5Q9cY483vXjfIXGrmPh81GDNJehudGnt82BkRNjw1XFj3+VgVESs8O4z9tpfAWoAP+IDBiMVORVw2nvAhgyHsH3tyEy/ykYKB7B/RSTBZuYgXPS7ikI+YEtz6nA41G3ICBrzv9uIajvg4wQj3XZJbMHbbXoJqgT3mgf1v/23n/xUqh1U23DqHVR7cRRk7jYxh7TuHZaIF4/H/nDks06YZZtNeclgmREWCyIS3y4YHKoI+clgmQlAA9JPDMjGCoX/dHJaJjhLmAfslDvON2QBvO43lwgaDZc9pLBctGC6paaxapbHOW7Lu81GDYVMqjeXCBiMTPY1NMvP8uXNZLmBFBAxPEWPE7SWwm7ksFzAYuSRyWS5kMJQRc9lSC1ZXLstFCgY0Si6rVrms008c8hFTglyf06FmQ5bJZdM8dfuHIz5YMNaRE1q1vQR1M6HlgA2Z0OY23DqhzX24q00ryjLRgpH5f86ElmlTUDb0ktAyISoSRADe9OfTP07/MP2j6bn8T9N/m/52+u70Pf2FX07/Y/qbQTOGH5krLZcntz8cNHcImSM1X7v6ifmt5qcGcTWKklESJfnIRnmXTRmUGn0kyUyEoLLoJ0lmYgQ1xbpJMhMdRT8A9lNVYW6zsWEcszHedp7MhQ3G4J7zZC5aMApT8+R8lSc7r+67z0cNRmOpPJkLGwx43Xmyo3PQPGxb1w3vMv4+n4UisoDnjbHs9hLYzeSZCxiMaBLJMxcyGOJ6TJ65SMFAR0me81Xy7HQeh3zElODX53So2ZD7SZ67ncbC4C6jH/EZgFGRnFHn20tQNzNqDth52/PcVYdte7ZuxtAZduHhofLKaXQMKy/DzpwZNhMtGNPRDPt31Fz63elb01/M98k9mn480L/5qdk6p3/mkc7FzK9+ak6eHUw/0hnZw8W76dT7DfNezY0INovcYVsElAu95MdMiIoEkQlvlw0PjPx95LJMhGCg7yeXZWIEQ/y6uSwTHSWcA/ZzVXuZ6G47i+XCBuMcI4stksydxnLhgqGOmsYWqzTWeQnofT5qMORJpbFc2GBc6k5jUaz7fKyKiBWeHcZ+20tgN5NVLmAwZLGT1TiNPfkqFzUYxoj5qttVvMiHCkYzSsJarBJWp5s45COmRDjOlPAkrEzI/SSsKM4jPk4wzJHT0mJ7CepmWsoBa9BeptWJqpJymMbx5TCOLy6GVRVlw/M4z+OTs+j0tJpHFGe6+q2Tno+AKexpoE5a/dcU3mCJ0rMlth5WlOTWRuQ5USJtAeAbHjDvfepuvmt5alPnba6E1mmsORXGJLZNOfjX019O3xl8568SZY5/GdTf/t4r5899++Sfzgf19/7x4p+e/+YrFzbL3BG1jMIts3ZyKUijHc09NPpIQgWZtCO8hwkhWbXxuCvKI+CBMIIsqMdRAGPhSnwFWWzCSTCS9AjunZTjOVbylyfBlIuDQ9z3QssSJ7g9oURGkh314UPYeYd0ggxpLUc6aJthaSP37OIaUTu5okza5G65CMJEC64IoWJwk4ogTItkmEV6KYIwISoSRACeOdx+Z5AOrn42G7vpo9Fg+p4ekC++OrjzfFzqz95pDeYnTw+llvjz4XtXT4G3h8246DEcNNcofq5l//f1T5gjIs2c+PTq+3r8XjMNoFr+/z8m9wfPH+qs4Or16fum99CcIflgcH9vEOWq+M7fjcyd37+L9T9/1NA+1u9mjjL/iXkr00X6sOk9/WSQRspc952aO5/0O39m2knN9x808D509SwyRwBcNOtDYjMRggtkBOnsqfMwMYIrY+vKYiY6yioYYr90pGwAx2yAt13q4cIGo3nfpR4uXDCgU0s91arU47wJ+T4fNRjYSWkAOjf2+LDB6Esv9SRpUrgmxz4fryLihWeIseH2ElgL8AEfMBi5hLIkLmowmtHKPYkqXfeuv8iHCgY1SrmnWpV7nK7ikI+YEuhYU6LIS+Uu+TBhy5R80qyKXV3vR3ysYMgjl32q7SWoFthjHthNLfuUrrLP/CIqmCVKL3jZR5IIYV0QzfQDln0kLaNwy+DptI3GrigNwvpnDzmpJJOQZR9JHuHKPpIsqCvPyFg482BJIhtQ+RGlR/DwpJSvo/ITL65aj51Xre/JEid4PpmcRpQd9flD2HVUfoAhreVIB638WIWzlpSxj1yVtcndbuWHixZcIEL14AZVfrgWyTCL9FH54UJUJIgAPInjIQZ3nk+ikRnhB1ev6/H/yJwFogf31aF+64fmFlozHd6dZQmD6S+a939vkJq5UDaX0V69kZsXFZlMYWdw+Oz9QRXNbx65qauZtgRXwvrQy0yE4KoXQQe7azhcjOBy17oal4mOsrSF2K+oRpWyQRyzIYpUcW7E+PHzu4eHB4fzKF8f7z2jdZmO7vqRM9CbTbiRNdjf4zMDgzer0JOOKmv4foEPF4zfxEJPHC8LPbHzEvn7fNRgHO9D9RsyW2MPjT0+DTD4dhd+nLvONfbrA+E+qoLNQhFZwPPIWHZ7CawF+IAPGAyCcOoEOJ4adDwTPiswcPZYLmJDBeMnoVy0dDgvep7UQz5iSkxlTZllJup3NjWbQj+lo25HsxgA9/EWbAZgaKUWlPTcWYJqgT3mgd3UglLlLCglNJYovfAFJUEihOVGdAEhZEFJ0DIKtwyepdto7IrSICyr9pEgCzIJWlAS5BGwoCTIgrqgjYyFLykXpLIJJSVJegQf30dyuUwxk0X9IfGkmZLECb4PzovaY5qXqaekJMmO+gQi7LpKSt1DWsuRDllSSqwjqkVl6iWXt8ndckmJiRZcikIV4SaVlJgWyTCL9FJSYkJUJIgAPKGSUjEaPPsPpxffGQ2mP7/6frN9SA/u9LOvmv1BD/Qgv6pH87XmDW/sTbr6mR74J828+bzZhvRps8/oczNt9OujBurR7t3j+88emg//88B8Z/meemppToM8iqY/z830qqLh9L1hrPTPPTZzSE+yf9Z4PpkdkP/k6gdmB9LVTwfT9waxGqblYHI43hvc/6u0iKL/PJvLX5htTPq/Hy0RX//N35jfTKrFb+bmFzXdD5ecJvfvm3fciQbTz//ztefDoH1Hfy9uvmebLbvs2QKuF/aREzARgmt/BK3vKZoxMYKLfuvqeCY6ygIfYL+sLEaFtVYzZkO8xaJZtli7Tv1FMy4zUJ70XTTjwgUVCrVolq6KZqmnaMZFDSqVPvIaQ2Zr7KGxx6cByot1imbp1vWB8BTNuCwUkQU8j4xlt5fAWoAP+IDBIAgnh4DjqUHHM+GzAgNnn0UzLlQwflKKZumqaOZ8Ug/5iCkxlTVllrm239nUbArSRbN06/oAeIpmXAZgaCUXzdLtJagW2GMe2A0tmiWRs2iW0Vii9MIXzQSJtEWHb3jAJZKQRTNByyjcMvg6hI3GrigNwsJxHwmyIJOgRTNBHgGLZoIsqEv2wFh4k3JBKptQNJOkR/DxfSSXyxQzW1RYMk+aKUmc4PvgvOiGA8mj2LFrZyLLjvoEIuy6imbdQ1rLkTbXEu3MtFew64gSl7hUHpKqiNokAxXPrGH5OTbatue49eLZr/QX3h5MPxjEA/1rRkp+MjvCzdwBbI5ha05fezw/xu1a/eJNc17cOzb73GHbJ8Ps00spjQlRkSAy4e2y4YHLVn1IUyZCcAmKIDk9tRsmRnDtaV05yURHWWcC7Ge13ZiNTqRsQ1B+XNhg1GPUZNKicp5Yx4YLBj5qTUatajLKU5PhogYDIEk2o3Njjw8bjEvdNRgU6z4fqyJihWeHsd/2ElgL8AEfMBiy2BlFEhX5SFmXbid81GAYo1VSPK7iRT5UMJpRKilqVUlxuolDPmJKhONMCfflRFzI/VROUJxHfJxgmCPXR9T2ElQL7DEPbJMPpOVllJ6WwyjJ1DArsnx4cpmeDqvsvMrSIo9O09MZH2fy6snimQmssz6S01ii9GxprocVJdW1EXlOlAhh7QzNgv/96vWr71+9Pv3CpLBPzMsHTd+dyWY//1uT7KY7asu+4e2OKFmFk107XxSkQVj2w/PKqx/b+3CfF6UiU/NQNiJ3RYkELHoIsqAuuQKD4cpmBVkErHfY90Ddk6VH8NmkxK2r3pEvFsdzT71DkjjB8bGzE9eYTmSpUZ88hFpXsaN7PGs50o2erE4uT4qT87NhkkfZMDu9LIdlnKTDNKmyJMszVRZzpRVST1oXWLWe9F7paTMFRi+8nhQkQvBNZD251I6J9Qm9I0pM4cTW1o6CNAgutBftKEhFRDumrsqFIJGA2lGQBTWCAYPh0o6CLAJqx8R6Cd49WXoE/9yrdiwWWsN5d/qeLHGC41tDO9rHdCJLjfrkIdS6tGP3eNZypBvtWJxWuYrSi6Eqy0r/bFkOT4vLXH8anZ2cnOR5cnLxcnDtaC1raO3ovbXTZgqMXnjtKEiE4Jtg7djcWPhpc1/hB7Oem4+Mipx+rL882xH96fTR4OrHTev2BzsD/Rtm1/S7099O356+1SjO6XupdVTviBpD4cZYW28K0iC4XVxv6jH70EbleVEqInozGqXKRuWuKJWAilOQBTXuIcNhYzEWZRFMcSrXfWD3ZPkR3HqvknNxm3bsuSBdlDjB97Elp3NQJ7LcqM8ewq1Lc3YPaC1Helb/zs/OspPTaqjSKB9m2Wk0PI2S82GRnp0k2flZpvLTl4NrzsxmCq05K6opMHrhNacgEYJzQjXnn8zlC9NHzRbA14zENEfLPNWpba7OngnLpw7MWZxJY76eR1tJYTPFHVFTKNwUaytOQRoEr4srTs8KpyAVKcVpY3JXlElAwSnIghr0kNGwsRiLsggnOEe5S29K0iO49F71ZrWQJ877gvdkiRM8H19vOsZ0IkuN+uQh1LrkZvd41nKkG7l5nlb5WZqlwyy6OBtmaXQxPM1VPDy7LC/Kkzi6TIrs5eByU9lM8Ww1P4aTYAqMXnC5KUmE4JtQuWnu9HqoJadfcA6a3YiP9Zdeb45h/KDZSPiBkZxcLSppJ4XbaV0tKkmD4JH70KKSVES0aDrKbUzuijIJp0UlWVAjIjAaDi0qySKYFo3VqHKIUVF+BIffpxhNFhfKJp47gkWJE1wfW4w6B3Uiy4367CHcOtQoMKC1HOlGjabZaXZxfnYxVJFRrnmcD08vksthdZ4VhZGuUXXycnA1ag0gWo367k2ymgKjF16NChIhOCdUjb7z9InaM2X5ePqgUaMPtOj87OrNq3+ZndttvpeUWl1uRTtZ1LR22g/OviNqA4XbYG2lKUiD4G5xpdmcYfLhyHGg+fOihET0pqO3+64ok4B6U5AFNeYBo+HSm4IsgunNJBmV1rl2T5YfwaX3qjfjhTzx3FMrSpzgANl60zmoE1lu1GcP4dalN7sHtJYjPVv9vMiyMo6i4UmUXg6z5PJ0eFpF6fDyJD6PykxdpNkt6E3rYpjWmwnVFBi98HpTkAjBOa2hN30rmYDWFOSvcP5ra01BGgRX26PWFCQkojUzu6u4K8okoNYUZEGNd8BouLSmIItgWjPPR5VjL5EoP4I771VrLm42TDyXVYoSJzhAttZ0DupElhv12UO4dWnN7gGt5Ug3WjO6OC1Ozy6T4clZXA6z0/OLYXmR5sP07Ow0OztXZRnNZ3tIrWkdf601U6opMHrhtaYgEYJzgrXm09f9tY7e1Z9evTn93BzY261Cbda4I2oNhVtjbeUpSIPgeHHl6amnC1IR0pyu9U1BJgE1pyALatwDRsOlOQVZBNOc2ahyLW9K0iN49V4lZ7pQKJ4bBUWJEzwfW3K6xnQiS4365CHUuhRn93jWcqQbxRmfVOfJWR4Py6RRp6kansZVObyoiig+Pz0vVHbxcnDFWdlMoRVnRjUFRi+84hQkQvBNuOJcXjX2lqmjX71+9YPB9F+nD6afNEdqmuu7vz/96G9nV0gkKoqu3oiT2etIOdbS7ohaQeFWWFtpCtIg+FtcaTrvbpBkIiI041GkbFTuilIJqDQFWVDjHTAcLqUpyCKY0nRfLSFKj+DNe1WaixuoEs+lYqLECZ6PrTRjlUSjNLWxm8iyoz58CLsusdk9pLUc6Vkp/bQo8ioqhyfFxfkwu7i8GJ7EF9Ewzs6i8/T05Pwyvnw5uNiMrc+1VpuKaguMX3i1KUiE4J9Qtfm2uVpspjZ/rWXnG1evXb2uVeeHV69qoflAf/RRs7SpInOLrY3xHVHGCme8trIUpEHwrwRl2VU9FyQUWmAKUgkoMAVZUGMcMBwugSnIIpjAzJzb1EXpERx4rwJTLdSI86KgPVniBAfIFpiuMZ3IUqM+eQi1LnXZPZ61HOlGXV5cpnl+np8O49gse8b52fDk7Ew124ku9NcuymQ+2YOqy9hmC60uc6otMH7h1aUgEYJzYqjLB1ff1xLykTnVvdkN9ODqzcEz5qIgs6b5xdWbWmp+On3wlW61KWgBhVtgbbUpSIPgbHtUm4KERNRmNLJfKXBXlEpAtSnIghrzkOGwsRiLsgimNpNR6VKbkvQIDr1Xtbm4Yybx3BkkSpzgANlq0zWmE1lq1CcPodalNrvHs5Yj3ajN09Ozi5PLtBqqLDsbZkV5OTzJI/2z8Wl5Hmtlmqr5sxxUbVore1ptks/Ax/iFV5uCRAjOCVWbv2quDHrctGDODn5v1jIfze6i1FLzgdkwNOvLHGht+vPpu9P3pr+d/k7/9/t5PX36p+nvp29N/6Bf3zM/83/qT94d3J+oeDD9uc1Kd0StpHArra1IBWkQHDJBkTpPhJekIqRFrYnrXVEmAaWoIAtqQERGw8ZiLMoimBQtS7cWleRHcPe9atHFnTWJ5w4iUeIE18fWos5Bnchyoz57CLcuMdo9oLUc6VlhPT6P43NVDU/VpTk8/iwallV2OczOojiPouT0MpsHiaBiNLXZQotR8uH4GL/wYlSQCME7oWL0582Cptadw+YqokfTx83SZr6VWZ/UO6L8FM5vbRkpSIPgS3EZ6dkKJEhFSEYWykblriiVgDpSkAU1liHDYWMxFmURTEd6ljQl6REcda8ycnENTeK5V0iUOMH1sWWkZ0lTkhr1yUOodanI7vGs5UgbGelTh//bt//p7y3kecrQtUZZecgVZdom98r3/uEfbJLPgZUi9/IGrNJgHVtZn2OjbbsLl2VBTfe76ZNZOXv650FTD53vDDdnrE8/nD4ZPLUDvLl38t3pW9NfzBcWH00/Hkx/pb/w9mD6wSA2pe/PzNbxwWJn+aPp56Zc3vz3SL9+fmPD+TvTd2z2ucO2T4bZZ64J//ab30Gmnw3iX7MhKhJEAJ4522xnkA6ufjYbyemj0WD6njbxF18d3Hk+GQ2e3vPfjOwnT4/rk+mn87F8a/p7rfL/NP3XYbNj69XZuvNA/6PfS79LHCeDF145+d7lpX7PP8xP4p8PerOx601zQP/7Vz9uVqib+TKfI+9O3xn+9fOD5hz/RwM9/q29X/pH42RHmSaJnYF5q4HBe/X61RvXT/rXH+lJpGdVw/SzBuaPGlqfzr71adOWYV5fnT5s5tcgj67eSIo58J2BfsNX5/cJPG6M8bmZrxrzAzPhW3N0dunAY/NW7zfGeqg/zMzWNP0ymMPVhjS2unrdGEl/Mmgsp9++sbJ5ebh4GPRPff/q9RvvGC/frAXlU/2LD/UbfDZ/hj5ZnMqwHE4zQO23yw1A/TKyTdxd9sRtR2zHxMUTFfdOMibCdg7iQIjnH/Eosu/bucvG2E4uHBjXTSyY6NrSxYEOTRgq12XSYzbCGwmBA+JayUBWRqPYdRoVFzioipbA62/90+QVW3y6MUvTonLsL3uBDxcURku4FqA3RKux3vZMsxpkLql6n48aFEikXOrG7MiStKxGpXVm7/Gxg+JliR2fIEkRZUUyKqxzZJ+PWBERwxPFWHF7CawF+IAPGIxh/IwzKvKRsk6MCR81GNf+keQ1kigvR8o6I17kQwXD2z+iE2Gy8hgvejzGIR8xJeRxpkRcxWkcFaPIOpdrNvAEDITfpbmKyqwEVI6NS0d8tGD0+y7JTRjrbS9BtcAe88BuakUssbdUPFulEY0lSi94QUySCGGdFV08IRfEJPkpnB++smCjsStKg7AqjOeZ7oKYJJXABTFJKuEKYpIsqMvywHDkVTSq7CMyFuWyAWUxUXoEd01K5TrKYunigrLUc+OcKHGCA+QnKc6ymCg16vOHUOsoiwHjWcuR3thO/8ReltJS0ncXitUUGL3wUlKQCME3oVLylhr9Ja2kcCutLUgFaRD8MS5I3Y3+klSEBKmj0V+SSUA9KsiCGg+B0agSR9vsWJRJMDXqafYX5Udw+b3K0cX9ZannQjpR4gT3x5ajnmZ/UW7U5w/h1qVHuwe0liO9seecJPYisdajCdUUGL3welSQCME5oXpU4JgTSQso3AJra01BGgRnS9CaHcecSBISUpyuY04kqQSUnIIsqCEPGI4kjUapfUTGolyCiU7PEqgkPYJb71VzLu4xSz0X04kSJ7hBtub0LIFKUqM+fwi1LsnZPZ61HOmNPbg5GWU2U2jJmVJNgdELLzkFiRB8E0Nycs9tlmSscMZrS0xBGgTf2qPEFCQkIjHd5zZLUgkoMQVZUEMcMBxVXozS3DoiY1EuwSSm+/RmUXoEN96rxFxcXJZ6LqITJU5wg2yJ6T69WZQa9flDqHVJzO7xrOVIb+xFdMnI6rK0xMyopsDohZeYgkQIvgmVmEIX0UlaQeFWWFt2CtIg+FuC7HRtH5RkElpvClIJqDcFWVDjHTAcfr0pyCWY3nRfRydKj+DTe9Wbi7vLUs91dKLECf6PrTe919GJsqM+ggi7LsnZPaS1HOlGcmL3JIeWnLnNFFpyKqopMHrhJacgEYJ7wiXn8qiGG4ef6E+v3px+bk7P+NvFuQ6LMzmufjRr9mw2FEVb8/Mfb0pPQWso3BprS09BGgTXi0tPz44iQSoi2tNxRNFdUSYBpacgC2rcA0YjLfNqlFmd+FiUSzDpmY0q64S7J0uP4Nt7lZ6Li81Sz0V1osQJ/o8tPV1jOpGlRn3+EGpdurN7PGs50o3uTLPT7OL87GKooigfZnmcD08vksthdZ4VRZKdn0XVycvBdadVoGjdmVNNgdELrzsFiRB8E6w7n5KaP52py8fTB40CfaDlqNafTTPn/ESxpNQKcyvaySLzWepc6BS0gcJtsLbaFKRB8La42uysrwsSEtGcsVNzCjIJqDkFWVBjHjIacaRGyqU5BbkE05w6PpUu0SnJj+DYexWdi/vNUs99daLECW6QLTqdgzqR5UZ9AhFuXaqze0BrOdKzHs6LLCvjKBqeRM3K6OXp8LSK0uHlSXwelZm6SLNbUJ3WIxq16iyopsDohVedgkQIzmkN1elb0wQUpyB/hfNfW3EK0iC42h4VpyAhEcWZ2RPUu6JMAipOQRbUeIeMRppGjqvtx6JcginOPB9VjvODRfkRnHqvinNxiVnquZVOlDjBDbIVp3NQJ7LcqE8gwq1LcXYPaC1HeqY40yo/S7N0mEUXZ82+ouFpruLh2WV5UZ7E0WVSZC8HV5yVzRRacfquVrGbAqIXXnEKEiE4J1Rxvqt1ysPpR+bwzaa186FRnpYrHJ7Mb6u4dpuEEaPdKtVmpzuidlK4ndZWpoI0CC4ZV6aeyrsgFRFNmtqbde6KMgmoSQVZUCMiMhppnI9ya3gfi3IJpkljNapcXZ+S/Ahuv1dNurgSLfVccSdKnOAA2ZrUOagTWW7UJxDh1qVJuwe0liPdaNIsPzvLTk6roUrNiml2Gg1Po+R8WKRnJ2bBNFP56cvBNWlsnQBalFZUW2D8wotSQSIE74SK0j9psflZhyRl605BUyjcFGvrTkEaBLfbi+4UpCKiOyP7aWt3RZkE1J2CLKhRDxiNpMhHqXVVYSxKJZjsVO697ZL0CH69V9VZLUSK866iPVniBPfHVp2uMZ3IUqM+fgi1LtHZPZ61HOlGdBanVa6i9GKoytKcNl+Ww9PiMtefRmcnJyd5npxcvBxedFrLN89W88tvCLbA+AUXnZJECM4JFZ3/rsXkg+YiooeLy3c/ajTmx/rLHxkVqr/4yNwua27R/WBnoH/jD9NfTt+d/nb69vStmR59L7VKgzuixlC4MdaVnZI0CH4Xl53uk+IlqUjJTmWjcleUSjjdKcmCGviA4UjNEXjKOiJjUS7hhKdy7nIX5Udw7n0qz2xx103mubtIlDjBA/KVp2tQJ7LcqE8gwq1DegIDWsuRbqRndXJ5Upycnw2TPMr0z16WwzJO0mGaVFmS5Zkqi7kmCyo9E5sttPSMqbbA+IWXnoJECN4Jlp6mrH71+vSLRkSmO2rLfh70HVFiCie2towUpEFworiMdK9eSlIRkZGp1fvfFSUSUEQKsqCGMGAwkiJ3rV1KMgkmIaNR4ujiFKVH8NG9KsjF7TSZ57ohUeIE58dWkK4xnchSoz59CLUuAdk9nrUc6VnBPC0vo/S0HEZJpoZZkeXDk8v0dFhl51WWFnl0mp6+HF5AWle5tIBMqLbA+IUXkIJECM6JLCDNvUJPzEtz76Upi08/X4pK+4rzHVGyCie7tqgUpEHwq72ISkEqIqIyVjYid0WJBBSVgiyoYQ0ZjLSMK/vZyWNRLgFlZWWld0+WHsFz9yorFzfQZJ4bhUSJE9zfGrLSPqYTWWrU5w+h1iUru8ezliOt//cN/cuZ/p2v+2Tj//btf/p7ixF4ktGlF1MPSVXEbZKvfO8f/sGmBR1YKTowb8AqDTaz32z0HBtt2224LAuKvd9pUddc9DP986DZZzw/H9Psz5l+qOXfU12RTRn73elb01/MzmTXX35k6tyD6c/NtZRXr1691mzoeTz9cGdgblGfbT2/etP8vs0Kd9hWyDArzFXg337zO8gks0H8azZERYLIhLfLhtf2wg54uAB1HgDPRdjWlg6EBF05iuzVqrtsjG3Z6MC4rmRkomuHIwc6VApabTdmo7sh8Bzw1hR3zqozFzYY25aw62/90+QVm/9pY63y1IH2BT5aMLot0Vpw3lAgxnjbMwFikLl0x30+ajDKkYQxOjX2+LDBsLSEDU8NF9Z9PlZFxArPDmO/7SWwFuADPmAwYrFzhipKnCcKsEGDQewfe3IUL/KRgqHsH9FpMFk5iRc9TuKQj5gS3jgTwvXQ1WzICRjyvtuLczji4wRj3HdJjsHYbXsJqgX2mAe2EYpnWZzGUaxz1epkmKkyG56cXRTDvDo5j+LL89OTk/lj6MxPPYk6M0cduTqyMxpLlJ4tk/WwomSzNiLPiRJph3/f8ICJ7jut3PaTpzPbJ9NPdcI6/WPTff3/nf7/pu9N/zC/eGz6frNn8Cf6F5rP4+YGMvOSeS6/lTSOwo2zdnIpSIOwDNhHEirIRKYIYncgd0WZBKyCCLKgrsICo+FKfQVZBKt/lEk0Kq19Q/dkCRK8PCnR66qALG6ryjwXkIkSJ7g+djbjHtWJLDnq04eQ66qBdI9oLUfa9Nb4tGWvtY/MRk6rSuUhV5RZm9wt1z6YaMFVIVQS3nbtg2mFDLNCL7UPJkRFgsiEt8uGB64k9SE7mQjBZSOKnHTXPpgYwQWjdYUiEx1lcQiwn0sAMtHddu2DCxuMbT3XPrhowehGrX2oVe3Dee/UfT5qMMqRJDE6Nfb4sMGw1Gvtg4tVEbHCs8PYb3sJrAX4gA8YjFj8bEEpd7bABQ0GsR5rH1ykYCij1D7UqvbhdBKHfMSU8MaZEJ7aBxNy8NoHFycY48i1D7W9BNUCe8wDO4sWxUlcVmc6Mz2PhtmpOc071p9WZZSUeVmkp9XcMTvzU0+CzsxRnbWPnMYSpRe+9iFIhLAqhia63bWPG0nsvPjxi0Xxw2aHO6J2ULgd1s4jBWkQ1vr6yDcFmQQucwgyCVjmEGRBXWgFRsOV5QqyCFbmKIpyFLn2D0sSJDh0Uk7XVeZYXFOXee4dFCVOcH3sxMU9qhNZctSnDyHXVeboHtFajnTQMoeykdMCsvCSU21yt1zmYKIFF4BQ9XfbZQ6mFTLMCr2UOZgQFQkiE94uGx64aNSH7GQiBFeIKHLSXeZgYgTXhtYVikx0lHUgwH4uAchEd9tlDi5sMLb1XObgogWjG7XMUazKHM5r5+7zUYNRjiSJ0amxx4cNhqVeyxxcrIqIFZ4dxn7bS2AtwAd8wGDEYmcL3jIHFzQYxHosc3CRgqGMUuYoVmUOp5M45COmhDfOhPCUOZiQg5c5uDjBGEcucxTbS1AtsMc8sJta5lDOMof/1qsbLFF64cscgkQIq2JooitX5hC0g8LtsHYeKUiDsNbXR74pyCRwmUOQScAyhyAL6kIrMBquLFeQxWaUOSQJEhw6KafrKnMs7qHMPBeLihInuD524uItc0iSoz59CLmuMkf3iNZypIOWOXIbOS0gKy+5vE3ulsscTLTgAhCq/m67zMG0QoZZoZcyBxOiIkFkwttlwwMXjfqQnUyE4AoRRU66yxxMjODa0LpCkYmOsg4E2M8lAJnobrvMwYUNxraeyxxctGB0o5Y5qlWZw3mp5H0+ajDKkSQxOjX2+LDBsNRrmYOLVRGxwrPD2G97CawF+IAPGIxY7Gyh9N3LxQUNBrEeyxxcpGAoo5Q5qlWZw+kkDvmIKeGNMyE8ZQ4m5OBlDi5OMMaRyxzV9hJUC+wxD2yjtMuL4qzML4dZUZzql9NKp6fqchidqKQ8TZPLojyb8XHmp54EnZmjusocKqKxROkFL3NIEiGsiqGJ7lvTBzpBfVXntq/phNccTDX9vPnkgc5sH139qEl6P9UZ6436x8DG/44of4XzXzd/lKRBWOPrIc+UZCJT3rDxuCvKI1xxQ5IFdXkVGAtHbivJIlhxw50Di9IjOHFSHtdR2lCLK2eV5w5hUeIEtyeSrIiSoz57CLmO0gYworUc6aClDWsHkBaN/gvuija52y1tcNGCiz6o4rvl0gbXChlmhT5KG1yIigQRgGfudtwZpIOrn83Ga/poNJi+Z4bgq4M7z6f6k3eeGqpHN0ZgoP/RCn76SfPdxWGzevCmb09/Mf3N9N2OZqVdtinARak+5C0TIbgCRZCt7jIKFyO49rSuJGWio6wzAfYrYsfiwJiNMEgppTnp37p2c48PHIym/RZT2GjBeEospqh4WUxRzltu7/NRg3GVJMLb5s6zPE+1iLFKgj0+djAa0isqeVnlUTayX8W+zwesiIDheWKMuL0E1gJ8wAcMRjB2puK7IIQNGgxqtLJKnGXZSDnqKmyoYGwj1FWW/uJFj7845COmxDvOjDC+Ikkdk6Jm45YprsRRmmVRPrKfQXXERwtGPmqJRU+OJagW2GMe2EZEQoc6Gz7OPNmzUMDMlZ0lloTGEqUXvsQiSISwOocm3N07Sfq8LETSOAo3Dp7k2mjsitIgLET2kaAKMpGpv7i2l0gyCViBEWRBXQUGRkMjGhWuvFiQSrAyjLlbonIVYiQJElw9KQfsKsQs7thWnjvTRYkT/B87vfHdGCJKjvoIIuS6CjHdI1rLkQ5aiLHmJlpapl5yZZvcLRdimGjBBSNUF952IYZphQyzQi+FGCZERYIIwPMXYrJrhZgnVz/Sw/Dg6k0zfqaH6jUzTH80Sv/qB2aIBtN/1+NpfvTB4NlYDeLEaPrcvCTRzuDqh800eG1w+Oz9Koqtu7p22aYBl7X60L1MhOAaFkXPugszTIzg4tW6SpWJjrJQhdgvLqyTcMwGGKQu4z6e5x4fOBhce67LcNGC4ZVal1ld164817WzUYNhlqTJby5fRrlK8lFulQh7fPBgdKQXZuI4TbKydG54YSNWRMTwTDFW3F4CawE+4AMGQxg/dfGc68UGDUa1PiszXKhgcKNUZlZ3t7s9xiEfMSXgcWaE31vUbOBCpZm8Kos0ce5+YaMFgx+5NGPucbd7iWMe2FkYQU5oMHycmbNn6YCZPTtLMxmNJUovfGlGkEhbF/iGB0zBu0szzEO+JO2gcDvgGa6Nxq4oDcIqZB/ZqCCTwFUYQSYBqzCCLKhLwMhoJFU6cmXBglSCVWF8J32JEiR4dVLG11WFWdzyrTz3tosSJ/g/dirjO+lLlBz1EUTIdVVhuke0liMdtApjTU61ilReclWb3C1XYZhoweUhVALedhWGaYUMs0IvVRgmREWCCMDzV2HiYmDT86vd7Df2s396c+97W/3rD943vzIyFZwH04+bt/u++bkH+g88NO85yO3lm1X7lv7l3zY/2fzSg+bNP7TZepdta3BNrA8hzUQILoBRBLK7rMPECK58rSt9megoq1yA/RLtn20Ax2yAt1/W4QIHo3XPZR0uWjBeU8s6q5volecmejZqMG6TRP4Nn1BmUewu6nChg8GWXtRJoiJyreDv8/EqIl54lhgbbi+BtQAf8AGD4YudB3lLOlzQYETrs6TDhQoGNkpJZ3UlvdtbHPIRU4IdZ0b4PEXNhi1T0EnjSOWjwvrQHfGxgkGPXM4xV9PbPcQxD+ymlnMqZzknp7FE6YUv5wgSISz8obm8XDlH0A4KtwOeKtto7IrSICxn9pGFCjIJXM4RZBKwnCPIgrqWDIxGko5yZWMyFmWyGdUcSYIEp05K9LqqOYvLzJXnenpR4gT3x85ivNUcSXLUJxAh11XN6R7RWo50yGqO/agNLSILH7kqapO75WoOEy24KoQqwNuu5jCtkGFW6KWaw4SoSBABeB3VnER/9rs1ajdXrw6mH+vf/aL5iqnVPNa/+XD6+UD/87GzLnT1xsAMvKnyaEjm1/Q7fzBoZpKZQ/rXTQnnC/3tB3pqfTZ/30c7+temn49MiUfPken7sx99pL/5kX79QP/30dXr828u56IGYj5oUC/f6+pNs52omXnm+x80f9rsIjIZyk+biajf6YvZTDX7iD6fV6Mau/xcz+h3dsxbtwtOO9erVg2BRT1ruQVpZ5Cni4+e/omrnwyuXjc4m81NGo1B8oXhYL5tnpTXbdNtlz3dwBXBPlIJJkJw+Y+SIrgLWkyM4LrfuuKfiY6yxgfYL3d3aDEBBiloeY4h5sIG5UrP5SwuWlCwUMtZxaqc5bxM/D4fNShcSFkOOjX2+LBBpUEvZeVxkuWj0lXK4uJVRLzwDDE23F4CawE+4AMGAxc7CfSecM0FDcayPktZXKhgSKOUsopVKcvpKQ75iClhjjMjVJYWrn2BNRu2TCmrissiGiWunUlcrGDAI5eyiu0lqBbYYx7YJpOCDlg3fJzrD54FGOYahLOU5b0a9yZLlF74UpYgEcKqJ7qQ0f+9PIL8Fc4fXx+w0dgVpUFYw+0j7xRkIlPCsvG4K8ojYAFLkAV1+RwYC0+uK0gkWP3KkxNL0iP4cVJe11W9WtxRr5x31O/JEid4PpnERZIc9fFDyHVVr7pHtJYjHbR65dKNlZdc3CZ3y9UrJlpwEQgVfbddvWJaIcOs0Ev1iglRkSAC8KY/n/5x+ofpH43x/9P036a/1WPxnv7CL6f/Mf3NoBmlj5pKS1Mx0QL+4aye8r751tVPzG81PzWIq1GU6Iw4yUf2O30+vD50O4O794ex2nFVsMzBc/o3Hl79uPm2mSaLDUqmJvbUjUAP9DusbgUaDZ69P4h20mG0k5n3/nxn8HeDps715OoHDYA3B89o+KYk9OArg7RofmjUnqfNn39V42mKaPpH9IR8T+M1czSpBpPD8d5T26qe2iRlG+9d9niDq3B9yHgmQnDJjSDPPeUjJkZwrW1d6c1ER1lXA+xXRNUot671jNkQRQpIN7TH+Pndw8ODw7n6qI/3ntmr8ugr5pEz0I0C2YmsIuQenxkoKjg1Jtd9Si/w0YKyglpjqlY1JudN7vf5qEF50UcuYshsjT009vg0QH3QXXNyYDewt64PhIvFPp+FIrKA55Gx7PYSWAvwAR8wGAPhhA7wOzXodyZ8VmDc7LNUxYUKhk9KqapalaqcT+ohHzElpLKmzDJB9jubmk2hn7JVt6NZDICLwRGfARhZycWsansJqgX2mAe2kbHQIfWGj3M5wrMew1yScBWz8ojGEqUXvJglSYSwCIqua3Tvy+rzBiRJ4yjcOPhago3GrigNwnpvDymyJBOZSpdrs5Ykk3C1LkkWbQXhYQEn5mU0ylNHZi7JJVi5q1Sx4477e7IECb6+jyRzkWrm0bw8MvvARnxPljjBAcL50Q0vorJ8lKQ2dhNZdtSHEGHXUfEChrSWIx204mWNclpcei8RrZI2uduteHHRgktSqDK85YoX1woZZoU+Kl5ciIoEEYAnVPECLk/aPfv25bdfGTz/7bPvfWfw7OCZ1f1JXxk5b0+6dvzeW83E+LyZQs2HHyz/ytX3r940ZSpT3prNKD2fvjJqnyVoqWs9+w8n3zzXaAwnDfEf/+7br3xlZ/53Z29u3na2t0t/OrKN7y57fMHVvT7kOxMhuFJHkeXOChcXI7hEt67gZqKjLMch9kuTdGTdPz5mQ7zFClcyX2nOY2+Fi80MFBH9VrjYaEEZQaxw5fGywjUzsw31fT5qUE70kXwYMltjD409Pg1QD6xR4dLYrw+Eu8LFZqGILOB5ZCy7vQTWAnzABwzGQDiDA/xODfqdCZ8VGDd7rHCxoYLhk1DhWjqcFz1P6iEfMSWksqbMMiH2O5uaTUG4wrV0NIsBcFe42AzAyEqtcOm5swTVAnvMAzuLUciRMYaPc/nBs/7CXIJwVrgSGkuUXvgKlyARwqonuo7RXeFinjwoaQeF24GwTEBL5lvp+ypr3xkss3E8GScn34LWJSwx95GkCzIJXGMTZBKwxibIgrq8j4xGpvJR7FobEOQSrsYW5aPSVWOTJEiINn2kuctkN1kUZBJPwitJnOAA4Qzt5pJWHI3sh01PZNlRH0KEXVeNrXtIaznS+n/f+G9PyQan2v3Oxdl3v/ntVyyGYIhd69BqnZt6WKriBktXsc2NlSJhF/U2K9jn2GDbU8xjWFCm/rqRUN+fl2e0WmrE6fSRDbfWnulXx2zwN/yeG/16bm++Gpzt6Jfc5ee4JDI6CTzlNsj3DfJ9F/J9PnJFR46n2hr4gQF+4AJ+wAeOz3q+X52v5GU7tYtAzSZwY32mgwBtvhwZ1Ecu1Ed81LgXJy7LaNDHBvSxC/QxD/RTHtLM9a/7QlJ//R/KufKSeTlkTsNjUFnhaFQ5QxITLVivQePRtfYP94ms89T/+81prM9MPxhcvTa6+tHI/MpTv/9Rk+w/mX6kf/dR0yHwwc7sq6YFoan6D8yG2i+uvj/6ynz15d3pF/qNfzjfxmoQ/PPiFFab4e6wDdcOJJIdI0yIigQRgCfQMbIzG6iPR2Wlx+ztq39p9kibVaCrN5phWx2M9HD2Z/8/zT7n5hDb2Rt+3iwlzQ7TbX7ivfkvPzGffXVQNGtRcRQ1G5wHw0EcDa5+rGec/ulXbBbfZVscrF/hy0MGpw3i82yIYDGKsu7jbuJgYgSrUOuu6DDRUSpOiP2sxhuz4d1iA4daFFIzfwMHlxmoAugNHPovR6PIKgRe4MMFlQC1gyNbdXA4L8a+z0cNKoL1crzlola2NfbQ2OPTyIg0cNW+LKxmW9cHwtPBwWWhiCzgeWQsu70EdjPZ4wIGIyC8Pgg4nhp0PBM+KzBo0jo4VOx0Oi/yoYKxk9LBka06OJxP6iEfMSWesqbMcrnV72xqNgXpDo5s6/oAeDo4uAzA0EpcKjBzZwnq5ioBB2yTe11cxCfmxLREZWfD7LwqhifxeTq8UFGkTvLi/OzybMbHuYDwrZM+OzjUyL1FWdFIouxsSw0eUpTlBhuR50SJEEpq6ErEfGXcXGviPldr+uthMl84+OX0sf5UJ7S/MruSm+6FKHrm774y2B3nVoV+R9QiCrcIIX8n5tcDfypts8quqFUIFchecmxBKjI9GDYed0V5BOzAEGRBLf4iY+HK6wVpBGu+SBKzxdl+0909WYqEWNFHjrrMVNWiVu+8HX1PljjB+cHp1Y2FkFgVrrOaJ7L0qI8gQq+r/6J7TGs50uH2OKuRtclQi9Pcw62oyja3W65xMdGCK1qosvwS1riYhssww/VS42JCVCSIALwvcY0rLlc1rizrrHExLQ6u8PWiv5kQweU6gq721LiYGMF1unU1MxMdZU0OsF+W2eCN2fBuscZVLJaac3+Ni8sMVAF917i4cEElQK1x5asal/O68Pt81KAi6CN/MGS2xh4ae3waYHxep8aVb10fCE+Ni8tCEVnA88hYdnsJrAX4gA8YjIBwEgY4nhp0PBM+KzBo9lnj4kIFYyelxpWvalzOJ/WQj5gST1lTZpnS+p1NzaYgXePKt64PgKfGxWUAhlZyjSvfXoJqgT3mgTVoz6u0zLNTNSzL7GKYJWdmO0dZDi9OTvPLXJ2eVOnc/TsXEDwrKLxFBGeNq6CRRNmFr3EJEiGsW6IrEWiNK87mKwe/NzWdWZGrbDLGqrPGJWgRhVuEkL8T82t7jWuZSrv2GQuapS0vPGbpJckWpBK0yCXII2CRS5AFdYUdGAtnYi9II1yRK43SwnHGzj1ZioRg0UeSukxVi0VBxHlv+p4scYLzg/OrG+NaqcJ9daUoPeojiNDzjukEGdNajvRyk3E1p+5Uq73uMraqcS1UfTd06knRpumqd/W7y9h+dOBzbLTtSbb+NuN3mlsDf9QIqGvVDgturRlLs82YCT70NuPK5eW4+DM6fjxdnu8wtoPe54NWdNB4hjzbXGzHfMDHjE9zviudr73Zsdds7OJbiu2Aj/iAcW9NXD6Z7Sa24z3m4W1mxwyvcdyBNhLnztWRysuhcNocg8qLOPofa0/Ic2y4YE0FDTlvmYUMk703R6s9fUz86rTwHbOY8YfpH2xE7rCJtB24ZNcDE6IiQQTgtbsemjNFTPPJ7FwRTteDOaX9+hg+1O9hPnzS/OrH87efnaw3MJcDzI93Mz9hDoJ7NJh+ao6F+2j6wCzhPA2juUjZ3Hj856ZXZnGxwPVmmNHsML6PB1evN0tA5rS65qc+MH9odmqKadT59GmY5tvmfLpREj91TN2D6Wc7g3iYDq5+NuvcsR+xssseUbCmhC/4uA+WYyIE60OEdRxPUwUTI1gYWneNhomOUgQC7FeVWWS/DWTMhijSWNEG7mowvceHDYZ1etdEnCYOtC/w0YKRndo0sbq8OPdcXsxGDQZ4UlaGTo09PmwwnDOSsWXtcnVZcd5xWTGbhSKygOeNsez2EtjN7IwLGAxo7EU8T5c6FzIY4WgdEHFVOpC+yEcKxjlKA8TqImK38zjkI6bEvj6nQ82GLN3wsLp42O80jvgMwKhIzNjNXFmCupmxc8A2i8TNhohVdJRdKLaK42erIvKid/eWwBgp6XrsSNG5KNsP4foLw7/W+dEXTTL+uDkOvOlQtySIOlN/rDMwnYc1P/R4cWDlk/nx6h80X/i82eegP304/bTJBT+38b+j+X91zDZC4AXmIrY+1Xt8/G1BA+DH3dNsgdkBep8PWtFB4x6pWWB2YD7gY8YfFzhsORaYHdhrNnbpBWYH4CM+YNzLE8NVs8DswHvMw/vUArNwlHKtKRexF3blNDOMkhan7DifY+PEH71NiVSDZ8zvNXv5Pp4vQz4wV1mY37bOPR3GYhPGmBYKHcZc3SBs/CHCmCsNZ4NWdNAkT3XgwnzAx4w/S2uHMVd7CRe7eBhzpVxswHgYYIUxO95jHt6nAYvHMWckS3zIy8hpaRgnNZKNElcwY0LFH0A0mP3hqULYg8H0d9M/TN+xYdYxJjExhgk8dIxJXTGGiz9EjLGD3ueDVnTQJDdy4MJ8wMeMT/G1Y4wde83GLh5j7ICP+IBxF82KMXa8xzy8jf+bz44AMcYZZVIv9thpaxgpI8o4Gz+5aPGnEA00tMbPwtwvwwUfOthkrmDDxR8i2NhB7/NBKzpokj85cGE+4GPGp/nawcaOvWZjFw82dsBHfMC4r2YFGzveYx5eA3j+FBrYwo2f84DjDDmZl0HqtDgGlBdvRplzpY4JF+wKQQPOf58+uPrnZoFuvu7WbNI0a3f69dHVm6YtcHb/7JPB9OPlDz8czBf3HszaEOdtfubwrT83mZLp7vtk8ExztNZsa6zpHf3l9B3X2hzTHO0gINg8yoWoSBABeNPfT//74P/6wf8+SPIomdk/yRdtoDbsu2zsYFdJD22SXIRgE0kvbZJcjGD7yJptklx07fC+ZptkFlepfT/YmA1RpE3yRoi0nT9VqB39ks/Pgin8F62w6YHBkt5Ombv2Xb7ABwsGTGI3ZbG6ZqXwXLPCRg3GzfVSncW+3sLcfOCmscenkRFp4IJ20ShVrK5ZKTquWWGzUEQW8Dwylt1eAruZAnEBg3EQ7q4EfE9tfE8N+p4JnxoYQGldmJVrH/+LfKBgFCU0YRarm1bcD+shHzElsrJmzWLPeYe/qdkUhJsyi9VNK35fc8RnAMZWYjZt5s4S1M1smgPWoI2iPD2/uDwfnp/n1TCOL06GZXQZD6NIRSovy7hS8/DrTLS/deI+54iRbDvTbUWjiHKzpeQeSpS03EbkOVEibdHhGxswYX+nOXCq2Vr3UZNvf9ActvR4fq717D5y03JjdvQ151F9MJjv/5ufv9Sk4YN0J7l6o5rdL5JFrutF7oiaR+HmIWTHM35xksy5Xb2Req5PkeTXVg0efngG7T5ZSpJKyJOlJHmEO1lKkkVbWHhYoGl7nEf5KFE2LmNRLsGOl9IMR3FqI3hPliAhCvSRfi6T0MVtG4XnBhVR4gT/B2dO7VFNqsq5M02UHPUZRMh5R3SCjGgtR7oRqGcqj6u4iobRaV4Os/I0G55qzzG8qIozdX6ZlUV8+XJYgWpdUNYCNafaAeMWXqAKEiG4JlSgvmtOC7l67epHf2vWLWZt240YfTL9ZJApI8U+bQ4Wycot+ym+d0QpK5wyLjptNHZFaRB8K64tmzLeh+bOHBuh50UJBVWYgjwCKkxBFtToBoyFSivr4z4WJRJOXrrFpSQ9ggfvVVzmCyniuWhDlDjBAbLFpWtMJ7LUqA8fQq1LWnaPZy1H+tqG9OT08vz05KIcnl6Wl8PsTAvTKj4/H0YnRVSoqkjzaP5MLyVm22AX/3CxNANLxSQ6Bv5h+v7V/3u24Www/e3019N3BtP3Z+dbfX/64OrVRto8nO8LmB+BZTazPTBnaJlf++H0kf3YKi1OC9O5aT8E1iwG37QkZhWrS3BbYz2PMK+Ql66nX4heRqeHVybmfZ92TvtinBSdE16rmLWF2ikdiFHCn0m+D5vXSe3UailqN4piHdRos+/IxedIjE87Q+/gQ5p5xy46xyJ0nkqNnAsQPWx/cG8Udx2gmqikLPDDR/vZ+GDV28+xQeKN4GCYbdpPX2vC6WtXP1kEz+YrT1a7xpvVgw+mT2xk7mgyJpQyGYXeBOE6/ZqNvx0MAfw0d7TvAr3PB63ooEk+58CF+YCPGZ/7a4cz1+nXXOzimyBcp1+zAeMemxWQXKdfs/A+tXYlHHGcMafywg58iFY+Kmwwn2PDxJ88NOqYzO5VHVleN+cKN6cNP2523E2/aE5cNieJfDS708oVix7YKOpYVJlYxOQZOBaV9k7CPT7+ALHIAXqfD1rRQZPczYEL8wEfM/5ErBuLHNhrNnbpWOQAfMQHjPtyTixy4D3m4X3Kq4vHIlc0Kl0nfM2ABz4qS0cj18ULXKD404fGo3ebU+/Nvrs/u2OR+f+Prr6vg9aHOhy9MdC/s1yfNM1/NpJ3NEkdkbhMQ0ck19GNbPwhIpLr6EY2aEUHTXI6By7MB3zM+DOxdkRyHd3IxS4ekVxHN7IB4x6dFZFcRzey8DYOcz47AoQkZ1ByndfVYA996lUTlJynkXCx4s8gGpdop5GU5nhFLvjQocZVsmbjDxFqXPvw2KAVHTTJmxy4MB/wMePTfO1Q46qDc7GLhxrX5ik2YNxTs0KN63hFFl4DeO5FDGzR00g6t0eViZdB4rQ4BpQTbcxddDawz7HBtn32mmeR/NqcHnL1us5x5gWfWUGo6Sf9/vQL/Z1XTWL0eHatmEmXHpnEaTC/yOyLp88Znl9S1nRimJvPzC/NbrN7y+ySGjZv/1Sfxic7prnjwdWPTSfH/Gq15vCSQTb/vQ/0F/QvfG5+4Op1myHvsA3ZDh6Cp5hwISoSRADe8hSTeGbuVD9LkTnCRA2mH45s4HfZ4HMMPKFR1uyle9UG8nk2SHAjNqH51X2SCRcjuAd7zcZWLrq2NFj3JBMbujEbncghJm3M7rve2LDB2Ek/nCRJk1y5du+8wAcMxlDiASVlsjygRP9t5wElbNRgMCVlP+js2OPDBkMXI+lZHBJQJlvXDe8+kITNQhFZwPPGWHZ7CexmFsQFDEY0duez+7o3NmQwvtEOGkmzsipL52EjbLBgoCMcNrL0Hy96/MchHzEl+PU5I2o2ZOHDRZZ+Y2Fw9+EibAZgbCQmx2auLEHdTI45YJcN9gb2333z/PzilTs6h5w0KaShkJ+eJaenJ9HwIrtUw6yMLodlWVwOT7I0OklVFp+fn8x+cplUm93i19i7+0ZnfxGOW9b1gq9VO1+rCnu99Gv2zh1DvW0OlGozvm03CzHEp6qh9VK185KL1ktCtNquGKKFz1/N6tlnq51nn3XxevZZAWJPJXruKepewOplisbRztfifOdrub2I8jVXUd9soMly9yFG7XkI0SDOQ439JY39JQf2l7jY25MNwk6cbBq7fsn1iwO9nosM+E1gve0p5ZhKsascNyOU3e5ccswhNuggk8g1dVion1rNvb25Yxc8X4td6+szQup2544d9Ets0EHmjh20mVQM1E+tCd/e3LHfS/K12CU/Z4Ty2507dtAvsUEHmTt20GZSMVA/tRB6e3Mn0zJIOeZP6iXl3hQQZP5kWgPZgb/EBh5kDmVGANmRmxnGgP6U+LlRT03ANdYZIXg1u03Oxua/mCVHDxl33xS4wvoUZnz2zFca4nm1MB45l3j+ho0/I+PHkR8CyP8rG7miIGf7Hru74WJuu5tuzNTZcgTY/CU2fnC5leNytFG3F8Bu+hoOYO1sNsa9KA9+VbpTlBDuRXVOmL9h45d1L93I/ysbuaIg79m9cDGHcC/dNn+JjV/UvajtBbCb7oUDeLH6vbMBKXnhkMW5h1dWuFv0gshiO+iX2KCDSGI7aLNOyEC9EXPHfpLG12L7QRoLQu7L5oLMHTvol9igg8wdO2gzqRioN2I5x77p/Wuxa8/7jFByu3PHDvolNuggc8cO2kwqBupN8DuJo+gae2sqxe2WsxygX2KDDjF3HKDNpGKg3gS/k8Q7X0vyna+l+t9U/5vpfzP9r9L/qtw+rxJvvaXARTXEjTqv4p2XNKGXNKGXNKGXNKGXNKGXNKGXHIReYhMKMufiHf1iaqep+Sg1H2Xmo8x8pMxHDl5mvjKIPbWwaHLm21hYXNyclMSdKdJ/SbwVnMJdOwiwIADg/xs2/oyMH0d+CCD/r2zkioKc7+Dml7UBVL7GphJgnQDA/xIbv+Q6QRJvL4Dd9EwcwAbxSZ5cxFlcDKssL4ZZdp4Oy/gkGVbxycVJnKr8vJqPidtpfWs+m8Qc18J9zQZMD57XgXnLiDdNgdrA+qh1Ul//cUs6p+vXxCg3U6S8uMzyi/xkeHmeXQ6z8iwbnpzF+TAtq/PzKEn0W51tzBRJoSniLRDa7IXZ4LamSApMESnKMy9ycn55an725DSuhlmcnA5PstN8mGfqND+9rKq4yDZmimTQFMmo9sJs8P+v7t16ZFeS7My/IvRTA3kI8OLuJAeYh4IAzVPPQ0b3Jul9+iGuUmGq6whVpdHMAPXfx50ZOyUxGG6LFsdo4S0oKmtn7NrrWzTSzLl40SoROnubxJDnErmdz+7Wns5F157PhenPVXEyx3Nxc8e6Pp5OXdd2b1MiFioRu9UvzAOtEqHzk0kMWSkS/V4YOZL9R5xNn7Lb7vkFeXssjGj9A1u/2awfV/4JKB/Zypc7ET2Nv1BEBwBlYqPssTCi9Xu2ftGFkfv4KexxYcQRnN1I00L9KhXmrFiBeqDVr1qyXCcx5PxGmg4qkVRms+oX5oFWiXRAiUghzyVyvR0vdXO8FbfT6VKYpq6LY3Vqi/Lc9N25NtemeZ/TKz1UIqloZtUvzAOtEumBEpFCzu4MXFMiJdKkYpL1oy7kgVKJNCVdImLIygujhj5Z/qNJnXu2nWpiBOgf2PrNZv248k9A+chWvtyJ6Gn8hSI6ACgTG2WHhRGg37P1Sy6Mmurjp7CHhRFLcHb9CkqMmlR8smIF6oFWvwISIzHk7BKjBkqMmlR8suoX5oFWiQCJkRhydqdXGigxasxWvzAPtEoESIzEkLM7vdJAiVFjt/qFeaBVIkBiJIasvTCiT5b/iGv8BPvzW6j3WBjR+ge2frNZP678E1A+spUvdyJ6Gn+hiA4AysRG2WNhROv3bP2iCyP38VPY48KIIzi7kQZKjJp0fPJgBeqBVr8CEiMx5PxGGigxatLxyYpfmAdaJQIkRmLI2SVGDZQYNen4ZMUvzAOtEgESIzHk7M7AGSgxMun4ZO2oC3mgVCIGSIzEkOfb/yP3F7b2PUeGPnn+w6TvXnj+ttIdFkqA/oGt32zWjyv/BJSPbOXLnYqezl8oogOAMrFRdlgoAfo9W7/kQslUHz+FPSyUWIKj4lNlXOMaU3T1JRzI+osrTrZxRfhv59Ox6+tjcz9GvUH/ghIkk4pTVqxAPdDqX0CCJIb8NeJUdd9f7Lk4umNXGNt2oddV16I/nt3pauo+zM1vUyJQgmTSN+Cs+IV5oFUiQIIkhpzd6RYDJUjGbPYL8kCrRIAESQx5LpFzfasu1bksqvO5LszpEo4919IW11t1dWGKbrr69DYlAiVIxm71C/NAq0SABEkMWTlBMvTJ8x8mfS5ad2FE6x/Y+s1m/bjyT0D5yFa+3InoafyFIjoAKBMbZY+FEa3fs/WLLozcx09hjwsjjuDs+hWUIJl0nMI/eK/taiT667sbkCCJIWeXIBkoQTLpOGXFL8wDrRIBEiQx5K/n59Une72Zc1E6Z4uwfAqLqPLSF2VpS+u6rurt+5xegRIkk45TVvzCPNAqESBBEkPO7gychRIkm45T+KejdErEAgmSGHJMkH75epaiZnJk6ZPmP2z6HLTq2zEA/QNbv9msH1f+CSgf2cqXOxM9lb9QRAcAZWKj7LBAAvR7tn7JBZKtPn4Ke1ggsQRHxWVTG3cNw084YoVJue7DGNS4sjg2oee50vbNqf/1XfoWlBzZdIzyYAXqgVbfApIjMeSve4/szfVNY4v21FWFOTeX4hS+UdxOpbteuzr8v/ZtSgRKjmw6RlnxC/NAq0SA5EgMObvkyELJkTVb/cI80CoRIDkSQ87uNIuFkiNrt/qFeaBVIkByJIasnBxZ+qT5D5s+B627MKL1D2z9ZrN+XPknoHxkK1/uRPQ0/kIRHQCUiY2yx8KI1u/Z+kUXRu7jp7DHhRFHcHYjDZQc2XSMwu/va7saif767gYkR2LI+Y00UHJk0zEKv78rlQiQHIkh57d2hpIjm45R+AtJpRIBkiMx5OzOwDkoOXLpGIV/OkqnRByQHIkh//3nq0cjfLOsg6UZ0OudWF7M7+Jyz+iTZ5+7ckn/dKqF9OOD7fy+rSeiPVv0cpSFRMPT7Nc7tZ6IDr/gqI6yK+3aaZ7UTvLcdaf77tEnoj1b9C61sy46FhVDdZRttWvH/DKZpv9laoPIqXP1L1Pvmvjx5IW2Lnm2u6t1i8r84iONjzQ+0vhI45/ReDbNLtVm4pv+As4f/hB5/vCHCPSHP0Si+PnsPbgsprc4jtlYd79MVdXGonzWEU0ST/fNpgEhFNsvPiL4ZwiejbBL1dm5usJHhIgF+LRhcjDeotBCkblQY64Lx70y/P9w1GvDgbANx8Eu/GcX/rx/Vn42Ca37AtQA5gOYD2A+gPkA5gOYD2A+SPMBzD8B82ywXYoy1qOL5RjQwuGwjB/xYNjGY2QbD5Fd/KmLv31CGEubgTgzfiHGutW4yGyN5odLnX41uk+ydvT57oGt32zWjyv/BJSPbOV2i3L2MW79sMXVvDxs0Zq3Vss/A557tn7JdMS5j5/CHo81HME6Ue364SV5fr9/vobf4/BC5xMDW7/s4YVWPrKV2y3Kf+fDC1fzHocX2nPP1i96eGk/fgp7PLxwBN8ftnT3XPthS46OkH64VIRkdO8pBvQPbP2yRyFa+chWbrcoZx+FvhMEGmVio+xxcKL1e7Z+0YNT9/FT2OPBiSN4PjFw7c/1pbbFsWyPhSnj3T+uLIu6LN21OnfH3jwENWqBHZTpun6bFagHq7saif767gZkumLISuPxz37V0mHljzYZVvbP04sd+hWgf2DrF+1XgPKRrXy5E9EHyReK6ACgTGyUHfoVoN+z9Uv2q7b8+CnsoV+xBOfWr9oK6Vdt8k1bj1agHij1q5a+I3ESQ/653uq/sLXOHn/3L/p2tx9tMsfWPesD6B/Y+mX7F618ZCtf7lT0QfOFIjoAKBMbZY/+Rev3bP2i/av++CnssX9xBEfFp1t/vl7PZXFtjsf4GI5T0ZW321s+faWF7j9tkxc/PFqBeqDVv4D7T8WQf/av6p7Xa58wbOk7LX/EWwgSZtRP9909Ghitf2Drl21gtPKRrXy5V9FHzReK6ACgTGyUPRoYrd+z9Ys2MPPxU9hjA+MIjorLi+udtafi2rmmMEdTFsejvRbXMIR3t5Prr+b067s0MOjW59ZuswL1QKuBAbc+iyHfZ5yuvp6MKU4mPrCw6s/F6diEZldXtqvbyp5s/zYl4qAScVv9wjzQKhH68o9JDHkuEVPd2rI99UVbXdvw3bIK6/lbXbTHW91fnL3Z2/VtSgS6IbVNxcOrfmEeaJUIHeFPYshfR5HT+Xq8NX1hjTkXpu1uxdGVNvytU3epTsdLE59w9yYlAt2Q2iZDutVdCvJAq0ToIHUSQ36ThxC2dDr3o+2THjy/9nyPBRKtf2DrN5v148o/AeUjW/lyZ6Kn8heK6ACgTGyUPRZItH7P1i+6QOo/fgp7XCBxBOe2QOqgW6C7VFi3YgXqgVLf6uhAdRJDzm6B1EEhZpe8k3fNL8wDrRIBQkwx5OwWSF0NlUg6MlnxC/NAq0ToWGsSQ85ugdRBUVKXzlXWdinIA60SAaIkMeT7Ain2Ec0FUkefPP/RmaQHz++D3GGBBOgf2PrNZv248k9A+chWvtyZ6Kn8hSI6ACgTG2WHBRKg37P1Sy6QOvPxU9jDAoklOCo+VpVx1vSFq87hsGW6tjjZc1vcTu2lvFSdde59pl8oQersNitQD7T6FpAgiSHnN/1CCVKXjlNW/MI80CoRIEESQ85v+oUSpC4dp6z4hXmgVSJAgiSG/H0h1X2Ta18J3NFZyY8unZWoPl4C0D+w9ZvN+nHln4Dyka18uVfRs9cLRXQAUCY2yh5jMK3fs/WLjsHdx09hj2MwR3B2Mw5052XXb7MC9UCrgdGx1iSGnN2M00NRUp/OVVb8wjxQKpEeiJLEkL/uhzvXdddfb4Vr59ipNkXXXPriYqxr26q8lM69TYlAUVKfzlVW/MI80CoRIEoSQ1a+f7unM5IffSojsbq3DwD6B7Z+s1k/rvwTUD6ylS93InrUeqGIDgDKxEbZYeoF9Hu2fsmpt68/fgp7mHpZgrPrV1Bo2acSvBUrUA+0+hUQWooh5zf1Qu9f7M1WvzAPtEqEjrMmMeTs1s49FCH1dqtfmAdaJQJESGLI88nfGXxZA0sjoAcns3yYn3rdt79MQWT8sPGji09aj/+1auKHfeKLS/hiwv8mOsxAdPg8Mz/vOvzzPiL5iOQjko9IPiL5Z0iejbScbyAkeMT5etJ1Hx9yHZnip50/u/lZ7POfVM38uQ4WH9vOIJsHoXtJ/qobTPR0SvOjT6c0qi8LBfQPbP1ms35c+SegfGQrt1uU849yP4/2NMrERtljiUbr92z9oku09uOnsMcjE0dwVOy62lbnS1vYS7xQo7r1ocse51bbtF3ft6fm8uu7DFfQjXd9OqNZeaEZ5oHWcEXnaJMY8lwit97aa3Nuisp2p/g4k67oyrCce8en2PRQdtWng5y1N2dCHmiVCJBdiSF/lUjn2vP5di0uN1sVpnOuOF5MW9ya+nS2pYvvC3yXEqlKKLwKX9vsGOSCUpEEHrpK5KCV</t>
  </si>
  <si>
    <t>w4kw8ZP0YZOnH1WoevMuQjDwCcxmAlz7J6J95Gtf7kz00PVCKR0QmIkPs8MEjBB4PoHkDBxUfXxLe5iCeZrza2A11sDSsc3K3UaYC2oNjM7WJjno7EbhqoQSrfC1zY5BLqiVCZBpyUFnt6iuSijVCl/b6hjmglqZALmWHLT6OExHNmGT2yS96q2aCMHAJzCbCXDtn4j2ka99uTPR89cLpXRAYCY+zC7jME3g+QSy47D9+Ja2Mg5zNEfRp/pa27K7Fafr5VqYtuqLY2VM0ZRd3dbX2/lav1EDg+7JC1/bZgbqgloDA+7Kk4Oey+R6PpXXPgzMfVM3hanPpjgdb6bou0tvyvraXqu3eT9HVUL35YWvbXUMc0GtTOi4a5KDVp9z6PQkbPJUfGJ7u6Tfd86hCQY+gfCcQ2sf+dqXOxPdWF8opQMCM/FhdplzaALPJ5Cdc7qPb2krcw5Hc34NDMo2w9e2mYG6oNbAgHRTDjq/cbjC4s0q/VK2FccwF7TKpELiTTHon48guG917ScQVBWd8IQSSKYlperbNBGCgU8gO/cA2ke+9uXORTfaF0rpgMBMfJg95h6AwPMJROeeKsad1bO4k6U5ij5ebd2VpS36sgtHNedOxalub0V3uTX2XLXl+fI+c0+FxZ1VMvl7NAN1Qa2hIXGnGLT2wr2iU7ywydMpnupDdBCCgU8g3MBo7SNf+3Jnoo+YL5TSAYGZ+DC7NDCawPMJZBtY8/EtbaWBcTTn18CwhL0y28xAXVBrYEjCLgb9c0V2P1Dqr8jokDGUgE25UepegAoQDHwC4YZGax/52pc7F30EfaGUDgjMxIfZpaHRBJ5PINvQYuJ+l7bS0Diao+jO9d2xrk5F3966wlzKW3E8u7q4lZfW1PWtqS/3KnuHhoYl7pXbZgbqglpDQxJ3MejvG90fBpulFdB90ywn5hvdqyre2l7X8cOFj6aMHyZ+xF+YeM+7ib+w8Rc23gxv4y9c/IWL33PxVvk2/raN98a38cttHz66+D/axa908c+6+Nf6+L0+/qKPv4i32ddlGT+a+BG+V1fxv4YpK3yEv1HX8b9GfXUd/yyKrOv4i6i0buIvoty6Cf9kbeJPJv5k4082/hRF1i7+1MaforQ6qqq7+FMf/90ooynr+BF/quJPVfwp/rtNHX+K/1DTxJ9M/MnEn2z8ycafXPwpGtG08ac2/hTxmy7+FHmb+G+Y+G+Y+G+Y+G+Y+G+Y+G+Yun1Wgckwv8SvtYLqCD/4z48UiMXjY/H4WDw+Fo+PxeNj8fhYPD4Wj4/F42Px+Fg8PhaPj8XjY/H4WDw+Fo+PxeNj8fhYPD4Wj4/F42Px+Fg8PhaPj8XjY/H4WDw+Fo+PxeNj8fhYPD4Wj4/F42Px+Fg8PhaPj8XjY/H4WDw+Fo+PxeNj8fhYPD4Wj4/F42Px+Fg8PhaPj8XjY/H4WDw+Fo+PxeNj8fhYPD4Wj4/F42Px+Fg8PhaPj8XjY/H4WDw+Fo+PxeNj8fhYPD4Wj4/F42Px+Fg8PhaPj8XjY/H4WDw+Fo+PxeNj8fhnxeP5xbNsulDxwH336+ENsXjCZyCIny5+hq0SP838Of/WzE9yMPNv7fxbOz/nwc6/dfNv3fx9Nz8Lop2/085PfmjnvxU2Wfjs5n+lm7/ZzX/ezf8L/fz9fv5tP/92fqZELKv42cyf8fuxsuKnmT/j343FFT/r+XP+85kiFlj4nFliicXP+bdNVBKrLH7OP9v5Zzv/PFPEUguf7fzzrLyeNcdyC5/9rGdWGCsufs4/V/PP1fzzrCeWXfic//VYeOHTzD+b+Wc7/2znn9388+xerL/4Of88OxZLMHzO/jTzv2vmf9fM/66Z/10z/7tm/neflWLc2pxafKsUjr7gIkxJyYsXSuWTmDTBwCcQXvPR2ke+drtFO3/i+p49aZiJD7PLmo8m8HwC2TVfvPqoenb1EUtzFF0dm2tTW1vY09EVpr+2xel07opwGL9WpyocwY9v8+y7qsKuPqr6bWagLqit+ZCrj8Sgv04NHBvrStMVpy6uD9vrtegutSnOrTuWtqpKU57epkxq7OqjOnkhzppjmAtaZVIjVx+JQc9lcjHH9ti316IKQ25hXH0pjvXxXDTXW3fsjtfu/Ea3MNfQ08HD17Y6hrmgVib0lSiTHLR2pl/TVzSETZ68oiHx9MA9xmGAYOATmM0EuPZPRPvI177cmej564VSOiAwEx9mj3EYIPB8AtFxuK4/vqU9jsMszV9zTmhpbWeLxto2HMXCdBRfsl6cz83Z1qY8u2P/69s0MOzhCnX6AocHM1AX1BoYfSXKJAd9f2J4WdtL1RaNufaFsUdTdGcXLwfo67aujq6pbu9TJtilH/HQv80xzAW1MkEu/RCDzm9xXUOPDa/iptzmGOaCWpnQlwFMctDq4zAdJ4dN7pL03ZJ+33GYJhj4BGYzAa79E9E+8rUvdyZ6/nqhlA4IzMSH2WUcpgk8n0B2HHYf39JWxmGO5vwaGPZwhTr9nIEHM1AX1BoY8nAFMegMx2HoCd7ha1sdw1xQKxM6+prkoDNcXGNZU52MXdYcw1xQKxMkaxKD1h6HGzpC+RG+lKRXfTsJQjDwCcxmAlz7J6J95Gtf7kz0/PVCKR0QmIkPs8c4DBB4PoHoONyUH9/SHsdhlubs4s0Gizeb9OOqV562j7mg1cAaJN4Ug87vYommxsoknaisOIa5oFYmdPQ1yUHnt7husKypSccuK45hLqiVCZI1iUGrj8N0hBI2uUnQu7Jc0u87DtMEA5/AbCbAtX8i2ke+9uXORM9fL5TSAYGZ+DC7jMM0gecTyI7D5uNb2so4zNGcXwPD4s3GbjMDdUGtgSHxphh0fmeHG+y24sZtdQxzQa1M6OhrkoPO7+xwg2VNTSp2WXUMc0GtTJCsSQxafRymI5SwyVMRilN+oCVAMPAJzGYCXPsnon3ka1/uTPT89UIpHRCYiQ+zyzhME3g+gew4HG+la57dSsfSnN+cg8WbTb/NDNQFtQaGxJti0Pmtmgx2K51JJSqrjmEuaJWJoaOvSQ5ae84xdIQSNnkqQnFlvaTfdc4BCAY+geycA2gf+dqXOxPdWF8opQMCM/Fh9phzAALPJxCdc0x8cLd59uBulub8GhgWb5pU0rdiBuqCWgND4k0x6LlMnLm07fnaFKeq6+Kivi7C3z6Fv3W8VCd3vHT2fS6WMFi8aVJJ36pjmAtqZYLEm2LQX6f9TqW72XNZmGNZhW/U4W+5S1t0tu/LW3e+2sq+T5lgt9IZs9UxzAW1MqGjr0kO+uuBk8dL3Ve3sui68liYi6mKU+uuxdXVfW1q25+6+n3KBMuajN3qGOaCWpkgWZMYtPqqiY5QwiZ3SXrdh2sDBAOfwGwmwLV/ItpHvvblzkSP6S+U0gGBmfgwu6yaaALPJ5BdNcVb6e7SVlZNHM3ZxZsGizdNOulbe8405IJaA0PiTTHoDMdh7FY6k05U1hyDXFArEzr6muSgMzwHg2VNJh27rDiGuaBWJkjWJAatPQ5bOkL5Eb6UpH/+pO89xmGAYOATmM0EuPZPRPvI177cmej564VSOiAwEx9mj3EYIPB8AtFx2MZb6eyzW+lYmrNrYBa7lc6mE5UHM1AXtBqYpaOvSQ46vxDBYlmTTccuK45hLqiVCZI1iUHnt2qyWNZk07HLimOYC2plgmRNYtBzmbT1rb64vivcqTKF6fqm6M3tWpTu0pnLtS8v71QmWNZkzVbHMBfUygTJmsSg/35/Y2f3Ba7+9hZLRyqhBGzCDVvqPp8PIBj4BGYzAa79E9E+8rUvdy56bH+hlA4IzMSH2WUVRRN4PoHsKiq+sfMubWUVxdEcRZfW3brmVhen2pRFVV1v4adTX3SX/mjOzdU19RuNx9itdTaVsKyYgbqg1tDoKGySg/66eKJpu3Nb2aI6ncOMVN5s+FrZF5U99lV9Lc25v7xPmWDZk03FMKuOYS6olQmSPYlBq58tpiOVsMnTkYpd0u8759AEA59AeM6htY987cudiW6sL5TSAYGZ+DC7zDk0gecTyM458dY6++zWOpbm/BoYFnfadPL3YAbqgloDQ+JOMej8xmGH3Vrn0gnLimOYC1pl4ugobJKD1p5zHB2phE2ejlR038YLEAx8Atk5B9A+8rUvdya6sb5QSgcEZuLD7DHnAASeTyA657h4a517dmsdS3N+DQyLO106+Vt5lSTmgloDQ+JOMej8xmGHxZ0unfytOIa5oFYmSNwpBq0+59ApXtjkJkmv+5pVgGDgEwjPObT2ka99uTPRjfWFUjogMBMfZpc5hybwfALZOSc+OfQubWXO4WiOos+2OTbdsSq6U3MtjLv1xbGrLkV/vpXX5lpdTu3p17dpYNjdnM5uMwN1Qa2B0WnrJAed4ZyDxZvObXUMc0GtTJB4Uwxafc6hU7uwydN3jOlenwMQDHwCs5kA1/6JaB/52pc7E91YXyilAwIz8WF2mXNoAs8nkJ1z2o9vaStzDkdzfudzsLs5XTrE41+qsrbPkfC/w35Hp62THHSGcw4Wb7p00se/VEWrTJB4Uwxae85p6dTuR/hSkl73xYgAwcAnkJ1zAO0jX/tyZ6Ib6wuldEBgJj7MHnMOQOD5BKJzThvv5myf3c3J0pxdA2uxuznbdIi38lYvzAWtBtbSaeskB53fONxi8WabTvpWHMNcUCsTJN4Ug1afc+jULmzyZGpXlUv6feccmmDgEwjPObT2ka99uTPRjfWFUjogMBMfZpc5hybwfALZOaf5+Ja2MudwNOfXwLAbiFuzzQzUBbUGRqetkxx0huMwFm+2dqtjmAtqZYLEm2LQ6nMOndqFTe6S9LqvMgMIBj6B8JxDax/52pc7E91YXyilAwIz8WF2mXNoAs8nkJ1z4sNq79JW5hyO5igau0jjXRoYdsNwmwzxHs1AXVBrYHTaOslBZzjnYPFmm0z61hzDXFArEyTeFINWn3Po1C5s8mRqV9VL+n3nHJpg4BMIzzm09pGvfbkz0Y31hVI6IDATH2aXOYcm8HwC2Tmn//iWtjLncDRH0aapbhdTmqK89E18xqAr+r6qCnu6ns6h4VV1fX8S2Bs0sA67YbhLhniPZqAuaDWwjk5bJzno/OacDos3u2TSt+YY5oJamSDxphi09pzT0ald2OTJ1K7SffkQQDDwCWTnHED7yNe+3JnoxvpCKR0QmIkPs8ecAxB4PoHonNPVH9/SHuccluYo+na0l3DEcunw4l0aGHbDcJcO8VbenIG5oNbA6LR1koNWb2B0ahc2uUnS674uBCAY+ATCDYzWPvK1L3cm+oj5QikdEJiJD7NLA6MJPJ9AtoHFG4bv0lYaGEdzFI2l7+/SwLBEvbPbzEBdUGtgSKIuBq3ewOgQMWxyl6TXfYIpQDDwCYQbGK195Gtf7kz0EfOFUjogMBMfZpcGRhN4PoFsA4uJ+l3aSgPjaM6vgWGJepcOl/lPaVzb50j432G/QxJ1MWj1BkYHxWGTp4Ni3UdTAgQDn0C4gdHaR7725c5EHzFfKKUDAjPxYXZpYDSB5xPINrD4CO7u2SO4WZrzO4WI3aPepXPjlcfvYS6oNTA64J/koLUbWE8HxT/Cl5L0us8cBAgGPoFsAwO0j3zty52JPmK+UEoHBGbiw+zRwAACzycQbWB9vEe9f3aPOktzdiuwHruIo09fz7DyXDXMBa0G1iMXcYhBqzcwOrcOmzydAes+TA4gGPgEwg2M1j7ytS93JvqI+UIpHRCYiQ+zSwOjCTyfQLaBxYs4+mcXcbA059fAsIs4+vT1DPznqq3tcyT877DfIRdxiEH//f724up+pFR/fXFPB9mhBkzCDqv8OA2AYOATCHc0WvvI177cu+hD6AuldEBgJj7MLh2NJvB8AtmOFq/quEtb6WgczfM5RXM99c4di1P4z3hYOxVdeTsVZWnDEa/rqt7eD1jv0NGwqzp6u80M1AW1joZc1SEGPZeJvfbt1XS2OF9vVWFOJ1eEtnctbHm92Lp2t9PFvU+ZYI+B791WxzAX1MqETvwnOWj1lTudHIdNnk6OdR+PChAMfALhOYfWPvK1L3cmurG+UEoHBGbiw+wy59AEnk8gO+fEx8Dfpa3MORzN+TUw7DkJfTpIXnkEJOaCWgOjE/9JDjrDcRiL2Pt02rziGOaCWpkgEbsYtPKcU5d0qvgjfClFX6uez0EIBj6B6JyDaB/52pc7E91YXyilAwIz8WF2mHMQAs8nkJxzgqqPb2kPcw5Pc24NrC6hiD18bZsZqAtKDSzwkFU7yUFnNw7XZY2VSTLVW3MMc0GtTOj4dZKDVp9z6BgvbPJkjFerPh4VIRj4BMJzDq195Gtf7kx0Y32hlA4IzMSH2WXOoQk8n0B2zmk+vqWtzDkczfk1MOgx8OFr28xAXVBrYHTaOslBZzgOQ/Fm+NpWxzAX1MoEiDfloNXnHDq1C5vcJenrJf2+cw5NMPAJhOccWvvI177cmejG+kIpHRCYiQ+zy5xDE3g+geyc4z6+pa3MORzNUbQzl7Y9X5viVHVdfEZmXRybcCgz/fFSndzx0tm3ueK0LqGb1sPXtpmBuqDWwOi0dZKDznDOgeLN8LWtjmEuqJUJEG/KQWe4aoLizfC1rY5hLqiVCRBvykFrj8MVnej8CF9K0qs+RRchGPgEZjMBrv0T0T7ytS93Jnr+eqGUDgjMxIfZYxwGCDyfQHQcrmK8WT2LN1mas2tgFRZvVumkb+WBspgLWg2sQuJNMej8xuEKizerdNK39txhyAW1MkHiTTHo/BbXFXQ7Z/jaVscwF9TKhI6+Jjlo9XGYjlDCJjdJetVnciMEA5/AbCbAtX8i2ke+9uXORM9fL5TSAYGZ+DC7jMM0gecTyI7D5uNb2so4zNGcXwPD4s3KbjMDdUGtgSHxphh0huMwdPdm+NpWxzAX1MqEjr4mOegMF9dY1lSlY5cVxzAX1MoEyZrEoL+fbnKvg9C3VJ9uUld0phJqIJWpWN2XyyIEA5/AbCbAtX8i2ke+9uXeRQ9kL5TSAYGZ+DC7zMc0gecTyM7H3ce3tJX5mKM5ii5P50tbVufieLFtYZqjKXpnr0V3Nbfq3Ni+b06/vk1Hw/LOKhX9rZiBuqDW0ZC8Uwxa+wRPTUc8P8KXEvSuVn1nDUIw8AlkGxigfeRrX+5M9BHzhVI6IDATH2aPBgYQeD6BaAOrY95ZP8s7WZqza2A1lnfW6ehv7fUtkAtaDaxG8k4xaPUGRsd4YZOnYzzVd9YgBAOfQLiB0dpHvvblzkQfMV8opQMCM/FhdmlgNIHnE8g2sPrjW9pKA+Nozq+BYRF7nU6bV17fgrmg1sCQiF0MWr2B0ali2OQmSa/6zhqEYOATCDcwWvvI177cmegj5guldEBgJj7MLg2MJvB8AtkGFiP2u7SVBsbRnF8DwyL2uF9sMQN1Qa2BIRG7GLR6A6OT47DJXZJe9Z01CMHAJxBuYLT2ka99uTPRR8wXSumAwEx8mF0aGE3g+QSyDSzeQXyXttLAOJqj6Mu1qt3ldiua+jK/uORaHKuyLi6Vc9XxXJ5O/X0ff4cGhl3VUacvcFh5fQvmgloDQ67qEINWb2B0bh02efrGWNVHtyMEA59AuIHR2ke+9uXORB8xXyilAwIz8WF2aWA0gecTyDaweBFH/ewiDpbm/BoYdhFH3W8zA3VBrYEhF3GIQWs3sIbOrX+EL6Xom/LpPrtHAwMIBj6BbAMDtI987cudiT5ivlBKBwRm4sPs0cAAAs8nEG1gTbyIo3l2EQdLcxR9tCdnr2dXtCfbFeZmqqKr+74w7natylNv2/J97tJpsIs4muT1DI9moC5oNbAGuYhDDFq9gdG5ddjkyQy40X3YMkAw8AmEGxitfeRrX+5M9BHzhVI6IDATH2aXBkYTeD6BbAOLF3Hcpa00MI7m7FZgDXYRR5O8nuHRDNQFtQaGXMQhBv19Y1j3Ra792uu6oYPsUAMmYYetdB+cABAMfALhjkZrH/nal3sXfQh9oZQOCMzEh9mlo9EEnk8g29HiVR13aSsdjaN5XpL1ze1o2mPRtV1dmMr2xdHZtmjbozH98WQvbfXr23Q07KqOxm4zA3VBraMhV3WIQc9lcuovzbU6V4Urw8rNmO5a9E3XF/3ZNu21teZkyvcpE+zBCY3b6hjmglqZ0In/JAf99y9se61PVxt+eYp3z9u66MwlFFffmKruqnPXd+9TJljE3qTS5lXHMBfUygSJ2MWgv44mp/P1eGv6whpzLkzb3cKRp7ThGHTqLtXpeGnsGx1NsId0N+lbs9d2LMgFtTKh49dJDlr9PCAd44VNnozxmnpJv++qiSYY+ARmMwGu/RPRPvK1L3cmekx/oZQOCMzEh9ll1UQTeD6B7Kqp//iWtrJq4mjOroGZEmpgJp3qPZiBuqDVwAwdv05y0PmNwwbLO006+ltxDHNBrUyQvFMMOr/FtamxMklHLGs7FuSCWpnQWdgkB/11NDldmsaFr53Ot3C8OZpjcTzWZXEuXX1rm668no/vUyZY+GTSOczajgW5oFYmSPgkBq29ajL06fWwyU2SXvedNQDBwCcwmwlw7Z+I9pGvfbkz0WP6C6V0QGAmPsweqyaAwPMJRFdNJmZNd2mPqyaW5ii6K20XJuSyCPNzDBxMWfRl3xW348V256q3p/KNGhiWNRm7zQzUBbUGhmRNYtAZjsNY1mRSscuqY5gLamWCZE1i0BkurrGsySTvbFxzDHNBrUyQrEkMOsNTdVjWZJJ3kK3uWJALamWCZE1i0OqrJvr0etjk6VPVulfoAQQDn8BsJsC1fyLaR7725c5Ej+kvlNIBgZn4MLusmmgCzyeQXTXFrOkubWXVxNGcXQOzWNZk07EL/7qBtX2OhH99v7NI1iQGnd84bLGsyaZjF/5VSFplgmRNYtD5La4tljXZdOzCv6ZRq0yQrEkMOr/Lwi2WNdl07MK/QlqrTJCsSQxae9Vk6dPrYZObJL3u+0IAgoFPYDYT4No/Ee0jX/tyZ6LH9BdK6YDATHyYPVZNAIHnE4iummzMmu7SHldNLM3ZZU0Wy5qs3WYG6oJaA0OyJjHoDMdhLGuy6dhlxTHMBbUyQbImMegMF9dY1mTTscuKY5gLamWCZE1i0BmeqsOyJpuOXdZ2LMgFtTJBsiYxaPVVE316PWzy9Klq3ZdUAQQDn8BsJsC1fyLaR7725c5Ej+kvlNIBgZn4MLusmmgCzyeQXTXFrOkubWXVxNGcXQNzWNbk0rHLyvuaMBe0GphDsiYx6PzGYYdlTS4du6w4hrmgViZI1iQGnd/i2mFZk0vHLms7FuSCWpkgWZMYdH6n6hyWNbl07LLiGOaCWpkgWZMYtPaqydGn18MmN0l63TcjAgQDn8BsJsC1fyLaR7725c5Ej+kvlNIBgZn4MHusmgACzycQXTW5mDXdpT2umlia82tgWNbk7DYzUBfUGhiSNYlBZzgOY1mTS8cuK45hLqiVCZI1iUF/La4vdVPaY12UfXX7+u7xdm6Lqjsdm8o5c7q90eIay5pcOnZZcQxzQa1MkKxJDDrDU3VY1uTSscvajgW5oFYmSNYkBq2+aqJPr4dNnj5Vrfs6XoBg4BOYzQS49k9E+8jXvtyZ6DH9hVI6IDATH2aXVRNN4PkEsqummDXdpa2smjias2tgLZY1tenYZeXNtJgLWg2sRbImMej8xuEWy5radOyy4hjmglqZIFmTGHR+i+sWy5radOyytmNBLqiVCZI1iUHn9wy9Fsua2nTssrZjQS6olQmSNYlBa6+aWvr0etjkJkmv+w54gGDgE5jNBLj2T0T7yNe+3JnoMf2FUjogMBMfZo9VE0Dg+QSiq6Y2Zk13aY+rJpbm7LKmFsuaWrvNDNQFtQaGZE1i0BmOw1jW1KZjlxXHMBfUygTJmsSgM1xcY1lTm45dVhzDXFArEyRrEoPO8FQdljW16dhlbceCXFArEyRrEoP++8/X3vZf5PHhIKqvvW3p8+2hBlLnrm2le6MTQDDwCcxmAlz7J6J95Gtf7l303P5CKR0QmIkPs8syiibwfALZZVQMn+7SVpZRHM1zR7u27tTeyuLS1WFIqqumOJYnW1zMpT+VXVd1t/d5vlGHhU9dKodZMQN1QaujdUj4JAY9l4kp68vxdroWlbNhyWXLS3G6mkvhqq4011tzafo3KhMsfOpSOcyqY5gLamWChE9i0PndD9dh4VOXymFWHcNcUCsTJHwSg57LxN3CkH27lMWtLsOS6+z6orv0fXG+Xk2Yvm/H0rTvUyZY+NSlcphVxzAX1MoECZ/EoLXDp44+3x42uUnQO1Mu6XddNQEEA5/AbCbAtX8i2ke+9uXORI/pL5TSAYGZ+DB7rJoAAs8nEF01dTF8ukt7XDWxNOfXwLDwqbPbzEBdUGtgSPgkBp3hOIyFT10yh1lzDHNBrUyQ8EkMOsPFNRY+dckcZs0xzAW1MkHCJzHoDE/VYeFTl8xh1hzDXFArEyR8EoNWXzXRp9fDJk+dqnamWtLvu2qiCQY+gdlMgGv/RLSPfO3LnYke018opQMCM/Fhdlk10QSeTyC7aopZ013ayqqJozm7BtZjWVOfvOfn0QzUBa0G1iNZkxh0fuNwj2VNffKenzXHMBfUygTJmsSg8zsH02NZU5+852fNMcwFtTJBsiYxaO1xuKcjlLDJk/fvmHpJv+s4DBAMfAKzmQDX/oloH/nalzsTPX+9UEoHBGbiw+wxDgMEnk8gOg73zce3tMdxmKU5vwZmsAZmtpmBuqDWwOjoa5KDzi9E6LGsqbdbHcNcUCsTJGsSg85w1YRlTX06dllxDHNBrUyQrEkMWn0cpiOUsMnTEUqzpN93HKYJBj6B2UyAa/9EtI987cudiZ6/XiilAwIz8WF2GYdpAs8nkB2H249vaSvjMEdzfmeHsXizTyd9D2agLqg1MCTeFIPOcM7psTJJJyorjmEuqJUJHX1NctDZrZqaEsqawte2Ooa5oFQmgYcuEzno7M7BNCWUNYWvbXUMc0GtTICsSQ5aedXUlHSEEjZ5OkIxS/o9V00IwcAnMJsJcO2fiPaRr325M9Fj+guldEBgJj7MDqsmhMDzCSRXTUHVx7e0h1UTT3N+DQy6lS58bZsZqAtqDYyOviY56AzHYShrCl/b6hjmglqZAFmTHHR2i+umhLKm8LWtjmEuqJUJkDXJQWd3qq4poawpfG2rY5gLamUCZE1y0OqrJvr0etjk6VPVdkm/76qJJhj4BGYzAa79E9E+8rUvdyZ6TH+hlA4IzMSH2WXVRBN4PoHsqqn9+Ja2smriaM6vgUFZU/jaNjNQF9QaGJA1yUFnOA5DWVP42lbHMBfUygTImuSgvxbX0BNk36RMKixrqtKxy4pjmAtaZVIhWZMYdH6n6iosa6rSscuKY5gLamWCZE1i0Nqrpoo+vR42efpUteqzghGCgU9gNhPg2j8R7SNf+3Jnosf0F0rpgMBMfJg9Vk0AgecTiK6aqpg1Vc+yJpbm/BoYljVV6diF/wTDtX2OhP8d9jskaxKDznAcxrKmymx1DHNBrUyQrEkMOr/FdYVlTZXd6hjmglqZIFmTGHR+p+oqLGuq0rEL/1ntWmWCZE1i0OqrJvr0etjk6VPV7ZJ+31UTTTDwCcxmAlz7J6J95Gtf7kz0mP5CKR0QmIkPs8uqiSbwfALZVVPMmqpnWRNLc34NDMuaqnTs8mAG6oJaA0OyJjHoDMdhLGuq0rHLimOYC2plgmRNYtD5La5rLGuq07HLimOYC1plUiNZkxh0fqfqaixrqtOxy4pjmAtqZYJkTWLQ2qummj69HjZ5+lR1t6TfddUEEAx8ArOZANf+iWgf+dqXOxM9pr9QSgcEZuLD7LFqAgg8n0B01VTHrKl+ljWxNOfXwLCsqU7HLg9moC6oNTAkaxKDzu++phrLmuKhf5tjmAtqZYJkTWLQc5lcTN3atq2Kpj53RVVdw+hclXVxCWNzdTyXp1PfvE+ZYFlT3JTbHMNcUCsTJGsSg87vVF2NZU11OnZZcQxzQa1MkKxJDDr837/N5OUXeSyHf1VdRtHn20MNpM5d20p5GUUTDHwCs5kA1/6JaB/52pd7Fz23v1BKBwRm4sPssoyiCTyfQHYZFcOn+ln4xNI8i+6Pp74sm8KeTBNGo2NbdKdjnJScq8NfNZf2+uvbdDQsfKpTOcyKGagLah0NCZ/EoOcyqbpze7x0t6I6HV34blhtdY0L3a+uqzb8D1XH2xvNx1j4VKdymFXHMBfUygQJn8Sg5zI5130T/vhUXPrmXBhTm6Kry7K4Vqe+P7WVa6/vUyYNFj41qRxm1THMBa0yaZDwSQw6v3N3DRY+NakcZtUxzAW1MkHCJzFo7fCpoc+3h02ePnfdL+l3XTUBBAOfwGwmwLV/ItpHvvblzkSP6S+U0gGBmfgwe6yaAALPJxBdNTUxfGqehU8szfk1MCx8atI5zIMZqAtqDQwJn8SgMxyHsfCpMVsdw1xQKxMkfBKDzm9x3WDhU2O3Ooa5oFYmSPgkBp3fqboGC5+adA6z4hjmglqZIOGTGLT6qok+vR42eepUtbPlkn7fVRNNMPAJzGYCXPsnon3ka1/uTPSY/kIpHRCYiQ+zy6qJJvB8AtlVU8yammdZE0tzfg0My5qa5D0/j2agLqg1MCRrEoPOcBzGsqYmFbusOoa5oFYmSNYkBp3f4tpgWZNJ3vOz5hjmglaZGCRrEoPO71SdwbImk7znZ80xzAW1MkGyJjHoeMleBP9V+Uo9Q59mD5s+dcraVrqZE0Aw8AnMZgJc+yeifeRrX+5U9Lj+QikdEJiJD7PH6gkg8HwC0dWTiZmTeZY5sTRH0af+Yo+m6Yr6WPWFcWFKOsWbfTtnusululxq+z53shgsczKp+GXFDNQFtUaGZE5i0HOZhMHodumMKZxrbWFa2xfHS1sVtgzfPd5c2TbmfcoEy5yM2eoY5oJamSCZkxh0hqsnLHMydqtjmAtqZYJkTmLQGa6esMzJpOKXVccwF9TKBMmcxKC1MydDn2YPmzx9yrpa0u+7aqIJBj6B2UyAa/9EtI987cudiR7TXyilAwIz8WF2WTXRBJ5PILtqipmTeZY5sTTn18CwzMmk45cHM1AX1BoYkjmJQWc4DmOZk0nHLyuOYS6olQmSOYlB57e4tljmZNPxy4pjmAtaZWKRzEkMOr9TdRbLnGw6fllxDHNBrUyQzEkMWnvVZOnT62GTp05VO1sv6XddNQEEA5/AbCbAtX8i2ke+9uXORI/pL5TSAYGZ+DB7rJoAAs8nEF012Zg12WdZE0tzfg0My5ps8lafRzNQF9QaGJI1iUFnOA5jWZM1Wx3DXFArEyRrEoPOb3FtsazJ2q2OYS6olQmSNYlB53eqzmJZk03FLquOYS6olQmSNYlBq6+a6NPrYZOnT1U3S/p9V000wcAnMJsJcO2fiPaRr325M9Fj+guldEBgJj7MLqsmmsDzCWRXTTFrss+yJpbm/BoYljXZdOzyYAbqgloDQ7ImMegMx2Esa7Lp2GXFMcwFtTJBsiYx6PwW1w7Lmlw6dllxDHNBq0wckjWJQed3qs5hWZNLxy4rjmEuqJUJkjWJQWuvmhx9ej1s8vSparOk33XVBBAMfAKzmQDX/oloH/nalzsTPaa/UEoHBGbiw+yxagIIPJ9AdNXkYtbknmVNLM35NTAsa3Lp2OXBDNQFtQaGZE1i0BmOw1jW5MxWxzAX1MoEyZrEoPNbXDssa3J2q2OYC2plgmRNYtD5napzWNbk0rHLimOYC2plgmRNYtDqqyb69HrY5OlT1XZJv++qiSYY+ARmMwGu/RPRPvK1L3cmekx/oZQOCMzEh9ll1UQTeD6B7KopZk3uWdbE0pxfA8OyJpeOXR7MQF1Qa2BI1iQGneE4jGVNLh27rDiGuaBWJkjWJAad3+K6xbKmNh27rDiGuaBVJi2SNYlB53eqrsWypjYdu6w4hrmgViZI1iQGrb1qaunT62GTp09VuyX9rqsmgGDgE5jNBLj2T0T7yNe+3JnoMf2FUjogMBMfZo9VE0Dg+QSiq6Y2Zk3ts6yJpTm/BoZlTW06dnkwA3VBrYEhWZMYdIbjMJY1tWarY5gLamWCZE1i0Pktrlssa2rtVscwF9TKBMmaxKDzO1XXYllTm45dVhzDXFArEyRrEoNWXzXRp9fDJk+fqm6X9PuummiCgU9gNhPg2j8R7SNf+3Jnosf0F0rpgMBMfJhdVk00gecTyK6aYtbUPsuaWJrza2BY1tSmY5cHM1AX1BoYkjWJQWc4DmNZU5uOXVYcw1xQKxMkaxKDzm9x3WFZU5eOXVYcw1zQKpMOyZrEoPM7VddhWVOXjl1WHMNcUCsTJGsSg9ZeNXX06fWwydOnqrsl/a6rJoBg4BOYzQS49k9E+8jXvtyZ6DH9hVI6IDATH2aPVRNA4PkEoqumLmZN3bOsiaU5vwaGZU1dOnZ5MAN1Qa2BIVmTGHSG4zCWNXVmq2OYC2plgmRNYtD5La47LGvq7FbHMBfUygTJmsSg8ztV12FZU5eOXVYcw1xQKxMkaxKDVl810afXwyZPn6rWfcstQDDwCcxmAlz7J6J95Gtf7kz0mP5CKR0QmIkPs8uqiSbwfALZVVPMmrpnWRNLc34NDMuaunTswn/33to+R8L/DvsdkjWJQWc4DmNZU5eOXfhv8tQqEyRrEoPOb3HdY1lTn45d+O8FViqTHsmaxKDzO1XXY1lTn45d+G8Z1yoTJGsSg9ZeNfX06fWwyZOnql25pN911QQQDHwCs5kA1/6JaB/52pc7Ez2mv1BKBwRm4sPssWoCCDyfQHTV1MesqX+WNbE059fAsKypT8Yuj2agLqg1MCRrEoPOcBzGsqbebHUMc0GtTJCsSQw6v8V1j2VNvd3qGOaCWpkgWZMYdH6n6nosa+qTscuaY5gLamWCZE1i0OqrJvr0etjkyVPV7uEdv/uummiCgU9gNhPg2j8R7SNf+3Jnosf0F0rpgMBMfJhdVk00gecTyK6aYtbUP8uaWJrza2BY1tQnY5dHM1AX1BoYkjWJQWc4DmNZU5+MXdYcw1xQKxMkaxKDzm5xbUooawpf2+oY5oJSmQQeukzkoLM7VWdKKGsKX9vqGOaCWpkAWZMctPKqyZT06fWwydOnqusl/Z6rJoRg4BOYzQS49k9E+8jXvtyZ6DH9hVI6IDATH2aHVRNC4PkEkqumoOrjW9rDqomnOb8GBmVN4WvbzEBdUGtgQNYkB53hOAxlTeFrWx3DXFArEyBrkoPObnFtSihrCl/b6hjmglqZAFmTHHR2p+qCIKxM0rHLimOYC2plAmRNctDqqyb69HrY5OlT1Q/v+N131UQTDHwCs5kA1/6JaB/52pc7Ez2mv1BKBwRm4sPssmqiCTyfQHbV1H58S1tZNXE059fAoKwpfG2bGagLag0MyJrkoDMch6GsKXxtq2OYC2plAmRNctD5La4rLGuq0rHLimOYC1plUiFZkxh0fqfqKixrqtKxy4pjmAtqZYJkTWLQ2qumij69HjZ5+lT1wzt+d101AQQDn8BsJsC1fyLaR7725c5Ej+kvlNIBgZn4MHusmgACzycQXTVVMWuqnmVNLM35NTAsa6rSscvKG8sxF9QaGJI1iUFnOA5jWVNltjqGuaBWJkjWJAad3+K6wrKmym51DHNBrUyQrEkMOr9TdRWWNVXp2GXFMcwFtTJBsiYxaPVVE316PWzy9Knqh3f87rtqogkGPoHZTIBr/0S0j3zty52JHtNfKKUDAjPxYXZZNdEEnk8gu2qKWVP1LGtiac6vgWFZU5WOXVbeWI65oNbAkKxJDDrDcRjLmqp07LLiGOaCWpkgWZMYdH6L6xrLmup07LLiGOaCVpnUSNYkBp3fqboay5rqdOyy4hjmglqZIFmTGLT2qqmmT6+HTZ4+Vf3wjt9dV00AwcAnMJsJcO2fiPaRr325M9Fj+guldEBgJj7MHqsmgMDzCURXTXXMmupnWRNLc34NDMua6nTssvLGcswFtQaGZE1i0F/j8PHcd9fGFfZ8CTPR8dwWfVW5ouvbc3U+V6eLO75PmWBZUzz0b3MMc0GtTJCsSQw6v8V1jWVNcVNucwxzQa1MkKxJDDq/U3U1ljXV6dhlxTHMBbUyQbImMWj1VRN9ej1s8vSp6od3/O67aqIJBj6B2UyAa/9EtI987cudiR7TXyilAwIz8WF2WTXRBJ5PILtqillT/SxrYmnOr4FhWVOdjl1W3liOuaDWwJCsSQw6w3EYy5rqdOyy4hjmglqZIFmTGHR+i+sGy5qadOyy4hjmglaZNEjWJAad36m6BsuamnTssuIY5oJamSBZkxh0+L9/m0vFLOtgacVfr+e//fG3Pws4cfiXf/rHgNj8Ej5s/GifuZA6ZW3rcunC05EXYsGn3gjgI4CPAP4ZgOcDLCdeCAAeeqP+MNsGgPhp5891hPgbDkOEqL4Y4n/8a/KIQ68MWWX2fZyhz42Ho0zq3Lit66dbao+FOkAw8AnMZgJc+yeifeRrt1u0849Y38duGmbiw+yxUAcIPJ9AdKHeNB/f0lYOUxzNUbRtL+fGNm3h6jLMV2cbemZ1rArnuqvpT0d3ufS/vs3MhOVW8eqjLWagLqjNTEhuJQatfaa5oeOYsMltgj4APd1nd2lgNMHAJxBuYLT2ka99uTPRR8wXSumAwEx8mF0aGE3g+QSyDcx+fEtbaWAczfk1MCwqbdw2M1AX1BoYEpWKQas3MDodCps8nbQ8vKJ63wZGEwx8AuEGRmsf+dqXOxN9xHyhlA4IzMSH2aWB0QSeTyDbwGJU2jyLSlma82tgWFTapFPDBzNQF9QaGBKVikF/nbWe2ZeFsPQCOlPKsuLrtLUpf5lMV/8ytVX1zIY+YYOt8SfQQiz4EejrtHUA8BHAPwPwfIBdTlsHgPAZCP7wh2cI8WjEYfifTlsrVlgVKsyY+NGGDxsLzsb/auN/dfG3Lv5XF/9rG3/bxv/adk/K0aQiR1vjj/aCwDeXYxXKMdD6SOsjrY+0PtL6SOsjrY+0PtL6SOuf0Xo+7T61W8XaDbjxs42fdq5mO/+Jnf/Ezd9x85+4+U/a+Tvt/CdPwOf9gkH+TkGNoZPRH+FLSUrd+9AAgoFPYDYT4No/Ee0jX7vdop1/BP05rgAwEx9mj2UCQOD5BKLLBFN9fEtbOUxxNEfRZ3u99GXXF6erDbPi6doV3eXUFOWt7tyxvpxOx3uVvcEywdTQMsGkw/W1myggF7SWCYa+e3KSg57L5Hq8NpdTH9YQvTkXpomX1TXtqbDnU32sXGfK9vo+ZYLdrmjS4eaKY5gLamVCp9CTHPS8mgx/+34Y15976HQzlIBJuqGb7wEEA59AeO6htY987cudi260L5TSAYGZ+DC7zD00gecTyM495uNb2srcw9EcRXe9udnaNsXpcjkWpnK26C/GFefbrb3e2rq5mPe5RcBgd8wau80M1AW1hkan0pMc9Fwmx6oyzpq+cNU5zEima4uTPbfF7dReykvVWefe5yy6wWJg47Y6hrmgViZIDCwGrR0DGzr5Cps8mSK1zy+Z3mXOoQkGPoHwnENrH/nalzsT3VhfKKUDAjPxYXaZc2gCzyeQnXNiDGyexcAszfk1MCwGNslE9NEM1AW1BobEwGLQGY7D2B2zpt/qGOaCWpkgd8yKQf88v3O/1THyq57fsfSNoT/ClxJu2EZ37gEIBj6B7NwDaB/52pc7F91oXyilAwIz8WH2mHsAAs8nEJ17bPnxLe1x7mFpjqJtZW9tOHIVTX+tCtM4Vxz7S1/Up2s4oFXlOfy3X9+loVnspm2bDPkezUBd0Gpolk5jJznorwfKHI/dqTn1ResaU5jy1hdHew4fZV2dr034H6rs+5QJFn/aZBK45hjmglqZIPGnGHR+zx2yWPxpk0ngqmOQC2plgsSfYtDapwEtnfCETW4S9K6tlvT7jsM0wcAnMJsJcO2fiPaRr325M9Hz1wuldEBgJj7MLuMwTeD5BLLjcIw779JWxmGO5vwaGBZ3WrvNDNQFtQaGxJ1i0BmumrC407qtjmEuqJUJEneKQavPOXTCEzZ5Oi2pl/T7zjk0wcAnMJsJcO2fiPaRr325M9GN9YVSOiAwEx9mlzmHJvB8Atk5J8ad9lncydIcRZ+q7uhcfy6sDSt7c2xORX+6novONNfbtW/KW3P+9W0aGBZ32nTy92AG6oJaA0PiTjHoDE/7YXGnTSd/K45hLqiVCRJ3ikHnt2py2AOCXfJZuauOQS5olYmjo69JDlp7HHZ0hBI2efK5t+3zO8/3GIcBgoFPYDYT4No/Ee0jX/tyZ6LnrxdK6YDATHyYPcZhgMDzCUTHYRfv7nTP7u5kac6vgWHxpkslfStmoC6oNTAk3hSDzm/V5LB406WSvlXHMBfUygSJN8Wg1eccOtEJm9wk6Z8/pWSXOYcmGPgEwnMOrX3ka1/uTHRjfaGUDgjMxIfZZc6hCTyfQHbOifHmXdrKnMPRnF8Dw+JNZ7eZgbqg1sCQeFMMOsNxGIs3ndvqGOaCWpkg8aYYtPqcQyc6YZOn0xG7pN93zqEJBj6B8JxDax/52pc7E91YXyilAwIz8WF2mXNoAs8nkJ1zYrzpnsWbLM35NTAs3nTppO/BDNQFtQaGxJti0BmOw1i86dJJ34pjmAtqZYLEm2LQP+/mrMov8miA6u2cLR3j/QhfSthhm3ppx66DD0Aw8AlkBx9A+8jXvty76E77QikdEJiJD7PH4AMQeD6B6ODTxts522e3c7I0z4NPE6/U6JuiK82lMNYdi2N5uhbNqS57c7o07a3/9V06Wovdztmm72x8MAN1QaujtXT8OslB5zcft1je2aaiv3XHIBfUygTJO8Wgv+bj5nSsuqosmspdC1NVXdGX11P4bt1f7Llryta9T5lgeWebvrNxxTHMBbUyQfJOMejv+fi+2eN/6M7HdOYTasAk7dANQAGCgU9gNhPg2j8R7SNf+3LvogeyF0rpgMBMfJhd5mOawPMJZOfjGIDepa3MxxzNc0crbV+V3bVw7hwOa0frir51tjj3tbmac3nqTm80+GABaGu3mYG6oNbRkABUDDrDwQcLQKPijY5BLqiVCRKAikF/PQ3QdfW5vbTFqWnLwrjrrejP5lQ0fVP2t/54bK7d+5RJi5VJKnNZdQxzQa1M6HBskoPWzslbOmQJmzwdsui+1QogGPgEZjMBrv0T0T7ytS93Jnr+eqGUDgjMxIfZZRymCTyfQHYc7j6+pa2MwxzN+Z0HxALQNp0Frry5B3NBrYEhAagYdH7jcIfd39mlb3VccQxzQatMOjoLm+Sg81tcd1j41KVvKVtzDHJBrUyQ8EkMej5dPKMv62BpBfQCXJYTX+857pr4Jm0bP+KbjLs+fPTx7cZ9/EUff9HHX/ThF7as4kcTP2z8aONH/EUVf1HFX1TxF1X8RRV/Ucdf1PEXtYsf8c+aOn7E7zVd+IhvWrbxTcs2vmnZxjctWxv/ho1/w8a/4eLfcPFvuPg32vg34uuWbRv/Rhf/RuSwXfwbEcH28W9E9bYPf8NF4a4Mv3VRqaviT1Gai6pcE39q4k9RizPxJxt/igpcfNezc/Gn+O/GrT65Lv4U/zUXvXJ9+KmN/0ZbumellA6o8AsnoYLAZ8Kv9z8H93ysAh+rwMcq8LEKfKwCH6vAxyrwsQp8rAIfq8DHKvCxCnysAh+rwMcq8LEKfKwCH6vAxyrwsQp8rAIfq8DHKvCR28cq8LEKfKwCH6vAxyrwsQp8rAIfq8DHKvCxCnysAh+rwMcq8LEKfKwCH6vAxyrwsQp8rAIfq8DHKvCxCnysAh+rwMcq8LEKfKwCH6vAxyrwsQp8rAIfq8DHKvCxCnysAh+rwMcq8LEKfKwCH6vAxyrwsQr8syrw/CpYDtVQFcBz9f292MG9+Gnnz/md18HF8NnP78Lu59/282/7+bd9/G0sh/jZzJ92/mznz/m31fzbav5tNf+2mn9bzb+t59/W82/DRoif85839fw5fz+UR/ic39lt53d22/md3XZ+Z3eskfg5/107/103/103/103/912/rvzm7tjrYTPbv67M28sl/g5/91+/rszYyyZP/zBzXSxaMLnzBLLJnzOyt2sOVZO/Jx/nnXG4gmfdv551ubm94nHAgqfs55YQuGzm3+eNbjZ51hGf/hDO/+7zwopbhlOJcVSujcY9fdtdnReG6aOdF7bPt1f9jgjAxAMfAKzmQDX/oloH/na7Rbt/Anme5ajYSY+zB5nZAACzycQPSPTNR/f0lYOUxzNUXR7rjoXukrR9aYMy/K6LnpzsUV7vRzDQF32V3ffx99hDWWwNZTZZgbqgtoaio7VJzlo7Uiho+PZsMltgt61yg2MJhj4BMINjNY+8rUvdyb6iPlCKR0QmIkPs0sDowk8n0C2gdmPb2krDYyjOb8Ghl060bltZqAuqDUw5NIJMWj1BkZfERA2eeqKANc+f8n7Lg2MJhj4BMINjNY+8rUvdyb6iPlCKR0QmIkPs0sDowk8n0C2gcV7x+/SVhoYR3N+DQy7d7xLXyCw8lZ3zAW1BkZfyTHJQas3MPqKgLDJ01cE9E/32V0aGE0w8AmEGxitfeRrX+5M9BHzhVI6IDATH2aXBkYTeD6BbAPrP76lrTQwjubsGliPXa3Tpy9ceTADdUGrgfXI1Tpi0NoNrKcvQgmbPHkRSlc+3Wf3aGAAwcAnkG1ggPaRr325M9FHzBdK6YDATHyYPRoYQOD5BKINrI9PY++fPY2dpTm/BlZjDSx13cKKGagLag0MeTqBGLR6A6Nz67DJUxlwvABGtYHRBAOfQLiB0dpHvvblzkQfMV8opQMCM/FhdmlgNIHnE8g2sHgRR//sIg6W5vwaGHYRR2+2mYG6oNbAkIs4xKDVGxidW4dNbpP09dN9dpcGRhMMfALhBkZrH/nalzsTfcR8oZQOCMzEh9mlgdEEnk8g28DiRRx3aSsNjKM5vwaGXcTRu21moC6oNTDkIg4xaPUGRufWYZMnM+BO94WOAMHAJxBuYLT2ka99uTPRR8wXSumAwEx8mF0aGE3g+QSyDSxexNE/u4iDpTm/BoZdxNEnr2d4NAN1Qa2BIRdxiEGrNzA6tw6bPJkBd7oPqgQIBj6BcAOjtY987cudiT5ivlBKBwRm4sPs0sBoAs8nkG1g8SKOu7SVBsbRnFsDsyV0EUf42jYzUBeUGljgIat2koNWbmC2pHPrsMnTGbDqK9gQgoFPINrAEO0jX/tyZ6KPmC+U0gGBmfgwOzQwhMDzCSQbWFD18S3toYHxNOfXwGqsgaWvZ1h5zRTmgloDAy7ikINWb2B0bh02eToDVn02KkIw8AmEGxitfeRrX+5M9BHzhVI6IDATH2aXBkYTeD6BbANrPr6lrTQwjub8Ghh0EUf42jYzUBfUGhhwEYcctHoDo3PrsMltkl71SRwIwcAnEG5gtPaRr325M9FHzBdK6YDATHyYXRoYTeD5BLINzH58S1tpYBzN+TUw6CKO8LVtZqAuqDUw4CIOOWj1Bkbn1mGTpzNg1SdxIAQDn0C4gdHaR7725c5EHzFfKKUDAjPxYXZpYDSB5xPINrD241vaSgPjaM6vgUEXcYSvbTMDdUGtgQEXcchBqzcwOrcOmzydAas+iQMhGPgEwg2M1j7ytS93JvqI+UIpHRCYiQ+zSwOjCTyfQLaB9R/f0lYaGEdzdg2swi7iqNLXM/AfSrG2z5Hwr+93FXIRhxi0dgOr6Nw6bPJkBtyrPokDIRj4BLINDNA+8rUvdyb6iPlCKR0QmIkPs0cDAwg8n0C0gVXxIo7q2UUcLM35NbAaa2DJ6xkezUBdUGtgyEUcYtDqDYzOrcMmT2bAveqTOBCCgU8g3MBo7SNf+3Jnoo+YL5TSAYGZ+DC7NDCawPMJZBtYvIijenYRB0tzfg0Mu4ijMtvMQF1Qa2DIRRxi0OoNjM6twya3Sfr66T67SwOjCQY+gXADo7WPfO3LnYk+Yr5QSgcEZuLD7NLAaALPJ5BtYPEijru0lQbG0ZxfA8Mu4qjcNjNQF9QaGHIRhxi0egOjc+uwyZMZcK/6JA6EYOATCDcwWvvI177cmegj5guldEBgJj7MLg2MJvB8AtkGFi/iqJ5dxMHSnF8Dwy7iqJLXMzyagbqg1sCQizjEoMP//VsE/1X3zcy2ovPrsOlTWXB8Z7dqI6MJBj6BcCOjtY987cudij5yvlBKBwRm4sPs0shoAs8nkG1k8WKOu7SVRsbRHEUfK3M29twUzfFsC9NXZdG5S1c07mIu1e3UnZrbr+/SyGrsYo46dV3DihmoC1qNrEYu5hCD1l6J1XR+HTZ5OgtWfaQUQjDwCWQbGKB95Gtf7kz0EfOFUjogMBMfZo8GBhB4PoFoA6vjxRz1s4s5WJrza2A11sDS1zWsPF0Jc0GtgSEXc4hBx5VYJO++wEOh6a7IajrPDiWQyoat0b06ESAY+ATCDY3WPvK1L3cu+gj6QikdEJiJD7NLQ6MJPJ9AtqHFizvqZxd3sDRH0e4WDne3S1nc6vJWmLPri+7S98X5ejWla27H0tyx3qGhYRd3xH16ixmoC2oNDbm4Qwx6LhPbWduUt0tRXq6h+dV9XZzObeiAt+56urjuej7a9ykTi5WJ3eoY5oJamdDB/yQHrb5wpwPksMldgt71uo/SBAgGPoHwnENrH/nalzsT3VhfKKUDAjPxYXaZc2gCzyeQnXPcx7e0lTmHozm/BtZiDSydJ688VRJzQa2B0cH/JAed4TiMJe11OnRecQxzQa1MkKRdDFp9zqFDxbDJUwGd63WfuAoQDHwC4TmH1j7ytS93JrqxvlBKBwRm4sPsMufQBJ5PIDvnxIT9Lm1lzuFozq6BNVjC3iSfHPBoBuqCVgNrkIRdDDq/cbipsDJJh3orjmEuqJUJnb5OctDac05Dp3hhk6dTPN0H8wIEA59Ads4BtI987cudiW6sL5TSAYGZ+DB7zDkAgecTiM45Tf3xLe1xzmFpzq+BNVgDS9+hvfKMWswFtQZGp62THHSG4zAWbzZmq2OYC2plgsSbYtDqcw6d2oVNbpP0undMAAQDn0B4zqG1j3zty52JbqwvlNIBgZn4MLvMOTSB5xPIzjnx3vW7tJU5h6M5vwaG3bveuG1moC6oNTA6bZ3koDMch7F4s0knfSuOYS6olQkSb4pBq885dGoXNnk6tdN9zDdAMPAJhOccWvvI177cmejG+kIpHRCYiQ+zy5xDE3g+geyc0318S1uZczia82tgPdbA0iHeyhOvMRfUGhidtk5y0PmNwwaLN0066VtxDHNBq0wMEm+KQWvPOYZO7cImT6V2bfn8FpM95hyAYOATyM45gPaRr325M9GN9YVSOiAwEx9mjzkHIPB8AtE5x8QbiM2zG4hZmvNrYDXWwFIh3ooZqAtqDYxOWyc56PzGYYPFmyaV9K06hrmgViZIvCkGrT7n0Kld2OQmSa/70gCAYOATCM85tPaRr325M9GN9YVSOiAwEx9mlzmHJvB8Atk5x3x8S1uZczia82tg2A3Dxm4zA3VBrYHRaeskB53hOIzFm8ZtdQxzQa1MkHhTDFp9zqFTu7DJU6ldW9ZL+n3nHJpg4BMIzzm09pGvfbkz0Y31hVI6IDATH2aXOYcm8HwC2TknPpr7Lm1lzuFozq+BYTcMm1SIt2IG6oJaA6PT1kkOOsNxGIs3TSrpW3UMc0GtTJB4Uwxae86xdGr3I3wpSa/7ChKAYOATyM45gPaRr325M9GN9YVSOiAwEx9mjzkHIPB8AtE5x5Yf39Ie5xyW5uwamMVuGLbpEG/lbRyYC1oNzNJp6yQHnd84bLF406aTvhXHMBfUygSJN8Wg1eccOrULmzyd2uk+4B8gGPgEwnMOrX3ka1/uTHRjfaGUDgjMxIfZZc6hCTyfQHbOic9Dts+eh8zSnF8Dw24YtmabGagLag2MTlsnOegMx2Es3rR2q2OYC2plgsSbYtDqcw6d2oVN7pL0us9DBggGPoHwnENrH/nalzsT3VhfKKUDAjPxYXaZc2gCzyeQnXPi85Dv0lbmHI7m/BoYdsOwTYd4/EcDr+1zJPzvsN/RaeskB53hOIzFmzad9PEfDaxVJki8KQatPufQqV3Y5OnUTvd5yADBwCcQnnNo7SNf+3JnohvrC6V0QGAmPswucw5N4PkEsnNOfB7yXdrKnMPRnF0Dc9gNwy4d4vEfDby2z5Hwr+93jk5bJzno/MZhh8WbLp308R8NrFUmSLwpBq095zg6tQubPJ3a6T4PGSAY+ASycw6gfeRrX+5MdGN9oZQOCMzEh9ljzgEIPJ9AdM5x8XnId2mPcw5Lc34NDLth2KVDPP6jgdf2ORL+d9jv6LR1koPOcBzG4k1ntjqGuaBWJki8KQatPufQqV3Y5DZJr/s8ZIBg4BMIzzm09pGvfbkz0Y31hVI6IDATH2aXOYcm8HwC2TknPg/5Lm1lzuFozq+BYTcMO7fNDNQFtQZGp62THHSG4zAWb7p00sd/NLBWmSDxphi0+pxDp3Zhk6dTO93nIQMEA59AeM6htY987cudiW6sL5TSAYGZ+DC7zDk0gecTyM458XnI7tnzkFma82tg2A3DLh3i8R8NvLbPkfC/w35Hp62THHR+43CLxZttOunjPxpYqUxaJN4Ug9aec1o6tQubPJnaVeWSftc5ByAY+ASycw6gfeRrX+5MdGN9oZQOCMzEh9ljzgEIPJ9AdM5p4/OQ22fPQ2ZpjqIvvT22tjwX7el0Kqrq2hVdeS2LsrRlmJ66qrf3A9Y7NLAaa2DJEO/RDNQFtQZGp62THHSGcw4Wb7bJpG/NMcwFtTJB4k0xaPU5h07twiY3SXrd5yEDBAOfQHjOobWPfO3LnYlurC+U0gGBmfgwu8w5NIHnE8jOOfF5yHdpK3MOR3N+DQy7Ybi128xAXVBrYHTaOslBZzgOY/Fm67Y6hrmgViZIvCkGrT7n0Kld2OTJ1K6ql/T7zjk0wcAnEJ5zaO0jX/tyZ6Ib6wuldEBgJj7MLnMOTeD5BLJzTnwe8l3aypzD0ZxfA8NuGG6TId6jGagLag2MTlsnOegMx2Es3myTSd+aY5gLamWCxJti0NpzTkendj/Cl5L0us9DBggGPoHsnANoH/nalzsT3VhfKKUDAjPxYfaYcwACzycQnXO6+Dzk7tnzkFmas2tgHXbDcJcO8fjPfF3b50j432G/o9PWSQ46v3G4w+LNLp30rTiGuaBWJki8KQatPufQqV3Y5OnUTvd5yADBwCcQnnNo7SNf+3JnohvrC6V0QGAmPswucw5N4PkEsnNOfB5y9+x5yCzN+TUw7IbhzmwzA3VBrYHRaeskB53hOIzFm53d6hjmglqZIPGmGLT6nEOndmGTuyS97vOQAYKBTyA859DaR7725c5EN9YXSumAwEx8mF3mHJrA8wlk55z4POS7tJU5h6M5vwaG3TDcpUM8/jNf1/Y5Ev532O/otHWSg85wHMbizS6d9K04hrmgViZIvCkGrT7n0Kld2OTp1E73ecgAwcAnEJ5zaO0jX/tyZ6Ib6wuldEBgJj7MLnMOTeD5BLJzTnwe8l3aypzD0ZxdA+uxG4b7dIi38sxXzAWtBtbTaeskB53fONxj8WafTvr4T5DWKhMk3hSDDv/3b+Evx4HgXzXnnZ5O78KmT6V31ujedwUQDHwC2XkH0D7ytS93KrrBvlBKBwRm4sPsMe8ABJ5PIDrv9PG5yHdpj/MOS3MUfW7L5lpewuHLdqfCuMu5OF77a9Gb48lcb/ZWnatf36aRYTcO96kwb8UM1AW1RkanrpMcdIbzDhZz9marY5gLamWCxJxi0NrndXo6vQub3Cbo20r3/Q8AwcAnEJ5zaO0jX/tyZ6Ib6wuldEBgJj7MLnMOTeD5BLJzTnwu8l3aypzD0ZxfA8NuHO7dNjNQF9QaGJ26TnLQGY7DWMzZpxO/FccwF9TKBIk5xaDV5xw6vQubPJ3e6b7/ASAY+ATCcw6tfeRrX+5MdGN9oZQOCMzEh9llzqEJPJ9Ads6Jz0Xunz0XmaU5vwaG3Tjcp8O8lWfcYy6oNTA6dZ3koLMbh10JxZzha1sdw1xQKpPAQ5eJHHTMryJ5/wUeDxqaOZYr6TQvlEAqzbNG9X5zhGDgE4jOPYj2ka99uXPRjfaFUjogMBMfZoe5ByHwfALJuSeo+viW9jD38DTPc0/dN3VdnYpL35wLY2pTdHVZFtfq1PentnLt9b6Pv0NDq7GGlg71Vu6pxVxQa2h0+jrJQX/NPebStudrU5yqrgszkq2LY3MN01J/vFQnd7x09vw+ZQLFneFrWx3DXFArEyDulIOey+TUX+zRNF1RH6s+fLe7FSd7rIvOme5yqS6X2nbvUyZQ3Bm+ttUxzAW1MgHiTjnouUyOri6PZXMr2tsxjtJVVRxvt2th7KW+Ha/l2d5O71Mm0F2d4WtbHcNcUCsTOgqb5KCVzxa7ko5UwiZPRyqqb9FDCAY+gdlMgGv/RLSPfO3LnYke018opQMCM/Fhdlk10QSeTyC7anIf39JWVk0czVF0W97qizWn4niytjDNyYTpqCmLo711t85e27J/ozkHijvD17aZgbqg1sCAuFMOOsNxGLqrM3xtq2OYC2plQkdhkxx0hotrKHsKX9vqGOaCWpkA2ZMcdH6n6iose6rSMcyKY5gLWmVSIdmTGLT2qqmiT6+HTZ68c6wul/S7rpoAgoFPYDYT4No/Ee0jX/tyZ6LH9BdK6YDATHyYPVZNAIHnE4iumqqYNVXPsiaW5vwaGJY1VanYZcUM1AW1BoZkTWLQ+Y3DFZY1VcnnZK45hrmgViZI1iQGnd/iusKypspsdQxzQa1MkKxJDDq/rKnCsqbKbnUMc0GtTJCsSQxafdVEn14Pmzx5qrpWfdIEQjDwCcxmAlz7J6J95Gtf7kz0mP5CKR0QmIkPs8uqiSbwfALZVVPMmu7SVlZNHM35NTAsa6qSscujGagLag0MyZrEoDMch7GsqUrGLmuOYS6olQmSNYlBZ7i4xrKmKhm7rDmGuaBWJkjWJAad36m6Gsua6mTssuYY5oJWmdRI1iQGrb1qqunT62GTp09V10v6XVdNAMHAJzCbCXDtn4j2ka99uTPRY/oLpXRAYCY+zB6rJoDA8wlEV011zJrqZ1kTS3N+DQzLmup07PJgBuqCWgNDsiYx6PzG4RrLmup07LLiGOaCWpkgWZMYdH6L6xrLmuKEsM0xzAW1MkGyJjHo/C4Lr7GsKW7KbY5hLqiVCZI1iUGrr5ro0+thk6dPVes+DQIgGPgEZjMBrv0T0T7ytS93JnpMf6GUDgjMxIfZZdVEE3g+geyqKWZNd2krqyaO5uyyphrLmup07MK/R3VtnyPhf4f9DsmaxKAzHIexrKlOxy78O961ygTJmsSgM1xcY1lTnY5d+M/P0CoTJGsSg87vVF2DZU1NOnbhP41HqUwaJGsSg9ZeNTX06fWwydOnqh/ecL7rqgkgGPgEZjMBrv0T0T7ytS93JnpMf6GUDgjMxIfZY9UEEHg+geiqqYlZU/Msa2JpjqJ7cznXYT4ubs6E0blqu6I/nZuibruyP9vr0bg3amBY1tSkY5cHM1AX1BoYkjWJQec3DjdY1tSkY5cVxzAX1MoEyZrEoPNbXDdY1tSYrY5hLqiVCZI1iUHnd6quwbKmxm51DHNBrUyQrEkMWn3VRJ9eD5s8faraLun3XTXRBAOfwGwmwLV/ItpHvvblzkSP6S+U0gGBmfgwu6yaaALPJ5BdNcWs6S5tZdXE0ZxfA8OypiYduzyYgbqg1sCQrEkMOsNxGMuamnTssuIY5oJamSBZkxh0hotrLGtq0rHLimOYC2plgmRNYtD5ZU0Gy5pMOnZZcQxzQatMDJI1iUFrr5oMfXo9bPL0qWq3pN911QQQDHwCs5kA1/6JaB/52pc7Ez2mv1BKBwRm4sPssWoCCDyfQHTVZGLWZJ5lTSzN+TUwLGsy6djlwQzUBbUGhmRNYtD5jcMGy5pMOnZZcQxzQa1MkKxJDDq/xbXBsiZjtjqGuaBWJkjWJAad331NBsuajN3qGOaCWpkgWZMYtPqqiT69HjZ5+lR1u6Tfd9VEEwx8ArOZANf+iWgf+dqXOxM9pr9QSgcEZuLD7LJqogk8n0B21RSzpru0lVUTR3N2WZPBsiaTjl0ezEBdUGtgSNYkBp3hOIxlTSYdu6w4hrmgViZI1iQGneHiGsuaTDp2WXEMc0GtTJCsSQw6v1N1FsuabDp2WXEMc0GrTCySNYlBh//7twge/s6/aq6eLH2aPWz61Clra3TvbwIIBj6B2UyAa/9EtI987cudih7XXyilAwIz8WH2WD0BBJ5PILp6sjFzss8yJ5bmKLosbW9KcynsJQzOVXW9FX1pwmx06Y/m3FxdU7/PvGOxzMmm4pcVM1AX1BoZkjmJQee3erJY5mRT8cuqY5gLamWCZE5i0BmOxVjmZM1WxzAX1MoEyZzEoPNbZFssc7J2q2OYC2plgmROYtDamZOlT7OHTZ4+Zd0t6fddNdEEA5/AbCbAtX8i2ke+9uXORI/pL5TSAYGZ+DC7rJpoAs8nkF01xczpLm1l1cTRnF8DwzInm45fHsxAXVBrYEjmJAad4TiMZU42Hb+sOIa5oFYmSOYkBp3h4hrLnGw6fllxDHNBrUyQzEkMOr9TdQ7LnFw6fllxDHNBq0wckjmJQWuvmhx9ej1s8vTtEf2SftdVE0Aw8AnMZgJc+yeifeRrX+5M9Jj+QikdEJiJD7PHqgkg8HwC0VWTi1mTe5Y1sTTn18CwrMmlYpcVM1AX1BoYkjWJQec3Djssa3Kp2GXVMcwFtTJBsiYx6PwW1w7LmpzZ6hjmglqZIFmTGHR+p+ocljU5u9UxzAW1MkGyJjFo9VUTfXo9bPLkqeqmXNLvu2qiCQY+gdlMgGv/RLSPfO3LnYke018opQMCM/Fhdlk10QSeTyC7aopZ013ayqqJozm/BoZlTS4Zuzyagbqg1sCQrEkMOsNxGMuaXDJ2WXMMc0GtTJCsSQw6w8U1ljW5ZOyy5hjmglqZIFmTGHR+p+paLGtqk7HLmmOYC1pl0iJZkxi09qqppU+vh02ePFXdVEv6XVdNAMHAJzCbCXDtn4j2ka99uTPRY/oLpXRAYCY+zB6rJoDA8wlEV01tzJraZ1kTS3N+DQzLmtpk7PJoBuqCWgNDsiYx6PzG4RbLmtpk7LLmGOaCWpkgWZMYdH6L6xbLmlqz1THMBbUyQbImMej8TtW1WNbU2q2OYS6olQmSNYlBq6+a6NPrYZOnT1XXS/p9V000wcAnMJsJcO2fiPaRr325M9Fj+guldEBgJj7MLqsmmsDzCWRXTTFruktbWTVxNOfXwLCsqU3HLg9moC6oNTAkaxKDznAcxrKmNh27rDiGuaBWJkjWJAad4eIay5radOyy4hjmglqZIFmTGHR+p+o6LGvq0rHLimOYC1pl0iFZkxi09qqpo0+vh02ePlXdLOl3XTUBBAOfwGwmwLV/ItpHvvblzkSP6S+U0gGBmfgwe6yaAALPJxBdNXUxa+qeZU0szfk1MCxr6tKxy4MZqAtqDQzJmsSg8xuHOyxr6tKxy4pjmAtqZYJkTWLQ+S2uOyxr6sxWxzAX1MoEyZrEoPM7VddhWVNntzqGuaBWJkjWJAatvmqiT6+HTZ4+Va375HGAYOATmM0EuPZPRPvI177cmegx/YVSOiAwEx9ml1UTTeD5BLKrppg13aWtrJo4mvNrYFjW1KVjF/7zUNf2ORL+d9jvkKxJDDrDcRjLmrp07MJ/urJWmSBZkxh0hotrLGvq0rEL/1ntWmWCZE1i0PmdquuxrKlPxy78Nz8olUmPZE1i0Nqrpp4+vR42efpUtV3S77pqAggGPoHZTIBr/0S0j3zty52JHtNfKKUDAjPxYfZYNQEEnk8gumrqY9bUP8uaWJrza2BY1tSnY5cHM1AX1BoYkjWJQec3DvdY1tSnY5cVxzAX1MoEyZrEoPNbXPdY1tSbrY5hLqiVCZI1iUHnd6qux7Km3m51DHNBrUyQrEkMWn3VRJ9eD5s8faraLen3XTXRBAOfwGwmwLV/ItpHvvblzkSP6S+U0gGBmfgwu6yaaALPJ5BdNcWs6S5tZdXE0ZxfA8Oypj4duzyYgbqg1sCQrEkMOsNxGMua+nTssuIY5oJamSBZkxh0hotrLGvq07HLimOYC2plgmRNYtBfR5OuP5u6tvF8zfnNT9W1JZQ1ha9tdQxzQalMAg9dJnLQyqumtqRPr4dNnj5V3S7p91w1IQQDn8BsJsC1fyLaR7725c5Ej+kvlNIBgZn4MDusmhACzyeQXDUFVR/f0h5WTTzNuWVNbQllTeFr28xAXVBrYEDWJAed3TjcllDWFL621THMBbUyAbImOejsFtdtCWVN4WtbHcNcUCsTIGuSg87uVF1bQllT+NpWxzAX1MoEyJrkoNVXTfTp9bDJ06eqH97xu++qiSYY+ARmMwGu/RPRPvK1L3cmekx/oZQOCMzEh9ll1UQTeD6B7KrJfXxLW1k1cTTn18CgrCl8bZsZqAtqDQzImuSgMxyHoawpfG2rY5gLamUCZE1y0BkurqGsKXxtq2OYC2plAmRNctD5naqrsKypSscuK45hLmiVSYVkTWLQ4f/+bS6Vh66ytOKv1/Pf/vjbnwWcOPzLP/1jQKx/CR9t+KjjT3X8qYk/NfEnE38yNnzYMn6Y+BF/Yfvw4ar44cJHG39q3TMbU+e8rcHvaoHMwMfm6ICPDvjogI8O+OiAjw746ICPDvjogI8O+OiAjw746ICPDvjogI8O+GcOeL4Dy5kbcgAeu6MBYboODsTPNn7W88/1/HMz/9zMP5v556A0fAYn4qeZP+ffBjPCZ3Ajfrr42c4/PzEk/mscR6Il1X1HCf/xr8kjKL3SZe0238dN+lx/OGqmzvVboxvXAgQDn8BsJsC1fyLaR752u0U7/wj83YtomIkPs8eJB4DA8wlETzxU9ce3tJXDFEfzfJg6VZUtb6a49ue6MKc+rD5d1RZNezqfjrVtm9Pt17eZAbEcrkpFUitmoC6ozYBIDicG/XV+yjalMWVfXMr+GOfFrujKqyvCHFla13VVb+v3KRMsh6vMVscwF9TKBMnhxKDnMqnP9hS+Hb5xucUzWFVZ9Ed7KsrTOfxBZ02orfcpEyyHq+xWxzAX1MoEyeHEoOcy6VxXn9tLW5yatiyMi6vPszkVTd+U/a0/Hpvr+5yfqhxWJqlT/6uOYS6olQmd0Uxy0NpxbUWf6w+bPH2uv1/S77tqogkGPoHZTIBr/0S0j3zty52JHtNfKKUDAjPxYXZZNdEEnk8gu2pqP76lrayaOJrncfjWle52KYtbXd4Kc3Z9PHPaF+fr1ZSuuR1Lc8d6hwaG5XBVOpJ6MAN1Qa2BITmcGHSG4zCWw1XpSGrFMcwFtTJBcjgx6PwW1zWWw9XpSGptx4Jc0CqTGsnhxKDzO1VXV1iZpG8zWXEMc0GtTOj7gSY5aO1VU02fXg+bPHWqujXlkn7XVRNAMPAJzGYCXPsnon3ka1/uTPSY/kIpHRCYiQ+zx6oJIPB8AtFVUx2zpru0x1UTS3MUfe5PpaudKy6XcAAzx7Ir+lt5Ki7dOajs2spd+l/fpoFhWVOdvP3p0QzUBbUGhmRNYtAZjsNY1hQP/dscw1xQKxMkaxKDzm9xXWNZU9yU2xzDXFArEyRrEoPO71RdjWVNcX7Z5hjmglqZIFmTGLT6qok+vR42efJUtamW9PuummiCgU9gNhPg2j8R7SNf+3Jnosf0F0rpgMBMfJhdVk00gecTyK6aYtZUP8uaWJrza2BY1lQnY5dHM1AX1BoYkjWJQWc4DmNZU52MXdYcw1xQKxMkaxKDzm9x3WBZU5OMXVZ3LMgFrTJpkKxJDDq/U3UNljU1ydhlzTHMBbUyQbImMWjt</t>
  </si>
  <si>
    <t>VVNDn14Pmzx9qrpe0u+6agIIBj6B2UyAa/9EtI987cudiR7TXyilAwIz8WH2WDUBBJ5PILpqamLWdJf2uGpiaY6iscT8XRoYljU16djlwQzUBbUGhmRNYtAZjsNY1tSYrY5hLqiVCZI1iUHnt7husKypsVsdw1xQKxMkaxKDzu++pgbLmhq31THMBbUyQbImMWj1VRN9ej1s8vSp6mZJv++qiSYY+ARmMwGu/RPRPvK1L3cmekx/oZQOCMzEh9ll1UQTeD6B7KopZk3Ns6yJpTm/BoZlTU06dnkwA3VBrYEhWZMYdIbjMJY1NenYZcUxzAW1MkGyJjHo/BbXBsuaTDp2WXEMc0GrTAySNYlB55c1GSxrMunYZcUxzAW1MkGyJjFo7VWToU+vh02ePlVtlvS7rpoAgoFPYDYT4No/Ee0jX/tyZ6LH9BdK6YDATHyYPVZNAIHnE4iumkzMmu7SHldNLM35NTAsazLp2OXBDNQFtQaGZE1i0Pktrg2WNRmz1THMBbUyQbImMWj1OYeOUMImt0n658+I3mXOoQkGPoHwnENrH/nalzsT3VhfKKUDAjPxYXaZc2gCzyeQnXPsx7e0lTmHozm/BobFm8ZtMwN1Qa2BIfGmGHR+Z4cN9i4rk05UVhzDXFArEzr6muSgMzw7jGVNJh27rDiGuaBWJkjWJAad34WcBsuaTDp2WXEMc0GtTJCsSQz67/ElRZH8Czy+eEX1jSuWjlR+hC8l3LBG99nBAMHAJzCbCXDtn4j2ka99uXPRY/sLpXRAYCY+zB6rKIDA8wlEV1G2/PiW9riKYmme557jsTs1p75oXWMKU9764mjP4aOsq/O1sbf54ftv0tAsFnfa9Fuy1h58Cbmg1dAsEneKQX+FCvZ66cuuL05Xa0PzizPS5dQU5a3u3LG+nE7HNyqTGiuTVMKy6hjmglqZ0FHYJAed39MhLJY92fSrjPgP5dYqEyR7EoPWDhUsHamETW4S9PFc3rMJYJdxmCYY+ARmMwGu/RPRPvK1L3cmev56oZQOCMzEh9llHKYJPJ9Adhw2H9/SVsZhjub8Ghh2a52128xAXVBrYHQUNslBZzgOY9mTdVsdw1xQKxMkexKDVp9z6EglbPJ0pKL7omWAYOATCM85tPaRr325M9GN9YVSOiAwEx9mlzmHJvB8Atk5J95ad5e2MudwNEfRpitv/dm4wnS2KUx7rYrjuSmL8BcvbX29lSY+0etdGhgWd9p08rfy+kfMBbUGhsSdYtDqDYxO8cImT6d43dN9dpcGRhMMfALhBkZrH/nalzsTfcR8oZQOCMzEh9mlgdEEnk8g28D6j29pKw2Mozm7Buawuzld+sbGBzNQF7QamKPT1kkO+ueFGP196/+qfCGGo1O8UALJFM/qPlgfIBj4BLINDdA+8rUvdy76CPpCKR0QmIkPs0dDAwg8n0C0obnq41vaY0NjaY6iw+/OJ2suxdHcboW5mnNx6s5dYa/X/no81l0XX9T4Lg2txhpaMmx+NAN1Qa2hIQm7GPTX3HMtXXsqbXG8lJfC2M4W/el6Kk6X26l3XdmU5/p9ygRL2F0ybF5zDHNBrUyQhF0M+iugqG/VpTqXRXWeL1a9mKK7hr96vVVX1xvXdPXpfcoEu7vTma2OYS6olQmdvk5y0F+Xsx/7S312VdHVTTjy1I0tTlXfFde+LavL6dJac32fMsHiTme3Ooa5oFYmSNwpBq19GtDRKV7Y5C5B3ypfvg4QDHwCs5kA1/6JaB/52pc7Ez2mv1BKBwRm4sPssmqiCTyfQHbV5D6+pa2smjiaZ9H1yV5vYWAunbM/79269O95257D7u506VBv5dpLzAW1Bkanr5McdIarJizudOnkb8UxzAW1MkHiTjHoDFdN2N2dLp2wrF3wD7mgViZ0FDbJQed3qq7Fsqc2HcOsOIa5oFUmLZI9iUFrr5pa+vR62OTJB2Tackm/66oJIBj4BGYzAa79E9E+8rUvdyZ6TH+hlA4IzMSH2WPVBBB4PoHoqqmNWVP7LGtiac6vgWFZU5uKXVbMQF1Qa2BI1iQGnd+qqcWypjb5UM01xzAX1MoEyZrEoPNbNbVY1tSarY5hLqiVCZI1iUHnlzW1WNbU2q2OYS6olQmSNYlBq6+a6NPrYZMnT1UrX6EHEAx8ArOZANf+iWgf+dqXOxM9pr9QSgcEZuLD7LJqogk8n0B21RSzpru0lVUTR3N2WVOLZU1tMnZZu24Ac0GtgSFZkxh0hqsmLGtqk7HLCxeraZUJkjWJQWe4asKypjYZu7xwsZpWmSBZkxh0fqfqOixr6pKxywtXSCuVSYdkTWLQ831Oc600y0JYevHX6/lvf/ztzwJWHP7ln/4xMNa/TF3dPXMgfWtEvXTg6bgLYeATb9Tuo3b/TLvna18OupB2eNaN0sNIG7T/4Q/PxMffc9TP52zUK6r5JXy4+NGHj76OHzZ+dKHUyip+mPjRho+qjB9N/HDxo4/VOJekfVaSqfPn1uIvhIZ82FySzS8+wvsI7yO8j/A+wvsI7yO8j/A+wvsI7yO8j/A+wvtn8J4Pv09NN7/ETzd/9vGzr+dPO392seKDBfHTzJ9t/AwuxM9m/nTzZz/vG197yLoV8x7E8CKacS+EuKOo3l3a0TlAaLzpe050X5YEEAx8ArOZANf+iWgf+drtFu38I+73OEPDTHyYPc5dAQSeTyB67qprPr6lrRymOJrn1Sb01LJ3WUZgGV1ntpmBuqC2jEAyOjHo/B5/2WEZXWe3Ooa5oFYmSEYnBq2d0XV0LBE2efoUf72k33fOoQkGPoHwnENrH/nalzsT3VhfKKUDAjPxYXaZc2gCzyeQnXNiRneXtjLncDTn18CwjK5Lx1UPZqAuqDUwJKMTg85wHMYyui4dV604hrmgViZIRicGrT7n0NFT2OTp6On5Gbxd5hyaYOATCM85tPaRr325M9GN9YVSOiAwEx9mlzmHJvB8Atk5Jz7+8i5tZc7haI6iL6292b4/FrY1fWH6xhZdf2uL67Hsb6aztjcPaaBaA+uxWLhPJ6QPZqAuaDWwHomFxaDnMsFelP0uZYK93a9P3/W04hjmglqZ0LenTXLQ2nNOT9/mFDZ5Kp1rrVnS7zrnAAQDn0B2zgG0j3zty52JbqwvlNIBgZn4MHvMOQCB5xOIzjl9/fEt7XHOYWnOr4FhtyD26bvxHsxAXVBrYHTaOslBz2VyKsOfnc25qI7nMt5gVIeZKKzxm9upKcvqduzf6C3GPRZv9marY5gLamWCxJti0OpzDp3ahU1uk/S61+cABAOfQHjOobWPfO3LnYlurC+U0gGBmfgwu8w5NIHnE8jOOfbjW9rKnMPRnN/5HOyFkr3bZgbqgloDo9PWSQ46w3EYizf7dNK34hjmglqZIPGmGLT6nEOndmGTp1M73ferAwQDn0B4zqG1j3zty52JbqwvlNIBgZn4MLvMOTSB5xPIzjndx7e0lTmHozm/Bobd9dqnQ7yVd0hjLqg1MDptneSgszuf05VQvBm+ttUxzAWlMgk8dJnIQce7XsNfju1U876rrqTTu7Dp0/dfqs47CMHAJxCddxDtI1/7cqeiG+wLpXRAYCY+zA7zDkLg+QSS805Q9fEt7WHe4WmOorGrDd+lkdVYI0uFeStmoC6oNTI6dZ3koLO7bL0roZgzfG2rY5gLamUCxJxy0MrndbqSTu/CJjcJ+ta2S/p95xyaYOATCM85tPaRr325M9GN9YVSOiAwEx9mlzmHJvB8Atk5x3x8S1uZczia82tg0I3D4WvbzEBdUGtgdOo6yUFnOA5DMWf42lbHMBfUygSIOeWg7+d14lFc97wOneKFTZ9K8az2vEMTDHwC4XmH1j7ytS93KrrBvlBKBwRm4sPsMu/QBJ5PIDvvtB/f0lbmHY7mKLqprTmFg1hxPNumMMe6L46Xuin6tj5dW3s61+b069s0MugG4vC1bWagLqg1Mjp9neSgv3Ks0/l6vDV9YY05F6btbsXRlaH9VafuUp2Ol8aW71MmUNwZvrbVMcwFtTIB4k45aO3zOhWd4v0IX0rQt7Zb0u865wAEA59Ads4BtI987cudiW6sL5TSAYGZ+DB7zDkAgecTiM45VfnxLe1xzmFpzq6BVdANxOFr28xAXdBqYBWduk5y0PmNwxUWc1apxG/VMcwFtTJBYk4xaPU5h07vwiZP36T48D7ofeccmmDgEwjPObT2ka99uTPRjfWFUjogMBMfZpc5hybwfALZOaf5+Ja2MudwNOfXwKAbiMPXtpmBuqDWwOjUdZKDznAcxmLOeDntNscwF9TKBIk5xaDV5xw6vQub3KXoXbmk33fOoQkGPoHwnENrH/nalzsT3VhfKKUDAjPxYXaZc2gCzyeQnXPcx7e0lTmHozm/BgbdQBy+ts0M1AW1BkanrZMcdIbjMBZvVsl7Ftccw1xQKxMk3hSDVp9z6NQubPJUatc61Xe1IwQDn0B4zqG1j3zty52JbqwvlNIBgZn4MLvMOTSB5xPIzjn9x7e0lTmHozm7BlZjNxDXyRDv0QzUBa0GVtNp6yQHnd84XGPxZp1M+tYcw1xQKxMk3hSD1p5zajq1C5s8mdq5ekm/65wDEAx8Atk5B9A+8rUvdya6sb5QSgcEZuLD7DHnAASeTyA659T1x7e0xzmHpTm/BobdOFwnQ7xHM1AX1BoYnbZOctAZjsNYvBkP/dscw1xQKxMk3hSDVp9z6NQubHKbpFd93xVCMPAJhOccWvvI177cmejG+kIpHRCYiQ+zy5xDE3g+geycYz++pa3MORzN+TUw7MbhWEpbzEBdUGtgdNo6yUFnOA5j8WadTvpWHMNcUCsTJN4Ug473l8+lUi/rYGnFX6/nv/3xtz8LOHH4l3/6x4DY/zJ1TR0/bPzowoep4oeJH234sGX8aOKHix/9M7fSNzHiN9VAzHg/i6A+gvoI6iOoj6A+gvoI6iOoj6A+gvoI6p+Bej7osudBoHDbi5yxu/W/hM9AGj/t/NnFzwAbP8382cbPwBs/m/nTzZ/ryPF/lcM898x7Yf+q/CiFmk6nwlEulfRY5UvSAIKBT2A2E+DaPxHtI1+73aKdf8T87h00zMSH2WW0pwk8n0B2tI9R7V3aymGKozmKtp21TXm7FOXlGtp13dfF6dyWRXfrrqeL667nN3omUINFtU0qtVwxA3VBa2ZrkKhWDDq/J4w1WFTbJB8ru+YY5oJamSBRrRi09inMhk6nwiZPJz2qr7JFCAY+geycA2gf+dqXOxPdWF8opQMCM/Fh9phzAALPJxCdc5oY1TbPolqW5vwaGBbVNunUcuV1nZgLag0MiWrFoDMch7GotjFbHcNcUCsTJKoVg1afc+h0Kmxym6RXfZUtQjDwCYTnHFr7yNe+3JnoxvpCKR0QmIkPs8ucQxN4PoHsnBOj2ru0lTmHozm/BoZFtY3bZgbqgloDQ6JaMegMx2Esqm3SqeWKY5gLamWCRLVi0OpzDn2DZdjk6RssdV/tBhAMfALhOYfWPvK1L3cmurG+UEoHBGbiw+wy59AEnk8gO+d0H9/SVuYcjub8Ghj2bOcmFeKtmIG6oNbA6LR1koPObxw2WLxp0jdlrjiGuaBVJgaJN8WgteccQ6d2YZOnb7DUfdUJQDDwCWTnHED7yNe+3JnoxvpCKR0QmIkPs8ecAxB4PoHonGPiK2zNs1fYsjTn18BqrIGlQ7yV1zlgLqg1MDptneSg8xuHDRZvmnTSx38ZnlaZIPGmGLT6nEOndmGTmyS97qtOAIKBTyA859DaR7725c5EN9YXSumAwEx8mF3mHJrA8wlk55z4Ctu7tJU5h6M5vwaGPdvZ2G1moC6oNTA6bZ3koDMch7F407itjmEuqJUJEm+KQavPOXRqFzZ5OrXTfdUJQDDwCYTnHFr7yNe+3JnoxvpCKR0QmIkPs8ucQxN4PoHsnBNfXXuXtjLncDTn18CwZzubdIi38joHzAW1BkanrZMcdIbjMBZvmnTSt+IY5oJamSDxphi09pxj6dTuR2eTqV37cLfZrnMOQDDwCWTnHED7yNe+3JnoxvpCKR0QmIkPs8ecAxB4PoHonGPjq2vts1fXsjRn18AsdsOwTYZ4j2agLmg1MEunrZMcdH7jsMXiTZtM+tYcw1xQKxMk3hSDVp9z6NQubPJkatfqvuoEIBj4BMJzDq195Gtf7kx0Y32hlA4IzMSH2WXOoQk8n0B2zomvrrXPXl3L0pxfA8NuGLZmmxmoC2oNjE5bJznoDMdhLN60dqtjmAtqZYLEm2LQ6nMOndqFTe6S9PWSft85hyYY+ATCcw6tfeRrX+5MdGN9oZQOCMzEh9llzqEJPJ9Ads6Jr669S1uZczia82tg2A3DNhniPZqBuqDWwOi0dZKDnsukrC9Nd6uq4nQqq/Ddri2OtjPFqaqqviw71zS39ykTLN60yaRvzTHMBbUyQeJNMWj1OYdO7cImT6Z2re6rTgCCgU8gPOfQ2ke+9uXORDfWF0rpgMBMfJhd5hyawPMJZOec+Dzku7SVOYejObsG5rAbhl06xFt5nQPmglYDc3TaOslB5zcOOyzedOmkb8UxzAW1MkHiTTHov8+vOonsZlkISy+g12GwrPh614mL7zBx8ZUmbXylSRvfcNLGV5q08a0nXfyzLr4JpYu/6OIvuviLPv6iD7/oSxM/bPxw8aONH334qKr40cSP+Nv4UpXexP9q4n+Nb1HpTfwzG78XX6XS2/gLG39h4y9c9Wy7pPJEu+GN75C5eOf8eqmKiy9LcfHdKW18d0obX6XSxnentPH1Kl38sy6+cqWLv+jiL7r4iz7+Ijjqo6M+Ouqjoz466qOjPjrqo6M+Ouqjoz466qOjPjrqo6M+Ouqjoz466qOjPjrqnznq+Y4u2zjkKNzJ729vcfPbWNz8fpZ2fj9LO7+xpZ3fz9LOb3Lp5j/v5je8dPNvu/m33fzbfv5tH38b7Y2fdv5082c7f8Z3xESP42czf87fmd8dE32On/OfzG+KiVaHTzt/f35fTHQ7fs6/tfNvnxgeaTiOR8urL8fjf6i+O8bRcV9oG6nozCq/FhIgGPgEZjMBrv0T0T7ytdst2vkd6LsZ0zATH2aPtRJA4PkEomslF7Nv9yz7ZmmOom+XW3cuj11R27YuwvDTFf3x2BfXtu9ul/7WnW5vtFbCsm9ntpmBuqA2BCPZtxj0XCb12bT23MTV1M2F794uRdedusI1ZxO+eW67N3otpMOyb2e3Ooa5oFYmSPYtBj2XycW1xy6suotLU4fvVlVTdLU9FrfW3m7H6nStTm+0pMZu7XVuq2OYC2plQueikxy0dnTg6HwtbPJ0vqb7iiGAYOATmM0EuPZPRPvI177cmej564VSOiAwEx9ml3GYJvB8AtlxON7ae5e2Mg5zNOfXwLDs26Vj4JXXqGAuqDUwJPsWg85wHMZu7XXpuG3FMcwFtTKhc9FJDlp7zmnpfO1H+FKSXvcVQwDBwCeQnXMA7SNf+3JnohvrC6V0QGAmPswecw5A4PkEonNOG2/tbZ/d2svSnN1pvxbLvtt0DLzyGhXMBa0G1iLZtxh0fnNOW2Nlkkr0Vh3DXFArE+TWXjHo/FZNLfbk4jZ9N+GKY5gLamVCR1+THHS8kiaC/6qchrd0lBI2vUm4YJXfMA4QDHwCs5kA1/6JaB/52pc7FT2HvVBKBwRm4sPsMhbTBJ5PIDsWxycY36WtjMUczVF0VZ7CsexUF1djzoW5tOFodqxvxfli3a08u/OteaNGhsWcrd1mBuqCWiNDYk4xaPXzOnR6Fza5S9C3re4rFQGCgU8g3MBo7SNf+3Jnoo+YL5TSAYGZ+DC7NDCawPMJZBtYvMX3Lm2lgXE059fAsFt823SYt/LaOMwFtQZGp66THLR6A6PTu7DJ0+md7rvyAIKBTyDcwGjtI1/7cmeij5gvlNIBgZn4MLs0MJrA8wlkG1h8J3D77J3ALM35NTAsWW/TIfPK+8AwF9QaGJKsi0FrN7CODhN/hC8l6XVfggYQDHwC2QYGaB/52pc7E33EfKGUDgjMxIfZo4EBBJ5PINrAupisd8+SdZbm7BpYhyXrXTpkXnnRE+aCVgPrkGRdDFq9gdGBcdjk6cBY9+1WAMHAJxBuYLT2ka99uTPRR8wXSumAwEx8mF0aGE3g+QSyDaz++Ja20sA4mvNrYNjFHF36uoaVN/hgLqg1MORiDjFo9QZG59Zhk5sUfVc+3Wd3aWA0wcAnEG5gtPaRr325M9FHzBdK6YDATHyYXRoYTeD5BLINLF7EcZe20sA4mvNrYNhFHJ3dZgbqgloDQy7iEINWb2B0bh02uUvR97rP5AEIBj6BcAOjtY987cudiT5ivlBKBwRm4sPs0sBoAs8nkG1g8SKOu7SVBsbRnF8Dwy7i6JLXMzyagbqg1sCQizjEoNUbGJ1bh02ezIB73btLAYKBTyDcwGjtI1/7cmeij5gvlNIBgZn4MLs0MJrA8wlkG1i8iKN7dhEHS3N+DQy7iKPrt5mBuqDWwJCLOMSgtRtYT+fWP8KXkvS6GRhAMPAJZBsYoH3ka1/uTPQR84VSOiAwEx9mjwYGEHg+gWgD6+NFHP2zizhYmrNrYD12EUefvJ7h0QzUBa0G1iMXcYhB329ojtyqNzT3dH4dNn0qC7ZOdyUGEAx8AuFGRmsf+dqXOxV95HyhlA4IzMSH2aWR0QSeTyDbyOLFHP2zizlYmqNo03S3sjl1RVkbW5jWuOJ4a05Fby69aVpXnprTr2/TyLCLOfr0s85XFiWYC2qNDLmYQwx6LpP+eDu2x8u5qF1pCnO6dUVX1U3R1L2pjTN2foDMu5QJ9hT43mx1DHNBrUzooH+Sg/46mrjz2RxPfWGb0hXGnMriVNaXom3Ox9pczsa6NzqaYMl6b7c6hrmgViZIsi4G/bV6qs/2drRdYW72GI48zbE4Vs6GI0/b16fL5Xi59O9TJthT4Hu31THMBbUyoVPXSQ56LhPXHa/1qamKaxuWW6aK3+26PhyILhdj2+7WX7r3KRMs5uxTid+qY5gLamWCxJxi0F8PlwsL8a4qy+JYNrfC1LdTcerLprgdq0vZGXttzPF9ygR7JHefSlZWHcNcUCsTOgKb5KC/ms6xv9RnVxVdPX+3scWp6rvi2rdldTldWmuu71MmWObUp+KX9eMv5IJamSCZkxj019Hk1LauL7vi2F4vhbnerqFBXcuiMufy0pyOl1t1e5cy6Uvo3cDha1sdw1xQKpPAQ5eJHPRXmVSXqrrYvjjZWx9WReeyCGur+KrYsnJlWZ9u7/Nu4L6EAoDwtc2OQS6olQkQAMhBf42wJ9tcu9oV17O7FuYYv+tcWVya28Xa6+XUXN7m+ch9WWNlsvFcI+qCWpnQJ4UnOeiv02vt7Wb787k49scmfrcJ341HnjDcmMq6a3d8m9NrYb7CymTzCUnMBbUyAc7CykHHOHEm/wLXemvwk01tktSqT+MK4sjtNvAJzGYCXPsnon3ka1/uRHRe9XuVzMQX7TaL3loy/4zY7vkEkjFhUPXxLe0hJuRp1rkS78mRxiYA2u75++13OdLQZ9YHPoHwkYbWPvK12y3af+8jDVf0Lkca2nbPJ5A90tiPb2krRxqO5rc60rgUQK8809DhzMAnED7S0NpHvna7RfvvfaThit7lSEPb7vkEskca9/EtbeVIw9F8X03dK11rNfW/fy+p6RQtHJHSKZrq3QYIwcAnED4i0dpHvna7RTv7iPQ/TlPQMBMfZpcjFU3g+QSyR6r241vaypGKozmKvjX90fZ1VzRVdSuq6not+rCWKy6Vc9XxXJ5O/X0ff4fTg1DCHb62zQzUBbXTg0DCLQetNDr/jwZGB7dhk6eC27arn+6zuzQwmmDgEwg3MFr7yNe+3JnoI+YLpXRAYCY+zC4NjCbwfALZBtZ/fEtbaWAczdk1sAq7qKJK3jv4aAbqglYDq5CLKsSgtRtYRV8rEDZ5+mZB1fd+IgQDn0C2gQHaR7725c5EHzFfKKUDAjPxYfZoYACB5xOINrCq+viW9tjAWJrza2A11sDqbWagLqg1MOQ6HjFo9QZGX54SNnnyic+96ns/EYKBTyDcwGjtI1/7cmeij5gvlNIBgZn4MLs0MJrA8wlkG1jz8S1tpYFxNOfXwKAbeMPXtpmBuqDWwOjLjiY56PsDS+JGV83CKvqSiLDpbcIF25ZP991dGhlNMPAJhBsZrX3ka1/uVPSR84VSOiAwEx9ml0ZGE3g+gWwji9cH3aWtNDKO5igae2rFuzQy6N7x8LVtZqAuqDUy+lqTSQ46uweW9BV073j42lbHMBfUyoQO+ic56LlM2lPvbNlcCxvvLjenritO7c2F/1qej8ejc/Xx+j5lgiXrVTJkXnMMc0GtTJBkXQw6u+fa9BV073j42lbHMBfUyoROXSc56K+bgpvenRvTFKa8ngvTlNfi5GxVnG/dtTtW5a1uzduUSY3FnHXyNuo1xzAXtMqkRmJOMei5TBpzMtfLORx5ylhSrnLF6Vrfiv5i2jbWVNm/zQNL+hq7d7xO3ka95hjmglqZ0BHYJAed3XNt+hrLnOpU/LK+Y0EuqJUJkjmJQc9lUl5P7el8q4vjuerCHHO5Ft21cUVzPp/M+RKmm/J9zuzW2L3jdfI26jXHMBfUyoTOIyY56Owef9TXWAAQz4VucwxzQa1MkABADDq/xx/V0BM8+7gptzmGuaBWJvRJ4UkOei6T661x7uJORVXFI0/lzuEYdLbz4HsNf3bt6jdqOthZ2HrzCUnMBbUyQc7CikHPZXI6na/HWxMWz/O7EtruVhxdGb5bnbpLFUqqse/z+KMaOwtbbz4hibmgVibIWVgx6PweplZjZ2HrzSckMRfUygQ5CysGrX11XU2fXAybPHVyse1UX8iMEAx8ArOZANf+iWgf+dqXOxOdgr9QSgcEZuLDuM0wW0vpnxECzycQvSihjvc33aU9XpTA0pxdA2uwE/9N+laflXcTYy5oNbAGOfEvBp3fONxgJ/6b5C0Va45hLqiVCXLiXww6v8V1g534b1LnwFcdw1xQKxPkxL8YdH6n6hrsxH+TvL599fgLuaBWJsiJfzHo/E78N9iJ/8ZsdQxzQa1MkBP/YtD5xYgNduK/sVsdw1xQKxPkxL8YdH7XrjTYif8mdQ581THMBbUyQU78i0Hnd+1Kg534b1LnwNfbNOSCWpkgJ/7FoPO7YLLBTvw3qXPg645BLqiVCXLiXww6v8uvG+zy62bjuUbUBbUyoU8KT3LQ+d3MYbCzsGbzCUnMBa0yMchZWDHo/G4NM9hZWLP5hCTmglqZIGdhxaDzu9HUYGdhzeYTkpgLamWCnIUVg74/MSGMKbpPTDD0Scaw6dNXF+u+OQUgGPgEZjMBrv0T0T7ytS93KjoNf6GUDgjMxIdxm2G2ltI/IwSeTyB6cYKJj/4xzx79w9I8j8VnUzVVWYWjWX8sQo8zxfF8bQvXHy9ldbucjsf3uTjBYAGAMdvMQF1Qa2RIACAGrX11naHPa4dNbhP0baf78FWAYOATCDcwWvvI177cmegj5guldEBgJj7MLg2MJvB8AtkGFh/5c5e20sA4mucEu2mPVdfHSyEuZVi1xXPLVfivfVfWneva5tTf95B3aGBY5mTS8cvKc0gxF9QaGJI5iUGrNzA6SgmbPB2lPLwbeN8GRhMMfALhBkZrH/nalzsTfcR8oZQOCMzEh9mlgdEEnk8g28Di+5vu0lYaGEdzfg0MizlNOvFbedM55oJaA0NiTjFo9QZGp3dhk6fTO92nhwMEA59AuIHR2ke+9uXORB8xXyilAwIz8WF2aWA0gecTyDaweH/TXdpKA+NojqJtd23PnbsVpm1P4ePUhwOYvRXl0dbdqalvbXf+9V0amMWSdZsOmVcepI25oNXALJKsi0FrNzBLB8Zhk6cDY913egMEA59AtoEB2ke+9uXORB8xXyilAwIz8WH2aGAAgecTiDYwG9/fZJ+9v4mlObsMzNZYA0tf1/BgBuqCWgNDLuYQg1ZvYHRuHTZ5+k6x7uk+u0sDowkGPoFwA6O1j3zty52JPmK+UEoHBGbiw+zSwGgCzyeQbWDxIg777CIOlubsTiFa7CIOa7aZgbqg1sCQizjEoNUbGJ1bh01uk/T90312lwZGEwx8AuEGRmsf+dqXOxN9xHyhlA4IzMSH2aWB0QSeTyDbwOJFHHdpKw2Mozm/BoZdxGHdNjNQF9QaGHIRhxi0egOjc+uwyZMZcF8+3Wd3aWA0wcAnEG5gtPaRr325M9FHzBdK6YDATHyYXRoYTeD5BLINLF7EYZ9dxMHSnF8Ghl3EYZPXMzyagbqg1sCQizjEoNUbGJ1bh02ezIB73fvAAIKBTyDcwGjtI1/7cmeij5gvlNIBgZn4MLs0MJrA8wlkG1i8iOMubaWBcTRnl4E57CIOl7ye4dEM1AWtBuaQizjEoLUbmKNz67DJkxlwXz/dZ/doYADBwCeQbWCA9pGvfbkz0UfMF0rpgMBMfJg9GhhA4PkEog3MxYs43LOLOFiaszuF6GqsgSWvZ3g0A3VBrYEhF3GIQccncnwt1pd1sLTir9fz3/74258FnDj8yz/9Y0A0v4QP98yA9L38+IEHwsCPPVG7j9r9M+2er315yIG0w0edKD0eXMwv8XNdfPwNR32U33+pj3Wk+rAXR4fM4ahikpS698oDBAOfwGwmwLV/ItpHvna7RTv/CPV9rKZhJj7MLjMSTeD5BLIzkvn4lrZymOJojqLN9Vod41nK2sb3TFz6NjTKS1NcbVnao2sv59v7nKV22GO8nd1mBuqC2oxEXxwwyUGrL/LpkDlscpegb3vdC10BgoFPINzAaO0jX/tyZ6KPmC+U0gGBmfgwuzQwmsDzCWQbmPv4lrbSwDiao+hL33TOnGzRdeZamPoc13xdV1yPJ3dz9nSc34PxLg0Me3K8S2fOK9d8Yi6oNTD64oBJDvp7kd/3y0JYegEtMVlW3Ff5/TP49ItQ8Qd0QAT4cee+wF+X7fmy91nbr8uOv+Honk8p3gvnV51V/ZPDRSrhs63ubaqOzlUHPoHw8ENrH/na7Rbt7CPPk+MNV/QuQw5tu+cTyA45MYq/S1s57HA0z91rXoWFw8/9MKPXwdrqSQdrUyGzbfGxGSLAi+qrgz2R7fmyd+lgT2TH33B0/08dTLGCng2AbSrnsy1+gwZEsLmCnh2I2LL3qaB12XNtMXTPwvVLqHlWQqmg0Hb4JdIQweYSWpft+bL3KaF12XNxMXS/x0qsNc9KKBn4dfhFihDB5hJal+35svcpoXXZc3ExdM/BxZfueCzSWIl9n55u6UjpRx9fTZagfHilyK4rNIBg4BOYzQS49k9E+8jXbrdo5x+Rfp4mA2AmPsweKzeAwPMJRFdubcxX79JWDlMczVF0Wbrmcr1disvF9UVVXY9FV96qoixtaV3XVfMTav7XXqh2errF8tXWbjMDdUHr9HSL5Kti0HOZnK2r+qovi/LkusJ0J1OcXOnim7fP9nIzXRtf0P4uZYLd7dy6rY5hLqiVCZ29TXLQ/8t5oPoUr8G/dsXp1t0Kcw5F1leXS1Ee27K1YahyZbksl6Vj1z9dvx34fQ27T9jdM4vWg554yHx0ByNdbXAQIN7j7gP4OpUXo1o2PYgK7ns/5/N1qvgbAazI5ajyhNYhr5TnsyiufZYN1bbu2g2nxiGCzfX3LIpjy95nAfg0imPpjsJb7QrqymcV9Ow0/xeS8qnwJ7I9X/YuFfRE9lxbDN2zcPUKehamdM/O7n8hKZ8KfyLb82XvU0FPwxSW7vc4j9k9G0S7Z6f3ZybtU+FPZHu+7H1K6GmawtIdhd/P8Gmdx1zD+RE4kzT1062wx/nKjr5lbOATmM0EuPZPRPvI1263aGcfeZ4cb7iil8cbWvTWkvlnxHbPJxA9L9nVH9/SVg47HM3fZxL+/vd/+OV/+h/9h//tH/5TFf7kf/lfu6/1/qf/mZ9/8te//b9/uv41oP/D7bc//y3+5/m3P/32l/jD8S//+RT/1/5T/Z+s6dqwkv2HPx//Pf4D//zHf7/+9T/8n9f//h8+f/v345/Dv/bXP/5/4RdV/cs//Lc/X65/+dMf/xy/9+ffwn+Ev3b80x//859jYcb/2f/y21/++P+Ff+v4p/CNP11vfwt//f++/uVvfzzPf3IOX7v+JfzZf//L8b/+8/X/CX/nb3/5b9fwv3IKiNe/zFpPv/3tb7/9+9dP8Q8PkeLnP/jLCkI5/19ctf7D5Y/H//zbn+O/xfnbs2DW3/zLH//zf2H+1b/99l85fzH8zdsf/zSDxv+MBRq+8Nff/hQ2f6yFy398+ndjYRz/8rfHL/yshVgM/+3fT9e//Kff/hLK7KuA4k//8bdL/Ff+j+ufr38JJofv/de//Pa3rz4ev/Wn387/1zWU388/vkYtX3tV+MM//vm/hEPZ36L4/x9SnZY2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</si>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</sst>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5" x14ac:knownFonts="1">
    <font>
      <sz val="11"/>
      <color rgb="FF000000"/>
      <name val="Calibri"/>
    </font>
    <font>
      <b/>
      <sz val="11"/>
      <color rgb="FFFFFFFF"/>
      <name val="Times New Roman"/>
    </font>
    <font>
      <sz val="12"/>
      <color rgb="FF2F5487"/>
      <name val="Times New Roman"/>
    </font>
    <font>
      <b/>
      <sz val="16"/>
      <color rgb="FF000000"/>
      <name val="Times New Roman"/>
    </font>
    <font>
      <sz val="12"/>
      <color rgb="FF000000"/>
      <name val="Times New Roman"/>
    </font>
    <font>
      <sz val="16"/>
      <color rgb="FF000000"/>
      <name val="Times New Roman"/>
    </font>
    <font>
      <b/>
      <sz val="16"/>
      <color rgb="FFFFFFFF"/>
      <name val="Times New Roman"/>
    </font>
    <font>
      <b/>
      <sz val="13"/>
      <color rgb="FF000000"/>
      <name val="Times New Roman"/>
    </font>
    <font>
      <b/>
      <sz val="18"/>
      <color rgb="FF000000"/>
      <name val="Times New Roman"/>
    </font>
    <font>
      <sz val="14"/>
      <color rgb="FF000000"/>
      <name val="Times New Roman"/>
    </font>
    <font>
      <i/>
      <sz val="14"/>
      <color rgb="FF000000"/>
      <name val="Times New Roman"/>
    </font>
    <font>
      <sz val="14"/>
      <color rgb="FF800000"/>
      <name val="Times New Roman"/>
    </font>
    <font>
      <b/>
      <sz val="14"/>
      <color rgb="FFFF0000"/>
      <name val="Times New Roman"/>
    </font>
    <font>
      <b/>
      <sz val="14"/>
      <color rgb="FF000000"/>
      <name val="Times New Roman"/>
    </font>
    <font>
      <b/>
      <sz val="14"/>
      <color rgb="FF80000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8D5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0" fillId="5" borderId="2" xfId="0" applyFill="1" applyBorder="1"/>
    <xf numFmtId="4" fontId="7" fillId="5" borderId="7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center" vertical="center" wrapText="1"/>
    </xf>
    <xf numFmtId="164" fontId="9" fillId="5" borderId="7" xfId="0" applyNumberFormat="1" applyFont="1" applyFill="1" applyBorder="1" applyAlignment="1">
      <alignment horizontal="center" vertical="center" wrapText="1"/>
    </xf>
    <xf numFmtId="4" fontId="9" fillId="5" borderId="7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  <protection locked="0"/>
    </xf>
    <xf numFmtId="0" fontId="10" fillId="6" borderId="7" xfId="0" applyFont="1" applyFill="1" applyBorder="1" applyAlignment="1">
      <alignment horizontal="right" vertical="center" wrapText="1"/>
    </xf>
    <xf numFmtId="164" fontId="11" fillId="0" borderId="7" xfId="0" applyNumberFormat="1" applyFont="1" applyBorder="1" applyAlignment="1">
      <alignment horizontal="center" vertical="center"/>
    </xf>
    <xf numFmtId="0" fontId="10" fillId="5" borderId="7" xfId="0" applyFont="1" applyFill="1" applyBorder="1" applyAlignment="1">
      <alignment horizontal="right" vertical="center" wrapText="1"/>
    </xf>
    <xf numFmtId="0" fontId="9" fillId="5" borderId="7" xfId="0" applyFont="1" applyFill="1" applyBorder="1" applyAlignment="1">
      <alignment horizontal="center" vertical="center"/>
    </xf>
    <xf numFmtId="164" fontId="9" fillId="5" borderId="7" xfId="0" applyNumberFormat="1" applyFont="1" applyFill="1" applyBorder="1" applyAlignment="1">
      <alignment horizontal="center" vertical="center"/>
    </xf>
    <xf numFmtId="4" fontId="9" fillId="5" borderId="7" xfId="0" applyNumberFormat="1" applyFont="1" applyFill="1" applyBorder="1" applyAlignment="1">
      <alignment horizontal="center" vertical="center"/>
    </xf>
    <xf numFmtId="0" fontId="0" fillId="5" borderId="3" xfId="0" applyFill="1" applyBorder="1"/>
    <xf numFmtId="164" fontId="11" fillId="5" borderId="7" xfId="0" applyNumberFormat="1" applyFont="1" applyFill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0" fontId="4" fillId="7" borderId="7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horizontal="left" vertical="center" wrapText="1"/>
    </xf>
    <xf numFmtId="0" fontId="9" fillId="7" borderId="7" xfId="0" applyFont="1" applyFill="1" applyBorder="1" applyAlignment="1">
      <alignment horizontal="center" vertical="center" wrapText="1"/>
    </xf>
    <xf numFmtId="164" fontId="9" fillId="7" borderId="7" xfId="0" applyNumberFormat="1" applyFont="1" applyFill="1" applyBorder="1" applyAlignment="1">
      <alignment horizontal="center" vertical="center" wrapText="1"/>
    </xf>
    <xf numFmtId="164" fontId="13" fillId="7" borderId="7" xfId="0" applyNumberFormat="1" applyFont="1" applyFill="1" applyBorder="1" applyAlignment="1">
      <alignment horizontal="center" vertical="center" wrapText="1"/>
    </xf>
    <xf numFmtId="4" fontId="9" fillId="7" borderId="7" xfId="0" applyNumberFormat="1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164" fontId="9" fillId="8" borderId="7" xfId="0" applyNumberFormat="1" applyFont="1" applyFill="1" applyBorder="1" applyAlignment="1">
      <alignment horizontal="center" vertical="center" wrapText="1"/>
    </xf>
    <xf numFmtId="4" fontId="9" fillId="8" borderId="7" xfId="0" applyNumberFormat="1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right" vertical="center" wrapText="1"/>
    </xf>
    <xf numFmtId="0" fontId="9" fillId="7" borderId="7" xfId="0" applyFont="1" applyFill="1" applyBorder="1" applyAlignment="1">
      <alignment horizontal="center" vertical="center"/>
    </xf>
    <xf numFmtId="164" fontId="9" fillId="7" borderId="7" xfId="0" applyNumberFormat="1" applyFont="1" applyFill="1" applyBorder="1" applyAlignment="1">
      <alignment horizontal="center" vertical="center"/>
    </xf>
    <xf numFmtId="164" fontId="14" fillId="7" borderId="7" xfId="0" applyNumberFormat="1" applyFont="1" applyFill="1" applyBorder="1" applyAlignment="1">
      <alignment horizontal="center" vertical="center"/>
    </xf>
    <xf numFmtId="4" fontId="9" fillId="7" borderId="7" xfId="0" applyNumberFormat="1" applyFont="1" applyFill="1" applyBorder="1" applyAlignment="1">
      <alignment horizontal="center" vertical="center"/>
    </xf>
    <xf numFmtId="0" fontId="0" fillId="7" borderId="2" xfId="0" applyFill="1" applyBorder="1"/>
    <xf numFmtId="0" fontId="0" fillId="7" borderId="3" xfId="0" applyFill="1" applyBorder="1"/>
    <xf numFmtId="0" fontId="10" fillId="8" borderId="7" xfId="0" applyFont="1" applyFill="1" applyBorder="1" applyAlignment="1">
      <alignment horizontal="right" vertical="center" wrapText="1"/>
    </xf>
    <xf numFmtId="0" fontId="9" fillId="8" borderId="7" xfId="0" applyFont="1" applyFill="1" applyBorder="1" applyAlignment="1">
      <alignment horizontal="center" vertical="center"/>
    </xf>
    <xf numFmtId="164" fontId="9" fillId="8" borderId="7" xfId="0" applyNumberFormat="1" applyFont="1" applyFill="1" applyBorder="1" applyAlignment="1">
      <alignment horizontal="center" vertical="center"/>
    </xf>
    <xf numFmtId="164" fontId="11" fillId="8" borderId="7" xfId="0" applyNumberFormat="1" applyFont="1" applyFill="1" applyBorder="1" applyAlignment="1">
      <alignment horizontal="center" vertical="center"/>
    </xf>
    <xf numFmtId="4" fontId="9" fillId="8" borderId="7" xfId="0" applyNumberFormat="1" applyFont="1" applyFill="1" applyBorder="1" applyAlignment="1">
      <alignment horizontal="center" vertical="center"/>
    </xf>
    <xf numFmtId="0" fontId="0" fillId="8" borderId="2" xfId="0" applyFill="1" applyBorder="1"/>
    <xf numFmtId="0" fontId="0" fillId="8" borderId="3" xfId="0" applyFill="1" applyBorder="1"/>
    <xf numFmtId="164" fontId="12" fillId="7" borderId="7" xfId="0" applyNumberFormat="1" applyFont="1" applyFill="1" applyBorder="1" applyAlignment="1">
      <alignment horizontal="center" vertical="center"/>
    </xf>
    <xf numFmtId="164" fontId="13" fillId="7" borderId="7" xfId="0" applyNumberFormat="1" applyFont="1" applyFill="1" applyBorder="1" applyAlignment="1">
      <alignment horizontal="center" vertical="center"/>
    </xf>
    <xf numFmtId="164" fontId="12" fillId="8" borderId="7" xfId="0" applyNumberFormat="1" applyFont="1" applyFill="1" applyBorder="1" applyAlignment="1">
      <alignment horizontal="center" vertical="center"/>
    </xf>
    <xf numFmtId="164" fontId="12" fillId="5" borderId="7" xfId="0" applyNumberFormat="1" applyFont="1" applyFill="1" applyBorder="1" applyAlignment="1">
      <alignment horizontal="center" vertical="center"/>
    </xf>
    <xf numFmtId="0" fontId="0" fillId="3" borderId="0" xfId="0" applyFill="1"/>
    <xf numFmtId="0" fontId="13" fillId="3" borderId="7" xfId="0" applyFont="1" applyFill="1" applyBorder="1" applyAlignment="1">
      <alignment horizontal="right" vertical="center"/>
    </xf>
    <xf numFmtId="4" fontId="13" fillId="3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92"/>
  <sheetViews>
    <sheetView zoomScale="36" zoomScaleNormal="36" workbookViewId="0">
      <pane xSplit="9" ySplit="7" topLeftCell="J978" activePane="bottomRight" state="frozen"/>
      <selection pane="topRight"/>
      <selection pane="bottomLeft"/>
      <selection pane="bottomRight" activeCell="AA992" sqref="AA992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3"/>
      <c r="R1" s="3"/>
      <c r="S1" s="3"/>
      <c r="T1" s="3"/>
      <c r="U1" s="3"/>
      <c r="AC1" s="4" t="s">
        <v>20</v>
      </c>
      <c r="AD1" s="4" t="s">
        <v>21</v>
      </c>
      <c r="AE1" s="4" t="s">
        <v>22</v>
      </c>
      <c r="AF1" s="4" t="s">
        <v>23</v>
      </c>
      <c r="AG1" s="4" t="s">
        <v>24</v>
      </c>
      <c r="AH1" s="4" t="s">
        <v>25</v>
      </c>
      <c r="AI1" s="4" t="s">
        <v>26</v>
      </c>
    </row>
    <row r="2" spans="1:35" ht="30.75" customHeight="1" x14ac:dyDescent="0.3">
      <c r="A2" s="74" t="s">
        <v>4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</row>
    <row r="3" spans="1:35" ht="15" customHeight="1" x14ac:dyDescent="0.3">
      <c r="A3" s="75" t="s">
        <v>5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35" ht="15" customHeight="1" x14ac:dyDescent="0.3">
      <c r="A4" s="76" t="s">
        <v>6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</row>
    <row r="5" spans="1:35" ht="40.799999999999997" customHeight="1" x14ac:dyDescent="0.3">
      <c r="A5" s="83" t="s">
        <v>27</v>
      </c>
      <c r="B5" s="83" t="s">
        <v>28</v>
      </c>
      <c r="C5" s="83" t="s">
        <v>29</v>
      </c>
      <c r="D5" s="83" t="s">
        <v>30</v>
      </c>
      <c r="E5" s="83" t="s">
        <v>31</v>
      </c>
      <c r="F5" s="83" t="s">
        <v>32</v>
      </c>
      <c r="G5" s="83" t="s">
        <v>33</v>
      </c>
      <c r="H5" s="83" t="s">
        <v>34</v>
      </c>
      <c r="I5" s="83" t="s">
        <v>35</v>
      </c>
      <c r="J5" s="77" t="s">
        <v>7</v>
      </c>
      <c r="K5" s="78"/>
      <c r="L5" s="78"/>
      <c r="M5" s="78"/>
      <c r="N5" s="78"/>
      <c r="O5" s="79"/>
      <c r="P5" s="80" t="s">
        <v>8</v>
      </c>
      <c r="Q5" s="81"/>
      <c r="R5" s="82"/>
      <c r="S5" s="80" t="s">
        <v>9</v>
      </c>
      <c r="T5" s="81"/>
      <c r="U5" s="82"/>
    </row>
    <row r="6" spans="1:35" ht="15.75" customHeight="1" x14ac:dyDescent="0.3">
      <c r="A6" s="84"/>
      <c r="B6" s="84"/>
      <c r="C6" s="84"/>
      <c r="D6" s="84"/>
      <c r="E6" s="84"/>
      <c r="F6" s="84"/>
      <c r="G6" s="84"/>
      <c r="H6" s="84"/>
      <c r="I6" s="84"/>
      <c r="J6" s="86" t="s">
        <v>36</v>
      </c>
      <c r="K6" s="87"/>
      <c r="L6" s="83" t="s">
        <v>36</v>
      </c>
      <c r="M6" s="86" t="s">
        <v>39</v>
      </c>
      <c r="N6" s="87"/>
      <c r="O6" s="83" t="s">
        <v>40</v>
      </c>
      <c r="P6" s="86" t="s">
        <v>36</v>
      </c>
      <c r="Q6" s="87"/>
      <c r="R6" s="83" t="s">
        <v>36</v>
      </c>
      <c r="S6" s="86" t="s">
        <v>39</v>
      </c>
      <c r="T6" s="87"/>
      <c r="U6" s="83" t="s">
        <v>40</v>
      </c>
    </row>
    <row r="7" spans="1:35" ht="31.2" customHeight="1" x14ac:dyDescent="0.3">
      <c r="A7" s="85"/>
      <c r="B7" s="85"/>
      <c r="C7" s="85"/>
      <c r="D7" s="85"/>
      <c r="E7" s="85"/>
      <c r="F7" s="85"/>
      <c r="G7" s="85"/>
      <c r="H7" s="85"/>
      <c r="I7" s="85"/>
      <c r="J7" s="5" t="s">
        <v>37</v>
      </c>
      <c r="K7" s="5" t="s">
        <v>38</v>
      </c>
      <c r="L7" s="85"/>
      <c r="M7" s="5" t="s">
        <v>37</v>
      </c>
      <c r="N7" s="5" t="s">
        <v>38</v>
      </c>
      <c r="O7" s="85"/>
      <c r="P7" s="5" t="s">
        <v>37</v>
      </c>
      <c r="Q7" s="5" t="s">
        <v>38</v>
      </c>
      <c r="R7" s="85"/>
      <c r="S7" s="5" t="s">
        <v>37</v>
      </c>
      <c r="T7" s="5" t="s">
        <v>38</v>
      </c>
      <c r="U7" s="85"/>
    </row>
    <row r="8" spans="1:35" ht="30" customHeight="1" x14ac:dyDescent="0.3">
      <c r="A8" s="88" t="s">
        <v>41</v>
      </c>
      <c r="B8" s="89"/>
      <c r="C8" s="89"/>
      <c r="D8" s="89"/>
      <c r="E8" s="89"/>
      <c r="F8" s="89"/>
      <c r="G8" s="89"/>
      <c r="H8" s="89"/>
      <c r="I8" s="90"/>
      <c r="J8" s="7"/>
      <c r="K8" s="7"/>
      <c r="L8" s="7"/>
      <c r="M8" s="8">
        <f>SUM(M9,M979)</f>
        <v>48779467.810000002</v>
      </c>
      <c r="N8" s="8">
        <f>SUM(N9,N979)</f>
        <v>87173755.99000001</v>
      </c>
      <c r="O8" s="8">
        <f>SUM(O9,O979)</f>
        <v>135953223.79999998</v>
      </c>
      <c r="P8" s="7"/>
      <c r="Q8" s="7"/>
      <c r="R8" s="7"/>
      <c r="S8" s="8">
        <f>SUM(S9,S979)</f>
        <v>61057592.320000008</v>
      </c>
      <c r="T8" s="8">
        <f>SUM(T9,T979)</f>
        <v>128222471.82000002</v>
      </c>
      <c r="U8" s="8">
        <f>SUM(U9,U979)</f>
        <v>189280064.13999996</v>
      </c>
      <c r="Y8" s="9">
        <f>SUM(Y9,Y979)</f>
        <v>50881327.060000002</v>
      </c>
      <c r="Z8" s="9">
        <f>SUM(Z9,Z979)</f>
        <v>106852060.06</v>
      </c>
      <c r="AA8" s="9">
        <f>SUM(AA9,AA979)</f>
        <v>157733387.11999997</v>
      </c>
      <c r="AC8" s="4" t="s">
        <v>42</v>
      </c>
    </row>
    <row r="9" spans="1:35" ht="16.95" customHeight="1" x14ac:dyDescent="0.3">
      <c r="A9" s="10" t="s">
        <v>43</v>
      </c>
      <c r="B9" s="10" t="s">
        <v>44</v>
      </c>
      <c r="C9" s="91" t="s">
        <v>45</v>
      </c>
      <c r="D9" s="92"/>
      <c r="E9" s="92"/>
      <c r="F9" s="92"/>
      <c r="G9" s="92"/>
      <c r="H9" s="92"/>
      <c r="I9" s="93"/>
      <c r="M9" s="6">
        <f>SUM(M10,M16,M61)</f>
        <v>48516151.670000002</v>
      </c>
      <c r="N9" s="6">
        <f>SUM(N10,N16,N61)</f>
        <v>86901171.99000001</v>
      </c>
      <c r="O9" s="6">
        <f>SUM(O10,O16,O61)</f>
        <v>135417323.66</v>
      </c>
      <c r="S9" s="6">
        <f>SUM(S10,S16,S61)</f>
        <v>60571218.590000011</v>
      </c>
      <c r="T9" s="6">
        <f>SUM(T10,T16,T61)</f>
        <v>127813595.82000002</v>
      </c>
      <c r="U9" s="6">
        <f>SUM(U10,U16,U61)</f>
        <v>188384814.40999997</v>
      </c>
      <c r="Y9" s="9">
        <f>SUM(Y10,Y16,Y61)</f>
        <v>50476015.620000005</v>
      </c>
      <c r="Z9" s="9">
        <f>SUM(Z10,Z16,Z61)</f>
        <v>106511330.06</v>
      </c>
      <c r="AA9" s="9">
        <f>SUM(AA10,AA16,AA61)</f>
        <v>156987345.67999998</v>
      </c>
      <c r="AD9" s="4">
        <v>334080463</v>
      </c>
      <c r="AE9" s="4">
        <v>27245612</v>
      </c>
    </row>
    <row r="10" spans="1:35" ht="16.95" customHeight="1" x14ac:dyDescent="0.3">
      <c r="A10" s="11" t="s">
        <v>46</v>
      </c>
      <c r="B10" s="11" t="s">
        <v>47</v>
      </c>
      <c r="C10" s="94" t="s">
        <v>48</v>
      </c>
      <c r="D10" s="95"/>
      <c r="E10" s="95"/>
      <c r="F10" s="95"/>
      <c r="G10" s="95"/>
      <c r="H10" s="95"/>
      <c r="I10" s="96"/>
      <c r="J10" s="12"/>
      <c r="K10" s="12"/>
      <c r="L10" s="12"/>
      <c r="M10" s="13">
        <f t="shared" ref="M10:O12" si="0">SUM(M11)</f>
        <v>0</v>
      </c>
      <c r="N10" s="13">
        <f t="shared" si="0"/>
        <v>1524423.75</v>
      </c>
      <c r="O10" s="13">
        <f t="shared" si="0"/>
        <v>1524423.75</v>
      </c>
      <c r="P10" s="12"/>
      <c r="Q10" s="12"/>
      <c r="R10" s="12"/>
      <c r="S10" s="13">
        <f t="shared" ref="S10:U12" si="1">SUM(S11)</f>
        <v>0</v>
      </c>
      <c r="T10" s="13">
        <f t="shared" si="1"/>
        <v>2286635.63</v>
      </c>
      <c r="U10" s="13">
        <f t="shared" si="1"/>
        <v>2286635.63</v>
      </c>
      <c r="Y10" s="9">
        <f t="shared" ref="Y10:AA12" si="2">SUM(Y11)</f>
        <v>0</v>
      </c>
      <c r="Z10" s="9">
        <f t="shared" si="2"/>
        <v>1905529.7000000002</v>
      </c>
      <c r="AA10" s="9">
        <f t="shared" si="2"/>
        <v>1905529.7000000002</v>
      </c>
      <c r="AD10" s="4">
        <v>334080464</v>
      </c>
      <c r="AE10" s="4">
        <v>29196638</v>
      </c>
    </row>
    <row r="11" spans="1:35" ht="16.95" customHeight="1" x14ac:dyDescent="0.3">
      <c r="A11" s="11" t="s">
        <v>49</v>
      </c>
      <c r="B11" s="11" t="s">
        <v>50</v>
      </c>
      <c r="C11" s="94" t="s">
        <v>51</v>
      </c>
      <c r="D11" s="95"/>
      <c r="E11" s="95"/>
      <c r="F11" s="95"/>
      <c r="G11" s="95"/>
      <c r="H11" s="95"/>
      <c r="I11" s="96"/>
      <c r="J11" s="12"/>
      <c r="K11" s="12"/>
      <c r="L11" s="12"/>
      <c r="M11" s="13">
        <f t="shared" si="0"/>
        <v>0</v>
      </c>
      <c r="N11" s="13">
        <f t="shared" si="0"/>
        <v>1524423.75</v>
      </c>
      <c r="O11" s="13">
        <f t="shared" si="0"/>
        <v>1524423.75</v>
      </c>
      <c r="P11" s="12"/>
      <c r="Q11" s="12"/>
      <c r="R11" s="12"/>
      <c r="S11" s="13">
        <f t="shared" si="1"/>
        <v>0</v>
      </c>
      <c r="T11" s="13">
        <f t="shared" si="1"/>
        <v>2286635.63</v>
      </c>
      <c r="U11" s="13">
        <f t="shared" si="1"/>
        <v>2286635.63</v>
      </c>
      <c r="Y11" s="9">
        <f t="shared" si="2"/>
        <v>0</v>
      </c>
      <c r="Z11" s="9">
        <f t="shared" si="2"/>
        <v>1905529.7000000002</v>
      </c>
      <c r="AA11" s="9">
        <f t="shared" si="2"/>
        <v>1905529.7000000002</v>
      </c>
      <c r="AD11" s="4">
        <v>334080465</v>
      </c>
      <c r="AE11" s="4">
        <v>29196636</v>
      </c>
    </row>
    <row r="12" spans="1:35" ht="16.95" customHeight="1" x14ac:dyDescent="0.3">
      <c r="A12" s="11" t="s">
        <v>52</v>
      </c>
      <c r="B12" s="11" t="s">
        <v>53</v>
      </c>
      <c r="C12" s="94" t="s">
        <v>54</v>
      </c>
      <c r="D12" s="95"/>
      <c r="E12" s="95"/>
      <c r="F12" s="95"/>
      <c r="G12" s="95"/>
      <c r="H12" s="95"/>
      <c r="I12" s="96"/>
      <c r="J12" s="12"/>
      <c r="K12" s="12"/>
      <c r="L12" s="12"/>
      <c r="M12" s="13">
        <f t="shared" si="0"/>
        <v>0</v>
      </c>
      <c r="N12" s="13">
        <f t="shared" si="0"/>
        <v>1524423.75</v>
      </c>
      <c r="O12" s="13">
        <f t="shared" si="0"/>
        <v>1524423.75</v>
      </c>
      <c r="P12" s="12"/>
      <c r="Q12" s="12"/>
      <c r="R12" s="12"/>
      <c r="S12" s="13">
        <f t="shared" si="1"/>
        <v>0</v>
      </c>
      <c r="T12" s="13">
        <f t="shared" si="1"/>
        <v>2286635.63</v>
      </c>
      <c r="U12" s="13">
        <f t="shared" si="1"/>
        <v>2286635.63</v>
      </c>
      <c r="Y12" s="9">
        <f t="shared" si="2"/>
        <v>0</v>
      </c>
      <c r="Z12" s="9">
        <f t="shared" si="2"/>
        <v>1905529.7000000002</v>
      </c>
      <c r="AA12" s="9">
        <f t="shared" si="2"/>
        <v>1905529.7000000002</v>
      </c>
      <c r="AD12" s="4">
        <v>334080466</v>
      </c>
      <c r="AE12" s="4">
        <v>29196653</v>
      </c>
    </row>
    <row r="13" spans="1:35" ht="16.95" customHeight="1" x14ac:dyDescent="0.3">
      <c r="A13" s="11" t="s">
        <v>55</v>
      </c>
      <c r="B13" s="11" t="s">
        <v>56</v>
      </c>
      <c r="C13" s="94" t="s">
        <v>57</v>
      </c>
      <c r="D13" s="95"/>
      <c r="E13" s="95"/>
      <c r="F13" s="95"/>
      <c r="G13" s="95"/>
      <c r="H13" s="95"/>
      <c r="I13" s="96"/>
      <c r="J13" s="12"/>
      <c r="K13" s="12"/>
      <c r="L13" s="12"/>
      <c r="M13" s="13">
        <f>SUM(M14,M15)</f>
        <v>0</v>
      </c>
      <c r="N13" s="13">
        <f>SUM(N14,N15)</f>
        <v>1524423.75</v>
      </c>
      <c r="O13" s="13">
        <f>SUM(O14,O15)</f>
        <v>1524423.75</v>
      </c>
      <c r="P13" s="12"/>
      <c r="Q13" s="12"/>
      <c r="R13" s="12"/>
      <c r="S13" s="13">
        <f>SUM(S14,S15)</f>
        <v>0</v>
      </c>
      <c r="T13" s="13">
        <f>SUM(T14,T15)</f>
        <v>2286635.63</v>
      </c>
      <c r="U13" s="13">
        <f>SUM(U14,U15)</f>
        <v>2286635.63</v>
      </c>
      <c r="Y13" s="9">
        <f>SUM(Y14,Y15)</f>
        <v>0</v>
      </c>
      <c r="Z13" s="9">
        <f>SUM(Z14,Z15)</f>
        <v>1905529.7000000002</v>
      </c>
      <c r="AA13" s="9">
        <f>SUM(AA14,AA15)</f>
        <v>1905529.7000000002</v>
      </c>
      <c r="AD13" s="4">
        <v>334080467</v>
      </c>
      <c r="AE13" s="4">
        <v>29196647</v>
      </c>
    </row>
    <row r="14" spans="1:35" ht="126" x14ac:dyDescent="0.3">
      <c r="A14" s="11" t="s">
        <v>58</v>
      </c>
      <c r="B14" s="11" t="s">
        <v>59</v>
      </c>
      <c r="C14" s="20" t="s">
        <v>60</v>
      </c>
      <c r="D14" s="21"/>
      <c r="E14" s="21" t="s">
        <v>61</v>
      </c>
      <c r="F14" s="21" t="s">
        <v>62</v>
      </c>
      <c r="G14" s="22">
        <v>1</v>
      </c>
      <c r="H14" s="21"/>
      <c r="I14" s="22">
        <v>1707.54</v>
      </c>
      <c r="J14" s="23">
        <v>0</v>
      </c>
      <c r="K14" s="23">
        <v>375</v>
      </c>
      <c r="L14" s="23">
        <f>J14+ROUND(K14, 2)</f>
        <v>375</v>
      </c>
      <c r="M14" s="23">
        <v>0</v>
      </c>
      <c r="N14" s="23">
        <f>ROUND(I14*ROUND(K14, 2), 2)</f>
        <v>640327.5</v>
      </c>
      <c r="O14" s="23">
        <f>M14+N14</f>
        <v>640327.5</v>
      </c>
      <c r="P14" s="23">
        <v>0</v>
      </c>
      <c r="Q14" s="23">
        <v>562.5</v>
      </c>
      <c r="R14" s="23">
        <f>P14+ROUND(Q14, 2)</f>
        <v>562.5</v>
      </c>
      <c r="S14" s="23">
        <v>0</v>
      </c>
      <c r="T14" s="23">
        <f>ROUND(I14*ROUND(Q14, 2), 2)</f>
        <v>960491.25</v>
      </c>
      <c r="U14" s="23">
        <f>S14+T14</f>
        <v>960491.25</v>
      </c>
      <c r="V14" s="9"/>
      <c r="W14" s="9">
        <f>ROUND(Q14 / 1.2, 2)</f>
        <v>468.75</v>
      </c>
      <c r="X14" s="9">
        <f>ROUND(R14 / 1.2, 2)</f>
        <v>468.75</v>
      </c>
      <c r="Y14" s="9"/>
      <c r="Z14" s="9">
        <f>ROUND(T14 / 1.2, 2)</f>
        <v>800409.38</v>
      </c>
      <c r="AA14" s="9">
        <f>Y14+Z14</f>
        <v>800409.38</v>
      </c>
      <c r="AD14" s="4">
        <v>334080469</v>
      </c>
      <c r="AE14" s="4">
        <v>29196680</v>
      </c>
      <c r="AG14" s="4" t="s">
        <v>63</v>
      </c>
      <c r="AH14" s="4" t="s">
        <v>64</v>
      </c>
      <c r="AI14" s="4" t="s">
        <v>65</v>
      </c>
    </row>
    <row r="15" spans="1:35" ht="144" x14ac:dyDescent="0.3">
      <c r="A15" s="11" t="s">
        <v>66</v>
      </c>
      <c r="B15" s="11" t="s">
        <v>59</v>
      </c>
      <c r="C15" s="20" t="s">
        <v>60</v>
      </c>
      <c r="D15" s="21"/>
      <c r="E15" s="21" t="s">
        <v>67</v>
      </c>
      <c r="F15" s="21" t="s">
        <v>62</v>
      </c>
      <c r="G15" s="22">
        <v>1</v>
      </c>
      <c r="H15" s="21"/>
      <c r="I15" s="22">
        <v>2357.59</v>
      </c>
      <c r="J15" s="23">
        <v>0</v>
      </c>
      <c r="K15" s="23">
        <v>375</v>
      </c>
      <c r="L15" s="23">
        <f>J15+ROUND(K15, 2)</f>
        <v>375</v>
      </c>
      <c r="M15" s="23">
        <v>0</v>
      </c>
      <c r="N15" s="23">
        <f>ROUND(I15*ROUND(K15, 2), 2)</f>
        <v>884096.25</v>
      </c>
      <c r="O15" s="23">
        <f>M15+N15</f>
        <v>884096.25</v>
      </c>
      <c r="P15" s="23">
        <v>0</v>
      </c>
      <c r="Q15" s="23">
        <v>562.5</v>
      </c>
      <c r="R15" s="23">
        <f>P15+ROUND(Q15, 2)</f>
        <v>562.5</v>
      </c>
      <c r="S15" s="23">
        <v>0</v>
      </c>
      <c r="T15" s="23">
        <f>ROUND(I15*ROUND(Q15, 2), 2)</f>
        <v>1326144.3799999999</v>
      </c>
      <c r="U15" s="23">
        <f>S15+T15</f>
        <v>1326144.3799999999</v>
      </c>
      <c r="V15" s="9"/>
      <c r="W15" s="9">
        <f>ROUND(Q15 / 1.2, 2)</f>
        <v>468.75</v>
      </c>
      <c r="X15" s="9">
        <f>ROUND(R15 / 1.2, 2)</f>
        <v>468.75</v>
      </c>
      <c r="Y15" s="9"/>
      <c r="Z15" s="9">
        <f>ROUND(T15 / 1.2, 2)</f>
        <v>1105120.32</v>
      </c>
      <c r="AA15" s="9">
        <f>Y15+Z15</f>
        <v>1105120.32</v>
      </c>
      <c r="AD15" s="4">
        <v>334080584</v>
      </c>
      <c r="AE15" s="4">
        <v>29196681</v>
      </c>
      <c r="AG15" s="4" t="s">
        <v>63</v>
      </c>
      <c r="AH15" s="4" t="s">
        <v>64</v>
      </c>
      <c r="AI15" s="4" t="s">
        <v>65</v>
      </c>
    </row>
    <row r="16" spans="1:35" ht="16.95" customHeight="1" x14ac:dyDescent="0.3">
      <c r="A16" s="10" t="s">
        <v>68</v>
      </c>
      <c r="B16" s="10" t="s">
        <v>69</v>
      </c>
      <c r="C16" s="91" t="s">
        <v>70</v>
      </c>
      <c r="D16" s="92"/>
      <c r="E16" s="92"/>
      <c r="F16" s="92"/>
      <c r="G16" s="92"/>
      <c r="H16" s="92"/>
      <c r="I16" s="93"/>
      <c r="M16" s="6">
        <f t="shared" ref="M16:O19" si="3">SUM(M17)</f>
        <v>49224.53</v>
      </c>
      <c r="N16" s="6">
        <f t="shared" si="3"/>
        <v>128833.69999999998</v>
      </c>
      <c r="O16" s="6">
        <f t="shared" si="3"/>
        <v>178058.23</v>
      </c>
      <c r="S16" s="6">
        <f t="shared" ref="S16:U19" si="4">SUM(S17)</f>
        <v>123088.61</v>
      </c>
      <c r="T16" s="6">
        <f t="shared" si="4"/>
        <v>193250.55</v>
      </c>
      <c r="U16" s="6">
        <f t="shared" si="4"/>
        <v>316339.16000000003</v>
      </c>
      <c r="Y16" s="9">
        <f t="shared" ref="Y16:AA19" si="5">SUM(Y17)</f>
        <v>102573.83999999998</v>
      </c>
      <c r="Z16" s="9">
        <f t="shared" si="5"/>
        <v>161042.13</v>
      </c>
      <c r="AA16" s="9">
        <f t="shared" si="5"/>
        <v>263615.97000000003</v>
      </c>
      <c r="AD16" s="4">
        <v>334080470</v>
      </c>
      <c r="AE16" s="4">
        <v>27245716</v>
      </c>
    </row>
    <row r="17" spans="1:35" ht="16.95" customHeight="1" x14ac:dyDescent="0.3">
      <c r="A17" s="10" t="s">
        <v>71</v>
      </c>
      <c r="B17" s="10" t="s">
        <v>72</v>
      </c>
      <c r="C17" s="91" t="s">
        <v>73</v>
      </c>
      <c r="D17" s="92"/>
      <c r="E17" s="92"/>
      <c r="F17" s="92"/>
      <c r="G17" s="92"/>
      <c r="H17" s="92"/>
      <c r="I17" s="93"/>
      <c r="M17" s="6">
        <f t="shared" si="3"/>
        <v>49224.53</v>
      </c>
      <c r="N17" s="6">
        <f t="shared" si="3"/>
        <v>128833.69999999998</v>
      </c>
      <c r="O17" s="6">
        <f t="shared" si="3"/>
        <v>178058.23</v>
      </c>
      <c r="S17" s="6">
        <f t="shared" si="4"/>
        <v>123088.61</v>
      </c>
      <c r="T17" s="6">
        <f t="shared" si="4"/>
        <v>193250.55</v>
      </c>
      <c r="U17" s="6">
        <f t="shared" si="4"/>
        <v>316339.16000000003</v>
      </c>
      <c r="Y17" s="9">
        <f t="shared" si="5"/>
        <v>102573.83999999998</v>
      </c>
      <c r="Z17" s="9">
        <f t="shared" si="5"/>
        <v>161042.13</v>
      </c>
      <c r="AA17" s="9">
        <f t="shared" si="5"/>
        <v>263615.97000000003</v>
      </c>
      <c r="AD17" s="4">
        <v>334080471</v>
      </c>
      <c r="AE17" s="4">
        <v>27245640</v>
      </c>
    </row>
    <row r="18" spans="1:35" ht="16.95" customHeight="1" x14ac:dyDescent="0.3">
      <c r="A18" s="10" t="s">
        <v>74</v>
      </c>
      <c r="B18" s="10" t="s">
        <v>75</v>
      </c>
      <c r="C18" s="91" t="s">
        <v>76</v>
      </c>
      <c r="D18" s="92"/>
      <c r="E18" s="92"/>
      <c r="F18" s="92"/>
      <c r="G18" s="92"/>
      <c r="H18" s="92"/>
      <c r="I18" s="93"/>
      <c r="M18" s="6">
        <f t="shared" si="3"/>
        <v>49224.53</v>
      </c>
      <c r="N18" s="6">
        <f t="shared" si="3"/>
        <v>128833.69999999998</v>
      </c>
      <c r="O18" s="6">
        <f t="shared" si="3"/>
        <v>178058.23</v>
      </c>
      <c r="S18" s="6">
        <f t="shared" si="4"/>
        <v>123088.61</v>
      </c>
      <c r="T18" s="6">
        <f t="shared" si="4"/>
        <v>193250.55</v>
      </c>
      <c r="U18" s="6">
        <f t="shared" si="4"/>
        <v>316339.16000000003</v>
      </c>
      <c r="Y18" s="9">
        <f t="shared" si="5"/>
        <v>102573.83999999998</v>
      </c>
      <c r="Z18" s="9">
        <f t="shared" si="5"/>
        <v>161042.13</v>
      </c>
      <c r="AA18" s="9">
        <f t="shared" si="5"/>
        <v>263615.97000000003</v>
      </c>
      <c r="AD18" s="4">
        <v>334080472</v>
      </c>
      <c r="AE18" s="4">
        <v>27245618</v>
      </c>
    </row>
    <row r="19" spans="1:35" ht="16.95" customHeight="1" x14ac:dyDescent="0.3">
      <c r="A19" s="10" t="s">
        <v>77</v>
      </c>
      <c r="B19" s="10" t="s">
        <v>78</v>
      </c>
      <c r="C19" s="91" t="s">
        <v>79</v>
      </c>
      <c r="D19" s="92"/>
      <c r="E19" s="92"/>
      <c r="F19" s="92"/>
      <c r="G19" s="92"/>
      <c r="H19" s="92"/>
      <c r="I19" s="93"/>
      <c r="M19" s="6">
        <f t="shared" si="3"/>
        <v>49224.53</v>
      </c>
      <c r="N19" s="6">
        <f t="shared" si="3"/>
        <v>128833.69999999998</v>
      </c>
      <c r="O19" s="6">
        <f t="shared" si="3"/>
        <v>178058.23</v>
      </c>
      <c r="S19" s="6">
        <f t="shared" si="4"/>
        <v>123088.61</v>
      </c>
      <c r="T19" s="6">
        <f t="shared" si="4"/>
        <v>193250.55</v>
      </c>
      <c r="U19" s="6">
        <f t="shared" si="4"/>
        <v>316339.16000000003</v>
      </c>
      <c r="Y19" s="9">
        <f t="shared" si="5"/>
        <v>102573.83999999998</v>
      </c>
      <c r="Z19" s="9">
        <f t="shared" si="5"/>
        <v>161042.13</v>
      </c>
      <c r="AA19" s="9">
        <f t="shared" si="5"/>
        <v>263615.97000000003</v>
      </c>
      <c r="AD19" s="4">
        <v>334080473</v>
      </c>
      <c r="AE19" s="4">
        <v>27245643</v>
      </c>
    </row>
    <row r="20" spans="1:35" ht="16.95" customHeight="1" x14ac:dyDescent="0.3">
      <c r="A20" s="10" t="s">
        <v>80</v>
      </c>
      <c r="B20" s="10" t="s">
        <v>81</v>
      </c>
      <c r="C20" s="91" t="s">
        <v>82</v>
      </c>
      <c r="D20" s="92"/>
      <c r="E20" s="92"/>
      <c r="F20" s="92"/>
      <c r="G20" s="92"/>
      <c r="H20" s="92"/>
      <c r="I20" s="93"/>
      <c r="M20" s="6">
        <f>SUM(M21,M26,M31,M36,M41,M46,M51,M56)</f>
        <v>49224.53</v>
      </c>
      <c r="N20" s="6">
        <f>SUM(N21,N26,N31,N36,N41,N46,N51,N56)</f>
        <v>128833.69999999998</v>
      </c>
      <c r="O20" s="6">
        <f>SUM(O21,O26,O31,O36,O41,O46,O51,O56)</f>
        <v>178058.23</v>
      </c>
      <c r="S20" s="6">
        <f>SUM(S21,S26,S31,S36,S41,S46,S51,S56)</f>
        <v>123088.61</v>
      </c>
      <c r="T20" s="6">
        <f>SUM(T21,T26,T31,T36,T41,T46,T51,T56)</f>
        <v>193250.55</v>
      </c>
      <c r="U20" s="6">
        <f>SUM(U21,U26,U31,U36,U41,U46,U51,U56)</f>
        <v>316339.16000000003</v>
      </c>
      <c r="Y20" s="9">
        <f>SUM(Y21,Y26,Y31,Y36,Y41,Y46,Y51,Y56)</f>
        <v>102573.83999999998</v>
      </c>
      <c r="Z20" s="9">
        <f>SUM(Z21,Z26,Z31,Z36,Z41,Z46,Z51,Z56)</f>
        <v>161042.13</v>
      </c>
      <c r="AA20" s="9">
        <f>SUM(AA21,AA26,AA31,AA36,AA41,AA46,AA51,AA56)</f>
        <v>263615.97000000003</v>
      </c>
      <c r="AD20" s="4">
        <v>334080474</v>
      </c>
      <c r="AE20" s="4">
        <v>27245619</v>
      </c>
    </row>
    <row r="21" spans="1:35" ht="36" x14ac:dyDescent="0.3">
      <c r="A21" s="10" t="s">
        <v>83</v>
      </c>
      <c r="B21" s="10" t="s">
        <v>84</v>
      </c>
      <c r="C21" s="14" t="s">
        <v>85</v>
      </c>
      <c r="D21" s="15"/>
      <c r="E21" s="15"/>
      <c r="F21" s="15" t="s">
        <v>62</v>
      </c>
      <c r="G21" s="16">
        <v>1</v>
      </c>
      <c r="H21" s="15"/>
      <c r="I21" s="16">
        <v>0</v>
      </c>
      <c r="J21" s="17">
        <v>0</v>
      </c>
      <c r="K21" s="18">
        <v>2293</v>
      </c>
      <c r="L21" s="17">
        <f>J21+ROUND(K21, 2)</f>
        <v>2293</v>
      </c>
      <c r="M21" s="17">
        <v>0</v>
      </c>
      <c r="N21" s="17">
        <v>0</v>
      </c>
      <c r="O21" s="17">
        <f>M21+N21</f>
        <v>0</v>
      </c>
      <c r="P21" s="17">
        <v>877.6</v>
      </c>
      <c r="Q21" s="19">
        <v>2293</v>
      </c>
      <c r="R21" s="17">
        <f>P21+ROUND(Q21, 2)</f>
        <v>3170.6</v>
      </c>
      <c r="S21" s="17">
        <v>0</v>
      </c>
      <c r="T21" s="17">
        <v>0</v>
      </c>
      <c r="U21" s="17">
        <f>S21+T21</f>
        <v>0</v>
      </c>
      <c r="V21" s="9">
        <f>ROUND(P21 / 1.2, 2)</f>
        <v>731.33</v>
      </c>
      <c r="W21" s="9">
        <f>ROUND(Q21 / 1.2, 2)</f>
        <v>1910.83</v>
      </c>
      <c r="X21" s="9">
        <f>ROUND(R21 / 1.2, 2)</f>
        <v>2642.17</v>
      </c>
      <c r="Y21" s="9">
        <f>ROUND(S21 / 1.2, 2)</f>
        <v>0</v>
      </c>
      <c r="Z21" s="9">
        <f>ROUND(T21 / 1.2, 2)</f>
        <v>0</v>
      </c>
      <c r="AA21" s="9">
        <f>Y21+Z21</f>
        <v>0</v>
      </c>
      <c r="AD21" s="4">
        <v>334080476</v>
      </c>
      <c r="AE21" s="4">
        <v>27245632</v>
      </c>
      <c r="AG21" s="4" t="s">
        <v>86</v>
      </c>
      <c r="AH21" s="4" t="s">
        <v>87</v>
      </c>
      <c r="AI21" s="4" t="s">
        <v>88</v>
      </c>
    </row>
    <row r="22" spans="1:35" ht="72" x14ac:dyDescent="0.3">
      <c r="A22" s="10" t="s">
        <v>89</v>
      </c>
      <c r="B22" s="10"/>
      <c r="C22" s="24" t="s">
        <v>90</v>
      </c>
      <c r="D22" s="15"/>
      <c r="E22" s="15"/>
      <c r="F22" s="25" t="s">
        <v>91</v>
      </c>
      <c r="G22" s="26">
        <v>1</v>
      </c>
      <c r="H22" s="15"/>
      <c r="I22" s="26">
        <v>0</v>
      </c>
      <c r="J22" s="27">
        <v>102.33</v>
      </c>
      <c r="M22" s="28">
        <f>ROUND(ROUND(J22, 2)*I22, 2)</f>
        <v>0</v>
      </c>
      <c r="P22" s="29">
        <v>102.33</v>
      </c>
      <c r="S22" s="28">
        <f>ROUND(ROUND(P22, 2)*I22, 2)</f>
        <v>0</v>
      </c>
      <c r="V22" s="9">
        <f>ROUND(ROUND(P22, 2)/1.2, 2)</f>
        <v>85.28</v>
      </c>
      <c r="Y22" s="9">
        <f t="shared" ref="Y22:Y60" si="6">ROUND(S22 / 1.2, 2)</f>
        <v>0</v>
      </c>
      <c r="AD22" s="4" t="s">
        <v>92</v>
      </c>
      <c r="AE22" s="4" t="s">
        <v>93</v>
      </c>
      <c r="AF22" s="4" t="s">
        <v>94</v>
      </c>
    </row>
    <row r="23" spans="1:35" ht="36" x14ac:dyDescent="0.3">
      <c r="A23" s="10" t="s">
        <v>95</v>
      </c>
      <c r="B23" s="10"/>
      <c r="C23" s="30" t="s">
        <v>96</v>
      </c>
      <c r="D23" s="15"/>
      <c r="E23" s="15"/>
      <c r="F23" s="25" t="s">
        <v>62</v>
      </c>
      <c r="G23" s="26">
        <v>4.2</v>
      </c>
      <c r="H23" s="15"/>
      <c r="I23" s="26">
        <v>0</v>
      </c>
      <c r="J23" s="27">
        <v>104.57</v>
      </c>
      <c r="M23" s="28">
        <f>ROUND(ROUND(J23, 2)*I23, 2)</f>
        <v>0</v>
      </c>
      <c r="P23" s="29">
        <v>104.57</v>
      </c>
      <c r="S23" s="28">
        <f>ROUND(ROUND(P23, 2)*I23, 2)</f>
        <v>0</v>
      </c>
      <c r="V23" s="9">
        <f>ROUND(ROUND(P23, 2)/1.2, 2)</f>
        <v>87.14</v>
      </c>
      <c r="Y23" s="9">
        <f t="shared" si="6"/>
        <v>0</v>
      </c>
      <c r="AD23" s="4" t="s">
        <v>97</v>
      </c>
      <c r="AE23" s="4" t="s">
        <v>98</v>
      </c>
      <c r="AF23" s="4" t="s">
        <v>99</v>
      </c>
    </row>
    <row r="24" spans="1:35" ht="18" x14ac:dyDescent="0.3">
      <c r="A24" s="10" t="s">
        <v>100</v>
      </c>
      <c r="B24" s="10"/>
      <c r="C24" s="30" t="s">
        <v>101</v>
      </c>
      <c r="D24" s="15"/>
      <c r="E24" s="15"/>
      <c r="F24" s="25" t="s">
        <v>102</v>
      </c>
      <c r="G24" s="26">
        <v>4.07</v>
      </c>
      <c r="H24" s="15"/>
      <c r="I24" s="31">
        <v>0</v>
      </c>
      <c r="J24" s="27">
        <v>64.56</v>
      </c>
      <c r="M24" s="28">
        <f>ROUND(ROUND(J24, 2)*I24, 2)</f>
        <v>0</v>
      </c>
      <c r="P24" s="29">
        <v>64.56</v>
      </c>
      <c r="S24" s="28">
        <f>ROUND(ROUND(P24, 2)*I24, 2)</f>
        <v>0</v>
      </c>
      <c r="V24" s="9">
        <f>ROUND(ROUND(P24, 2)/1.2, 2)</f>
        <v>53.8</v>
      </c>
      <c r="Y24" s="9">
        <f t="shared" si="6"/>
        <v>0</v>
      </c>
      <c r="AD24" s="4" t="s">
        <v>103</v>
      </c>
      <c r="AE24" s="4" t="s">
        <v>104</v>
      </c>
      <c r="AF24" s="4" t="s">
        <v>105</v>
      </c>
    </row>
    <row r="25" spans="1:35" ht="18" x14ac:dyDescent="0.3">
      <c r="A25" s="10" t="s">
        <v>106</v>
      </c>
      <c r="B25" s="10"/>
      <c r="C25" s="30" t="s">
        <v>107</v>
      </c>
      <c r="D25" s="15"/>
      <c r="E25" s="15"/>
      <c r="F25" s="25" t="s">
        <v>102</v>
      </c>
      <c r="G25" s="26">
        <v>1.42</v>
      </c>
      <c r="H25" s="15"/>
      <c r="I25" s="31">
        <v>0</v>
      </c>
      <c r="J25" s="27">
        <v>51.63</v>
      </c>
      <c r="M25" s="28">
        <f>ROUND(ROUND(J25, 2)*I25, 2)</f>
        <v>0</v>
      </c>
      <c r="P25" s="29">
        <v>51.63</v>
      </c>
      <c r="S25" s="28">
        <f>ROUND(ROUND(P25, 2)*I25, 2)</f>
        <v>0</v>
      </c>
      <c r="V25" s="9">
        <f>ROUND(ROUND(P25, 2)/1.2, 2)</f>
        <v>43.03</v>
      </c>
      <c r="Y25" s="9">
        <f t="shared" si="6"/>
        <v>0</v>
      </c>
      <c r="AD25" s="4" t="s">
        <v>108</v>
      </c>
      <c r="AE25" s="4" t="s">
        <v>109</v>
      </c>
      <c r="AF25" s="4" t="s">
        <v>110</v>
      </c>
    </row>
    <row r="26" spans="1:35" ht="36" x14ac:dyDescent="0.3">
      <c r="A26" s="10" t="s">
        <v>111</v>
      </c>
      <c r="B26" s="10" t="s">
        <v>84</v>
      </c>
      <c r="C26" s="14" t="s">
        <v>85</v>
      </c>
      <c r="D26" s="15"/>
      <c r="E26" s="15"/>
      <c r="F26" s="15" t="s">
        <v>62</v>
      </c>
      <c r="G26" s="16">
        <v>1</v>
      </c>
      <c r="H26" s="15"/>
      <c r="I26" s="16">
        <v>0</v>
      </c>
      <c r="J26" s="17">
        <v>0</v>
      </c>
      <c r="K26" s="18">
        <v>2293</v>
      </c>
      <c r="L26" s="17">
        <f>J26+ROUND(K26, 2)</f>
        <v>2293</v>
      </c>
      <c r="M26" s="17">
        <v>0</v>
      </c>
      <c r="N26" s="17">
        <v>0</v>
      </c>
      <c r="O26" s="17">
        <f>M26+N26</f>
        <v>0</v>
      </c>
      <c r="P26" s="17">
        <v>3631.1</v>
      </c>
      <c r="Q26" s="19">
        <v>2293</v>
      </c>
      <c r="R26" s="17">
        <f>P26+ROUND(Q26, 2)</f>
        <v>5924.1</v>
      </c>
      <c r="S26" s="17">
        <v>0</v>
      </c>
      <c r="T26" s="17">
        <v>0</v>
      </c>
      <c r="U26" s="17">
        <f>S26+T26</f>
        <v>0</v>
      </c>
      <c r="V26" s="9">
        <f>ROUND(P26 / 1.2, 2)</f>
        <v>3025.92</v>
      </c>
      <c r="W26" s="9">
        <f>ROUND(Q26 / 1.2, 2)</f>
        <v>1910.83</v>
      </c>
      <c r="X26" s="9">
        <f>ROUND(R26 / 1.2, 2)</f>
        <v>4936.75</v>
      </c>
      <c r="Y26" s="9">
        <f t="shared" si="6"/>
        <v>0</v>
      </c>
      <c r="Z26" s="9">
        <f>ROUND(T26 / 1.2, 2)</f>
        <v>0</v>
      </c>
      <c r="AA26" s="9">
        <f>Y26+Z26</f>
        <v>0</v>
      </c>
      <c r="AD26" s="4">
        <v>334080585</v>
      </c>
      <c r="AE26" s="4">
        <v>27245633</v>
      </c>
      <c r="AG26" s="4" t="s">
        <v>86</v>
      </c>
      <c r="AH26" s="4" t="s">
        <v>87</v>
      </c>
      <c r="AI26" s="4" t="s">
        <v>88</v>
      </c>
    </row>
    <row r="27" spans="1:35" ht="18" x14ac:dyDescent="0.3">
      <c r="A27" s="10" t="s">
        <v>112</v>
      </c>
      <c r="B27" s="10"/>
      <c r="C27" s="30" t="s">
        <v>101</v>
      </c>
      <c r="D27" s="15"/>
      <c r="E27" s="15"/>
      <c r="F27" s="25" t="s">
        <v>102</v>
      </c>
      <c r="G27" s="26">
        <v>4.07</v>
      </c>
      <c r="H27" s="15"/>
      <c r="I27" s="31">
        <v>0</v>
      </c>
      <c r="J27" s="27">
        <v>64.56</v>
      </c>
      <c r="M27" s="28">
        <f>ROUND(ROUND(J27, 2)*I27, 2)</f>
        <v>0</v>
      </c>
      <c r="P27" s="29">
        <v>64.56</v>
      </c>
      <c r="S27" s="28">
        <f>ROUND(ROUND(P27, 2)*I27, 2)</f>
        <v>0</v>
      </c>
      <c r="V27" s="9">
        <f>ROUND(ROUND(P27, 2)/1.2, 2)</f>
        <v>53.8</v>
      </c>
      <c r="Y27" s="9">
        <f t="shared" si="6"/>
        <v>0</v>
      </c>
      <c r="AD27" s="4" t="s">
        <v>113</v>
      </c>
      <c r="AE27" s="4" t="s">
        <v>114</v>
      </c>
      <c r="AF27" s="4" t="s">
        <v>105</v>
      </c>
    </row>
    <row r="28" spans="1:35" ht="18" x14ac:dyDescent="0.3">
      <c r="A28" s="10" t="s">
        <v>115</v>
      </c>
      <c r="B28" s="10"/>
      <c r="C28" s="30" t="s">
        <v>107</v>
      </c>
      <c r="D28" s="15"/>
      <c r="E28" s="15"/>
      <c r="F28" s="25" t="s">
        <v>102</v>
      </c>
      <c r="G28" s="26">
        <v>1.42</v>
      </c>
      <c r="H28" s="15"/>
      <c r="I28" s="31">
        <v>0</v>
      </c>
      <c r="J28" s="27">
        <v>51.63</v>
      </c>
      <c r="M28" s="28">
        <f>ROUND(ROUND(J28, 2)*I28, 2)</f>
        <v>0</v>
      </c>
      <c r="P28" s="29">
        <v>51.63</v>
      </c>
      <c r="S28" s="28">
        <f>ROUND(ROUND(P28, 2)*I28, 2)</f>
        <v>0</v>
      </c>
      <c r="V28" s="9">
        <f>ROUND(ROUND(P28, 2)/1.2, 2)</f>
        <v>43.03</v>
      </c>
      <c r="Y28" s="9">
        <f t="shared" si="6"/>
        <v>0</v>
      </c>
      <c r="AD28" s="4" t="s">
        <v>116</v>
      </c>
      <c r="AE28" s="4" t="s">
        <v>117</v>
      </c>
      <c r="AF28" s="4" t="s">
        <v>110</v>
      </c>
    </row>
    <row r="29" spans="1:35" ht="36" x14ac:dyDescent="0.3">
      <c r="A29" s="10" t="s">
        <v>118</v>
      </c>
      <c r="B29" s="10"/>
      <c r="C29" s="24" t="s">
        <v>119</v>
      </c>
      <c r="D29" s="15"/>
      <c r="E29" s="15"/>
      <c r="F29" s="25" t="s">
        <v>62</v>
      </c>
      <c r="G29" s="26">
        <v>2.1</v>
      </c>
      <c r="H29" s="15"/>
      <c r="I29" s="26">
        <v>0</v>
      </c>
      <c r="J29" s="27">
        <v>135.53</v>
      </c>
      <c r="M29" s="28">
        <f>ROUND(ROUND(J29, 2)*I29, 2)</f>
        <v>0</v>
      </c>
      <c r="P29" s="29">
        <v>1520.33</v>
      </c>
      <c r="S29" s="28">
        <f>ROUND(ROUND(P29, 2)*I29, 2)</f>
        <v>0</v>
      </c>
      <c r="V29" s="9">
        <f>ROUND(ROUND(P29, 2)/1.2, 2)</f>
        <v>1266.94</v>
      </c>
      <c r="Y29" s="9">
        <f t="shared" si="6"/>
        <v>0</v>
      </c>
      <c r="AD29" s="4" t="s">
        <v>120</v>
      </c>
      <c r="AE29" s="4" t="s">
        <v>121</v>
      </c>
      <c r="AF29" s="4" t="s">
        <v>122</v>
      </c>
    </row>
    <row r="30" spans="1:35" ht="72" x14ac:dyDescent="0.3">
      <c r="A30" s="10" t="s">
        <v>123</v>
      </c>
      <c r="B30" s="10"/>
      <c r="C30" s="24" t="s">
        <v>90</v>
      </c>
      <c r="D30" s="15"/>
      <c r="E30" s="15"/>
      <c r="F30" s="25" t="s">
        <v>91</v>
      </c>
      <c r="G30" s="26">
        <v>1</v>
      </c>
      <c r="H30" s="15"/>
      <c r="I30" s="26">
        <v>0</v>
      </c>
      <c r="J30" s="27">
        <v>102.33</v>
      </c>
      <c r="M30" s="28">
        <f>ROUND(ROUND(J30, 2)*I30, 2)</f>
        <v>0</v>
      </c>
      <c r="P30" s="29">
        <v>102.33</v>
      </c>
      <c r="S30" s="28">
        <f>ROUND(ROUND(P30, 2)*I30, 2)</f>
        <v>0</v>
      </c>
      <c r="V30" s="9">
        <f>ROUND(ROUND(P30, 2)/1.2, 2)</f>
        <v>85.28</v>
      </c>
      <c r="Y30" s="9">
        <f t="shared" si="6"/>
        <v>0</v>
      </c>
      <c r="AD30" s="4" t="s">
        <v>124</v>
      </c>
      <c r="AE30" s="4" t="s">
        <v>125</v>
      </c>
      <c r="AF30" s="4" t="s">
        <v>94</v>
      </c>
    </row>
    <row r="31" spans="1:35" ht="162" x14ac:dyDescent="0.3">
      <c r="A31" s="10" t="s">
        <v>126</v>
      </c>
      <c r="B31" s="10" t="s">
        <v>84</v>
      </c>
      <c r="C31" s="14" t="s">
        <v>85</v>
      </c>
      <c r="D31" s="15"/>
      <c r="E31" s="15" t="s">
        <v>127</v>
      </c>
      <c r="F31" s="15" t="s">
        <v>62</v>
      </c>
      <c r="G31" s="16">
        <v>1</v>
      </c>
      <c r="H31" s="15"/>
      <c r="I31" s="16">
        <v>6.3</v>
      </c>
      <c r="J31" s="17">
        <v>877.62</v>
      </c>
      <c r="K31" s="18">
        <v>2293</v>
      </c>
      <c r="L31" s="17">
        <f>J31+ROUND(K31, 2)</f>
        <v>3170.62</v>
      </c>
      <c r="M31" s="17">
        <v>5529.01</v>
      </c>
      <c r="N31" s="17">
        <v>14445.9</v>
      </c>
      <c r="O31" s="17">
        <f>M31+N31</f>
        <v>19974.91</v>
      </c>
      <c r="P31" s="17">
        <v>877.6</v>
      </c>
      <c r="Q31" s="19">
        <v>3439.5</v>
      </c>
      <c r="R31" s="17">
        <f>P31+ROUND(Q31, 2)</f>
        <v>4317.1000000000004</v>
      </c>
      <c r="S31" s="17">
        <v>5528.88</v>
      </c>
      <c r="T31" s="17">
        <v>21668.85</v>
      </c>
      <c r="U31" s="17">
        <f>S31+T31</f>
        <v>27197.73</v>
      </c>
      <c r="V31" s="9">
        <f>ROUND(P31 / 1.2, 2)</f>
        <v>731.33</v>
      </c>
      <c r="W31" s="9">
        <f>ROUND(Q31 / 1.2, 2)</f>
        <v>2866.25</v>
      </c>
      <c r="X31" s="9">
        <f>ROUND(R31 / 1.2, 2)</f>
        <v>3597.58</v>
      </c>
      <c r="Y31" s="9">
        <f t="shared" si="6"/>
        <v>4607.3999999999996</v>
      </c>
      <c r="Z31" s="9">
        <f>ROUND(T31 / 1.2, 2)</f>
        <v>18057.38</v>
      </c>
      <c r="AA31" s="9">
        <f>Y31+Z31</f>
        <v>22664.78</v>
      </c>
      <c r="AD31" s="4">
        <v>334080586</v>
      </c>
      <c r="AE31" s="4">
        <v>27245768</v>
      </c>
      <c r="AG31" s="4" t="s">
        <v>86</v>
      </c>
      <c r="AH31" s="4" t="s">
        <v>87</v>
      </c>
      <c r="AI31" s="4" t="s">
        <v>88</v>
      </c>
    </row>
    <row r="32" spans="1:35" ht="72" x14ac:dyDescent="0.3">
      <c r="A32" s="10" t="s">
        <v>128</v>
      </c>
      <c r="B32" s="10"/>
      <c r="C32" s="24" t="s">
        <v>90</v>
      </c>
      <c r="D32" s="15"/>
      <c r="E32" s="15"/>
      <c r="F32" s="25" t="s">
        <v>91</v>
      </c>
      <c r="G32" s="26">
        <v>1</v>
      </c>
      <c r="H32" s="15"/>
      <c r="I32" s="26">
        <v>6.3</v>
      </c>
      <c r="J32" s="27">
        <v>102.34</v>
      </c>
      <c r="M32" s="28">
        <f>ROUND(ROUND(J32, 2)*I32, 2)</f>
        <v>644.74</v>
      </c>
      <c r="P32" s="29">
        <v>102.33</v>
      </c>
      <c r="S32" s="28">
        <f>ROUND(ROUND(P32, 2)*I32, 2)</f>
        <v>644.67999999999995</v>
      </c>
      <c r="V32" s="9">
        <f>ROUND(ROUND(P32, 2)/1.2, 2)</f>
        <v>85.28</v>
      </c>
      <c r="Y32" s="9">
        <f t="shared" si="6"/>
        <v>537.23</v>
      </c>
      <c r="AD32" s="4" t="s">
        <v>129</v>
      </c>
      <c r="AE32" s="4" t="s">
        <v>130</v>
      </c>
      <c r="AF32" s="4" t="s">
        <v>94</v>
      </c>
    </row>
    <row r="33" spans="1:35" ht="36" x14ac:dyDescent="0.3">
      <c r="A33" s="10" t="s">
        <v>131</v>
      </c>
      <c r="B33" s="10"/>
      <c r="C33" s="30" t="s">
        <v>96</v>
      </c>
      <c r="D33" s="15"/>
      <c r="E33" s="15"/>
      <c r="F33" s="25" t="s">
        <v>62</v>
      </c>
      <c r="G33" s="26">
        <v>4.2</v>
      </c>
      <c r="H33" s="15"/>
      <c r="I33" s="26">
        <v>26.46</v>
      </c>
      <c r="J33" s="27">
        <v>104.57</v>
      </c>
      <c r="M33" s="28">
        <f>ROUND(ROUND(J33, 2)*I33, 2)</f>
        <v>2766.92</v>
      </c>
      <c r="P33" s="29">
        <v>104.57</v>
      </c>
      <c r="S33" s="28">
        <f>ROUND(ROUND(P33, 2)*I33, 2)</f>
        <v>2766.92</v>
      </c>
      <c r="V33" s="9">
        <f>ROUND(ROUND(P33, 2)/1.2, 2)</f>
        <v>87.14</v>
      </c>
      <c r="Y33" s="9">
        <f t="shared" si="6"/>
        <v>2305.77</v>
      </c>
      <c r="AD33" s="4" t="s">
        <v>132</v>
      </c>
      <c r="AE33" s="4" t="s">
        <v>133</v>
      </c>
      <c r="AF33" s="4" t="s">
        <v>99</v>
      </c>
    </row>
    <row r="34" spans="1:35" ht="18" x14ac:dyDescent="0.3">
      <c r="A34" s="10" t="s">
        <v>134</v>
      </c>
      <c r="B34" s="10"/>
      <c r="C34" s="30" t="s">
        <v>101</v>
      </c>
      <c r="D34" s="15"/>
      <c r="E34" s="15"/>
      <c r="F34" s="25" t="s">
        <v>102</v>
      </c>
      <c r="G34" s="26">
        <v>4.07</v>
      </c>
      <c r="H34" s="15"/>
      <c r="I34" s="31">
        <v>25.640999999999998</v>
      </c>
      <c r="J34" s="27">
        <v>64.56</v>
      </c>
      <c r="M34" s="28">
        <f>ROUND(ROUND(J34, 2)*I34, 2)</f>
        <v>1655.38</v>
      </c>
      <c r="P34" s="29">
        <v>64.56</v>
      </c>
      <c r="S34" s="28">
        <f>ROUND(ROUND(P34, 2)*I34, 2)</f>
        <v>1655.38</v>
      </c>
      <c r="V34" s="9">
        <f>ROUND(ROUND(P34, 2)/1.2, 2)</f>
        <v>53.8</v>
      </c>
      <c r="Y34" s="9">
        <f t="shared" si="6"/>
        <v>1379.48</v>
      </c>
      <c r="AD34" s="4" t="s">
        <v>135</v>
      </c>
      <c r="AE34" s="4" t="s">
        <v>136</v>
      </c>
      <c r="AF34" s="4" t="s">
        <v>105</v>
      </c>
    </row>
    <row r="35" spans="1:35" ht="18" x14ac:dyDescent="0.3">
      <c r="A35" s="10" t="s">
        <v>137</v>
      </c>
      <c r="B35" s="10"/>
      <c r="C35" s="30" t="s">
        <v>107</v>
      </c>
      <c r="D35" s="15"/>
      <c r="E35" s="15"/>
      <c r="F35" s="25" t="s">
        <v>102</v>
      </c>
      <c r="G35" s="26">
        <v>1.42</v>
      </c>
      <c r="H35" s="15"/>
      <c r="I35" s="31">
        <v>8.9459999999999997</v>
      </c>
      <c r="J35" s="27">
        <v>51.64</v>
      </c>
      <c r="M35" s="28">
        <f>ROUND(ROUND(J35, 2)*I35, 2)</f>
        <v>461.97</v>
      </c>
      <c r="P35" s="29">
        <v>51.63</v>
      </c>
      <c r="S35" s="28">
        <f>ROUND(ROUND(P35, 2)*I35, 2)</f>
        <v>461.88</v>
      </c>
      <c r="V35" s="9">
        <f>ROUND(ROUND(P35, 2)/1.2, 2)</f>
        <v>43.03</v>
      </c>
      <c r="Y35" s="9">
        <f t="shared" si="6"/>
        <v>384.9</v>
      </c>
      <c r="AD35" s="4" t="s">
        <v>138</v>
      </c>
      <c r="AE35" s="4" t="s">
        <v>139</v>
      </c>
      <c r="AF35" s="4" t="s">
        <v>110</v>
      </c>
    </row>
    <row r="36" spans="1:35" ht="198" x14ac:dyDescent="0.3">
      <c r="A36" s="10" t="s">
        <v>140</v>
      </c>
      <c r="B36" s="10" t="s">
        <v>84</v>
      </c>
      <c r="C36" s="14" t="s">
        <v>85</v>
      </c>
      <c r="D36" s="15"/>
      <c r="E36" s="15" t="s">
        <v>141</v>
      </c>
      <c r="F36" s="15" t="s">
        <v>62</v>
      </c>
      <c r="G36" s="16">
        <v>1</v>
      </c>
      <c r="H36" s="15"/>
      <c r="I36" s="16">
        <v>25.4</v>
      </c>
      <c r="J36" s="17">
        <v>723.04</v>
      </c>
      <c r="K36" s="18">
        <v>2293</v>
      </c>
      <c r="L36" s="17">
        <f>J36+ROUND(K36, 2)</f>
        <v>3016.04</v>
      </c>
      <c r="M36" s="17">
        <v>18365.22</v>
      </c>
      <c r="N36" s="17">
        <v>58242.2</v>
      </c>
      <c r="O36" s="17">
        <f>M36+N36</f>
        <v>76607.42</v>
      </c>
      <c r="P36" s="17">
        <v>3631.1</v>
      </c>
      <c r="Q36" s="19">
        <v>3439.5</v>
      </c>
      <c r="R36" s="17">
        <f>P36+ROUND(Q36, 2)</f>
        <v>7070.6</v>
      </c>
      <c r="S36" s="17">
        <v>92229.94</v>
      </c>
      <c r="T36" s="17">
        <v>87363.3</v>
      </c>
      <c r="U36" s="17">
        <f>S36+T36</f>
        <v>179593.24</v>
      </c>
      <c r="V36" s="9">
        <f>ROUND(P36 / 1.2, 2)</f>
        <v>3025.92</v>
      </c>
      <c r="W36" s="9">
        <f>ROUND(Q36 / 1.2, 2)</f>
        <v>2866.25</v>
      </c>
      <c r="X36" s="9">
        <f>ROUND(R36 / 1.2, 2)</f>
        <v>5892.17</v>
      </c>
      <c r="Y36" s="9">
        <f t="shared" si="6"/>
        <v>76858.28</v>
      </c>
      <c r="Z36" s="9">
        <f>ROUND(T36 / 1.2, 2)</f>
        <v>72802.75</v>
      </c>
      <c r="AA36" s="9">
        <f>Y36+Z36</f>
        <v>149661.03</v>
      </c>
      <c r="AD36" s="4">
        <v>334080587</v>
      </c>
      <c r="AE36" s="4">
        <v>27245765</v>
      </c>
      <c r="AG36" s="4" t="s">
        <v>86</v>
      </c>
      <c r="AH36" s="4" t="s">
        <v>87</v>
      </c>
      <c r="AI36" s="4" t="s">
        <v>88</v>
      </c>
    </row>
    <row r="37" spans="1:35" ht="18" x14ac:dyDescent="0.3">
      <c r="A37" s="10" t="s">
        <v>142</v>
      </c>
      <c r="B37" s="10"/>
      <c r="C37" s="30" t="s">
        <v>101</v>
      </c>
      <c r="D37" s="15"/>
      <c r="E37" s="15"/>
      <c r="F37" s="25" t="s">
        <v>102</v>
      </c>
      <c r="G37" s="26">
        <v>4.07</v>
      </c>
      <c r="H37" s="15"/>
      <c r="I37" s="31">
        <v>103.378</v>
      </c>
      <c r="J37" s="27">
        <v>64.56</v>
      </c>
      <c r="M37" s="28">
        <f>ROUND(ROUND(J37, 2)*I37, 2)</f>
        <v>6674.08</v>
      </c>
      <c r="P37" s="29">
        <v>64.56</v>
      </c>
      <c r="S37" s="28">
        <f>ROUND(ROUND(P37, 2)*I37, 2)</f>
        <v>6674.08</v>
      </c>
      <c r="V37" s="9">
        <f>ROUND(ROUND(P37, 2)/1.2, 2)</f>
        <v>53.8</v>
      </c>
      <c r="Y37" s="9">
        <f t="shared" si="6"/>
        <v>5561.73</v>
      </c>
      <c r="AD37" s="4" t="s">
        <v>143</v>
      </c>
      <c r="AE37" s="4" t="s">
        <v>144</v>
      </c>
      <c r="AF37" s="4" t="s">
        <v>105</v>
      </c>
    </row>
    <row r="38" spans="1:35" ht="18" x14ac:dyDescent="0.3">
      <c r="A38" s="10" t="s">
        <v>145</v>
      </c>
      <c r="B38" s="10"/>
      <c r="C38" s="30" t="s">
        <v>107</v>
      </c>
      <c r="D38" s="15"/>
      <c r="E38" s="15"/>
      <c r="F38" s="25" t="s">
        <v>102</v>
      </c>
      <c r="G38" s="26">
        <v>1.42</v>
      </c>
      <c r="H38" s="15"/>
      <c r="I38" s="31">
        <v>36.067999999999998</v>
      </c>
      <c r="J38" s="27">
        <v>51.64</v>
      </c>
      <c r="M38" s="28">
        <f>ROUND(ROUND(J38, 2)*I38, 2)</f>
        <v>1862.55</v>
      </c>
      <c r="P38" s="29">
        <v>51.63</v>
      </c>
      <c r="S38" s="28">
        <f>ROUND(ROUND(P38, 2)*I38, 2)</f>
        <v>1862.19</v>
      </c>
      <c r="V38" s="9">
        <f>ROUND(ROUND(P38, 2)/1.2, 2)</f>
        <v>43.03</v>
      </c>
      <c r="Y38" s="9">
        <f t="shared" si="6"/>
        <v>1551.83</v>
      </c>
      <c r="AD38" s="4" t="s">
        <v>146</v>
      </c>
      <c r="AE38" s="4" t="s">
        <v>147</v>
      </c>
      <c r="AF38" s="4" t="s">
        <v>110</v>
      </c>
    </row>
    <row r="39" spans="1:35" ht="36" x14ac:dyDescent="0.3">
      <c r="A39" s="10" t="s">
        <v>148</v>
      </c>
      <c r="B39" s="10"/>
      <c r="C39" s="24" t="s">
        <v>119</v>
      </c>
      <c r="D39" s="15"/>
      <c r="E39" s="15" t="s">
        <v>149</v>
      </c>
      <c r="F39" s="25" t="s">
        <v>62</v>
      </c>
      <c r="G39" s="26">
        <v>2.1</v>
      </c>
      <c r="H39" s="15"/>
      <c r="I39" s="26">
        <v>53.34</v>
      </c>
      <c r="J39" s="27">
        <v>135.53</v>
      </c>
      <c r="M39" s="28">
        <f>ROUND(ROUND(J39, 2)*I39, 2)</f>
        <v>7229.17</v>
      </c>
      <c r="P39" s="29">
        <v>1520.33</v>
      </c>
      <c r="S39" s="28">
        <f>ROUND(ROUND(P39, 2)*I39, 2)</f>
        <v>81094.399999999994</v>
      </c>
      <c r="V39" s="9">
        <f>ROUND(ROUND(P39, 2)/1.2, 2)</f>
        <v>1266.94</v>
      </c>
      <c r="Y39" s="9">
        <f t="shared" si="6"/>
        <v>67578.67</v>
      </c>
      <c r="AD39" s="4" t="s">
        <v>150</v>
      </c>
      <c r="AE39" s="4" t="s">
        <v>151</v>
      </c>
      <c r="AF39" s="4" t="s">
        <v>122</v>
      </c>
    </row>
    <row r="40" spans="1:35" ht="72" x14ac:dyDescent="0.3">
      <c r="A40" s="10" t="s">
        <v>152</v>
      </c>
      <c r="B40" s="10"/>
      <c r="C40" s="24" t="s">
        <v>90</v>
      </c>
      <c r="D40" s="15"/>
      <c r="E40" s="15"/>
      <c r="F40" s="25" t="s">
        <v>91</v>
      </c>
      <c r="G40" s="26">
        <v>1</v>
      </c>
      <c r="H40" s="15"/>
      <c r="I40" s="26">
        <v>25.4</v>
      </c>
      <c r="J40" s="27">
        <v>102.34</v>
      </c>
      <c r="M40" s="28">
        <f>ROUND(ROUND(J40, 2)*I40, 2)</f>
        <v>2599.44</v>
      </c>
      <c r="P40" s="29">
        <v>102.33</v>
      </c>
      <c r="S40" s="28">
        <f>ROUND(ROUND(P40, 2)*I40, 2)</f>
        <v>2599.1799999999998</v>
      </c>
      <c r="V40" s="9">
        <f>ROUND(ROUND(P40, 2)/1.2, 2)</f>
        <v>85.28</v>
      </c>
      <c r="Y40" s="9">
        <f t="shared" si="6"/>
        <v>2165.98</v>
      </c>
      <c r="AD40" s="4" t="s">
        <v>153</v>
      </c>
      <c r="AE40" s="4" t="s">
        <v>154</v>
      </c>
      <c r="AF40" s="4" t="s">
        <v>94</v>
      </c>
    </row>
    <row r="41" spans="1:35" ht="36" x14ac:dyDescent="0.3">
      <c r="A41" s="10" t="s">
        <v>155</v>
      </c>
      <c r="B41" s="10" t="s">
        <v>156</v>
      </c>
      <c r="C41" s="14" t="s">
        <v>157</v>
      </c>
      <c r="D41" s="15" t="s">
        <v>158</v>
      </c>
      <c r="E41" s="15"/>
      <c r="F41" s="15" t="s">
        <v>62</v>
      </c>
      <c r="G41" s="16">
        <v>1</v>
      </c>
      <c r="H41" s="15"/>
      <c r="I41" s="16">
        <v>0</v>
      </c>
      <c r="J41" s="17">
        <v>0</v>
      </c>
      <c r="K41" s="18">
        <v>1064</v>
      </c>
      <c r="L41" s="17">
        <f>J41+ROUND(K41, 2)</f>
        <v>1064</v>
      </c>
      <c r="M41" s="17">
        <v>0</v>
      </c>
      <c r="N41" s="17">
        <v>0</v>
      </c>
      <c r="O41" s="17">
        <f>M41+N41</f>
        <v>0</v>
      </c>
      <c r="P41" s="17">
        <v>333.37</v>
      </c>
      <c r="Q41" s="19">
        <v>1064</v>
      </c>
      <c r="R41" s="17">
        <f>P41+ROUND(Q41, 2)</f>
        <v>1397.37</v>
      </c>
      <c r="S41" s="17">
        <v>0</v>
      </c>
      <c r="T41" s="17">
        <v>0</v>
      </c>
      <c r="U41" s="17">
        <f>S41+T41</f>
        <v>0</v>
      </c>
      <c r="V41" s="9">
        <f>ROUND(P41 / 1.2, 2)</f>
        <v>277.81</v>
      </c>
      <c r="W41" s="9">
        <f>ROUND(Q41 / 1.2, 2)</f>
        <v>886.67</v>
      </c>
      <c r="X41" s="9">
        <f>ROUND(R41 / 1.2, 2)</f>
        <v>1164.48</v>
      </c>
      <c r="Y41" s="9">
        <f t="shared" si="6"/>
        <v>0</v>
      </c>
      <c r="Z41" s="9">
        <f>ROUND(T41 / 1.2, 2)</f>
        <v>0</v>
      </c>
      <c r="AA41" s="9">
        <f>Y41+Z41</f>
        <v>0</v>
      </c>
      <c r="AD41" s="4">
        <v>334080478</v>
      </c>
      <c r="AE41" s="4">
        <v>27245691</v>
      </c>
      <c r="AG41" s="4" t="s">
        <v>159</v>
      </c>
      <c r="AH41" s="4" t="s">
        <v>160</v>
      </c>
      <c r="AI41" s="4" t="s">
        <v>88</v>
      </c>
    </row>
    <row r="42" spans="1:35" ht="72" x14ac:dyDescent="0.3">
      <c r="A42" s="10" t="s">
        <v>161</v>
      </c>
      <c r="B42" s="10"/>
      <c r="C42" s="24" t="s">
        <v>162</v>
      </c>
      <c r="D42" s="15"/>
      <c r="E42" s="15"/>
      <c r="F42" s="25" t="s">
        <v>91</v>
      </c>
      <c r="G42" s="26">
        <v>1</v>
      </c>
      <c r="H42" s="15"/>
      <c r="I42" s="26">
        <v>0</v>
      </c>
      <c r="J42" s="27">
        <v>43.7</v>
      </c>
      <c r="M42" s="28">
        <f>ROUND(ROUND(J42, 2)*I42, 2)</f>
        <v>0</v>
      </c>
      <c r="P42" s="29">
        <v>43.7</v>
      </c>
      <c r="S42" s="28">
        <f>ROUND(ROUND(P42, 2)*I42, 2)</f>
        <v>0</v>
      </c>
      <c r="V42" s="9">
        <f>ROUND(ROUND(P42, 2)/1.2, 2)</f>
        <v>36.42</v>
      </c>
      <c r="Y42" s="9">
        <f t="shared" si="6"/>
        <v>0</v>
      </c>
      <c r="AD42" s="4" t="s">
        <v>163</v>
      </c>
      <c r="AE42" s="4" t="s">
        <v>164</v>
      </c>
      <c r="AF42" s="4" t="s">
        <v>165</v>
      </c>
    </row>
    <row r="43" spans="1:35" ht="36" x14ac:dyDescent="0.3">
      <c r="A43" s="10" t="s">
        <v>166</v>
      </c>
      <c r="B43" s="10"/>
      <c r="C43" s="30" t="s">
        <v>167</v>
      </c>
      <c r="D43" s="15"/>
      <c r="E43" s="15"/>
      <c r="F43" s="25" t="s">
        <v>62</v>
      </c>
      <c r="G43" s="26">
        <v>1.2</v>
      </c>
      <c r="H43" s="15"/>
      <c r="I43" s="26">
        <v>0</v>
      </c>
      <c r="J43" s="27">
        <v>104.57</v>
      </c>
      <c r="M43" s="28">
        <f>ROUND(ROUND(J43, 2)*I43, 2)</f>
        <v>0</v>
      </c>
      <c r="P43" s="29">
        <v>104.57</v>
      </c>
      <c r="S43" s="28">
        <f>ROUND(ROUND(P43, 2)*I43, 2)</f>
        <v>0</v>
      </c>
      <c r="V43" s="9">
        <f>ROUND(ROUND(P43, 2)/1.2, 2)</f>
        <v>87.14</v>
      </c>
      <c r="Y43" s="9">
        <f t="shared" si="6"/>
        <v>0</v>
      </c>
      <c r="AD43" s="4" t="s">
        <v>168</v>
      </c>
      <c r="AE43" s="4" t="s">
        <v>169</v>
      </c>
      <c r="AF43" s="4" t="s">
        <v>170</v>
      </c>
    </row>
    <row r="44" spans="1:35" ht="18" x14ac:dyDescent="0.3">
      <c r="A44" s="10" t="s">
        <v>171</v>
      </c>
      <c r="B44" s="10"/>
      <c r="C44" s="30" t="s">
        <v>101</v>
      </c>
      <c r="D44" s="15"/>
      <c r="E44" s="15"/>
      <c r="F44" s="25" t="s">
        <v>102</v>
      </c>
      <c r="G44" s="26">
        <v>2.1</v>
      </c>
      <c r="H44" s="15"/>
      <c r="I44" s="26">
        <v>0</v>
      </c>
      <c r="J44" s="27">
        <v>64.56</v>
      </c>
      <c r="M44" s="28">
        <f>ROUND(ROUND(J44, 2)*I44, 2)</f>
        <v>0</v>
      </c>
      <c r="P44" s="29">
        <v>64.56</v>
      </c>
      <c r="S44" s="28">
        <f>ROUND(ROUND(P44, 2)*I44, 2)</f>
        <v>0</v>
      </c>
      <c r="V44" s="9">
        <f>ROUND(ROUND(P44, 2)/1.2, 2)</f>
        <v>53.8</v>
      </c>
      <c r="Y44" s="9">
        <f t="shared" si="6"/>
        <v>0</v>
      </c>
      <c r="AD44" s="4" t="s">
        <v>172</v>
      </c>
      <c r="AE44" s="4" t="s">
        <v>173</v>
      </c>
      <c r="AF44" s="4" t="s">
        <v>105</v>
      </c>
    </row>
    <row r="45" spans="1:35" ht="18" x14ac:dyDescent="0.3">
      <c r="A45" s="10" t="s">
        <v>174</v>
      </c>
      <c r="B45" s="10"/>
      <c r="C45" s="24" t="s">
        <v>175</v>
      </c>
      <c r="D45" s="15"/>
      <c r="E45" s="15"/>
      <c r="F45" s="25" t="s">
        <v>102</v>
      </c>
      <c r="G45" s="26">
        <v>0.8</v>
      </c>
      <c r="H45" s="15"/>
      <c r="I45" s="26">
        <v>0</v>
      </c>
      <c r="J45" s="27">
        <v>35.76</v>
      </c>
      <c r="M45" s="28">
        <f>ROUND(ROUND(J45, 2)*I45, 2)</f>
        <v>0</v>
      </c>
      <c r="P45" s="29">
        <v>35.76</v>
      </c>
      <c r="S45" s="28">
        <f>ROUND(ROUND(P45, 2)*I45, 2)</f>
        <v>0</v>
      </c>
      <c r="V45" s="9">
        <f>ROUND(ROUND(P45, 2)/1.2, 2)</f>
        <v>29.8</v>
      </c>
      <c r="Y45" s="9">
        <f t="shared" si="6"/>
        <v>0</v>
      </c>
      <c r="AD45" s="4" t="s">
        <v>176</v>
      </c>
      <c r="AE45" s="4" t="s">
        <v>177</v>
      </c>
      <c r="AF45" s="4" t="s">
        <v>178</v>
      </c>
    </row>
    <row r="46" spans="1:35" ht="144" x14ac:dyDescent="0.3">
      <c r="A46" s="10" t="s">
        <v>179</v>
      </c>
      <c r="B46" s="10" t="s">
        <v>156</v>
      </c>
      <c r="C46" s="14" t="s">
        <v>157</v>
      </c>
      <c r="D46" s="15" t="s">
        <v>158</v>
      </c>
      <c r="E46" s="15" t="s">
        <v>180</v>
      </c>
      <c r="F46" s="15" t="s">
        <v>62</v>
      </c>
      <c r="G46" s="16">
        <v>1</v>
      </c>
      <c r="H46" s="15"/>
      <c r="I46" s="16">
        <v>45.4</v>
      </c>
      <c r="J46" s="17">
        <v>484.9</v>
      </c>
      <c r="K46" s="18">
        <v>1064</v>
      </c>
      <c r="L46" s="17">
        <f>J46+ROUND(K46, 2)</f>
        <v>1548.9</v>
      </c>
      <c r="M46" s="17">
        <v>22014.46</v>
      </c>
      <c r="N46" s="17">
        <v>48305.599999999999</v>
      </c>
      <c r="O46" s="17">
        <f>M46+N46</f>
        <v>70320.06</v>
      </c>
      <c r="P46" s="17">
        <v>484.89</v>
      </c>
      <c r="Q46" s="19">
        <v>1596</v>
      </c>
      <c r="R46" s="17">
        <f>P46+ROUND(Q46, 2)</f>
        <v>2080.89</v>
      </c>
      <c r="S46" s="17">
        <v>22014.01</v>
      </c>
      <c r="T46" s="17">
        <v>72458.399999999994</v>
      </c>
      <c r="U46" s="17">
        <f>S46+T46</f>
        <v>94472.409999999989</v>
      </c>
      <c r="V46" s="9">
        <f>ROUND(P46 / 1.2, 2)</f>
        <v>404.08</v>
      </c>
      <c r="W46" s="9">
        <f>ROUND(Q46 / 1.2, 2)</f>
        <v>1330</v>
      </c>
      <c r="X46" s="9">
        <f>ROUND(R46 / 1.2, 2)</f>
        <v>1734.08</v>
      </c>
      <c r="Y46" s="9">
        <f t="shared" si="6"/>
        <v>18345.009999999998</v>
      </c>
      <c r="Z46" s="9">
        <f>ROUND(T46 / 1.2, 2)</f>
        <v>60382</v>
      </c>
      <c r="AA46" s="9">
        <f>Y46+Z46</f>
        <v>78727.009999999995</v>
      </c>
      <c r="AD46" s="4">
        <v>334080588</v>
      </c>
      <c r="AE46" s="4">
        <v>27245766</v>
      </c>
      <c r="AG46" s="4" t="s">
        <v>159</v>
      </c>
      <c r="AH46" s="4" t="s">
        <v>160</v>
      </c>
      <c r="AI46" s="4" t="s">
        <v>88</v>
      </c>
    </row>
    <row r="47" spans="1:35" ht="18" x14ac:dyDescent="0.3">
      <c r="A47" s="10" t="s">
        <v>181</v>
      </c>
      <c r="B47" s="10"/>
      <c r="C47" s="24" t="s">
        <v>175</v>
      </c>
      <c r="D47" s="15"/>
      <c r="E47" s="15"/>
      <c r="F47" s="25" t="s">
        <v>102</v>
      </c>
      <c r="G47" s="26">
        <v>0.8</v>
      </c>
      <c r="H47" s="15"/>
      <c r="I47" s="26">
        <v>36.32</v>
      </c>
      <c r="J47" s="27">
        <v>35.76</v>
      </c>
      <c r="M47" s="28">
        <f>ROUND(ROUND(J47, 2)*I47, 2)</f>
        <v>1298.8</v>
      </c>
      <c r="P47" s="29">
        <v>35.76</v>
      </c>
      <c r="S47" s="28">
        <f>ROUND(ROUND(P47, 2)*I47, 2)</f>
        <v>1298.8</v>
      </c>
      <c r="V47" s="9">
        <f>ROUND(ROUND(P47, 2)/1.2, 2)</f>
        <v>29.8</v>
      </c>
      <c r="Y47" s="9">
        <f t="shared" si="6"/>
        <v>1082.33</v>
      </c>
      <c r="AD47" s="4" t="s">
        <v>182</v>
      </c>
      <c r="AE47" s="4" t="s">
        <v>183</v>
      </c>
      <c r="AF47" s="4" t="s">
        <v>178</v>
      </c>
    </row>
    <row r="48" spans="1:35" ht="18" x14ac:dyDescent="0.3">
      <c r="A48" s="10" t="s">
        <v>184</v>
      </c>
      <c r="B48" s="10"/>
      <c r="C48" s="30" t="s">
        <v>107</v>
      </c>
      <c r="D48" s="15"/>
      <c r="E48" s="15"/>
      <c r="F48" s="25" t="s">
        <v>102</v>
      </c>
      <c r="G48" s="26">
        <v>0.8</v>
      </c>
      <c r="H48" s="15"/>
      <c r="I48" s="26">
        <v>36.32</v>
      </c>
      <c r="J48" s="27">
        <v>51.64</v>
      </c>
      <c r="M48" s="28">
        <f>ROUND(ROUND(J48, 2)*I48, 2)</f>
        <v>1875.56</v>
      </c>
      <c r="P48" s="29">
        <v>51.63</v>
      </c>
      <c r="S48" s="28">
        <f>ROUND(ROUND(P48, 2)*I48, 2)</f>
        <v>1875.2</v>
      </c>
      <c r="V48" s="9">
        <f>ROUND(ROUND(P48, 2)/1.2, 2)</f>
        <v>43.03</v>
      </c>
      <c r="Y48" s="9">
        <f t="shared" si="6"/>
        <v>1562.67</v>
      </c>
      <c r="AD48" s="4" t="s">
        <v>185</v>
      </c>
      <c r="AE48" s="4" t="s">
        <v>186</v>
      </c>
      <c r="AF48" s="4" t="s">
        <v>110</v>
      </c>
    </row>
    <row r="49" spans="1:35" ht="18" x14ac:dyDescent="0.3">
      <c r="A49" s="10" t="s">
        <v>187</v>
      </c>
      <c r="B49" s="10"/>
      <c r="C49" s="30" t="s">
        <v>188</v>
      </c>
      <c r="D49" s="15"/>
      <c r="E49" s="15"/>
      <c r="F49" s="25" t="s">
        <v>62</v>
      </c>
      <c r="G49" s="26">
        <v>1.2</v>
      </c>
      <c r="H49" s="15"/>
      <c r="I49" s="26">
        <v>54.48</v>
      </c>
      <c r="J49" s="27">
        <v>309.39999999999998</v>
      </c>
      <c r="M49" s="28">
        <f>ROUND(ROUND(J49, 2)*I49, 2)</f>
        <v>16856.11</v>
      </c>
      <c r="P49" s="29">
        <v>309.39999999999998</v>
      </c>
      <c r="S49" s="28">
        <f>ROUND(ROUND(P49, 2)*I49, 2)</f>
        <v>16856.11</v>
      </c>
      <c r="V49" s="9">
        <f>ROUND(ROUND(P49, 2)/1.2, 2)</f>
        <v>257.83</v>
      </c>
      <c r="Y49" s="9">
        <f t="shared" si="6"/>
        <v>14046.76</v>
      </c>
      <c r="AD49" s="4" t="s">
        <v>189</v>
      </c>
      <c r="AE49" s="4" t="s">
        <v>190</v>
      </c>
      <c r="AF49" s="4" t="s">
        <v>191</v>
      </c>
    </row>
    <row r="50" spans="1:35" ht="72" x14ac:dyDescent="0.3">
      <c r="A50" s="10" t="s">
        <v>192</v>
      </c>
      <c r="B50" s="10"/>
      <c r="C50" s="24" t="s">
        <v>162</v>
      </c>
      <c r="D50" s="15"/>
      <c r="E50" s="15"/>
      <c r="F50" s="25" t="s">
        <v>91</v>
      </c>
      <c r="G50" s="26">
        <v>1</v>
      </c>
      <c r="H50" s="15"/>
      <c r="I50" s="26">
        <v>45.4</v>
      </c>
      <c r="J50" s="27">
        <v>43.7</v>
      </c>
      <c r="M50" s="28">
        <f>ROUND(ROUND(J50, 2)*I50, 2)</f>
        <v>1983.98</v>
      </c>
      <c r="P50" s="29">
        <v>43.7</v>
      </c>
      <c r="S50" s="28">
        <f>ROUND(ROUND(P50, 2)*I50, 2)</f>
        <v>1983.98</v>
      </c>
      <c r="V50" s="9">
        <f>ROUND(ROUND(P50, 2)/1.2, 2)</f>
        <v>36.42</v>
      </c>
      <c r="Y50" s="9">
        <f t="shared" si="6"/>
        <v>1653.32</v>
      </c>
      <c r="AD50" s="4" t="s">
        <v>193</v>
      </c>
      <c r="AE50" s="4" t="s">
        <v>194</v>
      </c>
      <c r="AF50" s="4" t="s">
        <v>165</v>
      </c>
    </row>
    <row r="51" spans="1:35" ht="36" x14ac:dyDescent="0.3">
      <c r="A51" s="10" t="s">
        <v>195</v>
      </c>
      <c r="B51" s="10" t="s">
        <v>196</v>
      </c>
      <c r="C51" s="14" t="s">
        <v>197</v>
      </c>
      <c r="D51" s="15" t="s">
        <v>158</v>
      </c>
      <c r="E51" s="15"/>
      <c r="F51" s="15" t="s">
        <v>62</v>
      </c>
      <c r="G51" s="16">
        <v>1</v>
      </c>
      <c r="H51" s="15"/>
      <c r="I51" s="16">
        <v>0</v>
      </c>
      <c r="J51" s="17">
        <v>0</v>
      </c>
      <c r="K51" s="18">
        <v>1225</v>
      </c>
      <c r="L51" s="17">
        <f>J51+ROUND(K51, 2)</f>
        <v>1225</v>
      </c>
      <c r="M51" s="17">
        <v>0</v>
      </c>
      <c r="N51" s="17">
        <v>0</v>
      </c>
      <c r="O51" s="17">
        <f>M51+N51</f>
        <v>0</v>
      </c>
      <c r="P51" s="17">
        <v>518.09</v>
      </c>
      <c r="Q51" s="19">
        <v>1225</v>
      </c>
      <c r="R51" s="17">
        <f>P51+ROUND(Q51, 2)</f>
        <v>1743.0900000000001</v>
      </c>
      <c r="S51" s="17">
        <v>0</v>
      </c>
      <c r="T51" s="17">
        <v>0</v>
      </c>
      <c r="U51" s="17">
        <f>S51+T51</f>
        <v>0</v>
      </c>
      <c r="V51" s="9">
        <f>ROUND(P51 / 1.2, 2)</f>
        <v>431.74</v>
      </c>
      <c r="W51" s="9">
        <f>ROUND(Q51 / 1.2, 2)</f>
        <v>1020.83</v>
      </c>
      <c r="X51" s="9">
        <f>ROUND(R51 / 1.2, 2)</f>
        <v>1452.58</v>
      </c>
      <c r="Y51" s="9">
        <f t="shared" si="6"/>
        <v>0</v>
      </c>
      <c r="Z51" s="9">
        <f>ROUND(T51 / 1.2, 2)</f>
        <v>0</v>
      </c>
      <c r="AA51" s="9">
        <f>Y51+Z51</f>
        <v>0</v>
      </c>
      <c r="AD51" s="4">
        <v>334080479</v>
      </c>
      <c r="AE51" s="4">
        <v>27245718</v>
      </c>
      <c r="AG51" s="4" t="s">
        <v>198</v>
      </c>
      <c r="AH51" s="4" t="s">
        <v>199</v>
      </c>
      <c r="AI51" s="4" t="s">
        <v>88</v>
      </c>
    </row>
    <row r="52" spans="1:35" ht="72" x14ac:dyDescent="0.3">
      <c r="A52" s="10" t="s">
        <v>200</v>
      </c>
      <c r="B52" s="10"/>
      <c r="C52" s="24" t="s">
        <v>201</v>
      </c>
      <c r="D52" s="15"/>
      <c r="E52" s="15"/>
      <c r="F52" s="25" t="s">
        <v>91</v>
      </c>
      <c r="G52" s="26">
        <v>1</v>
      </c>
      <c r="H52" s="15"/>
      <c r="I52" s="26">
        <v>0</v>
      </c>
      <c r="J52" s="27">
        <v>111.15</v>
      </c>
      <c r="M52" s="28">
        <f>ROUND(ROUND(J52, 2)*I52, 2)</f>
        <v>0</v>
      </c>
      <c r="P52" s="29">
        <v>111.15</v>
      </c>
      <c r="S52" s="28">
        <f>ROUND(ROUND(P52, 2)*I52, 2)</f>
        <v>0</v>
      </c>
      <c r="V52" s="9">
        <f>ROUND(ROUND(P52, 2)/1.2, 2)</f>
        <v>92.63</v>
      </c>
      <c r="Y52" s="9">
        <f t="shared" si="6"/>
        <v>0</v>
      </c>
      <c r="AD52" s="4" t="s">
        <v>202</v>
      </c>
      <c r="AE52" s="4" t="s">
        <v>203</v>
      </c>
      <c r="AF52" s="4" t="s">
        <v>204</v>
      </c>
    </row>
    <row r="53" spans="1:35" ht="36" x14ac:dyDescent="0.3">
      <c r="A53" s="10" t="s">
        <v>205</v>
      </c>
      <c r="B53" s="10"/>
      <c r="C53" s="30" t="s">
        <v>96</v>
      </c>
      <c r="D53" s="15"/>
      <c r="E53" s="15"/>
      <c r="F53" s="25" t="s">
        <v>62</v>
      </c>
      <c r="G53" s="26">
        <v>2.2000000000000002</v>
      </c>
      <c r="H53" s="15"/>
      <c r="I53" s="26">
        <v>0</v>
      </c>
      <c r="J53" s="27">
        <v>104.57</v>
      </c>
      <c r="M53" s="28">
        <f>ROUND(ROUND(J53, 2)*I53, 2)</f>
        <v>0</v>
      </c>
      <c r="P53" s="29">
        <v>104.57</v>
      </c>
      <c r="S53" s="28">
        <f>ROUND(ROUND(P53, 2)*I53, 2)</f>
        <v>0</v>
      </c>
      <c r="V53" s="9">
        <f>ROUND(ROUND(P53, 2)/1.2, 2)</f>
        <v>87.14</v>
      </c>
      <c r="Y53" s="9">
        <f t="shared" si="6"/>
        <v>0</v>
      </c>
      <c r="AD53" s="4" t="s">
        <v>206</v>
      </c>
      <c r="AE53" s="4" t="s">
        <v>207</v>
      </c>
      <c r="AF53" s="4" t="s">
        <v>208</v>
      </c>
    </row>
    <row r="54" spans="1:35" ht="18" x14ac:dyDescent="0.3">
      <c r="A54" s="10" t="s">
        <v>209</v>
      </c>
      <c r="B54" s="10"/>
      <c r="C54" s="30" t="s">
        <v>101</v>
      </c>
      <c r="D54" s="15"/>
      <c r="E54" s="15"/>
      <c r="F54" s="25" t="s">
        <v>102</v>
      </c>
      <c r="G54" s="26">
        <v>2.1</v>
      </c>
      <c r="H54" s="15"/>
      <c r="I54" s="26">
        <v>0</v>
      </c>
      <c r="J54" s="27">
        <v>64.56</v>
      </c>
      <c r="M54" s="28">
        <f>ROUND(ROUND(J54, 2)*I54, 2)</f>
        <v>0</v>
      </c>
      <c r="P54" s="29">
        <v>64.56</v>
      </c>
      <c r="S54" s="28">
        <f>ROUND(ROUND(P54, 2)*I54, 2)</f>
        <v>0</v>
      </c>
      <c r="V54" s="9">
        <f>ROUND(ROUND(P54, 2)/1.2, 2)</f>
        <v>53.8</v>
      </c>
      <c r="Y54" s="9">
        <f t="shared" si="6"/>
        <v>0</v>
      </c>
      <c r="AD54" s="4" t="s">
        <v>210</v>
      </c>
      <c r="AE54" s="4" t="s">
        <v>211</v>
      </c>
      <c r="AF54" s="4" t="s">
        <v>105</v>
      </c>
    </row>
    <row r="55" spans="1:35" ht="18" x14ac:dyDescent="0.3">
      <c r="A55" s="10" t="s">
        <v>212</v>
      </c>
      <c r="B55" s="10"/>
      <c r="C55" s="30" t="s">
        <v>107</v>
      </c>
      <c r="D55" s="15"/>
      <c r="E55" s="15"/>
      <c r="F55" s="25" t="s">
        <v>102</v>
      </c>
      <c r="G55" s="26">
        <v>0.8</v>
      </c>
      <c r="H55" s="15"/>
      <c r="I55" s="26">
        <v>0</v>
      </c>
      <c r="J55" s="27">
        <v>51.63</v>
      </c>
      <c r="M55" s="28">
        <f>ROUND(ROUND(J55, 2)*I55, 2)</f>
        <v>0</v>
      </c>
      <c r="P55" s="29">
        <v>51.63</v>
      </c>
      <c r="S55" s="28">
        <f>ROUND(ROUND(P55, 2)*I55, 2)</f>
        <v>0</v>
      </c>
      <c r="V55" s="9">
        <f>ROUND(ROUND(P55, 2)/1.2, 2)</f>
        <v>43.03</v>
      </c>
      <c r="Y55" s="9">
        <f t="shared" si="6"/>
        <v>0</v>
      </c>
      <c r="AD55" s="4" t="s">
        <v>213</v>
      </c>
      <c r="AE55" s="4" t="s">
        <v>214</v>
      </c>
      <c r="AF55" s="4" t="s">
        <v>110</v>
      </c>
    </row>
    <row r="56" spans="1:35" ht="108" x14ac:dyDescent="0.3">
      <c r="A56" s="10" t="s">
        <v>215</v>
      </c>
      <c r="B56" s="10" t="s">
        <v>196</v>
      </c>
      <c r="C56" s="14" t="s">
        <v>197</v>
      </c>
      <c r="D56" s="15" t="s">
        <v>158</v>
      </c>
      <c r="E56" s="15" t="s">
        <v>216</v>
      </c>
      <c r="F56" s="15" t="s">
        <v>62</v>
      </c>
      <c r="G56" s="16">
        <v>1</v>
      </c>
      <c r="H56" s="15"/>
      <c r="I56" s="16">
        <v>6.4</v>
      </c>
      <c r="J56" s="17">
        <v>518.1</v>
      </c>
      <c r="K56" s="18">
        <v>1225</v>
      </c>
      <c r="L56" s="17">
        <f>J56+ROUND(K56, 2)</f>
        <v>1743.1</v>
      </c>
      <c r="M56" s="17">
        <v>3315.84</v>
      </c>
      <c r="N56" s="17">
        <v>7840</v>
      </c>
      <c r="O56" s="17">
        <f>M56+N56</f>
        <v>11155.84</v>
      </c>
      <c r="P56" s="17">
        <v>518.09</v>
      </c>
      <c r="Q56" s="19">
        <v>1837.5</v>
      </c>
      <c r="R56" s="17">
        <f>P56+ROUND(Q56, 2)</f>
        <v>2355.59</v>
      </c>
      <c r="S56" s="17">
        <v>3315.78</v>
      </c>
      <c r="T56" s="17">
        <v>11760</v>
      </c>
      <c r="U56" s="17">
        <f>S56+T56</f>
        <v>15075.78</v>
      </c>
      <c r="V56" s="9">
        <f>ROUND(P56 / 1.2, 2)</f>
        <v>431.74</v>
      </c>
      <c r="W56" s="9">
        <f>ROUND(Q56 / 1.2, 2)</f>
        <v>1531.25</v>
      </c>
      <c r="X56" s="9">
        <f>ROUND(R56 / 1.2, 2)</f>
        <v>1962.99</v>
      </c>
      <c r="Y56" s="9">
        <f t="shared" si="6"/>
        <v>2763.15</v>
      </c>
      <c r="Z56" s="9">
        <f>ROUND(T56 / 1.2, 2)</f>
        <v>9800</v>
      </c>
      <c r="AA56" s="9">
        <f>Y56+Z56</f>
        <v>12563.15</v>
      </c>
      <c r="AD56" s="4">
        <v>334080589</v>
      </c>
      <c r="AE56" s="4">
        <v>27245767</v>
      </c>
      <c r="AG56" s="4" t="s">
        <v>198</v>
      </c>
      <c r="AH56" s="4" t="s">
        <v>199</v>
      </c>
      <c r="AI56" s="4" t="s">
        <v>88</v>
      </c>
    </row>
    <row r="57" spans="1:35" ht="18" x14ac:dyDescent="0.3">
      <c r="A57" s="10" t="s">
        <v>217</v>
      </c>
      <c r="B57" s="10"/>
      <c r="C57" s="30" t="s">
        <v>101</v>
      </c>
      <c r="D57" s="15"/>
      <c r="E57" s="15"/>
      <c r="F57" s="25" t="s">
        <v>102</v>
      </c>
      <c r="G57" s="26">
        <v>2.1</v>
      </c>
      <c r="H57" s="15"/>
      <c r="I57" s="26">
        <v>13.44</v>
      </c>
      <c r="J57" s="27">
        <v>64.56</v>
      </c>
      <c r="M57" s="28">
        <f>ROUND(ROUND(J57, 2)*I57, 2)</f>
        <v>867.69</v>
      </c>
      <c r="P57" s="29">
        <v>64.56</v>
      </c>
      <c r="S57" s="28">
        <f>ROUND(ROUND(P57, 2)*I57, 2)</f>
        <v>867.69</v>
      </c>
      <c r="V57" s="9">
        <f>ROUND(ROUND(P57, 2)/1.2, 2)</f>
        <v>53.8</v>
      </c>
      <c r="Y57" s="9">
        <f t="shared" si="6"/>
        <v>723.08</v>
      </c>
      <c r="AD57" s="4" t="s">
        <v>218</v>
      </c>
      <c r="AE57" s="4" t="s">
        <v>219</v>
      </c>
      <c r="AF57" s="4" t="s">
        <v>105</v>
      </c>
    </row>
    <row r="58" spans="1:35" ht="18" x14ac:dyDescent="0.3">
      <c r="A58" s="10" t="s">
        <v>220</v>
      </c>
      <c r="B58" s="10"/>
      <c r="C58" s="30" t="s">
        <v>107</v>
      </c>
      <c r="D58" s="15"/>
      <c r="E58" s="15"/>
      <c r="F58" s="25" t="s">
        <v>102</v>
      </c>
      <c r="G58" s="26">
        <v>0.8</v>
      </c>
      <c r="H58" s="15"/>
      <c r="I58" s="26">
        <v>5.12</v>
      </c>
      <c r="J58" s="27">
        <v>51.64</v>
      </c>
      <c r="M58" s="28">
        <f>ROUND(ROUND(J58, 2)*I58, 2)</f>
        <v>264.39999999999998</v>
      </c>
      <c r="P58" s="29">
        <v>51.63</v>
      </c>
      <c r="S58" s="28">
        <f>ROUND(ROUND(P58, 2)*I58, 2)</f>
        <v>264.35000000000002</v>
      </c>
      <c r="V58" s="9">
        <f>ROUND(ROUND(P58, 2)/1.2, 2)</f>
        <v>43.03</v>
      </c>
      <c r="Y58" s="9">
        <f t="shared" si="6"/>
        <v>220.29</v>
      </c>
      <c r="AD58" s="4" t="s">
        <v>221</v>
      </c>
      <c r="AE58" s="4" t="s">
        <v>222</v>
      </c>
      <c r="AF58" s="4" t="s">
        <v>110</v>
      </c>
    </row>
    <row r="59" spans="1:35" ht="36" x14ac:dyDescent="0.3">
      <c r="A59" s="10" t="s">
        <v>223</v>
      </c>
      <c r="B59" s="10"/>
      <c r="C59" s="30" t="s">
        <v>96</v>
      </c>
      <c r="D59" s="15"/>
      <c r="E59" s="15"/>
      <c r="F59" s="25" t="s">
        <v>62</v>
      </c>
      <c r="G59" s="26">
        <v>2.2000000000000002</v>
      </c>
      <c r="H59" s="15"/>
      <c r="I59" s="26">
        <v>14.08</v>
      </c>
      <c r="J59" s="27">
        <v>104.57</v>
      </c>
      <c r="M59" s="28">
        <f>ROUND(ROUND(J59, 2)*I59, 2)</f>
        <v>1472.35</v>
      </c>
      <c r="P59" s="29">
        <v>104.57</v>
      </c>
      <c r="S59" s="28">
        <f>ROUND(ROUND(P59, 2)*I59, 2)</f>
        <v>1472.35</v>
      </c>
      <c r="V59" s="9">
        <f>ROUND(ROUND(P59, 2)/1.2, 2)</f>
        <v>87.14</v>
      </c>
      <c r="Y59" s="9">
        <f t="shared" si="6"/>
        <v>1226.96</v>
      </c>
      <c r="AD59" s="4" t="s">
        <v>224</v>
      </c>
      <c r="AE59" s="4" t="s">
        <v>225</v>
      </c>
      <c r="AF59" s="4" t="s">
        <v>208</v>
      </c>
    </row>
    <row r="60" spans="1:35" ht="72" x14ac:dyDescent="0.3">
      <c r="A60" s="10" t="s">
        <v>226</v>
      </c>
      <c r="B60" s="10"/>
      <c r="C60" s="24" t="s">
        <v>201</v>
      </c>
      <c r="D60" s="15"/>
      <c r="E60" s="15"/>
      <c r="F60" s="25" t="s">
        <v>91</v>
      </c>
      <c r="G60" s="26">
        <v>1</v>
      </c>
      <c r="H60" s="15"/>
      <c r="I60" s="26">
        <v>6.4</v>
      </c>
      <c r="J60" s="27">
        <v>111.16</v>
      </c>
      <c r="M60" s="28">
        <f>ROUND(ROUND(J60, 2)*I60, 2)</f>
        <v>711.42</v>
      </c>
      <c r="P60" s="29">
        <v>111.15</v>
      </c>
      <c r="S60" s="28">
        <f>ROUND(ROUND(P60, 2)*I60, 2)</f>
        <v>711.36</v>
      </c>
      <c r="V60" s="9">
        <f>ROUND(ROUND(P60, 2)/1.2, 2)</f>
        <v>92.63</v>
      </c>
      <c r="Y60" s="9">
        <f t="shared" si="6"/>
        <v>592.79999999999995</v>
      </c>
      <c r="AD60" s="4" t="s">
        <v>227</v>
      </c>
      <c r="AE60" s="4" t="s">
        <v>228</v>
      </c>
      <c r="AF60" s="4" t="s">
        <v>204</v>
      </c>
    </row>
    <row r="61" spans="1:35" ht="16.95" customHeight="1" x14ac:dyDescent="0.3">
      <c r="A61" s="10" t="s">
        <v>229</v>
      </c>
      <c r="B61" s="10" t="s">
        <v>230</v>
      </c>
      <c r="C61" s="91" t="s">
        <v>231</v>
      </c>
      <c r="D61" s="92"/>
      <c r="E61" s="92"/>
      <c r="F61" s="92"/>
      <c r="G61" s="92"/>
      <c r="H61" s="92"/>
      <c r="I61" s="93"/>
      <c r="M61" s="6">
        <f t="shared" ref="M61:O62" si="7">SUM(M62)</f>
        <v>48466927.140000001</v>
      </c>
      <c r="N61" s="6">
        <f t="shared" si="7"/>
        <v>85247914.540000007</v>
      </c>
      <c r="O61" s="6">
        <f t="shared" si="7"/>
        <v>133714841.67999999</v>
      </c>
      <c r="S61" s="6">
        <f t="shared" ref="S61:U62" si="8">SUM(S62)</f>
        <v>60448129.980000012</v>
      </c>
      <c r="T61" s="6">
        <f t="shared" si="8"/>
        <v>125333709.64000002</v>
      </c>
      <c r="U61" s="6">
        <f t="shared" si="8"/>
        <v>185781839.61999997</v>
      </c>
      <c r="Y61" s="9">
        <f t="shared" ref="Y61:AA62" si="9">SUM(Y62)</f>
        <v>50373441.780000001</v>
      </c>
      <c r="Z61" s="9">
        <f t="shared" si="9"/>
        <v>104444758.23</v>
      </c>
      <c r="AA61" s="9">
        <f t="shared" si="9"/>
        <v>154818200.00999999</v>
      </c>
      <c r="AD61" s="4">
        <v>334080480</v>
      </c>
      <c r="AE61" s="4">
        <v>27245637</v>
      </c>
    </row>
    <row r="62" spans="1:35" ht="16.95" customHeight="1" x14ac:dyDescent="0.3">
      <c r="A62" s="10" t="s">
        <v>232</v>
      </c>
      <c r="B62" s="10" t="s">
        <v>233</v>
      </c>
      <c r="C62" s="91" t="s">
        <v>234</v>
      </c>
      <c r="D62" s="92"/>
      <c r="E62" s="92"/>
      <c r="F62" s="92"/>
      <c r="G62" s="92"/>
      <c r="H62" s="92"/>
      <c r="I62" s="93"/>
      <c r="M62" s="6">
        <f t="shared" si="7"/>
        <v>48466927.140000001</v>
      </c>
      <c r="N62" s="6">
        <f t="shared" si="7"/>
        <v>85247914.540000007</v>
      </c>
      <c r="O62" s="6">
        <f t="shared" si="7"/>
        <v>133714841.67999999</v>
      </c>
      <c r="S62" s="6">
        <f t="shared" si="8"/>
        <v>60448129.980000012</v>
      </c>
      <c r="T62" s="6">
        <f t="shared" si="8"/>
        <v>125333709.64000002</v>
      </c>
      <c r="U62" s="6">
        <f t="shared" si="8"/>
        <v>185781839.61999997</v>
      </c>
      <c r="Y62" s="9">
        <f t="shared" si="9"/>
        <v>50373441.780000001</v>
      </c>
      <c r="Z62" s="9">
        <f t="shared" si="9"/>
        <v>104444758.23</v>
      </c>
      <c r="AA62" s="9">
        <f t="shared" si="9"/>
        <v>154818200.00999999</v>
      </c>
      <c r="AD62" s="4">
        <v>334080481</v>
      </c>
      <c r="AE62" s="4">
        <v>27245644</v>
      </c>
    </row>
    <row r="63" spans="1:35" ht="16.95" customHeight="1" x14ac:dyDescent="0.3">
      <c r="A63" s="10" t="s">
        <v>235</v>
      </c>
      <c r="B63" s="10" t="s">
        <v>236</v>
      </c>
      <c r="C63" s="91" t="s">
        <v>237</v>
      </c>
      <c r="D63" s="92"/>
      <c r="E63" s="92"/>
      <c r="F63" s="92"/>
      <c r="G63" s="92"/>
      <c r="H63" s="92"/>
      <c r="I63" s="93"/>
      <c r="M63" s="6">
        <f>SUM(M64,M448,M790,M871,M972,M977)</f>
        <v>48466927.140000001</v>
      </c>
      <c r="N63" s="6">
        <f>SUM(N64,N448,N790,N871,N972,N977)</f>
        <v>85247914.540000007</v>
      </c>
      <c r="O63" s="6">
        <f>SUM(O64,O448,O790,O871,O972,O977)</f>
        <v>133714841.67999999</v>
      </c>
      <c r="S63" s="6">
        <f>SUM(S64,S448,S790,S871,S972,S977)</f>
        <v>60448129.980000012</v>
      </c>
      <c r="T63" s="6">
        <f>SUM(T64,T448,T790,T871,T972,T977)</f>
        <v>125333709.64000002</v>
      </c>
      <c r="U63" s="6">
        <f>SUM(U64,U448,U790,U871,U972,U977)</f>
        <v>185781839.61999997</v>
      </c>
      <c r="Y63" s="9">
        <f>SUM(Y64,Y448,Y790,Y871,Y972,Y977)</f>
        <v>50373441.780000001</v>
      </c>
      <c r="Z63" s="9">
        <f>SUM(Z64,Z448,Z790,Z871,Z972,Z977)</f>
        <v>104444758.23</v>
      </c>
      <c r="AA63" s="9">
        <f>SUM(AA64,AA448,AA790,AA871,AA972,AA977)</f>
        <v>154818200.00999999</v>
      </c>
      <c r="AD63" s="4">
        <v>334080482</v>
      </c>
      <c r="AE63" s="4">
        <v>27245702</v>
      </c>
    </row>
    <row r="64" spans="1:35" ht="16.95" customHeight="1" x14ac:dyDescent="0.3">
      <c r="A64" s="10" t="s">
        <v>238</v>
      </c>
      <c r="B64" s="10" t="s">
        <v>239</v>
      </c>
      <c r="C64" s="91" t="s">
        <v>240</v>
      </c>
      <c r="D64" s="92"/>
      <c r="E64" s="92"/>
      <c r="F64" s="92"/>
      <c r="G64" s="92"/>
      <c r="H64" s="92"/>
      <c r="I64" s="93"/>
      <c r="M64" s="6">
        <f>SUM(M65,M96,M117,M441)</f>
        <v>23989256.77</v>
      </c>
      <c r="N64" s="6">
        <f>SUM(N65,N96,N117,N441)</f>
        <v>26065212.199999996</v>
      </c>
      <c r="O64" s="6">
        <f>SUM(O65,O96,O117,O441)</f>
        <v>50054468.969999999</v>
      </c>
      <c r="S64" s="6">
        <f>SUM(S65,S96,S117,S441)</f>
        <v>30980274.400000002</v>
      </c>
      <c r="T64" s="6">
        <f>SUM(T65,T96,T117,T441)</f>
        <v>39089205.550000004</v>
      </c>
      <c r="U64" s="6">
        <f>SUM(U65,U96,U117,U441)</f>
        <v>70069479.950000003</v>
      </c>
      <c r="Y64" s="9">
        <f>SUM(Y65,Y96,Y117,Y441)</f>
        <v>25816895.370000001</v>
      </c>
      <c r="Z64" s="9">
        <f>SUM(Z65,Z96,Z117,Z441)</f>
        <v>32574338.059999999</v>
      </c>
      <c r="AA64" s="9">
        <f>SUM(AA65,AA96,AA117,AA441)</f>
        <v>58391233.430000015</v>
      </c>
      <c r="AD64" s="4">
        <v>334080483</v>
      </c>
      <c r="AE64" s="4">
        <v>27245715</v>
      </c>
    </row>
    <row r="65" spans="1:35" ht="16.95" customHeight="1" x14ac:dyDescent="0.3">
      <c r="A65" s="11" t="s">
        <v>241</v>
      </c>
      <c r="B65" s="11" t="s">
        <v>242</v>
      </c>
      <c r="C65" s="94" t="s">
        <v>243</v>
      </c>
      <c r="D65" s="95"/>
      <c r="E65" s="95"/>
      <c r="F65" s="95"/>
      <c r="G65" s="95"/>
      <c r="H65" s="95"/>
      <c r="I65" s="96"/>
      <c r="J65" s="12"/>
      <c r="K65" s="12"/>
      <c r="L65" s="12"/>
      <c r="M65" s="13">
        <f>SUM(M66,M67,M68,M70,M72,M74,M79,M84,M88,M92)</f>
        <v>884634.92999999993</v>
      </c>
      <c r="N65" s="13">
        <f>SUM(N66,N67,N68,N70,N72,N74,N79,N84,N88,N92)</f>
        <v>4411583.08</v>
      </c>
      <c r="O65" s="13">
        <f>SUM(O66,O67,O68,O70,O72,O74,O79,O84,O88,O92)</f>
        <v>5296218.01</v>
      </c>
      <c r="P65" s="12"/>
      <c r="Q65" s="12"/>
      <c r="R65" s="12"/>
      <c r="S65" s="13">
        <f>SUM(S66,S67,S68,S70,S72,S74,S79,S84,S88,S92)</f>
        <v>909375.22</v>
      </c>
      <c r="T65" s="13">
        <f>SUM(T66,T67,T68,T70,T72,T74,T79,T84,T88,T92)</f>
        <v>6617374.620000001</v>
      </c>
      <c r="U65" s="13">
        <f>SUM(U66,U67,U68,U70,U72,U74,U79,U84,U88,U92)</f>
        <v>7526749.8399999999</v>
      </c>
      <c r="Y65" s="9">
        <f>SUM(Y66,Y67,Y68,Y70,Y72,Y74,Y79,Y84,Y88,Y92)</f>
        <v>757812.69</v>
      </c>
      <c r="Z65" s="9">
        <f>SUM(Z66,Z67,Z68,Z70,Z72,Z74,Z79,Z84,Z88,Z92)</f>
        <v>5514478.8699999992</v>
      </c>
      <c r="AA65" s="9">
        <f>SUM(AA66,AA67,AA68,AA70,AA72,AA74,AA79,AA84,AA88,AA92)</f>
        <v>6272291.5600000005</v>
      </c>
      <c r="AD65" s="4">
        <v>334080484</v>
      </c>
      <c r="AE65" s="4">
        <v>29196649</v>
      </c>
    </row>
    <row r="66" spans="1:35" ht="54" x14ac:dyDescent="0.3">
      <c r="A66" s="11" t="s">
        <v>244</v>
      </c>
      <c r="B66" s="11" t="s">
        <v>245</v>
      </c>
      <c r="C66" s="20" t="s">
        <v>246</v>
      </c>
      <c r="D66" s="21"/>
      <c r="E66" s="21" t="s">
        <v>247</v>
      </c>
      <c r="F66" s="21" t="s">
        <v>62</v>
      </c>
      <c r="G66" s="22">
        <v>1</v>
      </c>
      <c r="H66" s="21"/>
      <c r="I66" s="22">
        <v>1827.2</v>
      </c>
      <c r="J66" s="23">
        <v>0</v>
      </c>
      <c r="K66" s="23">
        <v>270</v>
      </c>
      <c r="L66" s="23">
        <f>J66+ROUND(K66, 2)</f>
        <v>270</v>
      </c>
      <c r="M66" s="23">
        <v>0</v>
      </c>
      <c r="N66" s="23">
        <f>ROUND(I66*ROUND(K66, 2), 2)</f>
        <v>493344</v>
      </c>
      <c r="O66" s="23">
        <f>M66+N66</f>
        <v>493344</v>
      </c>
      <c r="P66" s="23">
        <v>0</v>
      </c>
      <c r="Q66" s="23">
        <v>405</v>
      </c>
      <c r="R66" s="23">
        <f>P66+ROUND(Q66, 2)</f>
        <v>405</v>
      </c>
      <c r="S66" s="23">
        <v>0</v>
      </c>
      <c r="T66" s="23">
        <f>ROUND(I66*ROUND(Q66, 2), 2)</f>
        <v>740016</v>
      </c>
      <c r="U66" s="23">
        <f>S66+T66</f>
        <v>740016</v>
      </c>
      <c r="V66" s="9"/>
      <c r="W66" s="9">
        <f t="shared" ref="W66:X68" si="10">ROUND(Q66 / 1.2, 2)</f>
        <v>337.5</v>
      </c>
      <c r="X66" s="9">
        <f t="shared" si="10"/>
        <v>337.5</v>
      </c>
      <c r="Y66" s="9"/>
      <c r="Z66" s="9">
        <f>ROUND(T66 / 1.2, 2)</f>
        <v>616680</v>
      </c>
      <c r="AA66" s="9">
        <f>Y66+Z66</f>
        <v>616680</v>
      </c>
      <c r="AD66" s="4">
        <v>334080486</v>
      </c>
      <c r="AE66" s="4">
        <v>29196679</v>
      </c>
      <c r="AG66" s="4" t="s">
        <v>248</v>
      </c>
      <c r="AH66" s="4" t="s">
        <v>249</v>
      </c>
      <c r="AI66" s="4" t="s">
        <v>250</v>
      </c>
    </row>
    <row r="67" spans="1:35" ht="18" x14ac:dyDescent="0.3">
      <c r="A67" s="11" t="s">
        <v>251</v>
      </c>
      <c r="B67" s="11" t="s">
        <v>245</v>
      </c>
      <c r="C67" s="20" t="s">
        <v>246</v>
      </c>
      <c r="D67" s="21"/>
      <c r="E67" s="21" t="s">
        <v>252</v>
      </c>
      <c r="F67" s="21" t="s">
        <v>62</v>
      </c>
      <c r="G67" s="22">
        <v>1</v>
      </c>
      <c r="H67" s="21"/>
      <c r="I67" s="22">
        <v>4193.6000000000004</v>
      </c>
      <c r="J67" s="23">
        <v>0</v>
      </c>
      <c r="K67" s="23">
        <v>270</v>
      </c>
      <c r="L67" s="23">
        <f>J67+ROUND(K67, 2)</f>
        <v>270</v>
      </c>
      <c r="M67" s="23">
        <v>0</v>
      </c>
      <c r="N67" s="23">
        <f>ROUND(I67*ROUND(K67, 2), 2)</f>
        <v>1132272</v>
      </c>
      <c r="O67" s="23">
        <f>M67+N67</f>
        <v>1132272</v>
      </c>
      <c r="P67" s="23">
        <v>0</v>
      </c>
      <c r="Q67" s="23">
        <v>405</v>
      </c>
      <c r="R67" s="23">
        <f>P67+ROUND(Q67, 2)</f>
        <v>405</v>
      </c>
      <c r="S67" s="23">
        <v>0</v>
      </c>
      <c r="T67" s="23">
        <f>ROUND(I67*ROUND(Q67, 2), 2)</f>
        <v>1698408</v>
      </c>
      <c r="U67" s="23">
        <f>S67+T67</f>
        <v>1698408</v>
      </c>
      <c r="V67" s="9"/>
      <c r="W67" s="9">
        <f t="shared" si="10"/>
        <v>337.5</v>
      </c>
      <c r="X67" s="9">
        <f t="shared" si="10"/>
        <v>337.5</v>
      </c>
      <c r="Y67" s="9"/>
      <c r="Z67" s="9">
        <f>ROUND(T67 / 1.2, 2)</f>
        <v>1415340</v>
      </c>
      <c r="AA67" s="9">
        <f>Y67+Z67</f>
        <v>1415340</v>
      </c>
      <c r="AD67" s="4">
        <v>334080590</v>
      </c>
      <c r="AE67" s="4">
        <v>29309227</v>
      </c>
      <c r="AG67" s="4" t="s">
        <v>248</v>
      </c>
      <c r="AH67" s="4" t="s">
        <v>249</v>
      </c>
      <c r="AI67" s="4" t="s">
        <v>250</v>
      </c>
    </row>
    <row r="68" spans="1:35" ht="72" x14ac:dyDescent="0.3">
      <c r="A68" s="11" t="s">
        <v>253</v>
      </c>
      <c r="B68" s="11" t="s">
        <v>254</v>
      </c>
      <c r="C68" s="20" t="s">
        <v>255</v>
      </c>
      <c r="D68" s="21"/>
      <c r="E68" s="21" t="s">
        <v>256</v>
      </c>
      <c r="F68" s="21" t="s">
        <v>62</v>
      </c>
      <c r="G68" s="22">
        <v>1</v>
      </c>
      <c r="H68" s="21"/>
      <c r="I68" s="22">
        <v>39.270000000000003</v>
      </c>
      <c r="J68" s="23">
        <f>IFERROR(ROUND(SUM(M69)/I68, 2),0)</f>
        <v>52.29</v>
      </c>
      <c r="K68" s="23">
        <v>40</v>
      </c>
      <c r="L68" s="23">
        <f>J68+ROUND(K68, 2)</f>
        <v>92.289999999999992</v>
      </c>
      <c r="M68" s="23">
        <f>ROUND(J68*I68, 2)</f>
        <v>2053.4299999999998</v>
      </c>
      <c r="N68" s="23">
        <f>ROUND(I68*ROUND(K68, 2), 2)</f>
        <v>1570.8</v>
      </c>
      <c r="O68" s="23">
        <f>M68+N68</f>
        <v>3624.2299999999996</v>
      </c>
      <c r="P68" s="23">
        <f>IFERROR(ROUND(SUM(S69)/I68, 2),0)</f>
        <v>52.29</v>
      </c>
      <c r="Q68" s="23">
        <v>60</v>
      </c>
      <c r="R68" s="23">
        <f>P68+ROUND(Q68, 2)</f>
        <v>112.28999999999999</v>
      </c>
      <c r="S68" s="23">
        <f>ROUND(P68*I68, 2)</f>
        <v>2053.4299999999998</v>
      </c>
      <c r="T68" s="23">
        <f>ROUND(I68*ROUND(Q68, 2), 2)</f>
        <v>2356.1999999999998</v>
      </c>
      <c r="U68" s="23">
        <f>S68+T68</f>
        <v>4409.6299999999992</v>
      </c>
      <c r="V68" s="9">
        <f>ROUND(P68 / 1.2, 2)</f>
        <v>43.58</v>
      </c>
      <c r="W68" s="9">
        <f t="shared" si="10"/>
        <v>50</v>
      </c>
      <c r="X68" s="9">
        <f t="shared" si="10"/>
        <v>93.58</v>
      </c>
      <c r="Y68" s="9">
        <f t="shared" ref="Y68:Y95" si="11">ROUND(S68 / 1.2, 2)</f>
        <v>1711.19</v>
      </c>
      <c r="Z68" s="9">
        <f>ROUND(T68 / 1.2, 2)</f>
        <v>1963.5</v>
      </c>
      <c r="AA68" s="9">
        <f>Y68+Z68</f>
        <v>3674.69</v>
      </c>
      <c r="AD68" s="4">
        <v>334080488</v>
      </c>
      <c r="AE68" s="4">
        <v>29220848</v>
      </c>
      <c r="AG68" s="4" t="s">
        <v>257</v>
      </c>
      <c r="AH68" s="4" t="s">
        <v>258</v>
      </c>
      <c r="AI68" s="4" t="s">
        <v>250</v>
      </c>
    </row>
    <row r="69" spans="1:35" ht="18" x14ac:dyDescent="0.3">
      <c r="A69" s="11" t="s">
        <v>259</v>
      </c>
      <c r="B69" s="11"/>
      <c r="C69" s="32" t="s">
        <v>260</v>
      </c>
      <c r="D69" s="21"/>
      <c r="E69" s="21"/>
      <c r="F69" s="33" t="s">
        <v>62</v>
      </c>
      <c r="G69" s="34">
        <v>1.1000000000000001</v>
      </c>
      <c r="H69" s="21"/>
      <c r="I69" s="34">
        <v>43.197000000000003</v>
      </c>
      <c r="J69" s="35">
        <v>47.54</v>
      </c>
      <c r="K69" s="12"/>
      <c r="L69" s="12"/>
      <c r="M69" s="35">
        <f>ROUND(ROUND(J69, 2)*I69, 2)</f>
        <v>2053.59</v>
      </c>
      <c r="N69" s="12"/>
      <c r="O69" s="12"/>
      <c r="P69" s="35">
        <v>47.54</v>
      </c>
      <c r="Q69" s="12"/>
      <c r="R69" s="12"/>
      <c r="S69" s="35">
        <f>ROUND(ROUND(P69, 2)*I69, 2)</f>
        <v>2053.59</v>
      </c>
      <c r="T69" s="12"/>
      <c r="U69" s="36"/>
      <c r="V69" s="9">
        <f>ROUND(ROUND(P69, 2)/1.2, 2)</f>
        <v>39.619999999999997</v>
      </c>
      <c r="Y69" s="9">
        <f t="shared" si="11"/>
        <v>1711.33</v>
      </c>
      <c r="AD69" s="4" t="s">
        <v>261</v>
      </c>
      <c r="AE69" s="4" t="s">
        <v>262</v>
      </c>
      <c r="AF69" s="4" t="s">
        <v>263</v>
      </c>
    </row>
    <row r="70" spans="1:35" ht="108" x14ac:dyDescent="0.3">
      <c r="A70" s="11" t="s">
        <v>264</v>
      </c>
      <c r="B70" s="11" t="s">
        <v>254</v>
      </c>
      <c r="C70" s="20" t="s">
        <v>255</v>
      </c>
      <c r="D70" s="21"/>
      <c r="E70" s="21" t="s">
        <v>265</v>
      </c>
      <c r="F70" s="21" t="s">
        <v>62</v>
      </c>
      <c r="G70" s="22">
        <v>1</v>
      </c>
      <c r="H70" s="21"/>
      <c r="I70" s="22">
        <v>88.47</v>
      </c>
      <c r="J70" s="23">
        <f>IFERROR(ROUND(SUM(M71)/I70, 2),0)</f>
        <v>52.29</v>
      </c>
      <c r="K70" s="23">
        <v>40</v>
      </c>
      <c r="L70" s="23">
        <f>J70+ROUND(K70, 2)</f>
        <v>92.289999999999992</v>
      </c>
      <c r="M70" s="23">
        <f>ROUND(J70*I70, 2)</f>
        <v>4626.1000000000004</v>
      </c>
      <c r="N70" s="23">
        <f>ROUND(I70*ROUND(K70, 2), 2)</f>
        <v>3538.8</v>
      </c>
      <c r="O70" s="23">
        <f>M70+N70</f>
        <v>8164.9000000000005</v>
      </c>
      <c r="P70" s="23">
        <f>IFERROR(ROUND(SUM(S71)/I70, 2),0)</f>
        <v>52.29</v>
      </c>
      <c r="Q70" s="23">
        <v>60</v>
      </c>
      <c r="R70" s="23">
        <f>P70+ROUND(Q70, 2)</f>
        <v>112.28999999999999</v>
      </c>
      <c r="S70" s="23">
        <f>ROUND(P70*I70, 2)</f>
        <v>4626.1000000000004</v>
      </c>
      <c r="T70" s="23">
        <f>ROUND(I70*ROUND(Q70, 2), 2)</f>
        <v>5308.2</v>
      </c>
      <c r="U70" s="23">
        <f>S70+T70</f>
        <v>9934.2999999999993</v>
      </c>
      <c r="V70" s="9">
        <f>ROUND(P70 / 1.2, 2)</f>
        <v>43.58</v>
      </c>
      <c r="W70" s="9">
        <f>ROUND(Q70 / 1.2, 2)</f>
        <v>50</v>
      </c>
      <c r="X70" s="9">
        <f>ROUND(R70 / 1.2, 2)</f>
        <v>93.58</v>
      </c>
      <c r="Y70" s="9">
        <f t="shared" si="11"/>
        <v>3855.08</v>
      </c>
      <c r="Z70" s="9">
        <f>ROUND(T70 / 1.2, 2)</f>
        <v>4423.5</v>
      </c>
      <c r="AA70" s="9">
        <f>Y70+Z70</f>
        <v>8278.58</v>
      </c>
      <c r="AD70" s="4">
        <v>334080591</v>
      </c>
      <c r="AE70" s="4">
        <v>29220849</v>
      </c>
      <c r="AG70" s="4" t="s">
        <v>257</v>
      </c>
      <c r="AH70" s="4" t="s">
        <v>258</v>
      </c>
      <c r="AI70" s="4" t="s">
        <v>250</v>
      </c>
    </row>
    <row r="71" spans="1:35" ht="18" x14ac:dyDescent="0.3">
      <c r="A71" s="11" t="s">
        <v>266</v>
      </c>
      <c r="B71" s="11"/>
      <c r="C71" s="32" t="s">
        <v>260</v>
      </c>
      <c r="D71" s="21"/>
      <c r="E71" s="21"/>
      <c r="F71" s="33" t="s">
        <v>62</v>
      </c>
      <c r="G71" s="34">
        <v>1.1000000000000001</v>
      </c>
      <c r="H71" s="21"/>
      <c r="I71" s="34">
        <v>97.316999999999993</v>
      </c>
      <c r="J71" s="35">
        <v>47.54</v>
      </c>
      <c r="K71" s="12"/>
      <c r="L71" s="12"/>
      <c r="M71" s="35">
        <f>ROUND(ROUND(J71, 2)*I71, 2)</f>
        <v>4626.45</v>
      </c>
      <c r="N71" s="12"/>
      <c r="O71" s="12"/>
      <c r="P71" s="35">
        <v>47.54</v>
      </c>
      <c r="Q71" s="12"/>
      <c r="R71" s="12"/>
      <c r="S71" s="35">
        <f>ROUND(ROUND(P71, 2)*I71, 2)</f>
        <v>4626.45</v>
      </c>
      <c r="T71" s="12"/>
      <c r="U71" s="36"/>
      <c r="V71" s="9">
        <f>ROUND(ROUND(P71, 2)/1.2, 2)</f>
        <v>39.619999999999997</v>
      </c>
      <c r="Y71" s="9">
        <f t="shared" si="11"/>
        <v>3855.38</v>
      </c>
      <c r="AD71" s="4" t="s">
        <v>267</v>
      </c>
      <c r="AE71" s="4" t="s">
        <v>268</v>
      </c>
      <c r="AF71" s="4" t="s">
        <v>263</v>
      </c>
    </row>
    <row r="72" spans="1:35" ht="90" x14ac:dyDescent="0.3">
      <c r="A72" s="11" t="s">
        <v>269</v>
      </c>
      <c r="B72" s="11" t="s">
        <v>270</v>
      </c>
      <c r="C72" s="20" t="s">
        <v>271</v>
      </c>
      <c r="D72" s="21"/>
      <c r="E72" s="21" t="s">
        <v>272</v>
      </c>
      <c r="F72" s="21" t="s">
        <v>62</v>
      </c>
      <c r="G72" s="22">
        <v>1</v>
      </c>
      <c r="H72" s="21"/>
      <c r="I72" s="22">
        <v>1827.2</v>
      </c>
      <c r="J72" s="23">
        <f>IFERROR(ROUND(SUM(M73)/I72, 2),0)</f>
        <v>0</v>
      </c>
      <c r="K72" s="23">
        <v>117</v>
      </c>
      <c r="L72" s="23">
        <f>J72+ROUND(K72, 2)</f>
        <v>117</v>
      </c>
      <c r="M72" s="23">
        <f>ROUND(J72*I72, 2)</f>
        <v>0</v>
      </c>
      <c r="N72" s="23">
        <f>ROUND(I72*ROUND(K72, 2), 2)</f>
        <v>213782.39999999999</v>
      </c>
      <c r="O72" s="23">
        <f>M72+N72</f>
        <v>213782.39999999999</v>
      </c>
      <c r="P72" s="23">
        <f>IFERROR(ROUND(SUM(S73)/I72, 2),0)</f>
        <v>13.54</v>
      </c>
      <c r="Q72" s="23">
        <v>175.5</v>
      </c>
      <c r="R72" s="23">
        <f>P72+ROUND(Q72, 2)</f>
        <v>189.04</v>
      </c>
      <c r="S72" s="23">
        <f>ROUND(P72*I72, 2)</f>
        <v>24740.29</v>
      </c>
      <c r="T72" s="23">
        <f>ROUND(I72*ROUND(Q72, 2), 2)</f>
        <v>320673.59999999998</v>
      </c>
      <c r="U72" s="23">
        <f>S72+T72</f>
        <v>345413.88999999996</v>
      </c>
      <c r="V72" s="9">
        <f>ROUND(P72 / 1.2, 2)</f>
        <v>11.28</v>
      </c>
      <c r="W72" s="9">
        <f>ROUND(Q72 / 1.2, 2)</f>
        <v>146.25</v>
      </c>
      <c r="X72" s="9">
        <f>ROUND(R72 / 1.2, 2)</f>
        <v>157.53</v>
      </c>
      <c r="Y72" s="9">
        <f t="shared" si="11"/>
        <v>20616.91</v>
      </c>
      <c r="Z72" s="9">
        <f>ROUND(T72 / 1.2, 2)</f>
        <v>267228</v>
      </c>
      <c r="AA72" s="9">
        <f>Y72+Z72</f>
        <v>287844.90999999997</v>
      </c>
      <c r="AD72" s="4">
        <v>334080490</v>
      </c>
      <c r="AE72" s="4">
        <v>29220846</v>
      </c>
      <c r="AG72" s="4" t="s">
        <v>273</v>
      </c>
      <c r="AH72" s="4" t="s">
        <v>274</v>
      </c>
      <c r="AI72" s="4" t="s">
        <v>250</v>
      </c>
    </row>
    <row r="73" spans="1:35" ht="36" x14ac:dyDescent="0.3">
      <c r="A73" s="11" t="s">
        <v>275</v>
      </c>
      <c r="B73" s="11"/>
      <c r="C73" s="32" t="s">
        <v>276</v>
      </c>
      <c r="D73" s="21"/>
      <c r="E73" s="21" t="s">
        <v>277</v>
      </c>
      <c r="F73" s="33" t="s">
        <v>278</v>
      </c>
      <c r="G73" s="34">
        <v>0.15</v>
      </c>
      <c r="H73" s="21"/>
      <c r="I73" s="34">
        <v>274.08</v>
      </c>
      <c r="J73" s="35">
        <v>0</v>
      </c>
      <c r="K73" s="12"/>
      <c r="L73" s="12"/>
      <c r="M73" s="35">
        <f>ROUND(ROUND(J73, 2)*I73, 2)</f>
        <v>0</v>
      </c>
      <c r="N73" s="12"/>
      <c r="O73" s="12"/>
      <c r="P73" s="35">
        <v>90.28</v>
      </c>
      <c r="Q73" s="12"/>
      <c r="R73" s="12"/>
      <c r="S73" s="35">
        <f>ROUND(ROUND(P73, 2)*I73, 2)</f>
        <v>24743.94</v>
      </c>
      <c r="T73" s="12"/>
      <c r="U73" s="36"/>
      <c r="V73" s="9">
        <f>ROUND(ROUND(P73, 2)/1.2, 2)</f>
        <v>75.23</v>
      </c>
      <c r="Y73" s="9">
        <f t="shared" si="11"/>
        <v>20619.95</v>
      </c>
      <c r="AD73" s="4" t="s">
        <v>279</v>
      </c>
      <c r="AE73" s="4" t="s">
        <v>280</v>
      </c>
      <c r="AF73" s="4" t="s">
        <v>281</v>
      </c>
    </row>
    <row r="74" spans="1:35" ht="126" x14ac:dyDescent="0.3">
      <c r="A74" s="11" t="s">
        <v>282</v>
      </c>
      <c r="B74" s="11" t="s">
        <v>283</v>
      </c>
      <c r="C74" s="20" t="s">
        <v>284</v>
      </c>
      <c r="D74" s="21"/>
      <c r="E74" s="21" t="s">
        <v>285</v>
      </c>
      <c r="F74" s="21" t="s">
        <v>62</v>
      </c>
      <c r="G74" s="22">
        <v>1</v>
      </c>
      <c r="H74" s="21"/>
      <c r="I74" s="22">
        <v>13.8</v>
      </c>
      <c r="J74" s="23">
        <f>IFERROR(ROUND(SUM(M75,M76,M77,M78)/I74, 2),0)</f>
        <v>880.6</v>
      </c>
      <c r="K74" s="23">
        <v>941</v>
      </c>
      <c r="L74" s="23">
        <f>J74+ROUND(K74, 2)</f>
        <v>1821.6</v>
      </c>
      <c r="M74" s="23">
        <f>ROUND(J74*I74, 2)</f>
        <v>12152.28</v>
      </c>
      <c r="N74" s="23">
        <f>ROUND(I74*ROUND(K74, 2), 2)</f>
        <v>12985.8</v>
      </c>
      <c r="O74" s="23">
        <f>M74+N74</f>
        <v>25138.080000000002</v>
      </c>
      <c r="P74" s="23">
        <f>IFERROR(ROUND(SUM(S75,S76,S77,S78)/I74, 2),0)</f>
        <v>880.6</v>
      </c>
      <c r="Q74" s="23">
        <v>1411.5</v>
      </c>
      <c r="R74" s="23">
        <f>P74+ROUND(Q74, 2)</f>
        <v>2292.1</v>
      </c>
      <c r="S74" s="23">
        <f>ROUND(P74*I74, 2)</f>
        <v>12152.28</v>
      </c>
      <c r="T74" s="23">
        <f>ROUND(I74*ROUND(Q74, 2), 2)</f>
        <v>19478.7</v>
      </c>
      <c r="U74" s="23">
        <f>S74+T74</f>
        <v>31630.980000000003</v>
      </c>
      <c r="V74" s="9">
        <f>ROUND(P74 / 1.2, 2)</f>
        <v>733.83</v>
      </c>
      <c r="W74" s="9">
        <f>ROUND(Q74 / 1.2, 2)</f>
        <v>1176.25</v>
      </c>
      <c r="X74" s="9">
        <f>ROUND(R74 / 1.2, 2)</f>
        <v>1910.08</v>
      </c>
      <c r="Y74" s="9">
        <f t="shared" si="11"/>
        <v>10126.9</v>
      </c>
      <c r="Z74" s="9">
        <f>ROUND(T74 / 1.2, 2)</f>
        <v>16232.25</v>
      </c>
      <c r="AA74" s="9">
        <f>Y74+Z74</f>
        <v>26359.15</v>
      </c>
      <c r="AD74" s="4">
        <v>334080492</v>
      </c>
      <c r="AE74" s="4">
        <v>29223867</v>
      </c>
      <c r="AG74" s="4" t="s">
        <v>286</v>
      </c>
      <c r="AH74" s="4" t="s">
        <v>287</v>
      </c>
      <c r="AI74" s="4" t="s">
        <v>250</v>
      </c>
    </row>
    <row r="75" spans="1:35" ht="18" x14ac:dyDescent="0.3">
      <c r="A75" s="11" t="s">
        <v>288</v>
      </c>
      <c r="B75" s="11"/>
      <c r="C75" s="32" t="s">
        <v>289</v>
      </c>
      <c r="D75" s="21"/>
      <c r="E75" s="21"/>
      <c r="F75" s="33" t="s">
        <v>278</v>
      </c>
      <c r="G75" s="34">
        <v>1.8</v>
      </c>
      <c r="H75" s="21"/>
      <c r="I75" s="37">
        <v>1242</v>
      </c>
      <c r="J75" s="35">
        <v>7.54</v>
      </c>
      <c r="K75" s="12"/>
      <c r="L75" s="12"/>
      <c r="M75" s="35">
        <f>ROUND(ROUND(J75, 2)*I75, 2)</f>
        <v>9364.68</v>
      </c>
      <c r="N75" s="12"/>
      <c r="O75" s="12"/>
      <c r="P75" s="35">
        <v>7.54</v>
      </c>
      <c r="Q75" s="12"/>
      <c r="R75" s="12"/>
      <c r="S75" s="35">
        <f>ROUND(ROUND(P75, 2)*I75, 2)</f>
        <v>9364.68</v>
      </c>
      <c r="T75" s="12"/>
      <c r="U75" s="36"/>
      <c r="V75" s="9">
        <f>ROUND(ROUND(P75, 2)/1.2, 2)</f>
        <v>6.28</v>
      </c>
      <c r="Y75" s="9">
        <f t="shared" si="11"/>
        <v>7803.9</v>
      </c>
      <c r="AD75" s="4" t="s">
        <v>290</v>
      </c>
      <c r="AE75" s="4" t="s">
        <v>291</v>
      </c>
      <c r="AF75" s="4" t="s">
        <v>292</v>
      </c>
    </row>
    <row r="76" spans="1:35" ht="18" x14ac:dyDescent="0.3">
      <c r="A76" s="11" t="s">
        <v>293</v>
      </c>
      <c r="B76" s="11"/>
      <c r="C76" s="32" t="s">
        <v>294</v>
      </c>
      <c r="D76" s="21"/>
      <c r="E76" s="21"/>
      <c r="F76" s="33" t="s">
        <v>62</v>
      </c>
      <c r="G76" s="34">
        <v>1.1000000000000001</v>
      </c>
      <c r="H76" s="21"/>
      <c r="I76" s="37">
        <v>15.18</v>
      </c>
      <c r="J76" s="35">
        <v>157.6</v>
      </c>
      <c r="K76" s="12"/>
      <c r="L76" s="12"/>
      <c r="M76" s="35">
        <f>ROUND(ROUND(J76, 2)*I76, 2)</f>
        <v>2392.37</v>
      </c>
      <c r="N76" s="12"/>
      <c r="O76" s="12"/>
      <c r="P76" s="35">
        <v>157.6</v>
      </c>
      <c r="Q76" s="12"/>
      <c r="R76" s="12"/>
      <c r="S76" s="35">
        <f>ROUND(ROUND(P76, 2)*I76, 2)</f>
        <v>2392.37</v>
      </c>
      <c r="T76" s="12"/>
      <c r="U76" s="36"/>
      <c r="V76" s="9">
        <f>ROUND(ROUND(P76, 2)/1.2, 2)</f>
        <v>131.33000000000001</v>
      </c>
      <c r="Y76" s="9">
        <f t="shared" si="11"/>
        <v>1993.64</v>
      </c>
      <c r="AD76" s="4" t="s">
        <v>295</v>
      </c>
      <c r="AE76" s="4" t="s">
        <v>296</v>
      </c>
      <c r="AF76" s="4" t="s">
        <v>297</v>
      </c>
    </row>
    <row r="77" spans="1:35" ht="18" x14ac:dyDescent="0.3">
      <c r="A77" s="11" t="s">
        <v>298</v>
      </c>
      <c r="B77" s="11"/>
      <c r="C77" s="32" t="s">
        <v>299</v>
      </c>
      <c r="D77" s="21"/>
      <c r="E77" s="21"/>
      <c r="F77" s="33" t="s">
        <v>102</v>
      </c>
      <c r="G77" s="34">
        <v>1</v>
      </c>
      <c r="H77" s="21"/>
      <c r="I77" s="37">
        <v>13.8</v>
      </c>
      <c r="J77" s="35">
        <v>10.58</v>
      </c>
      <c r="K77" s="12"/>
      <c r="L77" s="12"/>
      <c r="M77" s="35">
        <f>ROUND(ROUND(J77, 2)*I77, 2)</f>
        <v>146</v>
      </c>
      <c r="N77" s="12"/>
      <c r="O77" s="12"/>
      <c r="P77" s="35">
        <v>10.58</v>
      </c>
      <c r="Q77" s="12"/>
      <c r="R77" s="12"/>
      <c r="S77" s="35">
        <f>ROUND(ROUND(P77, 2)*I77, 2)</f>
        <v>146</v>
      </c>
      <c r="T77" s="12"/>
      <c r="U77" s="36"/>
      <c r="V77" s="9">
        <f>ROUND(ROUND(P77, 2)/1.2, 2)</f>
        <v>8.82</v>
      </c>
      <c r="Y77" s="9">
        <f t="shared" si="11"/>
        <v>121.67</v>
      </c>
      <c r="AD77" s="4" t="s">
        <v>300</v>
      </c>
      <c r="AE77" s="4" t="s">
        <v>301</v>
      </c>
      <c r="AF77" s="4" t="s">
        <v>302</v>
      </c>
    </row>
    <row r="78" spans="1:35" ht="36" x14ac:dyDescent="0.3">
      <c r="A78" s="11" t="s">
        <v>303</v>
      </c>
      <c r="B78" s="11"/>
      <c r="C78" s="32" t="s">
        <v>304</v>
      </c>
      <c r="D78" s="21"/>
      <c r="E78" s="21"/>
      <c r="F78" s="33" t="s">
        <v>278</v>
      </c>
      <c r="G78" s="34">
        <v>0.2</v>
      </c>
      <c r="H78" s="21"/>
      <c r="I78" s="34">
        <v>2.76</v>
      </c>
      <c r="J78" s="35">
        <v>90.28</v>
      </c>
      <c r="K78" s="12"/>
      <c r="L78" s="12"/>
      <c r="M78" s="35">
        <f>ROUND(ROUND(J78, 2)*I78, 2)</f>
        <v>249.17</v>
      </c>
      <c r="N78" s="12"/>
      <c r="O78" s="12"/>
      <c r="P78" s="35">
        <v>90.28</v>
      </c>
      <c r="Q78" s="12"/>
      <c r="R78" s="12"/>
      <c r="S78" s="35">
        <f>ROUND(ROUND(P78, 2)*I78, 2)</f>
        <v>249.17</v>
      </c>
      <c r="T78" s="12"/>
      <c r="U78" s="36"/>
      <c r="V78" s="9">
        <f>ROUND(ROUND(P78, 2)/1.2, 2)</f>
        <v>75.23</v>
      </c>
      <c r="Y78" s="9">
        <f t="shared" si="11"/>
        <v>207.64</v>
      </c>
      <c r="AD78" s="4" t="s">
        <v>305</v>
      </c>
      <c r="AE78" s="4" t="s">
        <v>306</v>
      </c>
      <c r="AF78" s="4" t="s">
        <v>307</v>
      </c>
    </row>
    <row r="79" spans="1:35" ht="144" x14ac:dyDescent="0.3">
      <c r="A79" s="11" t="s">
        <v>308</v>
      </c>
      <c r="B79" s="11" t="s">
        <v>309</v>
      </c>
      <c r="C79" s="20" t="s">
        <v>310</v>
      </c>
      <c r="D79" s="21"/>
      <c r="E79" s="21" t="s">
        <v>311</v>
      </c>
      <c r="F79" s="21" t="s">
        <v>62</v>
      </c>
      <c r="G79" s="22">
        <v>1</v>
      </c>
      <c r="H79" s="21"/>
      <c r="I79" s="22">
        <v>25.47</v>
      </c>
      <c r="J79" s="23">
        <f>IFERROR(ROUND(SUM(M80,M81,M82,M83)/I79, 2),0)</f>
        <v>1084.18</v>
      </c>
      <c r="K79" s="23">
        <v>1014</v>
      </c>
      <c r="L79" s="23">
        <f>J79+ROUND(K79, 2)</f>
        <v>2098.1800000000003</v>
      </c>
      <c r="M79" s="23">
        <f>ROUND(J79*I79, 2)</f>
        <v>27614.06</v>
      </c>
      <c r="N79" s="23">
        <f>ROUND(I79*ROUND(K79, 2), 2)</f>
        <v>25826.58</v>
      </c>
      <c r="O79" s="23">
        <f>M79+N79</f>
        <v>53440.639999999999</v>
      </c>
      <c r="P79" s="23">
        <f>IFERROR(ROUND(SUM(S80,S81,S82,S83)/I79, 2),0)</f>
        <v>1084.18</v>
      </c>
      <c r="Q79" s="23">
        <v>1521</v>
      </c>
      <c r="R79" s="23">
        <f>P79+ROUND(Q79, 2)</f>
        <v>2605.1800000000003</v>
      </c>
      <c r="S79" s="23">
        <f>ROUND(P79*I79, 2)</f>
        <v>27614.06</v>
      </c>
      <c r="T79" s="23">
        <f>ROUND(I79*ROUND(Q79, 2), 2)</f>
        <v>38739.870000000003</v>
      </c>
      <c r="U79" s="23">
        <f>S79+T79</f>
        <v>66353.930000000008</v>
      </c>
      <c r="V79" s="9">
        <f>ROUND(P79 / 1.2, 2)</f>
        <v>903.48</v>
      </c>
      <c r="W79" s="9">
        <f>ROUND(Q79 / 1.2, 2)</f>
        <v>1267.5</v>
      </c>
      <c r="X79" s="9">
        <f>ROUND(R79 / 1.2, 2)</f>
        <v>2170.98</v>
      </c>
      <c r="Y79" s="9">
        <f t="shared" si="11"/>
        <v>23011.72</v>
      </c>
      <c r="Z79" s="9">
        <f>ROUND(T79 / 1.2, 2)</f>
        <v>32283.23</v>
      </c>
      <c r="AA79" s="9">
        <f>Y79+Z79</f>
        <v>55294.95</v>
      </c>
      <c r="AD79" s="4">
        <v>334080493</v>
      </c>
      <c r="AE79" s="4">
        <v>29220850</v>
      </c>
      <c r="AG79" s="4" t="s">
        <v>312</v>
      </c>
      <c r="AH79" s="4" t="s">
        <v>313</v>
      </c>
      <c r="AI79" s="4" t="s">
        <v>250</v>
      </c>
    </row>
    <row r="80" spans="1:35" ht="18" x14ac:dyDescent="0.3">
      <c r="A80" s="11" t="s">
        <v>314</v>
      </c>
      <c r="B80" s="11"/>
      <c r="C80" s="32" t="s">
        <v>289</v>
      </c>
      <c r="D80" s="21"/>
      <c r="E80" s="21"/>
      <c r="F80" s="33" t="s">
        <v>278</v>
      </c>
      <c r="G80" s="34">
        <v>1.8</v>
      </c>
      <c r="H80" s="21"/>
      <c r="I80" s="37">
        <v>2979.99</v>
      </c>
      <c r="J80" s="35">
        <v>7.54</v>
      </c>
      <c r="K80" s="12"/>
      <c r="L80" s="12"/>
      <c r="M80" s="35">
        <f>ROUND(ROUND(J80, 2)*I80, 2)</f>
        <v>22469.119999999999</v>
      </c>
      <c r="N80" s="12"/>
      <c r="O80" s="12"/>
      <c r="P80" s="35">
        <v>7.54</v>
      </c>
      <c r="Q80" s="12"/>
      <c r="R80" s="12"/>
      <c r="S80" s="35">
        <f>ROUND(ROUND(P80, 2)*I80, 2)</f>
        <v>22469.119999999999</v>
      </c>
      <c r="T80" s="12"/>
      <c r="U80" s="36"/>
      <c r="V80" s="9">
        <f>ROUND(ROUND(P80, 2)/1.2, 2)</f>
        <v>6.28</v>
      </c>
      <c r="Y80" s="9">
        <f t="shared" si="11"/>
        <v>18724.27</v>
      </c>
      <c r="AD80" s="4" t="s">
        <v>315</v>
      </c>
      <c r="AE80" s="4" t="s">
        <v>316</v>
      </c>
      <c r="AF80" s="4" t="s">
        <v>292</v>
      </c>
    </row>
    <row r="81" spans="1:35" ht="18" x14ac:dyDescent="0.3">
      <c r="A81" s="11" t="s">
        <v>317</v>
      </c>
      <c r="B81" s="11"/>
      <c r="C81" s="32" t="s">
        <v>294</v>
      </c>
      <c r="D81" s="21"/>
      <c r="E81" s="21"/>
      <c r="F81" s="33" t="s">
        <v>62</v>
      </c>
      <c r="G81" s="34">
        <v>1.1000000000000001</v>
      </c>
      <c r="H81" s="21"/>
      <c r="I81" s="37">
        <v>28.016999999999999</v>
      </c>
      <c r="J81" s="35">
        <v>157.6</v>
      </c>
      <c r="K81" s="12"/>
      <c r="L81" s="12"/>
      <c r="M81" s="35">
        <f>ROUND(ROUND(J81, 2)*I81, 2)</f>
        <v>4415.4799999999996</v>
      </c>
      <c r="N81" s="12"/>
      <c r="O81" s="12"/>
      <c r="P81" s="35">
        <v>157.6</v>
      </c>
      <c r="Q81" s="12"/>
      <c r="R81" s="12"/>
      <c r="S81" s="35">
        <f>ROUND(ROUND(P81, 2)*I81, 2)</f>
        <v>4415.4799999999996</v>
      </c>
      <c r="T81" s="12"/>
      <c r="U81" s="36"/>
      <c r="V81" s="9">
        <f>ROUND(ROUND(P81, 2)/1.2, 2)</f>
        <v>131.33000000000001</v>
      </c>
      <c r="Y81" s="9">
        <f t="shared" si="11"/>
        <v>3679.57</v>
      </c>
      <c r="AD81" s="4" t="s">
        <v>318</v>
      </c>
      <c r="AE81" s="4" t="s">
        <v>319</v>
      </c>
      <c r="AF81" s="4" t="s">
        <v>297</v>
      </c>
    </row>
    <row r="82" spans="1:35" ht="18" x14ac:dyDescent="0.3">
      <c r="A82" s="11" t="s">
        <v>320</v>
      </c>
      <c r="B82" s="11"/>
      <c r="C82" s="32" t="s">
        <v>299</v>
      </c>
      <c r="D82" s="21"/>
      <c r="E82" s="21"/>
      <c r="F82" s="33" t="s">
        <v>102</v>
      </c>
      <c r="G82" s="34">
        <v>1</v>
      </c>
      <c r="H82" s="21"/>
      <c r="I82" s="37">
        <v>25.47</v>
      </c>
      <c r="J82" s="35">
        <v>10.58</v>
      </c>
      <c r="K82" s="12"/>
      <c r="L82" s="12"/>
      <c r="M82" s="35">
        <f>ROUND(ROUND(J82, 2)*I82, 2)</f>
        <v>269.47000000000003</v>
      </c>
      <c r="N82" s="12"/>
      <c r="O82" s="12"/>
      <c r="P82" s="35">
        <v>10.58</v>
      </c>
      <c r="Q82" s="12"/>
      <c r="R82" s="12"/>
      <c r="S82" s="35">
        <f>ROUND(ROUND(P82, 2)*I82, 2)</f>
        <v>269.47000000000003</v>
      </c>
      <c r="T82" s="12"/>
      <c r="U82" s="36"/>
      <c r="V82" s="9">
        <f>ROUND(ROUND(P82, 2)/1.2, 2)</f>
        <v>8.82</v>
      </c>
      <c r="Y82" s="9">
        <f t="shared" si="11"/>
        <v>224.56</v>
      </c>
      <c r="AD82" s="4" t="s">
        <v>321</v>
      </c>
      <c r="AE82" s="4" t="s">
        <v>322</v>
      </c>
      <c r="AF82" s="4" t="s">
        <v>302</v>
      </c>
    </row>
    <row r="83" spans="1:35" ht="36" x14ac:dyDescent="0.3">
      <c r="A83" s="11" t="s">
        <v>323</v>
      </c>
      <c r="B83" s="11"/>
      <c r="C83" s="32" t="s">
        <v>304</v>
      </c>
      <c r="D83" s="21"/>
      <c r="E83" s="21"/>
      <c r="F83" s="33" t="s">
        <v>278</v>
      </c>
      <c r="G83" s="34">
        <v>0.2</v>
      </c>
      <c r="H83" s="21"/>
      <c r="I83" s="34">
        <v>5.0940000000000003</v>
      </c>
      <c r="J83" s="35">
        <v>90.28</v>
      </c>
      <c r="K83" s="12"/>
      <c r="L83" s="12"/>
      <c r="M83" s="35">
        <f>ROUND(ROUND(J83, 2)*I83, 2)</f>
        <v>459.89</v>
      </c>
      <c r="N83" s="12"/>
      <c r="O83" s="12"/>
      <c r="P83" s="35">
        <v>90.28</v>
      </c>
      <c r="Q83" s="12"/>
      <c r="R83" s="12"/>
      <c r="S83" s="35">
        <f>ROUND(ROUND(P83, 2)*I83, 2)</f>
        <v>459.89</v>
      </c>
      <c r="T83" s="12"/>
      <c r="U83" s="36"/>
      <c r="V83" s="9">
        <f>ROUND(ROUND(P83, 2)/1.2, 2)</f>
        <v>75.23</v>
      </c>
      <c r="Y83" s="9">
        <f t="shared" si="11"/>
        <v>383.24</v>
      </c>
      <c r="AD83" s="4" t="s">
        <v>324</v>
      </c>
      <c r="AE83" s="4" t="s">
        <v>325</v>
      </c>
      <c r="AF83" s="4" t="s">
        <v>307</v>
      </c>
    </row>
    <row r="84" spans="1:35" ht="108" x14ac:dyDescent="0.3">
      <c r="A84" s="11" t="s">
        <v>326</v>
      </c>
      <c r="B84" s="11" t="s">
        <v>327</v>
      </c>
      <c r="C84" s="20" t="s">
        <v>328</v>
      </c>
      <c r="D84" s="21"/>
      <c r="E84" s="21" t="s">
        <v>329</v>
      </c>
      <c r="F84" s="21" t="s">
        <v>62</v>
      </c>
      <c r="G84" s="22">
        <v>1</v>
      </c>
      <c r="H84" s="21"/>
      <c r="I84" s="22">
        <v>197.1</v>
      </c>
      <c r="J84" s="23">
        <f>IFERROR(ROUND(SUM(M85,M86,M87)/I84, 2),0)</f>
        <v>310.79000000000002</v>
      </c>
      <c r="K84" s="23">
        <v>705</v>
      </c>
      <c r="L84" s="23">
        <f>J84+ROUND(K84, 2)</f>
        <v>1015.79</v>
      </c>
      <c r="M84" s="23">
        <f>ROUND(J84*I84, 2)</f>
        <v>61256.71</v>
      </c>
      <c r="N84" s="23">
        <f>ROUND(I84*ROUND(K84, 2), 2)</f>
        <v>138955.5</v>
      </c>
      <c r="O84" s="23">
        <f>M84+N84</f>
        <v>200212.21</v>
      </c>
      <c r="P84" s="23">
        <f>IFERROR(ROUND(SUM(S85,S86,S87)/I84, 2),0)</f>
        <v>310.79000000000002</v>
      </c>
      <c r="Q84" s="23">
        <v>1057.5</v>
      </c>
      <c r="R84" s="23">
        <f>P84+ROUND(Q84, 2)</f>
        <v>1368.29</v>
      </c>
      <c r="S84" s="23">
        <f>ROUND(P84*I84, 2)</f>
        <v>61256.71</v>
      </c>
      <c r="T84" s="23">
        <f>ROUND(I84*ROUND(Q84, 2), 2)</f>
        <v>208433.25</v>
      </c>
      <c r="U84" s="23">
        <f>S84+T84</f>
        <v>269689.96000000002</v>
      </c>
      <c r="V84" s="9">
        <f>ROUND(P84 / 1.2, 2)</f>
        <v>258.99</v>
      </c>
      <c r="W84" s="9">
        <f>ROUND(Q84 / 1.2, 2)</f>
        <v>881.25</v>
      </c>
      <c r="X84" s="9">
        <f>ROUND(R84 / 1.2, 2)</f>
        <v>1140.24</v>
      </c>
      <c r="Y84" s="9">
        <f t="shared" si="11"/>
        <v>51047.26</v>
      </c>
      <c r="Z84" s="9">
        <f>ROUND(T84 / 1.2, 2)</f>
        <v>173694.38</v>
      </c>
      <c r="AA84" s="9">
        <f>Y84+Z84</f>
        <v>224741.64</v>
      </c>
      <c r="AD84" s="4">
        <v>334080494</v>
      </c>
      <c r="AE84" s="4">
        <v>29220847</v>
      </c>
      <c r="AG84" s="4" t="s">
        <v>330</v>
      </c>
      <c r="AH84" s="4" t="s">
        <v>331</v>
      </c>
      <c r="AI84" s="4" t="s">
        <v>250</v>
      </c>
    </row>
    <row r="85" spans="1:35" ht="18" x14ac:dyDescent="0.3">
      <c r="A85" s="11" t="s">
        <v>332</v>
      </c>
      <c r="B85" s="11"/>
      <c r="C85" s="32" t="s">
        <v>333</v>
      </c>
      <c r="D85" s="21"/>
      <c r="E85" s="21"/>
      <c r="F85" s="33" t="s">
        <v>278</v>
      </c>
      <c r="G85" s="34">
        <v>1.8</v>
      </c>
      <c r="H85" s="21"/>
      <c r="I85" s="37">
        <v>8869.5</v>
      </c>
      <c r="J85" s="35">
        <v>6.27</v>
      </c>
      <c r="K85" s="12"/>
      <c r="L85" s="12"/>
      <c r="M85" s="35">
        <f>ROUND(ROUND(J85, 2)*I85, 2)</f>
        <v>55611.77</v>
      </c>
      <c r="N85" s="12"/>
      <c r="O85" s="12"/>
      <c r="P85" s="35">
        <v>6.27</v>
      </c>
      <c r="Q85" s="12"/>
      <c r="R85" s="12"/>
      <c r="S85" s="35">
        <f>ROUND(ROUND(P85, 2)*I85, 2)</f>
        <v>55611.77</v>
      </c>
      <c r="T85" s="12"/>
      <c r="U85" s="36"/>
      <c r="V85" s="9">
        <f>ROUND(ROUND(P85, 2)/1.2, 2)</f>
        <v>5.23</v>
      </c>
      <c r="Y85" s="9">
        <f t="shared" si="11"/>
        <v>46343.14</v>
      </c>
      <c r="AD85" s="4" t="s">
        <v>334</v>
      </c>
      <c r="AE85" s="4" t="s">
        <v>335</v>
      </c>
      <c r="AF85" s="4" t="s">
        <v>336</v>
      </c>
    </row>
    <row r="86" spans="1:35" ht="18" x14ac:dyDescent="0.3">
      <c r="A86" s="11" t="s">
        <v>337</v>
      </c>
      <c r="B86" s="11"/>
      <c r="C86" s="32" t="s">
        <v>299</v>
      </c>
      <c r="D86" s="21"/>
      <c r="E86" s="21"/>
      <c r="F86" s="33" t="s">
        <v>102</v>
      </c>
      <c r="G86" s="34">
        <v>1</v>
      </c>
      <c r="H86" s="21"/>
      <c r="I86" s="37">
        <v>197.1</v>
      </c>
      <c r="J86" s="35">
        <v>10.58</v>
      </c>
      <c r="K86" s="12"/>
      <c r="L86" s="12"/>
      <c r="M86" s="35">
        <f>ROUND(ROUND(J86, 2)*I86, 2)</f>
        <v>2085.3200000000002</v>
      </c>
      <c r="N86" s="12"/>
      <c r="O86" s="12"/>
      <c r="P86" s="35">
        <v>10.58</v>
      </c>
      <c r="Q86" s="12"/>
      <c r="R86" s="12"/>
      <c r="S86" s="35">
        <f>ROUND(ROUND(P86, 2)*I86, 2)</f>
        <v>2085.3200000000002</v>
      </c>
      <c r="T86" s="12"/>
      <c r="U86" s="36"/>
      <c r="V86" s="9">
        <f>ROUND(ROUND(P86, 2)/1.2, 2)</f>
        <v>8.82</v>
      </c>
      <c r="Y86" s="9">
        <f t="shared" si="11"/>
        <v>1737.77</v>
      </c>
      <c r="AD86" s="4" t="s">
        <v>338</v>
      </c>
      <c r="AE86" s="4" t="s">
        <v>339</v>
      </c>
      <c r="AF86" s="4" t="s">
        <v>302</v>
      </c>
    </row>
    <row r="87" spans="1:35" ht="36" x14ac:dyDescent="0.3">
      <c r="A87" s="11" t="s">
        <v>340</v>
      </c>
      <c r="B87" s="11"/>
      <c r="C87" s="32" t="s">
        <v>304</v>
      </c>
      <c r="D87" s="21"/>
      <c r="E87" s="21"/>
      <c r="F87" s="33" t="s">
        <v>278</v>
      </c>
      <c r="G87" s="34">
        <v>0.2</v>
      </c>
      <c r="H87" s="21"/>
      <c r="I87" s="34">
        <v>39.42</v>
      </c>
      <c r="J87" s="35">
        <v>90.28</v>
      </c>
      <c r="K87" s="12"/>
      <c r="L87" s="12"/>
      <c r="M87" s="35">
        <f>ROUND(ROUND(J87, 2)*I87, 2)</f>
        <v>3558.84</v>
      </c>
      <c r="N87" s="12"/>
      <c r="O87" s="12"/>
      <c r="P87" s="35">
        <v>90.28</v>
      </c>
      <c r="Q87" s="12"/>
      <c r="R87" s="12"/>
      <c r="S87" s="35">
        <f>ROUND(ROUND(P87, 2)*I87, 2)</f>
        <v>3558.84</v>
      </c>
      <c r="T87" s="12"/>
      <c r="U87" s="36"/>
      <c r="V87" s="9">
        <f>ROUND(ROUND(P87, 2)/1.2, 2)</f>
        <v>75.23</v>
      </c>
      <c r="Y87" s="9">
        <f t="shared" si="11"/>
        <v>2965.7</v>
      </c>
      <c r="AD87" s="4" t="s">
        <v>341</v>
      </c>
      <c r="AE87" s="4" t="s">
        <v>342</v>
      </c>
      <c r="AF87" s="4" t="s">
        <v>307</v>
      </c>
    </row>
    <row r="88" spans="1:35" ht="54" x14ac:dyDescent="0.3">
      <c r="A88" s="11" t="s">
        <v>343</v>
      </c>
      <c r="B88" s="11" t="s">
        <v>344</v>
      </c>
      <c r="C88" s="20" t="s">
        <v>345</v>
      </c>
      <c r="D88" s="21"/>
      <c r="E88" s="21" t="s">
        <v>346</v>
      </c>
      <c r="F88" s="21" t="s">
        <v>62</v>
      </c>
      <c r="G88" s="22">
        <v>1</v>
      </c>
      <c r="H88" s="21"/>
      <c r="I88" s="22">
        <v>793.1</v>
      </c>
      <c r="J88" s="23">
        <f>IFERROR(ROUND(SUM(M89,M90,M91)/I88, 2),0)</f>
        <v>181.12</v>
      </c>
      <c r="K88" s="23">
        <v>557</v>
      </c>
      <c r="L88" s="23">
        <f>J88+ROUND(K88, 2)</f>
        <v>738.12</v>
      </c>
      <c r="M88" s="23">
        <f>ROUND(J88*I88, 2)</f>
        <v>143646.26999999999</v>
      </c>
      <c r="N88" s="23">
        <f>ROUND(I88*ROUND(K88, 2), 2)</f>
        <v>441756.7</v>
      </c>
      <c r="O88" s="23">
        <f>M88+N88</f>
        <v>585402.97</v>
      </c>
      <c r="P88" s="23">
        <f>IFERROR(ROUND(SUM(S89,S90,S91)/I88, 2),0)</f>
        <v>181.12</v>
      </c>
      <c r="Q88" s="23">
        <v>835.5</v>
      </c>
      <c r="R88" s="23">
        <f>P88+ROUND(Q88, 2)</f>
        <v>1016.62</v>
      </c>
      <c r="S88" s="23">
        <f>ROUND(P88*I88, 2)</f>
        <v>143646.26999999999</v>
      </c>
      <c r="T88" s="23">
        <f>ROUND(I88*ROUND(Q88, 2), 2)</f>
        <v>662635.05000000005</v>
      </c>
      <c r="U88" s="23">
        <f>S88+T88</f>
        <v>806281.32000000007</v>
      </c>
      <c r="V88" s="9">
        <f>ROUND(P88 / 1.2, 2)</f>
        <v>150.93</v>
      </c>
      <c r="W88" s="9">
        <f>ROUND(Q88 / 1.2, 2)</f>
        <v>696.25</v>
      </c>
      <c r="X88" s="9">
        <f>ROUND(R88 / 1.2, 2)</f>
        <v>847.18</v>
      </c>
      <c r="Y88" s="9">
        <f t="shared" si="11"/>
        <v>119705.23</v>
      </c>
      <c r="Z88" s="9">
        <f>ROUND(T88 / 1.2, 2)</f>
        <v>552195.88</v>
      </c>
      <c r="AA88" s="9">
        <f>Y88+Z88</f>
        <v>671901.11</v>
      </c>
      <c r="AD88" s="4">
        <v>334080496</v>
      </c>
      <c r="AE88" s="4">
        <v>29196678</v>
      </c>
      <c r="AG88" s="4" t="s">
        <v>347</v>
      </c>
      <c r="AH88" s="4" t="s">
        <v>348</v>
      </c>
      <c r="AI88" s="4" t="s">
        <v>250</v>
      </c>
    </row>
    <row r="89" spans="1:35" ht="18" x14ac:dyDescent="0.3">
      <c r="A89" s="11" t="s">
        <v>349</v>
      </c>
      <c r="B89" s="11"/>
      <c r="C89" s="32" t="s">
        <v>299</v>
      </c>
      <c r="D89" s="21"/>
      <c r="E89" s="21"/>
      <c r="F89" s="33" t="s">
        <v>102</v>
      </c>
      <c r="G89" s="34">
        <v>1</v>
      </c>
      <c r="H89" s="21"/>
      <c r="I89" s="37">
        <v>793.1</v>
      </c>
      <c r="J89" s="35">
        <v>10.58</v>
      </c>
      <c r="K89" s="12"/>
      <c r="L89" s="12"/>
      <c r="M89" s="35">
        <f>ROUND(ROUND(J89, 2)*I89, 2)</f>
        <v>8391</v>
      </c>
      <c r="N89" s="12"/>
      <c r="O89" s="12"/>
      <c r="P89" s="35">
        <v>10.58</v>
      </c>
      <c r="Q89" s="12"/>
      <c r="R89" s="12"/>
      <c r="S89" s="35">
        <f>ROUND(ROUND(P89, 2)*I89, 2)</f>
        <v>8391</v>
      </c>
      <c r="T89" s="12"/>
      <c r="U89" s="36"/>
      <c r="V89" s="9">
        <f>ROUND(ROUND(P89, 2)/1.2, 2)</f>
        <v>8.82</v>
      </c>
      <c r="Y89" s="9">
        <f t="shared" si="11"/>
        <v>6992.5</v>
      </c>
      <c r="AD89" s="4" t="s">
        <v>350</v>
      </c>
      <c r="AE89" s="4" t="s">
        <v>351</v>
      </c>
      <c r="AF89" s="4" t="s">
        <v>302</v>
      </c>
    </row>
    <row r="90" spans="1:35" ht="36" x14ac:dyDescent="0.3">
      <c r="A90" s="11" t="s">
        <v>352</v>
      </c>
      <c r="B90" s="11"/>
      <c r="C90" s="32" t="s">
        <v>304</v>
      </c>
      <c r="D90" s="21"/>
      <c r="E90" s="21"/>
      <c r="F90" s="33" t="s">
        <v>278</v>
      </c>
      <c r="G90" s="34">
        <v>0.255</v>
      </c>
      <c r="H90" s="21"/>
      <c r="I90" s="34">
        <v>202.24100000000001</v>
      </c>
      <c r="J90" s="35">
        <v>90.28</v>
      </c>
      <c r="K90" s="12"/>
      <c r="L90" s="12"/>
      <c r="M90" s="35">
        <f>ROUND(ROUND(J90, 2)*I90, 2)</f>
        <v>18258.32</v>
      </c>
      <c r="N90" s="12"/>
      <c r="O90" s="12"/>
      <c r="P90" s="35">
        <v>90.28</v>
      </c>
      <c r="Q90" s="12"/>
      <c r="R90" s="12"/>
      <c r="S90" s="35">
        <f>ROUND(ROUND(P90, 2)*I90, 2)</f>
        <v>18258.32</v>
      </c>
      <c r="T90" s="12"/>
      <c r="U90" s="36"/>
      <c r="V90" s="9">
        <f>ROUND(ROUND(P90, 2)/1.2, 2)</f>
        <v>75.23</v>
      </c>
      <c r="Y90" s="9">
        <f t="shared" si="11"/>
        <v>15215.27</v>
      </c>
      <c r="AD90" s="4" t="s">
        <v>353</v>
      </c>
      <c r="AE90" s="4" t="s">
        <v>354</v>
      </c>
      <c r="AF90" s="4" t="s">
        <v>307</v>
      </c>
    </row>
    <row r="91" spans="1:35" ht="36" x14ac:dyDescent="0.3">
      <c r="A91" s="11" t="s">
        <v>355</v>
      </c>
      <c r="B91" s="11"/>
      <c r="C91" s="30" t="s">
        <v>356</v>
      </c>
      <c r="D91" s="21"/>
      <c r="E91" s="21"/>
      <c r="F91" s="33" t="s">
        <v>278</v>
      </c>
      <c r="G91" s="34">
        <v>1.6</v>
      </c>
      <c r="H91" s="21"/>
      <c r="I91" s="37">
        <v>12689.6</v>
      </c>
      <c r="J91" s="35">
        <v>9.2200000000000006</v>
      </c>
      <c r="K91" s="12"/>
      <c r="L91" s="12"/>
      <c r="M91" s="35">
        <f>ROUND(ROUND(J91, 2)*I91, 2)</f>
        <v>116998.11</v>
      </c>
      <c r="N91" s="12"/>
      <c r="O91" s="12"/>
      <c r="P91" s="35">
        <v>9.2200000000000006</v>
      </c>
      <c r="Q91" s="12"/>
      <c r="R91" s="12"/>
      <c r="S91" s="35">
        <f>ROUND(ROUND(P91, 2)*I91, 2)</f>
        <v>116998.11</v>
      </c>
      <c r="T91" s="12"/>
      <c r="U91" s="36"/>
      <c r="V91" s="9">
        <f>ROUND(ROUND(P91, 2)/1.2, 2)</f>
        <v>7.68</v>
      </c>
      <c r="Y91" s="9">
        <f t="shared" si="11"/>
        <v>97498.43</v>
      </c>
      <c r="AD91" s="4" t="s">
        <v>357</v>
      </c>
      <c r="AE91" s="4" t="s">
        <v>358</v>
      </c>
      <c r="AF91" s="4" t="s">
        <v>359</v>
      </c>
    </row>
    <row r="92" spans="1:35" ht="72" x14ac:dyDescent="0.3">
      <c r="A92" s="11" t="s">
        <v>360</v>
      </c>
      <c r="B92" s="11" t="s">
        <v>344</v>
      </c>
      <c r="C92" s="20" t="s">
        <v>345</v>
      </c>
      <c r="D92" s="21"/>
      <c r="E92" s="21" t="s">
        <v>361</v>
      </c>
      <c r="F92" s="21" t="s">
        <v>62</v>
      </c>
      <c r="G92" s="22">
        <v>1</v>
      </c>
      <c r="H92" s="21"/>
      <c r="I92" s="22">
        <v>3496.5</v>
      </c>
      <c r="J92" s="23">
        <f>IFERROR(ROUND(SUM(M93,M94,M95)/I92, 2),0)</f>
        <v>181.12</v>
      </c>
      <c r="K92" s="23">
        <v>557</v>
      </c>
      <c r="L92" s="23">
        <f>J92+ROUND(K92, 2)</f>
        <v>738.12</v>
      </c>
      <c r="M92" s="23">
        <f>ROUND(J92*I92, 2)</f>
        <v>633286.07999999996</v>
      </c>
      <c r="N92" s="23">
        <f>ROUND(I92*ROUND(K92, 2), 2)</f>
        <v>1947550.5</v>
      </c>
      <c r="O92" s="23">
        <f>M92+N92</f>
        <v>2580836.58</v>
      </c>
      <c r="P92" s="23">
        <f>IFERROR(ROUND(SUM(S93,S94,S95)/I92, 2),0)</f>
        <v>181.12</v>
      </c>
      <c r="Q92" s="23">
        <v>835.5</v>
      </c>
      <c r="R92" s="23">
        <f>P92+ROUND(Q92, 2)</f>
        <v>1016.62</v>
      </c>
      <c r="S92" s="23">
        <f>ROUND(P92*I92, 2)</f>
        <v>633286.07999999996</v>
      </c>
      <c r="T92" s="23">
        <f>ROUND(I92*ROUND(Q92, 2), 2)</f>
        <v>2921325.75</v>
      </c>
      <c r="U92" s="23">
        <f>S92+T92</f>
        <v>3554611.83</v>
      </c>
      <c r="V92" s="9">
        <f>ROUND(P92 / 1.2, 2)</f>
        <v>150.93</v>
      </c>
      <c r="W92" s="9">
        <f>ROUND(Q92 / 1.2, 2)</f>
        <v>696.25</v>
      </c>
      <c r="X92" s="9">
        <f>ROUND(R92 / 1.2, 2)</f>
        <v>847.18</v>
      </c>
      <c r="Y92" s="9">
        <f t="shared" si="11"/>
        <v>527738.4</v>
      </c>
      <c r="Z92" s="9">
        <f>ROUND(T92 / 1.2, 2)</f>
        <v>2434438.13</v>
      </c>
      <c r="AA92" s="9">
        <f>Y92+Z92</f>
        <v>2962176.53</v>
      </c>
      <c r="AD92" s="4">
        <v>334080592</v>
      </c>
      <c r="AE92" s="4">
        <v>29196677</v>
      </c>
      <c r="AG92" s="4" t="s">
        <v>347</v>
      </c>
      <c r="AH92" s="4" t="s">
        <v>348</v>
      </c>
      <c r="AI92" s="4" t="s">
        <v>250</v>
      </c>
    </row>
    <row r="93" spans="1:35" ht="36" x14ac:dyDescent="0.3">
      <c r="A93" s="11" t="s">
        <v>362</v>
      </c>
      <c r="B93" s="11"/>
      <c r="C93" s="30" t="s">
        <v>356</v>
      </c>
      <c r="D93" s="21"/>
      <c r="E93" s="21"/>
      <c r="F93" s="33" t="s">
        <v>278</v>
      </c>
      <c r="G93" s="34">
        <v>1.6</v>
      </c>
      <c r="H93" s="21"/>
      <c r="I93" s="37">
        <v>55944</v>
      </c>
      <c r="J93" s="35">
        <v>9.2200000000000006</v>
      </c>
      <c r="K93" s="12"/>
      <c r="L93" s="12"/>
      <c r="M93" s="35">
        <f>ROUND(ROUND(J93, 2)*I93, 2)</f>
        <v>515803.68</v>
      </c>
      <c r="N93" s="12"/>
      <c r="O93" s="12"/>
      <c r="P93" s="35">
        <v>9.2200000000000006</v>
      </c>
      <c r="Q93" s="12"/>
      <c r="R93" s="12"/>
      <c r="S93" s="35">
        <f>ROUND(ROUND(P93, 2)*I93, 2)</f>
        <v>515803.68</v>
      </c>
      <c r="T93" s="12"/>
      <c r="U93" s="36"/>
      <c r="V93" s="9">
        <f>ROUND(ROUND(P93, 2)/1.2, 2)</f>
        <v>7.68</v>
      </c>
      <c r="Y93" s="9">
        <f t="shared" si="11"/>
        <v>429836.4</v>
      </c>
      <c r="AD93" s="4" t="s">
        <v>363</v>
      </c>
      <c r="AE93" s="4" t="s">
        <v>364</v>
      </c>
      <c r="AF93" s="4" t="s">
        <v>359</v>
      </c>
    </row>
    <row r="94" spans="1:35" ht="36" x14ac:dyDescent="0.3">
      <c r="A94" s="11" t="s">
        <v>365</v>
      </c>
      <c r="B94" s="11"/>
      <c r="C94" s="32" t="s">
        <v>304</v>
      </c>
      <c r="D94" s="21"/>
      <c r="E94" s="21"/>
      <c r="F94" s="33" t="s">
        <v>278</v>
      </c>
      <c r="G94" s="34">
        <v>0.255</v>
      </c>
      <c r="H94" s="21"/>
      <c r="I94" s="34">
        <v>891.60799999999995</v>
      </c>
      <c r="J94" s="35">
        <v>90.28</v>
      </c>
      <c r="K94" s="12"/>
      <c r="L94" s="12"/>
      <c r="M94" s="35">
        <f>ROUND(ROUND(J94, 2)*I94, 2)</f>
        <v>80494.37</v>
      </c>
      <c r="N94" s="12"/>
      <c r="O94" s="12"/>
      <c r="P94" s="35">
        <v>90.28</v>
      </c>
      <c r="Q94" s="12"/>
      <c r="R94" s="12"/>
      <c r="S94" s="35">
        <f>ROUND(ROUND(P94, 2)*I94, 2)</f>
        <v>80494.37</v>
      </c>
      <c r="T94" s="12"/>
      <c r="U94" s="36"/>
      <c r="V94" s="9">
        <f>ROUND(ROUND(P94, 2)/1.2, 2)</f>
        <v>75.23</v>
      </c>
      <c r="Y94" s="9">
        <f t="shared" si="11"/>
        <v>67078.64</v>
      </c>
      <c r="AD94" s="4" t="s">
        <v>366</v>
      </c>
      <c r="AE94" s="4" t="s">
        <v>367</v>
      </c>
      <c r="AF94" s="4" t="s">
        <v>307</v>
      </c>
    </row>
    <row r="95" spans="1:35" ht="18" x14ac:dyDescent="0.3">
      <c r="A95" s="11" t="s">
        <v>368</v>
      </c>
      <c r="B95" s="11"/>
      <c r="C95" s="32" t="s">
        <v>299</v>
      </c>
      <c r="D95" s="21"/>
      <c r="E95" s="21"/>
      <c r="F95" s="33" t="s">
        <v>102</v>
      </c>
      <c r="G95" s="34">
        <v>1</v>
      </c>
      <c r="H95" s="21"/>
      <c r="I95" s="37">
        <v>3496.5</v>
      </c>
      <c r="J95" s="35">
        <v>10.58</v>
      </c>
      <c r="K95" s="12"/>
      <c r="L95" s="12"/>
      <c r="M95" s="35">
        <f>ROUND(ROUND(J95, 2)*I95, 2)</f>
        <v>36992.97</v>
      </c>
      <c r="N95" s="12"/>
      <c r="O95" s="12"/>
      <c r="P95" s="35">
        <v>10.58</v>
      </c>
      <c r="Q95" s="12"/>
      <c r="R95" s="12"/>
      <c r="S95" s="35">
        <f>ROUND(ROUND(P95, 2)*I95, 2)</f>
        <v>36992.97</v>
      </c>
      <c r="T95" s="12"/>
      <c r="U95" s="36"/>
      <c r="V95" s="9">
        <f>ROUND(ROUND(P95, 2)/1.2, 2)</f>
        <v>8.82</v>
      </c>
      <c r="Y95" s="9">
        <f t="shared" si="11"/>
        <v>30827.48</v>
      </c>
      <c r="AD95" s="4" t="s">
        <v>369</v>
      </c>
      <c r="AE95" s="4" t="s">
        <v>370</v>
      </c>
      <c r="AF95" s="4" t="s">
        <v>302</v>
      </c>
    </row>
    <row r="96" spans="1:35" ht="16.95" customHeight="1" x14ac:dyDescent="0.3">
      <c r="A96" s="11" t="s">
        <v>371</v>
      </c>
      <c r="B96" s="11" t="s">
        <v>372</v>
      </c>
      <c r="C96" s="94" t="s">
        <v>373</v>
      </c>
      <c r="D96" s="95"/>
      <c r="E96" s="95"/>
      <c r="F96" s="95"/>
      <c r="G96" s="95"/>
      <c r="H96" s="95"/>
      <c r="I96" s="96"/>
      <c r="J96" s="12"/>
      <c r="K96" s="12"/>
      <c r="L96" s="12"/>
      <c r="M96" s="13">
        <f>SUM(M97,M101,M105,M108,M111,M113,M115)</f>
        <v>759677.49000000011</v>
      </c>
      <c r="N96" s="13">
        <f>SUM(N97,N101,N105,N108,N111,N113,N115)</f>
        <v>500328.01</v>
      </c>
      <c r="O96" s="13">
        <f>SUM(O97,O101,O105,O108,O111,O113,O115)</f>
        <v>1260005.5</v>
      </c>
      <c r="P96" s="12"/>
      <c r="Q96" s="12"/>
      <c r="R96" s="12"/>
      <c r="S96" s="13">
        <f>SUM(S97,S101,S105,S108,S111,S113,S115)</f>
        <v>763725.44000000006</v>
      </c>
      <c r="T96" s="13">
        <f>SUM(T97,T101,T105,T108,T111,T113,T115)</f>
        <v>741872.25</v>
      </c>
      <c r="U96" s="13">
        <f>SUM(U97,U101,U105,U108,U111,U113,U115)</f>
        <v>1505597.69</v>
      </c>
      <c r="Y96" s="9">
        <f>SUM(Y97,Y101,Y105,Y108,Y111,Y113,Y115)</f>
        <v>636437.88</v>
      </c>
      <c r="Z96" s="9">
        <f>SUM(Z97,Z101,Z105,Z108,Z111,Z113,Z115)</f>
        <v>618226.88000000012</v>
      </c>
      <c r="AA96" s="9">
        <f>SUM(AA97,AA101,AA105,AA108,AA111,AA113,AA115)</f>
        <v>1254664.76</v>
      </c>
      <c r="AD96" s="4">
        <v>334080497</v>
      </c>
      <c r="AE96" s="4">
        <v>29223861</v>
      </c>
    </row>
    <row r="97" spans="1:35" ht="144" x14ac:dyDescent="0.3">
      <c r="A97" s="11" t="s">
        <v>374</v>
      </c>
      <c r="B97" s="11" t="s">
        <v>375</v>
      </c>
      <c r="C97" s="20" t="s">
        <v>376</v>
      </c>
      <c r="D97" s="21"/>
      <c r="E97" s="21" t="s">
        <v>377</v>
      </c>
      <c r="F97" s="21" t="s">
        <v>62</v>
      </c>
      <c r="G97" s="22">
        <v>1</v>
      </c>
      <c r="H97" s="21"/>
      <c r="I97" s="22">
        <v>54.4</v>
      </c>
      <c r="J97" s="23">
        <f>IFERROR(ROUND(SUM(M98,M99,M100)/I97, 2),0)</f>
        <v>420.29</v>
      </c>
      <c r="K97" s="23">
        <v>324</v>
      </c>
      <c r="L97" s="23">
        <f>J97+ROUND(K97, 2)</f>
        <v>744.29</v>
      </c>
      <c r="M97" s="23">
        <f>ROUND(J97*I97, 2)</f>
        <v>22863.78</v>
      </c>
      <c r="N97" s="23">
        <f>ROUND(I97*ROUND(K97, 2), 2)</f>
        <v>17625.599999999999</v>
      </c>
      <c r="O97" s="23">
        <f>M97+N97</f>
        <v>40489.379999999997</v>
      </c>
      <c r="P97" s="23">
        <f>IFERROR(ROUND(SUM(S98,S99,S100)/I97, 2),0)</f>
        <v>420.29</v>
      </c>
      <c r="Q97" s="23">
        <v>486</v>
      </c>
      <c r="R97" s="23">
        <f>P97+ROUND(Q97, 2)</f>
        <v>906.29</v>
      </c>
      <c r="S97" s="23">
        <f>ROUND(P97*I97, 2)</f>
        <v>22863.78</v>
      </c>
      <c r="T97" s="23">
        <f>ROUND(I97*ROUND(Q97, 2), 2)</f>
        <v>26438.400000000001</v>
      </c>
      <c r="U97" s="23">
        <f>S97+T97</f>
        <v>49302.18</v>
      </c>
      <c r="V97" s="9">
        <f>ROUND(P97 / 1.2, 2)</f>
        <v>350.24</v>
      </c>
      <c r="W97" s="9">
        <f>ROUND(Q97 / 1.2, 2)</f>
        <v>405</v>
      </c>
      <c r="X97" s="9">
        <f>ROUND(R97 / 1.2, 2)</f>
        <v>755.24</v>
      </c>
      <c r="Y97" s="9">
        <f>ROUND(S97 / 1.2, 2)</f>
        <v>19053.150000000001</v>
      </c>
      <c r="Z97" s="9">
        <f>ROUND(T97 / 1.2, 2)</f>
        <v>22032</v>
      </c>
      <c r="AA97" s="9">
        <f>Y97+Z97</f>
        <v>41085.15</v>
      </c>
      <c r="AD97" s="4">
        <v>334080499</v>
      </c>
      <c r="AE97" s="4">
        <v>29223865</v>
      </c>
      <c r="AG97" s="4" t="s">
        <v>378</v>
      </c>
      <c r="AH97" s="4" t="s">
        <v>379</v>
      </c>
      <c r="AI97" s="4" t="s">
        <v>250</v>
      </c>
    </row>
    <row r="98" spans="1:35" ht="18" x14ac:dyDescent="0.3">
      <c r="A98" s="11" t="s">
        <v>380</v>
      </c>
      <c r="B98" s="11"/>
      <c r="C98" s="32" t="s">
        <v>381</v>
      </c>
      <c r="D98" s="21"/>
      <c r="E98" s="21"/>
      <c r="F98" s="33" t="s">
        <v>278</v>
      </c>
      <c r="G98" s="34">
        <v>0.25</v>
      </c>
      <c r="H98" s="21"/>
      <c r="I98" s="34">
        <v>13.6</v>
      </c>
      <c r="J98" s="35">
        <v>213.81</v>
      </c>
      <c r="K98" s="12"/>
      <c r="L98" s="12"/>
      <c r="M98" s="35">
        <f>ROUND(ROUND(J98, 2)*I98, 2)</f>
        <v>2907.82</v>
      </c>
      <c r="N98" s="12"/>
      <c r="O98" s="12"/>
      <c r="P98" s="35">
        <v>213.81</v>
      </c>
      <c r="Q98" s="12"/>
      <c r="R98" s="12"/>
      <c r="S98" s="35">
        <f>ROUND(ROUND(P98, 2)*I98, 2)</f>
        <v>2907.82</v>
      </c>
      <c r="T98" s="12"/>
      <c r="U98" s="36"/>
      <c r="V98" s="9">
        <f>ROUND(ROUND(P98, 2)/1.2, 2)</f>
        <v>178.18</v>
      </c>
      <c r="Y98" s="9">
        <f t="shared" ref="Y98:Y116" si="12">ROUND(S98 / 1.2, 2)</f>
        <v>2423.1799999999998</v>
      </c>
      <c r="AD98" s="4" t="s">
        <v>382</v>
      </c>
      <c r="AE98" s="4" t="s">
        <v>383</v>
      </c>
      <c r="AF98" s="4" t="s">
        <v>384</v>
      </c>
    </row>
    <row r="99" spans="1:35" ht="36" x14ac:dyDescent="0.3">
      <c r="A99" s="11" t="s">
        <v>385</v>
      </c>
      <c r="B99" s="11"/>
      <c r="C99" s="32" t="s">
        <v>386</v>
      </c>
      <c r="D99" s="21"/>
      <c r="E99" s="21" t="s">
        <v>387</v>
      </c>
      <c r="F99" s="33" t="s">
        <v>102</v>
      </c>
      <c r="G99" s="34">
        <v>1.05</v>
      </c>
      <c r="H99" s="21"/>
      <c r="I99" s="37">
        <v>57.12</v>
      </c>
      <c r="J99" s="35">
        <v>7.11</v>
      </c>
      <c r="K99" s="12"/>
      <c r="L99" s="12"/>
      <c r="M99" s="35">
        <f>ROUND(ROUND(J99, 2)*I99, 2)</f>
        <v>406.12</v>
      </c>
      <c r="N99" s="12"/>
      <c r="O99" s="12"/>
      <c r="P99" s="35">
        <v>7.11</v>
      </c>
      <c r="Q99" s="12"/>
      <c r="R99" s="12"/>
      <c r="S99" s="35">
        <f>ROUND(ROUND(P99, 2)*I99, 2)</f>
        <v>406.12</v>
      </c>
      <c r="T99" s="12"/>
      <c r="U99" s="36"/>
      <c r="V99" s="9">
        <f>ROUND(ROUND(P99, 2)/1.2, 2)</f>
        <v>5.93</v>
      </c>
      <c r="Y99" s="9">
        <f t="shared" si="12"/>
        <v>338.43</v>
      </c>
      <c r="AD99" s="4" t="s">
        <v>388</v>
      </c>
      <c r="AE99" s="4" t="s">
        <v>389</v>
      </c>
      <c r="AF99" s="4" t="s">
        <v>390</v>
      </c>
    </row>
    <row r="100" spans="1:35" ht="36" x14ac:dyDescent="0.3">
      <c r="A100" s="11" t="s">
        <v>391</v>
      </c>
      <c r="B100" s="11"/>
      <c r="C100" s="32" t="s">
        <v>392</v>
      </c>
      <c r="D100" s="21"/>
      <c r="E100" s="21"/>
      <c r="F100" s="33" t="s">
        <v>278</v>
      </c>
      <c r="G100" s="34">
        <v>2.5</v>
      </c>
      <c r="H100" s="21"/>
      <c r="I100" s="34">
        <v>136</v>
      </c>
      <c r="J100" s="35">
        <v>143.75</v>
      </c>
      <c r="K100" s="12"/>
      <c r="L100" s="12"/>
      <c r="M100" s="35">
        <f>ROUND(ROUND(J100, 2)*I100, 2)</f>
        <v>19550</v>
      </c>
      <c r="N100" s="12"/>
      <c r="O100" s="12"/>
      <c r="P100" s="35">
        <v>143.75</v>
      </c>
      <c r="Q100" s="12"/>
      <c r="R100" s="12"/>
      <c r="S100" s="35">
        <f>ROUND(ROUND(P100, 2)*I100, 2)</f>
        <v>19550</v>
      </c>
      <c r="T100" s="12"/>
      <c r="U100" s="36"/>
      <c r="V100" s="9">
        <f>ROUND(ROUND(P100, 2)/1.2, 2)</f>
        <v>119.79</v>
      </c>
      <c r="Y100" s="9">
        <f t="shared" si="12"/>
        <v>16291.67</v>
      </c>
      <c r="AD100" s="4" t="s">
        <v>393</v>
      </c>
      <c r="AE100" s="4" t="s">
        <v>394</v>
      </c>
      <c r="AF100" s="4" t="s">
        <v>395</v>
      </c>
    </row>
    <row r="101" spans="1:35" ht="108" x14ac:dyDescent="0.3">
      <c r="A101" s="11" t="s">
        <v>396</v>
      </c>
      <c r="B101" s="11" t="s">
        <v>375</v>
      </c>
      <c r="C101" s="20" t="s">
        <v>376</v>
      </c>
      <c r="D101" s="21"/>
      <c r="E101" s="21" t="s">
        <v>397</v>
      </c>
      <c r="F101" s="21" t="s">
        <v>62</v>
      </c>
      <c r="G101" s="22">
        <v>1</v>
      </c>
      <c r="H101" s="21"/>
      <c r="I101" s="22">
        <v>118.66</v>
      </c>
      <c r="J101" s="23">
        <f>IFERROR(ROUND(SUM(M102,M103,M104)/I101, 2),0)</f>
        <v>420.29</v>
      </c>
      <c r="K101" s="23">
        <v>324</v>
      </c>
      <c r="L101" s="23">
        <f>J101+ROUND(K101, 2)</f>
        <v>744.29</v>
      </c>
      <c r="M101" s="23">
        <f>ROUND(J101*I101, 2)</f>
        <v>49871.61</v>
      </c>
      <c r="N101" s="23">
        <f>ROUND(I101*ROUND(K101, 2), 2)</f>
        <v>38445.839999999997</v>
      </c>
      <c r="O101" s="23">
        <f>M101+N101</f>
        <v>88317.45</v>
      </c>
      <c r="P101" s="23">
        <f>IFERROR(ROUND(SUM(S102,S103,S104)/I101, 2),0)</f>
        <v>420.29</v>
      </c>
      <c r="Q101" s="23">
        <v>486</v>
      </c>
      <c r="R101" s="23">
        <f>P101+ROUND(Q101, 2)</f>
        <v>906.29</v>
      </c>
      <c r="S101" s="23">
        <f>ROUND(P101*I101, 2)</f>
        <v>49871.61</v>
      </c>
      <c r="T101" s="23">
        <f>ROUND(I101*ROUND(Q101, 2), 2)</f>
        <v>57668.76</v>
      </c>
      <c r="U101" s="23">
        <f>S101+T101</f>
        <v>107540.37</v>
      </c>
      <c r="V101" s="9">
        <f>ROUND(P101 / 1.2, 2)</f>
        <v>350.24</v>
      </c>
      <c r="W101" s="9">
        <f>ROUND(Q101 / 1.2, 2)</f>
        <v>405</v>
      </c>
      <c r="X101" s="9">
        <f>ROUND(R101 / 1.2, 2)</f>
        <v>755.24</v>
      </c>
      <c r="Y101" s="9">
        <f t="shared" si="12"/>
        <v>41559.68</v>
      </c>
      <c r="Z101" s="9">
        <f>ROUND(T101 / 1.2, 2)</f>
        <v>48057.3</v>
      </c>
      <c r="AA101" s="9">
        <f>Y101+Z101</f>
        <v>89616.98000000001</v>
      </c>
      <c r="AD101" s="4">
        <v>334080593</v>
      </c>
      <c r="AE101" s="4">
        <v>29223866</v>
      </c>
      <c r="AG101" s="4" t="s">
        <v>378</v>
      </c>
      <c r="AH101" s="4" t="s">
        <v>379</v>
      </c>
      <c r="AI101" s="4" t="s">
        <v>250</v>
      </c>
    </row>
    <row r="102" spans="1:35" ht="36" x14ac:dyDescent="0.3">
      <c r="A102" s="11" t="s">
        <v>398</v>
      </c>
      <c r="B102" s="11"/>
      <c r="C102" s="32" t="s">
        <v>392</v>
      </c>
      <c r="D102" s="21"/>
      <c r="E102" s="21"/>
      <c r="F102" s="33" t="s">
        <v>278</v>
      </c>
      <c r="G102" s="34">
        <v>2.5</v>
      </c>
      <c r="H102" s="21"/>
      <c r="I102" s="34">
        <v>296.64999999999998</v>
      </c>
      <c r="J102" s="35">
        <v>143.75</v>
      </c>
      <c r="K102" s="12"/>
      <c r="L102" s="12"/>
      <c r="M102" s="35">
        <f>ROUND(ROUND(J102, 2)*I102, 2)</f>
        <v>42643.44</v>
      </c>
      <c r="N102" s="12"/>
      <c r="O102" s="12"/>
      <c r="P102" s="35">
        <v>143.75</v>
      </c>
      <c r="Q102" s="12"/>
      <c r="R102" s="12"/>
      <c r="S102" s="35">
        <f>ROUND(ROUND(P102, 2)*I102, 2)</f>
        <v>42643.44</v>
      </c>
      <c r="T102" s="12"/>
      <c r="U102" s="36"/>
      <c r="V102" s="9">
        <f>ROUND(ROUND(P102, 2)/1.2, 2)</f>
        <v>119.79</v>
      </c>
      <c r="Y102" s="9">
        <f t="shared" si="12"/>
        <v>35536.199999999997</v>
      </c>
      <c r="AD102" s="4" t="s">
        <v>399</v>
      </c>
      <c r="AE102" s="4" t="s">
        <v>400</v>
      </c>
      <c r="AF102" s="4" t="s">
        <v>395</v>
      </c>
    </row>
    <row r="103" spans="1:35" ht="18" x14ac:dyDescent="0.3">
      <c r="A103" s="11" t="s">
        <v>401</v>
      </c>
      <c r="B103" s="11"/>
      <c r="C103" s="32" t="s">
        <v>386</v>
      </c>
      <c r="D103" s="21"/>
      <c r="E103" s="21"/>
      <c r="F103" s="33" t="s">
        <v>102</v>
      </c>
      <c r="G103" s="34">
        <v>1.05</v>
      </c>
      <c r="H103" s="21"/>
      <c r="I103" s="37">
        <v>124.593</v>
      </c>
      <c r="J103" s="35">
        <v>7.11</v>
      </c>
      <c r="K103" s="12"/>
      <c r="L103" s="12"/>
      <c r="M103" s="35">
        <f>ROUND(ROUND(J103, 2)*I103, 2)</f>
        <v>885.86</v>
      </c>
      <c r="N103" s="12"/>
      <c r="O103" s="12"/>
      <c r="P103" s="35">
        <v>7.11</v>
      </c>
      <c r="Q103" s="12"/>
      <c r="R103" s="12"/>
      <c r="S103" s="35">
        <f>ROUND(ROUND(P103, 2)*I103, 2)</f>
        <v>885.86</v>
      </c>
      <c r="T103" s="12"/>
      <c r="U103" s="36"/>
      <c r="V103" s="9">
        <f>ROUND(ROUND(P103, 2)/1.2, 2)</f>
        <v>5.93</v>
      </c>
      <c r="Y103" s="9">
        <f t="shared" si="12"/>
        <v>738.22</v>
      </c>
      <c r="AD103" s="4" t="s">
        <v>402</v>
      </c>
      <c r="AE103" s="4" t="s">
        <v>403</v>
      </c>
      <c r="AF103" s="4" t="s">
        <v>390</v>
      </c>
    </row>
    <row r="104" spans="1:35" ht="18" x14ac:dyDescent="0.3">
      <c r="A104" s="11" t="s">
        <v>404</v>
      </c>
      <c r="B104" s="11"/>
      <c r="C104" s="32" t="s">
        <v>381</v>
      </c>
      <c r="D104" s="21"/>
      <c r="E104" s="21"/>
      <c r="F104" s="33" t="s">
        <v>278</v>
      </c>
      <c r="G104" s="34">
        <v>0.25</v>
      </c>
      <c r="H104" s="21"/>
      <c r="I104" s="34">
        <v>29.664999999999999</v>
      </c>
      <c r="J104" s="35">
        <v>213.81</v>
      </c>
      <c r="K104" s="12"/>
      <c r="L104" s="12"/>
      <c r="M104" s="35">
        <f>ROUND(ROUND(J104, 2)*I104, 2)</f>
        <v>6342.67</v>
      </c>
      <c r="N104" s="12"/>
      <c r="O104" s="12"/>
      <c r="P104" s="35">
        <v>213.81</v>
      </c>
      <c r="Q104" s="12"/>
      <c r="R104" s="12"/>
      <c r="S104" s="35">
        <f>ROUND(ROUND(P104, 2)*I104, 2)</f>
        <v>6342.67</v>
      </c>
      <c r="T104" s="12"/>
      <c r="U104" s="36"/>
      <c r="V104" s="9">
        <f>ROUND(ROUND(P104, 2)/1.2, 2)</f>
        <v>178.18</v>
      </c>
      <c r="Y104" s="9">
        <f t="shared" si="12"/>
        <v>5285.56</v>
      </c>
      <c r="AD104" s="4" t="s">
        <v>405</v>
      </c>
      <c r="AE104" s="4" t="s">
        <v>406</v>
      </c>
      <c r="AF104" s="4" t="s">
        <v>384</v>
      </c>
    </row>
    <row r="105" spans="1:35" ht="144" x14ac:dyDescent="0.3">
      <c r="A105" s="11" t="s">
        <v>407</v>
      </c>
      <c r="B105" s="11" t="s">
        <v>375</v>
      </c>
      <c r="C105" s="20" t="s">
        <v>376</v>
      </c>
      <c r="D105" s="21"/>
      <c r="E105" s="21" t="s">
        <v>408</v>
      </c>
      <c r="F105" s="21" t="s">
        <v>62</v>
      </c>
      <c r="G105" s="22">
        <v>1</v>
      </c>
      <c r="H105" s="21"/>
      <c r="I105" s="22">
        <v>536.16999999999996</v>
      </c>
      <c r="J105" s="23">
        <f>IFERROR(ROUND(SUM(M106,M107)/I105, 2),0)</f>
        <v>996.76</v>
      </c>
      <c r="K105" s="23">
        <v>324</v>
      </c>
      <c r="L105" s="23">
        <f>J105+ROUND(K105, 2)</f>
        <v>1320.76</v>
      </c>
      <c r="M105" s="23">
        <f>ROUND(J105*I105, 2)</f>
        <v>534432.81000000006</v>
      </c>
      <c r="N105" s="23">
        <f>ROUND(I105*ROUND(K105, 2), 2)</f>
        <v>173719.08</v>
      </c>
      <c r="O105" s="23">
        <f>M105+N105</f>
        <v>708151.89</v>
      </c>
      <c r="P105" s="23">
        <f>IFERROR(ROUND(SUM(S106,S107)/I105, 2),0)</f>
        <v>996.76</v>
      </c>
      <c r="Q105" s="23">
        <v>486</v>
      </c>
      <c r="R105" s="23">
        <f>P105+ROUND(Q105, 2)</f>
        <v>1482.76</v>
      </c>
      <c r="S105" s="23">
        <f>ROUND(P105*I105, 2)</f>
        <v>534432.81000000006</v>
      </c>
      <c r="T105" s="23">
        <f>ROUND(I105*ROUND(Q105, 2), 2)</f>
        <v>260578.62</v>
      </c>
      <c r="U105" s="23">
        <f>S105+T105</f>
        <v>795011.43</v>
      </c>
      <c r="V105" s="9">
        <f>ROUND(P105 / 1.2, 2)</f>
        <v>830.63</v>
      </c>
      <c r="W105" s="9">
        <f>ROUND(Q105 / 1.2, 2)</f>
        <v>405</v>
      </c>
      <c r="X105" s="9">
        <f>ROUND(R105 / 1.2, 2)</f>
        <v>1235.6300000000001</v>
      </c>
      <c r="Y105" s="9">
        <f t="shared" si="12"/>
        <v>445360.68</v>
      </c>
      <c r="Z105" s="9">
        <f>ROUND(T105 / 1.2, 2)</f>
        <v>217148.85</v>
      </c>
      <c r="AA105" s="9">
        <f>Y105+Z105</f>
        <v>662509.53</v>
      </c>
      <c r="AD105" s="4">
        <v>334080594</v>
      </c>
      <c r="AE105" s="4">
        <v>29240474</v>
      </c>
      <c r="AG105" s="4" t="s">
        <v>378</v>
      </c>
      <c r="AH105" s="4" t="s">
        <v>379</v>
      </c>
      <c r="AI105" s="4" t="s">
        <v>250</v>
      </c>
    </row>
    <row r="106" spans="1:35" ht="36" x14ac:dyDescent="0.3">
      <c r="A106" s="11" t="s">
        <v>409</v>
      </c>
      <c r="B106" s="11"/>
      <c r="C106" s="32" t="s">
        <v>410</v>
      </c>
      <c r="D106" s="21"/>
      <c r="E106" s="21" t="s">
        <v>411</v>
      </c>
      <c r="F106" s="33" t="s">
        <v>278</v>
      </c>
      <c r="G106" s="34">
        <v>1.4</v>
      </c>
      <c r="H106" s="21"/>
      <c r="I106" s="34">
        <v>750.63800000000003</v>
      </c>
      <c r="J106" s="35">
        <v>528.97</v>
      </c>
      <c r="K106" s="12"/>
      <c r="L106" s="12"/>
      <c r="M106" s="35">
        <f>ROUND(ROUND(J106, 2)*I106, 2)</f>
        <v>397064.98</v>
      </c>
      <c r="N106" s="12"/>
      <c r="O106" s="12"/>
      <c r="P106" s="35">
        <v>528.97</v>
      </c>
      <c r="Q106" s="12"/>
      <c r="R106" s="12"/>
      <c r="S106" s="35">
        <f>ROUND(ROUND(P106, 2)*I106, 2)</f>
        <v>397064.98</v>
      </c>
      <c r="T106" s="12"/>
      <c r="U106" s="36"/>
      <c r="V106" s="9">
        <f>ROUND(ROUND(P106, 2)/1.2, 2)</f>
        <v>440.81</v>
      </c>
      <c r="Y106" s="9">
        <f t="shared" si="12"/>
        <v>330887.48</v>
      </c>
      <c r="AD106" s="4" t="s">
        <v>412</v>
      </c>
      <c r="AE106" s="4" t="s">
        <v>413</v>
      </c>
      <c r="AF106" s="4" t="s">
        <v>414</v>
      </c>
    </row>
    <row r="107" spans="1:35" ht="36" x14ac:dyDescent="0.3">
      <c r="A107" s="11" t="s">
        <v>415</v>
      </c>
      <c r="B107" s="11"/>
      <c r="C107" s="32" t="s">
        <v>416</v>
      </c>
      <c r="D107" s="21"/>
      <c r="E107" s="21" t="s">
        <v>417</v>
      </c>
      <c r="F107" s="33" t="s">
        <v>102</v>
      </c>
      <c r="G107" s="34">
        <v>1.05</v>
      </c>
      <c r="H107" s="21"/>
      <c r="I107" s="37">
        <v>562.97900000000004</v>
      </c>
      <c r="J107" s="35">
        <v>244</v>
      </c>
      <c r="K107" s="12"/>
      <c r="L107" s="12"/>
      <c r="M107" s="35">
        <f>ROUND(ROUND(J107, 2)*I107, 2)</f>
        <v>137366.88</v>
      </c>
      <c r="N107" s="12"/>
      <c r="O107" s="12"/>
      <c r="P107" s="35">
        <v>244</v>
      </c>
      <c r="Q107" s="12"/>
      <c r="R107" s="12"/>
      <c r="S107" s="35">
        <f>ROUND(ROUND(P107, 2)*I107, 2)</f>
        <v>137366.88</v>
      </c>
      <c r="T107" s="12"/>
      <c r="U107" s="36"/>
      <c r="V107" s="9">
        <f>ROUND(ROUND(P107, 2)/1.2, 2)</f>
        <v>203.33</v>
      </c>
      <c r="Y107" s="9">
        <f t="shared" si="12"/>
        <v>114472.4</v>
      </c>
      <c r="AD107" s="4" t="s">
        <v>418</v>
      </c>
      <c r="AE107" s="4" t="s">
        <v>419</v>
      </c>
      <c r="AF107" s="4" t="s">
        <v>420</v>
      </c>
    </row>
    <row r="108" spans="1:35" ht="108" x14ac:dyDescent="0.3">
      <c r="A108" s="11" t="s">
        <v>421</v>
      </c>
      <c r="B108" s="11" t="s">
        <v>375</v>
      </c>
      <c r="C108" s="20" t="s">
        <v>376</v>
      </c>
      <c r="D108" s="21"/>
      <c r="E108" s="21" t="s">
        <v>422</v>
      </c>
      <c r="F108" s="21" t="s">
        <v>62</v>
      </c>
      <c r="G108" s="22">
        <v>1</v>
      </c>
      <c r="H108" s="21"/>
      <c r="I108" s="22">
        <v>105.69</v>
      </c>
      <c r="J108" s="23">
        <f>IFERROR(ROUND(SUM(M109,M110)/I108, 2),0)</f>
        <v>996.76</v>
      </c>
      <c r="K108" s="23">
        <v>324</v>
      </c>
      <c r="L108" s="23">
        <f>J108+ROUND(K108, 2)</f>
        <v>1320.76</v>
      </c>
      <c r="M108" s="23">
        <f>ROUND(J108*I108, 2)</f>
        <v>105347.56</v>
      </c>
      <c r="N108" s="23">
        <f>ROUND(I108*ROUND(K108, 2), 2)</f>
        <v>34243.56</v>
      </c>
      <c r="O108" s="23">
        <f>M108+N108</f>
        <v>139591.12</v>
      </c>
      <c r="P108" s="23">
        <f>IFERROR(ROUND(SUM(S109,S110)/I108, 2),0)</f>
        <v>996.76</v>
      </c>
      <c r="Q108" s="23">
        <v>486</v>
      </c>
      <c r="R108" s="23">
        <f>P108+ROUND(Q108, 2)</f>
        <v>1482.76</v>
      </c>
      <c r="S108" s="23">
        <f>ROUND(P108*I108, 2)</f>
        <v>105347.56</v>
      </c>
      <c r="T108" s="23">
        <f>ROUND(I108*ROUND(Q108, 2), 2)</f>
        <v>51365.34</v>
      </c>
      <c r="U108" s="23">
        <f>S108+T108</f>
        <v>156712.9</v>
      </c>
      <c r="V108" s="9">
        <f>ROUND(P108 / 1.2, 2)</f>
        <v>830.63</v>
      </c>
      <c r="W108" s="9">
        <f>ROUND(Q108 / 1.2, 2)</f>
        <v>405</v>
      </c>
      <c r="X108" s="9">
        <f>ROUND(R108 / 1.2, 2)</f>
        <v>1235.6300000000001</v>
      </c>
      <c r="Y108" s="9">
        <f t="shared" si="12"/>
        <v>87789.63</v>
      </c>
      <c r="Z108" s="9">
        <f>ROUND(T108 / 1.2, 2)</f>
        <v>42804.45</v>
      </c>
      <c r="AA108" s="9">
        <f>Y108+Z108</f>
        <v>130594.08</v>
      </c>
      <c r="AD108" s="4">
        <v>334080595</v>
      </c>
      <c r="AE108" s="4">
        <v>29240473</v>
      </c>
      <c r="AG108" s="4" t="s">
        <v>378</v>
      </c>
      <c r="AH108" s="4" t="s">
        <v>379</v>
      </c>
      <c r="AI108" s="4" t="s">
        <v>250</v>
      </c>
    </row>
    <row r="109" spans="1:35" ht="36" x14ac:dyDescent="0.3">
      <c r="A109" s="11" t="s">
        <v>423</v>
      </c>
      <c r="B109" s="11"/>
      <c r="C109" s="32" t="s">
        <v>416</v>
      </c>
      <c r="D109" s="21"/>
      <c r="E109" s="21" t="s">
        <v>417</v>
      </c>
      <c r="F109" s="33" t="s">
        <v>102</v>
      </c>
      <c r="G109" s="34">
        <v>1.05</v>
      </c>
      <c r="H109" s="21"/>
      <c r="I109" s="37">
        <v>110.97499999999999</v>
      </c>
      <c r="J109" s="35">
        <v>244</v>
      </c>
      <c r="K109" s="12"/>
      <c r="L109" s="12"/>
      <c r="M109" s="35">
        <f>ROUND(ROUND(J109, 2)*I109, 2)</f>
        <v>27077.9</v>
      </c>
      <c r="N109" s="12"/>
      <c r="O109" s="12"/>
      <c r="P109" s="35">
        <v>244</v>
      </c>
      <c r="Q109" s="12"/>
      <c r="R109" s="12"/>
      <c r="S109" s="35">
        <f>ROUND(ROUND(P109, 2)*I109, 2)</f>
        <v>27077.9</v>
      </c>
      <c r="T109" s="12"/>
      <c r="U109" s="36"/>
      <c r="V109" s="9">
        <f>ROUND(ROUND(P109, 2)/1.2, 2)</f>
        <v>203.33</v>
      </c>
      <c r="Y109" s="9">
        <f t="shared" si="12"/>
        <v>22564.92</v>
      </c>
      <c r="AD109" s="4" t="s">
        <v>424</v>
      </c>
      <c r="AE109" s="4" t="s">
        <v>425</v>
      </c>
      <c r="AF109" s="4" t="s">
        <v>420</v>
      </c>
    </row>
    <row r="110" spans="1:35" ht="36" x14ac:dyDescent="0.3">
      <c r="A110" s="11" t="s">
        <v>426</v>
      </c>
      <c r="B110" s="11"/>
      <c r="C110" s="32" t="s">
        <v>410</v>
      </c>
      <c r="D110" s="21"/>
      <c r="E110" s="21" t="s">
        <v>411</v>
      </c>
      <c r="F110" s="33" t="s">
        <v>278</v>
      </c>
      <c r="G110" s="34">
        <v>1.4</v>
      </c>
      <c r="H110" s="21"/>
      <c r="I110" s="34">
        <v>147.96600000000001</v>
      </c>
      <c r="J110" s="35">
        <v>528.97</v>
      </c>
      <c r="K110" s="12"/>
      <c r="L110" s="12"/>
      <c r="M110" s="35">
        <f>ROUND(ROUND(J110, 2)*I110, 2)</f>
        <v>78269.58</v>
      </c>
      <c r="N110" s="12"/>
      <c r="O110" s="12"/>
      <c r="P110" s="35">
        <v>528.97</v>
      </c>
      <c r="Q110" s="12"/>
      <c r="R110" s="12"/>
      <c r="S110" s="35">
        <f>ROUND(ROUND(P110, 2)*I110, 2)</f>
        <v>78269.58</v>
      </c>
      <c r="T110" s="12"/>
      <c r="U110" s="36"/>
      <c r="V110" s="9">
        <f>ROUND(ROUND(P110, 2)/1.2, 2)</f>
        <v>440.81</v>
      </c>
      <c r="Y110" s="9">
        <f t="shared" si="12"/>
        <v>65224.65</v>
      </c>
      <c r="AD110" s="4" t="s">
        <v>427</v>
      </c>
      <c r="AE110" s="4" t="s">
        <v>428</v>
      </c>
      <c r="AF110" s="4" t="s">
        <v>414</v>
      </c>
    </row>
    <row r="111" spans="1:35" ht="108" x14ac:dyDescent="0.3">
      <c r="A111" s="11" t="s">
        <v>429</v>
      </c>
      <c r="B111" s="11" t="s">
        <v>430</v>
      </c>
      <c r="C111" s="20" t="s">
        <v>431</v>
      </c>
      <c r="D111" s="21"/>
      <c r="E111" s="21" t="s">
        <v>432</v>
      </c>
      <c r="F111" s="21" t="s">
        <v>62</v>
      </c>
      <c r="G111" s="22">
        <v>1</v>
      </c>
      <c r="H111" s="21"/>
      <c r="I111" s="22">
        <v>316.39999999999998</v>
      </c>
      <c r="J111" s="23">
        <f>IFERROR(ROUND(SUM(M112)/I111, 2),0)</f>
        <v>86.12</v>
      </c>
      <c r="K111" s="23">
        <v>580</v>
      </c>
      <c r="L111" s="23">
        <f>J111+ROUND(K111, 2)</f>
        <v>666.12</v>
      </c>
      <c r="M111" s="23">
        <f>ROUND(J111*I111, 2)</f>
        <v>27248.37</v>
      </c>
      <c r="N111" s="23">
        <f>ROUND(I111*ROUND(K111, 2), 2)</f>
        <v>183512</v>
      </c>
      <c r="O111" s="23">
        <f>M111+N111</f>
        <v>210760.37</v>
      </c>
      <c r="P111" s="23">
        <f>IFERROR(ROUND(SUM(S112)/I111, 2),0)</f>
        <v>86.12</v>
      </c>
      <c r="Q111" s="23">
        <v>870</v>
      </c>
      <c r="R111" s="23">
        <f>P111+ROUND(Q111, 2)</f>
        <v>956.12</v>
      </c>
      <c r="S111" s="23">
        <f>ROUND(P111*I111, 2)</f>
        <v>27248.37</v>
      </c>
      <c r="T111" s="23">
        <f>ROUND(I111*ROUND(Q111, 2), 2)</f>
        <v>275268</v>
      </c>
      <c r="U111" s="23">
        <f>S111+T111</f>
        <v>302516.37</v>
      </c>
      <c r="V111" s="9">
        <f>ROUND(P111 / 1.2, 2)</f>
        <v>71.77</v>
      </c>
      <c r="W111" s="9">
        <f>ROUND(Q111 / 1.2, 2)</f>
        <v>725</v>
      </c>
      <c r="X111" s="9">
        <f>ROUND(R111 / 1.2, 2)</f>
        <v>796.77</v>
      </c>
      <c r="Y111" s="9">
        <f t="shared" si="12"/>
        <v>22706.98</v>
      </c>
      <c r="Z111" s="9">
        <f>ROUND(T111 / 1.2, 2)</f>
        <v>229390</v>
      </c>
      <c r="AA111" s="9">
        <f>Y111+Z111</f>
        <v>252096.98</v>
      </c>
      <c r="AD111" s="4">
        <v>334080501</v>
      </c>
      <c r="AE111" s="4">
        <v>29240478</v>
      </c>
      <c r="AG111" s="4" t="s">
        <v>433</v>
      </c>
      <c r="AH111" s="4" t="s">
        <v>434</v>
      </c>
      <c r="AI111" s="4" t="s">
        <v>250</v>
      </c>
    </row>
    <row r="112" spans="1:35" ht="36" x14ac:dyDescent="0.3">
      <c r="A112" s="11" t="s">
        <v>435</v>
      </c>
      <c r="B112" s="11"/>
      <c r="C112" s="32" t="s">
        <v>436</v>
      </c>
      <c r="D112" s="21"/>
      <c r="E112" s="21"/>
      <c r="F112" s="33" t="s">
        <v>62</v>
      </c>
      <c r="G112" s="34">
        <v>1.1000000000000001</v>
      </c>
      <c r="H112" s="21"/>
      <c r="I112" s="37">
        <v>348.04</v>
      </c>
      <c r="J112" s="35">
        <v>78.290000000000006</v>
      </c>
      <c r="K112" s="12"/>
      <c r="L112" s="12"/>
      <c r="M112" s="35">
        <f>ROUND(ROUND(J112, 2)*I112, 2)</f>
        <v>27248.05</v>
      </c>
      <c r="N112" s="12"/>
      <c r="O112" s="12"/>
      <c r="P112" s="35">
        <v>78.290000000000006</v>
      </c>
      <c r="Q112" s="12"/>
      <c r="R112" s="12"/>
      <c r="S112" s="35">
        <f>ROUND(ROUND(P112, 2)*I112, 2)</f>
        <v>27248.05</v>
      </c>
      <c r="T112" s="12"/>
      <c r="U112" s="36"/>
      <c r="V112" s="9">
        <f>ROUND(ROUND(P112, 2)/1.2, 2)</f>
        <v>65.239999999999995</v>
      </c>
      <c r="Y112" s="9">
        <f t="shared" si="12"/>
        <v>22706.71</v>
      </c>
      <c r="AD112" s="4" t="s">
        <v>437</v>
      </c>
      <c r="AE112" s="4" t="s">
        <v>438</v>
      </c>
      <c r="AF112" s="4" t="s">
        <v>439</v>
      </c>
    </row>
    <row r="113" spans="1:35" ht="162" x14ac:dyDescent="0.3">
      <c r="A113" s="11" t="s">
        <v>440</v>
      </c>
      <c r="B113" s="11" t="s">
        <v>430</v>
      </c>
      <c r="C113" s="20" t="s">
        <v>431</v>
      </c>
      <c r="D113" s="21"/>
      <c r="E113" s="21" t="s">
        <v>441</v>
      </c>
      <c r="F113" s="21" t="s">
        <v>62</v>
      </c>
      <c r="G113" s="22">
        <v>1</v>
      </c>
      <c r="H113" s="21"/>
      <c r="I113" s="22">
        <v>61.28</v>
      </c>
      <c r="J113" s="23">
        <f>IFERROR(ROUND(SUM(M114)/I113, 2),0)</f>
        <v>86.12</v>
      </c>
      <c r="K113" s="23">
        <v>580</v>
      </c>
      <c r="L113" s="23">
        <f>J113+ROUND(K113, 2)</f>
        <v>666.12</v>
      </c>
      <c r="M113" s="23">
        <f>ROUND(J113*I113, 2)</f>
        <v>5277.43</v>
      </c>
      <c r="N113" s="23">
        <f>ROUND(I113*ROUND(K113, 2), 2)</f>
        <v>35542.400000000001</v>
      </c>
      <c r="O113" s="23">
        <f>M113+N113</f>
        <v>40819.83</v>
      </c>
      <c r="P113" s="23">
        <f>IFERROR(ROUND(SUM(S114)/I113, 2),0)</f>
        <v>86.12</v>
      </c>
      <c r="Q113" s="23">
        <v>870</v>
      </c>
      <c r="R113" s="23">
        <f>P113+ROUND(Q113, 2)</f>
        <v>956.12</v>
      </c>
      <c r="S113" s="23">
        <f>ROUND(P113*I113, 2)</f>
        <v>5277.43</v>
      </c>
      <c r="T113" s="23">
        <f>ROUND(I113*ROUND(Q113, 2), 2)</f>
        <v>53313.599999999999</v>
      </c>
      <c r="U113" s="23">
        <f>S113+T113</f>
        <v>58591.03</v>
      </c>
      <c r="V113" s="9">
        <f>ROUND(P113 / 1.2, 2)</f>
        <v>71.77</v>
      </c>
      <c r="W113" s="9">
        <f>ROUND(Q113 / 1.2, 2)</f>
        <v>725</v>
      </c>
      <c r="X113" s="9">
        <f>ROUND(R113 / 1.2, 2)</f>
        <v>796.77</v>
      </c>
      <c r="Y113" s="9">
        <f t="shared" si="12"/>
        <v>4397.8599999999997</v>
      </c>
      <c r="Z113" s="9">
        <f>ROUND(T113 / 1.2, 2)</f>
        <v>44428</v>
      </c>
      <c r="AA113" s="9">
        <f>Y113+Z113</f>
        <v>48825.86</v>
      </c>
      <c r="AD113" s="4">
        <v>334080596</v>
      </c>
      <c r="AE113" s="4">
        <v>29240477</v>
      </c>
      <c r="AG113" s="4" t="s">
        <v>433</v>
      </c>
      <c r="AH113" s="4" t="s">
        <v>434</v>
      </c>
      <c r="AI113" s="4" t="s">
        <v>250</v>
      </c>
    </row>
    <row r="114" spans="1:35" ht="36" x14ac:dyDescent="0.3">
      <c r="A114" s="11" t="s">
        <v>442</v>
      </c>
      <c r="B114" s="11"/>
      <c r="C114" s="32" t="s">
        <v>436</v>
      </c>
      <c r="D114" s="21"/>
      <c r="E114" s="21"/>
      <c r="F114" s="33" t="s">
        <v>62</v>
      </c>
      <c r="G114" s="34">
        <v>1.1000000000000001</v>
      </c>
      <c r="H114" s="21"/>
      <c r="I114" s="37">
        <v>67.408000000000001</v>
      </c>
      <c r="J114" s="35">
        <v>78.290000000000006</v>
      </c>
      <c r="K114" s="12"/>
      <c r="L114" s="12"/>
      <c r="M114" s="35">
        <f>ROUND(ROUND(J114, 2)*I114, 2)</f>
        <v>5277.37</v>
      </c>
      <c r="N114" s="12"/>
      <c r="O114" s="12"/>
      <c r="P114" s="35">
        <v>78.290000000000006</v>
      </c>
      <c r="Q114" s="12"/>
      <c r="R114" s="12"/>
      <c r="S114" s="35">
        <f>ROUND(ROUND(P114, 2)*I114, 2)</f>
        <v>5277.37</v>
      </c>
      <c r="T114" s="12"/>
      <c r="U114" s="36"/>
      <c r="V114" s="9">
        <f>ROUND(ROUND(P114, 2)/1.2, 2)</f>
        <v>65.239999999999995</v>
      </c>
      <c r="Y114" s="9">
        <f t="shared" si="12"/>
        <v>4397.8100000000004</v>
      </c>
      <c r="AD114" s="4" t="s">
        <v>443</v>
      </c>
      <c r="AE114" s="4" t="s">
        <v>444</v>
      </c>
      <c r="AF114" s="4" t="s">
        <v>439</v>
      </c>
    </row>
    <row r="115" spans="1:35" ht="162" x14ac:dyDescent="0.3">
      <c r="A115" s="11" t="s">
        <v>445</v>
      </c>
      <c r="B115" s="11" t="s">
        <v>446</v>
      </c>
      <c r="C115" s="20" t="s">
        <v>447</v>
      </c>
      <c r="D115" s="21"/>
      <c r="E115" s="21" t="s">
        <v>448</v>
      </c>
      <c r="F115" s="21" t="s">
        <v>62</v>
      </c>
      <c r="G115" s="22">
        <v>1</v>
      </c>
      <c r="H115" s="21"/>
      <c r="I115" s="22">
        <v>39.270000000000003</v>
      </c>
      <c r="J115" s="23">
        <f>IFERROR(ROUND(SUM(M116)/I115, 2),0)</f>
        <v>372.7</v>
      </c>
      <c r="K115" s="23">
        <v>439</v>
      </c>
      <c r="L115" s="23">
        <f>J115+ROUND(K115, 2)</f>
        <v>811.7</v>
      </c>
      <c r="M115" s="23">
        <f>ROUND(J115*I115, 2)</f>
        <v>14635.93</v>
      </c>
      <c r="N115" s="23">
        <f>ROUND(I115*ROUND(K115, 2), 2)</f>
        <v>17239.53</v>
      </c>
      <c r="O115" s="23">
        <f>M115+N115</f>
        <v>31875.46</v>
      </c>
      <c r="P115" s="23">
        <f>IFERROR(ROUND(SUM(S116)/I115, 2),0)</f>
        <v>475.78</v>
      </c>
      <c r="Q115" s="23">
        <v>439</v>
      </c>
      <c r="R115" s="23">
        <f>P115+ROUND(Q115, 2)</f>
        <v>914.78</v>
      </c>
      <c r="S115" s="23">
        <f>ROUND(P115*I115, 2)</f>
        <v>18683.88</v>
      </c>
      <c r="T115" s="23">
        <f>ROUND(I115*ROUND(Q115, 2), 2)</f>
        <v>17239.53</v>
      </c>
      <c r="U115" s="23">
        <f>S115+T115</f>
        <v>35923.410000000003</v>
      </c>
      <c r="V115" s="9">
        <f>ROUND(P115 / 1.2, 2)</f>
        <v>396.48</v>
      </c>
      <c r="W115" s="9">
        <f>ROUND(Q115 / 1.2, 2)</f>
        <v>365.83</v>
      </c>
      <c r="X115" s="9">
        <f>ROUND(R115 / 1.2, 2)</f>
        <v>762.32</v>
      </c>
      <c r="Y115" s="9">
        <f t="shared" si="12"/>
        <v>15569.9</v>
      </c>
      <c r="Z115" s="9">
        <f>ROUND(T115 / 1.2, 2)</f>
        <v>14366.28</v>
      </c>
      <c r="AA115" s="9">
        <f>Y115+Z115</f>
        <v>29936.18</v>
      </c>
      <c r="AD115" s="4">
        <v>334080503</v>
      </c>
      <c r="AE115" s="4">
        <v>29240475</v>
      </c>
      <c r="AG115" s="4" t="s">
        <v>449</v>
      </c>
      <c r="AH115" s="4" t="s">
        <v>450</v>
      </c>
      <c r="AI115" s="4" t="s">
        <v>250</v>
      </c>
    </row>
    <row r="116" spans="1:35" ht="36" x14ac:dyDescent="0.3">
      <c r="A116" s="11" t="s">
        <v>451</v>
      </c>
      <c r="B116" s="11"/>
      <c r="C116" s="30" t="s">
        <v>452</v>
      </c>
      <c r="D116" s="21"/>
      <c r="E116" s="21"/>
      <c r="F116" s="33" t="s">
        <v>453</v>
      </c>
      <c r="G116" s="34">
        <v>1.03</v>
      </c>
      <c r="H116" s="21"/>
      <c r="I116" s="37">
        <v>2.0219999999999998</v>
      </c>
      <c r="J116" s="35">
        <v>7238.3</v>
      </c>
      <c r="K116" s="12"/>
      <c r="L116" s="12"/>
      <c r="M116" s="35">
        <f>ROUND(ROUND(J116, 2)*I116, 2)</f>
        <v>14635.84</v>
      </c>
      <c r="N116" s="12"/>
      <c r="O116" s="12"/>
      <c r="P116" s="35">
        <v>9240.33</v>
      </c>
      <c r="Q116" s="12"/>
      <c r="R116" s="12"/>
      <c r="S116" s="35">
        <f>ROUND(ROUND(P116, 2)*I116, 2)</f>
        <v>18683.95</v>
      </c>
      <c r="T116" s="12"/>
      <c r="U116" s="36"/>
      <c r="V116" s="9">
        <f>ROUND(ROUND(P116, 2)/1.2, 2)</f>
        <v>7700.28</v>
      </c>
      <c r="Y116" s="9">
        <f t="shared" si="12"/>
        <v>15569.96</v>
      </c>
      <c r="AD116" s="4" t="s">
        <v>454</v>
      </c>
      <c r="AE116" s="4" t="s">
        <v>455</v>
      </c>
      <c r="AF116" s="4" t="s">
        <v>456</v>
      </c>
    </row>
    <row r="117" spans="1:35" ht="16.95" customHeight="1" x14ac:dyDescent="0.3">
      <c r="A117" s="10" t="s">
        <v>457</v>
      </c>
      <c r="B117" s="10" t="s">
        <v>458</v>
      </c>
      <c r="C117" s="91" t="s">
        <v>459</v>
      </c>
      <c r="D117" s="92"/>
      <c r="E117" s="92"/>
      <c r="F117" s="92"/>
      <c r="G117" s="92"/>
      <c r="H117" s="92"/>
      <c r="I117" s="93"/>
      <c r="M117" s="6">
        <f>SUM(M118,M122,M126,M130,M134,M138,M141,M146,M150,M155,M158,M161,M164,M167,M173,M179,M185,M188,M191,M193,M195,M197,M199,M201,M203,M206,M209,M212,M215,M219,M223,M227,M229,M231,M233,M235,M237,M239,M241,M243,M248,M253,M258,M263,M268,M273,M278,M283,M288,M293,M298,M302,M306,M311,M316,M321,M326,M331,M336,M341,M346,M351,M356,M361,M366,M371,M376,M381,M386,M391,M396,M401,M406,M411,M416,M421,M426,M431,M436)</f>
        <v>21625097.409999996</v>
      </c>
      <c r="N117" s="6">
        <f>SUM(N118,N122,N126,N130,N134,N138,N141,N146,N150,N155,N158,N161,N164,N167,N173,N179,N185,N188,N191,N193,N195,N197,N199,N201,N203,N206,N209,N212,N215,N219,N223,N227,N229,N231,N233,N235,N237,N239,N241,N243,N248,N253,N258,N263,N268,N273,N278,N283,N288,N293,N298,N302,N306,N311,N316,N321,N326,N331,N336,N341,N346,N351,N356,N361,N366,N371,N376,N381,N386,N391,N396,N401,N406,N411,N416,N421,N426,N431,N436)</f>
        <v>21090517.109999996</v>
      </c>
      <c r="O117" s="6">
        <f>SUM(O118,O122,O126,O130,O134,O138,O141,O146,O150,O155,O158,O161,O164,O167,O173,O179,O185,O188,O191,O193,O195,O197,O199,O201,O203,O206,O209,O212,O215,O219,O223,O227,O229,O231,O233,O235,O237,O239,O241,O243,O248,O253,O258,O263,O268,O273,O278,O283,O288,O293,O298,O302,O306,O311,O316,O321,O326,O331,O336,O341,O346,O351,O356,O361,O366,O371,O376,O381,O386,O391,O396,O401,O406,O411,O416,O421,O426,O431,O436)</f>
        <v>42715614.520000003</v>
      </c>
      <c r="S117" s="6">
        <f>SUM(S118,S122,S126,S130,S134,S138,S141,S146,S150,S155,S158,S161,S164,S167,S173,S179,S185,S188,S191,S193,S195,S197,S199,S201,S203,S206,S209,S212,S215,S219,S223,S227,S229,S231,S233,S235,S237,S239,S241,S243,S248,S253,S258,S263,S268,S273,S278,S283,S288,S293,S298,S302,S306,S311,S316,S321,S326,S331,S336,S341,S346,S351,S356,S361,S366,S371,S376,S381,S386,S391,S396,S401,S406,S411,S416,S421,S426,S431,S436)</f>
        <v>28587326.800000001</v>
      </c>
      <c r="T117" s="6">
        <f>SUM(T118,T122,T126,T130,T134,T138,T141,T146,T150,T155,T158,T161,T164,T167,T173,T179,T185,T188,T191,T193,T195,T197,T199,T201,T203,T206,T209,T212,T215,T219,T223,T227,T229,T231,T233,T235,T237,T239,T241,T243,T248,T253,T258,T263,T268,T273,T278,T283,T288,T293,T298,T302,T306,T311,T316,T321,T326,T331,T336,T341,T346,T351,T356,T361,T366,T371,T376,T381,T386,T391,T396,T401,T406,T411,T416,T421,T426,T431,T436)</f>
        <v>31635783.280000005</v>
      </c>
      <c r="U117" s="6">
        <f>SUM(U118,U122,U126,U130,U134,U138,U141,U146,U150,U155,U158,U161,U164,U167,U173,U179,U185,U188,U191,U193,U195,U197,U199,U201,U203,U206,U209,U212,U215,U219,U223,U227,U229,U231,U233,U235,U237,U239,U241,U243,U248,U253,U258,U263,U268,U273,U278,U283,U288,U293,U298,U302,U306,U311,U316,U321,U326,U331,U336,U341,U346,U351,U356,U361,U366,U371,U376,U381,U386,U391,U396,U401,U406,U411,U416,U421,U426,U431,U436)</f>
        <v>60223110.080000006</v>
      </c>
      <c r="Y117" s="9">
        <f>SUM(Y118,Y122,Y126,Y130,Y134,Y138,Y141,Y146,Y150,Y155,Y158,Y161,Y164,Y167,Y173,Y179,Y185,Y188,Y191,Y193,Y195,Y197,Y199,Y201,Y203,Y206,Y209,Y212,Y215,Y219,Y223,Y227,Y229,Y231,Y233,Y235,Y237,Y239,Y241,Y243,Y248,Y253,Y258,Y263,Y268,Y273,Y278,Y283,Y288,Y293,Y298,Y302,Y306,Y311,Y316,Y321,Y326,Y331,Y336,Y341,Y346,Y351,Y356,Y361,Y366,Y371,Y376,Y381,Y386,Y391,Y396,Y401,Y406,Y411,Y416,Y421,Y426,Y431,Y436)</f>
        <v>23822772.350000001</v>
      </c>
      <c r="Z117" s="9">
        <f>SUM(Z118,Z122,Z126,Z130,Z134,Z138,Z141,Z146,Z150,Z155,Z158,Z161,Z164,Z167,Z173,Z179,Z185,Z188,Z191,Z193,Z195,Z197,Z199,Z201,Z203,Z206,Z209,Z212,Z215,Z219,Z223,Z227,Z229,Z231,Z233,Z235,Z237,Z239,Z241,Z243,Z248,Z253,Z258,Z263,Z268,Z273,Z278,Z283,Z288,Z293,Z298,Z302,Z306,Z311,Z316,Z321,Z326,Z331,Z336,Z341,Z346,Z351,Z356,Z361,Z366,Z371,Z376,Z381,Z386,Z391,Z396,Z401,Z406,Z411,Z416,Z421,Z426,Z431,Z436)</f>
        <v>26363152.809999999</v>
      </c>
      <c r="AA117" s="9">
        <f>SUM(AA118,AA122,AA126,AA130,AA134,AA138,AA141,AA146,AA150,AA155,AA158,AA161,AA164,AA167,AA173,AA179,AA185,AA188,AA191,AA193,AA195,AA197,AA199,AA201,AA203,AA206,AA209,AA212,AA215,AA219,AA223,AA227,AA229,AA231,AA233,AA235,AA237,AA239,AA241,AA243,AA248,AA253,AA258,AA263,AA268,AA273,AA278,AA283,AA288,AA293,AA298,AA302,AA306,AA311,AA316,AA321,AA326,AA331,AA336,AA341,AA346,AA351,AA356,AA361,AA366,AA371,AA376,AA381,AA386,AA391,AA396,AA401,AA406,AA411,AA416,AA421,AA426,AA431,AA436)</f>
        <v>50185925.160000011</v>
      </c>
      <c r="AD117" s="4">
        <v>334080504</v>
      </c>
      <c r="AE117" s="4">
        <v>27245611</v>
      </c>
    </row>
    <row r="118" spans="1:35" ht="18" x14ac:dyDescent="0.3">
      <c r="A118" s="10" t="s">
        <v>460</v>
      </c>
      <c r="B118" s="10" t="s">
        <v>461</v>
      </c>
      <c r="C118" s="14" t="s">
        <v>462</v>
      </c>
      <c r="D118" s="15" t="s">
        <v>463</v>
      </c>
      <c r="E118" s="15"/>
      <c r="F118" s="15" t="s">
        <v>62</v>
      </c>
      <c r="G118" s="16">
        <v>1</v>
      </c>
      <c r="H118" s="15"/>
      <c r="I118" s="16">
        <v>0</v>
      </c>
      <c r="J118" s="17">
        <v>0</v>
      </c>
      <c r="K118" s="18">
        <v>556</v>
      </c>
      <c r="L118" s="17">
        <f>J118+ROUND(K118, 2)</f>
        <v>556</v>
      </c>
      <c r="M118" s="17">
        <v>0</v>
      </c>
      <c r="N118" s="17">
        <v>0</v>
      </c>
      <c r="O118" s="17">
        <f>M118+N118</f>
        <v>0</v>
      </c>
      <c r="P118" s="17">
        <v>1580.6</v>
      </c>
      <c r="Q118" s="19">
        <v>556</v>
      </c>
      <c r="R118" s="17">
        <f>P118+ROUND(Q118, 2)</f>
        <v>2136.6</v>
      </c>
      <c r="S118" s="17">
        <v>0</v>
      </c>
      <c r="T118" s="17">
        <v>0</v>
      </c>
      <c r="U118" s="17">
        <f>S118+T118</f>
        <v>0</v>
      </c>
      <c r="V118" s="9">
        <f>ROUND(P118 / 1.2, 2)</f>
        <v>1317.17</v>
      </c>
      <c r="W118" s="9">
        <f>ROUND(Q118 / 1.2, 2)</f>
        <v>463.33</v>
      </c>
      <c r="X118" s="9">
        <f>ROUND(R118 / 1.2, 2)</f>
        <v>1780.5</v>
      </c>
      <c r="Y118" s="9">
        <f>ROUND(S118 / 1.2, 2)</f>
        <v>0</v>
      </c>
      <c r="Z118" s="9">
        <f>ROUND(T118 / 1.2, 2)</f>
        <v>0</v>
      </c>
      <c r="AA118" s="9">
        <f>Y118+Z118</f>
        <v>0</v>
      </c>
      <c r="AD118" s="4">
        <v>334080506</v>
      </c>
      <c r="AE118" s="4">
        <v>27245671</v>
      </c>
      <c r="AG118" s="4" t="s">
        <v>464</v>
      </c>
      <c r="AH118" s="4" t="s">
        <v>465</v>
      </c>
      <c r="AI118" s="4" t="s">
        <v>250</v>
      </c>
    </row>
    <row r="119" spans="1:35" ht="18" x14ac:dyDescent="0.3">
      <c r="A119" s="10" t="s">
        <v>466</v>
      </c>
      <c r="B119" s="10"/>
      <c r="C119" s="24" t="s">
        <v>467</v>
      </c>
      <c r="D119" s="15"/>
      <c r="E119" s="15"/>
      <c r="F119" s="25" t="s">
        <v>278</v>
      </c>
      <c r="G119" s="26">
        <v>0.3</v>
      </c>
      <c r="H119" s="15"/>
      <c r="I119" s="26">
        <v>0</v>
      </c>
      <c r="J119" s="27">
        <v>220</v>
      </c>
      <c r="M119" s="28">
        <f>ROUND(ROUND(J119, 2)*I119, 2)</f>
        <v>0</v>
      </c>
      <c r="P119" s="29">
        <v>220</v>
      </c>
      <c r="S119" s="28">
        <f>ROUND(ROUND(P119, 2)*I119, 2)</f>
        <v>0</v>
      </c>
      <c r="V119" s="9">
        <f>ROUND(ROUND(P119, 2)/1.2, 2)</f>
        <v>183.33</v>
      </c>
      <c r="Y119" s="9">
        <f t="shared" ref="Y119:Y150" si="13">ROUND(S119 / 1.2, 2)</f>
        <v>0</v>
      </c>
      <c r="AD119" s="4" t="s">
        <v>468</v>
      </c>
      <c r="AE119" s="4" t="s">
        <v>469</v>
      </c>
      <c r="AF119" s="4" t="s">
        <v>470</v>
      </c>
    </row>
    <row r="120" spans="1:35" ht="72" x14ac:dyDescent="0.3">
      <c r="A120" s="10" t="s">
        <v>471</v>
      </c>
      <c r="B120" s="10"/>
      <c r="C120" s="30" t="s">
        <v>472</v>
      </c>
      <c r="D120" s="15"/>
      <c r="E120" s="15"/>
      <c r="F120" s="25" t="s">
        <v>102</v>
      </c>
      <c r="G120" s="26">
        <v>1</v>
      </c>
      <c r="H120" s="15"/>
      <c r="I120" s="31">
        <v>0</v>
      </c>
      <c r="J120" s="27">
        <v>51</v>
      </c>
      <c r="M120" s="28">
        <f>ROUND(ROUND(J120, 2)*I120, 2)</f>
        <v>0</v>
      </c>
      <c r="P120" s="29">
        <v>51</v>
      </c>
      <c r="S120" s="28">
        <f>ROUND(ROUND(P120, 2)*I120, 2)</f>
        <v>0</v>
      </c>
      <c r="V120" s="9">
        <f>ROUND(ROUND(P120, 2)/1.2, 2)</f>
        <v>42.5</v>
      </c>
      <c r="Y120" s="9">
        <f t="shared" si="13"/>
        <v>0</v>
      </c>
      <c r="AD120" s="4" t="s">
        <v>473</v>
      </c>
      <c r="AE120" s="4" t="s">
        <v>474</v>
      </c>
      <c r="AF120" s="4" t="s">
        <v>475</v>
      </c>
    </row>
    <row r="121" spans="1:35" ht="72" x14ac:dyDescent="0.3">
      <c r="A121" s="10" t="s">
        <v>476</v>
      </c>
      <c r="B121" s="10"/>
      <c r="C121" s="30" t="s">
        <v>477</v>
      </c>
      <c r="D121" s="15"/>
      <c r="E121" s="15"/>
      <c r="F121" s="25" t="s">
        <v>62</v>
      </c>
      <c r="G121" s="26">
        <v>1.1000000000000001</v>
      </c>
      <c r="H121" s="15"/>
      <c r="I121" s="31">
        <v>0</v>
      </c>
      <c r="J121" s="27">
        <v>1339</v>
      </c>
      <c r="M121" s="28">
        <f>ROUND(ROUND(J121, 2)*I121, 2)</f>
        <v>0</v>
      </c>
      <c r="P121" s="29">
        <v>1339</v>
      </c>
      <c r="S121" s="28">
        <f>ROUND(ROUND(P121, 2)*I121, 2)</f>
        <v>0</v>
      </c>
      <c r="V121" s="9">
        <f>ROUND(ROUND(P121, 2)/1.2, 2)</f>
        <v>1115.83</v>
      </c>
      <c r="Y121" s="9">
        <f t="shared" si="13"/>
        <v>0</v>
      </c>
      <c r="AD121" s="4" t="s">
        <v>478</v>
      </c>
      <c r="AE121" s="4" t="s">
        <v>479</v>
      </c>
      <c r="AF121" s="4" t="s">
        <v>480</v>
      </c>
    </row>
    <row r="122" spans="1:35" ht="18" x14ac:dyDescent="0.3">
      <c r="A122" s="10" t="s">
        <v>481</v>
      </c>
      <c r="B122" s="10" t="s">
        <v>461</v>
      </c>
      <c r="C122" s="14" t="s">
        <v>462</v>
      </c>
      <c r="D122" s="15" t="s">
        <v>463</v>
      </c>
      <c r="E122" s="15"/>
      <c r="F122" s="15" t="s">
        <v>62</v>
      </c>
      <c r="G122" s="16">
        <v>1</v>
      </c>
      <c r="H122" s="15"/>
      <c r="I122" s="16">
        <v>0</v>
      </c>
      <c r="J122" s="17">
        <v>0</v>
      </c>
      <c r="K122" s="18">
        <v>556</v>
      </c>
      <c r="L122" s="17">
        <f>J122+ROUND(K122, 2)</f>
        <v>556</v>
      </c>
      <c r="M122" s="17">
        <v>0</v>
      </c>
      <c r="N122" s="17">
        <v>0</v>
      </c>
      <c r="O122" s="17">
        <f>M122+N122</f>
        <v>0</v>
      </c>
      <c r="P122" s="17">
        <v>1562.05</v>
      </c>
      <c r="Q122" s="19">
        <v>556</v>
      </c>
      <c r="R122" s="17">
        <f>P122+ROUND(Q122, 2)</f>
        <v>2118.0500000000002</v>
      </c>
      <c r="S122" s="17">
        <v>0</v>
      </c>
      <c r="T122" s="17">
        <v>0</v>
      </c>
      <c r="U122" s="17">
        <f>S122+T122</f>
        <v>0</v>
      </c>
      <c r="V122" s="9">
        <f>ROUND(P122 / 1.2, 2)</f>
        <v>1301.71</v>
      </c>
      <c r="W122" s="9">
        <f>ROUND(Q122 / 1.2, 2)</f>
        <v>463.33</v>
      </c>
      <c r="X122" s="9">
        <f>ROUND(R122 / 1.2, 2)</f>
        <v>1765.04</v>
      </c>
      <c r="Y122" s="9">
        <f t="shared" si="13"/>
        <v>0</v>
      </c>
      <c r="Z122" s="9">
        <f>ROUND(T122 / 1.2, 2)</f>
        <v>0</v>
      </c>
      <c r="AA122" s="9">
        <f>Y122+Z122</f>
        <v>0</v>
      </c>
      <c r="AD122" s="4">
        <v>334080597</v>
      </c>
      <c r="AE122" s="4">
        <v>27245672</v>
      </c>
      <c r="AG122" s="4" t="s">
        <v>464</v>
      </c>
      <c r="AH122" s="4" t="s">
        <v>465</v>
      </c>
      <c r="AI122" s="4" t="s">
        <v>250</v>
      </c>
    </row>
    <row r="123" spans="1:35" ht="54" x14ac:dyDescent="0.3">
      <c r="A123" s="10" t="s">
        <v>482</v>
      </c>
      <c r="B123" s="10"/>
      <c r="C123" s="30" t="s">
        <v>483</v>
      </c>
      <c r="D123" s="15"/>
      <c r="E123" s="15"/>
      <c r="F123" s="25" t="s">
        <v>62</v>
      </c>
      <c r="G123" s="26">
        <v>1.1000000000000001</v>
      </c>
      <c r="H123" s="15"/>
      <c r="I123" s="31">
        <v>0</v>
      </c>
      <c r="J123" s="27">
        <v>1339</v>
      </c>
      <c r="M123" s="28">
        <f>ROUND(ROUND(J123, 2)*I123, 2)</f>
        <v>0</v>
      </c>
      <c r="P123" s="29">
        <v>1339</v>
      </c>
      <c r="S123" s="28">
        <f>ROUND(ROUND(P123, 2)*I123, 2)</f>
        <v>0</v>
      </c>
      <c r="V123" s="9">
        <f>ROUND(ROUND(P123, 2)/1.2, 2)</f>
        <v>1115.83</v>
      </c>
      <c r="Y123" s="9">
        <f t="shared" si="13"/>
        <v>0</v>
      </c>
      <c r="AD123" s="4" t="s">
        <v>484</v>
      </c>
      <c r="AE123" s="4" t="s">
        <v>485</v>
      </c>
      <c r="AF123" s="4" t="s">
        <v>486</v>
      </c>
    </row>
    <row r="124" spans="1:35" ht="72" x14ac:dyDescent="0.3">
      <c r="A124" s="10" t="s">
        <v>487</v>
      </c>
      <c r="B124" s="10"/>
      <c r="C124" s="30" t="s">
        <v>488</v>
      </c>
      <c r="D124" s="15"/>
      <c r="E124" s="15"/>
      <c r="F124" s="25" t="s">
        <v>102</v>
      </c>
      <c r="G124" s="26">
        <v>1</v>
      </c>
      <c r="H124" s="15"/>
      <c r="I124" s="31">
        <v>0</v>
      </c>
      <c r="J124" s="27">
        <v>51</v>
      </c>
      <c r="M124" s="28">
        <f>ROUND(ROUND(J124, 2)*I124, 2)</f>
        <v>0</v>
      </c>
      <c r="P124" s="29">
        <v>51</v>
      </c>
      <c r="S124" s="28">
        <f>ROUND(ROUND(P124, 2)*I124, 2)</f>
        <v>0</v>
      </c>
      <c r="V124" s="9">
        <f>ROUND(ROUND(P124, 2)/1.2, 2)</f>
        <v>42.5</v>
      </c>
      <c r="Y124" s="9">
        <f t="shared" si="13"/>
        <v>0</v>
      </c>
      <c r="AD124" s="4" t="s">
        <v>489</v>
      </c>
      <c r="AE124" s="4" t="s">
        <v>490</v>
      </c>
      <c r="AF124" s="4" t="s">
        <v>491</v>
      </c>
    </row>
    <row r="125" spans="1:35" ht="18" x14ac:dyDescent="0.3">
      <c r="A125" s="10" t="s">
        <v>492</v>
      </c>
      <c r="B125" s="10"/>
      <c r="C125" s="24" t="s">
        <v>467</v>
      </c>
      <c r="D125" s="15"/>
      <c r="E125" s="15"/>
      <c r="F125" s="25" t="s">
        <v>278</v>
      </c>
      <c r="G125" s="26">
        <v>0.3</v>
      </c>
      <c r="H125" s="15"/>
      <c r="I125" s="26">
        <v>0</v>
      </c>
      <c r="J125" s="27">
        <v>220</v>
      </c>
      <c r="M125" s="28">
        <f>ROUND(ROUND(J125, 2)*I125, 2)</f>
        <v>0</v>
      </c>
      <c r="P125" s="29">
        <v>220</v>
      </c>
      <c r="S125" s="28">
        <f>ROUND(ROUND(P125, 2)*I125, 2)</f>
        <v>0</v>
      </c>
      <c r="V125" s="9">
        <f>ROUND(ROUND(P125, 2)/1.2, 2)</f>
        <v>183.33</v>
      </c>
      <c r="Y125" s="9">
        <f t="shared" si="13"/>
        <v>0</v>
      </c>
      <c r="AD125" s="4" t="s">
        <v>493</v>
      </c>
      <c r="AE125" s="4" t="s">
        <v>494</v>
      </c>
      <c r="AF125" s="4" t="s">
        <v>470</v>
      </c>
    </row>
    <row r="126" spans="1:35" ht="18" x14ac:dyDescent="0.3">
      <c r="A126" s="10" t="s">
        <v>495</v>
      </c>
      <c r="B126" s="10" t="s">
        <v>461</v>
      </c>
      <c r="C126" s="14" t="s">
        <v>462</v>
      </c>
      <c r="D126" s="15" t="s">
        <v>463</v>
      </c>
      <c r="E126" s="15" t="s">
        <v>496</v>
      </c>
      <c r="F126" s="15" t="s">
        <v>62</v>
      </c>
      <c r="G126" s="16">
        <v>1</v>
      </c>
      <c r="H126" s="15"/>
      <c r="I126" s="16">
        <v>0</v>
      </c>
      <c r="J126" s="17">
        <v>0</v>
      </c>
      <c r="K126" s="18">
        <v>556</v>
      </c>
      <c r="L126" s="17">
        <f>J126+ROUND(K126, 2)</f>
        <v>556</v>
      </c>
      <c r="M126" s="17">
        <v>0</v>
      </c>
      <c r="N126" s="17">
        <v>0</v>
      </c>
      <c r="O126" s="17">
        <f>M126+N126</f>
        <v>0</v>
      </c>
      <c r="P126" s="17">
        <v>1562.05</v>
      </c>
      <c r="Q126" s="19">
        <v>556</v>
      </c>
      <c r="R126" s="17">
        <f>P126+ROUND(Q126, 2)</f>
        <v>2118.0500000000002</v>
      </c>
      <c r="S126" s="17">
        <v>0</v>
      </c>
      <c r="T126" s="17">
        <v>0</v>
      </c>
      <c r="U126" s="17">
        <f>S126+T126</f>
        <v>0</v>
      </c>
      <c r="V126" s="9">
        <f>ROUND(P126 / 1.2, 2)</f>
        <v>1301.71</v>
      </c>
      <c r="W126" s="9">
        <f>ROUND(Q126 / 1.2, 2)</f>
        <v>463.33</v>
      </c>
      <c r="X126" s="9">
        <f>ROUND(R126 / 1.2, 2)</f>
        <v>1765.04</v>
      </c>
      <c r="Y126" s="9">
        <f t="shared" si="13"/>
        <v>0</v>
      </c>
      <c r="Z126" s="9">
        <f>ROUND(T126 / 1.2, 2)</f>
        <v>0</v>
      </c>
      <c r="AA126" s="9">
        <f>Y126+Z126</f>
        <v>0</v>
      </c>
      <c r="AD126" s="4">
        <v>334080598</v>
      </c>
      <c r="AE126" s="4">
        <v>27245781</v>
      </c>
      <c r="AG126" s="4" t="s">
        <v>464</v>
      </c>
      <c r="AH126" s="4" t="s">
        <v>465</v>
      </c>
      <c r="AI126" s="4" t="s">
        <v>250</v>
      </c>
    </row>
    <row r="127" spans="1:35" ht="18" x14ac:dyDescent="0.3">
      <c r="A127" s="10" t="s">
        <v>497</v>
      </c>
      <c r="B127" s="10"/>
      <c r="C127" s="24" t="s">
        <v>467</v>
      </c>
      <c r="D127" s="15"/>
      <c r="E127" s="15"/>
      <c r="F127" s="25" t="s">
        <v>278</v>
      </c>
      <c r="G127" s="26">
        <v>0.3</v>
      </c>
      <c r="H127" s="15"/>
      <c r="I127" s="26">
        <v>0</v>
      </c>
      <c r="J127" s="27">
        <v>220</v>
      </c>
      <c r="M127" s="28">
        <f>ROUND(ROUND(J127, 2)*I127, 2)</f>
        <v>0</v>
      </c>
      <c r="P127" s="29">
        <v>220</v>
      </c>
      <c r="S127" s="28">
        <f>ROUND(ROUND(P127, 2)*I127, 2)</f>
        <v>0</v>
      </c>
      <c r="V127" s="9">
        <f>ROUND(ROUND(P127, 2)/1.2, 2)</f>
        <v>183.33</v>
      </c>
      <c r="Y127" s="9">
        <f t="shared" si="13"/>
        <v>0</v>
      </c>
      <c r="AD127" s="4" t="s">
        <v>498</v>
      </c>
      <c r="AE127" s="4" t="s">
        <v>499</v>
      </c>
      <c r="AF127" s="4" t="s">
        <v>470</v>
      </c>
    </row>
    <row r="128" spans="1:35" ht="72" x14ac:dyDescent="0.3">
      <c r="A128" s="10" t="s">
        <v>500</v>
      </c>
      <c r="B128" s="10"/>
      <c r="C128" s="30" t="s">
        <v>488</v>
      </c>
      <c r="D128" s="15"/>
      <c r="E128" s="15"/>
      <c r="F128" s="25" t="s">
        <v>102</v>
      </c>
      <c r="G128" s="26">
        <v>1</v>
      </c>
      <c r="H128" s="15"/>
      <c r="I128" s="31">
        <v>0</v>
      </c>
      <c r="J128" s="27">
        <v>51</v>
      </c>
      <c r="M128" s="28">
        <f>ROUND(ROUND(J128, 2)*I128, 2)</f>
        <v>0</v>
      </c>
      <c r="P128" s="29">
        <v>51</v>
      </c>
      <c r="S128" s="28">
        <f>ROUND(ROUND(P128, 2)*I128, 2)</f>
        <v>0</v>
      </c>
      <c r="V128" s="9">
        <f>ROUND(ROUND(P128, 2)/1.2, 2)</f>
        <v>42.5</v>
      </c>
      <c r="Y128" s="9">
        <f t="shared" si="13"/>
        <v>0</v>
      </c>
      <c r="AD128" s="4" t="s">
        <v>501</v>
      </c>
      <c r="AE128" s="4" t="s">
        <v>502</v>
      </c>
      <c r="AF128" s="4" t="s">
        <v>491</v>
      </c>
    </row>
    <row r="129" spans="1:35" ht="54" x14ac:dyDescent="0.3">
      <c r="A129" s="10" t="s">
        <v>503</v>
      </c>
      <c r="B129" s="10"/>
      <c r="C129" s="30" t="s">
        <v>483</v>
      </c>
      <c r="D129" s="15"/>
      <c r="E129" s="15"/>
      <c r="F129" s="25" t="s">
        <v>62</v>
      </c>
      <c r="G129" s="26">
        <v>1.1000000000000001</v>
      </c>
      <c r="H129" s="15"/>
      <c r="I129" s="31">
        <v>0</v>
      </c>
      <c r="J129" s="27">
        <v>1339</v>
      </c>
      <c r="M129" s="28">
        <f>ROUND(ROUND(J129, 2)*I129, 2)</f>
        <v>0</v>
      </c>
      <c r="P129" s="29">
        <v>1339</v>
      </c>
      <c r="S129" s="28">
        <f>ROUND(ROUND(P129, 2)*I129, 2)</f>
        <v>0</v>
      </c>
      <c r="V129" s="9">
        <f>ROUND(ROUND(P129, 2)/1.2, 2)</f>
        <v>1115.83</v>
      </c>
      <c r="Y129" s="9">
        <f t="shared" si="13"/>
        <v>0</v>
      </c>
      <c r="AD129" s="4" t="s">
        <v>504</v>
      </c>
      <c r="AE129" s="4" t="s">
        <v>505</v>
      </c>
      <c r="AF129" s="4" t="s">
        <v>486</v>
      </c>
    </row>
    <row r="130" spans="1:35" ht="18" x14ac:dyDescent="0.3">
      <c r="A130" s="10" t="s">
        <v>506</v>
      </c>
      <c r="B130" s="10" t="s">
        <v>461</v>
      </c>
      <c r="C130" s="14" t="s">
        <v>462</v>
      </c>
      <c r="D130" s="15" t="s">
        <v>463</v>
      </c>
      <c r="E130" s="15" t="s">
        <v>507</v>
      </c>
      <c r="F130" s="15" t="s">
        <v>62</v>
      </c>
      <c r="G130" s="16">
        <v>1</v>
      </c>
      <c r="H130" s="15"/>
      <c r="I130" s="16">
        <v>435.4</v>
      </c>
      <c r="J130" s="17">
        <v>1580.6</v>
      </c>
      <c r="K130" s="18">
        <v>556</v>
      </c>
      <c r="L130" s="17">
        <f>J130+ROUND(K130, 2)</f>
        <v>2136.6</v>
      </c>
      <c r="M130" s="17">
        <v>688193.24</v>
      </c>
      <c r="N130" s="17">
        <v>242082.4</v>
      </c>
      <c r="O130" s="17">
        <f>M130+N130</f>
        <v>930275.64</v>
      </c>
      <c r="P130" s="17">
        <v>1580.6</v>
      </c>
      <c r="Q130" s="19">
        <v>834</v>
      </c>
      <c r="R130" s="17">
        <f>P130+ROUND(Q130, 2)</f>
        <v>2414.6</v>
      </c>
      <c r="S130" s="17">
        <v>688193.24</v>
      </c>
      <c r="T130" s="17">
        <v>363123.6</v>
      </c>
      <c r="U130" s="17">
        <f>S130+T130</f>
        <v>1051316.8399999999</v>
      </c>
      <c r="V130" s="9">
        <f>ROUND(P130 / 1.2, 2)</f>
        <v>1317.17</v>
      </c>
      <c r="W130" s="9">
        <f>ROUND(Q130 / 1.2, 2)</f>
        <v>695</v>
      </c>
      <c r="X130" s="9">
        <f>ROUND(R130 / 1.2, 2)</f>
        <v>2012.17</v>
      </c>
      <c r="Y130" s="9">
        <f t="shared" si="13"/>
        <v>573494.37</v>
      </c>
      <c r="Z130" s="9">
        <f>ROUND(T130 / 1.2, 2)</f>
        <v>302603</v>
      </c>
      <c r="AA130" s="9">
        <f>Y130+Z130</f>
        <v>876097.37</v>
      </c>
      <c r="AD130" s="4">
        <v>334080599</v>
      </c>
      <c r="AE130" s="4">
        <v>27245780</v>
      </c>
      <c r="AG130" s="4" t="s">
        <v>464</v>
      </c>
      <c r="AH130" s="4" t="s">
        <v>465</v>
      </c>
      <c r="AI130" s="4" t="s">
        <v>250</v>
      </c>
    </row>
    <row r="131" spans="1:35" ht="72" x14ac:dyDescent="0.3">
      <c r="A131" s="10" t="s">
        <v>508</v>
      </c>
      <c r="B131" s="10"/>
      <c r="C131" s="30" t="s">
        <v>477</v>
      </c>
      <c r="D131" s="15"/>
      <c r="E131" s="15" t="s">
        <v>509</v>
      </c>
      <c r="F131" s="25" t="s">
        <v>62</v>
      </c>
      <c r="G131" s="26">
        <v>1.1000000000000001</v>
      </c>
      <c r="H131" s="15"/>
      <c r="I131" s="31">
        <v>478.94</v>
      </c>
      <c r="J131" s="27">
        <v>1339</v>
      </c>
      <c r="M131" s="28">
        <f>ROUND(ROUND(J131, 2)*I131, 2)</f>
        <v>641300.66</v>
      </c>
      <c r="P131" s="29">
        <v>1339</v>
      </c>
      <c r="S131" s="28">
        <f>ROUND(ROUND(P131, 2)*I131, 2)</f>
        <v>641300.66</v>
      </c>
      <c r="V131" s="9">
        <f>ROUND(ROUND(P131, 2)/1.2, 2)</f>
        <v>1115.83</v>
      </c>
      <c r="Y131" s="9">
        <f t="shared" si="13"/>
        <v>534417.22</v>
      </c>
      <c r="AD131" s="4" t="s">
        <v>510</v>
      </c>
      <c r="AE131" s="4" t="s">
        <v>511</v>
      </c>
      <c r="AF131" s="4" t="s">
        <v>480</v>
      </c>
    </row>
    <row r="132" spans="1:35" ht="72" x14ac:dyDescent="0.3">
      <c r="A132" s="10" t="s">
        <v>512</v>
      </c>
      <c r="B132" s="10"/>
      <c r="C132" s="30" t="s">
        <v>472</v>
      </c>
      <c r="D132" s="15"/>
      <c r="E132" s="15"/>
      <c r="F132" s="25" t="s">
        <v>102</v>
      </c>
      <c r="G132" s="26">
        <v>1</v>
      </c>
      <c r="H132" s="15"/>
      <c r="I132" s="31">
        <v>356</v>
      </c>
      <c r="J132" s="27">
        <v>51</v>
      </c>
      <c r="M132" s="28">
        <f>ROUND(ROUND(J132, 2)*I132, 2)</f>
        <v>18156</v>
      </c>
      <c r="P132" s="29">
        <v>51</v>
      </c>
      <c r="S132" s="28">
        <f>ROUND(ROUND(P132, 2)*I132, 2)</f>
        <v>18156</v>
      </c>
      <c r="V132" s="9">
        <f>ROUND(ROUND(P132, 2)/1.2, 2)</f>
        <v>42.5</v>
      </c>
      <c r="Y132" s="9">
        <f t="shared" si="13"/>
        <v>15130</v>
      </c>
      <c r="AD132" s="4" t="s">
        <v>513</v>
      </c>
      <c r="AE132" s="4" t="s">
        <v>514</v>
      </c>
      <c r="AF132" s="4" t="s">
        <v>475</v>
      </c>
    </row>
    <row r="133" spans="1:35" ht="18" x14ac:dyDescent="0.3">
      <c r="A133" s="10" t="s">
        <v>515</v>
      </c>
      <c r="B133" s="10"/>
      <c r="C133" s="24" t="s">
        <v>467</v>
      </c>
      <c r="D133" s="15"/>
      <c r="E133" s="15"/>
      <c r="F133" s="25" t="s">
        <v>278</v>
      </c>
      <c r="G133" s="26">
        <v>0.3</v>
      </c>
      <c r="H133" s="15"/>
      <c r="I133" s="26">
        <v>130.62</v>
      </c>
      <c r="J133" s="27">
        <v>220</v>
      </c>
      <c r="M133" s="28">
        <f>ROUND(ROUND(J133, 2)*I133, 2)</f>
        <v>28736.400000000001</v>
      </c>
      <c r="P133" s="29">
        <v>220</v>
      </c>
      <c r="S133" s="28">
        <f>ROUND(ROUND(P133, 2)*I133, 2)</f>
        <v>28736.400000000001</v>
      </c>
      <c r="V133" s="9">
        <f>ROUND(ROUND(P133, 2)/1.2, 2)</f>
        <v>183.33</v>
      </c>
      <c r="Y133" s="9">
        <f t="shared" si="13"/>
        <v>23947</v>
      </c>
      <c r="AD133" s="4" t="s">
        <v>516</v>
      </c>
      <c r="AE133" s="4" t="s">
        <v>517</v>
      </c>
      <c r="AF133" s="4" t="s">
        <v>470</v>
      </c>
    </row>
    <row r="134" spans="1:35" ht="18" x14ac:dyDescent="0.3">
      <c r="A134" s="10" t="s">
        <v>518</v>
      </c>
      <c r="B134" s="10" t="s">
        <v>461</v>
      </c>
      <c r="C134" s="14" t="s">
        <v>462</v>
      </c>
      <c r="D134" s="15" t="s">
        <v>463</v>
      </c>
      <c r="E134" s="15" t="s">
        <v>519</v>
      </c>
      <c r="F134" s="15" t="s">
        <v>62</v>
      </c>
      <c r="G134" s="16">
        <v>1</v>
      </c>
      <c r="H134" s="15"/>
      <c r="I134" s="16">
        <v>1236</v>
      </c>
      <c r="J134" s="17">
        <v>1562.05</v>
      </c>
      <c r="K134" s="18">
        <v>556</v>
      </c>
      <c r="L134" s="17">
        <f>J134+ROUND(K134, 2)</f>
        <v>2118.0500000000002</v>
      </c>
      <c r="M134" s="17">
        <v>1930693.8</v>
      </c>
      <c r="N134" s="17">
        <v>687216</v>
      </c>
      <c r="O134" s="17">
        <f>M134+N134</f>
        <v>2617909.7999999998</v>
      </c>
      <c r="P134" s="17">
        <v>1562.05</v>
      </c>
      <c r="Q134" s="19">
        <v>834</v>
      </c>
      <c r="R134" s="17">
        <f>P134+ROUND(Q134, 2)</f>
        <v>2396.0500000000002</v>
      </c>
      <c r="S134" s="17">
        <v>1930693.8</v>
      </c>
      <c r="T134" s="17">
        <v>1030824</v>
      </c>
      <c r="U134" s="17">
        <f>S134+T134</f>
        <v>2961517.8</v>
      </c>
      <c r="V134" s="9">
        <f>ROUND(P134 / 1.2, 2)</f>
        <v>1301.71</v>
      </c>
      <c r="W134" s="9">
        <f>ROUND(Q134 / 1.2, 2)</f>
        <v>695</v>
      </c>
      <c r="X134" s="9">
        <f>ROUND(R134 / 1.2, 2)</f>
        <v>1996.71</v>
      </c>
      <c r="Y134" s="9">
        <f t="shared" si="13"/>
        <v>1608911.5</v>
      </c>
      <c r="Z134" s="9">
        <f>ROUND(T134 / 1.2, 2)</f>
        <v>859020</v>
      </c>
      <c r="AA134" s="9">
        <f>Y134+Z134</f>
        <v>2467931.5</v>
      </c>
      <c r="AD134" s="4">
        <v>334080600</v>
      </c>
      <c r="AE134" s="4">
        <v>27245779</v>
      </c>
      <c r="AG134" s="4" t="s">
        <v>464</v>
      </c>
      <c r="AH134" s="4" t="s">
        <v>465</v>
      </c>
      <c r="AI134" s="4" t="s">
        <v>250</v>
      </c>
    </row>
    <row r="135" spans="1:35" ht="18" x14ac:dyDescent="0.3">
      <c r="A135" s="10" t="s">
        <v>520</v>
      </c>
      <c r="B135" s="10"/>
      <c r="C135" s="24" t="s">
        <v>467</v>
      </c>
      <c r="D135" s="15"/>
      <c r="E135" s="15"/>
      <c r="F135" s="25" t="s">
        <v>278</v>
      </c>
      <c r="G135" s="26">
        <v>0.3</v>
      </c>
      <c r="H135" s="15"/>
      <c r="I135" s="26">
        <v>370.8</v>
      </c>
      <c r="J135" s="27">
        <v>220</v>
      </c>
      <c r="M135" s="28">
        <f>ROUND(ROUND(J135, 2)*I135, 2)</f>
        <v>81576</v>
      </c>
      <c r="P135" s="29">
        <v>220</v>
      </c>
      <c r="S135" s="28">
        <f>ROUND(ROUND(P135, 2)*I135, 2)</f>
        <v>81576</v>
      </c>
      <c r="V135" s="9">
        <f>ROUND(ROUND(P135, 2)/1.2, 2)</f>
        <v>183.33</v>
      </c>
      <c r="Y135" s="9">
        <f t="shared" si="13"/>
        <v>67980</v>
      </c>
      <c r="AD135" s="4" t="s">
        <v>521</v>
      </c>
      <c r="AE135" s="4" t="s">
        <v>522</v>
      </c>
      <c r="AF135" s="4" t="s">
        <v>470</v>
      </c>
    </row>
    <row r="136" spans="1:35" ht="72" x14ac:dyDescent="0.3">
      <c r="A136" s="10" t="s">
        <v>523</v>
      </c>
      <c r="B136" s="10"/>
      <c r="C136" s="30" t="s">
        <v>488</v>
      </c>
      <c r="D136" s="15"/>
      <c r="E136" s="15"/>
      <c r="F136" s="25" t="s">
        <v>102</v>
      </c>
      <c r="G136" s="26">
        <v>1</v>
      </c>
      <c r="H136" s="15"/>
      <c r="I136" s="31">
        <v>561</v>
      </c>
      <c r="J136" s="27">
        <v>51</v>
      </c>
      <c r="M136" s="28">
        <f>ROUND(ROUND(J136, 2)*I136, 2)</f>
        <v>28611</v>
      </c>
      <c r="P136" s="29">
        <v>51</v>
      </c>
      <c r="S136" s="28">
        <f>ROUND(ROUND(P136, 2)*I136, 2)</f>
        <v>28611</v>
      </c>
      <c r="V136" s="9">
        <f>ROUND(ROUND(P136, 2)/1.2, 2)</f>
        <v>42.5</v>
      </c>
      <c r="Y136" s="9">
        <f t="shared" si="13"/>
        <v>23842.5</v>
      </c>
      <c r="AD136" s="4" t="s">
        <v>524</v>
      </c>
      <c r="AE136" s="4" t="s">
        <v>525</v>
      </c>
      <c r="AF136" s="4" t="s">
        <v>491</v>
      </c>
    </row>
    <row r="137" spans="1:35" ht="54" x14ac:dyDescent="0.3">
      <c r="A137" s="10" t="s">
        <v>526</v>
      </c>
      <c r="B137" s="10"/>
      <c r="C137" s="30" t="s">
        <v>483</v>
      </c>
      <c r="D137" s="15"/>
      <c r="E137" s="15"/>
      <c r="F137" s="25" t="s">
        <v>62</v>
      </c>
      <c r="G137" s="26">
        <v>1.1000000000000001</v>
      </c>
      <c r="H137" s="15"/>
      <c r="I137" s="31">
        <v>1359.6</v>
      </c>
      <c r="J137" s="27">
        <v>1339</v>
      </c>
      <c r="M137" s="28">
        <f>ROUND(ROUND(J137, 2)*I137, 2)</f>
        <v>1820504.4</v>
      </c>
      <c r="P137" s="29">
        <v>1339</v>
      </c>
      <c r="S137" s="28">
        <f>ROUND(ROUND(P137, 2)*I137, 2)</f>
        <v>1820504.4</v>
      </c>
      <c r="V137" s="9">
        <f>ROUND(ROUND(P137, 2)/1.2, 2)</f>
        <v>1115.83</v>
      </c>
      <c r="Y137" s="9">
        <f t="shared" si="13"/>
        <v>1517087</v>
      </c>
      <c r="AD137" s="4" t="s">
        <v>527</v>
      </c>
      <c r="AE137" s="4" t="s">
        <v>528</v>
      </c>
      <c r="AF137" s="4" t="s">
        <v>486</v>
      </c>
    </row>
    <row r="138" spans="1:35" ht="18" x14ac:dyDescent="0.3">
      <c r="A138" s="10" t="s">
        <v>529</v>
      </c>
      <c r="B138" s="10" t="s">
        <v>461</v>
      </c>
      <c r="C138" s="14" t="s">
        <v>462</v>
      </c>
      <c r="D138" s="15" t="s">
        <v>463</v>
      </c>
      <c r="E138" s="15" t="s">
        <v>496</v>
      </c>
      <c r="F138" s="15" t="s">
        <v>62</v>
      </c>
      <c r="G138" s="16">
        <v>1</v>
      </c>
      <c r="H138" s="15"/>
      <c r="I138" s="16">
        <v>2276</v>
      </c>
      <c r="J138" s="17">
        <v>89.15</v>
      </c>
      <c r="K138" s="18">
        <v>556</v>
      </c>
      <c r="L138" s="17">
        <f>J138+ROUND(K138, 2)</f>
        <v>645.15</v>
      </c>
      <c r="M138" s="17">
        <v>202905.4</v>
      </c>
      <c r="N138" s="17">
        <v>1265456</v>
      </c>
      <c r="O138" s="17">
        <f>M138+N138</f>
        <v>1468361.4</v>
      </c>
      <c r="P138" s="17">
        <v>89.15</v>
      </c>
      <c r="Q138" s="19">
        <v>834</v>
      </c>
      <c r="R138" s="17">
        <f>P138+ROUND(Q138, 2)</f>
        <v>923.15</v>
      </c>
      <c r="S138" s="17">
        <v>202905.4</v>
      </c>
      <c r="T138" s="17">
        <v>1898184</v>
      </c>
      <c r="U138" s="17">
        <f>S138+T138</f>
        <v>2101089.4</v>
      </c>
      <c r="V138" s="9">
        <f>ROUND(P138 / 1.2, 2)</f>
        <v>74.290000000000006</v>
      </c>
      <c r="W138" s="9">
        <f>ROUND(Q138 / 1.2, 2)</f>
        <v>695</v>
      </c>
      <c r="X138" s="9">
        <f>ROUND(R138 / 1.2, 2)</f>
        <v>769.29</v>
      </c>
      <c r="Y138" s="9">
        <f t="shared" si="13"/>
        <v>169087.83</v>
      </c>
      <c r="Z138" s="9">
        <f>ROUND(T138 / 1.2, 2)</f>
        <v>1581820</v>
      </c>
      <c r="AA138" s="9">
        <f>Y138+Z138</f>
        <v>1750907.83</v>
      </c>
      <c r="AD138" s="4">
        <v>334080601</v>
      </c>
      <c r="AE138" s="4">
        <v>27245782</v>
      </c>
      <c r="AG138" s="4" t="s">
        <v>464</v>
      </c>
      <c r="AH138" s="4" t="s">
        <v>465</v>
      </c>
      <c r="AI138" s="4" t="s">
        <v>250</v>
      </c>
    </row>
    <row r="139" spans="1:35" ht="72" x14ac:dyDescent="0.3">
      <c r="A139" s="10" t="s">
        <v>530</v>
      </c>
      <c r="B139" s="10"/>
      <c r="C139" s="30" t="s">
        <v>488</v>
      </c>
      <c r="D139" s="15"/>
      <c r="E139" s="15"/>
      <c r="F139" s="25" t="s">
        <v>102</v>
      </c>
      <c r="G139" s="26">
        <v>1</v>
      </c>
      <c r="H139" s="15"/>
      <c r="I139" s="31">
        <v>1033</v>
      </c>
      <c r="J139" s="27">
        <v>51</v>
      </c>
      <c r="M139" s="28">
        <f>ROUND(ROUND(J139, 2)*I139, 2)</f>
        <v>52683</v>
      </c>
      <c r="P139" s="29">
        <v>51</v>
      </c>
      <c r="S139" s="28">
        <f>ROUND(ROUND(P139, 2)*I139, 2)</f>
        <v>52683</v>
      </c>
      <c r="V139" s="9">
        <f>ROUND(ROUND(P139, 2)/1.2, 2)</f>
        <v>42.5</v>
      </c>
      <c r="Y139" s="9">
        <f t="shared" si="13"/>
        <v>43902.5</v>
      </c>
      <c r="AD139" s="4" t="s">
        <v>531</v>
      </c>
      <c r="AE139" s="4" t="s">
        <v>532</v>
      </c>
      <c r="AF139" s="4" t="s">
        <v>491</v>
      </c>
    </row>
    <row r="140" spans="1:35" ht="18" x14ac:dyDescent="0.3">
      <c r="A140" s="10" t="s">
        <v>533</v>
      </c>
      <c r="B140" s="10"/>
      <c r="C140" s="24" t="s">
        <v>467</v>
      </c>
      <c r="D140" s="15"/>
      <c r="E140" s="15"/>
      <c r="F140" s="25" t="s">
        <v>278</v>
      </c>
      <c r="G140" s="26">
        <v>0.3</v>
      </c>
      <c r="H140" s="15"/>
      <c r="I140" s="26">
        <v>682.8</v>
      </c>
      <c r="J140" s="27">
        <v>220</v>
      </c>
      <c r="M140" s="28">
        <f>ROUND(ROUND(J140, 2)*I140, 2)</f>
        <v>150216</v>
      </c>
      <c r="P140" s="29">
        <v>220</v>
      </c>
      <c r="S140" s="28">
        <f>ROUND(ROUND(P140, 2)*I140, 2)</f>
        <v>150216</v>
      </c>
      <c r="V140" s="9">
        <f>ROUND(ROUND(P140, 2)/1.2, 2)</f>
        <v>183.33</v>
      </c>
      <c r="Y140" s="9">
        <f t="shared" si="13"/>
        <v>125180</v>
      </c>
      <c r="AD140" s="4" t="s">
        <v>534</v>
      </c>
      <c r="AE140" s="4" t="s">
        <v>535</v>
      </c>
      <c r="AF140" s="4" t="s">
        <v>470</v>
      </c>
    </row>
    <row r="141" spans="1:35" ht="90" x14ac:dyDescent="0.3">
      <c r="A141" s="11" t="s">
        <v>536</v>
      </c>
      <c r="B141" s="11" t="s">
        <v>461</v>
      </c>
      <c r="C141" s="20" t="s">
        <v>462</v>
      </c>
      <c r="D141" s="21" t="s">
        <v>463</v>
      </c>
      <c r="E141" s="21" t="s">
        <v>537</v>
      </c>
      <c r="F141" s="21" t="s">
        <v>62</v>
      </c>
      <c r="G141" s="22">
        <v>1</v>
      </c>
      <c r="H141" s="21"/>
      <c r="I141" s="22">
        <v>1347.2</v>
      </c>
      <c r="J141" s="23">
        <f>IFERROR(ROUND(SUM(M142,M143,M144,M145)/I141, 2),0)</f>
        <v>1298.03</v>
      </c>
      <c r="K141" s="23">
        <v>556</v>
      </c>
      <c r="L141" s="23">
        <f>J141+ROUND(K141, 2)</f>
        <v>1854.03</v>
      </c>
      <c r="M141" s="23">
        <f>ROUND(J141*I141, 2)</f>
        <v>1748706.02</v>
      </c>
      <c r="N141" s="23">
        <f>ROUND(I141*ROUND(K141, 2), 2)</f>
        <v>749043.19999999995</v>
      </c>
      <c r="O141" s="23">
        <f>M141+N141</f>
        <v>2497749.2199999997</v>
      </c>
      <c r="P141" s="23">
        <f>IFERROR(ROUND(SUM(S142,S143,S144,S145)/I141, 2),0)</f>
        <v>1417.68</v>
      </c>
      <c r="Q141" s="23">
        <v>834</v>
      </c>
      <c r="R141" s="23">
        <f>P141+ROUND(Q141, 2)</f>
        <v>2251.6800000000003</v>
      </c>
      <c r="S141" s="23">
        <f>ROUND(P141*I141, 2)</f>
        <v>1909898.5</v>
      </c>
      <c r="T141" s="23">
        <f>ROUND(I141*ROUND(Q141, 2), 2)</f>
        <v>1123564.8</v>
      </c>
      <c r="U141" s="23">
        <f>S141+T141</f>
        <v>3033463.3</v>
      </c>
      <c r="V141" s="9">
        <f>ROUND(P141 / 1.2, 2)</f>
        <v>1181.4000000000001</v>
      </c>
      <c r="W141" s="9">
        <f>ROUND(Q141 / 1.2, 2)</f>
        <v>695</v>
      </c>
      <c r="X141" s="9">
        <f>ROUND(R141 / 1.2, 2)</f>
        <v>1876.4</v>
      </c>
      <c r="Y141" s="9">
        <f t="shared" si="13"/>
        <v>1591582.08</v>
      </c>
      <c r="Z141" s="9">
        <f>ROUND(T141 / 1.2, 2)</f>
        <v>936304</v>
      </c>
      <c r="AA141" s="9">
        <f>Y141+Z141</f>
        <v>2527886.08</v>
      </c>
      <c r="AD141" s="4">
        <v>334080602</v>
      </c>
      <c r="AE141" s="4">
        <v>29362334</v>
      </c>
      <c r="AG141" s="4" t="s">
        <v>464</v>
      </c>
      <c r="AH141" s="4" t="s">
        <v>465</v>
      </c>
      <c r="AI141" s="4" t="s">
        <v>250</v>
      </c>
    </row>
    <row r="142" spans="1:35" ht="36" x14ac:dyDescent="0.3">
      <c r="A142" s="11" t="s">
        <v>538</v>
      </c>
      <c r="B142" s="11"/>
      <c r="C142" s="32" t="s">
        <v>467</v>
      </c>
      <c r="D142" s="21"/>
      <c r="E142" s="21" t="s">
        <v>539</v>
      </c>
      <c r="F142" s="33" t="s">
        <v>278</v>
      </c>
      <c r="G142" s="34">
        <v>0.3</v>
      </c>
      <c r="H142" s="21"/>
      <c r="I142" s="34">
        <v>404.16</v>
      </c>
      <c r="J142" s="35">
        <v>223.66</v>
      </c>
      <c r="K142" s="12"/>
      <c r="L142" s="12"/>
      <c r="M142" s="35">
        <f>ROUND(ROUND(J142, 2)*I142, 2)</f>
        <v>90394.43</v>
      </c>
      <c r="N142" s="12"/>
      <c r="O142" s="12"/>
      <c r="P142" s="35">
        <v>622.5</v>
      </c>
      <c r="Q142" s="12"/>
      <c r="R142" s="12"/>
      <c r="S142" s="35">
        <f>ROUND(ROUND(P142, 2)*I142, 2)</f>
        <v>251589.6</v>
      </c>
      <c r="T142" s="12"/>
      <c r="U142" s="36"/>
      <c r="V142" s="9">
        <f>ROUND(ROUND(P142, 2)/1.2, 2)</f>
        <v>518.75</v>
      </c>
      <c r="Y142" s="9">
        <f t="shared" si="13"/>
        <v>209658</v>
      </c>
      <c r="AD142" s="4" t="s">
        <v>540</v>
      </c>
      <c r="AE142" s="4" t="s">
        <v>541</v>
      </c>
      <c r="AF142" s="4" t="s">
        <v>470</v>
      </c>
    </row>
    <row r="143" spans="1:35" ht="36" x14ac:dyDescent="0.3">
      <c r="A143" s="11" t="s">
        <v>542</v>
      </c>
      <c r="B143" s="11"/>
      <c r="C143" s="32" t="s">
        <v>543</v>
      </c>
      <c r="D143" s="21"/>
      <c r="E143" s="21"/>
      <c r="F143" s="33" t="s">
        <v>278</v>
      </c>
      <c r="G143" s="34">
        <v>0.15</v>
      </c>
      <c r="H143" s="21"/>
      <c r="I143" s="34">
        <v>202.08</v>
      </c>
      <c r="J143" s="35">
        <v>69.540000000000006</v>
      </c>
      <c r="K143" s="12"/>
      <c r="L143" s="12"/>
      <c r="M143" s="35">
        <f>ROUND(ROUND(J143, 2)*I143, 2)</f>
        <v>14052.64</v>
      </c>
      <c r="N143" s="12"/>
      <c r="O143" s="12"/>
      <c r="P143" s="35">
        <v>69.540000000000006</v>
      </c>
      <c r="Q143" s="12"/>
      <c r="R143" s="12"/>
      <c r="S143" s="35">
        <f>ROUND(ROUND(P143, 2)*I143, 2)</f>
        <v>14052.64</v>
      </c>
      <c r="T143" s="12"/>
      <c r="U143" s="36"/>
      <c r="V143" s="9">
        <f>ROUND(ROUND(P143, 2)/1.2, 2)</f>
        <v>57.95</v>
      </c>
      <c r="Y143" s="9">
        <f t="shared" si="13"/>
        <v>11710.53</v>
      </c>
      <c r="AD143" s="4" t="s">
        <v>544</v>
      </c>
      <c r="AE143" s="4" t="s">
        <v>545</v>
      </c>
      <c r="AF143" s="4" t="s">
        <v>546</v>
      </c>
    </row>
    <row r="144" spans="1:35" ht="72" x14ac:dyDescent="0.3">
      <c r="A144" s="11" t="s">
        <v>547</v>
      </c>
      <c r="B144" s="11"/>
      <c r="C144" s="30" t="s">
        <v>548</v>
      </c>
      <c r="D144" s="21"/>
      <c r="E144" s="21"/>
      <c r="F144" s="33" t="s">
        <v>102</v>
      </c>
      <c r="G144" s="34">
        <v>1</v>
      </c>
      <c r="H144" s="21"/>
      <c r="I144" s="37">
        <v>1347.2</v>
      </c>
      <c r="J144" s="35">
        <v>51.85</v>
      </c>
      <c r="K144" s="12"/>
      <c r="L144" s="12"/>
      <c r="M144" s="35">
        <f>ROUND(ROUND(J144, 2)*I144, 2)</f>
        <v>69852.320000000007</v>
      </c>
      <c r="N144" s="12"/>
      <c r="O144" s="12"/>
      <c r="P144" s="35">
        <v>51.85</v>
      </c>
      <c r="Q144" s="12"/>
      <c r="R144" s="12"/>
      <c r="S144" s="35">
        <f>ROUND(ROUND(P144, 2)*I144, 2)</f>
        <v>69852.320000000007</v>
      </c>
      <c r="T144" s="12"/>
      <c r="U144" s="36"/>
      <c r="V144" s="9">
        <f>ROUND(ROUND(P144, 2)/1.2, 2)</f>
        <v>43.21</v>
      </c>
      <c r="Y144" s="9">
        <f t="shared" si="13"/>
        <v>58210.27</v>
      </c>
      <c r="AD144" s="4" t="s">
        <v>549</v>
      </c>
      <c r="AE144" s="4" t="s">
        <v>550</v>
      </c>
      <c r="AF144" s="4" t="s">
        <v>551</v>
      </c>
    </row>
    <row r="145" spans="1:35" ht="72" x14ac:dyDescent="0.3">
      <c r="A145" s="11" t="s">
        <v>552</v>
      </c>
      <c r="B145" s="11"/>
      <c r="C145" s="30" t="s">
        <v>553</v>
      </c>
      <c r="D145" s="21"/>
      <c r="E145" s="21" t="s">
        <v>554</v>
      </c>
      <c r="F145" s="33" t="s">
        <v>62</v>
      </c>
      <c r="G145" s="34">
        <v>1.1000000000000001</v>
      </c>
      <c r="H145" s="21"/>
      <c r="I145" s="37">
        <v>1481.92</v>
      </c>
      <c r="J145" s="35">
        <v>1062.4100000000001</v>
      </c>
      <c r="K145" s="12"/>
      <c r="L145" s="12"/>
      <c r="M145" s="35">
        <f>ROUND(ROUND(J145, 2)*I145, 2)</f>
        <v>1574406.63</v>
      </c>
      <c r="N145" s="12"/>
      <c r="O145" s="12"/>
      <c r="P145" s="35">
        <v>1062.4100000000001</v>
      </c>
      <c r="Q145" s="12"/>
      <c r="R145" s="12"/>
      <c r="S145" s="35">
        <f>ROUND(ROUND(P145, 2)*I145, 2)</f>
        <v>1574406.63</v>
      </c>
      <c r="T145" s="12"/>
      <c r="U145" s="36"/>
      <c r="V145" s="9">
        <f>ROUND(ROUND(P145, 2)/1.2, 2)</f>
        <v>885.34</v>
      </c>
      <c r="Y145" s="9">
        <f t="shared" si="13"/>
        <v>1312005.53</v>
      </c>
      <c r="AD145" s="4" t="s">
        <v>555</v>
      </c>
      <c r="AE145" s="4" t="s">
        <v>556</v>
      </c>
      <c r="AF145" s="4" t="s">
        <v>557</v>
      </c>
    </row>
    <row r="146" spans="1:35" ht="90" x14ac:dyDescent="0.3">
      <c r="A146" s="11" t="s">
        <v>558</v>
      </c>
      <c r="B146" s="11" t="s">
        <v>461</v>
      </c>
      <c r="C146" s="20" t="s">
        <v>462</v>
      </c>
      <c r="D146" s="21" t="s">
        <v>463</v>
      </c>
      <c r="E146" s="21" t="s">
        <v>559</v>
      </c>
      <c r="F146" s="21" t="s">
        <v>62</v>
      </c>
      <c r="G146" s="22">
        <v>1</v>
      </c>
      <c r="H146" s="21"/>
      <c r="I146" s="22">
        <v>75.599999999999994</v>
      </c>
      <c r="J146" s="23">
        <f>IFERROR(ROUND(SUM(M147,M148,M149)/I146, 2),0)</f>
        <v>1616.39</v>
      </c>
      <c r="K146" s="23">
        <v>556</v>
      </c>
      <c r="L146" s="23">
        <f>J146+ROUND(K146, 2)</f>
        <v>2172.3900000000003</v>
      </c>
      <c r="M146" s="23">
        <f>ROUND(J146*I146, 2)</f>
        <v>122199.08</v>
      </c>
      <c r="N146" s="23">
        <f>ROUND(I146*ROUND(K146, 2), 2)</f>
        <v>42033.599999999999</v>
      </c>
      <c r="O146" s="23">
        <f>M146+N146</f>
        <v>164232.68</v>
      </c>
      <c r="P146" s="23">
        <f>IFERROR(ROUND(SUM(S147,S148,S149)/I146, 2),0)</f>
        <v>1736.04</v>
      </c>
      <c r="Q146" s="23">
        <v>834</v>
      </c>
      <c r="R146" s="23">
        <f>P146+ROUND(Q146, 2)</f>
        <v>2570.04</v>
      </c>
      <c r="S146" s="23">
        <f>ROUND(P146*I146, 2)</f>
        <v>131244.62</v>
      </c>
      <c r="T146" s="23">
        <f>ROUND(I146*ROUND(Q146, 2), 2)</f>
        <v>63050.400000000001</v>
      </c>
      <c r="U146" s="23">
        <f>S146+T146</f>
        <v>194295.02</v>
      </c>
      <c r="V146" s="9">
        <f>ROUND(P146 / 1.2, 2)</f>
        <v>1446.7</v>
      </c>
      <c r="W146" s="9">
        <f>ROUND(Q146 / 1.2, 2)</f>
        <v>695</v>
      </c>
      <c r="X146" s="9">
        <f>ROUND(R146 / 1.2, 2)</f>
        <v>2141.6999999999998</v>
      </c>
      <c r="Y146" s="9">
        <f t="shared" si="13"/>
        <v>109370.52</v>
      </c>
      <c r="Z146" s="9">
        <f>ROUND(T146 / 1.2, 2)</f>
        <v>52542</v>
      </c>
      <c r="AA146" s="9">
        <f>Y146+Z146</f>
        <v>161912.52000000002</v>
      </c>
      <c r="AD146" s="4">
        <v>334080603</v>
      </c>
      <c r="AE146" s="4">
        <v>29362335</v>
      </c>
      <c r="AG146" s="4" t="s">
        <v>464</v>
      </c>
      <c r="AH146" s="4" t="s">
        <v>465</v>
      </c>
      <c r="AI146" s="4" t="s">
        <v>250</v>
      </c>
    </row>
    <row r="147" spans="1:35" ht="54" x14ac:dyDescent="0.3">
      <c r="A147" s="11" t="s">
        <v>560</v>
      </c>
      <c r="B147" s="11"/>
      <c r="C147" s="30" t="s">
        <v>483</v>
      </c>
      <c r="D147" s="21"/>
      <c r="E147" s="21"/>
      <c r="F147" s="33" t="s">
        <v>62</v>
      </c>
      <c r="G147" s="34">
        <v>1.1000000000000001</v>
      </c>
      <c r="H147" s="21"/>
      <c r="I147" s="37">
        <v>83.16</v>
      </c>
      <c r="J147" s="35">
        <v>1361.31</v>
      </c>
      <c r="K147" s="12"/>
      <c r="L147" s="12"/>
      <c r="M147" s="35">
        <f>ROUND(ROUND(J147, 2)*I147, 2)</f>
        <v>113206.54</v>
      </c>
      <c r="N147" s="12"/>
      <c r="O147" s="12"/>
      <c r="P147" s="35">
        <v>1361.31</v>
      </c>
      <c r="Q147" s="12"/>
      <c r="R147" s="12"/>
      <c r="S147" s="35">
        <f>ROUND(ROUND(P147, 2)*I147, 2)</f>
        <v>113206.54</v>
      </c>
      <c r="T147" s="12"/>
      <c r="U147" s="36"/>
      <c r="V147" s="9">
        <f>ROUND(ROUND(P147, 2)/1.2, 2)</f>
        <v>1134.43</v>
      </c>
      <c r="Y147" s="9">
        <f t="shared" si="13"/>
        <v>94338.78</v>
      </c>
      <c r="AD147" s="4" t="s">
        <v>561</v>
      </c>
      <c r="AE147" s="4" t="s">
        <v>562</v>
      </c>
      <c r="AF147" s="4" t="s">
        <v>486</v>
      </c>
    </row>
    <row r="148" spans="1:35" ht="72" x14ac:dyDescent="0.3">
      <c r="A148" s="11" t="s">
        <v>563</v>
      </c>
      <c r="B148" s="11"/>
      <c r="C148" s="30" t="s">
        <v>548</v>
      </c>
      <c r="D148" s="21"/>
      <c r="E148" s="21"/>
      <c r="F148" s="33" t="s">
        <v>102</v>
      </c>
      <c r="G148" s="34">
        <v>1</v>
      </c>
      <c r="H148" s="21"/>
      <c r="I148" s="37">
        <v>75.599999999999994</v>
      </c>
      <c r="J148" s="35">
        <v>51.85</v>
      </c>
      <c r="K148" s="12"/>
      <c r="L148" s="12"/>
      <c r="M148" s="35">
        <f>ROUND(ROUND(J148, 2)*I148, 2)</f>
        <v>3919.86</v>
      </c>
      <c r="N148" s="12"/>
      <c r="O148" s="12"/>
      <c r="P148" s="35">
        <v>51.85</v>
      </c>
      <c r="Q148" s="12"/>
      <c r="R148" s="12"/>
      <c r="S148" s="35">
        <f>ROUND(ROUND(P148, 2)*I148, 2)</f>
        <v>3919.86</v>
      </c>
      <c r="T148" s="12"/>
      <c r="U148" s="36"/>
      <c r="V148" s="9">
        <f>ROUND(ROUND(P148, 2)/1.2, 2)</f>
        <v>43.21</v>
      </c>
      <c r="Y148" s="9">
        <f t="shared" si="13"/>
        <v>3266.55</v>
      </c>
      <c r="AD148" s="4" t="s">
        <v>564</v>
      </c>
      <c r="AE148" s="4" t="s">
        <v>565</v>
      </c>
      <c r="AF148" s="4" t="s">
        <v>551</v>
      </c>
    </row>
    <row r="149" spans="1:35" ht="36" x14ac:dyDescent="0.3">
      <c r="A149" s="11" t="s">
        <v>566</v>
      </c>
      <c r="B149" s="11"/>
      <c r="C149" s="32" t="s">
        <v>467</v>
      </c>
      <c r="D149" s="21"/>
      <c r="E149" s="21" t="s">
        <v>539</v>
      </c>
      <c r="F149" s="33" t="s">
        <v>278</v>
      </c>
      <c r="G149" s="34">
        <v>0.3</v>
      </c>
      <c r="H149" s="21"/>
      <c r="I149" s="34">
        <v>22.68</v>
      </c>
      <c r="J149" s="35">
        <v>223.66</v>
      </c>
      <c r="K149" s="12"/>
      <c r="L149" s="12"/>
      <c r="M149" s="35">
        <f>ROUND(ROUND(J149, 2)*I149, 2)</f>
        <v>5072.6099999999997</v>
      </c>
      <c r="N149" s="12"/>
      <c r="O149" s="12"/>
      <c r="P149" s="35">
        <v>622.5</v>
      </c>
      <c r="Q149" s="12"/>
      <c r="R149" s="12"/>
      <c r="S149" s="35">
        <f>ROUND(ROUND(P149, 2)*I149, 2)</f>
        <v>14118.3</v>
      </c>
      <c r="T149" s="12"/>
      <c r="U149" s="36"/>
      <c r="V149" s="9">
        <f>ROUND(ROUND(P149, 2)/1.2, 2)</f>
        <v>518.75</v>
      </c>
      <c r="Y149" s="9">
        <f t="shared" si="13"/>
        <v>11765.25</v>
      </c>
      <c r="AD149" s="4" t="s">
        <v>567</v>
      </c>
      <c r="AE149" s="4" t="s">
        <v>568</v>
      </c>
      <c r="AF149" s="4" t="s">
        <v>470</v>
      </c>
    </row>
    <row r="150" spans="1:35" ht="90" x14ac:dyDescent="0.3">
      <c r="A150" s="11" t="s">
        <v>569</v>
      </c>
      <c r="B150" s="11" t="s">
        <v>461</v>
      </c>
      <c r="C150" s="20" t="s">
        <v>462</v>
      </c>
      <c r="D150" s="21" t="s">
        <v>463</v>
      </c>
      <c r="E150" s="21" t="s">
        <v>570</v>
      </c>
      <c r="F150" s="21" t="s">
        <v>62</v>
      </c>
      <c r="G150" s="22">
        <v>1</v>
      </c>
      <c r="H150" s="21"/>
      <c r="I150" s="22">
        <v>359.3</v>
      </c>
      <c r="J150" s="23">
        <f>IFERROR(ROUND(SUM(M151,M152,M153,M154)/I150, 2),0)</f>
        <v>1632.01</v>
      </c>
      <c r="K150" s="23">
        <v>556</v>
      </c>
      <c r="L150" s="23">
        <f>J150+ROUND(K150, 2)</f>
        <v>2188.0100000000002</v>
      </c>
      <c r="M150" s="23">
        <f>ROUND(J150*I150, 2)</f>
        <v>586381.18999999994</v>
      </c>
      <c r="N150" s="23">
        <f>ROUND(I150*ROUND(K150, 2), 2)</f>
        <v>199770.8</v>
      </c>
      <c r="O150" s="23">
        <f>M150+N150</f>
        <v>786151.99</v>
      </c>
      <c r="P150" s="23">
        <f>IFERROR(ROUND(SUM(S151,S152,S153,S154)/I150, 2),0)</f>
        <v>1751.66</v>
      </c>
      <c r="Q150" s="23">
        <v>834</v>
      </c>
      <c r="R150" s="23">
        <f>P150+ROUND(Q150, 2)</f>
        <v>2585.66</v>
      </c>
      <c r="S150" s="23">
        <f>ROUND(P150*I150, 2)</f>
        <v>629371.43999999994</v>
      </c>
      <c r="T150" s="23">
        <f>ROUND(I150*ROUND(Q150, 2), 2)</f>
        <v>299656.2</v>
      </c>
      <c r="U150" s="23">
        <f>S150+T150</f>
        <v>929027.6399999999</v>
      </c>
      <c r="V150" s="9">
        <f>ROUND(P150 / 1.2, 2)</f>
        <v>1459.72</v>
      </c>
      <c r="W150" s="9">
        <f>ROUND(Q150 / 1.2, 2)</f>
        <v>695</v>
      </c>
      <c r="X150" s="9">
        <f>ROUND(R150 / 1.2, 2)</f>
        <v>2154.7199999999998</v>
      </c>
      <c r="Y150" s="9">
        <f t="shared" si="13"/>
        <v>524476.19999999995</v>
      </c>
      <c r="Z150" s="9">
        <f>ROUND(T150 / 1.2, 2)</f>
        <v>249713.5</v>
      </c>
      <c r="AA150" s="9">
        <f>Y150+Z150</f>
        <v>774189.7</v>
      </c>
      <c r="AD150" s="4">
        <v>334080604</v>
      </c>
      <c r="AE150" s="4">
        <v>29371275</v>
      </c>
      <c r="AG150" s="4" t="s">
        <v>464</v>
      </c>
      <c r="AH150" s="4" t="s">
        <v>465</v>
      </c>
      <c r="AI150" s="4" t="s">
        <v>250</v>
      </c>
    </row>
    <row r="151" spans="1:35" ht="36" x14ac:dyDescent="0.3">
      <c r="A151" s="11" t="s">
        <v>571</v>
      </c>
      <c r="B151" s="11"/>
      <c r="C151" s="32" t="s">
        <v>467</v>
      </c>
      <c r="D151" s="21"/>
      <c r="E151" s="21" t="s">
        <v>539</v>
      </c>
      <c r="F151" s="33" t="s">
        <v>278</v>
      </c>
      <c r="G151" s="34">
        <v>0.3</v>
      </c>
      <c r="H151" s="21"/>
      <c r="I151" s="34">
        <v>107.79</v>
      </c>
      <c r="J151" s="35">
        <v>223.66</v>
      </c>
      <c r="K151" s="12"/>
      <c r="L151" s="12"/>
      <c r="M151" s="35">
        <f>ROUND(ROUND(J151, 2)*I151, 2)</f>
        <v>24108.31</v>
      </c>
      <c r="N151" s="12"/>
      <c r="O151" s="12"/>
      <c r="P151" s="35">
        <v>622.5</v>
      </c>
      <c r="Q151" s="12"/>
      <c r="R151" s="12"/>
      <c r="S151" s="35">
        <f>ROUND(ROUND(P151, 2)*I151, 2)</f>
        <v>67099.28</v>
      </c>
      <c r="T151" s="12"/>
      <c r="U151" s="36"/>
      <c r="V151" s="9">
        <f>ROUND(ROUND(P151, 2)/1.2, 2)</f>
        <v>518.75</v>
      </c>
      <c r="Y151" s="9">
        <f t="shared" ref="Y151:Y167" si="14">ROUND(S151 / 1.2, 2)</f>
        <v>55916.07</v>
      </c>
      <c r="AD151" s="4" t="s">
        <v>572</v>
      </c>
      <c r="AE151" s="4" t="s">
        <v>573</v>
      </c>
      <c r="AF151" s="4" t="s">
        <v>470</v>
      </c>
    </row>
    <row r="152" spans="1:35" ht="36" x14ac:dyDescent="0.3">
      <c r="A152" s="11" t="s">
        <v>574</v>
      </c>
      <c r="B152" s="11"/>
      <c r="C152" s="32" t="s">
        <v>543</v>
      </c>
      <c r="D152" s="21"/>
      <c r="E152" s="21"/>
      <c r="F152" s="33" t="s">
        <v>278</v>
      </c>
      <c r="G152" s="34">
        <v>0.15</v>
      </c>
      <c r="H152" s="21"/>
      <c r="I152" s="34">
        <v>53.895000000000003</v>
      </c>
      <c r="J152" s="35">
        <v>69.540000000000006</v>
      </c>
      <c r="K152" s="12"/>
      <c r="L152" s="12"/>
      <c r="M152" s="35">
        <f>ROUND(ROUND(J152, 2)*I152, 2)</f>
        <v>3747.86</v>
      </c>
      <c r="N152" s="12"/>
      <c r="O152" s="12"/>
      <c r="P152" s="35">
        <v>69.540000000000006</v>
      </c>
      <c r="Q152" s="12"/>
      <c r="R152" s="12"/>
      <c r="S152" s="35">
        <f>ROUND(ROUND(P152, 2)*I152, 2)</f>
        <v>3747.86</v>
      </c>
      <c r="T152" s="12"/>
      <c r="U152" s="36"/>
      <c r="V152" s="9">
        <f>ROUND(ROUND(P152, 2)/1.2, 2)</f>
        <v>57.95</v>
      </c>
      <c r="Y152" s="9">
        <f t="shared" si="14"/>
        <v>3123.22</v>
      </c>
      <c r="AD152" s="4" t="s">
        <v>575</v>
      </c>
      <c r="AE152" s="4" t="s">
        <v>576</v>
      </c>
      <c r="AF152" s="4" t="s">
        <v>546</v>
      </c>
    </row>
    <row r="153" spans="1:35" ht="72" x14ac:dyDescent="0.3">
      <c r="A153" s="11" t="s">
        <v>577</v>
      </c>
      <c r="B153" s="11"/>
      <c r="C153" s="30" t="s">
        <v>548</v>
      </c>
      <c r="D153" s="21"/>
      <c r="E153" s="21"/>
      <c r="F153" s="33" t="s">
        <v>102</v>
      </c>
      <c r="G153" s="34">
        <v>1</v>
      </c>
      <c r="H153" s="21"/>
      <c r="I153" s="37">
        <v>395.23</v>
      </c>
      <c r="J153" s="35">
        <v>51.85</v>
      </c>
      <c r="K153" s="12"/>
      <c r="L153" s="12"/>
      <c r="M153" s="35">
        <f>ROUND(ROUND(J153, 2)*I153, 2)</f>
        <v>20492.68</v>
      </c>
      <c r="N153" s="12"/>
      <c r="O153" s="12"/>
      <c r="P153" s="35">
        <v>51.85</v>
      </c>
      <c r="Q153" s="12"/>
      <c r="R153" s="12"/>
      <c r="S153" s="35">
        <f>ROUND(ROUND(P153, 2)*I153, 2)</f>
        <v>20492.68</v>
      </c>
      <c r="T153" s="12"/>
      <c r="U153" s="36"/>
      <c r="V153" s="9">
        <f>ROUND(ROUND(P153, 2)/1.2, 2)</f>
        <v>43.21</v>
      </c>
      <c r="Y153" s="9">
        <f t="shared" si="14"/>
        <v>17077.23</v>
      </c>
      <c r="AD153" s="4" t="s">
        <v>578</v>
      </c>
      <c r="AE153" s="4" t="s">
        <v>579</v>
      </c>
      <c r="AF153" s="4" t="s">
        <v>551</v>
      </c>
    </row>
    <row r="154" spans="1:35" ht="54" x14ac:dyDescent="0.3">
      <c r="A154" s="11" t="s">
        <v>580</v>
      </c>
      <c r="B154" s="11"/>
      <c r="C154" s="30" t="s">
        <v>581</v>
      </c>
      <c r="D154" s="21"/>
      <c r="E154" s="21"/>
      <c r="F154" s="33" t="s">
        <v>62</v>
      </c>
      <c r="G154" s="34">
        <v>1.1000000000000001</v>
      </c>
      <c r="H154" s="21"/>
      <c r="I154" s="37">
        <v>395.23</v>
      </c>
      <c r="J154" s="35">
        <v>1361.31</v>
      </c>
      <c r="K154" s="12"/>
      <c r="L154" s="12"/>
      <c r="M154" s="35">
        <f>ROUND(ROUND(J154, 2)*I154, 2)</f>
        <v>538030.55000000005</v>
      </c>
      <c r="N154" s="12"/>
      <c r="O154" s="12"/>
      <c r="P154" s="35">
        <v>1361.31</v>
      </c>
      <c r="Q154" s="12"/>
      <c r="R154" s="12"/>
      <c r="S154" s="35">
        <f>ROUND(ROUND(P154, 2)*I154, 2)</f>
        <v>538030.55000000005</v>
      </c>
      <c r="T154" s="12"/>
      <c r="U154" s="36"/>
      <c r="V154" s="9">
        <f>ROUND(ROUND(P154, 2)/1.2, 2)</f>
        <v>1134.43</v>
      </c>
      <c r="Y154" s="9">
        <f t="shared" si="14"/>
        <v>448358.79</v>
      </c>
      <c r="AD154" s="4" t="s">
        <v>582</v>
      </c>
      <c r="AE154" s="4" t="s">
        <v>583</v>
      </c>
      <c r="AF154" s="4" t="s">
        <v>584</v>
      </c>
    </row>
    <row r="155" spans="1:35" ht="18" x14ac:dyDescent="0.3">
      <c r="A155" s="10" t="s">
        <v>585</v>
      </c>
      <c r="B155" s="10" t="s">
        <v>586</v>
      </c>
      <c r="C155" s="14" t="s">
        <v>587</v>
      </c>
      <c r="D155" s="15"/>
      <c r="E155" s="15"/>
      <c r="F155" s="15" t="s">
        <v>102</v>
      </c>
      <c r="G155" s="16">
        <v>1</v>
      </c>
      <c r="H155" s="15"/>
      <c r="I155" s="16">
        <v>0</v>
      </c>
      <c r="J155" s="17">
        <v>0</v>
      </c>
      <c r="K155" s="18">
        <v>200</v>
      </c>
      <c r="L155" s="17">
        <f>J155+ROUND(K155, 2)</f>
        <v>200</v>
      </c>
      <c r="M155" s="17">
        <v>0</v>
      </c>
      <c r="N155" s="17">
        <v>0</v>
      </c>
      <c r="O155" s="17">
        <f>M155+N155</f>
        <v>0</v>
      </c>
      <c r="P155" s="17">
        <v>577.48</v>
      </c>
      <c r="Q155" s="19">
        <v>200</v>
      </c>
      <c r="R155" s="17">
        <f>P155+ROUND(Q155, 2)</f>
        <v>777.48</v>
      </c>
      <c r="S155" s="17">
        <v>0</v>
      </c>
      <c r="T155" s="17">
        <v>0</v>
      </c>
      <c r="U155" s="17">
        <f>S155+T155</f>
        <v>0</v>
      </c>
      <c r="V155" s="9">
        <f>ROUND(P155 / 1.2, 2)</f>
        <v>481.23</v>
      </c>
      <c r="W155" s="9">
        <f>ROUND(Q155 / 1.2, 2)</f>
        <v>166.67</v>
      </c>
      <c r="X155" s="9">
        <f>ROUND(R155 / 1.2, 2)</f>
        <v>647.9</v>
      </c>
      <c r="Y155" s="9">
        <f t="shared" si="14"/>
        <v>0</v>
      </c>
      <c r="Z155" s="9">
        <f>ROUND(T155 / 1.2, 2)</f>
        <v>0</v>
      </c>
      <c r="AA155" s="9">
        <f>Y155+Z155</f>
        <v>0</v>
      </c>
      <c r="AD155" s="4">
        <v>334080508</v>
      </c>
      <c r="AE155" s="4">
        <v>27245706</v>
      </c>
      <c r="AG155" s="4" t="s">
        <v>588</v>
      </c>
      <c r="AH155" s="4" t="s">
        <v>589</v>
      </c>
      <c r="AI155" s="4" t="s">
        <v>250</v>
      </c>
    </row>
    <row r="156" spans="1:35" ht="36" x14ac:dyDescent="0.3">
      <c r="A156" s="10" t="s">
        <v>590</v>
      </c>
      <c r="B156" s="10"/>
      <c r="C156" s="24" t="s">
        <v>591</v>
      </c>
      <c r="D156" s="15"/>
      <c r="E156" s="15"/>
      <c r="F156" s="25" t="s">
        <v>102</v>
      </c>
      <c r="G156" s="26">
        <v>1.1000000000000001</v>
      </c>
      <c r="H156" s="15"/>
      <c r="I156" s="31">
        <v>0</v>
      </c>
      <c r="J156" s="27">
        <v>0</v>
      </c>
      <c r="M156" s="28">
        <f>ROUND(ROUND(J156, 2)*I156, 2)</f>
        <v>0</v>
      </c>
      <c r="P156" s="29">
        <v>516.79999999999995</v>
      </c>
      <c r="S156" s="28">
        <f>ROUND(ROUND(P156, 2)*I156, 2)</f>
        <v>0</v>
      </c>
      <c r="V156" s="9">
        <f>ROUND(ROUND(P156, 2)/1.2, 2)</f>
        <v>430.67</v>
      </c>
      <c r="Y156" s="9">
        <f t="shared" si="14"/>
        <v>0</v>
      </c>
      <c r="AD156" s="4" t="s">
        <v>592</v>
      </c>
      <c r="AE156" s="4" t="s">
        <v>593</v>
      </c>
      <c r="AF156" s="4" t="s">
        <v>594</v>
      </c>
    </row>
    <row r="157" spans="1:35" ht="18" x14ac:dyDescent="0.3">
      <c r="A157" s="10" t="s">
        <v>595</v>
      </c>
      <c r="B157" s="10"/>
      <c r="C157" s="24" t="s">
        <v>596</v>
      </c>
      <c r="D157" s="15"/>
      <c r="E157" s="15"/>
      <c r="F157" s="25" t="s">
        <v>597</v>
      </c>
      <c r="G157" s="38">
        <v>0.09</v>
      </c>
      <c r="H157" s="15"/>
      <c r="I157" s="26">
        <v>0</v>
      </c>
      <c r="J157" s="27">
        <v>100</v>
      </c>
      <c r="M157" s="28">
        <f>ROUND(ROUND(J157, 2)*I157, 2)</f>
        <v>0</v>
      </c>
      <c r="P157" s="29">
        <v>100</v>
      </c>
      <c r="S157" s="28">
        <f>ROUND(ROUND(P157, 2)*I157, 2)</f>
        <v>0</v>
      </c>
      <c r="V157" s="9">
        <f>ROUND(ROUND(P157, 2)/1.2, 2)</f>
        <v>83.33</v>
      </c>
      <c r="Y157" s="9">
        <f t="shared" si="14"/>
        <v>0</v>
      </c>
      <c r="AD157" s="4" t="s">
        <v>598</v>
      </c>
      <c r="AE157" s="4" t="s">
        <v>599</v>
      </c>
      <c r="AF157" s="4" t="s">
        <v>600</v>
      </c>
    </row>
    <row r="158" spans="1:35" ht="18" x14ac:dyDescent="0.3">
      <c r="A158" s="10" t="s">
        <v>601</v>
      </c>
      <c r="B158" s="10" t="s">
        <v>586</v>
      </c>
      <c r="C158" s="14" t="s">
        <v>587</v>
      </c>
      <c r="D158" s="15"/>
      <c r="E158" s="15"/>
      <c r="F158" s="15" t="s">
        <v>102</v>
      </c>
      <c r="G158" s="16">
        <v>1</v>
      </c>
      <c r="H158" s="15"/>
      <c r="I158" s="16">
        <v>0</v>
      </c>
      <c r="J158" s="17">
        <v>0</v>
      </c>
      <c r="K158" s="18">
        <v>200</v>
      </c>
      <c r="L158" s="17">
        <f>J158+ROUND(K158, 2)</f>
        <v>200</v>
      </c>
      <c r="M158" s="17">
        <v>0</v>
      </c>
      <c r="N158" s="17">
        <v>0</v>
      </c>
      <c r="O158" s="17">
        <f>M158+N158</f>
        <v>0</v>
      </c>
      <c r="P158" s="17">
        <v>577.48</v>
      </c>
      <c r="Q158" s="19">
        <v>200</v>
      </c>
      <c r="R158" s="17">
        <f>P158+ROUND(Q158, 2)</f>
        <v>777.48</v>
      </c>
      <c r="S158" s="17">
        <v>0</v>
      </c>
      <c r="T158" s="17">
        <v>0</v>
      </c>
      <c r="U158" s="17">
        <f>S158+T158</f>
        <v>0</v>
      </c>
      <c r="V158" s="9">
        <f>ROUND(P158 / 1.2, 2)</f>
        <v>481.23</v>
      </c>
      <c r="W158" s="9">
        <f>ROUND(Q158 / 1.2, 2)</f>
        <v>166.67</v>
      </c>
      <c r="X158" s="9">
        <f>ROUND(R158 / 1.2, 2)</f>
        <v>647.9</v>
      </c>
      <c r="Y158" s="9">
        <f t="shared" si="14"/>
        <v>0</v>
      </c>
      <c r="Z158" s="9">
        <f>ROUND(T158 / 1.2, 2)</f>
        <v>0</v>
      </c>
      <c r="AA158" s="9">
        <f>Y158+Z158</f>
        <v>0</v>
      </c>
      <c r="AD158" s="4">
        <v>334080605</v>
      </c>
      <c r="AE158" s="4">
        <v>27245707</v>
      </c>
      <c r="AG158" s="4" t="s">
        <v>588</v>
      </c>
      <c r="AH158" s="4" t="s">
        <v>589</v>
      </c>
      <c r="AI158" s="4" t="s">
        <v>250</v>
      </c>
    </row>
    <row r="159" spans="1:35" ht="18" x14ac:dyDescent="0.3">
      <c r="A159" s="10" t="s">
        <v>602</v>
      </c>
      <c r="B159" s="10"/>
      <c r="C159" s="24" t="s">
        <v>596</v>
      </c>
      <c r="D159" s="15"/>
      <c r="E159" s="15"/>
      <c r="F159" s="25" t="s">
        <v>597</v>
      </c>
      <c r="G159" s="38">
        <v>0.09</v>
      </c>
      <c r="H159" s="15"/>
      <c r="I159" s="26">
        <v>0</v>
      </c>
      <c r="J159" s="27">
        <v>100</v>
      </c>
      <c r="M159" s="28">
        <f>ROUND(ROUND(J159, 2)*I159, 2)</f>
        <v>0</v>
      </c>
      <c r="P159" s="29">
        <v>100</v>
      </c>
      <c r="S159" s="28">
        <f>ROUND(ROUND(P159, 2)*I159, 2)</f>
        <v>0</v>
      </c>
      <c r="V159" s="9">
        <f>ROUND(ROUND(P159, 2)/1.2, 2)</f>
        <v>83.33</v>
      </c>
      <c r="Y159" s="9">
        <f t="shared" si="14"/>
        <v>0</v>
      </c>
      <c r="AD159" s="4" t="s">
        <v>603</v>
      </c>
      <c r="AE159" s="4" t="s">
        <v>604</v>
      </c>
      <c r="AF159" s="4" t="s">
        <v>600</v>
      </c>
    </row>
    <row r="160" spans="1:35" ht="36" x14ac:dyDescent="0.3">
      <c r="A160" s="10" t="s">
        <v>605</v>
      </c>
      <c r="B160" s="10"/>
      <c r="C160" s="24" t="s">
        <v>591</v>
      </c>
      <c r="D160" s="15"/>
      <c r="E160" s="15"/>
      <c r="F160" s="25" t="s">
        <v>102</v>
      </c>
      <c r="G160" s="26">
        <v>1.1000000000000001</v>
      </c>
      <c r="H160" s="15"/>
      <c r="I160" s="31">
        <v>0</v>
      </c>
      <c r="J160" s="27">
        <v>0</v>
      </c>
      <c r="M160" s="28">
        <f>ROUND(ROUND(J160, 2)*I160, 2)</f>
        <v>0</v>
      </c>
      <c r="P160" s="29">
        <v>516.79999999999995</v>
      </c>
      <c r="S160" s="28">
        <f>ROUND(ROUND(P160, 2)*I160, 2)</f>
        <v>0</v>
      </c>
      <c r="V160" s="9">
        <f>ROUND(ROUND(P160, 2)/1.2, 2)</f>
        <v>430.67</v>
      </c>
      <c r="Y160" s="9">
        <f t="shared" si="14"/>
        <v>0</v>
      </c>
      <c r="AD160" s="4" t="s">
        <v>606</v>
      </c>
      <c r="AE160" s="4" t="s">
        <v>607</v>
      </c>
      <c r="AF160" s="4" t="s">
        <v>594</v>
      </c>
    </row>
    <row r="161" spans="1:35" ht="18" x14ac:dyDescent="0.3">
      <c r="A161" s="10" t="s">
        <v>608</v>
      </c>
      <c r="B161" s="10" t="s">
        <v>586</v>
      </c>
      <c r="C161" s="14" t="s">
        <v>587</v>
      </c>
      <c r="D161" s="15"/>
      <c r="E161" s="15"/>
      <c r="F161" s="15" t="s">
        <v>102</v>
      </c>
      <c r="G161" s="16">
        <v>1</v>
      </c>
      <c r="H161" s="15"/>
      <c r="I161" s="16">
        <v>0</v>
      </c>
      <c r="J161" s="17">
        <v>0</v>
      </c>
      <c r="K161" s="18">
        <v>200</v>
      </c>
      <c r="L161" s="17">
        <f>J161+ROUND(K161, 2)</f>
        <v>200</v>
      </c>
      <c r="M161" s="17">
        <v>0</v>
      </c>
      <c r="N161" s="17">
        <v>0</v>
      </c>
      <c r="O161" s="17">
        <f>M161+N161</f>
        <v>0</v>
      </c>
      <c r="P161" s="17">
        <v>577.48</v>
      </c>
      <c r="Q161" s="19">
        <v>200</v>
      </c>
      <c r="R161" s="17">
        <f>P161+ROUND(Q161, 2)</f>
        <v>777.48</v>
      </c>
      <c r="S161" s="17">
        <v>0</v>
      </c>
      <c r="T161" s="17">
        <v>0</v>
      </c>
      <c r="U161" s="17">
        <f>S161+T161</f>
        <v>0</v>
      </c>
      <c r="V161" s="9">
        <f>ROUND(P161 / 1.2, 2)</f>
        <v>481.23</v>
      </c>
      <c r="W161" s="9">
        <f>ROUND(Q161 / 1.2, 2)</f>
        <v>166.67</v>
      </c>
      <c r="X161" s="9">
        <f>ROUND(R161 / 1.2, 2)</f>
        <v>647.9</v>
      </c>
      <c r="Y161" s="9">
        <f t="shared" si="14"/>
        <v>0</v>
      </c>
      <c r="Z161" s="9">
        <f>ROUND(T161 / 1.2, 2)</f>
        <v>0</v>
      </c>
      <c r="AA161" s="9">
        <f>Y161+Z161</f>
        <v>0</v>
      </c>
      <c r="AD161" s="4">
        <v>334080606</v>
      </c>
      <c r="AE161" s="4">
        <v>27245708</v>
      </c>
      <c r="AG161" s="4" t="s">
        <v>588</v>
      </c>
      <c r="AH161" s="4" t="s">
        <v>589</v>
      </c>
      <c r="AI161" s="4" t="s">
        <v>250</v>
      </c>
    </row>
    <row r="162" spans="1:35" ht="36" x14ac:dyDescent="0.3">
      <c r="A162" s="10" t="s">
        <v>609</v>
      </c>
      <c r="B162" s="10"/>
      <c r="C162" s="24" t="s">
        <v>591</v>
      </c>
      <c r="D162" s="15"/>
      <c r="E162" s="15"/>
      <c r="F162" s="25" t="s">
        <v>102</v>
      </c>
      <c r="G162" s="26">
        <v>1.1000000000000001</v>
      </c>
      <c r="H162" s="15"/>
      <c r="I162" s="31">
        <v>0</v>
      </c>
      <c r="J162" s="27">
        <v>0</v>
      </c>
      <c r="M162" s="28">
        <f>ROUND(ROUND(J162, 2)*I162, 2)</f>
        <v>0</v>
      </c>
      <c r="P162" s="29">
        <v>516.79999999999995</v>
      </c>
      <c r="S162" s="28">
        <f>ROUND(ROUND(P162, 2)*I162, 2)</f>
        <v>0</v>
      </c>
      <c r="V162" s="9">
        <f>ROUND(ROUND(P162, 2)/1.2, 2)</f>
        <v>430.67</v>
      </c>
      <c r="Y162" s="9">
        <f t="shared" si="14"/>
        <v>0</v>
      </c>
      <c r="AD162" s="4" t="s">
        <v>610</v>
      </c>
      <c r="AE162" s="4" t="s">
        <v>611</v>
      </c>
      <c r="AF162" s="4" t="s">
        <v>594</v>
      </c>
    </row>
    <row r="163" spans="1:35" ht="18" x14ac:dyDescent="0.3">
      <c r="A163" s="10" t="s">
        <v>612</v>
      </c>
      <c r="B163" s="10"/>
      <c r="C163" s="24" t="s">
        <v>596</v>
      </c>
      <c r="D163" s="15"/>
      <c r="E163" s="15"/>
      <c r="F163" s="25" t="s">
        <v>597</v>
      </c>
      <c r="G163" s="38">
        <v>0.09</v>
      </c>
      <c r="H163" s="15"/>
      <c r="I163" s="26">
        <v>0</v>
      </c>
      <c r="J163" s="27">
        <v>100</v>
      </c>
      <c r="M163" s="28">
        <f>ROUND(ROUND(J163, 2)*I163, 2)</f>
        <v>0</v>
      </c>
      <c r="P163" s="29">
        <v>100</v>
      </c>
      <c r="S163" s="28">
        <f>ROUND(ROUND(P163, 2)*I163, 2)</f>
        <v>0</v>
      </c>
      <c r="V163" s="9">
        <f>ROUND(ROUND(P163, 2)/1.2, 2)</f>
        <v>83.33</v>
      </c>
      <c r="Y163" s="9">
        <f t="shared" si="14"/>
        <v>0</v>
      </c>
      <c r="AD163" s="4" t="s">
        <v>613</v>
      </c>
      <c r="AE163" s="4" t="s">
        <v>614</v>
      </c>
      <c r="AF163" s="4" t="s">
        <v>600</v>
      </c>
    </row>
    <row r="164" spans="1:35" ht="18" x14ac:dyDescent="0.3">
      <c r="A164" s="10" t="s">
        <v>615</v>
      </c>
      <c r="B164" s="10" t="s">
        <v>586</v>
      </c>
      <c r="C164" s="14" t="s">
        <v>587</v>
      </c>
      <c r="D164" s="15"/>
      <c r="E164" s="15"/>
      <c r="F164" s="15" t="s">
        <v>102</v>
      </c>
      <c r="G164" s="16">
        <v>1</v>
      </c>
      <c r="H164" s="15"/>
      <c r="I164" s="16">
        <v>0</v>
      </c>
      <c r="J164" s="17">
        <v>0</v>
      </c>
      <c r="K164" s="18">
        <v>200</v>
      </c>
      <c r="L164" s="17">
        <f>J164+ROUND(K164, 2)</f>
        <v>200</v>
      </c>
      <c r="M164" s="17">
        <v>0</v>
      </c>
      <c r="N164" s="17">
        <v>0</v>
      </c>
      <c r="O164" s="17">
        <f>M164+N164</f>
        <v>0</v>
      </c>
      <c r="P164" s="17">
        <v>99.86</v>
      </c>
      <c r="Q164" s="19">
        <v>200</v>
      </c>
      <c r="R164" s="17">
        <f>P164+ROUND(Q164, 2)</f>
        <v>299.86</v>
      </c>
      <c r="S164" s="17">
        <v>0</v>
      </c>
      <c r="T164" s="17">
        <v>0</v>
      </c>
      <c r="U164" s="17">
        <f>S164+T164</f>
        <v>0</v>
      </c>
      <c r="V164" s="9">
        <f>ROUND(P164 / 1.2, 2)</f>
        <v>83.22</v>
      </c>
      <c r="W164" s="9">
        <f>ROUND(Q164 / 1.2, 2)</f>
        <v>166.67</v>
      </c>
      <c r="X164" s="9">
        <f>ROUND(R164 / 1.2, 2)</f>
        <v>249.88</v>
      </c>
      <c r="Y164" s="9">
        <f t="shared" si="14"/>
        <v>0</v>
      </c>
      <c r="Z164" s="9">
        <f>ROUND(T164 / 1.2, 2)</f>
        <v>0</v>
      </c>
      <c r="AA164" s="9">
        <f>Y164+Z164</f>
        <v>0</v>
      </c>
      <c r="AD164" s="4">
        <v>334080607</v>
      </c>
      <c r="AE164" s="4">
        <v>27245709</v>
      </c>
      <c r="AG164" s="4" t="s">
        <v>588</v>
      </c>
      <c r="AH164" s="4" t="s">
        <v>589</v>
      </c>
      <c r="AI164" s="4" t="s">
        <v>250</v>
      </c>
    </row>
    <row r="165" spans="1:35" ht="18" x14ac:dyDescent="0.3">
      <c r="A165" s="10" t="s">
        <v>616</v>
      </c>
      <c r="B165" s="10"/>
      <c r="C165" s="30" t="s">
        <v>617</v>
      </c>
      <c r="D165" s="15"/>
      <c r="E165" s="15"/>
      <c r="F165" s="25" t="s">
        <v>102</v>
      </c>
      <c r="G165" s="26">
        <v>1.05</v>
      </c>
      <c r="H165" s="15"/>
      <c r="I165" s="31">
        <v>0</v>
      </c>
      <c r="J165" s="27">
        <v>140.54</v>
      </c>
      <c r="M165" s="28">
        <f>ROUND(ROUND(J165, 2)*I165, 2)</f>
        <v>0</v>
      </c>
      <c r="P165" s="29">
        <v>140.54</v>
      </c>
      <c r="S165" s="28">
        <f>ROUND(ROUND(P165, 2)*I165, 2)</f>
        <v>0</v>
      </c>
      <c r="V165" s="9">
        <f>ROUND(ROUND(P165, 2)/1.2, 2)</f>
        <v>117.12</v>
      </c>
      <c r="Y165" s="9">
        <f t="shared" si="14"/>
        <v>0</v>
      </c>
      <c r="AD165" s="4" t="s">
        <v>618</v>
      </c>
      <c r="AE165" s="4" t="s">
        <v>619</v>
      </c>
      <c r="AF165" s="4" t="s">
        <v>620</v>
      </c>
    </row>
    <row r="166" spans="1:35" ht="18" x14ac:dyDescent="0.3">
      <c r="A166" s="10" t="s">
        <v>621</v>
      </c>
      <c r="B166" s="10"/>
      <c r="C166" s="24" t="s">
        <v>596</v>
      </c>
      <c r="D166" s="15"/>
      <c r="E166" s="15"/>
      <c r="F166" s="25" t="s">
        <v>597</v>
      </c>
      <c r="G166" s="38">
        <v>0.09</v>
      </c>
      <c r="H166" s="15"/>
      <c r="I166" s="26">
        <v>0</v>
      </c>
      <c r="J166" s="27">
        <v>100</v>
      </c>
      <c r="M166" s="28">
        <f>ROUND(ROUND(J166, 2)*I166, 2)</f>
        <v>0</v>
      </c>
      <c r="P166" s="29">
        <v>100</v>
      </c>
      <c r="S166" s="28">
        <f>ROUND(ROUND(P166, 2)*I166, 2)</f>
        <v>0</v>
      </c>
      <c r="V166" s="9">
        <f>ROUND(ROUND(P166, 2)/1.2, 2)</f>
        <v>83.33</v>
      </c>
      <c r="Y166" s="9">
        <f t="shared" si="14"/>
        <v>0</v>
      </c>
      <c r="AD166" s="4" t="s">
        <v>622</v>
      </c>
      <c r="AE166" s="4" t="s">
        <v>623</v>
      </c>
      <c r="AF166" s="4" t="s">
        <v>600</v>
      </c>
    </row>
    <row r="167" spans="1:35" ht="72" x14ac:dyDescent="0.3">
      <c r="A167" s="39" t="s">
        <v>624</v>
      </c>
      <c r="B167" s="39" t="s">
        <v>586</v>
      </c>
      <c r="C167" s="40" t="s">
        <v>587</v>
      </c>
      <c r="D167" s="41"/>
      <c r="E167" s="41" t="s">
        <v>625</v>
      </c>
      <c r="F167" s="41" t="s">
        <v>102</v>
      </c>
      <c r="G167" s="42">
        <v>1</v>
      </c>
      <c r="H167" s="41"/>
      <c r="I167" s="43">
        <v>0</v>
      </c>
      <c r="J167" s="44">
        <v>9</v>
      </c>
      <c r="K167" s="44">
        <v>200</v>
      </c>
      <c r="L167" s="44">
        <f>J167+ROUND(K167, 2)</f>
        <v>209</v>
      </c>
      <c r="M167" s="44">
        <v>0</v>
      </c>
      <c r="N167" s="44">
        <v>0</v>
      </c>
      <c r="O167" s="44">
        <f>M167+N167</f>
        <v>0</v>
      </c>
      <c r="P167" s="44">
        <v>9</v>
      </c>
      <c r="Q167" s="44">
        <v>300</v>
      </c>
      <c r="R167" s="44">
        <f>P167+ROUND(Q167, 2)</f>
        <v>309</v>
      </c>
      <c r="S167" s="44">
        <v>0</v>
      </c>
      <c r="T167" s="44">
        <v>0</v>
      </c>
      <c r="U167" s="44">
        <f>S167+T167</f>
        <v>0</v>
      </c>
      <c r="V167" s="9">
        <f>ROUND(P167 / 1.2, 2)</f>
        <v>7.5</v>
      </c>
      <c r="W167" s="9">
        <f>ROUND(Q167 / 1.2, 2)</f>
        <v>250</v>
      </c>
      <c r="X167" s="9">
        <f>ROUND(R167 / 1.2, 2)</f>
        <v>257.5</v>
      </c>
      <c r="Y167" s="9">
        <f t="shared" si="14"/>
        <v>0</v>
      </c>
      <c r="Z167" s="9">
        <f>ROUND(T167 / 1.2, 2)</f>
        <v>0</v>
      </c>
      <c r="AA167" s="9">
        <f>Y167+Z167</f>
        <v>0</v>
      </c>
      <c r="AD167" s="4">
        <v>334080608</v>
      </c>
      <c r="AE167" s="4">
        <v>27245762</v>
      </c>
      <c r="AG167" s="4" t="s">
        <v>588</v>
      </c>
      <c r="AH167" s="4" t="s">
        <v>589</v>
      </c>
      <c r="AI167" s="4" t="s">
        <v>250</v>
      </c>
    </row>
    <row r="168" spans="1:35" ht="72" x14ac:dyDescent="0.3">
      <c r="A168" s="45" t="s">
        <v>626</v>
      </c>
      <c r="B168" s="45" t="s">
        <v>586</v>
      </c>
      <c r="C168" s="46" t="s">
        <v>587</v>
      </c>
      <c r="D168" s="47"/>
      <c r="E168" s="47" t="s">
        <v>625</v>
      </c>
      <c r="F168" s="47" t="s">
        <v>102</v>
      </c>
      <c r="G168" s="48">
        <v>1</v>
      </c>
      <c r="H168" s="47"/>
      <c r="I168" s="48">
        <v>25</v>
      </c>
      <c r="J168" s="49">
        <v>9</v>
      </c>
      <c r="K168" s="49">
        <v>200</v>
      </c>
      <c r="L168" s="49">
        <v>200</v>
      </c>
      <c r="M168" s="49">
        <v>225</v>
      </c>
      <c r="N168" s="49">
        <v>5000</v>
      </c>
      <c r="O168" s="49"/>
      <c r="P168" s="49">
        <v>9</v>
      </c>
      <c r="Q168" s="49">
        <v>300</v>
      </c>
      <c r="R168" s="49">
        <v>300</v>
      </c>
      <c r="S168" s="49">
        <v>225</v>
      </c>
      <c r="T168" s="49">
        <v>7500</v>
      </c>
      <c r="U168" s="49"/>
      <c r="V168" s="9"/>
      <c r="W168" s="9">
        <f>ROUND(Q168 / 1.2, 2)</f>
        <v>250</v>
      </c>
      <c r="X168" s="9">
        <f>ROUND(R168 / 1.2, 2)</f>
        <v>250</v>
      </c>
      <c r="Y168" s="9"/>
      <c r="Z168" s="9">
        <f>ROUND(T168 / 1.2, 2)</f>
        <v>6250</v>
      </c>
      <c r="AA168" s="9"/>
      <c r="AD168" s="4">
        <v>315889923</v>
      </c>
      <c r="AE168" s="4">
        <v>27245762</v>
      </c>
      <c r="AG168" s="4" t="s">
        <v>588</v>
      </c>
      <c r="AH168" s="4" t="s">
        <v>589</v>
      </c>
      <c r="AI168" s="4"/>
    </row>
    <row r="169" spans="1:35" ht="36" x14ac:dyDescent="0.3">
      <c r="A169" s="39" t="s">
        <v>627</v>
      </c>
      <c r="B169" s="39"/>
      <c r="C169" s="50" t="s">
        <v>591</v>
      </c>
      <c r="D169" s="41"/>
      <c r="E169" s="41"/>
      <c r="F169" s="51" t="s">
        <v>102</v>
      </c>
      <c r="G169" s="52">
        <v>1.1000000000000001</v>
      </c>
      <c r="H169" s="41"/>
      <c r="I169" s="53">
        <v>0</v>
      </c>
      <c r="J169" s="54">
        <v>0</v>
      </c>
      <c r="K169" s="55"/>
      <c r="L169" s="55"/>
      <c r="M169" s="54">
        <f>ROUND(ROUND(J169, 2)*I169, 2)</f>
        <v>0</v>
      </c>
      <c r="N169" s="55"/>
      <c r="O169" s="55"/>
      <c r="P169" s="54">
        <v>0</v>
      </c>
      <c r="Q169" s="55"/>
      <c r="R169" s="55"/>
      <c r="S169" s="54">
        <f>ROUND(ROUND(P169, 2)*I169, 2)</f>
        <v>0</v>
      </c>
      <c r="T169" s="55"/>
      <c r="U169" s="56"/>
      <c r="V169" s="9">
        <f>ROUND(ROUND(P169, 2)/1.2, 2)</f>
        <v>0</v>
      </c>
      <c r="Y169" s="9">
        <f>ROUND(S169 / 1.2, 2)</f>
        <v>0</v>
      </c>
      <c r="AD169" s="4" t="s">
        <v>628</v>
      </c>
      <c r="AE169" s="4" t="s">
        <v>629</v>
      </c>
      <c r="AF169" s="4" t="s">
        <v>594</v>
      </c>
    </row>
    <row r="170" spans="1:35" ht="36" x14ac:dyDescent="0.3">
      <c r="A170" s="45" t="s">
        <v>630</v>
      </c>
      <c r="B170" s="45"/>
      <c r="C170" s="57" t="s">
        <v>591</v>
      </c>
      <c r="D170" s="47"/>
      <c r="E170" s="47"/>
      <c r="F170" s="58" t="s">
        <v>102</v>
      </c>
      <c r="G170" s="59">
        <v>1.1000000000000001</v>
      </c>
      <c r="H170" s="47"/>
      <c r="I170" s="60">
        <v>27.5</v>
      </c>
      <c r="J170" s="61">
        <v>0</v>
      </c>
      <c r="K170" s="62"/>
      <c r="L170" s="62"/>
      <c r="M170" s="61">
        <f>ROUND(ROUND(J170, 2)*I170, 2)</f>
        <v>0</v>
      </c>
      <c r="N170" s="62"/>
      <c r="O170" s="62"/>
      <c r="P170" s="61">
        <v>0</v>
      </c>
      <c r="Q170" s="62"/>
      <c r="R170" s="62"/>
      <c r="S170" s="61">
        <f>ROUND(ROUND(P170, 2)*I170, 2)</f>
        <v>0</v>
      </c>
      <c r="T170" s="62"/>
      <c r="U170" s="63"/>
      <c r="V170" s="9">
        <f>ROUND(ROUND(P170, 2)/1.2, 2)</f>
        <v>0</v>
      </c>
      <c r="Y170" s="9">
        <f>ROUND(S170 / 1.2, 2)</f>
        <v>0</v>
      </c>
      <c r="AD170" s="4" t="s">
        <v>631</v>
      </c>
      <c r="AE170" s="4" t="s">
        <v>629</v>
      </c>
      <c r="AF170" s="4" t="s">
        <v>594</v>
      </c>
    </row>
    <row r="171" spans="1:35" ht="18" x14ac:dyDescent="0.3">
      <c r="A171" s="39" t="s">
        <v>632</v>
      </c>
      <c r="B171" s="39"/>
      <c r="C171" s="50" t="s">
        <v>596</v>
      </c>
      <c r="D171" s="41"/>
      <c r="E171" s="41"/>
      <c r="F171" s="51" t="s">
        <v>597</v>
      </c>
      <c r="G171" s="64">
        <v>0.09</v>
      </c>
      <c r="H171" s="41"/>
      <c r="I171" s="65">
        <v>0</v>
      </c>
      <c r="J171" s="54">
        <v>100</v>
      </c>
      <c r="K171" s="55"/>
      <c r="L171" s="55"/>
      <c r="M171" s="54">
        <f>ROUND(ROUND(J171, 2)*I171, 2)</f>
        <v>0</v>
      </c>
      <c r="N171" s="55"/>
      <c r="O171" s="55"/>
      <c r="P171" s="54">
        <v>100</v>
      </c>
      <c r="Q171" s="55"/>
      <c r="R171" s="55"/>
      <c r="S171" s="54">
        <f>ROUND(ROUND(P171, 2)*I171, 2)</f>
        <v>0</v>
      </c>
      <c r="T171" s="55"/>
      <c r="U171" s="56"/>
      <c r="V171" s="9">
        <f>ROUND(ROUND(P171, 2)/1.2, 2)</f>
        <v>83.33</v>
      </c>
      <c r="Y171" s="9">
        <f>ROUND(S171 / 1.2, 2)</f>
        <v>0</v>
      </c>
      <c r="AD171" s="4" t="s">
        <v>633</v>
      </c>
      <c r="AE171" s="4" t="s">
        <v>634</v>
      </c>
      <c r="AF171" s="4" t="s">
        <v>600</v>
      </c>
    </row>
    <row r="172" spans="1:35" ht="18" x14ac:dyDescent="0.3">
      <c r="A172" s="45" t="s">
        <v>635</v>
      </c>
      <c r="B172" s="45"/>
      <c r="C172" s="57" t="s">
        <v>596</v>
      </c>
      <c r="D172" s="47"/>
      <c r="E172" s="47"/>
      <c r="F172" s="58" t="s">
        <v>597</v>
      </c>
      <c r="G172" s="66">
        <v>0.09</v>
      </c>
      <c r="H172" s="47"/>
      <c r="I172" s="59">
        <v>2.25</v>
      </c>
      <c r="J172" s="61">
        <v>100</v>
      </c>
      <c r="K172" s="62"/>
      <c r="L172" s="62"/>
      <c r="M172" s="61">
        <f>ROUND(ROUND(J172, 2)*I172, 2)</f>
        <v>225</v>
      </c>
      <c r="N172" s="62"/>
      <c r="O172" s="62"/>
      <c r="P172" s="61">
        <v>100</v>
      </c>
      <c r="Q172" s="62"/>
      <c r="R172" s="62"/>
      <c r="S172" s="61">
        <f>ROUND(ROUND(P172, 2)*I172, 2)</f>
        <v>225</v>
      </c>
      <c r="T172" s="62"/>
      <c r="U172" s="63"/>
      <c r="V172" s="9">
        <f>ROUND(ROUND(P172, 2)/1.2, 2)</f>
        <v>83.33</v>
      </c>
      <c r="Y172" s="9">
        <f>ROUND(S172 / 1.2, 2)</f>
        <v>187.5</v>
      </c>
      <c r="AD172" s="4" t="s">
        <v>636</v>
      </c>
      <c r="AE172" s="4" t="s">
        <v>634</v>
      </c>
      <c r="AF172" s="4" t="s">
        <v>600</v>
      </c>
    </row>
    <row r="173" spans="1:35" ht="72" x14ac:dyDescent="0.3">
      <c r="A173" s="39" t="s">
        <v>637</v>
      </c>
      <c r="B173" s="39" t="s">
        <v>586</v>
      </c>
      <c r="C173" s="40" t="s">
        <v>587</v>
      </c>
      <c r="D173" s="41"/>
      <c r="E173" s="41" t="s">
        <v>638</v>
      </c>
      <c r="F173" s="41" t="s">
        <v>102</v>
      </c>
      <c r="G173" s="42">
        <v>1</v>
      </c>
      <c r="H173" s="41"/>
      <c r="I173" s="43">
        <v>0</v>
      </c>
      <c r="J173" s="44">
        <v>9</v>
      </c>
      <c r="K173" s="44">
        <v>200</v>
      </c>
      <c r="L173" s="44">
        <f>J173+ROUND(K173, 2)</f>
        <v>209</v>
      </c>
      <c r="M173" s="44">
        <v>0</v>
      </c>
      <c r="N173" s="44">
        <v>0</v>
      </c>
      <c r="O173" s="44">
        <f>M173+N173</f>
        <v>0</v>
      </c>
      <c r="P173" s="44">
        <v>9</v>
      </c>
      <c r="Q173" s="44">
        <v>300</v>
      </c>
      <c r="R173" s="44">
        <f>P173+ROUND(Q173, 2)</f>
        <v>309</v>
      </c>
      <c r="S173" s="44">
        <v>0</v>
      </c>
      <c r="T173" s="44">
        <v>0</v>
      </c>
      <c r="U173" s="44">
        <f>S173+T173</f>
        <v>0</v>
      </c>
      <c r="V173" s="9">
        <f>ROUND(P173 / 1.2, 2)</f>
        <v>7.5</v>
      </c>
      <c r="W173" s="9">
        <f>ROUND(Q173 / 1.2, 2)</f>
        <v>250</v>
      </c>
      <c r="X173" s="9">
        <f>ROUND(R173 / 1.2, 2)</f>
        <v>257.5</v>
      </c>
      <c r="Y173" s="9">
        <f>ROUND(S173 / 1.2, 2)</f>
        <v>0</v>
      </c>
      <c r="Z173" s="9">
        <f>ROUND(T173 / 1.2, 2)</f>
        <v>0</v>
      </c>
      <c r="AA173" s="9">
        <f>Y173+Z173</f>
        <v>0</v>
      </c>
      <c r="AD173" s="4">
        <v>334080609</v>
      </c>
      <c r="AE173" s="4">
        <v>27245763</v>
      </c>
      <c r="AG173" s="4" t="s">
        <v>588</v>
      </c>
      <c r="AH173" s="4" t="s">
        <v>589</v>
      </c>
      <c r="AI173" s="4" t="s">
        <v>250</v>
      </c>
    </row>
    <row r="174" spans="1:35" ht="72" x14ac:dyDescent="0.3">
      <c r="A174" s="45" t="s">
        <v>639</v>
      </c>
      <c r="B174" s="45" t="s">
        <v>586</v>
      </c>
      <c r="C174" s="46" t="s">
        <v>587</v>
      </c>
      <c r="D174" s="47"/>
      <c r="E174" s="47" t="s">
        <v>638</v>
      </c>
      <c r="F174" s="47" t="s">
        <v>102</v>
      </c>
      <c r="G174" s="48">
        <v>1</v>
      </c>
      <c r="H174" s="47"/>
      <c r="I174" s="48">
        <v>8.1</v>
      </c>
      <c r="J174" s="49">
        <v>9</v>
      </c>
      <c r="K174" s="49">
        <v>200</v>
      </c>
      <c r="L174" s="49">
        <v>200</v>
      </c>
      <c r="M174" s="49">
        <v>72.900000000000006</v>
      </c>
      <c r="N174" s="49">
        <v>1620</v>
      </c>
      <c r="O174" s="49"/>
      <c r="P174" s="49">
        <v>9</v>
      </c>
      <c r="Q174" s="49">
        <v>300</v>
      </c>
      <c r="R174" s="49">
        <v>300</v>
      </c>
      <c r="S174" s="49">
        <v>72.900000000000006</v>
      </c>
      <c r="T174" s="49">
        <v>2430</v>
      </c>
      <c r="U174" s="49"/>
      <c r="V174" s="9"/>
      <c r="W174" s="9">
        <f>ROUND(Q174 / 1.2, 2)</f>
        <v>250</v>
      </c>
      <c r="X174" s="9">
        <f>ROUND(R174 / 1.2, 2)</f>
        <v>250</v>
      </c>
      <c r="Y174" s="9"/>
      <c r="Z174" s="9">
        <f>ROUND(T174 / 1.2, 2)</f>
        <v>2025</v>
      </c>
      <c r="AA174" s="9"/>
      <c r="AD174" s="4">
        <v>315889924</v>
      </c>
      <c r="AE174" s="4">
        <v>27245763</v>
      </c>
      <c r="AG174" s="4" t="s">
        <v>588</v>
      </c>
      <c r="AH174" s="4" t="s">
        <v>589</v>
      </c>
      <c r="AI174" s="4"/>
    </row>
    <row r="175" spans="1:35" ht="18" x14ac:dyDescent="0.3">
      <c r="A175" s="39" t="s">
        <v>640</v>
      </c>
      <c r="B175" s="39"/>
      <c r="C175" s="50" t="s">
        <v>596</v>
      </c>
      <c r="D175" s="41"/>
      <c r="E175" s="41"/>
      <c r="F175" s="51" t="s">
        <v>597</v>
      </c>
      <c r="G175" s="64">
        <v>0.09</v>
      </c>
      <c r="H175" s="41"/>
      <c r="I175" s="65">
        <v>0</v>
      </c>
      <c r="J175" s="54">
        <v>100</v>
      </c>
      <c r="K175" s="55"/>
      <c r="L175" s="55"/>
      <c r="M175" s="54">
        <f>ROUND(ROUND(J175, 2)*I175, 2)</f>
        <v>0</v>
      </c>
      <c r="N175" s="55"/>
      <c r="O175" s="55"/>
      <c r="P175" s="54">
        <v>100</v>
      </c>
      <c r="Q175" s="55"/>
      <c r="R175" s="55"/>
      <c r="S175" s="54">
        <f>ROUND(ROUND(P175, 2)*I175, 2)</f>
        <v>0</v>
      </c>
      <c r="T175" s="55"/>
      <c r="U175" s="56"/>
      <c r="V175" s="9">
        <f>ROUND(ROUND(P175, 2)/1.2, 2)</f>
        <v>83.33</v>
      </c>
      <c r="Y175" s="9">
        <f>ROUND(S175 / 1.2, 2)</f>
        <v>0</v>
      </c>
      <c r="AD175" s="4" t="s">
        <v>641</v>
      </c>
      <c r="AE175" s="4" t="s">
        <v>642</v>
      </c>
      <c r="AF175" s="4" t="s">
        <v>600</v>
      </c>
    </row>
    <row r="176" spans="1:35" ht="18" x14ac:dyDescent="0.3">
      <c r="A176" s="45" t="s">
        <v>643</v>
      </c>
      <c r="B176" s="45"/>
      <c r="C176" s="57" t="s">
        <v>596</v>
      </c>
      <c r="D176" s="47"/>
      <c r="E176" s="47"/>
      <c r="F176" s="58" t="s">
        <v>597</v>
      </c>
      <c r="G176" s="66">
        <v>0.09</v>
      </c>
      <c r="H176" s="47"/>
      <c r="I176" s="59">
        <v>0.72899999999999998</v>
      </c>
      <c r="J176" s="61">
        <v>100</v>
      </c>
      <c r="K176" s="62"/>
      <c r="L176" s="62"/>
      <c r="M176" s="61">
        <f>ROUND(ROUND(J176, 2)*I176, 2)</f>
        <v>72.900000000000006</v>
      </c>
      <c r="N176" s="62"/>
      <c r="O176" s="62"/>
      <c r="P176" s="61">
        <v>100</v>
      </c>
      <c r="Q176" s="62"/>
      <c r="R176" s="62"/>
      <c r="S176" s="61">
        <f>ROUND(ROUND(P176, 2)*I176, 2)</f>
        <v>72.900000000000006</v>
      </c>
      <c r="T176" s="62"/>
      <c r="U176" s="63"/>
      <c r="V176" s="9">
        <f>ROUND(ROUND(P176, 2)/1.2, 2)</f>
        <v>83.33</v>
      </c>
      <c r="Y176" s="9">
        <f>ROUND(S176 / 1.2, 2)</f>
        <v>60.75</v>
      </c>
      <c r="AD176" s="4" t="s">
        <v>644</v>
      </c>
      <c r="AE176" s="4" t="s">
        <v>642</v>
      </c>
      <c r="AF176" s="4" t="s">
        <v>600</v>
      </c>
    </row>
    <row r="177" spans="1:35" ht="36" x14ac:dyDescent="0.3">
      <c r="A177" s="39" t="s">
        <v>645</v>
      </c>
      <c r="B177" s="39"/>
      <c r="C177" s="50" t="s">
        <v>591</v>
      </c>
      <c r="D177" s="41"/>
      <c r="E177" s="41"/>
      <c r="F177" s="51" t="s">
        <v>102</v>
      </c>
      <c r="G177" s="52">
        <v>1.1000000000000001</v>
      </c>
      <c r="H177" s="41"/>
      <c r="I177" s="53">
        <v>0</v>
      </c>
      <c r="J177" s="54">
        <v>0</v>
      </c>
      <c r="K177" s="55"/>
      <c r="L177" s="55"/>
      <c r="M177" s="54">
        <f>ROUND(ROUND(J177, 2)*I177, 2)</f>
        <v>0</v>
      </c>
      <c r="N177" s="55"/>
      <c r="O177" s="55"/>
      <c r="P177" s="54">
        <v>0</v>
      </c>
      <c r="Q177" s="55"/>
      <c r="R177" s="55"/>
      <c r="S177" s="54">
        <f>ROUND(ROUND(P177, 2)*I177, 2)</f>
        <v>0</v>
      </c>
      <c r="T177" s="55"/>
      <c r="U177" s="56"/>
      <c r="V177" s="9">
        <f>ROUND(ROUND(P177, 2)/1.2, 2)</f>
        <v>0</v>
      </c>
      <c r="Y177" s="9">
        <f>ROUND(S177 / 1.2, 2)</f>
        <v>0</v>
      </c>
      <c r="AD177" s="4" t="s">
        <v>646</v>
      </c>
      <c r="AE177" s="4" t="s">
        <v>647</v>
      </c>
      <c r="AF177" s="4" t="s">
        <v>594</v>
      </c>
    </row>
    <row r="178" spans="1:35" ht="36" x14ac:dyDescent="0.3">
      <c r="A178" s="45" t="s">
        <v>648</v>
      </c>
      <c r="B178" s="45"/>
      <c r="C178" s="57" t="s">
        <v>591</v>
      </c>
      <c r="D178" s="47"/>
      <c r="E178" s="47"/>
      <c r="F178" s="58" t="s">
        <v>102</v>
      </c>
      <c r="G178" s="59">
        <v>1.1000000000000001</v>
      </c>
      <c r="H178" s="47"/>
      <c r="I178" s="60">
        <v>8.91</v>
      </c>
      <c r="J178" s="61">
        <v>0</v>
      </c>
      <c r="K178" s="62"/>
      <c r="L178" s="62"/>
      <c r="M178" s="61">
        <f>ROUND(ROUND(J178, 2)*I178, 2)</f>
        <v>0</v>
      </c>
      <c r="N178" s="62"/>
      <c r="O178" s="62"/>
      <c r="P178" s="61">
        <v>0</v>
      </c>
      <c r="Q178" s="62"/>
      <c r="R178" s="62"/>
      <c r="S178" s="61">
        <f>ROUND(ROUND(P178, 2)*I178, 2)</f>
        <v>0</v>
      </c>
      <c r="T178" s="62"/>
      <c r="U178" s="63"/>
      <c r="V178" s="9">
        <f>ROUND(ROUND(P178, 2)/1.2, 2)</f>
        <v>0</v>
      </c>
      <c r="Y178" s="9">
        <f>ROUND(S178 / 1.2, 2)</f>
        <v>0</v>
      </c>
      <c r="AD178" s="4" t="s">
        <v>649</v>
      </c>
      <c r="AE178" s="4" t="s">
        <v>647</v>
      </c>
      <c r="AF178" s="4" t="s">
        <v>594</v>
      </c>
    </row>
    <row r="179" spans="1:35" ht="72" x14ac:dyDescent="0.3">
      <c r="A179" s="39" t="s">
        <v>650</v>
      </c>
      <c r="B179" s="39" t="s">
        <v>586</v>
      </c>
      <c r="C179" s="40" t="s">
        <v>587</v>
      </c>
      <c r="D179" s="41"/>
      <c r="E179" s="41" t="s">
        <v>651</v>
      </c>
      <c r="F179" s="41" t="s">
        <v>102</v>
      </c>
      <c r="G179" s="42">
        <v>1</v>
      </c>
      <c r="H179" s="41"/>
      <c r="I179" s="43">
        <v>0</v>
      </c>
      <c r="J179" s="44">
        <v>9</v>
      </c>
      <c r="K179" s="44">
        <v>200</v>
      </c>
      <c r="L179" s="44">
        <f>J179+ROUND(K179, 2)</f>
        <v>209</v>
      </c>
      <c r="M179" s="44">
        <v>0</v>
      </c>
      <c r="N179" s="44">
        <v>0</v>
      </c>
      <c r="O179" s="44">
        <f>M179+N179</f>
        <v>0</v>
      </c>
      <c r="P179" s="44">
        <v>9</v>
      </c>
      <c r="Q179" s="44">
        <v>300</v>
      </c>
      <c r="R179" s="44">
        <f>P179+ROUND(Q179, 2)</f>
        <v>309</v>
      </c>
      <c r="S179" s="44">
        <v>0</v>
      </c>
      <c r="T179" s="44">
        <v>0</v>
      </c>
      <c r="U179" s="44">
        <f>S179+T179</f>
        <v>0</v>
      </c>
      <c r="V179" s="9">
        <f>ROUND(P179 / 1.2, 2)</f>
        <v>7.5</v>
      </c>
      <c r="W179" s="9">
        <f>ROUND(Q179 / 1.2, 2)</f>
        <v>250</v>
      </c>
      <c r="X179" s="9">
        <f>ROUND(R179 / 1.2, 2)</f>
        <v>257.5</v>
      </c>
      <c r="Y179" s="9">
        <f>ROUND(S179 / 1.2, 2)</f>
        <v>0</v>
      </c>
      <c r="Z179" s="9">
        <f>ROUND(T179 / 1.2, 2)</f>
        <v>0</v>
      </c>
      <c r="AA179" s="9">
        <f>Y179+Z179</f>
        <v>0</v>
      </c>
      <c r="AD179" s="4">
        <v>334080610</v>
      </c>
      <c r="AE179" s="4">
        <v>27245789</v>
      </c>
      <c r="AG179" s="4" t="s">
        <v>588</v>
      </c>
      <c r="AH179" s="4" t="s">
        <v>589</v>
      </c>
      <c r="AI179" s="4" t="s">
        <v>250</v>
      </c>
    </row>
    <row r="180" spans="1:35" ht="72" x14ac:dyDescent="0.3">
      <c r="A180" s="45" t="s">
        <v>652</v>
      </c>
      <c r="B180" s="45" t="s">
        <v>586</v>
      </c>
      <c r="C180" s="46" t="s">
        <v>587</v>
      </c>
      <c r="D180" s="47"/>
      <c r="E180" s="47" t="s">
        <v>651</v>
      </c>
      <c r="F180" s="47" t="s">
        <v>102</v>
      </c>
      <c r="G180" s="48">
        <v>1</v>
      </c>
      <c r="H180" s="47"/>
      <c r="I180" s="48">
        <v>11</v>
      </c>
      <c r="J180" s="49">
        <v>9</v>
      </c>
      <c r="K180" s="49">
        <v>200</v>
      </c>
      <c r="L180" s="49">
        <v>200</v>
      </c>
      <c r="M180" s="49">
        <v>99</v>
      </c>
      <c r="N180" s="49">
        <v>2200</v>
      </c>
      <c r="O180" s="49"/>
      <c r="P180" s="49">
        <v>9</v>
      </c>
      <c r="Q180" s="49">
        <v>300</v>
      </c>
      <c r="R180" s="49">
        <v>300</v>
      </c>
      <c r="S180" s="49">
        <v>99</v>
      </c>
      <c r="T180" s="49">
        <v>3300</v>
      </c>
      <c r="U180" s="49"/>
      <c r="V180" s="9"/>
      <c r="W180" s="9">
        <f>ROUND(Q180 / 1.2, 2)</f>
        <v>250</v>
      </c>
      <c r="X180" s="9">
        <f>ROUND(R180 / 1.2, 2)</f>
        <v>250</v>
      </c>
      <c r="Y180" s="9"/>
      <c r="Z180" s="9">
        <f>ROUND(T180 / 1.2, 2)</f>
        <v>2750</v>
      </c>
      <c r="AA180" s="9"/>
      <c r="AD180" s="4">
        <v>315889925</v>
      </c>
      <c r="AE180" s="4">
        <v>27245789</v>
      </c>
      <c r="AG180" s="4" t="s">
        <v>588</v>
      </c>
      <c r="AH180" s="4" t="s">
        <v>589</v>
      </c>
      <c r="AI180" s="4"/>
    </row>
    <row r="181" spans="1:35" ht="36" x14ac:dyDescent="0.3">
      <c r="A181" s="39" t="s">
        <v>653</v>
      </c>
      <c r="B181" s="39"/>
      <c r="C181" s="50" t="s">
        <v>591</v>
      </c>
      <c r="D181" s="41"/>
      <c r="E181" s="41"/>
      <c r="F181" s="51" t="s">
        <v>102</v>
      </c>
      <c r="G181" s="52">
        <v>1.1000000000000001</v>
      </c>
      <c r="H181" s="41"/>
      <c r="I181" s="53">
        <v>0</v>
      </c>
      <c r="J181" s="54">
        <v>0</v>
      </c>
      <c r="K181" s="55"/>
      <c r="L181" s="55"/>
      <c r="M181" s="54">
        <f>ROUND(ROUND(J181, 2)*I181, 2)</f>
        <v>0</v>
      </c>
      <c r="N181" s="55"/>
      <c r="O181" s="55"/>
      <c r="P181" s="54">
        <v>0</v>
      </c>
      <c r="Q181" s="55"/>
      <c r="R181" s="55"/>
      <c r="S181" s="54">
        <f>ROUND(ROUND(P181, 2)*I181, 2)</f>
        <v>0</v>
      </c>
      <c r="T181" s="55"/>
      <c r="U181" s="56"/>
      <c r="V181" s="9">
        <f>ROUND(ROUND(P181, 2)/1.2, 2)</f>
        <v>0</v>
      </c>
      <c r="Y181" s="9">
        <f t="shared" ref="Y181:Y244" si="15">ROUND(S181 / 1.2, 2)</f>
        <v>0</v>
      </c>
      <c r="AD181" s="4" t="s">
        <v>654</v>
      </c>
      <c r="AE181" s="4" t="s">
        <v>655</v>
      </c>
      <c r="AF181" s="4" t="s">
        <v>594</v>
      </c>
    </row>
    <row r="182" spans="1:35" ht="36" x14ac:dyDescent="0.3">
      <c r="A182" s="45" t="s">
        <v>656</v>
      </c>
      <c r="B182" s="45"/>
      <c r="C182" s="57" t="s">
        <v>591</v>
      </c>
      <c r="D182" s="47"/>
      <c r="E182" s="47"/>
      <c r="F182" s="58" t="s">
        <v>102</v>
      </c>
      <c r="G182" s="59">
        <v>1.1000000000000001</v>
      </c>
      <c r="H182" s="47"/>
      <c r="I182" s="60">
        <v>12.1</v>
      </c>
      <c r="J182" s="61">
        <v>0</v>
      </c>
      <c r="K182" s="62"/>
      <c r="L182" s="62"/>
      <c r="M182" s="61">
        <f>ROUND(ROUND(J182, 2)*I182, 2)</f>
        <v>0</v>
      </c>
      <c r="N182" s="62"/>
      <c r="O182" s="62"/>
      <c r="P182" s="61">
        <v>0</v>
      </c>
      <c r="Q182" s="62"/>
      <c r="R182" s="62"/>
      <c r="S182" s="61">
        <f>ROUND(ROUND(P182, 2)*I182, 2)</f>
        <v>0</v>
      </c>
      <c r="T182" s="62"/>
      <c r="U182" s="63"/>
      <c r="V182" s="9">
        <f>ROUND(ROUND(P182, 2)/1.2, 2)</f>
        <v>0</v>
      </c>
      <c r="Y182" s="9">
        <f t="shared" si="15"/>
        <v>0</v>
      </c>
      <c r="AD182" s="4" t="s">
        <v>657</v>
      </c>
      <c r="AE182" s="4" t="s">
        <v>655</v>
      </c>
      <c r="AF182" s="4" t="s">
        <v>594</v>
      </c>
    </row>
    <row r="183" spans="1:35" ht="18" x14ac:dyDescent="0.3">
      <c r="A183" s="39" t="s">
        <v>658</v>
      </c>
      <c r="B183" s="39"/>
      <c r="C183" s="50" t="s">
        <v>596</v>
      </c>
      <c r="D183" s="41"/>
      <c r="E183" s="41"/>
      <c r="F183" s="51" t="s">
        <v>597</v>
      </c>
      <c r="G183" s="64">
        <v>0.09</v>
      </c>
      <c r="H183" s="41"/>
      <c r="I183" s="65">
        <v>0</v>
      </c>
      <c r="J183" s="54">
        <v>100</v>
      </c>
      <c r="K183" s="55"/>
      <c r="L183" s="55"/>
      <c r="M183" s="54">
        <f>ROUND(ROUND(J183, 2)*I183, 2)</f>
        <v>0</v>
      </c>
      <c r="N183" s="55"/>
      <c r="O183" s="55"/>
      <c r="P183" s="54">
        <v>100</v>
      </c>
      <c r="Q183" s="55"/>
      <c r="R183" s="55"/>
      <c r="S183" s="54">
        <f>ROUND(ROUND(P183, 2)*I183, 2)</f>
        <v>0</v>
      </c>
      <c r="T183" s="55"/>
      <c r="U183" s="56"/>
      <c r="V183" s="9">
        <f>ROUND(ROUND(P183, 2)/1.2, 2)</f>
        <v>83.33</v>
      </c>
      <c r="Y183" s="9">
        <f t="shared" si="15"/>
        <v>0</v>
      </c>
      <c r="AD183" s="4" t="s">
        <v>659</v>
      </c>
      <c r="AE183" s="4" t="s">
        <v>660</v>
      </c>
      <c r="AF183" s="4" t="s">
        <v>600</v>
      </c>
    </row>
    <row r="184" spans="1:35" ht="18" x14ac:dyDescent="0.3">
      <c r="A184" s="45" t="s">
        <v>661</v>
      </c>
      <c r="B184" s="45"/>
      <c r="C184" s="57" t="s">
        <v>596</v>
      </c>
      <c r="D184" s="47"/>
      <c r="E184" s="47"/>
      <c r="F184" s="58" t="s">
        <v>597</v>
      </c>
      <c r="G184" s="66">
        <v>0.09</v>
      </c>
      <c r="H184" s="47"/>
      <c r="I184" s="59">
        <v>0.99</v>
      </c>
      <c r="J184" s="61">
        <v>100</v>
      </c>
      <c r="K184" s="62"/>
      <c r="L184" s="62"/>
      <c r="M184" s="61">
        <f>ROUND(ROUND(J184, 2)*I184, 2)</f>
        <v>99</v>
      </c>
      <c r="N184" s="62"/>
      <c r="O184" s="62"/>
      <c r="P184" s="61">
        <v>100</v>
      </c>
      <c r="Q184" s="62"/>
      <c r="R184" s="62"/>
      <c r="S184" s="61">
        <f>ROUND(ROUND(P184, 2)*I184, 2)</f>
        <v>99</v>
      </c>
      <c r="T184" s="62"/>
      <c r="U184" s="63"/>
      <c r="V184" s="9">
        <f>ROUND(ROUND(P184, 2)/1.2, 2)</f>
        <v>83.33</v>
      </c>
      <c r="Y184" s="9">
        <f t="shared" si="15"/>
        <v>82.5</v>
      </c>
      <c r="AD184" s="4" t="s">
        <v>662</v>
      </c>
      <c r="AE184" s="4" t="s">
        <v>660</v>
      </c>
      <c r="AF184" s="4" t="s">
        <v>600</v>
      </c>
    </row>
    <row r="185" spans="1:35" ht="18" x14ac:dyDescent="0.3">
      <c r="A185" s="10" t="s">
        <v>663</v>
      </c>
      <c r="B185" s="10" t="s">
        <v>586</v>
      </c>
      <c r="C185" s="14" t="s">
        <v>587</v>
      </c>
      <c r="D185" s="15"/>
      <c r="E185" s="15" t="s">
        <v>664</v>
      </c>
      <c r="F185" s="15" t="s">
        <v>102</v>
      </c>
      <c r="G185" s="16">
        <v>1</v>
      </c>
      <c r="H185" s="15"/>
      <c r="I185" s="16">
        <v>106.7</v>
      </c>
      <c r="J185" s="17">
        <v>99.86</v>
      </c>
      <c r="K185" s="18">
        <v>200</v>
      </c>
      <c r="L185" s="17">
        <f>J185+ROUND(K185, 2)</f>
        <v>299.86</v>
      </c>
      <c r="M185" s="17">
        <v>10655.06</v>
      </c>
      <c r="N185" s="17">
        <v>21340</v>
      </c>
      <c r="O185" s="17">
        <f>M185+N185</f>
        <v>31995.059999999998</v>
      </c>
      <c r="P185" s="17">
        <v>99.86</v>
      </c>
      <c r="Q185" s="19">
        <v>300</v>
      </c>
      <c r="R185" s="17">
        <f>P185+ROUND(Q185, 2)</f>
        <v>399.86</v>
      </c>
      <c r="S185" s="17">
        <v>10655.06</v>
      </c>
      <c r="T185" s="17">
        <v>32010</v>
      </c>
      <c r="U185" s="17">
        <f>S185+T185</f>
        <v>42665.06</v>
      </c>
      <c r="V185" s="9">
        <f>ROUND(P185 / 1.2, 2)</f>
        <v>83.22</v>
      </c>
      <c r="W185" s="9">
        <f>ROUND(Q185 / 1.2, 2)</f>
        <v>250</v>
      </c>
      <c r="X185" s="9">
        <f>ROUND(R185 / 1.2, 2)</f>
        <v>333.22</v>
      </c>
      <c r="Y185" s="9">
        <f t="shared" si="15"/>
        <v>8879.2199999999993</v>
      </c>
      <c r="Z185" s="9">
        <f>ROUND(T185 / 1.2, 2)</f>
        <v>26675</v>
      </c>
      <c r="AA185" s="9">
        <f>Y185+Z185</f>
        <v>35554.22</v>
      </c>
      <c r="AD185" s="4">
        <v>334080611</v>
      </c>
      <c r="AE185" s="4">
        <v>27245761</v>
      </c>
      <c r="AG185" s="4" t="s">
        <v>588</v>
      </c>
      <c r="AH185" s="4" t="s">
        <v>589</v>
      </c>
      <c r="AI185" s="4" t="s">
        <v>250</v>
      </c>
    </row>
    <row r="186" spans="1:35" ht="18" x14ac:dyDescent="0.3">
      <c r="A186" s="10" t="s">
        <v>665</v>
      </c>
      <c r="B186" s="10"/>
      <c r="C186" s="30" t="s">
        <v>617</v>
      </c>
      <c r="D186" s="15"/>
      <c r="E186" s="15"/>
      <c r="F186" s="25" t="s">
        <v>102</v>
      </c>
      <c r="G186" s="26">
        <v>1.05</v>
      </c>
      <c r="H186" s="15"/>
      <c r="I186" s="31">
        <v>68.984999999999999</v>
      </c>
      <c r="J186" s="27">
        <v>140.54</v>
      </c>
      <c r="M186" s="28">
        <f>ROUND(ROUND(J186, 2)*I186, 2)</f>
        <v>9695.15</v>
      </c>
      <c r="P186" s="29">
        <v>140.54</v>
      </c>
      <c r="S186" s="28">
        <f>ROUND(ROUND(P186, 2)*I186, 2)</f>
        <v>9695.15</v>
      </c>
      <c r="V186" s="9">
        <f>ROUND(ROUND(P186, 2)/1.2, 2)</f>
        <v>117.12</v>
      </c>
      <c r="Y186" s="9">
        <f t="shared" si="15"/>
        <v>8079.29</v>
      </c>
      <c r="AD186" s="4" t="s">
        <v>666</v>
      </c>
      <c r="AE186" s="4" t="s">
        <v>667</v>
      </c>
      <c r="AF186" s="4" t="s">
        <v>620</v>
      </c>
    </row>
    <row r="187" spans="1:35" ht="18" x14ac:dyDescent="0.3">
      <c r="A187" s="10" t="s">
        <v>668</v>
      </c>
      <c r="B187" s="10"/>
      <c r="C187" s="24" t="s">
        <v>596</v>
      </c>
      <c r="D187" s="15"/>
      <c r="E187" s="15"/>
      <c r="F187" s="25" t="s">
        <v>597</v>
      </c>
      <c r="G187" s="38">
        <v>0.09</v>
      </c>
      <c r="H187" s="15"/>
      <c r="I187" s="26">
        <v>9.6029999999999998</v>
      </c>
      <c r="J187" s="27">
        <v>100</v>
      </c>
      <c r="M187" s="28">
        <f>ROUND(ROUND(J187, 2)*I187, 2)</f>
        <v>960.3</v>
      </c>
      <c r="P187" s="29">
        <v>100</v>
      </c>
      <c r="S187" s="28">
        <f>ROUND(ROUND(P187, 2)*I187, 2)</f>
        <v>960.3</v>
      </c>
      <c r="V187" s="9">
        <f>ROUND(ROUND(P187, 2)/1.2, 2)</f>
        <v>83.33</v>
      </c>
      <c r="Y187" s="9">
        <f t="shared" si="15"/>
        <v>800.25</v>
      </c>
      <c r="AD187" s="4" t="s">
        <v>669</v>
      </c>
      <c r="AE187" s="4" t="s">
        <v>670</v>
      </c>
      <c r="AF187" s="4" t="s">
        <v>600</v>
      </c>
    </row>
    <row r="188" spans="1:35" ht="126" x14ac:dyDescent="0.3">
      <c r="A188" s="11" t="s">
        <v>671</v>
      </c>
      <c r="B188" s="11" t="s">
        <v>586</v>
      </c>
      <c r="C188" s="20" t="s">
        <v>587</v>
      </c>
      <c r="D188" s="21"/>
      <c r="E188" s="21" t="s">
        <v>672</v>
      </c>
      <c r="F188" s="21" t="s">
        <v>102</v>
      </c>
      <c r="G188" s="22">
        <v>1</v>
      </c>
      <c r="H188" s="21"/>
      <c r="I188" s="22">
        <v>142.5</v>
      </c>
      <c r="J188" s="23">
        <f>IFERROR(ROUND(SUM(M189,M190)/I188, 2),0)</f>
        <v>112.16</v>
      </c>
      <c r="K188" s="23">
        <v>199.99</v>
      </c>
      <c r="L188" s="23">
        <f>J188+ROUND(K188, 2)</f>
        <v>312.14999999999998</v>
      </c>
      <c r="M188" s="23">
        <f>ROUND(J188*I188, 2)</f>
        <v>15982.8</v>
      </c>
      <c r="N188" s="23">
        <f>ROUND(I188*ROUND(K188, 2), 2)</f>
        <v>28498.58</v>
      </c>
      <c r="O188" s="23">
        <f>M188+N188</f>
        <v>44481.380000000005</v>
      </c>
      <c r="P188" s="23">
        <f>IFERROR(ROUND(SUM(S189,S190)/I188, 2),0)</f>
        <v>129.21</v>
      </c>
      <c r="Q188" s="23">
        <v>299.99</v>
      </c>
      <c r="R188" s="23">
        <f>P188+ROUND(Q188, 2)</f>
        <v>429.20000000000005</v>
      </c>
      <c r="S188" s="23">
        <f>ROUND(P188*I188, 2)</f>
        <v>18412.43</v>
      </c>
      <c r="T188" s="23">
        <f>ROUND(I188*ROUND(Q188, 2), 2)</f>
        <v>42748.58</v>
      </c>
      <c r="U188" s="23">
        <f>S188+T188</f>
        <v>61161.01</v>
      </c>
      <c r="V188" s="9">
        <f>ROUND(P188 / 1.2, 2)</f>
        <v>107.68</v>
      </c>
      <c r="W188" s="9">
        <f>ROUND(Q188 / 1.2, 2)</f>
        <v>249.99</v>
      </c>
      <c r="X188" s="9">
        <f>ROUND(R188 / 1.2, 2)</f>
        <v>357.67</v>
      </c>
      <c r="Y188" s="9">
        <f t="shared" si="15"/>
        <v>15343.69</v>
      </c>
      <c r="Z188" s="9">
        <f>ROUND(T188 / 1.2, 2)</f>
        <v>35623.82</v>
      </c>
      <c r="AA188" s="9">
        <f>Y188+Z188</f>
        <v>50967.51</v>
      </c>
      <c r="AD188" s="4">
        <v>334080612</v>
      </c>
      <c r="AE188" s="4">
        <v>29371273</v>
      </c>
      <c r="AG188" s="4" t="s">
        <v>588</v>
      </c>
      <c r="AH188" s="4" t="s">
        <v>589</v>
      </c>
      <c r="AI188" s="4" t="s">
        <v>250</v>
      </c>
    </row>
    <row r="189" spans="1:35" ht="36" x14ac:dyDescent="0.3">
      <c r="A189" s="11" t="s">
        <v>673</v>
      </c>
      <c r="B189" s="11"/>
      <c r="C189" s="30" t="s">
        <v>674</v>
      </c>
      <c r="D189" s="21"/>
      <c r="E189" s="21"/>
      <c r="F189" s="33" t="s">
        <v>102</v>
      </c>
      <c r="G189" s="34">
        <v>1.05</v>
      </c>
      <c r="H189" s="21"/>
      <c r="I189" s="37">
        <v>149.625</v>
      </c>
      <c r="J189" s="35">
        <v>98.11</v>
      </c>
      <c r="K189" s="12"/>
      <c r="L189" s="12"/>
      <c r="M189" s="35">
        <f>ROUND(ROUND(J189, 2)*I189, 2)</f>
        <v>14679.71</v>
      </c>
      <c r="N189" s="12"/>
      <c r="O189" s="12"/>
      <c r="P189" s="35">
        <v>98.11</v>
      </c>
      <c r="Q189" s="12"/>
      <c r="R189" s="12"/>
      <c r="S189" s="35">
        <f>ROUND(ROUND(P189, 2)*I189, 2)</f>
        <v>14679.71</v>
      </c>
      <c r="T189" s="12"/>
      <c r="U189" s="36"/>
      <c r="V189" s="9">
        <f>ROUND(ROUND(P189, 2)/1.2, 2)</f>
        <v>81.760000000000005</v>
      </c>
      <c r="Y189" s="9">
        <f t="shared" si="15"/>
        <v>12233.09</v>
      </c>
      <c r="AD189" s="4" t="s">
        <v>675</v>
      </c>
      <c r="AE189" s="4" t="s">
        <v>676</v>
      </c>
      <c r="AF189" s="4" t="s">
        <v>677</v>
      </c>
    </row>
    <row r="190" spans="1:35" ht="72" x14ac:dyDescent="0.3">
      <c r="A190" s="11" t="s">
        <v>678</v>
      </c>
      <c r="B190" s="11"/>
      <c r="C190" s="32" t="s">
        <v>596</v>
      </c>
      <c r="D190" s="21"/>
      <c r="E190" s="21" t="s">
        <v>679</v>
      </c>
      <c r="F190" s="33" t="s">
        <v>597</v>
      </c>
      <c r="G190" s="67">
        <v>0.09</v>
      </c>
      <c r="H190" s="21"/>
      <c r="I190" s="34">
        <v>12.824999999999999</v>
      </c>
      <c r="J190" s="35">
        <v>101.66</v>
      </c>
      <c r="K190" s="12"/>
      <c r="L190" s="12"/>
      <c r="M190" s="35">
        <f>ROUND(ROUND(J190, 2)*I190, 2)</f>
        <v>1303.79</v>
      </c>
      <c r="N190" s="12"/>
      <c r="O190" s="12"/>
      <c r="P190" s="35">
        <v>291</v>
      </c>
      <c r="Q190" s="12"/>
      <c r="R190" s="12"/>
      <c r="S190" s="35">
        <f>ROUND(ROUND(P190, 2)*I190, 2)</f>
        <v>3732.08</v>
      </c>
      <c r="T190" s="12"/>
      <c r="U190" s="36"/>
      <c r="V190" s="9">
        <f>ROUND(ROUND(P190, 2)/1.2, 2)</f>
        <v>242.5</v>
      </c>
      <c r="Y190" s="9">
        <f t="shared" si="15"/>
        <v>3110.07</v>
      </c>
      <c r="AD190" s="4" t="s">
        <v>680</v>
      </c>
      <c r="AE190" s="4" t="s">
        <v>681</v>
      </c>
      <c r="AF190" s="4" t="s">
        <v>600</v>
      </c>
    </row>
    <row r="191" spans="1:35" ht="108" x14ac:dyDescent="0.3">
      <c r="A191" s="11" t="s">
        <v>682</v>
      </c>
      <c r="B191" s="11" t="s">
        <v>586</v>
      </c>
      <c r="C191" s="20" t="s">
        <v>587</v>
      </c>
      <c r="D191" s="21"/>
      <c r="E191" s="21" t="s">
        <v>683</v>
      </c>
      <c r="F191" s="21" t="s">
        <v>102</v>
      </c>
      <c r="G191" s="22">
        <v>1</v>
      </c>
      <c r="H191" s="21"/>
      <c r="I191" s="22">
        <v>25.1</v>
      </c>
      <c r="J191" s="23">
        <f>IFERROR(ROUND(SUM(M192)/I191, 2),0)</f>
        <v>0</v>
      </c>
      <c r="K191" s="23">
        <v>199.99</v>
      </c>
      <c r="L191" s="23">
        <f>J191+ROUND(K191, 2)</f>
        <v>199.99</v>
      </c>
      <c r="M191" s="23">
        <f>ROUND(J191*I191, 2)</f>
        <v>0</v>
      </c>
      <c r="N191" s="23">
        <f>ROUND(I191*ROUND(K191, 2), 2)</f>
        <v>5019.75</v>
      </c>
      <c r="O191" s="23">
        <f>M191+N191</f>
        <v>5019.75</v>
      </c>
      <c r="P191" s="23">
        <f>IFERROR(ROUND(SUM(S192)/I191, 2),0)</f>
        <v>3790.09</v>
      </c>
      <c r="Q191" s="23">
        <v>299.99</v>
      </c>
      <c r="R191" s="23">
        <f>P191+ROUND(Q191, 2)</f>
        <v>4090.08</v>
      </c>
      <c r="S191" s="23">
        <f>ROUND(P191*I191, 2)</f>
        <v>95131.26</v>
      </c>
      <c r="T191" s="23">
        <f>ROUND(I191*ROUND(Q191, 2), 2)</f>
        <v>7529.75</v>
      </c>
      <c r="U191" s="23">
        <f>S191+T191</f>
        <v>102661.01</v>
      </c>
      <c r="V191" s="9">
        <f>ROUND(P191 / 1.2, 2)</f>
        <v>3158.41</v>
      </c>
      <c r="W191" s="9">
        <f>ROUND(Q191 / 1.2, 2)</f>
        <v>249.99</v>
      </c>
      <c r="X191" s="9">
        <f>ROUND(R191 / 1.2, 2)</f>
        <v>3408.4</v>
      </c>
      <c r="Y191" s="9">
        <f t="shared" si="15"/>
        <v>79276.05</v>
      </c>
      <c r="Z191" s="9">
        <f>ROUND(T191 / 1.2, 2)</f>
        <v>6274.79</v>
      </c>
      <c r="AA191" s="9">
        <f>Y191+Z191</f>
        <v>85550.84</v>
      </c>
      <c r="AD191" s="4">
        <v>334080613</v>
      </c>
      <c r="AE191" s="4">
        <v>29371274</v>
      </c>
      <c r="AG191" s="4" t="s">
        <v>588</v>
      </c>
      <c r="AH191" s="4" t="s">
        <v>589</v>
      </c>
      <c r="AI191" s="4" t="s">
        <v>250</v>
      </c>
    </row>
    <row r="192" spans="1:35" ht="162" x14ac:dyDescent="0.3">
      <c r="A192" s="11" t="s">
        <v>684</v>
      </c>
      <c r="B192" s="11"/>
      <c r="C192" s="32" t="s">
        <v>685</v>
      </c>
      <c r="D192" s="21"/>
      <c r="E192" s="21" t="s">
        <v>686</v>
      </c>
      <c r="F192" s="33" t="s">
        <v>102</v>
      </c>
      <c r="G192" s="34">
        <v>1.1000000000000001</v>
      </c>
      <c r="H192" s="21"/>
      <c r="I192" s="37">
        <v>27.61</v>
      </c>
      <c r="J192" s="35">
        <v>0</v>
      </c>
      <c r="K192" s="12"/>
      <c r="L192" s="12"/>
      <c r="M192" s="35">
        <f>ROUND(ROUND(J192, 2)*I192, 2)</f>
        <v>0</v>
      </c>
      <c r="N192" s="12"/>
      <c r="O192" s="12"/>
      <c r="P192" s="35">
        <v>3445.54</v>
      </c>
      <c r="Q192" s="12"/>
      <c r="R192" s="12"/>
      <c r="S192" s="35">
        <f>ROUND(ROUND(P192, 2)*I192, 2)</f>
        <v>95131.36</v>
      </c>
      <c r="T192" s="12"/>
      <c r="U192" s="36"/>
      <c r="V192" s="9">
        <f>ROUND(ROUND(P192, 2)/1.2, 2)</f>
        <v>2871.28</v>
      </c>
      <c r="Y192" s="9">
        <f t="shared" si="15"/>
        <v>79276.13</v>
      </c>
      <c r="AD192" s="4" t="s">
        <v>687</v>
      </c>
      <c r="AE192" s="4" t="s">
        <v>688</v>
      </c>
      <c r="AF192" s="4" t="s">
        <v>689</v>
      </c>
    </row>
    <row r="193" spans="1:35" ht="108" x14ac:dyDescent="0.3">
      <c r="A193" s="11" t="s">
        <v>690</v>
      </c>
      <c r="B193" s="11" t="s">
        <v>586</v>
      </c>
      <c r="C193" s="20" t="s">
        <v>587</v>
      </c>
      <c r="D193" s="21"/>
      <c r="E193" s="21" t="s">
        <v>691</v>
      </c>
      <c r="F193" s="21" t="s">
        <v>102</v>
      </c>
      <c r="G193" s="22">
        <v>1</v>
      </c>
      <c r="H193" s="21"/>
      <c r="I193" s="22">
        <v>81.08</v>
      </c>
      <c r="J193" s="23">
        <f>IFERROR(ROUND(SUM(M194)/I193, 2),0)</f>
        <v>0</v>
      </c>
      <c r="K193" s="23">
        <v>199.99</v>
      </c>
      <c r="L193" s="23">
        <f>J193+ROUND(K193, 2)</f>
        <v>199.99</v>
      </c>
      <c r="M193" s="23">
        <f>ROUND(J193*I193, 2)</f>
        <v>0</v>
      </c>
      <c r="N193" s="23">
        <f>ROUND(I193*ROUND(K193, 2), 2)</f>
        <v>16215.19</v>
      </c>
      <c r="O193" s="23">
        <f>M193+N193</f>
        <v>16215.19</v>
      </c>
      <c r="P193" s="23">
        <f>IFERROR(ROUND(SUM(S194)/I193, 2),0)</f>
        <v>1129.99</v>
      </c>
      <c r="Q193" s="23">
        <v>299.99</v>
      </c>
      <c r="R193" s="23">
        <f>P193+ROUND(Q193, 2)</f>
        <v>1429.98</v>
      </c>
      <c r="S193" s="23">
        <f>ROUND(P193*I193, 2)</f>
        <v>91619.59</v>
      </c>
      <c r="T193" s="23">
        <f>ROUND(I193*ROUND(Q193, 2), 2)</f>
        <v>24323.19</v>
      </c>
      <c r="U193" s="23">
        <f>S193+T193</f>
        <v>115942.78</v>
      </c>
      <c r="V193" s="9">
        <f>ROUND(P193 / 1.2, 2)</f>
        <v>941.66</v>
      </c>
      <c r="W193" s="9">
        <f>ROUND(Q193 / 1.2, 2)</f>
        <v>249.99</v>
      </c>
      <c r="X193" s="9">
        <f>ROUND(R193 / 1.2, 2)</f>
        <v>1191.6500000000001</v>
      </c>
      <c r="Y193" s="9">
        <f t="shared" si="15"/>
        <v>76349.66</v>
      </c>
      <c r="Z193" s="9">
        <f>ROUND(T193 / 1.2, 2)</f>
        <v>20269.330000000002</v>
      </c>
      <c r="AA193" s="9">
        <f>Y193+Z193</f>
        <v>96618.99</v>
      </c>
      <c r="AD193" s="4">
        <v>334080614</v>
      </c>
      <c r="AE193" s="4">
        <v>29373765</v>
      </c>
      <c r="AG193" s="4" t="s">
        <v>588</v>
      </c>
      <c r="AH193" s="4" t="s">
        <v>589</v>
      </c>
      <c r="AI193" s="4" t="s">
        <v>250</v>
      </c>
    </row>
    <row r="194" spans="1:35" ht="126" x14ac:dyDescent="0.3">
      <c r="A194" s="11" t="s">
        <v>692</v>
      </c>
      <c r="B194" s="11"/>
      <c r="C194" s="32" t="s">
        <v>591</v>
      </c>
      <c r="D194" s="21"/>
      <c r="E194" s="21" t="s">
        <v>693</v>
      </c>
      <c r="F194" s="33" t="s">
        <v>102</v>
      </c>
      <c r="G194" s="34">
        <v>1.1000000000000001</v>
      </c>
      <c r="H194" s="21"/>
      <c r="I194" s="37">
        <v>89.188000000000002</v>
      </c>
      <c r="J194" s="35">
        <v>0</v>
      </c>
      <c r="K194" s="12"/>
      <c r="L194" s="12"/>
      <c r="M194" s="35">
        <f>ROUND(ROUND(J194, 2)*I194, 2)</f>
        <v>0</v>
      </c>
      <c r="N194" s="12"/>
      <c r="O194" s="12"/>
      <c r="P194" s="35">
        <v>1027.26</v>
      </c>
      <c r="Q194" s="12"/>
      <c r="R194" s="12"/>
      <c r="S194" s="35">
        <f>ROUND(ROUND(P194, 2)*I194, 2)</f>
        <v>91619.26</v>
      </c>
      <c r="T194" s="12"/>
      <c r="U194" s="36"/>
      <c r="V194" s="9">
        <f>ROUND(ROUND(P194, 2)/1.2, 2)</f>
        <v>856.05</v>
      </c>
      <c r="Y194" s="9">
        <f t="shared" si="15"/>
        <v>76349.38</v>
      </c>
      <c r="AD194" s="4" t="s">
        <v>694</v>
      </c>
      <c r="AE194" s="4" t="s">
        <v>695</v>
      </c>
      <c r="AF194" s="4" t="s">
        <v>594</v>
      </c>
    </row>
    <row r="195" spans="1:35" ht="108" x14ac:dyDescent="0.3">
      <c r="A195" s="11" t="s">
        <v>696</v>
      </c>
      <c r="B195" s="11" t="s">
        <v>586</v>
      </c>
      <c r="C195" s="20" t="s">
        <v>587</v>
      </c>
      <c r="D195" s="21"/>
      <c r="E195" s="21" t="s">
        <v>697</v>
      </c>
      <c r="F195" s="21" t="s">
        <v>102</v>
      </c>
      <c r="G195" s="22">
        <v>1</v>
      </c>
      <c r="H195" s="21"/>
      <c r="I195" s="22">
        <v>25.1</v>
      </c>
      <c r="J195" s="23">
        <f>IFERROR(ROUND(SUM(M196)/I195, 2),0)</f>
        <v>0</v>
      </c>
      <c r="K195" s="23">
        <v>199.99</v>
      </c>
      <c r="L195" s="23">
        <f>J195+ROUND(K195, 2)</f>
        <v>199.99</v>
      </c>
      <c r="M195" s="23">
        <f>ROUND(J195*I195, 2)</f>
        <v>0</v>
      </c>
      <c r="N195" s="23">
        <f>ROUND(I195*ROUND(K195, 2), 2)</f>
        <v>5019.75</v>
      </c>
      <c r="O195" s="23">
        <f>M195+N195</f>
        <v>5019.75</v>
      </c>
      <c r="P195" s="23">
        <f>IFERROR(ROUND(SUM(S196)/I195, 2),0)</f>
        <v>1129.99</v>
      </c>
      <c r="Q195" s="23">
        <v>299.99</v>
      </c>
      <c r="R195" s="23">
        <f>P195+ROUND(Q195, 2)</f>
        <v>1429.98</v>
      </c>
      <c r="S195" s="23">
        <f>ROUND(P195*I195, 2)</f>
        <v>28362.75</v>
      </c>
      <c r="T195" s="23">
        <f>ROUND(I195*ROUND(Q195, 2), 2)</f>
        <v>7529.75</v>
      </c>
      <c r="U195" s="23">
        <f>S195+T195</f>
        <v>35892.5</v>
      </c>
      <c r="V195" s="9">
        <f>ROUND(P195 / 1.2, 2)</f>
        <v>941.66</v>
      </c>
      <c r="W195" s="9">
        <f>ROUND(Q195 / 1.2, 2)</f>
        <v>249.99</v>
      </c>
      <c r="X195" s="9">
        <f>ROUND(R195 / 1.2, 2)</f>
        <v>1191.6500000000001</v>
      </c>
      <c r="Y195" s="9">
        <f t="shared" si="15"/>
        <v>23635.63</v>
      </c>
      <c r="Z195" s="9">
        <f>ROUND(T195 / 1.2, 2)</f>
        <v>6274.79</v>
      </c>
      <c r="AA195" s="9">
        <f>Y195+Z195</f>
        <v>29910.420000000002</v>
      </c>
      <c r="AD195" s="4">
        <v>334080615</v>
      </c>
      <c r="AE195" s="4">
        <v>29373766</v>
      </c>
      <c r="AG195" s="4" t="s">
        <v>588</v>
      </c>
      <c r="AH195" s="4" t="s">
        <v>589</v>
      </c>
      <c r="AI195" s="4" t="s">
        <v>250</v>
      </c>
    </row>
    <row r="196" spans="1:35" ht="126" x14ac:dyDescent="0.3">
      <c r="A196" s="11" t="s">
        <v>698</v>
      </c>
      <c r="B196" s="11"/>
      <c r="C196" s="32" t="s">
        <v>591</v>
      </c>
      <c r="D196" s="21"/>
      <c r="E196" s="21" t="s">
        <v>693</v>
      </c>
      <c r="F196" s="33" t="s">
        <v>102</v>
      </c>
      <c r="G196" s="34">
        <v>1.1000000000000001</v>
      </c>
      <c r="H196" s="21"/>
      <c r="I196" s="37">
        <v>27.61</v>
      </c>
      <c r="J196" s="35">
        <v>0</v>
      </c>
      <c r="K196" s="12"/>
      <c r="L196" s="12"/>
      <c r="M196" s="35">
        <f>ROUND(ROUND(J196, 2)*I196, 2)</f>
        <v>0</v>
      </c>
      <c r="N196" s="12"/>
      <c r="O196" s="12"/>
      <c r="P196" s="35">
        <v>1027.26</v>
      </c>
      <c r="Q196" s="12"/>
      <c r="R196" s="12"/>
      <c r="S196" s="35">
        <f>ROUND(ROUND(P196, 2)*I196, 2)</f>
        <v>28362.65</v>
      </c>
      <c r="T196" s="12"/>
      <c r="U196" s="36"/>
      <c r="V196" s="9">
        <f>ROUND(ROUND(P196, 2)/1.2, 2)</f>
        <v>856.05</v>
      </c>
      <c r="Y196" s="9">
        <f t="shared" si="15"/>
        <v>23635.54</v>
      </c>
      <c r="AD196" s="4" t="s">
        <v>699</v>
      </c>
      <c r="AE196" s="4" t="s">
        <v>700</v>
      </c>
      <c r="AF196" s="4" t="s">
        <v>594</v>
      </c>
    </row>
    <row r="197" spans="1:35" ht="72" x14ac:dyDescent="0.3">
      <c r="A197" s="11" t="s">
        <v>701</v>
      </c>
      <c r="B197" s="11" t="s">
        <v>586</v>
      </c>
      <c r="C197" s="20" t="s">
        <v>587</v>
      </c>
      <c r="D197" s="21"/>
      <c r="E197" s="21" t="s">
        <v>625</v>
      </c>
      <c r="F197" s="21" t="s">
        <v>102</v>
      </c>
      <c r="G197" s="22">
        <v>1</v>
      </c>
      <c r="H197" s="21"/>
      <c r="I197" s="22">
        <v>25</v>
      </c>
      <c r="J197" s="23">
        <f>IFERROR(ROUND(SUM(M198)/I197, 2),0)</f>
        <v>0</v>
      </c>
      <c r="K197" s="23">
        <v>199.99</v>
      </c>
      <c r="L197" s="23">
        <f>J197+ROUND(K197, 2)</f>
        <v>199.99</v>
      </c>
      <c r="M197" s="23">
        <f>ROUND(J197*I197, 2)</f>
        <v>0</v>
      </c>
      <c r="N197" s="23">
        <f>ROUND(I197*ROUND(K197, 2), 2)</f>
        <v>4999.75</v>
      </c>
      <c r="O197" s="23">
        <f>M197+N197</f>
        <v>4999.75</v>
      </c>
      <c r="P197" s="23">
        <f>IFERROR(ROUND(SUM(S198)/I197, 2),0)</f>
        <v>3790.09</v>
      </c>
      <c r="Q197" s="23">
        <v>299.99</v>
      </c>
      <c r="R197" s="23">
        <f>P197+ROUND(Q197, 2)</f>
        <v>4090.08</v>
      </c>
      <c r="S197" s="23">
        <f>ROUND(P197*I197, 2)</f>
        <v>94752.25</v>
      </c>
      <c r="T197" s="23">
        <f>ROUND(I197*ROUND(Q197, 2), 2)</f>
        <v>7499.75</v>
      </c>
      <c r="U197" s="23">
        <f>S197+T197</f>
        <v>102252</v>
      </c>
      <c r="V197" s="9">
        <f>ROUND(P197 / 1.2, 2)</f>
        <v>3158.41</v>
      </c>
      <c r="W197" s="9">
        <f>ROUND(Q197 / 1.2, 2)</f>
        <v>249.99</v>
      </c>
      <c r="X197" s="9">
        <f>ROUND(R197 / 1.2, 2)</f>
        <v>3408.4</v>
      </c>
      <c r="Y197" s="9">
        <f t="shared" si="15"/>
        <v>78960.210000000006</v>
      </c>
      <c r="Z197" s="9">
        <f>ROUND(T197 / 1.2, 2)</f>
        <v>6249.79</v>
      </c>
      <c r="AA197" s="9">
        <f>Y197+Z197</f>
        <v>85210</v>
      </c>
      <c r="AD197" s="4">
        <v>334080616</v>
      </c>
      <c r="AE197" s="4">
        <v>29373759</v>
      </c>
      <c r="AG197" s="4" t="s">
        <v>588</v>
      </c>
      <c r="AH197" s="4" t="s">
        <v>589</v>
      </c>
      <c r="AI197" s="4" t="s">
        <v>250</v>
      </c>
    </row>
    <row r="198" spans="1:35" ht="162" x14ac:dyDescent="0.3">
      <c r="A198" s="11" t="s">
        <v>702</v>
      </c>
      <c r="B198" s="11"/>
      <c r="C198" s="32" t="s">
        <v>685</v>
      </c>
      <c r="D198" s="21"/>
      <c r="E198" s="21" t="s">
        <v>686</v>
      </c>
      <c r="F198" s="33" t="s">
        <v>102</v>
      </c>
      <c r="G198" s="34">
        <v>1.1000000000000001</v>
      </c>
      <c r="H198" s="21"/>
      <c r="I198" s="37">
        <v>27.5</v>
      </c>
      <c r="J198" s="35">
        <v>0</v>
      </c>
      <c r="K198" s="12"/>
      <c r="L198" s="12"/>
      <c r="M198" s="35">
        <f>ROUND(ROUND(J198, 2)*I198, 2)</f>
        <v>0</v>
      </c>
      <c r="N198" s="12"/>
      <c r="O198" s="12"/>
      <c r="P198" s="35">
        <v>3445.54</v>
      </c>
      <c r="Q198" s="12"/>
      <c r="R198" s="12"/>
      <c r="S198" s="35">
        <f>ROUND(ROUND(P198, 2)*I198, 2)</f>
        <v>94752.35</v>
      </c>
      <c r="T198" s="12"/>
      <c r="U198" s="36"/>
      <c r="V198" s="9">
        <f>ROUND(ROUND(P198, 2)/1.2, 2)</f>
        <v>2871.28</v>
      </c>
      <c r="Y198" s="9">
        <f t="shared" si="15"/>
        <v>78960.289999999994</v>
      </c>
      <c r="AD198" s="4" t="s">
        <v>703</v>
      </c>
      <c r="AE198" s="4" t="s">
        <v>704</v>
      </c>
      <c r="AF198" s="4" t="s">
        <v>689</v>
      </c>
    </row>
    <row r="199" spans="1:35" ht="72" x14ac:dyDescent="0.3">
      <c r="A199" s="11" t="s">
        <v>705</v>
      </c>
      <c r="B199" s="11" t="s">
        <v>586</v>
      </c>
      <c r="C199" s="20" t="s">
        <v>587</v>
      </c>
      <c r="D199" s="21"/>
      <c r="E199" s="21" t="s">
        <v>638</v>
      </c>
      <c r="F199" s="21" t="s">
        <v>102</v>
      </c>
      <c r="G199" s="22">
        <v>1</v>
      </c>
      <c r="H199" s="21"/>
      <c r="I199" s="22">
        <v>8.1</v>
      </c>
      <c r="J199" s="23">
        <f>IFERROR(ROUND(SUM(M200)/I199, 2),0)</f>
        <v>0</v>
      </c>
      <c r="K199" s="23">
        <v>199.99</v>
      </c>
      <c r="L199" s="23">
        <f>J199+ROUND(K199, 2)</f>
        <v>199.99</v>
      </c>
      <c r="M199" s="23">
        <f>ROUND(J199*I199, 2)</f>
        <v>0</v>
      </c>
      <c r="N199" s="23">
        <f>ROUND(I199*ROUND(K199, 2), 2)</f>
        <v>1619.92</v>
      </c>
      <c r="O199" s="23">
        <f>M199+N199</f>
        <v>1619.92</v>
      </c>
      <c r="P199" s="23">
        <f>IFERROR(ROUND(SUM(S200)/I199, 2),0)</f>
        <v>1129.99</v>
      </c>
      <c r="Q199" s="23">
        <v>299.99</v>
      </c>
      <c r="R199" s="23">
        <f>P199+ROUND(Q199, 2)</f>
        <v>1429.98</v>
      </c>
      <c r="S199" s="23">
        <f>ROUND(P199*I199, 2)</f>
        <v>9152.92</v>
      </c>
      <c r="T199" s="23">
        <f>ROUND(I199*ROUND(Q199, 2), 2)</f>
        <v>2429.92</v>
      </c>
      <c r="U199" s="23">
        <f>S199+T199</f>
        <v>11582.84</v>
      </c>
      <c r="V199" s="9">
        <f>ROUND(P199 / 1.2, 2)</f>
        <v>941.66</v>
      </c>
      <c r="W199" s="9">
        <f>ROUND(Q199 / 1.2, 2)</f>
        <v>249.99</v>
      </c>
      <c r="X199" s="9">
        <f>ROUND(R199 / 1.2, 2)</f>
        <v>1191.6500000000001</v>
      </c>
      <c r="Y199" s="9">
        <f t="shared" si="15"/>
        <v>7627.43</v>
      </c>
      <c r="Z199" s="9">
        <f>ROUND(T199 / 1.2, 2)</f>
        <v>2024.93</v>
      </c>
      <c r="AA199" s="9">
        <f>Y199+Z199</f>
        <v>9652.36</v>
      </c>
      <c r="AD199" s="4">
        <v>334080617</v>
      </c>
      <c r="AE199" s="4">
        <v>29373761</v>
      </c>
      <c r="AG199" s="4" t="s">
        <v>588</v>
      </c>
      <c r="AH199" s="4" t="s">
        <v>589</v>
      </c>
      <c r="AI199" s="4" t="s">
        <v>250</v>
      </c>
    </row>
    <row r="200" spans="1:35" ht="126" x14ac:dyDescent="0.3">
      <c r="A200" s="11" t="s">
        <v>706</v>
      </c>
      <c r="B200" s="11"/>
      <c r="C200" s="32" t="s">
        <v>591</v>
      </c>
      <c r="D200" s="21"/>
      <c r="E200" s="21" t="s">
        <v>693</v>
      </c>
      <c r="F200" s="33" t="s">
        <v>102</v>
      </c>
      <c r="G200" s="34">
        <v>1.1000000000000001</v>
      </c>
      <c r="H200" s="21"/>
      <c r="I200" s="37">
        <v>8.91</v>
      </c>
      <c r="J200" s="35">
        <v>0</v>
      </c>
      <c r="K200" s="12"/>
      <c r="L200" s="12"/>
      <c r="M200" s="35">
        <f>ROUND(ROUND(J200, 2)*I200, 2)</f>
        <v>0</v>
      </c>
      <c r="N200" s="12"/>
      <c r="O200" s="12"/>
      <c r="P200" s="35">
        <v>1027.26</v>
      </c>
      <c r="Q200" s="12"/>
      <c r="R200" s="12"/>
      <c r="S200" s="35">
        <f>ROUND(ROUND(P200, 2)*I200, 2)</f>
        <v>9152.89</v>
      </c>
      <c r="T200" s="12"/>
      <c r="U200" s="36"/>
      <c r="V200" s="9">
        <f>ROUND(ROUND(P200, 2)/1.2, 2)</f>
        <v>856.05</v>
      </c>
      <c r="Y200" s="9">
        <f t="shared" si="15"/>
        <v>7627.41</v>
      </c>
      <c r="AD200" s="4" t="s">
        <v>707</v>
      </c>
      <c r="AE200" s="4" t="s">
        <v>708</v>
      </c>
      <c r="AF200" s="4" t="s">
        <v>594</v>
      </c>
    </row>
    <row r="201" spans="1:35" ht="72" x14ac:dyDescent="0.3">
      <c r="A201" s="11" t="s">
        <v>709</v>
      </c>
      <c r="B201" s="11" t="s">
        <v>586</v>
      </c>
      <c r="C201" s="20" t="s">
        <v>587</v>
      </c>
      <c r="D201" s="21"/>
      <c r="E201" s="21" t="s">
        <v>651</v>
      </c>
      <c r="F201" s="21" t="s">
        <v>102</v>
      </c>
      <c r="G201" s="22">
        <v>1</v>
      </c>
      <c r="H201" s="21"/>
      <c r="I201" s="22">
        <v>11</v>
      </c>
      <c r="J201" s="23">
        <f>IFERROR(ROUND(SUM(M202)/I201, 2),0)</f>
        <v>0</v>
      </c>
      <c r="K201" s="23">
        <v>199.99</v>
      </c>
      <c r="L201" s="23">
        <f>J201+ROUND(K201, 2)</f>
        <v>199.99</v>
      </c>
      <c r="M201" s="23">
        <f>ROUND(J201*I201, 2)</f>
        <v>0</v>
      </c>
      <c r="N201" s="23">
        <f>ROUND(I201*ROUND(K201, 2), 2)</f>
        <v>2199.89</v>
      </c>
      <c r="O201" s="23">
        <f>M201+N201</f>
        <v>2199.89</v>
      </c>
      <c r="P201" s="23">
        <f>IFERROR(ROUND(SUM(S202)/I201, 2),0)</f>
        <v>1129.99</v>
      </c>
      <c r="Q201" s="23">
        <v>299.99</v>
      </c>
      <c r="R201" s="23">
        <f>P201+ROUND(Q201, 2)</f>
        <v>1429.98</v>
      </c>
      <c r="S201" s="23">
        <f>ROUND(P201*I201, 2)</f>
        <v>12429.89</v>
      </c>
      <c r="T201" s="23">
        <f>ROUND(I201*ROUND(Q201, 2), 2)</f>
        <v>3299.89</v>
      </c>
      <c r="U201" s="23">
        <f>S201+T201</f>
        <v>15729.779999999999</v>
      </c>
      <c r="V201" s="9">
        <f>ROUND(P201 / 1.2, 2)</f>
        <v>941.66</v>
      </c>
      <c r="W201" s="9">
        <f>ROUND(Q201 / 1.2, 2)</f>
        <v>249.99</v>
      </c>
      <c r="X201" s="9">
        <f>ROUND(R201 / 1.2, 2)</f>
        <v>1191.6500000000001</v>
      </c>
      <c r="Y201" s="9">
        <f t="shared" si="15"/>
        <v>10358.24</v>
      </c>
      <c r="Z201" s="9">
        <f>ROUND(T201 / 1.2, 2)</f>
        <v>2749.91</v>
      </c>
      <c r="AA201" s="9">
        <f>Y201+Z201</f>
        <v>13108.15</v>
      </c>
      <c r="AD201" s="4">
        <v>334080618</v>
      </c>
      <c r="AE201" s="4">
        <v>29373763</v>
      </c>
      <c r="AG201" s="4" t="s">
        <v>588</v>
      </c>
      <c r="AH201" s="4" t="s">
        <v>589</v>
      </c>
      <c r="AI201" s="4" t="s">
        <v>250</v>
      </c>
    </row>
    <row r="202" spans="1:35" ht="126" x14ac:dyDescent="0.3">
      <c r="A202" s="11" t="s">
        <v>710</v>
      </c>
      <c r="B202" s="11"/>
      <c r="C202" s="32" t="s">
        <v>591</v>
      </c>
      <c r="D202" s="21"/>
      <c r="E202" s="21" t="s">
        <v>693</v>
      </c>
      <c r="F202" s="33" t="s">
        <v>102</v>
      </c>
      <c r="G202" s="34">
        <v>1.1000000000000001</v>
      </c>
      <c r="H202" s="21"/>
      <c r="I202" s="37">
        <v>12.1</v>
      </c>
      <c r="J202" s="35">
        <v>0</v>
      </c>
      <c r="K202" s="12"/>
      <c r="L202" s="12"/>
      <c r="M202" s="35">
        <f>ROUND(ROUND(J202, 2)*I202, 2)</f>
        <v>0</v>
      </c>
      <c r="N202" s="12"/>
      <c r="O202" s="12"/>
      <c r="P202" s="35">
        <v>1027.26</v>
      </c>
      <c r="Q202" s="12"/>
      <c r="R202" s="12"/>
      <c r="S202" s="35">
        <f>ROUND(ROUND(P202, 2)*I202, 2)</f>
        <v>12429.85</v>
      </c>
      <c r="T202" s="12"/>
      <c r="U202" s="36"/>
      <c r="V202" s="9">
        <f>ROUND(ROUND(P202, 2)/1.2, 2)</f>
        <v>856.05</v>
      </c>
      <c r="Y202" s="9">
        <f t="shared" si="15"/>
        <v>10358.209999999999</v>
      </c>
      <c r="AD202" s="4" t="s">
        <v>711</v>
      </c>
      <c r="AE202" s="4" t="s">
        <v>712</v>
      </c>
      <c r="AF202" s="4" t="s">
        <v>594</v>
      </c>
    </row>
    <row r="203" spans="1:35" ht="36" x14ac:dyDescent="0.3">
      <c r="A203" s="10" t="s">
        <v>713</v>
      </c>
      <c r="B203" s="10" t="s">
        <v>714</v>
      </c>
      <c r="C203" s="14" t="s">
        <v>715</v>
      </c>
      <c r="D203" s="15"/>
      <c r="E203" s="15"/>
      <c r="F203" s="15" t="s">
        <v>62</v>
      </c>
      <c r="G203" s="16">
        <v>1</v>
      </c>
      <c r="H203" s="15"/>
      <c r="I203" s="16">
        <v>0</v>
      </c>
      <c r="J203" s="17">
        <v>0</v>
      </c>
      <c r="K203" s="18">
        <v>661</v>
      </c>
      <c r="L203" s="17">
        <f>J203+ROUND(K203, 2)</f>
        <v>661</v>
      </c>
      <c r="M203" s="17">
        <v>0</v>
      </c>
      <c r="N203" s="17">
        <v>0</v>
      </c>
      <c r="O203" s="17">
        <f>M203+N203</f>
        <v>0</v>
      </c>
      <c r="P203" s="17">
        <v>2510.19</v>
      </c>
      <c r="Q203" s="19">
        <v>661</v>
      </c>
      <c r="R203" s="17">
        <f>P203+ROUND(Q203, 2)</f>
        <v>3171.19</v>
      </c>
      <c r="S203" s="17">
        <v>0</v>
      </c>
      <c r="T203" s="17">
        <v>0</v>
      </c>
      <c r="U203" s="17">
        <f>S203+T203</f>
        <v>0</v>
      </c>
      <c r="V203" s="9">
        <f>ROUND(P203 / 1.2, 2)</f>
        <v>2091.83</v>
      </c>
      <c r="W203" s="9">
        <f>ROUND(Q203 / 1.2, 2)</f>
        <v>550.83000000000004</v>
      </c>
      <c r="X203" s="9">
        <f>ROUND(R203 / 1.2, 2)</f>
        <v>2642.66</v>
      </c>
      <c r="Y203" s="9">
        <f t="shared" si="15"/>
        <v>0</v>
      </c>
      <c r="Z203" s="9">
        <f>ROUND(T203 / 1.2, 2)</f>
        <v>0</v>
      </c>
      <c r="AA203" s="9">
        <f>Y203+Z203</f>
        <v>0</v>
      </c>
      <c r="AD203" s="4">
        <v>334080510</v>
      </c>
      <c r="AE203" s="4">
        <v>27245602</v>
      </c>
      <c r="AG203" s="4" t="s">
        <v>716</v>
      </c>
      <c r="AH203" s="4" t="s">
        <v>717</v>
      </c>
      <c r="AI203" s="4" t="s">
        <v>250</v>
      </c>
    </row>
    <row r="204" spans="1:35" ht="90" x14ac:dyDescent="0.3">
      <c r="A204" s="10" t="s">
        <v>718</v>
      </c>
      <c r="B204" s="10"/>
      <c r="C204" s="24" t="s">
        <v>719</v>
      </c>
      <c r="D204" s="15"/>
      <c r="E204" s="15"/>
      <c r="F204" s="25" t="s">
        <v>597</v>
      </c>
      <c r="G204" s="26">
        <v>1</v>
      </c>
      <c r="H204" s="15"/>
      <c r="I204" s="31">
        <v>0</v>
      </c>
      <c r="J204" s="27">
        <v>0</v>
      </c>
      <c r="M204" s="28">
        <f>ROUND(ROUND(J204, 2)*I204, 2)</f>
        <v>0</v>
      </c>
      <c r="P204" s="29">
        <v>3880</v>
      </c>
      <c r="S204" s="28">
        <f>ROUND(ROUND(P204, 2)*I204, 2)</f>
        <v>0</v>
      </c>
      <c r="V204" s="9">
        <f>ROUND(ROUND(P204, 2)/1.2, 2)</f>
        <v>3233.33</v>
      </c>
      <c r="Y204" s="9">
        <f t="shared" si="15"/>
        <v>0</v>
      </c>
      <c r="AD204" s="4" t="s">
        <v>720</v>
      </c>
      <c r="AE204" s="4" t="s">
        <v>721</v>
      </c>
      <c r="AF204" s="4" t="s">
        <v>722</v>
      </c>
    </row>
    <row r="205" spans="1:35" ht="36" x14ac:dyDescent="0.3">
      <c r="A205" s="10" t="s">
        <v>723</v>
      </c>
      <c r="B205" s="10"/>
      <c r="C205" s="24" t="s">
        <v>724</v>
      </c>
      <c r="D205" s="15"/>
      <c r="E205" s="15"/>
      <c r="F205" s="25" t="s">
        <v>62</v>
      </c>
      <c r="G205" s="26">
        <v>1.03</v>
      </c>
      <c r="H205" s="15"/>
      <c r="I205" s="31">
        <v>0</v>
      </c>
      <c r="J205" s="27">
        <v>0</v>
      </c>
      <c r="M205" s="28">
        <f>ROUND(ROUND(J205, 2)*I205, 2)</f>
        <v>0</v>
      </c>
      <c r="P205" s="29">
        <v>2000</v>
      </c>
      <c r="S205" s="28">
        <f>ROUND(ROUND(P205, 2)*I205, 2)</f>
        <v>0</v>
      </c>
      <c r="V205" s="9">
        <f>ROUND(ROUND(P205, 2)/1.2, 2)</f>
        <v>1666.67</v>
      </c>
      <c r="Y205" s="9">
        <f t="shared" si="15"/>
        <v>0</v>
      </c>
      <c r="AD205" s="4" t="s">
        <v>725</v>
      </c>
      <c r="AE205" s="4" t="s">
        <v>726</v>
      </c>
      <c r="AF205" s="4" t="s">
        <v>727</v>
      </c>
    </row>
    <row r="206" spans="1:35" ht="36" x14ac:dyDescent="0.3">
      <c r="A206" s="10" t="s">
        <v>728</v>
      </c>
      <c r="B206" s="10" t="s">
        <v>714</v>
      </c>
      <c r="C206" s="14" t="s">
        <v>715</v>
      </c>
      <c r="D206" s="15"/>
      <c r="E206" s="15"/>
      <c r="F206" s="15" t="s">
        <v>62</v>
      </c>
      <c r="G206" s="16">
        <v>1</v>
      </c>
      <c r="H206" s="15"/>
      <c r="I206" s="16">
        <v>0</v>
      </c>
      <c r="J206" s="17">
        <v>0</v>
      </c>
      <c r="K206" s="18">
        <v>661</v>
      </c>
      <c r="L206" s="17">
        <f>J206+ROUND(K206, 2)</f>
        <v>661</v>
      </c>
      <c r="M206" s="17">
        <v>0</v>
      </c>
      <c r="N206" s="17">
        <v>0</v>
      </c>
      <c r="O206" s="17">
        <f>M206+N206</f>
        <v>0</v>
      </c>
      <c r="P206" s="17">
        <v>2509.98</v>
      </c>
      <c r="Q206" s="19">
        <v>661</v>
      </c>
      <c r="R206" s="17">
        <f>P206+ROUND(Q206, 2)</f>
        <v>3170.98</v>
      </c>
      <c r="S206" s="17">
        <v>0</v>
      </c>
      <c r="T206" s="17">
        <v>0</v>
      </c>
      <c r="U206" s="17">
        <f>S206+T206</f>
        <v>0</v>
      </c>
      <c r="V206" s="9">
        <f>ROUND(P206 / 1.2, 2)</f>
        <v>2091.65</v>
      </c>
      <c r="W206" s="9">
        <f>ROUND(Q206 / 1.2, 2)</f>
        <v>550.83000000000004</v>
      </c>
      <c r="X206" s="9">
        <f>ROUND(R206 / 1.2, 2)</f>
        <v>2642.48</v>
      </c>
      <c r="Y206" s="9">
        <f t="shared" si="15"/>
        <v>0</v>
      </c>
      <c r="Z206" s="9">
        <f>ROUND(T206 / 1.2, 2)</f>
        <v>0</v>
      </c>
      <c r="AA206" s="9">
        <f>Y206+Z206</f>
        <v>0</v>
      </c>
      <c r="AD206" s="4">
        <v>334080619</v>
      </c>
      <c r="AE206" s="4">
        <v>27245603</v>
      </c>
      <c r="AG206" s="4" t="s">
        <v>716</v>
      </c>
      <c r="AH206" s="4" t="s">
        <v>717</v>
      </c>
      <c r="AI206" s="4" t="s">
        <v>250</v>
      </c>
    </row>
    <row r="207" spans="1:35" ht="36" x14ac:dyDescent="0.3">
      <c r="A207" s="10" t="s">
        <v>729</v>
      </c>
      <c r="B207" s="10"/>
      <c r="C207" s="24" t="s">
        <v>724</v>
      </c>
      <c r="D207" s="15"/>
      <c r="E207" s="15"/>
      <c r="F207" s="25" t="s">
        <v>62</v>
      </c>
      <c r="G207" s="26">
        <v>1.03</v>
      </c>
      <c r="H207" s="15"/>
      <c r="I207" s="31">
        <v>0</v>
      </c>
      <c r="J207" s="27">
        <v>0</v>
      </c>
      <c r="M207" s="28">
        <f>ROUND(ROUND(J207, 2)*I207, 2)</f>
        <v>0</v>
      </c>
      <c r="P207" s="29">
        <v>2000</v>
      </c>
      <c r="S207" s="28">
        <f>ROUND(ROUND(P207, 2)*I207, 2)</f>
        <v>0</v>
      </c>
      <c r="V207" s="9">
        <f>ROUND(ROUND(P207, 2)/1.2, 2)</f>
        <v>1666.67</v>
      </c>
      <c r="Y207" s="9">
        <f t="shared" si="15"/>
        <v>0</v>
      </c>
      <c r="AD207" s="4" t="s">
        <v>730</v>
      </c>
      <c r="AE207" s="4" t="s">
        <v>731</v>
      </c>
      <c r="AF207" s="4" t="s">
        <v>727</v>
      </c>
    </row>
    <row r="208" spans="1:35" ht="90" x14ac:dyDescent="0.3">
      <c r="A208" s="10" t="s">
        <v>732</v>
      </c>
      <c r="B208" s="10"/>
      <c r="C208" s="24" t="s">
        <v>719</v>
      </c>
      <c r="D208" s="15"/>
      <c r="E208" s="15"/>
      <c r="F208" s="25" t="s">
        <v>597</v>
      </c>
      <c r="G208" s="26">
        <v>1</v>
      </c>
      <c r="H208" s="15"/>
      <c r="I208" s="31">
        <v>0</v>
      </c>
      <c r="J208" s="27">
        <v>0</v>
      </c>
      <c r="M208" s="28">
        <f>ROUND(ROUND(J208, 2)*I208, 2)</f>
        <v>0</v>
      </c>
      <c r="P208" s="29">
        <v>3880</v>
      </c>
      <c r="S208" s="28">
        <f>ROUND(ROUND(P208, 2)*I208, 2)</f>
        <v>0</v>
      </c>
      <c r="V208" s="9">
        <f>ROUND(ROUND(P208, 2)/1.2, 2)</f>
        <v>3233.33</v>
      </c>
      <c r="Y208" s="9">
        <f t="shared" si="15"/>
        <v>0</v>
      </c>
      <c r="AD208" s="4" t="s">
        <v>733</v>
      </c>
      <c r="AE208" s="4" t="s">
        <v>734</v>
      </c>
      <c r="AF208" s="4" t="s">
        <v>722</v>
      </c>
    </row>
    <row r="209" spans="1:35" ht="90" x14ac:dyDescent="0.3">
      <c r="A209" s="10" t="s">
        <v>735</v>
      </c>
      <c r="B209" s="10" t="s">
        <v>714</v>
      </c>
      <c r="C209" s="14" t="s">
        <v>715</v>
      </c>
      <c r="D209" s="15"/>
      <c r="E209" s="15" t="s">
        <v>736</v>
      </c>
      <c r="F209" s="15" t="s">
        <v>62</v>
      </c>
      <c r="G209" s="16">
        <v>1</v>
      </c>
      <c r="H209" s="15"/>
      <c r="I209" s="16">
        <v>245.2</v>
      </c>
      <c r="J209" s="17">
        <v>0</v>
      </c>
      <c r="K209" s="18">
        <v>661</v>
      </c>
      <c r="L209" s="17">
        <f>J209+ROUND(K209, 2)</f>
        <v>661</v>
      </c>
      <c r="M209" s="17">
        <v>0</v>
      </c>
      <c r="N209" s="17">
        <v>162077.20000000001</v>
      </c>
      <c r="O209" s="17">
        <f>M209+N209</f>
        <v>162077.20000000001</v>
      </c>
      <c r="P209" s="17">
        <v>4146.0600000000004</v>
      </c>
      <c r="Q209" s="19">
        <v>991.5</v>
      </c>
      <c r="R209" s="17">
        <f>P209+ROUND(Q209, 2)</f>
        <v>5137.5600000000004</v>
      </c>
      <c r="S209" s="17">
        <v>1016613.91</v>
      </c>
      <c r="T209" s="17">
        <v>243115.8</v>
      </c>
      <c r="U209" s="17">
        <f>S209+T209</f>
        <v>1259729.71</v>
      </c>
      <c r="V209" s="9">
        <f>ROUND(P209 / 1.2, 2)</f>
        <v>3455.05</v>
      </c>
      <c r="W209" s="9">
        <f>ROUND(Q209 / 1.2, 2)</f>
        <v>826.25</v>
      </c>
      <c r="X209" s="9">
        <f>ROUND(R209 / 1.2, 2)</f>
        <v>4281.3</v>
      </c>
      <c r="Y209" s="9">
        <f t="shared" si="15"/>
        <v>847178.26</v>
      </c>
      <c r="Z209" s="9">
        <f>ROUND(T209 / 1.2, 2)</f>
        <v>202596.5</v>
      </c>
      <c r="AA209" s="9">
        <f>Y209+Z209</f>
        <v>1049774.76</v>
      </c>
      <c r="AD209" s="4">
        <v>334080620</v>
      </c>
      <c r="AE209" s="4">
        <v>27245796</v>
      </c>
      <c r="AG209" s="4" t="s">
        <v>716</v>
      </c>
      <c r="AH209" s="4" t="s">
        <v>717</v>
      </c>
      <c r="AI209" s="4" t="s">
        <v>250</v>
      </c>
    </row>
    <row r="210" spans="1:35" ht="90" x14ac:dyDescent="0.3">
      <c r="A210" s="10" t="s">
        <v>737</v>
      </c>
      <c r="B210" s="10"/>
      <c r="C210" s="24" t="s">
        <v>719</v>
      </c>
      <c r="D210" s="15"/>
      <c r="E210" s="15" t="s">
        <v>738</v>
      </c>
      <c r="F210" s="25" t="s">
        <v>597</v>
      </c>
      <c r="G210" s="26">
        <v>1</v>
      </c>
      <c r="H210" s="15"/>
      <c r="I210" s="31">
        <v>28.45</v>
      </c>
      <c r="J210" s="27">
        <v>0</v>
      </c>
      <c r="M210" s="28">
        <f>ROUND(ROUND(J210, 2)*I210, 2)</f>
        <v>0</v>
      </c>
      <c r="P210" s="29">
        <v>2000</v>
      </c>
      <c r="S210" s="28">
        <f>ROUND(ROUND(P210, 2)*I210, 2)</f>
        <v>56900</v>
      </c>
      <c r="V210" s="9">
        <f>ROUND(ROUND(P210, 2)/1.2, 2)</f>
        <v>1666.67</v>
      </c>
      <c r="Y210" s="9">
        <f t="shared" si="15"/>
        <v>47416.67</v>
      </c>
      <c r="AD210" s="4" t="s">
        <v>739</v>
      </c>
      <c r="AE210" s="4" t="s">
        <v>740</v>
      </c>
      <c r="AF210" s="4" t="s">
        <v>722</v>
      </c>
    </row>
    <row r="211" spans="1:35" ht="36" x14ac:dyDescent="0.3">
      <c r="A211" s="10" t="s">
        <v>741</v>
      </c>
      <c r="B211" s="10"/>
      <c r="C211" s="24" t="s">
        <v>724</v>
      </c>
      <c r="D211" s="15"/>
      <c r="E211" s="15" t="s">
        <v>742</v>
      </c>
      <c r="F211" s="25" t="s">
        <v>62</v>
      </c>
      <c r="G211" s="26">
        <v>1.03</v>
      </c>
      <c r="H211" s="15"/>
      <c r="I211" s="31">
        <v>252.55600000000001</v>
      </c>
      <c r="J211" s="27">
        <v>0</v>
      </c>
      <c r="M211" s="28">
        <f>ROUND(ROUND(J211, 2)*I211, 2)</f>
        <v>0</v>
      </c>
      <c r="P211" s="29">
        <v>3800</v>
      </c>
      <c r="S211" s="28">
        <f>ROUND(ROUND(P211, 2)*I211, 2)</f>
        <v>959712.8</v>
      </c>
      <c r="V211" s="9">
        <f>ROUND(ROUND(P211, 2)/1.2, 2)</f>
        <v>3166.67</v>
      </c>
      <c r="Y211" s="9">
        <f t="shared" si="15"/>
        <v>799760.67</v>
      </c>
      <c r="AD211" s="4" t="s">
        <v>743</v>
      </c>
      <c r="AE211" s="4" t="s">
        <v>744</v>
      </c>
      <c r="AF211" s="4" t="s">
        <v>727</v>
      </c>
    </row>
    <row r="212" spans="1:35" ht="90" x14ac:dyDescent="0.3">
      <c r="A212" s="10" t="s">
        <v>745</v>
      </c>
      <c r="B212" s="10" t="s">
        <v>714</v>
      </c>
      <c r="C212" s="14" t="s">
        <v>715</v>
      </c>
      <c r="D212" s="15"/>
      <c r="E212" s="15" t="s">
        <v>746</v>
      </c>
      <c r="F212" s="15" t="s">
        <v>62</v>
      </c>
      <c r="G212" s="16">
        <v>1</v>
      </c>
      <c r="H212" s="15"/>
      <c r="I212" s="16">
        <v>45.7</v>
      </c>
      <c r="J212" s="17">
        <v>0</v>
      </c>
      <c r="K212" s="18">
        <v>661</v>
      </c>
      <c r="L212" s="17">
        <f>J212+ROUND(K212, 2)</f>
        <v>661</v>
      </c>
      <c r="M212" s="17">
        <v>0</v>
      </c>
      <c r="N212" s="17">
        <v>30207.7</v>
      </c>
      <c r="O212" s="17">
        <f>M212+N212</f>
        <v>30207.7</v>
      </c>
      <c r="P212" s="17">
        <v>2509.98</v>
      </c>
      <c r="Q212" s="19">
        <v>991.5</v>
      </c>
      <c r="R212" s="17">
        <f>P212+ROUND(Q212, 2)</f>
        <v>3501.48</v>
      </c>
      <c r="S212" s="17">
        <v>114706.09</v>
      </c>
      <c r="T212" s="17">
        <v>45311.55</v>
      </c>
      <c r="U212" s="17">
        <f>S212+T212</f>
        <v>160017.64000000001</v>
      </c>
      <c r="V212" s="9">
        <f>ROUND(P212 / 1.2, 2)</f>
        <v>2091.65</v>
      </c>
      <c r="W212" s="9">
        <f>ROUND(Q212 / 1.2, 2)</f>
        <v>826.25</v>
      </c>
      <c r="X212" s="9">
        <f>ROUND(R212 / 1.2, 2)</f>
        <v>2917.9</v>
      </c>
      <c r="Y212" s="9">
        <f t="shared" si="15"/>
        <v>95588.41</v>
      </c>
      <c r="Z212" s="9">
        <f>ROUND(T212 / 1.2, 2)</f>
        <v>37759.629999999997</v>
      </c>
      <c r="AA212" s="9">
        <f>Y212+Z212</f>
        <v>133348.04</v>
      </c>
      <c r="AD212" s="4">
        <v>334080621</v>
      </c>
      <c r="AE212" s="4">
        <v>27245798</v>
      </c>
      <c r="AG212" s="4" t="s">
        <v>716</v>
      </c>
      <c r="AH212" s="4" t="s">
        <v>717</v>
      </c>
      <c r="AI212" s="4" t="s">
        <v>250</v>
      </c>
    </row>
    <row r="213" spans="1:35" ht="36" x14ac:dyDescent="0.3">
      <c r="A213" s="10" t="s">
        <v>747</v>
      </c>
      <c r="B213" s="10"/>
      <c r="C213" s="24" t="s">
        <v>724</v>
      </c>
      <c r="D213" s="15"/>
      <c r="E213" s="15"/>
      <c r="F213" s="25" t="s">
        <v>62</v>
      </c>
      <c r="G213" s="26">
        <v>1.03</v>
      </c>
      <c r="H213" s="15"/>
      <c r="I213" s="31">
        <v>47.070999999999998</v>
      </c>
      <c r="J213" s="27">
        <v>0</v>
      </c>
      <c r="M213" s="28">
        <f>ROUND(ROUND(J213, 2)*I213, 2)</f>
        <v>0</v>
      </c>
      <c r="P213" s="29">
        <v>2000</v>
      </c>
      <c r="S213" s="28">
        <f>ROUND(ROUND(P213, 2)*I213, 2)</f>
        <v>94142</v>
      </c>
      <c r="V213" s="9">
        <f>ROUND(ROUND(P213, 2)/1.2, 2)</f>
        <v>1666.67</v>
      </c>
      <c r="Y213" s="9">
        <f t="shared" si="15"/>
        <v>78451.67</v>
      </c>
      <c r="AD213" s="4" t="s">
        <v>748</v>
      </c>
      <c r="AE213" s="4" t="s">
        <v>749</v>
      </c>
      <c r="AF213" s="4" t="s">
        <v>727</v>
      </c>
    </row>
    <row r="214" spans="1:35" ht="90" x14ac:dyDescent="0.3">
      <c r="A214" s="10" t="s">
        <v>750</v>
      </c>
      <c r="B214" s="10"/>
      <c r="C214" s="24" t="s">
        <v>719</v>
      </c>
      <c r="D214" s="15"/>
      <c r="E214" s="15"/>
      <c r="F214" s="25" t="s">
        <v>597</v>
      </c>
      <c r="G214" s="26">
        <v>1</v>
      </c>
      <c r="H214" s="15"/>
      <c r="I214" s="31">
        <v>5.3</v>
      </c>
      <c r="J214" s="27">
        <v>0</v>
      </c>
      <c r="M214" s="28">
        <f>ROUND(ROUND(J214, 2)*I214, 2)</f>
        <v>0</v>
      </c>
      <c r="P214" s="29">
        <v>3880</v>
      </c>
      <c r="S214" s="28">
        <f>ROUND(ROUND(P214, 2)*I214, 2)</f>
        <v>20564</v>
      </c>
      <c r="V214" s="9">
        <f>ROUND(ROUND(P214, 2)/1.2, 2)</f>
        <v>3233.33</v>
      </c>
      <c r="Y214" s="9">
        <f t="shared" si="15"/>
        <v>17136.669999999998</v>
      </c>
      <c r="AD214" s="4" t="s">
        <v>751</v>
      </c>
      <c r="AE214" s="4" t="s">
        <v>752</v>
      </c>
      <c r="AF214" s="4" t="s">
        <v>722</v>
      </c>
    </row>
    <row r="215" spans="1:35" ht="126" x14ac:dyDescent="0.3">
      <c r="A215" s="11" t="s">
        <v>753</v>
      </c>
      <c r="B215" s="11" t="s">
        <v>714</v>
      </c>
      <c r="C215" s="20" t="s">
        <v>715</v>
      </c>
      <c r="D215" s="21"/>
      <c r="E215" s="21" t="s">
        <v>754</v>
      </c>
      <c r="F215" s="21" t="s">
        <v>62</v>
      </c>
      <c r="G215" s="22">
        <v>1</v>
      </c>
      <c r="H215" s="21"/>
      <c r="I215" s="22">
        <v>2253.9</v>
      </c>
      <c r="J215" s="23">
        <f>IFERROR(ROUND(SUM(M216,M217,M218)/I215, 2),0)</f>
        <v>10.43</v>
      </c>
      <c r="K215" s="23">
        <v>661</v>
      </c>
      <c r="L215" s="23">
        <f>J215+ROUND(K215, 2)</f>
        <v>671.43</v>
      </c>
      <c r="M215" s="23">
        <f>ROUND(J215*I215, 2)</f>
        <v>23508.18</v>
      </c>
      <c r="N215" s="23">
        <f>ROUND(I215*ROUND(K215, 2), 2)</f>
        <v>1489827.9</v>
      </c>
      <c r="O215" s="23">
        <f>M215+N215</f>
        <v>1513336.0799999998</v>
      </c>
      <c r="P215" s="23">
        <f>IFERROR(ROUND(SUM(S216,S217,S218)/I215, 2),0)</f>
        <v>2251.54</v>
      </c>
      <c r="Q215" s="23">
        <v>991.5</v>
      </c>
      <c r="R215" s="23">
        <f>P215+ROUND(Q215, 2)</f>
        <v>3243.04</v>
      </c>
      <c r="S215" s="23">
        <f>ROUND(P215*I215, 2)</f>
        <v>5074746.01</v>
      </c>
      <c r="T215" s="23">
        <f>ROUND(I215*ROUND(Q215, 2), 2)</f>
        <v>2234741.85</v>
      </c>
      <c r="U215" s="23">
        <f>S215+T215</f>
        <v>7309487.8599999994</v>
      </c>
      <c r="V215" s="9">
        <f>ROUND(P215 / 1.2, 2)</f>
        <v>1876.28</v>
      </c>
      <c r="W215" s="9">
        <f>ROUND(Q215 / 1.2, 2)</f>
        <v>826.25</v>
      </c>
      <c r="X215" s="9">
        <f>ROUND(R215 / 1.2, 2)</f>
        <v>2702.53</v>
      </c>
      <c r="Y215" s="9">
        <f t="shared" si="15"/>
        <v>4228955.01</v>
      </c>
      <c r="Z215" s="9">
        <f>ROUND(T215 / 1.2, 2)</f>
        <v>1862284.88</v>
      </c>
      <c r="AA215" s="9">
        <f>Y215+Z215</f>
        <v>6091239.8899999997</v>
      </c>
      <c r="AD215" s="4">
        <v>334080622</v>
      </c>
      <c r="AE215" s="4">
        <v>29371272</v>
      </c>
      <c r="AG215" s="4" t="s">
        <v>716</v>
      </c>
      <c r="AH215" s="4" t="s">
        <v>717</v>
      </c>
      <c r="AI215" s="4" t="s">
        <v>250</v>
      </c>
    </row>
    <row r="216" spans="1:35" ht="36" x14ac:dyDescent="0.3">
      <c r="A216" s="11" t="s">
        <v>755</v>
      </c>
      <c r="B216" s="11"/>
      <c r="C216" s="32" t="s">
        <v>543</v>
      </c>
      <c r="D216" s="21"/>
      <c r="E216" s="21"/>
      <c r="F216" s="33" t="s">
        <v>278</v>
      </c>
      <c r="G216" s="34">
        <v>0.15</v>
      </c>
      <c r="H216" s="21"/>
      <c r="I216" s="34">
        <v>338.08499999999998</v>
      </c>
      <c r="J216" s="35">
        <v>69.540000000000006</v>
      </c>
      <c r="K216" s="12"/>
      <c r="L216" s="12"/>
      <c r="M216" s="35">
        <f>ROUND(ROUND(J216, 2)*I216, 2)</f>
        <v>23510.43</v>
      </c>
      <c r="N216" s="12"/>
      <c r="O216" s="12"/>
      <c r="P216" s="35">
        <v>69.540000000000006</v>
      </c>
      <c r="Q216" s="12"/>
      <c r="R216" s="12"/>
      <c r="S216" s="35">
        <f>ROUND(ROUND(P216, 2)*I216, 2)</f>
        <v>23510.43</v>
      </c>
      <c r="T216" s="12"/>
      <c r="U216" s="36"/>
      <c r="V216" s="9">
        <f>ROUND(ROUND(P216, 2)/1.2, 2)</f>
        <v>57.95</v>
      </c>
      <c r="Y216" s="9">
        <f t="shared" si="15"/>
        <v>19592.03</v>
      </c>
      <c r="AD216" s="4" t="s">
        <v>756</v>
      </c>
      <c r="AE216" s="4" t="s">
        <v>757</v>
      </c>
      <c r="AF216" s="4" t="s">
        <v>546</v>
      </c>
    </row>
    <row r="217" spans="1:35" ht="90" x14ac:dyDescent="0.3">
      <c r="A217" s="11" t="s">
        <v>758</v>
      </c>
      <c r="B217" s="11"/>
      <c r="C217" s="32" t="s">
        <v>719</v>
      </c>
      <c r="D217" s="21"/>
      <c r="E217" s="21" t="s">
        <v>759</v>
      </c>
      <c r="F217" s="33" t="s">
        <v>597</v>
      </c>
      <c r="G217" s="34">
        <v>1</v>
      </c>
      <c r="H217" s="21"/>
      <c r="I217" s="37">
        <v>40</v>
      </c>
      <c r="J217" s="35">
        <v>0</v>
      </c>
      <c r="K217" s="12"/>
      <c r="L217" s="12"/>
      <c r="M217" s="35">
        <f>ROUND(ROUND(J217, 2)*I217, 2)</f>
        <v>0</v>
      </c>
      <c r="N217" s="12"/>
      <c r="O217" s="12"/>
      <c r="P217" s="35">
        <v>10205</v>
      </c>
      <c r="Q217" s="12"/>
      <c r="R217" s="12"/>
      <c r="S217" s="35">
        <f>ROUND(ROUND(P217, 2)*I217, 2)</f>
        <v>408200</v>
      </c>
      <c r="T217" s="12"/>
      <c r="U217" s="36"/>
      <c r="V217" s="9">
        <f>ROUND(ROUND(P217, 2)/1.2, 2)</f>
        <v>8504.17</v>
      </c>
      <c r="Y217" s="9">
        <f t="shared" si="15"/>
        <v>340166.67</v>
      </c>
      <c r="AD217" s="4" t="s">
        <v>760</v>
      </c>
      <c r="AE217" s="4" t="s">
        <v>761</v>
      </c>
      <c r="AF217" s="4" t="s">
        <v>722</v>
      </c>
    </row>
    <row r="218" spans="1:35" ht="72" x14ac:dyDescent="0.3">
      <c r="A218" s="11" t="s">
        <v>762</v>
      </c>
      <c r="B218" s="11"/>
      <c r="C218" s="32" t="s">
        <v>724</v>
      </c>
      <c r="D218" s="21"/>
      <c r="E218" s="21" t="s">
        <v>763</v>
      </c>
      <c r="F218" s="33" t="s">
        <v>62</v>
      </c>
      <c r="G218" s="34">
        <v>1.03</v>
      </c>
      <c r="H218" s="21"/>
      <c r="I218" s="37">
        <v>2321.5169999999998</v>
      </c>
      <c r="J218" s="35">
        <v>0</v>
      </c>
      <c r="K218" s="12"/>
      <c r="L218" s="12"/>
      <c r="M218" s="35">
        <f>ROUND(ROUND(J218, 2)*I218, 2)</f>
        <v>0</v>
      </c>
      <c r="N218" s="12"/>
      <c r="O218" s="12"/>
      <c r="P218" s="35">
        <v>2000</v>
      </c>
      <c r="Q218" s="12"/>
      <c r="R218" s="12"/>
      <c r="S218" s="35">
        <f>ROUND(ROUND(P218, 2)*I218, 2)</f>
        <v>4643034</v>
      </c>
      <c r="T218" s="12"/>
      <c r="U218" s="36"/>
      <c r="V218" s="9">
        <f>ROUND(ROUND(P218, 2)/1.2, 2)</f>
        <v>1666.67</v>
      </c>
      <c r="Y218" s="9">
        <f t="shared" si="15"/>
        <v>3869195</v>
      </c>
      <c r="AD218" s="4" t="s">
        <v>764</v>
      </c>
      <c r="AE218" s="4" t="s">
        <v>765</v>
      </c>
      <c r="AF218" s="4" t="s">
        <v>727</v>
      </c>
    </row>
    <row r="219" spans="1:35" ht="144" x14ac:dyDescent="0.3">
      <c r="A219" s="11" t="s">
        <v>766</v>
      </c>
      <c r="B219" s="11" t="s">
        <v>714</v>
      </c>
      <c r="C219" s="20" t="s">
        <v>715</v>
      </c>
      <c r="D219" s="21"/>
      <c r="E219" s="21" t="s">
        <v>767</v>
      </c>
      <c r="F219" s="21" t="s">
        <v>62</v>
      </c>
      <c r="G219" s="22">
        <v>1</v>
      </c>
      <c r="H219" s="21"/>
      <c r="I219" s="22">
        <v>245.2</v>
      </c>
      <c r="J219" s="23">
        <f>IFERROR(ROUND(SUM(M220,M221,M222)/I219, 2),0)</f>
        <v>10.43</v>
      </c>
      <c r="K219" s="23">
        <v>661</v>
      </c>
      <c r="L219" s="23">
        <f>J219+ROUND(K219, 2)</f>
        <v>671.43</v>
      </c>
      <c r="M219" s="23">
        <f>ROUND(J219*I219, 2)</f>
        <v>2557.44</v>
      </c>
      <c r="N219" s="23">
        <f>ROUND(I219*ROUND(K219, 2), 2)</f>
        <v>162077.20000000001</v>
      </c>
      <c r="O219" s="23">
        <f>M219+N219</f>
        <v>164634.64000000001</v>
      </c>
      <c r="P219" s="23">
        <f>IFERROR(ROUND(SUM(S220,S221,S222)/I219, 2),0)</f>
        <v>2249.39</v>
      </c>
      <c r="Q219" s="23">
        <v>991.5</v>
      </c>
      <c r="R219" s="23">
        <f>P219+ROUND(Q219, 2)</f>
        <v>3240.89</v>
      </c>
      <c r="S219" s="23">
        <f>ROUND(P219*I219, 2)</f>
        <v>551550.43000000005</v>
      </c>
      <c r="T219" s="23">
        <f>ROUND(I219*ROUND(Q219, 2), 2)</f>
        <v>243115.8</v>
      </c>
      <c r="U219" s="23">
        <f>S219+T219</f>
        <v>794666.23</v>
      </c>
      <c r="V219" s="9">
        <f>ROUND(P219 / 1.2, 2)</f>
        <v>1874.49</v>
      </c>
      <c r="W219" s="9">
        <f>ROUND(Q219 / 1.2, 2)</f>
        <v>826.25</v>
      </c>
      <c r="X219" s="9">
        <f>ROUND(R219 / 1.2, 2)</f>
        <v>2700.74</v>
      </c>
      <c r="Y219" s="9">
        <f t="shared" si="15"/>
        <v>459625.36</v>
      </c>
      <c r="Z219" s="9">
        <f>ROUND(T219 / 1.2, 2)</f>
        <v>202596.5</v>
      </c>
      <c r="AA219" s="9">
        <f>Y219+Z219</f>
        <v>662221.86</v>
      </c>
      <c r="AD219" s="4">
        <v>334080623</v>
      </c>
      <c r="AE219" s="4">
        <v>29386787</v>
      </c>
      <c r="AG219" s="4" t="s">
        <v>716</v>
      </c>
      <c r="AH219" s="4" t="s">
        <v>717</v>
      </c>
      <c r="AI219" s="4" t="s">
        <v>250</v>
      </c>
    </row>
    <row r="220" spans="1:35" ht="72" x14ac:dyDescent="0.3">
      <c r="A220" s="11" t="s">
        <v>768</v>
      </c>
      <c r="B220" s="11"/>
      <c r="C220" s="32" t="s">
        <v>724</v>
      </c>
      <c r="D220" s="21"/>
      <c r="E220" s="21" t="s">
        <v>769</v>
      </c>
      <c r="F220" s="33" t="s">
        <v>62</v>
      </c>
      <c r="G220" s="34">
        <v>1.03</v>
      </c>
      <c r="H220" s="21"/>
      <c r="I220" s="37">
        <v>252.55600000000001</v>
      </c>
      <c r="J220" s="35">
        <v>0</v>
      </c>
      <c r="K220" s="12"/>
      <c r="L220" s="12"/>
      <c r="M220" s="35">
        <f>ROUND(ROUND(J220, 2)*I220, 2)</f>
        <v>0</v>
      </c>
      <c r="N220" s="12"/>
      <c r="O220" s="12"/>
      <c r="P220" s="35">
        <v>2000</v>
      </c>
      <c r="Q220" s="12"/>
      <c r="R220" s="12"/>
      <c r="S220" s="35">
        <f>ROUND(ROUND(P220, 2)*I220, 2)</f>
        <v>505112</v>
      </c>
      <c r="T220" s="12"/>
      <c r="U220" s="36"/>
      <c r="V220" s="9">
        <f>ROUND(ROUND(P220, 2)/1.2, 2)</f>
        <v>1666.67</v>
      </c>
      <c r="Y220" s="9">
        <f t="shared" si="15"/>
        <v>420926.67</v>
      </c>
      <c r="AD220" s="4" t="s">
        <v>770</v>
      </c>
      <c r="AE220" s="4" t="s">
        <v>771</v>
      </c>
      <c r="AF220" s="4" t="s">
        <v>727</v>
      </c>
    </row>
    <row r="221" spans="1:35" ht="90" x14ac:dyDescent="0.3">
      <c r="A221" s="11" t="s">
        <v>772</v>
      </c>
      <c r="B221" s="11"/>
      <c r="C221" s="32" t="s">
        <v>719</v>
      </c>
      <c r="D221" s="21"/>
      <c r="E221" s="21" t="s">
        <v>759</v>
      </c>
      <c r="F221" s="33" t="s">
        <v>597</v>
      </c>
      <c r="G221" s="34">
        <v>1</v>
      </c>
      <c r="H221" s="21"/>
      <c r="I221" s="37">
        <v>4.3</v>
      </c>
      <c r="J221" s="35">
        <v>0</v>
      </c>
      <c r="K221" s="12"/>
      <c r="L221" s="12"/>
      <c r="M221" s="35">
        <f>ROUND(ROUND(J221, 2)*I221, 2)</f>
        <v>0</v>
      </c>
      <c r="N221" s="12"/>
      <c r="O221" s="12"/>
      <c r="P221" s="35">
        <v>10205</v>
      </c>
      <c r="Q221" s="12"/>
      <c r="R221" s="12"/>
      <c r="S221" s="35">
        <f>ROUND(ROUND(P221, 2)*I221, 2)</f>
        <v>43881.5</v>
      </c>
      <c r="T221" s="12"/>
      <c r="U221" s="36"/>
      <c r="V221" s="9">
        <f>ROUND(ROUND(P221, 2)/1.2, 2)</f>
        <v>8504.17</v>
      </c>
      <c r="Y221" s="9">
        <f t="shared" si="15"/>
        <v>36567.919999999998</v>
      </c>
      <c r="AD221" s="4" t="s">
        <v>773</v>
      </c>
      <c r="AE221" s="4" t="s">
        <v>774</v>
      </c>
      <c r="AF221" s="4" t="s">
        <v>722</v>
      </c>
    </row>
    <row r="222" spans="1:35" ht="36" x14ac:dyDescent="0.3">
      <c r="A222" s="11" t="s">
        <v>775</v>
      </c>
      <c r="B222" s="11"/>
      <c r="C222" s="32" t="s">
        <v>543</v>
      </c>
      <c r="D222" s="21"/>
      <c r="E222" s="21"/>
      <c r="F222" s="33" t="s">
        <v>278</v>
      </c>
      <c r="G222" s="34">
        <v>0.15</v>
      </c>
      <c r="H222" s="21"/>
      <c r="I222" s="34">
        <v>36.78</v>
      </c>
      <c r="J222" s="35">
        <v>69.540000000000006</v>
      </c>
      <c r="K222" s="12"/>
      <c r="L222" s="12"/>
      <c r="M222" s="35">
        <f>ROUND(ROUND(J222, 2)*I222, 2)</f>
        <v>2557.6799999999998</v>
      </c>
      <c r="N222" s="12"/>
      <c r="O222" s="12"/>
      <c r="P222" s="35">
        <v>69.540000000000006</v>
      </c>
      <c r="Q222" s="12"/>
      <c r="R222" s="12"/>
      <c r="S222" s="35">
        <f>ROUND(ROUND(P222, 2)*I222, 2)</f>
        <v>2557.6799999999998</v>
      </c>
      <c r="T222" s="12"/>
      <c r="U222" s="36"/>
      <c r="V222" s="9">
        <f>ROUND(ROUND(P222, 2)/1.2, 2)</f>
        <v>57.95</v>
      </c>
      <c r="Y222" s="9">
        <f t="shared" si="15"/>
        <v>2131.4</v>
      </c>
      <c r="AD222" s="4" t="s">
        <v>776</v>
      </c>
      <c r="AE222" s="4" t="s">
        <v>777</v>
      </c>
      <c r="AF222" s="4" t="s">
        <v>546</v>
      </c>
    </row>
    <row r="223" spans="1:35" ht="144" x14ac:dyDescent="0.3">
      <c r="A223" s="11" t="s">
        <v>778</v>
      </c>
      <c r="B223" s="11" t="s">
        <v>714</v>
      </c>
      <c r="C223" s="20" t="s">
        <v>715</v>
      </c>
      <c r="D223" s="21"/>
      <c r="E223" s="21" t="s">
        <v>779</v>
      </c>
      <c r="F223" s="21" t="s">
        <v>62</v>
      </c>
      <c r="G223" s="22">
        <v>1</v>
      </c>
      <c r="H223" s="21"/>
      <c r="I223" s="22">
        <v>20.25</v>
      </c>
      <c r="J223" s="23">
        <f>IFERROR(ROUND(SUM(M224,M225,M226)/I223, 2),0)</f>
        <v>10.43</v>
      </c>
      <c r="K223" s="23">
        <v>661</v>
      </c>
      <c r="L223" s="23">
        <f>J223+ROUND(K223, 2)</f>
        <v>671.43</v>
      </c>
      <c r="M223" s="23">
        <f>ROUND(J223*I223, 2)</f>
        <v>211.21</v>
      </c>
      <c r="N223" s="23">
        <f>ROUND(I223*ROUND(K223, 2), 2)</f>
        <v>13385.25</v>
      </c>
      <c r="O223" s="23">
        <f>M223+N223</f>
        <v>13596.46</v>
      </c>
      <c r="P223" s="23">
        <f>IFERROR(ROUND(SUM(S224,S225,S226)/I223, 2),0)</f>
        <v>2246.86</v>
      </c>
      <c r="Q223" s="23">
        <v>991.5</v>
      </c>
      <c r="R223" s="23">
        <f>P223+ROUND(Q223, 2)</f>
        <v>3238.36</v>
      </c>
      <c r="S223" s="23">
        <f>ROUND(P223*I223, 2)</f>
        <v>45498.92</v>
      </c>
      <c r="T223" s="23">
        <f>ROUND(I223*ROUND(Q223, 2), 2)</f>
        <v>20077.88</v>
      </c>
      <c r="U223" s="23">
        <f>S223+T223</f>
        <v>65576.800000000003</v>
      </c>
      <c r="V223" s="9">
        <f>ROUND(P223 / 1.2, 2)</f>
        <v>1872.38</v>
      </c>
      <c r="W223" s="9">
        <f>ROUND(Q223 / 1.2, 2)</f>
        <v>826.25</v>
      </c>
      <c r="X223" s="9">
        <f>ROUND(R223 / 1.2, 2)</f>
        <v>2698.63</v>
      </c>
      <c r="Y223" s="9">
        <f t="shared" si="15"/>
        <v>37915.769999999997</v>
      </c>
      <c r="Z223" s="9">
        <f>ROUND(T223 / 1.2, 2)</f>
        <v>16731.57</v>
      </c>
      <c r="AA223" s="9">
        <f>Y223+Z223</f>
        <v>54647.34</v>
      </c>
      <c r="AD223" s="4">
        <v>334080624</v>
      </c>
      <c r="AE223" s="4">
        <v>29386786</v>
      </c>
      <c r="AG223" s="4" t="s">
        <v>716</v>
      </c>
      <c r="AH223" s="4" t="s">
        <v>717</v>
      </c>
      <c r="AI223" s="4" t="s">
        <v>250</v>
      </c>
    </row>
    <row r="224" spans="1:35" ht="36" x14ac:dyDescent="0.3">
      <c r="A224" s="11" t="s">
        <v>780</v>
      </c>
      <c r="B224" s="11"/>
      <c r="C224" s="32" t="s">
        <v>543</v>
      </c>
      <c r="D224" s="21"/>
      <c r="E224" s="21"/>
      <c r="F224" s="33" t="s">
        <v>278</v>
      </c>
      <c r="G224" s="34">
        <v>0.15</v>
      </c>
      <c r="H224" s="21"/>
      <c r="I224" s="34">
        <v>3.0379999999999998</v>
      </c>
      <c r="J224" s="35">
        <v>69.540000000000006</v>
      </c>
      <c r="K224" s="12"/>
      <c r="L224" s="12"/>
      <c r="M224" s="35">
        <f>ROUND(ROUND(J224, 2)*I224, 2)</f>
        <v>211.26</v>
      </c>
      <c r="N224" s="12"/>
      <c r="O224" s="12"/>
      <c r="P224" s="35">
        <v>69.540000000000006</v>
      </c>
      <c r="Q224" s="12"/>
      <c r="R224" s="12"/>
      <c r="S224" s="35">
        <f>ROUND(ROUND(P224, 2)*I224, 2)</f>
        <v>211.26</v>
      </c>
      <c r="T224" s="12"/>
      <c r="U224" s="36"/>
      <c r="V224" s="9">
        <f>ROUND(ROUND(P224, 2)/1.2, 2)</f>
        <v>57.95</v>
      </c>
      <c r="Y224" s="9">
        <f t="shared" si="15"/>
        <v>176.05</v>
      </c>
      <c r="AD224" s="4" t="s">
        <v>781</v>
      </c>
      <c r="AE224" s="4" t="s">
        <v>782</v>
      </c>
      <c r="AF224" s="4" t="s">
        <v>546</v>
      </c>
    </row>
    <row r="225" spans="1:35" ht="90" x14ac:dyDescent="0.3">
      <c r="A225" s="11" t="s">
        <v>783</v>
      </c>
      <c r="B225" s="11"/>
      <c r="C225" s="32" t="s">
        <v>719</v>
      </c>
      <c r="D225" s="21"/>
      <c r="E225" s="21" t="s">
        <v>759</v>
      </c>
      <c r="F225" s="33" t="s">
        <v>597</v>
      </c>
      <c r="G225" s="34">
        <v>1</v>
      </c>
      <c r="H225" s="21"/>
      <c r="I225" s="37">
        <v>0.35</v>
      </c>
      <c r="J225" s="35">
        <v>0</v>
      </c>
      <c r="K225" s="12"/>
      <c r="L225" s="12"/>
      <c r="M225" s="35">
        <f>ROUND(ROUND(J225, 2)*I225, 2)</f>
        <v>0</v>
      </c>
      <c r="N225" s="12"/>
      <c r="O225" s="12"/>
      <c r="P225" s="35">
        <v>10205</v>
      </c>
      <c r="Q225" s="12"/>
      <c r="R225" s="12"/>
      <c r="S225" s="35">
        <f>ROUND(ROUND(P225, 2)*I225, 2)</f>
        <v>3571.75</v>
      </c>
      <c r="T225" s="12"/>
      <c r="U225" s="36"/>
      <c r="V225" s="9">
        <f>ROUND(ROUND(P225, 2)/1.2, 2)</f>
        <v>8504.17</v>
      </c>
      <c r="Y225" s="9">
        <f t="shared" si="15"/>
        <v>2976.46</v>
      </c>
      <c r="AD225" s="4" t="s">
        <v>784</v>
      </c>
      <c r="AE225" s="4" t="s">
        <v>785</v>
      </c>
      <c r="AF225" s="4" t="s">
        <v>722</v>
      </c>
    </row>
    <row r="226" spans="1:35" ht="36" x14ac:dyDescent="0.3">
      <c r="A226" s="11" t="s">
        <v>786</v>
      </c>
      <c r="B226" s="11"/>
      <c r="C226" s="32" t="s">
        <v>724</v>
      </c>
      <c r="D226" s="21"/>
      <c r="E226" s="21" t="s">
        <v>787</v>
      </c>
      <c r="F226" s="33" t="s">
        <v>62</v>
      </c>
      <c r="G226" s="34">
        <v>1.03</v>
      </c>
      <c r="H226" s="21"/>
      <c r="I226" s="37">
        <v>20.858000000000001</v>
      </c>
      <c r="J226" s="35">
        <v>0</v>
      </c>
      <c r="K226" s="12"/>
      <c r="L226" s="12"/>
      <c r="M226" s="35">
        <f>ROUND(ROUND(J226, 2)*I226, 2)</f>
        <v>0</v>
      </c>
      <c r="N226" s="12"/>
      <c r="O226" s="12"/>
      <c r="P226" s="35">
        <v>2000</v>
      </c>
      <c r="Q226" s="12"/>
      <c r="R226" s="12"/>
      <c r="S226" s="35">
        <f>ROUND(ROUND(P226, 2)*I226, 2)</f>
        <v>41716</v>
      </c>
      <c r="T226" s="12"/>
      <c r="U226" s="36"/>
      <c r="V226" s="9">
        <f>ROUND(ROUND(P226, 2)/1.2, 2)</f>
        <v>1666.67</v>
      </c>
      <c r="Y226" s="9">
        <f t="shared" si="15"/>
        <v>34763.33</v>
      </c>
      <c r="AD226" s="4" t="s">
        <v>788</v>
      </c>
      <c r="AE226" s="4" t="s">
        <v>789</v>
      </c>
      <c r="AF226" s="4" t="s">
        <v>727</v>
      </c>
    </row>
    <row r="227" spans="1:35" ht="36" x14ac:dyDescent="0.3">
      <c r="A227" s="10" t="s">
        <v>790</v>
      </c>
      <c r="B227" s="10" t="s">
        <v>791</v>
      </c>
      <c r="C227" s="14" t="s">
        <v>792</v>
      </c>
      <c r="D227" s="15"/>
      <c r="E227" s="15"/>
      <c r="F227" s="15" t="s">
        <v>102</v>
      </c>
      <c r="G227" s="16">
        <v>1</v>
      </c>
      <c r="H227" s="15"/>
      <c r="I227" s="16">
        <v>0</v>
      </c>
      <c r="J227" s="17">
        <v>0</v>
      </c>
      <c r="K227" s="18">
        <v>210</v>
      </c>
      <c r="L227" s="17">
        <f>J227+ROUND(K227, 2)</f>
        <v>210</v>
      </c>
      <c r="M227" s="17">
        <v>0</v>
      </c>
      <c r="N227" s="17">
        <v>0</v>
      </c>
      <c r="O227" s="17">
        <f>M227+N227</f>
        <v>0</v>
      </c>
      <c r="P227" s="17">
        <v>409.64</v>
      </c>
      <c r="Q227" s="19">
        <v>210</v>
      </c>
      <c r="R227" s="17">
        <f>P227+ROUND(Q227, 2)</f>
        <v>619.64</v>
      </c>
      <c r="S227" s="17">
        <v>0</v>
      </c>
      <c r="T227" s="17">
        <v>0</v>
      </c>
      <c r="U227" s="17">
        <f>S227+T227</f>
        <v>0</v>
      </c>
      <c r="V227" s="9">
        <f>ROUND(P227 / 1.2, 2)</f>
        <v>341.37</v>
      </c>
      <c r="W227" s="9">
        <f>ROUND(Q227 / 1.2, 2)</f>
        <v>175</v>
      </c>
      <c r="X227" s="9">
        <f>ROUND(R227 / 1.2, 2)</f>
        <v>516.37</v>
      </c>
      <c r="Y227" s="9">
        <f t="shared" si="15"/>
        <v>0</v>
      </c>
      <c r="Z227" s="9">
        <f>ROUND(T227 / 1.2, 2)</f>
        <v>0</v>
      </c>
      <c r="AA227" s="9">
        <f>Y227+Z227</f>
        <v>0</v>
      </c>
      <c r="AD227" s="4">
        <v>334080512</v>
      </c>
      <c r="AE227" s="4">
        <v>27245607</v>
      </c>
      <c r="AG227" s="4" t="s">
        <v>793</v>
      </c>
      <c r="AH227" s="4" t="s">
        <v>794</v>
      </c>
      <c r="AI227" s="4" t="s">
        <v>250</v>
      </c>
    </row>
    <row r="228" spans="1:35" ht="72" x14ac:dyDescent="0.3">
      <c r="A228" s="10" t="s">
        <v>795</v>
      </c>
      <c r="B228" s="10"/>
      <c r="C228" s="24" t="s">
        <v>796</v>
      </c>
      <c r="D228" s="15"/>
      <c r="E228" s="15"/>
      <c r="F228" s="25" t="s">
        <v>102</v>
      </c>
      <c r="G228" s="26">
        <v>1.1000000000000001</v>
      </c>
      <c r="H228" s="15"/>
      <c r="I228" s="31">
        <v>0</v>
      </c>
      <c r="J228" s="27">
        <v>0</v>
      </c>
      <c r="M228" s="28">
        <f>ROUND(ROUND(J228, 2)*I228, 2)</f>
        <v>0</v>
      </c>
      <c r="P228" s="29">
        <v>372.4</v>
      </c>
      <c r="S228" s="28">
        <f>ROUND(ROUND(P228, 2)*I228, 2)</f>
        <v>0</v>
      </c>
      <c r="V228" s="9">
        <f>ROUND(ROUND(P228, 2)/1.2, 2)</f>
        <v>310.33</v>
      </c>
      <c r="Y228" s="9">
        <f t="shared" si="15"/>
        <v>0</v>
      </c>
      <c r="AD228" s="4" t="s">
        <v>797</v>
      </c>
      <c r="AE228" s="4" t="s">
        <v>798</v>
      </c>
      <c r="AF228" s="4" t="s">
        <v>799</v>
      </c>
    </row>
    <row r="229" spans="1:35" ht="36" x14ac:dyDescent="0.3">
      <c r="A229" s="10" t="s">
        <v>800</v>
      </c>
      <c r="B229" s="10" t="s">
        <v>791</v>
      </c>
      <c r="C229" s="14" t="s">
        <v>792</v>
      </c>
      <c r="D229" s="15"/>
      <c r="E229" s="15"/>
      <c r="F229" s="15" t="s">
        <v>102</v>
      </c>
      <c r="G229" s="16">
        <v>1</v>
      </c>
      <c r="H229" s="15"/>
      <c r="I229" s="16">
        <v>0</v>
      </c>
      <c r="J229" s="17">
        <v>0</v>
      </c>
      <c r="K229" s="18">
        <v>210</v>
      </c>
      <c r="L229" s="17">
        <f>J229+ROUND(K229, 2)</f>
        <v>210</v>
      </c>
      <c r="M229" s="17">
        <v>0</v>
      </c>
      <c r="N229" s="17">
        <v>0</v>
      </c>
      <c r="O229" s="17">
        <f>M229+N229</f>
        <v>0</v>
      </c>
      <c r="P229" s="17">
        <v>409.64</v>
      </c>
      <c r="Q229" s="19">
        <v>210</v>
      </c>
      <c r="R229" s="17">
        <f>P229+ROUND(Q229, 2)</f>
        <v>619.64</v>
      </c>
      <c r="S229" s="17">
        <v>0</v>
      </c>
      <c r="T229" s="17">
        <v>0</v>
      </c>
      <c r="U229" s="17">
        <f>S229+T229</f>
        <v>0</v>
      </c>
      <c r="V229" s="9">
        <f>ROUND(P229 / 1.2, 2)</f>
        <v>341.37</v>
      </c>
      <c r="W229" s="9">
        <f>ROUND(Q229 / 1.2, 2)</f>
        <v>175</v>
      </c>
      <c r="X229" s="9">
        <f>ROUND(R229 / 1.2, 2)</f>
        <v>516.37</v>
      </c>
      <c r="Y229" s="9">
        <f t="shared" si="15"/>
        <v>0</v>
      </c>
      <c r="Z229" s="9">
        <f>ROUND(T229 / 1.2, 2)</f>
        <v>0</v>
      </c>
      <c r="AA229" s="9">
        <f>Y229+Z229</f>
        <v>0</v>
      </c>
      <c r="AD229" s="4">
        <v>334080625</v>
      </c>
      <c r="AE229" s="4">
        <v>27245608</v>
      </c>
      <c r="AG229" s="4" t="s">
        <v>793</v>
      </c>
      <c r="AH229" s="4" t="s">
        <v>794</v>
      </c>
      <c r="AI229" s="4" t="s">
        <v>250</v>
      </c>
    </row>
    <row r="230" spans="1:35" ht="72" x14ac:dyDescent="0.3">
      <c r="A230" s="10" t="s">
        <v>801</v>
      </c>
      <c r="B230" s="10"/>
      <c r="C230" s="24" t="s">
        <v>796</v>
      </c>
      <c r="D230" s="15"/>
      <c r="E230" s="15"/>
      <c r="F230" s="25" t="s">
        <v>102</v>
      </c>
      <c r="G230" s="26">
        <v>1.1000000000000001</v>
      </c>
      <c r="H230" s="15"/>
      <c r="I230" s="31">
        <v>0</v>
      </c>
      <c r="J230" s="27">
        <v>0</v>
      </c>
      <c r="M230" s="28">
        <f>ROUND(ROUND(J230, 2)*I230, 2)</f>
        <v>0</v>
      </c>
      <c r="P230" s="29">
        <v>372.4</v>
      </c>
      <c r="S230" s="28">
        <f>ROUND(ROUND(P230, 2)*I230, 2)</f>
        <v>0</v>
      </c>
      <c r="V230" s="9">
        <f>ROUND(ROUND(P230, 2)/1.2, 2)</f>
        <v>310.33</v>
      </c>
      <c r="Y230" s="9">
        <f t="shared" si="15"/>
        <v>0</v>
      </c>
      <c r="AD230" s="4" t="s">
        <v>802</v>
      </c>
      <c r="AE230" s="4" t="s">
        <v>803</v>
      </c>
      <c r="AF230" s="4" t="s">
        <v>799</v>
      </c>
    </row>
    <row r="231" spans="1:35" ht="36" x14ac:dyDescent="0.3">
      <c r="A231" s="10" t="s">
        <v>804</v>
      </c>
      <c r="B231" s="10" t="s">
        <v>791</v>
      </c>
      <c r="C231" s="14" t="s">
        <v>792</v>
      </c>
      <c r="D231" s="15"/>
      <c r="E231" s="15" t="s">
        <v>805</v>
      </c>
      <c r="F231" s="15" t="s">
        <v>102</v>
      </c>
      <c r="G231" s="16">
        <v>1</v>
      </c>
      <c r="H231" s="15"/>
      <c r="I231" s="16">
        <v>1012.89</v>
      </c>
      <c r="J231" s="17">
        <v>0</v>
      </c>
      <c r="K231" s="18">
        <v>210</v>
      </c>
      <c r="L231" s="17">
        <f>J231+ROUND(K231, 2)</f>
        <v>210</v>
      </c>
      <c r="M231" s="17">
        <v>0</v>
      </c>
      <c r="N231" s="17">
        <v>212706.9</v>
      </c>
      <c r="O231" s="17">
        <f>M231+N231</f>
        <v>212706.9</v>
      </c>
      <c r="P231" s="17">
        <v>409.64</v>
      </c>
      <c r="Q231" s="19">
        <v>315</v>
      </c>
      <c r="R231" s="17">
        <f>P231+ROUND(Q231, 2)</f>
        <v>724.64</v>
      </c>
      <c r="S231" s="17">
        <v>414920.26</v>
      </c>
      <c r="T231" s="17">
        <v>319060.34999999998</v>
      </c>
      <c r="U231" s="17">
        <f>S231+T231</f>
        <v>733980.61</v>
      </c>
      <c r="V231" s="9">
        <f>ROUND(P231 / 1.2, 2)</f>
        <v>341.37</v>
      </c>
      <c r="W231" s="9">
        <f>ROUND(Q231 / 1.2, 2)</f>
        <v>262.5</v>
      </c>
      <c r="X231" s="9">
        <f>ROUND(R231 / 1.2, 2)</f>
        <v>603.87</v>
      </c>
      <c r="Y231" s="9">
        <f t="shared" si="15"/>
        <v>345766.88</v>
      </c>
      <c r="Z231" s="9">
        <f>ROUND(T231 / 1.2, 2)</f>
        <v>265883.63</v>
      </c>
      <c r="AA231" s="9">
        <f>Y231+Z231</f>
        <v>611650.51</v>
      </c>
      <c r="AD231" s="4">
        <v>334080626</v>
      </c>
      <c r="AE231" s="4">
        <v>27245787</v>
      </c>
      <c r="AG231" s="4" t="s">
        <v>793</v>
      </c>
      <c r="AH231" s="4" t="s">
        <v>794</v>
      </c>
      <c r="AI231" s="4" t="s">
        <v>250</v>
      </c>
    </row>
    <row r="232" spans="1:35" ht="72" x14ac:dyDescent="0.3">
      <c r="A232" s="10" t="s">
        <v>806</v>
      </c>
      <c r="B232" s="10"/>
      <c r="C232" s="24" t="s">
        <v>796</v>
      </c>
      <c r="D232" s="15"/>
      <c r="E232" s="15" t="s">
        <v>807</v>
      </c>
      <c r="F232" s="25" t="s">
        <v>102</v>
      </c>
      <c r="G232" s="26">
        <v>1.1000000000000001</v>
      </c>
      <c r="H232" s="15"/>
      <c r="I232" s="31">
        <v>1114.1790000000001</v>
      </c>
      <c r="J232" s="27">
        <v>0</v>
      </c>
      <c r="M232" s="28">
        <f>ROUND(ROUND(J232, 2)*I232, 2)</f>
        <v>0</v>
      </c>
      <c r="P232" s="29">
        <v>372.4</v>
      </c>
      <c r="S232" s="28">
        <f>ROUND(ROUND(P232, 2)*I232, 2)</f>
        <v>414920.26</v>
      </c>
      <c r="V232" s="9">
        <f>ROUND(ROUND(P232, 2)/1.2, 2)</f>
        <v>310.33</v>
      </c>
      <c r="Y232" s="9">
        <f t="shared" si="15"/>
        <v>345766.88</v>
      </c>
      <c r="AD232" s="4" t="s">
        <v>808</v>
      </c>
      <c r="AE232" s="4" t="s">
        <v>809</v>
      </c>
      <c r="AF232" s="4" t="s">
        <v>799</v>
      </c>
    </row>
    <row r="233" spans="1:35" ht="36" x14ac:dyDescent="0.3">
      <c r="A233" s="10" t="s">
        <v>810</v>
      </c>
      <c r="B233" s="10" t="s">
        <v>791</v>
      </c>
      <c r="C233" s="14" t="s">
        <v>792</v>
      </c>
      <c r="D233" s="15"/>
      <c r="E233" s="15" t="s">
        <v>811</v>
      </c>
      <c r="F233" s="15" t="s">
        <v>102</v>
      </c>
      <c r="G233" s="16">
        <v>1</v>
      </c>
      <c r="H233" s="15"/>
      <c r="I233" s="16">
        <v>409.31</v>
      </c>
      <c r="J233" s="17">
        <v>0</v>
      </c>
      <c r="K233" s="18">
        <v>210</v>
      </c>
      <c r="L233" s="17">
        <f>J233+ROUND(K233, 2)</f>
        <v>210</v>
      </c>
      <c r="M233" s="17">
        <v>0</v>
      </c>
      <c r="N233" s="17">
        <v>85955.1</v>
      </c>
      <c r="O233" s="17">
        <f>M233+N233</f>
        <v>85955.1</v>
      </c>
      <c r="P233" s="17">
        <v>409.64</v>
      </c>
      <c r="Q233" s="19">
        <v>315</v>
      </c>
      <c r="R233" s="17">
        <f>P233+ROUND(Q233, 2)</f>
        <v>724.64</v>
      </c>
      <c r="S233" s="17">
        <v>167669.75</v>
      </c>
      <c r="T233" s="17">
        <v>128932.65</v>
      </c>
      <c r="U233" s="17">
        <f>S233+T233</f>
        <v>296602.40000000002</v>
      </c>
      <c r="V233" s="9">
        <f>ROUND(P233 / 1.2, 2)</f>
        <v>341.37</v>
      </c>
      <c r="W233" s="9">
        <f>ROUND(Q233 / 1.2, 2)</f>
        <v>262.5</v>
      </c>
      <c r="X233" s="9">
        <f>ROUND(R233 / 1.2, 2)</f>
        <v>603.87</v>
      </c>
      <c r="Y233" s="9">
        <f t="shared" si="15"/>
        <v>139724.79</v>
      </c>
      <c r="Z233" s="9">
        <f>ROUND(T233 / 1.2, 2)</f>
        <v>107443.88</v>
      </c>
      <c r="AA233" s="9">
        <f>Y233+Z233</f>
        <v>247168.67</v>
      </c>
      <c r="AD233" s="4">
        <v>334080627</v>
      </c>
      <c r="AE233" s="4">
        <v>27245788</v>
      </c>
      <c r="AG233" s="4" t="s">
        <v>793</v>
      </c>
      <c r="AH233" s="4" t="s">
        <v>794</v>
      </c>
      <c r="AI233" s="4" t="s">
        <v>250</v>
      </c>
    </row>
    <row r="234" spans="1:35" ht="72" x14ac:dyDescent="0.3">
      <c r="A234" s="10" t="s">
        <v>812</v>
      </c>
      <c r="B234" s="10"/>
      <c r="C234" s="24" t="s">
        <v>796</v>
      </c>
      <c r="D234" s="15"/>
      <c r="E234" s="15" t="s">
        <v>813</v>
      </c>
      <c r="F234" s="25" t="s">
        <v>102</v>
      </c>
      <c r="G234" s="26">
        <v>1.1000000000000001</v>
      </c>
      <c r="H234" s="15"/>
      <c r="I234" s="31">
        <v>450.24099999999999</v>
      </c>
      <c r="J234" s="27">
        <v>0</v>
      </c>
      <c r="M234" s="28">
        <f>ROUND(ROUND(J234, 2)*I234, 2)</f>
        <v>0</v>
      </c>
      <c r="P234" s="29">
        <v>372.4</v>
      </c>
      <c r="S234" s="28">
        <f>ROUND(ROUND(P234, 2)*I234, 2)</f>
        <v>167669.75</v>
      </c>
      <c r="V234" s="9">
        <f>ROUND(ROUND(P234, 2)/1.2, 2)</f>
        <v>310.33</v>
      </c>
      <c r="Y234" s="9">
        <f t="shared" si="15"/>
        <v>139724.79</v>
      </c>
      <c r="AD234" s="4" t="s">
        <v>814</v>
      </c>
      <c r="AE234" s="4" t="s">
        <v>815</v>
      </c>
      <c r="AF234" s="4" t="s">
        <v>799</v>
      </c>
    </row>
    <row r="235" spans="1:35" ht="90" x14ac:dyDescent="0.3">
      <c r="A235" s="11" t="s">
        <v>816</v>
      </c>
      <c r="B235" s="11" t="s">
        <v>791</v>
      </c>
      <c r="C235" s="20" t="s">
        <v>792</v>
      </c>
      <c r="D235" s="21"/>
      <c r="E235" s="21" t="s">
        <v>817</v>
      </c>
      <c r="F235" s="21" t="s">
        <v>102</v>
      </c>
      <c r="G235" s="22">
        <v>1</v>
      </c>
      <c r="H235" s="21"/>
      <c r="I235" s="22">
        <v>1099.2</v>
      </c>
      <c r="J235" s="23">
        <f>IFERROR(ROUND(SUM(M236)/I235, 2),0)</f>
        <v>385.54</v>
      </c>
      <c r="K235" s="23">
        <v>210</v>
      </c>
      <c r="L235" s="23">
        <f>J235+ROUND(K235, 2)</f>
        <v>595.54</v>
      </c>
      <c r="M235" s="23">
        <f>ROUND(J235*I235, 2)</f>
        <v>423785.57</v>
      </c>
      <c r="N235" s="23">
        <f>ROUND(I235*ROUND(K235, 2), 2)</f>
        <v>230832</v>
      </c>
      <c r="O235" s="23">
        <f>M235+N235</f>
        <v>654617.57000000007</v>
      </c>
      <c r="P235" s="23">
        <f>IFERROR(ROUND(SUM(S236)/I235, 2),0)</f>
        <v>385.54</v>
      </c>
      <c r="Q235" s="23">
        <v>315</v>
      </c>
      <c r="R235" s="23">
        <f>P235+ROUND(Q235, 2)</f>
        <v>700.54</v>
      </c>
      <c r="S235" s="23">
        <f>ROUND(P235*I235, 2)</f>
        <v>423785.57</v>
      </c>
      <c r="T235" s="23">
        <f>ROUND(I235*ROUND(Q235, 2), 2)</f>
        <v>346248</v>
      </c>
      <c r="U235" s="23">
        <f>S235+T235</f>
        <v>770033.57000000007</v>
      </c>
      <c r="V235" s="9">
        <f>ROUND(P235 / 1.2, 2)</f>
        <v>321.27999999999997</v>
      </c>
      <c r="W235" s="9">
        <f>ROUND(Q235 / 1.2, 2)</f>
        <v>262.5</v>
      </c>
      <c r="X235" s="9">
        <f>ROUND(R235 / 1.2, 2)</f>
        <v>583.78</v>
      </c>
      <c r="Y235" s="9">
        <f t="shared" si="15"/>
        <v>353154.64</v>
      </c>
      <c r="Z235" s="9">
        <f>ROUND(T235 / 1.2, 2)</f>
        <v>288540</v>
      </c>
      <c r="AA235" s="9">
        <f>Y235+Z235</f>
        <v>641694.64</v>
      </c>
      <c r="AD235" s="4">
        <v>334080628</v>
      </c>
      <c r="AE235" s="4">
        <v>29384251</v>
      </c>
      <c r="AG235" s="4" t="s">
        <v>793</v>
      </c>
      <c r="AH235" s="4" t="s">
        <v>794</v>
      </c>
      <c r="AI235" s="4" t="s">
        <v>250</v>
      </c>
    </row>
    <row r="236" spans="1:35" ht="72" x14ac:dyDescent="0.3">
      <c r="A236" s="11" t="s">
        <v>818</v>
      </c>
      <c r="B236" s="11"/>
      <c r="C236" s="32" t="s">
        <v>819</v>
      </c>
      <c r="D236" s="21"/>
      <c r="E236" s="21"/>
      <c r="F236" s="33" t="s">
        <v>102</v>
      </c>
      <c r="G236" s="34">
        <v>1.1000000000000001</v>
      </c>
      <c r="H236" s="21"/>
      <c r="I236" s="37">
        <v>1209.1199999999999</v>
      </c>
      <c r="J236" s="35">
        <v>350.49</v>
      </c>
      <c r="K236" s="12"/>
      <c r="L236" s="12"/>
      <c r="M236" s="35">
        <f>ROUND(ROUND(J236, 2)*I236, 2)</f>
        <v>423784.47</v>
      </c>
      <c r="N236" s="12"/>
      <c r="O236" s="12"/>
      <c r="P236" s="35">
        <v>350.49</v>
      </c>
      <c r="Q236" s="12"/>
      <c r="R236" s="12"/>
      <c r="S236" s="35">
        <f>ROUND(ROUND(P236, 2)*I236, 2)</f>
        <v>423784.47</v>
      </c>
      <c r="T236" s="12"/>
      <c r="U236" s="36"/>
      <c r="V236" s="9">
        <f>ROUND(ROUND(P236, 2)/1.2, 2)</f>
        <v>292.08</v>
      </c>
      <c r="Y236" s="9">
        <f t="shared" si="15"/>
        <v>353153.73</v>
      </c>
      <c r="AD236" s="4" t="s">
        <v>820</v>
      </c>
      <c r="AE236" s="4" t="s">
        <v>821</v>
      </c>
      <c r="AF236" s="4" t="s">
        <v>822</v>
      </c>
    </row>
    <row r="237" spans="1:35" ht="90" x14ac:dyDescent="0.3">
      <c r="A237" s="11" t="s">
        <v>823</v>
      </c>
      <c r="B237" s="11" t="s">
        <v>791</v>
      </c>
      <c r="C237" s="20" t="s">
        <v>792</v>
      </c>
      <c r="D237" s="21"/>
      <c r="E237" s="21" t="s">
        <v>824</v>
      </c>
      <c r="F237" s="21" t="s">
        <v>102</v>
      </c>
      <c r="G237" s="22">
        <v>1</v>
      </c>
      <c r="H237" s="21"/>
      <c r="I237" s="22">
        <v>797.3</v>
      </c>
      <c r="J237" s="23">
        <f>IFERROR(ROUND(SUM(M238)/I237, 2),0)</f>
        <v>385.54</v>
      </c>
      <c r="K237" s="23">
        <v>210</v>
      </c>
      <c r="L237" s="23">
        <f>J237+ROUND(K237, 2)</f>
        <v>595.54</v>
      </c>
      <c r="M237" s="23">
        <f>ROUND(J237*I237, 2)</f>
        <v>307391.03999999998</v>
      </c>
      <c r="N237" s="23">
        <f>ROUND(I237*ROUND(K237, 2), 2)</f>
        <v>167433</v>
      </c>
      <c r="O237" s="23">
        <f>M237+N237</f>
        <v>474824.04</v>
      </c>
      <c r="P237" s="23">
        <f>IFERROR(ROUND(SUM(S238)/I237, 2),0)</f>
        <v>385.54</v>
      </c>
      <c r="Q237" s="23">
        <v>315</v>
      </c>
      <c r="R237" s="23">
        <f>P237+ROUND(Q237, 2)</f>
        <v>700.54</v>
      </c>
      <c r="S237" s="23">
        <f>ROUND(P237*I237, 2)</f>
        <v>307391.03999999998</v>
      </c>
      <c r="T237" s="23">
        <f>ROUND(I237*ROUND(Q237, 2), 2)</f>
        <v>251149.5</v>
      </c>
      <c r="U237" s="23">
        <f>S237+T237</f>
        <v>558540.54</v>
      </c>
      <c r="V237" s="9">
        <f>ROUND(P237 / 1.2, 2)</f>
        <v>321.27999999999997</v>
      </c>
      <c r="W237" s="9">
        <f>ROUND(Q237 / 1.2, 2)</f>
        <v>262.5</v>
      </c>
      <c r="X237" s="9">
        <f>ROUND(R237 / 1.2, 2)</f>
        <v>583.78</v>
      </c>
      <c r="Y237" s="9">
        <f t="shared" si="15"/>
        <v>256159.2</v>
      </c>
      <c r="Z237" s="9">
        <f>ROUND(T237 / 1.2, 2)</f>
        <v>209291.25</v>
      </c>
      <c r="AA237" s="9">
        <f>Y237+Z237</f>
        <v>465450.45</v>
      </c>
      <c r="AD237" s="4">
        <v>334080629</v>
      </c>
      <c r="AE237" s="4">
        <v>29384250</v>
      </c>
      <c r="AG237" s="4" t="s">
        <v>793</v>
      </c>
      <c r="AH237" s="4" t="s">
        <v>794</v>
      </c>
      <c r="AI237" s="4" t="s">
        <v>250</v>
      </c>
    </row>
    <row r="238" spans="1:35" ht="72" x14ac:dyDescent="0.3">
      <c r="A238" s="11" t="s">
        <v>825</v>
      </c>
      <c r="B238" s="11"/>
      <c r="C238" s="32" t="s">
        <v>819</v>
      </c>
      <c r="D238" s="21"/>
      <c r="E238" s="21" t="s">
        <v>826</v>
      </c>
      <c r="F238" s="33" t="s">
        <v>102</v>
      </c>
      <c r="G238" s="34">
        <v>1.1000000000000001</v>
      </c>
      <c r="H238" s="21"/>
      <c r="I238" s="37">
        <v>877.03</v>
      </c>
      <c r="J238" s="35">
        <v>350.49</v>
      </c>
      <c r="K238" s="12"/>
      <c r="L238" s="12"/>
      <c r="M238" s="35">
        <f>ROUND(ROUND(J238, 2)*I238, 2)</f>
        <v>307390.24</v>
      </c>
      <c r="N238" s="12"/>
      <c r="O238" s="12"/>
      <c r="P238" s="35">
        <v>350.49</v>
      </c>
      <c r="Q238" s="12"/>
      <c r="R238" s="12"/>
      <c r="S238" s="35">
        <f>ROUND(ROUND(P238, 2)*I238, 2)</f>
        <v>307390.24</v>
      </c>
      <c r="T238" s="12"/>
      <c r="U238" s="36"/>
      <c r="V238" s="9">
        <f>ROUND(ROUND(P238, 2)/1.2, 2)</f>
        <v>292.08</v>
      </c>
      <c r="Y238" s="9">
        <f t="shared" si="15"/>
        <v>256158.53</v>
      </c>
      <c r="AD238" s="4" t="s">
        <v>827</v>
      </c>
      <c r="AE238" s="4" t="s">
        <v>828</v>
      </c>
      <c r="AF238" s="4" t="s">
        <v>822</v>
      </c>
    </row>
    <row r="239" spans="1:35" ht="126" x14ac:dyDescent="0.3">
      <c r="A239" s="11" t="s">
        <v>829</v>
      </c>
      <c r="B239" s="11" t="s">
        <v>791</v>
      </c>
      <c r="C239" s="20" t="s">
        <v>792</v>
      </c>
      <c r="D239" s="21"/>
      <c r="E239" s="21" t="s">
        <v>830</v>
      </c>
      <c r="F239" s="21" t="s">
        <v>102</v>
      </c>
      <c r="G239" s="22">
        <v>1</v>
      </c>
      <c r="H239" s="21"/>
      <c r="I239" s="22">
        <v>20.7</v>
      </c>
      <c r="J239" s="23">
        <f>IFERROR(ROUND(SUM(M240)/I239, 2),0)</f>
        <v>139.80000000000001</v>
      </c>
      <c r="K239" s="23">
        <v>210</v>
      </c>
      <c r="L239" s="23">
        <f>J239+ROUND(K239, 2)</f>
        <v>349.8</v>
      </c>
      <c r="M239" s="23">
        <f>ROUND(J239*I239, 2)</f>
        <v>2893.86</v>
      </c>
      <c r="N239" s="23">
        <f>ROUND(I239*ROUND(K239, 2), 2)</f>
        <v>4347</v>
      </c>
      <c r="O239" s="23">
        <f>M239+N239</f>
        <v>7240.8600000000006</v>
      </c>
      <c r="P239" s="23">
        <f>IFERROR(ROUND(SUM(S240)/I239, 2),0)</f>
        <v>139.80000000000001</v>
      </c>
      <c r="Q239" s="23">
        <v>315</v>
      </c>
      <c r="R239" s="23">
        <f>P239+ROUND(Q239, 2)</f>
        <v>454.8</v>
      </c>
      <c r="S239" s="23">
        <f>ROUND(P239*I239, 2)</f>
        <v>2893.86</v>
      </c>
      <c r="T239" s="23">
        <f>ROUND(I239*ROUND(Q239, 2), 2)</f>
        <v>6520.5</v>
      </c>
      <c r="U239" s="23">
        <f>S239+T239</f>
        <v>9414.36</v>
      </c>
      <c r="V239" s="9">
        <f>ROUND(P239 / 1.2, 2)</f>
        <v>116.5</v>
      </c>
      <c r="W239" s="9">
        <f>ROUND(Q239 / 1.2, 2)</f>
        <v>262.5</v>
      </c>
      <c r="X239" s="9">
        <f>ROUND(R239 / 1.2, 2)</f>
        <v>379</v>
      </c>
      <c r="Y239" s="9">
        <f t="shared" si="15"/>
        <v>2411.5500000000002</v>
      </c>
      <c r="Z239" s="9">
        <f>ROUND(T239 / 1.2, 2)</f>
        <v>5433.75</v>
      </c>
      <c r="AA239" s="9">
        <f>Y239+Z239</f>
        <v>7845.3</v>
      </c>
      <c r="AD239" s="4">
        <v>334080630</v>
      </c>
      <c r="AE239" s="4">
        <v>29384252</v>
      </c>
      <c r="AG239" s="4" t="s">
        <v>793</v>
      </c>
      <c r="AH239" s="4" t="s">
        <v>794</v>
      </c>
      <c r="AI239" s="4" t="s">
        <v>250</v>
      </c>
    </row>
    <row r="240" spans="1:35" ht="72" x14ac:dyDescent="0.3">
      <c r="A240" s="11" t="s">
        <v>831</v>
      </c>
      <c r="B240" s="11"/>
      <c r="C240" s="32" t="s">
        <v>832</v>
      </c>
      <c r="D240" s="21"/>
      <c r="E240" s="21"/>
      <c r="F240" s="33" t="s">
        <v>102</v>
      </c>
      <c r="G240" s="34">
        <v>1.1000000000000001</v>
      </c>
      <c r="H240" s="21"/>
      <c r="I240" s="37">
        <v>22.77</v>
      </c>
      <c r="J240" s="35">
        <v>127.09</v>
      </c>
      <c r="K240" s="12"/>
      <c r="L240" s="12"/>
      <c r="M240" s="35">
        <f>ROUND(ROUND(J240, 2)*I240, 2)</f>
        <v>2893.84</v>
      </c>
      <c r="N240" s="12"/>
      <c r="O240" s="12"/>
      <c r="P240" s="35">
        <v>127.09</v>
      </c>
      <c r="Q240" s="12"/>
      <c r="R240" s="12"/>
      <c r="S240" s="35">
        <f>ROUND(ROUND(P240, 2)*I240, 2)</f>
        <v>2893.84</v>
      </c>
      <c r="T240" s="12"/>
      <c r="U240" s="36"/>
      <c r="V240" s="9">
        <f>ROUND(ROUND(P240, 2)/1.2, 2)</f>
        <v>105.91</v>
      </c>
      <c r="Y240" s="9">
        <f t="shared" si="15"/>
        <v>2411.5300000000002</v>
      </c>
      <c r="AD240" s="4" t="s">
        <v>833</v>
      </c>
      <c r="AE240" s="4" t="s">
        <v>834</v>
      </c>
      <c r="AF240" s="4" t="s">
        <v>835</v>
      </c>
    </row>
    <row r="241" spans="1:35" ht="108" x14ac:dyDescent="0.3">
      <c r="A241" s="11" t="s">
        <v>836</v>
      </c>
      <c r="B241" s="11" t="s">
        <v>791</v>
      </c>
      <c r="C241" s="20" t="s">
        <v>792</v>
      </c>
      <c r="D241" s="21"/>
      <c r="E241" s="21" t="s">
        <v>837</v>
      </c>
      <c r="F241" s="21" t="s">
        <v>102</v>
      </c>
      <c r="G241" s="22">
        <v>1</v>
      </c>
      <c r="H241" s="21"/>
      <c r="I241" s="22">
        <v>85.61</v>
      </c>
      <c r="J241" s="23">
        <f>IFERROR(ROUND(SUM(M242)/I241, 2),0)</f>
        <v>385.54</v>
      </c>
      <c r="K241" s="23">
        <v>210</v>
      </c>
      <c r="L241" s="23">
        <f>J241+ROUND(K241, 2)</f>
        <v>595.54</v>
      </c>
      <c r="M241" s="23">
        <f>ROUND(J241*I241, 2)</f>
        <v>33006.080000000002</v>
      </c>
      <c r="N241" s="23">
        <f>ROUND(I241*ROUND(K241, 2), 2)</f>
        <v>17978.099999999999</v>
      </c>
      <c r="O241" s="23">
        <f>M241+N241</f>
        <v>50984.18</v>
      </c>
      <c r="P241" s="23">
        <f>IFERROR(ROUND(SUM(S242)/I241, 2),0)</f>
        <v>385.54</v>
      </c>
      <c r="Q241" s="23">
        <v>315</v>
      </c>
      <c r="R241" s="23">
        <f>P241+ROUND(Q241, 2)</f>
        <v>700.54</v>
      </c>
      <c r="S241" s="23">
        <f>ROUND(P241*I241, 2)</f>
        <v>33006.080000000002</v>
      </c>
      <c r="T241" s="23">
        <f>ROUND(I241*ROUND(Q241, 2), 2)</f>
        <v>26967.15</v>
      </c>
      <c r="U241" s="23">
        <f>S241+T241</f>
        <v>59973.23</v>
      </c>
      <c r="V241" s="9">
        <f>ROUND(P241 / 1.2, 2)</f>
        <v>321.27999999999997</v>
      </c>
      <c r="W241" s="9">
        <f>ROUND(Q241 / 1.2, 2)</f>
        <v>262.5</v>
      </c>
      <c r="X241" s="9">
        <f>ROUND(R241 / 1.2, 2)</f>
        <v>583.78</v>
      </c>
      <c r="Y241" s="9">
        <f t="shared" si="15"/>
        <v>27505.07</v>
      </c>
      <c r="Z241" s="9">
        <f>ROUND(T241 / 1.2, 2)</f>
        <v>22472.63</v>
      </c>
      <c r="AA241" s="9">
        <f>Y241+Z241</f>
        <v>49977.7</v>
      </c>
      <c r="AD241" s="4">
        <v>334080631</v>
      </c>
      <c r="AE241" s="4">
        <v>29384253</v>
      </c>
      <c r="AG241" s="4" t="s">
        <v>793</v>
      </c>
      <c r="AH241" s="4" t="s">
        <v>794</v>
      </c>
      <c r="AI241" s="4" t="s">
        <v>250</v>
      </c>
    </row>
    <row r="242" spans="1:35" ht="72" x14ac:dyDescent="0.3">
      <c r="A242" s="11" t="s">
        <v>838</v>
      </c>
      <c r="B242" s="11"/>
      <c r="C242" s="32" t="s">
        <v>819</v>
      </c>
      <c r="D242" s="21"/>
      <c r="E242" s="21" t="s">
        <v>839</v>
      </c>
      <c r="F242" s="33" t="s">
        <v>102</v>
      </c>
      <c r="G242" s="34">
        <v>1.1000000000000001</v>
      </c>
      <c r="H242" s="21"/>
      <c r="I242" s="37">
        <v>94.171000000000006</v>
      </c>
      <c r="J242" s="35">
        <v>350.49</v>
      </c>
      <c r="K242" s="12"/>
      <c r="L242" s="12"/>
      <c r="M242" s="35">
        <f>ROUND(ROUND(J242, 2)*I242, 2)</f>
        <v>33005.99</v>
      </c>
      <c r="N242" s="12"/>
      <c r="O242" s="12"/>
      <c r="P242" s="35">
        <v>350.49</v>
      </c>
      <c r="Q242" s="12"/>
      <c r="R242" s="12"/>
      <c r="S242" s="35">
        <f>ROUND(ROUND(P242, 2)*I242, 2)</f>
        <v>33005.99</v>
      </c>
      <c r="T242" s="12"/>
      <c r="U242" s="36"/>
      <c r="V242" s="9">
        <f>ROUND(ROUND(P242, 2)/1.2, 2)</f>
        <v>292.08</v>
      </c>
      <c r="Y242" s="9">
        <f t="shared" si="15"/>
        <v>27504.99</v>
      </c>
      <c r="AD242" s="4" t="s">
        <v>840</v>
      </c>
      <c r="AE242" s="4" t="s">
        <v>841</v>
      </c>
      <c r="AF242" s="4" t="s">
        <v>822</v>
      </c>
    </row>
    <row r="243" spans="1:35" ht="36" x14ac:dyDescent="0.3">
      <c r="A243" s="10" t="s">
        <v>842</v>
      </c>
      <c r="B243" s="10" t="s">
        <v>843</v>
      </c>
      <c r="C243" s="14" t="s">
        <v>844</v>
      </c>
      <c r="D243" s="15"/>
      <c r="E243" s="15"/>
      <c r="F243" s="15" t="s">
        <v>62</v>
      </c>
      <c r="G243" s="16">
        <v>1</v>
      </c>
      <c r="H243" s="15"/>
      <c r="I243" s="16">
        <v>0</v>
      </c>
      <c r="J243" s="17">
        <v>0</v>
      </c>
      <c r="K243" s="18">
        <v>2310</v>
      </c>
      <c r="L243" s="17">
        <f>J243+ROUND(K243, 2)</f>
        <v>2310</v>
      </c>
      <c r="M243" s="17">
        <v>0</v>
      </c>
      <c r="N243" s="17">
        <v>0</v>
      </c>
      <c r="O243" s="17">
        <f>M243+N243</f>
        <v>0</v>
      </c>
      <c r="P243" s="17">
        <v>1629.53</v>
      </c>
      <c r="Q243" s="19">
        <v>2310</v>
      </c>
      <c r="R243" s="17">
        <f>P243+ROUND(Q243, 2)</f>
        <v>3939.5299999999997</v>
      </c>
      <c r="S243" s="17">
        <v>0</v>
      </c>
      <c r="T243" s="17">
        <v>0</v>
      </c>
      <c r="U243" s="17">
        <f>S243+T243</f>
        <v>0</v>
      </c>
      <c r="V243" s="9">
        <f>ROUND(P243 / 1.2, 2)</f>
        <v>1357.94</v>
      </c>
      <c r="W243" s="9">
        <f>ROUND(Q243 / 1.2, 2)</f>
        <v>1925</v>
      </c>
      <c r="X243" s="9">
        <f>ROUND(R243 / 1.2, 2)</f>
        <v>3282.94</v>
      </c>
      <c r="Y243" s="9">
        <f t="shared" si="15"/>
        <v>0</v>
      </c>
      <c r="Z243" s="9">
        <f>ROUND(T243 / 1.2, 2)</f>
        <v>0</v>
      </c>
      <c r="AA243" s="9">
        <f>Y243+Z243</f>
        <v>0</v>
      </c>
      <c r="AD243" s="4">
        <v>334080514</v>
      </c>
      <c r="AE243" s="4">
        <v>27245720</v>
      </c>
      <c r="AG243" s="4" t="s">
        <v>845</v>
      </c>
      <c r="AH243" s="4" t="s">
        <v>846</v>
      </c>
      <c r="AI243" s="4" t="s">
        <v>250</v>
      </c>
    </row>
    <row r="244" spans="1:35" ht="54" x14ac:dyDescent="0.3">
      <c r="A244" s="10" t="s">
        <v>847</v>
      </c>
      <c r="B244" s="10"/>
      <c r="C244" s="30" t="s">
        <v>848</v>
      </c>
      <c r="D244" s="15"/>
      <c r="E244" s="15"/>
      <c r="F244" s="25" t="s">
        <v>597</v>
      </c>
      <c r="G244" s="26">
        <v>4</v>
      </c>
      <c r="H244" s="15"/>
      <c r="I244" s="26">
        <v>0</v>
      </c>
      <c r="J244" s="27">
        <v>396</v>
      </c>
      <c r="M244" s="28">
        <f>ROUND(ROUND(J244, 2)*I244, 2)</f>
        <v>0</v>
      </c>
      <c r="P244" s="29">
        <v>396</v>
      </c>
      <c r="S244" s="28">
        <f>ROUND(ROUND(P244, 2)*I244, 2)</f>
        <v>0</v>
      </c>
      <c r="V244" s="9">
        <f>ROUND(ROUND(P244, 2)/1.2, 2)</f>
        <v>330</v>
      </c>
      <c r="Y244" s="9">
        <f t="shared" si="15"/>
        <v>0</v>
      </c>
      <c r="AD244" s="4" t="s">
        <v>849</v>
      </c>
      <c r="AE244" s="4" t="s">
        <v>850</v>
      </c>
      <c r="AF244" s="4" t="s">
        <v>851</v>
      </c>
    </row>
    <row r="245" spans="1:35" ht="36" x14ac:dyDescent="0.3">
      <c r="A245" s="10" t="s">
        <v>852</v>
      </c>
      <c r="B245" s="10"/>
      <c r="C245" s="30" t="s">
        <v>853</v>
      </c>
      <c r="D245" s="15"/>
      <c r="E245" s="15"/>
      <c r="F245" s="25" t="s">
        <v>278</v>
      </c>
      <c r="G245" s="26">
        <v>1.2</v>
      </c>
      <c r="H245" s="15"/>
      <c r="I245" s="31">
        <v>0</v>
      </c>
      <c r="J245" s="27">
        <v>16.96</v>
      </c>
      <c r="M245" s="28">
        <f>ROUND(ROUND(J245, 2)*I245, 2)</f>
        <v>0</v>
      </c>
      <c r="P245" s="29">
        <v>16.96</v>
      </c>
      <c r="S245" s="28">
        <f>ROUND(ROUND(P245, 2)*I245, 2)</f>
        <v>0</v>
      </c>
      <c r="V245" s="9">
        <f>ROUND(ROUND(P245, 2)/1.2, 2)</f>
        <v>14.13</v>
      </c>
      <c r="Y245" s="9">
        <f t="shared" ref="Y245:Y308" si="16">ROUND(S245 / 1.2, 2)</f>
        <v>0</v>
      </c>
      <c r="AD245" s="4" t="s">
        <v>854</v>
      </c>
      <c r="AE245" s="4" t="s">
        <v>855</v>
      </c>
      <c r="AF245" s="4" t="s">
        <v>856</v>
      </c>
    </row>
    <row r="246" spans="1:35" ht="18" x14ac:dyDescent="0.3">
      <c r="A246" s="10" t="s">
        <v>857</v>
      </c>
      <c r="B246" s="10"/>
      <c r="C246" s="24" t="s">
        <v>858</v>
      </c>
      <c r="D246" s="15"/>
      <c r="E246" s="15"/>
      <c r="F246" s="25" t="s">
        <v>278</v>
      </c>
      <c r="G246" s="26">
        <v>0.25</v>
      </c>
      <c r="H246" s="15"/>
      <c r="I246" s="26">
        <v>0</v>
      </c>
      <c r="J246" s="27">
        <v>47.44</v>
      </c>
      <c r="M246" s="28">
        <f>ROUND(ROUND(J246, 2)*I246, 2)</f>
        <v>0</v>
      </c>
      <c r="P246" s="29">
        <v>47.44</v>
      </c>
      <c r="S246" s="28">
        <f>ROUND(ROUND(P246, 2)*I246, 2)</f>
        <v>0</v>
      </c>
      <c r="V246" s="9">
        <f>ROUND(ROUND(P246, 2)/1.2, 2)</f>
        <v>39.53</v>
      </c>
      <c r="Y246" s="9">
        <f t="shared" si="16"/>
        <v>0</v>
      </c>
      <c r="AD246" s="4" t="s">
        <v>859</v>
      </c>
      <c r="AE246" s="4" t="s">
        <v>860</v>
      </c>
      <c r="AF246" s="4" t="s">
        <v>861</v>
      </c>
    </row>
    <row r="247" spans="1:35" ht="36" x14ac:dyDescent="0.3">
      <c r="A247" s="10" t="s">
        <v>862</v>
      </c>
      <c r="B247" s="10"/>
      <c r="C247" s="24" t="s">
        <v>304</v>
      </c>
      <c r="D247" s="15"/>
      <c r="E247" s="15"/>
      <c r="F247" s="25" t="s">
        <v>278</v>
      </c>
      <c r="G247" s="26">
        <v>0.15</v>
      </c>
      <c r="H247" s="15"/>
      <c r="I247" s="26">
        <v>0</v>
      </c>
      <c r="J247" s="27">
        <v>88.8</v>
      </c>
      <c r="M247" s="28">
        <f>ROUND(ROUND(J247, 2)*I247, 2)</f>
        <v>0</v>
      </c>
      <c r="P247" s="29">
        <v>88.8</v>
      </c>
      <c r="S247" s="28">
        <f>ROUND(ROUND(P247, 2)*I247, 2)</f>
        <v>0</v>
      </c>
      <c r="V247" s="9">
        <f>ROUND(ROUND(P247, 2)/1.2, 2)</f>
        <v>74</v>
      </c>
      <c r="Y247" s="9">
        <f t="shared" si="16"/>
        <v>0</v>
      </c>
      <c r="AD247" s="4" t="s">
        <v>863</v>
      </c>
      <c r="AE247" s="4" t="s">
        <v>864</v>
      </c>
      <c r="AF247" s="4" t="s">
        <v>307</v>
      </c>
    </row>
    <row r="248" spans="1:35" ht="36" x14ac:dyDescent="0.3">
      <c r="A248" s="10" t="s">
        <v>865</v>
      </c>
      <c r="B248" s="10" t="s">
        <v>843</v>
      </c>
      <c r="C248" s="14" t="s">
        <v>844</v>
      </c>
      <c r="D248" s="15"/>
      <c r="E248" s="15"/>
      <c r="F248" s="15" t="s">
        <v>62</v>
      </c>
      <c r="G248" s="16">
        <v>1</v>
      </c>
      <c r="H248" s="15"/>
      <c r="I248" s="16">
        <v>0</v>
      </c>
      <c r="J248" s="17">
        <v>0</v>
      </c>
      <c r="K248" s="18">
        <v>2310</v>
      </c>
      <c r="L248" s="17">
        <f>J248+ROUND(K248, 2)</f>
        <v>2310</v>
      </c>
      <c r="M248" s="17">
        <v>0</v>
      </c>
      <c r="N248" s="17">
        <v>0</v>
      </c>
      <c r="O248" s="17">
        <f>M248+N248</f>
        <v>0</v>
      </c>
      <c r="P248" s="17">
        <v>1469.97</v>
      </c>
      <c r="Q248" s="19">
        <v>2310</v>
      </c>
      <c r="R248" s="17">
        <f>P248+ROUND(Q248, 2)</f>
        <v>3779.9700000000003</v>
      </c>
      <c r="S248" s="17">
        <v>0</v>
      </c>
      <c r="T248" s="17">
        <v>0</v>
      </c>
      <c r="U248" s="17">
        <f>S248+T248</f>
        <v>0</v>
      </c>
      <c r="V248" s="9">
        <f>ROUND(P248 / 1.2, 2)</f>
        <v>1224.98</v>
      </c>
      <c r="W248" s="9">
        <f>ROUND(Q248 / 1.2, 2)</f>
        <v>1925</v>
      </c>
      <c r="X248" s="9">
        <f>ROUND(R248 / 1.2, 2)</f>
        <v>3149.98</v>
      </c>
      <c r="Y248" s="9">
        <f t="shared" si="16"/>
        <v>0</v>
      </c>
      <c r="Z248" s="9">
        <f>ROUND(T248 / 1.2, 2)</f>
        <v>0</v>
      </c>
      <c r="AA248" s="9">
        <f>Y248+Z248</f>
        <v>0</v>
      </c>
      <c r="AD248" s="4">
        <v>334080632</v>
      </c>
      <c r="AE248" s="4">
        <v>27245721</v>
      </c>
      <c r="AG248" s="4" t="s">
        <v>845</v>
      </c>
      <c r="AH248" s="4" t="s">
        <v>846</v>
      </c>
      <c r="AI248" s="4" t="s">
        <v>250</v>
      </c>
    </row>
    <row r="249" spans="1:35" ht="36" x14ac:dyDescent="0.3">
      <c r="A249" s="10" t="s">
        <v>866</v>
      </c>
      <c r="B249" s="10"/>
      <c r="C249" s="24" t="s">
        <v>304</v>
      </c>
      <c r="D249" s="15"/>
      <c r="E249" s="15"/>
      <c r="F249" s="25" t="s">
        <v>278</v>
      </c>
      <c r="G249" s="26">
        <v>0.15</v>
      </c>
      <c r="H249" s="15"/>
      <c r="I249" s="26">
        <v>0</v>
      </c>
      <c r="J249" s="27">
        <v>88.8</v>
      </c>
      <c r="M249" s="28">
        <f>ROUND(ROUND(J249, 2)*I249, 2)</f>
        <v>0</v>
      </c>
      <c r="P249" s="29">
        <v>88.8</v>
      </c>
      <c r="S249" s="28">
        <f>ROUND(ROUND(P249, 2)*I249, 2)</f>
        <v>0</v>
      </c>
      <c r="V249" s="9">
        <f>ROUND(ROUND(P249, 2)/1.2, 2)</f>
        <v>74</v>
      </c>
      <c r="Y249" s="9">
        <f t="shared" si="16"/>
        <v>0</v>
      </c>
      <c r="AD249" s="4" t="s">
        <v>867</v>
      </c>
      <c r="AE249" s="4" t="s">
        <v>868</v>
      </c>
      <c r="AF249" s="4" t="s">
        <v>307</v>
      </c>
    </row>
    <row r="250" spans="1:35" ht="18" x14ac:dyDescent="0.3">
      <c r="A250" s="10" t="s">
        <v>869</v>
      </c>
      <c r="B250" s="10"/>
      <c r="C250" s="24" t="s">
        <v>858</v>
      </c>
      <c r="D250" s="15"/>
      <c r="E250" s="15"/>
      <c r="F250" s="25" t="s">
        <v>278</v>
      </c>
      <c r="G250" s="26">
        <v>0.25</v>
      </c>
      <c r="H250" s="15"/>
      <c r="I250" s="26">
        <v>0</v>
      </c>
      <c r="J250" s="27">
        <v>47.44</v>
      </c>
      <c r="M250" s="28">
        <f>ROUND(ROUND(J250, 2)*I250, 2)</f>
        <v>0</v>
      </c>
      <c r="P250" s="29">
        <v>47.44</v>
      </c>
      <c r="S250" s="28">
        <f>ROUND(ROUND(P250, 2)*I250, 2)</f>
        <v>0</v>
      </c>
      <c r="V250" s="9">
        <f>ROUND(ROUND(P250, 2)/1.2, 2)</f>
        <v>39.53</v>
      </c>
      <c r="Y250" s="9">
        <f t="shared" si="16"/>
        <v>0</v>
      </c>
      <c r="AD250" s="4" t="s">
        <v>870</v>
      </c>
      <c r="AE250" s="4" t="s">
        <v>871</v>
      </c>
      <c r="AF250" s="4" t="s">
        <v>861</v>
      </c>
    </row>
    <row r="251" spans="1:35" ht="36" x14ac:dyDescent="0.3">
      <c r="A251" s="10" t="s">
        <v>872</v>
      </c>
      <c r="B251" s="10"/>
      <c r="C251" s="30" t="s">
        <v>853</v>
      </c>
      <c r="D251" s="15"/>
      <c r="E251" s="15"/>
      <c r="F251" s="25" t="s">
        <v>278</v>
      </c>
      <c r="G251" s="26">
        <v>1.2</v>
      </c>
      <c r="H251" s="15"/>
      <c r="I251" s="31">
        <v>0</v>
      </c>
      <c r="J251" s="27">
        <v>16.96</v>
      </c>
      <c r="M251" s="28">
        <f>ROUND(ROUND(J251, 2)*I251, 2)</f>
        <v>0</v>
      </c>
      <c r="P251" s="29">
        <v>16.96</v>
      </c>
      <c r="S251" s="28">
        <f>ROUND(ROUND(P251, 2)*I251, 2)</f>
        <v>0</v>
      </c>
      <c r="V251" s="9">
        <f>ROUND(ROUND(P251, 2)/1.2, 2)</f>
        <v>14.13</v>
      </c>
      <c r="Y251" s="9">
        <f t="shared" si="16"/>
        <v>0</v>
      </c>
      <c r="AD251" s="4" t="s">
        <v>873</v>
      </c>
      <c r="AE251" s="4" t="s">
        <v>874</v>
      </c>
      <c r="AF251" s="4" t="s">
        <v>856</v>
      </c>
    </row>
    <row r="252" spans="1:35" ht="36" x14ac:dyDescent="0.3">
      <c r="A252" s="10" t="s">
        <v>875</v>
      </c>
      <c r="B252" s="10"/>
      <c r="C252" s="24" t="s">
        <v>876</v>
      </c>
      <c r="D252" s="15"/>
      <c r="E252" s="15"/>
      <c r="F252" s="25" t="s">
        <v>597</v>
      </c>
      <c r="G252" s="26">
        <v>4</v>
      </c>
      <c r="H252" s="15"/>
      <c r="I252" s="26">
        <v>0</v>
      </c>
      <c r="J252" s="27">
        <v>356.11</v>
      </c>
      <c r="M252" s="28">
        <f>ROUND(ROUND(J252, 2)*I252, 2)</f>
        <v>0</v>
      </c>
      <c r="P252" s="29">
        <v>356.11</v>
      </c>
      <c r="S252" s="28">
        <f>ROUND(ROUND(P252, 2)*I252, 2)</f>
        <v>0</v>
      </c>
      <c r="V252" s="9">
        <f>ROUND(ROUND(P252, 2)/1.2, 2)</f>
        <v>296.76</v>
      </c>
      <c r="Y252" s="9">
        <f t="shared" si="16"/>
        <v>0</v>
      </c>
      <c r="AD252" s="4" t="s">
        <v>877</v>
      </c>
      <c r="AE252" s="4" t="s">
        <v>878</v>
      </c>
      <c r="AF252" s="4" t="s">
        <v>879</v>
      </c>
    </row>
    <row r="253" spans="1:35" ht="36" x14ac:dyDescent="0.3">
      <c r="A253" s="10" t="s">
        <v>880</v>
      </c>
      <c r="B253" s="10" t="s">
        <v>843</v>
      </c>
      <c r="C253" s="14" t="s">
        <v>844</v>
      </c>
      <c r="D253" s="15"/>
      <c r="E253" s="15"/>
      <c r="F253" s="15" t="s">
        <v>62</v>
      </c>
      <c r="G253" s="16">
        <v>1</v>
      </c>
      <c r="H253" s="15"/>
      <c r="I253" s="16">
        <v>0</v>
      </c>
      <c r="J253" s="17">
        <v>0</v>
      </c>
      <c r="K253" s="18">
        <v>2310</v>
      </c>
      <c r="L253" s="17">
        <f>J253+ROUND(K253, 2)</f>
        <v>2310</v>
      </c>
      <c r="M253" s="17">
        <v>0</v>
      </c>
      <c r="N253" s="17">
        <v>0</v>
      </c>
      <c r="O253" s="17">
        <f>M253+N253</f>
        <v>0</v>
      </c>
      <c r="P253" s="17">
        <v>4447.13</v>
      </c>
      <c r="Q253" s="19">
        <v>2310</v>
      </c>
      <c r="R253" s="17">
        <f>P253+ROUND(Q253, 2)</f>
        <v>6757.13</v>
      </c>
      <c r="S253" s="17">
        <v>0</v>
      </c>
      <c r="T253" s="17">
        <v>0</v>
      </c>
      <c r="U253" s="17">
        <f>S253+T253</f>
        <v>0</v>
      </c>
      <c r="V253" s="9">
        <f>ROUND(P253 / 1.2, 2)</f>
        <v>3705.94</v>
      </c>
      <c r="W253" s="9">
        <f>ROUND(Q253 / 1.2, 2)</f>
        <v>1925</v>
      </c>
      <c r="X253" s="9">
        <f>ROUND(R253 / 1.2, 2)</f>
        <v>5630.94</v>
      </c>
      <c r="Y253" s="9">
        <f t="shared" si="16"/>
        <v>0</v>
      </c>
      <c r="Z253" s="9">
        <f>ROUND(T253 / 1.2, 2)</f>
        <v>0</v>
      </c>
      <c r="AA253" s="9">
        <f>Y253+Z253</f>
        <v>0</v>
      </c>
      <c r="AD253" s="4">
        <v>334080633</v>
      </c>
      <c r="AE253" s="4">
        <v>27245722</v>
      </c>
      <c r="AG253" s="4" t="s">
        <v>845</v>
      </c>
      <c r="AH253" s="4" t="s">
        <v>846</v>
      </c>
      <c r="AI253" s="4" t="s">
        <v>250</v>
      </c>
    </row>
    <row r="254" spans="1:35" ht="54" x14ac:dyDescent="0.3">
      <c r="A254" s="10" t="s">
        <v>881</v>
      </c>
      <c r="B254" s="10"/>
      <c r="C254" s="30" t="s">
        <v>882</v>
      </c>
      <c r="D254" s="15"/>
      <c r="E254" s="15"/>
      <c r="F254" s="25" t="s">
        <v>597</v>
      </c>
      <c r="G254" s="26">
        <v>4</v>
      </c>
      <c r="H254" s="15"/>
      <c r="I254" s="26">
        <v>0</v>
      </c>
      <c r="J254" s="27">
        <v>1100.4000000000001</v>
      </c>
      <c r="M254" s="28">
        <f>ROUND(ROUND(J254, 2)*I254, 2)</f>
        <v>0</v>
      </c>
      <c r="P254" s="29">
        <v>1100.4000000000001</v>
      </c>
      <c r="S254" s="28">
        <f>ROUND(ROUND(P254, 2)*I254, 2)</f>
        <v>0</v>
      </c>
      <c r="V254" s="9">
        <f>ROUND(ROUND(P254, 2)/1.2, 2)</f>
        <v>917</v>
      </c>
      <c r="Y254" s="9">
        <f t="shared" si="16"/>
        <v>0</v>
      </c>
      <c r="AD254" s="4" t="s">
        <v>883</v>
      </c>
      <c r="AE254" s="4" t="s">
        <v>884</v>
      </c>
      <c r="AF254" s="4" t="s">
        <v>885</v>
      </c>
    </row>
    <row r="255" spans="1:35" ht="36" x14ac:dyDescent="0.3">
      <c r="A255" s="10" t="s">
        <v>886</v>
      </c>
      <c r="B255" s="10"/>
      <c r="C255" s="30" t="s">
        <v>853</v>
      </c>
      <c r="D255" s="15"/>
      <c r="E255" s="15"/>
      <c r="F255" s="25" t="s">
        <v>278</v>
      </c>
      <c r="G255" s="26">
        <v>1.2</v>
      </c>
      <c r="H255" s="15"/>
      <c r="I255" s="31">
        <v>0</v>
      </c>
      <c r="J255" s="27">
        <v>16.96</v>
      </c>
      <c r="M255" s="28">
        <f>ROUND(ROUND(J255, 2)*I255, 2)</f>
        <v>0</v>
      </c>
      <c r="P255" s="29">
        <v>16.96</v>
      </c>
      <c r="S255" s="28">
        <f>ROUND(ROUND(P255, 2)*I255, 2)</f>
        <v>0</v>
      </c>
      <c r="V255" s="9">
        <f>ROUND(ROUND(P255, 2)/1.2, 2)</f>
        <v>14.13</v>
      </c>
      <c r="Y255" s="9">
        <f t="shared" si="16"/>
        <v>0</v>
      </c>
      <c r="AD255" s="4" t="s">
        <v>887</v>
      </c>
      <c r="AE255" s="4" t="s">
        <v>888</v>
      </c>
      <c r="AF255" s="4" t="s">
        <v>856</v>
      </c>
    </row>
    <row r="256" spans="1:35" ht="18" x14ac:dyDescent="0.3">
      <c r="A256" s="10" t="s">
        <v>889</v>
      </c>
      <c r="B256" s="10"/>
      <c r="C256" s="24" t="s">
        <v>858</v>
      </c>
      <c r="D256" s="15"/>
      <c r="E256" s="15"/>
      <c r="F256" s="25" t="s">
        <v>278</v>
      </c>
      <c r="G256" s="26">
        <v>0.25</v>
      </c>
      <c r="H256" s="15"/>
      <c r="I256" s="26">
        <v>0</v>
      </c>
      <c r="J256" s="27">
        <v>47.44</v>
      </c>
      <c r="M256" s="28">
        <f>ROUND(ROUND(J256, 2)*I256, 2)</f>
        <v>0</v>
      </c>
      <c r="P256" s="29">
        <v>47.44</v>
      </c>
      <c r="S256" s="28">
        <f>ROUND(ROUND(P256, 2)*I256, 2)</f>
        <v>0</v>
      </c>
      <c r="V256" s="9">
        <f>ROUND(ROUND(P256, 2)/1.2, 2)</f>
        <v>39.53</v>
      </c>
      <c r="Y256" s="9">
        <f t="shared" si="16"/>
        <v>0</v>
      </c>
      <c r="AD256" s="4" t="s">
        <v>890</v>
      </c>
      <c r="AE256" s="4" t="s">
        <v>891</v>
      </c>
      <c r="AF256" s="4" t="s">
        <v>861</v>
      </c>
    </row>
    <row r="257" spans="1:35" ht="36" x14ac:dyDescent="0.3">
      <c r="A257" s="10" t="s">
        <v>892</v>
      </c>
      <c r="B257" s="10"/>
      <c r="C257" s="24" t="s">
        <v>304</v>
      </c>
      <c r="D257" s="15"/>
      <c r="E257" s="15"/>
      <c r="F257" s="25" t="s">
        <v>278</v>
      </c>
      <c r="G257" s="26">
        <v>0.15</v>
      </c>
      <c r="H257" s="15"/>
      <c r="I257" s="26">
        <v>0</v>
      </c>
      <c r="J257" s="27">
        <v>88.8</v>
      </c>
      <c r="M257" s="28">
        <f>ROUND(ROUND(J257, 2)*I257, 2)</f>
        <v>0</v>
      </c>
      <c r="P257" s="29">
        <v>88.8</v>
      </c>
      <c r="S257" s="28">
        <f>ROUND(ROUND(P257, 2)*I257, 2)</f>
        <v>0</v>
      </c>
      <c r="V257" s="9">
        <f>ROUND(ROUND(P257, 2)/1.2, 2)</f>
        <v>74</v>
      </c>
      <c r="Y257" s="9">
        <f t="shared" si="16"/>
        <v>0</v>
      </c>
      <c r="AD257" s="4" t="s">
        <v>893</v>
      </c>
      <c r="AE257" s="4" t="s">
        <v>894</v>
      </c>
      <c r="AF257" s="4" t="s">
        <v>307</v>
      </c>
    </row>
    <row r="258" spans="1:35" ht="36" x14ac:dyDescent="0.3">
      <c r="A258" s="10" t="s">
        <v>895</v>
      </c>
      <c r="B258" s="10" t="s">
        <v>843</v>
      </c>
      <c r="C258" s="14" t="s">
        <v>844</v>
      </c>
      <c r="D258" s="15"/>
      <c r="E258" s="15" t="s">
        <v>896</v>
      </c>
      <c r="F258" s="15" t="s">
        <v>62</v>
      </c>
      <c r="G258" s="16">
        <v>1</v>
      </c>
      <c r="H258" s="15"/>
      <c r="I258" s="16">
        <v>338.3</v>
      </c>
      <c r="J258" s="17">
        <v>1628.52</v>
      </c>
      <c r="K258" s="18">
        <v>2310</v>
      </c>
      <c r="L258" s="17">
        <f>J258+ROUND(K258, 2)</f>
        <v>3938.52</v>
      </c>
      <c r="M258" s="17">
        <v>550928.31999999995</v>
      </c>
      <c r="N258" s="17">
        <v>781473</v>
      </c>
      <c r="O258" s="17">
        <f>M258+N258</f>
        <v>1332401.3199999998</v>
      </c>
      <c r="P258" s="17">
        <v>1628.51</v>
      </c>
      <c r="Q258" s="19">
        <v>3465</v>
      </c>
      <c r="R258" s="17">
        <f>P258+ROUND(Q258, 2)</f>
        <v>5093.51</v>
      </c>
      <c r="S258" s="17">
        <v>550924.93000000005</v>
      </c>
      <c r="T258" s="17">
        <v>1172209.5</v>
      </c>
      <c r="U258" s="17">
        <f>S258+T258</f>
        <v>1723134.4300000002</v>
      </c>
      <c r="V258" s="9">
        <f>ROUND(P258 / 1.2, 2)</f>
        <v>1357.09</v>
      </c>
      <c r="W258" s="9">
        <f>ROUND(Q258 / 1.2, 2)</f>
        <v>2887.5</v>
      </c>
      <c r="X258" s="9">
        <f>ROUND(R258 / 1.2, 2)</f>
        <v>4244.59</v>
      </c>
      <c r="Y258" s="9">
        <f t="shared" si="16"/>
        <v>459104.11</v>
      </c>
      <c r="Z258" s="9">
        <f>ROUND(T258 / 1.2, 2)</f>
        <v>976841.25</v>
      </c>
      <c r="AA258" s="9">
        <f>Y258+Z258</f>
        <v>1435945.3599999999</v>
      </c>
      <c r="AD258" s="4">
        <v>334080634</v>
      </c>
      <c r="AE258" s="4">
        <v>27245771</v>
      </c>
      <c r="AG258" s="4" t="s">
        <v>845</v>
      </c>
      <c r="AH258" s="4" t="s">
        <v>846</v>
      </c>
      <c r="AI258" s="4" t="s">
        <v>250</v>
      </c>
    </row>
    <row r="259" spans="1:35" ht="36" x14ac:dyDescent="0.3">
      <c r="A259" s="10" t="s">
        <v>897</v>
      </c>
      <c r="B259" s="10"/>
      <c r="C259" s="24" t="s">
        <v>304</v>
      </c>
      <c r="D259" s="15"/>
      <c r="E259" s="15"/>
      <c r="F259" s="25" t="s">
        <v>278</v>
      </c>
      <c r="G259" s="26">
        <v>0.15</v>
      </c>
      <c r="H259" s="15"/>
      <c r="I259" s="26">
        <v>50.744999999999997</v>
      </c>
      <c r="J259" s="27">
        <v>88.8</v>
      </c>
      <c r="M259" s="28">
        <f>ROUND(ROUND(J259, 2)*I259, 2)</f>
        <v>4506.16</v>
      </c>
      <c r="P259" s="29">
        <v>88.8</v>
      </c>
      <c r="S259" s="28">
        <f>ROUND(ROUND(P259, 2)*I259, 2)</f>
        <v>4506.16</v>
      </c>
      <c r="V259" s="9">
        <f>ROUND(ROUND(P259, 2)/1.2, 2)</f>
        <v>74</v>
      </c>
      <c r="Y259" s="9">
        <f t="shared" si="16"/>
        <v>3755.13</v>
      </c>
      <c r="AD259" s="4" t="s">
        <v>898</v>
      </c>
      <c r="AE259" s="4" t="s">
        <v>899</v>
      </c>
      <c r="AF259" s="4" t="s">
        <v>307</v>
      </c>
    </row>
    <row r="260" spans="1:35" ht="18" x14ac:dyDescent="0.3">
      <c r="A260" s="10" t="s">
        <v>900</v>
      </c>
      <c r="B260" s="10"/>
      <c r="C260" s="24" t="s">
        <v>858</v>
      </c>
      <c r="D260" s="15"/>
      <c r="E260" s="15"/>
      <c r="F260" s="25" t="s">
        <v>278</v>
      </c>
      <c r="G260" s="26">
        <v>0.25</v>
      </c>
      <c r="H260" s="15"/>
      <c r="I260" s="26">
        <v>84.575000000000003</v>
      </c>
      <c r="J260" s="27">
        <v>47.44</v>
      </c>
      <c r="M260" s="28">
        <f>ROUND(ROUND(J260, 2)*I260, 2)</f>
        <v>4012.24</v>
      </c>
      <c r="P260" s="29">
        <v>47.44</v>
      </c>
      <c r="S260" s="28">
        <f>ROUND(ROUND(P260, 2)*I260, 2)</f>
        <v>4012.24</v>
      </c>
      <c r="V260" s="9">
        <f>ROUND(ROUND(P260, 2)/1.2, 2)</f>
        <v>39.53</v>
      </c>
      <c r="Y260" s="9">
        <f t="shared" si="16"/>
        <v>3343.53</v>
      </c>
      <c r="AD260" s="4" t="s">
        <v>901</v>
      </c>
      <c r="AE260" s="4" t="s">
        <v>902</v>
      </c>
      <c r="AF260" s="4" t="s">
        <v>861</v>
      </c>
    </row>
    <row r="261" spans="1:35" ht="36" x14ac:dyDescent="0.3">
      <c r="A261" s="10" t="s">
        <v>903</v>
      </c>
      <c r="B261" s="10"/>
      <c r="C261" s="30" t="s">
        <v>853</v>
      </c>
      <c r="D261" s="15"/>
      <c r="E261" s="15"/>
      <c r="F261" s="25" t="s">
        <v>278</v>
      </c>
      <c r="G261" s="26">
        <v>1.2</v>
      </c>
      <c r="H261" s="15"/>
      <c r="I261" s="31">
        <v>405.96</v>
      </c>
      <c r="J261" s="27">
        <v>16.12</v>
      </c>
      <c r="M261" s="28">
        <f>ROUND(ROUND(J261, 2)*I261, 2)</f>
        <v>6544.08</v>
      </c>
      <c r="P261" s="29">
        <v>16.11</v>
      </c>
      <c r="S261" s="28">
        <f>ROUND(ROUND(P261, 2)*I261, 2)</f>
        <v>6540.02</v>
      </c>
      <c r="V261" s="9">
        <f>ROUND(ROUND(P261, 2)/1.2, 2)</f>
        <v>13.43</v>
      </c>
      <c r="Y261" s="9">
        <f t="shared" si="16"/>
        <v>5450.02</v>
      </c>
      <c r="AD261" s="4" t="s">
        <v>904</v>
      </c>
      <c r="AE261" s="4" t="s">
        <v>905</v>
      </c>
      <c r="AF261" s="4" t="s">
        <v>856</v>
      </c>
    </row>
    <row r="262" spans="1:35" ht="90" x14ac:dyDescent="0.3">
      <c r="A262" s="10" t="s">
        <v>906</v>
      </c>
      <c r="B262" s="10"/>
      <c r="C262" s="30" t="s">
        <v>848</v>
      </c>
      <c r="D262" s="15"/>
      <c r="E262" s="15" t="s">
        <v>907</v>
      </c>
      <c r="F262" s="25" t="s">
        <v>597</v>
      </c>
      <c r="G262" s="26">
        <v>4</v>
      </c>
      <c r="H262" s="15"/>
      <c r="I262" s="26">
        <v>1353.2</v>
      </c>
      <c r="J262" s="27">
        <v>396</v>
      </c>
      <c r="M262" s="28">
        <f>ROUND(ROUND(J262, 2)*I262, 2)</f>
        <v>535867.19999999995</v>
      </c>
      <c r="P262" s="29">
        <v>396</v>
      </c>
      <c r="S262" s="28">
        <f>ROUND(ROUND(P262, 2)*I262, 2)</f>
        <v>535867.19999999995</v>
      </c>
      <c r="V262" s="9">
        <f>ROUND(ROUND(P262, 2)/1.2, 2)</f>
        <v>330</v>
      </c>
      <c r="Y262" s="9">
        <f t="shared" si="16"/>
        <v>446556</v>
      </c>
      <c r="AD262" s="4" t="s">
        <v>908</v>
      </c>
      <c r="AE262" s="4" t="s">
        <v>909</v>
      </c>
      <c r="AF262" s="4" t="s">
        <v>851</v>
      </c>
    </row>
    <row r="263" spans="1:35" ht="36" x14ac:dyDescent="0.3">
      <c r="A263" s="10" t="s">
        <v>910</v>
      </c>
      <c r="B263" s="10" t="s">
        <v>843</v>
      </c>
      <c r="C263" s="14" t="s">
        <v>844</v>
      </c>
      <c r="D263" s="15"/>
      <c r="E263" s="15" t="s">
        <v>911</v>
      </c>
      <c r="F263" s="15" t="s">
        <v>62</v>
      </c>
      <c r="G263" s="16">
        <v>1</v>
      </c>
      <c r="H263" s="15"/>
      <c r="I263" s="16">
        <v>190.6</v>
      </c>
      <c r="J263" s="17">
        <v>4446.12</v>
      </c>
      <c r="K263" s="18">
        <v>2310</v>
      </c>
      <c r="L263" s="17">
        <f>J263+ROUND(K263, 2)</f>
        <v>6756.12</v>
      </c>
      <c r="M263" s="17">
        <v>847430.47</v>
      </c>
      <c r="N263" s="17">
        <v>440286</v>
      </c>
      <c r="O263" s="17">
        <f>M263+N263</f>
        <v>1287716.47</v>
      </c>
      <c r="P263" s="17">
        <v>4446.1099999999997</v>
      </c>
      <c r="Q263" s="19">
        <v>3465</v>
      </c>
      <c r="R263" s="17">
        <f>P263+ROUND(Q263, 2)</f>
        <v>7911.11</v>
      </c>
      <c r="S263" s="17">
        <v>847428.57</v>
      </c>
      <c r="T263" s="17">
        <v>660429</v>
      </c>
      <c r="U263" s="17">
        <f>S263+T263</f>
        <v>1507857.5699999998</v>
      </c>
      <c r="V263" s="9">
        <f>ROUND(P263 / 1.2, 2)</f>
        <v>3705.09</v>
      </c>
      <c r="W263" s="9">
        <f>ROUND(Q263 / 1.2, 2)</f>
        <v>2887.5</v>
      </c>
      <c r="X263" s="9">
        <f>ROUND(R263 / 1.2, 2)</f>
        <v>6592.59</v>
      </c>
      <c r="Y263" s="9">
        <f t="shared" si="16"/>
        <v>706190.48</v>
      </c>
      <c r="Z263" s="9">
        <f>ROUND(T263 / 1.2, 2)</f>
        <v>550357.5</v>
      </c>
      <c r="AA263" s="9">
        <f>Y263+Z263</f>
        <v>1256547.98</v>
      </c>
      <c r="AD263" s="4">
        <v>334080635</v>
      </c>
      <c r="AE263" s="4">
        <v>27245772</v>
      </c>
      <c r="AG263" s="4" t="s">
        <v>845</v>
      </c>
      <c r="AH263" s="4" t="s">
        <v>846</v>
      </c>
      <c r="AI263" s="4" t="s">
        <v>250</v>
      </c>
    </row>
    <row r="264" spans="1:35" ht="90" x14ac:dyDescent="0.3">
      <c r="A264" s="10" t="s">
        <v>912</v>
      </c>
      <c r="B264" s="10"/>
      <c r="C264" s="30" t="s">
        <v>882</v>
      </c>
      <c r="D264" s="15"/>
      <c r="E264" s="15" t="s">
        <v>913</v>
      </c>
      <c r="F264" s="25" t="s">
        <v>597</v>
      </c>
      <c r="G264" s="26">
        <v>4</v>
      </c>
      <c r="H264" s="15"/>
      <c r="I264" s="26">
        <v>762.4</v>
      </c>
      <c r="J264" s="27">
        <v>1100.4000000000001</v>
      </c>
      <c r="M264" s="28">
        <f>ROUND(ROUND(J264, 2)*I264, 2)</f>
        <v>838944.96</v>
      </c>
      <c r="P264" s="29">
        <v>1100.4000000000001</v>
      </c>
      <c r="S264" s="28">
        <f>ROUND(ROUND(P264, 2)*I264, 2)</f>
        <v>838944.96</v>
      </c>
      <c r="V264" s="9">
        <f>ROUND(ROUND(P264, 2)/1.2, 2)</f>
        <v>917</v>
      </c>
      <c r="Y264" s="9">
        <f t="shared" si="16"/>
        <v>699120.8</v>
      </c>
      <c r="AD264" s="4" t="s">
        <v>914</v>
      </c>
      <c r="AE264" s="4" t="s">
        <v>915</v>
      </c>
      <c r="AF264" s="4" t="s">
        <v>885</v>
      </c>
    </row>
    <row r="265" spans="1:35" ht="36" x14ac:dyDescent="0.3">
      <c r="A265" s="10" t="s">
        <v>916</v>
      </c>
      <c r="B265" s="10"/>
      <c r="C265" s="30" t="s">
        <v>853</v>
      </c>
      <c r="D265" s="15"/>
      <c r="E265" s="15"/>
      <c r="F265" s="25" t="s">
        <v>278</v>
      </c>
      <c r="G265" s="26">
        <v>1.2</v>
      </c>
      <c r="H265" s="15"/>
      <c r="I265" s="31">
        <v>228.72</v>
      </c>
      <c r="J265" s="27">
        <v>16.12</v>
      </c>
      <c r="M265" s="28">
        <f>ROUND(ROUND(J265, 2)*I265, 2)</f>
        <v>3686.97</v>
      </c>
      <c r="P265" s="29">
        <v>16.11</v>
      </c>
      <c r="S265" s="28">
        <f>ROUND(ROUND(P265, 2)*I265, 2)</f>
        <v>3684.68</v>
      </c>
      <c r="V265" s="9">
        <f>ROUND(ROUND(P265, 2)/1.2, 2)</f>
        <v>13.43</v>
      </c>
      <c r="Y265" s="9">
        <f t="shared" si="16"/>
        <v>3070.57</v>
      </c>
      <c r="AD265" s="4" t="s">
        <v>917</v>
      </c>
      <c r="AE265" s="4" t="s">
        <v>918</v>
      </c>
      <c r="AF265" s="4" t="s">
        <v>856</v>
      </c>
    </row>
    <row r="266" spans="1:35" ht="18" x14ac:dyDescent="0.3">
      <c r="A266" s="10" t="s">
        <v>919</v>
      </c>
      <c r="B266" s="10"/>
      <c r="C266" s="24" t="s">
        <v>858</v>
      </c>
      <c r="D266" s="15"/>
      <c r="E266" s="15"/>
      <c r="F266" s="25" t="s">
        <v>278</v>
      </c>
      <c r="G266" s="26">
        <v>0.25</v>
      </c>
      <c r="H266" s="15"/>
      <c r="I266" s="26">
        <v>47.65</v>
      </c>
      <c r="J266" s="27">
        <v>47.44</v>
      </c>
      <c r="M266" s="28">
        <f>ROUND(ROUND(J266, 2)*I266, 2)</f>
        <v>2260.52</v>
      </c>
      <c r="P266" s="29">
        <v>47.44</v>
      </c>
      <c r="S266" s="28">
        <f>ROUND(ROUND(P266, 2)*I266, 2)</f>
        <v>2260.52</v>
      </c>
      <c r="V266" s="9">
        <f>ROUND(ROUND(P266, 2)/1.2, 2)</f>
        <v>39.53</v>
      </c>
      <c r="Y266" s="9">
        <f t="shared" si="16"/>
        <v>1883.77</v>
      </c>
      <c r="AD266" s="4" t="s">
        <v>920</v>
      </c>
      <c r="AE266" s="4" t="s">
        <v>921</v>
      </c>
      <c r="AF266" s="4" t="s">
        <v>861</v>
      </c>
    </row>
    <row r="267" spans="1:35" ht="36" x14ac:dyDescent="0.3">
      <c r="A267" s="10" t="s">
        <v>922</v>
      </c>
      <c r="B267" s="10"/>
      <c r="C267" s="24" t="s">
        <v>304</v>
      </c>
      <c r="D267" s="15"/>
      <c r="E267" s="15"/>
      <c r="F267" s="25" t="s">
        <v>278</v>
      </c>
      <c r="G267" s="26">
        <v>0.15</v>
      </c>
      <c r="H267" s="15"/>
      <c r="I267" s="26">
        <v>28.59</v>
      </c>
      <c r="J267" s="27">
        <v>88.8</v>
      </c>
      <c r="M267" s="28">
        <f>ROUND(ROUND(J267, 2)*I267, 2)</f>
        <v>2538.79</v>
      </c>
      <c r="P267" s="29">
        <v>88.8</v>
      </c>
      <c r="S267" s="28">
        <f>ROUND(ROUND(P267, 2)*I267, 2)</f>
        <v>2538.79</v>
      </c>
      <c r="V267" s="9">
        <f>ROUND(ROUND(P267, 2)/1.2, 2)</f>
        <v>74</v>
      </c>
      <c r="Y267" s="9">
        <f t="shared" si="16"/>
        <v>2115.66</v>
      </c>
      <c r="AD267" s="4" t="s">
        <v>923</v>
      </c>
      <c r="AE267" s="4" t="s">
        <v>924</v>
      </c>
      <c r="AF267" s="4" t="s">
        <v>307</v>
      </c>
    </row>
    <row r="268" spans="1:35" ht="36" x14ac:dyDescent="0.3">
      <c r="A268" s="10" t="s">
        <v>925</v>
      </c>
      <c r="B268" s="10" t="s">
        <v>843</v>
      </c>
      <c r="C268" s="14" t="s">
        <v>844</v>
      </c>
      <c r="D268" s="15"/>
      <c r="E268" s="15" t="s">
        <v>926</v>
      </c>
      <c r="F268" s="15" t="s">
        <v>62</v>
      </c>
      <c r="G268" s="16">
        <v>1</v>
      </c>
      <c r="H268" s="15"/>
      <c r="I268" s="16">
        <v>129.4</v>
      </c>
      <c r="J268" s="17">
        <v>4446.12</v>
      </c>
      <c r="K268" s="18">
        <v>2310</v>
      </c>
      <c r="L268" s="17">
        <f>J268+ROUND(K268, 2)</f>
        <v>6756.12</v>
      </c>
      <c r="M268" s="17">
        <v>575327.93000000005</v>
      </c>
      <c r="N268" s="17">
        <v>298914</v>
      </c>
      <c r="O268" s="17">
        <f>M268+N268</f>
        <v>874241.93</v>
      </c>
      <c r="P268" s="17">
        <v>4446.1099999999997</v>
      </c>
      <c r="Q268" s="19">
        <v>3465</v>
      </c>
      <c r="R268" s="17">
        <f>P268+ROUND(Q268, 2)</f>
        <v>7911.11</v>
      </c>
      <c r="S268" s="17">
        <v>575326.63</v>
      </c>
      <c r="T268" s="17">
        <v>448371</v>
      </c>
      <c r="U268" s="17">
        <f>S268+T268</f>
        <v>1023697.63</v>
      </c>
      <c r="V268" s="9">
        <f>ROUND(P268 / 1.2, 2)</f>
        <v>3705.09</v>
      </c>
      <c r="W268" s="9">
        <f>ROUND(Q268 / 1.2, 2)</f>
        <v>2887.5</v>
      </c>
      <c r="X268" s="9">
        <f>ROUND(R268 / 1.2, 2)</f>
        <v>6592.59</v>
      </c>
      <c r="Y268" s="9">
        <f t="shared" si="16"/>
        <v>479438.86</v>
      </c>
      <c r="Z268" s="9">
        <f>ROUND(T268 / 1.2, 2)</f>
        <v>373642.5</v>
      </c>
      <c r="AA268" s="9">
        <f>Y268+Z268</f>
        <v>853081.36</v>
      </c>
      <c r="AD268" s="4">
        <v>334080636</v>
      </c>
      <c r="AE268" s="4">
        <v>27245778</v>
      </c>
      <c r="AG268" s="4" t="s">
        <v>845</v>
      </c>
      <c r="AH268" s="4" t="s">
        <v>846</v>
      </c>
      <c r="AI268" s="4" t="s">
        <v>250</v>
      </c>
    </row>
    <row r="269" spans="1:35" ht="36" x14ac:dyDescent="0.3">
      <c r="A269" s="10" t="s">
        <v>927</v>
      </c>
      <c r="B269" s="10"/>
      <c r="C269" s="24" t="s">
        <v>304</v>
      </c>
      <c r="D269" s="15"/>
      <c r="E269" s="15"/>
      <c r="F269" s="25" t="s">
        <v>278</v>
      </c>
      <c r="G269" s="26">
        <v>0.15</v>
      </c>
      <c r="H269" s="15"/>
      <c r="I269" s="26">
        <v>19.41</v>
      </c>
      <c r="J269" s="27">
        <v>88.8</v>
      </c>
      <c r="M269" s="28">
        <f>ROUND(ROUND(J269, 2)*I269, 2)</f>
        <v>1723.61</v>
      </c>
      <c r="P269" s="29">
        <v>88.8</v>
      </c>
      <c r="S269" s="28">
        <f>ROUND(ROUND(P269, 2)*I269, 2)</f>
        <v>1723.61</v>
      </c>
      <c r="V269" s="9">
        <f>ROUND(ROUND(P269, 2)/1.2, 2)</f>
        <v>74</v>
      </c>
      <c r="Y269" s="9">
        <f t="shared" si="16"/>
        <v>1436.34</v>
      </c>
      <c r="AD269" s="4" t="s">
        <v>928</v>
      </c>
      <c r="AE269" s="4" t="s">
        <v>929</v>
      </c>
      <c r="AF269" s="4" t="s">
        <v>307</v>
      </c>
    </row>
    <row r="270" spans="1:35" ht="18" x14ac:dyDescent="0.3">
      <c r="A270" s="10" t="s">
        <v>930</v>
      </c>
      <c r="B270" s="10"/>
      <c r="C270" s="24" t="s">
        <v>858</v>
      </c>
      <c r="D270" s="15"/>
      <c r="E270" s="15"/>
      <c r="F270" s="25" t="s">
        <v>278</v>
      </c>
      <c r="G270" s="26">
        <v>0.25</v>
      </c>
      <c r="H270" s="15"/>
      <c r="I270" s="26">
        <v>32.35</v>
      </c>
      <c r="J270" s="27">
        <v>47.44</v>
      </c>
      <c r="M270" s="28">
        <f>ROUND(ROUND(J270, 2)*I270, 2)</f>
        <v>1534.68</v>
      </c>
      <c r="P270" s="29">
        <v>47.44</v>
      </c>
      <c r="S270" s="28">
        <f>ROUND(ROUND(P270, 2)*I270, 2)</f>
        <v>1534.68</v>
      </c>
      <c r="V270" s="9">
        <f>ROUND(ROUND(P270, 2)/1.2, 2)</f>
        <v>39.53</v>
      </c>
      <c r="Y270" s="9">
        <f t="shared" si="16"/>
        <v>1278.9000000000001</v>
      </c>
      <c r="AD270" s="4" t="s">
        <v>931</v>
      </c>
      <c r="AE270" s="4" t="s">
        <v>932</v>
      </c>
      <c r="AF270" s="4" t="s">
        <v>861</v>
      </c>
    </row>
    <row r="271" spans="1:35" ht="36" x14ac:dyDescent="0.3">
      <c r="A271" s="10" t="s">
        <v>933</v>
      </c>
      <c r="B271" s="10"/>
      <c r="C271" s="30" t="s">
        <v>853</v>
      </c>
      <c r="D271" s="15"/>
      <c r="E271" s="15"/>
      <c r="F271" s="25" t="s">
        <v>278</v>
      </c>
      <c r="G271" s="26">
        <v>1.2</v>
      </c>
      <c r="H271" s="15"/>
      <c r="I271" s="31">
        <v>155.28</v>
      </c>
      <c r="J271" s="27">
        <v>16.12</v>
      </c>
      <c r="M271" s="28">
        <f>ROUND(ROUND(J271, 2)*I271, 2)</f>
        <v>2503.11</v>
      </c>
      <c r="P271" s="29">
        <v>16.11</v>
      </c>
      <c r="S271" s="28">
        <f>ROUND(ROUND(P271, 2)*I271, 2)</f>
        <v>2501.56</v>
      </c>
      <c r="V271" s="9">
        <f>ROUND(ROUND(P271, 2)/1.2, 2)</f>
        <v>13.43</v>
      </c>
      <c r="Y271" s="9">
        <f t="shared" si="16"/>
        <v>2084.63</v>
      </c>
      <c r="AD271" s="4" t="s">
        <v>934</v>
      </c>
      <c r="AE271" s="4" t="s">
        <v>935</v>
      </c>
      <c r="AF271" s="4" t="s">
        <v>856</v>
      </c>
    </row>
    <row r="272" spans="1:35" ht="72" x14ac:dyDescent="0.3">
      <c r="A272" s="10" t="s">
        <v>936</v>
      </c>
      <c r="B272" s="10"/>
      <c r="C272" s="30" t="s">
        <v>882</v>
      </c>
      <c r="D272" s="15"/>
      <c r="E272" s="15" t="s">
        <v>937</v>
      </c>
      <c r="F272" s="25" t="s">
        <v>597</v>
      </c>
      <c r="G272" s="26">
        <v>4</v>
      </c>
      <c r="H272" s="15"/>
      <c r="I272" s="26">
        <v>517.6</v>
      </c>
      <c r="J272" s="27">
        <v>1100.4000000000001</v>
      </c>
      <c r="M272" s="28">
        <f>ROUND(ROUND(J272, 2)*I272, 2)</f>
        <v>569567.04</v>
      </c>
      <c r="P272" s="29">
        <v>1100.4000000000001</v>
      </c>
      <c r="S272" s="28">
        <f>ROUND(ROUND(P272, 2)*I272, 2)</f>
        <v>569567.04</v>
      </c>
      <c r="V272" s="9">
        <f>ROUND(ROUND(P272, 2)/1.2, 2)</f>
        <v>917</v>
      </c>
      <c r="Y272" s="9">
        <f t="shared" si="16"/>
        <v>474639.2</v>
      </c>
      <c r="AD272" s="4" t="s">
        <v>938</v>
      </c>
      <c r="AE272" s="4" t="s">
        <v>939</v>
      </c>
      <c r="AF272" s="4" t="s">
        <v>885</v>
      </c>
    </row>
    <row r="273" spans="1:35" ht="180" x14ac:dyDescent="0.3">
      <c r="A273" s="11" t="s">
        <v>940</v>
      </c>
      <c r="B273" s="11" t="s">
        <v>843</v>
      </c>
      <c r="C273" s="20" t="s">
        <v>844</v>
      </c>
      <c r="D273" s="21"/>
      <c r="E273" s="21" t="s">
        <v>941</v>
      </c>
      <c r="F273" s="21" t="s">
        <v>62</v>
      </c>
      <c r="G273" s="22">
        <v>1</v>
      </c>
      <c r="H273" s="21"/>
      <c r="I273" s="22">
        <v>178.24</v>
      </c>
      <c r="J273" s="23">
        <f>IFERROR(ROUND(SUM(M274,M275,M276,M277)/I273, 2),0)</f>
        <v>4597.0200000000004</v>
      </c>
      <c r="K273" s="23">
        <v>2310</v>
      </c>
      <c r="L273" s="23">
        <f>J273+ROUND(K273, 2)</f>
        <v>6907.02</v>
      </c>
      <c r="M273" s="23">
        <f>ROUND(J273*I273, 2)</f>
        <v>819372.84</v>
      </c>
      <c r="N273" s="23">
        <f>ROUND(I273*ROUND(K273, 2), 2)</f>
        <v>411734.4</v>
      </c>
      <c r="O273" s="23">
        <f>M273+N273</f>
        <v>1231107.24</v>
      </c>
      <c r="P273" s="23">
        <f>IFERROR(ROUND(SUM(S274,S275,S276,S277)/I273, 2),0)</f>
        <v>4597.0200000000004</v>
      </c>
      <c r="Q273" s="23">
        <v>3465</v>
      </c>
      <c r="R273" s="23">
        <f>P273+ROUND(Q273, 2)</f>
        <v>8062.02</v>
      </c>
      <c r="S273" s="23">
        <f>ROUND(P273*I273, 2)</f>
        <v>819372.84</v>
      </c>
      <c r="T273" s="23">
        <f>ROUND(I273*ROUND(Q273, 2), 2)</f>
        <v>617601.6</v>
      </c>
      <c r="U273" s="23">
        <f>S273+T273</f>
        <v>1436974.44</v>
      </c>
      <c r="V273" s="9">
        <f>ROUND(P273 / 1.2, 2)</f>
        <v>3830.85</v>
      </c>
      <c r="W273" s="9">
        <f>ROUND(Q273 / 1.2, 2)</f>
        <v>2887.5</v>
      </c>
      <c r="X273" s="9">
        <f>ROUND(R273 / 1.2, 2)</f>
        <v>6718.35</v>
      </c>
      <c r="Y273" s="9">
        <f t="shared" si="16"/>
        <v>682810.7</v>
      </c>
      <c r="Z273" s="9">
        <f>ROUND(T273 / 1.2, 2)</f>
        <v>514668</v>
      </c>
      <c r="AA273" s="9">
        <f>Y273+Z273</f>
        <v>1197478.7</v>
      </c>
      <c r="AD273" s="4">
        <v>334080637</v>
      </c>
      <c r="AE273" s="4">
        <v>29378730</v>
      </c>
      <c r="AG273" s="4" t="s">
        <v>845</v>
      </c>
      <c r="AH273" s="4" t="s">
        <v>846</v>
      </c>
      <c r="AI273" s="4" t="s">
        <v>250</v>
      </c>
    </row>
    <row r="274" spans="1:35" ht="72" x14ac:dyDescent="0.3">
      <c r="A274" s="11" t="s">
        <v>942</v>
      </c>
      <c r="B274" s="11"/>
      <c r="C274" s="30" t="s">
        <v>882</v>
      </c>
      <c r="D274" s="21"/>
      <c r="E274" s="21" t="s">
        <v>943</v>
      </c>
      <c r="F274" s="33" t="s">
        <v>597</v>
      </c>
      <c r="G274" s="34">
        <v>4</v>
      </c>
      <c r="H274" s="21"/>
      <c r="I274" s="34">
        <v>712.96</v>
      </c>
      <c r="J274" s="35">
        <v>1118.74</v>
      </c>
      <c r="K274" s="12"/>
      <c r="L274" s="12"/>
      <c r="M274" s="35">
        <f>ROUND(ROUND(J274, 2)*I274, 2)</f>
        <v>797616.87</v>
      </c>
      <c r="N274" s="12"/>
      <c r="O274" s="12"/>
      <c r="P274" s="35">
        <v>1118.74</v>
      </c>
      <c r="Q274" s="12"/>
      <c r="R274" s="12"/>
      <c r="S274" s="35">
        <f>ROUND(ROUND(P274, 2)*I274, 2)</f>
        <v>797616.87</v>
      </c>
      <c r="T274" s="12"/>
      <c r="U274" s="36"/>
      <c r="V274" s="9">
        <f>ROUND(ROUND(P274, 2)/1.2, 2)</f>
        <v>932.28</v>
      </c>
      <c r="Y274" s="9">
        <f t="shared" si="16"/>
        <v>664680.73</v>
      </c>
      <c r="AD274" s="4" t="s">
        <v>944</v>
      </c>
      <c r="AE274" s="4" t="s">
        <v>945</v>
      </c>
      <c r="AF274" s="4" t="s">
        <v>885</v>
      </c>
    </row>
    <row r="275" spans="1:35" ht="36" x14ac:dyDescent="0.3">
      <c r="A275" s="11" t="s">
        <v>946</v>
      </c>
      <c r="B275" s="11"/>
      <c r="C275" s="30" t="s">
        <v>853</v>
      </c>
      <c r="D275" s="21"/>
      <c r="E275" s="21"/>
      <c r="F275" s="33" t="s">
        <v>278</v>
      </c>
      <c r="G275" s="34">
        <v>1.2</v>
      </c>
      <c r="H275" s="21"/>
      <c r="I275" s="37">
        <v>1069.44</v>
      </c>
      <c r="J275" s="35">
        <v>16.38</v>
      </c>
      <c r="K275" s="12"/>
      <c r="L275" s="12"/>
      <c r="M275" s="35">
        <f>ROUND(ROUND(J275, 2)*I275, 2)</f>
        <v>17517.43</v>
      </c>
      <c r="N275" s="12"/>
      <c r="O275" s="12"/>
      <c r="P275" s="35">
        <v>16.38</v>
      </c>
      <c r="Q275" s="12"/>
      <c r="R275" s="12"/>
      <c r="S275" s="35">
        <f>ROUND(ROUND(P275, 2)*I275, 2)</f>
        <v>17517.43</v>
      </c>
      <c r="T275" s="12"/>
      <c r="U275" s="36"/>
      <c r="V275" s="9">
        <f>ROUND(ROUND(P275, 2)/1.2, 2)</f>
        <v>13.65</v>
      </c>
      <c r="Y275" s="9">
        <f t="shared" si="16"/>
        <v>14597.86</v>
      </c>
      <c r="AD275" s="4" t="s">
        <v>947</v>
      </c>
      <c r="AE275" s="4" t="s">
        <v>948</v>
      </c>
      <c r="AF275" s="4" t="s">
        <v>856</v>
      </c>
    </row>
    <row r="276" spans="1:35" ht="36" x14ac:dyDescent="0.3">
      <c r="A276" s="11" t="s">
        <v>949</v>
      </c>
      <c r="B276" s="11"/>
      <c r="C276" s="32" t="s">
        <v>950</v>
      </c>
      <c r="D276" s="21"/>
      <c r="E276" s="21" t="s">
        <v>951</v>
      </c>
      <c r="F276" s="33" t="s">
        <v>278</v>
      </c>
      <c r="G276" s="34">
        <v>0.25</v>
      </c>
      <c r="H276" s="21"/>
      <c r="I276" s="34">
        <v>44.56</v>
      </c>
      <c r="J276" s="35">
        <v>40.94</v>
      </c>
      <c r="K276" s="12"/>
      <c r="L276" s="12"/>
      <c r="M276" s="35">
        <f>ROUND(ROUND(J276, 2)*I276, 2)</f>
        <v>1824.29</v>
      </c>
      <c r="N276" s="12"/>
      <c r="O276" s="12"/>
      <c r="P276" s="35">
        <v>40.94</v>
      </c>
      <c r="Q276" s="12"/>
      <c r="R276" s="12"/>
      <c r="S276" s="35">
        <f>ROUND(ROUND(P276, 2)*I276, 2)</f>
        <v>1824.29</v>
      </c>
      <c r="T276" s="12"/>
      <c r="U276" s="36"/>
      <c r="V276" s="9">
        <f>ROUND(ROUND(P276, 2)/1.2, 2)</f>
        <v>34.119999999999997</v>
      </c>
      <c r="Y276" s="9">
        <f t="shared" si="16"/>
        <v>1520.24</v>
      </c>
      <c r="AD276" s="4" t="s">
        <v>952</v>
      </c>
      <c r="AE276" s="4" t="s">
        <v>953</v>
      </c>
      <c r="AF276" s="4" t="s">
        <v>954</v>
      </c>
    </row>
    <row r="277" spans="1:35" ht="36" x14ac:dyDescent="0.3">
      <c r="A277" s="11" t="s">
        <v>955</v>
      </c>
      <c r="B277" s="11"/>
      <c r="C277" s="32" t="s">
        <v>304</v>
      </c>
      <c r="D277" s="21"/>
      <c r="E277" s="21"/>
      <c r="F277" s="33" t="s">
        <v>278</v>
      </c>
      <c r="G277" s="34">
        <v>0.15</v>
      </c>
      <c r="H277" s="21"/>
      <c r="I277" s="34">
        <v>26.736000000000001</v>
      </c>
      <c r="J277" s="35">
        <v>90.28</v>
      </c>
      <c r="K277" s="12"/>
      <c r="L277" s="12"/>
      <c r="M277" s="35">
        <f>ROUND(ROUND(J277, 2)*I277, 2)</f>
        <v>2413.73</v>
      </c>
      <c r="N277" s="12"/>
      <c r="O277" s="12"/>
      <c r="P277" s="35">
        <v>90.28</v>
      </c>
      <c r="Q277" s="12"/>
      <c r="R277" s="12"/>
      <c r="S277" s="35">
        <f>ROUND(ROUND(P277, 2)*I277, 2)</f>
        <v>2413.73</v>
      </c>
      <c r="T277" s="12"/>
      <c r="U277" s="36"/>
      <c r="V277" s="9">
        <f>ROUND(ROUND(P277, 2)/1.2, 2)</f>
        <v>75.23</v>
      </c>
      <c r="Y277" s="9">
        <f t="shared" si="16"/>
        <v>2011.44</v>
      </c>
      <c r="AD277" s="4" t="s">
        <v>956</v>
      </c>
      <c r="AE277" s="4" t="s">
        <v>957</v>
      </c>
      <c r="AF277" s="4" t="s">
        <v>307</v>
      </c>
    </row>
    <row r="278" spans="1:35" ht="162" x14ac:dyDescent="0.3">
      <c r="A278" s="11" t="s">
        <v>958</v>
      </c>
      <c r="B278" s="11" t="s">
        <v>843</v>
      </c>
      <c r="C278" s="20" t="s">
        <v>844</v>
      </c>
      <c r="D278" s="21"/>
      <c r="E278" s="21" t="s">
        <v>959</v>
      </c>
      <c r="F278" s="21" t="s">
        <v>62</v>
      </c>
      <c r="G278" s="22">
        <v>1</v>
      </c>
      <c r="H278" s="21"/>
      <c r="I278" s="22">
        <v>89.01</v>
      </c>
      <c r="J278" s="23">
        <f>IFERROR(ROUND(SUM(M279,M280,M281,M282)/I278, 2),0)</f>
        <v>1570.26</v>
      </c>
      <c r="K278" s="23">
        <v>2310</v>
      </c>
      <c r="L278" s="23">
        <f>J278+ROUND(K278, 2)</f>
        <v>3880.26</v>
      </c>
      <c r="M278" s="23">
        <f>ROUND(J278*I278, 2)</f>
        <v>139768.84</v>
      </c>
      <c r="N278" s="23">
        <f>ROUND(I278*ROUND(K278, 2), 2)</f>
        <v>205613.1</v>
      </c>
      <c r="O278" s="23">
        <f>M278+N278</f>
        <v>345381.94</v>
      </c>
      <c r="P278" s="23">
        <f>IFERROR(ROUND(SUM(S279,S280,S281,S282)/I278, 2),0)</f>
        <v>1570.26</v>
      </c>
      <c r="Q278" s="23">
        <v>3465</v>
      </c>
      <c r="R278" s="23">
        <f>P278+ROUND(Q278, 2)</f>
        <v>5035.26</v>
      </c>
      <c r="S278" s="23">
        <f>ROUND(P278*I278, 2)</f>
        <v>139768.84</v>
      </c>
      <c r="T278" s="23">
        <f>ROUND(I278*ROUND(Q278, 2), 2)</f>
        <v>308419.65000000002</v>
      </c>
      <c r="U278" s="23">
        <f>S278+T278</f>
        <v>448188.49</v>
      </c>
      <c r="V278" s="9">
        <f>ROUND(P278 / 1.2, 2)</f>
        <v>1308.55</v>
      </c>
      <c r="W278" s="9">
        <f>ROUND(Q278 / 1.2, 2)</f>
        <v>2887.5</v>
      </c>
      <c r="X278" s="9">
        <f>ROUND(R278 / 1.2, 2)</f>
        <v>4196.05</v>
      </c>
      <c r="Y278" s="9">
        <f t="shared" si="16"/>
        <v>116474.03</v>
      </c>
      <c r="Z278" s="9">
        <f>ROUND(T278 / 1.2, 2)</f>
        <v>257016.38</v>
      </c>
      <c r="AA278" s="9">
        <f>Y278+Z278</f>
        <v>373490.41000000003</v>
      </c>
      <c r="AD278" s="4">
        <v>334080638</v>
      </c>
      <c r="AE278" s="4">
        <v>29378731</v>
      </c>
      <c r="AG278" s="4" t="s">
        <v>845</v>
      </c>
      <c r="AH278" s="4" t="s">
        <v>846</v>
      </c>
      <c r="AI278" s="4" t="s">
        <v>250</v>
      </c>
    </row>
    <row r="279" spans="1:35" ht="36" x14ac:dyDescent="0.3">
      <c r="A279" s="11" t="s">
        <v>960</v>
      </c>
      <c r="B279" s="11"/>
      <c r="C279" s="32" t="s">
        <v>304</v>
      </c>
      <c r="D279" s="21"/>
      <c r="E279" s="21"/>
      <c r="F279" s="33" t="s">
        <v>278</v>
      </c>
      <c r="G279" s="34">
        <v>0.15</v>
      </c>
      <c r="H279" s="21"/>
      <c r="I279" s="34">
        <v>13.352</v>
      </c>
      <c r="J279" s="35">
        <v>90.28</v>
      </c>
      <c r="K279" s="12"/>
      <c r="L279" s="12"/>
      <c r="M279" s="35">
        <f>ROUND(ROUND(J279, 2)*I279, 2)</f>
        <v>1205.42</v>
      </c>
      <c r="N279" s="12"/>
      <c r="O279" s="12"/>
      <c r="P279" s="35">
        <v>90.28</v>
      </c>
      <c r="Q279" s="12"/>
      <c r="R279" s="12"/>
      <c r="S279" s="35">
        <f>ROUND(ROUND(P279, 2)*I279, 2)</f>
        <v>1205.42</v>
      </c>
      <c r="T279" s="12"/>
      <c r="U279" s="36"/>
      <c r="V279" s="9">
        <f>ROUND(ROUND(P279, 2)/1.2, 2)</f>
        <v>75.23</v>
      </c>
      <c r="Y279" s="9">
        <f t="shared" si="16"/>
        <v>1004.52</v>
      </c>
      <c r="AD279" s="4" t="s">
        <v>961</v>
      </c>
      <c r="AE279" s="4" t="s">
        <v>962</v>
      </c>
      <c r="AF279" s="4" t="s">
        <v>307</v>
      </c>
    </row>
    <row r="280" spans="1:35" ht="18" x14ac:dyDescent="0.3">
      <c r="A280" s="11" t="s">
        <v>963</v>
      </c>
      <c r="B280" s="11"/>
      <c r="C280" s="32" t="s">
        <v>950</v>
      </c>
      <c r="D280" s="21"/>
      <c r="E280" s="21"/>
      <c r="F280" s="33" t="s">
        <v>278</v>
      </c>
      <c r="G280" s="34">
        <v>0.25</v>
      </c>
      <c r="H280" s="21"/>
      <c r="I280" s="34">
        <v>22.253</v>
      </c>
      <c r="J280" s="35">
        <v>40.94</v>
      </c>
      <c r="K280" s="12"/>
      <c r="L280" s="12"/>
      <c r="M280" s="35">
        <f>ROUND(ROUND(J280, 2)*I280, 2)</f>
        <v>911.04</v>
      </c>
      <c r="N280" s="12"/>
      <c r="O280" s="12"/>
      <c r="P280" s="35">
        <v>40.94</v>
      </c>
      <c r="Q280" s="12"/>
      <c r="R280" s="12"/>
      <c r="S280" s="35">
        <f>ROUND(ROUND(P280, 2)*I280, 2)</f>
        <v>911.04</v>
      </c>
      <c r="T280" s="12"/>
      <c r="U280" s="36"/>
      <c r="V280" s="9">
        <f>ROUND(ROUND(P280, 2)/1.2, 2)</f>
        <v>34.119999999999997</v>
      </c>
      <c r="Y280" s="9">
        <f t="shared" si="16"/>
        <v>759.2</v>
      </c>
      <c r="AD280" s="4" t="s">
        <v>964</v>
      </c>
      <c r="AE280" s="4" t="s">
        <v>965</v>
      </c>
      <c r="AF280" s="4" t="s">
        <v>954</v>
      </c>
    </row>
    <row r="281" spans="1:35" ht="36" x14ac:dyDescent="0.3">
      <c r="A281" s="11" t="s">
        <v>966</v>
      </c>
      <c r="B281" s="11"/>
      <c r="C281" s="30" t="s">
        <v>853</v>
      </c>
      <c r="D281" s="21"/>
      <c r="E281" s="21"/>
      <c r="F281" s="33" t="s">
        <v>278</v>
      </c>
      <c r="G281" s="34">
        <v>1.2</v>
      </c>
      <c r="H281" s="21"/>
      <c r="I281" s="37">
        <v>534.05999999999995</v>
      </c>
      <c r="J281" s="35">
        <v>16.38</v>
      </c>
      <c r="K281" s="12"/>
      <c r="L281" s="12"/>
      <c r="M281" s="35">
        <f>ROUND(ROUND(J281, 2)*I281, 2)</f>
        <v>8747.9</v>
      </c>
      <c r="N281" s="12"/>
      <c r="O281" s="12"/>
      <c r="P281" s="35">
        <v>16.38</v>
      </c>
      <c r="Q281" s="12"/>
      <c r="R281" s="12"/>
      <c r="S281" s="35">
        <f>ROUND(ROUND(P281, 2)*I281, 2)</f>
        <v>8747.9</v>
      </c>
      <c r="T281" s="12"/>
      <c r="U281" s="36"/>
      <c r="V281" s="9">
        <f>ROUND(ROUND(P281, 2)/1.2, 2)</f>
        <v>13.65</v>
      </c>
      <c r="Y281" s="9">
        <f t="shared" si="16"/>
        <v>7289.92</v>
      </c>
      <c r="AD281" s="4" t="s">
        <v>967</v>
      </c>
      <c r="AE281" s="4" t="s">
        <v>968</v>
      </c>
      <c r="AF281" s="4" t="s">
        <v>856</v>
      </c>
    </row>
    <row r="282" spans="1:35" ht="72" x14ac:dyDescent="0.3">
      <c r="A282" s="11" t="s">
        <v>969</v>
      </c>
      <c r="B282" s="11"/>
      <c r="C282" s="32" t="s">
        <v>876</v>
      </c>
      <c r="D282" s="21"/>
      <c r="E282" s="21" t="s">
        <v>970</v>
      </c>
      <c r="F282" s="33" t="s">
        <v>597</v>
      </c>
      <c r="G282" s="34">
        <v>4</v>
      </c>
      <c r="H282" s="21"/>
      <c r="I282" s="34">
        <v>356.04</v>
      </c>
      <c r="J282" s="35">
        <v>362.05</v>
      </c>
      <c r="K282" s="12"/>
      <c r="L282" s="12"/>
      <c r="M282" s="35">
        <f>ROUND(ROUND(J282, 2)*I282, 2)</f>
        <v>128904.28</v>
      </c>
      <c r="N282" s="12"/>
      <c r="O282" s="12"/>
      <c r="P282" s="35">
        <v>362.05</v>
      </c>
      <c r="Q282" s="12"/>
      <c r="R282" s="12"/>
      <c r="S282" s="35">
        <f>ROUND(ROUND(P282, 2)*I282, 2)</f>
        <v>128904.28</v>
      </c>
      <c r="T282" s="12"/>
      <c r="U282" s="36"/>
      <c r="V282" s="9">
        <f>ROUND(ROUND(P282, 2)/1.2, 2)</f>
        <v>301.70999999999998</v>
      </c>
      <c r="Y282" s="9">
        <f t="shared" si="16"/>
        <v>107420.23</v>
      </c>
      <c r="AD282" s="4" t="s">
        <v>971</v>
      </c>
      <c r="AE282" s="4" t="s">
        <v>972</v>
      </c>
      <c r="AF282" s="4" t="s">
        <v>879</v>
      </c>
    </row>
    <row r="283" spans="1:35" ht="162" x14ac:dyDescent="0.3">
      <c r="A283" s="11" t="s">
        <v>973</v>
      </c>
      <c r="B283" s="11" t="s">
        <v>843</v>
      </c>
      <c r="C283" s="20" t="s">
        <v>844</v>
      </c>
      <c r="D283" s="21"/>
      <c r="E283" s="21" t="s">
        <v>974</v>
      </c>
      <c r="F283" s="21" t="s">
        <v>62</v>
      </c>
      <c r="G283" s="22">
        <v>1</v>
      </c>
      <c r="H283" s="21"/>
      <c r="I283" s="22">
        <v>129.19</v>
      </c>
      <c r="J283" s="23">
        <f>IFERROR(ROUND(SUM(M284,M285,M286,M287)/I283, 2),0)</f>
        <v>4597.0200000000004</v>
      </c>
      <c r="K283" s="23">
        <v>2310</v>
      </c>
      <c r="L283" s="23">
        <f>J283+ROUND(K283, 2)</f>
        <v>6907.02</v>
      </c>
      <c r="M283" s="23">
        <f>ROUND(J283*I283, 2)</f>
        <v>593889.01</v>
      </c>
      <c r="N283" s="23">
        <f>ROUND(I283*ROUND(K283, 2), 2)</f>
        <v>298428.90000000002</v>
      </c>
      <c r="O283" s="23">
        <f>M283+N283</f>
        <v>892317.91</v>
      </c>
      <c r="P283" s="23">
        <f>IFERROR(ROUND(SUM(S284,S285,S286,S287)/I283, 2),0)</f>
        <v>4597.0200000000004</v>
      </c>
      <c r="Q283" s="23">
        <v>3465</v>
      </c>
      <c r="R283" s="23">
        <f>P283+ROUND(Q283, 2)</f>
        <v>8062.02</v>
      </c>
      <c r="S283" s="23">
        <f>ROUND(P283*I283, 2)</f>
        <v>593889.01</v>
      </c>
      <c r="T283" s="23">
        <f>ROUND(I283*ROUND(Q283, 2), 2)</f>
        <v>447643.35</v>
      </c>
      <c r="U283" s="23">
        <f>S283+T283</f>
        <v>1041532.36</v>
      </c>
      <c r="V283" s="9">
        <f>ROUND(P283 / 1.2, 2)</f>
        <v>3830.85</v>
      </c>
      <c r="W283" s="9">
        <f>ROUND(Q283 / 1.2, 2)</f>
        <v>2887.5</v>
      </c>
      <c r="X283" s="9">
        <f>ROUND(R283 / 1.2, 2)</f>
        <v>6718.35</v>
      </c>
      <c r="Y283" s="9">
        <f t="shared" si="16"/>
        <v>494907.51</v>
      </c>
      <c r="Z283" s="9">
        <f>ROUND(T283 / 1.2, 2)</f>
        <v>373036.13</v>
      </c>
      <c r="AA283" s="9">
        <f>Y283+Z283</f>
        <v>867943.64</v>
      </c>
      <c r="AD283" s="4">
        <v>334080639</v>
      </c>
      <c r="AE283" s="4">
        <v>29378732</v>
      </c>
      <c r="AG283" s="4" t="s">
        <v>845</v>
      </c>
      <c r="AH283" s="4" t="s">
        <v>846</v>
      </c>
      <c r="AI283" s="4" t="s">
        <v>250</v>
      </c>
    </row>
    <row r="284" spans="1:35" ht="54" x14ac:dyDescent="0.3">
      <c r="A284" s="11" t="s">
        <v>975</v>
      </c>
      <c r="B284" s="11"/>
      <c r="C284" s="30" t="s">
        <v>882</v>
      </c>
      <c r="D284" s="21"/>
      <c r="E284" s="21" t="s">
        <v>976</v>
      </c>
      <c r="F284" s="33" t="s">
        <v>597</v>
      </c>
      <c r="G284" s="34">
        <v>4</v>
      </c>
      <c r="H284" s="21"/>
      <c r="I284" s="34">
        <v>516.76</v>
      </c>
      <c r="J284" s="35">
        <v>1118.74</v>
      </c>
      <c r="K284" s="12"/>
      <c r="L284" s="12"/>
      <c r="M284" s="35">
        <f>ROUND(ROUND(J284, 2)*I284, 2)</f>
        <v>578120.07999999996</v>
      </c>
      <c r="N284" s="12"/>
      <c r="O284" s="12"/>
      <c r="P284" s="35">
        <v>1118.74</v>
      </c>
      <c r="Q284" s="12"/>
      <c r="R284" s="12"/>
      <c r="S284" s="35">
        <f>ROUND(ROUND(P284, 2)*I284, 2)</f>
        <v>578120.07999999996</v>
      </c>
      <c r="T284" s="12"/>
      <c r="U284" s="36"/>
      <c r="V284" s="9">
        <f>ROUND(ROUND(P284, 2)/1.2, 2)</f>
        <v>932.28</v>
      </c>
      <c r="Y284" s="9">
        <f t="shared" si="16"/>
        <v>481766.73</v>
      </c>
      <c r="AD284" s="4" t="s">
        <v>977</v>
      </c>
      <c r="AE284" s="4" t="s">
        <v>978</v>
      </c>
      <c r="AF284" s="4" t="s">
        <v>885</v>
      </c>
    </row>
    <row r="285" spans="1:35" ht="36" x14ac:dyDescent="0.3">
      <c r="A285" s="11" t="s">
        <v>979</v>
      </c>
      <c r="B285" s="11"/>
      <c r="C285" s="30" t="s">
        <v>853</v>
      </c>
      <c r="D285" s="21"/>
      <c r="E285" s="21"/>
      <c r="F285" s="33" t="s">
        <v>278</v>
      </c>
      <c r="G285" s="34">
        <v>1.2</v>
      </c>
      <c r="H285" s="21"/>
      <c r="I285" s="37">
        <v>775.14</v>
      </c>
      <c r="J285" s="35">
        <v>16.38</v>
      </c>
      <c r="K285" s="12"/>
      <c r="L285" s="12"/>
      <c r="M285" s="35">
        <f>ROUND(ROUND(J285, 2)*I285, 2)</f>
        <v>12696.79</v>
      </c>
      <c r="N285" s="12"/>
      <c r="O285" s="12"/>
      <c r="P285" s="35">
        <v>16.38</v>
      </c>
      <c r="Q285" s="12"/>
      <c r="R285" s="12"/>
      <c r="S285" s="35">
        <f>ROUND(ROUND(P285, 2)*I285, 2)</f>
        <v>12696.79</v>
      </c>
      <c r="T285" s="12"/>
      <c r="U285" s="36"/>
      <c r="V285" s="9">
        <f>ROUND(ROUND(P285, 2)/1.2, 2)</f>
        <v>13.65</v>
      </c>
      <c r="Y285" s="9">
        <f t="shared" si="16"/>
        <v>10580.66</v>
      </c>
      <c r="AD285" s="4" t="s">
        <v>980</v>
      </c>
      <c r="AE285" s="4" t="s">
        <v>981</v>
      </c>
      <c r="AF285" s="4" t="s">
        <v>856</v>
      </c>
    </row>
    <row r="286" spans="1:35" ht="36" x14ac:dyDescent="0.3">
      <c r="A286" s="11" t="s">
        <v>982</v>
      </c>
      <c r="B286" s="11"/>
      <c r="C286" s="32" t="s">
        <v>950</v>
      </c>
      <c r="D286" s="21"/>
      <c r="E286" s="21" t="s">
        <v>951</v>
      </c>
      <c r="F286" s="33" t="s">
        <v>278</v>
      </c>
      <c r="G286" s="34">
        <v>0.25</v>
      </c>
      <c r="H286" s="21"/>
      <c r="I286" s="34">
        <v>32.298000000000002</v>
      </c>
      <c r="J286" s="35">
        <v>40.94</v>
      </c>
      <c r="K286" s="12"/>
      <c r="L286" s="12"/>
      <c r="M286" s="35">
        <f>ROUND(ROUND(J286, 2)*I286, 2)</f>
        <v>1322.28</v>
      </c>
      <c r="N286" s="12"/>
      <c r="O286" s="12"/>
      <c r="P286" s="35">
        <v>40.94</v>
      </c>
      <c r="Q286" s="12"/>
      <c r="R286" s="12"/>
      <c r="S286" s="35">
        <f>ROUND(ROUND(P286, 2)*I286, 2)</f>
        <v>1322.28</v>
      </c>
      <c r="T286" s="12"/>
      <c r="U286" s="36"/>
      <c r="V286" s="9">
        <f>ROUND(ROUND(P286, 2)/1.2, 2)</f>
        <v>34.119999999999997</v>
      </c>
      <c r="Y286" s="9">
        <f t="shared" si="16"/>
        <v>1101.9000000000001</v>
      </c>
      <c r="AD286" s="4" t="s">
        <v>983</v>
      </c>
      <c r="AE286" s="4" t="s">
        <v>984</v>
      </c>
      <c r="AF286" s="4" t="s">
        <v>954</v>
      </c>
    </row>
    <row r="287" spans="1:35" ht="36" x14ac:dyDescent="0.3">
      <c r="A287" s="11" t="s">
        <v>985</v>
      </c>
      <c r="B287" s="11"/>
      <c r="C287" s="32" t="s">
        <v>304</v>
      </c>
      <c r="D287" s="21"/>
      <c r="E287" s="21"/>
      <c r="F287" s="33" t="s">
        <v>278</v>
      </c>
      <c r="G287" s="34">
        <v>0.15</v>
      </c>
      <c r="H287" s="21"/>
      <c r="I287" s="34">
        <v>19.379000000000001</v>
      </c>
      <c r="J287" s="35">
        <v>90.28</v>
      </c>
      <c r="K287" s="12"/>
      <c r="L287" s="12"/>
      <c r="M287" s="35">
        <f>ROUND(ROUND(J287, 2)*I287, 2)</f>
        <v>1749.54</v>
      </c>
      <c r="N287" s="12"/>
      <c r="O287" s="12"/>
      <c r="P287" s="35">
        <v>90.28</v>
      </c>
      <c r="Q287" s="12"/>
      <c r="R287" s="12"/>
      <c r="S287" s="35">
        <f>ROUND(ROUND(P287, 2)*I287, 2)</f>
        <v>1749.54</v>
      </c>
      <c r="T287" s="12"/>
      <c r="U287" s="36"/>
      <c r="V287" s="9">
        <f>ROUND(ROUND(P287, 2)/1.2, 2)</f>
        <v>75.23</v>
      </c>
      <c r="Y287" s="9">
        <f t="shared" si="16"/>
        <v>1457.95</v>
      </c>
      <c r="AD287" s="4" t="s">
        <v>986</v>
      </c>
      <c r="AE287" s="4" t="s">
        <v>987</v>
      </c>
      <c r="AF287" s="4" t="s">
        <v>307</v>
      </c>
    </row>
    <row r="288" spans="1:35" ht="36" x14ac:dyDescent="0.3">
      <c r="A288" s="10" t="s">
        <v>988</v>
      </c>
      <c r="B288" s="10" t="s">
        <v>989</v>
      </c>
      <c r="C288" s="14" t="s">
        <v>990</v>
      </c>
      <c r="D288" s="15"/>
      <c r="E288" s="15"/>
      <c r="F288" s="15" t="s">
        <v>102</v>
      </c>
      <c r="G288" s="16">
        <v>1</v>
      </c>
      <c r="H288" s="15"/>
      <c r="I288" s="16">
        <v>0</v>
      </c>
      <c r="J288" s="17">
        <v>0</v>
      </c>
      <c r="K288" s="18">
        <v>473</v>
      </c>
      <c r="L288" s="17">
        <f>J288+ROUND(K288, 2)</f>
        <v>473</v>
      </c>
      <c r="M288" s="17">
        <v>0</v>
      </c>
      <c r="N288" s="17">
        <v>0</v>
      </c>
      <c r="O288" s="17">
        <f>M288+N288</f>
        <v>0</v>
      </c>
      <c r="P288" s="17">
        <v>844.85</v>
      </c>
      <c r="Q288" s="19">
        <v>473</v>
      </c>
      <c r="R288" s="17">
        <f>P288+ROUND(Q288, 2)</f>
        <v>1317.85</v>
      </c>
      <c r="S288" s="17">
        <v>0</v>
      </c>
      <c r="T288" s="17">
        <v>0</v>
      </c>
      <c r="U288" s="17">
        <f>S288+T288</f>
        <v>0</v>
      </c>
      <c r="V288" s="9">
        <f>ROUND(P288 / 1.2, 2)</f>
        <v>704.04</v>
      </c>
      <c r="W288" s="9">
        <f>ROUND(Q288 / 1.2, 2)</f>
        <v>394.17</v>
      </c>
      <c r="X288" s="9">
        <f>ROUND(R288 / 1.2, 2)</f>
        <v>1098.21</v>
      </c>
      <c r="Y288" s="9">
        <f t="shared" si="16"/>
        <v>0</v>
      </c>
      <c r="Z288" s="9">
        <f>ROUND(T288 / 1.2, 2)</f>
        <v>0</v>
      </c>
      <c r="AA288" s="9">
        <f>Y288+Z288</f>
        <v>0</v>
      </c>
      <c r="AD288" s="4">
        <v>334080516</v>
      </c>
      <c r="AE288" s="4">
        <v>27245655</v>
      </c>
      <c r="AG288" s="4" t="s">
        <v>991</v>
      </c>
      <c r="AH288" s="4" t="s">
        <v>992</v>
      </c>
      <c r="AI288" s="4" t="s">
        <v>250</v>
      </c>
    </row>
    <row r="289" spans="1:35" ht="36" x14ac:dyDescent="0.3">
      <c r="A289" s="10" t="s">
        <v>993</v>
      </c>
      <c r="B289" s="10"/>
      <c r="C289" s="30" t="s">
        <v>994</v>
      </c>
      <c r="D289" s="15"/>
      <c r="E289" s="15"/>
      <c r="F289" s="25" t="s">
        <v>278</v>
      </c>
      <c r="G289" s="26">
        <v>0.7</v>
      </c>
      <c r="H289" s="15"/>
      <c r="I289" s="31">
        <v>0</v>
      </c>
      <c r="J289" s="27">
        <v>16.96</v>
      </c>
      <c r="M289" s="28">
        <f>ROUND(ROUND(J289, 2)*I289, 2)</f>
        <v>0</v>
      </c>
      <c r="P289" s="29">
        <v>16.96</v>
      </c>
      <c r="S289" s="28">
        <f>ROUND(ROUND(P289, 2)*I289, 2)</f>
        <v>0</v>
      </c>
      <c r="V289" s="9">
        <f>ROUND(ROUND(P289, 2)/1.2, 2)</f>
        <v>14.13</v>
      </c>
      <c r="Y289" s="9">
        <f t="shared" si="16"/>
        <v>0</v>
      </c>
      <c r="AD289" s="4" t="s">
        <v>995</v>
      </c>
      <c r="AE289" s="4" t="s">
        <v>996</v>
      </c>
      <c r="AF289" s="4" t="s">
        <v>997</v>
      </c>
    </row>
    <row r="290" spans="1:35" ht="36" x14ac:dyDescent="0.3">
      <c r="A290" s="10" t="s">
        <v>998</v>
      </c>
      <c r="B290" s="10"/>
      <c r="C290" s="24" t="s">
        <v>999</v>
      </c>
      <c r="D290" s="15"/>
      <c r="E290" s="15"/>
      <c r="F290" s="25" t="s">
        <v>597</v>
      </c>
      <c r="G290" s="26">
        <v>1.84</v>
      </c>
      <c r="H290" s="15"/>
      <c r="I290" s="31">
        <v>0</v>
      </c>
      <c r="J290" s="27">
        <v>450.95</v>
      </c>
      <c r="M290" s="28">
        <f>ROUND(ROUND(J290, 2)*I290, 2)</f>
        <v>0</v>
      </c>
      <c r="P290" s="29">
        <v>450.95</v>
      </c>
      <c r="S290" s="28">
        <f>ROUND(ROUND(P290, 2)*I290, 2)</f>
        <v>0</v>
      </c>
      <c r="V290" s="9">
        <f>ROUND(ROUND(P290, 2)/1.2, 2)</f>
        <v>375.79</v>
      </c>
      <c r="Y290" s="9">
        <f t="shared" si="16"/>
        <v>0</v>
      </c>
      <c r="AD290" s="4" t="s">
        <v>1000</v>
      </c>
      <c r="AE290" s="4" t="s">
        <v>1001</v>
      </c>
      <c r="AF290" s="4" t="s">
        <v>1002</v>
      </c>
    </row>
    <row r="291" spans="1:35" ht="18" x14ac:dyDescent="0.3">
      <c r="A291" s="10" t="s">
        <v>1003</v>
      </c>
      <c r="B291" s="10"/>
      <c r="C291" s="24" t="s">
        <v>858</v>
      </c>
      <c r="D291" s="15"/>
      <c r="E291" s="15"/>
      <c r="F291" s="25" t="s">
        <v>278</v>
      </c>
      <c r="G291" s="26">
        <v>0.04</v>
      </c>
      <c r="H291" s="15"/>
      <c r="I291" s="26">
        <v>0</v>
      </c>
      <c r="J291" s="27">
        <v>47.44</v>
      </c>
      <c r="M291" s="28">
        <f>ROUND(ROUND(J291, 2)*I291, 2)</f>
        <v>0</v>
      </c>
      <c r="P291" s="29">
        <v>47.44</v>
      </c>
      <c r="S291" s="28">
        <f>ROUND(ROUND(P291, 2)*I291, 2)</f>
        <v>0</v>
      </c>
      <c r="V291" s="9">
        <f>ROUND(ROUND(P291, 2)/1.2, 2)</f>
        <v>39.53</v>
      </c>
      <c r="Y291" s="9">
        <f t="shared" si="16"/>
        <v>0</v>
      </c>
      <c r="AD291" s="4" t="s">
        <v>1004</v>
      </c>
      <c r="AE291" s="4" t="s">
        <v>1005</v>
      </c>
      <c r="AF291" s="4" t="s">
        <v>861</v>
      </c>
    </row>
    <row r="292" spans="1:35" ht="36" x14ac:dyDescent="0.3">
      <c r="A292" s="10" t="s">
        <v>1006</v>
      </c>
      <c r="B292" s="10"/>
      <c r="C292" s="24" t="s">
        <v>1007</v>
      </c>
      <c r="D292" s="15"/>
      <c r="E292" s="15"/>
      <c r="F292" s="25" t="s">
        <v>278</v>
      </c>
      <c r="G292" s="26">
        <v>1.4999999999999999E-2</v>
      </c>
      <c r="H292" s="15"/>
      <c r="I292" s="26">
        <v>0</v>
      </c>
      <c r="J292" s="27">
        <v>88.8</v>
      </c>
      <c r="M292" s="28">
        <f>ROUND(ROUND(J292, 2)*I292, 2)</f>
        <v>0</v>
      </c>
      <c r="P292" s="29">
        <v>88.8</v>
      </c>
      <c r="S292" s="28">
        <f>ROUND(ROUND(P292, 2)*I292, 2)</f>
        <v>0</v>
      </c>
      <c r="V292" s="9">
        <f>ROUND(ROUND(P292, 2)/1.2, 2)</f>
        <v>74</v>
      </c>
      <c r="Y292" s="9">
        <f t="shared" si="16"/>
        <v>0</v>
      </c>
      <c r="AD292" s="4" t="s">
        <v>1008</v>
      </c>
      <c r="AE292" s="4" t="s">
        <v>1009</v>
      </c>
      <c r="AF292" s="4" t="s">
        <v>1010</v>
      </c>
    </row>
    <row r="293" spans="1:35" ht="36" x14ac:dyDescent="0.3">
      <c r="A293" s="10" t="s">
        <v>1011</v>
      </c>
      <c r="B293" s="10" t="s">
        <v>989</v>
      </c>
      <c r="C293" s="14" t="s">
        <v>990</v>
      </c>
      <c r="D293" s="15"/>
      <c r="E293" s="15"/>
      <c r="F293" s="15" t="s">
        <v>102</v>
      </c>
      <c r="G293" s="16">
        <v>1</v>
      </c>
      <c r="H293" s="15"/>
      <c r="I293" s="16">
        <v>0</v>
      </c>
      <c r="J293" s="17">
        <v>0</v>
      </c>
      <c r="K293" s="18">
        <v>473</v>
      </c>
      <c r="L293" s="17">
        <f>J293+ROUND(K293, 2)</f>
        <v>473</v>
      </c>
      <c r="M293" s="17">
        <v>0</v>
      </c>
      <c r="N293" s="17">
        <v>0</v>
      </c>
      <c r="O293" s="17">
        <f>M293+N293</f>
        <v>0</v>
      </c>
      <c r="P293" s="17">
        <v>844.85</v>
      </c>
      <c r="Q293" s="19">
        <v>473</v>
      </c>
      <c r="R293" s="17">
        <f>P293+ROUND(Q293, 2)</f>
        <v>1317.85</v>
      </c>
      <c r="S293" s="17">
        <v>0</v>
      </c>
      <c r="T293" s="17">
        <v>0</v>
      </c>
      <c r="U293" s="17">
        <f>S293+T293</f>
        <v>0</v>
      </c>
      <c r="V293" s="9">
        <f>ROUND(P293 / 1.2, 2)</f>
        <v>704.04</v>
      </c>
      <c r="W293" s="9">
        <f>ROUND(Q293 / 1.2, 2)</f>
        <v>394.17</v>
      </c>
      <c r="X293" s="9">
        <f>ROUND(R293 / 1.2, 2)</f>
        <v>1098.21</v>
      </c>
      <c r="Y293" s="9">
        <f t="shared" si="16"/>
        <v>0</v>
      </c>
      <c r="Z293" s="9">
        <f>ROUND(T293 / 1.2, 2)</f>
        <v>0</v>
      </c>
      <c r="AA293" s="9">
        <f>Y293+Z293</f>
        <v>0</v>
      </c>
      <c r="AD293" s="4">
        <v>334080640</v>
      </c>
      <c r="AE293" s="4">
        <v>27245656</v>
      </c>
      <c r="AG293" s="4" t="s">
        <v>991</v>
      </c>
      <c r="AH293" s="4" t="s">
        <v>992</v>
      </c>
      <c r="AI293" s="4" t="s">
        <v>250</v>
      </c>
    </row>
    <row r="294" spans="1:35" ht="36" x14ac:dyDescent="0.3">
      <c r="A294" s="10" t="s">
        <v>1012</v>
      </c>
      <c r="B294" s="10"/>
      <c r="C294" s="24" t="s">
        <v>1007</v>
      </c>
      <c r="D294" s="15"/>
      <c r="E294" s="15"/>
      <c r="F294" s="25" t="s">
        <v>278</v>
      </c>
      <c r="G294" s="26">
        <v>1.4999999999999999E-2</v>
      </c>
      <c r="H294" s="15"/>
      <c r="I294" s="26">
        <v>0</v>
      </c>
      <c r="J294" s="27">
        <v>88.8</v>
      </c>
      <c r="M294" s="28">
        <f>ROUND(ROUND(J294, 2)*I294, 2)</f>
        <v>0</v>
      </c>
      <c r="P294" s="29">
        <v>88.8</v>
      </c>
      <c r="S294" s="28">
        <f>ROUND(ROUND(P294, 2)*I294, 2)</f>
        <v>0</v>
      </c>
      <c r="V294" s="9">
        <f>ROUND(ROUND(P294, 2)/1.2, 2)</f>
        <v>74</v>
      </c>
      <c r="Y294" s="9">
        <f t="shared" si="16"/>
        <v>0</v>
      </c>
      <c r="AD294" s="4" t="s">
        <v>1013</v>
      </c>
      <c r="AE294" s="4" t="s">
        <v>1014</v>
      </c>
      <c r="AF294" s="4" t="s">
        <v>1010</v>
      </c>
    </row>
    <row r="295" spans="1:35" ht="18" x14ac:dyDescent="0.3">
      <c r="A295" s="10" t="s">
        <v>1015</v>
      </c>
      <c r="B295" s="10"/>
      <c r="C295" s="24" t="s">
        <v>858</v>
      </c>
      <c r="D295" s="15"/>
      <c r="E295" s="15"/>
      <c r="F295" s="25" t="s">
        <v>278</v>
      </c>
      <c r="G295" s="26">
        <v>0.04</v>
      </c>
      <c r="H295" s="15"/>
      <c r="I295" s="26">
        <v>0</v>
      </c>
      <c r="J295" s="27">
        <v>47.44</v>
      </c>
      <c r="M295" s="28">
        <f>ROUND(ROUND(J295, 2)*I295, 2)</f>
        <v>0</v>
      </c>
      <c r="P295" s="29">
        <v>47.44</v>
      </c>
      <c r="S295" s="28">
        <f>ROUND(ROUND(P295, 2)*I295, 2)</f>
        <v>0</v>
      </c>
      <c r="V295" s="9">
        <f>ROUND(ROUND(P295, 2)/1.2, 2)</f>
        <v>39.53</v>
      </c>
      <c r="Y295" s="9">
        <f t="shared" si="16"/>
        <v>0</v>
      </c>
      <c r="AD295" s="4" t="s">
        <v>1016</v>
      </c>
      <c r="AE295" s="4" t="s">
        <v>1017</v>
      </c>
      <c r="AF295" s="4" t="s">
        <v>861</v>
      </c>
    </row>
    <row r="296" spans="1:35" ht="36" x14ac:dyDescent="0.3">
      <c r="A296" s="10" t="s">
        <v>1018</v>
      </c>
      <c r="B296" s="10"/>
      <c r="C296" s="24" t="s">
        <v>999</v>
      </c>
      <c r="D296" s="15"/>
      <c r="E296" s="15"/>
      <c r="F296" s="25" t="s">
        <v>597</v>
      </c>
      <c r="G296" s="26">
        <v>1.84</v>
      </c>
      <c r="H296" s="15"/>
      <c r="I296" s="31">
        <v>0</v>
      </c>
      <c r="J296" s="27">
        <v>450.95</v>
      </c>
      <c r="M296" s="28">
        <f>ROUND(ROUND(J296, 2)*I296, 2)</f>
        <v>0</v>
      </c>
      <c r="P296" s="29">
        <v>450.95</v>
      </c>
      <c r="S296" s="28">
        <f>ROUND(ROUND(P296, 2)*I296, 2)</f>
        <v>0</v>
      </c>
      <c r="V296" s="9">
        <f>ROUND(ROUND(P296, 2)/1.2, 2)</f>
        <v>375.79</v>
      </c>
      <c r="Y296" s="9">
        <f t="shared" si="16"/>
        <v>0</v>
      </c>
      <c r="AD296" s="4" t="s">
        <v>1019</v>
      </c>
      <c r="AE296" s="4" t="s">
        <v>1020</v>
      </c>
      <c r="AF296" s="4" t="s">
        <v>1002</v>
      </c>
    </row>
    <row r="297" spans="1:35" ht="36" x14ac:dyDescent="0.3">
      <c r="A297" s="10" t="s">
        <v>1021</v>
      </c>
      <c r="B297" s="10"/>
      <c r="C297" s="30" t="s">
        <v>994</v>
      </c>
      <c r="D297" s="15"/>
      <c r="E297" s="15"/>
      <c r="F297" s="25" t="s">
        <v>278</v>
      </c>
      <c r="G297" s="26">
        <v>0.7</v>
      </c>
      <c r="H297" s="15"/>
      <c r="I297" s="31">
        <v>0</v>
      </c>
      <c r="J297" s="27">
        <v>16.96</v>
      </c>
      <c r="M297" s="28">
        <f>ROUND(ROUND(J297, 2)*I297, 2)</f>
        <v>0</v>
      </c>
      <c r="P297" s="29">
        <v>16.96</v>
      </c>
      <c r="S297" s="28">
        <f>ROUND(ROUND(P297, 2)*I297, 2)</f>
        <v>0</v>
      </c>
      <c r="V297" s="9">
        <f>ROUND(ROUND(P297, 2)/1.2, 2)</f>
        <v>14.13</v>
      </c>
      <c r="Y297" s="9">
        <f t="shared" si="16"/>
        <v>0</v>
      </c>
      <c r="AD297" s="4" t="s">
        <v>1022</v>
      </c>
      <c r="AE297" s="4" t="s">
        <v>1023</v>
      </c>
      <c r="AF297" s="4" t="s">
        <v>997</v>
      </c>
    </row>
    <row r="298" spans="1:35" ht="36" x14ac:dyDescent="0.3">
      <c r="A298" s="10" t="s">
        <v>1024</v>
      </c>
      <c r="B298" s="10" t="s">
        <v>989</v>
      </c>
      <c r="C298" s="14" t="s">
        <v>990</v>
      </c>
      <c r="D298" s="15"/>
      <c r="E298" s="15" t="s">
        <v>1025</v>
      </c>
      <c r="F298" s="15" t="s">
        <v>102</v>
      </c>
      <c r="G298" s="16">
        <v>1</v>
      </c>
      <c r="H298" s="15"/>
      <c r="I298" s="16">
        <v>0</v>
      </c>
      <c r="J298" s="17">
        <v>0</v>
      </c>
      <c r="K298" s="18">
        <v>473</v>
      </c>
      <c r="L298" s="17">
        <f>J298+ROUND(K298, 2)</f>
        <v>473</v>
      </c>
      <c r="M298" s="17">
        <v>0</v>
      </c>
      <c r="N298" s="17">
        <v>0</v>
      </c>
      <c r="O298" s="17">
        <f>M298+N298</f>
        <v>0</v>
      </c>
      <c r="P298" s="17">
        <v>842.95</v>
      </c>
      <c r="Q298" s="19">
        <v>473</v>
      </c>
      <c r="R298" s="17">
        <f>P298+ROUND(Q298, 2)</f>
        <v>1315.95</v>
      </c>
      <c r="S298" s="17">
        <v>0</v>
      </c>
      <c r="T298" s="17">
        <v>0</v>
      </c>
      <c r="U298" s="17">
        <f>S298+T298</f>
        <v>0</v>
      </c>
      <c r="V298" s="9">
        <f>ROUND(P298 / 1.2, 2)</f>
        <v>702.46</v>
      </c>
      <c r="W298" s="9">
        <f>ROUND(Q298 / 1.2, 2)</f>
        <v>394.17</v>
      </c>
      <c r="X298" s="9">
        <f>ROUND(R298 / 1.2, 2)</f>
        <v>1096.6300000000001</v>
      </c>
      <c r="Y298" s="9">
        <f t="shared" si="16"/>
        <v>0</v>
      </c>
      <c r="Z298" s="9">
        <f>ROUND(T298 / 1.2, 2)</f>
        <v>0</v>
      </c>
      <c r="AA298" s="9">
        <f>Y298+Z298</f>
        <v>0</v>
      </c>
      <c r="AD298" s="4">
        <v>334080641</v>
      </c>
      <c r="AE298" s="4">
        <v>27245783</v>
      </c>
      <c r="AG298" s="4" t="s">
        <v>991</v>
      </c>
      <c r="AH298" s="4" t="s">
        <v>992</v>
      </c>
      <c r="AI298" s="4" t="s">
        <v>250</v>
      </c>
    </row>
    <row r="299" spans="1:35" ht="36" x14ac:dyDescent="0.3">
      <c r="A299" s="10" t="s">
        <v>1026</v>
      </c>
      <c r="B299" s="10"/>
      <c r="C299" s="30" t="s">
        <v>994</v>
      </c>
      <c r="D299" s="15"/>
      <c r="E299" s="15"/>
      <c r="F299" s="25" t="s">
        <v>278</v>
      </c>
      <c r="G299" s="26">
        <v>0.7</v>
      </c>
      <c r="H299" s="15"/>
      <c r="I299" s="31">
        <v>0</v>
      </c>
      <c r="J299" s="27">
        <v>16.96</v>
      </c>
      <c r="M299" s="28">
        <f>ROUND(ROUND(J299, 2)*I299, 2)</f>
        <v>0</v>
      </c>
      <c r="P299" s="29">
        <v>16.96</v>
      </c>
      <c r="S299" s="28">
        <f>ROUND(ROUND(P299, 2)*I299, 2)</f>
        <v>0</v>
      </c>
      <c r="V299" s="9">
        <f>ROUND(ROUND(P299, 2)/1.2, 2)</f>
        <v>14.13</v>
      </c>
      <c r="Y299" s="9">
        <f t="shared" si="16"/>
        <v>0</v>
      </c>
      <c r="AD299" s="4" t="s">
        <v>1027</v>
      </c>
      <c r="AE299" s="4" t="s">
        <v>1028</v>
      </c>
      <c r="AF299" s="4" t="s">
        <v>997</v>
      </c>
    </row>
    <row r="300" spans="1:35" ht="36" x14ac:dyDescent="0.3">
      <c r="A300" s="10" t="s">
        <v>1029</v>
      </c>
      <c r="B300" s="10"/>
      <c r="C300" s="24" t="s">
        <v>999</v>
      </c>
      <c r="D300" s="15"/>
      <c r="E300" s="15"/>
      <c r="F300" s="25" t="s">
        <v>597</v>
      </c>
      <c r="G300" s="26">
        <v>1.84</v>
      </c>
      <c r="H300" s="15"/>
      <c r="I300" s="31">
        <v>0</v>
      </c>
      <c r="J300" s="27">
        <v>450.95</v>
      </c>
      <c r="M300" s="28">
        <f>ROUND(ROUND(J300, 2)*I300, 2)</f>
        <v>0</v>
      </c>
      <c r="P300" s="29">
        <v>450.95</v>
      </c>
      <c r="S300" s="28">
        <f>ROUND(ROUND(P300, 2)*I300, 2)</f>
        <v>0</v>
      </c>
      <c r="V300" s="9">
        <f>ROUND(ROUND(P300, 2)/1.2, 2)</f>
        <v>375.79</v>
      </c>
      <c r="Y300" s="9">
        <f t="shared" si="16"/>
        <v>0</v>
      </c>
      <c r="AD300" s="4" t="s">
        <v>1030</v>
      </c>
      <c r="AE300" s="4" t="s">
        <v>1031</v>
      </c>
      <c r="AF300" s="4" t="s">
        <v>1002</v>
      </c>
    </row>
    <row r="301" spans="1:35" ht="36" x14ac:dyDescent="0.3">
      <c r="A301" s="10" t="s">
        <v>1032</v>
      </c>
      <c r="B301" s="10"/>
      <c r="C301" s="24" t="s">
        <v>1007</v>
      </c>
      <c r="D301" s="15"/>
      <c r="E301" s="15"/>
      <c r="F301" s="25" t="s">
        <v>278</v>
      </c>
      <c r="G301" s="26">
        <v>1.4999999999999999E-2</v>
      </c>
      <c r="H301" s="15"/>
      <c r="I301" s="26">
        <v>0</v>
      </c>
      <c r="J301" s="27">
        <v>88.8</v>
      </c>
      <c r="M301" s="28">
        <f>ROUND(ROUND(J301, 2)*I301, 2)</f>
        <v>0</v>
      </c>
      <c r="P301" s="29">
        <v>88.8</v>
      </c>
      <c r="S301" s="28">
        <f>ROUND(ROUND(P301, 2)*I301, 2)</f>
        <v>0</v>
      </c>
      <c r="V301" s="9">
        <f>ROUND(ROUND(P301, 2)/1.2, 2)</f>
        <v>74</v>
      </c>
      <c r="Y301" s="9">
        <f t="shared" si="16"/>
        <v>0</v>
      </c>
      <c r="AD301" s="4" t="s">
        <v>1033</v>
      </c>
      <c r="AE301" s="4" t="s">
        <v>1034</v>
      </c>
      <c r="AF301" s="4" t="s">
        <v>1010</v>
      </c>
    </row>
    <row r="302" spans="1:35" ht="36" x14ac:dyDescent="0.3">
      <c r="A302" s="10" t="s">
        <v>1035</v>
      </c>
      <c r="B302" s="10" t="s">
        <v>989</v>
      </c>
      <c r="C302" s="14" t="s">
        <v>990</v>
      </c>
      <c r="D302" s="15"/>
      <c r="E302" s="15" t="s">
        <v>1036</v>
      </c>
      <c r="F302" s="15" t="s">
        <v>102</v>
      </c>
      <c r="G302" s="16">
        <v>1</v>
      </c>
      <c r="H302" s="15"/>
      <c r="I302" s="16">
        <v>103.54</v>
      </c>
      <c r="J302" s="17">
        <v>832.98</v>
      </c>
      <c r="K302" s="18">
        <v>473</v>
      </c>
      <c r="L302" s="17">
        <f>J302+ROUND(K302, 2)</f>
        <v>1305.98</v>
      </c>
      <c r="M302" s="17">
        <v>86246.75</v>
      </c>
      <c r="N302" s="17">
        <v>48974.42</v>
      </c>
      <c r="O302" s="17">
        <f>M302+N302</f>
        <v>135221.16999999998</v>
      </c>
      <c r="P302" s="17">
        <v>832.98</v>
      </c>
      <c r="Q302" s="19">
        <v>709.5</v>
      </c>
      <c r="R302" s="17">
        <f>P302+ROUND(Q302, 2)</f>
        <v>1542.48</v>
      </c>
      <c r="S302" s="17">
        <v>86246.75</v>
      </c>
      <c r="T302" s="17">
        <v>73461.63</v>
      </c>
      <c r="U302" s="17">
        <f>S302+T302</f>
        <v>159708.38</v>
      </c>
      <c r="V302" s="9">
        <f>ROUND(P302 / 1.2, 2)</f>
        <v>694.15</v>
      </c>
      <c r="W302" s="9">
        <f>ROUND(Q302 / 1.2, 2)</f>
        <v>591.25</v>
      </c>
      <c r="X302" s="9">
        <f>ROUND(R302 / 1.2, 2)</f>
        <v>1285.4000000000001</v>
      </c>
      <c r="Y302" s="9">
        <f t="shared" si="16"/>
        <v>71872.289999999994</v>
      </c>
      <c r="Z302" s="9">
        <f>ROUND(T302 / 1.2, 2)</f>
        <v>61218.03</v>
      </c>
      <c r="AA302" s="9">
        <f>Y302+Z302</f>
        <v>133090.32</v>
      </c>
      <c r="AD302" s="4">
        <v>334080642</v>
      </c>
      <c r="AE302" s="4">
        <v>27245785</v>
      </c>
      <c r="AG302" s="4" t="s">
        <v>991</v>
      </c>
      <c r="AH302" s="4" t="s">
        <v>992</v>
      </c>
      <c r="AI302" s="4" t="s">
        <v>250</v>
      </c>
    </row>
    <row r="303" spans="1:35" ht="36" x14ac:dyDescent="0.3">
      <c r="A303" s="10" t="s">
        <v>1037</v>
      </c>
      <c r="B303" s="10"/>
      <c r="C303" s="24" t="s">
        <v>1007</v>
      </c>
      <c r="D303" s="15"/>
      <c r="E303" s="15"/>
      <c r="F303" s="25" t="s">
        <v>278</v>
      </c>
      <c r="G303" s="26">
        <v>1.4999999999999999E-2</v>
      </c>
      <c r="H303" s="15"/>
      <c r="I303" s="26">
        <v>1.5529999999999999</v>
      </c>
      <c r="J303" s="27">
        <v>88.8</v>
      </c>
      <c r="M303" s="28">
        <f>ROUND(ROUND(J303, 2)*I303, 2)</f>
        <v>137.91</v>
      </c>
      <c r="P303" s="29">
        <v>88.8</v>
      </c>
      <c r="S303" s="28">
        <f>ROUND(ROUND(P303, 2)*I303, 2)</f>
        <v>137.91</v>
      </c>
      <c r="V303" s="9">
        <f>ROUND(ROUND(P303, 2)/1.2, 2)</f>
        <v>74</v>
      </c>
      <c r="Y303" s="9">
        <f t="shared" si="16"/>
        <v>114.93</v>
      </c>
      <c r="AD303" s="4" t="s">
        <v>1038</v>
      </c>
      <c r="AE303" s="4" t="s">
        <v>1039</v>
      </c>
      <c r="AF303" s="4" t="s">
        <v>1010</v>
      </c>
    </row>
    <row r="304" spans="1:35" ht="18" x14ac:dyDescent="0.3">
      <c r="A304" s="10" t="s">
        <v>1040</v>
      </c>
      <c r="B304" s="10"/>
      <c r="C304" s="24" t="s">
        <v>858</v>
      </c>
      <c r="D304" s="15"/>
      <c r="E304" s="15"/>
      <c r="F304" s="25" t="s">
        <v>278</v>
      </c>
      <c r="G304" s="26">
        <v>0.04</v>
      </c>
      <c r="H304" s="15"/>
      <c r="I304" s="26">
        <v>4.1420000000000003</v>
      </c>
      <c r="J304" s="27">
        <v>47.44</v>
      </c>
      <c r="M304" s="28">
        <f>ROUND(ROUND(J304, 2)*I304, 2)</f>
        <v>196.5</v>
      </c>
      <c r="P304" s="29">
        <v>47.44</v>
      </c>
      <c r="S304" s="28">
        <f>ROUND(ROUND(P304, 2)*I304, 2)</f>
        <v>196.5</v>
      </c>
      <c r="V304" s="9">
        <f>ROUND(ROUND(P304, 2)/1.2, 2)</f>
        <v>39.53</v>
      </c>
      <c r="Y304" s="9">
        <f t="shared" si="16"/>
        <v>163.75</v>
      </c>
      <c r="AD304" s="4" t="s">
        <v>1041</v>
      </c>
      <c r="AE304" s="4" t="s">
        <v>1042</v>
      </c>
      <c r="AF304" s="4" t="s">
        <v>861</v>
      </c>
    </row>
    <row r="305" spans="1:35" ht="90" x14ac:dyDescent="0.3">
      <c r="A305" s="10" t="s">
        <v>1043</v>
      </c>
      <c r="B305" s="10"/>
      <c r="C305" s="24" t="s">
        <v>999</v>
      </c>
      <c r="D305" s="15"/>
      <c r="E305" s="15" t="s">
        <v>1044</v>
      </c>
      <c r="F305" s="25" t="s">
        <v>597</v>
      </c>
      <c r="G305" s="26">
        <v>1.84</v>
      </c>
      <c r="H305" s="15"/>
      <c r="I305" s="31">
        <v>190.51400000000001</v>
      </c>
      <c r="J305" s="27">
        <v>450.95</v>
      </c>
      <c r="M305" s="28">
        <f>ROUND(ROUND(J305, 2)*I305, 2)</f>
        <v>85912.29</v>
      </c>
      <c r="P305" s="29">
        <v>450.95</v>
      </c>
      <c r="S305" s="28">
        <f>ROUND(ROUND(P305, 2)*I305, 2)</f>
        <v>85912.29</v>
      </c>
      <c r="V305" s="9">
        <f>ROUND(ROUND(P305, 2)/1.2, 2)</f>
        <v>375.79</v>
      </c>
      <c r="Y305" s="9">
        <f t="shared" si="16"/>
        <v>71593.58</v>
      </c>
      <c r="AD305" s="4" t="s">
        <v>1045</v>
      </c>
      <c r="AE305" s="4" t="s">
        <v>1046</v>
      </c>
      <c r="AF305" s="4" t="s">
        <v>1002</v>
      </c>
    </row>
    <row r="306" spans="1:35" ht="36" x14ac:dyDescent="0.3">
      <c r="A306" s="10" t="s">
        <v>1047</v>
      </c>
      <c r="B306" s="10" t="s">
        <v>989</v>
      </c>
      <c r="C306" s="14" t="s">
        <v>990</v>
      </c>
      <c r="D306" s="15"/>
      <c r="E306" s="15" t="s">
        <v>1048</v>
      </c>
      <c r="F306" s="15" t="s">
        <v>102</v>
      </c>
      <c r="G306" s="16">
        <v>1</v>
      </c>
      <c r="H306" s="15"/>
      <c r="I306" s="16">
        <v>379.83</v>
      </c>
      <c r="J306" s="17">
        <v>844.26</v>
      </c>
      <c r="K306" s="18">
        <v>473</v>
      </c>
      <c r="L306" s="17">
        <f>J306+ROUND(K306, 2)</f>
        <v>1317.26</v>
      </c>
      <c r="M306" s="17">
        <v>320675.28000000003</v>
      </c>
      <c r="N306" s="17">
        <v>179659.59</v>
      </c>
      <c r="O306" s="17">
        <f>M306+N306</f>
        <v>500334.87</v>
      </c>
      <c r="P306" s="17">
        <v>844.25</v>
      </c>
      <c r="Q306" s="19">
        <v>709.5</v>
      </c>
      <c r="R306" s="17">
        <f>P306+ROUND(Q306, 2)</f>
        <v>1553.75</v>
      </c>
      <c r="S306" s="17">
        <v>320671.48</v>
      </c>
      <c r="T306" s="17">
        <v>269489.39</v>
      </c>
      <c r="U306" s="17">
        <f>S306+T306</f>
        <v>590160.87</v>
      </c>
      <c r="V306" s="9">
        <f>ROUND(P306 / 1.2, 2)</f>
        <v>703.54</v>
      </c>
      <c r="W306" s="9">
        <f>ROUND(Q306 / 1.2, 2)</f>
        <v>591.25</v>
      </c>
      <c r="X306" s="9">
        <f>ROUND(R306 / 1.2, 2)</f>
        <v>1294.79</v>
      </c>
      <c r="Y306" s="9">
        <f t="shared" si="16"/>
        <v>267226.23</v>
      </c>
      <c r="Z306" s="9">
        <f>ROUND(T306 / 1.2, 2)</f>
        <v>224574.49</v>
      </c>
      <c r="AA306" s="9">
        <f>Y306+Z306</f>
        <v>491800.72</v>
      </c>
      <c r="AD306" s="4">
        <v>334080643</v>
      </c>
      <c r="AE306" s="4">
        <v>27245786</v>
      </c>
      <c r="AG306" s="4" t="s">
        <v>991</v>
      </c>
      <c r="AH306" s="4" t="s">
        <v>992</v>
      </c>
      <c r="AI306" s="4" t="s">
        <v>250</v>
      </c>
    </row>
    <row r="307" spans="1:35" ht="36" x14ac:dyDescent="0.3">
      <c r="A307" s="10" t="s">
        <v>1049</v>
      </c>
      <c r="B307" s="10"/>
      <c r="C307" s="30" t="s">
        <v>994</v>
      </c>
      <c r="D307" s="15"/>
      <c r="E307" s="15"/>
      <c r="F307" s="25" t="s">
        <v>278</v>
      </c>
      <c r="G307" s="26">
        <v>0.7</v>
      </c>
      <c r="H307" s="15"/>
      <c r="I307" s="31">
        <v>265.88099999999997</v>
      </c>
      <c r="J307" s="27">
        <v>16.12</v>
      </c>
      <c r="M307" s="28">
        <f>ROUND(ROUND(J307, 2)*I307, 2)</f>
        <v>4286</v>
      </c>
      <c r="P307" s="29">
        <v>16.11</v>
      </c>
      <c r="S307" s="28">
        <f>ROUND(ROUND(P307, 2)*I307, 2)</f>
        <v>4283.34</v>
      </c>
      <c r="V307" s="9">
        <f>ROUND(ROUND(P307, 2)/1.2, 2)</f>
        <v>13.43</v>
      </c>
      <c r="Y307" s="9">
        <f t="shared" si="16"/>
        <v>3569.45</v>
      </c>
      <c r="AD307" s="4" t="s">
        <v>1050</v>
      </c>
      <c r="AE307" s="4" t="s">
        <v>1051</v>
      </c>
      <c r="AF307" s="4" t="s">
        <v>997</v>
      </c>
    </row>
    <row r="308" spans="1:35" ht="72" x14ac:dyDescent="0.3">
      <c r="A308" s="10" t="s">
        <v>1052</v>
      </c>
      <c r="B308" s="10"/>
      <c r="C308" s="24" t="s">
        <v>999</v>
      </c>
      <c r="D308" s="15"/>
      <c r="E308" s="15" t="s">
        <v>1053</v>
      </c>
      <c r="F308" s="25" t="s">
        <v>597</v>
      </c>
      <c r="G308" s="26">
        <v>1.84</v>
      </c>
      <c r="H308" s="15"/>
      <c r="I308" s="31">
        <v>698.88699999999994</v>
      </c>
      <c r="J308" s="27">
        <v>450.95</v>
      </c>
      <c r="M308" s="28">
        <f>ROUND(ROUND(J308, 2)*I308, 2)</f>
        <v>315163.09000000003</v>
      </c>
      <c r="P308" s="29">
        <v>450.95</v>
      </c>
      <c r="S308" s="28">
        <f>ROUND(ROUND(P308, 2)*I308, 2)</f>
        <v>315163.09000000003</v>
      </c>
      <c r="V308" s="9">
        <f>ROUND(ROUND(P308, 2)/1.2, 2)</f>
        <v>375.79</v>
      </c>
      <c r="Y308" s="9">
        <f t="shared" si="16"/>
        <v>262635.90999999997</v>
      </c>
      <c r="AD308" s="4" t="s">
        <v>1054</v>
      </c>
      <c r="AE308" s="4" t="s">
        <v>1055</v>
      </c>
      <c r="AF308" s="4" t="s">
        <v>1002</v>
      </c>
    </row>
    <row r="309" spans="1:35" ht="18" x14ac:dyDescent="0.3">
      <c r="A309" s="10" t="s">
        <v>1056</v>
      </c>
      <c r="B309" s="10"/>
      <c r="C309" s="24" t="s">
        <v>858</v>
      </c>
      <c r="D309" s="15"/>
      <c r="E309" s="15"/>
      <c r="F309" s="25" t="s">
        <v>278</v>
      </c>
      <c r="G309" s="26">
        <v>0.04</v>
      </c>
      <c r="H309" s="15"/>
      <c r="I309" s="26">
        <v>15.193</v>
      </c>
      <c r="J309" s="27">
        <v>47.44</v>
      </c>
      <c r="M309" s="28">
        <f>ROUND(ROUND(J309, 2)*I309, 2)</f>
        <v>720.76</v>
      </c>
      <c r="P309" s="29">
        <v>47.44</v>
      </c>
      <c r="S309" s="28">
        <f>ROUND(ROUND(P309, 2)*I309, 2)</f>
        <v>720.76</v>
      </c>
      <c r="V309" s="9">
        <f>ROUND(ROUND(P309, 2)/1.2, 2)</f>
        <v>39.53</v>
      </c>
      <c r="Y309" s="9">
        <f t="shared" ref="Y309:Y372" si="17">ROUND(S309 / 1.2, 2)</f>
        <v>600.63</v>
      </c>
      <c r="AD309" s="4" t="s">
        <v>1057</v>
      </c>
      <c r="AE309" s="4" t="s">
        <v>1058</v>
      </c>
      <c r="AF309" s="4" t="s">
        <v>861</v>
      </c>
    </row>
    <row r="310" spans="1:35" ht="36" x14ac:dyDescent="0.3">
      <c r="A310" s="10" t="s">
        <v>1059</v>
      </c>
      <c r="B310" s="10"/>
      <c r="C310" s="24" t="s">
        <v>1007</v>
      </c>
      <c r="D310" s="15"/>
      <c r="E310" s="15"/>
      <c r="F310" s="25" t="s">
        <v>278</v>
      </c>
      <c r="G310" s="26">
        <v>1.4999999999999999E-2</v>
      </c>
      <c r="H310" s="15"/>
      <c r="I310" s="26">
        <v>5.6970000000000001</v>
      </c>
      <c r="J310" s="27">
        <v>88.8</v>
      </c>
      <c r="M310" s="28">
        <f>ROUND(ROUND(J310, 2)*I310, 2)</f>
        <v>505.89</v>
      </c>
      <c r="P310" s="29">
        <v>88.8</v>
      </c>
      <c r="S310" s="28">
        <f>ROUND(ROUND(P310, 2)*I310, 2)</f>
        <v>505.89</v>
      </c>
      <c r="V310" s="9">
        <f>ROUND(ROUND(P310, 2)/1.2, 2)</f>
        <v>74</v>
      </c>
      <c r="Y310" s="9">
        <f t="shared" si="17"/>
        <v>421.58</v>
      </c>
      <c r="AD310" s="4" t="s">
        <v>1060</v>
      </c>
      <c r="AE310" s="4" t="s">
        <v>1061</v>
      </c>
      <c r="AF310" s="4" t="s">
        <v>1010</v>
      </c>
    </row>
    <row r="311" spans="1:35" ht="36" x14ac:dyDescent="0.3">
      <c r="A311" s="10" t="s">
        <v>1062</v>
      </c>
      <c r="B311" s="10" t="s">
        <v>989</v>
      </c>
      <c r="C311" s="14" t="s">
        <v>990</v>
      </c>
      <c r="D311" s="15"/>
      <c r="E311" s="15" t="s">
        <v>1025</v>
      </c>
      <c r="F311" s="15" t="s">
        <v>102</v>
      </c>
      <c r="G311" s="16">
        <v>1</v>
      </c>
      <c r="H311" s="15"/>
      <c r="I311" s="16">
        <v>78</v>
      </c>
      <c r="J311" s="17">
        <v>844.26</v>
      </c>
      <c r="K311" s="18">
        <v>473</v>
      </c>
      <c r="L311" s="17">
        <f>J311+ROUND(K311, 2)</f>
        <v>1317.26</v>
      </c>
      <c r="M311" s="17">
        <v>65852.28</v>
      </c>
      <c r="N311" s="17">
        <v>36894</v>
      </c>
      <c r="O311" s="17">
        <f>M311+N311</f>
        <v>102746.28</v>
      </c>
      <c r="P311" s="17">
        <v>844.25</v>
      </c>
      <c r="Q311" s="19">
        <v>709.5</v>
      </c>
      <c r="R311" s="17">
        <f>P311+ROUND(Q311, 2)</f>
        <v>1553.75</v>
      </c>
      <c r="S311" s="17">
        <v>65851.5</v>
      </c>
      <c r="T311" s="17">
        <v>55341</v>
      </c>
      <c r="U311" s="17">
        <f>S311+T311</f>
        <v>121192.5</v>
      </c>
      <c r="V311" s="9">
        <f>ROUND(P311 / 1.2, 2)</f>
        <v>703.54</v>
      </c>
      <c r="W311" s="9">
        <f>ROUND(Q311 / 1.2, 2)</f>
        <v>591.25</v>
      </c>
      <c r="X311" s="9">
        <f>ROUND(R311 / 1.2, 2)</f>
        <v>1294.79</v>
      </c>
      <c r="Y311" s="9">
        <f t="shared" si="17"/>
        <v>54876.25</v>
      </c>
      <c r="Z311" s="9">
        <f>ROUND(T311 / 1.2, 2)</f>
        <v>46117.5</v>
      </c>
      <c r="AA311" s="9">
        <f>Y311+Z311</f>
        <v>100993.75</v>
      </c>
      <c r="AD311" s="4">
        <v>334080644</v>
      </c>
      <c r="AE311" s="4">
        <v>27245784</v>
      </c>
      <c r="AG311" s="4" t="s">
        <v>991</v>
      </c>
      <c r="AH311" s="4" t="s">
        <v>992</v>
      </c>
      <c r="AI311" s="4" t="s">
        <v>250</v>
      </c>
    </row>
    <row r="312" spans="1:35" ht="36" x14ac:dyDescent="0.3">
      <c r="A312" s="10" t="s">
        <v>1063</v>
      </c>
      <c r="B312" s="10"/>
      <c r="C312" s="24" t="s">
        <v>1007</v>
      </c>
      <c r="D312" s="15"/>
      <c r="E312" s="15"/>
      <c r="F312" s="25" t="s">
        <v>278</v>
      </c>
      <c r="G312" s="26">
        <v>1.4999999999999999E-2</v>
      </c>
      <c r="H312" s="15"/>
      <c r="I312" s="26">
        <v>1.17</v>
      </c>
      <c r="J312" s="27">
        <v>88.8</v>
      </c>
      <c r="M312" s="28">
        <f>ROUND(ROUND(J312, 2)*I312, 2)</f>
        <v>103.9</v>
      </c>
      <c r="P312" s="29">
        <v>88.8</v>
      </c>
      <c r="S312" s="28">
        <f>ROUND(ROUND(P312, 2)*I312, 2)</f>
        <v>103.9</v>
      </c>
      <c r="V312" s="9">
        <f>ROUND(ROUND(P312, 2)/1.2, 2)</f>
        <v>74</v>
      </c>
      <c r="Y312" s="9">
        <f t="shared" si="17"/>
        <v>86.58</v>
      </c>
      <c r="AD312" s="4" t="s">
        <v>1064</v>
      </c>
      <c r="AE312" s="4" t="s">
        <v>1065</v>
      </c>
      <c r="AF312" s="4" t="s">
        <v>1010</v>
      </c>
    </row>
    <row r="313" spans="1:35" ht="18" x14ac:dyDescent="0.3">
      <c r="A313" s="10" t="s">
        <v>1066</v>
      </c>
      <c r="B313" s="10"/>
      <c r="C313" s="24" t="s">
        <v>858</v>
      </c>
      <c r="D313" s="15"/>
      <c r="E313" s="15"/>
      <c r="F313" s="25" t="s">
        <v>278</v>
      </c>
      <c r="G313" s="26">
        <v>0.04</v>
      </c>
      <c r="H313" s="15"/>
      <c r="I313" s="26">
        <v>3.12</v>
      </c>
      <c r="J313" s="27">
        <v>47.44</v>
      </c>
      <c r="M313" s="28">
        <f>ROUND(ROUND(J313, 2)*I313, 2)</f>
        <v>148.01</v>
      </c>
      <c r="P313" s="29">
        <v>47.44</v>
      </c>
      <c r="S313" s="28">
        <f>ROUND(ROUND(P313, 2)*I313, 2)</f>
        <v>148.01</v>
      </c>
      <c r="V313" s="9">
        <f>ROUND(ROUND(P313, 2)/1.2, 2)</f>
        <v>39.53</v>
      </c>
      <c r="Y313" s="9">
        <f t="shared" si="17"/>
        <v>123.34</v>
      </c>
      <c r="AD313" s="4" t="s">
        <v>1067</v>
      </c>
      <c r="AE313" s="4" t="s">
        <v>1068</v>
      </c>
      <c r="AF313" s="4" t="s">
        <v>861</v>
      </c>
    </row>
    <row r="314" spans="1:35" ht="54" x14ac:dyDescent="0.3">
      <c r="A314" s="10" t="s">
        <v>1069</v>
      </c>
      <c r="B314" s="10"/>
      <c r="C314" s="24" t="s">
        <v>999</v>
      </c>
      <c r="D314" s="15"/>
      <c r="E314" s="15" t="s">
        <v>1070</v>
      </c>
      <c r="F314" s="25" t="s">
        <v>597</v>
      </c>
      <c r="G314" s="26">
        <v>1.84</v>
      </c>
      <c r="H314" s="15"/>
      <c r="I314" s="31">
        <v>143.52000000000001</v>
      </c>
      <c r="J314" s="27">
        <v>450.95</v>
      </c>
      <c r="M314" s="28">
        <f>ROUND(ROUND(J314, 2)*I314, 2)</f>
        <v>64720.34</v>
      </c>
      <c r="P314" s="29">
        <v>450.95</v>
      </c>
      <c r="S314" s="28">
        <f>ROUND(ROUND(P314, 2)*I314, 2)</f>
        <v>64720.34</v>
      </c>
      <c r="V314" s="9">
        <f>ROUND(ROUND(P314, 2)/1.2, 2)</f>
        <v>375.79</v>
      </c>
      <c r="Y314" s="9">
        <f t="shared" si="17"/>
        <v>53933.62</v>
      </c>
      <c r="AD314" s="4" t="s">
        <v>1071</v>
      </c>
      <c r="AE314" s="4" t="s">
        <v>1072</v>
      </c>
      <c r="AF314" s="4" t="s">
        <v>1002</v>
      </c>
    </row>
    <row r="315" spans="1:35" ht="36" x14ac:dyDescent="0.3">
      <c r="A315" s="10" t="s">
        <v>1073</v>
      </c>
      <c r="B315" s="10"/>
      <c r="C315" s="30" t="s">
        <v>994</v>
      </c>
      <c r="D315" s="15"/>
      <c r="E315" s="15"/>
      <c r="F315" s="25" t="s">
        <v>278</v>
      </c>
      <c r="G315" s="26">
        <v>0.7</v>
      </c>
      <c r="H315" s="15"/>
      <c r="I315" s="31">
        <v>54.6</v>
      </c>
      <c r="J315" s="27">
        <v>16.12</v>
      </c>
      <c r="M315" s="28">
        <f>ROUND(ROUND(J315, 2)*I315, 2)</f>
        <v>880.15</v>
      </c>
      <c r="P315" s="29">
        <v>16.11</v>
      </c>
      <c r="S315" s="28">
        <f>ROUND(ROUND(P315, 2)*I315, 2)</f>
        <v>879.61</v>
      </c>
      <c r="V315" s="9">
        <f>ROUND(ROUND(P315, 2)/1.2, 2)</f>
        <v>13.43</v>
      </c>
      <c r="Y315" s="9">
        <f t="shared" si="17"/>
        <v>733.01</v>
      </c>
      <c r="AD315" s="4" t="s">
        <v>1074</v>
      </c>
      <c r="AE315" s="4" t="s">
        <v>1075</v>
      </c>
      <c r="AF315" s="4" t="s">
        <v>997</v>
      </c>
    </row>
    <row r="316" spans="1:35" ht="162" x14ac:dyDescent="0.3">
      <c r="A316" s="11" t="s">
        <v>1076</v>
      </c>
      <c r="B316" s="11" t="s">
        <v>989</v>
      </c>
      <c r="C316" s="20" t="s">
        <v>990</v>
      </c>
      <c r="D316" s="21"/>
      <c r="E316" s="21" t="s">
        <v>1077</v>
      </c>
      <c r="F316" s="21" t="s">
        <v>102</v>
      </c>
      <c r="G316" s="22">
        <v>1</v>
      </c>
      <c r="H316" s="21"/>
      <c r="I316" s="22">
        <v>102.1</v>
      </c>
      <c r="J316" s="23">
        <f>IFERROR(ROUND(SUM(M317,M318,M319,M320)/I316, 2),0)</f>
        <v>858.02</v>
      </c>
      <c r="K316" s="23">
        <v>472.99</v>
      </c>
      <c r="L316" s="23">
        <f>J316+ROUND(K316, 2)</f>
        <v>1331.01</v>
      </c>
      <c r="M316" s="23">
        <f>ROUND(J316*I316, 2)</f>
        <v>87603.839999999997</v>
      </c>
      <c r="N316" s="23">
        <f>ROUND(I316*ROUND(K316, 2), 2)</f>
        <v>48292.28</v>
      </c>
      <c r="O316" s="23">
        <f>M316+N316</f>
        <v>135896.12</v>
      </c>
      <c r="P316" s="23">
        <f>IFERROR(ROUND(SUM(S317,S318,S319,S320)/I316, 2),0)</f>
        <v>858.02</v>
      </c>
      <c r="Q316" s="23">
        <v>709.49</v>
      </c>
      <c r="R316" s="23">
        <f>P316+ROUND(Q316, 2)</f>
        <v>1567.51</v>
      </c>
      <c r="S316" s="23">
        <f>ROUND(P316*I316, 2)</f>
        <v>87603.839999999997</v>
      </c>
      <c r="T316" s="23">
        <f>ROUND(I316*ROUND(Q316, 2), 2)</f>
        <v>72438.929999999993</v>
      </c>
      <c r="U316" s="23">
        <f>S316+T316</f>
        <v>160042.76999999999</v>
      </c>
      <c r="V316" s="9">
        <f>ROUND(P316 / 1.2, 2)</f>
        <v>715.02</v>
      </c>
      <c r="W316" s="9">
        <f>ROUND(Q316 / 1.2, 2)</f>
        <v>591.24</v>
      </c>
      <c r="X316" s="9">
        <f>ROUND(R316 / 1.2, 2)</f>
        <v>1306.26</v>
      </c>
      <c r="Y316" s="9">
        <f t="shared" si="17"/>
        <v>73003.199999999997</v>
      </c>
      <c r="Z316" s="9">
        <f>ROUND(T316 / 1.2, 2)</f>
        <v>60365.78</v>
      </c>
      <c r="AA316" s="9">
        <f>Y316+Z316</f>
        <v>133368.97999999998</v>
      </c>
      <c r="AD316" s="4">
        <v>334080645</v>
      </c>
      <c r="AE316" s="4">
        <v>29378733</v>
      </c>
      <c r="AG316" s="4" t="s">
        <v>991</v>
      </c>
      <c r="AH316" s="4" t="s">
        <v>992</v>
      </c>
      <c r="AI316" s="4" t="s">
        <v>250</v>
      </c>
    </row>
    <row r="317" spans="1:35" ht="36" x14ac:dyDescent="0.3">
      <c r="A317" s="11" t="s">
        <v>1078</v>
      </c>
      <c r="B317" s="11"/>
      <c r="C317" s="30" t="s">
        <v>994</v>
      </c>
      <c r="D317" s="21"/>
      <c r="E317" s="21"/>
      <c r="F317" s="33" t="s">
        <v>278</v>
      </c>
      <c r="G317" s="34">
        <v>0.7</v>
      </c>
      <c r="H317" s="21"/>
      <c r="I317" s="37">
        <v>71.47</v>
      </c>
      <c r="J317" s="35">
        <v>16.38</v>
      </c>
      <c r="K317" s="12"/>
      <c r="L317" s="12"/>
      <c r="M317" s="35">
        <f>ROUND(ROUND(J317, 2)*I317, 2)</f>
        <v>1170.68</v>
      </c>
      <c r="N317" s="12"/>
      <c r="O317" s="12"/>
      <c r="P317" s="35">
        <v>16.38</v>
      </c>
      <c r="Q317" s="12"/>
      <c r="R317" s="12"/>
      <c r="S317" s="35">
        <f>ROUND(ROUND(P317, 2)*I317, 2)</f>
        <v>1170.68</v>
      </c>
      <c r="T317" s="12"/>
      <c r="U317" s="36"/>
      <c r="V317" s="9">
        <f>ROUND(ROUND(P317, 2)/1.2, 2)</f>
        <v>13.65</v>
      </c>
      <c r="Y317" s="9">
        <f t="shared" si="17"/>
        <v>975.57</v>
      </c>
      <c r="AD317" s="4" t="s">
        <v>1079</v>
      </c>
      <c r="AE317" s="4" t="s">
        <v>1080</v>
      </c>
      <c r="AF317" s="4" t="s">
        <v>997</v>
      </c>
    </row>
    <row r="318" spans="1:35" ht="90" x14ac:dyDescent="0.3">
      <c r="A318" s="11" t="s">
        <v>1081</v>
      </c>
      <c r="B318" s="11"/>
      <c r="C318" s="32" t="s">
        <v>999</v>
      </c>
      <c r="D318" s="21"/>
      <c r="E318" s="21" t="s">
        <v>1082</v>
      </c>
      <c r="F318" s="33" t="s">
        <v>597</v>
      </c>
      <c r="G318" s="34">
        <v>1.84</v>
      </c>
      <c r="H318" s="21"/>
      <c r="I318" s="37">
        <v>187.864</v>
      </c>
      <c r="J318" s="35">
        <v>458.46</v>
      </c>
      <c r="K318" s="12"/>
      <c r="L318" s="12"/>
      <c r="M318" s="35">
        <f>ROUND(ROUND(J318, 2)*I318, 2)</f>
        <v>86128.13</v>
      </c>
      <c r="N318" s="12"/>
      <c r="O318" s="12"/>
      <c r="P318" s="35">
        <v>458.46</v>
      </c>
      <c r="Q318" s="12"/>
      <c r="R318" s="12"/>
      <c r="S318" s="35">
        <f>ROUND(ROUND(P318, 2)*I318, 2)</f>
        <v>86128.13</v>
      </c>
      <c r="T318" s="12"/>
      <c r="U318" s="36"/>
      <c r="V318" s="9">
        <f>ROUND(ROUND(P318, 2)/1.2, 2)</f>
        <v>382.05</v>
      </c>
      <c r="Y318" s="9">
        <f t="shared" si="17"/>
        <v>71773.440000000002</v>
      </c>
      <c r="AD318" s="4" t="s">
        <v>1083</v>
      </c>
      <c r="AE318" s="4" t="s">
        <v>1084</v>
      </c>
      <c r="AF318" s="4" t="s">
        <v>1002</v>
      </c>
    </row>
    <row r="319" spans="1:35" ht="36" x14ac:dyDescent="0.3">
      <c r="A319" s="11" t="s">
        <v>1085</v>
      </c>
      <c r="B319" s="11"/>
      <c r="C319" s="32" t="s">
        <v>950</v>
      </c>
      <c r="D319" s="21"/>
      <c r="E319" s="21" t="s">
        <v>1086</v>
      </c>
      <c r="F319" s="33" t="s">
        <v>278</v>
      </c>
      <c r="G319" s="34">
        <v>0.04</v>
      </c>
      <c r="H319" s="21"/>
      <c r="I319" s="34">
        <v>4.0839999999999996</v>
      </c>
      <c r="J319" s="35">
        <v>40.94</v>
      </c>
      <c r="K319" s="12"/>
      <c r="L319" s="12"/>
      <c r="M319" s="35">
        <f>ROUND(ROUND(J319, 2)*I319, 2)</f>
        <v>167.2</v>
      </c>
      <c r="N319" s="12"/>
      <c r="O319" s="12"/>
      <c r="P319" s="35">
        <v>40.94</v>
      </c>
      <c r="Q319" s="12"/>
      <c r="R319" s="12"/>
      <c r="S319" s="35">
        <f>ROUND(ROUND(P319, 2)*I319, 2)</f>
        <v>167.2</v>
      </c>
      <c r="T319" s="12"/>
      <c r="U319" s="36"/>
      <c r="V319" s="9">
        <f>ROUND(ROUND(P319, 2)/1.2, 2)</f>
        <v>34.119999999999997</v>
      </c>
      <c r="Y319" s="9">
        <f t="shared" si="17"/>
        <v>139.33000000000001</v>
      </c>
      <c r="AD319" s="4" t="s">
        <v>1087</v>
      </c>
      <c r="AE319" s="4" t="s">
        <v>1088</v>
      </c>
      <c r="AF319" s="4" t="s">
        <v>954</v>
      </c>
    </row>
    <row r="320" spans="1:35" ht="36" x14ac:dyDescent="0.3">
      <c r="A320" s="11" t="s">
        <v>1089</v>
      </c>
      <c r="B320" s="11"/>
      <c r="C320" s="32" t="s">
        <v>1007</v>
      </c>
      <c r="D320" s="21"/>
      <c r="E320" s="21"/>
      <c r="F320" s="33" t="s">
        <v>278</v>
      </c>
      <c r="G320" s="34">
        <v>1.4999999999999999E-2</v>
      </c>
      <c r="H320" s="21"/>
      <c r="I320" s="34">
        <v>1.532</v>
      </c>
      <c r="J320" s="35">
        <v>90.28</v>
      </c>
      <c r="K320" s="12"/>
      <c r="L320" s="12"/>
      <c r="M320" s="35">
        <f>ROUND(ROUND(J320, 2)*I320, 2)</f>
        <v>138.31</v>
      </c>
      <c r="N320" s="12"/>
      <c r="O320" s="12"/>
      <c r="P320" s="35">
        <v>90.28</v>
      </c>
      <c r="Q320" s="12"/>
      <c r="R320" s="12"/>
      <c r="S320" s="35">
        <f>ROUND(ROUND(P320, 2)*I320, 2)</f>
        <v>138.31</v>
      </c>
      <c r="T320" s="12"/>
      <c r="U320" s="36"/>
      <c r="V320" s="9">
        <f>ROUND(ROUND(P320, 2)/1.2, 2)</f>
        <v>75.23</v>
      </c>
      <c r="Y320" s="9">
        <f t="shared" si="17"/>
        <v>115.26</v>
      </c>
      <c r="AD320" s="4" t="s">
        <v>1090</v>
      </c>
      <c r="AE320" s="4" t="s">
        <v>1091</v>
      </c>
      <c r="AF320" s="4" t="s">
        <v>1010</v>
      </c>
    </row>
    <row r="321" spans="1:35" ht="180" x14ac:dyDescent="0.3">
      <c r="A321" s="11" t="s">
        <v>1092</v>
      </c>
      <c r="B321" s="11" t="s">
        <v>989</v>
      </c>
      <c r="C321" s="20" t="s">
        <v>990</v>
      </c>
      <c r="D321" s="21"/>
      <c r="E321" s="21" t="s">
        <v>1093</v>
      </c>
      <c r="F321" s="21" t="s">
        <v>102</v>
      </c>
      <c r="G321" s="22">
        <v>1</v>
      </c>
      <c r="H321" s="21"/>
      <c r="I321" s="22">
        <v>462.7</v>
      </c>
      <c r="J321" s="23">
        <f>IFERROR(ROUND(SUM(M322,M323,M324,M325)/I321, 2),0)</f>
        <v>858.02</v>
      </c>
      <c r="K321" s="23">
        <v>472.99</v>
      </c>
      <c r="L321" s="23">
        <f>J321+ROUND(K321, 2)</f>
        <v>1331.01</v>
      </c>
      <c r="M321" s="23">
        <f>ROUND(J321*I321, 2)</f>
        <v>397005.85</v>
      </c>
      <c r="N321" s="23">
        <f>ROUND(I321*ROUND(K321, 2), 2)</f>
        <v>218852.47</v>
      </c>
      <c r="O321" s="23">
        <f>M321+N321</f>
        <v>615858.31999999995</v>
      </c>
      <c r="P321" s="23">
        <f>IFERROR(ROUND(SUM(S322,S323,S324,S325)/I321, 2),0)</f>
        <v>858.02</v>
      </c>
      <c r="Q321" s="23">
        <v>709.49</v>
      </c>
      <c r="R321" s="23">
        <f>P321+ROUND(Q321, 2)</f>
        <v>1567.51</v>
      </c>
      <c r="S321" s="23">
        <f>ROUND(P321*I321, 2)</f>
        <v>397005.85</v>
      </c>
      <c r="T321" s="23">
        <f>ROUND(I321*ROUND(Q321, 2), 2)</f>
        <v>328281.02</v>
      </c>
      <c r="U321" s="23">
        <f>S321+T321</f>
        <v>725286.87</v>
      </c>
      <c r="V321" s="9">
        <f>ROUND(P321 / 1.2, 2)</f>
        <v>715.02</v>
      </c>
      <c r="W321" s="9">
        <f>ROUND(Q321 / 1.2, 2)</f>
        <v>591.24</v>
      </c>
      <c r="X321" s="9">
        <f>ROUND(R321 / 1.2, 2)</f>
        <v>1306.26</v>
      </c>
      <c r="Y321" s="9">
        <f t="shared" si="17"/>
        <v>330838.21000000002</v>
      </c>
      <c r="Z321" s="9">
        <f>ROUND(T321 / 1.2, 2)</f>
        <v>273567.52</v>
      </c>
      <c r="AA321" s="9">
        <f>Y321+Z321</f>
        <v>604405.73</v>
      </c>
      <c r="AD321" s="4">
        <v>334080646</v>
      </c>
      <c r="AE321" s="4">
        <v>29378735</v>
      </c>
      <c r="AG321" s="4" t="s">
        <v>991</v>
      </c>
      <c r="AH321" s="4" t="s">
        <v>992</v>
      </c>
      <c r="AI321" s="4" t="s">
        <v>250</v>
      </c>
    </row>
    <row r="322" spans="1:35" ht="36" x14ac:dyDescent="0.3">
      <c r="A322" s="11" t="s">
        <v>1094</v>
      </c>
      <c r="B322" s="11"/>
      <c r="C322" s="32" t="s">
        <v>1007</v>
      </c>
      <c r="D322" s="21"/>
      <c r="E322" s="21"/>
      <c r="F322" s="33" t="s">
        <v>278</v>
      </c>
      <c r="G322" s="34">
        <v>1.4999999999999999E-2</v>
      </c>
      <c r="H322" s="21"/>
      <c r="I322" s="34">
        <v>6.9409999999999998</v>
      </c>
      <c r="J322" s="35">
        <v>90.28</v>
      </c>
      <c r="K322" s="12"/>
      <c r="L322" s="12"/>
      <c r="M322" s="35">
        <f>ROUND(ROUND(J322, 2)*I322, 2)</f>
        <v>626.63</v>
      </c>
      <c r="N322" s="12"/>
      <c r="O322" s="12"/>
      <c r="P322" s="35">
        <v>90.28</v>
      </c>
      <c r="Q322" s="12"/>
      <c r="R322" s="12"/>
      <c r="S322" s="35">
        <f>ROUND(ROUND(P322, 2)*I322, 2)</f>
        <v>626.63</v>
      </c>
      <c r="T322" s="12"/>
      <c r="U322" s="36"/>
      <c r="V322" s="9">
        <f>ROUND(ROUND(P322, 2)/1.2, 2)</f>
        <v>75.23</v>
      </c>
      <c r="Y322" s="9">
        <f t="shared" si="17"/>
        <v>522.19000000000005</v>
      </c>
      <c r="AD322" s="4" t="s">
        <v>1095</v>
      </c>
      <c r="AE322" s="4" t="s">
        <v>1096</v>
      </c>
      <c r="AF322" s="4" t="s">
        <v>1010</v>
      </c>
    </row>
    <row r="323" spans="1:35" ht="36" x14ac:dyDescent="0.3">
      <c r="A323" s="11" t="s">
        <v>1097</v>
      </c>
      <c r="B323" s="11"/>
      <c r="C323" s="32" t="s">
        <v>950</v>
      </c>
      <c r="D323" s="21"/>
      <c r="E323" s="21" t="s">
        <v>1098</v>
      </c>
      <c r="F323" s="33" t="s">
        <v>278</v>
      </c>
      <c r="G323" s="34">
        <v>0.04</v>
      </c>
      <c r="H323" s="21"/>
      <c r="I323" s="34">
        <v>18.507999999999999</v>
      </c>
      <c r="J323" s="35">
        <v>40.94</v>
      </c>
      <c r="K323" s="12"/>
      <c r="L323" s="12"/>
      <c r="M323" s="35">
        <f>ROUND(ROUND(J323, 2)*I323, 2)</f>
        <v>757.72</v>
      </c>
      <c r="N323" s="12"/>
      <c r="O323" s="12"/>
      <c r="P323" s="35">
        <v>40.94</v>
      </c>
      <c r="Q323" s="12"/>
      <c r="R323" s="12"/>
      <c r="S323" s="35">
        <f>ROUND(ROUND(P323, 2)*I323, 2)</f>
        <v>757.72</v>
      </c>
      <c r="T323" s="12"/>
      <c r="U323" s="36"/>
      <c r="V323" s="9">
        <f>ROUND(ROUND(P323, 2)/1.2, 2)</f>
        <v>34.119999999999997</v>
      </c>
      <c r="Y323" s="9">
        <f t="shared" si="17"/>
        <v>631.42999999999995</v>
      </c>
      <c r="AD323" s="4" t="s">
        <v>1099</v>
      </c>
      <c r="AE323" s="4" t="s">
        <v>1100</v>
      </c>
      <c r="AF323" s="4" t="s">
        <v>954</v>
      </c>
    </row>
    <row r="324" spans="1:35" ht="72" x14ac:dyDescent="0.3">
      <c r="A324" s="11" t="s">
        <v>1101</v>
      </c>
      <c r="B324" s="11"/>
      <c r="C324" s="32" t="s">
        <v>999</v>
      </c>
      <c r="D324" s="21"/>
      <c r="E324" s="21" t="s">
        <v>1102</v>
      </c>
      <c r="F324" s="33" t="s">
        <v>597</v>
      </c>
      <c r="G324" s="34">
        <v>1.84</v>
      </c>
      <c r="H324" s="21"/>
      <c r="I324" s="37">
        <v>851.36800000000005</v>
      </c>
      <c r="J324" s="35">
        <v>458.46</v>
      </c>
      <c r="K324" s="12"/>
      <c r="L324" s="12"/>
      <c r="M324" s="35">
        <f>ROUND(ROUND(J324, 2)*I324, 2)</f>
        <v>390318.17</v>
      </c>
      <c r="N324" s="12"/>
      <c r="O324" s="12"/>
      <c r="P324" s="35">
        <v>458.46</v>
      </c>
      <c r="Q324" s="12"/>
      <c r="R324" s="12"/>
      <c r="S324" s="35">
        <f>ROUND(ROUND(P324, 2)*I324, 2)</f>
        <v>390318.17</v>
      </c>
      <c r="T324" s="12"/>
      <c r="U324" s="36"/>
      <c r="V324" s="9">
        <f>ROUND(ROUND(P324, 2)/1.2, 2)</f>
        <v>382.05</v>
      </c>
      <c r="Y324" s="9">
        <f t="shared" si="17"/>
        <v>325265.14</v>
      </c>
      <c r="AD324" s="4" t="s">
        <v>1103</v>
      </c>
      <c r="AE324" s="4" t="s">
        <v>1104</v>
      </c>
      <c r="AF324" s="4" t="s">
        <v>1002</v>
      </c>
    </row>
    <row r="325" spans="1:35" ht="36" x14ac:dyDescent="0.3">
      <c r="A325" s="11" t="s">
        <v>1105</v>
      </c>
      <c r="B325" s="11"/>
      <c r="C325" s="30" t="s">
        <v>994</v>
      </c>
      <c r="D325" s="21"/>
      <c r="E325" s="21"/>
      <c r="F325" s="33" t="s">
        <v>278</v>
      </c>
      <c r="G325" s="34">
        <v>0.7</v>
      </c>
      <c r="H325" s="21"/>
      <c r="I325" s="37">
        <v>323.89</v>
      </c>
      <c r="J325" s="35">
        <v>16.38</v>
      </c>
      <c r="K325" s="12"/>
      <c r="L325" s="12"/>
      <c r="M325" s="35">
        <f>ROUND(ROUND(J325, 2)*I325, 2)</f>
        <v>5305.32</v>
      </c>
      <c r="N325" s="12"/>
      <c r="O325" s="12"/>
      <c r="P325" s="35">
        <v>16.38</v>
      </c>
      <c r="Q325" s="12"/>
      <c r="R325" s="12"/>
      <c r="S325" s="35">
        <f>ROUND(ROUND(P325, 2)*I325, 2)</f>
        <v>5305.32</v>
      </c>
      <c r="T325" s="12"/>
      <c r="U325" s="36"/>
      <c r="V325" s="9">
        <f>ROUND(ROUND(P325, 2)/1.2, 2)</f>
        <v>13.65</v>
      </c>
      <c r="Y325" s="9">
        <f t="shared" si="17"/>
        <v>4421.1000000000004</v>
      </c>
      <c r="AD325" s="4" t="s">
        <v>1106</v>
      </c>
      <c r="AE325" s="4" t="s">
        <v>1107</v>
      </c>
      <c r="AF325" s="4" t="s">
        <v>997</v>
      </c>
    </row>
    <row r="326" spans="1:35" ht="162" x14ac:dyDescent="0.3">
      <c r="A326" s="11" t="s">
        <v>1108</v>
      </c>
      <c r="B326" s="11" t="s">
        <v>989</v>
      </c>
      <c r="C326" s="20" t="s">
        <v>990</v>
      </c>
      <c r="D326" s="21"/>
      <c r="E326" s="21" t="s">
        <v>1109</v>
      </c>
      <c r="F326" s="21" t="s">
        <v>102</v>
      </c>
      <c r="G326" s="22">
        <v>1</v>
      </c>
      <c r="H326" s="21"/>
      <c r="I326" s="22">
        <v>496.18</v>
      </c>
      <c r="J326" s="23">
        <f>IFERROR(ROUND(SUM(M327,M328,M329,M330)/I326, 2),0)</f>
        <v>858.02</v>
      </c>
      <c r="K326" s="23">
        <v>472.99</v>
      </c>
      <c r="L326" s="23">
        <f>J326+ROUND(K326, 2)</f>
        <v>1331.01</v>
      </c>
      <c r="M326" s="23">
        <f>ROUND(J326*I326, 2)</f>
        <v>425732.36</v>
      </c>
      <c r="N326" s="23">
        <f>ROUND(I326*ROUND(K326, 2), 2)</f>
        <v>234688.18</v>
      </c>
      <c r="O326" s="23">
        <f>M326+N326</f>
        <v>660420.54</v>
      </c>
      <c r="P326" s="23">
        <f>IFERROR(ROUND(SUM(S327,S328,S329,S330)/I326, 2),0)</f>
        <v>858.02</v>
      </c>
      <c r="Q326" s="23">
        <v>709.49</v>
      </c>
      <c r="R326" s="23">
        <f>P326+ROUND(Q326, 2)</f>
        <v>1567.51</v>
      </c>
      <c r="S326" s="23">
        <f>ROUND(P326*I326, 2)</f>
        <v>425732.36</v>
      </c>
      <c r="T326" s="23">
        <f>ROUND(I326*ROUND(Q326, 2), 2)</f>
        <v>352034.75</v>
      </c>
      <c r="U326" s="23">
        <f>S326+T326</f>
        <v>777767.11</v>
      </c>
      <c r="V326" s="9">
        <f>ROUND(P326 / 1.2, 2)</f>
        <v>715.02</v>
      </c>
      <c r="W326" s="9">
        <f>ROUND(Q326 / 1.2, 2)</f>
        <v>591.24</v>
      </c>
      <c r="X326" s="9">
        <f>ROUND(R326 / 1.2, 2)</f>
        <v>1306.26</v>
      </c>
      <c r="Y326" s="9">
        <f t="shared" si="17"/>
        <v>354776.97</v>
      </c>
      <c r="Z326" s="9">
        <f>ROUND(T326 / 1.2, 2)</f>
        <v>293362.28999999998</v>
      </c>
      <c r="AA326" s="9">
        <f>Y326+Z326</f>
        <v>648139.26</v>
      </c>
      <c r="AD326" s="4">
        <v>334080647</v>
      </c>
      <c r="AE326" s="4">
        <v>29378734</v>
      </c>
      <c r="AG326" s="4" t="s">
        <v>991</v>
      </c>
      <c r="AH326" s="4" t="s">
        <v>992</v>
      </c>
      <c r="AI326" s="4" t="s">
        <v>250</v>
      </c>
    </row>
    <row r="327" spans="1:35" ht="36" x14ac:dyDescent="0.3">
      <c r="A327" s="11" t="s">
        <v>1110</v>
      </c>
      <c r="B327" s="11"/>
      <c r="C327" s="30" t="s">
        <v>994</v>
      </c>
      <c r="D327" s="21"/>
      <c r="E327" s="21"/>
      <c r="F327" s="33" t="s">
        <v>278</v>
      </c>
      <c r="G327" s="34">
        <v>0.7</v>
      </c>
      <c r="H327" s="21"/>
      <c r="I327" s="37">
        <v>347.32600000000002</v>
      </c>
      <c r="J327" s="35">
        <v>16.38</v>
      </c>
      <c r="K327" s="12"/>
      <c r="L327" s="12"/>
      <c r="M327" s="35">
        <f>ROUND(ROUND(J327, 2)*I327, 2)</f>
        <v>5689.2</v>
      </c>
      <c r="N327" s="12"/>
      <c r="O327" s="12"/>
      <c r="P327" s="35">
        <v>16.38</v>
      </c>
      <c r="Q327" s="12"/>
      <c r="R327" s="12"/>
      <c r="S327" s="35">
        <f>ROUND(ROUND(P327, 2)*I327, 2)</f>
        <v>5689.2</v>
      </c>
      <c r="T327" s="12"/>
      <c r="U327" s="36"/>
      <c r="V327" s="9">
        <f>ROUND(ROUND(P327, 2)/1.2, 2)</f>
        <v>13.65</v>
      </c>
      <c r="Y327" s="9">
        <f t="shared" si="17"/>
        <v>4741</v>
      </c>
      <c r="AD327" s="4" t="s">
        <v>1111</v>
      </c>
      <c r="AE327" s="4" t="s">
        <v>1112</v>
      </c>
      <c r="AF327" s="4" t="s">
        <v>997</v>
      </c>
    </row>
    <row r="328" spans="1:35" ht="54" x14ac:dyDescent="0.3">
      <c r="A328" s="11" t="s">
        <v>1113</v>
      </c>
      <c r="B328" s="11"/>
      <c r="C328" s="32" t="s">
        <v>999</v>
      </c>
      <c r="D328" s="21"/>
      <c r="E328" s="21" t="s">
        <v>1114</v>
      </c>
      <c r="F328" s="33" t="s">
        <v>597</v>
      </c>
      <c r="G328" s="34">
        <v>1.84</v>
      </c>
      <c r="H328" s="21"/>
      <c r="I328" s="37">
        <v>912.971</v>
      </c>
      <c r="J328" s="35">
        <v>458.46</v>
      </c>
      <c r="K328" s="12"/>
      <c r="L328" s="12"/>
      <c r="M328" s="35">
        <f>ROUND(ROUND(J328, 2)*I328, 2)</f>
        <v>418560.68</v>
      </c>
      <c r="N328" s="12"/>
      <c r="O328" s="12"/>
      <c r="P328" s="35">
        <v>458.46</v>
      </c>
      <c r="Q328" s="12"/>
      <c r="R328" s="12"/>
      <c r="S328" s="35">
        <f>ROUND(ROUND(P328, 2)*I328, 2)</f>
        <v>418560.68</v>
      </c>
      <c r="T328" s="12"/>
      <c r="U328" s="36"/>
      <c r="V328" s="9">
        <f>ROUND(ROUND(P328, 2)/1.2, 2)</f>
        <v>382.05</v>
      </c>
      <c r="Y328" s="9">
        <f t="shared" si="17"/>
        <v>348800.57</v>
      </c>
      <c r="AD328" s="4" t="s">
        <v>1115</v>
      </c>
      <c r="AE328" s="4" t="s">
        <v>1116</v>
      </c>
      <c r="AF328" s="4" t="s">
        <v>1002</v>
      </c>
    </row>
    <row r="329" spans="1:35" ht="36" x14ac:dyDescent="0.3">
      <c r="A329" s="11" t="s">
        <v>1117</v>
      </c>
      <c r="B329" s="11"/>
      <c r="C329" s="32" t="s">
        <v>950</v>
      </c>
      <c r="D329" s="21"/>
      <c r="E329" s="21" t="s">
        <v>1118</v>
      </c>
      <c r="F329" s="33" t="s">
        <v>278</v>
      </c>
      <c r="G329" s="34">
        <v>0.04</v>
      </c>
      <c r="H329" s="21"/>
      <c r="I329" s="34">
        <v>19.847000000000001</v>
      </c>
      <c r="J329" s="35">
        <v>40.94</v>
      </c>
      <c r="K329" s="12"/>
      <c r="L329" s="12"/>
      <c r="M329" s="35">
        <f>ROUND(ROUND(J329, 2)*I329, 2)</f>
        <v>812.54</v>
      </c>
      <c r="N329" s="12"/>
      <c r="O329" s="12"/>
      <c r="P329" s="35">
        <v>40.94</v>
      </c>
      <c r="Q329" s="12"/>
      <c r="R329" s="12"/>
      <c r="S329" s="35">
        <f>ROUND(ROUND(P329, 2)*I329, 2)</f>
        <v>812.54</v>
      </c>
      <c r="T329" s="12"/>
      <c r="U329" s="36"/>
      <c r="V329" s="9">
        <f>ROUND(ROUND(P329, 2)/1.2, 2)</f>
        <v>34.119999999999997</v>
      </c>
      <c r="Y329" s="9">
        <f t="shared" si="17"/>
        <v>677.12</v>
      </c>
      <c r="AD329" s="4" t="s">
        <v>1119</v>
      </c>
      <c r="AE329" s="4" t="s">
        <v>1120</v>
      </c>
      <c r="AF329" s="4" t="s">
        <v>954</v>
      </c>
    </row>
    <row r="330" spans="1:35" ht="36" x14ac:dyDescent="0.3">
      <c r="A330" s="11" t="s">
        <v>1121</v>
      </c>
      <c r="B330" s="11"/>
      <c r="C330" s="32" t="s">
        <v>1007</v>
      </c>
      <c r="D330" s="21"/>
      <c r="E330" s="21"/>
      <c r="F330" s="33" t="s">
        <v>278</v>
      </c>
      <c r="G330" s="34">
        <v>1.4999999999999999E-2</v>
      </c>
      <c r="H330" s="21"/>
      <c r="I330" s="34">
        <v>7.4429999999999996</v>
      </c>
      <c r="J330" s="35">
        <v>90.28</v>
      </c>
      <c r="K330" s="12"/>
      <c r="L330" s="12"/>
      <c r="M330" s="35">
        <f>ROUND(ROUND(J330, 2)*I330, 2)</f>
        <v>671.95</v>
      </c>
      <c r="N330" s="12"/>
      <c r="O330" s="12"/>
      <c r="P330" s="35">
        <v>90.28</v>
      </c>
      <c r="Q330" s="12"/>
      <c r="R330" s="12"/>
      <c r="S330" s="35">
        <f>ROUND(ROUND(P330, 2)*I330, 2)</f>
        <v>671.95</v>
      </c>
      <c r="T330" s="12"/>
      <c r="U330" s="36"/>
      <c r="V330" s="9">
        <f>ROUND(ROUND(P330, 2)/1.2, 2)</f>
        <v>75.23</v>
      </c>
      <c r="Y330" s="9">
        <f t="shared" si="17"/>
        <v>559.96</v>
      </c>
      <c r="AD330" s="4" t="s">
        <v>1122</v>
      </c>
      <c r="AE330" s="4" t="s">
        <v>1123</v>
      </c>
      <c r="AF330" s="4" t="s">
        <v>1010</v>
      </c>
    </row>
    <row r="331" spans="1:35" ht="126" x14ac:dyDescent="0.3">
      <c r="A331" s="11" t="s">
        <v>1124</v>
      </c>
      <c r="B331" s="11" t="s">
        <v>989</v>
      </c>
      <c r="C331" s="20" t="s">
        <v>990</v>
      </c>
      <c r="D331" s="21"/>
      <c r="E331" s="21" t="s">
        <v>1125</v>
      </c>
      <c r="F331" s="21" t="s">
        <v>102</v>
      </c>
      <c r="G331" s="22">
        <v>1</v>
      </c>
      <c r="H331" s="21"/>
      <c r="I331" s="22">
        <v>139.68</v>
      </c>
      <c r="J331" s="23">
        <f>IFERROR(ROUND(SUM(M332,M333,M334,M335)/I331, 2),0)</f>
        <v>381.39</v>
      </c>
      <c r="K331" s="23">
        <v>472.99</v>
      </c>
      <c r="L331" s="23">
        <f>J331+ROUND(K331, 2)</f>
        <v>854.38</v>
      </c>
      <c r="M331" s="23">
        <f>ROUND(J331*I331, 2)</f>
        <v>53272.56</v>
      </c>
      <c r="N331" s="23">
        <f>ROUND(I331*ROUND(K331, 2), 2)</f>
        <v>66067.240000000005</v>
      </c>
      <c r="O331" s="23">
        <f>M331+N331</f>
        <v>119339.8</v>
      </c>
      <c r="P331" s="23">
        <f>IFERROR(ROUND(SUM(S332,S333,S334,S335)/I331, 2),0)</f>
        <v>381.39</v>
      </c>
      <c r="Q331" s="23">
        <v>709.49</v>
      </c>
      <c r="R331" s="23">
        <f>P331+ROUND(Q331, 2)</f>
        <v>1090.8800000000001</v>
      </c>
      <c r="S331" s="23">
        <f>ROUND(P331*I331, 2)</f>
        <v>53272.56</v>
      </c>
      <c r="T331" s="23">
        <f>ROUND(I331*ROUND(Q331, 2), 2)</f>
        <v>99101.56</v>
      </c>
      <c r="U331" s="23">
        <f>S331+T331</f>
        <v>152374.12</v>
      </c>
      <c r="V331" s="9">
        <f>ROUND(P331 / 1.2, 2)</f>
        <v>317.83</v>
      </c>
      <c r="W331" s="9">
        <f>ROUND(Q331 / 1.2, 2)</f>
        <v>591.24</v>
      </c>
      <c r="X331" s="9">
        <f>ROUND(R331 / 1.2, 2)</f>
        <v>909.07</v>
      </c>
      <c r="Y331" s="9">
        <f t="shared" si="17"/>
        <v>44393.8</v>
      </c>
      <c r="Z331" s="9">
        <f>ROUND(T331 / 1.2, 2)</f>
        <v>82584.63</v>
      </c>
      <c r="AA331" s="9">
        <f>Y331+Z331</f>
        <v>126978.43000000001</v>
      </c>
      <c r="AD331" s="4">
        <v>334080648</v>
      </c>
      <c r="AE331" s="4">
        <v>29378736</v>
      </c>
      <c r="AG331" s="4" t="s">
        <v>991</v>
      </c>
      <c r="AH331" s="4" t="s">
        <v>992</v>
      </c>
      <c r="AI331" s="4" t="s">
        <v>250</v>
      </c>
    </row>
    <row r="332" spans="1:35" ht="36" x14ac:dyDescent="0.3">
      <c r="A332" s="11" t="s">
        <v>1126</v>
      </c>
      <c r="B332" s="11"/>
      <c r="C332" s="32" t="s">
        <v>1007</v>
      </c>
      <c r="D332" s="21"/>
      <c r="E332" s="21"/>
      <c r="F332" s="33" t="s">
        <v>278</v>
      </c>
      <c r="G332" s="34">
        <v>1.4999999999999999E-2</v>
      </c>
      <c r="H332" s="21"/>
      <c r="I332" s="34">
        <v>2.0950000000000002</v>
      </c>
      <c r="J332" s="35">
        <v>90.28</v>
      </c>
      <c r="K332" s="12"/>
      <c r="L332" s="12"/>
      <c r="M332" s="35">
        <f>ROUND(ROUND(J332, 2)*I332, 2)</f>
        <v>189.14</v>
      </c>
      <c r="N332" s="12"/>
      <c r="O332" s="12"/>
      <c r="P332" s="35">
        <v>90.28</v>
      </c>
      <c r="Q332" s="12"/>
      <c r="R332" s="12"/>
      <c r="S332" s="35">
        <f>ROUND(ROUND(P332, 2)*I332, 2)</f>
        <v>189.14</v>
      </c>
      <c r="T332" s="12"/>
      <c r="U332" s="36"/>
      <c r="V332" s="9">
        <f>ROUND(ROUND(P332, 2)/1.2, 2)</f>
        <v>75.23</v>
      </c>
      <c r="Y332" s="9">
        <f t="shared" si="17"/>
        <v>157.62</v>
      </c>
      <c r="AD332" s="4" t="s">
        <v>1127</v>
      </c>
      <c r="AE332" s="4" t="s">
        <v>1128</v>
      </c>
      <c r="AF332" s="4" t="s">
        <v>1010</v>
      </c>
    </row>
    <row r="333" spans="1:35" ht="18" x14ac:dyDescent="0.3">
      <c r="A333" s="11" t="s">
        <v>1129</v>
      </c>
      <c r="B333" s="11"/>
      <c r="C333" s="32" t="s">
        <v>858</v>
      </c>
      <c r="D333" s="21"/>
      <c r="E333" s="21"/>
      <c r="F333" s="33" t="s">
        <v>278</v>
      </c>
      <c r="G333" s="34">
        <v>0.04</v>
      </c>
      <c r="H333" s="21"/>
      <c r="I333" s="34">
        <v>5.5869999999999997</v>
      </c>
      <c r="J333" s="35">
        <v>48.23</v>
      </c>
      <c r="K333" s="12"/>
      <c r="L333" s="12"/>
      <c r="M333" s="35">
        <f>ROUND(ROUND(J333, 2)*I333, 2)</f>
        <v>269.45999999999998</v>
      </c>
      <c r="N333" s="12"/>
      <c r="O333" s="12"/>
      <c r="P333" s="35">
        <v>48.23</v>
      </c>
      <c r="Q333" s="12"/>
      <c r="R333" s="12"/>
      <c r="S333" s="35">
        <f>ROUND(ROUND(P333, 2)*I333, 2)</f>
        <v>269.45999999999998</v>
      </c>
      <c r="T333" s="12"/>
      <c r="U333" s="36"/>
      <c r="V333" s="9">
        <f>ROUND(ROUND(P333, 2)/1.2, 2)</f>
        <v>40.19</v>
      </c>
      <c r="Y333" s="9">
        <f t="shared" si="17"/>
        <v>224.55</v>
      </c>
      <c r="AD333" s="4" t="s">
        <v>1130</v>
      </c>
      <c r="AE333" s="4" t="s">
        <v>1131</v>
      </c>
      <c r="AF333" s="4" t="s">
        <v>861</v>
      </c>
    </row>
    <row r="334" spans="1:35" ht="72" x14ac:dyDescent="0.3">
      <c r="A334" s="11" t="s">
        <v>1132</v>
      </c>
      <c r="B334" s="11"/>
      <c r="C334" s="32" t="s">
        <v>1133</v>
      </c>
      <c r="D334" s="21"/>
      <c r="E334" s="21" t="s">
        <v>1134</v>
      </c>
      <c r="F334" s="33" t="s">
        <v>597</v>
      </c>
      <c r="G334" s="34">
        <v>1.84</v>
      </c>
      <c r="H334" s="21"/>
      <c r="I334" s="37">
        <v>257.01100000000002</v>
      </c>
      <c r="J334" s="35">
        <v>199.26</v>
      </c>
      <c r="K334" s="12"/>
      <c r="L334" s="12"/>
      <c r="M334" s="35">
        <f>ROUND(ROUND(J334, 2)*I334, 2)</f>
        <v>51212.01</v>
      </c>
      <c r="N334" s="12"/>
      <c r="O334" s="12"/>
      <c r="P334" s="35">
        <v>199.26</v>
      </c>
      <c r="Q334" s="12"/>
      <c r="R334" s="12"/>
      <c r="S334" s="35">
        <f>ROUND(ROUND(P334, 2)*I334, 2)</f>
        <v>51212.01</v>
      </c>
      <c r="T334" s="12"/>
      <c r="U334" s="36"/>
      <c r="V334" s="9">
        <f>ROUND(ROUND(P334, 2)/1.2, 2)</f>
        <v>166.05</v>
      </c>
      <c r="Y334" s="9">
        <f t="shared" si="17"/>
        <v>42676.68</v>
      </c>
      <c r="AD334" s="4" t="s">
        <v>1135</v>
      </c>
      <c r="AE334" s="4" t="s">
        <v>1136</v>
      </c>
      <c r="AF334" s="4" t="s">
        <v>1137</v>
      </c>
    </row>
    <row r="335" spans="1:35" ht="36" x14ac:dyDescent="0.3">
      <c r="A335" s="11" t="s">
        <v>1138</v>
      </c>
      <c r="B335" s="11"/>
      <c r="C335" s="30" t="s">
        <v>994</v>
      </c>
      <c r="D335" s="21"/>
      <c r="E335" s="21"/>
      <c r="F335" s="33" t="s">
        <v>278</v>
      </c>
      <c r="G335" s="34">
        <v>0.7</v>
      </c>
      <c r="H335" s="21"/>
      <c r="I335" s="37">
        <v>97.775999999999996</v>
      </c>
      <c r="J335" s="35">
        <v>16.38</v>
      </c>
      <c r="K335" s="12"/>
      <c r="L335" s="12"/>
      <c r="M335" s="35">
        <f>ROUND(ROUND(J335, 2)*I335, 2)</f>
        <v>1601.57</v>
      </c>
      <c r="N335" s="12"/>
      <c r="O335" s="12"/>
      <c r="P335" s="35">
        <v>16.38</v>
      </c>
      <c r="Q335" s="12"/>
      <c r="R335" s="12"/>
      <c r="S335" s="35">
        <f>ROUND(ROUND(P335, 2)*I335, 2)</f>
        <v>1601.57</v>
      </c>
      <c r="T335" s="12"/>
      <c r="U335" s="36"/>
      <c r="V335" s="9">
        <f>ROUND(ROUND(P335, 2)/1.2, 2)</f>
        <v>13.65</v>
      </c>
      <c r="Y335" s="9">
        <f t="shared" si="17"/>
        <v>1334.64</v>
      </c>
      <c r="AD335" s="4" t="s">
        <v>1139</v>
      </c>
      <c r="AE335" s="4" t="s">
        <v>1140</v>
      </c>
      <c r="AF335" s="4" t="s">
        <v>997</v>
      </c>
    </row>
    <row r="336" spans="1:35" ht="54" x14ac:dyDescent="0.3">
      <c r="A336" s="10" t="s">
        <v>1141</v>
      </c>
      <c r="B336" s="10" t="s">
        <v>1142</v>
      </c>
      <c r="C336" s="14" t="s">
        <v>1143</v>
      </c>
      <c r="D336" s="15"/>
      <c r="E336" s="15"/>
      <c r="F336" s="15" t="s">
        <v>62</v>
      </c>
      <c r="G336" s="16">
        <v>1</v>
      </c>
      <c r="H336" s="15"/>
      <c r="I336" s="16">
        <v>0</v>
      </c>
      <c r="J336" s="17">
        <v>0</v>
      </c>
      <c r="K336" s="18">
        <v>1655</v>
      </c>
      <c r="L336" s="17">
        <f>J336+ROUND(K336, 2)</f>
        <v>1655</v>
      </c>
      <c r="M336" s="17">
        <v>0</v>
      </c>
      <c r="N336" s="17">
        <v>0</v>
      </c>
      <c r="O336" s="17">
        <f>M336+N336</f>
        <v>0</v>
      </c>
      <c r="P336" s="17">
        <v>1046.53</v>
      </c>
      <c r="Q336" s="19">
        <v>1655</v>
      </c>
      <c r="R336" s="17">
        <f>P336+ROUND(Q336, 2)</f>
        <v>2701.5299999999997</v>
      </c>
      <c r="S336" s="17">
        <v>0</v>
      </c>
      <c r="T336" s="17">
        <v>0</v>
      </c>
      <c r="U336" s="17">
        <f>S336+T336</f>
        <v>0</v>
      </c>
      <c r="V336" s="9">
        <f>ROUND(P336 / 1.2, 2)</f>
        <v>872.11</v>
      </c>
      <c r="W336" s="9">
        <f>ROUND(Q336 / 1.2, 2)</f>
        <v>1379.17</v>
      </c>
      <c r="X336" s="9">
        <f>ROUND(R336 / 1.2, 2)</f>
        <v>2251.2800000000002</v>
      </c>
      <c r="Y336" s="9">
        <f t="shared" si="17"/>
        <v>0</v>
      </c>
      <c r="Z336" s="9">
        <f>ROUND(T336 / 1.2, 2)</f>
        <v>0</v>
      </c>
      <c r="AA336" s="9">
        <f>Y336+Z336</f>
        <v>0</v>
      </c>
      <c r="AD336" s="4">
        <v>334080518</v>
      </c>
      <c r="AE336" s="4">
        <v>27245634</v>
      </c>
      <c r="AG336" s="4" t="s">
        <v>1144</v>
      </c>
      <c r="AH336" s="4" t="s">
        <v>1145</v>
      </c>
      <c r="AI336" s="4" t="s">
        <v>250</v>
      </c>
    </row>
    <row r="337" spans="1:35" ht="36" x14ac:dyDescent="0.3">
      <c r="A337" s="10" t="s">
        <v>1146</v>
      </c>
      <c r="B337" s="10"/>
      <c r="C337" s="30" t="s">
        <v>1147</v>
      </c>
      <c r="D337" s="15"/>
      <c r="E337" s="15"/>
      <c r="F337" s="25" t="s">
        <v>278</v>
      </c>
      <c r="G337" s="26">
        <v>7</v>
      </c>
      <c r="H337" s="15"/>
      <c r="I337" s="26">
        <v>0</v>
      </c>
      <c r="J337" s="27">
        <v>16.96</v>
      </c>
      <c r="M337" s="28">
        <f>ROUND(ROUND(J337, 2)*I337, 2)</f>
        <v>0</v>
      </c>
      <c r="P337" s="29">
        <v>16.96</v>
      </c>
      <c r="S337" s="28">
        <f>ROUND(ROUND(P337, 2)*I337, 2)</f>
        <v>0</v>
      </c>
      <c r="V337" s="9">
        <f>ROUND(ROUND(P337, 2)/1.2, 2)</f>
        <v>14.13</v>
      </c>
      <c r="Y337" s="9">
        <f t="shared" si="17"/>
        <v>0</v>
      </c>
      <c r="AD337" s="4" t="s">
        <v>1148</v>
      </c>
      <c r="AE337" s="4" t="s">
        <v>1149</v>
      </c>
      <c r="AF337" s="4" t="s">
        <v>1150</v>
      </c>
    </row>
    <row r="338" spans="1:35" ht="36" x14ac:dyDescent="0.3">
      <c r="A338" s="10" t="s">
        <v>1151</v>
      </c>
      <c r="B338" s="10"/>
      <c r="C338" s="24" t="s">
        <v>1152</v>
      </c>
      <c r="D338" s="15"/>
      <c r="E338" s="15"/>
      <c r="F338" s="25" t="s">
        <v>62</v>
      </c>
      <c r="G338" s="26">
        <v>1.07</v>
      </c>
      <c r="H338" s="15"/>
      <c r="I338" s="31">
        <v>0</v>
      </c>
      <c r="J338" s="27">
        <v>845.25</v>
      </c>
      <c r="M338" s="28">
        <f>ROUND(ROUND(J338, 2)*I338, 2)</f>
        <v>0</v>
      </c>
      <c r="P338" s="29">
        <v>845.25</v>
      </c>
      <c r="S338" s="28">
        <f>ROUND(ROUND(P338, 2)*I338, 2)</f>
        <v>0</v>
      </c>
      <c r="V338" s="9">
        <f>ROUND(ROUND(P338, 2)/1.2, 2)</f>
        <v>704.38</v>
      </c>
      <c r="Y338" s="9">
        <f t="shared" si="17"/>
        <v>0</v>
      </c>
      <c r="AD338" s="4" t="s">
        <v>1153</v>
      </c>
      <c r="AE338" s="4" t="s">
        <v>1154</v>
      </c>
      <c r="AF338" s="4" t="s">
        <v>1155</v>
      </c>
    </row>
    <row r="339" spans="1:35" ht="36" x14ac:dyDescent="0.3">
      <c r="A339" s="10" t="s">
        <v>1156</v>
      </c>
      <c r="B339" s="10"/>
      <c r="C339" s="24" t="s">
        <v>1157</v>
      </c>
      <c r="D339" s="15"/>
      <c r="E339" s="15"/>
      <c r="F339" s="25" t="s">
        <v>278</v>
      </c>
      <c r="G339" s="26">
        <v>0.25</v>
      </c>
      <c r="H339" s="15"/>
      <c r="I339" s="31">
        <v>0</v>
      </c>
      <c r="J339" s="27">
        <v>40.270000000000003</v>
      </c>
      <c r="M339" s="28">
        <f>ROUND(ROUND(J339, 2)*I339, 2)</f>
        <v>0</v>
      </c>
      <c r="P339" s="29">
        <v>40.270000000000003</v>
      </c>
      <c r="S339" s="28">
        <f>ROUND(ROUND(P339, 2)*I339, 2)</f>
        <v>0</v>
      </c>
      <c r="V339" s="9">
        <f>ROUND(ROUND(P339, 2)/1.2, 2)</f>
        <v>33.56</v>
      </c>
      <c r="Y339" s="9">
        <f t="shared" si="17"/>
        <v>0</v>
      </c>
      <c r="AD339" s="4" t="s">
        <v>1158</v>
      </c>
      <c r="AE339" s="4" t="s">
        <v>1159</v>
      </c>
      <c r="AF339" s="4" t="s">
        <v>1160</v>
      </c>
    </row>
    <row r="340" spans="1:35" ht="36" x14ac:dyDescent="0.3">
      <c r="A340" s="10" t="s">
        <v>1161</v>
      </c>
      <c r="B340" s="10"/>
      <c r="C340" s="24" t="s">
        <v>1007</v>
      </c>
      <c r="D340" s="15"/>
      <c r="E340" s="15"/>
      <c r="F340" s="25" t="s">
        <v>278</v>
      </c>
      <c r="G340" s="26">
        <v>0.15</v>
      </c>
      <c r="H340" s="15"/>
      <c r="I340" s="26">
        <v>0</v>
      </c>
      <c r="J340" s="27">
        <v>88.8</v>
      </c>
      <c r="M340" s="28">
        <f>ROUND(ROUND(J340, 2)*I340, 2)</f>
        <v>0</v>
      </c>
      <c r="P340" s="29">
        <v>88.8</v>
      </c>
      <c r="S340" s="28">
        <f>ROUND(ROUND(P340, 2)*I340, 2)</f>
        <v>0</v>
      </c>
      <c r="V340" s="9">
        <f>ROUND(ROUND(P340, 2)/1.2, 2)</f>
        <v>74</v>
      </c>
      <c r="Y340" s="9">
        <f t="shared" si="17"/>
        <v>0</v>
      </c>
      <c r="AD340" s="4" t="s">
        <v>1162</v>
      </c>
      <c r="AE340" s="4" t="s">
        <v>1163</v>
      </c>
      <c r="AF340" s="4" t="s">
        <v>1010</v>
      </c>
    </row>
    <row r="341" spans="1:35" ht="54" x14ac:dyDescent="0.3">
      <c r="A341" s="10" t="s">
        <v>1164</v>
      </c>
      <c r="B341" s="10" t="s">
        <v>1142</v>
      </c>
      <c r="C341" s="14" t="s">
        <v>1143</v>
      </c>
      <c r="D341" s="15"/>
      <c r="E341" s="15" t="s">
        <v>1165</v>
      </c>
      <c r="F341" s="15" t="s">
        <v>62</v>
      </c>
      <c r="G341" s="16">
        <v>1</v>
      </c>
      <c r="H341" s="15"/>
      <c r="I341" s="16">
        <v>370.9</v>
      </c>
      <c r="J341" s="17">
        <v>1040.6600000000001</v>
      </c>
      <c r="K341" s="18">
        <v>1655</v>
      </c>
      <c r="L341" s="17">
        <f>J341+ROUND(K341, 2)</f>
        <v>2695.66</v>
      </c>
      <c r="M341" s="17">
        <v>385980.79</v>
      </c>
      <c r="N341" s="17">
        <v>613839.5</v>
      </c>
      <c r="O341" s="17">
        <f>M341+N341</f>
        <v>999820.29</v>
      </c>
      <c r="P341" s="17">
        <v>1040.58</v>
      </c>
      <c r="Q341" s="19">
        <v>2482.5</v>
      </c>
      <c r="R341" s="17">
        <f>P341+ROUND(Q341, 2)</f>
        <v>3523.08</v>
      </c>
      <c r="S341" s="17">
        <v>385951.12</v>
      </c>
      <c r="T341" s="17">
        <v>920759.25</v>
      </c>
      <c r="U341" s="17">
        <f>S341+T341</f>
        <v>1306710.3700000001</v>
      </c>
      <c r="V341" s="9">
        <f>ROUND(P341 / 1.2, 2)</f>
        <v>867.15</v>
      </c>
      <c r="W341" s="9">
        <f>ROUND(Q341 / 1.2, 2)</f>
        <v>2068.75</v>
      </c>
      <c r="X341" s="9">
        <f>ROUND(R341 / 1.2, 2)</f>
        <v>2935.9</v>
      </c>
      <c r="Y341" s="9">
        <f t="shared" si="17"/>
        <v>321625.93</v>
      </c>
      <c r="Z341" s="9">
        <f>ROUND(T341 / 1.2, 2)</f>
        <v>767299.38</v>
      </c>
      <c r="AA341" s="9">
        <f>Y341+Z341</f>
        <v>1088925.31</v>
      </c>
      <c r="AD341" s="4">
        <v>334080649</v>
      </c>
      <c r="AE341" s="4">
        <v>27245777</v>
      </c>
      <c r="AG341" s="4" t="s">
        <v>1144</v>
      </c>
      <c r="AH341" s="4" t="s">
        <v>1145</v>
      </c>
      <c r="AI341" s="4" t="s">
        <v>250</v>
      </c>
    </row>
    <row r="342" spans="1:35" ht="36" x14ac:dyDescent="0.3">
      <c r="A342" s="10" t="s">
        <v>1166</v>
      </c>
      <c r="B342" s="10"/>
      <c r="C342" s="24" t="s">
        <v>1007</v>
      </c>
      <c r="D342" s="15"/>
      <c r="E342" s="15"/>
      <c r="F342" s="25" t="s">
        <v>278</v>
      </c>
      <c r="G342" s="26">
        <v>0.15</v>
      </c>
      <c r="H342" s="15"/>
      <c r="I342" s="26">
        <v>55.634999999999998</v>
      </c>
      <c r="J342" s="27">
        <v>88.8</v>
      </c>
      <c r="M342" s="28">
        <f>ROUND(ROUND(J342, 2)*I342, 2)</f>
        <v>4940.3900000000003</v>
      </c>
      <c r="P342" s="29">
        <v>88.8</v>
      </c>
      <c r="S342" s="28">
        <f>ROUND(ROUND(P342, 2)*I342, 2)</f>
        <v>4940.3900000000003</v>
      </c>
      <c r="V342" s="9">
        <f>ROUND(ROUND(P342, 2)/1.2, 2)</f>
        <v>74</v>
      </c>
      <c r="Y342" s="9">
        <f t="shared" si="17"/>
        <v>4116.99</v>
      </c>
      <c r="AD342" s="4" t="s">
        <v>1167</v>
      </c>
      <c r="AE342" s="4" t="s">
        <v>1168</v>
      </c>
      <c r="AF342" s="4" t="s">
        <v>1010</v>
      </c>
    </row>
    <row r="343" spans="1:35" ht="36" x14ac:dyDescent="0.3">
      <c r="A343" s="10" t="s">
        <v>1169</v>
      </c>
      <c r="B343" s="10"/>
      <c r="C343" s="24" t="s">
        <v>1157</v>
      </c>
      <c r="D343" s="15"/>
      <c r="E343" s="15"/>
      <c r="F343" s="25" t="s">
        <v>278</v>
      </c>
      <c r="G343" s="26">
        <v>0.25</v>
      </c>
      <c r="H343" s="15"/>
      <c r="I343" s="31">
        <v>92.724999999999994</v>
      </c>
      <c r="J343" s="27">
        <v>40.270000000000003</v>
      </c>
      <c r="M343" s="28">
        <f>ROUND(ROUND(J343, 2)*I343, 2)</f>
        <v>3734.04</v>
      </c>
      <c r="P343" s="29">
        <v>40.270000000000003</v>
      </c>
      <c r="S343" s="28">
        <f>ROUND(ROUND(P343, 2)*I343, 2)</f>
        <v>3734.04</v>
      </c>
      <c r="V343" s="9">
        <f>ROUND(ROUND(P343, 2)/1.2, 2)</f>
        <v>33.56</v>
      </c>
      <c r="Y343" s="9">
        <f t="shared" si="17"/>
        <v>3111.7</v>
      </c>
      <c r="AD343" s="4" t="s">
        <v>1170</v>
      </c>
      <c r="AE343" s="4" t="s">
        <v>1171</v>
      </c>
      <c r="AF343" s="4" t="s">
        <v>1160</v>
      </c>
    </row>
    <row r="344" spans="1:35" ht="72" x14ac:dyDescent="0.3">
      <c r="A344" s="10" t="s">
        <v>1172</v>
      </c>
      <c r="B344" s="10"/>
      <c r="C344" s="24" t="s">
        <v>1152</v>
      </c>
      <c r="D344" s="15"/>
      <c r="E344" s="15" t="s">
        <v>1173</v>
      </c>
      <c r="F344" s="25" t="s">
        <v>62</v>
      </c>
      <c r="G344" s="26">
        <v>1.07</v>
      </c>
      <c r="H344" s="15"/>
      <c r="I344" s="31">
        <v>396.863</v>
      </c>
      <c r="J344" s="27">
        <v>845.26</v>
      </c>
      <c r="M344" s="28">
        <f>ROUND(ROUND(J344, 2)*I344, 2)</f>
        <v>335452.42</v>
      </c>
      <c r="P344" s="29">
        <v>845.25</v>
      </c>
      <c r="S344" s="28">
        <f>ROUND(ROUND(P344, 2)*I344, 2)</f>
        <v>335448.45</v>
      </c>
      <c r="V344" s="9">
        <f>ROUND(ROUND(P344, 2)/1.2, 2)</f>
        <v>704.38</v>
      </c>
      <c r="Y344" s="9">
        <f t="shared" si="17"/>
        <v>279540.38</v>
      </c>
      <c r="AD344" s="4" t="s">
        <v>1174</v>
      </c>
      <c r="AE344" s="4" t="s">
        <v>1175</v>
      </c>
      <c r="AF344" s="4" t="s">
        <v>1155</v>
      </c>
    </row>
    <row r="345" spans="1:35" ht="36" x14ac:dyDescent="0.3">
      <c r="A345" s="10" t="s">
        <v>1176</v>
      </c>
      <c r="B345" s="10"/>
      <c r="C345" s="30" t="s">
        <v>1147</v>
      </c>
      <c r="D345" s="15"/>
      <c r="E345" s="15"/>
      <c r="F345" s="25" t="s">
        <v>278</v>
      </c>
      <c r="G345" s="26">
        <v>7</v>
      </c>
      <c r="H345" s="15"/>
      <c r="I345" s="26">
        <v>2596.3000000000002</v>
      </c>
      <c r="J345" s="27">
        <v>16.12</v>
      </c>
      <c r="M345" s="28">
        <f>ROUND(ROUND(J345, 2)*I345, 2)</f>
        <v>41852.36</v>
      </c>
      <c r="P345" s="29">
        <v>16.11</v>
      </c>
      <c r="S345" s="28">
        <f>ROUND(ROUND(P345, 2)*I345, 2)</f>
        <v>41826.39</v>
      </c>
      <c r="V345" s="9">
        <f>ROUND(ROUND(P345, 2)/1.2, 2)</f>
        <v>13.43</v>
      </c>
      <c r="Y345" s="9">
        <f t="shared" si="17"/>
        <v>34855.33</v>
      </c>
      <c r="AD345" s="4" t="s">
        <v>1177</v>
      </c>
      <c r="AE345" s="4" t="s">
        <v>1178</v>
      </c>
      <c r="AF345" s="4" t="s">
        <v>1150</v>
      </c>
    </row>
    <row r="346" spans="1:35" ht="162" x14ac:dyDescent="0.3">
      <c r="A346" s="11" t="s">
        <v>1179</v>
      </c>
      <c r="B346" s="11" t="s">
        <v>1142</v>
      </c>
      <c r="C346" s="20" t="s">
        <v>1143</v>
      </c>
      <c r="D346" s="21"/>
      <c r="E346" s="21" t="s">
        <v>1180</v>
      </c>
      <c r="F346" s="21" t="s">
        <v>62</v>
      </c>
      <c r="G346" s="22">
        <v>1</v>
      </c>
      <c r="H346" s="21"/>
      <c r="I346" s="22">
        <v>90.87</v>
      </c>
      <c r="J346" s="23">
        <f>IFERROR(ROUND(SUM(M347,M348,M349,M350)/I346, 2),0)</f>
        <v>1057.93</v>
      </c>
      <c r="K346" s="23">
        <v>1655</v>
      </c>
      <c r="L346" s="23">
        <f>J346+ROUND(K346, 2)</f>
        <v>2712.9300000000003</v>
      </c>
      <c r="M346" s="23">
        <f>ROUND(J346*I346, 2)</f>
        <v>96134.1</v>
      </c>
      <c r="N346" s="23">
        <f>ROUND(I346*ROUND(K346, 2), 2)</f>
        <v>150389.85</v>
      </c>
      <c r="O346" s="23">
        <f>M346+N346</f>
        <v>246523.95</v>
      </c>
      <c r="P346" s="23">
        <f>IFERROR(ROUND(SUM(S347,S348,S349,S350)/I346, 2),0)</f>
        <v>1057.93</v>
      </c>
      <c r="Q346" s="23">
        <v>2482.5</v>
      </c>
      <c r="R346" s="23">
        <f>P346+ROUND(Q346, 2)</f>
        <v>3540.4300000000003</v>
      </c>
      <c r="S346" s="23">
        <f>ROUND(P346*I346, 2)</f>
        <v>96134.1</v>
      </c>
      <c r="T346" s="23">
        <f>ROUND(I346*ROUND(Q346, 2), 2)</f>
        <v>225584.78</v>
      </c>
      <c r="U346" s="23">
        <f>S346+T346</f>
        <v>321718.88</v>
      </c>
      <c r="V346" s="9">
        <f>ROUND(P346 / 1.2, 2)</f>
        <v>881.61</v>
      </c>
      <c r="W346" s="9">
        <f>ROUND(Q346 / 1.2, 2)</f>
        <v>2068.75</v>
      </c>
      <c r="X346" s="9">
        <f>ROUND(R346 / 1.2, 2)</f>
        <v>2950.36</v>
      </c>
      <c r="Y346" s="9">
        <f t="shared" si="17"/>
        <v>80111.75</v>
      </c>
      <c r="Z346" s="9">
        <f>ROUND(T346 / 1.2, 2)</f>
        <v>187987.32</v>
      </c>
      <c r="AA346" s="9">
        <f>Y346+Z346</f>
        <v>268099.07</v>
      </c>
      <c r="AD346" s="4">
        <v>334080650</v>
      </c>
      <c r="AE346" s="4">
        <v>29331075</v>
      </c>
      <c r="AG346" s="4" t="s">
        <v>1144</v>
      </c>
      <c r="AH346" s="4" t="s">
        <v>1145</v>
      </c>
      <c r="AI346" s="4" t="s">
        <v>250</v>
      </c>
    </row>
    <row r="347" spans="1:35" ht="36" x14ac:dyDescent="0.3">
      <c r="A347" s="11" t="s">
        <v>1181</v>
      </c>
      <c r="B347" s="11"/>
      <c r="C347" s="30" t="s">
        <v>1147</v>
      </c>
      <c r="D347" s="21"/>
      <c r="E347" s="21"/>
      <c r="F347" s="33" t="s">
        <v>278</v>
      </c>
      <c r="G347" s="34">
        <v>7</v>
      </c>
      <c r="H347" s="21"/>
      <c r="I347" s="34">
        <v>636.09</v>
      </c>
      <c r="J347" s="35">
        <v>16.38</v>
      </c>
      <c r="K347" s="12"/>
      <c r="L347" s="12"/>
      <c r="M347" s="35">
        <f>ROUND(ROUND(J347, 2)*I347, 2)</f>
        <v>10419.15</v>
      </c>
      <c r="N347" s="12"/>
      <c r="O347" s="12"/>
      <c r="P347" s="35">
        <v>16.38</v>
      </c>
      <c r="Q347" s="12"/>
      <c r="R347" s="12"/>
      <c r="S347" s="35">
        <f>ROUND(ROUND(P347, 2)*I347, 2)</f>
        <v>10419.15</v>
      </c>
      <c r="T347" s="12"/>
      <c r="U347" s="36"/>
      <c r="V347" s="9">
        <f>ROUND(ROUND(P347, 2)/1.2, 2)</f>
        <v>13.65</v>
      </c>
      <c r="Y347" s="9">
        <f t="shared" si="17"/>
        <v>8682.6299999999992</v>
      </c>
      <c r="AD347" s="4" t="s">
        <v>1182</v>
      </c>
      <c r="AE347" s="4" t="s">
        <v>1183</v>
      </c>
      <c r="AF347" s="4" t="s">
        <v>1150</v>
      </c>
    </row>
    <row r="348" spans="1:35" ht="90" x14ac:dyDescent="0.3">
      <c r="A348" s="11" t="s">
        <v>1184</v>
      </c>
      <c r="B348" s="11"/>
      <c r="C348" s="32" t="s">
        <v>1152</v>
      </c>
      <c r="D348" s="21"/>
      <c r="E348" s="21" t="s">
        <v>1185</v>
      </c>
      <c r="F348" s="33" t="s">
        <v>62</v>
      </c>
      <c r="G348" s="34">
        <v>1.07</v>
      </c>
      <c r="H348" s="21"/>
      <c r="I348" s="37">
        <v>97.230999999999995</v>
      </c>
      <c r="J348" s="35">
        <v>859.34</v>
      </c>
      <c r="K348" s="12"/>
      <c r="L348" s="12"/>
      <c r="M348" s="35">
        <f>ROUND(ROUND(J348, 2)*I348, 2)</f>
        <v>83554.490000000005</v>
      </c>
      <c r="N348" s="12"/>
      <c r="O348" s="12"/>
      <c r="P348" s="35">
        <v>859.34</v>
      </c>
      <c r="Q348" s="12"/>
      <c r="R348" s="12"/>
      <c r="S348" s="35">
        <f>ROUND(ROUND(P348, 2)*I348, 2)</f>
        <v>83554.490000000005</v>
      </c>
      <c r="T348" s="12"/>
      <c r="U348" s="36"/>
      <c r="V348" s="9">
        <f>ROUND(ROUND(P348, 2)/1.2, 2)</f>
        <v>716.12</v>
      </c>
      <c r="Y348" s="9">
        <f t="shared" si="17"/>
        <v>69628.740000000005</v>
      </c>
      <c r="AD348" s="4" t="s">
        <v>1186</v>
      </c>
      <c r="AE348" s="4" t="s">
        <v>1187</v>
      </c>
      <c r="AF348" s="4" t="s">
        <v>1155</v>
      </c>
    </row>
    <row r="349" spans="1:35" ht="36" x14ac:dyDescent="0.3">
      <c r="A349" s="11" t="s">
        <v>1188</v>
      </c>
      <c r="B349" s="11"/>
      <c r="C349" s="32" t="s">
        <v>1157</v>
      </c>
      <c r="D349" s="21"/>
      <c r="E349" s="21"/>
      <c r="F349" s="33" t="s">
        <v>278</v>
      </c>
      <c r="G349" s="34">
        <v>0.25</v>
      </c>
      <c r="H349" s="21"/>
      <c r="I349" s="37">
        <v>22.718</v>
      </c>
      <c r="J349" s="35">
        <v>40.94</v>
      </c>
      <c r="K349" s="12"/>
      <c r="L349" s="12"/>
      <c r="M349" s="35">
        <f>ROUND(ROUND(J349, 2)*I349, 2)</f>
        <v>930.07</v>
      </c>
      <c r="N349" s="12"/>
      <c r="O349" s="12"/>
      <c r="P349" s="35">
        <v>40.94</v>
      </c>
      <c r="Q349" s="12"/>
      <c r="R349" s="12"/>
      <c r="S349" s="35">
        <f>ROUND(ROUND(P349, 2)*I349, 2)</f>
        <v>930.07</v>
      </c>
      <c r="T349" s="12"/>
      <c r="U349" s="36"/>
      <c r="V349" s="9">
        <f>ROUND(ROUND(P349, 2)/1.2, 2)</f>
        <v>34.119999999999997</v>
      </c>
      <c r="Y349" s="9">
        <f t="shared" si="17"/>
        <v>775.06</v>
      </c>
      <c r="AD349" s="4" t="s">
        <v>1189</v>
      </c>
      <c r="AE349" s="4" t="s">
        <v>1190</v>
      </c>
      <c r="AF349" s="4" t="s">
        <v>1160</v>
      </c>
    </row>
    <row r="350" spans="1:35" ht="36" x14ac:dyDescent="0.3">
      <c r="A350" s="11" t="s">
        <v>1191</v>
      </c>
      <c r="B350" s="11"/>
      <c r="C350" s="32" t="s">
        <v>1007</v>
      </c>
      <c r="D350" s="21"/>
      <c r="E350" s="21"/>
      <c r="F350" s="33" t="s">
        <v>278</v>
      </c>
      <c r="G350" s="34">
        <v>0.15</v>
      </c>
      <c r="H350" s="21"/>
      <c r="I350" s="34">
        <v>13.631</v>
      </c>
      <c r="J350" s="35">
        <v>90.28</v>
      </c>
      <c r="K350" s="12"/>
      <c r="L350" s="12"/>
      <c r="M350" s="35">
        <f>ROUND(ROUND(J350, 2)*I350, 2)</f>
        <v>1230.6099999999999</v>
      </c>
      <c r="N350" s="12"/>
      <c r="O350" s="12"/>
      <c r="P350" s="35">
        <v>90.28</v>
      </c>
      <c r="Q350" s="12"/>
      <c r="R350" s="12"/>
      <c r="S350" s="35">
        <f>ROUND(ROUND(P350, 2)*I350, 2)</f>
        <v>1230.6099999999999</v>
      </c>
      <c r="T350" s="12"/>
      <c r="U350" s="36"/>
      <c r="V350" s="9">
        <f>ROUND(ROUND(P350, 2)/1.2, 2)</f>
        <v>75.23</v>
      </c>
      <c r="Y350" s="9">
        <f t="shared" si="17"/>
        <v>1025.51</v>
      </c>
      <c r="AD350" s="4" t="s">
        <v>1192</v>
      </c>
      <c r="AE350" s="4" t="s">
        <v>1193</v>
      </c>
      <c r="AF350" s="4" t="s">
        <v>1010</v>
      </c>
    </row>
    <row r="351" spans="1:35" ht="54" x14ac:dyDescent="0.3">
      <c r="A351" s="10" t="s">
        <v>1194</v>
      </c>
      <c r="B351" s="10" t="s">
        <v>1195</v>
      </c>
      <c r="C351" s="14" t="s">
        <v>1196</v>
      </c>
      <c r="D351" s="15"/>
      <c r="E351" s="15"/>
      <c r="F351" s="15" t="s">
        <v>62</v>
      </c>
      <c r="G351" s="16">
        <v>1</v>
      </c>
      <c r="H351" s="15"/>
      <c r="I351" s="16">
        <v>0</v>
      </c>
      <c r="J351" s="17">
        <v>0</v>
      </c>
      <c r="K351" s="18">
        <v>2785</v>
      </c>
      <c r="L351" s="17">
        <f>J351+ROUND(K351, 2)</f>
        <v>2785</v>
      </c>
      <c r="M351" s="17">
        <v>0</v>
      </c>
      <c r="N351" s="17">
        <v>0</v>
      </c>
      <c r="O351" s="17">
        <f>M351+N351</f>
        <v>0</v>
      </c>
      <c r="P351" s="17">
        <v>2064.9</v>
      </c>
      <c r="Q351" s="19">
        <v>2785</v>
      </c>
      <c r="R351" s="17">
        <f>P351+ROUND(Q351, 2)</f>
        <v>4849.8999999999996</v>
      </c>
      <c r="S351" s="17">
        <v>0</v>
      </c>
      <c r="T351" s="17">
        <v>0</v>
      </c>
      <c r="U351" s="17">
        <f>S351+T351</f>
        <v>0</v>
      </c>
      <c r="V351" s="9">
        <f>ROUND(P351 / 1.2, 2)</f>
        <v>1720.75</v>
      </c>
      <c r="W351" s="9">
        <f>ROUND(Q351 / 1.2, 2)</f>
        <v>2320.83</v>
      </c>
      <c r="X351" s="9">
        <f>ROUND(R351 / 1.2, 2)</f>
        <v>4041.58</v>
      </c>
      <c r="Y351" s="9">
        <f t="shared" si="17"/>
        <v>0</v>
      </c>
      <c r="Z351" s="9">
        <f>ROUND(T351 / 1.2, 2)</f>
        <v>0</v>
      </c>
      <c r="AA351" s="9">
        <f>Y351+Z351</f>
        <v>0</v>
      </c>
      <c r="AD351" s="4">
        <v>334080519</v>
      </c>
      <c r="AE351" s="4">
        <v>27245665</v>
      </c>
      <c r="AG351" s="4" t="s">
        <v>1197</v>
      </c>
      <c r="AH351" s="4" t="s">
        <v>1198</v>
      </c>
      <c r="AI351" s="4" t="s">
        <v>250</v>
      </c>
    </row>
    <row r="352" spans="1:35" ht="36" x14ac:dyDescent="0.3">
      <c r="A352" s="10" t="s">
        <v>1199</v>
      </c>
      <c r="B352" s="10"/>
      <c r="C352" s="30" t="s">
        <v>1200</v>
      </c>
      <c r="D352" s="15"/>
      <c r="E352" s="15"/>
      <c r="F352" s="25" t="s">
        <v>278</v>
      </c>
      <c r="G352" s="26">
        <v>1.2</v>
      </c>
      <c r="H352" s="15"/>
      <c r="I352" s="31">
        <v>0</v>
      </c>
      <c r="J352" s="27">
        <v>16.96</v>
      </c>
      <c r="M352" s="28">
        <f>ROUND(ROUND(J352, 2)*I352, 2)</f>
        <v>0</v>
      </c>
      <c r="P352" s="29">
        <v>16.96</v>
      </c>
      <c r="S352" s="28">
        <f>ROUND(ROUND(P352, 2)*I352, 2)</f>
        <v>0</v>
      </c>
      <c r="V352" s="9">
        <f>ROUND(ROUND(P352, 2)/1.2, 2)</f>
        <v>14.13</v>
      </c>
      <c r="Y352" s="9">
        <f t="shared" si="17"/>
        <v>0</v>
      </c>
      <c r="AD352" s="4" t="s">
        <v>1201</v>
      </c>
      <c r="AE352" s="4" t="s">
        <v>1202</v>
      </c>
      <c r="AF352" s="4" t="s">
        <v>1203</v>
      </c>
    </row>
    <row r="353" spans="1:35" ht="36" x14ac:dyDescent="0.3">
      <c r="A353" s="10" t="s">
        <v>1204</v>
      </c>
      <c r="B353" s="10"/>
      <c r="C353" s="24" t="s">
        <v>1205</v>
      </c>
      <c r="D353" s="15"/>
      <c r="E353" s="15"/>
      <c r="F353" s="25" t="s">
        <v>62</v>
      </c>
      <c r="G353" s="26">
        <v>1.2</v>
      </c>
      <c r="H353" s="15"/>
      <c r="I353" s="31">
        <v>0</v>
      </c>
      <c r="J353" s="27">
        <v>2021.25</v>
      </c>
      <c r="M353" s="28">
        <f>ROUND(ROUND(J353, 2)*I353, 2)</f>
        <v>0</v>
      </c>
      <c r="P353" s="29">
        <v>1684.3</v>
      </c>
      <c r="S353" s="28">
        <f>ROUND(ROUND(P353, 2)*I353, 2)</f>
        <v>0</v>
      </c>
      <c r="V353" s="9">
        <f>ROUND(ROUND(P353, 2)/1.2, 2)</f>
        <v>1403.58</v>
      </c>
      <c r="Y353" s="9">
        <f t="shared" si="17"/>
        <v>0</v>
      </c>
      <c r="AD353" s="4" t="s">
        <v>1206</v>
      </c>
      <c r="AE353" s="4" t="s">
        <v>1207</v>
      </c>
      <c r="AF353" s="4" t="s">
        <v>1208</v>
      </c>
    </row>
    <row r="354" spans="1:35" ht="36" x14ac:dyDescent="0.3">
      <c r="A354" s="10" t="s">
        <v>1209</v>
      </c>
      <c r="B354" s="10"/>
      <c r="C354" s="24" t="s">
        <v>1157</v>
      </c>
      <c r="D354" s="15"/>
      <c r="E354" s="15"/>
      <c r="F354" s="25" t="s">
        <v>278</v>
      </c>
      <c r="G354" s="26">
        <v>0.25</v>
      </c>
      <c r="H354" s="15"/>
      <c r="I354" s="31">
        <v>0</v>
      </c>
      <c r="J354" s="27">
        <v>40.270000000000003</v>
      </c>
      <c r="M354" s="28">
        <f>ROUND(ROUND(J354, 2)*I354, 2)</f>
        <v>0</v>
      </c>
      <c r="P354" s="29">
        <v>40.270000000000003</v>
      </c>
      <c r="S354" s="28">
        <f>ROUND(ROUND(P354, 2)*I354, 2)</f>
        <v>0</v>
      </c>
      <c r="V354" s="9">
        <f>ROUND(ROUND(P354, 2)/1.2, 2)</f>
        <v>33.56</v>
      </c>
      <c r="Y354" s="9">
        <f t="shared" si="17"/>
        <v>0</v>
      </c>
      <c r="AD354" s="4" t="s">
        <v>1210</v>
      </c>
      <c r="AE354" s="4" t="s">
        <v>1211</v>
      </c>
      <c r="AF354" s="4" t="s">
        <v>1160</v>
      </c>
    </row>
    <row r="355" spans="1:35" ht="36" x14ac:dyDescent="0.3">
      <c r="A355" s="10" t="s">
        <v>1212</v>
      </c>
      <c r="B355" s="10"/>
      <c r="C355" s="24" t="s">
        <v>1007</v>
      </c>
      <c r="D355" s="15"/>
      <c r="E355" s="15"/>
      <c r="F355" s="25" t="s">
        <v>278</v>
      </c>
      <c r="G355" s="26">
        <v>0.15</v>
      </c>
      <c r="H355" s="15"/>
      <c r="I355" s="26">
        <v>0</v>
      </c>
      <c r="J355" s="27">
        <v>88.8</v>
      </c>
      <c r="M355" s="28">
        <f>ROUND(ROUND(J355, 2)*I355, 2)</f>
        <v>0</v>
      </c>
      <c r="P355" s="29">
        <v>88.8</v>
      </c>
      <c r="S355" s="28">
        <f>ROUND(ROUND(P355, 2)*I355, 2)</f>
        <v>0</v>
      </c>
      <c r="V355" s="9">
        <f>ROUND(ROUND(P355, 2)/1.2, 2)</f>
        <v>74</v>
      </c>
      <c r="Y355" s="9">
        <f t="shared" si="17"/>
        <v>0</v>
      </c>
      <c r="AD355" s="4" t="s">
        <v>1213</v>
      </c>
      <c r="AE355" s="4" t="s">
        <v>1214</v>
      </c>
      <c r="AF355" s="4" t="s">
        <v>1010</v>
      </c>
    </row>
    <row r="356" spans="1:35" ht="54" x14ac:dyDescent="0.3">
      <c r="A356" s="10" t="s">
        <v>1215</v>
      </c>
      <c r="B356" s="10" t="s">
        <v>1195</v>
      </c>
      <c r="C356" s="14" t="s">
        <v>1196</v>
      </c>
      <c r="D356" s="15"/>
      <c r="E356" s="15"/>
      <c r="F356" s="15" t="s">
        <v>62</v>
      </c>
      <c r="G356" s="16">
        <v>1</v>
      </c>
      <c r="H356" s="15"/>
      <c r="I356" s="16">
        <v>0</v>
      </c>
      <c r="J356" s="17">
        <v>0</v>
      </c>
      <c r="K356" s="18">
        <v>2785</v>
      </c>
      <c r="L356" s="17">
        <f>J356+ROUND(K356, 2)</f>
        <v>2785</v>
      </c>
      <c r="M356" s="17">
        <v>0</v>
      </c>
      <c r="N356" s="17">
        <v>0</v>
      </c>
      <c r="O356" s="17">
        <f>M356+N356</f>
        <v>0</v>
      </c>
      <c r="P356" s="17">
        <v>2054.6999999999998</v>
      </c>
      <c r="Q356" s="19">
        <v>2785</v>
      </c>
      <c r="R356" s="17">
        <f>P356+ROUND(Q356, 2)</f>
        <v>4839.7</v>
      </c>
      <c r="S356" s="17">
        <v>0</v>
      </c>
      <c r="T356" s="17">
        <v>0</v>
      </c>
      <c r="U356" s="17">
        <f>S356+T356</f>
        <v>0</v>
      </c>
      <c r="V356" s="9">
        <f>ROUND(P356 / 1.2, 2)</f>
        <v>1712.25</v>
      </c>
      <c r="W356" s="9">
        <f>ROUND(Q356 / 1.2, 2)</f>
        <v>2320.83</v>
      </c>
      <c r="X356" s="9">
        <f>ROUND(R356 / 1.2, 2)</f>
        <v>4033.08</v>
      </c>
      <c r="Y356" s="9">
        <f t="shared" si="17"/>
        <v>0</v>
      </c>
      <c r="Z356" s="9">
        <f>ROUND(T356 / 1.2, 2)</f>
        <v>0</v>
      </c>
      <c r="AA356" s="9">
        <f>Y356+Z356</f>
        <v>0</v>
      </c>
      <c r="AD356" s="4">
        <v>334080651</v>
      </c>
      <c r="AE356" s="4">
        <v>27245666</v>
      </c>
      <c r="AG356" s="4" t="s">
        <v>1197</v>
      </c>
      <c r="AH356" s="4" t="s">
        <v>1198</v>
      </c>
      <c r="AI356" s="4" t="s">
        <v>250</v>
      </c>
    </row>
    <row r="357" spans="1:35" ht="36" x14ac:dyDescent="0.3">
      <c r="A357" s="10" t="s">
        <v>1216</v>
      </c>
      <c r="B357" s="10"/>
      <c r="C357" s="24" t="s">
        <v>1007</v>
      </c>
      <c r="D357" s="15"/>
      <c r="E357" s="15"/>
      <c r="F357" s="25" t="s">
        <v>278</v>
      </c>
      <c r="G357" s="26">
        <v>0.15</v>
      </c>
      <c r="H357" s="15"/>
      <c r="I357" s="26">
        <v>0</v>
      </c>
      <c r="J357" s="27">
        <v>88.8</v>
      </c>
      <c r="M357" s="28">
        <f>ROUND(ROUND(J357, 2)*I357, 2)</f>
        <v>0</v>
      </c>
      <c r="P357" s="29">
        <v>88.8</v>
      </c>
      <c r="S357" s="28">
        <f>ROUND(ROUND(P357, 2)*I357, 2)</f>
        <v>0</v>
      </c>
      <c r="V357" s="9">
        <f>ROUND(ROUND(P357, 2)/1.2, 2)</f>
        <v>74</v>
      </c>
      <c r="Y357" s="9">
        <f t="shared" si="17"/>
        <v>0</v>
      </c>
      <c r="AD357" s="4" t="s">
        <v>1217</v>
      </c>
      <c r="AE357" s="4" t="s">
        <v>1218</v>
      </c>
      <c r="AF357" s="4" t="s">
        <v>1010</v>
      </c>
    </row>
    <row r="358" spans="1:35" ht="36" x14ac:dyDescent="0.3">
      <c r="A358" s="10" t="s">
        <v>1219</v>
      </c>
      <c r="B358" s="10"/>
      <c r="C358" s="24" t="s">
        <v>1157</v>
      </c>
      <c r="D358" s="15"/>
      <c r="E358" s="15"/>
      <c r="F358" s="25" t="s">
        <v>278</v>
      </c>
      <c r="G358" s="26">
        <v>0.25</v>
      </c>
      <c r="H358" s="15"/>
      <c r="I358" s="31">
        <v>0</v>
      </c>
      <c r="J358" s="27">
        <v>40.270000000000003</v>
      </c>
      <c r="M358" s="28">
        <f>ROUND(ROUND(J358, 2)*I358, 2)</f>
        <v>0</v>
      </c>
      <c r="P358" s="29">
        <v>40.270000000000003</v>
      </c>
      <c r="S358" s="28">
        <f>ROUND(ROUND(P358, 2)*I358, 2)</f>
        <v>0</v>
      </c>
      <c r="V358" s="9">
        <f>ROUND(ROUND(P358, 2)/1.2, 2)</f>
        <v>33.56</v>
      </c>
      <c r="Y358" s="9">
        <f t="shared" si="17"/>
        <v>0</v>
      </c>
      <c r="AD358" s="4" t="s">
        <v>1220</v>
      </c>
      <c r="AE358" s="4" t="s">
        <v>1221</v>
      </c>
      <c r="AF358" s="4" t="s">
        <v>1160</v>
      </c>
    </row>
    <row r="359" spans="1:35" ht="36" x14ac:dyDescent="0.3">
      <c r="A359" s="10" t="s">
        <v>1222</v>
      </c>
      <c r="B359" s="10"/>
      <c r="C359" s="24" t="s">
        <v>1205</v>
      </c>
      <c r="D359" s="15"/>
      <c r="E359" s="15"/>
      <c r="F359" s="25" t="s">
        <v>62</v>
      </c>
      <c r="G359" s="26">
        <v>1.2</v>
      </c>
      <c r="H359" s="15"/>
      <c r="I359" s="31">
        <v>0</v>
      </c>
      <c r="J359" s="27">
        <v>2021.25</v>
      </c>
      <c r="M359" s="28">
        <f>ROUND(ROUND(J359, 2)*I359, 2)</f>
        <v>0</v>
      </c>
      <c r="P359" s="29">
        <v>1675.8</v>
      </c>
      <c r="S359" s="28">
        <f>ROUND(ROUND(P359, 2)*I359, 2)</f>
        <v>0</v>
      </c>
      <c r="V359" s="9">
        <f>ROUND(ROUND(P359, 2)/1.2, 2)</f>
        <v>1396.5</v>
      </c>
      <c r="Y359" s="9">
        <f t="shared" si="17"/>
        <v>0</v>
      </c>
      <c r="AD359" s="4" t="s">
        <v>1223</v>
      </c>
      <c r="AE359" s="4" t="s">
        <v>1224</v>
      </c>
      <c r="AF359" s="4" t="s">
        <v>1208</v>
      </c>
    </row>
    <row r="360" spans="1:35" ht="36" x14ac:dyDescent="0.3">
      <c r="A360" s="10" t="s">
        <v>1225</v>
      </c>
      <c r="B360" s="10"/>
      <c r="C360" s="30" t="s">
        <v>1200</v>
      </c>
      <c r="D360" s="15"/>
      <c r="E360" s="15"/>
      <c r="F360" s="25" t="s">
        <v>278</v>
      </c>
      <c r="G360" s="26">
        <v>1.2</v>
      </c>
      <c r="H360" s="15"/>
      <c r="I360" s="31">
        <v>0</v>
      </c>
      <c r="J360" s="27">
        <v>16.96</v>
      </c>
      <c r="M360" s="28">
        <f>ROUND(ROUND(J360, 2)*I360, 2)</f>
        <v>0</v>
      </c>
      <c r="P360" s="29">
        <v>16.96</v>
      </c>
      <c r="S360" s="28">
        <f>ROUND(ROUND(P360, 2)*I360, 2)</f>
        <v>0</v>
      </c>
      <c r="V360" s="9">
        <f>ROUND(ROUND(P360, 2)/1.2, 2)</f>
        <v>14.13</v>
      </c>
      <c r="Y360" s="9">
        <f t="shared" si="17"/>
        <v>0</v>
      </c>
      <c r="AD360" s="4" t="s">
        <v>1226</v>
      </c>
      <c r="AE360" s="4" t="s">
        <v>1227</v>
      </c>
      <c r="AF360" s="4" t="s">
        <v>1203</v>
      </c>
    </row>
    <row r="361" spans="1:35" ht="54" x14ac:dyDescent="0.3">
      <c r="A361" s="10" t="s">
        <v>1228</v>
      </c>
      <c r="B361" s="10" t="s">
        <v>1195</v>
      </c>
      <c r="C361" s="14" t="s">
        <v>1196</v>
      </c>
      <c r="D361" s="15"/>
      <c r="E361" s="15"/>
      <c r="F361" s="15" t="s">
        <v>62</v>
      </c>
      <c r="G361" s="16">
        <v>1</v>
      </c>
      <c r="H361" s="15"/>
      <c r="I361" s="16">
        <v>0</v>
      </c>
      <c r="J361" s="17">
        <v>0</v>
      </c>
      <c r="K361" s="18">
        <v>2785</v>
      </c>
      <c r="L361" s="17">
        <f>J361+ROUND(K361, 2)</f>
        <v>2785</v>
      </c>
      <c r="M361" s="17">
        <v>0</v>
      </c>
      <c r="N361" s="17">
        <v>0</v>
      </c>
      <c r="O361" s="17">
        <f>M361+N361</f>
        <v>0</v>
      </c>
      <c r="P361" s="17">
        <v>1990.74</v>
      </c>
      <c r="Q361" s="19">
        <v>2785</v>
      </c>
      <c r="R361" s="17">
        <f>P361+ROUND(Q361, 2)</f>
        <v>4775.74</v>
      </c>
      <c r="S361" s="17">
        <v>0</v>
      </c>
      <c r="T361" s="17">
        <v>0</v>
      </c>
      <c r="U361" s="17">
        <f>S361+T361</f>
        <v>0</v>
      </c>
      <c r="V361" s="9">
        <f>ROUND(P361 / 1.2, 2)</f>
        <v>1658.95</v>
      </c>
      <c r="W361" s="9">
        <f>ROUND(Q361 / 1.2, 2)</f>
        <v>2320.83</v>
      </c>
      <c r="X361" s="9">
        <f>ROUND(R361 / 1.2, 2)</f>
        <v>3979.78</v>
      </c>
      <c r="Y361" s="9">
        <f t="shared" si="17"/>
        <v>0</v>
      </c>
      <c r="Z361" s="9">
        <f>ROUND(T361 / 1.2, 2)</f>
        <v>0</v>
      </c>
      <c r="AA361" s="9">
        <f>Y361+Z361</f>
        <v>0</v>
      </c>
      <c r="AD361" s="4">
        <v>334080652</v>
      </c>
      <c r="AE361" s="4">
        <v>27245667</v>
      </c>
      <c r="AG361" s="4" t="s">
        <v>1197</v>
      </c>
      <c r="AH361" s="4" t="s">
        <v>1198</v>
      </c>
      <c r="AI361" s="4" t="s">
        <v>250</v>
      </c>
    </row>
    <row r="362" spans="1:35" ht="36" x14ac:dyDescent="0.3">
      <c r="A362" s="10" t="s">
        <v>1229</v>
      </c>
      <c r="B362" s="10"/>
      <c r="C362" s="30" t="s">
        <v>1200</v>
      </c>
      <c r="D362" s="15"/>
      <c r="E362" s="15"/>
      <c r="F362" s="25" t="s">
        <v>278</v>
      </c>
      <c r="G362" s="26">
        <v>1.2</v>
      </c>
      <c r="H362" s="15"/>
      <c r="I362" s="31">
        <v>0</v>
      </c>
      <c r="J362" s="27">
        <v>16.96</v>
      </c>
      <c r="M362" s="28">
        <f>ROUND(ROUND(J362, 2)*I362, 2)</f>
        <v>0</v>
      </c>
      <c r="P362" s="29">
        <v>16.96</v>
      </c>
      <c r="S362" s="28">
        <f>ROUND(ROUND(P362, 2)*I362, 2)</f>
        <v>0</v>
      </c>
      <c r="V362" s="9">
        <f>ROUND(ROUND(P362, 2)/1.2, 2)</f>
        <v>14.13</v>
      </c>
      <c r="Y362" s="9">
        <f t="shared" si="17"/>
        <v>0</v>
      </c>
      <c r="AD362" s="4" t="s">
        <v>1230</v>
      </c>
      <c r="AE362" s="4" t="s">
        <v>1231</v>
      </c>
      <c r="AF362" s="4" t="s">
        <v>1203</v>
      </c>
    </row>
    <row r="363" spans="1:35" ht="36" x14ac:dyDescent="0.3">
      <c r="A363" s="10" t="s">
        <v>1232</v>
      </c>
      <c r="B363" s="10"/>
      <c r="C363" s="24" t="s">
        <v>1205</v>
      </c>
      <c r="D363" s="15"/>
      <c r="E363" s="15"/>
      <c r="F363" s="25" t="s">
        <v>62</v>
      </c>
      <c r="G363" s="26">
        <v>1.2</v>
      </c>
      <c r="H363" s="15"/>
      <c r="I363" s="31">
        <v>0</v>
      </c>
      <c r="J363" s="27">
        <v>2021.25</v>
      </c>
      <c r="M363" s="28">
        <f>ROUND(ROUND(J363, 2)*I363, 2)</f>
        <v>0</v>
      </c>
      <c r="P363" s="29">
        <v>1622.5</v>
      </c>
      <c r="S363" s="28">
        <f>ROUND(ROUND(P363, 2)*I363, 2)</f>
        <v>0</v>
      </c>
      <c r="V363" s="9">
        <f>ROUND(ROUND(P363, 2)/1.2, 2)</f>
        <v>1352.08</v>
      </c>
      <c r="Y363" s="9">
        <f t="shared" si="17"/>
        <v>0</v>
      </c>
      <c r="AD363" s="4" t="s">
        <v>1233</v>
      </c>
      <c r="AE363" s="4" t="s">
        <v>1234</v>
      </c>
      <c r="AF363" s="4" t="s">
        <v>1208</v>
      </c>
    </row>
    <row r="364" spans="1:35" ht="36" x14ac:dyDescent="0.3">
      <c r="A364" s="10" t="s">
        <v>1235</v>
      </c>
      <c r="B364" s="10"/>
      <c r="C364" s="24" t="s">
        <v>1157</v>
      </c>
      <c r="D364" s="15"/>
      <c r="E364" s="15"/>
      <c r="F364" s="25" t="s">
        <v>278</v>
      </c>
      <c r="G364" s="26">
        <v>0.25</v>
      </c>
      <c r="H364" s="15"/>
      <c r="I364" s="31">
        <v>0</v>
      </c>
      <c r="J364" s="27">
        <v>40.270000000000003</v>
      </c>
      <c r="M364" s="28">
        <f>ROUND(ROUND(J364, 2)*I364, 2)</f>
        <v>0</v>
      </c>
      <c r="P364" s="29">
        <v>40.270000000000003</v>
      </c>
      <c r="S364" s="28">
        <f>ROUND(ROUND(P364, 2)*I364, 2)</f>
        <v>0</v>
      </c>
      <c r="V364" s="9">
        <f>ROUND(ROUND(P364, 2)/1.2, 2)</f>
        <v>33.56</v>
      </c>
      <c r="Y364" s="9">
        <f t="shared" si="17"/>
        <v>0</v>
      </c>
      <c r="AD364" s="4" t="s">
        <v>1236</v>
      </c>
      <c r="AE364" s="4" t="s">
        <v>1237</v>
      </c>
      <c r="AF364" s="4" t="s">
        <v>1160</v>
      </c>
    </row>
    <row r="365" spans="1:35" ht="36" x14ac:dyDescent="0.3">
      <c r="A365" s="10" t="s">
        <v>1238</v>
      </c>
      <c r="B365" s="10"/>
      <c r="C365" s="24" t="s">
        <v>1007</v>
      </c>
      <c r="D365" s="15"/>
      <c r="E365" s="15"/>
      <c r="F365" s="25" t="s">
        <v>278</v>
      </c>
      <c r="G365" s="26">
        <v>0.15</v>
      </c>
      <c r="H365" s="15"/>
      <c r="I365" s="26">
        <v>0</v>
      </c>
      <c r="J365" s="27">
        <v>88.8</v>
      </c>
      <c r="M365" s="28">
        <f>ROUND(ROUND(J365, 2)*I365, 2)</f>
        <v>0</v>
      </c>
      <c r="P365" s="29">
        <v>88.8</v>
      </c>
      <c r="S365" s="28">
        <f>ROUND(ROUND(P365, 2)*I365, 2)</f>
        <v>0</v>
      </c>
      <c r="V365" s="9">
        <f>ROUND(ROUND(P365, 2)/1.2, 2)</f>
        <v>74</v>
      </c>
      <c r="Y365" s="9">
        <f t="shared" si="17"/>
        <v>0</v>
      </c>
      <c r="AD365" s="4" t="s">
        <v>1239</v>
      </c>
      <c r="AE365" s="4" t="s">
        <v>1240</v>
      </c>
      <c r="AF365" s="4" t="s">
        <v>1010</v>
      </c>
    </row>
    <row r="366" spans="1:35" ht="54" x14ac:dyDescent="0.3">
      <c r="A366" s="10" t="s">
        <v>1241</v>
      </c>
      <c r="B366" s="10" t="s">
        <v>1195</v>
      </c>
      <c r="C366" s="14" t="s">
        <v>1196</v>
      </c>
      <c r="D366" s="15"/>
      <c r="E366" s="15"/>
      <c r="F366" s="15" t="s">
        <v>62</v>
      </c>
      <c r="G366" s="16">
        <v>1</v>
      </c>
      <c r="H366" s="15"/>
      <c r="I366" s="16">
        <v>0</v>
      </c>
      <c r="J366" s="17">
        <v>0</v>
      </c>
      <c r="K366" s="18">
        <v>2785</v>
      </c>
      <c r="L366" s="17">
        <f>J366+ROUND(K366, 2)</f>
        <v>2785</v>
      </c>
      <c r="M366" s="17">
        <v>0</v>
      </c>
      <c r="N366" s="17">
        <v>0</v>
      </c>
      <c r="O366" s="17">
        <f>M366+N366</f>
        <v>0</v>
      </c>
      <c r="P366" s="17">
        <v>2075.46</v>
      </c>
      <c r="Q366" s="19">
        <v>2785</v>
      </c>
      <c r="R366" s="17">
        <f>P366+ROUND(Q366, 2)</f>
        <v>4860.46</v>
      </c>
      <c r="S366" s="17">
        <v>0</v>
      </c>
      <c r="T366" s="17">
        <v>0</v>
      </c>
      <c r="U366" s="17">
        <f>S366+T366</f>
        <v>0</v>
      </c>
      <c r="V366" s="9">
        <f>ROUND(P366 / 1.2, 2)</f>
        <v>1729.55</v>
      </c>
      <c r="W366" s="9">
        <f>ROUND(Q366 / 1.2, 2)</f>
        <v>2320.83</v>
      </c>
      <c r="X366" s="9">
        <f>ROUND(R366 / 1.2, 2)</f>
        <v>4050.38</v>
      </c>
      <c r="Y366" s="9">
        <f t="shared" si="17"/>
        <v>0</v>
      </c>
      <c r="Z366" s="9">
        <f>ROUND(T366 / 1.2, 2)</f>
        <v>0</v>
      </c>
      <c r="AA366" s="9">
        <f>Y366+Z366</f>
        <v>0</v>
      </c>
      <c r="AD366" s="4">
        <v>334080653</v>
      </c>
      <c r="AE366" s="4">
        <v>27245668</v>
      </c>
      <c r="AG366" s="4" t="s">
        <v>1197</v>
      </c>
      <c r="AH366" s="4" t="s">
        <v>1198</v>
      </c>
      <c r="AI366" s="4" t="s">
        <v>250</v>
      </c>
    </row>
    <row r="367" spans="1:35" ht="36" x14ac:dyDescent="0.3">
      <c r="A367" s="10" t="s">
        <v>1242</v>
      </c>
      <c r="B367" s="10"/>
      <c r="C367" s="24" t="s">
        <v>1007</v>
      </c>
      <c r="D367" s="15"/>
      <c r="E367" s="15"/>
      <c r="F367" s="25" t="s">
        <v>278</v>
      </c>
      <c r="G367" s="26">
        <v>0.15</v>
      </c>
      <c r="H367" s="15"/>
      <c r="I367" s="26">
        <v>0</v>
      </c>
      <c r="J367" s="27">
        <v>88.8</v>
      </c>
      <c r="M367" s="28">
        <f>ROUND(ROUND(J367, 2)*I367, 2)</f>
        <v>0</v>
      </c>
      <c r="P367" s="29">
        <v>88.8</v>
      </c>
      <c r="S367" s="28">
        <f>ROUND(ROUND(P367, 2)*I367, 2)</f>
        <v>0</v>
      </c>
      <c r="V367" s="9">
        <f>ROUND(ROUND(P367, 2)/1.2, 2)</f>
        <v>74</v>
      </c>
      <c r="Y367" s="9">
        <f t="shared" si="17"/>
        <v>0</v>
      </c>
      <c r="AD367" s="4" t="s">
        <v>1243</v>
      </c>
      <c r="AE367" s="4" t="s">
        <v>1244</v>
      </c>
      <c r="AF367" s="4" t="s">
        <v>1010</v>
      </c>
    </row>
    <row r="368" spans="1:35" ht="36" x14ac:dyDescent="0.3">
      <c r="A368" s="10" t="s">
        <v>1245</v>
      </c>
      <c r="B368" s="10"/>
      <c r="C368" s="24" t="s">
        <v>1157</v>
      </c>
      <c r="D368" s="15"/>
      <c r="E368" s="15"/>
      <c r="F368" s="25" t="s">
        <v>278</v>
      </c>
      <c r="G368" s="26">
        <v>0.25</v>
      </c>
      <c r="H368" s="15"/>
      <c r="I368" s="31">
        <v>0</v>
      </c>
      <c r="J368" s="27">
        <v>40.270000000000003</v>
      </c>
      <c r="M368" s="28">
        <f>ROUND(ROUND(J368, 2)*I368, 2)</f>
        <v>0</v>
      </c>
      <c r="P368" s="29">
        <v>40.270000000000003</v>
      </c>
      <c r="S368" s="28">
        <f>ROUND(ROUND(P368, 2)*I368, 2)</f>
        <v>0</v>
      </c>
      <c r="V368" s="9">
        <f>ROUND(ROUND(P368, 2)/1.2, 2)</f>
        <v>33.56</v>
      </c>
      <c r="Y368" s="9">
        <f t="shared" si="17"/>
        <v>0</v>
      </c>
      <c r="AD368" s="4" t="s">
        <v>1246</v>
      </c>
      <c r="AE368" s="4" t="s">
        <v>1247</v>
      </c>
      <c r="AF368" s="4" t="s">
        <v>1160</v>
      </c>
    </row>
    <row r="369" spans="1:35" ht="36" x14ac:dyDescent="0.3">
      <c r="A369" s="10" t="s">
        <v>1248</v>
      </c>
      <c r="B369" s="10"/>
      <c r="C369" s="24" t="s">
        <v>1205</v>
      </c>
      <c r="D369" s="15"/>
      <c r="E369" s="15"/>
      <c r="F369" s="25" t="s">
        <v>62</v>
      </c>
      <c r="G369" s="26">
        <v>1.2</v>
      </c>
      <c r="H369" s="15"/>
      <c r="I369" s="31">
        <v>0</v>
      </c>
      <c r="J369" s="27">
        <v>2021.25</v>
      </c>
      <c r="M369" s="28">
        <f>ROUND(ROUND(J369, 2)*I369, 2)</f>
        <v>0</v>
      </c>
      <c r="P369" s="29">
        <v>1693.1</v>
      </c>
      <c r="S369" s="28">
        <f>ROUND(ROUND(P369, 2)*I369, 2)</f>
        <v>0</v>
      </c>
      <c r="V369" s="9">
        <f>ROUND(ROUND(P369, 2)/1.2, 2)</f>
        <v>1410.92</v>
      </c>
      <c r="Y369" s="9">
        <f t="shared" si="17"/>
        <v>0</v>
      </c>
      <c r="AD369" s="4" t="s">
        <v>1249</v>
      </c>
      <c r="AE369" s="4" t="s">
        <v>1250</v>
      </c>
      <c r="AF369" s="4" t="s">
        <v>1208</v>
      </c>
    </row>
    <row r="370" spans="1:35" ht="36" x14ac:dyDescent="0.3">
      <c r="A370" s="10" t="s">
        <v>1251</v>
      </c>
      <c r="B370" s="10"/>
      <c r="C370" s="30" t="s">
        <v>1200</v>
      </c>
      <c r="D370" s="15"/>
      <c r="E370" s="15"/>
      <c r="F370" s="25" t="s">
        <v>278</v>
      </c>
      <c r="G370" s="26">
        <v>1.2</v>
      </c>
      <c r="H370" s="15"/>
      <c r="I370" s="31">
        <v>0</v>
      </c>
      <c r="J370" s="27">
        <v>16.96</v>
      </c>
      <c r="M370" s="28">
        <f>ROUND(ROUND(J370, 2)*I370, 2)</f>
        <v>0</v>
      </c>
      <c r="P370" s="29">
        <v>16.96</v>
      </c>
      <c r="S370" s="28">
        <f>ROUND(ROUND(P370, 2)*I370, 2)</f>
        <v>0</v>
      </c>
      <c r="V370" s="9">
        <f>ROUND(ROUND(P370, 2)/1.2, 2)</f>
        <v>14.13</v>
      </c>
      <c r="Y370" s="9">
        <f t="shared" si="17"/>
        <v>0</v>
      </c>
      <c r="AD370" s="4" t="s">
        <v>1252</v>
      </c>
      <c r="AE370" s="4" t="s">
        <v>1253</v>
      </c>
      <c r="AF370" s="4" t="s">
        <v>1203</v>
      </c>
    </row>
    <row r="371" spans="1:35" ht="54" x14ac:dyDescent="0.3">
      <c r="A371" s="10" t="s">
        <v>1254</v>
      </c>
      <c r="B371" s="10" t="s">
        <v>1195</v>
      </c>
      <c r="C371" s="14" t="s">
        <v>1196</v>
      </c>
      <c r="D371" s="15"/>
      <c r="E371" s="15"/>
      <c r="F371" s="15" t="s">
        <v>62</v>
      </c>
      <c r="G371" s="16">
        <v>1</v>
      </c>
      <c r="H371" s="15"/>
      <c r="I371" s="16">
        <v>0</v>
      </c>
      <c r="J371" s="17">
        <v>0</v>
      </c>
      <c r="K371" s="18">
        <v>2785</v>
      </c>
      <c r="L371" s="17">
        <f>J371+ROUND(K371, 2)</f>
        <v>2785</v>
      </c>
      <c r="M371" s="17">
        <v>0</v>
      </c>
      <c r="N371" s="17">
        <v>0</v>
      </c>
      <c r="O371" s="17">
        <f>M371+N371</f>
        <v>0</v>
      </c>
      <c r="P371" s="17">
        <v>2000.82</v>
      </c>
      <c r="Q371" s="19">
        <v>2785</v>
      </c>
      <c r="R371" s="17">
        <f>P371+ROUND(Q371, 2)</f>
        <v>4785.82</v>
      </c>
      <c r="S371" s="17">
        <v>0</v>
      </c>
      <c r="T371" s="17">
        <v>0</v>
      </c>
      <c r="U371" s="17">
        <f>S371+T371</f>
        <v>0</v>
      </c>
      <c r="V371" s="9">
        <f>ROUND(P371 / 1.2, 2)</f>
        <v>1667.35</v>
      </c>
      <c r="W371" s="9">
        <f>ROUND(Q371 / 1.2, 2)</f>
        <v>2320.83</v>
      </c>
      <c r="X371" s="9">
        <f>ROUND(R371 / 1.2, 2)</f>
        <v>3988.18</v>
      </c>
      <c r="Y371" s="9">
        <f t="shared" si="17"/>
        <v>0</v>
      </c>
      <c r="Z371" s="9">
        <f>ROUND(T371 / 1.2, 2)</f>
        <v>0</v>
      </c>
      <c r="AA371" s="9">
        <f>Y371+Z371</f>
        <v>0</v>
      </c>
      <c r="AD371" s="4">
        <v>334080654</v>
      </c>
      <c r="AE371" s="4">
        <v>27245669</v>
      </c>
      <c r="AG371" s="4" t="s">
        <v>1197</v>
      </c>
      <c r="AH371" s="4" t="s">
        <v>1198</v>
      </c>
      <c r="AI371" s="4" t="s">
        <v>250</v>
      </c>
    </row>
    <row r="372" spans="1:35" ht="36" x14ac:dyDescent="0.3">
      <c r="A372" s="10" t="s">
        <v>1255</v>
      </c>
      <c r="B372" s="10"/>
      <c r="C372" s="30" t="s">
        <v>1200</v>
      </c>
      <c r="D372" s="15"/>
      <c r="E372" s="15"/>
      <c r="F372" s="25" t="s">
        <v>278</v>
      </c>
      <c r="G372" s="26">
        <v>1.2</v>
      </c>
      <c r="H372" s="15"/>
      <c r="I372" s="31">
        <v>0</v>
      </c>
      <c r="J372" s="27">
        <v>16.96</v>
      </c>
      <c r="M372" s="28">
        <f>ROUND(ROUND(J372, 2)*I372, 2)</f>
        <v>0</v>
      </c>
      <c r="P372" s="29">
        <v>16.96</v>
      </c>
      <c r="S372" s="28">
        <f>ROUND(ROUND(P372, 2)*I372, 2)</f>
        <v>0</v>
      </c>
      <c r="V372" s="9">
        <f>ROUND(ROUND(P372, 2)/1.2, 2)</f>
        <v>14.13</v>
      </c>
      <c r="Y372" s="9">
        <f t="shared" si="17"/>
        <v>0</v>
      </c>
      <c r="AD372" s="4" t="s">
        <v>1256</v>
      </c>
      <c r="AE372" s="4" t="s">
        <v>1257</v>
      </c>
      <c r="AF372" s="4" t="s">
        <v>1203</v>
      </c>
    </row>
    <row r="373" spans="1:35" ht="36" x14ac:dyDescent="0.3">
      <c r="A373" s="10" t="s">
        <v>1258</v>
      </c>
      <c r="B373" s="10"/>
      <c r="C373" s="24" t="s">
        <v>1205</v>
      </c>
      <c r="D373" s="15"/>
      <c r="E373" s="15"/>
      <c r="F373" s="25" t="s">
        <v>62</v>
      </c>
      <c r="G373" s="26">
        <v>1.2</v>
      </c>
      <c r="H373" s="15"/>
      <c r="I373" s="31">
        <v>0</v>
      </c>
      <c r="J373" s="27">
        <v>2021.25</v>
      </c>
      <c r="M373" s="28">
        <f>ROUND(ROUND(J373, 2)*I373, 2)</f>
        <v>0</v>
      </c>
      <c r="P373" s="29">
        <v>1630.9</v>
      </c>
      <c r="S373" s="28">
        <f>ROUND(ROUND(P373, 2)*I373, 2)</f>
        <v>0</v>
      </c>
      <c r="V373" s="9">
        <f>ROUND(ROUND(P373, 2)/1.2, 2)</f>
        <v>1359.08</v>
      </c>
      <c r="Y373" s="9">
        <f t="shared" ref="Y373:Y440" si="18">ROUND(S373 / 1.2, 2)</f>
        <v>0</v>
      </c>
      <c r="AD373" s="4" t="s">
        <v>1259</v>
      </c>
      <c r="AE373" s="4" t="s">
        <v>1260</v>
      </c>
      <c r="AF373" s="4" t="s">
        <v>1208</v>
      </c>
    </row>
    <row r="374" spans="1:35" ht="36" x14ac:dyDescent="0.3">
      <c r="A374" s="10" t="s">
        <v>1261</v>
      </c>
      <c r="B374" s="10"/>
      <c r="C374" s="24" t="s">
        <v>1157</v>
      </c>
      <c r="D374" s="15"/>
      <c r="E374" s="15"/>
      <c r="F374" s="25" t="s">
        <v>278</v>
      </c>
      <c r="G374" s="26">
        <v>0.25</v>
      </c>
      <c r="H374" s="15"/>
      <c r="I374" s="31">
        <v>0</v>
      </c>
      <c r="J374" s="27">
        <v>40.270000000000003</v>
      </c>
      <c r="M374" s="28">
        <f>ROUND(ROUND(J374, 2)*I374, 2)</f>
        <v>0</v>
      </c>
      <c r="P374" s="29">
        <v>40.270000000000003</v>
      </c>
      <c r="S374" s="28">
        <f>ROUND(ROUND(P374, 2)*I374, 2)</f>
        <v>0</v>
      </c>
      <c r="V374" s="9">
        <f>ROUND(ROUND(P374, 2)/1.2, 2)</f>
        <v>33.56</v>
      </c>
      <c r="Y374" s="9">
        <f t="shared" si="18"/>
        <v>0</v>
      </c>
      <c r="AD374" s="4" t="s">
        <v>1262</v>
      </c>
      <c r="AE374" s="4" t="s">
        <v>1263</v>
      </c>
      <c r="AF374" s="4" t="s">
        <v>1160</v>
      </c>
    </row>
    <row r="375" spans="1:35" ht="36" x14ac:dyDescent="0.3">
      <c r="A375" s="10" t="s">
        <v>1264</v>
      </c>
      <c r="B375" s="10"/>
      <c r="C375" s="24" t="s">
        <v>1007</v>
      </c>
      <c r="D375" s="15"/>
      <c r="E375" s="15"/>
      <c r="F375" s="25" t="s">
        <v>278</v>
      </c>
      <c r="G375" s="26">
        <v>0.15</v>
      </c>
      <c r="H375" s="15"/>
      <c r="I375" s="26">
        <v>0</v>
      </c>
      <c r="J375" s="27">
        <v>88.8</v>
      </c>
      <c r="M375" s="28">
        <f>ROUND(ROUND(J375, 2)*I375, 2)</f>
        <v>0</v>
      </c>
      <c r="P375" s="29">
        <v>88.8</v>
      </c>
      <c r="S375" s="28">
        <f>ROUND(ROUND(P375, 2)*I375, 2)</f>
        <v>0</v>
      </c>
      <c r="V375" s="9">
        <f>ROUND(ROUND(P375, 2)/1.2, 2)</f>
        <v>74</v>
      </c>
      <c r="Y375" s="9">
        <f t="shared" si="18"/>
        <v>0</v>
      </c>
      <c r="AD375" s="4" t="s">
        <v>1265</v>
      </c>
      <c r="AE375" s="4" t="s">
        <v>1266</v>
      </c>
      <c r="AF375" s="4" t="s">
        <v>1010</v>
      </c>
    </row>
    <row r="376" spans="1:35" ht="54" x14ac:dyDescent="0.3">
      <c r="A376" s="10" t="s">
        <v>1267</v>
      </c>
      <c r="B376" s="10" t="s">
        <v>1195</v>
      </c>
      <c r="C376" s="14" t="s">
        <v>1196</v>
      </c>
      <c r="D376" s="15"/>
      <c r="E376" s="15"/>
      <c r="F376" s="15" t="s">
        <v>62</v>
      </c>
      <c r="G376" s="16">
        <v>1</v>
      </c>
      <c r="H376" s="15"/>
      <c r="I376" s="16">
        <v>0</v>
      </c>
      <c r="J376" s="17">
        <v>0</v>
      </c>
      <c r="K376" s="18">
        <v>2785</v>
      </c>
      <c r="L376" s="17">
        <f>J376+ROUND(K376, 2)</f>
        <v>2785</v>
      </c>
      <c r="M376" s="17">
        <v>0</v>
      </c>
      <c r="N376" s="17">
        <v>0</v>
      </c>
      <c r="O376" s="17">
        <f>M376+N376</f>
        <v>0</v>
      </c>
      <c r="P376" s="17">
        <v>2000.82</v>
      </c>
      <c r="Q376" s="19">
        <v>2785</v>
      </c>
      <c r="R376" s="17">
        <f>P376+ROUND(Q376, 2)</f>
        <v>4785.82</v>
      </c>
      <c r="S376" s="17">
        <v>0</v>
      </c>
      <c r="T376" s="17">
        <v>0</v>
      </c>
      <c r="U376" s="17">
        <f>S376+T376</f>
        <v>0</v>
      </c>
      <c r="V376" s="9">
        <f>ROUND(P376 / 1.2, 2)</f>
        <v>1667.35</v>
      </c>
      <c r="W376" s="9">
        <f>ROUND(Q376 / 1.2, 2)</f>
        <v>2320.83</v>
      </c>
      <c r="X376" s="9">
        <f>ROUND(R376 / 1.2, 2)</f>
        <v>3988.18</v>
      </c>
      <c r="Y376" s="9">
        <f t="shared" si="18"/>
        <v>0</v>
      </c>
      <c r="Z376" s="9">
        <f>ROUND(T376 / 1.2, 2)</f>
        <v>0</v>
      </c>
      <c r="AA376" s="9">
        <f>Y376+Z376</f>
        <v>0</v>
      </c>
      <c r="AD376" s="4">
        <v>334080655</v>
      </c>
      <c r="AE376" s="4">
        <v>27245670</v>
      </c>
      <c r="AG376" s="4" t="s">
        <v>1197</v>
      </c>
      <c r="AH376" s="4" t="s">
        <v>1198</v>
      </c>
      <c r="AI376" s="4" t="s">
        <v>250</v>
      </c>
    </row>
    <row r="377" spans="1:35" ht="36" x14ac:dyDescent="0.3">
      <c r="A377" s="10" t="s">
        <v>1268</v>
      </c>
      <c r="B377" s="10"/>
      <c r="C377" s="24" t="s">
        <v>1007</v>
      </c>
      <c r="D377" s="15"/>
      <c r="E377" s="15"/>
      <c r="F377" s="25" t="s">
        <v>278</v>
      </c>
      <c r="G377" s="26">
        <v>0.15</v>
      </c>
      <c r="H377" s="15"/>
      <c r="I377" s="26">
        <v>0</v>
      </c>
      <c r="J377" s="27">
        <v>88.8</v>
      </c>
      <c r="M377" s="28">
        <f>ROUND(ROUND(J377, 2)*I377, 2)</f>
        <v>0</v>
      </c>
      <c r="P377" s="29">
        <v>88.8</v>
      </c>
      <c r="S377" s="28">
        <f>ROUND(ROUND(P377, 2)*I377, 2)</f>
        <v>0</v>
      </c>
      <c r="V377" s="9">
        <f>ROUND(ROUND(P377, 2)/1.2, 2)</f>
        <v>74</v>
      </c>
      <c r="Y377" s="9">
        <f t="shared" si="18"/>
        <v>0</v>
      </c>
      <c r="AD377" s="4" t="s">
        <v>1269</v>
      </c>
      <c r="AE377" s="4" t="s">
        <v>1270</v>
      </c>
      <c r="AF377" s="4" t="s">
        <v>1010</v>
      </c>
    </row>
    <row r="378" spans="1:35" ht="36" x14ac:dyDescent="0.3">
      <c r="A378" s="10" t="s">
        <v>1271</v>
      </c>
      <c r="B378" s="10"/>
      <c r="C378" s="24" t="s">
        <v>1157</v>
      </c>
      <c r="D378" s="15"/>
      <c r="E378" s="15"/>
      <c r="F378" s="25" t="s">
        <v>278</v>
      </c>
      <c r="G378" s="26">
        <v>0.25</v>
      </c>
      <c r="H378" s="15"/>
      <c r="I378" s="31">
        <v>0</v>
      </c>
      <c r="J378" s="27">
        <v>40.270000000000003</v>
      </c>
      <c r="M378" s="28">
        <f>ROUND(ROUND(J378, 2)*I378, 2)</f>
        <v>0</v>
      </c>
      <c r="P378" s="29">
        <v>40.270000000000003</v>
      </c>
      <c r="S378" s="28">
        <f>ROUND(ROUND(P378, 2)*I378, 2)</f>
        <v>0</v>
      </c>
      <c r="V378" s="9">
        <f>ROUND(ROUND(P378, 2)/1.2, 2)</f>
        <v>33.56</v>
      </c>
      <c r="Y378" s="9">
        <f t="shared" si="18"/>
        <v>0</v>
      </c>
      <c r="AD378" s="4" t="s">
        <v>1272</v>
      </c>
      <c r="AE378" s="4" t="s">
        <v>1273</v>
      </c>
      <c r="AF378" s="4" t="s">
        <v>1160</v>
      </c>
    </row>
    <row r="379" spans="1:35" ht="36" x14ac:dyDescent="0.3">
      <c r="A379" s="10" t="s">
        <v>1274</v>
      </c>
      <c r="B379" s="10"/>
      <c r="C379" s="24" t="s">
        <v>1205</v>
      </c>
      <c r="D379" s="15"/>
      <c r="E379" s="15"/>
      <c r="F379" s="25" t="s">
        <v>62</v>
      </c>
      <c r="G379" s="26">
        <v>1.2</v>
      </c>
      <c r="H379" s="15"/>
      <c r="I379" s="31">
        <v>0</v>
      </c>
      <c r="J379" s="27">
        <v>2021.25</v>
      </c>
      <c r="M379" s="28">
        <f>ROUND(ROUND(J379, 2)*I379, 2)</f>
        <v>0</v>
      </c>
      <c r="P379" s="29">
        <v>1630.9</v>
      </c>
      <c r="S379" s="28">
        <f>ROUND(ROUND(P379, 2)*I379, 2)</f>
        <v>0</v>
      </c>
      <c r="V379" s="9">
        <f>ROUND(ROUND(P379, 2)/1.2, 2)</f>
        <v>1359.08</v>
      </c>
      <c r="Y379" s="9">
        <f t="shared" si="18"/>
        <v>0</v>
      </c>
      <c r="AD379" s="4" t="s">
        <v>1275</v>
      </c>
      <c r="AE379" s="4" t="s">
        <v>1276</v>
      </c>
      <c r="AF379" s="4" t="s">
        <v>1208</v>
      </c>
    </row>
    <row r="380" spans="1:35" ht="36" x14ac:dyDescent="0.3">
      <c r="A380" s="10" t="s">
        <v>1277</v>
      </c>
      <c r="B380" s="10"/>
      <c r="C380" s="30" t="s">
        <v>1200</v>
      </c>
      <c r="D380" s="15"/>
      <c r="E380" s="15"/>
      <c r="F380" s="25" t="s">
        <v>278</v>
      </c>
      <c r="G380" s="26">
        <v>1.2</v>
      </c>
      <c r="H380" s="15"/>
      <c r="I380" s="31">
        <v>0</v>
      </c>
      <c r="J380" s="27">
        <v>16.96</v>
      </c>
      <c r="M380" s="28">
        <f>ROUND(ROUND(J380, 2)*I380, 2)</f>
        <v>0</v>
      </c>
      <c r="P380" s="29">
        <v>16.96</v>
      </c>
      <c r="S380" s="28">
        <f>ROUND(ROUND(P380, 2)*I380, 2)</f>
        <v>0</v>
      </c>
      <c r="V380" s="9">
        <f>ROUND(ROUND(P380, 2)/1.2, 2)</f>
        <v>14.13</v>
      </c>
      <c r="Y380" s="9">
        <f t="shared" si="18"/>
        <v>0</v>
      </c>
      <c r="AD380" s="4" t="s">
        <v>1278</v>
      </c>
      <c r="AE380" s="4" t="s">
        <v>1279</v>
      </c>
      <c r="AF380" s="4" t="s">
        <v>1203</v>
      </c>
    </row>
    <row r="381" spans="1:35" ht="54" x14ac:dyDescent="0.3">
      <c r="A381" s="10" t="s">
        <v>1280</v>
      </c>
      <c r="B381" s="10" t="s">
        <v>1195</v>
      </c>
      <c r="C381" s="14" t="s">
        <v>1196</v>
      </c>
      <c r="D381" s="15"/>
      <c r="E381" s="15" t="s">
        <v>1281</v>
      </c>
      <c r="F381" s="15" t="s">
        <v>62</v>
      </c>
      <c r="G381" s="16">
        <v>1</v>
      </c>
      <c r="H381" s="15"/>
      <c r="I381" s="16">
        <v>1132.5</v>
      </c>
      <c r="J381" s="17">
        <v>2468.2399999999998</v>
      </c>
      <c r="K381" s="18">
        <v>2785</v>
      </c>
      <c r="L381" s="17">
        <f>J381+ROUND(K381, 2)</f>
        <v>5253.24</v>
      </c>
      <c r="M381" s="17">
        <v>2795281.8</v>
      </c>
      <c r="N381" s="17">
        <v>3154012.5</v>
      </c>
      <c r="O381" s="17">
        <f>M381+N381</f>
        <v>5949294.2999999998</v>
      </c>
      <c r="P381" s="17">
        <v>2063.89</v>
      </c>
      <c r="Q381" s="19">
        <v>4177.5</v>
      </c>
      <c r="R381" s="17">
        <f>P381+ROUND(Q381, 2)</f>
        <v>6241.3899999999994</v>
      </c>
      <c r="S381" s="17">
        <v>2337355.4300000002</v>
      </c>
      <c r="T381" s="17">
        <v>4731018.75</v>
      </c>
      <c r="U381" s="17">
        <f>S381+T381</f>
        <v>7068374.1799999997</v>
      </c>
      <c r="V381" s="9">
        <f>ROUND(P381 / 1.2, 2)</f>
        <v>1719.91</v>
      </c>
      <c r="W381" s="9">
        <f>ROUND(Q381 / 1.2, 2)</f>
        <v>3481.25</v>
      </c>
      <c r="X381" s="9">
        <f>ROUND(R381 / 1.2, 2)</f>
        <v>5201.16</v>
      </c>
      <c r="Y381" s="9">
        <f t="shared" si="18"/>
        <v>1947796.19</v>
      </c>
      <c r="Z381" s="9">
        <f>ROUND(T381 / 1.2, 2)</f>
        <v>3942515.63</v>
      </c>
      <c r="AA381" s="9">
        <f>Y381+Z381</f>
        <v>5890311.8200000003</v>
      </c>
      <c r="AD381" s="4">
        <v>334080656</v>
      </c>
      <c r="AE381" s="4">
        <v>27245769</v>
      </c>
      <c r="AG381" s="4" t="s">
        <v>1197</v>
      </c>
      <c r="AH381" s="4" t="s">
        <v>1198</v>
      </c>
      <c r="AI381" s="4" t="s">
        <v>250</v>
      </c>
    </row>
    <row r="382" spans="1:35" ht="36" x14ac:dyDescent="0.3">
      <c r="A382" s="10" t="s">
        <v>1282</v>
      </c>
      <c r="B382" s="10"/>
      <c r="C382" s="30" t="s">
        <v>1200</v>
      </c>
      <c r="D382" s="15"/>
      <c r="E382" s="15"/>
      <c r="F382" s="25" t="s">
        <v>278</v>
      </c>
      <c r="G382" s="26">
        <v>1.2</v>
      </c>
      <c r="H382" s="15"/>
      <c r="I382" s="31">
        <v>1359</v>
      </c>
      <c r="J382" s="27">
        <v>16.12</v>
      </c>
      <c r="M382" s="28">
        <f>ROUND(ROUND(J382, 2)*I382, 2)</f>
        <v>21907.08</v>
      </c>
      <c r="P382" s="29">
        <v>16.12</v>
      </c>
      <c r="S382" s="28">
        <f>ROUND(ROUND(P382, 2)*I382, 2)</f>
        <v>21907.08</v>
      </c>
      <c r="V382" s="9">
        <f>ROUND(ROUND(P382, 2)/1.2, 2)</f>
        <v>13.43</v>
      </c>
      <c r="Y382" s="9">
        <f t="shared" si="18"/>
        <v>18255.900000000001</v>
      </c>
      <c r="AD382" s="4" t="s">
        <v>1283</v>
      </c>
      <c r="AE382" s="4" t="s">
        <v>1284</v>
      </c>
      <c r="AF382" s="4" t="s">
        <v>1203</v>
      </c>
    </row>
    <row r="383" spans="1:35" ht="72" x14ac:dyDescent="0.3">
      <c r="A383" s="10" t="s">
        <v>1285</v>
      </c>
      <c r="B383" s="10"/>
      <c r="C383" s="24" t="s">
        <v>1205</v>
      </c>
      <c r="D383" s="15"/>
      <c r="E383" s="15" t="s">
        <v>1286</v>
      </c>
      <c r="F383" s="25" t="s">
        <v>62</v>
      </c>
      <c r="G383" s="26">
        <v>1.2</v>
      </c>
      <c r="H383" s="15"/>
      <c r="I383" s="31">
        <v>1359</v>
      </c>
      <c r="J383" s="27">
        <v>2021.26</v>
      </c>
      <c r="M383" s="28">
        <f>ROUND(ROUND(J383, 2)*I383, 2)</f>
        <v>2746892.34</v>
      </c>
      <c r="P383" s="29">
        <v>1684.3</v>
      </c>
      <c r="S383" s="28">
        <f>ROUND(ROUND(P383, 2)*I383, 2)</f>
        <v>2288963.7000000002</v>
      </c>
      <c r="V383" s="9">
        <f>ROUND(ROUND(P383, 2)/1.2, 2)</f>
        <v>1403.58</v>
      </c>
      <c r="Y383" s="9">
        <f t="shared" si="18"/>
        <v>1907469.75</v>
      </c>
      <c r="AD383" s="4" t="s">
        <v>1287</v>
      </c>
      <c r="AE383" s="4" t="s">
        <v>1288</v>
      </c>
      <c r="AF383" s="4" t="s">
        <v>1208</v>
      </c>
    </row>
    <row r="384" spans="1:35" ht="36" x14ac:dyDescent="0.3">
      <c r="A384" s="10" t="s">
        <v>1289</v>
      </c>
      <c r="B384" s="10"/>
      <c r="C384" s="24" t="s">
        <v>1157</v>
      </c>
      <c r="D384" s="15"/>
      <c r="E384" s="15"/>
      <c r="F384" s="25" t="s">
        <v>278</v>
      </c>
      <c r="G384" s="26">
        <v>0.25</v>
      </c>
      <c r="H384" s="15"/>
      <c r="I384" s="31">
        <v>283.125</v>
      </c>
      <c r="J384" s="27">
        <v>40.270000000000003</v>
      </c>
      <c r="M384" s="28">
        <f>ROUND(ROUND(J384, 2)*I384, 2)</f>
        <v>11401.44</v>
      </c>
      <c r="P384" s="29">
        <v>40.270000000000003</v>
      </c>
      <c r="S384" s="28">
        <f>ROUND(ROUND(P384, 2)*I384, 2)</f>
        <v>11401.44</v>
      </c>
      <c r="V384" s="9">
        <f>ROUND(ROUND(P384, 2)/1.2, 2)</f>
        <v>33.56</v>
      </c>
      <c r="Y384" s="9">
        <f t="shared" si="18"/>
        <v>9501.2000000000007</v>
      </c>
      <c r="AD384" s="4" t="s">
        <v>1290</v>
      </c>
      <c r="AE384" s="4" t="s">
        <v>1291</v>
      </c>
      <c r="AF384" s="4" t="s">
        <v>1160</v>
      </c>
    </row>
    <row r="385" spans="1:35" ht="36" x14ac:dyDescent="0.3">
      <c r="A385" s="10" t="s">
        <v>1292</v>
      </c>
      <c r="B385" s="10"/>
      <c r="C385" s="24" t="s">
        <v>1007</v>
      </c>
      <c r="D385" s="15"/>
      <c r="E385" s="15"/>
      <c r="F385" s="25" t="s">
        <v>278</v>
      </c>
      <c r="G385" s="26">
        <v>0.15</v>
      </c>
      <c r="H385" s="15"/>
      <c r="I385" s="26">
        <v>169.875</v>
      </c>
      <c r="J385" s="27">
        <v>88.8</v>
      </c>
      <c r="M385" s="28">
        <f>ROUND(ROUND(J385, 2)*I385, 2)</f>
        <v>15084.9</v>
      </c>
      <c r="P385" s="29">
        <v>88.8</v>
      </c>
      <c r="S385" s="28">
        <f>ROUND(ROUND(P385, 2)*I385, 2)</f>
        <v>15084.9</v>
      </c>
      <c r="V385" s="9">
        <f>ROUND(ROUND(P385, 2)/1.2, 2)</f>
        <v>74</v>
      </c>
      <c r="Y385" s="9">
        <f t="shared" si="18"/>
        <v>12570.75</v>
      </c>
      <c r="AD385" s="4" t="s">
        <v>1293</v>
      </c>
      <c r="AE385" s="4" t="s">
        <v>1294</v>
      </c>
      <c r="AF385" s="4" t="s">
        <v>1010</v>
      </c>
    </row>
    <row r="386" spans="1:35" ht="54" x14ac:dyDescent="0.3">
      <c r="A386" s="10" t="s">
        <v>1295</v>
      </c>
      <c r="B386" s="10" t="s">
        <v>1195</v>
      </c>
      <c r="C386" s="14" t="s">
        <v>1196</v>
      </c>
      <c r="D386" s="15"/>
      <c r="E386" s="15" t="s">
        <v>1296</v>
      </c>
      <c r="F386" s="15" t="s">
        <v>62</v>
      </c>
      <c r="G386" s="16">
        <v>1</v>
      </c>
      <c r="H386" s="15"/>
      <c r="I386" s="16">
        <v>31.2</v>
      </c>
      <c r="J386" s="17">
        <v>2468.2399999999998</v>
      </c>
      <c r="K386" s="18">
        <v>2785</v>
      </c>
      <c r="L386" s="17">
        <f>J386+ROUND(K386, 2)</f>
        <v>5253.24</v>
      </c>
      <c r="M386" s="17">
        <v>77009.09</v>
      </c>
      <c r="N386" s="17">
        <v>86892</v>
      </c>
      <c r="O386" s="17">
        <f>M386+N386</f>
        <v>163901.09</v>
      </c>
      <c r="P386" s="17">
        <v>2053.6799999999998</v>
      </c>
      <c r="Q386" s="19">
        <v>4177.5</v>
      </c>
      <c r="R386" s="17">
        <f>P386+ROUND(Q386, 2)</f>
        <v>6231.18</v>
      </c>
      <c r="S386" s="17">
        <v>64074.82</v>
      </c>
      <c r="T386" s="17">
        <v>130338</v>
      </c>
      <c r="U386" s="17">
        <f>S386+T386</f>
        <v>194412.82</v>
      </c>
      <c r="V386" s="9">
        <f>ROUND(P386 / 1.2, 2)</f>
        <v>1711.4</v>
      </c>
      <c r="W386" s="9">
        <f>ROUND(Q386 / 1.2, 2)</f>
        <v>3481.25</v>
      </c>
      <c r="X386" s="9">
        <f>ROUND(R386 / 1.2, 2)</f>
        <v>5192.6499999999996</v>
      </c>
      <c r="Y386" s="9">
        <f t="shared" si="18"/>
        <v>53395.68</v>
      </c>
      <c r="Z386" s="9">
        <f>ROUND(T386 / 1.2, 2)</f>
        <v>108615</v>
      </c>
      <c r="AA386" s="9">
        <f>Y386+Z386</f>
        <v>162010.68</v>
      </c>
      <c r="AD386" s="4">
        <v>334080657</v>
      </c>
      <c r="AE386" s="4">
        <v>27245774</v>
      </c>
      <c r="AG386" s="4" t="s">
        <v>1197</v>
      </c>
      <c r="AH386" s="4" t="s">
        <v>1198</v>
      </c>
      <c r="AI386" s="4" t="s">
        <v>250</v>
      </c>
    </row>
    <row r="387" spans="1:35" ht="36" x14ac:dyDescent="0.3">
      <c r="A387" s="10" t="s">
        <v>1297</v>
      </c>
      <c r="B387" s="10"/>
      <c r="C387" s="24" t="s">
        <v>1007</v>
      </c>
      <c r="D387" s="15"/>
      <c r="E387" s="15"/>
      <c r="F387" s="25" t="s">
        <v>278</v>
      </c>
      <c r="G387" s="26">
        <v>0.15</v>
      </c>
      <c r="H387" s="15"/>
      <c r="I387" s="26">
        <v>4.68</v>
      </c>
      <c r="J387" s="27">
        <v>88.8</v>
      </c>
      <c r="M387" s="28">
        <f>ROUND(ROUND(J387, 2)*I387, 2)</f>
        <v>415.58</v>
      </c>
      <c r="P387" s="29">
        <v>88.8</v>
      </c>
      <c r="S387" s="28">
        <f>ROUND(ROUND(P387, 2)*I387, 2)</f>
        <v>415.58</v>
      </c>
      <c r="V387" s="9">
        <f>ROUND(ROUND(P387, 2)/1.2, 2)</f>
        <v>74</v>
      </c>
      <c r="Y387" s="9">
        <f t="shared" si="18"/>
        <v>346.32</v>
      </c>
      <c r="AD387" s="4" t="s">
        <v>1298</v>
      </c>
      <c r="AE387" s="4" t="s">
        <v>1299</v>
      </c>
      <c r="AF387" s="4" t="s">
        <v>1010</v>
      </c>
    </row>
    <row r="388" spans="1:35" ht="36" x14ac:dyDescent="0.3">
      <c r="A388" s="10" t="s">
        <v>1300</v>
      </c>
      <c r="B388" s="10"/>
      <c r="C388" s="24" t="s">
        <v>1157</v>
      </c>
      <c r="D388" s="15"/>
      <c r="E388" s="15"/>
      <c r="F388" s="25" t="s">
        <v>278</v>
      </c>
      <c r="G388" s="26">
        <v>0.25</v>
      </c>
      <c r="H388" s="15"/>
      <c r="I388" s="31">
        <v>7.8</v>
      </c>
      <c r="J388" s="27">
        <v>40.270000000000003</v>
      </c>
      <c r="M388" s="28">
        <f>ROUND(ROUND(J388, 2)*I388, 2)</f>
        <v>314.11</v>
      </c>
      <c r="P388" s="29">
        <v>40.270000000000003</v>
      </c>
      <c r="S388" s="28">
        <f>ROUND(ROUND(P388, 2)*I388, 2)</f>
        <v>314.11</v>
      </c>
      <c r="V388" s="9">
        <f>ROUND(ROUND(P388, 2)/1.2, 2)</f>
        <v>33.56</v>
      </c>
      <c r="Y388" s="9">
        <f t="shared" si="18"/>
        <v>261.76</v>
      </c>
      <c r="AD388" s="4" t="s">
        <v>1301</v>
      </c>
      <c r="AE388" s="4" t="s">
        <v>1302</v>
      </c>
      <c r="AF388" s="4" t="s">
        <v>1160</v>
      </c>
    </row>
    <row r="389" spans="1:35" ht="72" x14ac:dyDescent="0.3">
      <c r="A389" s="10" t="s">
        <v>1303</v>
      </c>
      <c r="B389" s="10"/>
      <c r="C389" s="24" t="s">
        <v>1205</v>
      </c>
      <c r="D389" s="15"/>
      <c r="E389" s="15" t="s">
        <v>1304</v>
      </c>
      <c r="F389" s="25" t="s">
        <v>62</v>
      </c>
      <c r="G389" s="26">
        <v>1.2</v>
      </c>
      <c r="H389" s="15"/>
      <c r="I389" s="31">
        <v>37.44</v>
      </c>
      <c r="J389" s="27">
        <v>2021.26</v>
      </c>
      <c r="M389" s="28">
        <f>ROUND(ROUND(J389, 2)*I389, 2)</f>
        <v>75675.97</v>
      </c>
      <c r="P389" s="29">
        <v>1675.8</v>
      </c>
      <c r="S389" s="28">
        <f>ROUND(ROUND(P389, 2)*I389, 2)</f>
        <v>62741.95</v>
      </c>
      <c r="V389" s="9">
        <f>ROUND(ROUND(P389, 2)/1.2, 2)</f>
        <v>1396.5</v>
      </c>
      <c r="Y389" s="9">
        <f t="shared" si="18"/>
        <v>52284.959999999999</v>
      </c>
      <c r="AD389" s="4" t="s">
        <v>1305</v>
      </c>
      <c r="AE389" s="4" t="s">
        <v>1306</v>
      </c>
      <c r="AF389" s="4" t="s">
        <v>1208</v>
      </c>
    </row>
    <row r="390" spans="1:35" ht="36" x14ac:dyDescent="0.3">
      <c r="A390" s="10" t="s">
        <v>1307</v>
      </c>
      <c r="B390" s="10"/>
      <c r="C390" s="30" t="s">
        <v>1200</v>
      </c>
      <c r="D390" s="15"/>
      <c r="E390" s="15"/>
      <c r="F390" s="25" t="s">
        <v>278</v>
      </c>
      <c r="G390" s="26">
        <v>1.2</v>
      </c>
      <c r="H390" s="15"/>
      <c r="I390" s="31">
        <v>37.44</v>
      </c>
      <c r="J390" s="27">
        <v>16.12</v>
      </c>
      <c r="M390" s="28">
        <f>ROUND(ROUND(J390, 2)*I390, 2)</f>
        <v>603.53</v>
      </c>
      <c r="P390" s="29">
        <v>16.11</v>
      </c>
      <c r="S390" s="28">
        <f>ROUND(ROUND(P390, 2)*I390, 2)</f>
        <v>603.16</v>
      </c>
      <c r="V390" s="9">
        <f>ROUND(ROUND(P390, 2)/1.2, 2)</f>
        <v>13.43</v>
      </c>
      <c r="Y390" s="9">
        <f t="shared" si="18"/>
        <v>502.63</v>
      </c>
      <c r="AD390" s="4" t="s">
        <v>1308</v>
      </c>
      <c r="AE390" s="4" t="s">
        <v>1309</v>
      </c>
      <c r="AF390" s="4" t="s">
        <v>1203</v>
      </c>
    </row>
    <row r="391" spans="1:35" ht="54" x14ac:dyDescent="0.3">
      <c r="A391" s="10" t="s">
        <v>1310</v>
      </c>
      <c r="B391" s="10" t="s">
        <v>1195</v>
      </c>
      <c r="C391" s="14" t="s">
        <v>1196</v>
      </c>
      <c r="D391" s="15"/>
      <c r="E391" s="15" t="s">
        <v>1311</v>
      </c>
      <c r="F391" s="15" t="s">
        <v>62</v>
      </c>
      <c r="G391" s="16">
        <v>1</v>
      </c>
      <c r="H391" s="15"/>
      <c r="I391" s="16">
        <v>560.4</v>
      </c>
      <c r="J391" s="17">
        <v>2468.2399999999998</v>
      </c>
      <c r="K391" s="18">
        <v>2785</v>
      </c>
      <c r="L391" s="17">
        <f>J391+ROUND(K391, 2)</f>
        <v>5253.24</v>
      </c>
      <c r="M391" s="17">
        <v>1383201.7</v>
      </c>
      <c r="N391" s="17">
        <v>1560714</v>
      </c>
      <c r="O391" s="17">
        <f>M391+N391</f>
        <v>2943915.7</v>
      </c>
      <c r="P391" s="17">
        <v>1989.72</v>
      </c>
      <c r="Q391" s="19">
        <v>4177.5</v>
      </c>
      <c r="R391" s="17">
        <f>P391+ROUND(Q391, 2)</f>
        <v>6167.22</v>
      </c>
      <c r="S391" s="17">
        <v>1115039.0900000001</v>
      </c>
      <c r="T391" s="17">
        <v>2341071</v>
      </c>
      <c r="U391" s="17">
        <f>S391+T391</f>
        <v>3456110.09</v>
      </c>
      <c r="V391" s="9">
        <f>ROUND(P391 / 1.2, 2)</f>
        <v>1658.1</v>
      </c>
      <c r="W391" s="9">
        <f>ROUND(Q391 / 1.2, 2)</f>
        <v>3481.25</v>
      </c>
      <c r="X391" s="9">
        <f>ROUND(R391 / 1.2, 2)</f>
        <v>5139.3500000000004</v>
      </c>
      <c r="Y391" s="9">
        <f t="shared" si="18"/>
        <v>929199.24</v>
      </c>
      <c r="Z391" s="9">
        <f>ROUND(T391 / 1.2, 2)</f>
        <v>1950892.5</v>
      </c>
      <c r="AA391" s="9">
        <f>Y391+Z391</f>
        <v>2880091.74</v>
      </c>
      <c r="AD391" s="4">
        <v>334080658</v>
      </c>
      <c r="AE391" s="4">
        <v>27245775</v>
      </c>
      <c r="AG391" s="4" t="s">
        <v>1197</v>
      </c>
      <c r="AH391" s="4" t="s">
        <v>1198</v>
      </c>
      <c r="AI391" s="4" t="s">
        <v>250</v>
      </c>
    </row>
    <row r="392" spans="1:35" ht="36" x14ac:dyDescent="0.3">
      <c r="A392" s="10" t="s">
        <v>1312</v>
      </c>
      <c r="B392" s="10"/>
      <c r="C392" s="30" t="s">
        <v>1200</v>
      </c>
      <c r="D392" s="15"/>
      <c r="E392" s="15"/>
      <c r="F392" s="25" t="s">
        <v>278</v>
      </c>
      <c r="G392" s="26">
        <v>1.2</v>
      </c>
      <c r="H392" s="15"/>
      <c r="I392" s="31">
        <v>672.48</v>
      </c>
      <c r="J392" s="27">
        <v>16.12</v>
      </c>
      <c r="M392" s="28">
        <f>ROUND(ROUND(J392, 2)*I392, 2)</f>
        <v>10840.38</v>
      </c>
      <c r="P392" s="29">
        <v>16.11</v>
      </c>
      <c r="S392" s="28">
        <f>ROUND(ROUND(P392, 2)*I392, 2)</f>
        <v>10833.65</v>
      </c>
      <c r="V392" s="9">
        <f>ROUND(ROUND(P392, 2)/1.2, 2)</f>
        <v>13.43</v>
      </c>
      <c r="Y392" s="9">
        <f t="shared" si="18"/>
        <v>9028.0400000000009</v>
      </c>
      <c r="AD392" s="4" t="s">
        <v>1313</v>
      </c>
      <c r="AE392" s="4" t="s">
        <v>1314</v>
      </c>
      <c r="AF392" s="4" t="s">
        <v>1203</v>
      </c>
    </row>
    <row r="393" spans="1:35" ht="90" x14ac:dyDescent="0.3">
      <c r="A393" s="10" t="s">
        <v>1315</v>
      </c>
      <c r="B393" s="10"/>
      <c r="C393" s="24" t="s">
        <v>1205</v>
      </c>
      <c r="D393" s="15"/>
      <c r="E393" s="15" t="s">
        <v>1316</v>
      </c>
      <c r="F393" s="25" t="s">
        <v>62</v>
      </c>
      <c r="G393" s="26">
        <v>1.2</v>
      </c>
      <c r="H393" s="15"/>
      <c r="I393" s="31">
        <v>672.48</v>
      </c>
      <c r="J393" s="27">
        <v>2021.26</v>
      </c>
      <c r="M393" s="28">
        <f>ROUND(ROUND(J393, 2)*I393, 2)</f>
        <v>1359256.92</v>
      </c>
      <c r="P393" s="29">
        <v>1622.5</v>
      </c>
      <c r="S393" s="28">
        <f>ROUND(ROUND(P393, 2)*I393, 2)</f>
        <v>1091098.8</v>
      </c>
      <c r="V393" s="9">
        <f>ROUND(ROUND(P393, 2)/1.2, 2)</f>
        <v>1352.08</v>
      </c>
      <c r="Y393" s="9">
        <f t="shared" si="18"/>
        <v>909249</v>
      </c>
      <c r="AD393" s="4" t="s">
        <v>1317</v>
      </c>
      <c r="AE393" s="4" t="s">
        <v>1318</v>
      </c>
      <c r="AF393" s="4" t="s">
        <v>1208</v>
      </c>
    </row>
    <row r="394" spans="1:35" ht="36" x14ac:dyDescent="0.3">
      <c r="A394" s="10" t="s">
        <v>1319</v>
      </c>
      <c r="B394" s="10"/>
      <c r="C394" s="24" t="s">
        <v>1157</v>
      </c>
      <c r="D394" s="15"/>
      <c r="E394" s="15"/>
      <c r="F394" s="25" t="s">
        <v>278</v>
      </c>
      <c r="G394" s="26">
        <v>0.25</v>
      </c>
      <c r="H394" s="15"/>
      <c r="I394" s="31">
        <v>140.1</v>
      </c>
      <c r="J394" s="27">
        <v>40.270000000000003</v>
      </c>
      <c r="M394" s="28">
        <f>ROUND(ROUND(J394, 2)*I394, 2)</f>
        <v>5641.83</v>
      </c>
      <c r="P394" s="29">
        <v>40.270000000000003</v>
      </c>
      <c r="S394" s="28">
        <f>ROUND(ROUND(P394, 2)*I394, 2)</f>
        <v>5641.83</v>
      </c>
      <c r="V394" s="9">
        <f>ROUND(ROUND(P394, 2)/1.2, 2)</f>
        <v>33.56</v>
      </c>
      <c r="Y394" s="9">
        <f t="shared" si="18"/>
        <v>4701.53</v>
      </c>
      <c r="AD394" s="4" t="s">
        <v>1320</v>
      </c>
      <c r="AE394" s="4" t="s">
        <v>1321</v>
      </c>
      <c r="AF394" s="4" t="s">
        <v>1160</v>
      </c>
    </row>
    <row r="395" spans="1:35" ht="36" x14ac:dyDescent="0.3">
      <c r="A395" s="10" t="s">
        <v>1322</v>
      </c>
      <c r="B395" s="10"/>
      <c r="C395" s="24" t="s">
        <v>1007</v>
      </c>
      <c r="D395" s="15"/>
      <c r="E395" s="15"/>
      <c r="F395" s="25" t="s">
        <v>278</v>
      </c>
      <c r="G395" s="26">
        <v>0.15</v>
      </c>
      <c r="H395" s="15"/>
      <c r="I395" s="26">
        <v>84.06</v>
      </c>
      <c r="J395" s="27">
        <v>88.8</v>
      </c>
      <c r="M395" s="28">
        <f>ROUND(ROUND(J395, 2)*I395, 2)</f>
        <v>7464.53</v>
      </c>
      <c r="P395" s="29">
        <v>88.8</v>
      </c>
      <c r="S395" s="28">
        <f>ROUND(ROUND(P395, 2)*I395, 2)</f>
        <v>7464.53</v>
      </c>
      <c r="V395" s="9">
        <f>ROUND(ROUND(P395, 2)/1.2, 2)</f>
        <v>74</v>
      </c>
      <c r="Y395" s="9">
        <f t="shared" si="18"/>
        <v>6220.44</v>
      </c>
      <c r="AD395" s="4" t="s">
        <v>1323</v>
      </c>
      <c r="AE395" s="4" t="s">
        <v>1324</v>
      </c>
      <c r="AF395" s="4" t="s">
        <v>1010</v>
      </c>
    </row>
    <row r="396" spans="1:35" ht="54" x14ac:dyDescent="0.3">
      <c r="A396" s="10" t="s">
        <v>1325</v>
      </c>
      <c r="B396" s="10" t="s">
        <v>1195</v>
      </c>
      <c r="C396" s="14" t="s">
        <v>1196</v>
      </c>
      <c r="D396" s="15"/>
      <c r="E396" s="15" t="s">
        <v>1326</v>
      </c>
      <c r="F396" s="15" t="s">
        <v>62</v>
      </c>
      <c r="G396" s="16">
        <v>1</v>
      </c>
      <c r="H396" s="15"/>
      <c r="I396" s="16">
        <v>28</v>
      </c>
      <c r="J396" s="17">
        <v>2468.2399999999998</v>
      </c>
      <c r="K396" s="18">
        <v>2785</v>
      </c>
      <c r="L396" s="17">
        <f>J396+ROUND(K396, 2)</f>
        <v>5253.24</v>
      </c>
      <c r="M396" s="17">
        <v>69110.720000000001</v>
      </c>
      <c r="N396" s="17">
        <v>77980</v>
      </c>
      <c r="O396" s="17">
        <f>M396+N396</f>
        <v>147090.72</v>
      </c>
      <c r="P396" s="17">
        <v>2074.44</v>
      </c>
      <c r="Q396" s="19">
        <v>4177.5</v>
      </c>
      <c r="R396" s="17">
        <f>P396+ROUND(Q396, 2)</f>
        <v>6251.9400000000005</v>
      </c>
      <c r="S396" s="17">
        <v>58084.32</v>
      </c>
      <c r="T396" s="17">
        <v>116970</v>
      </c>
      <c r="U396" s="17">
        <f>S396+T396</f>
        <v>175054.32</v>
      </c>
      <c r="V396" s="9">
        <f>ROUND(P396 / 1.2, 2)</f>
        <v>1728.7</v>
      </c>
      <c r="W396" s="9">
        <f>ROUND(Q396 / 1.2, 2)</f>
        <v>3481.25</v>
      </c>
      <c r="X396" s="9">
        <f>ROUND(R396 / 1.2, 2)</f>
        <v>5209.95</v>
      </c>
      <c r="Y396" s="9">
        <f t="shared" si="18"/>
        <v>48403.6</v>
      </c>
      <c r="Z396" s="9">
        <f>ROUND(T396 / 1.2, 2)</f>
        <v>97475</v>
      </c>
      <c r="AA396" s="9">
        <f>Y396+Z396</f>
        <v>145878.6</v>
      </c>
      <c r="AD396" s="4">
        <v>334080659</v>
      </c>
      <c r="AE396" s="4">
        <v>27245776</v>
      </c>
      <c r="AG396" s="4" t="s">
        <v>1197</v>
      </c>
      <c r="AH396" s="4" t="s">
        <v>1198</v>
      </c>
      <c r="AI396" s="4" t="s">
        <v>250</v>
      </c>
    </row>
    <row r="397" spans="1:35" ht="36" x14ac:dyDescent="0.3">
      <c r="A397" s="10" t="s">
        <v>1327</v>
      </c>
      <c r="B397" s="10"/>
      <c r="C397" s="24" t="s">
        <v>1007</v>
      </c>
      <c r="D397" s="15"/>
      <c r="E397" s="15"/>
      <c r="F397" s="25" t="s">
        <v>278</v>
      </c>
      <c r="G397" s="26">
        <v>0.15</v>
      </c>
      <c r="H397" s="15"/>
      <c r="I397" s="26">
        <v>4.2</v>
      </c>
      <c r="J397" s="27">
        <v>88.8</v>
      </c>
      <c r="M397" s="28">
        <f>ROUND(ROUND(J397, 2)*I397, 2)</f>
        <v>372.96</v>
      </c>
      <c r="P397" s="29">
        <v>88.8</v>
      </c>
      <c r="S397" s="28">
        <f>ROUND(ROUND(P397, 2)*I397, 2)</f>
        <v>372.96</v>
      </c>
      <c r="V397" s="9">
        <f>ROUND(ROUND(P397, 2)/1.2, 2)</f>
        <v>74</v>
      </c>
      <c r="Y397" s="9">
        <f t="shared" si="18"/>
        <v>310.8</v>
      </c>
      <c r="AD397" s="4" t="s">
        <v>1328</v>
      </c>
      <c r="AE397" s="4" t="s">
        <v>1329</v>
      </c>
      <c r="AF397" s="4" t="s">
        <v>1010</v>
      </c>
    </row>
    <row r="398" spans="1:35" ht="36" x14ac:dyDescent="0.3">
      <c r="A398" s="10" t="s">
        <v>1330</v>
      </c>
      <c r="B398" s="10"/>
      <c r="C398" s="24" t="s">
        <v>1157</v>
      </c>
      <c r="D398" s="15"/>
      <c r="E398" s="15"/>
      <c r="F398" s="25" t="s">
        <v>278</v>
      </c>
      <c r="G398" s="26">
        <v>0.25</v>
      </c>
      <c r="H398" s="15"/>
      <c r="I398" s="31">
        <v>7</v>
      </c>
      <c r="J398" s="27">
        <v>40.270000000000003</v>
      </c>
      <c r="M398" s="28">
        <f>ROUND(ROUND(J398, 2)*I398, 2)</f>
        <v>281.89</v>
      </c>
      <c r="P398" s="29">
        <v>40.270000000000003</v>
      </c>
      <c r="S398" s="28">
        <f>ROUND(ROUND(P398, 2)*I398, 2)</f>
        <v>281.89</v>
      </c>
      <c r="V398" s="9">
        <f>ROUND(ROUND(P398, 2)/1.2, 2)</f>
        <v>33.56</v>
      </c>
      <c r="Y398" s="9">
        <f t="shared" si="18"/>
        <v>234.91</v>
      </c>
      <c r="AD398" s="4" t="s">
        <v>1331</v>
      </c>
      <c r="AE398" s="4" t="s">
        <v>1332</v>
      </c>
      <c r="AF398" s="4" t="s">
        <v>1160</v>
      </c>
    </row>
    <row r="399" spans="1:35" ht="72" x14ac:dyDescent="0.3">
      <c r="A399" s="10" t="s">
        <v>1333</v>
      </c>
      <c r="B399" s="10"/>
      <c r="C399" s="24" t="s">
        <v>1205</v>
      </c>
      <c r="D399" s="15"/>
      <c r="E399" s="15" t="s">
        <v>1334</v>
      </c>
      <c r="F399" s="25" t="s">
        <v>62</v>
      </c>
      <c r="G399" s="26">
        <v>1.2</v>
      </c>
      <c r="H399" s="15"/>
      <c r="I399" s="31">
        <v>33.6</v>
      </c>
      <c r="J399" s="27">
        <v>2021.26</v>
      </c>
      <c r="M399" s="28">
        <f>ROUND(ROUND(J399, 2)*I399, 2)</f>
        <v>67914.34</v>
      </c>
      <c r="P399" s="29">
        <v>1693.1</v>
      </c>
      <c r="S399" s="28">
        <f>ROUND(ROUND(P399, 2)*I399, 2)</f>
        <v>56888.160000000003</v>
      </c>
      <c r="V399" s="9">
        <f>ROUND(ROUND(P399, 2)/1.2, 2)</f>
        <v>1410.92</v>
      </c>
      <c r="Y399" s="9">
        <f t="shared" si="18"/>
        <v>47406.8</v>
      </c>
      <c r="AD399" s="4" t="s">
        <v>1335</v>
      </c>
      <c r="AE399" s="4" t="s">
        <v>1336</v>
      </c>
      <c r="AF399" s="4" t="s">
        <v>1208</v>
      </c>
    </row>
    <row r="400" spans="1:35" ht="36" x14ac:dyDescent="0.3">
      <c r="A400" s="10" t="s">
        <v>1337</v>
      </c>
      <c r="B400" s="10"/>
      <c r="C400" s="30" t="s">
        <v>1200</v>
      </c>
      <c r="D400" s="15"/>
      <c r="E400" s="15"/>
      <c r="F400" s="25" t="s">
        <v>278</v>
      </c>
      <c r="G400" s="26">
        <v>1.2</v>
      </c>
      <c r="H400" s="15"/>
      <c r="I400" s="31">
        <v>33.6</v>
      </c>
      <c r="J400" s="27">
        <v>16.12</v>
      </c>
      <c r="M400" s="28">
        <f>ROUND(ROUND(J400, 2)*I400, 2)</f>
        <v>541.63</v>
      </c>
      <c r="P400" s="29">
        <v>16.11</v>
      </c>
      <c r="S400" s="28">
        <f>ROUND(ROUND(P400, 2)*I400, 2)</f>
        <v>541.29999999999995</v>
      </c>
      <c r="V400" s="9">
        <f>ROUND(ROUND(P400, 2)/1.2, 2)</f>
        <v>13.43</v>
      </c>
      <c r="Y400" s="9">
        <f t="shared" si="18"/>
        <v>451.08</v>
      </c>
      <c r="AD400" s="4" t="s">
        <v>1338</v>
      </c>
      <c r="AE400" s="4" t="s">
        <v>1339</v>
      </c>
      <c r="AF400" s="4" t="s">
        <v>1203</v>
      </c>
    </row>
    <row r="401" spans="1:35" ht="54" x14ac:dyDescent="0.3">
      <c r="A401" s="10" t="s">
        <v>1340</v>
      </c>
      <c r="B401" s="10" t="s">
        <v>1195</v>
      </c>
      <c r="C401" s="14" t="s">
        <v>1196</v>
      </c>
      <c r="D401" s="15"/>
      <c r="E401" s="15" t="s">
        <v>1341</v>
      </c>
      <c r="F401" s="15" t="s">
        <v>62</v>
      </c>
      <c r="G401" s="16">
        <v>1</v>
      </c>
      <c r="H401" s="15"/>
      <c r="I401" s="16">
        <v>207.1</v>
      </c>
      <c r="J401" s="17">
        <v>2468.2399999999998</v>
      </c>
      <c r="K401" s="18">
        <v>2785</v>
      </c>
      <c r="L401" s="17">
        <f>J401+ROUND(K401, 2)</f>
        <v>5253.24</v>
      </c>
      <c r="M401" s="17">
        <v>511172.5</v>
      </c>
      <c r="N401" s="17">
        <v>576773.5</v>
      </c>
      <c r="O401" s="17">
        <f>M401+N401</f>
        <v>1087946</v>
      </c>
      <c r="P401" s="17">
        <v>1999.8</v>
      </c>
      <c r="Q401" s="19">
        <v>4177.5</v>
      </c>
      <c r="R401" s="17">
        <f>P401+ROUND(Q401, 2)</f>
        <v>6177.3</v>
      </c>
      <c r="S401" s="17">
        <v>414158.58</v>
      </c>
      <c r="T401" s="17">
        <v>865160.25</v>
      </c>
      <c r="U401" s="17">
        <f>S401+T401</f>
        <v>1279318.83</v>
      </c>
      <c r="V401" s="9">
        <f>ROUND(P401 / 1.2, 2)</f>
        <v>1666.5</v>
      </c>
      <c r="W401" s="9">
        <f>ROUND(Q401 / 1.2, 2)</f>
        <v>3481.25</v>
      </c>
      <c r="X401" s="9">
        <f>ROUND(R401 / 1.2, 2)</f>
        <v>5147.75</v>
      </c>
      <c r="Y401" s="9">
        <f t="shared" si="18"/>
        <v>345132.15</v>
      </c>
      <c r="Z401" s="9">
        <f>ROUND(T401 / 1.2, 2)</f>
        <v>720966.88</v>
      </c>
      <c r="AA401" s="9">
        <f>Y401+Z401</f>
        <v>1066099.03</v>
      </c>
      <c r="AD401" s="4">
        <v>334080660</v>
      </c>
      <c r="AE401" s="4">
        <v>27245773</v>
      </c>
      <c r="AG401" s="4" t="s">
        <v>1197</v>
      </c>
      <c r="AH401" s="4" t="s">
        <v>1198</v>
      </c>
      <c r="AI401" s="4" t="s">
        <v>250</v>
      </c>
    </row>
    <row r="402" spans="1:35" ht="36" x14ac:dyDescent="0.3">
      <c r="A402" s="10" t="s">
        <v>1342</v>
      </c>
      <c r="B402" s="10"/>
      <c r="C402" s="30" t="s">
        <v>1200</v>
      </c>
      <c r="D402" s="15"/>
      <c r="E402" s="15"/>
      <c r="F402" s="25" t="s">
        <v>278</v>
      </c>
      <c r="G402" s="26">
        <v>1.2</v>
      </c>
      <c r="H402" s="15"/>
      <c r="I402" s="31">
        <v>248.52</v>
      </c>
      <c r="J402" s="27">
        <v>16.12</v>
      </c>
      <c r="M402" s="28">
        <f>ROUND(ROUND(J402, 2)*I402, 2)</f>
        <v>4006.14</v>
      </c>
      <c r="P402" s="29">
        <v>16.11</v>
      </c>
      <c r="S402" s="28">
        <f>ROUND(ROUND(P402, 2)*I402, 2)</f>
        <v>4003.66</v>
      </c>
      <c r="V402" s="9">
        <f>ROUND(ROUND(P402, 2)/1.2, 2)</f>
        <v>13.43</v>
      </c>
      <c r="Y402" s="9">
        <f t="shared" si="18"/>
        <v>3336.38</v>
      </c>
      <c r="AD402" s="4" t="s">
        <v>1343</v>
      </c>
      <c r="AE402" s="4" t="s">
        <v>1344</v>
      </c>
      <c r="AF402" s="4" t="s">
        <v>1203</v>
      </c>
    </row>
    <row r="403" spans="1:35" ht="72" x14ac:dyDescent="0.3">
      <c r="A403" s="10" t="s">
        <v>1345</v>
      </c>
      <c r="B403" s="10"/>
      <c r="C403" s="24" t="s">
        <v>1205</v>
      </c>
      <c r="D403" s="15"/>
      <c r="E403" s="15" t="s">
        <v>1346</v>
      </c>
      <c r="F403" s="25" t="s">
        <v>62</v>
      </c>
      <c r="G403" s="26">
        <v>1.2</v>
      </c>
      <c r="H403" s="15"/>
      <c r="I403" s="31">
        <v>248.52</v>
      </c>
      <c r="J403" s="27">
        <v>2021.26</v>
      </c>
      <c r="M403" s="28">
        <f>ROUND(ROUND(J403, 2)*I403, 2)</f>
        <v>502323.54</v>
      </c>
      <c r="P403" s="29">
        <v>1630.9</v>
      </c>
      <c r="S403" s="28">
        <f>ROUND(ROUND(P403, 2)*I403, 2)</f>
        <v>405311.27</v>
      </c>
      <c r="V403" s="9">
        <f>ROUND(ROUND(P403, 2)/1.2, 2)</f>
        <v>1359.08</v>
      </c>
      <c r="Y403" s="9">
        <f t="shared" si="18"/>
        <v>337759.39</v>
      </c>
      <c r="AD403" s="4" t="s">
        <v>1347</v>
      </c>
      <c r="AE403" s="4" t="s">
        <v>1348</v>
      </c>
      <c r="AF403" s="4" t="s">
        <v>1208</v>
      </c>
    </row>
    <row r="404" spans="1:35" ht="36" x14ac:dyDescent="0.3">
      <c r="A404" s="10" t="s">
        <v>1349</v>
      </c>
      <c r="B404" s="10"/>
      <c r="C404" s="24" t="s">
        <v>1157</v>
      </c>
      <c r="D404" s="15"/>
      <c r="E404" s="15"/>
      <c r="F404" s="25" t="s">
        <v>278</v>
      </c>
      <c r="G404" s="26">
        <v>0.25</v>
      </c>
      <c r="H404" s="15"/>
      <c r="I404" s="31">
        <v>51.774999999999999</v>
      </c>
      <c r="J404" s="27">
        <v>40.270000000000003</v>
      </c>
      <c r="M404" s="28">
        <f>ROUND(ROUND(J404, 2)*I404, 2)</f>
        <v>2084.98</v>
      </c>
      <c r="P404" s="29">
        <v>40.270000000000003</v>
      </c>
      <c r="S404" s="28">
        <f>ROUND(ROUND(P404, 2)*I404, 2)</f>
        <v>2084.98</v>
      </c>
      <c r="V404" s="9">
        <f>ROUND(ROUND(P404, 2)/1.2, 2)</f>
        <v>33.56</v>
      </c>
      <c r="Y404" s="9">
        <f t="shared" si="18"/>
        <v>1737.48</v>
      </c>
      <c r="AD404" s="4" t="s">
        <v>1350</v>
      </c>
      <c r="AE404" s="4" t="s">
        <v>1351</v>
      </c>
      <c r="AF404" s="4" t="s">
        <v>1160</v>
      </c>
    </row>
    <row r="405" spans="1:35" ht="36" x14ac:dyDescent="0.3">
      <c r="A405" s="10" t="s">
        <v>1352</v>
      </c>
      <c r="B405" s="10"/>
      <c r="C405" s="24" t="s">
        <v>1007</v>
      </c>
      <c r="D405" s="15"/>
      <c r="E405" s="15"/>
      <c r="F405" s="25" t="s">
        <v>278</v>
      </c>
      <c r="G405" s="26">
        <v>0.15</v>
      </c>
      <c r="H405" s="15"/>
      <c r="I405" s="26">
        <v>31.065000000000001</v>
      </c>
      <c r="J405" s="27">
        <v>88.8</v>
      </c>
      <c r="M405" s="28">
        <f>ROUND(ROUND(J405, 2)*I405, 2)</f>
        <v>2758.57</v>
      </c>
      <c r="P405" s="29">
        <v>88.8</v>
      </c>
      <c r="S405" s="28">
        <f>ROUND(ROUND(P405, 2)*I405, 2)</f>
        <v>2758.57</v>
      </c>
      <c r="V405" s="9">
        <f>ROUND(ROUND(P405, 2)/1.2, 2)</f>
        <v>74</v>
      </c>
      <c r="Y405" s="9">
        <f t="shared" si="18"/>
        <v>2298.81</v>
      </c>
      <c r="AD405" s="4" t="s">
        <v>1353</v>
      </c>
      <c r="AE405" s="4" t="s">
        <v>1354</v>
      </c>
      <c r="AF405" s="4" t="s">
        <v>1010</v>
      </c>
    </row>
    <row r="406" spans="1:35" ht="54" x14ac:dyDescent="0.3">
      <c r="A406" s="10" t="s">
        <v>1355</v>
      </c>
      <c r="B406" s="10" t="s">
        <v>1195</v>
      </c>
      <c r="C406" s="14" t="s">
        <v>1196</v>
      </c>
      <c r="D406" s="15"/>
      <c r="E406" s="15" t="s">
        <v>1356</v>
      </c>
      <c r="F406" s="15" t="s">
        <v>62</v>
      </c>
      <c r="G406" s="16">
        <v>1</v>
      </c>
      <c r="H406" s="15"/>
      <c r="I406" s="16">
        <v>207.5</v>
      </c>
      <c r="J406" s="17">
        <v>2468.2399999999998</v>
      </c>
      <c r="K406" s="18">
        <v>2785</v>
      </c>
      <c r="L406" s="17">
        <f>J406+ROUND(K406, 2)</f>
        <v>5253.24</v>
      </c>
      <c r="M406" s="17">
        <v>512159.8</v>
      </c>
      <c r="N406" s="17">
        <v>577887.5</v>
      </c>
      <c r="O406" s="17">
        <f>M406+N406</f>
        <v>1090047.3</v>
      </c>
      <c r="P406" s="17">
        <v>1999.8</v>
      </c>
      <c r="Q406" s="19">
        <v>4177.5</v>
      </c>
      <c r="R406" s="17">
        <f>P406+ROUND(Q406, 2)</f>
        <v>6177.3</v>
      </c>
      <c r="S406" s="17">
        <v>414958.5</v>
      </c>
      <c r="T406" s="17">
        <v>866831.25</v>
      </c>
      <c r="U406" s="17">
        <f>S406+T406</f>
        <v>1281789.75</v>
      </c>
      <c r="V406" s="9">
        <f>ROUND(P406 / 1.2, 2)</f>
        <v>1666.5</v>
      </c>
      <c r="W406" s="9">
        <f>ROUND(Q406 / 1.2, 2)</f>
        <v>3481.25</v>
      </c>
      <c r="X406" s="9">
        <f>ROUND(R406 / 1.2, 2)</f>
        <v>5147.75</v>
      </c>
      <c r="Y406" s="9">
        <f t="shared" si="18"/>
        <v>345798.75</v>
      </c>
      <c r="Z406" s="9">
        <f>ROUND(T406 / 1.2, 2)</f>
        <v>722359.38</v>
      </c>
      <c r="AA406" s="9">
        <f>Y406+Z406</f>
        <v>1068158.1299999999</v>
      </c>
      <c r="AD406" s="4">
        <v>334080661</v>
      </c>
      <c r="AE406" s="4">
        <v>27245770</v>
      </c>
      <c r="AG406" s="4" t="s">
        <v>1197</v>
      </c>
      <c r="AH406" s="4" t="s">
        <v>1198</v>
      </c>
      <c r="AI406" s="4" t="s">
        <v>250</v>
      </c>
    </row>
    <row r="407" spans="1:35" ht="36" x14ac:dyDescent="0.3">
      <c r="A407" s="10" t="s">
        <v>1357</v>
      </c>
      <c r="B407" s="10"/>
      <c r="C407" s="24" t="s">
        <v>1007</v>
      </c>
      <c r="D407" s="15"/>
      <c r="E407" s="15"/>
      <c r="F407" s="25" t="s">
        <v>278</v>
      </c>
      <c r="G407" s="26">
        <v>0.15</v>
      </c>
      <c r="H407" s="15"/>
      <c r="I407" s="26">
        <v>31.125</v>
      </c>
      <c r="J407" s="27">
        <v>88.8</v>
      </c>
      <c r="M407" s="28">
        <f>ROUND(ROUND(J407, 2)*I407, 2)</f>
        <v>2763.9</v>
      </c>
      <c r="P407" s="29">
        <v>88.8</v>
      </c>
      <c r="S407" s="28">
        <f>ROUND(ROUND(P407, 2)*I407, 2)</f>
        <v>2763.9</v>
      </c>
      <c r="V407" s="9">
        <f>ROUND(ROUND(P407, 2)/1.2, 2)</f>
        <v>74</v>
      </c>
      <c r="Y407" s="9">
        <f t="shared" si="18"/>
        <v>2303.25</v>
      </c>
      <c r="AD407" s="4" t="s">
        <v>1358</v>
      </c>
      <c r="AE407" s="4" t="s">
        <v>1359</v>
      </c>
      <c r="AF407" s="4" t="s">
        <v>1010</v>
      </c>
    </row>
    <row r="408" spans="1:35" ht="36" x14ac:dyDescent="0.3">
      <c r="A408" s="10" t="s">
        <v>1360</v>
      </c>
      <c r="B408" s="10"/>
      <c r="C408" s="24" t="s">
        <v>1157</v>
      </c>
      <c r="D408" s="15"/>
      <c r="E408" s="15"/>
      <c r="F408" s="25" t="s">
        <v>278</v>
      </c>
      <c r="G408" s="26">
        <v>0.25</v>
      </c>
      <c r="H408" s="15"/>
      <c r="I408" s="31">
        <v>51.875</v>
      </c>
      <c r="J408" s="27">
        <v>40.270000000000003</v>
      </c>
      <c r="M408" s="28">
        <f>ROUND(ROUND(J408, 2)*I408, 2)</f>
        <v>2089.0100000000002</v>
      </c>
      <c r="P408" s="29">
        <v>40.270000000000003</v>
      </c>
      <c r="S408" s="28">
        <f>ROUND(ROUND(P408, 2)*I408, 2)</f>
        <v>2089.0100000000002</v>
      </c>
      <c r="V408" s="9">
        <f>ROUND(ROUND(P408, 2)/1.2, 2)</f>
        <v>33.56</v>
      </c>
      <c r="Y408" s="9">
        <f t="shared" si="18"/>
        <v>1740.84</v>
      </c>
      <c r="AD408" s="4" t="s">
        <v>1361</v>
      </c>
      <c r="AE408" s="4" t="s">
        <v>1362</v>
      </c>
      <c r="AF408" s="4" t="s">
        <v>1160</v>
      </c>
    </row>
    <row r="409" spans="1:35" ht="90" x14ac:dyDescent="0.3">
      <c r="A409" s="10" t="s">
        <v>1363</v>
      </c>
      <c r="B409" s="10"/>
      <c r="C409" s="24" t="s">
        <v>1205</v>
      </c>
      <c r="D409" s="15"/>
      <c r="E409" s="15" t="s">
        <v>1364</v>
      </c>
      <c r="F409" s="25" t="s">
        <v>62</v>
      </c>
      <c r="G409" s="26">
        <v>1.2</v>
      </c>
      <c r="H409" s="15"/>
      <c r="I409" s="31">
        <v>249</v>
      </c>
      <c r="J409" s="27">
        <v>2021.26</v>
      </c>
      <c r="M409" s="28">
        <f>ROUND(ROUND(J409, 2)*I409, 2)</f>
        <v>503293.74</v>
      </c>
      <c r="P409" s="29">
        <v>1630.9</v>
      </c>
      <c r="S409" s="28">
        <f>ROUND(ROUND(P409, 2)*I409, 2)</f>
        <v>406094.1</v>
      </c>
      <c r="V409" s="9">
        <f>ROUND(ROUND(P409, 2)/1.2, 2)</f>
        <v>1359.08</v>
      </c>
      <c r="Y409" s="9">
        <f t="shared" si="18"/>
        <v>338411.75</v>
      </c>
      <c r="AD409" s="4" t="s">
        <v>1365</v>
      </c>
      <c r="AE409" s="4" t="s">
        <v>1366</v>
      </c>
      <c r="AF409" s="4" t="s">
        <v>1208</v>
      </c>
    </row>
    <row r="410" spans="1:35" ht="36" x14ac:dyDescent="0.3">
      <c r="A410" s="10" t="s">
        <v>1367</v>
      </c>
      <c r="B410" s="10"/>
      <c r="C410" s="30" t="s">
        <v>1200</v>
      </c>
      <c r="D410" s="15"/>
      <c r="E410" s="15"/>
      <c r="F410" s="25" t="s">
        <v>278</v>
      </c>
      <c r="G410" s="26">
        <v>1.2</v>
      </c>
      <c r="H410" s="15"/>
      <c r="I410" s="31">
        <v>249</v>
      </c>
      <c r="J410" s="27">
        <v>16.12</v>
      </c>
      <c r="M410" s="28">
        <f>ROUND(ROUND(J410, 2)*I410, 2)</f>
        <v>4013.88</v>
      </c>
      <c r="P410" s="29">
        <v>16.11</v>
      </c>
      <c r="S410" s="28">
        <f>ROUND(ROUND(P410, 2)*I410, 2)</f>
        <v>4011.39</v>
      </c>
      <c r="V410" s="9">
        <f>ROUND(ROUND(P410, 2)/1.2, 2)</f>
        <v>13.43</v>
      </c>
      <c r="Y410" s="9">
        <f t="shared" si="18"/>
        <v>3342.83</v>
      </c>
      <c r="AD410" s="4" t="s">
        <v>1368</v>
      </c>
      <c r="AE410" s="4" t="s">
        <v>1369</v>
      </c>
      <c r="AF410" s="4" t="s">
        <v>1203</v>
      </c>
    </row>
    <row r="411" spans="1:35" ht="162" x14ac:dyDescent="0.3">
      <c r="A411" s="11" t="s">
        <v>1370</v>
      </c>
      <c r="B411" s="11" t="s">
        <v>1195</v>
      </c>
      <c r="C411" s="20" t="s">
        <v>1196</v>
      </c>
      <c r="D411" s="21"/>
      <c r="E411" s="21" t="s">
        <v>1371</v>
      </c>
      <c r="F411" s="21" t="s">
        <v>62</v>
      </c>
      <c r="G411" s="22">
        <v>1</v>
      </c>
      <c r="H411" s="21"/>
      <c r="I411" s="22">
        <v>1028.5899999999999</v>
      </c>
      <c r="J411" s="23">
        <f>IFERROR(ROUND(SUM(M412,M413,M414,M415)/I411, 2),0)</f>
        <v>2587.9899999999998</v>
      </c>
      <c r="K411" s="23">
        <v>2785</v>
      </c>
      <c r="L411" s="23">
        <f>J411+ROUND(K411, 2)</f>
        <v>5372.99</v>
      </c>
      <c r="M411" s="23">
        <f>ROUND(J411*I411, 2)</f>
        <v>2661980.63</v>
      </c>
      <c r="N411" s="23">
        <f>ROUND(I411*ROUND(K411, 2), 2)</f>
        <v>2864623.15</v>
      </c>
      <c r="O411" s="23">
        <f>M411+N411</f>
        <v>5526603.7799999993</v>
      </c>
      <c r="P411" s="23">
        <f>IFERROR(ROUND(SUM(S412,S413,S414,S415)/I411, 2),0)</f>
        <v>2587.9899999999998</v>
      </c>
      <c r="Q411" s="23">
        <v>4177.5</v>
      </c>
      <c r="R411" s="23">
        <f>P411+ROUND(Q411, 2)</f>
        <v>6765.49</v>
      </c>
      <c r="S411" s="23">
        <f>ROUND(P411*I411, 2)</f>
        <v>2661980.63</v>
      </c>
      <c r="T411" s="23">
        <f>ROUND(I411*ROUND(Q411, 2), 2)</f>
        <v>4296934.7300000004</v>
      </c>
      <c r="U411" s="23">
        <f>S411+T411</f>
        <v>6958915.3600000003</v>
      </c>
      <c r="V411" s="9">
        <f>ROUND(P411 / 1.2, 2)</f>
        <v>2156.66</v>
      </c>
      <c r="W411" s="9">
        <f>ROUND(Q411 / 1.2, 2)</f>
        <v>3481.25</v>
      </c>
      <c r="X411" s="9">
        <f>ROUND(R411 / 1.2, 2)</f>
        <v>5637.91</v>
      </c>
      <c r="Y411" s="9">
        <f t="shared" si="18"/>
        <v>2218317.19</v>
      </c>
      <c r="Z411" s="9">
        <f>ROUND(T411 / 1.2, 2)</f>
        <v>3580778.94</v>
      </c>
      <c r="AA411" s="9">
        <f>Y411+Z411</f>
        <v>5799096.1299999999</v>
      </c>
      <c r="AD411" s="4">
        <v>334080662</v>
      </c>
      <c r="AE411" s="4">
        <v>29328538</v>
      </c>
      <c r="AG411" s="4" t="s">
        <v>1197</v>
      </c>
      <c r="AH411" s="4" t="s">
        <v>1198</v>
      </c>
      <c r="AI411" s="4" t="s">
        <v>250</v>
      </c>
    </row>
    <row r="412" spans="1:35" ht="36" x14ac:dyDescent="0.3">
      <c r="A412" s="11" t="s">
        <v>1372</v>
      </c>
      <c r="B412" s="11"/>
      <c r="C412" s="30" t="s">
        <v>1200</v>
      </c>
      <c r="D412" s="21"/>
      <c r="E412" s="21"/>
      <c r="F412" s="33" t="s">
        <v>278</v>
      </c>
      <c r="G412" s="34">
        <v>1.2</v>
      </c>
      <c r="H412" s="21"/>
      <c r="I412" s="37">
        <v>6171.54</v>
      </c>
      <c r="J412" s="35">
        <v>16.38</v>
      </c>
      <c r="K412" s="12"/>
      <c r="L412" s="12"/>
      <c r="M412" s="35">
        <f>ROUND(ROUND(J412, 2)*I412, 2)</f>
        <v>101089.83</v>
      </c>
      <c r="N412" s="12"/>
      <c r="O412" s="12"/>
      <c r="P412" s="35">
        <v>16.38</v>
      </c>
      <c r="Q412" s="12"/>
      <c r="R412" s="12"/>
      <c r="S412" s="35">
        <f>ROUND(ROUND(P412, 2)*I412, 2)</f>
        <v>101089.83</v>
      </c>
      <c r="T412" s="12"/>
      <c r="U412" s="36"/>
      <c r="V412" s="9">
        <f>ROUND(ROUND(P412, 2)/1.2, 2)</f>
        <v>13.65</v>
      </c>
      <c r="Y412" s="9">
        <f t="shared" si="18"/>
        <v>84241.53</v>
      </c>
      <c r="AD412" s="4" t="s">
        <v>1373</v>
      </c>
      <c r="AE412" s="4" t="s">
        <v>1374</v>
      </c>
      <c r="AF412" s="4" t="s">
        <v>1203</v>
      </c>
    </row>
    <row r="413" spans="1:35" ht="72" x14ac:dyDescent="0.3">
      <c r="A413" s="11" t="s">
        <v>1375</v>
      </c>
      <c r="B413" s="11"/>
      <c r="C413" s="32" t="s">
        <v>1205</v>
      </c>
      <c r="D413" s="21"/>
      <c r="E413" s="21" t="s">
        <v>1376</v>
      </c>
      <c r="F413" s="33" t="s">
        <v>62</v>
      </c>
      <c r="G413" s="34">
        <v>1.2</v>
      </c>
      <c r="H413" s="21"/>
      <c r="I413" s="37">
        <v>1234.308</v>
      </c>
      <c r="J413" s="35">
        <v>2054.94</v>
      </c>
      <c r="K413" s="12"/>
      <c r="L413" s="12"/>
      <c r="M413" s="35">
        <f>ROUND(ROUND(J413, 2)*I413, 2)</f>
        <v>2536428.88</v>
      </c>
      <c r="N413" s="12"/>
      <c r="O413" s="12"/>
      <c r="P413" s="35">
        <v>2054.94</v>
      </c>
      <c r="Q413" s="12"/>
      <c r="R413" s="12"/>
      <c r="S413" s="35">
        <f>ROUND(ROUND(P413, 2)*I413, 2)</f>
        <v>2536428.88</v>
      </c>
      <c r="T413" s="12"/>
      <c r="U413" s="36"/>
      <c r="V413" s="9">
        <f>ROUND(ROUND(P413, 2)/1.2, 2)</f>
        <v>1712.45</v>
      </c>
      <c r="Y413" s="9">
        <f t="shared" si="18"/>
        <v>2113690.73</v>
      </c>
      <c r="AD413" s="4" t="s">
        <v>1377</v>
      </c>
      <c r="AE413" s="4" t="s">
        <v>1378</v>
      </c>
      <c r="AF413" s="4" t="s">
        <v>1208</v>
      </c>
    </row>
    <row r="414" spans="1:35" ht="36" x14ac:dyDescent="0.3">
      <c r="A414" s="11" t="s">
        <v>1379</v>
      </c>
      <c r="B414" s="11"/>
      <c r="C414" s="32" t="s">
        <v>1157</v>
      </c>
      <c r="D414" s="21"/>
      <c r="E414" s="21"/>
      <c r="F414" s="33" t="s">
        <v>278</v>
      </c>
      <c r="G414" s="34">
        <v>0.25</v>
      </c>
      <c r="H414" s="21"/>
      <c r="I414" s="37">
        <v>257.14800000000002</v>
      </c>
      <c r="J414" s="35">
        <v>40.94</v>
      </c>
      <c r="K414" s="12"/>
      <c r="L414" s="12"/>
      <c r="M414" s="35">
        <f>ROUND(ROUND(J414, 2)*I414, 2)</f>
        <v>10527.64</v>
      </c>
      <c r="N414" s="12"/>
      <c r="O414" s="12"/>
      <c r="P414" s="35">
        <v>40.94</v>
      </c>
      <c r="Q414" s="12"/>
      <c r="R414" s="12"/>
      <c r="S414" s="35">
        <f>ROUND(ROUND(P414, 2)*I414, 2)</f>
        <v>10527.64</v>
      </c>
      <c r="T414" s="12"/>
      <c r="U414" s="36"/>
      <c r="V414" s="9">
        <f>ROUND(ROUND(P414, 2)/1.2, 2)</f>
        <v>34.119999999999997</v>
      </c>
      <c r="Y414" s="9">
        <f t="shared" si="18"/>
        <v>8773.0300000000007</v>
      </c>
      <c r="AD414" s="4" t="s">
        <v>1380</v>
      </c>
      <c r="AE414" s="4" t="s">
        <v>1381</v>
      </c>
      <c r="AF414" s="4" t="s">
        <v>1160</v>
      </c>
    </row>
    <row r="415" spans="1:35" ht="36" x14ac:dyDescent="0.3">
      <c r="A415" s="11" t="s">
        <v>1382</v>
      </c>
      <c r="B415" s="11"/>
      <c r="C415" s="32" t="s">
        <v>1007</v>
      </c>
      <c r="D415" s="21"/>
      <c r="E415" s="21"/>
      <c r="F415" s="33" t="s">
        <v>278</v>
      </c>
      <c r="G415" s="34">
        <v>0.15</v>
      </c>
      <c r="H415" s="21"/>
      <c r="I415" s="34">
        <v>154.28899999999999</v>
      </c>
      <c r="J415" s="35">
        <v>90.28</v>
      </c>
      <c r="K415" s="12"/>
      <c r="L415" s="12"/>
      <c r="M415" s="35">
        <f>ROUND(ROUND(J415, 2)*I415, 2)</f>
        <v>13929.21</v>
      </c>
      <c r="N415" s="12"/>
      <c r="O415" s="12"/>
      <c r="P415" s="35">
        <v>90.28</v>
      </c>
      <c r="Q415" s="12"/>
      <c r="R415" s="12"/>
      <c r="S415" s="35">
        <f>ROUND(ROUND(P415, 2)*I415, 2)</f>
        <v>13929.21</v>
      </c>
      <c r="T415" s="12"/>
      <c r="U415" s="36"/>
      <c r="V415" s="9">
        <f>ROUND(ROUND(P415, 2)/1.2, 2)</f>
        <v>75.23</v>
      </c>
      <c r="Y415" s="9">
        <f t="shared" si="18"/>
        <v>11607.68</v>
      </c>
      <c r="AD415" s="4" t="s">
        <v>1383</v>
      </c>
      <c r="AE415" s="4" t="s">
        <v>1384</v>
      </c>
      <c r="AF415" s="4" t="s">
        <v>1010</v>
      </c>
    </row>
    <row r="416" spans="1:35" ht="144" x14ac:dyDescent="0.3">
      <c r="A416" s="11" t="s">
        <v>1385</v>
      </c>
      <c r="B416" s="11" t="s">
        <v>1195</v>
      </c>
      <c r="C416" s="20" t="s">
        <v>1196</v>
      </c>
      <c r="D416" s="21"/>
      <c r="E416" s="21" t="s">
        <v>1386</v>
      </c>
      <c r="F416" s="21" t="s">
        <v>62</v>
      </c>
      <c r="G416" s="22">
        <v>1</v>
      </c>
      <c r="H416" s="21"/>
      <c r="I416" s="22">
        <v>31.09</v>
      </c>
      <c r="J416" s="23">
        <f>IFERROR(ROUND(SUM(M417,M418,M419,M420)/I416, 2),0)</f>
        <v>2587.9899999999998</v>
      </c>
      <c r="K416" s="23">
        <v>2785</v>
      </c>
      <c r="L416" s="23">
        <f>J416+ROUND(K416, 2)</f>
        <v>5372.99</v>
      </c>
      <c r="M416" s="23">
        <f>ROUND(J416*I416, 2)</f>
        <v>80460.61</v>
      </c>
      <c r="N416" s="23">
        <f>ROUND(I416*ROUND(K416, 2), 2)</f>
        <v>86585.65</v>
      </c>
      <c r="O416" s="23">
        <f>M416+N416</f>
        <v>167046.26</v>
      </c>
      <c r="P416" s="23">
        <f>IFERROR(ROUND(SUM(S417,S418,S419,S420)/I416, 2),0)</f>
        <v>2587.9899999999998</v>
      </c>
      <c r="Q416" s="23">
        <v>4177.5</v>
      </c>
      <c r="R416" s="23">
        <f>P416+ROUND(Q416, 2)</f>
        <v>6765.49</v>
      </c>
      <c r="S416" s="23">
        <f>ROUND(P416*I416, 2)</f>
        <v>80460.61</v>
      </c>
      <c r="T416" s="23">
        <f>ROUND(I416*ROUND(Q416, 2), 2)</f>
        <v>129878.48</v>
      </c>
      <c r="U416" s="23">
        <f>S416+T416</f>
        <v>210339.09</v>
      </c>
      <c r="V416" s="9">
        <f>ROUND(P416 / 1.2, 2)</f>
        <v>2156.66</v>
      </c>
      <c r="W416" s="9">
        <f>ROUND(Q416 / 1.2, 2)</f>
        <v>3481.25</v>
      </c>
      <c r="X416" s="9">
        <f>ROUND(R416 / 1.2, 2)</f>
        <v>5637.91</v>
      </c>
      <c r="Y416" s="9">
        <f t="shared" si="18"/>
        <v>67050.509999999995</v>
      </c>
      <c r="Z416" s="9">
        <f>ROUND(T416 / 1.2, 2)</f>
        <v>108232.07</v>
      </c>
      <c r="AA416" s="9">
        <f>Y416+Z416</f>
        <v>175282.58000000002</v>
      </c>
      <c r="AD416" s="4">
        <v>334080663</v>
      </c>
      <c r="AE416" s="4">
        <v>29328536</v>
      </c>
      <c r="AG416" s="4" t="s">
        <v>1197</v>
      </c>
      <c r="AH416" s="4" t="s">
        <v>1198</v>
      </c>
      <c r="AI416" s="4" t="s">
        <v>250</v>
      </c>
    </row>
    <row r="417" spans="1:35" ht="36" x14ac:dyDescent="0.3">
      <c r="A417" s="11" t="s">
        <v>1387</v>
      </c>
      <c r="B417" s="11"/>
      <c r="C417" s="32" t="s">
        <v>1007</v>
      </c>
      <c r="D417" s="21"/>
      <c r="E417" s="21"/>
      <c r="F417" s="33" t="s">
        <v>278</v>
      </c>
      <c r="G417" s="34">
        <v>0.15</v>
      </c>
      <c r="H417" s="21"/>
      <c r="I417" s="34">
        <v>4.6639999999999997</v>
      </c>
      <c r="J417" s="35">
        <v>90.28</v>
      </c>
      <c r="K417" s="12"/>
      <c r="L417" s="12"/>
      <c r="M417" s="35">
        <f>ROUND(ROUND(J417, 2)*I417, 2)</f>
        <v>421.07</v>
      </c>
      <c r="N417" s="12"/>
      <c r="O417" s="12"/>
      <c r="P417" s="35">
        <v>90.28</v>
      </c>
      <c r="Q417" s="12"/>
      <c r="R417" s="12"/>
      <c r="S417" s="35">
        <f>ROUND(ROUND(P417, 2)*I417, 2)</f>
        <v>421.07</v>
      </c>
      <c r="T417" s="12"/>
      <c r="U417" s="36"/>
      <c r="V417" s="9">
        <f>ROUND(ROUND(P417, 2)/1.2, 2)</f>
        <v>75.23</v>
      </c>
      <c r="Y417" s="9">
        <f t="shared" si="18"/>
        <v>350.89</v>
      </c>
      <c r="AD417" s="4" t="s">
        <v>1388</v>
      </c>
      <c r="AE417" s="4" t="s">
        <v>1389</v>
      </c>
      <c r="AF417" s="4" t="s">
        <v>1010</v>
      </c>
    </row>
    <row r="418" spans="1:35" ht="36" x14ac:dyDescent="0.3">
      <c r="A418" s="11" t="s">
        <v>1390</v>
      </c>
      <c r="B418" s="11"/>
      <c r="C418" s="32" t="s">
        <v>1157</v>
      </c>
      <c r="D418" s="21"/>
      <c r="E418" s="21"/>
      <c r="F418" s="33" t="s">
        <v>278</v>
      </c>
      <c r="G418" s="34">
        <v>0.25</v>
      </c>
      <c r="H418" s="21"/>
      <c r="I418" s="37">
        <v>7.7729999999999997</v>
      </c>
      <c r="J418" s="35">
        <v>40.94</v>
      </c>
      <c r="K418" s="12"/>
      <c r="L418" s="12"/>
      <c r="M418" s="35">
        <f>ROUND(ROUND(J418, 2)*I418, 2)</f>
        <v>318.23</v>
      </c>
      <c r="N418" s="12"/>
      <c r="O418" s="12"/>
      <c r="P418" s="35">
        <v>40.94</v>
      </c>
      <c r="Q418" s="12"/>
      <c r="R418" s="12"/>
      <c r="S418" s="35">
        <f>ROUND(ROUND(P418, 2)*I418, 2)</f>
        <v>318.23</v>
      </c>
      <c r="T418" s="12"/>
      <c r="U418" s="36"/>
      <c r="V418" s="9">
        <f>ROUND(ROUND(P418, 2)/1.2, 2)</f>
        <v>34.119999999999997</v>
      </c>
      <c r="Y418" s="9">
        <f t="shared" si="18"/>
        <v>265.19</v>
      </c>
      <c r="AD418" s="4" t="s">
        <v>1391</v>
      </c>
      <c r="AE418" s="4" t="s">
        <v>1392</v>
      </c>
      <c r="AF418" s="4" t="s">
        <v>1160</v>
      </c>
    </row>
    <row r="419" spans="1:35" ht="72" x14ac:dyDescent="0.3">
      <c r="A419" s="11" t="s">
        <v>1393</v>
      </c>
      <c r="B419" s="11"/>
      <c r="C419" s="32" t="s">
        <v>1205</v>
      </c>
      <c r="D419" s="21"/>
      <c r="E419" s="21" t="s">
        <v>1394</v>
      </c>
      <c r="F419" s="33" t="s">
        <v>62</v>
      </c>
      <c r="G419" s="34">
        <v>1.2</v>
      </c>
      <c r="H419" s="21"/>
      <c r="I419" s="37">
        <v>37.308</v>
      </c>
      <c r="J419" s="35">
        <v>2054.94</v>
      </c>
      <c r="K419" s="12"/>
      <c r="L419" s="12"/>
      <c r="M419" s="35">
        <f>ROUND(ROUND(J419, 2)*I419, 2)</f>
        <v>76665.7</v>
      </c>
      <c r="N419" s="12"/>
      <c r="O419" s="12"/>
      <c r="P419" s="35">
        <v>2054.94</v>
      </c>
      <c r="Q419" s="12"/>
      <c r="R419" s="12"/>
      <c r="S419" s="35">
        <f>ROUND(ROUND(P419, 2)*I419, 2)</f>
        <v>76665.7</v>
      </c>
      <c r="T419" s="12"/>
      <c r="U419" s="36"/>
      <c r="V419" s="9">
        <f>ROUND(ROUND(P419, 2)/1.2, 2)</f>
        <v>1712.45</v>
      </c>
      <c r="Y419" s="9">
        <f t="shared" si="18"/>
        <v>63888.08</v>
      </c>
      <c r="AD419" s="4" t="s">
        <v>1395</v>
      </c>
      <c r="AE419" s="4" t="s">
        <v>1396</v>
      </c>
      <c r="AF419" s="4" t="s">
        <v>1208</v>
      </c>
    </row>
    <row r="420" spans="1:35" ht="36" x14ac:dyDescent="0.3">
      <c r="A420" s="11" t="s">
        <v>1397</v>
      </c>
      <c r="B420" s="11"/>
      <c r="C420" s="30" t="s">
        <v>1200</v>
      </c>
      <c r="D420" s="21"/>
      <c r="E420" s="21"/>
      <c r="F420" s="33" t="s">
        <v>278</v>
      </c>
      <c r="G420" s="34">
        <v>1.2</v>
      </c>
      <c r="H420" s="21"/>
      <c r="I420" s="37">
        <v>186.54</v>
      </c>
      <c r="J420" s="35">
        <v>16.38</v>
      </c>
      <c r="K420" s="12"/>
      <c r="L420" s="12"/>
      <c r="M420" s="35">
        <f>ROUND(ROUND(J420, 2)*I420, 2)</f>
        <v>3055.53</v>
      </c>
      <c r="N420" s="12"/>
      <c r="O420" s="12"/>
      <c r="P420" s="35">
        <v>16.38</v>
      </c>
      <c r="Q420" s="12"/>
      <c r="R420" s="12"/>
      <c r="S420" s="35">
        <f>ROUND(ROUND(P420, 2)*I420, 2)</f>
        <v>3055.53</v>
      </c>
      <c r="T420" s="12"/>
      <c r="U420" s="36"/>
      <c r="V420" s="9">
        <f>ROUND(ROUND(P420, 2)/1.2, 2)</f>
        <v>13.65</v>
      </c>
      <c r="Y420" s="9">
        <f t="shared" si="18"/>
        <v>2546.2800000000002</v>
      </c>
      <c r="AD420" s="4" t="s">
        <v>1398</v>
      </c>
      <c r="AE420" s="4" t="s">
        <v>1399</v>
      </c>
      <c r="AF420" s="4" t="s">
        <v>1203</v>
      </c>
    </row>
    <row r="421" spans="1:35" ht="162" x14ac:dyDescent="0.3">
      <c r="A421" s="11" t="s">
        <v>1400</v>
      </c>
      <c r="B421" s="11" t="s">
        <v>1195</v>
      </c>
      <c r="C421" s="20" t="s">
        <v>1196</v>
      </c>
      <c r="D421" s="21"/>
      <c r="E421" s="21" t="s">
        <v>1401</v>
      </c>
      <c r="F421" s="21" t="s">
        <v>62</v>
      </c>
      <c r="G421" s="22">
        <v>1</v>
      </c>
      <c r="H421" s="21"/>
      <c r="I421" s="22">
        <v>477</v>
      </c>
      <c r="J421" s="23">
        <f>IFERROR(ROUND(SUM(M422,M423,M424,M425)/I421, 2),0)</f>
        <v>2587.9899999999998</v>
      </c>
      <c r="K421" s="23">
        <v>2785</v>
      </c>
      <c r="L421" s="23">
        <f>J421+ROUND(K421, 2)</f>
        <v>5372.99</v>
      </c>
      <c r="M421" s="23">
        <f>ROUND(J421*I421, 2)</f>
        <v>1234471.23</v>
      </c>
      <c r="N421" s="23">
        <f>ROUND(I421*ROUND(K421, 2), 2)</f>
        <v>1328445</v>
      </c>
      <c r="O421" s="23">
        <f>M421+N421</f>
        <v>2562916.23</v>
      </c>
      <c r="P421" s="23">
        <f>IFERROR(ROUND(SUM(S422,S423,S424,S425)/I421, 2),0)</f>
        <v>2587.9899999999998</v>
      </c>
      <c r="Q421" s="23">
        <v>4177.5</v>
      </c>
      <c r="R421" s="23">
        <f>P421+ROUND(Q421, 2)</f>
        <v>6765.49</v>
      </c>
      <c r="S421" s="23">
        <f>ROUND(P421*I421, 2)</f>
        <v>1234471.23</v>
      </c>
      <c r="T421" s="23">
        <f>ROUND(I421*ROUND(Q421, 2), 2)</f>
        <v>1992667.5</v>
      </c>
      <c r="U421" s="23">
        <f>S421+T421</f>
        <v>3227138.73</v>
      </c>
      <c r="V421" s="9">
        <f>ROUND(P421 / 1.2, 2)</f>
        <v>2156.66</v>
      </c>
      <c r="W421" s="9">
        <f>ROUND(Q421 / 1.2, 2)</f>
        <v>3481.25</v>
      </c>
      <c r="X421" s="9">
        <f>ROUND(R421 / 1.2, 2)</f>
        <v>5637.91</v>
      </c>
      <c r="Y421" s="9">
        <f t="shared" si="18"/>
        <v>1028726.03</v>
      </c>
      <c r="Z421" s="9">
        <f>ROUND(T421 / 1.2, 2)</f>
        <v>1660556.25</v>
      </c>
      <c r="AA421" s="9">
        <f>Y421+Z421</f>
        <v>2689282.2800000003</v>
      </c>
      <c r="AD421" s="4">
        <v>334080664</v>
      </c>
      <c r="AE421" s="4">
        <v>29328537</v>
      </c>
      <c r="AG421" s="4" t="s">
        <v>1197</v>
      </c>
      <c r="AH421" s="4" t="s">
        <v>1198</v>
      </c>
      <c r="AI421" s="4" t="s">
        <v>250</v>
      </c>
    </row>
    <row r="422" spans="1:35" ht="36" x14ac:dyDescent="0.3">
      <c r="A422" s="11" t="s">
        <v>1402</v>
      </c>
      <c r="B422" s="11"/>
      <c r="C422" s="30" t="s">
        <v>1200</v>
      </c>
      <c r="D422" s="21"/>
      <c r="E422" s="21"/>
      <c r="F422" s="33" t="s">
        <v>278</v>
      </c>
      <c r="G422" s="34">
        <v>1.2</v>
      </c>
      <c r="H422" s="21"/>
      <c r="I422" s="37">
        <v>2862</v>
      </c>
      <c r="J422" s="35">
        <v>16.38</v>
      </c>
      <c r="K422" s="12"/>
      <c r="L422" s="12"/>
      <c r="M422" s="35">
        <f>ROUND(ROUND(J422, 2)*I422, 2)</f>
        <v>46879.56</v>
      </c>
      <c r="N422" s="12"/>
      <c r="O422" s="12"/>
      <c r="P422" s="35">
        <v>16.38</v>
      </c>
      <c r="Q422" s="12"/>
      <c r="R422" s="12"/>
      <c r="S422" s="35">
        <f>ROUND(ROUND(P422, 2)*I422, 2)</f>
        <v>46879.56</v>
      </c>
      <c r="T422" s="12"/>
      <c r="U422" s="36"/>
      <c r="V422" s="9">
        <f>ROUND(ROUND(P422, 2)/1.2, 2)</f>
        <v>13.65</v>
      </c>
      <c r="Y422" s="9">
        <f t="shared" si="18"/>
        <v>39066.300000000003</v>
      </c>
      <c r="AD422" s="4" t="s">
        <v>1403</v>
      </c>
      <c r="AE422" s="4" t="s">
        <v>1404</v>
      </c>
      <c r="AF422" s="4" t="s">
        <v>1203</v>
      </c>
    </row>
    <row r="423" spans="1:35" ht="72" x14ac:dyDescent="0.3">
      <c r="A423" s="11" t="s">
        <v>1405</v>
      </c>
      <c r="B423" s="11"/>
      <c r="C423" s="32" t="s">
        <v>1205</v>
      </c>
      <c r="D423" s="21"/>
      <c r="E423" s="21" t="s">
        <v>1406</v>
      </c>
      <c r="F423" s="33" t="s">
        <v>62</v>
      </c>
      <c r="G423" s="34">
        <v>1.2</v>
      </c>
      <c r="H423" s="21"/>
      <c r="I423" s="37">
        <v>572.4</v>
      </c>
      <c r="J423" s="35">
        <v>2054.94</v>
      </c>
      <c r="K423" s="12"/>
      <c r="L423" s="12"/>
      <c r="M423" s="35">
        <f>ROUND(ROUND(J423, 2)*I423, 2)</f>
        <v>1176247.6599999999</v>
      </c>
      <c r="N423" s="12"/>
      <c r="O423" s="12"/>
      <c r="P423" s="35">
        <v>2054.94</v>
      </c>
      <c r="Q423" s="12"/>
      <c r="R423" s="12"/>
      <c r="S423" s="35">
        <f>ROUND(ROUND(P423, 2)*I423, 2)</f>
        <v>1176247.6599999999</v>
      </c>
      <c r="T423" s="12"/>
      <c r="U423" s="36"/>
      <c r="V423" s="9">
        <f>ROUND(ROUND(P423, 2)/1.2, 2)</f>
        <v>1712.45</v>
      </c>
      <c r="Y423" s="9">
        <f t="shared" si="18"/>
        <v>980206.38</v>
      </c>
      <c r="AD423" s="4" t="s">
        <v>1407</v>
      </c>
      <c r="AE423" s="4" t="s">
        <v>1408</v>
      </c>
      <c r="AF423" s="4" t="s">
        <v>1208</v>
      </c>
    </row>
    <row r="424" spans="1:35" ht="36" x14ac:dyDescent="0.3">
      <c r="A424" s="11" t="s">
        <v>1409</v>
      </c>
      <c r="B424" s="11"/>
      <c r="C424" s="32" t="s">
        <v>1157</v>
      </c>
      <c r="D424" s="21"/>
      <c r="E424" s="21"/>
      <c r="F424" s="33" t="s">
        <v>278</v>
      </c>
      <c r="G424" s="34">
        <v>0.25</v>
      </c>
      <c r="H424" s="21"/>
      <c r="I424" s="37">
        <v>119.25</v>
      </c>
      <c r="J424" s="35">
        <v>40.94</v>
      </c>
      <c r="K424" s="12"/>
      <c r="L424" s="12"/>
      <c r="M424" s="35">
        <f>ROUND(ROUND(J424, 2)*I424, 2)</f>
        <v>4882.1000000000004</v>
      </c>
      <c r="N424" s="12"/>
      <c r="O424" s="12"/>
      <c r="P424" s="35">
        <v>40.94</v>
      </c>
      <c r="Q424" s="12"/>
      <c r="R424" s="12"/>
      <c r="S424" s="35">
        <f>ROUND(ROUND(P424, 2)*I424, 2)</f>
        <v>4882.1000000000004</v>
      </c>
      <c r="T424" s="12"/>
      <c r="U424" s="36"/>
      <c r="V424" s="9">
        <f>ROUND(ROUND(P424, 2)/1.2, 2)</f>
        <v>34.119999999999997</v>
      </c>
      <c r="Y424" s="9">
        <f t="shared" si="18"/>
        <v>4068.42</v>
      </c>
      <c r="AD424" s="4" t="s">
        <v>1410</v>
      </c>
      <c r="AE424" s="4" t="s">
        <v>1411</v>
      </c>
      <c r="AF424" s="4" t="s">
        <v>1160</v>
      </c>
    </row>
    <row r="425" spans="1:35" ht="36" x14ac:dyDescent="0.3">
      <c r="A425" s="11" t="s">
        <v>1412</v>
      </c>
      <c r="B425" s="11"/>
      <c r="C425" s="32" t="s">
        <v>1007</v>
      </c>
      <c r="D425" s="21"/>
      <c r="E425" s="21"/>
      <c r="F425" s="33" t="s">
        <v>278</v>
      </c>
      <c r="G425" s="34">
        <v>0.15</v>
      </c>
      <c r="H425" s="21"/>
      <c r="I425" s="34">
        <v>71.55</v>
      </c>
      <c r="J425" s="35">
        <v>90.28</v>
      </c>
      <c r="K425" s="12"/>
      <c r="L425" s="12"/>
      <c r="M425" s="35">
        <f>ROUND(ROUND(J425, 2)*I425, 2)</f>
        <v>6459.53</v>
      </c>
      <c r="N425" s="12"/>
      <c r="O425" s="12"/>
      <c r="P425" s="35">
        <v>90.28</v>
      </c>
      <c r="Q425" s="12"/>
      <c r="R425" s="12"/>
      <c r="S425" s="35">
        <f>ROUND(ROUND(P425, 2)*I425, 2)</f>
        <v>6459.53</v>
      </c>
      <c r="T425" s="12"/>
      <c r="U425" s="36"/>
      <c r="V425" s="9">
        <f>ROUND(ROUND(P425, 2)/1.2, 2)</f>
        <v>75.23</v>
      </c>
      <c r="Y425" s="9">
        <f t="shared" si="18"/>
        <v>5382.94</v>
      </c>
      <c r="AD425" s="4" t="s">
        <v>1413</v>
      </c>
      <c r="AE425" s="4" t="s">
        <v>1414</v>
      </c>
      <c r="AF425" s="4" t="s">
        <v>1010</v>
      </c>
    </row>
    <row r="426" spans="1:35" ht="162" x14ac:dyDescent="0.3">
      <c r="A426" s="11" t="s">
        <v>1415</v>
      </c>
      <c r="B426" s="11" t="s">
        <v>1195</v>
      </c>
      <c r="C426" s="20" t="s">
        <v>1196</v>
      </c>
      <c r="D426" s="21"/>
      <c r="E426" s="21" t="s">
        <v>1416</v>
      </c>
      <c r="F426" s="21" t="s">
        <v>62</v>
      </c>
      <c r="G426" s="22">
        <v>1</v>
      </c>
      <c r="H426" s="21"/>
      <c r="I426" s="22">
        <v>28.2</v>
      </c>
      <c r="J426" s="23">
        <f>IFERROR(ROUND(SUM(M427,M428,M429,M430)/I426, 2),0)</f>
        <v>2587.9899999999998</v>
      </c>
      <c r="K426" s="23">
        <v>2785</v>
      </c>
      <c r="L426" s="23">
        <f>J426+ROUND(K426, 2)</f>
        <v>5372.99</v>
      </c>
      <c r="M426" s="23">
        <f>ROUND(J426*I426, 2)</f>
        <v>72981.320000000007</v>
      </c>
      <c r="N426" s="23">
        <f>ROUND(I426*ROUND(K426, 2), 2)</f>
        <v>78537</v>
      </c>
      <c r="O426" s="23">
        <f>M426+N426</f>
        <v>151518.32</v>
      </c>
      <c r="P426" s="23">
        <f>IFERROR(ROUND(SUM(S427,S428,S429,S430)/I426, 2),0)</f>
        <v>2587.9899999999998</v>
      </c>
      <c r="Q426" s="23">
        <v>4177.5</v>
      </c>
      <c r="R426" s="23">
        <f>P426+ROUND(Q426, 2)</f>
        <v>6765.49</v>
      </c>
      <c r="S426" s="23">
        <f>ROUND(P426*I426, 2)</f>
        <v>72981.320000000007</v>
      </c>
      <c r="T426" s="23">
        <f>ROUND(I426*ROUND(Q426, 2), 2)</f>
        <v>117805.5</v>
      </c>
      <c r="U426" s="23">
        <f>S426+T426</f>
        <v>190786.82</v>
      </c>
      <c r="V426" s="9">
        <f>ROUND(P426 / 1.2, 2)</f>
        <v>2156.66</v>
      </c>
      <c r="W426" s="9">
        <f>ROUND(Q426 / 1.2, 2)</f>
        <v>3481.25</v>
      </c>
      <c r="X426" s="9">
        <f>ROUND(R426 / 1.2, 2)</f>
        <v>5637.91</v>
      </c>
      <c r="Y426" s="9">
        <f t="shared" si="18"/>
        <v>60817.77</v>
      </c>
      <c r="Z426" s="9">
        <f>ROUND(T426 / 1.2, 2)</f>
        <v>98171.25</v>
      </c>
      <c r="AA426" s="9">
        <f>Y426+Z426</f>
        <v>158989.01999999999</v>
      </c>
      <c r="AD426" s="4">
        <v>334080665</v>
      </c>
      <c r="AE426" s="4">
        <v>29331072</v>
      </c>
      <c r="AG426" s="4" t="s">
        <v>1197</v>
      </c>
      <c r="AH426" s="4" t="s">
        <v>1198</v>
      </c>
      <c r="AI426" s="4" t="s">
        <v>250</v>
      </c>
    </row>
    <row r="427" spans="1:35" ht="36" x14ac:dyDescent="0.3">
      <c r="A427" s="11" t="s">
        <v>1417</v>
      </c>
      <c r="B427" s="11"/>
      <c r="C427" s="32" t="s">
        <v>1007</v>
      </c>
      <c r="D427" s="21"/>
      <c r="E427" s="21"/>
      <c r="F427" s="33" t="s">
        <v>278</v>
      </c>
      <c r="G427" s="34">
        <v>0.15</v>
      </c>
      <c r="H427" s="21"/>
      <c r="I427" s="34">
        <v>4.2300000000000004</v>
      </c>
      <c r="J427" s="35">
        <v>90.28</v>
      </c>
      <c r="K427" s="12"/>
      <c r="L427" s="12"/>
      <c r="M427" s="35">
        <f>ROUND(ROUND(J427, 2)*I427, 2)</f>
        <v>381.88</v>
      </c>
      <c r="N427" s="12"/>
      <c r="O427" s="12"/>
      <c r="P427" s="35">
        <v>90.28</v>
      </c>
      <c r="Q427" s="12"/>
      <c r="R427" s="12"/>
      <c r="S427" s="35">
        <f>ROUND(ROUND(P427, 2)*I427, 2)</f>
        <v>381.88</v>
      </c>
      <c r="T427" s="12"/>
      <c r="U427" s="36"/>
      <c r="V427" s="9">
        <f>ROUND(ROUND(P427, 2)/1.2, 2)</f>
        <v>75.23</v>
      </c>
      <c r="Y427" s="9">
        <f t="shared" si="18"/>
        <v>318.23</v>
      </c>
      <c r="AD427" s="4" t="s">
        <v>1418</v>
      </c>
      <c r="AE427" s="4" t="s">
        <v>1419</v>
      </c>
      <c r="AF427" s="4" t="s">
        <v>1010</v>
      </c>
    </row>
    <row r="428" spans="1:35" ht="36" x14ac:dyDescent="0.3">
      <c r="A428" s="11" t="s">
        <v>1420</v>
      </c>
      <c r="B428" s="11"/>
      <c r="C428" s="32" t="s">
        <v>1157</v>
      </c>
      <c r="D428" s="21"/>
      <c r="E428" s="21"/>
      <c r="F428" s="33" t="s">
        <v>278</v>
      </c>
      <c r="G428" s="34">
        <v>0.25</v>
      </c>
      <c r="H428" s="21"/>
      <c r="I428" s="37">
        <v>7.05</v>
      </c>
      <c r="J428" s="35">
        <v>40.94</v>
      </c>
      <c r="K428" s="12"/>
      <c r="L428" s="12"/>
      <c r="M428" s="35">
        <f>ROUND(ROUND(J428, 2)*I428, 2)</f>
        <v>288.63</v>
      </c>
      <c r="N428" s="12"/>
      <c r="O428" s="12"/>
      <c r="P428" s="35">
        <v>40.94</v>
      </c>
      <c r="Q428" s="12"/>
      <c r="R428" s="12"/>
      <c r="S428" s="35">
        <f>ROUND(ROUND(P428, 2)*I428, 2)</f>
        <v>288.63</v>
      </c>
      <c r="T428" s="12"/>
      <c r="U428" s="36"/>
      <c r="V428" s="9">
        <f>ROUND(ROUND(P428, 2)/1.2, 2)</f>
        <v>34.119999999999997</v>
      </c>
      <c r="Y428" s="9">
        <f t="shared" si="18"/>
        <v>240.53</v>
      </c>
      <c r="AD428" s="4" t="s">
        <v>1421</v>
      </c>
      <c r="AE428" s="4" t="s">
        <v>1422</v>
      </c>
      <c r="AF428" s="4" t="s">
        <v>1160</v>
      </c>
    </row>
    <row r="429" spans="1:35" ht="72" x14ac:dyDescent="0.3">
      <c r="A429" s="11" t="s">
        <v>1423</v>
      </c>
      <c r="B429" s="11"/>
      <c r="C429" s="32" t="s">
        <v>1205</v>
      </c>
      <c r="D429" s="21"/>
      <c r="E429" s="21" t="s">
        <v>1334</v>
      </c>
      <c r="F429" s="33" t="s">
        <v>62</v>
      </c>
      <c r="G429" s="34">
        <v>1.2</v>
      </c>
      <c r="H429" s="21"/>
      <c r="I429" s="37">
        <v>33.840000000000003</v>
      </c>
      <c r="J429" s="35">
        <v>2054.94</v>
      </c>
      <c r="K429" s="12"/>
      <c r="L429" s="12"/>
      <c r="M429" s="35">
        <f>ROUND(ROUND(J429, 2)*I429, 2)</f>
        <v>69539.17</v>
      </c>
      <c r="N429" s="12"/>
      <c r="O429" s="12"/>
      <c r="P429" s="35">
        <v>2054.94</v>
      </c>
      <c r="Q429" s="12"/>
      <c r="R429" s="12"/>
      <c r="S429" s="35">
        <f>ROUND(ROUND(P429, 2)*I429, 2)</f>
        <v>69539.17</v>
      </c>
      <c r="T429" s="12"/>
      <c r="U429" s="36"/>
      <c r="V429" s="9">
        <f>ROUND(ROUND(P429, 2)/1.2, 2)</f>
        <v>1712.45</v>
      </c>
      <c r="Y429" s="9">
        <f t="shared" si="18"/>
        <v>57949.31</v>
      </c>
      <c r="AD429" s="4" t="s">
        <v>1424</v>
      </c>
      <c r="AE429" s="4" t="s">
        <v>1425</v>
      </c>
      <c r="AF429" s="4" t="s">
        <v>1208</v>
      </c>
    </row>
    <row r="430" spans="1:35" ht="36" x14ac:dyDescent="0.3">
      <c r="A430" s="11" t="s">
        <v>1426</v>
      </c>
      <c r="B430" s="11"/>
      <c r="C430" s="30" t="s">
        <v>1200</v>
      </c>
      <c r="D430" s="21"/>
      <c r="E430" s="21"/>
      <c r="F430" s="33" t="s">
        <v>278</v>
      </c>
      <c r="G430" s="34">
        <v>1.2</v>
      </c>
      <c r="H430" s="21"/>
      <c r="I430" s="37">
        <v>169.2</v>
      </c>
      <c r="J430" s="35">
        <v>16.38</v>
      </c>
      <c r="K430" s="12"/>
      <c r="L430" s="12"/>
      <c r="M430" s="35">
        <f>ROUND(ROUND(J430, 2)*I430, 2)</f>
        <v>2771.5</v>
      </c>
      <c r="N430" s="12"/>
      <c r="O430" s="12"/>
      <c r="P430" s="35">
        <v>16.38</v>
      </c>
      <c r="Q430" s="12"/>
      <c r="R430" s="12"/>
      <c r="S430" s="35">
        <f>ROUND(ROUND(P430, 2)*I430, 2)</f>
        <v>2771.5</v>
      </c>
      <c r="T430" s="12"/>
      <c r="U430" s="36"/>
      <c r="V430" s="9">
        <f>ROUND(ROUND(P430, 2)/1.2, 2)</f>
        <v>13.65</v>
      </c>
      <c r="Y430" s="9">
        <f t="shared" si="18"/>
        <v>2309.58</v>
      </c>
      <c r="AD430" s="4" t="s">
        <v>1427</v>
      </c>
      <c r="AE430" s="4" t="s">
        <v>1428</v>
      </c>
      <c r="AF430" s="4" t="s">
        <v>1203</v>
      </c>
    </row>
    <row r="431" spans="1:35" ht="180" x14ac:dyDescent="0.3">
      <c r="A431" s="11" t="s">
        <v>1429</v>
      </c>
      <c r="B431" s="11" t="s">
        <v>1195</v>
      </c>
      <c r="C431" s="20" t="s">
        <v>1196</v>
      </c>
      <c r="D431" s="21"/>
      <c r="E431" s="21" t="s">
        <v>1430</v>
      </c>
      <c r="F431" s="21" t="s">
        <v>62</v>
      </c>
      <c r="G431" s="22">
        <v>1</v>
      </c>
      <c r="H431" s="21"/>
      <c r="I431" s="22">
        <v>228.14</v>
      </c>
      <c r="J431" s="23">
        <f>IFERROR(ROUND(SUM(M432,M433,M434,M435)/I431, 2),0)</f>
        <v>2329.23</v>
      </c>
      <c r="K431" s="23">
        <v>2785</v>
      </c>
      <c r="L431" s="23">
        <f>J431+ROUND(K431, 2)</f>
        <v>5114.2299999999996</v>
      </c>
      <c r="M431" s="23">
        <f>ROUND(J431*I431, 2)</f>
        <v>531390.53</v>
      </c>
      <c r="N431" s="23">
        <f>ROUND(I431*ROUND(K431, 2), 2)</f>
        <v>635369.9</v>
      </c>
      <c r="O431" s="23">
        <f>M431+N431</f>
        <v>1166760.4300000002</v>
      </c>
      <c r="P431" s="23">
        <f>IFERROR(ROUND(SUM(S432,S433,S434,S435)/I431, 2),0)</f>
        <v>2329.23</v>
      </c>
      <c r="Q431" s="23">
        <v>4177.5</v>
      </c>
      <c r="R431" s="23">
        <f>P431+ROUND(Q431, 2)</f>
        <v>6506.73</v>
      </c>
      <c r="S431" s="23">
        <f>ROUND(P431*I431, 2)</f>
        <v>531390.53</v>
      </c>
      <c r="T431" s="23">
        <f>ROUND(I431*ROUND(Q431, 2), 2)</f>
        <v>953054.85</v>
      </c>
      <c r="U431" s="23">
        <f>S431+T431</f>
        <v>1484445.38</v>
      </c>
      <c r="V431" s="9">
        <f>ROUND(P431 / 1.2, 2)</f>
        <v>1941.03</v>
      </c>
      <c r="W431" s="9">
        <f>ROUND(Q431 / 1.2, 2)</f>
        <v>3481.25</v>
      </c>
      <c r="X431" s="9">
        <f>ROUND(R431 / 1.2, 2)</f>
        <v>5422.28</v>
      </c>
      <c r="Y431" s="9">
        <f t="shared" si="18"/>
        <v>442825.44</v>
      </c>
      <c r="Z431" s="9">
        <f>ROUND(T431 / 1.2, 2)</f>
        <v>794212.38</v>
      </c>
      <c r="AA431" s="9">
        <f>Y431+Z431</f>
        <v>1237037.82</v>
      </c>
      <c r="AD431" s="4">
        <v>334080666</v>
      </c>
      <c r="AE431" s="4">
        <v>29331073</v>
      </c>
      <c r="AG431" s="4" t="s">
        <v>1197</v>
      </c>
      <c r="AH431" s="4" t="s">
        <v>1198</v>
      </c>
      <c r="AI431" s="4" t="s">
        <v>250</v>
      </c>
    </row>
    <row r="432" spans="1:35" ht="36" x14ac:dyDescent="0.3">
      <c r="A432" s="11" t="s">
        <v>1431</v>
      </c>
      <c r="B432" s="11"/>
      <c r="C432" s="30" t="s">
        <v>1200</v>
      </c>
      <c r="D432" s="21"/>
      <c r="E432" s="21"/>
      <c r="F432" s="33" t="s">
        <v>278</v>
      </c>
      <c r="G432" s="34">
        <v>1.2</v>
      </c>
      <c r="H432" s="21"/>
      <c r="I432" s="37">
        <v>1368.84</v>
      </c>
      <c r="J432" s="35">
        <v>16.38</v>
      </c>
      <c r="K432" s="12"/>
      <c r="L432" s="12"/>
      <c r="M432" s="35">
        <f>ROUND(ROUND(J432, 2)*I432, 2)</f>
        <v>22421.599999999999</v>
      </c>
      <c r="N432" s="12"/>
      <c r="O432" s="12"/>
      <c r="P432" s="35">
        <v>16.38</v>
      </c>
      <c r="Q432" s="12"/>
      <c r="R432" s="12"/>
      <c r="S432" s="35">
        <f>ROUND(ROUND(P432, 2)*I432, 2)</f>
        <v>22421.599999999999</v>
      </c>
      <c r="T432" s="12"/>
      <c r="U432" s="36"/>
      <c r="V432" s="9">
        <f>ROUND(ROUND(P432, 2)/1.2, 2)</f>
        <v>13.65</v>
      </c>
      <c r="Y432" s="9">
        <f t="shared" si="18"/>
        <v>18684.669999999998</v>
      </c>
      <c r="AD432" s="4" t="s">
        <v>1432</v>
      </c>
      <c r="AE432" s="4" t="s">
        <v>1433</v>
      </c>
      <c r="AF432" s="4" t="s">
        <v>1203</v>
      </c>
    </row>
    <row r="433" spans="1:35" ht="72" x14ac:dyDescent="0.3">
      <c r="A433" s="11" t="s">
        <v>1434</v>
      </c>
      <c r="B433" s="11"/>
      <c r="C433" s="32" t="s">
        <v>1435</v>
      </c>
      <c r="D433" s="21"/>
      <c r="E433" s="21" t="s">
        <v>1346</v>
      </c>
      <c r="F433" s="33" t="s">
        <v>62</v>
      </c>
      <c r="G433" s="34">
        <v>1.2</v>
      </c>
      <c r="H433" s="21"/>
      <c r="I433" s="37">
        <v>273.76799999999997</v>
      </c>
      <c r="J433" s="35">
        <v>1839.31</v>
      </c>
      <c r="K433" s="12"/>
      <c r="L433" s="12"/>
      <c r="M433" s="35">
        <f>ROUND(ROUND(J433, 2)*I433, 2)</f>
        <v>503544.22</v>
      </c>
      <c r="N433" s="12"/>
      <c r="O433" s="12"/>
      <c r="P433" s="35">
        <v>1839.31</v>
      </c>
      <c r="Q433" s="12"/>
      <c r="R433" s="12"/>
      <c r="S433" s="35">
        <f>ROUND(ROUND(P433, 2)*I433, 2)</f>
        <v>503544.22</v>
      </c>
      <c r="T433" s="12"/>
      <c r="U433" s="36"/>
      <c r="V433" s="9">
        <f>ROUND(ROUND(P433, 2)/1.2, 2)</f>
        <v>1532.76</v>
      </c>
      <c r="Y433" s="9">
        <f t="shared" si="18"/>
        <v>419620.18</v>
      </c>
      <c r="AD433" s="4" t="s">
        <v>1436</v>
      </c>
      <c r="AE433" s="4" t="s">
        <v>1437</v>
      </c>
      <c r="AF433" s="4" t="s">
        <v>1438</v>
      </c>
    </row>
    <row r="434" spans="1:35" ht="36" x14ac:dyDescent="0.3">
      <c r="A434" s="11" t="s">
        <v>1439</v>
      </c>
      <c r="B434" s="11"/>
      <c r="C434" s="32" t="s">
        <v>1157</v>
      </c>
      <c r="D434" s="21"/>
      <c r="E434" s="21"/>
      <c r="F434" s="33" t="s">
        <v>278</v>
      </c>
      <c r="G434" s="34">
        <v>0.25</v>
      </c>
      <c r="H434" s="21"/>
      <c r="I434" s="37">
        <v>57.034999999999997</v>
      </c>
      <c r="J434" s="35">
        <v>40.94</v>
      </c>
      <c r="K434" s="12"/>
      <c r="L434" s="12"/>
      <c r="M434" s="35">
        <f>ROUND(ROUND(J434, 2)*I434, 2)</f>
        <v>2335.0100000000002</v>
      </c>
      <c r="N434" s="12"/>
      <c r="O434" s="12"/>
      <c r="P434" s="35">
        <v>40.94</v>
      </c>
      <c r="Q434" s="12"/>
      <c r="R434" s="12"/>
      <c r="S434" s="35">
        <f>ROUND(ROUND(P434, 2)*I434, 2)</f>
        <v>2335.0100000000002</v>
      </c>
      <c r="T434" s="12"/>
      <c r="U434" s="36"/>
      <c r="V434" s="9">
        <f>ROUND(ROUND(P434, 2)/1.2, 2)</f>
        <v>34.119999999999997</v>
      </c>
      <c r="Y434" s="9">
        <f t="shared" si="18"/>
        <v>1945.84</v>
      </c>
      <c r="AD434" s="4" t="s">
        <v>1440</v>
      </c>
      <c r="AE434" s="4" t="s">
        <v>1441</v>
      </c>
      <c r="AF434" s="4" t="s">
        <v>1160</v>
      </c>
    </row>
    <row r="435" spans="1:35" ht="36" x14ac:dyDescent="0.3">
      <c r="A435" s="11" t="s">
        <v>1442</v>
      </c>
      <c r="B435" s="11"/>
      <c r="C435" s="32" t="s">
        <v>1007</v>
      </c>
      <c r="D435" s="21"/>
      <c r="E435" s="21"/>
      <c r="F435" s="33" t="s">
        <v>278</v>
      </c>
      <c r="G435" s="34">
        <v>0.15</v>
      </c>
      <c r="H435" s="21"/>
      <c r="I435" s="34">
        <v>34.220999999999997</v>
      </c>
      <c r="J435" s="35">
        <v>90.28</v>
      </c>
      <c r="K435" s="12"/>
      <c r="L435" s="12"/>
      <c r="M435" s="35">
        <f>ROUND(ROUND(J435, 2)*I435, 2)</f>
        <v>3089.47</v>
      </c>
      <c r="N435" s="12"/>
      <c r="O435" s="12"/>
      <c r="P435" s="35">
        <v>90.28</v>
      </c>
      <c r="Q435" s="12"/>
      <c r="R435" s="12"/>
      <c r="S435" s="35">
        <f>ROUND(ROUND(P435, 2)*I435, 2)</f>
        <v>3089.47</v>
      </c>
      <c r="T435" s="12"/>
      <c r="U435" s="36"/>
      <c r="V435" s="9">
        <f>ROUND(ROUND(P435, 2)/1.2, 2)</f>
        <v>75.23</v>
      </c>
      <c r="Y435" s="9">
        <f t="shared" si="18"/>
        <v>2574.56</v>
      </c>
      <c r="AD435" s="4" t="s">
        <v>1443</v>
      </c>
      <c r="AE435" s="4" t="s">
        <v>1444</v>
      </c>
      <c r="AF435" s="4" t="s">
        <v>1010</v>
      </c>
    </row>
    <row r="436" spans="1:35" ht="180" x14ac:dyDescent="0.3">
      <c r="A436" s="11" t="s">
        <v>1445</v>
      </c>
      <c r="B436" s="11" t="s">
        <v>1195</v>
      </c>
      <c r="C436" s="20" t="s">
        <v>1196</v>
      </c>
      <c r="D436" s="21"/>
      <c r="E436" s="21" t="s">
        <v>1446</v>
      </c>
      <c r="F436" s="21" t="s">
        <v>62</v>
      </c>
      <c r="G436" s="22">
        <v>1</v>
      </c>
      <c r="H436" s="21"/>
      <c r="I436" s="22">
        <v>65.08</v>
      </c>
      <c r="J436" s="23">
        <f>IFERROR(ROUND(SUM(M437,M438,M439,M440)/I436, 2),0)</f>
        <v>2329.23</v>
      </c>
      <c r="K436" s="23">
        <v>2785</v>
      </c>
      <c r="L436" s="23">
        <f>J436+ROUND(K436, 2)</f>
        <v>5114.2299999999996</v>
      </c>
      <c r="M436" s="23">
        <f>ROUND(J436*I436, 2)</f>
        <v>151586.29</v>
      </c>
      <c r="N436" s="23">
        <f>ROUND(I436*ROUND(K436, 2), 2)</f>
        <v>181247.8</v>
      </c>
      <c r="O436" s="23">
        <f>M436+N436</f>
        <v>332834.08999999997</v>
      </c>
      <c r="P436" s="23">
        <f>IFERROR(ROUND(SUM(S437,S438,S439,S440)/I436, 2),0)</f>
        <v>2329.23</v>
      </c>
      <c r="Q436" s="23">
        <v>4177.5</v>
      </c>
      <c r="R436" s="23">
        <f>P436+ROUND(Q436, 2)</f>
        <v>6506.73</v>
      </c>
      <c r="S436" s="23">
        <f>ROUND(P436*I436, 2)</f>
        <v>151586.29</v>
      </c>
      <c r="T436" s="23">
        <f>ROUND(I436*ROUND(Q436, 2), 2)</f>
        <v>271871.7</v>
      </c>
      <c r="U436" s="23">
        <f>S436+T436</f>
        <v>423457.99</v>
      </c>
      <c r="V436" s="9">
        <f>ROUND(P436 / 1.2, 2)</f>
        <v>1941.03</v>
      </c>
      <c r="W436" s="9">
        <f>ROUND(Q436 / 1.2, 2)</f>
        <v>3481.25</v>
      </c>
      <c r="X436" s="9">
        <f>ROUND(R436 / 1.2, 2)</f>
        <v>5422.28</v>
      </c>
      <c r="Y436" s="9">
        <f t="shared" si="18"/>
        <v>126321.91</v>
      </c>
      <c r="Z436" s="9">
        <f>ROUND(T436 / 1.2, 2)</f>
        <v>226559.75</v>
      </c>
      <c r="AA436" s="9">
        <f>Y436+Z436</f>
        <v>352881.66000000003</v>
      </c>
      <c r="AD436" s="4">
        <v>334080667</v>
      </c>
      <c r="AE436" s="4">
        <v>29331074</v>
      </c>
      <c r="AG436" s="4" t="s">
        <v>1197</v>
      </c>
      <c r="AH436" s="4" t="s">
        <v>1198</v>
      </c>
      <c r="AI436" s="4" t="s">
        <v>250</v>
      </c>
    </row>
    <row r="437" spans="1:35" ht="36" x14ac:dyDescent="0.3">
      <c r="A437" s="11" t="s">
        <v>1447</v>
      </c>
      <c r="B437" s="11"/>
      <c r="C437" s="32" t="s">
        <v>1007</v>
      </c>
      <c r="D437" s="21"/>
      <c r="E437" s="21"/>
      <c r="F437" s="33" t="s">
        <v>278</v>
      </c>
      <c r="G437" s="34">
        <v>0.15</v>
      </c>
      <c r="H437" s="21"/>
      <c r="I437" s="34">
        <v>9.7620000000000005</v>
      </c>
      <c r="J437" s="35">
        <v>90.28</v>
      </c>
      <c r="K437" s="12"/>
      <c r="L437" s="12"/>
      <c r="M437" s="35">
        <f>ROUND(ROUND(J437, 2)*I437, 2)</f>
        <v>881.31</v>
      </c>
      <c r="N437" s="12"/>
      <c r="O437" s="12"/>
      <c r="P437" s="35">
        <v>90.28</v>
      </c>
      <c r="Q437" s="12"/>
      <c r="R437" s="12"/>
      <c r="S437" s="35">
        <f>ROUND(ROUND(P437, 2)*I437, 2)</f>
        <v>881.31</v>
      </c>
      <c r="T437" s="12"/>
      <c r="U437" s="36"/>
      <c r="V437" s="9">
        <f>ROUND(ROUND(P437, 2)/1.2, 2)</f>
        <v>75.23</v>
      </c>
      <c r="Y437" s="9">
        <f t="shared" si="18"/>
        <v>734.43</v>
      </c>
      <c r="AD437" s="4" t="s">
        <v>1448</v>
      </c>
      <c r="AE437" s="4" t="s">
        <v>1449</v>
      </c>
      <c r="AF437" s="4" t="s">
        <v>1010</v>
      </c>
    </row>
    <row r="438" spans="1:35" ht="36" x14ac:dyDescent="0.3">
      <c r="A438" s="11" t="s">
        <v>1450</v>
      </c>
      <c r="B438" s="11"/>
      <c r="C438" s="32" t="s">
        <v>1157</v>
      </c>
      <c r="D438" s="21"/>
      <c r="E438" s="21"/>
      <c r="F438" s="33" t="s">
        <v>278</v>
      </c>
      <c r="G438" s="34">
        <v>0.25</v>
      </c>
      <c r="H438" s="21"/>
      <c r="I438" s="37">
        <v>16.27</v>
      </c>
      <c r="J438" s="35">
        <v>40.94</v>
      </c>
      <c r="K438" s="12"/>
      <c r="L438" s="12"/>
      <c r="M438" s="35">
        <f>ROUND(ROUND(J438, 2)*I438, 2)</f>
        <v>666.09</v>
      </c>
      <c r="N438" s="12"/>
      <c r="O438" s="12"/>
      <c r="P438" s="35">
        <v>40.94</v>
      </c>
      <c r="Q438" s="12"/>
      <c r="R438" s="12"/>
      <c r="S438" s="35">
        <f>ROUND(ROUND(P438, 2)*I438, 2)</f>
        <v>666.09</v>
      </c>
      <c r="T438" s="12"/>
      <c r="U438" s="36"/>
      <c r="V438" s="9">
        <f>ROUND(ROUND(P438, 2)/1.2, 2)</f>
        <v>34.119999999999997</v>
      </c>
      <c r="Y438" s="9">
        <f t="shared" si="18"/>
        <v>555.08000000000004</v>
      </c>
      <c r="AD438" s="4" t="s">
        <v>1451</v>
      </c>
      <c r="AE438" s="4" t="s">
        <v>1452</v>
      </c>
      <c r="AF438" s="4" t="s">
        <v>1160</v>
      </c>
    </row>
    <row r="439" spans="1:35" ht="72" x14ac:dyDescent="0.3">
      <c r="A439" s="11" t="s">
        <v>1453</v>
      </c>
      <c r="B439" s="11"/>
      <c r="C439" s="32" t="s">
        <v>1435</v>
      </c>
      <c r="D439" s="21"/>
      <c r="E439" s="21" t="s">
        <v>1454</v>
      </c>
      <c r="F439" s="33" t="s">
        <v>62</v>
      </c>
      <c r="G439" s="34">
        <v>1.2</v>
      </c>
      <c r="H439" s="21"/>
      <c r="I439" s="37">
        <v>78.096000000000004</v>
      </c>
      <c r="J439" s="35">
        <v>1839.31</v>
      </c>
      <c r="K439" s="12"/>
      <c r="L439" s="12"/>
      <c r="M439" s="35">
        <f>ROUND(ROUND(J439, 2)*I439, 2)</f>
        <v>143642.75</v>
      </c>
      <c r="N439" s="12"/>
      <c r="O439" s="12"/>
      <c r="P439" s="35">
        <v>1839.31</v>
      </c>
      <c r="Q439" s="12"/>
      <c r="R439" s="12"/>
      <c r="S439" s="35">
        <f>ROUND(ROUND(P439, 2)*I439, 2)</f>
        <v>143642.75</v>
      </c>
      <c r="T439" s="12"/>
      <c r="U439" s="36"/>
      <c r="V439" s="9">
        <f>ROUND(ROUND(P439, 2)/1.2, 2)</f>
        <v>1532.76</v>
      </c>
      <c r="Y439" s="9">
        <f t="shared" si="18"/>
        <v>119702.29</v>
      </c>
      <c r="AD439" s="4" t="s">
        <v>1455</v>
      </c>
      <c r="AE439" s="4" t="s">
        <v>1456</v>
      </c>
      <c r="AF439" s="4" t="s">
        <v>1438</v>
      </c>
    </row>
    <row r="440" spans="1:35" ht="36" x14ac:dyDescent="0.3">
      <c r="A440" s="11" t="s">
        <v>1457</v>
      </c>
      <c r="B440" s="11"/>
      <c r="C440" s="30" t="s">
        <v>1200</v>
      </c>
      <c r="D440" s="21"/>
      <c r="E440" s="21"/>
      <c r="F440" s="33" t="s">
        <v>278</v>
      </c>
      <c r="G440" s="34">
        <v>1.2</v>
      </c>
      <c r="H440" s="21"/>
      <c r="I440" s="37">
        <v>390.48</v>
      </c>
      <c r="J440" s="35">
        <v>16.38</v>
      </c>
      <c r="K440" s="12"/>
      <c r="L440" s="12"/>
      <c r="M440" s="35">
        <f>ROUND(ROUND(J440, 2)*I440, 2)</f>
        <v>6396.06</v>
      </c>
      <c r="N440" s="12"/>
      <c r="O440" s="12"/>
      <c r="P440" s="35">
        <v>16.38</v>
      </c>
      <c r="Q440" s="12"/>
      <c r="R440" s="12"/>
      <c r="S440" s="35">
        <f>ROUND(ROUND(P440, 2)*I440, 2)</f>
        <v>6396.06</v>
      </c>
      <c r="T440" s="12"/>
      <c r="U440" s="36"/>
      <c r="V440" s="9">
        <f>ROUND(ROUND(P440, 2)/1.2, 2)</f>
        <v>13.65</v>
      </c>
      <c r="Y440" s="9">
        <f t="shared" si="18"/>
        <v>5330.05</v>
      </c>
      <c r="AD440" s="4" t="s">
        <v>1458</v>
      </c>
      <c r="AE440" s="4" t="s">
        <v>1459</v>
      </c>
      <c r="AF440" s="4" t="s">
        <v>1203</v>
      </c>
    </row>
    <row r="441" spans="1:35" ht="16.95" customHeight="1" x14ac:dyDescent="0.3">
      <c r="A441" s="10" t="s">
        <v>1460</v>
      </c>
      <c r="B441" s="10" t="s">
        <v>1461</v>
      </c>
      <c r="C441" s="91" t="s">
        <v>1462</v>
      </c>
      <c r="D441" s="92"/>
      <c r="E441" s="92"/>
      <c r="F441" s="92"/>
      <c r="G441" s="92"/>
      <c r="H441" s="92"/>
      <c r="I441" s="93"/>
      <c r="M441" s="6">
        <f>SUM(M442,M444,M446)</f>
        <v>719846.94</v>
      </c>
      <c r="N441" s="6">
        <f>SUM(N442,N444,N446)</f>
        <v>62784</v>
      </c>
      <c r="O441" s="6">
        <f>SUM(O442,O444,O446)</f>
        <v>782630.94</v>
      </c>
      <c r="S441" s="6">
        <f>SUM(S442,S444,S446)</f>
        <v>719846.94</v>
      </c>
      <c r="T441" s="6">
        <f>SUM(T442,T444,T446)</f>
        <v>94175.4</v>
      </c>
      <c r="U441" s="6">
        <f>SUM(U442,U444,U446)</f>
        <v>814022.34</v>
      </c>
      <c r="Y441" s="9">
        <f>SUM(Y442,Y444,Y446)</f>
        <v>599872.44999999995</v>
      </c>
      <c r="Z441" s="9">
        <f>SUM(Z442,Z444,Z446)</f>
        <v>78479.5</v>
      </c>
      <c r="AA441" s="9">
        <f>SUM(AA442,AA444,AA446)</f>
        <v>678351.95</v>
      </c>
      <c r="AD441" s="4">
        <v>334080520</v>
      </c>
      <c r="AE441" s="4">
        <v>27245717</v>
      </c>
    </row>
    <row r="442" spans="1:35" ht="18" x14ac:dyDescent="0.3">
      <c r="A442" s="10" t="s">
        <v>1463</v>
      </c>
      <c r="B442" s="10" t="s">
        <v>1464</v>
      </c>
      <c r="C442" s="14" t="s">
        <v>1465</v>
      </c>
      <c r="D442" s="15"/>
      <c r="E442" s="15"/>
      <c r="F442" s="15" t="s">
        <v>62</v>
      </c>
      <c r="G442" s="16">
        <v>1</v>
      </c>
      <c r="H442" s="15"/>
      <c r="I442" s="16">
        <v>0</v>
      </c>
      <c r="J442" s="17">
        <v>0</v>
      </c>
      <c r="K442" s="18">
        <v>836</v>
      </c>
      <c r="L442" s="17">
        <f>J442+ROUND(K442, 2)</f>
        <v>836</v>
      </c>
      <c r="M442" s="17">
        <v>0</v>
      </c>
      <c r="N442" s="17">
        <v>0</v>
      </c>
      <c r="O442" s="17">
        <f>M442+N442</f>
        <v>0</v>
      </c>
      <c r="P442" s="17">
        <v>9500</v>
      </c>
      <c r="Q442" s="19">
        <v>836</v>
      </c>
      <c r="R442" s="17">
        <f>P442+ROUND(Q442, 2)</f>
        <v>10336</v>
      </c>
      <c r="S442" s="17">
        <v>0</v>
      </c>
      <c r="T442" s="17">
        <v>0</v>
      </c>
      <c r="U442" s="17">
        <f>S442+T442</f>
        <v>0</v>
      </c>
      <c r="V442" s="9">
        <f>ROUND(P442 / 1.2, 2)</f>
        <v>7916.67</v>
      </c>
      <c r="W442" s="9">
        <f>ROUND(Q442 / 1.2, 2)</f>
        <v>696.67</v>
      </c>
      <c r="X442" s="9">
        <f>ROUND(R442 / 1.2, 2)</f>
        <v>8613.33</v>
      </c>
      <c r="Y442" s="9">
        <f>ROUND(S442 / 1.2, 2)</f>
        <v>0</v>
      </c>
      <c r="Z442" s="9">
        <f>ROUND(T442 / 1.2, 2)</f>
        <v>0</v>
      </c>
      <c r="AA442" s="9">
        <f>Y442+Z442</f>
        <v>0</v>
      </c>
      <c r="AD442" s="4">
        <v>334080522</v>
      </c>
      <c r="AE442" s="4">
        <v>27245597</v>
      </c>
      <c r="AG442" s="4" t="s">
        <v>1466</v>
      </c>
      <c r="AH442" s="4" t="s">
        <v>1467</v>
      </c>
      <c r="AI442" s="4" t="s">
        <v>250</v>
      </c>
    </row>
    <row r="443" spans="1:35" ht="18" x14ac:dyDescent="0.3">
      <c r="A443" s="10" t="s">
        <v>1468</v>
      </c>
      <c r="B443" s="10"/>
      <c r="C443" s="24" t="s">
        <v>1469</v>
      </c>
      <c r="D443" s="15"/>
      <c r="E443" s="15"/>
      <c r="F443" s="25" t="s">
        <v>62</v>
      </c>
      <c r="G443" s="26">
        <v>1</v>
      </c>
      <c r="H443" s="15"/>
      <c r="I443" s="26">
        <v>0</v>
      </c>
      <c r="J443" s="27">
        <v>9500</v>
      </c>
      <c r="M443" s="28">
        <f>ROUND(ROUND(J443, 2)*I443, 2)</f>
        <v>0</v>
      </c>
      <c r="P443" s="29">
        <v>9500</v>
      </c>
      <c r="S443" s="28">
        <f>ROUND(ROUND(P443, 2)*I443, 2)</f>
        <v>0</v>
      </c>
      <c r="V443" s="9">
        <f>ROUND(ROUND(P443, 2)/1.2, 2)</f>
        <v>7916.67</v>
      </c>
      <c r="Y443" s="9">
        <f>ROUND(S443 / 1.2, 2)</f>
        <v>0</v>
      </c>
      <c r="AD443" s="4" t="s">
        <v>1470</v>
      </c>
      <c r="AE443" s="4" t="s">
        <v>1471</v>
      </c>
      <c r="AF443" s="4" t="s">
        <v>1472</v>
      </c>
    </row>
    <row r="444" spans="1:35" ht="18" x14ac:dyDescent="0.3">
      <c r="A444" s="10" t="s">
        <v>1473</v>
      </c>
      <c r="B444" s="10" t="s">
        <v>1464</v>
      </c>
      <c r="C444" s="14" t="s">
        <v>1465</v>
      </c>
      <c r="D444" s="15"/>
      <c r="E444" s="15" t="s">
        <v>1474</v>
      </c>
      <c r="F444" s="15" t="s">
        <v>62</v>
      </c>
      <c r="G444" s="16">
        <v>1</v>
      </c>
      <c r="H444" s="15"/>
      <c r="I444" s="16">
        <v>34.700000000000003</v>
      </c>
      <c r="J444" s="17">
        <v>9500</v>
      </c>
      <c r="K444" s="18">
        <v>836</v>
      </c>
      <c r="L444" s="17">
        <f>J444+ROUND(K444, 2)</f>
        <v>10336</v>
      </c>
      <c r="M444" s="17">
        <v>329650</v>
      </c>
      <c r="N444" s="17">
        <v>29009.200000000001</v>
      </c>
      <c r="O444" s="17">
        <f>M444+N444</f>
        <v>358659.2</v>
      </c>
      <c r="P444" s="17">
        <v>9500</v>
      </c>
      <c r="Q444" s="19">
        <v>1254</v>
      </c>
      <c r="R444" s="17">
        <f>P444+ROUND(Q444, 2)</f>
        <v>10754</v>
      </c>
      <c r="S444" s="17">
        <v>329650</v>
      </c>
      <c r="T444" s="17">
        <v>43513.8</v>
      </c>
      <c r="U444" s="17">
        <f>S444+T444</f>
        <v>373163.8</v>
      </c>
      <c r="V444" s="9">
        <f>ROUND(P444 / 1.2, 2)</f>
        <v>7916.67</v>
      </c>
      <c r="W444" s="9">
        <f>ROUND(Q444 / 1.2, 2)</f>
        <v>1045</v>
      </c>
      <c r="X444" s="9">
        <f>ROUND(R444 / 1.2, 2)</f>
        <v>8961.67</v>
      </c>
      <c r="Y444" s="9">
        <f>ROUND(S444 / 1.2, 2)</f>
        <v>274708.33</v>
      </c>
      <c r="Z444" s="9">
        <f>ROUND(T444 / 1.2, 2)</f>
        <v>36261.5</v>
      </c>
      <c r="AA444" s="9">
        <f>Y444+Z444</f>
        <v>310969.83</v>
      </c>
      <c r="AD444" s="4">
        <v>334080668</v>
      </c>
      <c r="AE444" s="4">
        <v>27245728</v>
      </c>
      <c r="AG444" s="4" t="s">
        <v>1466</v>
      </c>
      <c r="AH444" s="4" t="s">
        <v>1467</v>
      </c>
      <c r="AI444" s="4" t="s">
        <v>250</v>
      </c>
    </row>
    <row r="445" spans="1:35" ht="90" x14ac:dyDescent="0.3">
      <c r="A445" s="10" t="s">
        <v>1475</v>
      </c>
      <c r="B445" s="10"/>
      <c r="C445" s="24" t="s">
        <v>1469</v>
      </c>
      <c r="D445" s="15"/>
      <c r="E445" s="15" t="s">
        <v>1476</v>
      </c>
      <c r="F445" s="25" t="s">
        <v>62</v>
      </c>
      <c r="G445" s="26">
        <v>1</v>
      </c>
      <c r="H445" s="15"/>
      <c r="I445" s="26">
        <v>34.700000000000003</v>
      </c>
      <c r="J445" s="27">
        <v>9500</v>
      </c>
      <c r="M445" s="28">
        <f>ROUND(ROUND(J445, 2)*I445, 2)</f>
        <v>329650</v>
      </c>
      <c r="P445" s="29">
        <v>9500</v>
      </c>
      <c r="S445" s="28">
        <f>ROUND(ROUND(P445, 2)*I445, 2)</f>
        <v>329650</v>
      </c>
      <c r="V445" s="9">
        <f>ROUND(ROUND(P445, 2)/1.2, 2)</f>
        <v>7916.67</v>
      </c>
      <c r="Y445" s="9">
        <f>ROUND(S445 / 1.2, 2)</f>
        <v>274708.33</v>
      </c>
      <c r="AD445" s="4" t="s">
        <v>1477</v>
      </c>
      <c r="AE445" s="4" t="s">
        <v>1478</v>
      </c>
      <c r="AF445" s="4" t="s">
        <v>1472</v>
      </c>
    </row>
    <row r="446" spans="1:35" ht="144" x14ac:dyDescent="0.3">
      <c r="A446" s="11" t="s">
        <v>1479</v>
      </c>
      <c r="B446" s="11" t="s">
        <v>1464</v>
      </c>
      <c r="C446" s="20" t="s">
        <v>1465</v>
      </c>
      <c r="D446" s="21"/>
      <c r="E446" s="21" t="s">
        <v>1480</v>
      </c>
      <c r="F446" s="21" t="s">
        <v>62</v>
      </c>
      <c r="G446" s="22">
        <v>1</v>
      </c>
      <c r="H446" s="21"/>
      <c r="I446" s="22">
        <v>40.4</v>
      </c>
      <c r="J446" s="23">
        <f>IFERROR(ROUND(SUM(M447)/I446, 2),0)</f>
        <v>9658.34</v>
      </c>
      <c r="K446" s="23">
        <v>836.01</v>
      </c>
      <c r="L446" s="23">
        <f>J446+ROUND(K446, 2)</f>
        <v>10494.35</v>
      </c>
      <c r="M446" s="23">
        <f>ROUND(J446*I446, 2)</f>
        <v>390196.94</v>
      </c>
      <c r="N446" s="23">
        <f>ROUND(I446*ROUND(K446, 2), 2)</f>
        <v>33774.800000000003</v>
      </c>
      <c r="O446" s="23">
        <f>M446+N446</f>
        <v>423971.74</v>
      </c>
      <c r="P446" s="23">
        <f>IFERROR(ROUND(SUM(S447)/I446, 2),0)</f>
        <v>9658.34</v>
      </c>
      <c r="Q446" s="23">
        <v>1254</v>
      </c>
      <c r="R446" s="23">
        <f>P446+ROUND(Q446, 2)</f>
        <v>10912.34</v>
      </c>
      <c r="S446" s="23">
        <f>ROUND(P446*I446, 2)</f>
        <v>390196.94</v>
      </c>
      <c r="T446" s="23">
        <f>ROUND(I446*ROUND(Q446, 2), 2)</f>
        <v>50661.599999999999</v>
      </c>
      <c r="U446" s="23">
        <f>S446+T446</f>
        <v>440858.54</v>
      </c>
      <c r="V446" s="9">
        <f>ROUND(P446 / 1.2, 2)</f>
        <v>8048.62</v>
      </c>
      <c r="W446" s="9">
        <f>ROUND(Q446 / 1.2, 2)</f>
        <v>1045</v>
      </c>
      <c r="X446" s="9">
        <f>ROUND(R446 / 1.2, 2)</f>
        <v>9093.6200000000008</v>
      </c>
      <c r="Y446" s="9">
        <f>ROUND(S446 / 1.2, 2)</f>
        <v>325164.12</v>
      </c>
      <c r="Z446" s="9">
        <f>ROUND(T446 / 1.2, 2)</f>
        <v>42218</v>
      </c>
      <c r="AA446" s="9">
        <f>Y446+Z446</f>
        <v>367382.12</v>
      </c>
      <c r="AD446" s="4">
        <v>334080669</v>
      </c>
      <c r="AE446" s="4">
        <v>29386785</v>
      </c>
      <c r="AG446" s="4" t="s">
        <v>1466</v>
      </c>
      <c r="AH446" s="4" t="s">
        <v>1467</v>
      </c>
      <c r="AI446" s="4" t="s">
        <v>250</v>
      </c>
    </row>
    <row r="447" spans="1:35" ht="90" x14ac:dyDescent="0.3">
      <c r="A447" s="11" t="s">
        <v>1481</v>
      </c>
      <c r="B447" s="11"/>
      <c r="C447" s="32" t="s">
        <v>1469</v>
      </c>
      <c r="D447" s="21"/>
      <c r="E447" s="21" t="s">
        <v>1482</v>
      </c>
      <c r="F447" s="33" t="s">
        <v>62</v>
      </c>
      <c r="G447" s="34">
        <v>1</v>
      </c>
      <c r="H447" s="21"/>
      <c r="I447" s="34">
        <v>40.4</v>
      </c>
      <c r="J447" s="35">
        <v>9658.34</v>
      </c>
      <c r="K447" s="12"/>
      <c r="L447" s="12"/>
      <c r="M447" s="35">
        <f>ROUND(ROUND(J447, 2)*I447, 2)</f>
        <v>390196.94</v>
      </c>
      <c r="N447" s="12"/>
      <c r="O447" s="12"/>
      <c r="P447" s="35">
        <v>9658.34</v>
      </c>
      <c r="Q447" s="12"/>
      <c r="R447" s="12"/>
      <c r="S447" s="35">
        <f>ROUND(ROUND(P447, 2)*I447, 2)</f>
        <v>390196.94</v>
      </c>
      <c r="T447" s="12"/>
      <c r="U447" s="36"/>
      <c r="V447" s="9">
        <f>ROUND(ROUND(P447, 2)/1.2, 2)</f>
        <v>8048.62</v>
      </c>
      <c r="Y447" s="9">
        <f>ROUND(S447 / 1.2, 2)</f>
        <v>325164.12</v>
      </c>
      <c r="AD447" s="4" t="s">
        <v>1483</v>
      </c>
      <c r="AE447" s="4" t="s">
        <v>1484</v>
      </c>
      <c r="AF447" s="4" t="s">
        <v>1472</v>
      </c>
    </row>
    <row r="448" spans="1:35" ht="16.95" customHeight="1" x14ac:dyDescent="0.3">
      <c r="A448" s="10" t="s">
        <v>1485</v>
      </c>
      <c r="B448" s="10" t="s">
        <v>1486</v>
      </c>
      <c r="C448" s="91" t="s">
        <v>1487</v>
      </c>
      <c r="D448" s="92"/>
      <c r="E448" s="92"/>
      <c r="F448" s="92"/>
      <c r="G448" s="92"/>
      <c r="H448" s="92"/>
      <c r="I448" s="93"/>
      <c r="M448" s="6">
        <f>SUM(M449,M491,M720)</f>
        <v>11553646.57</v>
      </c>
      <c r="N448" s="6">
        <f>SUM(N449,N491,N720)</f>
        <v>35742468.780000001</v>
      </c>
      <c r="O448" s="6">
        <f>SUM(O449,O491,O720)</f>
        <v>47296115.350000001</v>
      </c>
      <c r="S448" s="6">
        <f>SUM(S449,S491,S720)</f>
        <v>10117923.120000001</v>
      </c>
      <c r="T448" s="6">
        <f>SUM(T449,T491,T720)</f>
        <v>51084143.07</v>
      </c>
      <c r="U448" s="6">
        <f>SUM(U449,U491,U720)</f>
        <v>61202066.189999998</v>
      </c>
      <c r="Y448" s="9">
        <f>SUM(Y449,Y491,Y720)</f>
        <v>8431602.6600000001</v>
      </c>
      <c r="Z448" s="9">
        <f>SUM(Z449,Z491,Z720)</f>
        <v>42570119.269999996</v>
      </c>
      <c r="AA448" s="9">
        <f>SUM(AA449,AA491,AA720)</f>
        <v>51001721.929999992</v>
      </c>
      <c r="AD448" s="4">
        <v>334080523</v>
      </c>
      <c r="AE448" s="4">
        <v>27245606</v>
      </c>
    </row>
    <row r="449" spans="1:35" ht="16.95" customHeight="1" x14ac:dyDescent="0.3">
      <c r="A449" s="10" t="s">
        <v>1488</v>
      </c>
      <c r="B449" s="10" t="s">
        <v>1489</v>
      </c>
      <c r="C449" s="91" t="s">
        <v>1490</v>
      </c>
      <c r="D449" s="92"/>
      <c r="E449" s="92"/>
      <c r="F449" s="92"/>
      <c r="G449" s="92"/>
      <c r="H449" s="92"/>
      <c r="I449" s="93"/>
      <c r="M449" s="6">
        <f>SUM(M450,M453,M456,M459,M463,M466,M470,M473,M476,M479,M483,M487)</f>
        <v>1488798.2200000002</v>
      </c>
      <c r="N449" s="6">
        <f>SUM(N450,N453,N456,N459,N463,N466,N470,N473,N476,N479,N483,N487)</f>
        <v>11815658.460000001</v>
      </c>
      <c r="O449" s="6">
        <f>SUM(O450,O453,O456,O459,O463,O466,O470,O473,O476,O479,O483,O487)</f>
        <v>13304456.680000002</v>
      </c>
      <c r="S449" s="6">
        <f>SUM(S450,S453,S456,S459,S463,S466,S470,S473,S476,S479,S483,S487)</f>
        <v>1854792.2399999998</v>
      </c>
      <c r="T449" s="6">
        <f>SUM(T450,T453,T456,T459,T463,T466,T470,T473,T476,T479,T483,T487)</f>
        <v>17723487.669999998</v>
      </c>
      <c r="U449" s="6">
        <f>SUM(U450,U453,U456,U459,U463,U466,U470,U473,U476,U479,U483,U487)</f>
        <v>19578279.91</v>
      </c>
      <c r="Y449" s="9">
        <f>SUM(Y450,Y453,Y456,Y459,Y463,Y466,Y470,Y473,Y476,Y479,Y483,Y487)</f>
        <v>1545660.2100000002</v>
      </c>
      <c r="Z449" s="9">
        <f>SUM(Z450,Z453,Z456,Z459,Z463,Z466,Z470,Z473,Z476,Z479,Z483,Z487)</f>
        <v>14769573.07</v>
      </c>
      <c r="AA449" s="9">
        <f>SUM(AA450,AA453,AA456,AA459,AA463,AA466,AA470,AA473,AA476,AA479,AA483,AA487)</f>
        <v>16315233.280000001</v>
      </c>
      <c r="AD449" s="4">
        <v>334080524</v>
      </c>
      <c r="AE449" s="4">
        <v>27245641</v>
      </c>
    </row>
    <row r="450" spans="1:35" ht="180" x14ac:dyDescent="0.3">
      <c r="A450" s="11" t="s">
        <v>1491</v>
      </c>
      <c r="B450" s="11" t="s">
        <v>1492</v>
      </c>
      <c r="C450" s="20" t="s">
        <v>1493</v>
      </c>
      <c r="D450" s="21"/>
      <c r="E450" s="21" t="s">
        <v>1494</v>
      </c>
      <c r="F450" s="21" t="s">
        <v>102</v>
      </c>
      <c r="G450" s="22">
        <v>1</v>
      </c>
      <c r="H450" s="21"/>
      <c r="I450" s="22">
        <v>2012.38</v>
      </c>
      <c r="J450" s="23">
        <f>IFERROR(ROUND(SUM(M451,M452)/I450, 2),0)</f>
        <v>19.32</v>
      </c>
      <c r="K450" s="23">
        <v>28</v>
      </c>
      <c r="L450" s="23">
        <f>J450+ROUND(K450, 2)</f>
        <v>47.32</v>
      </c>
      <c r="M450" s="23">
        <f>ROUND(J450*I450, 2)</f>
        <v>38879.18</v>
      </c>
      <c r="N450" s="23">
        <f>ROUND(I450*ROUND(K450, 2), 2)</f>
        <v>56346.64</v>
      </c>
      <c r="O450" s="23">
        <f>M450+N450</f>
        <v>95225.82</v>
      </c>
      <c r="P450" s="23">
        <f>IFERROR(ROUND(SUM(S451,S452)/I450, 2),0)</f>
        <v>19.32</v>
      </c>
      <c r="Q450" s="23">
        <v>42</v>
      </c>
      <c r="R450" s="23">
        <f>P450+ROUND(Q450, 2)</f>
        <v>61.32</v>
      </c>
      <c r="S450" s="23">
        <f>ROUND(P450*I450, 2)</f>
        <v>38879.18</v>
      </c>
      <c r="T450" s="23">
        <f>ROUND(I450*ROUND(Q450, 2), 2)</f>
        <v>84519.96</v>
      </c>
      <c r="U450" s="23">
        <f>S450+T450</f>
        <v>123399.14000000001</v>
      </c>
      <c r="V450" s="9">
        <f>ROUND(P450 / 1.2, 2)</f>
        <v>16.100000000000001</v>
      </c>
      <c r="W450" s="9">
        <f>ROUND(Q450 / 1.2, 2)</f>
        <v>35</v>
      </c>
      <c r="X450" s="9">
        <f>ROUND(R450 / 1.2, 2)</f>
        <v>51.1</v>
      </c>
      <c r="Y450" s="9">
        <f>ROUND(S450 / 1.2, 2)</f>
        <v>32399.32</v>
      </c>
      <c r="Z450" s="9">
        <f>ROUND(T450 / 1.2, 2)</f>
        <v>70433.3</v>
      </c>
      <c r="AA450" s="9">
        <f>Y450+Z450</f>
        <v>102832.62</v>
      </c>
      <c r="AD450" s="4">
        <v>334080526</v>
      </c>
      <c r="AE450" s="4">
        <v>29241738</v>
      </c>
      <c r="AG450" s="4" t="s">
        <v>1495</v>
      </c>
      <c r="AH450" s="4" t="s">
        <v>1496</v>
      </c>
      <c r="AI450" s="4" t="s">
        <v>250</v>
      </c>
    </row>
    <row r="451" spans="1:35" ht="36" x14ac:dyDescent="0.3">
      <c r="A451" s="11" t="s">
        <v>1497</v>
      </c>
      <c r="B451" s="11"/>
      <c r="C451" s="30" t="s">
        <v>1498</v>
      </c>
      <c r="D451" s="21"/>
      <c r="E451" s="21"/>
      <c r="F451" s="33" t="s">
        <v>278</v>
      </c>
      <c r="G451" s="34">
        <v>0.3</v>
      </c>
      <c r="H451" s="21"/>
      <c r="I451" s="37">
        <v>603.71400000000006</v>
      </c>
      <c r="J451" s="35">
        <v>12.26</v>
      </c>
      <c r="K451" s="12"/>
      <c r="L451" s="12"/>
      <c r="M451" s="35">
        <f>ROUND(ROUND(J451, 2)*I451, 2)</f>
        <v>7401.53</v>
      </c>
      <c r="N451" s="12"/>
      <c r="O451" s="12"/>
      <c r="P451" s="35">
        <v>12.26</v>
      </c>
      <c r="Q451" s="12"/>
      <c r="R451" s="12"/>
      <c r="S451" s="35">
        <f>ROUND(ROUND(P451, 2)*I451, 2)</f>
        <v>7401.53</v>
      </c>
      <c r="T451" s="12"/>
      <c r="U451" s="36"/>
      <c r="V451" s="9">
        <f>ROUND(ROUND(P451, 2)/1.2, 2)</f>
        <v>10.220000000000001</v>
      </c>
      <c r="Y451" s="9">
        <f t="shared" ref="Y451:Y490" si="19">ROUND(S451 / 1.2, 2)</f>
        <v>6167.94</v>
      </c>
      <c r="AD451" s="4" t="s">
        <v>1499</v>
      </c>
      <c r="AE451" s="4" t="s">
        <v>1500</v>
      </c>
      <c r="AF451" s="4" t="s">
        <v>1501</v>
      </c>
    </row>
    <row r="452" spans="1:35" ht="36" x14ac:dyDescent="0.3">
      <c r="A452" s="11" t="s">
        <v>1502</v>
      </c>
      <c r="B452" s="11"/>
      <c r="C452" s="32" t="s">
        <v>1503</v>
      </c>
      <c r="D452" s="21"/>
      <c r="E452" s="21" t="s">
        <v>1504</v>
      </c>
      <c r="F452" s="33" t="s">
        <v>102</v>
      </c>
      <c r="G452" s="34">
        <v>1.1000000000000001</v>
      </c>
      <c r="H452" s="21"/>
      <c r="I452" s="37">
        <v>4427.2359999999999</v>
      </c>
      <c r="J452" s="35">
        <v>7.11</v>
      </c>
      <c r="K452" s="12"/>
      <c r="L452" s="12"/>
      <c r="M452" s="35">
        <f>ROUND(ROUND(J452, 2)*I452, 2)</f>
        <v>31477.65</v>
      </c>
      <c r="N452" s="12"/>
      <c r="O452" s="12"/>
      <c r="P452" s="35">
        <v>7.11</v>
      </c>
      <c r="Q452" s="12"/>
      <c r="R452" s="12"/>
      <c r="S452" s="35">
        <f>ROUND(ROUND(P452, 2)*I452, 2)</f>
        <v>31477.65</v>
      </c>
      <c r="T452" s="12"/>
      <c r="U452" s="36"/>
      <c r="V452" s="9">
        <f>ROUND(ROUND(P452, 2)/1.2, 2)</f>
        <v>5.93</v>
      </c>
      <c r="Y452" s="9">
        <f t="shared" si="19"/>
        <v>26231.38</v>
      </c>
      <c r="AD452" s="4" t="s">
        <v>1505</v>
      </c>
      <c r="AE452" s="4" t="s">
        <v>1506</v>
      </c>
      <c r="AF452" s="4" t="s">
        <v>1507</v>
      </c>
    </row>
    <row r="453" spans="1:35" ht="36" x14ac:dyDescent="0.3">
      <c r="A453" s="10" t="s">
        <v>1508</v>
      </c>
      <c r="B453" s="10" t="s">
        <v>1509</v>
      </c>
      <c r="C453" s="14" t="s">
        <v>1510</v>
      </c>
      <c r="D453" s="15"/>
      <c r="E453" s="15"/>
      <c r="F453" s="15" t="s">
        <v>597</v>
      </c>
      <c r="G453" s="16">
        <v>1</v>
      </c>
      <c r="H453" s="15"/>
      <c r="I453" s="16">
        <v>0</v>
      </c>
      <c r="J453" s="17">
        <v>0</v>
      </c>
      <c r="K453" s="18">
        <v>226</v>
      </c>
      <c r="L453" s="17">
        <f>J453+ROUND(K453, 2)</f>
        <v>226</v>
      </c>
      <c r="M453" s="17">
        <v>0</v>
      </c>
      <c r="N453" s="17">
        <v>0</v>
      </c>
      <c r="O453" s="17">
        <f>M453+N453</f>
        <v>0</v>
      </c>
      <c r="P453" s="17">
        <v>5.33</v>
      </c>
      <c r="Q453" s="19">
        <v>226</v>
      </c>
      <c r="R453" s="17">
        <f>P453+ROUND(Q453, 2)</f>
        <v>231.33</v>
      </c>
      <c r="S453" s="17">
        <v>0</v>
      </c>
      <c r="T453" s="17">
        <v>0</v>
      </c>
      <c r="U453" s="17">
        <f>S453+T453</f>
        <v>0</v>
      </c>
      <c r="V453" s="9">
        <f>ROUND(P453 / 1.2, 2)</f>
        <v>4.4400000000000004</v>
      </c>
      <c r="W453" s="9">
        <f>ROUND(Q453 / 1.2, 2)</f>
        <v>188.33</v>
      </c>
      <c r="X453" s="9">
        <f>ROUND(R453 / 1.2, 2)</f>
        <v>192.78</v>
      </c>
      <c r="Y453" s="9">
        <f t="shared" si="19"/>
        <v>0</v>
      </c>
      <c r="Z453" s="9">
        <f>ROUND(T453 / 1.2, 2)</f>
        <v>0</v>
      </c>
      <c r="AA453" s="9">
        <f>Y453+Z453</f>
        <v>0</v>
      </c>
      <c r="AD453" s="4">
        <v>334080528</v>
      </c>
      <c r="AE453" s="4">
        <v>27245599</v>
      </c>
      <c r="AG453" s="4" t="s">
        <v>1511</v>
      </c>
      <c r="AH453" s="4" t="s">
        <v>1512</v>
      </c>
      <c r="AI453" s="4" t="s">
        <v>250</v>
      </c>
    </row>
    <row r="454" spans="1:35" ht="18" x14ac:dyDescent="0.3">
      <c r="A454" s="10" t="s">
        <v>1513</v>
      </c>
      <c r="B454" s="10"/>
      <c r="C454" s="24" t="s">
        <v>1514</v>
      </c>
      <c r="D454" s="15"/>
      <c r="E454" s="15"/>
      <c r="F454" s="25" t="s">
        <v>453</v>
      </c>
      <c r="G454" s="26">
        <v>1E-3</v>
      </c>
      <c r="H454" s="15"/>
      <c r="I454" s="31">
        <v>0</v>
      </c>
      <c r="J454" s="27">
        <v>2800</v>
      </c>
      <c r="M454" s="28">
        <f>ROUND(ROUND(J454, 2)*I454, 2)</f>
        <v>0</v>
      </c>
      <c r="P454" s="29">
        <v>2800</v>
      </c>
      <c r="S454" s="28">
        <f>ROUND(ROUND(P454, 2)*I454, 2)</f>
        <v>0</v>
      </c>
      <c r="V454" s="9">
        <f>ROUND(ROUND(P454, 2)/1.2, 2)</f>
        <v>2333.33</v>
      </c>
      <c r="Y454" s="9">
        <f t="shared" si="19"/>
        <v>0</v>
      </c>
      <c r="AD454" s="4" t="s">
        <v>1515</v>
      </c>
      <c r="AE454" s="4" t="s">
        <v>1516</v>
      </c>
      <c r="AF454" s="4" t="s">
        <v>1517</v>
      </c>
    </row>
    <row r="455" spans="1:35" ht="18" x14ac:dyDescent="0.3">
      <c r="A455" s="10" t="s">
        <v>1518</v>
      </c>
      <c r="B455" s="10"/>
      <c r="C455" s="24" t="s">
        <v>333</v>
      </c>
      <c r="D455" s="15"/>
      <c r="E455" s="15"/>
      <c r="F455" s="25" t="s">
        <v>278</v>
      </c>
      <c r="G455" s="26">
        <v>0.41</v>
      </c>
      <c r="H455" s="15"/>
      <c r="I455" s="31">
        <v>0</v>
      </c>
      <c r="J455" s="27">
        <v>6.17</v>
      </c>
      <c r="M455" s="28">
        <f>ROUND(ROUND(J455, 2)*I455, 2)</f>
        <v>0</v>
      </c>
      <c r="P455" s="29">
        <v>6.17</v>
      </c>
      <c r="S455" s="28">
        <f>ROUND(ROUND(P455, 2)*I455, 2)</f>
        <v>0</v>
      </c>
      <c r="V455" s="9">
        <f>ROUND(ROUND(P455, 2)/1.2, 2)</f>
        <v>5.14</v>
      </c>
      <c r="Y455" s="9">
        <f t="shared" si="19"/>
        <v>0</v>
      </c>
      <c r="AD455" s="4" t="s">
        <v>1519</v>
      </c>
      <c r="AE455" s="4" t="s">
        <v>1520</v>
      </c>
      <c r="AF455" s="4" t="s">
        <v>336</v>
      </c>
    </row>
    <row r="456" spans="1:35" ht="36" x14ac:dyDescent="0.3">
      <c r="A456" s="10" t="s">
        <v>1521</v>
      </c>
      <c r="B456" s="10" t="s">
        <v>1509</v>
      </c>
      <c r="C456" s="14" t="s">
        <v>1510</v>
      </c>
      <c r="D456" s="15"/>
      <c r="E456" s="15" t="s">
        <v>1522</v>
      </c>
      <c r="F456" s="15" t="s">
        <v>597</v>
      </c>
      <c r="G456" s="16">
        <v>1</v>
      </c>
      <c r="H456" s="15"/>
      <c r="I456" s="16">
        <v>357</v>
      </c>
      <c r="J456" s="17">
        <v>5.33</v>
      </c>
      <c r="K456" s="18">
        <v>226</v>
      </c>
      <c r="L456" s="17">
        <f>J456+ROUND(K456, 2)</f>
        <v>231.33</v>
      </c>
      <c r="M456" s="17">
        <v>1902.81</v>
      </c>
      <c r="N456" s="17">
        <v>80682</v>
      </c>
      <c r="O456" s="17">
        <f>M456+N456</f>
        <v>82584.81</v>
      </c>
      <c r="P456" s="17">
        <v>5.33</v>
      </c>
      <c r="Q456" s="19">
        <v>339</v>
      </c>
      <c r="R456" s="17">
        <f>P456+ROUND(Q456, 2)</f>
        <v>344.33</v>
      </c>
      <c r="S456" s="17">
        <v>1902.81</v>
      </c>
      <c r="T456" s="17">
        <v>121023</v>
      </c>
      <c r="U456" s="17">
        <f>S456+T456</f>
        <v>122925.81</v>
      </c>
      <c r="V456" s="9">
        <f>ROUND(P456 / 1.2, 2)</f>
        <v>4.4400000000000004</v>
      </c>
      <c r="W456" s="9">
        <f>ROUND(Q456 / 1.2, 2)</f>
        <v>282.5</v>
      </c>
      <c r="X456" s="9">
        <f>ROUND(R456 / 1.2, 2)</f>
        <v>286.94</v>
      </c>
      <c r="Y456" s="9">
        <f t="shared" si="19"/>
        <v>1585.68</v>
      </c>
      <c r="Z456" s="9">
        <f>ROUND(T456 / 1.2, 2)</f>
        <v>100852.5</v>
      </c>
      <c r="AA456" s="9">
        <f>Y456+Z456</f>
        <v>102438.18</v>
      </c>
      <c r="AD456" s="4">
        <v>334080670</v>
      </c>
      <c r="AE456" s="4">
        <v>27245799</v>
      </c>
      <c r="AG456" s="4" t="s">
        <v>1511</v>
      </c>
      <c r="AH456" s="4" t="s">
        <v>1512</v>
      </c>
      <c r="AI456" s="4" t="s">
        <v>250</v>
      </c>
    </row>
    <row r="457" spans="1:35" ht="18" x14ac:dyDescent="0.3">
      <c r="A457" s="10" t="s">
        <v>1523</v>
      </c>
      <c r="B457" s="10"/>
      <c r="C457" s="24" t="s">
        <v>333</v>
      </c>
      <c r="D457" s="15"/>
      <c r="E457" s="15"/>
      <c r="F457" s="25" t="s">
        <v>278</v>
      </c>
      <c r="G457" s="26">
        <v>0.41</v>
      </c>
      <c r="H457" s="15"/>
      <c r="I457" s="31">
        <v>146.37</v>
      </c>
      <c r="J457" s="27">
        <v>6.17</v>
      </c>
      <c r="M457" s="28">
        <f>ROUND(ROUND(J457, 2)*I457, 2)</f>
        <v>903.1</v>
      </c>
      <c r="P457" s="29">
        <v>6.17</v>
      </c>
      <c r="S457" s="28">
        <f>ROUND(ROUND(P457, 2)*I457, 2)</f>
        <v>903.1</v>
      </c>
      <c r="V457" s="9">
        <f>ROUND(ROUND(P457, 2)/1.2, 2)</f>
        <v>5.14</v>
      </c>
      <c r="Y457" s="9">
        <f t="shared" si="19"/>
        <v>752.58</v>
      </c>
      <c r="AD457" s="4" t="s">
        <v>1524</v>
      </c>
      <c r="AE457" s="4" t="s">
        <v>1525</v>
      </c>
      <c r="AF457" s="4" t="s">
        <v>336</v>
      </c>
    </row>
    <row r="458" spans="1:35" ht="18" x14ac:dyDescent="0.3">
      <c r="A458" s="10" t="s">
        <v>1526</v>
      </c>
      <c r="B458" s="10"/>
      <c r="C458" s="24" t="s">
        <v>1514</v>
      </c>
      <c r="D458" s="15"/>
      <c r="E458" s="15"/>
      <c r="F458" s="25" t="s">
        <v>453</v>
      </c>
      <c r="G458" s="26">
        <v>1E-3</v>
      </c>
      <c r="H458" s="15"/>
      <c r="I458" s="31">
        <v>0.35699999999999998</v>
      </c>
      <c r="J458" s="27">
        <v>2800</v>
      </c>
      <c r="M458" s="28">
        <f>ROUND(ROUND(J458, 2)*I458, 2)</f>
        <v>999.6</v>
      </c>
      <c r="P458" s="29">
        <v>2800</v>
      </c>
      <c r="S458" s="28">
        <f>ROUND(ROUND(P458, 2)*I458, 2)</f>
        <v>999.6</v>
      </c>
      <c r="V458" s="9">
        <f>ROUND(ROUND(P458, 2)/1.2, 2)</f>
        <v>2333.33</v>
      </c>
      <c r="Y458" s="9">
        <f t="shared" si="19"/>
        <v>833</v>
      </c>
      <c r="AD458" s="4" t="s">
        <v>1527</v>
      </c>
      <c r="AE458" s="4" t="s">
        <v>1528</v>
      </c>
      <c r="AF458" s="4" t="s">
        <v>1517</v>
      </c>
    </row>
    <row r="459" spans="1:35" ht="108" x14ac:dyDescent="0.3">
      <c r="A459" s="11" t="s">
        <v>1529</v>
      </c>
      <c r="B459" s="11" t="s">
        <v>1530</v>
      </c>
      <c r="C459" s="20" t="s">
        <v>1531</v>
      </c>
      <c r="D459" s="21"/>
      <c r="E459" s="21" t="s">
        <v>1532</v>
      </c>
      <c r="F459" s="21" t="s">
        <v>62</v>
      </c>
      <c r="G459" s="22">
        <v>1</v>
      </c>
      <c r="H459" s="21"/>
      <c r="I459" s="22">
        <v>195.78</v>
      </c>
      <c r="J459" s="23">
        <f>IFERROR(ROUND(SUM(M460,M461,M462)/I459, 2),0)</f>
        <v>82.62</v>
      </c>
      <c r="K459" s="23">
        <v>508</v>
      </c>
      <c r="L459" s="23">
        <f>J459+ROUND(K459, 2)</f>
        <v>590.62</v>
      </c>
      <c r="M459" s="23">
        <f>ROUND(J459*I459, 2)</f>
        <v>16175.34</v>
      </c>
      <c r="N459" s="23">
        <f>ROUND(I459*ROUND(K459, 2), 2)</f>
        <v>99456.24</v>
      </c>
      <c r="O459" s="23">
        <f>M459+N459</f>
        <v>115631.58</v>
      </c>
      <c r="P459" s="23">
        <f>IFERROR(ROUND(SUM(S460,S461,S462)/I459, 2),0)</f>
        <v>82.62</v>
      </c>
      <c r="Q459" s="23">
        <v>762</v>
      </c>
      <c r="R459" s="23">
        <f>P459+ROUND(Q459, 2)</f>
        <v>844.62</v>
      </c>
      <c r="S459" s="23">
        <f>ROUND(P459*I459, 2)</f>
        <v>16175.34</v>
      </c>
      <c r="T459" s="23">
        <f>ROUND(I459*ROUND(Q459, 2), 2)</f>
        <v>149184.35999999999</v>
      </c>
      <c r="U459" s="23">
        <f>S459+T459</f>
        <v>165359.69999999998</v>
      </c>
      <c r="V459" s="9">
        <f>ROUND(P459 / 1.2, 2)</f>
        <v>68.849999999999994</v>
      </c>
      <c r="W459" s="9">
        <f>ROUND(Q459 / 1.2, 2)</f>
        <v>635</v>
      </c>
      <c r="X459" s="9">
        <f>ROUND(R459 / 1.2, 2)</f>
        <v>703.85</v>
      </c>
      <c r="Y459" s="9">
        <f t="shared" si="19"/>
        <v>13479.45</v>
      </c>
      <c r="Z459" s="9">
        <f>ROUND(T459 / 1.2, 2)</f>
        <v>124320.3</v>
      </c>
      <c r="AA459" s="9">
        <f>Y459+Z459</f>
        <v>137799.75</v>
      </c>
      <c r="AD459" s="4">
        <v>334080530</v>
      </c>
      <c r="AE459" s="4">
        <v>29241740</v>
      </c>
      <c r="AG459" s="4" t="s">
        <v>1533</v>
      </c>
      <c r="AH459" s="4" t="s">
        <v>1534</v>
      </c>
      <c r="AI459" s="4" t="s">
        <v>250</v>
      </c>
    </row>
    <row r="460" spans="1:35" ht="18" x14ac:dyDescent="0.3">
      <c r="A460" s="11" t="s">
        <v>1535</v>
      </c>
      <c r="B460" s="11"/>
      <c r="C460" s="32" t="s">
        <v>1536</v>
      </c>
      <c r="D460" s="21"/>
      <c r="E460" s="21"/>
      <c r="F460" s="33" t="s">
        <v>278</v>
      </c>
      <c r="G460" s="34">
        <v>2</v>
      </c>
      <c r="H460" s="21"/>
      <c r="I460" s="34">
        <v>391.56</v>
      </c>
      <c r="J460" s="35">
        <v>23.39</v>
      </c>
      <c r="K460" s="12"/>
      <c r="L460" s="12"/>
      <c r="M460" s="35">
        <f>ROUND(ROUND(J460, 2)*I460, 2)</f>
        <v>9158.59</v>
      </c>
      <c r="N460" s="12"/>
      <c r="O460" s="12"/>
      <c r="P460" s="35">
        <v>23.39</v>
      </c>
      <c r="Q460" s="12"/>
      <c r="R460" s="12"/>
      <c r="S460" s="35">
        <f>ROUND(ROUND(P460, 2)*I460, 2)</f>
        <v>9158.59</v>
      </c>
      <c r="T460" s="12"/>
      <c r="U460" s="36"/>
      <c r="V460" s="9">
        <f>ROUND(ROUND(P460, 2)/1.2, 2)</f>
        <v>19.489999999999998</v>
      </c>
      <c r="Y460" s="9">
        <f t="shared" si="19"/>
        <v>7632.16</v>
      </c>
      <c r="AD460" s="4" t="s">
        <v>1537</v>
      </c>
      <c r="AE460" s="4" t="s">
        <v>1538</v>
      </c>
      <c r="AF460" s="4" t="s">
        <v>1539</v>
      </c>
    </row>
    <row r="461" spans="1:35" ht="18" x14ac:dyDescent="0.3">
      <c r="A461" s="11" t="s">
        <v>1540</v>
      </c>
      <c r="B461" s="11"/>
      <c r="C461" s="32" t="s">
        <v>1541</v>
      </c>
      <c r="D461" s="21"/>
      <c r="E461" s="21"/>
      <c r="F461" s="33" t="s">
        <v>597</v>
      </c>
      <c r="G461" s="34">
        <v>0.3</v>
      </c>
      <c r="H461" s="21"/>
      <c r="I461" s="34">
        <v>58.734000000000002</v>
      </c>
      <c r="J461" s="35">
        <v>74.319999999999993</v>
      </c>
      <c r="K461" s="12"/>
      <c r="L461" s="12"/>
      <c r="M461" s="35">
        <f>ROUND(ROUND(J461, 2)*I461, 2)</f>
        <v>4365.1099999999997</v>
      </c>
      <c r="N461" s="12"/>
      <c r="O461" s="12"/>
      <c r="P461" s="35">
        <v>74.319999999999993</v>
      </c>
      <c r="Q461" s="12"/>
      <c r="R461" s="12"/>
      <c r="S461" s="35">
        <f>ROUND(ROUND(P461, 2)*I461, 2)</f>
        <v>4365.1099999999997</v>
      </c>
      <c r="T461" s="12"/>
      <c r="U461" s="36"/>
      <c r="V461" s="9">
        <f>ROUND(ROUND(P461, 2)/1.2, 2)</f>
        <v>61.93</v>
      </c>
      <c r="Y461" s="9">
        <f t="shared" si="19"/>
        <v>3637.59</v>
      </c>
      <c r="AD461" s="4" t="s">
        <v>1542</v>
      </c>
      <c r="AE461" s="4" t="s">
        <v>1543</v>
      </c>
      <c r="AF461" s="4" t="s">
        <v>1544</v>
      </c>
    </row>
    <row r="462" spans="1:35" ht="36" x14ac:dyDescent="0.3">
      <c r="A462" s="11" t="s">
        <v>1545</v>
      </c>
      <c r="B462" s="11"/>
      <c r="C462" s="32" t="s">
        <v>1007</v>
      </c>
      <c r="D462" s="21"/>
      <c r="E462" s="21"/>
      <c r="F462" s="33" t="s">
        <v>278</v>
      </c>
      <c r="G462" s="34">
        <v>0.15</v>
      </c>
      <c r="H462" s="21"/>
      <c r="I462" s="34">
        <v>29.367000000000001</v>
      </c>
      <c r="J462" s="35">
        <v>90.28</v>
      </c>
      <c r="K462" s="12"/>
      <c r="L462" s="12"/>
      <c r="M462" s="35">
        <f>ROUND(ROUND(J462, 2)*I462, 2)</f>
        <v>2651.25</v>
      </c>
      <c r="N462" s="12"/>
      <c r="O462" s="12"/>
      <c r="P462" s="35">
        <v>90.28</v>
      </c>
      <c r="Q462" s="12"/>
      <c r="R462" s="12"/>
      <c r="S462" s="35">
        <f>ROUND(ROUND(P462, 2)*I462, 2)</f>
        <v>2651.25</v>
      </c>
      <c r="T462" s="12"/>
      <c r="U462" s="36"/>
      <c r="V462" s="9">
        <f>ROUND(ROUND(P462, 2)/1.2, 2)</f>
        <v>75.23</v>
      </c>
      <c r="Y462" s="9">
        <f t="shared" si="19"/>
        <v>2209.38</v>
      </c>
      <c r="AD462" s="4" t="s">
        <v>1546</v>
      </c>
      <c r="AE462" s="4" t="s">
        <v>1547</v>
      </c>
      <c r="AF462" s="4" t="s">
        <v>1010</v>
      </c>
    </row>
    <row r="463" spans="1:35" ht="108" x14ac:dyDescent="0.3">
      <c r="A463" s="11" t="s">
        <v>1548</v>
      </c>
      <c r="B463" s="11" t="s">
        <v>1530</v>
      </c>
      <c r="C463" s="20" t="s">
        <v>1531</v>
      </c>
      <c r="D463" s="21"/>
      <c r="E463" s="21" t="s">
        <v>1549</v>
      </c>
      <c r="F463" s="21" t="s">
        <v>62</v>
      </c>
      <c r="G463" s="22">
        <v>1</v>
      </c>
      <c r="H463" s="21"/>
      <c r="I463" s="22">
        <v>936</v>
      </c>
      <c r="J463" s="23">
        <f>IFERROR(ROUND(SUM(M464,M465)/I463, 2),0)</f>
        <v>60.32</v>
      </c>
      <c r="K463" s="23">
        <v>508</v>
      </c>
      <c r="L463" s="23">
        <f>J463+ROUND(K463, 2)</f>
        <v>568.32000000000005</v>
      </c>
      <c r="M463" s="23">
        <f>ROUND(J463*I463, 2)</f>
        <v>56459.519999999997</v>
      </c>
      <c r="N463" s="23">
        <f>ROUND(I463*ROUND(K463, 2), 2)</f>
        <v>475488</v>
      </c>
      <c r="O463" s="23">
        <f>M463+N463</f>
        <v>531947.52000000002</v>
      </c>
      <c r="P463" s="23">
        <f>IFERROR(ROUND(SUM(S464,S465)/I463, 2),0)</f>
        <v>60.32</v>
      </c>
      <c r="Q463" s="23">
        <v>762</v>
      </c>
      <c r="R463" s="23">
        <f>P463+ROUND(Q463, 2)</f>
        <v>822.32</v>
      </c>
      <c r="S463" s="23">
        <f>ROUND(P463*I463, 2)</f>
        <v>56459.519999999997</v>
      </c>
      <c r="T463" s="23">
        <f>ROUND(I463*ROUND(Q463, 2), 2)</f>
        <v>713232</v>
      </c>
      <c r="U463" s="23">
        <f>S463+T463</f>
        <v>769691.52</v>
      </c>
      <c r="V463" s="9">
        <f>ROUND(P463 / 1.2, 2)</f>
        <v>50.27</v>
      </c>
      <c r="W463" s="9">
        <f>ROUND(Q463 / 1.2, 2)</f>
        <v>635</v>
      </c>
      <c r="X463" s="9">
        <f>ROUND(R463 / 1.2, 2)</f>
        <v>685.27</v>
      </c>
      <c r="Y463" s="9">
        <f t="shared" si="19"/>
        <v>47049.599999999999</v>
      </c>
      <c r="Z463" s="9">
        <f>ROUND(T463 / 1.2, 2)</f>
        <v>594360</v>
      </c>
      <c r="AA463" s="9">
        <f>Y463+Z463</f>
        <v>641409.6</v>
      </c>
      <c r="AD463" s="4">
        <v>334080671</v>
      </c>
      <c r="AE463" s="4">
        <v>29241741</v>
      </c>
      <c r="AG463" s="4" t="s">
        <v>1533</v>
      </c>
      <c r="AH463" s="4" t="s">
        <v>1534</v>
      </c>
      <c r="AI463" s="4" t="s">
        <v>250</v>
      </c>
    </row>
    <row r="464" spans="1:35" ht="36" x14ac:dyDescent="0.3">
      <c r="A464" s="11" t="s">
        <v>1550</v>
      </c>
      <c r="B464" s="11"/>
      <c r="C464" s="32" t="s">
        <v>1007</v>
      </c>
      <c r="D464" s="21"/>
      <c r="E464" s="21"/>
      <c r="F464" s="33" t="s">
        <v>278</v>
      </c>
      <c r="G464" s="34">
        <v>0.15</v>
      </c>
      <c r="H464" s="21"/>
      <c r="I464" s="34">
        <v>140.4</v>
      </c>
      <c r="J464" s="35">
        <v>90.28</v>
      </c>
      <c r="K464" s="12"/>
      <c r="L464" s="12"/>
      <c r="M464" s="35">
        <f>ROUND(ROUND(J464, 2)*I464, 2)</f>
        <v>12675.31</v>
      </c>
      <c r="N464" s="12"/>
      <c r="O464" s="12"/>
      <c r="P464" s="35">
        <v>90.28</v>
      </c>
      <c r="Q464" s="12"/>
      <c r="R464" s="12"/>
      <c r="S464" s="35">
        <f>ROUND(ROUND(P464, 2)*I464, 2)</f>
        <v>12675.31</v>
      </c>
      <c r="T464" s="12"/>
      <c r="U464" s="36"/>
      <c r="V464" s="9">
        <f>ROUND(ROUND(P464, 2)/1.2, 2)</f>
        <v>75.23</v>
      </c>
      <c r="Y464" s="9">
        <f t="shared" si="19"/>
        <v>10562.76</v>
      </c>
      <c r="AD464" s="4" t="s">
        <v>1551</v>
      </c>
      <c r="AE464" s="4" t="s">
        <v>1552</v>
      </c>
      <c r="AF464" s="4" t="s">
        <v>1010</v>
      </c>
    </row>
    <row r="465" spans="1:35" ht="18" x14ac:dyDescent="0.3">
      <c r="A465" s="11" t="s">
        <v>1553</v>
      </c>
      <c r="B465" s="11"/>
      <c r="C465" s="32" t="s">
        <v>1536</v>
      </c>
      <c r="D465" s="21"/>
      <c r="E465" s="21"/>
      <c r="F465" s="33" t="s">
        <v>278</v>
      </c>
      <c r="G465" s="34">
        <v>2</v>
      </c>
      <c r="H465" s="21"/>
      <c r="I465" s="34">
        <v>1872</v>
      </c>
      <c r="J465" s="35">
        <v>23.39</v>
      </c>
      <c r="K465" s="12"/>
      <c r="L465" s="12"/>
      <c r="M465" s="35">
        <f>ROUND(ROUND(J465, 2)*I465, 2)</f>
        <v>43786.080000000002</v>
      </c>
      <c r="N465" s="12"/>
      <c r="O465" s="12"/>
      <c r="P465" s="35">
        <v>23.39</v>
      </c>
      <c r="Q465" s="12"/>
      <c r="R465" s="12"/>
      <c r="S465" s="35">
        <f>ROUND(ROUND(P465, 2)*I465, 2)</f>
        <v>43786.080000000002</v>
      </c>
      <c r="T465" s="12"/>
      <c r="U465" s="36"/>
      <c r="V465" s="9">
        <f>ROUND(ROUND(P465, 2)/1.2, 2)</f>
        <v>19.489999999999998</v>
      </c>
      <c r="Y465" s="9">
        <f t="shared" si="19"/>
        <v>36488.400000000001</v>
      </c>
      <c r="AD465" s="4" t="s">
        <v>1554</v>
      </c>
      <c r="AE465" s="4" t="s">
        <v>1555</v>
      </c>
      <c r="AF465" s="4" t="s">
        <v>1539</v>
      </c>
    </row>
    <row r="466" spans="1:35" ht="126" x14ac:dyDescent="0.3">
      <c r="A466" s="11" t="s">
        <v>1556</v>
      </c>
      <c r="B466" s="11" t="s">
        <v>1530</v>
      </c>
      <c r="C466" s="20" t="s">
        <v>1531</v>
      </c>
      <c r="D466" s="21"/>
      <c r="E466" s="21" t="s">
        <v>1557</v>
      </c>
      <c r="F466" s="21" t="s">
        <v>62</v>
      </c>
      <c r="G466" s="22">
        <v>1</v>
      </c>
      <c r="H466" s="21"/>
      <c r="I466" s="22">
        <v>4986.62</v>
      </c>
      <c r="J466" s="23">
        <f>IFERROR(ROUND(SUM(M467,M468,M469)/I466, 2),0)</f>
        <v>57.91</v>
      </c>
      <c r="K466" s="23">
        <v>508</v>
      </c>
      <c r="L466" s="23">
        <f>J466+ROUND(K466, 2)</f>
        <v>565.91</v>
      </c>
      <c r="M466" s="23">
        <f>ROUND(J466*I466, 2)</f>
        <v>288775.15999999997</v>
      </c>
      <c r="N466" s="23">
        <f>ROUND(I466*ROUND(K466, 2), 2)</f>
        <v>2533202.96</v>
      </c>
      <c r="O466" s="23">
        <f>M466+N466</f>
        <v>2821978.12</v>
      </c>
      <c r="P466" s="23">
        <f>IFERROR(ROUND(SUM(S467,S468,S469)/I466, 2),0)</f>
        <v>57.91</v>
      </c>
      <c r="Q466" s="23">
        <v>762</v>
      </c>
      <c r="R466" s="23">
        <f>P466+ROUND(Q466, 2)</f>
        <v>819.91</v>
      </c>
      <c r="S466" s="23">
        <f>ROUND(P466*I466, 2)</f>
        <v>288775.15999999997</v>
      </c>
      <c r="T466" s="23">
        <f>ROUND(I466*ROUND(Q466, 2), 2)</f>
        <v>3799804.44</v>
      </c>
      <c r="U466" s="23">
        <f>S466+T466</f>
        <v>4088579.6</v>
      </c>
      <c r="V466" s="9">
        <f>ROUND(P466 / 1.2, 2)</f>
        <v>48.26</v>
      </c>
      <c r="W466" s="9">
        <f>ROUND(Q466 / 1.2, 2)</f>
        <v>635</v>
      </c>
      <c r="X466" s="9">
        <f>ROUND(R466 / 1.2, 2)</f>
        <v>683.26</v>
      </c>
      <c r="Y466" s="9">
        <f t="shared" si="19"/>
        <v>240645.97</v>
      </c>
      <c r="Z466" s="9">
        <f>ROUND(T466 / 1.2, 2)</f>
        <v>3166503.7</v>
      </c>
      <c r="AA466" s="9">
        <f>Y466+Z466</f>
        <v>3407149.6700000004</v>
      </c>
      <c r="AD466" s="4">
        <v>334080672</v>
      </c>
      <c r="AE466" s="4">
        <v>29241736</v>
      </c>
      <c r="AG466" s="4" t="s">
        <v>1533</v>
      </c>
      <c r="AH466" s="4" t="s">
        <v>1534</v>
      </c>
      <c r="AI466" s="4" t="s">
        <v>250</v>
      </c>
    </row>
    <row r="467" spans="1:35" ht="36" x14ac:dyDescent="0.3">
      <c r="A467" s="11" t="s">
        <v>1558</v>
      </c>
      <c r="B467" s="11"/>
      <c r="C467" s="30" t="s">
        <v>1498</v>
      </c>
      <c r="D467" s="21"/>
      <c r="E467" s="21"/>
      <c r="F467" s="33" t="s">
        <v>278</v>
      </c>
      <c r="G467" s="34">
        <v>1.8</v>
      </c>
      <c r="H467" s="21"/>
      <c r="I467" s="34">
        <v>8975.9159999999993</v>
      </c>
      <c r="J467" s="35">
        <v>12.26</v>
      </c>
      <c r="K467" s="12"/>
      <c r="L467" s="12"/>
      <c r="M467" s="35">
        <f>ROUND(ROUND(J467, 2)*I467, 2)</f>
        <v>110044.73</v>
      </c>
      <c r="N467" s="12"/>
      <c r="O467" s="12"/>
      <c r="P467" s="35">
        <v>12.26</v>
      </c>
      <c r="Q467" s="12"/>
      <c r="R467" s="12"/>
      <c r="S467" s="35">
        <f>ROUND(ROUND(P467, 2)*I467, 2)</f>
        <v>110044.73</v>
      </c>
      <c r="T467" s="12"/>
      <c r="U467" s="36"/>
      <c r="V467" s="9">
        <f>ROUND(ROUND(P467, 2)/1.2, 2)</f>
        <v>10.220000000000001</v>
      </c>
      <c r="Y467" s="9">
        <f t="shared" si="19"/>
        <v>91703.94</v>
      </c>
      <c r="AD467" s="4" t="s">
        <v>1559</v>
      </c>
      <c r="AE467" s="4" t="s">
        <v>1560</v>
      </c>
      <c r="AF467" s="4" t="s">
        <v>1561</v>
      </c>
    </row>
    <row r="468" spans="1:35" ht="18" x14ac:dyDescent="0.3">
      <c r="A468" s="11" t="s">
        <v>1562</v>
      </c>
      <c r="B468" s="11"/>
      <c r="C468" s="32" t="s">
        <v>1541</v>
      </c>
      <c r="D468" s="21"/>
      <c r="E468" s="21"/>
      <c r="F468" s="33" t="s">
        <v>597</v>
      </c>
      <c r="G468" s="34">
        <v>0.3</v>
      </c>
      <c r="H468" s="21"/>
      <c r="I468" s="34">
        <v>1495.9860000000001</v>
      </c>
      <c r="J468" s="35">
        <v>74.319999999999993</v>
      </c>
      <c r="K468" s="12"/>
      <c r="L468" s="12"/>
      <c r="M468" s="35">
        <f>ROUND(ROUND(J468, 2)*I468, 2)</f>
        <v>111181.68</v>
      </c>
      <c r="N468" s="12"/>
      <c r="O468" s="12"/>
      <c r="P468" s="35">
        <v>74.319999999999993</v>
      </c>
      <c r="Q468" s="12"/>
      <c r="R468" s="12"/>
      <c r="S468" s="35">
        <f>ROUND(ROUND(P468, 2)*I468, 2)</f>
        <v>111181.68</v>
      </c>
      <c r="T468" s="12"/>
      <c r="U468" s="36"/>
      <c r="V468" s="9">
        <f>ROUND(ROUND(P468, 2)/1.2, 2)</f>
        <v>61.93</v>
      </c>
      <c r="Y468" s="9">
        <f t="shared" si="19"/>
        <v>92651.4</v>
      </c>
      <c r="AD468" s="4" t="s">
        <v>1563</v>
      </c>
      <c r="AE468" s="4" t="s">
        <v>1564</v>
      </c>
      <c r="AF468" s="4" t="s">
        <v>1544</v>
      </c>
    </row>
    <row r="469" spans="1:35" ht="36" x14ac:dyDescent="0.3">
      <c r="A469" s="11" t="s">
        <v>1565</v>
      </c>
      <c r="B469" s="11"/>
      <c r="C469" s="32" t="s">
        <v>1007</v>
      </c>
      <c r="D469" s="21"/>
      <c r="E469" s="21"/>
      <c r="F469" s="33" t="s">
        <v>278</v>
      </c>
      <c r="G469" s="34">
        <v>0.15</v>
      </c>
      <c r="H469" s="21"/>
      <c r="I469" s="34">
        <v>747.99300000000005</v>
      </c>
      <c r="J469" s="35">
        <v>90.28</v>
      </c>
      <c r="K469" s="12"/>
      <c r="L469" s="12"/>
      <c r="M469" s="35">
        <f>ROUND(ROUND(J469, 2)*I469, 2)</f>
        <v>67528.81</v>
      </c>
      <c r="N469" s="12"/>
      <c r="O469" s="12"/>
      <c r="P469" s="35">
        <v>90.28</v>
      </c>
      <c r="Q469" s="12"/>
      <c r="R469" s="12"/>
      <c r="S469" s="35">
        <f>ROUND(ROUND(P469, 2)*I469, 2)</f>
        <v>67528.81</v>
      </c>
      <c r="T469" s="12"/>
      <c r="U469" s="36"/>
      <c r="V469" s="9">
        <f>ROUND(ROUND(P469, 2)/1.2, 2)</f>
        <v>75.23</v>
      </c>
      <c r="Y469" s="9">
        <f t="shared" si="19"/>
        <v>56274.01</v>
      </c>
      <c r="AD469" s="4" t="s">
        <v>1566</v>
      </c>
      <c r="AE469" s="4" t="s">
        <v>1567</v>
      </c>
      <c r="AF469" s="4" t="s">
        <v>1010</v>
      </c>
    </row>
    <row r="470" spans="1:35" ht="72" x14ac:dyDescent="0.3">
      <c r="A470" s="11" t="s">
        <v>1568</v>
      </c>
      <c r="B470" s="11" t="s">
        <v>1530</v>
      </c>
      <c r="C470" s="20" t="s">
        <v>1531</v>
      </c>
      <c r="D470" s="21"/>
      <c r="E470" s="21" t="s">
        <v>1569</v>
      </c>
      <c r="F470" s="21" t="s">
        <v>62</v>
      </c>
      <c r="G470" s="22">
        <v>1</v>
      </c>
      <c r="H470" s="21"/>
      <c r="I470" s="22">
        <v>25.902000000000001</v>
      </c>
      <c r="J470" s="23">
        <f>IFERROR(ROUND(SUM(M471,M472)/I470, 2),0)</f>
        <v>35.61</v>
      </c>
      <c r="K470" s="23">
        <v>508</v>
      </c>
      <c r="L470" s="23">
        <f>J470+ROUND(K470, 2)</f>
        <v>543.61</v>
      </c>
      <c r="M470" s="23">
        <f>ROUND(J470*I470, 2)</f>
        <v>922.37</v>
      </c>
      <c r="N470" s="23">
        <f>ROUND(I470*ROUND(K470, 2), 2)</f>
        <v>13158.22</v>
      </c>
      <c r="O470" s="23">
        <f>M470+N470</f>
        <v>14080.59</v>
      </c>
      <c r="P470" s="23">
        <f>IFERROR(ROUND(SUM(S471,S472)/I470, 2),0)</f>
        <v>35.61</v>
      </c>
      <c r="Q470" s="23">
        <v>762</v>
      </c>
      <c r="R470" s="23">
        <f>P470+ROUND(Q470, 2)</f>
        <v>797.61</v>
      </c>
      <c r="S470" s="23">
        <f>ROUND(P470*I470, 2)</f>
        <v>922.37</v>
      </c>
      <c r="T470" s="23">
        <f>ROUND(I470*ROUND(Q470, 2), 2)</f>
        <v>19737.32</v>
      </c>
      <c r="U470" s="23">
        <f>S470+T470</f>
        <v>20659.689999999999</v>
      </c>
      <c r="V470" s="9">
        <f>ROUND(P470 / 1.2, 2)</f>
        <v>29.68</v>
      </c>
      <c r="W470" s="9">
        <f>ROUND(Q470 / 1.2, 2)</f>
        <v>635</v>
      </c>
      <c r="X470" s="9">
        <f>ROUND(R470 / 1.2, 2)</f>
        <v>664.68</v>
      </c>
      <c r="Y470" s="9">
        <f t="shared" si="19"/>
        <v>768.64</v>
      </c>
      <c r="Z470" s="9">
        <f>ROUND(T470 / 1.2, 2)</f>
        <v>16447.77</v>
      </c>
      <c r="AA470" s="9">
        <f>Y470+Z470</f>
        <v>17216.41</v>
      </c>
      <c r="AD470" s="4">
        <v>334080673</v>
      </c>
      <c r="AE470" s="4">
        <v>29241739</v>
      </c>
      <c r="AG470" s="4" t="s">
        <v>1533</v>
      </c>
      <c r="AH470" s="4" t="s">
        <v>1534</v>
      </c>
      <c r="AI470" s="4" t="s">
        <v>250</v>
      </c>
    </row>
    <row r="471" spans="1:35" ht="36" x14ac:dyDescent="0.3">
      <c r="A471" s="11" t="s">
        <v>1570</v>
      </c>
      <c r="B471" s="11"/>
      <c r="C471" s="32" t="s">
        <v>1007</v>
      </c>
      <c r="D471" s="21"/>
      <c r="E471" s="21"/>
      <c r="F471" s="33" t="s">
        <v>278</v>
      </c>
      <c r="G471" s="34">
        <v>0.15</v>
      </c>
      <c r="H471" s="21"/>
      <c r="I471" s="34">
        <v>3.8849999999999998</v>
      </c>
      <c r="J471" s="35">
        <v>90.28</v>
      </c>
      <c r="K471" s="12"/>
      <c r="L471" s="12"/>
      <c r="M471" s="35">
        <f>ROUND(ROUND(J471, 2)*I471, 2)</f>
        <v>350.74</v>
      </c>
      <c r="N471" s="12"/>
      <c r="O471" s="12"/>
      <c r="P471" s="35">
        <v>90.28</v>
      </c>
      <c r="Q471" s="12"/>
      <c r="R471" s="12"/>
      <c r="S471" s="35">
        <f>ROUND(ROUND(P471, 2)*I471, 2)</f>
        <v>350.74</v>
      </c>
      <c r="T471" s="12"/>
      <c r="U471" s="36"/>
      <c r="V471" s="9">
        <f>ROUND(ROUND(P471, 2)/1.2, 2)</f>
        <v>75.23</v>
      </c>
      <c r="Y471" s="9">
        <f t="shared" si="19"/>
        <v>292.27999999999997</v>
      </c>
      <c r="AD471" s="4" t="s">
        <v>1571</v>
      </c>
      <c r="AE471" s="4" t="s">
        <v>1572</v>
      </c>
      <c r="AF471" s="4" t="s">
        <v>1010</v>
      </c>
    </row>
    <row r="472" spans="1:35" ht="36" x14ac:dyDescent="0.3">
      <c r="A472" s="11" t="s">
        <v>1573</v>
      </c>
      <c r="B472" s="11"/>
      <c r="C472" s="30" t="s">
        <v>1498</v>
      </c>
      <c r="D472" s="21"/>
      <c r="E472" s="21"/>
      <c r="F472" s="33" t="s">
        <v>278</v>
      </c>
      <c r="G472" s="34">
        <v>1.8</v>
      </c>
      <c r="H472" s="21"/>
      <c r="I472" s="34">
        <v>46.624000000000002</v>
      </c>
      <c r="J472" s="35">
        <v>12.26</v>
      </c>
      <c r="K472" s="12"/>
      <c r="L472" s="12"/>
      <c r="M472" s="35">
        <f>ROUND(ROUND(J472, 2)*I472, 2)</f>
        <v>571.61</v>
      </c>
      <c r="N472" s="12"/>
      <c r="O472" s="12"/>
      <c r="P472" s="35">
        <v>12.26</v>
      </c>
      <c r="Q472" s="12"/>
      <c r="R472" s="12"/>
      <c r="S472" s="35">
        <f>ROUND(ROUND(P472, 2)*I472, 2)</f>
        <v>571.61</v>
      </c>
      <c r="T472" s="12"/>
      <c r="U472" s="36"/>
      <c r="V472" s="9">
        <f>ROUND(ROUND(P472, 2)/1.2, 2)</f>
        <v>10.220000000000001</v>
      </c>
      <c r="Y472" s="9">
        <f t="shared" si="19"/>
        <v>476.34</v>
      </c>
      <c r="AD472" s="4" t="s">
        <v>1574</v>
      </c>
      <c r="AE472" s="4" t="s">
        <v>1575</v>
      </c>
      <c r="AF472" s="4" t="s">
        <v>1561</v>
      </c>
    </row>
    <row r="473" spans="1:35" ht="126" x14ac:dyDescent="0.3">
      <c r="A473" s="11" t="s">
        <v>1576</v>
      </c>
      <c r="B473" s="11" t="s">
        <v>1530</v>
      </c>
      <c r="C473" s="20" t="s">
        <v>1531</v>
      </c>
      <c r="D473" s="21"/>
      <c r="E473" s="21" t="s">
        <v>1577</v>
      </c>
      <c r="F473" s="21" t="s">
        <v>62</v>
      </c>
      <c r="G473" s="22">
        <v>1</v>
      </c>
      <c r="H473" s="21"/>
      <c r="I473" s="22">
        <v>11225.91</v>
      </c>
      <c r="J473" s="23">
        <f>IFERROR(ROUND(SUM(M474,M475)/I473, 2),0)</f>
        <v>35.61</v>
      </c>
      <c r="K473" s="23">
        <v>508</v>
      </c>
      <c r="L473" s="23">
        <f>J473+ROUND(K473, 2)</f>
        <v>543.61</v>
      </c>
      <c r="M473" s="23">
        <f>ROUND(J473*I473, 2)</f>
        <v>399754.66</v>
      </c>
      <c r="N473" s="23">
        <f>ROUND(I473*ROUND(K473, 2), 2)</f>
        <v>5702762.2800000003</v>
      </c>
      <c r="O473" s="23">
        <f>M473+N473</f>
        <v>6102516.9400000004</v>
      </c>
      <c r="P473" s="23">
        <f>IFERROR(ROUND(SUM(S474,S475)/I473, 2),0)</f>
        <v>52.82</v>
      </c>
      <c r="Q473" s="23">
        <v>762</v>
      </c>
      <c r="R473" s="23">
        <f>P473+ROUND(Q473, 2)</f>
        <v>814.82</v>
      </c>
      <c r="S473" s="23">
        <f>ROUND(P473*I473, 2)</f>
        <v>592952.56999999995</v>
      </c>
      <c r="T473" s="23">
        <f>ROUND(I473*ROUND(Q473, 2), 2)</f>
        <v>8554143.4199999999</v>
      </c>
      <c r="U473" s="23">
        <f>S473+T473</f>
        <v>9147095.9900000002</v>
      </c>
      <c r="V473" s="9">
        <f>ROUND(P473 / 1.2, 2)</f>
        <v>44.02</v>
      </c>
      <c r="W473" s="9">
        <f>ROUND(Q473 / 1.2, 2)</f>
        <v>635</v>
      </c>
      <c r="X473" s="9">
        <f>ROUND(R473 / 1.2, 2)</f>
        <v>679.02</v>
      </c>
      <c r="Y473" s="9">
        <f t="shared" si="19"/>
        <v>494127.14</v>
      </c>
      <c r="Z473" s="9">
        <f>ROUND(T473 / 1.2, 2)</f>
        <v>7128452.8499999996</v>
      </c>
      <c r="AA473" s="9">
        <f>Y473+Z473</f>
        <v>7622579.9899999993</v>
      </c>
      <c r="AD473" s="4">
        <v>334080674</v>
      </c>
      <c r="AE473" s="4">
        <v>29241737</v>
      </c>
      <c r="AG473" s="4" t="s">
        <v>1533</v>
      </c>
      <c r="AH473" s="4" t="s">
        <v>1534</v>
      </c>
      <c r="AI473" s="4" t="s">
        <v>250</v>
      </c>
    </row>
    <row r="474" spans="1:35" ht="36" x14ac:dyDescent="0.3">
      <c r="A474" s="11" t="s">
        <v>1578</v>
      </c>
      <c r="B474" s="11"/>
      <c r="C474" s="30" t="s">
        <v>1498</v>
      </c>
      <c r="D474" s="21"/>
      <c r="E474" s="21" t="s">
        <v>1579</v>
      </c>
      <c r="F474" s="33" t="s">
        <v>278</v>
      </c>
      <c r="G474" s="34">
        <v>1.8</v>
      </c>
      <c r="H474" s="21"/>
      <c r="I474" s="34">
        <v>20206.637999999999</v>
      </c>
      <c r="J474" s="35">
        <v>12.26</v>
      </c>
      <c r="K474" s="12"/>
      <c r="L474" s="12"/>
      <c r="M474" s="35">
        <f>ROUND(ROUND(J474, 2)*I474, 2)</f>
        <v>247733.38</v>
      </c>
      <c r="N474" s="12"/>
      <c r="O474" s="12"/>
      <c r="P474" s="35">
        <v>21.82</v>
      </c>
      <c r="Q474" s="12"/>
      <c r="R474" s="12"/>
      <c r="S474" s="35">
        <f>ROUND(ROUND(P474, 2)*I474, 2)</f>
        <v>440908.84</v>
      </c>
      <c r="T474" s="12"/>
      <c r="U474" s="36"/>
      <c r="V474" s="9">
        <f>ROUND(ROUND(P474, 2)/1.2, 2)</f>
        <v>18.18</v>
      </c>
      <c r="Y474" s="9">
        <f t="shared" si="19"/>
        <v>367424.03</v>
      </c>
      <c r="AD474" s="4" t="s">
        <v>1580</v>
      </c>
      <c r="AE474" s="4" t="s">
        <v>1581</v>
      </c>
      <c r="AF474" s="4" t="s">
        <v>1561</v>
      </c>
    </row>
    <row r="475" spans="1:35" ht="36" x14ac:dyDescent="0.3">
      <c r="A475" s="11" t="s">
        <v>1582</v>
      </c>
      <c r="B475" s="11"/>
      <c r="C475" s="32" t="s">
        <v>1007</v>
      </c>
      <c r="D475" s="21"/>
      <c r="E475" s="21"/>
      <c r="F475" s="33" t="s">
        <v>278</v>
      </c>
      <c r="G475" s="34">
        <v>0.15</v>
      </c>
      <c r="H475" s="21"/>
      <c r="I475" s="34">
        <v>1683.8869999999999</v>
      </c>
      <c r="J475" s="35">
        <v>90.28</v>
      </c>
      <c r="K475" s="12"/>
      <c r="L475" s="12"/>
      <c r="M475" s="35">
        <f>ROUND(ROUND(J475, 2)*I475, 2)</f>
        <v>152021.32</v>
      </c>
      <c r="N475" s="12"/>
      <c r="O475" s="12"/>
      <c r="P475" s="35">
        <v>90.28</v>
      </c>
      <c r="Q475" s="12"/>
      <c r="R475" s="12"/>
      <c r="S475" s="35">
        <f>ROUND(ROUND(P475, 2)*I475, 2)</f>
        <v>152021.32</v>
      </c>
      <c r="T475" s="12"/>
      <c r="U475" s="36"/>
      <c r="V475" s="9">
        <f>ROUND(ROUND(P475, 2)/1.2, 2)</f>
        <v>75.23</v>
      </c>
      <c r="Y475" s="9">
        <f t="shared" si="19"/>
        <v>126684.43</v>
      </c>
      <c r="AD475" s="4" t="s">
        <v>1583</v>
      </c>
      <c r="AE475" s="4" t="s">
        <v>1584</v>
      </c>
      <c r="AF475" s="4" t="s">
        <v>1010</v>
      </c>
    </row>
    <row r="476" spans="1:35" ht="90" x14ac:dyDescent="0.3">
      <c r="A476" s="11" t="s">
        <v>1585</v>
      </c>
      <c r="B476" s="11" t="s">
        <v>1530</v>
      </c>
      <c r="C476" s="20" t="s">
        <v>1531</v>
      </c>
      <c r="D476" s="21"/>
      <c r="E476" s="21" t="s">
        <v>1586</v>
      </c>
      <c r="F476" s="21" t="s">
        <v>62</v>
      </c>
      <c r="G476" s="22">
        <v>1</v>
      </c>
      <c r="H476" s="21"/>
      <c r="I476" s="22">
        <v>25.902000000000001</v>
      </c>
      <c r="J476" s="23">
        <f>IFERROR(ROUND(SUM(M477,M478)/I476, 2),0)</f>
        <v>35.61</v>
      </c>
      <c r="K476" s="23">
        <v>508</v>
      </c>
      <c r="L476" s="23">
        <f>J476+ROUND(K476, 2)</f>
        <v>543.61</v>
      </c>
      <c r="M476" s="23">
        <f>ROUND(J476*I476, 2)</f>
        <v>922.37</v>
      </c>
      <c r="N476" s="23">
        <f>ROUND(I476*ROUND(K476, 2), 2)</f>
        <v>13158.22</v>
      </c>
      <c r="O476" s="23">
        <f>M476+N476</f>
        <v>14080.59</v>
      </c>
      <c r="P476" s="23">
        <f>IFERROR(ROUND(SUM(S477,S478)/I476, 2),0)</f>
        <v>52.82</v>
      </c>
      <c r="Q476" s="23">
        <v>762</v>
      </c>
      <c r="R476" s="23">
        <f>P476+ROUND(Q476, 2)</f>
        <v>814.82</v>
      </c>
      <c r="S476" s="23">
        <f>ROUND(P476*I476, 2)</f>
        <v>1368.14</v>
      </c>
      <c r="T476" s="23">
        <f>ROUND(I476*ROUND(Q476, 2), 2)</f>
        <v>19737.32</v>
      </c>
      <c r="U476" s="23">
        <f>S476+T476</f>
        <v>21105.46</v>
      </c>
      <c r="V476" s="9">
        <f>ROUND(P476 / 1.2, 2)</f>
        <v>44.02</v>
      </c>
      <c r="W476" s="9">
        <f>ROUND(Q476 / 1.2, 2)</f>
        <v>635</v>
      </c>
      <c r="X476" s="9">
        <f>ROUND(R476 / 1.2, 2)</f>
        <v>679.02</v>
      </c>
      <c r="Y476" s="9">
        <f t="shared" si="19"/>
        <v>1140.1199999999999</v>
      </c>
      <c r="Z476" s="9">
        <f>ROUND(T476 / 1.2, 2)</f>
        <v>16447.77</v>
      </c>
      <c r="AA476" s="9">
        <f>Y476+Z476</f>
        <v>17587.89</v>
      </c>
      <c r="AD476" s="4">
        <v>334080675</v>
      </c>
      <c r="AE476" s="4">
        <v>29242662</v>
      </c>
      <c r="AG476" s="4" t="s">
        <v>1533</v>
      </c>
      <c r="AH476" s="4" t="s">
        <v>1534</v>
      </c>
      <c r="AI476" s="4" t="s">
        <v>250</v>
      </c>
    </row>
    <row r="477" spans="1:35" ht="36" x14ac:dyDescent="0.3">
      <c r="A477" s="11" t="s">
        <v>1587</v>
      </c>
      <c r="B477" s="11"/>
      <c r="C477" s="32" t="s">
        <v>1007</v>
      </c>
      <c r="D477" s="21"/>
      <c r="E477" s="21"/>
      <c r="F477" s="33" t="s">
        <v>278</v>
      </c>
      <c r="G477" s="34">
        <v>0.15</v>
      </c>
      <c r="H477" s="21"/>
      <c r="I477" s="34">
        <v>3.8849999999999998</v>
      </c>
      <c r="J477" s="35">
        <v>90.28</v>
      </c>
      <c r="K477" s="12"/>
      <c r="L477" s="12"/>
      <c r="M477" s="35">
        <f>ROUND(ROUND(J477, 2)*I477, 2)</f>
        <v>350.74</v>
      </c>
      <c r="N477" s="12"/>
      <c r="O477" s="12"/>
      <c r="P477" s="35">
        <v>90.28</v>
      </c>
      <c r="Q477" s="12"/>
      <c r="R477" s="12"/>
      <c r="S477" s="35">
        <f>ROUND(ROUND(P477, 2)*I477, 2)</f>
        <v>350.74</v>
      </c>
      <c r="T477" s="12"/>
      <c r="U477" s="36"/>
      <c r="V477" s="9">
        <f>ROUND(ROUND(P477, 2)/1.2, 2)</f>
        <v>75.23</v>
      </c>
      <c r="Y477" s="9">
        <f t="shared" si="19"/>
        <v>292.27999999999997</v>
      </c>
      <c r="AD477" s="4" t="s">
        <v>1588</v>
      </c>
      <c r="AE477" s="4" t="s">
        <v>1589</v>
      </c>
      <c r="AF477" s="4" t="s">
        <v>1010</v>
      </c>
    </row>
    <row r="478" spans="1:35" ht="36" x14ac:dyDescent="0.3">
      <c r="A478" s="11" t="s">
        <v>1590</v>
      </c>
      <c r="B478" s="11"/>
      <c r="C478" s="30" t="s">
        <v>1498</v>
      </c>
      <c r="D478" s="21"/>
      <c r="E478" s="21" t="s">
        <v>1579</v>
      </c>
      <c r="F478" s="33" t="s">
        <v>278</v>
      </c>
      <c r="G478" s="34">
        <v>1.8</v>
      </c>
      <c r="H478" s="21"/>
      <c r="I478" s="34">
        <v>46.624000000000002</v>
      </c>
      <c r="J478" s="35">
        <v>12.26</v>
      </c>
      <c r="K478" s="12"/>
      <c r="L478" s="12"/>
      <c r="M478" s="35">
        <f>ROUND(ROUND(J478, 2)*I478, 2)</f>
        <v>571.61</v>
      </c>
      <c r="N478" s="12"/>
      <c r="O478" s="12"/>
      <c r="P478" s="35">
        <v>21.82</v>
      </c>
      <c r="Q478" s="12"/>
      <c r="R478" s="12"/>
      <c r="S478" s="35">
        <f>ROUND(ROUND(P478, 2)*I478, 2)</f>
        <v>1017.34</v>
      </c>
      <c r="T478" s="12"/>
      <c r="U478" s="36"/>
      <c r="V478" s="9">
        <f>ROUND(ROUND(P478, 2)/1.2, 2)</f>
        <v>18.18</v>
      </c>
      <c r="Y478" s="9">
        <f t="shared" si="19"/>
        <v>847.78</v>
      </c>
      <c r="AD478" s="4" t="s">
        <v>1591</v>
      </c>
      <c r="AE478" s="4" t="s">
        <v>1592</v>
      </c>
      <c r="AF478" s="4" t="s">
        <v>1561</v>
      </c>
    </row>
    <row r="479" spans="1:35" ht="108" x14ac:dyDescent="0.3">
      <c r="A479" s="11" t="s">
        <v>1593</v>
      </c>
      <c r="B479" s="11" t="s">
        <v>1594</v>
      </c>
      <c r="C479" s="20" t="s">
        <v>1595</v>
      </c>
      <c r="D479" s="21" t="s">
        <v>1596</v>
      </c>
      <c r="E479" s="21" t="s">
        <v>1597</v>
      </c>
      <c r="F479" s="21" t="s">
        <v>62</v>
      </c>
      <c r="G479" s="22">
        <v>1</v>
      </c>
      <c r="H479" s="21"/>
      <c r="I479" s="22">
        <v>1178.82</v>
      </c>
      <c r="J479" s="23">
        <f>IFERROR(ROUND(SUM(M480,M481,M482)/I479, 2),0)</f>
        <v>313.94</v>
      </c>
      <c r="K479" s="23">
        <v>1165</v>
      </c>
      <c r="L479" s="23">
        <f>J479+ROUND(K479, 2)</f>
        <v>1478.94</v>
      </c>
      <c r="M479" s="23">
        <f>ROUND(J479*I479, 2)</f>
        <v>370078.75</v>
      </c>
      <c r="N479" s="23">
        <f>ROUND(I479*ROUND(K479, 2), 2)</f>
        <v>1373325.3</v>
      </c>
      <c r="O479" s="23">
        <f>M479+N479</f>
        <v>1743404.05</v>
      </c>
      <c r="P479" s="23">
        <f>IFERROR(ROUND(SUM(S480,S481,S482)/I479, 2),0)</f>
        <v>378.61</v>
      </c>
      <c r="Q479" s="23">
        <v>1747.5</v>
      </c>
      <c r="R479" s="23">
        <f>P479+ROUND(Q479, 2)</f>
        <v>2126.11</v>
      </c>
      <c r="S479" s="23">
        <f>ROUND(P479*I479, 2)</f>
        <v>446313.04</v>
      </c>
      <c r="T479" s="23">
        <f>ROUND(I479*ROUND(Q479, 2), 2)</f>
        <v>2059987.95</v>
      </c>
      <c r="U479" s="23">
        <f>S479+T479</f>
        <v>2506300.9899999998</v>
      </c>
      <c r="V479" s="9">
        <f>ROUND(P479 / 1.2, 2)</f>
        <v>315.51</v>
      </c>
      <c r="W479" s="9">
        <f>ROUND(Q479 / 1.2, 2)</f>
        <v>1456.25</v>
      </c>
      <c r="X479" s="9">
        <f>ROUND(R479 / 1.2, 2)</f>
        <v>1771.76</v>
      </c>
      <c r="Y479" s="9">
        <f t="shared" si="19"/>
        <v>371927.53</v>
      </c>
      <c r="Z479" s="9">
        <f>ROUND(T479 / 1.2, 2)</f>
        <v>1716656.63</v>
      </c>
      <c r="AA479" s="9">
        <f>Y479+Z479</f>
        <v>2088584.16</v>
      </c>
      <c r="AD479" s="4">
        <v>334080532</v>
      </c>
      <c r="AE479" s="4">
        <v>29241735</v>
      </c>
      <c r="AG479" s="4" t="s">
        <v>1598</v>
      </c>
      <c r="AH479" s="4" t="s">
        <v>1599</v>
      </c>
      <c r="AI479" s="4" t="s">
        <v>250</v>
      </c>
    </row>
    <row r="480" spans="1:35" ht="36" x14ac:dyDescent="0.3">
      <c r="A480" s="11" t="s">
        <v>1600</v>
      </c>
      <c r="B480" s="11"/>
      <c r="C480" s="32" t="s">
        <v>1601</v>
      </c>
      <c r="D480" s="21"/>
      <c r="E480" s="21" t="s">
        <v>1602</v>
      </c>
      <c r="F480" s="33" t="s">
        <v>278</v>
      </c>
      <c r="G480" s="34">
        <v>1.3</v>
      </c>
      <c r="H480" s="21"/>
      <c r="I480" s="37">
        <v>38311.65</v>
      </c>
      <c r="J480" s="35">
        <v>8.75</v>
      </c>
      <c r="K480" s="12"/>
      <c r="L480" s="12"/>
      <c r="M480" s="35">
        <f>ROUND(ROUND(J480, 2)*I480, 2)</f>
        <v>335226.94</v>
      </c>
      <c r="N480" s="12"/>
      <c r="O480" s="12"/>
      <c r="P480" s="35">
        <v>10.74</v>
      </c>
      <c r="Q480" s="12"/>
      <c r="R480" s="12"/>
      <c r="S480" s="35">
        <f>ROUND(ROUND(P480, 2)*I480, 2)</f>
        <v>411467.12</v>
      </c>
      <c r="T480" s="12"/>
      <c r="U480" s="36"/>
      <c r="V480" s="9">
        <f>ROUND(ROUND(P480, 2)/1.2, 2)</f>
        <v>8.9499999999999993</v>
      </c>
      <c r="Y480" s="9">
        <f t="shared" si="19"/>
        <v>342889.27</v>
      </c>
      <c r="AD480" s="4" t="s">
        <v>1603</v>
      </c>
      <c r="AE480" s="4" t="s">
        <v>1604</v>
      </c>
      <c r="AF480" s="4" t="s">
        <v>1605</v>
      </c>
    </row>
    <row r="481" spans="1:35" ht="36" x14ac:dyDescent="0.3">
      <c r="A481" s="11" t="s">
        <v>1606</v>
      </c>
      <c r="B481" s="11"/>
      <c r="C481" s="32" t="s">
        <v>1007</v>
      </c>
      <c r="D481" s="21"/>
      <c r="E481" s="21"/>
      <c r="F481" s="33" t="s">
        <v>278</v>
      </c>
      <c r="G481" s="34">
        <v>0.15</v>
      </c>
      <c r="H481" s="21"/>
      <c r="I481" s="34">
        <v>176.82300000000001</v>
      </c>
      <c r="J481" s="35">
        <v>90.28</v>
      </c>
      <c r="K481" s="12"/>
      <c r="L481" s="12"/>
      <c r="M481" s="35">
        <f>ROUND(ROUND(J481, 2)*I481, 2)</f>
        <v>15963.58</v>
      </c>
      <c r="N481" s="12"/>
      <c r="O481" s="12"/>
      <c r="P481" s="35">
        <v>90.28</v>
      </c>
      <c r="Q481" s="12"/>
      <c r="R481" s="12"/>
      <c r="S481" s="35">
        <f>ROUND(ROUND(P481, 2)*I481, 2)</f>
        <v>15963.58</v>
      </c>
      <c r="T481" s="12"/>
      <c r="U481" s="36"/>
      <c r="V481" s="9">
        <f>ROUND(ROUND(P481, 2)/1.2, 2)</f>
        <v>75.23</v>
      </c>
      <c r="Y481" s="9">
        <f t="shared" si="19"/>
        <v>13302.98</v>
      </c>
      <c r="AD481" s="4" t="s">
        <v>1607</v>
      </c>
      <c r="AE481" s="4" t="s">
        <v>1608</v>
      </c>
      <c r="AF481" s="4" t="s">
        <v>1010</v>
      </c>
    </row>
    <row r="482" spans="1:35" ht="18" x14ac:dyDescent="0.3">
      <c r="A482" s="11" t="s">
        <v>1609</v>
      </c>
      <c r="B482" s="11"/>
      <c r="C482" s="32" t="s">
        <v>1610</v>
      </c>
      <c r="D482" s="21"/>
      <c r="E482" s="21"/>
      <c r="F482" s="33" t="s">
        <v>102</v>
      </c>
      <c r="G482" s="34">
        <v>1</v>
      </c>
      <c r="H482" s="21"/>
      <c r="I482" s="37">
        <v>1178.82</v>
      </c>
      <c r="J482" s="35">
        <v>16.02</v>
      </c>
      <c r="K482" s="12"/>
      <c r="L482" s="12"/>
      <c r="M482" s="35">
        <f>ROUND(ROUND(J482, 2)*I482, 2)</f>
        <v>18884.7</v>
      </c>
      <c r="N482" s="12"/>
      <c r="O482" s="12"/>
      <c r="P482" s="35">
        <v>16.02</v>
      </c>
      <c r="Q482" s="12"/>
      <c r="R482" s="12"/>
      <c r="S482" s="35">
        <f>ROUND(ROUND(P482, 2)*I482, 2)</f>
        <v>18884.7</v>
      </c>
      <c r="T482" s="12"/>
      <c r="U482" s="36"/>
      <c r="V482" s="9">
        <f>ROUND(ROUND(P482, 2)/1.2, 2)</f>
        <v>13.35</v>
      </c>
      <c r="Y482" s="9">
        <f t="shared" si="19"/>
        <v>15737.25</v>
      </c>
      <c r="AD482" s="4" t="s">
        <v>1611</v>
      </c>
      <c r="AE482" s="4" t="s">
        <v>1612</v>
      </c>
      <c r="AF482" s="4" t="s">
        <v>1613</v>
      </c>
    </row>
    <row r="483" spans="1:35" ht="90" x14ac:dyDescent="0.3">
      <c r="A483" s="11" t="s">
        <v>1614</v>
      </c>
      <c r="B483" s="11" t="s">
        <v>1615</v>
      </c>
      <c r="C483" s="20" t="s">
        <v>1616</v>
      </c>
      <c r="D483" s="21"/>
      <c r="E483" s="21" t="s">
        <v>1617</v>
      </c>
      <c r="F483" s="21" t="s">
        <v>62</v>
      </c>
      <c r="G483" s="22">
        <v>1</v>
      </c>
      <c r="H483" s="21"/>
      <c r="I483" s="22">
        <v>301.64</v>
      </c>
      <c r="J483" s="23">
        <f>IFERROR(ROUND(SUM(M484,M485,M486)/I483, 2),0)</f>
        <v>239.43</v>
      </c>
      <c r="K483" s="23">
        <v>1073</v>
      </c>
      <c r="L483" s="23">
        <f>J483+ROUND(K483, 2)</f>
        <v>1312.43</v>
      </c>
      <c r="M483" s="23">
        <f>ROUND(J483*I483, 2)</f>
        <v>72221.67</v>
      </c>
      <c r="N483" s="23">
        <f>ROUND(I483*ROUND(K483, 2), 2)</f>
        <v>323659.71999999997</v>
      </c>
      <c r="O483" s="23">
        <f>M483+N483</f>
        <v>395881.38999999996</v>
      </c>
      <c r="P483" s="23">
        <f>IFERROR(ROUND(SUM(S484,S485,S486)/I483, 2),0)</f>
        <v>309.68</v>
      </c>
      <c r="Q483" s="23">
        <v>1609.5</v>
      </c>
      <c r="R483" s="23">
        <f>P483+ROUND(Q483, 2)</f>
        <v>1919.18</v>
      </c>
      <c r="S483" s="23">
        <f>ROUND(P483*I483, 2)</f>
        <v>93411.88</v>
      </c>
      <c r="T483" s="23">
        <f>ROUND(I483*ROUND(Q483, 2), 2)</f>
        <v>485489.58</v>
      </c>
      <c r="U483" s="23">
        <f>S483+T483</f>
        <v>578901.46</v>
      </c>
      <c r="V483" s="9">
        <f>ROUND(P483 / 1.2, 2)</f>
        <v>258.07</v>
      </c>
      <c r="W483" s="9">
        <f>ROUND(Q483 / 1.2, 2)</f>
        <v>1341.25</v>
      </c>
      <c r="X483" s="9">
        <f>ROUND(R483 / 1.2, 2)</f>
        <v>1599.32</v>
      </c>
      <c r="Y483" s="9">
        <f t="shared" si="19"/>
        <v>77843.23</v>
      </c>
      <c r="Z483" s="9">
        <f>ROUND(T483 / 1.2, 2)</f>
        <v>404574.65</v>
      </c>
      <c r="AA483" s="9">
        <f>Y483+Z483</f>
        <v>482417.88</v>
      </c>
      <c r="AD483" s="4">
        <v>334080534</v>
      </c>
      <c r="AE483" s="4">
        <v>29241732</v>
      </c>
      <c r="AG483" s="4" t="s">
        <v>1618</v>
      </c>
      <c r="AH483" s="4" t="s">
        <v>1619</v>
      </c>
      <c r="AI483" s="4" t="s">
        <v>250</v>
      </c>
    </row>
    <row r="484" spans="1:35" ht="36" x14ac:dyDescent="0.3">
      <c r="A484" s="11" t="s">
        <v>1620</v>
      </c>
      <c r="B484" s="11"/>
      <c r="C484" s="30" t="s">
        <v>1621</v>
      </c>
      <c r="D484" s="21"/>
      <c r="E484" s="21"/>
      <c r="F484" s="33" t="s">
        <v>278</v>
      </c>
      <c r="G484" s="34">
        <v>1</v>
      </c>
      <c r="H484" s="21"/>
      <c r="I484" s="37">
        <v>7541</v>
      </c>
      <c r="J484" s="35">
        <v>7.92</v>
      </c>
      <c r="K484" s="12"/>
      <c r="L484" s="12"/>
      <c r="M484" s="35">
        <f>ROUND(ROUND(J484, 2)*I484, 2)</f>
        <v>59724.72</v>
      </c>
      <c r="N484" s="12"/>
      <c r="O484" s="12"/>
      <c r="P484" s="35">
        <v>10.73</v>
      </c>
      <c r="Q484" s="12"/>
      <c r="R484" s="12"/>
      <c r="S484" s="35">
        <f>ROUND(ROUND(P484, 2)*I484, 2)</f>
        <v>80914.929999999993</v>
      </c>
      <c r="T484" s="12"/>
      <c r="U484" s="36"/>
      <c r="V484" s="9">
        <f>ROUND(ROUND(P484, 2)/1.2, 2)</f>
        <v>8.94</v>
      </c>
      <c r="Y484" s="9">
        <f t="shared" si="19"/>
        <v>67429.11</v>
      </c>
      <c r="AD484" s="4" t="s">
        <v>1622</v>
      </c>
      <c r="AE484" s="4" t="s">
        <v>1623</v>
      </c>
      <c r="AF484" s="4" t="s">
        <v>1624</v>
      </c>
    </row>
    <row r="485" spans="1:35" ht="18" x14ac:dyDescent="0.3">
      <c r="A485" s="11" t="s">
        <v>1625</v>
      </c>
      <c r="B485" s="11"/>
      <c r="C485" s="32" t="s">
        <v>1610</v>
      </c>
      <c r="D485" s="21"/>
      <c r="E485" s="21"/>
      <c r="F485" s="33" t="s">
        <v>102</v>
      </c>
      <c r="G485" s="34">
        <v>1</v>
      </c>
      <c r="H485" s="21"/>
      <c r="I485" s="37">
        <v>301.64</v>
      </c>
      <c r="J485" s="35">
        <v>16.02</v>
      </c>
      <c r="K485" s="12"/>
      <c r="L485" s="12"/>
      <c r="M485" s="35">
        <f>ROUND(ROUND(J485, 2)*I485, 2)</f>
        <v>4832.2700000000004</v>
      </c>
      <c r="N485" s="12"/>
      <c r="O485" s="12"/>
      <c r="P485" s="35">
        <v>16.02</v>
      </c>
      <c r="Q485" s="12"/>
      <c r="R485" s="12"/>
      <c r="S485" s="35">
        <f>ROUND(ROUND(P485, 2)*I485, 2)</f>
        <v>4832.2700000000004</v>
      </c>
      <c r="T485" s="12"/>
      <c r="U485" s="36"/>
      <c r="V485" s="9">
        <f>ROUND(ROUND(P485, 2)/1.2, 2)</f>
        <v>13.35</v>
      </c>
      <c r="Y485" s="9">
        <f t="shared" si="19"/>
        <v>4026.89</v>
      </c>
      <c r="AD485" s="4" t="s">
        <v>1626</v>
      </c>
      <c r="AE485" s="4" t="s">
        <v>1627</v>
      </c>
      <c r="AF485" s="4" t="s">
        <v>1613</v>
      </c>
    </row>
    <row r="486" spans="1:35" ht="18" x14ac:dyDescent="0.3">
      <c r="A486" s="11" t="s">
        <v>1628</v>
      </c>
      <c r="B486" s="11"/>
      <c r="C486" s="32" t="s">
        <v>1629</v>
      </c>
      <c r="D486" s="21"/>
      <c r="E486" s="21"/>
      <c r="F486" s="33" t="s">
        <v>278</v>
      </c>
      <c r="G486" s="34">
        <v>0.25</v>
      </c>
      <c r="H486" s="21"/>
      <c r="I486" s="34">
        <v>75.41</v>
      </c>
      <c r="J486" s="35">
        <v>101.66</v>
      </c>
      <c r="K486" s="12"/>
      <c r="L486" s="12"/>
      <c r="M486" s="35">
        <f>ROUND(ROUND(J486, 2)*I486, 2)</f>
        <v>7666.18</v>
      </c>
      <c r="N486" s="12"/>
      <c r="O486" s="12"/>
      <c r="P486" s="35">
        <v>101.66</v>
      </c>
      <c r="Q486" s="12"/>
      <c r="R486" s="12"/>
      <c r="S486" s="35">
        <f>ROUND(ROUND(P486, 2)*I486, 2)</f>
        <v>7666.18</v>
      </c>
      <c r="T486" s="12"/>
      <c r="U486" s="36"/>
      <c r="V486" s="9">
        <f>ROUND(ROUND(P486, 2)/1.2, 2)</f>
        <v>84.72</v>
      </c>
      <c r="Y486" s="9">
        <f t="shared" si="19"/>
        <v>6388.48</v>
      </c>
      <c r="AD486" s="4" t="s">
        <v>1630</v>
      </c>
      <c r="AE486" s="4" t="s">
        <v>1631</v>
      </c>
      <c r="AF486" s="4" t="s">
        <v>1632</v>
      </c>
    </row>
    <row r="487" spans="1:35" ht="108" x14ac:dyDescent="0.3">
      <c r="A487" s="11" t="s">
        <v>1633</v>
      </c>
      <c r="B487" s="11" t="s">
        <v>1615</v>
      </c>
      <c r="C487" s="20" t="s">
        <v>1616</v>
      </c>
      <c r="D487" s="21"/>
      <c r="E487" s="21" t="s">
        <v>1634</v>
      </c>
      <c r="F487" s="21" t="s">
        <v>62</v>
      </c>
      <c r="G487" s="22">
        <v>1</v>
      </c>
      <c r="H487" s="21"/>
      <c r="I487" s="22">
        <v>1066.56</v>
      </c>
      <c r="J487" s="23">
        <f>IFERROR(ROUND(SUM(M488,M489,M490)/I487, 2),0)</f>
        <v>227.56</v>
      </c>
      <c r="K487" s="23">
        <v>1073</v>
      </c>
      <c r="L487" s="23">
        <f>J487+ROUND(K487, 2)</f>
        <v>1300.56</v>
      </c>
      <c r="M487" s="23">
        <f>ROUND(J487*I487, 2)</f>
        <v>242706.39</v>
      </c>
      <c r="N487" s="23">
        <f>ROUND(I487*ROUND(K487, 2), 2)</f>
        <v>1144418.8799999999</v>
      </c>
      <c r="O487" s="23">
        <f>M487+N487</f>
        <v>1387125.27</v>
      </c>
      <c r="P487" s="23">
        <f>IFERROR(ROUND(SUM(S488,S489,S490)/I487, 2),0)</f>
        <v>297.81</v>
      </c>
      <c r="Q487" s="23">
        <v>1609.5</v>
      </c>
      <c r="R487" s="23">
        <f>P487+ROUND(Q487, 2)</f>
        <v>1907.31</v>
      </c>
      <c r="S487" s="23">
        <f>ROUND(P487*I487, 2)</f>
        <v>317632.23</v>
      </c>
      <c r="T487" s="23">
        <f>ROUND(I487*ROUND(Q487, 2), 2)</f>
        <v>1716628.32</v>
      </c>
      <c r="U487" s="23">
        <f>S487+T487</f>
        <v>2034260.55</v>
      </c>
      <c r="V487" s="9">
        <f>ROUND(P487 / 1.2, 2)</f>
        <v>248.18</v>
      </c>
      <c r="W487" s="9">
        <f>ROUND(Q487 / 1.2, 2)</f>
        <v>1341.25</v>
      </c>
      <c r="X487" s="9">
        <f>ROUND(R487 / 1.2, 2)</f>
        <v>1589.43</v>
      </c>
      <c r="Y487" s="9">
        <f t="shared" si="19"/>
        <v>264693.53000000003</v>
      </c>
      <c r="Z487" s="9">
        <f>ROUND(T487 / 1.2, 2)</f>
        <v>1430523.6</v>
      </c>
      <c r="AA487" s="9">
        <f>Y487+Z487</f>
        <v>1695217.1300000001</v>
      </c>
      <c r="AD487" s="4">
        <v>334080676</v>
      </c>
      <c r="AE487" s="4">
        <v>29241733</v>
      </c>
      <c r="AG487" s="4" t="s">
        <v>1618</v>
      </c>
      <c r="AH487" s="4" t="s">
        <v>1619</v>
      </c>
      <c r="AI487" s="4" t="s">
        <v>250</v>
      </c>
    </row>
    <row r="488" spans="1:35" ht="36" x14ac:dyDescent="0.3">
      <c r="A488" s="11" t="s">
        <v>1635</v>
      </c>
      <c r="B488" s="11"/>
      <c r="C488" s="32" t="s">
        <v>1007</v>
      </c>
      <c r="D488" s="21"/>
      <c r="E488" s="21"/>
      <c r="F488" s="33" t="s">
        <v>278</v>
      </c>
      <c r="G488" s="34">
        <v>0.15</v>
      </c>
      <c r="H488" s="21"/>
      <c r="I488" s="37">
        <v>159.98400000000001</v>
      </c>
      <c r="J488" s="35">
        <v>90.28</v>
      </c>
      <c r="K488" s="12"/>
      <c r="L488" s="12"/>
      <c r="M488" s="35">
        <f>ROUND(ROUND(J488, 2)*I488, 2)</f>
        <v>14443.36</v>
      </c>
      <c r="N488" s="12"/>
      <c r="O488" s="12"/>
      <c r="P488" s="35">
        <v>90.28</v>
      </c>
      <c r="Q488" s="12"/>
      <c r="R488" s="12"/>
      <c r="S488" s="35">
        <f>ROUND(ROUND(P488, 2)*I488, 2)</f>
        <v>14443.36</v>
      </c>
      <c r="T488" s="12"/>
      <c r="U488" s="36"/>
      <c r="V488" s="9">
        <f>ROUND(ROUND(P488, 2)/1.2, 2)</f>
        <v>75.23</v>
      </c>
      <c r="Y488" s="9">
        <f t="shared" si="19"/>
        <v>12036.13</v>
      </c>
      <c r="AD488" s="4" t="s">
        <v>1636</v>
      </c>
      <c r="AE488" s="4" t="s">
        <v>1637</v>
      </c>
      <c r="AF488" s="4" t="s">
        <v>1010</v>
      </c>
    </row>
    <row r="489" spans="1:35" ht="18" x14ac:dyDescent="0.3">
      <c r="A489" s="11" t="s">
        <v>1638</v>
      </c>
      <c r="B489" s="11"/>
      <c r="C489" s="32" t="s">
        <v>1610</v>
      </c>
      <c r="D489" s="21"/>
      <c r="E489" s="21"/>
      <c r="F489" s="33" t="s">
        <v>102</v>
      </c>
      <c r="G489" s="34">
        <v>1</v>
      </c>
      <c r="H489" s="21"/>
      <c r="I489" s="37">
        <v>1066.56</v>
      </c>
      <c r="J489" s="35">
        <v>16.02</v>
      </c>
      <c r="K489" s="12"/>
      <c r="L489" s="12"/>
      <c r="M489" s="35">
        <f>ROUND(ROUND(J489, 2)*I489, 2)</f>
        <v>17086.29</v>
      </c>
      <c r="N489" s="12"/>
      <c r="O489" s="12"/>
      <c r="P489" s="35">
        <v>16.02</v>
      </c>
      <c r="Q489" s="12"/>
      <c r="R489" s="12"/>
      <c r="S489" s="35">
        <f>ROUND(ROUND(P489, 2)*I489, 2)</f>
        <v>17086.29</v>
      </c>
      <c r="T489" s="12"/>
      <c r="U489" s="36"/>
      <c r="V489" s="9">
        <f>ROUND(ROUND(P489, 2)/1.2, 2)</f>
        <v>13.35</v>
      </c>
      <c r="Y489" s="9">
        <f t="shared" si="19"/>
        <v>14238.58</v>
      </c>
      <c r="AD489" s="4" t="s">
        <v>1639</v>
      </c>
      <c r="AE489" s="4" t="s">
        <v>1640</v>
      </c>
      <c r="AF489" s="4" t="s">
        <v>1613</v>
      </c>
    </row>
    <row r="490" spans="1:35" ht="36" x14ac:dyDescent="0.3">
      <c r="A490" s="11" t="s">
        <v>1641</v>
      </c>
      <c r="B490" s="11"/>
      <c r="C490" s="30" t="s">
        <v>1621</v>
      </c>
      <c r="D490" s="21"/>
      <c r="E490" s="21"/>
      <c r="F490" s="33" t="s">
        <v>278</v>
      </c>
      <c r="G490" s="34">
        <v>1</v>
      </c>
      <c r="H490" s="21"/>
      <c r="I490" s="37">
        <v>26664</v>
      </c>
      <c r="J490" s="35">
        <v>7.92</v>
      </c>
      <c r="K490" s="12"/>
      <c r="L490" s="12"/>
      <c r="M490" s="35">
        <f>ROUND(ROUND(J490, 2)*I490, 2)</f>
        <v>211178.88</v>
      </c>
      <c r="N490" s="12"/>
      <c r="O490" s="12"/>
      <c r="P490" s="35">
        <v>10.73</v>
      </c>
      <c r="Q490" s="12"/>
      <c r="R490" s="12"/>
      <c r="S490" s="35">
        <f>ROUND(ROUND(P490, 2)*I490, 2)</f>
        <v>286104.71999999997</v>
      </c>
      <c r="T490" s="12"/>
      <c r="U490" s="36"/>
      <c r="V490" s="9">
        <f>ROUND(ROUND(P490, 2)/1.2, 2)</f>
        <v>8.94</v>
      </c>
      <c r="Y490" s="9">
        <f t="shared" si="19"/>
        <v>238420.6</v>
      </c>
      <c r="AD490" s="4" t="s">
        <v>1642</v>
      </c>
      <c r="AE490" s="4" t="s">
        <v>1643</v>
      </c>
      <c r="AF490" s="4" t="s">
        <v>1624</v>
      </c>
    </row>
    <row r="491" spans="1:35" ht="16.95" customHeight="1" x14ac:dyDescent="0.3">
      <c r="A491" s="10" t="s">
        <v>1644</v>
      </c>
      <c r="B491" s="10" t="s">
        <v>1645</v>
      </c>
      <c r="C491" s="91" t="s">
        <v>1646</v>
      </c>
      <c r="D491" s="92"/>
      <c r="E491" s="92"/>
      <c r="F491" s="92"/>
      <c r="G491" s="92"/>
      <c r="H491" s="92"/>
      <c r="I491" s="93"/>
      <c r="M491" s="6">
        <f>SUM(M492,M494,M496,M498,M500,M502,M504,M506,M508,M510,M512,M514,M516,M518,M520,M522,M524,M526,M528,M530,M532,M535,M538,M541,M544,M547,M550,M553,M556,M559,M562,M565,M568,M571,M574,M577,M580,M583,M586,M589,M592,M595,M598,M601,M604,M607,M610,M615,M620,M625,M630,M635,M640,M645,M650,M655,M660,M665,M670,M675,M680,M685,M690,M695,M700,M705,M710,M715)</f>
        <v>9344474.879999999</v>
      </c>
      <c r="N491" s="6">
        <f>SUM(N492,N494,N496,N498,N500,N502,N504,N506,N508,N510,N512,N514,N516,N518,N520,N522,N524,N526,N528,N530,N532,N535,N538,N541,N544,N547,N550,N553,N556,N559,N562,N565,N568,N571,N574,N577,N580,N583,N586,N589,N592,N595,N598,N601,N604,N607,N610,N615,N620,N625,N630,N635,N640,N645,N650,N655,N660,N665,N670,N675,N680,N685,N690,N695,N700,N705,N710,N715)</f>
        <v>18533213.73</v>
      </c>
      <c r="O491" s="6">
        <f>SUM(O492,O494,O496,O498,O500,O502,O504,O506,O508,O510,O512,O514,O516,O518,O520,O522,O524,O526,O528,O530,O532,O535,O538,O541,O544,O547,O550,O553,O556,O559,O562,O565,O568,O571,O574,O577,O580,O583,O586,O589,O592,O595,O598,O601,O604,O607,O610,O615,O620,O625,O630,O635,O640,O645,O650,O655,O660,O665,O670,O675,O680,O685,O690,O695,O700,O705,O710,O715)</f>
        <v>27877688.609999999</v>
      </c>
      <c r="S491" s="6">
        <f>SUM(S492,S494,S496,S498,S500,S502,S504,S506,S508,S510,S512,S514,S516,S518,S520,S522,S524,S526,S528,S530,S532,S535,S538,S541,S544,S547,S550,S553,S556,S559,S562,S565,S568,S571,S574,S577,S580,S583,S586,S589,S592,S595,S598,S601,S604,S607,S610,S615,S620,S625,S630,S635,S640,S645,S650,S655,S660,S665,S670,S675,S680,S685,S690,S695,S700,S705,S710,S715)</f>
        <v>7149355.0900000008</v>
      </c>
      <c r="T491" s="6">
        <f>SUM(T492,T494,T496,T498,T500,T502,T504,T506,T508,T510,T512,T514,T516,T518,T520,T522,T524,T526,T528,T530,T532,T535,T538,T541,T544,T547,T550,T553,T556,T559,T562,T565,T568,T571,T574,T577,T580,T583,T586,T589,T592,T595,T598,T601,T604,T607,T610,T615,T620,T625,T630,T635,T640,T645,T650,T655,T660,T665,T670,T675,T680,T685,T690,T695,T700,T705,T710,T715)</f>
        <v>27799828.550000001</v>
      </c>
      <c r="U491" s="6">
        <f>SUM(U492,U494,U496,U498,U500,U502,U504,U506,U508,U510,U512,U514,U516,U518,U520,U522,U524,U526,U528,U530,U532,U535,U538,U541,U544,U547,U550,U553,U556,U559,U562,U565,U568,U571,U574,U577,U580,U583,U586,U589,U592,U595,U598,U601,U604,U607,U610,U615,U620,U625,U630,U635,U640,U645,U650,U655,U660,U665,U670,U675,U680,U685,U690,U695,U700,U705,U710,U715)</f>
        <v>34949183.640000001</v>
      </c>
      <c r="Y491" s="9">
        <f>SUM(Y492,Y494,Y496,Y498,Y500,Y502,Y504,Y506,Y508,Y510,Y512,Y514,Y516,Y518,Y520,Y522,Y524,Y526,Y528,Y530,Y532,Y535,Y538,Y541,Y544,Y547,Y550,Y553,Y556,Y559,Y562,Y565,Y568,Y571,Y574,Y577,Y580,Y583,Y586,Y589,Y592,Y595,Y598,Y601,Y604,Y607,Y610,Y615,Y620,Y625,Y630,Y635,Y640,Y645,Y650,Y655,Y660,Y665,Y670,Y675,Y680,Y685,Y690,Y695,Y700,Y705,Y710,Y715)</f>
        <v>5957795.9300000006</v>
      </c>
      <c r="Z491" s="9">
        <f>SUM(Z492,Z494,Z496,Z498,Z500,Z502,Z504,Z506,Z508,Z510,Z512,Z514,Z516,Z518,Z520,Z522,Z524,Z526,Z528,Z530,Z532,Z535,Z538,Z541,Z544,Z547,Z550,Z553,Z556,Z559,Z562,Z565,Z568,Z571,Z574,Z577,Z580,Z583,Z586,Z589,Z592,Z595,Z598,Z601,Z604,Z607,Z610,Z615,Z620,Z625,Z630,Z635,Z640,Z645,Z650,Z655,Z660,Z665,Z670,Z675,Z680,Z685,Z690,Z695,Z700,Z705,Z710,Z715)</f>
        <v>23166523.809999999</v>
      </c>
      <c r="AA491" s="9">
        <f>SUM(AA492,AA494,AA496,AA498,AA500,AA502,AA504,AA506,AA508,AA510,AA512,AA514,AA516,AA518,AA520,AA522,AA524,AA526,AA528,AA530,AA532,AA535,AA538,AA541,AA544,AA547,AA550,AA553,AA556,AA559,AA562,AA565,AA568,AA571,AA574,AA577,AA580,AA583,AA586,AA589,AA592,AA595,AA598,AA601,AA604,AA607,AA610,AA615,AA620,AA625,AA630,AA635,AA640,AA645,AA650,AA655,AA660,AA665,AA670,AA675,AA680,AA685,AA690,AA695,AA700,AA705,AA710,AA715)</f>
        <v>29124319.739999998</v>
      </c>
      <c r="AD491" s="4">
        <v>334080535</v>
      </c>
      <c r="AE491" s="4">
        <v>27245711</v>
      </c>
    </row>
    <row r="492" spans="1:35" ht="18" x14ac:dyDescent="0.3">
      <c r="A492" s="10" t="s">
        <v>1647</v>
      </c>
      <c r="B492" s="10" t="s">
        <v>1648</v>
      </c>
      <c r="C492" s="14" t="s">
        <v>1649</v>
      </c>
      <c r="D492" s="15"/>
      <c r="E492" s="15"/>
      <c r="F492" s="15" t="s">
        <v>62</v>
      </c>
      <c r="G492" s="16">
        <v>1</v>
      </c>
      <c r="H492" s="15"/>
      <c r="I492" s="16">
        <v>0</v>
      </c>
      <c r="J492" s="17">
        <v>0</v>
      </c>
      <c r="K492" s="18">
        <v>1010</v>
      </c>
      <c r="L492" s="17">
        <f>J492+ROUND(K492, 2)</f>
        <v>1010</v>
      </c>
      <c r="M492" s="17">
        <v>0</v>
      </c>
      <c r="N492" s="17">
        <v>0</v>
      </c>
      <c r="O492" s="17">
        <f>M492+N492</f>
        <v>0</v>
      </c>
      <c r="P492" s="17">
        <v>390</v>
      </c>
      <c r="Q492" s="19">
        <v>1010</v>
      </c>
      <c r="R492" s="17">
        <f>P492+ROUND(Q492, 2)</f>
        <v>1400</v>
      </c>
      <c r="S492" s="17">
        <v>0</v>
      </c>
      <c r="T492" s="17">
        <v>0</v>
      </c>
      <c r="U492" s="17">
        <f>S492+T492</f>
        <v>0</v>
      </c>
      <c r="V492" s="9">
        <f>ROUND(P492 / 1.2, 2)</f>
        <v>325</v>
      </c>
      <c r="W492" s="9">
        <f>ROUND(Q492 / 1.2, 2)</f>
        <v>841.67</v>
      </c>
      <c r="X492" s="9">
        <f>ROUND(R492 / 1.2, 2)</f>
        <v>1166.67</v>
      </c>
      <c r="Y492" s="9">
        <f>ROUND(S492 / 1.2, 2)</f>
        <v>0</v>
      </c>
      <c r="Z492" s="9">
        <f>ROUND(T492 / 1.2, 2)</f>
        <v>0</v>
      </c>
      <c r="AA492" s="9">
        <f>Y492+Z492</f>
        <v>0</v>
      </c>
      <c r="AD492" s="4">
        <v>334080537</v>
      </c>
      <c r="AE492" s="4">
        <v>27245674</v>
      </c>
      <c r="AG492" s="4" t="s">
        <v>1650</v>
      </c>
      <c r="AH492" s="4" t="s">
        <v>1651</v>
      </c>
      <c r="AI492" s="4" t="s">
        <v>250</v>
      </c>
    </row>
    <row r="493" spans="1:35" ht="36" x14ac:dyDescent="0.3">
      <c r="A493" s="10" t="s">
        <v>1652</v>
      </c>
      <c r="B493" s="10"/>
      <c r="C493" s="24" t="s">
        <v>1653</v>
      </c>
      <c r="D493" s="15"/>
      <c r="E493" s="15"/>
      <c r="F493" s="25" t="s">
        <v>597</v>
      </c>
      <c r="G493" s="26">
        <v>1.5</v>
      </c>
      <c r="H493" s="15"/>
      <c r="I493" s="26">
        <v>0</v>
      </c>
      <c r="J493" s="27">
        <v>260</v>
      </c>
      <c r="M493" s="28">
        <f>ROUND(ROUND(J493, 2)*I493, 2)</f>
        <v>0</v>
      </c>
      <c r="P493" s="29">
        <v>260</v>
      </c>
      <c r="S493" s="28">
        <f>ROUND(ROUND(P493, 2)*I493, 2)</f>
        <v>0</v>
      </c>
      <c r="V493" s="9">
        <f>ROUND(ROUND(P493, 2)/1.2, 2)</f>
        <v>216.67</v>
      </c>
      <c r="Y493" s="9">
        <f t="shared" ref="Y493:Y556" si="20">ROUND(S493 / 1.2, 2)</f>
        <v>0</v>
      </c>
      <c r="AD493" s="4" t="s">
        <v>1654</v>
      </c>
      <c r="AE493" s="4" t="s">
        <v>1655</v>
      </c>
      <c r="AF493" s="4" t="s">
        <v>1656</v>
      </c>
    </row>
    <row r="494" spans="1:35" ht="18" x14ac:dyDescent="0.3">
      <c r="A494" s="10" t="s">
        <v>1657</v>
      </c>
      <c r="B494" s="10" t="s">
        <v>1648</v>
      </c>
      <c r="C494" s="14" t="s">
        <v>1649</v>
      </c>
      <c r="D494" s="15"/>
      <c r="E494" s="15"/>
      <c r="F494" s="15" t="s">
        <v>62</v>
      </c>
      <c r="G494" s="16">
        <v>1</v>
      </c>
      <c r="H494" s="15"/>
      <c r="I494" s="16">
        <v>0</v>
      </c>
      <c r="J494" s="17">
        <v>0</v>
      </c>
      <c r="K494" s="18">
        <v>1010</v>
      </c>
      <c r="L494" s="17">
        <f>J494+ROUND(K494, 2)</f>
        <v>1010</v>
      </c>
      <c r="M494" s="17">
        <v>0</v>
      </c>
      <c r="N494" s="17">
        <v>0</v>
      </c>
      <c r="O494" s="17">
        <f>M494+N494</f>
        <v>0</v>
      </c>
      <c r="P494" s="17">
        <v>390</v>
      </c>
      <c r="Q494" s="19">
        <v>1010</v>
      </c>
      <c r="R494" s="17">
        <f>P494+ROUND(Q494, 2)</f>
        <v>1400</v>
      </c>
      <c r="S494" s="17">
        <v>0</v>
      </c>
      <c r="T494" s="17">
        <v>0</v>
      </c>
      <c r="U494" s="17">
        <f>S494+T494</f>
        <v>0</v>
      </c>
      <c r="V494" s="9">
        <f>ROUND(P494 / 1.2, 2)</f>
        <v>325</v>
      </c>
      <c r="W494" s="9">
        <f>ROUND(Q494 / 1.2, 2)</f>
        <v>841.67</v>
      </c>
      <c r="X494" s="9">
        <f>ROUND(R494 / 1.2, 2)</f>
        <v>1166.67</v>
      </c>
      <c r="Y494" s="9">
        <f t="shared" si="20"/>
        <v>0</v>
      </c>
      <c r="Z494" s="9">
        <f>ROUND(T494 / 1.2, 2)</f>
        <v>0</v>
      </c>
      <c r="AA494" s="9">
        <f>Y494+Z494</f>
        <v>0</v>
      </c>
      <c r="AD494" s="4">
        <v>334080677</v>
      </c>
      <c r="AE494" s="4">
        <v>27245675</v>
      </c>
      <c r="AG494" s="4" t="s">
        <v>1650</v>
      </c>
      <c r="AH494" s="4" t="s">
        <v>1651</v>
      </c>
      <c r="AI494" s="4" t="s">
        <v>250</v>
      </c>
    </row>
    <row r="495" spans="1:35" ht="36" x14ac:dyDescent="0.3">
      <c r="A495" s="10" t="s">
        <v>1658</v>
      </c>
      <c r="B495" s="10"/>
      <c r="C495" s="24" t="s">
        <v>1653</v>
      </c>
      <c r="D495" s="15"/>
      <c r="E495" s="15"/>
      <c r="F495" s="25" t="s">
        <v>597</v>
      </c>
      <c r="G495" s="26">
        <v>1.5</v>
      </c>
      <c r="H495" s="15"/>
      <c r="I495" s="26">
        <v>0</v>
      </c>
      <c r="J495" s="27">
        <v>260</v>
      </c>
      <c r="M495" s="28">
        <f>ROUND(ROUND(J495, 2)*I495, 2)</f>
        <v>0</v>
      </c>
      <c r="P495" s="29">
        <v>260</v>
      </c>
      <c r="S495" s="28">
        <f>ROUND(ROUND(P495, 2)*I495, 2)</f>
        <v>0</v>
      </c>
      <c r="V495" s="9">
        <f>ROUND(ROUND(P495, 2)/1.2, 2)</f>
        <v>216.67</v>
      </c>
      <c r="Y495" s="9">
        <f t="shared" si="20"/>
        <v>0</v>
      </c>
      <c r="AD495" s="4" t="s">
        <v>1659</v>
      </c>
      <c r="AE495" s="4" t="s">
        <v>1660</v>
      </c>
      <c r="AF495" s="4" t="s">
        <v>1656</v>
      </c>
    </row>
    <row r="496" spans="1:35" ht="18" x14ac:dyDescent="0.3">
      <c r="A496" s="10" t="s">
        <v>1661</v>
      </c>
      <c r="B496" s="10" t="s">
        <v>1648</v>
      </c>
      <c r="C496" s="14" t="s">
        <v>1649</v>
      </c>
      <c r="D496" s="15"/>
      <c r="E496" s="15"/>
      <c r="F496" s="15" t="s">
        <v>62</v>
      </c>
      <c r="G496" s="16">
        <v>1</v>
      </c>
      <c r="H496" s="15"/>
      <c r="I496" s="16">
        <v>0</v>
      </c>
      <c r="J496" s="17">
        <v>0</v>
      </c>
      <c r="K496" s="18">
        <v>1010</v>
      </c>
      <c r="L496" s="17">
        <f>J496+ROUND(K496, 2)</f>
        <v>1010</v>
      </c>
      <c r="M496" s="17">
        <v>0</v>
      </c>
      <c r="N496" s="17">
        <v>0</v>
      </c>
      <c r="O496" s="17">
        <f>M496+N496</f>
        <v>0</v>
      </c>
      <c r="P496" s="17">
        <v>390</v>
      </c>
      <c r="Q496" s="19">
        <v>1010</v>
      </c>
      <c r="R496" s="17">
        <f>P496+ROUND(Q496, 2)</f>
        <v>1400</v>
      </c>
      <c r="S496" s="17">
        <v>0</v>
      </c>
      <c r="T496" s="17">
        <v>0</v>
      </c>
      <c r="U496" s="17">
        <f>S496+T496</f>
        <v>0</v>
      </c>
      <c r="V496" s="9">
        <f>ROUND(P496 / 1.2, 2)</f>
        <v>325</v>
      </c>
      <c r="W496" s="9">
        <f>ROUND(Q496 / 1.2, 2)</f>
        <v>841.67</v>
      </c>
      <c r="X496" s="9">
        <f>ROUND(R496 / 1.2, 2)</f>
        <v>1166.67</v>
      </c>
      <c r="Y496" s="9">
        <f t="shared" si="20"/>
        <v>0</v>
      </c>
      <c r="Z496" s="9">
        <f>ROUND(T496 / 1.2, 2)</f>
        <v>0</v>
      </c>
      <c r="AA496" s="9">
        <f>Y496+Z496</f>
        <v>0</v>
      </c>
      <c r="AD496" s="4">
        <v>334080678</v>
      </c>
      <c r="AE496" s="4">
        <v>27245676</v>
      </c>
      <c r="AG496" s="4" t="s">
        <v>1650</v>
      </c>
      <c r="AH496" s="4" t="s">
        <v>1651</v>
      </c>
      <c r="AI496" s="4" t="s">
        <v>250</v>
      </c>
    </row>
    <row r="497" spans="1:35" ht="36" x14ac:dyDescent="0.3">
      <c r="A497" s="10" t="s">
        <v>1662</v>
      </c>
      <c r="B497" s="10"/>
      <c r="C497" s="24" t="s">
        <v>1653</v>
      </c>
      <c r="D497" s="15"/>
      <c r="E497" s="15"/>
      <c r="F497" s="25" t="s">
        <v>597</v>
      </c>
      <c r="G497" s="26">
        <v>1.5</v>
      </c>
      <c r="H497" s="15"/>
      <c r="I497" s="26">
        <v>0</v>
      </c>
      <c r="J497" s="27">
        <v>260</v>
      </c>
      <c r="M497" s="28">
        <f>ROUND(ROUND(J497, 2)*I497, 2)</f>
        <v>0</v>
      </c>
      <c r="P497" s="29">
        <v>260</v>
      </c>
      <c r="S497" s="28">
        <f>ROUND(ROUND(P497, 2)*I497, 2)</f>
        <v>0</v>
      </c>
      <c r="V497" s="9">
        <f>ROUND(ROUND(P497, 2)/1.2, 2)</f>
        <v>216.67</v>
      </c>
      <c r="Y497" s="9">
        <f t="shared" si="20"/>
        <v>0</v>
      </c>
      <c r="AD497" s="4" t="s">
        <v>1663</v>
      </c>
      <c r="AE497" s="4" t="s">
        <v>1664</v>
      </c>
      <c r="AF497" s="4" t="s">
        <v>1656</v>
      </c>
    </row>
    <row r="498" spans="1:35" ht="18" x14ac:dyDescent="0.3">
      <c r="A498" s="10" t="s">
        <v>1665</v>
      </c>
      <c r="B498" s="10" t="s">
        <v>1648</v>
      </c>
      <c r="C498" s="14" t="s">
        <v>1649</v>
      </c>
      <c r="D498" s="15"/>
      <c r="E498" s="15"/>
      <c r="F498" s="15" t="s">
        <v>62</v>
      </c>
      <c r="G498" s="16">
        <v>1</v>
      </c>
      <c r="H498" s="15"/>
      <c r="I498" s="16">
        <v>0</v>
      </c>
      <c r="J498" s="17">
        <v>0</v>
      </c>
      <c r="K498" s="18">
        <v>1010</v>
      </c>
      <c r="L498" s="17">
        <f>J498+ROUND(K498, 2)</f>
        <v>1010</v>
      </c>
      <c r="M498" s="17">
        <v>0</v>
      </c>
      <c r="N498" s="17">
        <v>0</v>
      </c>
      <c r="O498" s="17">
        <f>M498+N498</f>
        <v>0</v>
      </c>
      <c r="P498" s="17">
        <v>390</v>
      </c>
      <c r="Q498" s="19">
        <v>1010</v>
      </c>
      <c r="R498" s="17">
        <f>P498+ROUND(Q498, 2)</f>
        <v>1400</v>
      </c>
      <c r="S498" s="17">
        <v>0</v>
      </c>
      <c r="T498" s="17">
        <v>0</v>
      </c>
      <c r="U498" s="17">
        <f>S498+T498</f>
        <v>0</v>
      </c>
      <c r="V498" s="9">
        <f>ROUND(P498 / 1.2, 2)</f>
        <v>325</v>
      </c>
      <c r="W498" s="9">
        <f>ROUND(Q498 / 1.2, 2)</f>
        <v>841.67</v>
      </c>
      <c r="X498" s="9">
        <f>ROUND(R498 / 1.2, 2)</f>
        <v>1166.67</v>
      </c>
      <c r="Y498" s="9">
        <f t="shared" si="20"/>
        <v>0</v>
      </c>
      <c r="Z498" s="9">
        <f>ROUND(T498 / 1.2, 2)</f>
        <v>0</v>
      </c>
      <c r="AA498" s="9">
        <f>Y498+Z498</f>
        <v>0</v>
      </c>
      <c r="AD498" s="4">
        <v>334080679</v>
      </c>
      <c r="AE498" s="4">
        <v>27245678</v>
      </c>
      <c r="AG498" s="4" t="s">
        <v>1650</v>
      </c>
      <c r="AH498" s="4" t="s">
        <v>1651</v>
      </c>
      <c r="AI498" s="4" t="s">
        <v>250</v>
      </c>
    </row>
    <row r="499" spans="1:35" ht="36" x14ac:dyDescent="0.3">
      <c r="A499" s="10" t="s">
        <v>1666</v>
      </c>
      <c r="B499" s="10"/>
      <c r="C499" s="24" t="s">
        <v>1653</v>
      </c>
      <c r="D499" s="15"/>
      <c r="E499" s="15"/>
      <c r="F499" s="25" t="s">
        <v>597</v>
      </c>
      <c r="G499" s="26">
        <v>1.5</v>
      </c>
      <c r="H499" s="15"/>
      <c r="I499" s="26">
        <v>0</v>
      </c>
      <c r="J499" s="27">
        <v>260</v>
      </c>
      <c r="M499" s="28">
        <f>ROUND(ROUND(J499, 2)*I499, 2)</f>
        <v>0</v>
      </c>
      <c r="P499" s="29">
        <v>260</v>
      </c>
      <c r="S499" s="28">
        <f>ROUND(ROUND(P499, 2)*I499, 2)</f>
        <v>0</v>
      </c>
      <c r="V499" s="9">
        <f>ROUND(ROUND(P499, 2)/1.2, 2)</f>
        <v>216.67</v>
      </c>
      <c r="Y499" s="9">
        <f t="shared" si="20"/>
        <v>0</v>
      </c>
      <c r="AD499" s="4" t="s">
        <v>1667</v>
      </c>
      <c r="AE499" s="4" t="s">
        <v>1668</v>
      </c>
      <c r="AF499" s="4" t="s">
        <v>1656</v>
      </c>
    </row>
    <row r="500" spans="1:35" ht="18" x14ac:dyDescent="0.3">
      <c r="A500" s="10" t="s">
        <v>1669</v>
      </c>
      <c r="B500" s="10" t="s">
        <v>1648</v>
      </c>
      <c r="C500" s="14" t="s">
        <v>1649</v>
      </c>
      <c r="D500" s="15"/>
      <c r="E500" s="15"/>
      <c r="F500" s="15" t="s">
        <v>62</v>
      </c>
      <c r="G500" s="16">
        <v>1</v>
      </c>
      <c r="H500" s="15"/>
      <c r="I500" s="16">
        <v>0</v>
      </c>
      <c r="J500" s="17">
        <v>0</v>
      </c>
      <c r="K500" s="18">
        <v>1010</v>
      </c>
      <c r="L500" s="17">
        <f>J500+ROUND(K500, 2)</f>
        <v>1010</v>
      </c>
      <c r="M500" s="17">
        <v>0</v>
      </c>
      <c r="N500" s="17">
        <v>0</v>
      </c>
      <c r="O500" s="17">
        <f>M500+N500</f>
        <v>0</v>
      </c>
      <c r="P500" s="17">
        <v>390</v>
      </c>
      <c r="Q500" s="19">
        <v>1010</v>
      </c>
      <c r="R500" s="17">
        <f>P500+ROUND(Q500, 2)</f>
        <v>1400</v>
      </c>
      <c r="S500" s="17">
        <v>0</v>
      </c>
      <c r="T500" s="17">
        <v>0</v>
      </c>
      <c r="U500" s="17">
        <f>S500+T500</f>
        <v>0</v>
      </c>
      <c r="V500" s="9">
        <f>ROUND(P500 / 1.2, 2)</f>
        <v>325</v>
      </c>
      <c r="W500" s="9">
        <f>ROUND(Q500 / 1.2, 2)</f>
        <v>841.67</v>
      </c>
      <c r="X500" s="9">
        <f>ROUND(R500 / 1.2, 2)</f>
        <v>1166.67</v>
      </c>
      <c r="Y500" s="9">
        <f t="shared" si="20"/>
        <v>0</v>
      </c>
      <c r="Z500" s="9">
        <f>ROUND(T500 / 1.2, 2)</f>
        <v>0</v>
      </c>
      <c r="AA500" s="9">
        <f>Y500+Z500</f>
        <v>0</v>
      </c>
      <c r="AD500" s="4">
        <v>334080680</v>
      </c>
      <c r="AE500" s="4">
        <v>27245679</v>
      </c>
      <c r="AG500" s="4" t="s">
        <v>1650</v>
      </c>
      <c r="AH500" s="4" t="s">
        <v>1651</v>
      </c>
      <c r="AI500" s="4" t="s">
        <v>250</v>
      </c>
    </row>
    <row r="501" spans="1:35" ht="36" x14ac:dyDescent="0.3">
      <c r="A501" s="10" t="s">
        <v>1670</v>
      </c>
      <c r="B501" s="10"/>
      <c r="C501" s="24" t="s">
        <v>1653</v>
      </c>
      <c r="D501" s="15"/>
      <c r="E501" s="15"/>
      <c r="F501" s="25" t="s">
        <v>597</v>
      </c>
      <c r="G501" s="26">
        <v>1.5</v>
      </c>
      <c r="H501" s="15"/>
      <c r="I501" s="26">
        <v>0</v>
      </c>
      <c r="J501" s="27">
        <v>260</v>
      </c>
      <c r="M501" s="28">
        <f>ROUND(ROUND(J501, 2)*I501, 2)</f>
        <v>0</v>
      </c>
      <c r="P501" s="29">
        <v>260</v>
      </c>
      <c r="S501" s="28">
        <f>ROUND(ROUND(P501, 2)*I501, 2)</f>
        <v>0</v>
      </c>
      <c r="V501" s="9">
        <f>ROUND(ROUND(P501, 2)/1.2, 2)</f>
        <v>216.67</v>
      </c>
      <c r="Y501" s="9">
        <f t="shared" si="20"/>
        <v>0</v>
      </c>
      <c r="AD501" s="4" t="s">
        <v>1671</v>
      </c>
      <c r="AE501" s="4" t="s">
        <v>1672</v>
      </c>
      <c r="AF501" s="4" t="s">
        <v>1656</v>
      </c>
    </row>
    <row r="502" spans="1:35" ht="18" x14ac:dyDescent="0.3">
      <c r="A502" s="10" t="s">
        <v>1673</v>
      </c>
      <c r="B502" s="10" t="s">
        <v>1648</v>
      </c>
      <c r="C502" s="14" t="s">
        <v>1649</v>
      </c>
      <c r="D502" s="15"/>
      <c r="E502" s="15"/>
      <c r="F502" s="15" t="s">
        <v>62</v>
      </c>
      <c r="G502" s="16">
        <v>1</v>
      </c>
      <c r="H502" s="15"/>
      <c r="I502" s="16">
        <v>0</v>
      </c>
      <c r="J502" s="17">
        <v>0</v>
      </c>
      <c r="K502" s="18">
        <v>1010</v>
      </c>
      <c r="L502" s="17">
        <f>J502+ROUND(K502, 2)</f>
        <v>1010</v>
      </c>
      <c r="M502" s="17">
        <v>0</v>
      </c>
      <c r="N502" s="17">
        <v>0</v>
      </c>
      <c r="O502" s="17">
        <f>M502+N502</f>
        <v>0</v>
      </c>
      <c r="P502" s="17">
        <v>390</v>
      </c>
      <c r="Q502" s="19">
        <v>1010</v>
      </c>
      <c r="R502" s="17">
        <f>P502+ROUND(Q502, 2)</f>
        <v>1400</v>
      </c>
      <c r="S502" s="17">
        <v>0</v>
      </c>
      <c r="T502" s="17">
        <v>0</v>
      </c>
      <c r="U502" s="17">
        <f>S502+T502</f>
        <v>0</v>
      </c>
      <c r="V502" s="9">
        <f>ROUND(P502 / 1.2, 2)</f>
        <v>325</v>
      </c>
      <c r="W502" s="9">
        <f>ROUND(Q502 / 1.2, 2)</f>
        <v>841.67</v>
      </c>
      <c r="X502" s="9">
        <f>ROUND(R502 / 1.2, 2)</f>
        <v>1166.67</v>
      </c>
      <c r="Y502" s="9">
        <f t="shared" si="20"/>
        <v>0</v>
      </c>
      <c r="Z502" s="9">
        <f>ROUND(T502 / 1.2, 2)</f>
        <v>0</v>
      </c>
      <c r="AA502" s="9">
        <f>Y502+Z502</f>
        <v>0</v>
      </c>
      <c r="AD502" s="4">
        <v>334080681</v>
      </c>
      <c r="AE502" s="4">
        <v>27245681</v>
      </c>
      <c r="AG502" s="4" t="s">
        <v>1650</v>
      </c>
      <c r="AH502" s="4" t="s">
        <v>1651</v>
      </c>
      <c r="AI502" s="4" t="s">
        <v>250</v>
      </c>
    </row>
    <row r="503" spans="1:35" ht="36" x14ac:dyDescent="0.3">
      <c r="A503" s="10" t="s">
        <v>1674</v>
      </c>
      <c r="B503" s="10"/>
      <c r="C503" s="24" t="s">
        <v>1653</v>
      </c>
      <c r="D503" s="15"/>
      <c r="E503" s="15"/>
      <c r="F503" s="25" t="s">
        <v>597</v>
      </c>
      <c r="G503" s="26">
        <v>1.5</v>
      </c>
      <c r="H503" s="15"/>
      <c r="I503" s="26">
        <v>0</v>
      </c>
      <c r="J503" s="27">
        <v>260</v>
      </c>
      <c r="M503" s="28">
        <f>ROUND(ROUND(J503, 2)*I503, 2)</f>
        <v>0</v>
      </c>
      <c r="P503" s="29">
        <v>260</v>
      </c>
      <c r="S503" s="28">
        <f>ROUND(ROUND(P503, 2)*I503, 2)</f>
        <v>0</v>
      </c>
      <c r="V503" s="9">
        <f>ROUND(ROUND(P503, 2)/1.2, 2)</f>
        <v>216.67</v>
      </c>
      <c r="Y503" s="9">
        <f t="shared" si="20"/>
        <v>0</v>
      </c>
      <c r="AD503" s="4" t="s">
        <v>1675</v>
      </c>
      <c r="AE503" s="4" t="s">
        <v>1676</v>
      </c>
      <c r="AF503" s="4" t="s">
        <v>1656</v>
      </c>
    </row>
    <row r="504" spans="1:35" ht="18" x14ac:dyDescent="0.3">
      <c r="A504" s="10" t="s">
        <v>1677</v>
      </c>
      <c r="B504" s="10" t="s">
        <v>1648</v>
      </c>
      <c r="C504" s="14" t="s">
        <v>1649</v>
      </c>
      <c r="D504" s="15"/>
      <c r="E504" s="15"/>
      <c r="F504" s="15" t="s">
        <v>62</v>
      </c>
      <c r="G504" s="16">
        <v>1</v>
      </c>
      <c r="H504" s="15"/>
      <c r="I504" s="16">
        <v>0</v>
      </c>
      <c r="J504" s="17">
        <v>0</v>
      </c>
      <c r="K504" s="18">
        <v>1010</v>
      </c>
      <c r="L504" s="17">
        <f>J504+ROUND(K504, 2)</f>
        <v>1010</v>
      </c>
      <c r="M504" s="17">
        <v>0</v>
      </c>
      <c r="N504" s="17">
        <v>0</v>
      </c>
      <c r="O504" s="17">
        <f>M504+N504</f>
        <v>0</v>
      </c>
      <c r="P504" s="17">
        <v>390</v>
      </c>
      <c r="Q504" s="19">
        <v>1010</v>
      </c>
      <c r="R504" s="17">
        <f>P504+ROUND(Q504, 2)</f>
        <v>1400</v>
      </c>
      <c r="S504" s="17">
        <v>0</v>
      </c>
      <c r="T504" s="17">
        <v>0</v>
      </c>
      <c r="U504" s="17">
        <f>S504+T504</f>
        <v>0</v>
      </c>
      <c r="V504" s="9">
        <f>ROUND(P504 / 1.2, 2)</f>
        <v>325</v>
      </c>
      <c r="W504" s="9">
        <f>ROUND(Q504 / 1.2, 2)</f>
        <v>841.67</v>
      </c>
      <c r="X504" s="9">
        <f>ROUND(R504 / 1.2, 2)</f>
        <v>1166.67</v>
      </c>
      <c r="Y504" s="9">
        <f t="shared" si="20"/>
        <v>0</v>
      </c>
      <c r="Z504" s="9">
        <f>ROUND(T504 / 1.2, 2)</f>
        <v>0</v>
      </c>
      <c r="AA504" s="9">
        <f>Y504+Z504</f>
        <v>0</v>
      </c>
      <c r="AD504" s="4">
        <v>334080682</v>
      </c>
      <c r="AE504" s="4">
        <v>27245683</v>
      </c>
      <c r="AG504" s="4" t="s">
        <v>1650</v>
      </c>
      <c r="AH504" s="4" t="s">
        <v>1651</v>
      </c>
      <c r="AI504" s="4" t="s">
        <v>250</v>
      </c>
    </row>
    <row r="505" spans="1:35" ht="36" x14ac:dyDescent="0.3">
      <c r="A505" s="10" t="s">
        <v>1678</v>
      </c>
      <c r="B505" s="10"/>
      <c r="C505" s="24" t="s">
        <v>1653</v>
      </c>
      <c r="D505" s="15"/>
      <c r="E505" s="15"/>
      <c r="F505" s="25" t="s">
        <v>597</v>
      </c>
      <c r="G505" s="26">
        <v>1.5</v>
      </c>
      <c r="H505" s="15"/>
      <c r="I505" s="26">
        <v>0</v>
      </c>
      <c r="J505" s="27">
        <v>260</v>
      </c>
      <c r="M505" s="28">
        <f>ROUND(ROUND(J505, 2)*I505, 2)</f>
        <v>0</v>
      </c>
      <c r="P505" s="29">
        <v>260</v>
      </c>
      <c r="S505" s="28">
        <f>ROUND(ROUND(P505, 2)*I505, 2)</f>
        <v>0</v>
      </c>
      <c r="V505" s="9">
        <f>ROUND(ROUND(P505, 2)/1.2, 2)</f>
        <v>216.67</v>
      </c>
      <c r="Y505" s="9">
        <f t="shared" si="20"/>
        <v>0</v>
      </c>
      <c r="AD505" s="4" t="s">
        <v>1679</v>
      </c>
      <c r="AE505" s="4" t="s">
        <v>1680</v>
      </c>
      <c r="AF505" s="4" t="s">
        <v>1656</v>
      </c>
    </row>
    <row r="506" spans="1:35" ht="18" x14ac:dyDescent="0.3">
      <c r="A506" s="10" t="s">
        <v>1681</v>
      </c>
      <c r="B506" s="10" t="s">
        <v>1648</v>
      </c>
      <c r="C506" s="14" t="s">
        <v>1649</v>
      </c>
      <c r="D506" s="15"/>
      <c r="E506" s="15"/>
      <c r="F506" s="15" t="s">
        <v>62</v>
      </c>
      <c r="G506" s="16">
        <v>1</v>
      </c>
      <c r="H506" s="15"/>
      <c r="I506" s="16">
        <v>0</v>
      </c>
      <c r="J506" s="17">
        <v>0</v>
      </c>
      <c r="K506" s="18">
        <v>1010</v>
      </c>
      <c r="L506" s="17">
        <f>J506+ROUND(K506, 2)</f>
        <v>1010</v>
      </c>
      <c r="M506" s="17">
        <v>0</v>
      </c>
      <c r="N506" s="17">
        <v>0</v>
      </c>
      <c r="O506" s="17">
        <f>M506+N506</f>
        <v>0</v>
      </c>
      <c r="P506" s="17">
        <v>0</v>
      </c>
      <c r="Q506" s="19">
        <v>1515</v>
      </c>
      <c r="R506" s="17">
        <f>P506+ROUND(Q506, 2)</f>
        <v>1515</v>
      </c>
      <c r="S506" s="17">
        <v>0</v>
      </c>
      <c r="T506" s="17">
        <v>0</v>
      </c>
      <c r="U506" s="17">
        <f>S506+T506</f>
        <v>0</v>
      </c>
      <c r="V506" s="9">
        <f>ROUND(P506 / 1.2, 2)</f>
        <v>0</v>
      </c>
      <c r="W506" s="9">
        <f>ROUND(Q506 / 1.2, 2)</f>
        <v>1262.5</v>
      </c>
      <c r="X506" s="9">
        <f>ROUND(R506 / 1.2, 2)</f>
        <v>1262.5</v>
      </c>
      <c r="Y506" s="9">
        <f t="shared" si="20"/>
        <v>0</v>
      </c>
      <c r="Z506" s="9">
        <f>ROUND(T506 / 1.2, 2)</f>
        <v>0</v>
      </c>
      <c r="AA506" s="9">
        <f>Y506+Z506</f>
        <v>0</v>
      </c>
      <c r="AD506" s="4">
        <v>334080683</v>
      </c>
      <c r="AE506" s="4">
        <v>27245684</v>
      </c>
      <c r="AG506" s="4" t="s">
        <v>1650</v>
      </c>
      <c r="AH506" s="4" t="s">
        <v>1651</v>
      </c>
      <c r="AI506" s="4" t="s">
        <v>250</v>
      </c>
    </row>
    <row r="507" spans="1:35" ht="36" x14ac:dyDescent="0.3">
      <c r="A507" s="10" t="s">
        <v>1682</v>
      </c>
      <c r="B507" s="10"/>
      <c r="C507" s="24" t="s">
        <v>1653</v>
      </c>
      <c r="D507" s="15"/>
      <c r="E507" s="15"/>
      <c r="F507" s="25" t="s">
        <v>597</v>
      </c>
      <c r="G507" s="26">
        <v>1.5</v>
      </c>
      <c r="H507" s="15"/>
      <c r="I507" s="26">
        <v>0</v>
      </c>
      <c r="J507" s="27">
        <v>260</v>
      </c>
      <c r="M507" s="28">
        <f>ROUND(ROUND(J507, 2)*I507, 2)</f>
        <v>0</v>
      </c>
      <c r="P507" s="29">
        <v>260</v>
      </c>
      <c r="S507" s="28">
        <f>ROUND(ROUND(P507, 2)*I507, 2)</f>
        <v>0</v>
      </c>
      <c r="V507" s="9">
        <f>ROUND(ROUND(P507, 2)/1.2, 2)</f>
        <v>216.67</v>
      </c>
      <c r="Y507" s="9">
        <f t="shared" si="20"/>
        <v>0</v>
      </c>
      <c r="AD507" s="4" t="s">
        <v>1683</v>
      </c>
      <c r="AE507" s="4" t="s">
        <v>1684</v>
      </c>
      <c r="AF507" s="4" t="s">
        <v>1656</v>
      </c>
    </row>
    <row r="508" spans="1:35" ht="18" x14ac:dyDescent="0.3">
      <c r="A508" s="10" t="s">
        <v>1685</v>
      </c>
      <c r="B508" s="10" t="s">
        <v>1648</v>
      </c>
      <c r="C508" s="14" t="s">
        <v>1649</v>
      </c>
      <c r="D508" s="15"/>
      <c r="E508" s="15"/>
      <c r="F508" s="15" t="s">
        <v>62</v>
      </c>
      <c r="G508" s="16">
        <v>1</v>
      </c>
      <c r="H508" s="15"/>
      <c r="I508" s="16">
        <v>0</v>
      </c>
      <c r="J508" s="17">
        <v>0</v>
      </c>
      <c r="K508" s="18">
        <v>1010</v>
      </c>
      <c r="L508" s="17">
        <f>J508+ROUND(K508, 2)</f>
        <v>1010</v>
      </c>
      <c r="M508" s="17">
        <v>0</v>
      </c>
      <c r="N508" s="17">
        <v>0</v>
      </c>
      <c r="O508" s="17">
        <f>M508+N508</f>
        <v>0</v>
      </c>
      <c r="P508" s="17">
        <v>0</v>
      </c>
      <c r="Q508" s="19">
        <v>1515</v>
      </c>
      <c r="R508" s="17">
        <f>P508+ROUND(Q508, 2)</f>
        <v>1515</v>
      </c>
      <c r="S508" s="17">
        <v>0</v>
      </c>
      <c r="T508" s="17">
        <v>0</v>
      </c>
      <c r="U508" s="17">
        <f>S508+T508</f>
        <v>0</v>
      </c>
      <c r="V508" s="9">
        <f>ROUND(P508 / 1.2, 2)</f>
        <v>0</v>
      </c>
      <c r="W508" s="9">
        <f>ROUND(Q508 / 1.2, 2)</f>
        <v>1262.5</v>
      </c>
      <c r="X508" s="9">
        <f>ROUND(R508 / 1.2, 2)</f>
        <v>1262.5</v>
      </c>
      <c r="Y508" s="9">
        <f t="shared" si="20"/>
        <v>0</v>
      </c>
      <c r="Z508" s="9">
        <f>ROUND(T508 / 1.2, 2)</f>
        <v>0</v>
      </c>
      <c r="AA508" s="9">
        <f>Y508+Z508</f>
        <v>0</v>
      </c>
      <c r="AD508" s="4">
        <v>334080684</v>
      </c>
      <c r="AE508" s="4">
        <v>27245685</v>
      </c>
      <c r="AG508" s="4" t="s">
        <v>1650</v>
      </c>
      <c r="AH508" s="4" t="s">
        <v>1651</v>
      </c>
      <c r="AI508" s="4" t="s">
        <v>250</v>
      </c>
    </row>
    <row r="509" spans="1:35" ht="36" x14ac:dyDescent="0.3">
      <c r="A509" s="10" t="s">
        <v>1686</v>
      </c>
      <c r="B509" s="10"/>
      <c r="C509" s="24" t="s">
        <v>1653</v>
      </c>
      <c r="D509" s="15"/>
      <c r="E509" s="15"/>
      <c r="F509" s="25" t="s">
        <v>597</v>
      </c>
      <c r="G509" s="26">
        <v>1.5</v>
      </c>
      <c r="H509" s="15"/>
      <c r="I509" s="26">
        <v>0</v>
      </c>
      <c r="J509" s="27">
        <v>260</v>
      </c>
      <c r="M509" s="28">
        <f>ROUND(ROUND(J509, 2)*I509, 2)</f>
        <v>0</v>
      </c>
      <c r="P509" s="29">
        <v>260</v>
      </c>
      <c r="S509" s="28">
        <f>ROUND(ROUND(P509, 2)*I509, 2)</f>
        <v>0</v>
      </c>
      <c r="V509" s="9">
        <f>ROUND(ROUND(P509, 2)/1.2, 2)</f>
        <v>216.67</v>
      </c>
      <c r="Y509" s="9">
        <f t="shared" si="20"/>
        <v>0</v>
      </c>
      <c r="AD509" s="4" t="s">
        <v>1687</v>
      </c>
      <c r="AE509" s="4" t="s">
        <v>1688</v>
      </c>
      <c r="AF509" s="4" t="s">
        <v>1656</v>
      </c>
    </row>
    <row r="510" spans="1:35" ht="18" x14ac:dyDescent="0.3">
      <c r="A510" s="10" t="s">
        <v>1689</v>
      </c>
      <c r="B510" s="10" t="s">
        <v>1648</v>
      </c>
      <c r="C510" s="14" t="s">
        <v>1649</v>
      </c>
      <c r="D510" s="15"/>
      <c r="E510" s="15"/>
      <c r="F510" s="15" t="s">
        <v>62</v>
      </c>
      <c r="G510" s="16">
        <v>1</v>
      </c>
      <c r="H510" s="15"/>
      <c r="I510" s="16">
        <v>0</v>
      </c>
      <c r="J510" s="17">
        <v>0</v>
      </c>
      <c r="K510" s="18">
        <v>1010</v>
      </c>
      <c r="L510" s="17">
        <f>J510+ROUND(K510, 2)</f>
        <v>1010</v>
      </c>
      <c r="M510" s="17">
        <v>0</v>
      </c>
      <c r="N510" s="17">
        <v>0</v>
      </c>
      <c r="O510" s="17">
        <f>M510+N510</f>
        <v>0</v>
      </c>
      <c r="P510" s="17">
        <v>0</v>
      </c>
      <c r="Q510" s="19">
        <v>1515</v>
      </c>
      <c r="R510" s="17">
        <f>P510+ROUND(Q510, 2)</f>
        <v>1515</v>
      </c>
      <c r="S510" s="17">
        <v>0</v>
      </c>
      <c r="T510" s="17">
        <v>0</v>
      </c>
      <c r="U510" s="17">
        <f>S510+T510</f>
        <v>0</v>
      </c>
      <c r="V510" s="9">
        <f>ROUND(P510 / 1.2, 2)</f>
        <v>0</v>
      </c>
      <c r="W510" s="9">
        <f>ROUND(Q510 / 1.2, 2)</f>
        <v>1262.5</v>
      </c>
      <c r="X510" s="9">
        <f>ROUND(R510 / 1.2, 2)</f>
        <v>1262.5</v>
      </c>
      <c r="Y510" s="9">
        <f t="shared" si="20"/>
        <v>0</v>
      </c>
      <c r="Z510" s="9">
        <f>ROUND(T510 / 1.2, 2)</f>
        <v>0</v>
      </c>
      <c r="AA510" s="9">
        <f>Y510+Z510</f>
        <v>0</v>
      </c>
      <c r="AD510" s="4">
        <v>334080685</v>
      </c>
      <c r="AE510" s="4">
        <v>27245686</v>
      </c>
      <c r="AG510" s="4" t="s">
        <v>1650</v>
      </c>
      <c r="AH510" s="4" t="s">
        <v>1651</v>
      </c>
      <c r="AI510" s="4" t="s">
        <v>250</v>
      </c>
    </row>
    <row r="511" spans="1:35" ht="36" x14ac:dyDescent="0.3">
      <c r="A511" s="10" t="s">
        <v>1690</v>
      </c>
      <c r="B511" s="10"/>
      <c r="C511" s="24" t="s">
        <v>1653</v>
      </c>
      <c r="D511" s="15"/>
      <c r="E511" s="15"/>
      <c r="F511" s="25" t="s">
        <v>597</v>
      </c>
      <c r="G511" s="26">
        <v>1.5</v>
      </c>
      <c r="H511" s="15"/>
      <c r="I511" s="26">
        <v>0</v>
      </c>
      <c r="J511" s="27">
        <v>260</v>
      </c>
      <c r="M511" s="28">
        <f>ROUND(ROUND(J511, 2)*I511, 2)</f>
        <v>0</v>
      </c>
      <c r="P511" s="29">
        <v>260</v>
      </c>
      <c r="S511" s="28">
        <f>ROUND(ROUND(P511, 2)*I511, 2)</f>
        <v>0</v>
      </c>
      <c r="V511" s="9">
        <f>ROUND(ROUND(P511, 2)/1.2, 2)</f>
        <v>216.67</v>
      </c>
      <c r="Y511" s="9">
        <f t="shared" si="20"/>
        <v>0</v>
      </c>
      <c r="AD511" s="4" t="s">
        <v>1691</v>
      </c>
      <c r="AE511" s="4" t="s">
        <v>1692</v>
      </c>
      <c r="AF511" s="4" t="s">
        <v>1656</v>
      </c>
    </row>
    <row r="512" spans="1:35" ht="18" x14ac:dyDescent="0.3">
      <c r="A512" s="10" t="s">
        <v>1693</v>
      </c>
      <c r="B512" s="10" t="s">
        <v>1648</v>
      </c>
      <c r="C512" s="14" t="s">
        <v>1649</v>
      </c>
      <c r="D512" s="15"/>
      <c r="E512" s="15" t="s">
        <v>1694</v>
      </c>
      <c r="F512" s="15" t="s">
        <v>62</v>
      </c>
      <c r="G512" s="16">
        <v>1</v>
      </c>
      <c r="H512" s="15"/>
      <c r="I512" s="16">
        <v>195.1</v>
      </c>
      <c r="J512" s="17">
        <v>390</v>
      </c>
      <c r="K512" s="18">
        <v>1010</v>
      </c>
      <c r="L512" s="17">
        <f>J512+ROUND(K512, 2)</f>
        <v>1400</v>
      </c>
      <c r="M512" s="17">
        <v>76089</v>
      </c>
      <c r="N512" s="17">
        <v>197051</v>
      </c>
      <c r="O512" s="17">
        <f>M512+N512</f>
        <v>273140</v>
      </c>
      <c r="P512" s="17">
        <v>390</v>
      </c>
      <c r="Q512" s="19">
        <v>1515</v>
      </c>
      <c r="R512" s="17">
        <f>P512+ROUND(Q512, 2)</f>
        <v>1905</v>
      </c>
      <c r="S512" s="17">
        <v>76089</v>
      </c>
      <c r="T512" s="17">
        <v>295576.5</v>
      </c>
      <c r="U512" s="17">
        <f>S512+T512</f>
        <v>371665.5</v>
      </c>
      <c r="V512" s="9">
        <f>ROUND(P512 / 1.2, 2)</f>
        <v>325</v>
      </c>
      <c r="W512" s="9">
        <f>ROUND(Q512 / 1.2, 2)</f>
        <v>1262.5</v>
      </c>
      <c r="X512" s="9">
        <f>ROUND(R512 / 1.2, 2)</f>
        <v>1587.5</v>
      </c>
      <c r="Y512" s="9">
        <f t="shared" si="20"/>
        <v>63407.5</v>
      </c>
      <c r="Z512" s="9">
        <f>ROUND(T512 / 1.2, 2)</f>
        <v>246313.75</v>
      </c>
      <c r="AA512" s="9">
        <f>Y512+Z512</f>
        <v>309721.25</v>
      </c>
      <c r="AD512" s="4">
        <v>334080686</v>
      </c>
      <c r="AE512" s="4">
        <v>27245757</v>
      </c>
      <c r="AG512" s="4" t="s">
        <v>1650</v>
      </c>
      <c r="AH512" s="4" t="s">
        <v>1651</v>
      </c>
      <c r="AI512" s="4" t="s">
        <v>250</v>
      </c>
    </row>
    <row r="513" spans="1:35" ht="36" x14ac:dyDescent="0.3">
      <c r="A513" s="10" t="s">
        <v>1695</v>
      </c>
      <c r="B513" s="10"/>
      <c r="C513" s="24" t="s">
        <v>1653</v>
      </c>
      <c r="D513" s="15"/>
      <c r="E513" s="15"/>
      <c r="F513" s="25" t="s">
        <v>597</v>
      </c>
      <c r="G513" s="26">
        <v>1.5</v>
      </c>
      <c r="H513" s="15"/>
      <c r="I513" s="26">
        <v>292.64999999999998</v>
      </c>
      <c r="J513" s="27">
        <v>260</v>
      </c>
      <c r="M513" s="28">
        <f>ROUND(ROUND(J513, 2)*I513, 2)</f>
        <v>76089</v>
      </c>
      <c r="P513" s="29">
        <v>260</v>
      </c>
      <c r="S513" s="28">
        <f>ROUND(ROUND(P513, 2)*I513, 2)</f>
        <v>76089</v>
      </c>
      <c r="V513" s="9">
        <f>ROUND(ROUND(P513, 2)/1.2, 2)</f>
        <v>216.67</v>
      </c>
      <c r="Y513" s="9">
        <f t="shared" si="20"/>
        <v>63407.5</v>
      </c>
      <c r="AD513" s="4" t="s">
        <v>1696</v>
      </c>
      <c r="AE513" s="4" t="s">
        <v>1697</v>
      </c>
      <c r="AF513" s="4" t="s">
        <v>1656</v>
      </c>
    </row>
    <row r="514" spans="1:35" ht="18" x14ac:dyDescent="0.3">
      <c r="A514" s="10" t="s">
        <v>1698</v>
      </c>
      <c r="B514" s="10" t="s">
        <v>1648</v>
      </c>
      <c r="C514" s="14" t="s">
        <v>1649</v>
      </c>
      <c r="D514" s="15"/>
      <c r="E514" s="15" t="s">
        <v>1699</v>
      </c>
      <c r="F514" s="15" t="s">
        <v>62</v>
      </c>
      <c r="G514" s="16">
        <v>1</v>
      </c>
      <c r="H514" s="15"/>
      <c r="I514" s="16">
        <v>23.1</v>
      </c>
      <c r="J514" s="17">
        <v>390</v>
      </c>
      <c r="K514" s="18">
        <v>1010</v>
      </c>
      <c r="L514" s="17">
        <f>J514+ROUND(K514, 2)</f>
        <v>1400</v>
      </c>
      <c r="M514" s="17">
        <v>9009</v>
      </c>
      <c r="N514" s="17">
        <v>23331</v>
      </c>
      <c r="O514" s="17">
        <f>M514+N514</f>
        <v>32340</v>
      </c>
      <c r="P514" s="17">
        <v>390</v>
      </c>
      <c r="Q514" s="19">
        <v>1515</v>
      </c>
      <c r="R514" s="17">
        <f>P514+ROUND(Q514, 2)</f>
        <v>1905</v>
      </c>
      <c r="S514" s="17">
        <v>9009</v>
      </c>
      <c r="T514" s="17">
        <v>34996.5</v>
      </c>
      <c r="U514" s="17">
        <f>S514+T514</f>
        <v>44005.5</v>
      </c>
      <c r="V514" s="9">
        <f>ROUND(P514 / 1.2, 2)</f>
        <v>325</v>
      </c>
      <c r="W514" s="9">
        <f>ROUND(Q514 / 1.2, 2)</f>
        <v>1262.5</v>
      </c>
      <c r="X514" s="9">
        <f>ROUND(R514 / 1.2, 2)</f>
        <v>1587.5</v>
      </c>
      <c r="Y514" s="9">
        <f t="shared" si="20"/>
        <v>7507.5</v>
      </c>
      <c r="Z514" s="9">
        <f>ROUND(T514 / 1.2, 2)</f>
        <v>29163.75</v>
      </c>
      <c r="AA514" s="9">
        <f>Y514+Z514</f>
        <v>36671.25</v>
      </c>
      <c r="AD514" s="4">
        <v>334080687</v>
      </c>
      <c r="AE514" s="4">
        <v>27245794</v>
      </c>
      <c r="AG514" s="4" t="s">
        <v>1650</v>
      </c>
      <c r="AH514" s="4" t="s">
        <v>1651</v>
      </c>
      <c r="AI514" s="4" t="s">
        <v>250</v>
      </c>
    </row>
    <row r="515" spans="1:35" ht="36" x14ac:dyDescent="0.3">
      <c r="A515" s="10" t="s">
        <v>1700</v>
      </c>
      <c r="B515" s="10"/>
      <c r="C515" s="24" t="s">
        <v>1653</v>
      </c>
      <c r="D515" s="15"/>
      <c r="E515" s="15"/>
      <c r="F515" s="25" t="s">
        <v>597</v>
      </c>
      <c r="G515" s="26">
        <v>1.5</v>
      </c>
      <c r="H515" s="15"/>
      <c r="I515" s="26">
        <v>34.65</v>
      </c>
      <c r="J515" s="27">
        <v>260</v>
      </c>
      <c r="M515" s="28">
        <f>ROUND(ROUND(J515, 2)*I515, 2)</f>
        <v>9009</v>
      </c>
      <c r="P515" s="29">
        <v>260</v>
      </c>
      <c r="S515" s="28">
        <f>ROUND(ROUND(P515, 2)*I515, 2)</f>
        <v>9009</v>
      </c>
      <c r="V515" s="9">
        <f>ROUND(ROUND(P515, 2)/1.2, 2)</f>
        <v>216.67</v>
      </c>
      <c r="Y515" s="9">
        <f t="shared" si="20"/>
        <v>7507.5</v>
      </c>
      <c r="AD515" s="4" t="s">
        <v>1701</v>
      </c>
      <c r="AE515" s="4" t="s">
        <v>1702</v>
      </c>
      <c r="AF515" s="4" t="s">
        <v>1656</v>
      </c>
    </row>
    <row r="516" spans="1:35" ht="18" x14ac:dyDescent="0.3">
      <c r="A516" s="10" t="s">
        <v>1703</v>
      </c>
      <c r="B516" s="10" t="s">
        <v>1648</v>
      </c>
      <c r="C516" s="14" t="s">
        <v>1649</v>
      </c>
      <c r="D516" s="15"/>
      <c r="E516" s="15" t="s">
        <v>1704</v>
      </c>
      <c r="F516" s="15" t="s">
        <v>62</v>
      </c>
      <c r="G516" s="16">
        <v>1</v>
      </c>
      <c r="H516" s="15"/>
      <c r="I516" s="16">
        <v>75</v>
      </c>
      <c r="J516" s="17">
        <v>390</v>
      </c>
      <c r="K516" s="18">
        <v>1010</v>
      </c>
      <c r="L516" s="17">
        <f>J516+ROUND(K516, 2)</f>
        <v>1400</v>
      </c>
      <c r="M516" s="17">
        <v>29250</v>
      </c>
      <c r="N516" s="17">
        <v>75750</v>
      </c>
      <c r="O516" s="17">
        <f>M516+N516</f>
        <v>105000</v>
      </c>
      <c r="P516" s="17">
        <v>390</v>
      </c>
      <c r="Q516" s="19">
        <v>1515</v>
      </c>
      <c r="R516" s="17">
        <f>P516+ROUND(Q516, 2)</f>
        <v>1905</v>
      </c>
      <c r="S516" s="17">
        <v>29250</v>
      </c>
      <c r="T516" s="17">
        <v>113625</v>
      </c>
      <c r="U516" s="17">
        <f>S516+T516</f>
        <v>142875</v>
      </c>
      <c r="V516" s="9">
        <f>ROUND(P516 / 1.2, 2)</f>
        <v>325</v>
      </c>
      <c r="W516" s="9">
        <f>ROUND(Q516 / 1.2, 2)</f>
        <v>1262.5</v>
      </c>
      <c r="X516" s="9">
        <f>ROUND(R516 / 1.2, 2)</f>
        <v>1587.5</v>
      </c>
      <c r="Y516" s="9">
        <f t="shared" si="20"/>
        <v>24375</v>
      </c>
      <c r="Z516" s="9">
        <f>ROUND(T516 / 1.2, 2)</f>
        <v>94687.5</v>
      </c>
      <c r="AA516" s="9">
        <f>Y516+Z516</f>
        <v>119062.5</v>
      </c>
      <c r="AD516" s="4">
        <v>334080688</v>
      </c>
      <c r="AE516" s="4">
        <v>27245758</v>
      </c>
      <c r="AG516" s="4" t="s">
        <v>1650</v>
      </c>
      <c r="AH516" s="4" t="s">
        <v>1651</v>
      </c>
      <c r="AI516" s="4" t="s">
        <v>250</v>
      </c>
    </row>
    <row r="517" spans="1:35" ht="36" x14ac:dyDescent="0.3">
      <c r="A517" s="10" t="s">
        <v>1705</v>
      </c>
      <c r="B517" s="10"/>
      <c r="C517" s="24" t="s">
        <v>1653</v>
      </c>
      <c r="D517" s="15"/>
      <c r="E517" s="15"/>
      <c r="F517" s="25" t="s">
        <v>597</v>
      </c>
      <c r="G517" s="26">
        <v>1.5</v>
      </c>
      <c r="H517" s="15"/>
      <c r="I517" s="26">
        <v>112.5</v>
      </c>
      <c r="J517" s="27">
        <v>260</v>
      </c>
      <c r="M517" s="28">
        <f>ROUND(ROUND(J517, 2)*I517, 2)</f>
        <v>29250</v>
      </c>
      <c r="P517" s="29">
        <v>260</v>
      </c>
      <c r="S517" s="28">
        <f>ROUND(ROUND(P517, 2)*I517, 2)</f>
        <v>29250</v>
      </c>
      <c r="V517" s="9">
        <f>ROUND(ROUND(P517, 2)/1.2, 2)</f>
        <v>216.67</v>
      </c>
      <c r="Y517" s="9">
        <f t="shared" si="20"/>
        <v>24375</v>
      </c>
      <c r="AD517" s="4" t="s">
        <v>1706</v>
      </c>
      <c r="AE517" s="4" t="s">
        <v>1707</v>
      </c>
      <c r="AF517" s="4" t="s">
        <v>1656</v>
      </c>
    </row>
    <row r="518" spans="1:35" ht="18" x14ac:dyDescent="0.3">
      <c r="A518" s="10" t="s">
        <v>1708</v>
      </c>
      <c r="B518" s="10" t="s">
        <v>1648</v>
      </c>
      <c r="C518" s="14" t="s">
        <v>1649</v>
      </c>
      <c r="D518" s="15"/>
      <c r="E518" s="15" t="s">
        <v>1709</v>
      </c>
      <c r="F518" s="15" t="s">
        <v>62</v>
      </c>
      <c r="G518" s="16">
        <v>1</v>
      </c>
      <c r="H518" s="15"/>
      <c r="I518" s="16">
        <v>41.8</v>
      </c>
      <c r="J518" s="17">
        <v>390</v>
      </c>
      <c r="K518" s="18">
        <v>1010</v>
      </c>
      <c r="L518" s="17">
        <f>J518+ROUND(K518, 2)</f>
        <v>1400</v>
      </c>
      <c r="M518" s="17">
        <v>16302</v>
      </c>
      <c r="N518" s="17">
        <v>42218</v>
      </c>
      <c r="O518" s="17">
        <f>M518+N518</f>
        <v>58520</v>
      </c>
      <c r="P518" s="17">
        <v>390</v>
      </c>
      <c r="Q518" s="19">
        <v>1515</v>
      </c>
      <c r="R518" s="17">
        <f>P518+ROUND(Q518, 2)</f>
        <v>1905</v>
      </c>
      <c r="S518" s="17">
        <v>16302</v>
      </c>
      <c r="T518" s="17">
        <v>63327</v>
      </c>
      <c r="U518" s="17">
        <f>S518+T518</f>
        <v>79629</v>
      </c>
      <c r="V518" s="9">
        <f>ROUND(P518 / 1.2, 2)</f>
        <v>325</v>
      </c>
      <c r="W518" s="9">
        <f>ROUND(Q518 / 1.2, 2)</f>
        <v>1262.5</v>
      </c>
      <c r="X518" s="9">
        <f>ROUND(R518 / 1.2, 2)</f>
        <v>1587.5</v>
      </c>
      <c r="Y518" s="9">
        <f t="shared" si="20"/>
        <v>13585</v>
      </c>
      <c r="Z518" s="9">
        <f>ROUND(T518 / 1.2, 2)</f>
        <v>52772.5</v>
      </c>
      <c r="AA518" s="9">
        <f>Y518+Z518</f>
        <v>66357.5</v>
      </c>
      <c r="AD518" s="4">
        <v>334080689</v>
      </c>
      <c r="AE518" s="4">
        <v>27245795</v>
      </c>
      <c r="AG518" s="4" t="s">
        <v>1650</v>
      </c>
      <c r="AH518" s="4" t="s">
        <v>1651</v>
      </c>
      <c r="AI518" s="4" t="s">
        <v>250</v>
      </c>
    </row>
    <row r="519" spans="1:35" ht="36" x14ac:dyDescent="0.3">
      <c r="A519" s="10" t="s">
        <v>1710</v>
      </c>
      <c r="B519" s="10"/>
      <c r="C519" s="24" t="s">
        <v>1653</v>
      </c>
      <c r="D519" s="15"/>
      <c r="E519" s="15"/>
      <c r="F519" s="25" t="s">
        <v>597</v>
      </c>
      <c r="G519" s="26">
        <v>1.5</v>
      </c>
      <c r="H519" s="15"/>
      <c r="I519" s="26">
        <v>62.7</v>
      </c>
      <c r="J519" s="27">
        <v>260</v>
      </c>
      <c r="M519" s="28">
        <f>ROUND(ROUND(J519, 2)*I519, 2)</f>
        <v>16302</v>
      </c>
      <c r="P519" s="29">
        <v>260</v>
      </c>
      <c r="S519" s="28">
        <f>ROUND(ROUND(P519, 2)*I519, 2)</f>
        <v>16302</v>
      </c>
      <c r="V519" s="9">
        <f>ROUND(ROUND(P519, 2)/1.2, 2)</f>
        <v>216.67</v>
      </c>
      <c r="Y519" s="9">
        <f t="shared" si="20"/>
        <v>13585</v>
      </c>
      <c r="AD519" s="4" t="s">
        <v>1711</v>
      </c>
      <c r="AE519" s="4" t="s">
        <v>1712</v>
      </c>
      <c r="AF519" s="4" t="s">
        <v>1656</v>
      </c>
    </row>
    <row r="520" spans="1:35" ht="18" x14ac:dyDescent="0.3">
      <c r="A520" s="10" t="s">
        <v>1713</v>
      </c>
      <c r="B520" s="10" t="s">
        <v>1648</v>
      </c>
      <c r="C520" s="14" t="s">
        <v>1649</v>
      </c>
      <c r="D520" s="15"/>
      <c r="E520" s="15" t="s">
        <v>1714</v>
      </c>
      <c r="F520" s="15" t="s">
        <v>62</v>
      </c>
      <c r="G520" s="16">
        <v>1</v>
      </c>
      <c r="H520" s="15"/>
      <c r="I520" s="16">
        <v>25.2</v>
      </c>
      <c r="J520" s="17">
        <v>390</v>
      </c>
      <c r="K520" s="18">
        <v>1010</v>
      </c>
      <c r="L520" s="17">
        <f>J520+ROUND(K520, 2)</f>
        <v>1400</v>
      </c>
      <c r="M520" s="17">
        <v>9828</v>
      </c>
      <c r="N520" s="17">
        <v>25452</v>
      </c>
      <c r="O520" s="17">
        <f>M520+N520</f>
        <v>35280</v>
      </c>
      <c r="P520" s="17">
        <v>390</v>
      </c>
      <c r="Q520" s="19">
        <v>1515</v>
      </c>
      <c r="R520" s="17">
        <f>P520+ROUND(Q520, 2)</f>
        <v>1905</v>
      </c>
      <c r="S520" s="17">
        <v>9828</v>
      </c>
      <c r="T520" s="17">
        <v>38178</v>
      </c>
      <c r="U520" s="17">
        <f>S520+T520</f>
        <v>48006</v>
      </c>
      <c r="V520" s="9">
        <f>ROUND(P520 / 1.2, 2)</f>
        <v>325</v>
      </c>
      <c r="W520" s="9">
        <f>ROUND(Q520 / 1.2, 2)</f>
        <v>1262.5</v>
      </c>
      <c r="X520" s="9">
        <f>ROUND(R520 / 1.2, 2)</f>
        <v>1587.5</v>
      </c>
      <c r="Y520" s="9">
        <f t="shared" si="20"/>
        <v>8190</v>
      </c>
      <c r="Z520" s="9">
        <f>ROUND(T520 / 1.2, 2)</f>
        <v>31815</v>
      </c>
      <c r="AA520" s="9">
        <f>Y520+Z520</f>
        <v>40005</v>
      </c>
      <c r="AD520" s="4">
        <v>334080690</v>
      </c>
      <c r="AE520" s="4">
        <v>27245726</v>
      </c>
      <c r="AG520" s="4" t="s">
        <v>1650</v>
      </c>
      <c r="AH520" s="4" t="s">
        <v>1651</v>
      </c>
      <c r="AI520" s="4" t="s">
        <v>250</v>
      </c>
    </row>
    <row r="521" spans="1:35" ht="36" x14ac:dyDescent="0.3">
      <c r="A521" s="10" t="s">
        <v>1715</v>
      </c>
      <c r="B521" s="10"/>
      <c r="C521" s="24" t="s">
        <v>1653</v>
      </c>
      <c r="D521" s="15"/>
      <c r="E521" s="15"/>
      <c r="F521" s="25" t="s">
        <v>597</v>
      </c>
      <c r="G521" s="26">
        <v>1.5</v>
      </c>
      <c r="H521" s="15"/>
      <c r="I521" s="26">
        <v>37.799999999999997</v>
      </c>
      <c r="J521" s="27">
        <v>260</v>
      </c>
      <c r="M521" s="28">
        <f>ROUND(ROUND(J521, 2)*I521, 2)</f>
        <v>9828</v>
      </c>
      <c r="P521" s="29">
        <v>260</v>
      </c>
      <c r="S521" s="28">
        <f>ROUND(ROUND(P521, 2)*I521, 2)</f>
        <v>9828</v>
      </c>
      <c r="V521" s="9">
        <f>ROUND(ROUND(P521, 2)/1.2, 2)</f>
        <v>216.67</v>
      </c>
      <c r="Y521" s="9">
        <f t="shared" si="20"/>
        <v>8190</v>
      </c>
      <c r="AD521" s="4" t="s">
        <v>1716</v>
      </c>
      <c r="AE521" s="4" t="s">
        <v>1717</v>
      </c>
      <c r="AF521" s="4" t="s">
        <v>1656</v>
      </c>
    </row>
    <row r="522" spans="1:35" ht="108" x14ac:dyDescent="0.3">
      <c r="A522" s="10" t="s">
        <v>1718</v>
      </c>
      <c r="B522" s="10" t="s">
        <v>1648</v>
      </c>
      <c r="C522" s="14" t="s">
        <v>1649</v>
      </c>
      <c r="D522" s="15"/>
      <c r="E522" s="15" t="s">
        <v>1719</v>
      </c>
      <c r="F522" s="15" t="s">
        <v>62</v>
      </c>
      <c r="G522" s="16">
        <v>1</v>
      </c>
      <c r="H522" s="15"/>
      <c r="I522" s="16">
        <v>9.3000000000000007</v>
      </c>
      <c r="J522" s="17">
        <v>390</v>
      </c>
      <c r="K522" s="18">
        <v>1010</v>
      </c>
      <c r="L522" s="17">
        <f>J522+ROUND(K522, 2)</f>
        <v>1400</v>
      </c>
      <c r="M522" s="17">
        <v>3627</v>
      </c>
      <c r="N522" s="17">
        <v>9393</v>
      </c>
      <c r="O522" s="17">
        <f>M522+N522</f>
        <v>13020</v>
      </c>
      <c r="P522" s="17">
        <v>390</v>
      </c>
      <c r="Q522" s="19">
        <v>1515</v>
      </c>
      <c r="R522" s="17">
        <f>P522+ROUND(Q522, 2)</f>
        <v>1905</v>
      </c>
      <c r="S522" s="17">
        <v>3627</v>
      </c>
      <c r="T522" s="17">
        <v>14089.5</v>
      </c>
      <c r="U522" s="17">
        <f>S522+T522</f>
        <v>17716.5</v>
      </c>
      <c r="V522" s="9">
        <f>ROUND(P522 / 1.2, 2)</f>
        <v>325</v>
      </c>
      <c r="W522" s="9">
        <f>ROUND(Q522 / 1.2, 2)</f>
        <v>1262.5</v>
      </c>
      <c r="X522" s="9">
        <f>ROUND(R522 / 1.2, 2)</f>
        <v>1587.5</v>
      </c>
      <c r="Y522" s="9">
        <f t="shared" si="20"/>
        <v>3022.5</v>
      </c>
      <c r="Z522" s="9">
        <f>ROUND(T522 / 1.2, 2)</f>
        <v>11741.25</v>
      </c>
      <c r="AA522" s="9">
        <f>Y522+Z522</f>
        <v>14763.75</v>
      </c>
      <c r="AD522" s="4">
        <v>334080691</v>
      </c>
      <c r="AE522" s="4">
        <v>27245752</v>
      </c>
      <c r="AG522" s="4" t="s">
        <v>1650</v>
      </c>
      <c r="AH522" s="4" t="s">
        <v>1651</v>
      </c>
      <c r="AI522" s="4" t="s">
        <v>250</v>
      </c>
    </row>
    <row r="523" spans="1:35" ht="36" x14ac:dyDescent="0.3">
      <c r="A523" s="10" t="s">
        <v>1720</v>
      </c>
      <c r="B523" s="10"/>
      <c r="C523" s="24" t="s">
        <v>1653</v>
      </c>
      <c r="D523" s="15"/>
      <c r="E523" s="15"/>
      <c r="F523" s="25" t="s">
        <v>597</v>
      </c>
      <c r="G523" s="26">
        <v>1.5</v>
      </c>
      <c r="H523" s="15"/>
      <c r="I523" s="26">
        <v>13.95</v>
      </c>
      <c r="J523" s="27">
        <v>260</v>
      </c>
      <c r="M523" s="28">
        <f>ROUND(ROUND(J523, 2)*I523, 2)</f>
        <v>3627</v>
      </c>
      <c r="P523" s="29">
        <v>260</v>
      </c>
      <c r="S523" s="28">
        <f>ROUND(ROUND(P523, 2)*I523, 2)</f>
        <v>3627</v>
      </c>
      <c r="V523" s="9">
        <f>ROUND(ROUND(P523, 2)/1.2, 2)</f>
        <v>216.67</v>
      </c>
      <c r="Y523" s="9">
        <f t="shared" si="20"/>
        <v>3022.5</v>
      </c>
      <c r="AD523" s="4" t="s">
        <v>1721</v>
      </c>
      <c r="AE523" s="4" t="s">
        <v>1722</v>
      </c>
      <c r="AF523" s="4" t="s">
        <v>1656</v>
      </c>
    </row>
    <row r="524" spans="1:35" ht="108" x14ac:dyDescent="0.3">
      <c r="A524" s="10" t="s">
        <v>1723</v>
      </c>
      <c r="B524" s="10" t="s">
        <v>1648</v>
      </c>
      <c r="C524" s="14" t="s">
        <v>1649</v>
      </c>
      <c r="D524" s="15"/>
      <c r="E524" s="15" t="s">
        <v>1724</v>
      </c>
      <c r="F524" s="15" t="s">
        <v>62</v>
      </c>
      <c r="G524" s="16">
        <v>1</v>
      </c>
      <c r="H524" s="15"/>
      <c r="I524" s="16">
        <v>9.4</v>
      </c>
      <c r="J524" s="17">
        <v>390</v>
      </c>
      <c r="K524" s="18">
        <v>1010</v>
      </c>
      <c r="L524" s="17">
        <f>J524+ROUND(K524, 2)</f>
        <v>1400</v>
      </c>
      <c r="M524" s="17">
        <v>3666</v>
      </c>
      <c r="N524" s="17">
        <v>9494</v>
      </c>
      <c r="O524" s="17">
        <f>M524+N524</f>
        <v>13160</v>
      </c>
      <c r="P524" s="17">
        <v>390</v>
      </c>
      <c r="Q524" s="19">
        <v>1515</v>
      </c>
      <c r="R524" s="17">
        <f>P524+ROUND(Q524, 2)</f>
        <v>1905</v>
      </c>
      <c r="S524" s="17">
        <v>3666</v>
      </c>
      <c r="T524" s="17">
        <v>14241</v>
      </c>
      <c r="U524" s="17">
        <f>S524+T524</f>
        <v>17907</v>
      </c>
      <c r="V524" s="9">
        <f>ROUND(P524 / 1.2, 2)</f>
        <v>325</v>
      </c>
      <c r="W524" s="9">
        <f>ROUND(Q524 / 1.2, 2)</f>
        <v>1262.5</v>
      </c>
      <c r="X524" s="9">
        <f>ROUND(R524 / 1.2, 2)</f>
        <v>1587.5</v>
      </c>
      <c r="Y524" s="9">
        <f t="shared" si="20"/>
        <v>3055</v>
      </c>
      <c r="Z524" s="9">
        <f>ROUND(T524 / 1.2, 2)</f>
        <v>11867.5</v>
      </c>
      <c r="AA524" s="9">
        <f>Y524+Z524</f>
        <v>14922.5</v>
      </c>
      <c r="AD524" s="4">
        <v>334080692</v>
      </c>
      <c r="AE524" s="4">
        <v>27245756</v>
      </c>
      <c r="AG524" s="4" t="s">
        <v>1650</v>
      </c>
      <c r="AH524" s="4" t="s">
        <v>1651</v>
      </c>
      <c r="AI524" s="4" t="s">
        <v>250</v>
      </c>
    </row>
    <row r="525" spans="1:35" ht="36" x14ac:dyDescent="0.3">
      <c r="A525" s="10" t="s">
        <v>1725</v>
      </c>
      <c r="B525" s="10"/>
      <c r="C525" s="24" t="s">
        <v>1653</v>
      </c>
      <c r="D525" s="15"/>
      <c r="E525" s="15"/>
      <c r="F525" s="25" t="s">
        <v>597</v>
      </c>
      <c r="G525" s="26">
        <v>1.5</v>
      </c>
      <c r="H525" s="15"/>
      <c r="I525" s="26">
        <v>14.1</v>
      </c>
      <c r="J525" s="27">
        <v>260</v>
      </c>
      <c r="M525" s="28">
        <f>ROUND(ROUND(J525, 2)*I525, 2)</f>
        <v>3666</v>
      </c>
      <c r="P525" s="29">
        <v>260</v>
      </c>
      <c r="S525" s="28">
        <f>ROUND(ROUND(P525, 2)*I525, 2)</f>
        <v>3666</v>
      </c>
      <c r="V525" s="9">
        <f>ROUND(ROUND(P525, 2)/1.2, 2)</f>
        <v>216.67</v>
      </c>
      <c r="Y525" s="9">
        <f t="shared" si="20"/>
        <v>3055</v>
      </c>
      <c r="AD525" s="4" t="s">
        <v>1726</v>
      </c>
      <c r="AE525" s="4" t="s">
        <v>1727</v>
      </c>
      <c r="AF525" s="4" t="s">
        <v>1656</v>
      </c>
    </row>
    <row r="526" spans="1:35" ht="18" x14ac:dyDescent="0.3">
      <c r="A526" s="10" t="s">
        <v>1728</v>
      </c>
      <c r="B526" s="10" t="s">
        <v>1648</v>
      </c>
      <c r="C526" s="14" t="s">
        <v>1649</v>
      </c>
      <c r="D526" s="15"/>
      <c r="E526" s="15"/>
      <c r="F526" s="15" t="s">
        <v>62</v>
      </c>
      <c r="G526" s="16">
        <v>1</v>
      </c>
      <c r="H526" s="15"/>
      <c r="I526" s="16">
        <v>0</v>
      </c>
      <c r="J526" s="17">
        <v>0</v>
      </c>
      <c r="K526" s="18">
        <v>1010</v>
      </c>
      <c r="L526" s="17">
        <f>J526+ROUND(K526, 2)</f>
        <v>1010</v>
      </c>
      <c r="M526" s="17">
        <v>0</v>
      </c>
      <c r="N526" s="17">
        <v>0</v>
      </c>
      <c r="O526" s="17">
        <f>M526+N526</f>
        <v>0</v>
      </c>
      <c r="P526" s="17">
        <v>0</v>
      </c>
      <c r="Q526" s="19">
        <v>1515</v>
      </c>
      <c r="R526" s="17">
        <f>P526+ROUND(Q526, 2)</f>
        <v>1515</v>
      </c>
      <c r="S526" s="17">
        <v>0</v>
      </c>
      <c r="T526" s="17">
        <v>0</v>
      </c>
      <c r="U526" s="17">
        <f>S526+T526</f>
        <v>0</v>
      </c>
      <c r="V526" s="9">
        <f>ROUND(P526 / 1.2, 2)</f>
        <v>0</v>
      </c>
      <c r="W526" s="9">
        <f>ROUND(Q526 / 1.2, 2)</f>
        <v>1262.5</v>
      </c>
      <c r="X526" s="9">
        <f>ROUND(R526 / 1.2, 2)</f>
        <v>1262.5</v>
      </c>
      <c r="Y526" s="9">
        <f t="shared" si="20"/>
        <v>0</v>
      </c>
      <c r="Z526" s="9">
        <f>ROUND(T526 / 1.2, 2)</f>
        <v>0</v>
      </c>
      <c r="AA526" s="9">
        <f>Y526+Z526</f>
        <v>0</v>
      </c>
      <c r="AD526" s="4">
        <v>334080693</v>
      </c>
      <c r="AE526" s="4">
        <v>27245687</v>
      </c>
      <c r="AG526" s="4" t="s">
        <v>1650</v>
      </c>
      <c r="AH526" s="4" t="s">
        <v>1651</v>
      </c>
      <c r="AI526" s="4" t="s">
        <v>250</v>
      </c>
    </row>
    <row r="527" spans="1:35" ht="36" x14ac:dyDescent="0.3">
      <c r="A527" s="10" t="s">
        <v>1729</v>
      </c>
      <c r="B527" s="10"/>
      <c r="C527" s="24" t="s">
        <v>1653</v>
      </c>
      <c r="D527" s="15"/>
      <c r="E527" s="15"/>
      <c r="F527" s="25" t="s">
        <v>597</v>
      </c>
      <c r="G527" s="26">
        <v>1.5</v>
      </c>
      <c r="H527" s="15"/>
      <c r="I527" s="26">
        <v>0</v>
      </c>
      <c r="J527" s="27">
        <v>260</v>
      </c>
      <c r="M527" s="28">
        <f>ROUND(ROUND(J527, 2)*I527, 2)</f>
        <v>0</v>
      </c>
      <c r="P527" s="29">
        <v>260</v>
      </c>
      <c r="S527" s="28">
        <f>ROUND(ROUND(P527, 2)*I527, 2)</f>
        <v>0</v>
      </c>
      <c r="V527" s="9">
        <f>ROUND(ROUND(P527, 2)/1.2, 2)</f>
        <v>216.67</v>
      </c>
      <c r="Y527" s="9">
        <f t="shared" si="20"/>
        <v>0</v>
      </c>
      <c r="AD527" s="4" t="s">
        <v>1730</v>
      </c>
      <c r="AE527" s="4" t="s">
        <v>1731</v>
      </c>
      <c r="AF527" s="4" t="s">
        <v>1656</v>
      </c>
    </row>
    <row r="528" spans="1:35" ht="18" x14ac:dyDescent="0.3">
      <c r="A528" s="10" t="s">
        <v>1732</v>
      </c>
      <c r="B528" s="10" t="s">
        <v>1733</v>
      </c>
      <c r="C528" s="14" t="s">
        <v>1734</v>
      </c>
      <c r="D528" s="15"/>
      <c r="E528" s="15"/>
      <c r="F528" s="15" t="s">
        <v>62</v>
      </c>
      <c r="G528" s="16">
        <v>1</v>
      </c>
      <c r="H528" s="15"/>
      <c r="I528" s="16">
        <v>0</v>
      </c>
      <c r="J528" s="17">
        <v>0</v>
      </c>
      <c r="K528" s="18">
        <v>1010</v>
      </c>
      <c r="L528" s="17">
        <f>J528+ROUND(K528, 2)</f>
        <v>1010</v>
      </c>
      <c r="M528" s="17">
        <v>0</v>
      </c>
      <c r="N528" s="17">
        <v>0</v>
      </c>
      <c r="O528" s="17">
        <f>M528+N528</f>
        <v>0</v>
      </c>
      <c r="P528" s="17">
        <v>418</v>
      </c>
      <c r="Q528" s="19">
        <v>1010</v>
      </c>
      <c r="R528" s="17">
        <f>P528+ROUND(Q528, 2)</f>
        <v>1428</v>
      </c>
      <c r="S528" s="17">
        <v>0</v>
      </c>
      <c r="T528" s="17">
        <v>0</v>
      </c>
      <c r="U528" s="17">
        <f>S528+T528</f>
        <v>0</v>
      </c>
      <c r="V528" s="9">
        <f>ROUND(P528 / 1.2, 2)</f>
        <v>348.33</v>
      </c>
      <c r="W528" s="9">
        <f>ROUND(Q528 / 1.2, 2)</f>
        <v>841.67</v>
      </c>
      <c r="X528" s="9">
        <f>ROUND(R528 / 1.2, 2)</f>
        <v>1190</v>
      </c>
      <c r="Y528" s="9">
        <f t="shared" si="20"/>
        <v>0</v>
      </c>
      <c r="Z528" s="9">
        <f>ROUND(T528 / 1.2, 2)</f>
        <v>0</v>
      </c>
      <c r="AA528" s="9">
        <f>Y528+Z528</f>
        <v>0</v>
      </c>
      <c r="AD528" s="4">
        <v>334080538</v>
      </c>
      <c r="AE528" s="4">
        <v>27245696</v>
      </c>
      <c r="AG528" s="4" t="s">
        <v>1735</v>
      </c>
      <c r="AH528" s="4" t="s">
        <v>1736</v>
      </c>
      <c r="AI528" s="4" t="s">
        <v>250</v>
      </c>
    </row>
    <row r="529" spans="1:35" ht="18" x14ac:dyDescent="0.3">
      <c r="A529" s="10" t="s">
        <v>1737</v>
      </c>
      <c r="B529" s="10"/>
      <c r="C529" s="24" t="s">
        <v>1738</v>
      </c>
      <c r="D529" s="15"/>
      <c r="E529" s="15"/>
      <c r="F529" s="25" t="s">
        <v>597</v>
      </c>
      <c r="G529" s="26">
        <v>1</v>
      </c>
      <c r="H529" s="15"/>
      <c r="I529" s="26">
        <v>0</v>
      </c>
      <c r="J529" s="27">
        <v>418</v>
      </c>
      <c r="M529" s="28">
        <f>ROUND(ROUND(J529, 2)*I529, 2)</f>
        <v>0</v>
      </c>
      <c r="P529" s="29">
        <v>418</v>
      </c>
      <c r="S529" s="28">
        <f>ROUND(ROUND(P529, 2)*I529, 2)</f>
        <v>0</v>
      </c>
      <c r="V529" s="9">
        <f>ROUND(ROUND(P529, 2)/1.2, 2)</f>
        <v>348.33</v>
      </c>
      <c r="Y529" s="9">
        <f t="shared" si="20"/>
        <v>0</v>
      </c>
      <c r="AD529" s="4" t="s">
        <v>1739</v>
      </c>
      <c r="AE529" s="4" t="s">
        <v>1740</v>
      </c>
      <c r="AF529" s="4" t="s">
        <v>1741</v>
      </c>
    </row>
    <row r="530" spans="1:35" ht="270" x14ac:dyDescent="0.3">
      <c r="A530" s="10" t="s">
        <v>1742</v>
      </c>
      <c r="B530" s="10" t="s">
        <v>1733</v>
      </c>
      <c r="C530" s="14" t="s">
        <v>1734</v>
      </c>
      <c r="D530" s="15"/>
      <c r="E530" s="15" t="s">
        <v>1743</v>
      </c>
      <c r="F530" s="15" t="s">
        <v>62</v>
      </c>
      <c r="G530" s="16">
        <v>1</v>
      </c>
      <c r="H530" s="15"/>
      <c r="I530" s="16">
        <v>227.3</v>
      </c>
      <c r="J530" s="17">
        <v>418</v>
      </c>
      <c r="K530" s="18">
        <v>1010</v>
      </c>
      <c r="L530" s="17">
        <f>J530+ROUND(K530, 2)</f>
        <v>1428</v>
      </c>
      <c r="M530" s="17">
        <v>95011.4</v>
      </c>
      <c r="N530" s="17">
        <v>229573</v>
      </c>
      <c r="O530" s="17">
        <f>M530+N530</f>
        <v>324584.40000000002</v>
      </c>
      <c r="P530" s="17">
        <v>418</v>
      </c>
      <c r="Q530" s="19">
        <v>1515</v>
      </c>
      <c r="R530" s="17">
        <f>P530+ROUND(Q530, 2)</f>
        <v>1933</v>
      </c>
      <c r="S530" s="17">
        <v>95011.4</v>
      </c>
      <c r="T530" s="17">
        <v>344359.5</v>
      </c>
      <c r="U530" s="17">
        <f>S530+T530</f>
        <v>439370.9</v>
      </c>
      <c r="V530" s="9">
        <f>ROUND(P530 / 1.2, 2)</f>
        <v>348.33</v>
      </c>
      <c r="W530" s="9">
        <f>ROUND(Q530 / 1.2, 2)</f>
        <v>1262.5</v>
      </c>
      <c r="X530" s="9">
        <f>ROUND(R530 / 1.2, 2)</f>
        <v>1610.83</v>
      </c>
      <c r="Y530" s="9">
        <f t="shared" si="20"/>
        <v>79176.17</v>
      </c>
      <c r="Z530" s="9">
        <f>ROUND(T530 / 1.2, 2)</f>
        <v>286966.25</v>
      </c>
      <c r="AA530" s="9">
        <f>Y530+Z530</f>
        <v>366142.42</v>
      </c>
      <c r="AD530" s="4">
        <v>334080694</v>
      </c>
      <c r="AE530" s="4">
        <v>27245764</v>
      </c>
      <c r="AG530" s="4" t="s">
        <v>1735</v>
      </c>
      <c r="AH530" s="4" t="s">
        <v>1736</v>
      </c>
      <c r="AI530" s="4" t="s">
        <v>250</v>
      </c>
    </row>
    <row r="531" spans="1:35" ht="396" x14ac:dyDescent="0.3">
      <c r="A531" s="10" t="s">
        <v>1744</v>
      </c>
      <c r="B531" s="10"/>
      <c r="C531" s="24" t="s">
        <v>1738</v>
      </c>
      <c r="D531" s="15"/>
      <c r="E531" s="15" t="s">
        <v>1745</v>
      </c>
      <c r="F531" s="25" t="s">
        <v>597</v>
      </c>
      <c r="G531" s="26">
        <v>1</v>
      </c>
      <c r="H531" s="15"/>
      <c r="I531" s="26">
        <v>227.3</v>
      </c>
      <c r="J531" s="27">
        <v>418</v>
      </c>
      <c r="M531" s="28">
        <f>ROUND(ROUND(J531, 2)*I531, 2)</f>
        <v>95011.4</v>
      </c>
      <c r="P531" s="29">
        <v>418</v>
      </c>
      <c r="S531" s="28">
        <f>ROUND(ROUND(P531, 2)*I531, 2)</f>
        <v>95011.4</v>
      </c>
      <c r="V531" s="9">
        <f>ROUND(ROUND(P531, 2)/1.2, 2)</f>
        <v>348.33</v>
      </c>
      <c r="Y531" s="9">
        <f t="shared" si="20"/>
        <v>79176.17</v>
      </c>
      <c r="AD531" s="4" t="s">
        <v>1746</v>
      </c>
      <c r="AE531" s="4" t="s">
        <v>1747</v>
      </c>
      <c r="AF531" s="4" t="s">
        <v>1741</v>
      </c>
    </row>
    <row r="532" spans="1:35" ht="36" x14ac:dyDescent="0.3">
      <c r="A532" s="10" t="s">
        <v>1748</v>
      </c>
      <c r="B532" s="10" t="s">
        <v>1749</v>
      </c>
      <c r="C532" s="14" t="s">
        <v>1750</v>
      </c>
      <c r="D532" s="15"/>
      <c r="E532" s="15"/>
      <c r="F532" s="15" t="s">
        <v>62</v>
      </c>
      <c r="G532" s="16">
        <v>1</v>
      </c>
      <c r="H532" s="15"/>
      <c r="I532" s="16">
        <v>0</v>
      </c>
      <c r="J532" s="17">
        <v>0</v>
      </c>
      <c r="K532" s="18">
        <v>428</v>
      </c>
      <c r="L532" s="17">
        <f>J532+ROUND(K532, 2)</f>
        <v>428</v>
      </c>
      <c r="M532" s="17">
        <v>0</v>
      </c>
      <c r="N532" s="17">
        <v>0</v>
      </c>
      <c r="O532" s="17">
        <f>M532+N532</f>
        <v>0</v>
      </c>
      <c r="P532" s="17">
        <v>162.09</v>
      </c>
      <c r="Q532" s="19">
        <v>428</v>
      </c>
      <c r="R532" s="17">
        <f>P532+ROUND(Q532, 2)</f>
        <v>590.09</v>
      </c>
      <c r="S532" s="17">
        <v>0</v>
      </c>
      <c r="T532" s="17">
        <v>0</v>
      </c>
      <c r="U532" s="17">
        <f>S532+T532</f>
        <v>0</v>
      </c>
      <c r="V532" s="9">
        <f>ROUND(P532 / 1.2, 2)</f>
        <v>135.08000000000001</v>
      </c>
      <c r="W532" s="9">
        <f>ROUND(Q532 / 1.2, 2)</f>
        <v>356.67</v>
      </c>
      <c r="X532" s="9">
        <f>ROUND(R532 / 1.2, 2)</f>
        <v>491.74</v>
      </c>
      <c r="Y532" s="9">
        <f t="shared" si="20"/>
        <v>0</v>
      </c>
      <c r="Z532" s="9">
        <f>ROUND(T532 / 1.2, 2)</f>
        <v>0</v>
      </c>
      <c r="AA532" s="9">
        <f>Y532+Z532</f>
        <v>0</v>
      </c>
      <c r="AD532" s="4">
        <v>334080540</v>
      </c>
      <c r="AE532" s="4">
        <v>27245646</v>
      </c>
      <c r="AG532" s="4" t="s">
        <v>1751</v>
      </c>
      <c r="AH532" s="4" t="s">
        <v>1752</v>
      </c>
      <c r="AI532" s="4" t="s">
        <v>250</v>
      </c>
    </row>
    <row r="533" spans="1:35" ht="36" x14ac:dyDescent="0.3">
      <c r="A533" s="10" t="s">
        <v>1753</v>
      </c>
      <c r="B533" s="10"/>
      <c r="C533" s="24" t="s">
        <v>1007</v>
      </c>
      <c r="D533" s="15"/>
      <c r="E533" s="15"/>
      <c r="F533" s="25" t="s">
        <v>278</v>
      </c>
      <c r="G533" s="26">
        <v>0.15</v>
      </c>
      <c r="H533" s="15"/>
      <c r="I533" s="26">
        <v>0</v>
      </c>
      <c r="J533" s="27">
        <v>88.8</v>
      </c>
      <c r="M533" s="28">
        <f>ROUND(ROUND(J533, 2)*I533, 2)</f>
        <v>0</v>
      </c>
      <c r="P533" s="29">
        <v>88.8</v>
      </c>
      <c r="S533" s="28">
        <f>ROUND(ROUND(P533, 2)*I533, 2)</f>
        <v>0</v>
      </c>
      <c r="V533" s="9">
        <f>ROUND(ROUND(P533, 2)/1.2, 2)</f>
        <v>74</v>
      </c>
      <c r="Y533" s="9">
        <f t="shared" si="20"/>
        <v>0</v>
      </c>
      <c r="AD533" s="4" t="s">
        <v>1754</v>
      </c>
      <c r="AE533" s="4" t="s">
        <v>1755</v>
      </c>
      <c r="AF533" s="4" t="s">
        <v>1010</v>
      </c>
    </row>
    <row r="534" spans="1:35" ht="36" x14ac:dyDescent="0.3">
      <c r="A534" s="10" t="s">
        <v>1756</v>
      </c>
      <c r="B534" s="10"/>
      <c r="C534" s="24" t="s">
        <v>1757</v>
      </c>
      <c r="D534" s="15"/>
      <c r="E534" s="15"/>
      <c r="F534" s="25" t="s">
        <v>278</v>
      </c>
      <c r="G534" s="26">
        <v>0.3</v>
      </c>
      <c r="H534" s="15"/>
      <c r="I534" s="26">
        <v>0</v>
      </c>
      <c r="J534" s="27">
        <v>1216.56</v>
      </c>
      <c r="M534" s="28">
        <f>ROUND(ROUND(J534, 2)*I534, 2)</f>
        <v>0</v>
      </c>
      <c r="P534" s="29">
        <v>495.9</v>
      </c>
      <c r="S534" s="28">
        <f>ROUND(ROUND(P534, 2)*I534, 2)</f>
        <v>0</v>
      </c>
      <c r="V534" s="9">
        <f>ROUND(ROUND(P534, 2)/1.2, 2)</f>
        <v>413.25</v>
      </c>
      <c r="Y534" s="9">
        <f t="shared" si="20"/>
        <v>0</v>
      </c>
      <c r="AD534" s="4" t="s">
        <v>1758</v>
      </c>
      <c r="AE534" s="4" t="s">
        <v>1759</v>
      </c>
      <c r="AF534" s="4" t="s">
        <v>1760</v>
      </c>
    </row>
    <row r="535" spans="1:35" ht="36" x14ac:dyDescent="0.3">
      <c r="A535" s="10" t="s">
        <v>1761</v>
      </c>
      <c r="B535" s="10" t="s">
        <v>1749</v>
      </c>
      <c r="C535" s="14" t="s">
        <v>1750</v>
      </c>
      <c r="D535" s="15"/>
      <c r="E535" s="15"/>
      <c r="F535" s="15" t="s">
        <v>62</v>
      </c>
      <c r="G535" s="16">
        <v>1</v>
      </c>
      <c r="H535" s="15"/>
      <c r="I535" s="16">
        <v>0</v>
      </c>
      <c r="J535" s="17">
        <v>0</v>
      </c>
      <c r="K535" s="18">
        <v>428</v>
      </c>
      <c r="L535" s="17">
        <f>J535+ROUND(K535, 2)</f>
        <v>428</v>
      </c>
      <c r="M535" s="17">
        <v>0</v>
      </c>
      <c r="N535" s="17">
        <v>0</v>
      </c>
      <c r="O535" s="17">
        <f>M535+N535</f>
        <v>0</v>
      </c>
      <c r="P535" s="17">
        <v>162.09</v>
      </c>
      <c r="Q535" s="19">
        <v>428</v>
      </c>
      <c r="R535" s="17">
        <f>P535+ROUND(Q535, 2)</f>
        <v>590.09</v>
      </c>
      <c r="S535" s="17">
        <v>0</v>
      </c>
      <c r="T535" s="17">
        <v>0</v>
      </c>
      <c r="U535" s="17">
        <f>S535+T535</f>
        <v>0</v>
      </c>
      <c r="V535" s="9">
        <f>ROUND(P535 / 1.2, 2)</f>
        <v>135.08000000000001</v>
      </c>
      <c r="W535" s="9">
        <f>ROUND(Q535 / 1.2, 2)</f>
        <v>356.67</v>
      </c>
      <c r="X535" s="9">
        <f>ROUND(R535 / 1.2, 2)</f>
        <v>491.74</v>
      </c>
      <c r="Y535" s="9">
        <f t="shared" si="20"/>
        <v>0</v>
      </c>
      <c r="Z535" s="9">
        <f>ROUND(T535 / 1.2, 2)</f>
        <v>0</v>
      </c>
      <c r="AA535" s="9">
        <f>Y535+Z535</f>
        <v>0</v>
      </c>
      <c r="AD535" s="4">
        <v>334080695</v>
      </c>
      <c r="AE535" s="4">
        <v>27245647</v>
      </c>
      <c r="AG535" s="4" t="s">
        <v>1751</v>
      </c>
      <c r="AH535" s="4" t="s">
        <v>1752</v>
      </c>
      <c r="AI535" s="4" t="s">
        <v>250</v>
      </c>
    </row>
    <row r="536" spans="1:35" ht="36" x14ac:dyDescent="0.3">
      <c r="A536" s="10" t="s">
        <v>1762</v>
      </c>
      <c r="B536" s="10"/>
      <c r="C536" s="24" t="s">
        <v>1757</v>
      </c>
      <c r="D536" s="15"/>
      <c r="E536" s="15"/>
      <c r="F536" s="25" t="s">
        <v>278</v>
      </c>
      <c r="G536" s="26">
        <v>0.3</v>
      </c>
      <c r="H536" s="15"/>
      <c r="I536" s="26">
        <v>0</v>
      </c>
      <c r="J536" s="27">
        <v>1216.56</v>
      </c>
      <c r="M536" s="28">
        <f>ROUND(ROUND(J536, 2)*I536, 2)</f>
        <v>0</v>
      </c>
      <c r="P536" s="29">
        <v>495.9</v>
      </c>
      <c r="S536" s="28">
        <f>ROUND(ROUND(P536, 2)*I536, 2)</f>
        <v>0</v>
      </c>
      <c r="V536" s="9">
        <f>ROUND(ROUND(P536, 2)/1.2, 2)</f>
        <v>413.25</v>
      </c>
      <c r="Y536" s="9">
        <f t="shared" si="20"/>
        <v>0</v>
      </c>
      <c r="AD536" s="4" t="s">
        <v>1763</v>
      </c>
      <c r="AE536" s="4" t="s">
        <v>1764</v>
      </c>
      <c r="AF536" s="4" t="s">
        <v>1760</v>
      </c>
    </row>
    <row r="537" spans="1:35" ht="36" x14ac:dyDescent="0.3">
      <c r="A537" s="10" t="s">
        <v>1765</v>
      </c>
      <c r="B537" s="10"/>
      <c r="C537" s="24" t="s">
        <v>1007</v>
      </c>
      <c r="D537" s="15"/>
      <c r="E537" s="15"/>
      <c r="F537" s="25" t="s">
        <v>278</v>
      </c>
      <c r="G537" s="26">
        <v>0.15</v>
      </c>
      <c r="H537" s="15"/>
      <c r="I537" s="26">
        <v>0</v>
      </c>
      <c r="J537" s="27">
        <v>88.8</v>
      </c>
      <c r="M537" s="28">
        <f>ROUND(ROUND(J537, 2)*I537, 2)</f>
        <v>0</v>
      </c>
      <c r="P537" s="29">
        <v>88.8</v>
      </c>
      <c r="S537" s="28">
        <f>ROUND(ROUND(P537, 2)*I537, 2)</f>
        <v>0</v>
      </c>
      <c r="V537" s="9">
        <f>ROUND(ROUND(P537, 2)/1.2, 2)</f>
        <v>74</v>
      </c>
      <c r="Y537" s="9">
        <f t="shared" si="20"/>
        <v>0</v>
      </c>
      <c r="AD537" s="4" t="s">
        <v>1766</v>
      </c>
      <c r="AE537" s="4" t="s">
        <v>1767</v>
      </c>
      <c r="AF537" s="4" t="s">
        <v>1010</v>
      </c>
    </row>
    <row r="538" spans="1:35" ht="36" x14ac:dyDescent="0.3">
      <c r="A538" s="10" t="s">
        <v>1768</v>
      </c>
      <c r="B538" s="10" t="s">
        <v>1749</v>
      </c>
      <c r="C538" s="14" t="s">
        <v>1750</v>
      </c>
      <c r="D538" s="15"/>
      <c r="E538" s="15"/>
      <c r="F538" s="15" t="s">
        <v>62</v>
      </c>
      <c r="G538" s="16">
        <v>1</v>
      </c>
      <c r="H538" s="15"/>
      <c r="I538" s="16">
        <v>0</v>
      </c>
      <c r="J538" s="17">
        <v>0</v>
      </c>
      <c r="K538" s="18">
        <v>428</v>
      </c>
      <c r="L538" s="17">
        <f>J538+ROUND(K538, 2)</f>
        <v>428</v>
      </c>
      <c r="M538" s="17">
        <v>0</v>
      </c>
      <c r="N538" s="17">
        <v>0</v>
      </c>
      <c r="O538" s="17">
        <f>M538+N538</f>
        <v>0</v>
      </c>
      <c r="P538" s="17">
        <v>162.09</v>
      </c>
      <c r="Q538" s="19">
        <v>428</v>
      </c>
      <c r="R538" s="17">
        <f>P538+ROUND(Q538, 2)</f>
        <v>590.09</v>
      </c>
      <c r="S538" s="17">
        <v>0</v>
      </c>
      <c r="T538" s="17">
        <v>0</v>
      </c>
      <c r="U538" s="17">
        <f>S538+T538</f>
        <v>0</v>
      </c>
      <c r="V538" s="9">
        <f>ROUND(P538 / 1.2, 2)</f>
        <v>135.08000000000001</v>
      </c>
      <c r="W538" s="9">
        <f>ROUND(Q538 / 1.2, 2)</f>
        <v>356.67</v>
      </c>
      <c r="X538" s="9">
        <f>ROUND(R538 / 1.2, 2)</f>
        <v>491.74</v>
      </c>
      <c r="Y538" s="9">
        <f t="shared" si="20"/>
        <v>0</v>
      </c>
      <c r="Z538" s="9">
        <f>ROUND(T538 / 1.2, 2)</f>
        <v>0</v>
      </c>
      <c r="AA538" s="9">
        <f>Y538+Z538</f>
        <v>0</v>
      </c>
      <c r="AD538" s="4">
        <v>334080696</v>
      </c>
      <c r="AE538" s="4">
        <v>27245648</v>
      </c>
      <c r="AG538" s="4" t="s">
        <v>1751</v>
      </c>
      <c r="AH538" s="4" t="s">
        <v>1752</v>
      </c>
      <c r="AI538" s="4" t="s">
        <v>250</v>
      </c>
    </row>
    <row r="539" spans="1:35" ht="36" x14ac:dyDescent="0.3">
      <c r="A539" s="10" t="s">
        <v>1769</v>
      </c>
      <c r="B539" s="10"/>
      <c r="C539" s="24" t="s">
        <v>1007</v>
      </c>
      <c r="D539" s="15"/>
      <c r="E539" s="15"/>
      <c r="F539" s="25" t="s">
        <v>278</v>
      </c>
      <c r="G539" s="26">
        <v>0.15</v>
      </c>
      <c r="H539" s="15"/>
      <c r="I539" s="26">
        <v>0</v>
      </c>
      <c r="J539" s="27">
        <v>88.8</v>
      </c>
      <c r="M539" s="28">
        <f>ROUND(ROUND(J539, 2)*I539, 2)</f>
        <v>0</v>
      </c>
      <c r="P539" s="29">
        <v>88.8</v>
      </c>
      <c r="S539" s="28">
        <f>ROUND(ROUND(P539, 2)*I539, 2)</f>
        <v>0</v>
      </c>
      <c r="V539" s="9">
        <f>ROUND(ROUND(P539, 2)/1.2, 2)</f>
        <v>74</v>
      </c>
      <c r="Y539" s="9">
        <f t="shared" si="20"/>
        <v>0</v>
      </c>
      <c r="AD539" s="4" t="s">
        <v>1770</v>
      </c>
      <c r="AE539" s="4" t="s">
        <v>1771</v>
      </c>
      <c r="AF539" s="4" t="s">
        <v>1010</v>
      </c>
    </row>
    <row r="540" spans="1:35" ht="36" x14ac:dyDescent="0.3">
      <c r="A540" s="10" t="s">
        <v>1772</v>
      </c>
      <c r="B540" s="10"/>
      <c r="C540" s="24" t="s">
        <v>1757</v>
      </c>
      <c r="D540" s="15"/>
      <c r="E540" s="15"/>
      <c r="F540" s="25" t="s">
        <v>278</v>
      </c>
      <c r="G540" s="26">
        <v>0.3</v>
      </c>
      <c r="H540" s="15"/>
      <c r="I540" s="26">
        <v>0</v>
      </c>
      <c r="J540" s="27">
        <v>1216.56</v>
      </c>
      <c r="M540" s="28">
        <f>ROUND(ROUND(J540, 2)*I540, 2)</f>
        <v>0</v>
      </c>
      <c r="P540" s="29">
        <v>495.9</v>
      </c>
      <c r="S540" s="28">
        <f>ROUND(ROUND(P540, 2)*I540, 2)</f>
        <v>0</v>
      </c>
      <c r="V540" s="9">
        <f>ROUND(ROUND(P540, 2)/1.2, 2)</f>
        <v>413.25</v>
      </c>
      <c r="Y540" s="9">
        <f t="shared" si="20"/>
        <v>0</v>
      </c>
      <c r="AD540" s="4" t="s">
        <v>1773</v>
      </c>
      <c r="AE540" s="4" t="s">
        <v>1774</v>
      </c>
      <c r="AF540" s="4" t="s">
        <v>1760</v>
      </c>
    </row>
    <row r="541" spans="1:35" ht="36" x14ac:dyDescent="0.3">
      <c r="A541" s="10" t="s">
        <v>1775</v>
      </c>
      <c r="B541" s="10" t="s">
        <v>1749</v>
      </c>
      <c r="C541" s="14" t="s">
        <v>1750</v>
      </c>
      <c r="D541" s="15"/>
      <c r="E541" s="15"/>
      <c r="F541" s="15" t="s">
        <v>62</v>
      </c>
      <c r="G541" s="16">
        <v>1</v>
      </c>
      <c r="H541" s="15"/>
      <c r="I541" s="16">
        <v>0</v>
      </c>
      <c r="J541" s="17">
        <v>0</v>
      </c>
      <c r="K541" s="18">
        <v>428</v>
      </c>
      <c r="L541" s="17">
        <f>J541+ROUND(K541, 2)</f>
        <v>428</v>
      </c>
      <c r="M541" s="17">
        <v>0</v>
      </c>
      <c r="N541" s="17">
        <v>0</v>
      </c>
      <c r="O541" s="17">
        <f>M541+N541</f>
        <v>0</v>
      </c>
      <c r="P541" s="17">
        <v>162.09</v>
      </c>
      <c r="Q541" s="19">
        <v>428</v>
      </c>
      <c r="R541" s="17">
        <f>P541+ROUND(Q541, 2)</f>
        <v>590.09</v>
      </c>
      <c r="S541" s="17">
        <v>0</v>
      </c>
      <c r="T541" s="17">
        <v>0</v>
      </c>
      <c r="U541" s="17">
        <f>S541+T541</f>
        <v>0</v>
      </c>
      <c r="V541" s="9">
        <f>ROUND(P541 / 1.2, 2)</f>
        <v>135.08000000000001</v>
      </c>
      <c r="W541" s="9">
        <f>ROUND(Q541 / 1.2, 2)</f>
        <v>356.67</v>
      </c>
      <c r="X541" s="9">
        <f>ROUND(R541 / 1.2, 2)</f>
        <v>491.74</v>
      </c>
      <c r="Y541" s="9">
        <f t="shared" si="20"/>
        <v>0</v>
      </c>
      <c r="Z541" s="9">
        <f>ROUND(T541 / 1.2, 2)</f>
        <v>0</v>
      </c>
      <c r="AA541" s="9">
        <f>Y541+Z541</f>
        <v>0</v>
      </c>
      <c r="AD541" s="4">
        <v>334080697</v>
      </c>
      <c r="AE541" s="4">
        <v>27245649</v>
      </c>
      <c r="AG541" s="4" t="s">
        <v>1751</v>
      </c>
      <c r="AH541" s="4" t="s">
        <v>1752</v>
      </c>
      <c r="AI541" s="4" t="s">
        <v>250</v>
      </c>
    </row>
    <row r="542" spans="1:35" ht="36" x14ac:dyDescent="0.3">
      <c r="A542" s="10" t="s">
        <v>1776</v>
      </c>
      <c r="B542" s="10"/>
      <c r="C542" s="24" t="s">
        <v>1757</v>
      </c>
      <c r="D542" s="15"/>
      <c r="E542" s="15"/>
      <c r="F542" s="25" t="s">
        <v>278</v>
      </c>
      <c r="G542" s="26">
        <v>0.3</v>
      </c>
      <c r="H542" s="15"/>
      <c r="I542" s="26">
        <v>0</v>
      </c>
      <c r="J542" s="27">
        <v>1216.56</v>
      </c>
      <c r="M542" s="28">
        <f>ROUND(ROUND(J542, 2)*I542, 2)</f>
        <v>0</v>
      </c>
      <c r="P542" s="29">
        <v>495.9</v>
      </c>
      <c r="S542" s="28">
        <f>ROUND(ROUND(P542, 2)*I542, 2)</f>
        <v>0</v>
      </c>
      <c r="V542" s="9">
        <f>ROUND(ROUND(P542, 2)/1.2, 2)</f>
        <v>413.25</v>
      </c>
      <c r="Y542" s="9">
        <f t="shared" si="20"/>
        <v>0</v>
      </c>
      <c r="AD542" s="4" t="s">
        <v>1777</v>
      </c>
      <c r="AE542" s="4" t="s">
        <v>1778</v>
      </c>
      <c r="AF542" s="4" t="s">
        <v>1760</v>
      </c>
    </row>
    <row r="543" spans="1:35" ht="36" x14ac:dyDescent="0.3">
      <c r="A543" s="10" t="s">
        <v>1779</v>
      </c>
      <c r="B543" s="10"/>
      <c r="C543" s="24" t="s">
        <v>1007</v>
      </c>
      <c r="D543" s="15"/>
      <c r="E543" s="15"/>
      <c r="F543" s="25" t="s">
        <v>278</v>
      </c>
      <c r="G543" s="26">
        <v>0.15</v>
      </c>
      <c r="H543" s="15"/>
      <c r="I543" s="26">
        <v>0</v>
      </c>
      <c r="J543" s="27">
        <v>88.8</v>
      </c>
      <c r="M543" s="28">
        <f>ROUND(ROUND(J543, 2)*I543, 2)</f>
        <v>0</v>
      </c>
      <c r="P543" s="29">
        <v>88.8</v>
      </c>
      <c r="S543" s="28">
        <f>ROUND(ROUND(P543, 2)*I543, 2)</f>
        <v>0</v>
      </c>
      <c r="V543" s="9">
        <f>ROUND(ROUND(P543, 2)/1.2, 2)</f>
        <v>74</v>
      </c>
      <c r="Y543" s="9">
        <f t="shared" si="20"/>
        <v>0</v>
      </c>
      <c r="AD543" s="4" t="s">
        <v>1780</v>
      </c>
      <c r="AE543" s="4" t="s">
        <v>1781</v>
      </c>
      <c r="AF543" s="4" t="s">
        <v>1010</v>
      </c>
    </row>
    <row r="544" spans="1:35" ht="36" x14ac:dyDescent="0.3">
      <c r="A544" s="10" t="s">
        <v>1782</v>
      </c>
      <c r="B544" s="10" t="s">
        <v>1749</v>
      </c>
      <c r="C544" s="14" t="s">
        <v>1750</v>
      </c>
      <c r="D544" s="15"/>
      <c r="E544" s="15"/>
      <c r="F544" s="15" t="s">
        <v>62</v>
      </c>
      <c r="G544" s="16">
        <v>1</v>
      </c>
      <c r="H544" s="15"/>
      <c r="I544" s="16">
        <v>0</v>
      </c>
      <c r="J544" s="17">
        <v>0</v>
      </c>
      <c r="K544" s="18">
        <v>428</v>
      </c>
      <c r="L544" s="17">
        <f>J544+ROUND(K544, 2)</f>
        <v>428</v>
      </c>
      <c r="M544" s="17">
        <v>0</v>
      </c>
      <c r="N544" s="17">
        <v>0</v>
      </c>
      <c r="O544" s="17">
        <f>M544+N544</f>
        <v>0</v>
      </c>
      <c r="P544" s="17">
        <v>162.09</v>
      </c>
      <c r="Q544" s="19">
        <v>428</v>
      </c>
      <c r="R544" s="17">
        <f>P544+ROUND(Q544, 2)</f>
        <v>590.09</v>
      </c>
      <c r="S544" s="17">
        <v>0</v>
      </c>
      <c r="T544" s="17">
        <v>0</v>
      </c>
      <c r="U544" s="17">
        <f>S544+T544</f>
        <v>0</v>
      </c>
      <c r="V544" s="9">
        <f>ROUND(P544 / 1.2, 2)</f>
        <v>135.08000000000001</v>
      </c>
      <c r="W544" s="9">
        <f>ROUND(Q544 / 1.2, 2)</f>
        <v>356.67</v>
      </c>
      <c r="X544" s="9">
        <f>ROUND(R544 / 1.2, 2)</f>
        <v>491.74</v>
      </c>
      <c r="Y544" s="9">
        <f t="shared" si="20"/>
        <v>0</v>
      </c>
      <c r="Z544" s="9">
        <f>ROUND(T544 / 1.2, 2)</f>
        <v>0</v>
      </c>
      <c r="AA544" s="9">
        <f>Y544+Z544</f>
        <v>0</v>
      </c>
      <c r="AD544" s="4">
        <v>334080698</v>
      </c>
      <c r="AE544" s="4">
        <v>27245650</v>
      </c>
      <c r="AG544" s="4" t="s">
        <v>1751</v>
      </c>
      <c r="AH544" s="4" t="s">
        <v>1752</v>
      </c>
      <c r="AI544" s="4" t="s">
        <v>250</v>
      </c>
    </row>
    <row r="545" spans="1:35" ht="36" x14ac:dyDescent="0.3">
      <c r="A545" s="10" t="s">
        <v>1783</v>
      </c>
      <c r="B545" s="10"/>
      <c r="C545" s="24" t="s">
        <v>1007</v>
      </c>
      <c r="D545" s="15"/>
      <c r="E545" s="15"/>
      <c r="F545" s="25" t="s">
        <v>278</v>
      </c>
      <c r="G545" s="26">
        <v>0.15</v>
      </c>
      <c r="H545" s="15"/>
      <c r="I545" s="26">
        <v>0</v>
      </c>
      <c r="J545" s="27">
        <v>88.8</v>
      </c>
      <c r="M545" s="28">
        <f>ROUND(ROUND(J545, 2)*I545, 2)</f>
        <v>0</v>
      </c>
      <c r="P545" s="29">
        <v>88.8</v>
      </c>
      <c r="S545" s="28">
        <f>ROUND(ROUND(P545, 2)*I545, 2)</f>
        <v>0</v>
      </c>
      <c r="V545" s="9">
        <f>ROUND(ROUND(P545, 2)/1.2, 2)</f>
        <v>74</v>
      </c>
      <c r="Y545" s="9">
        <f t="shared" si="20"/>
        <v>0</v>
      </c>
      <c r="AD545" s="4" t="s">
        <v>1784</v>
      </c>
      <c r="AE545" s="4" t="s">
        <v>1785</v>
      </c>
      <c r="AF545" s="4" t="s">
        <v>1010</v>
      </c>
    </row>
    <row r="546" spans="1:35" ht="36" x14ac:dyDescent="0.3">
      <c r="A546" s="10" t="s">
        <v>1786</v>
      </c>
      <c r="B546" s="10"/>
      <c r="C546" s="24" t="s">
        <v>1757</v>
      </c>
      <c r="D546" s="15"/>
      <c r="E546" s="15"/>
      <c r="F546" s="25" t="s">
        <v>278</v>
      </c>
      <c r="G546" s="26">
        <v>0.3</v>
      </c>
      <c r="H546" s="15"/>
      <c r="I546" s="26">
        <v>0</v>
      </c>
      <c r="J546" s="27">
        <v>1216.56</v>
      </c>
      <c r="M546" s="28">
        <f>ROUND(ROUND(J546, 2)*I546, 2)</f>
        <v>0</v>
      </c>
      <c r="P546" s="29">
        <v>495.9</v>
      </c>
      <c r="S546" s="28">
        <f>ROUND(ROUND(P546, 2)*I546, 2)</f>
        <v>0</v>
      </c>
      <c r="V546" s="9">
        <f>ROUND(ROUND(P546, 2)/1.2, 2)</f>
        <v>413.25</v>
      </c>
      <c r="Y546" s="9">
        <f t="shared" si="20"/>
        <v>0</v>
      </c>
      <c r="AD546" s="4" t="s">
        <v>1787</v>
      </c>
      <c r="AE546" s="4" t="s">
        <v>1788</v>
      </c>
      <c r="AF546" s="4" t="s">
        <v>1760</v>
      </c>
    </row>
    <row r="547" spans="1:35" ht="36" x14ac:dyDescent="0.3">
      <c r="A547" s="10" t="s">
        <v>1789</v>
      </c>
      <c r="B547" s="10" t="s">
        <v>1749</v>
      </c>
      <c r="C547" s="14" t="s">
        <v>1750</v>
      </c>
      <c r="D547" s="15"/>
      <c r="E547" s="15"/>
      <c r="F547" s="15" t="s">
        <v>62</v>
      </c>
      <c r="G547" s="16">
        <v>1</v>
      </c>
      <c r="H547" s="15"/>
      <c r="I547" s="16">
        <v>0</v>
      </c>
      <c r="J547" s="17">
        <v>0</v>
      </c>
      <c r="K547" s="18">
        <v>428</v>
      </c>
      <c r="L547" s="17">
        <f>J547+ROUND(K547, 2)</f>
        <v>428</v>
      </c>
      <c r="M547" s="17">
        <v>0</v>
      </c>
      <c r="N547" s="17">
        <v>0</v>
      </c>
      <c r="O547" s="17">
        <f>M547+N547</f>
        <v>0</v>
      </c>
      <c r="P547" s="17">
        <v>162.09</v>
      </c>
      <c r="Q547" s="19">
        <v>428</v>
      </c>
      <c r="R547" s="17">
        <f>P547+ROUND(Q547, 2)</f>
        <v>590.09</v>
      </c>
      <c r="S547" s="17">
        <v>0</v>
      </c>
      <c r="T547" s="17">
        <v>0</v>
      </c>
      <c r="U547" s="17">
        <f>S547+T547</f>
        <v>0</v>
      </c>
      <c r="V547" s="9">
        <f>ROUND(P547 / 1.2, 2)</f>
        <v>135.08000000000001</v>
      </c>
      <c r="W547" s="9">
        <f>ROUND(Q547 / 1.2, 2)</f>
        <v>356.67</v>
      </c>
      <c r="X547" s="9">
        <f>ROUND(R547 / 1.2, 2)</f>
        <v>491.74</v>
      </c>
      <c r="Y547" s="9">
        <f t="shared" si="20"/>
        <v>0</v>
      </c>
      <c r="Z547" s="9">
        <f>ROUND(T547 / 1.2, 2)</f>
        <v>0</v>
      </c>
      <c r="AA547" s="9">
        <f>Y547+Z547</f>
        <v>0</v>
      </c>
      <c r="AD547" s="4">
        <v>334080699</v>
      </c>
      <c r="AE547" s="4">
        <v>27245651</v>
      </c>
      <c r="AG547" s="4" t="s">
        <v>1751</v>
      </c>
      <c r="AH547" s="4" t="s">
        <v>1752</v>
      </c>
      <c r="AI547" s="4" t="s">
        <v>250</v>
      </c>
    </row>
    <row r="548" spans="1:35" ht="36" x14ac:dyDescent="0.3">
      <c r="A548" s="10" t="s">
        <v>1790</v>
      </c>
      <c r="B548" s="10"/>
      <c r="C548" s="24" t="s">
        <v>1757</v>
      </c>
      <c r="D548" s="15"/>
      <c r="E548" s="15"/>
      <c r="F548" s="25" t="s">
        <v>278</v>
      </c>
      <c r="G548" s="26">
        <v>0.3</v>
      </c>
      <c r="H548" s="15"/>
      <c r="I548" s="26">
        <v>0</v>
      </c>
      <c r="J548" s="27">
        <v>1216.56</v>
      </c>
      <c r="M548" s="28">
        <f>ROUND(ROUND(J548, 2)*I548, 2)</f>
        <v>0</v>
      </c>
      <c r="P548" s="29">
        <v>495.9</v>
      </c>
      <c r="S548" s="28">
        <f>ROUND(ROUND(P548, 2)*I548, 2)</f>
        <v>0</v>
      </c>
      <c r="V548" s="9">
        <f>ROUND(ROUND(P548, 2)/1.2, 2)</f>
        <v>413.25</v>
      </c>
      <c r="Y548" s="9">
        <f t="shared" si="20"/>
        <v>0</v>
      </c>
      <c r="AD548" s="4" t="s">
        <v>1791</v>
      </c>
      <c r="AE548" s="4" t="s">
        <v>1792</v>
      </c>
      <c r="AF548" s="4" t="s">
        <v>1760</v>
      </c>
    </row>
    <row r="549" spans="1:35" ht="36" x14ac:dyDescent="0.3">
      <c r="A549" s="10" t="s">
        <v>1793</v>
      </c>
      <c r="B549" s="10"/>
      <c r="C549" s="24" t="s">
        <v>1007</v>
      </c>
      <c r="D549" s="15"/>
      <c r="E549" s="15"/>
      <c r="F549" s="25" t="s">
        <v>278</v>
      </c>
      <c r="G549" s="26">
        <v>0.15</v>
      </c>
      <c r="H549" s="15"/>
      <c r="I549" s="26">
        <v>0</v>
      </c>
      <c r="J549" s="27">
        <v>88.8</v>
      </c>
      <c r="M549" s="28">
        <f>ROUND(ROUND(J549, 2)*I549, 2)</f>
        <v>0</v>
      </c>
      <c r="P549" s="29">
        <v>88.8</v>
      </c>
      <c r="S549" s="28">
        <f>ROUND(ROUND(P549, 2)*I549, 2)</f>
        <v>0</v>
      </c>
      <c r="V549" s="9">
        <f>ROUND(ROUND(P549, 2)/1.2, 2)</f>
        <v>74</v>
      </c>
      <c r="Y549" s="9">
        <f t="shared" si="20"/>
        <v>0</v>
      </c>
      <c r="AD549" s="4" t="s">
        <v>1794</v>
      </c>
      <c r="AE549" s="4" t="s">
        <v>1795</v>
      </c>
      <c r="AF549" s="4" t="s">
        <v>1010</v>
      </c>
    </row>
    <row r="550" spans="1:35" ht="36" x14ac:dyDescent="0.3">
      <c r="A550" s="10" t="s">
        <v>1796</v>
      </c>
      <c r="B550" s="10" t="s">
        <v>1749</v>
      </c>
      <c r="C550" s="14" t="s">
        <v>1750</v>
      </c>
      <c r="D550" s="15"/>
      <c r="E550" s="15"/>
      <c r="F550" s="15" t="s">
        <v>62</v>
      </c>
      <c r="G550" s="16">
        <v>1</v>
      </c>
      <c r="H550" s="15"/>
      <c r="I550" s="16">
        <v>0</v>
      </c>
      <c r="J550" s="17">
        <v>0</v>
      </c>
      <c r="K550" s="18">
        <v>428</v>
      </c>
      <c r="L550" s="17">
        <f>J550+ROUND(K550, 2)</f>
        <v>428</v>
      </c>
      <c r="M550" s="17">
        <v>0</v>
      </c>
      <c r="N550" s="17">
        <v>0</v>
      </c>
      <c r="O550" s="17">
        <f>M550+N550</f>
        <v>0</v>
      </c>
      <c r="P550" s="17">
        <v>162.09</v>
      </c>
      <c r="Q550" s="19">
        <v>428</v>
      </c>
      <c r="R550" s="17">
        <f>P550+ROUND(Q550, 2)</f>
        <v>590.09</v>
      </c>
      <c r="S550" s="17">
        <v>0</v>
      </c>
      <c r="T550" s="17">
        <v>0</v>
      </c>
      <c r="U550" s="17">
        <f>S550+T550</f>
        <v>0</v>
      </c>
      <c r="V550" s="9">
        <f>ROUND(P550 / 1.2, 2)</f>
        <v>135.08000000000001</v>
      </c>
      <c r="W550" s="9">
        <f>ROUND(Q550 / 1.2, 2)</f>
        <v>356.67</v>
      </c>
      <c r="X550" s="9">
        <f>ROUND(R550 / 1.2, 2)</f>
        <v>491.74</v>
      </c>
      <c r="Y550" s="9">
        <f t="shared" si="20"/>
        <v>0</v>
      </c>
      <c r="Z550" s="9">
        <f>ROUND(T550 / 1.2, 2)</f>
        <v>0</v>
      </c>
      <c r="AA550" s="9">
        <f>Y550+Z550</f>
        <v>0</v>
      </c>
      <c r="AD550" s="4">
        <v>334080700</v>
      </c>
      <c r="AE550" s="4">
        <v>27245652</v>
      </c>
      <c r="AG550" s="4" t="s">
        <v>1751</v>
      </c>
      <c r="AH550" s="4" t="s">
        <v>1752</v>
      </c>
      <c r="AI550" s="4" t="s">
        <v>250</v>
      </c>
    </row>
    <row r="551" spans="1:35" ht="36" x14ac:dyDescent="0.3">
      <c r="A551" s="10" t="s">
        <v>1797</v>
      </c>
      <c r="B551" s="10"/>
      <c r="C551" s="24" t="s">
        <v>1007</v>
      </c>
      <c r="D551" s="15"/>
      <c r="E551" s="15"/>
      <c r="F551" s="25" t="s">
        <v>278</v>
      </c>
      <c r="G551" s="26">
        <v>0.15</v>
      </c>
      <c r="H551" s="15"/>
      <c r="I551" s="26">
        <v>0</v>
      </c>
      <c r="J551" s="27">
        <v>88.8</v>
      </c>
      <c r="M551" s="28">
        <f>ROUND(ROUND(J551, 2)*I551, 2)</f>
        <v>0</v>
      </c>
      <c r="P551" s="29">
        <v>88.8</v>
      </c>
      <c r="S551" s="28">
        <f>ROUND(ROUND(P551, 2)*I551, 2)</f>
        <v>0</v>
      </c>
      <c r="V551" s="9">
        <f>ROUND(ROUND(P551, 2)/1.2, 2)</f>
        <v>74</v>
      </c>
      <c r="Y551" s="9">
        <f t="shared" si="20"/>
        <v>0</v>
      </c>
      <c r="AD551" s="4" t="s">
        <v>1798</v>
      </c>
      <c r="AE551" s="4" t="s">
        <v>1799</v>
      </c>
      <c r="AF551" s="4" t="s">
        <v>1010</v>
      </c>
    </row>
    <row r="552" spans="1:35" ht="36" x14ac:dyDescent="0.3">
      <c r="A552" s="10" t="s">
        <v>1800</v>
      </c>
      <c r="B552" s="10"/>
      <c r="C552" s="24" t="s">
        <v>1757</v>
      </c>
      <c r="D552" s="15"/>
      <c r="E552" s="15"/>
      <c r="F552" s="25" t="s">
        <v>278</v>
      </c>
      <c r="G552" s="26">
        <v>0.3</v>
      </c>
      <c r="H552" s="15"/>
      <c r="I552" s="26">
        <v>0</v>
      </c>
      <c r="J552" s="27">
        <v>1216.56</v>
      </c>
      <c r="M552" s="28">
        <f>ROUND(ROUND(J552, 2)*I552, 2)</f>
        <v>0</v>
      </c>
      <c r="P552" s="29">
        <v>495.9</v>
      </c>
      <c r="S552" s="28">
        <f>ROUND(ROUND(P552, 2)*I552, 2)</f>
        <v>0</v>
      </c>
      <c r="V552" s="9">
        <f>ROUND(ROUND(P552, 2)/1.2, 2)</f>
        <v>413.25</v>
      </c>
      <c r="Y552" s="9">
        <f t="shared" si="20"/>
        <v>0</v>
      </c>
      <c r="AD552" s="4" t="s">
        <v>1801</v>
      </c>
      <c r="AE552" s="4" t="s">
        <v>1802</v>
      </c>
      <c r="AF552" s="4" t="s">
        <v>1760</v>
      </c>
    </row>
    <row r="553" spans="1:35" ht="36" x14ac:dyDescent="0.3">
      <c r="A553" s="10" t="s">
        <v>1803</v>
      </c>
      <c r="B553" s="10" t="s">
        <v>1749</v>
      </c>
      <c r="C553" s="14" t="s">
        <v>1750</v>
      </c>
      <c r="D553" s="15"/>
      <c r="E553" s="15"/>
      <c r="F553" s="15" t="s">
        <v>62</v>
      </c>
      <c r="G553" s="16">
        <v>1</v>
      </c>
      <c r="H553" s="15"/>
      <c r="I553" s="16">
        <v>0</v>
      </c>
      <c r="J553" s="17">
        <v>0</v>
      </c>
      <c r="K553" s="18">
        <v>428</v>
      </c>
      <c r="L553" s="17">
        <f>J553+ROUND(K553, 2)</f>
        <v>428</v>
      </c>
      <c r="M553" s="17">
        <v>0</v>
      </c>
      <c r="N553" s="17">
        <v>0</v>
      </c>
      <c r="O553" s="17">
        <f>M553+N553</f>
        <v>0</v>
      </c>
      <c r="P553" s="17">
        <v>162.09</v>
      </c>
      <c r="Q553" s="19">
        <v>428</v>
      </c>
      <c r="R553" s="17">
        <f>P553+ROUND(Q553, 2)</f>
        <v>590.09</v>
      </c>
      <c r="S553" s="17">
        <v>0</v>
      </c>
      <c r="T553" s="17">
        <v>0</v>
      </c>
      <c r="U553" s="17">
        <f>S553+T553</f>
        <v>0</v>
      </c>
      <c r="V553" s="9">
        <f>ROUND(P553 / 1.2, 2)</f>
        <v>135.08000000000001</v>
      </c>
      <c r="W553" s="9">
        <f>ROUND(Q553 / 1.2, 2)</f>
        <v>356.67</v>
      </c>
      <c r="X553" s="9">
        <f>ROUND(R553 / 1.2, 2)</f>
        <v>491.74</v>
      </c>
      <c r="Y553" s="9">
        <f t="shared" si="20"/>
        <v>0</v>
      </c>
      <c r="Z553" s="9">
        <f>ROUND(T553 / 1.2, 2)</f>
        <v>0</v>
      </c>
      <c r="AA553" s="9">
        <f>Y553+Z553</f>
        <v>0</v>
      </c>
      <c r="AD553" s="4">
        <v>334080701</v>
      </c>
      <c r="AE553" s="4">
        <v>27245653</v>
      </c>
      <c r="AG553" s="4" t="s">
        <v>1751</v>
      </c>
      <c r="AH553" s="4" t="s">
        <v>1752</v>
      </c>
      <c r="AI553" s="4" t="s">
        <v>250</v>
      </c>
    </row>
    <row r="554" spans="1:35" ht="36" x14ac:dyDescent="0.3">
      <c r="A554" s="10" t="s">
        <v>1804</v>
      </c>
      <c r="B554" s="10"/>
      <c r="C554" s="24" t="s">
        <v>1757</v>
      </c>
      <c r="D554" s="15"/>
      <c r="E554" s="15"/>
      <c r="F554" s="25" t="s">
        <v>278</v>
      </c>
      <c r="G554" s="26">
        <v>0.3</v>
      </c>
      <c r="H554" s="15"/>
      <c r="I554" s="26">
        <v>0</v>
      </c>
      <c r="J554" s="27">
        <v>1216.56</v>
      </c>
      <c r="M554" s="28">
        <f>ROUND(ROUND(J554, 2)*I554, 2)</f>
        <v>0</v>
      </c>
      <c r="P554" s="29">
        <v>495.9</v>
      </c>
      <c r="S554" s="28">
        <f>ROUND(ROUND(P554, 2)*I554, 2)</f>
        <v>0</v>
      </c>
      <c r="V554" s="9">
        <f>ROUND(ROUND(P554, 2)/1.2, 2)</f>
        <v>413.25</v>
      </c>
      <c r="Y554" s="9">
        <f t="shared" si="20"/>
        <v>0</v>
      </c>
      <c r="AD554" s="4" t="s">
        <v>1805</v>
      </c>
      <c r="AE554" s="4" t="s">
        <v>1806</v>
      </c>
      <c r="AF554" s="4" t="s">
        <v>1760</v>
      </c>
    </row>
    <row r="555" spans="1:35" ht="36" x14ac:dyDescent="0.3">
      <c r="A555" s="10" t="s">
        <v>1807</v>
      </c>
      <c r="B555" s="10"/>
      <c r="C555" s="24" t="s">
        <v>1007</v>
      </c>
      <c r="D555" s="15"/>
      <c r="E555" s="15"/>
      <c r="F555" s="25" t="s">
        <v>278</v>
      </c>
      <c r="G555" s="26">
        <v>0.15</v>
      </c>
      <c r="H555" s="15"/>
      <c r="I555" s="26">
        <v>0</v>
      </c>
      <c r="J555" s="27">
        <v>88.8</v>
      </c>
      <c r="M555" s="28">
        <f>ROUND(ROUND(J555, 2)*I555, 2)</f>
        <v>0</v>
      </c>
      <c r="P555" s="29">
        <v>88.8</v>
      </c>
      <c r="S555" s="28">
        <f>ROUND(ROUND(P555, 2)*I555, 2)</f>
        <v>0</v>
      </c>
      <c r="V555" s="9">
        <f>ROUND(ROUND(P555, 2)/1.2, 2)</f>
        <v>74</v>
      </c>
      <c r="Y555" s="9">
        <f t="shared" si="20"/>
        <v>0</v>
      </c>
      <c r="AD555" s="4" t="s">
        <v>1808</v>
      </c>
      <c r="AE555" s="4" t="s">
        <v>1809</v>
      </c>
      <c r="AF555" s="4" t="s">
        <v>1010</v>
      </c>
    </row>
    <row r="556" spans="1:35" ht="108" x14ac:dyDescent="0.3">
      <c r="A556" s="10" t="s">
        <v>1810</v>
      </c>
      <c r="B556" s="10" t="s">
        <v>1749</v>
      </c>
      <c r="C556" s="14" t="s">
        <v>1750</v>
      </c>
      <c r="D556" s="15"/>
      <c r="E556" s="15" t="s">
        <v>1811</v>
      </c>
      <c r="F556" s="15" t="s">
        <v>62</v>
      </c>
      <c r="G556" s="16">
        <v>1</v>
      </c>
      <c r="H556" s="15"/>
      <c r="I556" s="16">
        <v>276</v>
      </c>
      <c r="J556" s="17">
        <v>378.29</v>
      </c>
      <c r="K556" s="18">
        <v>428</v>
      </c>
      <c r="L556" s="17">
        <f>J556+ROUND(K556, 2)</f>
        <v>806.29</v>
      </c>
      <c r="M556" s="17">
        <v>104408.04</v>
      </c>
      <c r="N556" s="17">
        <v>118128</v>
      </c>
      <c r="O556" s="17">
        <f>M556+N556</f>
        <v>222536.03999999998</v>
      </c>
      <c r="P556" s="17">
        <v>162.09</v>
      </c>
      <c r="Q556" s="19">
        <v>642</v>
      </c>
      <c r="R556" s="17">
        <f>P556+ROUND(Q556, 2)</f>
        <v>804.09</v>
      </c>
      <c r="S556" s="17">
        <v>44736.84</v>
      </c>
      <c r="T556" s="17">
        <v>177192</v>
      </c>
      <c r="U556" s="17">
        <f>S556+T556</f>
        <v>221928.84</v>
      </c>
      <c r="V556" s="9">
        <f>ROUND(P556 / 1.2, 2)</f>
        <v>135.08000000000001</v>
      </c>
      <c r="W556" s="9">
        <f>ROUND(Q556 / 1.2, 2)</f>
        <v>535</v>
      </c>
      <c r="X556" s="9">
        <f>ROUND(R556 / 1.2, 2)</f>
        <v>670.08</v>
      </c>
      <c r="Y556" s="9">
        <f t="shared" si="20"/>
        <v>37280.699999999997</v>
      </c>
      <c r="Z556" s="9">
        <f>ROUND(T556 / 1.2, 2)</f>
        <v>147660</v>
      </c>
      <c r="AA556" s="9">
        <f>Y556+Z556</f>
        <v>184940.7</v>
      </c>
      <c r="AD556" s="4">
        <v>334080702</v>
      </c>
      <c r="AE556" s="4">
        <v>27245751</v>
      </c>
      <c r="AG556" s="4" t="s">
        <v>1751</v>
      </c>
      <c r="AH556" s="4" t="s">
        <v>1752</v>
      </c>
      <c r="AI556" s="4" t="s">
        <v>250</v>
      </c>
    </row>
    <row r="557" spans="1:35" ht="36" x14ac:dyDescent="0.3">
      <c r="A557" s="10" t="s">
        <v>1812</v>
      </c>
      <c r="B557" s="10"/>
      <c r="C557" s="24" t="s">
        <v>1007</v>
      </c>
      <c r="D557" s="15"/>
      <c r="E557" s="15"/>
      <c r="F557" s="25" t="s">
        <v>278</v>
      </c>
      <c r="G557" s="26">
        <v>0.15</v>
      </c>
      <c r="H557" s="15"/>
      <c r="I557" s="26">
        <v>41.4</v>
      </c>
      <c r="J557" s="27">
        <v>88.8</v>
      </c>
      <c r="M557" s="28">
        <f>ROUND(ROUND(J557, 2)*I557, 2)</f>
        <v>3676.32</v>
      </c>
      <c r="P557" s="29">
        <v>88.8</v>
      </c>
      <c r="S557" s="28">
        <f>ROUND(ROUND(P557, 2)*I557, 2)</f>
        <v>3676.32</v>
      </c>
      <c r="V557" s="9">
        <f>ROUND(ROUND(P557, 2)/1.2, 2)</f>
        <v>74</v>
      </c>
      <c r="Y557" s="9">
        <f t="shared" ref="Y557:Y620" si="21">ROUND(S557 / 1.2, 2)</f>
        <v>3063.6</v>
      </c>
      <c r="AD557" s="4" t="s">
        <v>1813</v>
      </c>
      <c r="AE557" s="4" t="s">
        <v>1814</v>
      </c>
      <c r="AF557" s="4" t="s">
        <v>1010</v>
      </c>
    </row>
    <row r="558" spans="1:35" ht="36" x14ac:dyDescent="0.3">
      <c r="A558" s="10" t="s">
        <v>1815</v>
      </c>
      <c r="B558" s="10"/>
      <c r="C558" s="24" t="s">
        <v>1757</v>
      </c>
      <c r="D558" s="15"/>
      <c r="E558" s="15"/>
      <c r="F558" s="25" t="s">
        <v>278</v>
      </c>
      <c r="G558" s="26">
        <v>0.3</v>
      </c>
      <c r="H558" s="15"/>
      <c r="I558" s="26">
        <v>82.8</v>
      </c>
      <c r="J558" s="27">
        <v>1216.56</v>
      </c>
      <c r="M558" s="28">
        <f>ROUND(ROUND(J558, 2)*I558, 2)</f>
        <v>100731.17</v>
      </c>
      <c r="P558" s="29">
        <v>495.9</v>
      </c>
      <c r="S558" s="28">
        <f>ROUND(ROUND(P558, 2)*I558, 2)</f>
        <v>41060.519999999997</v>
      </c>
      <c r="V558" s="9">
        <f>ROUND(ROUND(P558, 2)/1.2, 2)</f>
        <v>413.25</v>
      </c>
      <c r="Y558" s="9">
        <f t="shared" si="21"/>
        <v>34217.1</v>
      </c>
      <c r="AD558" s="4" t="s">
        <v>1816</v>
      </c>
      <c r="AE558" s="4" t="s">
        <v>1817</v>
      </c>
      <c r="AF558" s="4" t="s">
        <v>1760</v>
      </c>
    </row>
    <row r="559" spans="1:35" ht="108" x14ac:dyDescent="0.3">
      <c r="A559" s="10" t="s">
        <v>1818</v>
      </c>
      <c r="B559" s="10" t="s">
        <v>1749</v>
      </c>
      <c r="C559" s="14" t="s">
        <v>1750</v>
      </c>
      <c r="D559" s="15"/>
      <c r="E559" s="15" t="s">
        <v>1819</v>
      </c>
      <c r="F559" s="15" t="s">
        <v>62</v>
      </c>
      <c r="G559" s="16">
        <v>1</v>
      </c>
      <c r="H559" s="15"/>
      <c r="I559" s="16">
        <v>224.5</v>
      </c>
      <c r="J559" s="17">
        <v>378.29</v>
      </c>
      <c r="K559" s="18">
        <v>428</v>
      </c>
      <c r="L559" s="17">
        <f>J559+ROUND(K559, 2)</f>
        <v>806.29</v>
      </c>
      <c r="M559" s="17">
        <v>84926.11</v>
      </c>
      <c r="N559" s="17">
        <v>96086</v>
      </c>
      <c r="O559" s="17">
        <f>M559+N559</f>
        <v>181012.11</v>
      </c>
      <c r="P559" s="17">
        <v>162.09</v>
      </c>
      <c r="Q559" s="19">
        <v>642</v>
      </c>
      <c r="R559" s="17">
        <f>P559+ROUND(Q559, 2)</f>
        <v>804.09</v>
      </c>
      <c r="S559" s="17">
        <v>36389.21</v>
      </c>
      <c r="T559" s="17">
        <v>144129</v>
      </c>
      <c r="U559" s="17">
        <f>S559+T559</f>
        <v>180518.21</v>
      </c>
      <c r="V559" s="9">
        <f>ROUND(P559 / 1.2, 2)</f>
        <v>135.08000000000001</v>
      </c>
      <c r="W559" s="9">
        <f>ROUND(Q559 / 1.2, 2)</f>
        <v>535</v>
      </c>
      <c r="X559" s="9">
        <f>ROUND(R559 / 1.2, 2)</f>
        <v>670.08</v>
      </c>
      <c r="Y559" s="9">
        <f t="shared" si="21"/>
        <v>30324.34</v>
      </c>
      <c r="Z559" s="9">
        <f>ROUND(T559 / 1.2, 2)</f>
        <v>120107.5</v>
      </c>
      <c r="AA559" s="9">
        <f>Y559+Z559</f>
        <v>150431.84</v>
      </c>
      <c r="AD559" s="4">
        <v>334080703</v>
      </c>
      <c r="AE559" s="4">
        <v>27245754</v>
      </c>
      <c r="AG559" s="4" t="s">
        <v>1751</v>
      </c>
      <c r="AH559" s="4" t="s">
        <v>1752</v>
      </c>
      <c r="AI559" s="4" t="s">
        <v>250</v>
      </c>
    </row>
    <row r="560" spans="1:35" ht="36" x14ac:dyDescent="0.3">
      <c r="A560" s="10" t="s">
        <v>1820</v>
      </c>
      <c r="B560" s="10"/>
      <c r="C560" s="24" t="s">
        <v>1757</v>
      </c>
      <c r="D560" s="15"/>
      <c r="E560" s="15"/>
      <c r="F560" s="25" t="s">
        <v>278</v>
      </c>
      <c r="G560" s="26">
        <v>0.3</v>
      </c>
      <c r="H560" s="15"/>
      <c r="I560" s="26">
        <v>67.349999999999994</v>
      </c>
      <c r="J560" s="27">
        <v>1216.56</v>
      </c>
      <c r="M560" s="28">
        <f>ROUND(ROUND(J560, 2)*I560, 2)</f>
        <v>81935.320000000007</v>
      </c>
      <c r="P560" s="29">
        <v>495.9</v>
      </c>
      <c r="S560" s="28">
        <f>ROUND(ROUND(P560, 2)*I560, 2)</f>
        <v>33398.870000000003</v>
      </c>
      <c r="V560" s="9">
        <f>ROUND(ROUND(P560, 2)/1.2, 2)</f>
        <v>413.25</v>
      </c>
      <c r="Y560" s="9">
        <f t="shared" si="21"/>
        <v>27832.39</v>
      </c>
      <c r="AD560" s="4" t="s">
        <v>1821</v>
      </c>
      <c r="AE560" s="4" t="s">
        <v>1822</v>
      </c>
      <c r="AF560" s="4" t="s">
        <v>1760</v>
      </c>
    </row>
    <row r="561" spans="1:35" ht="36" x14ac:dyDescent="0.3">
      <c r="A561" s="10" t="s">
        <v>1823</v>
      </c>
      <c r="B561" s="10"/>
      <c r="C561" s="24" t="s">
        <v>1007</v>
      </c>
      <c r="D561" s="15"/>
      <c r="E561" s="15"/>
      <c r="F561" s="25" t="s">
        <v>278</v>
      </c>
      <c r="G561" s="26">
        <v>0.15</v>
      </c>
      <c r="H561" s="15"/>
      <c r="I561" s="26">
        <v>33.674999999999997</v>
      </c>
      <c r="J561" s="27">
        <v>88.8</v>
      </c>
      <c r="M561" s="28">
        <f>ROUND(ROUND(J561, 2)*I561, 2)</f>
        <v>2990.34</v>
      </c>
      <c r="P561" s="29">
        <v>88.8</v>
      </c>
      <c r="S561" s="28">
        <f>ROUND(ROUND(P561, 2)*I561, 2)</f>
        <v>2990.34</v>
      </c>
      <c r="V561" s="9">
        <f>ROUND(ROUND(P561, 2)/1.2, 2)</f>
        <v>74</v>
      </c>
      <c r="Y561" s="9">
        <f t="shared" si="21"/>
        <v>2491.9499999999998</v>
      </c>
      <c r="AD561" s="4" t="s">
        <v>1824</v>
      </c>
      <c r="AE561" s="4" t="s">
        <v>1825</v>
      </c>
      <c r="AF561" s="4" t="s">
        <v>1010</v>
      </c>
    </row>
    <row r="562" spans="1:35" ht="108" x14ac:dyDescent="0.3">
      <c r="A562" s="10" t="s">
        <v>1826</v>
      </c>
      <c r="B562" s="10" t="s">
        <v>1749</v>
      </c>
      <c r="C562" s="14" t="s">
        <v>1750</v>
      </c>
      <c r="D562" s="15"/>
      <c r="E562" s="15" t="s">
        <v>1827</v>
      </c>
      <c r="F562" s="15" t="s">
        <v>62</v>
      </c>
      <c r="G562" s="16">
        <v>1</v>
      </c>
      <c r="H562" s="15"/>
      <c r="I562" s="16">
        <v>180</v>
      </c>
      <c r="J562" s="17">
        <v>378.29</v>
      </c>
      <c r="K562" s="18">
        <v>428</v>
      </c>
      <c r="L562" s="17">
        <f>J562+ROUND(K562, 2)</f>
        <v>806.29</v>
      </c>
      <c r="M562" s="17">
        <v>68092.2</v>
      </c>
      <c r="N562" s="17">
        <v>77040</v>
      </c>
      <c r="O562" s="17">
        <f>M562+N562</f>
        <v>145132.20000000001</v>
      </c>
      <c r="P562" s="17">
        <v>162.09</v>
      </c>
      <c r="Q562" s="19">
        <v>642</v>
      </c>
      <c r="R562" s="17">
        <f>P562+ROUND(Q562, 2)</f>
        <v>804.09</v>
      </c>
      <c r="S562" s="17">
        <v>29176.2</v>
      </c>
      <c r="T562" s="17">
        <v>115560</v>
      </c>
      <c r="U562" s="17">
        <f>S562+T562</f>
        <v>144736.20000000001</v>
      </c>
      <c r="V562" s="9">
        <f>ROUND(P562 / 1.2, 2)</f>
        <v>135.08000000000001</v>
      </c>
      <c r="W562" s="9">
        <f>ROUND(Q562 / 1.2, 2)</f>
        <v>535</v>
      </c>
      <c r="X562" s="9">
        <f>ROUND(R562 / 1.2, 2)</f>
        <v>670.08</v>
      </c>
      <c r="Y562" s="9">
        <f t="shared" si="21"/>
        <v>24313.5</v>
      </c>
      <c r="Z562" s="9">
        <f>ROUND(T562 / 1.2, 2)</f>
        <v>96300</v>
      </c>
      <c r="AA562" s="9">
        <f>Y562+Z562</f>
        <v>120613.5</v>
      </c>
      <c r="AD562" s="4">
        <v>334080704</v>
      </c>
      <c r="AE562" s="4">
        <v>27245759</v>
      </c>
      <c r="AG562" s="4" t="s">
        <v>1751</v>
      </c>
      <c r="AH562" s="4" t="s">
        <v>1752</v>
      </c>
      <c r="AI562" s="4" t="s">
        <v>250</v>
      </c>
    </row>
    <row r="563" spans="1:35" ht="36" x14ac:dyDescent="0.3">
      <c r="A563" s="10" t="s">
        <v>1828</v>
      </c>
      <c r="B563" s="10"/>
      <c r="C563" s="24" t="s">
        <v>1007</v>
      </c>
      <c r="D563" s="15"/>
      <c r="E563" s="15"/>
      <c r="F563" s="25" t="s">
        <v>278</v>
      </c>
      <c r="G563" s="26">
        <v>0.15</v>
      </c>
      <c r="H563" s="15"/>
      <c r="I563" s="26">
        <v>27</v>
      </c>
      <c r="J563" s="27">
        <v>88.8</v>
      </c>
      <c r="M563" s="28">
        <f>ROUND(ROUND(J563, 2)*I563, 2)</f>
        <v>2397.6</v>
      </c>
      <c r="P563" s="29">
        <v>88.8</v>
      </c>
      <c r="S563" s="28">
        <f>ROUND(ROUND(P563, 2)*I563, 2)</f>
        <v>2397.6</v>
      </c>
      <c r="V563" s="9">
        <f>ROUND(ROUND(P563, 2)/1.2, 2)</f>
        <v>74</v>
      </c>
      <c r="Y563" s="9">
        <f t="shared" si="21"/>
        <v>1998</v>
      </c>
      <c r="AD563" s="4" t="s">
        <v>1829</v>
      </c>
      <c r="AE563" s="4" t="s">
        <v>1830</v>
      </c>
      <c r="AF563" s="4" t="s">
        <v>1010</v>
      </c>
    </row>
    <row r="564" spans="1:35" ht="36" x14ac:dyDescent="0.3">
      <c r="A564" s="10" t="s">
        <v>1831</v>
      </c>
      <c r="B564" s="10"/>
      <c r="C564" s="24" t="s">
        <v>1757</v>
      </c>
      <c r="D564" s="15"/>
      <c r="E564" s="15"/>
      <c r="F564" s="25" t="s">
        <v>278</v>
      </c>
      <c r="G564" s="26">
        <v>0.3</v>
      </c>
      <c r="H564" s="15"/>
      <c r="I564" s="26">
        <v>54</v>
      </c>
      <c r="J564" s="27">
        <v>1216.56</v>
      </c>
      <c r="M564" s="28">
        <f>ROUND(ROUND(J564, 2)*I564, 2)</f>
        <v>65694.240000000005</v>
      </c>
      <c r="P564" s="29">
        <v>495.9</v>
      </c>
      <c r="S564" s="28">
        <f>ROUND(ROUND(P564, 2)*I564, 2)</f>
        <v>26778.6</v>
      </c>
      <c r="V564" s="9">
        <f>ROUND(ROUND(P564, 2)/1.2, 2)</f>
        <v>413.25</v>
      </c>
      <c r="Y564" s="9">
        <f t="shared" si="21"/>
        <v>22315.5</v>
      </c>
      <c r="AD564" s="4" t="s">
        <v>1832</v>
      </c>
      <c r="AE564" s="4" t="s">
        <v>1833</v>
      </c>
      <c r="AF564" s="4" t="s">
        <v>1760</v>
      </c>
    </row>
    <row r="565" spans="1:35" ht="108" x14ac:dyDescent="0.3">
      <c r="A565" s="10" t="s">
        <v>1834</v>
      </c>
      <c r="B565" s="10" t="s">
        <v>1749</v>
      </c>
      <c r="C565" s="14" t="s">
        <v>1750</v>
      </c>
      <c r="D565" s="15"/>
      <c r="E565" s="15" t="s">
        <v>1835</v>
      </c>
      <c r="F565" s="15" t="s">
        <v>62</v>
      </c>
      <c r="G565" s="16">
        <v>1</v>
      </c>
      <c r="H565" s="15"/>
      <c r="I565" s="16">
        <v>1285.3</v>
      </c>
      <c r="J565" s="17">
        <v>378.29</v>
      </c>
      <c r="K565" s="18">
        <v>428</v>
      </c>
      <c r="L565" s="17">
        <f>J565+ROUND(K565, 2)</f>
        <v>806.29</v>
      </c>
      <c r="M565" s="17">
        <v>486216.14</v>
      </c>
      <c r="N565" s="17">
        <v>550108.4</v>
      </c>
      <c r="O565" s="17">
        <f>M565+N565</f>
        <v>1036324.54</v>
      </c>
      <c r="P565" s="17">
        <v>162.09</v>
      </c>
      <c r="Q565" s="19">
        <v>642</v>
      </c>
      <c r="R565" s="17">
        <f>P565+ROUND(Q565, 2)</f>
        <v>804.09</v>
      </c>
      <c r="S565" s="17">
        <v>208334.28</v>
      </c>
      <c r="T565" s="17">
        <v>825162.6</v>
      </c>
      <c r="U565" s="17">
        <f>S565+T565</f>
        <v>1033496.88</v>
      </c>
      <c r="V565" s="9">
        <f>ROUND(P565 / 1.2, 2)</f>
        <v>135.08000000000001</v>
      </c>
      <c r="W565" s="9">
        <f>ROUND(Q565 / 1.2, 2)</f>
        <v>535</v>
      </c>
      <c r="X565" s="9">
        <f>ROUND(R565 / 1.2, 2)</f>
        <v>670.08</v>
      </c>
      <c r="Y565" s="9">
        <f t="shared" si="21"/>
        <v>173611.9</v>
      </c>
      <c r="Z565" s="9">
        <f>ROUND(T565 / 1.2, 2)</f>
        <v>687635.5</v>
      </c>
      <c r="AA565" s="9">
        <f>Y565+Z565</f>
        <v>861247.4</v>
      </c>
      <c r="AD565" s="4">
        <v>334080705</v>
      </c>
      <c r="AE565" s="4">
        <v>27245747</v>
      </c>
      <c r="AG565" s="4" t="s">
        <v>1751</v>
      </c>
      <c r="AH565" s="4" t="s">
        <v>1752</v>
      </c>
      <c r="AI565" s="4" t="s">
        <v>250</v>
      </c>
    </row>
    <row r="566" spans="1:35" ht="36" x14ac:dyDescent="0.3">
      <c r="A566" s="10" t="s">
        <v>1836</v>
      </c>
      <c r="B566" s="10"/>
      <c r="C566" s="24" t="s">
        <v>1757</v>
      </c>
      <c r="D566" s="15"/>
      <c r="E566" s="15"/>
      <c r="F566" s="25" t="s">
        <v>278</v>
      </c>
      <c r="G566" s="26">
        <v>0.3</v>
      </c>
      <c r="H566" s="15"/>
      <c r="I566" s="26">
        <v>385.59</v>
      </c>
      <c r="J566" s="27">
        <v>1216.56</v>
      </c>
      <c r="M566" s="28">
        <f>ROUND(ROUND(J566, 2)*I566, 2)</f>
        <v>469093.37</v>
      </c>
      <c r="P566" s="29">
        <v>495.9</v>
      </c>
      <c r="S566" s="28">
        <f>ROUND(ROUND(P566, 2)*I566, 2)</f>
        <v>191214.07999999999</v>
      </c>
      <c r="V566" s="9">
        <f>ROUND(ROUND(P566, 2)/1.2, 2)</f>
        <v>413.25</v>
      </c>
      <c r="Y566" s="9">
        <f t="shared" si="21"/>
        <v>159345.07</v>
      </c>
      <c r="AD566" s="4" t="s">
        <v>1837</v>
      </c>
      <c r="AE566" s="4" t="s">
        <v>1838</v>
      </c>
      <c r="AF566" s="4" t="s">
        <v>1760</v>
      </c>
    </row>
    <row r="567" spans="1:35" ht="36" x14ac:dyDescent="0.3">
      <c r="A567" s="10" t="s">
        <v>1839</v>
      </c>
      <c r="B567" s="10"/>
      <c r="C567" s="24" t="s">
        <v>1007</v>
      </c>
      <c r="D567" s="15"/>
      <c r="E567" s="15"/>
      <c r="F567" s="25" t="s">
        <v>278</v>
      </c>
      <c r="G567" s="26">
        <v>0.15</v>
      </c>
      <c r="H567" s="15"/>
      <c r="I567" s="26">
        <v>192.79499999999999</v>
      </c>
      <c r="J567" s="27">
        <v>88.8</v>
      </c>
      <c r="M567" s="28">
        <f>ROUND(ROUND(J567, 2)*I567, 2)</f>
        <v>17120.2</v>
      </c>
      <c r="P567" s="29">
        <v>88.8</v>
      </c>
      <c r="S567" s="28">
        <f>ROUND(ROUND(P567, 2)*I567, 2)</f>
        <v>17120.2</v>
      </c>
      <c r="V567" s="9">
        <f>ROUND(ROUND(P567, 2)/1.2, 2)</f>
        <v>74</v>
      </c>
      <c r="Y567" s="9">
        <f t="shared" si="21"/>
        <v>14266.83</v>
      </c>
      <c r="AD567" s="4" t="s">
        <v>1840</v>
      </c>
      <c r="AE567" s="4" t="s">
        <v>1841</v>
      </c>
      <c r="AF567" s="4" t="s">
        <v>1010</v>
      </c>
    </row>
    <row r="568" spans="1:35" ht="108" x14ac:dyDescent="0.3">
      <c r="A568" s="10" t="s">
        <v>1842</v>
      </c>
      <c r="B568" s="10" t="s">
        <v>1749</v>
      </c>
      <c r="C568" s="14" t="s">
        <v>1750</v>
      </c>
      <c r="D568" s="15"/>
      <c r="E568" s="15" t="s">
        <v>1843</v>
      </c>
      <c r="F568" s="15" t="s">
        <v>62</v>
      </c>
      <c r="G568" s="16">
        <v>1</v>
      </c>
      <c r="H568" s="15"/>
      <c r="I568" s="16">
        <v>101.4</v>
      </c>
      <c r="J568" s="17">
        <v>378.29</v>
      </c>
      <c r="K568" s="18">
        <v>428</v>
      </c>
      <c r="L568" s="17">
        <f>J568+ROUND(K568, 2)</f>
        <v>806.29</v>
      </c>
      <c r="M568" s="17">
        <v>38358.61</v>
      </c>
      <c r="N568" s="17">
        <v>43399.199999999997</v>
      </c>
      <c r="O568" s="17">
        <f>M568+N568</f>
        <v>81757.81</v>
      </c>
      <c r="P568" s="17">
        <v>162.09</v>
      </c>
      <c r="Q568" s="19">
        <v>642</v>
      </c>
      <c r="R568" s="17">
        <f>P568+ROUND(Q568, 2)</f>
        <v>804.09</v>
      </c>
      <c r="S568" s="17">
        <v>16435.93</v>
      </c>
      <c r="T568" s="17">
        <v>65098.8</v>
      </c>
      <c r="U568" s="17">
        <f>S568+T568</f>
        <v>81534.73000000001</v>
      </c>
      <c r="V568" s="9">
        <f>ROUND(P568 / 1.2, 2)</f>
        <v>135.08000000000001</v>
      </c>
      <c r="W568" s="9">
        <f>ROUND(Q568 / 1.2, 2)</f>
        <v>535</v>
      </c>
      <c r="X568" s="9">
        <f>ROUND(R568 / 1.2, 2)</f>
        <v>670.08</v>
      </c>
      <c r="Y568" s="9">
        <f t="shared" si="21"/>
        <v>13696.61</v>
      </c>
      <c r="Z568" s="9">
        <f>ROUND(T568 / 1.2, 2)</f>
        <v>54249</v>
      </c>
      <c r="AA568" s="9">
        <f>Y568+Z568</f>
        <v>67945.61</v>
      </c>
      <c r="AD568" s="4">
        <v>334080706</v>
      </c>
      <c r="AE568" s="4">
        <v>27245749</v>
      </c>
      <c r="AG568" s="4" t="s">
        <v>1751</v>
      </c>
      <c r="AH568" s="4" t="s">
        <v>1752</v>
      </c>
      <c r="AI568" s="4" t="s">
        <v>250</v>
      </c>
    </row>
    <row r="569" spans="1:35" ht="36" x14ac:dyDescent="0.3">
      <c r="A569" s="10" t="s">
        <v>1844</v>
      </c>
      <c r="B569" s="10"/>
      <c r="C569" s="24" t="s">
        <v>1007</v>
      </c>
      <c r="D569" s="15"/>
      <c r="E569" s="15"/>
      <c r="F569" s="25" t="s">
        <v>278</v>
      </c>
      <c r="G569" s="26">
        <v>0.15</v>
      </c>
      <c r="H569" s="15"/>
      <c r="I569" s="26">
        <v>15.21</v>
      </c>
      <c r="J569" s="27">
        <v>88.8</v>
      </c>
      <c r="M569" s="28">
        <f>ROUND(ROUND(J569, 2)*I569, 2)</f>
        <v>1350.65</v>
      </c>
      <c r="P569" s="29">
        <v>88.8</v>
      </c>
      <c r="S569" s="28">
        <f>ROUND(ROUND(P569, 2)*I569, 2)</f>
        <v>1350.65</v>
      </c>
      <c r="V569" s="9">
        <f>ROUND(ROUND(P569, 2)/1.2, 2)</f>
        <v>74</v>
      </c>
      <c r="Y569" s="9">
        <f t="shared" si="21"/>
        <v>1125.54</v>
      </c>
      <c r="AD569" s="4" t="s">
        <v>1845</v>
      </c>
      <c r="AE569" s="4" t="s">
        <v>1846</v>
      </c>
      <c r="AF569" s="4" t="s">
        <v>1010</v>
      </c>
    </row>
    <row r="570" spans="1:35" ht="36" x14ac:dyDescent="0.3">
      <c r="A570" s="10" t="s">
        <v>1847</v>
      </c>
      <c r="B570" s="10"/>
      <c r="C570" s="24" t="s">
        <v>1757</v>
      </c>
      <c r="D570" s="15"/>
      <c r="E570" s="15"/>
      <c r="F570" s="25" t="s">
        <v>278</v>
      </c>
      <c r="G570" s="26">
        <v>0.3</v>
      </c>
      <c r="H570" s="15"/>
      <c r="I570" s="26">
        <v>30.42</v>
      </c>
      <c r="J570" s="27">
        <v>1216.56</v>
      </c>
      <c r="M570" s="28">
        <f>ROUND(ROUND(J570, 2)*I570, 2)</f>
        <v>37007.760000000002</v>
      </c>
      <c r="P570" s="29">
        <v>495.9</v>
      </c>
      <c r="S570" s="28">
        <f>ROUND(ROUND(P570, 2)*I570, 2)</f>
        <v>15085.28</v>
      </c>
      <c r="V570" s="9">
        <f>ROUND(ROUND(P570, 2)/1.2, 2)</f>
        <v>413.25</v>
      </c>
      <c r="Y570" s="9">
        <f t="shared" si="21"/>
        <v>12571.07</v>
      </c>
      <c r="AD570" s="4" t="s">
        <v>1848</v>
      </c>
      <c r="AE570" s="4" t="s">
        <v>1849</v>
      </c>
      <c r="AF570" s="4" t="s">
        <v>1760</v>
      </c>
    </row>
    <row r="571" spans="1:35" ht="108" x14ac:dyDescent="0.3">
      <c r="A571" s="10" t="s">
        <v>1850</v>
      </c>
      <c r="B571" s="10" t="s">
        <v>1749</v>
      </c>
      <c r="C571" s="14" t="s">
        <v>1750</v>
      </c>
      <c r="D571" s="15"/>
      <c r="E571" s="15" t="s">
        <v>1851</v>
      </c>
      <c r="F571" s="15" t="s">
        <v>62</v>
      </c>
      <c r="G571" s="16">
        <v>1</v>
      </c>
      <c r="H571" s="15"/>
      <c r="I571" s="16">
        <v>23.1</v>
      </c>
      <c r="J571" s="17">
        <v>378.29</v>
      </c>
      <c r="K571" s="18">
        <v>428</v>
      </c>
      <c r="L571" s="17">
        <f>J571+ROUND(K571, 2)</f>
        <v>806.29</v>
      </c>
      <c r="M571" s="17">
        <v>8738.5</v>
      </c>
      <c r="N571" s="17">
        <v>9886.7999999999993</v>
      </c>
      <c r="O571" s="17">
        <f>M571+N571</f>
        <v>18625.3</v>
      </c>
      <c r="P571" s="17">
        <v>162.09</v>
      </c>
      <c r="Q571" s="19">
        <v>642</v>
      </c>
      <c r="R571" s="17">
        <f>P571+ROUND(Q571, 2)</f>
        <v>804.09</v>
      </c>
      <c r="S571" s="17">
        <v>3744.28</v>
      </c>
      <c r="T571" s="17">
        <v>14830.2</v>
      </c>
      <c r="U571" s="17">
        <f>S571+T571</f>
        <v>18574.48</v>
      </c>
      <c r="V571" s="9">
        <f>ROUND(P571 / 1.2, 2)</f>
        <v>135.08000000000001</v>
      </c>
      <c r="W571" s="9">
        <f>ROUND(Q571 / 1.2, 2)</f>
        <v>535</v>
      </c>
      <c r="X571" s="9">
        <f>ROUND(R571 / 1.2, 2)</f>
        <v>670.08</v>
      </c>
      <c r="Y571" s="9">
        <f t="shared" si="21"/>
        <v>3120.23</v>
      </c>
      <c r="Z571" s="9">
        <f>ROUND(T571 / 1.2, 2)</f>
        <v>12358.5</v>
      </c>
      <c r="AA571" s="9">
        <f>Y571+Z571</f>
        <v>15478.73</v>
      </c>
      <c r="AD571" s="4">
        <v>334080707</v>
      </c>
      <c r="AE571" s="4">
        <v>27245743</v>
      </c>
      <c r="AG571" s="4" t="s">
        <v>1751</v>
      </c>
      <c r="AH571" s="4" t="s">
        <v>1752</v>
      </c>
      <c r="AI571" s="4" t="s">
        <v>250</v>
      </c>
    </row>
    <row r="572" spans="1:35" ht="36" x14ac:dyDescent="0.3">
      <c r="A572" s="10" t="s">
        <v>1852</v>
      </c>
      <c r="B572" s="10"/>
      <c r="C572" s="24" t="s">
        <v>1757</v>
      </c>
      <c r="D572" s="15"/>
      <c r="E572" s="15"/>
      <c r="F572" s="25" t="s">
        <v>278</v>
      </c>
      <c r="G572" s="26">
        <v>0.3</v>
      </c>
      <c r="H572" s="15"/>
      <c r="I572" s="26">
        <v>6.93</v>
      </c>
      <c r="J572" s="27">
        <v>1216.56</v>
      </c>
      <c r="M572" s="28">
        <f>ROUND(ROUND(J572, 2)*I572, 2)</f>
        <v>8430.76</v>
      </c>
      <c r="P572" s="29">
        <v>495.9</v>
      </c>
      <c r="S572" s="28">
        <f>ROUND(ROUND(P572, 2)*I572, 2)</f>
        <v>3436.59</v>
      </c>
      <c r="V572" s="9">
        <f>ROUND(ROUND(P572, 2)/1.2, 2)</f>
        <v>413.25</v>
      </c>
      <c r="Y572" s="9">
        <f t="shared" si="21"/>
        <v>2863.83</v>
      </c>
      <c r="AD572" s="4" t="s">
        <v>1853</v>
      </c>
      <c r="AE572" s="4" t="s">
        <v>1854</v>
      </c>
      <c r="AF572" s="4" t="s">
        <v>1760</v>
      </c>
    </row>
    <row r="573" spans="1:35" ht="36" x14ac:dyDescent="0.3">
      <c r="A573" s="10" t="s">
        <v>1855</v>
      </c>
      <c r="B573" s="10"/>
      <c r="C573" s="24" t="s">
        <v>1007</v>
      </c>
      <c r="D573" s="15"/>
      <c r="E573" s="15"/>
      <c r="F573" s="25" t="s">
        <v>278</v>
      </c>
      <c r="G573" s="26">
        <v>0.15</v>
      </c>
      <c r="H573" s="15"/>
      <c r="I573" s="26">
        <v>3.4649999999999999</v>
      </c>
      <c r="J573" s="27">
        <v>88.8</v>
      </c>
      <c r="M573" s="28">
        <f>ROUND(ROUND(J573, 2)*I573, 2)</f>
        <v>307.69</v>
      </c>
      <c r="P573" s="29">
        <v>88.8</v>
      </c>
      <c r="S573" s="28">
        <f>ROUND(ROUND(P573, 2)*I573, 2)</f>
        <v>307.69</v>
      </c>
      <c r="V573" s="9">
        <f>ROUND(ROUND(P573, 2)/1.2, 2)</f>
        <v>74</v>
      </c>
      <c r="Y573" s="9">
        <f t="shared" si="21"/>
        <v>256.41000000000003</v>
      </c>
      <c r="AD573" s="4" t="s">
        <v>1856</v>
      </c>
      <c r="AE573" s="4" t="s">
        <v>1857</v>
      </c>
      <c r="AF573" s="4" t="s">
        <v>1010</v>
      </c>
    </row>
    <row r="574" spans="1:35" ht="108" x14ac:dyDescent="0.3">
      <c r="A574" s="10" t="s">
        <v>1858</v>
      </c>
      <c r="B574" s="10" t="s">
        <v>1749</v>
      </c>
      <c r="C574" s="14" t="s">
        <v>1750</v>
      </c>
      <c r="D574" s="15"/>
      <c r="E574" s="15" t="s">
        <v>1859</v>
      </c>
      <c r="F574" s="15" t="s">
        <v>62</v>
      </c>
      <c r="G574" s="16">
        <v>1</v>
      </c>
      <c r="H574" s="15"/>
      <c r="I574" s="16">
        <v>18.5</v>
      </c>
      <c r="J574" s="17">
        <v>378.29</v>
      </c>
      <c r="K574" s="18">
        <v>428</v>
      </c>
      <c r="L574" s="17">
        <f>J574+ROUND(K574, 2)</f>
        <v>806.29</v>
      </c>
      <c r="M574" s="17">
        <v>6998.37</v>
      </c>
      <c r="N574" s="17">
        <v>7918</v>
      </c>
      <c r="O574" s="17">
        <f>M574+N574</f>
        <v>14916.369999999999</v>
      </c>
      <c r="P574" s="17">
        <v>162.09</v>
      </c>
      <c r="Q574" s="19">
        <v>642</v>
      </c>
      <c r="R574" s="17">
        <f>P574+ROUND(Q574, 2)</f>
        <v>804.09</v>
      </c>
      <c r="S574" s="17">
        <v>2998.67</v>
      </c>
      <c r="T574" s="17">
        <v>11877</v>
      </c>
      <c r="U574" s="17">
        <f>S574+T574</f>
        <v>14875.67</v>
      </c>
      <c r="V574" s="9">
        <f>ROUND(P574 / 1.2, 2)</f>
        <v>135.08000000000001</v>
      </c>
      <c r="W574" s="9">
        <f>ROUND(Q574 / 1.2, 2)</f>
        <v>535</v>
      </c>
      <c r="X574" s="9">
        <f>ROUND(R574 / 1.2, 2)</f>
        <v>670.08</v>
      </c>
      <c r="Y574" s="9">
        <f t="shared" si="21"/>
        <v>2498.89</v>
      </c>
      <c r="Z574" s="9">
        <f>ROUND(T574 / 1.2, 2)</f>
        <v>9897.5</v>
      </c>
      <c r="AA574" s="9">
        <f>Y574+Z574</f>
        <v>12396.39</v>
      </c>
      <c r="AD574" s="4">
        <v>334080708</v>
      </c>
      <c r="AE574" s="4">
        <v>27245745</v>
      </c>
      <c r="AG574" s="4" t="s">
        <v>1751</v>
      </c>
      <c r="AH574" s="4" t="s">
        <v>1752</v>
      </c>
      <c r="AI574" s="4" t="s">
        <v>250</v>
      </c>
    </row>
    <row r="575" spans="1:35" ht="36" x14ac:dyDescent="0.3">
      <c r="A575" s="10" t="s">
        <v>1860</v>
      </c>
      <c r="B575" s="10"/>
      <c r="C575" s="24" t="s">
        <v>1007</v>
      </c>
      <c r="D575" s="15"/>
      <c r="E575" s="15"/>
      <c r="F575" s="25" t="s">
        <v>278</v>
      </c>
      <c r="G575" s="26">
        <v>0.15</v>
      </c>
      <c r="H575" s="15"/>
      <c r="I575" s="26">
        <v>2.7749999999999999</v>
      </c>
      <c r="J575" s="27">
        <v>88.8</v>
      </c>
      <c r="M575" s="28">
        <f>ROUND(ROUND(J575, 2)*I575, 2)</f>
        <v>246.42</v>
      </c>
      <c r="P575" s="29">
        <v>88.8</v>
      </c>
      <c r="S575" s="28">
        <f>ROUND(ROUND(P575, 2)*I575, 2)</f>
        <v>246.42</v>
      </c>
      <c r="V575" s="9">
        <f>ROUND(ROUND(P575, 2)/1.2, 2)</f>
        <v>74</v>
      </c>
      <c r="Y575" s="9">
        <f t="shared" si="21"/>
        <v>205.35</v>
      </c>
      <c r="AD575" s="4" t="s">
        <v>1861</v>
      </c>
      <c r="AE575" s="4" t="s">
        <v>1862</v>
      </c>
      <c r="AF575" s="4" t="s">
        <v>1010</v>
      </c>
    </row>
    <row r="576" spans="1:35" ht="36" x14ac:dyDescent="0.3">
      <c r="A576" s="10" t="s">
        <v>1863</v>
      </c>
      <c r="B576" s="10"/>
      <c r="C576" s="24" t="s">
        <v>1757</v>
      </c>
      <c r="D576" s="15"/>
      <c r="E576" s="15"/>
      <c r="F576" s="25" t="s">
        <v>278</v>
      </c>
      <c r="G576" s="26">
        <v>0.3</v>
      </c>
      <c r="H576" s="15"/>
      <c r="I576" s="26">
        <v>5.55</v>
      </c>
      <c r="J576" s="27">
        <v>1216.56</v>
      </c>
      <c r="M576" s="28">
        <f>ROUND(ROUND(J576, 2)*I576, 2)</f>
        <v>6751.91</v>
      </c>
      <c r="P576" s="29">
        <v>495.9</v>
      </c>
      <c r="S576" s="28">
        <f>ROUND(ROUND(P576, 2)*I576, 2)</f>
        <v>2752.25</v>
      </c>
      <c r="V576" s="9">
        <f>ROUND(ROUND(P576, 2)/1.2, 2)</f>
        <v>413.25</v>
      </c>
      <c r="Y576" s="9">
        <f t="shared" si="21"/>
        <v>2293.54</v>
      </c>
      <c r="AD576" s="4" t="s">
        <v>1864</v>
      </c>
      <c r="AE576" s="4" t="s">
        <v>1865</v>
      </c>
      <c r="AF576" s="4" t="s">
        <v>1760</v>
      </c>
    </row>
    <row r="577" spans="1:35" ht="54" x14ac:dyDescent="0.3">
      <c r="A577" s="10" t="s">
        <v>1866</v>
      </c>
      <c r="B577" s="10" t="s">
        <v>1749</v>
      </c>
      <c r="C577" s="14" t="s">
        <v>1750</v>
      </c>
      <c r="D577" s="15"/>
      <c r="E577" s="15" t="s">
        <v>1867</v>
      </c>
      <c r="F577" s="15" t="s">
        <v>62</v>
      </c>
      <c r="G577" s="16">
        <v>1</v>
      </c>
      <c r="H577" s="15"/>
      <c r="I577" s="16">
        <v>253.5</v>
      </c>
      <c r="J577" s="17">
        <v>378.29</v>
      </c>
      <c r="K577" s="18">
        <v>428</v>
      </c>
      <c r="L577" s="17">
        <f>J577+ROUND(K577, 2)</f>
        <v>806.29</v>
      </c>
      <c r="M577" s="17">
        <v>95896.52</v>
      </c>
      <c r="N577" s="17">
        <v>108498</v>
      </c>
      <c r="O577" s="17">
        <f>M577+N577</f>
        <v>204394.52000000002</v>
      </c>
      <c r="P577" s="17">
        <v>162.09</v>
      </c>
      <c r="Q577" s="19">
        <v>642</v>
      </c>
      <c r="R577" s="17">
        <f>P577+ROUND(Q577, 2)</f>
        <v>804.09</v>
      </c>
      <c r="S577" s="17">
        <v>41089.82</v>
      </c>
      <c r="T577" s="17">
        <v>162747</v>
      </c>
      <c r="U577" s="17">
        <f>S577+T577</f>
        <v>203836.82</v>
      </c>
      <c r="V577" s="9">
        <f>ROUND(P577 / 1.2, 2)</f>
        <v>135.08000000000001</v>
      </c>
      <c r="W577" s="9">
        <f>ROUND(Q577 / 1.2, 2)</f>
        <v>535</v>
      </c>
      <c r="X577" s="9">
        <f>ROUND(R577 / 1.2, 2)</f>
        <v>670.08</v>
      </c>
      <c r="Y577" s="9">
        <f t="shared" si="21"/>
        <v>34241.519999999997</v>
      </c>
      <c r="Z577" s="9">
        <f>ROUND(T577 / 1.2, 2)</f>
        <v>135622.5</v>
      </c>
      <c r="AA577" s="9">
        <f>Y577+Z577</f>
        <v>169864.02</v>
      </c>
      <c r="AD577" s="4">
        <v>334080709</v>
      </c>
      <c r="AE577" s="4">
        <v>27245797</v>
      </c>
      <c r="AG577" s="4" t="s">
        <v>1751</v>
      </c>
      <c r="AH577" s="4" t="s">
        <v>1752</v>
      </c>
      <c r="AI577" s="4" t="s">
        <v>250</v>
      </c>
    </row>
    <row r="578" spans="1:35" ht="36" x14ac:dyDescent="0.3">
      <c r="A578" s="10" t="s">
        <v>1868</v>
      </c>
      <c r="B578" s="10"/>
      <c r="C578" s="24" t="s">
        <v>1757</v>
      </c>
      <c r="D578" s="15"/>
      <c r="E578" s="15"/>
      <c r="F578" s="25" t="s">
        <v>278</v>
      </c>
      <c r="G578" s="26">
        <v>0.3</v>
      </c>
      <c r="H578" s="15"/>
      <c r="I578" s="26">
        <v>76.05</v>
      </c>
      <c r="J578" s="27">
        <v>1216.56</v>
      </c>
      <c r="M578" s="28">
        <f>ROUND(ROUND(J578, 2)*I578, 2)</f>
        <v>92519.39</v>
      </c>
      <c r="P578" s="29">
        <v>495.9</v>
      </c>
      <c r="S578" s="28">
        <f>ROUND(ROUND(P578, 2)*I578, 2)</f>
        <v>37713.199999999997</v>
      </c>
      <c r="V578" s="9">
        <f>ROUND(ROUND(P578, 2)/1.2, 2)</f>
        <v>413.25</v>
      </c>
      <c r="Y578" s="9">
        <f t="shared" si="21"/>
        <v>31427.67</v>
      </c>
      <c r="AD578" s="4" t="s">
        <v>1869</v>
      </c>
      <c r="AE578" s="4" t="s">
        <v>1870</v>
      </c>
      <c r="AF578" s="4" t="s">
        <v>1760</v>
      </c>
    </row>
    <row r="579" spans="1:35" ht="36" x14ac:dyDescent="0.3">
      <c r="A579" s="10" t="s">
        <v>1871</v>
      </c>
      <c r="B579" s="10"/>
      <c r="C579" s="24" t="s">
        <v>1007</v>
      </c>
      <c r="D579" s="15"/>
      <c r="E579" s="15"/>
      <c r="F579" s="25" t="s">
        <v>278</v>
      </c>
      <c r="G579" s="26">
        <v>0.15</v>
      </c>
      <c r="H579" s="15"/>
      <c r="I579" s="26">
        <v>38.024999999999999</v>
      </c>
      <c r="J579" s="27">
        <v>88.8</v>
      </c>
      <c r="M579" s="28">
        <f>ROUND(ROUND(J579, 2)*I579, 2)</f>
        <v>3376.62</v>
      </c>
      <c r="P579" s="29">
        <v>88.8</v>
      </c>
      <c r="S579" s="28">
        <f>ROUND(ROUND(P579, 2)*I579, 2)</f>
        <v>3376.62</v>
      </c>
      <c r="V579" s="9">
        <f>ROUND(ROUND(P579, 2)/1.2, 2)</f>
        <v>74</v>
      </c>
      <c r="Y579" s="9">
        <f t="shared" si="21"/>
        <v>2813.85</v>
      </c>
      <c r="AD579" s="4" t="s">
        <v>1872</v>
      </c>
      <c r="AE579" s="4" t="s">
        <v>1873</v>
      </c>
      <c r="AF579" s="4" t="s">
        <v>1010</v>
      </c>
    </row>
    <row r="580" spans="1:35" ht="126" x14ac:dyDescent="0.3">
      <c r="A580" s="11" t="s">
        <v>1874</v>
      </c>
      <c r="B580" s="11" t="s">
        <v>1749</v>
      </c>
      <c r="C580" s="20" t="s">
        <v>1750</v>
      </c>
      <c r="D580" s="21"/>
      <c r="E580" s="21" t="s">
        <v>1875</v>
      </c>
      <c r="F580" s="21" t="s">
        <v>62</v>
      </c>
      <c r="G580" s="22">
        <v>1</v>
      </c>
      <c r="H580" s="21"/>
      <c r="I580" s="22">
        <v>9391.9419999999991</v>
      </c>
      <c r="J580" s="23">
        <f>IFERROR(ROUND(SUM(M581,M582)/I580, 2),0)</f>
        <v>65.56</v>
      </c>
      <c r="K580" s="23">
        <v>428</v>
      </c>
      <c r="L580" s="23">
        <f>J580+ROUND(K580, 2)</f>
        <v>493.56</v>
      </c>
      <c r="M580" s="23">
        <f>ROUND(J580*I580, 2)</f>
        <v>615735.72</v>
      </c>
      <c r="N580" s="23">
        <f>ROUND(I580*ROUND(K580, 2), 2)</f>
        <v>4019751.18</v>
      </c>
      <c r="O580" s="23">
        <f>M580+N580</f>
        <v>4635486.9000000004</v>
      </c>
      <c r="P580" s="23">
        <f>IFERROR(ROUND(SUM(S581,S582)/I580, 2),0)</f>
        <v>78.69</v>
      </c>
      <c r="Q580" s="23">
        <v>642</v>
      </c>
      <c r="R580" s="23">
        <f>P580+ROUND(Q580, 2)</f>
        <v>720.69</v>
      </c>
      <c r="S580" s="23">
        <f>ROUND(P580*I580, 2)</f>
        <v>739051.92</v>
      </c>
      <c r="T580" s="23">
        <f>ROUND(I580*ROUND(Q580, 2), 2)</f>
        <v>6029626.7599999998</v>
      </c>
      <c r="U580" s="23">
        <f>S580+T580</f>
        <v>6768678.6799999997</v>
      </c>
      <c r="V580" s="9">
        <f>ROUND(P580 / 1.2, 2)</f>
        <v>65.58</v>
      </c>
      <c r="W580" s="9">
        <f>ROUND(Q580 / 1.2, 2)</f>
        <v>535</v>
      </c>
      <c r="X580" s="9">
        <f>ROUND(R580 / 1.2, 2)</f>
        <v>600.58000000000004</v>
      </c>
      <c r="Y580" s="9">
        <f t="shared" si="21"/>
        <v>615876.6</v>
      </c>
      <c r="Z580" s="9">
        <f>ROUND(T580 / 1.2, 2)</f>
        <v>5024688.97</v>
      </c>
      <c r="AA580" s="9">
        <f>Y580+Z580</f>
        <v>5640565.5699999994</v>
      </c>
      <c r="AD580" s="4">
        <v>334080710</v>
      </c>
      <c r="AE580" s="4">
        <v>29405050</v>
      </c>
      <c r="AG580" s="4" t="s">
        <v>1751</v>
      </c>
      <c r="AH580" s="4" t="s">
        <v>1752</v>
      </c>
      <c r="AI580" s="4" t="s">
        <v>250</v>
      </c>
    </row>
    <row r="581" spans="1:35" ht="54" x14ac:dyDescent="0.3">
      <c r="A581" s="11" t="s">
        <v>1876</v>
      </c>
      <c r="B581" s="11"/>
      <c r="C581" s="32" t="s">
        <v>1877</v>
      </c>
      <c r="D581" s="21"/>
      <c r="E581" s="21" t="s">
        <v>1878</v>
      </c>
      <c r="F581" s="33" t="s">
        <v>278</v>
      </c>
      <c r="G581" s="34">
        <v>0.3</v>
      </c>
      <c r="H581" s="21"/>
      <c r="I581" s="34">
        <v>2817.5830000000001</v>
      </c>
      <c r="J581" s="35">
        <v>173.4</v>
      </c>
      <c r="K581" s="12"/>
      <c r="L581" s="12"/>
      <c r="M581" s="35">
        <f>ROUND(ROUND(J581, 2)*I581, 2)</f>
        <v>488568.89</v>
      </c>
      <c r="N581" s="12"/>
      <c r="O581" s="12"/>
      <c r="P581" s="35">
        <v>212.3</v>
      </c>
      <c r="Q581" s="12"/>
      <c r="R581" s="12"/>
      <c r="S581" s="35">
        <f>ROUND(ROUND(P581, 2)*I581, 2)</f>
        <v>598172.87</v>
      </c>
      <c r="T581" s="12"/>
      <c r="U581" s="36"/>
      <c r="V581" s="9">
        <f>ROUND(ROUND(P581, 2)/1.2, 2)</f>
        <v>176.92</v>
      </c>
      <c r="Y581" s="9">
        <f t="shared" si="21"/>
        <v>498477.39</v>
      </c>
      <c r="AD581" s="4" t="s">
        <v>1879</v>
      </c>
      <c r="AE581" s="4" t="s">
        <v>1880</v>
      </c>
      <c r="AF581" s="4" t="s">
        <v>1881</v>
      </c>
    </row>
    <row r="582" spans="1:35" ht="36" x14ac:dyDescent="0.3">
      <c r="A582" s="11" t="s">
        <v>1882</v>
      </c>
      <c r="B582" s="11"/>
      <c r="C582" s="32" t="s">
        <v>1007</v>
      </c>
      <c r="D582" s="21"/>
      <c r="E582" s="21" t="s">
        <v>1883</v>
      </c>
      <c r="F582" s="33" t="s">
        <v>278</v>
      </c>
      <c r="G582" s="34">
        <v>0.15</v>
      </c>
      <c r="H582" s="21"/>
      <c r="I582" s="34">
        <v>1408.7909999999999</v>
      </c>
      <c r="J582" s="35">
        <v>90.28</v>
      </c>
      <c r="K582" s="12"/>
      <c r="L582" s="12"/>
      <c r="M582" s="35">
        <f>ROUND(ROUND(J582, 2)*I582, 2)</f>
        <v>127185.65</v>
      </c>
      <c r="N582" s="12"/>
      <c r="O582" s="12"/>
      <c r="P582" s="35">
        <v>100</v>
      </c>
      <c r="Q582" s="12"/>
      <c r="R582" s="12"/>
      <c r="S582" s="35">
        <f>ROUND(ROUND(P582, 2)*I582, 2)</f>
        <v>140879.1</v>
      </c>
      <c r="T582" s="12"/>
      <c r="U582" s="36"/>
      <c r="V582" s="9">
        <f>ROUND(ROUND(P582, 2)/1.2, 2)</f>
        <v>83.33</v>
      </c>
      <c r="Y582" s="9">
        <f t="shared" si="21"/>
        <v>117399.25</v>
      </c>
      <c r="AD582" s="4" t="s">
        <v>1884</v>
      </c>
      <c r="AE582" s="4" t="s">
        <v>1885</v>
      </c>
      <c r="AF582" s="4" t="s">
        <v>1010</v>
      </c>
    </row>
    <row r="583" spans="1:35" ht="126" x14ac:dyDescent="0.3">
      <c r="A583" s="11" t="s">
        <v>1886</v>
      </c>
      <c r="B583" s="11" t="s">
        <v>1749</v>
      </c>
      <c r="C583" s="20" t="s">
        <v>1750</v>
      </c>
      <c r="D583" s="21"/>
      <c r="E583" s="21" t="s">
        <v>1887</v>
      </c>
      <c r="F583" s="21" t="s">
        <v>62</v>
      </c>
      <c r="G583" s="22">
        <v>1</v>
      </c>
      <c r="H583" s="21"/>
      <c r="I583" s="22">
        <v>227.4</v>
      </c>
      <c r="J583" s="23">
        <f>IFERROR(ROUND(SUM(M584,M585)/I583, 2),0)</f>
        <v>65.56</v>
      </c>
      <c r="K583" s="23">
        <v>428</v>
      </c>
      <c r="L583" s="23">
        <f>J583+ROUND(K583, 2)</f>
        <v>493.56</v>
      </c>
      <c r="M583" s="23">
        <f>ROUND(J583*I583, 2)</f>
        <v>14908.34</v>
      </c>
      <c r="N583" s="23">
        <f>ROUND(I583*ROUND(K583, 2), 2)</f>
        <v>97327.2</v>
      </c>
      <c r="O583" s="23">
        <f>M583+N583</f>
        <v>112235.54</v>
      </c>
      <c r="P583" s="23">
        <f>IFERROR(ROUND(SUM(S584,S585)/I583, 2),0)</f>
        <v>178.33</v>
      </c>
      <c r="Q583" s="23">
        <v>642</v>
      </c>
      <c r="R583" s="23">
        <f>P583+ROUND(Q583, 2)</f>
        <v>820.33</v>
      </c>
      <c r="S583" s="23">
        <f>ROUND(P583*I583, 2)</f>
        <v>40552.239999999998</v>
      </c>
      <c r="T583" s="23">
        <f>ROUND(I583*ROUND(Q583, 2), 2)</f>
        <v>145990.79999999999</v>
      </c>
      <c r="U583" s="23">
        <f>S583+T583</f>
        <v>186543.03999999998</v>
      </c>
      <c r="V583" s="9">
        <f>ROUND(P583 / 1.2, 2)</f>
        <v>148.61000000000001</v>
      </c>
      <c r="W583" s="9">
        <f>ROUND(Q583 / 1.2, 2)</f>
        <v>535</v>
      </c>
      <c r="X583" s="9">
        <f>ROUND(R583 / 1.2, 2)</f>
        <v>683.61</v>
      </c>
      <c r="Y583" s="9">
        <f t="shared" si="21"/>
        <v>33793.53</v>
      </c>
      <c r="Z583" s="9">
        <f>ROUND(T583 / 1.2, 2)</f>
        <v>121659</v>
      </c>
      <c r="AA583" s="9">
        <f>Y583+Z583</f>
        <v>155452.53</v>
      </c>
      <c r="AD583" s="4">
        <v>334080711</v>
      </c>
      <c r="AE583" s="4">
        <v>29410389</v>
      </c>
      <c r="AG583" s="4" t="s">
        <v>1751</v>
      </c>
      <c r="AH583" s="4" t="s">
        <v>1752</v>
      </c>
      <c r="AI583" s="4" t="s">
        <v>250</v>
      </c>
    </row>
    <row r="584" spans="1:35" ht="36" x14ac:dyDescent="0.3">
      <c r="A584" s="11" t="s">
        <v>1888</v>
      </c>
      <c r="B584" s="11"/>
      <c r="C584" s="32" t="s">
        <v>1007</v>
      </c>
      <c r="D584" s="21"/>
      <c r="E584" s="21" t="s">
        <v>1883</v>
      </c>
      <c r="F584" s="33" t="s">
        <v>278</v>
      </c>
      <c r="G584" s="34">
        <v>0.15</v>
      </c>
      <c r="H584" s="21"/>
      <c r="I584" s="34">
        <v>34.11</v>
      </c>
      <c r="J584" s="35">
        <v>90.28</v>
      </c>
      <c r="K584" s="12"/>
      <c r="L584" s="12"/>
      <c r="M584" s="35">
        <f>ROUND(ROUND(J584, 2)*I584, 2)</f>
        <v>3079.45</v>
      </c>
      <c r="N584" s="12"/>
      <c r="O584" s="12"/>
      <c r="P584" s="35">
        <v>100</v>
      </c>
      <c r="Q584" s="12"/>
      <c r="R584" s="12"/>
      <c r="S584" s="35">
        <f>ROUND(ROUND(P584, 2)*I584, 2)</f>
        <v>3411</v>
      </c>
      <c r="T584" s="12"/>
      <c r="U584" s="36"/>
      <c r="V584" s="9">
        <f>ROUND(ROUND(P584, 2)/1.2, 2)</f>
        <v>83.33</v>
      </c>
      <c r="Y584" s="9">
        <f t="shared" si="21"/>
        <v>2842.5</v>
      </c>
      <c r="AD584" s="4" t="s">
        <v>1889</v>
      </c>
      <c r="AE584" s="4" t="s">
        <v>1890</v>
      </c>
      <c r="AF584" s="4" t="s">
        <v>1010</v>
      </c>
    </row>
    <row r="585" spans="1:35" ht="54" x14ac:dyDescent="0.3">
      <c r="A585" s="11" t="s">
        <v>1891</v>
      </c>
      <c r="B585" s="11"/>
      <c r="C585" s="32" t="s">
        <v>1877</v>
      </c>
      <c r="D585" s="21"/>
      <c r="E585" s="21" t="s">
        <v>1892</v>
      </c>
      <c r="F585" s="33" t="s">
        <v>278</v>
      </c>
      <c r="G585" s="34">
        <v>0.3</v>
      </c>
      <c r="H585" s="21"/>
      <c r="I585" s="34">
        <v>68.22</v>
      </c>
      <c r="J585" s="35">
        <v>173.4</v>
      </c>
      <c r="K585" s="12"/>
      <c r="L585" s="12"/>
      <c r="M585" s="35">
        <f>ROUND(ROUND(J585, 2)*I585, 2)</f>
        <v>11829.35</v>
      </c>
      <c r="N585" s="12"/>
      <c r="O585" s="12"/>
      <c r="P585" s="35">
        <v>544.44000000000005</v>
      </c>
      <c r="Q585" s="12"/>
      <c r="R585" s="12"/>
      <c r="S585" s="35">
        <f>ROUND(ROUND(P585, 2)*I585, 2)</f>
        <v>37141.699999999997</v>
      </c>
      <c r="T585" s="12"/>
      <c r="U585" s="36"/>
      <c r="V585" s="9">
        <f>ROUND(ROUND(P585, 2)/1.2, 2)</f>
        <v>453.7</v>
      </c>
      <c r="Y585" s="9">
        <f t="shared" si="21"/>
        <v>30951.42</v>
      </c>
      <c r="AD585" s="4" t="s">
        <v>1893</v>
      </c>
      <c r="AE585" s="4" t="s">
        <v>1894</v>
      </c>
      <c r="AF585" s="4" t="s">
        <v>1881</v>
      </c>
    </row>
    <row r="586" spans="1:35" ht="126" x14ac:dyDescent="0.3">
      <c r="A586" s="11" t="s">
        <v>1895</v>
      </c>
      <c r="B586" s="11" t="s">
        <v>1749</v>
      </c>
      <c r="C586" s="20" t="s">
        <v>1750</v>
      </c>
      <c r="D586" s="21"/>
      <c r="E586" s="21" t="s">
        <v>1896</v>
      </c>
      <c r="F586" s="21" t="s">
        <v>62</v>
      </c>
      <c r="G586" s="22">
        <v>1</v>
      </c>
      <c r="H586" s="21"/>
      <c r="I586" s="22">
        <v>185.9</v>
      </c>
      <c r="J586" s="23">
        <f>IFERROR(ROUND(SUM(M587,M588)/I586, 2),0)</f>
        <v>65.56</v>
      </c>
      <c r="K586" s="23">
        <v>428</v>
      </c>
      <c r="L586" s="23">
        <f>J586+ROUND(K586, 2)</f>
        <v>493.56</v>
      </c>
      <c r="M586" s="23">
        <f>ROUND(J586*I586, 2)</f>
        <v>12187.6</v>
      </c>
      <c r="N586" s="23">
        <f>ROUND(I586*ROUND(K586, 2), 2)</f>
        <v>79565.2</v>
      </c>
      <c r="O586" s="23">
        <f>M586+N586</f>
        <v>91752.8</v>
      </c>
      <c r="P586" s="23">
        <f>IFERROR(ROUND(SUM(S587,S588)/I586, 2),0)</f>
        <v>90.69</v>
      </c>
      <c r="Q586" s="23">
        <v>642</v>
      </c>
      <c r="R586" s="23">
        <f>P586+ROUND(Q586, 2)</f>
        <v>732.69</v>
      </c>
      <c r="S586" s="23">
        <f>ROUND(P586*I586, 2)</f>
        <v>16859.27</v>
      </c>
      <c r="T586" s="23">
        <f>ROUND(I586*ROUND(Q586, 2), 2)</f>
        <v>119347.8</v>
      </c>
      <c r="U586" s="23">
        <f>S586+T586</f>
        <v>136207.07</v>
      </c>
      <c r="V586" s="9">
        <f>ROUND(P586 / 1.2, 2)</f>
        <v>75.58</v>
      </c>
      <c r="W586" s="9">
        <f>ROUND(Q586 / 1.2, 2)</f>
        <v>535</v>
      </c>
      <c r="X586" s="9">
        <f>ROUND(R586 / 1.2, 2)</f>
        <v>610.58000000000004</v>
      </c>
      <c r="Y586" s="9">
        <f t="shared" si="21"/>
        <v>14049.39</v>
      </c>
      <c r="Z586" s="9">
        <f>ROUND(T586 / 1.2, 2)</f>
        <v>99456.5</v>
      </c>
      <c r="AA586" s="9">
        <f>Y586+Z586</f>
        <v>113505.89</v>
      </c>
      <c r="AD586" s="4">
        <v>334080712</v>
      </c>
      <c r="AE586" s="4">
        <v>29432236</v>
      </c>
      <c r="AG586" s="4" t="s">
        <v>1751</v>
      </c>
      <c r="AH586" s="4" t="s">
        <v>1752</v>
      </c>
      <c r="AI586" s="4" t="s">
        <v>250</v>
      </c>
    </row>
    <row r="587" spans="1:35" ht="54" x14ac:dyDescent="0.3">
      <c r="A587" s="11" t="s">
        <v>1897</v>
      </c>
      <c r="B587" s="11"/>
      <c r="C587" s="32" t="s">
        <v>1877</v>
      </c>
      <c r="D587" s="21"/>
      <c r="E587" s="21" t="s">
        <v>1898</v>
      </c>
      <c r="F587" s="33" t="s">
        <v>278</v>
      </c>
      <c r="G587" s="34">
        <v>0.3</v>
      </c>
      <c r="H587" s="21"/>
      <c r="I587" s="34">
        <v>55.77</v>
      </c>
      <c r="J587" s="35">
        <v>173.4</v>
      </c>
      <c r="K587" s="12"/>
      <c r="L587" s="12"/>
      <c r="M587" s="35">
        <f>ROUND(ROUND(J587, 2)*I587, 2)</f>
        <v>9670.52</v>
      </c>
      <c r="N587" s="12"/>
      <c r="O587" s="12"/>
      <c r="P587" s="35">
        <v>252.3</v>
      </c>
      <c r="Q587" s="12"/>
      <c r="R587" s="12"/>
      <c r="S587" s="35">
        <f>ROUND(ROUND(P587, 2)*I587, 2)</f>
        <v>14070.77</v>
      </c>
      <c r="T587" s="12"/>
      <c r="U587" s="36"/>
      <c r="V587" s="9">
        <f>ROUND(ROUND(P587, 2)/1.2, 2)</f>
        <v>210.25</v>
      </c>
      <c r="Y587" s="9">
        <f t="shared" si="21"/>
        <v>11725.64</v>
      </c>
      <c r="AD587" s="4" t="s">
        <v>1899</v>
      </c>
      <c r="AE587" s="4" t="s">
        <v>1900</v>
      </c>
      <c r="AF587" s="4" t="s">
        <v>1881</v>
      </c>
    </row>
    <row r="588" spans="1:35" ht="36" x14ac:dyDescent="0.3">
      <c r="A588" s="11" t="s">
        <v>1901</v>
      </c>
      <c r="B588" s="11"/>
      <c r="C588" s="32" t="s">
        <v>1007</v>
      </c>
      <c r="D588" s="21"/>
      <c r="E588" s="21" t="s">
        <v>1883</v>
      </c>
      <c r="F588" s="33" t="s">
        <v>278</v>
      </c>
      <c r="G588" s="34">
        <v>0.15</v>
      </c>
      <c r="H588" s="21"/>
      <c r="I588" s="34">
        <v>27.885000000000002</v>
      </c>
      <c r="J588" s="35">
        <v>90.28</v>
      </c>
      <c r="K588" s="12"/>
      <c r="L588" s="12"/>
      <c r="M588" s="35">
        <f>ROUND(ROUND(J588, 2)*I588, 2)</f>
        <v>2517.46</v>
      </c>
      <c r="N588" s="12"/>
      <c r="O588" s="12"/>
      <c r="P588" s="35">
        <v>100</v>
      </c>
      <c r="Q588" s="12"/>
      <c r="R588" s="12"/>
      <c r="S588" s="35">
        <f>ROUND(ROUND(P588, 2)*I588, 2)</f>
        <v>2788.5</v>
      </c>
      <c r="T588" s="12"/>
      <c r="U588" s="36"/>
      <c r="V588" s="9">
        <f>ROUND(ROUND(P588, 2)/1.2, 2)</f>
        <v>83.33</v>
      </c>
      <c r="Y588" s="9">
        <f t="shared" si="21"/>
        <v>2323.75</v>
      </c>
      <c r="AD588" s="4" t="s">
        <v>1902</v>
      </c>
      <c r="AE588" s="4" t="s">
        <v>1903</v>
      </c>
      <c r="AF588" s="4" t="s">
        <v>1010</v>
      </c>
    </row>
    <row r="589" spans="1:35" ht="126" x14ac:dyDescent="0.3">
      <c r="A589" s="11" t="s">
        <v>1904</v>
      </c>
      <c r="B589" s="11" t="s">
        <v>1749</v>
      </c>
      <c r="C589" s="20" t="s">
        <v>1750</v>
      </c>
      <c r="D589" s="21"/>
      <c r="E589" s="21" t="s">
        <v>1905</v>
      </c>
      <c r="F589" s="21" t="s">
        <v>62</v>
      </c>
      <c r="G589" s="22">
        <v>1</v>
      </c>
      <c r="H589" s="21"/>
      <c r="I589" s="22">
        <v>65.7</v>
      </c>
      <c r="J589" s="23">
        <f>IFERROR(ROUND(SUM(M590,M591)/I589, 2),0)</f>
        <v>65.56</v>
      </c>
      <c r="K589" s="23">
        <v>428</v>
      </c>
      <c r="L589" s="23">
        <f>J589+ROUND(K589, 2)</f>
        <v>493.56</v>
      </c>
      <c r="M589" s="23">
        <f>ROUND(J589*I589, 2)</f>
        <v>4307.29</v>
      </c>
      <c r="N589" s="23">
        <f>ROUND(I589*ROUND(K589, 2), 2)</f>
        <v>28119.599999999999</v>
      </c>
      <c r="O589" s="23">
        <f>M589+N589</f>
        <v>32426.89</v>
      </c>
      <c r="P589" s="23">
        <f>IFERROR(ROUND(SUM(S590,S591)/I589, 2),0)</f>
        <v>113.68</v>
      </c>
      <c r="Q589" s="23">
        <v>642</v>
      </c>
      <c r="R589" s="23">
        <f>P589+ROUND(Q589, 2)</f>
        <v>755.68000000000006</v>
      </c>
      <c r="S589" s="23">
        <f>ROUND(P589*I589, 2)</f>
        <v>7468.78</v>
      </c>
      <c r="T589" s="23">
        <f>ROUND(I589*ROUND(Q589, 2), 2)</f>
        <v>42179.4</v>
      </c>
      <c r="U589" s="23">
        <f>S589+T589</f>
        <v>49648.18</v>
      </c>
      <c r="V589" s="9">
        <f>ROUND(P589 / 1.2, 2)</f>
        <v>94.73</v>
      </c>
      <c r="W589" s="9">
        <f>ROUND(Q589 / 1.2, 2)</f>
        <v>535</v>
      </c>
      <c r="X589" s="9">
        <f>ROUND(R589 / 1.2, 2)</f>
        <v>629.73</v>
      </c>
      <c r="Y589" s="9">
        <f t="shared" si="21"/>
        <v>6223.98</v>
      </c>
      <c r="Z589" s="9">
        <f>ROUND(T589 / 1.2, 2)</f>
        <v>35149.5</v>
      </c>
      <c r="AA589" s="9">
        <f>Y589+Z589</f>
        <v>41373.479999999996</v>
      </c>
      <c r="AD589" s="4">
        <v>334080713</v>
      </c>
      <c r="AE589" s="4">
        <v>29432237</v>
      </c>
      <c r="AG589" s="4" t="s">
        <v>1751</v>
      </c>
      <c r="AH589" s="4" t="s">
        <v>1752</v>
      </c>
      <c r="AI589" s="4" t="s">
        <v>250</v>
      </c>
    </row>
    <row r="590" spans="1:35" ht="36" x14ac:dyDescent="0.3">
      <c r="A590" s="11" t="s">
        <v>1906</v>
      </c>
      <c r="B590" s="11"/>
      <c r="C590" s="32" t="s">
        <v>1007</v>
      </c>
      <c r="D590" s="21"/>
      <c r="E590" s="21" t="s">
        <v>1883</v>
      </c>
      <c r="F590" s="33" t="s">
        <v>278</v>
      </c>
      <c r="G590" s="34">
        <v>0.15</v>
      </c>
      <c r="H590" s="21"/>
      <c r="I590" s="34">
        <v>9.8550000000000004</v>
      </c>
      <c r="J590" s="35">
        <v>90.28</v>
      </c>
      <c r="K590" s="12"/>
      <c r="L590" s="12"/>
      <c r="M590" s="35">
        <f>ROUND(ROUND(J590, 2)*I590, 2)</f>
        <v>889.71</v>
      </c>
      <c r="N590" s="12"/>
      <c r="O590" s="12"/>
      <c r="P590" s="35">
        <v>100</v>
      </c>
      <c r="Q590" s="12"/>
      <c r="R590" s="12"/>
      <c r="S590" s="35">
        <f>ROUND(ROUND(P590, 2)*I590, 2)</f>
        <v>985.5</v>
      </c>
      <c r="T590" s="12"/>
      <c r="U590" s="36"/>
      <c r="V590" s="9">
        <f>ROUND(ROUND(P590, 2)/1.2, 2)</f>
        <v>83.33</v>
      </c>
      <c r="Y590" s="9">
        <f t="shared" si="21"/>
        <v>821.25</v>
      </c>
      <c r="AD590" s="4" t="s">
        <v>1907</v>
      </c>
      <c r="AE590" s="4" t="s">
        <v>1908</v>
      </c>
      <c r="AF590" s="4" t="s">
        <v>1010</v>
      </c>
    </row>
    <row r="591" spans="1:35" ht="54" x14ac:dyDescent="0.3">
      <c r="A591" s="11" t="s">
        <v>1909</v>
      </c>
      <c r="B591" s="11"/>
      <c r="C591" s="32" t="s">
        <v>1877</v>
      </c>
      <c r="D591" s="21"/>
      <c r="E591" s="21" t="s">
        <v>1910</v>
      </c>
      <c r="F591" s="33" t="s">
        <v>278</v>
      </c>
      <c r="G591" s="34">
        <v>0.3</v>
      </c>
      <c r="H591" s="21"/>
      <c r="I591" s="34">
        <v>19.71</v>
      </c>
      <c r="J591" s="35">
        <v>173.4</v>
      </c>
      <c r="K591" s="12"/>
      <c r="L591" s="12"/>
      <c r="M591" s="35">
        <f>ROUND(ROUND(J591, 2)*I591, 2)</f>
        <v>3417.71</v>
      </c>
      <c r="N591" s="12"/>
      <c r="O591" s="12"/>
      <c r="P591" s="35">
        <v>328.94</v>
      </c>
      <c r="Q591" s="12"/>
      <c r="R591" s="12"/>
      <c r="S591" s="35">
        <f>ROUND(ROUND(P591, 2)*I591, 2)</f>
        <v>6483.41</v>
      </c>
      <c r="T591" s="12"/>
      <c r="U591" s="36"/>
      <c r="V591" s="9">
        <f>ROUND(ROUND(P591, 2)/1.2, 2)</f>
        <v>274.12</v>
      </c>
      <c r="Y591" s="9">
        <f t="shared" si="21"/>
        <v>5402.84</v>
      </c>
      <c r="AD591" s="4" t="s">
        <v>1911</v>
      </c>
      <c r="AE591" s="4" t="s">
        <v>1912</v>
      </c>
      <c r="AF591" s="4" t="s">
        <v>1881</v>
      </c>
    </row>
    <row r="592" spans="1:35" ht="126" x14ac:dyDescent="0.3">
      <c r="A592" s="11" t="s">
        <v>1913</v>
      </c>
      <c r="B592" s="11" t="s">
        <v>1749</v>
      </c>
      <c r="C592" s="20" t="s">
        <v>1750</v>
      </c>
      <c r="D592" s="21"/>
      <c r="E592" s="21" t="s">
        <v>1914</v>
      </c>
      <c r="F592" s="21" t="s">
        <v>62</v>
      </c>
      <c r="G592" s="22">
        <v>1</v>
      </c>
      <c r="H592" s="21"/>
      <c r="I592" s="22">
        <v>33</v>
      </c>
      <c r="J592" s="23">
        <f>IFERROR(ROUND(SUM(M593,M594)/I592, 2),0)</f>
        <v>65.56</v>
      </c>
      <c r="K592" s="23">
        <v>428</v>
      </c>
      <c r="L592" s="23">
        <f>J592+ROUND(K592, 2)</f>
        <v>493.56</v>
      </c>
      <c r="M592" s="23">
        <f>ROUND(J592*I592, 2)</f>
        <v>2163.48</v>
      </c>
      <c r="N592" s="23">
        <f>ROUND(I592*ROUND(K592, 2), 2)</f>
        <v>14124</v>
      </c>
      <c r="O592" s="23">
        <f>M592+N592</f>
        <v>16287.48</v>
      </c>
      <c r="P592" s="23">
        <f>IFERROR(ROUND(SUM(S593,S594)/I592, 2),0)</f>
        <v>114.69</v>
      </c>
      <c r="Q592" s="23">
        <v>642</v>
      </c>
      <c r="R592" s="23">
        <f>P592+ROUND(Q592, 2)</f>
        <v>756.69</v>
      </c>
      <c r="S592" s="23">
        <f>ROUND(P592*I592, 2)</f>
        <v>3784.77</v>
      </c>
      <c r="T592" s="23">
        <f>ROUND(I592*ROUND(Q592, 2), 2)</f>
        <v>21186</v>
      </c>
      <c r="U592" s="23">
        <f>S592+T592</f>
        <v>24970.77</v>
      </c>
      <c r="V592" s="9">
        <f>ROUND(P592 / 1.2, 2)</f>
        <v>95.58</v>
      </c>
      <c r="W592" s="9">
        <f>ROUND(Q592 / 1.2, 2)</f>
        <v>535</v>
      </c>
      <c r="X592" s="9">
        <f>ROUND(R592 / 1.2, 2)</f>
        <v>630.58000000000004</v>
      </c>
      <c r="Y592" s="9">
        <f t="shared" si="21"/>
        <v>3153.98</v>
      </c>
      <c r="Z592" s="9">
        <f>ROUND(T592 / 1.2, 2)</f>
        <v>17655</v>
      </c>
      <c r="AA592" s="9">
        <f>Y592+Z592</f>
        <v>20808.98</v>
      </c>
      <c r="AD592" s="4">
        <v>334080714</v>
      </c>
      <c r="AE592" s="4">
        <v>29432232</v>
      </c>
      <c r="AG592" s="4" t="s">
        <v>1751</v>
      </c>
      <c r="AH592" s="4" t="s">
        <v>1752</v>
      </c>
      <c r="AI592" s="4" t="s">
        <v>250</v>
      </c>
    </row>
    <row r="593" spans="1:35" ht="54" x14ac:dyDescent="0.3">
      <c r="A593" s="11" t="s">
        <v>1915</v>
      </c>
      <c r="B593" s="11"/>
      <c r="C593" s="32" t="s">
        <v>1877</v>
      </c>
      <c r="D593" s="21"/>
      <c r="E593" s="21" t="s">
        <v>1916</v>
      </c>
      <c r="F593" s="33" t="s">
        <v>278</v>
      </c>
      <c r="G593" s="34">
        <v>0.3</v>
      </c>
      <c r="H593" s="21"/>
      <c r="I593" s="34">
        <v>9.9</v>
      </c>
      <c r="J593" s="35">
        <v>173.4</v>
      </c>
      <c r="K593" s="12"/>
      <c r="L593" s="12"/>
      <c r="M593" s="35">
        <f>ROUND(ROUND(J593, 2)*I593, 2)</f>
        <v>1716.66</v>
      </c>
      <c r="N593" s="12"/>
      <c r="O593" s="12"/>
      <c r="P593" s="35">
        <v>332.3</v>
      </c>
      <c r="Q593" s="12"/>
      <c r="R593" s="12"/>
      <c r="S593" s="35">
        <f>ROUND(ROUND(P593, 2)*I593, 2)</f>
        <v>3289.77</v>
      </c>
      <c r="T593" s="12"/>
      <c r="U593" s="36"/>
      <c r="V593" s="9">
        <f>ROUND(ROUND(P593, 2)/1.2, 2)</f>
        <v>276.92</v>
      </c>
      <c r="Y593" s="9">
        <f t="shared" si="21"/>
        <v>2741.48</v>
      </c>
      <c r="AD593" s="4" t="s">
        <v>1917</v>
      </c>
      <c r="AE593" s="4" t="s">
        <v>1918</v>
      </c>
      <c r="AF593" s="4" t="s">
        <v>1881</v>
      </c>
    </row>
    <row r="594" spans="1:35" ht="36" x14ac:dyDescent="0.3">
      <c r="A594" s="11" t="s">
        <v>1919</v>
      </c>
      <c r="B594" s="11"/>
      <c r="C594" s="32" t="s">
        <v>1007</v>
      </c>
      <c r="D594" s="21"/>
      <c r="E594" s="21" t="s">
        <v>1883</v>
      </c>
      <c r="F594" s="33" t="s">
        <v>278</v>
      </c>
      <c r="G594" s="34">
        <v>0.15</v>
      </c>
      <c r="H594" s="21"/>
      <c r="I594" s="34">
        <v>4.95</v>
      </c>
      <c r="J594" s="35">
        <v>90.28</v>
      </c>
      <c r="K594" s="12"/>
      <c r="L594" s="12"/>
      <c r="M594" s="35">
        <f>ROUND(ROUND(J594, 2)*I594, 2)</f>
        <v>446.89</v>
      </c>
      <c r="N594" s="12"/>
      <c r="O594" s="12"/>
      <c r="P594" s="35">
        <v>100</v>
      </c>
      <c r="Q594" s="12"/>
      <c r="R594" s="12"/>
      <c r="S594" s="35">
        <f>ROUND(ROUND(P594, 2)*I594, 2)</f>
        <v>495</v>
      </c>
      <c r="T594" s="12"/>
      <c r="U594" s="36"/>
      <c r="V594" s="9">
        <f>ROUND(ROUND(P594, 2)/1.2, 2)</f>
        <v>83.33</v>
      </c>
      <c r="Y594" s="9">
        <f t="shared" si="21"/>
        <v>412.5</v>
      </c>
      <c r="AD594" s="4" t="s">
        <v>1920</v>
      </c>
      <c r="AE594" s="4" t="s">
        <v>1921</v>
      </c>
      <c r="AF594" s="4" t="s">
        <v>1010</v>
      </c>
    </row>
    <row r="595" spans="1:35" ht="126" x14ac:dyDescent="0.3">
      <c r="A595" s="11" t="s">
        <v>1922</v>
      </c>
      <c r="B595" s="11" t="s">
        <v>1749</v>
      </c>
      <c r="C595" s="20" t="s">
        <v>1750</v>
      </c>
      <c r="D595" s="21"/>
      <c r="E595" s="21" t="s">
        <v>1923</v>
      </c>
      <c r="F595" s="21" t="s">
        <v>62</v>
      </c>
      <c r="G595" s="22">
        <v>1</v>
      </c>
      <c r="H595" s="21"/>
      <c r="I595" s="22">
        <v>1203.0999999999999</v>
      </c>
      <c r="J595" s="23">
        <f>IFERROR(ROUND(SUM(M596,M597)/I595, 2),0)</f>
        <v>65.56</v>
      </c>
      <c r="K595" s="23">
        <v>428</v>
      </c>
      <c r="L595" s="23">
        <f>J595+ROUND(K595, 2)</f>
        <v>493.56</v>
      </c>
      <c r="M595" s="23">
        <f>ROUND(J595*I595, 2)</f>
        <v>78875.240000000005</v>
      </c>
      <c r="N595" s="23">
        <f>ROUND(I595*ROUND(K595, 2), 2)</f>
        <v>514926.8</v>
      </c>
      <c r="O595" s="23">
        <f>M595+N595</f>
        <v>593802.04</v>
      </c>
      <c r="P595" s="23">
        <f>IFERROR(ROUND(SUM(S596,S597)/I595, 2),0)</f>
        <v>148.01</v>
      </c>
      <c r="Q595" s="23">
        <v>642</v>
      </c>
      <c r="R595" s="23">
        <f>P595+ROUND(Q595, 2)</f>
        <v>790.01</v>
      </c>
      <c r="S595" s="23">
        <f>ROUND(P595*I595, 2)</f>
        <v>178070.83</v>
      </c>
      <c r="T595" s="23">
        <f>ROUND(I595*ROUND(Q595, 2), 2)</f>
        <v>772390.2</v>
      </c>
      <c r="U595" s="23">
        <f>S595+T595</f>
        <v>950461.02999999991</v>
      </c>
      <c r="V595" s="9">
        <f>ROUND(P595 / 1.2, 2)</f>
        <v>123.34</v>
      </c>
      <c r="W595" s="9">
        <f>ROUND(Q595 / 1.2, 2)</f>
        <v>535</v>
      </c>
      <c r="X595" s="9">
        <f>ROUND(R595 / 1.2, 2)</f>
        <v>658.34</v>
      </c>
      <c r="Y595" s="9">
        <f t="shared" si="21"/>
        <v>148392.35999999999</v>
      </c>
      <c r="Z595" s="9">
        <f>ROUND(T595 / 1.2, 2)</f>
        <v>643658.5</v>
      </c>
      <c r="AA595" s="9">
        <f>Y595+Z595</f>
        <v>792050.86</v>
      </c>
      <c r="AD595" s="4">
        <v>334080715</v>
      </c>
      <c r="AE595" s="4">
        <v>29432233</v>
      </c>
      <c r="AG595" s="4" t="s">
        <v>1751</v>
      </c>
      <c r="AH595" s="4" t="s">
        <v>1752</v>
      </c>
      <c r="AI595" s="4" t="s">
        <v>250</v>
      </c>
    </row>
    <row r="596" spans="1:35" ht="36" x14ac:dyDescent="0.3">
      <c r="A596" s="11" t="s">
        <v>1924</v>
      </c>
      <c r="B596" s="11"/>
      <c r="C596" s="32" t="s">
        <v>1007</v>
      </c>
      <c r="D596" s="21"/>
      <c r="E596" s="21" t="s">
        <v>1883</v>
      </c>
      <c r="F596" s="33" t="s">
        <v>278</v>
      </c>
      <c r="G596" s="34">
        <v>0.15</v>
      </c>
      <c r="H596" s="21"/>
      <c r="I596" s="34">
        <v>180.465</v>
      </c>
      <c r="J596" s="35">
        <v>90.28</v>
      </c>
      <c r="K596" s="12"/>
      <c r="L596" s="12"/>
      <c r="M596" s="35">
        <f>ROUND(ROUND(J596, 2)*I596, 2)</f>
        <v>16292.38</v>
      </c>
      <c r="N596" s="12"/>
      <c r="O596" s="12"/>
      <c r="P596" s="35">
        <v>100</v>
      </c>
      <c r="Q596" s="12"/>
      <c r="R596" s="12"/>
      <c r="S596" s="35">
        <f>ROUND(ROUND(P596, 2)*I596, 2)</f>
        <v>18046.5</v>
      </c>
      <c r="T596" s="12"/>
      <c r="U596" s="36"/>
      <c r="V596" s="9">
        <f>ROUND(ROUND(P596, 2)/1.2, 2)</f>
        <v>83.33</v>
      </c>
      <c r="Y596" s="9">
        <f t="shared" si="21"/>
        <v>15038.75</v>
      </c>
      <c r="AD596" s="4" t="s">
        <v>1925</v>
      </c>
      <c r="AE596" s="4" t="s">
        <v>1926</v>
      </c>
      <c r="AF596" s="4" t="s">
        <v>1010</v>
      </c>
    </row>
    <row r="597" spans="1:35" ht="54" x14ac:dyDescent="0.3">
      <c r="A597" s="11" t="s">
        <v>1927</v>
      </c>
      <c r="B597" s="11"/>
      <c r="C597" s="32" t="s">
        <v>1877</v>
      </c>
      <c r="D597" s="21"/>
      <c r="E597" s="21" t="s">
        <v>1928</v>
      </c>
      <c r="F597" s="33" t="s">
        <v>278</v>
      </c>
      <c r="G597" s="34">
        <v>0.3</v>
      </c>
      <c r="H597" s="21"/>
      <c r="I597" s="34">
        <v>360.93</v>
      </c>
      <c r="J597" s="35">
        <v>173.4</v>
      </c>
      <c r="K597" s="12"/>
      <c r="L597" s="12"/>
      <c r="M597" s="35">
        <f>ROUND(ROUND(J597, 2)*I597, 2)</f>
        <v>62585.26</v>
      </c>
      <c r="N597" s="12"/>
      <c r="O597" s="12"/>
      <c r="P597" s="35">
        <v>443.37</v>
      </c>
      <c r="Q597" s="12"/>
      <c r="R597" s="12"/>
      <c r="S597" s="35">
        <f>ROUND(ROUND(P597, 2)*I597, 2)</f>
        <v>160025.53</v>
      </c>
      <c r="T597" s="12"/>
      <c r="U597" s="36"/>
      <c r="V597" s="9">
        <f>ROUND(ROUND(P597, 2)/1.2, 2)</f>
        <v>369.48</v>
      </c>
      <c r="Y597" s="9">
        <f t="shared" si="21"/>
        <v>133354.60999999999</v>
      </c>
      <c r="AD597" s="4" t="s">
        <v>1929</v>
      </c>
      <c r="AE597" s="4" t="s">
        <v>1930</v>
      </c>
      <c r="AF597" s="4" t="s">
        <v>1881</v>
      </c>
    </row>
    <row r="598" spans="1:35" ht="126" x14ac:dyDescent="0.3">
      <c r="A598" s="11" t="s">
        <v>1931</v>
      </c>
      <c r="B598" s="11" t="s">
        <v>1749</v>
      </c>
      <c r="C598" s="20" t="s">
        <v>1750</v>
      </c>
      <c r="D598" s="21"/>
      <c r="E598" s="21" t="s">
        <v>1932</v>
      </c>
      <c r="F598" s="21" t="s">
        <v>62</v>
      </c>
      <c r="G598" s="22">
        <v>1</v>
      </c>
      <c r="H598" s="21"/>
      <c r="I598" s="22">
        <v>104.1</v>
      </c>
      <c r="J598" s="23">
        <f>IFERROR(ROUND(SUM(M599,M600)/I598, 2),0)</f>
        <v>65.56</v>
      </c>
      <c r="K598" s="23">
        <v>428</v>
      </c>
      <c r="L598" s="23">
        <f>J598+ROUND(K598, 2)</f>
        <v>493.56</v>
      </c>
      <c r="M598" s="23">
        <f>ROUND(J598*I598, 2)</f>
        <v>6824.8</v>
      </c>
      <c r="N598" s="23">
        <f>ROUND(I598*ROUND(K598, 2), 2)</f>
        <v>44554.8</v>
      </c>
      <c r="O598" s="23">
        <f>M598+N598</f>
        <v>51379.600000000006</v>
      </c>
      <c r="P598" s="23">
        <f>IFERROR(ROUND(SUM(S599,S600)/I598, 2),0)</f>
        <v>210.69</v>
      </c>
      <c r="Q598" s="23">
        <v>642</v>
      </c>
      <c r="R598" s="23">
        <f>P598+ROUND(Q598, 2)</f>
        <v>852.69</v>
      </c>
      <c r="S598" s="23">
        <f>ROUND(P598*I598, 2)</f>
        <v>21932.83</v>
      </c>
      <c r="T598" s="23">
        <f>ROUND(I598*ROUND(Q598, 2), 2)</f>
        <v>66832.2</v>
      </c>
      <c r="U598" s="23">
        <f>S598+T598</f>
        <v>88765.03</v>
      </c>
      <c r="V598" s="9">
        <f>ROUND(P598 / 1.2, 2)</f>
        <v>175.58</v>
      </c>
      <c r="W598" s="9">
        <f>ROUND(Q598 / 1.2, 2)</f>
        <v>535</v>
      </c>
      <c r="X598" s="9">
        <f>ROUND(R598 / 1.2, 2)</f>
        <v>710.58</v>
      </c>
      <c r="Y598" s="9">
        <f t="shared" si="21"/>
        <v>18277.36</v>
      </c>
      <c r="Z598" s="9">
        <f>ROUND(T598 / 1.2, 2)</f>
        <v>55693.5</v>
      </c>
      <c r="AA598" s="9">
        <f>Y598+Z598</f>
        <v>73970.86</v>
      </c>
      <c r="AD598" s="4">
        <v>334080716</v>
      </c>
      <c r="AE598" s="4">
        <v>29432234</v>
      </c>
      <c r="AG598" s="4" t="s">
        <v>1751</v>
      </c>
      <c r="AH598" s="4" t="s">
        <v>1752</v>
      </c>
      <c r="AI598" s="4" t="s">
        <v>250</v>
      </c>
    </row>
    <row r="599" spans="1:35" ht="54" x14ac:dyDescent="0.3">
      <c r="A599" s="11" t="s">
        <v>1933</v>
      </c>
      <c r="B599" s="11"/>
      <c r="C599" s="32" t="s">
        <v>1877</v>
      </c>
      <c r="D599" s="21"/>
      <c r="E599" s="21" t="s">
        <v>1934</v>
      </c>
      <c r="F599" s="33" t="s">
        <v>278</v>
      </c>
      <c r="G599" s="34">
        <v>0.3</v>
      </c>
      <c r="H599" s="21"/>
      <c r="I599" s="34">
        <v>31.23</v>
      </c>
      <c r="J599" s="35">
        <v>173.4</v>
      </c>
      <c r="K599" s="12"/>
      <c r="L599" s="12"/>
      <c r="M599" s="35">
        <f>ROUND(ROUND(J599, 2)*I599, 2)</f>
        <v>5415.28</v>
      </c>
      <c r="N599" s="12"/>
      <c r="O599" s="12"/>
      <c r="P599" s="35">
        <v>652.29999999999995</v>
      </c>
      <c r="Q599" s="12"/>
      <c r="R599" s="12"/>
      <c r="S599" s="35">
        <f>ROUND(ROUND(P599, 2)*I599, 2)</f>
        <v>20371.330000000002</v>
      </c>
      <c r="T599" s="12"/>
      <c r="U599" s="36"/>
      <c r="V599" s="9">
        <f>ROUND(ROUND(P599, 2)/1.2, 2)</f>
        <v>543.58000000000004</v>
      </c>
      <c r="Y599" s="9">
        <f t="shared" si="21"/>
        <v>16976.11</v>
      </c>
      <c r="AD599" s="4" t="s">
        <v>1935</v>
      </c>
      <c r="AE599" s="4" t="s">
        <v>1936</v>
      </c>
      <c r="AF599" s="4" t="s">
        <v>1881</v>
      </c>
    </row>
    <row r="600" spans="1:35" ht="36" x14ac:dyDescent="0.3">
      <c r="A600" s="11" t="s">
        <v>1937</v>
      </c>
      <c r="B600" s="11"/>
      <c r="C600" s="32" t="s">
        <v>1007</v>
      </c>
      <c r="D600" s="21"/>
      <c r="E600" s="21" t="s">
        <v>1883</v>
      </c>
      <c r="F600" s="33" t="s">
        <v>278</v>
      </c>
      <c r="G600" s="34">
        <v>0.15</v>
      </c>
      <c r="H600" s="21"/>
      <c r="I600" s="34">
        <v>15.615</v>
      </c>
      <c r="J600" s="35">
        <v>90.28</v>
      </c>
      <c r="K600" s="12"/>
      <c r="L600" s="12"/>
      <c r="M600" s="35">
        <f>ROUND(ROUND(J600, 2)*I600, 2)</f>
        <v>1409.72</v>
      </c>
      <c r="N600" s="12"/>
      <c r="O600" s="12"/>
      <c r="P600" s="35">
        <v>100</v>
      </c>
      <c r="Q600" s="12"/>
      <c r="R600" s="12"/>
      <c r="S600" s="35">
        <f>ROUND(ROUND(P600, 2)*I600, 2)</f>
        <v>1561.5</v>
      </c>
      <c r="T600" s="12"/>
      <c r="U600" s="36"/>
      <c r="V600" s="9">
        <f>ROUND(ROUND(P600, 2)/1.2, 2)</f>
        <v>83.33</v>
      </c>
      <c r="Y600" s="9">
        <f t="shared" si="21"/>
        <v>1301.25</v>
      </c>
      <c r="AD600" s="4" t="s">
        <v>1938</v>
      </c>
      <c r="AE600" s="4" t="s">
        <v>1939</v>
      </c>
      <c r="AF600" s="4" t="s">
        <v>1010</v>
      </c>
    </row>
    <row r="601" spans="1:35" ht="36" x14ac:dyDescent="0.3">
      <c r="A601" s="10" t="s">
        <v>1940</v>
      </c>
      <c r="B601" s="10" t="s">
        <v>1941</v>
      </c>
      <c r="C601" s="14" t="s">
        <v>1942</v>
      </c>
      <c r="D601" s="15"/>
      <c r="E601" s="15"/>
      <c r="F601" s="15" t="s">
        <v>62</v>
      </c>
      <c r="G601" s="16">
        <v>1</v>
      </c>
      <c r="H601" s="15"/>
      <c r="I601" s="16">
        <v>0</v>
      </c>
      <c r="J601" s="17">
        <v>0</v>
      </c>
      <c r="K601" s="18">
        <v>472</v>
      </c>
      <c r="L601" s="17">
        <f>J601+ROUND(K601, 2)</f>
        <v>472</v>
      </c>
      <c r="M601" s="17">
        <v>0</v>
      </c>
      <c r="N601" s="17">
        <v>0</v>
      </c>
      <c r="O601" s="17">
        <f>M601+N601</f>
        <v>0</v>
      </c>
      <c r="P601" s="17">
        <v>157.65</v>
      </c>
      <c r="Q601" s="19">
        <v>472</v>
      </c>
      <c r="R601" s="17">
        <f>P601+ROUND(Q601, 2)</f>
        <v>629.65</v>
      </c>
      <c r="S601" s="17">
        <v>0</v>
      </c>
      <c r="T601" s="17">
        <v>0</v>
      </c>
      <c r="U601" s="17">
        <f>S601+T601</f>
        <v>0</v>
      </c>
      <c r="V601" s="9">
        <f>ROUND(P601 / 1.2, 2)</f>
        <v>131.38</v>
      </c>
      <c r="W601" s="9">
        <f>ROUND(Q601 / 1.2, 2)</f>
        <v>393.33</v>
      </c>
      <c r="X601" s="9">
        <f>ROUND(R601 / 1.2, 2)</f>
        <v>524.71</v>
      </c>
      <c r="Y601" s="9">
        <f t="shared" si="21"/>
        <v>0</v>
      </c>
      <c r="Z601" s="9">
        <f>ROUND(T601 / 1.2, 2)</f>
        <v>0</v>
      </c>
      <c r="AA601" s="9">
        <f>Y601+Z601</f>
        <v>0</v>
      </c>
      <c r="AD601" s="4">
        <v>334080541</v>
      </c>
      <c r="AE601" s="4">
        <v>27245673</v>
      </c>
      <c r="AG601" s="4" t="s">
        <v>1943</v>
      </c>
      <c r="AH601" s="4" t="s">
        <v>1944</v>
      </c>
      <c r="AI601" s="4" t="s">
        <v>250</v>
      </c>
    </row>
    <row r="602" spans="1:35" ht="18" x14ac:dyDescent="0.3">
      <c r="A602" s="10" t="s">
        <v>1945</v>
      </c>
      <c r="B602" s="10"/>
      <c r="C602" s="24" t="s">
        <v>1946</v>
      </c>
      <c r="D602" s="15"/>
      <c r="E602" s="15"/>
      <c r="F602" s="25" t="s">
        <v>278</v>
      </c>
      <c r="G602" s="26">
        <v>0.3</v>
      </c>
      <c r="H602" s="15"/>
      <c r="I602" s="26">
        <v>0</v>
      </c>
      <c r="J602" s="27">
        <v>938.78</v>
      </c>
      <c r="M602" s="28">
        <f>ROUND(ROUND(J602, 2)*I602, 2)</f>
        <v>0</v>
      </c>
      <c r="P602" s="29">
        <v>495.9</v>
      </c>
      <c r="S602" s="28">
        <f>ROUND(ROUND(P602, 2)*I602, 2)</f>
        <v>0</v>
      </c>
      <c r="V602" s="9">
        <f>ROUND(ROUND(P602, 2)/1.2, 2)</f>
        <v>413.25</v>
      </c>
      <c r="Y602" s="9">
        <f t="shared" si="21"/>
        <v>0</v>
      </c>
      <c r="AD602" s="4" t="s">
        <v>1947</v>
      </c>
      <c r="AE602" s="4" t="s">
        <v>1948</v>
      </c>
      <c r="AF602" s="4" t="s">
        <v>1949</v>
      </c>
    </row>
    <row r="603" spans="1:35" ht="36" x14ac:dyDescent="0.3">
      <c r="A603" s="10" t="s">
        <v>1950</v>
      </c>
      <c r="B603" s="10"/>
      <c r="C603" s="24" t="s">
        <v>1007</v>
      </c>
      <c r="D603" s="15"/>
      <c r="E603" s="15"/>
      <c r="F603" s="25" t="s">
        <v>278</v>
      </c>
      <c r="G603" s="26">
        <v>0.1</v>
      </c>
      <c r="H603" s="15"/>
      <c r="I603" s="26">
        <v>0</v>
      </c>
      <c r="J603" s="27">
        <v>88.8</v>
      </c>
      <c r="M603" s="28">
        <f>ROUND(ROUND(J603, 2)*I603, 2)</f>
        <v>0</v>
      </c>
      <c r="P603" s="29">
        <v>88.8</v>
      </c>
      <c r="S603" s="28">
        <f>ROUND(ROUND(P603, 2)*I603, 2)</f>
        <v>0</v>
      </c>
      <c r="V603" s="9">
        <f>ROUND(ROUND(P603, 2)/1.2, 2)</f>
        <v>74</v>
      </c>
      <c r="Y603" s="9">
        <f t="shared" si="21"/>
        <v>0</v>
      </c>
      <c r="AD603" s="4" t="s">
        <v>1951</v>
      </c>
      <c r="AE603" s="4" t="s">
        <v>1952</v>
      </c>
      <c r="AF603" s="4" t="s">
        <v>1010</v>
      </c>
    </row>
    <row r="604" spans="1:35" ht="108" x14ac:dyDescent="0.3">
      <c r="A604" s="10" t="s">
        <v>1953</v>
      </c>
      <c r="B604" s="10" t="s">
        <v>1941</v>
      </c>
      <c r="C604" s="14" t="s">
        <v>1942</v>
      </c>
      <c r="D604" s="15"/>
      <c r="E604" s="15" t="s">
        <v>1954</v>
      </c>
      <c r="F604" s="15" t="s">
        <v>62</v>
      </c>
      <c r="G604" s="16">
        <v>1</v>
      </c>
      <c r="H604" s="15"/>
      <c r="I604" s="16">
        <v>170.8</v>
      </c>
      <c r="J604" s="17">
        <v>290.51</v>
      </c>
      <c r="K604" s="18">
        <v>472</v>
      </c>
      <c r="L604" s="17">
        <f>J604+ROUND(K604, 2)</f>
        <v>762.51</v>
      </c>
      <c r="M604" s="17">
        <v>49619.11</v>
      </c>
      <c r="N604" s="17">
        <v>80617.600000000006</v>
      </c>
      <c r="O604" s="17">
        <f>M604+N604</f>
        <v>130236.71</v>
      </c>
      <c r="P604" s="17">
        <v>157.65</v>
      </c>
      <c r="Q604" s="19">
        <v>708</v>
      </c>
      <c r="R604" s="17">
        <f>P604+ROUND(Q604, 2)</f>
        <v>865.65</v>
      </c>
      <c r="S604" s="17">
        <v>26926.62</v>
      </c>
      <c r="T604" s="17">
        <v>120926.39999999999</v>
      </c>
      <c r="U604" s="17">
        <f>S604+T604</f>
        <v>147853.01999999999</v>
      </c>
      <c r="V604" s="9">
        <f>ROUND(P604 / 1.2, 2)</f>
        <v>131.38</v>
      </c>
      <c r="W604" s="9">
        <f>ROUND(Q604 / 1.2, 2)</f>
        <v>590</v>
      </c>
      <c r="X604" s="9">
        <f>ROUND(R604 / 1.2, 2)</f>
        <v>721.38</v>
      </c>
      <c r="Y604" s="9">
        <f t="shared" si="21"/>
        <v>22438.85</v>
      </c>
      <c r="Z604" s="9">
        <f>ROUND(T604 / 1.2, 2)</f>
        <v>100772</v>
      </c>
      <c r="AA604" s="9">
        <f>Y604+Z604</f>
        <v>123210.85</v>
      </c>
      <c r="AD604" s="4">
        <v>334080717</v>
      </c>
      <c r="AE604" s="4">
        <v>27245748</v>
      </c>
      <c r="AG604" s="4" t="s">
        <v>1943</v>
      </c>
      <c r="AH604" s="4" t="s">
        <v>1944</v>
      </c>
      <c r="AI604" s="4" t="s">
        <v>250</v>
      </c>
    </row>
    <row r="605" spans="1:35" ht="36" x14ac:dyDescent="0.3">
      <c r="A605" s="10" t="s">
        <v>1955</v>
      </c>
      <c r="B605" s="10"/>
      <c r="C605" s="24" t="s">
        <v>1007</v>
      </c>
      <c r="D605" s="15"/>
      <c r="E605" s="15"/>
      <c r="F605" s="25" t="s">
        <v>278</v>
      </c>
      <c r="G605" s="26">
        <v>0.1</v>
      </c>
      <c r="H605" s="15"/>
      <c r="I605" s="26">
        <v>17.079999999999998</v>
      </c>
      <c r="J605" s="27">
        <v>88.8</v>
      </c>
      <c r="M605" s="28">
        <f>ROUND(ROUND(J605, 2)*I605, 2)</f>
        <v>1516.7</v>
      </c>
      <c r="P605" s="29">
        <v>88.8</v>
      </c>
      <c r="S605" s="28">
        <f>ROUND(ROUND(P605, 2)*I605, 2)</f>
        <v>1516.7</v>
      </c>
      <c r="V605" s="9">
        <f>ROUND(ROUND(P605, 2)/1.2, 2)</f>
        <v>74</v>
      </c>
      <c r="Y605" s="9">
        <f t="shared" si="21"/>
        <v>1263.92</v>
      </c>
      <c r="AD605" s="4" t="s">
        <v>1956</v>
      </c>
      <c r="AE605" s="4" t="s">
        <v>1957</v>
      </c>
      <c r="AF605" s="4" t="s">
        <v>1010</v>
      </c>
    </row>
    <row r="606" spans="1:35" ht="18" x14ac:dyDescent="0.3">
      <c r="A606" s="10" t="s">
        <v>1958</v>
      </c>
      <c r="B606" s="10"/>
      <c r="C606" s="24" t="s">
        <v>1946</v>
      </c>
      <c r="D606" s="15"/>
      <c r="E606" s="15"/>
      <c r="F606" s="25" t="s">
        <v>278</v>
      </c>
      <c r="G606" s="26">
        <v>0.3</v>
      </c>
      <c r="H606" s="15"/>
      <c r="I606" s="26">
        <v>51.24</v>
      </c>
      <c r="J606" s="27">
        <v>938.78</v>
      </c>
      <c r="M606" s="28">
        <f>ROUND(ROUND(J606, 2)*I606, 2)</f>
        <v>48103.09</v>
      </c>
      <c r="P606" s="29">
        <v>495.9</v>
      </c>
      <c r="S606" s="28">
        <f>ROUND(ROUND(P606, 2)*I606, 2)</f>
        <v>25409.919999999998</v>
      </c>
      <c r="V606" s="9">
        <f>ROUND(ROUND(P606, 2)/1.2, 2)</f>
        <v>413.25</v>
      </c>
      <c r="Y606" s="9">
        <f t="shared" si="21"/>
        <v>21174.93</v>
      </c>
      <c r="AD606" s="4" t="s">
        <v>1959</v>
      </c>
      <c r="AE606" s="4" t="s">
        <v>1960</v>
      </c>
      <c r="AF606" s="4" t="s">
        <v>1949</v>
      </c>
    </row>
    <row r="607" spans="1:35" ht="108" x14ac:dyDescent="0.3">
      <c r="A607" s="11" t="s">
        <v>1961</v>
      </c>
      <c r="B607" s="11" t="s">
        <v>1941</v>
      </c>
      <c r="C607" s="20" t="s">
        <v>1942</v>
      </c>
      <c r="D607" s="21"/>
      <c r="E607" s="21" t="s">
        <v>1962</v>
      </c>
      <c r="F607" s="21" t="s">
        <v>62</v>
      </c>
      <c r="G607" s="22">
        <v>1</v>
      </c>
      <c r="H607" s="21"/>
      <c r="I607" s="22">
        <v>282.81</v>
      </c>
      <c r="J607" s="23">
        <f>IFERROR(ROUND(SUM(M608,M609)/I607, 2),0)</f>
        <v>295.36</v>
      </c>
      <c r="K607" s="23">
        <v>472.01</v>
      </c>
      <c r="L607" s="23">
        <f>J607+ROUND(K607, 2)</f>
        <v>767.37</v>
      </c>
      <c r="M607" s="23">
        <f>ROUND(J607*I607, 2)</f>
        <v>83530.759999999995</v>
      </c>
      <c r="N607" s="23">
        <f>ROUND(I607*ROUND(K607, 2), 2)</f>
        <v>133489.15</v>
      </c>
      <c r="O607" s="23">
        <f>M607+N607</f>
        <v>217019.90999999997</v>
      </c>
      <c r="P607" s="23">
        <f>IFERROR(ROUND(SUM(S608,S609)/I607, 2),0)</f>
        <v>73.69</v>
      </c>
      <c r="Q607" s="23">
        <v>708</v>
      </c>
      <c r="R607" s="23">
        <f>P607+ROUND(Q607, 2)</f>
        <v>781.69</v>
      </c>
      <c r="S607" s="23">
        <f>ROUND(P607*I607, 2)</f>
        <v>20840.27</v>
      </c>
      <c r="T607" s="23">
        <f>ROUND(I607*ROUND(Q607, 2), 2)</f>
        <v>200229.48</v>
      </c>
      <c r="U607" s="23">
        <f>S607+T607</f>
        <v>221069.75</v>
      </c>
      <c r="V607" s="9">
        <f>ROUND(P607 / 1.2, 2)</f>
        <v>61.41</v>
      </c>
      <c r="W607" s="9">
        <f>ROUND(Q607 / 1.2, 2)</f>
        <v>590</v>
      </c>
      <c r="X607" s="9">
        <f>ROUND(R607 / 1.2, 2)</f>
        <v>651.41</v>
      </c>
      <c r="Y607" s="9">
        <f t="shared" si="21"/>
        <v>17366.89</v>
      </c>
      <c r="Z607" s="9">
        <f>ROUND(T607 / 1.2, 2)</f>
        <v>166857.9</v>
      </c>
      <c r="AA607" s="9">
        <f>Y607+Z607</f>
        <v>184224.78999999998</v>
      </c>
      <c r="AD607" s="4">
        <v>334080718</v>
      </c>
      <c r="AE607" s="4">
        <v>29434041</v>
      </c>
      <c r="AG607" s="4" t="s">
        <v>1943</v>
      </c>
      <c r="AH607" s="4" t="s">
        <v>1944</v>
      </c>
      <c r="AI607" s="4" t="s">
        <v>250</v>
      </c>
    </row>
    <row r="608" spans="1:35" ht="36" x14ac:dyDescent="0.3">
      <c r="A608" s="11" t="s">
        <v>1963</v>
      </c>
      <c r="B608" s="11"/>
      <c r="C608" s="32" t="s">
        <v>1946</v>
      </c>
      <c r="D608" s="21"/>
      <c r="E608" s="21" t="s">
        <v>1964</v>
      </c>
      <c r="F608" s="33" t="s">
        <v>278</v>
      </c>
      <c r="G608" s="34">
        <v>0.3</v>
      </c>
      <c r="H608" s="21"/>
      <c r="I608" s="34">
        <v>84.843000000000004</v>
      </c>
      <c r="J608" s="35">
        <v>954.43</v>
      </c>
      <c r="K608" s="12"/>
      <c r="L608" s="12"/>
      <c r="M608" s="35">
        <f>ROUND(ROUND(J608, 2)*I608, 2)</f>
        <v>80976.7</v>
      </c>
      <c r="N608" s="12"/>
      <c r="O608" s="12"/>
      <c r="P608" s="35">
        <v>212.3</v>
      </c>
      <c r="Q608" s="12"/>
      <c r="R608" s="12"/>
      <c r="S608" s="35">
        <f>ROUND(ROUND(P608, 2)*I608, 2)</f>
        <v>18012.169999999998</v>
      </c>
      <c r="T608" s="12"/>
      <c r="U608" s="36"/>
      <c r="V608" s="9">
        <f>ROUND(ROUND(P608, 2)/1.2, 2)</f>
        <v>176.92</v>
      </c>
      <c r="Y608" s="9">
        <f t="shared" si="21"/>
        <v>15010.14</v>
      </c>
      <c r="AD608" s="4" t="s">
        <v>1965</v>
      </c>
      <c r="AE608" s="4" t="s">
        <v>1966</v>
      </c>
      <c r="AF608" s="4" t="s">
        <v>1949</v>
      </c>
    </row>
    <row r="609" spans="1:35" ht="36" x14ac:dyDescent="0.3">
      <c r="A609" s="11" t="s">
        <v>1967</v>
      </c>
      <c r="B609" s="11"/>
      <c r="C609" s="32" t="s">
        <v>1007</v>
      </c>
      <c r="D609" s="21"/>
      <c r="E609" s="21" t="s">
        <v>1883</v>
      </c>
      <c r="F609" s="33" t="s">
        <v>278</v>
      </c>
      <c r="G609" s="34">
        <v>0.1</v>
      </c>
      <c r="H609" s="21"/>
      <c r="I609" s="34">
        <v>28.280999999999999</v>
      </c>
      <c r="J609" s="35">
        <v>90.28</v>
      </c>
      <c r="K609" s="12"/>
      <c r="L609" s="12"/>
      <c r="M609" s="35">
        <f>ROUND(ROUND(J609, 2)*I609, 2)</f>
        <v>2553.21</v>
      </c>
      <c r="N609" s="12"/>
      <c r="O609" s="12"/>
      <c r="P609" s="35">
        <v>100</v>
      </c>
      <c r="Q609" s="12"/>
      <c r="R609" s="12"/>
      <c r="S609" s="35">
        <f>ROUND(ROUND(P609, 2)*I609, 2)</f>
        <v>2828.1</v>
      </c>
      <c r="T609" s="12"/>
      <c r="U609" s="36"/>
      <c r="V609" s="9">
        <f>ROUND(ROUND(P609, 2)/1.2, 2)</f>
        <v>83.33</v>
      </c>
      <c r="Y609" s="9">
        <f t="shared" si="21"/>
        <v>2356.75</v>
      </c>
      <c r="AD609" s="4" t="s">
        <v>1968</v>
      </c>
      <c r="AE609" s="4" t="s">
        <v>1969</v>
      </c>
      <c r="AF609" s="4" t="s">
        <v>1010</v>
      </c>
    </row>
    <row r="610" spans="1:35" ht="54" x14ac:dyDescent="0.3">
      <c r="A610" s="10" t="s">
        <v>1970</v>
      </c>
      <c r="B610" s="10" t="s">
        <v>1971</v>
      </c>
      <c r="C610" s="14" t="s">
        <v>1972</v>
      </c>
      <c r="D610" s="15"/>
      <c r="E610" s="15"/>
      <c r="F610" s="15" t="s">
        <v>62</v>
      </c>
      <c r="G610" s="16">
        <v>1</v>
      </c>
      <c r="H610" s="15"/>
      <c r="I610" s="16">
        <v>0</v>
      </c>
      <c r="J610" s="17">
        <v>0</v>
      </c>
      <c r="K610" s="18">
        <v>2364</v>
      </c>
      <c r="L610" s="17">
        <f>J610+ROUND(K610, 2)</f>
        <v>2364</v>
      </c>
      <c r="M610" s="17">
        <v>0</v>
      </c>
      <c r="N610" s="17">
        <v>0</v>
      </c>
      <c r="O610" s="17">
        <f>M610+N610</f>
        <v>0</v>
      </c>
      <c r="P610" s="17">
        <v>624.15</v>
      </c>
      <c r="Q610" s="19">
        <v>2364</v>
      </c>
      <c r="R610" s="17">
        <f>P610+ROUND(Q610, 2)</f>
        <v>2988.15</v>
      </c>
      <c r="S610" s="17">
        <v>0</v>
      </c>
      <c r="T610" s="17">
        <v>0</v>
      </c>
      <c r="U610" s="17">
        <f>S610+T610</f>
        <v>0</v>
      </c>
      <c r="V610" s="9">
        <f>ROUND(P610 / 1.2, 2)</f>
        <v>520.13</v>
      </c>
      <c r="W610" s="9">
        <f>ROUND(Q610 / 1.2, 2)</f>
        <v>1970</v>
      </c>
      <c r="X610" s="9">
        <f>ROUND(R610 / 1.2, 2)</f>
        <v>2490.13</v>
      </c>
      <c r="Y610" s="9">
        <f t="shared" si="21"/>
        <v>0</v>
      </c>
      <c r="Z610" s="9">
        <f>ROUND(T610 / 1.2, 2)</f>
        <v>0</v>
      </c>
      <c r="AA610" s="9">
        <f>Y610+Z610</f>
        <v>0</v>
      </c>
      <c r="AD610" s="4">
        <v>334080543</v>
      </c>
      <c r="AE610" s="4">
        <v>27245661</v>
      </c>
      <c r="AG610" s="4" t="s">
        <v>1973</v>
      </c>
      <c r="AH610" s="4" t="s">
        <v>1974</v>
      </c>
      <c r="AI610" s="4" t="s">
        <v>250</v>
      </c>
    </row>
    <row r="611" spans="1:35" ht="36" x14ac:dyDescent="0.3">
      <c r="A611" s="10" t="s">
        <v>1975</v>
      </c>
      <c r="B611" s="10"/>
      <c r="C611" s="24" t="s">
        <v>1157</v>
      </c>
      <c r="D611" s="15"/>
      <c r="E611" s="15"/>
      <c r="F611" s="25" t="s">
        <v>278</v>
      </c>
      <c r="G611" s="26">
        <v>0.25</v>
      </c>
      <c r="H611" s="15"/>
      <c r="I611" s="31">
        <v>0</v>
      </c>
      <c r="J611" s="27">
        <v>40.270000000000003</v>
      </c>
      <c r="M611" s="28">
        <f>ROUND(ROUND(J611, 2)*I611, 2)</f>
        <v>0</v>
      </c>
      <c r="P611" s="29">
        <v>40.270000000000003</v>
      </c>
      <c r="S611" s="28">
        <f>ROUND(ROUND(P611, 2)*I611, 2)</f>
        <v>0</v>
      </c>
      <c r="V611" s="9">
        <f>ROUND(ROUND(P611, 2)/1.2, 2)</f>
        <v>33.56</v>
      </c>
      <c r="Y611" s="9">
        <f t="shared" si="21"/>
        <v>0</v>
      </c>
      <c r="AD611" s="4" t="s">
        <v>1976</v>
      </c>
      <c r="AE611" s="4" t="s">
        <v>1977</v>
      </c>
      <c r="AF611" s="4" t="s">
        <v>1160</v>
      </c>
    </row>
    <row r="612" spans="1:35" ht="36" x14ac:dyDescent="0.3">
      <c r="A612" s="10" t="s">
        <v>1978</v>
      </c>
      <c r="B612" s="10"/>
      <c r="C612" s="24" t="s">
        <v>543</v>
      </c>
      <c r="D612" s="15"/>
      <c r="E612" s="15"/>
      <c r="F612" s="25" t="s">
        <v>278</v>
      </c>
      <c r="G612" s="26">
        <v>0.15</v>
      </c>
      <c r="H612" s="15"/>
      <c r="I612" s="26">
        <v>0</v>
      </c>
      <c r="J612" s="27">
        <v>68.400000000000006</v>
      </c>
      <c r="M612" s="28">
        <f>ROUND(ROUND(J612, 2)*I612, 2)</f>
        <v>0</v>
      </c>
      <c r="P612" s="29">
        <v>68.400000000000006</v>
      </c>
      <c r="S612" s="28">
        <f>ROUND(ROUND(P612, 2)*I612, 2)</f>
        <v>0</v>
      </c>
      <c r="V612" s="9">
        <f>ROUND(ROUND(P612, 2)/1.2, 2)</f>
        <v>57</v>
      </c>
      <c r="Y612" s="9">
        <f t="shared" si="21"/>
        <v>0</v>
      </c>
      <c r="AD612" s="4" t="s">
        <v>1979</v>
      </c>
      <c r="AE612" s="4" t="s">
        <v>1980</v>
      </c>
      <c r="AF612" s="4" t="s">
        <v>546</v>
      </c>
    </row>
    <row r="613" spans="1:35" ht="36" x14ac:dyDescent="0.3">
      <c r="A613" s="10" t="s">
        <v>1981</v>
      </c>
      <c r="B613" s="10"/>
      <c r="C613" s="30" t="s">
        <v>1200</v>
      </c>
      <c r="D613" s="15"/>
      <c r="E613" s="15"/>
      <c r="F613" s="25" t="s">
        <v>278</v>
      </c>
      <c r="G613" s="26">
        <v>1.2</v>
      </c>
      <c r="H613" s="15"/>
      <c r="I613" s="31">
        <v>0</v>
      </c>
      <c r="J613" s="27">
        <v>16.96</v>
      </c>
      <c r="M613" s="28">
        <f>ROUND(ROUND(J613, 2)*I613, 2)</f>
        <v>0</v>
      </c>
      <c r="P613" s="29">
        <v>16.96</v>
      </c>
      <c r="S613" s="28">
        <f>ROUND(ROUND(P613, 2)*I613, 2)</f>
        <v>0</v>
      </c>
      <c r="V613" s="9">
        <f>ROUND(ROUND(P613, 2)/1.2, 2)</f>
        <v>14.13</v>
      </c>
      <c r="Y613" s="9">
        <f t="shared" si="21"/>
        <v>0</v>
      </c>
      <c r="AD613" s="4" t="s">
        <v>1982</v>
      </c>
      <c r="AE613" s="4" t="s">
        <v>1983</v>
      </c>
      <c r="AF613" s="4" t="s">
        <v>1203</v>
      </c>
    </row>
    <row r="614" spans="1:35" ht="36" x14ac:dyDescent="0.3">
      <c r="A614" s="10" t="s">
        <v>1984</v>
      </c>
      <c r="B614" s="10"/>
      <c r="C614" s="30" t="s">
        <v>1985</v>
      </c>
      <c r="D614" s="15"/>
      <c r="E614" s="15"/>
      <c r="F614" s="25" t="s">
        <v>62</v>
      </c>
      <c r="G614" s="26">
        <v>1.07</v>
      </c>
      <c r="H614" s="15"/>
      <c r="I614" s="31">
        <v>0</v>
      </c>
      <c r="J614" s="27">
        <v>1384.95</v>
      </c>
      <c r="M614" s="28">
        <f>ROUND(ROUND(J614, 2)*I614, 2)</f>
        <v>0</v>
      </c>
      <c r="P614" s="29">
        <v>545.29999999999995</v>
      </c>
      <c r="S614" s="28">
        <f>ROUND(ROUND(P614, 2)*I614, 2)</f>
        <v>0</v>
      </c>
      <c r="V614" s="9">
        <f>ROUND(ROUND(P614, 2)/1.2, 2)</f>
        <v>454.42</v>
      </c>
      <c r="Y614" s="9">
        <f t="shared" si="21"/>
        <v>0</v>
      </c>
      <c r="AD614" s="4" t="s">
        <v>1986</v>
      </c>
      <c r="AE614" s="4" t="s">
        <v>1987</v>
      </c>
      <c r="AF614" s="4" t="s">
        <v>1988</v>
      </c>
    </row>
    <row r="615" spans="1:35" ht="54" x14ac:dyDescent="0.3">
      <c r="A615" s="10" t="s">
        <v>1989</v>
      </c>
      <c r="B615" s="10" t="s">
        <v>1971</v>
      </c>
      <c r="C615" s="14" t="s">
        <v>1972</v>
      </c>
      <c r="D615" s="15"/>
      <c r="E615" s="15"/>
      <c r="F615" s="15" t="s">
        <v>62</v>
      </c>
      <c r="G615" s="16">
        <v>1</v>
      </c>
      <c r="H615" s="15"/>
      <c r="I615" s="16">
        <v>0</v>
      </c>
      <c r="J615" s="17">
        <v>0</v>
      </c>
      <c r="K615" s="18">
        <v>2364</v>
      </c>
      <c r="L615" s="17">
        <f>J615+ROUND(K615, 2)</f>
        <v>2364</v>
      </c>
      <c r="M615" s="17">
        <v>0</v>
      </c>
      <c r="N615" s="17">
        <v>0</v>
      </c>
      <c r="O615" s="17">
        <f>M615+N615</f>
        <v>0</v>
      </c>
      <c r="P615" s="17">
        <v>1051.83</v>
      </c>
      <c r="Q615" s="19">
        <v>2364</v>
      </c>
      <c r="R615" s="17">
        <f>P615+ROUND(Q615, 2)</f>
        <v>3415.83</v>
      </c>
      <c r="S615" s="17">
        <v>0</v>
      </c>
      <c r="T615" s="17">
        <v>0</v>
      </c>
      <c r="U615" s="17">
        <f>S615+T615</f>
        <v>0</v>
      </c>
      <c r="V615" s="9">
        <f>ROUND(P615 / 1.2, 2)</f>
        <v>876.53</v>
      </c>
      <c r="W615" s="9">
        <f>ROUND(Q615 / 1.2, 2)</f>
        <v>1970</v>
      </c>
      <c r="X615" s="9">
        <f>ROUND(R615 / 1.2, 2)</f>
        <v>2846.53</v>
      </c>
      <c r="Y615" s="9">
        <f t="shared" si="21"/>
        <v>0</v>
      </c>
      <c r="Z615" s="9">
        <f>ROUND(T615 / 1.2, 2)</f>
        <v>0</v>
      </c>
      <c r="AA615" s="9">
        <f>Y615+Z615</f>
        <v>0</v>
      </c>
      <c r="AD615" s="4">
        <v>334080719</v>
      </c>
      <c r="AE615" s="4">
        <v>27245662</v>
      </c>
      <c r="AG615" s="4" t="s">
        <v>1973</v>
      </c>
      <c r="AH615" s="4" t="s">
        <v>1974</v>
      </c>
      <c r="AI615" s="4" t="s">
        <v>250</v>
      </c>
    </row>
    <row r="616" spans="1:35" ht="36" x14ac:dyDescent="0.3">
      <c r="A616" s="10" t="s">
        <v>1990</v>
      </c>
      <c r="B616" s="10"/>
      <c r="C616" s="30" t="s">
        <v>1991</v>
      </c>
      <c r="D616" s="15"/>
      <c r="E616" s="15"/>
      <c r="F616" s="25" t="s">
        <v>62</v>
      </c>
      <c r="G616" s="26">
        <v>1.07</v>
      </c>
      <c r="H616" s="15"/>
      <c r="I616" s="31">
        <v>0</v>
      </c>
      <c r="J616" s="27">
        <v>945</v>
      </c>
      <c r="M616" s="28">
        <f>ROUND(ROUND(J616, 2)*I616, 2)</f>
        <v>0</v>
      </c>
      <c r="P616" s="29">
        <v>945</v>
      </c>
      <c r="S616" s="28">
        <f>ROUND(ROUND(P616, 2)*I616, 2)</f>
        <v>0</v>
      </c>
      <c r="V616" s="9">
        <f>ROUND(ROUND(P616, 2)/1.2, 2)</f>
        <v>787.5</v>
      </c>
      <c r="Y616" s="9">
        <f t="shared" si="21"/>
        <v>0</v>
      </c>
      <c r="AD616" s="4" t="s">
        <v>1992</v>
      </c>
      <c r="AE616" s="4" t="s">
        <v>1993</v>
      </c>
      <c r="AF616" s="4" t="s">
        <v>1994</v>
      </c>
    </row>
    <row r="617" spans="1:35" ht="36" x14ac:dyDescent="0.3">
      <c r="A617" s="10" t="s">
        <v>1995</v>
      </c>
      <c r="B617" s="10"/>
      <c r="C617" s="30" t="s">
        <v>1200</v>
      </c>
      <c r="D617" s="15"/>
      <c r="E617" s="15"/>
      <c r="F617" s="25" t="s">
        <v>278</v>
      </c>
      <c r="G617" s="26">
        <v>1.2</v>
      </c>
      <c r="H617" s="15"/>
      <c r="I617" s="31">
        <v>0</v>
      </c>
      <c r="J617" s="27">
        <v>16.96</v>
      </c>
      <c r="M617" s="28">
        <f>ROUND(ROUND(J617, 2)*I617, 2)</f>
        <v>0</v>
      </c>
      <c r="P617" s="29">
        <v>16.96</v>
      </c>
      <c r="S617" s="28">
        <f>ROUND(ROUND(P617, 2)*I617, 2)</f>
        <v>0</v>
      </c>
      <c r="V617" s="9">
        <f>ROUND(ROUND(P617, 2)/1.2, 2)</f>
        <v>14.13</v>
      </c>
      <c r="Y617" s="9">
        <f t="shared" si="21"/>
        <v>0</v>
      </c>
      <c r="AD617" s="4" t="s">
        <v>1996</v>
      </c>
      <c r="AE617" s="4" t="s">
        <v>1997</v>
      </c>
      <c r="AF617" s="4" t="s">
        <v>1203</v>
      </c>
    </row>
    <row r="618" spans="1:35" ht="36" x14ac:dyDescent="0.3">
      <c r="A618" s="10" t="s">
        <v>1998</v>
      </c>
      <c r="B618" s="10"/>
      <c r="C618" s="24" t="s">
        <v>543</v>
      </c>
      <c r="D618" s="15"/>
      <c r="E618" s="15"/>
      <c r="F618" s="25" t="s">
        <v>278</v>
      </c>
      <c r="G618" s="26">
        <v>0.15</v>
      </c>
      <c r="H618" s="15"/>
      <c r="I618" s="26">
        <v>0</v>
      </c>
      <c r="J618" s="27">
        <v>68.400000000000006</v>
      </c>
      <c r="M618" s="28">
        <f>ROUND(ROUND(J618, 2)*I618, 2)</f>
        <v>0</v>
      </c>
      <c r="P618" s="29">
        <v>68.400000000000006</v>
      </c>
      <c r="S618" s="28">
        <f>ROUND(ROUND(P618, 2)*I618, 2)</f>
        <v>0</v>
      </c>
      <c r="V618" s="9">
        <f>ROUND(ROUND(P618, 2)/1.2, 2)</f>
        <v>57</v>
      </c>
      <c r="Y618" s="9">
        <f t="shared" si="21"/>
        <v>0</v>
      </c>
      <c r="AD618" s="4" t="s">
        <v>1999</v>
      </c>
      <c r="AE618" s="4" t="s">
        <v>2000</v>
      </c>
      <c r="AF618" s="4" t="s">
        <v>546</v>
      </c>
    </row>
    <row r="619" spans="1:35" ht="36" x14ac:dyDescent="0.3">
      <c r="A619" s="10" t="s">
        <v>2001</v>
      </c>
      <c r="B619" s="10"/>
      <c r="C619" s="24" t="s">
        <v>1157</v>
      </c>
      <c r="D619" s="15"/>
      <c r="E619" s="15"/>
      <c r="F619" s="25" t="s">
        <v>278</v>
      </c>
      <c r="G619" s="26">
        <v>0.25</v>
      </c>
      <c r="H619" s="15"/>
      <c r="I619" s="31">
        <v>0</v>
      </c>
      <c r="J619" s="27">
        <v>40.270000000000003</v>
      </c>
      <c r="M619" s="28">
        <f>ROUND(ROUND(J619, 2)*I619, 2)</f>
        <v>0</v>
      </c>
      <c r="P619" s="29">
        <v>40.270000000000003</v>
      </c>
      <c r="S619" s="28">
        <f>ROUND(ROUND(P619, 2)*I619, 2)</f>
        <v>0</v>
      </c>
      <c r="V619" s="9">
        <f>ROUND(ROUND(P619, 2)/1.2, 2)</f>
        <v>33.56</v>
      </c>
      <c r="Y619" s="9">
        <f t="shared" si="21"/>
        <v>0</v>
      </c>
      <c r="AD619" s="4" t="s">
        <v>2002</v>
      </c>
      <c r="AE619" s="4" t="s">
        <v>2003</v>
      </c>
      <c r="AF619" s="4" t="s">
        <v>1160</v>
      </c>
    </row>
    <row r="620" spans="1:35" ht="54" x14ac:dyDescent="0.3">
      <c r="A620" s="10" t="s">
        <v>2004</v>
      </c>
      <c r="B620" s="10" t="s">
        <v>1971</v>
      </c>
      <c r="C620" s="14" t="s">
        <v>1972</v>
      </c>
      <c r="D620" s="15"/>
      <c r="E620" s="15"/>
      <c r="F620" s="15" t="s">
        <v>62</v>
      </c>
      <c r="G620" s="16">
        <v>1</v>
      </c>
      <c r="H620" s="15"/>
      <c r="I620" s="16">
        <v>0</v>
      </c>
      <c r="J620" s="17">
        <v>0</v>
      </c>
      <c r="K620" s="18">
        <v>2364</v>
      </c>
      <c r="L620" s="17">
        <f>J620+ROUND(K620, 2)</f>
        <v>2364</v>
      </c>
      <c r="M620" s="17">
        <v>0</v>
      </c>
      <c r="N620" s="17">
        <v>0</v>
      </c>
      <c r="O620" s="17">
        <f>M620+N620</f>
        <v>0</v>
      </c>
      <c r="P620" s="17">
        <v>1522.58</v>
      </c>
      <c r="Q620" s="19">
        <v>2364</v>
      </c>
      <c r="R620" s="17">
        <f>P620+ROUND(Q620, 2)</f>
        <v>3886.58</v>
      </c>
      <c r="S620" s="17">
        <v>0</v>
      </c>
      <c r="T620" s="17">
        <v>0</v>
      </c>
      <c r="U620" s="17">
        <f>S620+T620</f>
        <v>0</v>
      </c>
      <c r="V620" s="9">
        <f>ROUND(P620 / 1.2, 2)</f>
        <v>1268.82</v>
      </c>
      <c r="W620" s="9">
        <f>ROUND(Q620 / 1.2, 2)</f>
        <v>1970</v>
      </c>
      <c r="X620" s="9">
        <f>ROUND(R620 / 1.2, 2)</f>
        <v>3238.82</v>
      </c>
      <c r="Y620" s="9">
        <f t="shared" si="21"/>
        <v>0</v>
      </c>
      <c r="Z620" s="9">
        <f>ROUND(T620 / 1.2, 2)</f>
        <v>0</v>
      </c>
      <c r="AA620" s="9">
        <f>Y620+Z620</f>
        <v>0</v>
      </c>
      <c r="AD620" s="4">
        <v>334080720</v>
      </c>
      <c r="AE620" s="4">
        <v>27245663</v>
      </c>
      <c r="AG620" s="4" t="s">
        <v>1973</v>
      </c>
      <c r="AH620" s="4" t="s">
        <v>1974</v>
      </c>
      <c r="AI620" s="4" t="s">
        <v>250</v>
      </c>
    </row>
    <row r="621" spans="1:35" ht="36" x14ac:dyDescent="0.3">
      <c r="A621" s="10" t="s">
        <v>2005</v>
      </c>
      <c r="B621" s="10"/>
      <c r="C621" s="24" t="s">
        <v>1157</v>
      </c>
      <c r="D621" s="15"/>
      <c r="E621" s="15"/>
      <c r="F621" s="25" t="s">
        <v>278</v>
      </c>
      <c r="G621" s="26">
        <v>0.25</v>
      </c>
      <c r="H621" s="15"/>
      <c r="I621" s="31">
        <v>0</v>
      </c>
      <c r="J621" s="27">
        <v>40.270000000000003</v>
      </c>
      <c r="M621" s="28">
        <f>ROUND(ROUND(J621, 2)*I621, 2)</f>
        <v>0</v>
      </c>
      <c r="P621" s="29">
        <v>40.270000000000003</v>
      </c>
      <c r="S621" s="28">
        <f>ROUND(ROUND(P621, 2)*I621, 2)</f>
        <v>0</v>
      </c>
      <c r="V621" s="9">
        <f>ROUND(ROUND(P621, 2)/1.2, 2)</f>
        <v>33.56</v>
      </c>
      <c r="Y621" s="9">
        <f t="shared" ref="Y621:Y684" si="22">ROUND(S621 / 1.2, 2)</f>
        <v>0</v>
      </c>
      <c r="AD621" s="4" t="s">
        <v>2006</v>
      </c>
      <c r="AE621" s="4" t="s">
        <v>2007</v>
      </c>
      <c r="AF621" s="4" t="s">
        <v>1160</v>
      </c>
    </row>
    <row r="622" spans="1:35" ht="36" x14ac:dyDescent="0.3">
      <c r="A622" s="10" t="s">
        <v>2008</v>
      </c>
      <c r="B622" s="10"/>
      <c r="C622" s="24" t="s">
        <v>543</v>
      </c>
      <c r="D622" s="15"/>
      <c r="E622" s="15"/>
      <c r="F622" s="25" t="s">
        <v>278</v>
      </c>
      <c r="G622" s="26">
        <v>0.15</v>
      </c>
      <c r="H622" s="15"/>
      <c r="I622" s="26">
        <v>0</v>
      </c>
      <c r="J622" s="27">
        <v>68.400000000000006</v>
      </c>
      <c r="M622" s="28">
        <f>ROUND(ROUND(J622, 2)*I622, 2)</f>
        <v>0</v>
      </c>
      <c r="P622" s="29">
        <v>68.400000000000006</v>
      </c>
      <c r="S622" s="28">
        <f>ROUND(ROUND(P622, 2)*I622, 2)</f>
        <v>0</v>
      </c>
      <c r="V622" s="9">
        <f>ROUND(ROUND(P622, 2)/1.2, 2)</f>
        <v>57</v>
      </c>
      <c r="Y622" s="9">
        <f t="shared" si="22"/>
        <v>0</v>
      </c>
      <c r="AD622" s="4" t="s">
        <v>2009</v>
      </c>
      <c r="AE622" s="4" t="s">
        <v>2010</v>
      </c>
      <c r="AF622" s="4" t="s">
        <v>546</v>
      </c>
    </row>
    <row r="623" spans="1:35" ht="36" x14ac:dyDescent="0.3">
      <c r="A623" s="10" t="s">
        <v>2011</v>
      </c>
      <c r="B623" s="10"/>
      <c r="C623" s="30" t="s">
        <v>1200</v>
      </c>
      <c r="D623" s="15"/>
      <c r="E623" s="15"/>
      <c r="F623" s="25" t="s">
        <v>278</v>
      </c>
      <c r="G623" s="26">
        <v>1.2</v>
      </c>
      <c r="H623" s="15"/>
      <c r="I623" s="31">
        <v>0</v>
      </c>
      <c r="J623" s="27">
        <v>16.96</v>
      </c>
      <c r="M623" s="28">
        <f>ROUND(ROUND(J623, 2)*I623, 2)</f>
        <v>0</v>
      </c>
      <c r="P623" s="29">
        <v>16.96</v>
      </c>
      <c r="S623" s="28">
        <f>ROUND(ROUND(P623, 2)*I623, 2)</f>
        <v>0</v>
      </c>
      <c r="V623" s="9">
        <f>ROUND(ROUND(P623, 2)/1.2, 2)</f>
        <v>14.13</v>
      </c>
      <c r="Y623" s="9">
        <f t="shared" si="22"/>
        <v>0</v>
      </c>
      <c r="AD623" s="4" t="s">
        <v>2012</v>
      </c>
      <c r="AE623" s="4" t="s">
        <v>2013</v>
      </c>
      <c r="AF623" s="4" t="s">
        <v>1203</v>
      </c>
    </row>
    <row r="624" spans="1:35" ht="36" x14ac:dyDescent="0.3">
      <c r="A624" s="10" t="s">
        <v>2014</v>
      </c>
      <c r="B624" s="10"/>
      <c r="C624" s="30" t="s">
        <v>1985</v>
      </c>
      <c r="D624" s="15"/>
      <c r="E624" s="15"/>
      <c r="F624" s="25" t="s">
        <v>62</v>
      </c>
      <c r="G624" s="26">
        <v>1.07</v>
      </c>
      <c r="H624" s="15"/>
      <c r="I624" s="31">
        <v>0</v>
      </c>
      <c r="J624" s="27">
        <v>1384.95</v>
      </c>
      <c r="M624" s="28">
        <f>ROUND(ROUND(J624, 2)*I624, 2)</f>
        <v>0</v>
      </c>
      <c r="P624" s="29">
        <v>1384.95</v>
      </c>
      <c r="S624" s="28">
        <f>ROUND(ROUND(P624, 2)*I624, 2)</f>
        <v>0</v>
      </c>
      <c r="V624" s="9">
        <f>ROUND(ROUND(P624, 2)/1.2, 2)</f>
        <v>1154.1300000000001</v>
      </c>
      <c r="Y624" s="9">
        <f t="shared" si="22"/>
        <v>0</v>
      </c>
      <c r="AD624" s="4" t="s">
        <v>2015</v>
      </c>
      <c r="AE624" s="4" t="s">
        <v>2016</v>
      </c>
      <c r="AF624" s="4" t="s">
        <v>1988</v>
      </c>
    </row>
    <row r="625" spans="1:35" ht="54" x14ac:dyDescent="0.3">
      <c r="A625" s="10" t="s">
        <v>2017</v>
      </c>
      <c r="B625" s="10" t="s">
        <v>1971</v>
      </c>
      <c r="C625" s="14" t="s">
        <v>1972</v>
      </c>
      <c r="D625" s="15"/>
      <c r="E625" s="15" t="s">
        <v>2018</v>
      </c>
      <c r="F625" s="15" t="s">
        <v>62</v>
      </c>
      <c r="G625" s="16">
        <v>1</v>
      </c>
      <c r="H625" s="15"/>
      <c r="I625" s="16">
        <v>1163</v>
      </c>
      <c r="J625" s="17">
        <v>1521.58</v>
      </c>
      <c r="K625" s="18">
        <v>2364</v>
      </c>
      <c r="L625" s="17">
        <f>J625+ROUND(K625, 2)</f>
        <v>3885.58</v>
      </c>
      <c r="M625" s="17">
        <v>1769597.54</v>
      </c>
      <c r="N625" s="17">
        <v>2749332</v>
      </c>
      <c r="O625" s="17">
        <f>M625+N625</f>
        <v>4518929.54</v>
      </c>
      <c r="P625" s="17">
        <v>623.13</v>
      </c>
      <c r="Q625" s="19">
        <v>3546</v>
      </c>
      <c r="R625" s="17">
        <f>P625+ROUND(Q625, 2)</f>
        <v>4169.13</v>
      </c>
      <c r="S625" s="17">
        <v>724700.19</v>
      </c>
      <c r="T625" s="17">
        <v>4123998</v>
      </c>
      <c r="U625" s="17">
        <f>S625+T625</f>
        <v>4848698.1899999995</v>
      </c>
      <c r="V625" s="9">
        <f>ROUND(P625 / 1.2, 2)</f>
        <v>519.28</v>
      </c>
      <c r="W625" s="9">
        <f>ROUND(Q625 / 1.2, 2)</f>
        <v>2955</v>
      </c>
      <c r="X625" s="9">
        <f>ROUND(R625 / 1.2, 2)</f>
        <v>3474.28</v>
      </c>
      <c r="Y625" s="9">
        <f t="shared" si="22"/>
        <v>603916.82999999996</v>
      </c>
      <c r="Z625" s="9">
        <f>ROUND(T625 / 1.2, 2)</f>
        <v>3436665</v>
      </c>
      <c r="AA625" s="9">
        <f>Y625+Z625</f>
        <v>4040581.83</v>
      </c>
      <c r="AD625" s="4">
        <v>334080721</v>
      </c>
      <c r="AE625" s="4">
        <v>27245760</v>
      </c>
      <c r="AG625" s="4" t="s">
        <v>1973</v>
      </c>
      <c r="AH625" s="4" t="s">
        <v>1974</v>
      </c>
      <c r="AI625" s="4" t="s">
        <v>250</v>
      </c>
    </row>
    <row r="626" spans="1:35" ht="72" x14ac:dyDescent="0.3">
      <c r="A626" s="10" t="s">
        <v>2019</v>
      </c>
      <c r="B626" s="10"/>
      <c r="C626" s="30" t="s">
        <v>1985</v>
      </c>
      <c r="D626" s="15"/>
      <c r="E626" s="15" t="s">
        <v>1173</v>
      </c>
      <c r="F626" s="25" t="s">
        <v>62</v>
      </c>
      <c r="G626" s="26">
        <v>1.07</v>
      </c>
      <c r="H626" s="15"/>
      <c r="I626" s="31">
        <v>1244.4100000000001</v>
      </c>
      <c r="J626" s="27">
        <v>1384.96</v>
      </c>
      <c r="M626" s="28">
        <f>ROUND(ROUND(J626, 2)*I626, 2)</f>
        <v>1723458.07</v>
      </c>
      <c r="P626" s="29">
        <v>545.29999999999995</v>
      </c>
      <c r="S626" s="28">
        <f>ROUND(ROUND(P626, 2)*I626, 2)</f>
        <v>678576.77</v>
      </c>
      <c r="V626" s="9">
        <f>ROUND(ROUND(P626, 2)/1.2, 2)</f>
        <v>454.42</v>
      </c>
      <c r="Y626" s="9">
        <f t="shared" si="22"/>
        <v>565480.64</v>
      </c>
      <c r="AD626" s="4" t="s">
        <v>2020</v>
      </c>
      <c r="AE626" s="4" t="s">
        <v>2021</v>
      </c>
      <c r="AF626" s="4" t="s">
        <v>1988</v>
      </c>
    </row>
    <row r="627" spans="1:35" ht="36" x14ac:dyDescent="0.3">
      <c r="A627" s="10" t="s">
        <v>2022</v>
      </c>
      <c r="B627" s="10"/>
      <c r="C627" s="30" t="s">
        <v>1200</v>
      </c>
      <c r="D627" s="15"/>
      <c r="E627" s="15"/>
      <c r="F627" s="25" t="s">
        <v>278</v>
      </c>
      <c r="G627" s="26">
        <v>1.2</v>
      </c>
      <c r="H627" s="15"/>
      <c r="I627" s="31">
        <v>1395.6</v>
      </c>
      <c r="J627" s="27">
        <v>16.12</v>
      </c>
      <c r="M627" s="28">
        <f>ROUND(ROUND(J627, 2)*I627, 2)</f>
        <v>22497.07</v>
      </c>
      <c r="P627" s="29">
        <v>16.11</v>
      </c>
      <c r="S627" s="28">
        <f>ROUND(ROUND(P627, 2)*I627, 2)</f>
        <v>22483.119999999999</v>
      </c>
      <c r="V627" s="9">
        <f>ROUND(ROUND(P627, 2)/1.2, 2)</f>
        <v>13.43</v>
      </c>
      <c r="Y627" s="9">
        <f t="shared" si="22"/>
        <v>18735.93</v>
      </c>
      <c r="AD627" s="4" t="s">
        <v>2023</v>
      </c>
      <c r="AE627" s="4" t="s">
        <v>2024</v>
      </c>
      <c r="AF627" s="4" t="s">
        <v>1203</v>
      </c>
    </row>
    <row r="628" spans="1:35" ht="36" x14ac:dyDescent="0.3">
      <c r="A628" s="10" t="s">
        <v>2025</v>
      </c>
      <c r="B628" s="10"/>
      <c r="C628" s="24" t="s">
        <v>543</v>
      </c>
      <c r="D628" s="15"/>
      <c r="E628" s="15"/>
      <c r="F628" s="25" t="s">
        <v>278</v>
      </c>
      <c r="G628" s="26">
        <v>0.15</v>
      </c>
      <c r="H628" s="15"/>
      <c r="I628" s="26">
        <v>174.45</v>
      </c>
      <c r="J628" s="27">
        <v>68.400000000000006</v>
      </c>
      <c r="M628" s="28">
        <f>ROUND(ROUND(J628, 2)*I628, 2)</f>
        <v>11932.38</v>
      </c>
      <c r="P628" s="29">
        <v>68.400000000000006</v>
      </c>
      <c r="S628" s="28">
        <f>ROUND(ROUND(P628, 2)*I628, 2)</f>
        <v>11932.38</v>
      </c>
      <c r="V628" s="9">
        <f>ROUND(ROUND(P628, 2)/1.2, 2)</f>
        <v>57</v>
      </c>
      <c r="Y628" s="9">
        <f t="shared" si="22"/>
        <v>9943.65</v>
      </c>
      <c r="AD628" s="4" t="s">
        <v>2026</v>
      </c>
      <c r="AE628" s="4" t="s">
        <v>2027</v>
      </c>
      <c r="AF628" s="4" t="s">
        <v>546</v>
      </c>
    </row>
    <row r="629" spans="1:35" ht="36" x14ac:dyDescent="0.3">
      <c r="A629" s="10" t="s">
        <v>2028</v>
      </c>
      <c r="B629" s="10"/>
      <c r="C629" s="24" t="s">
        <v>1157</v>
      </c>
      <c r="D629" s="15"/>
      <c r="E629" s="15"/>
      <c r="F629" s="25" t="s">
        <v>278</v>
      </c>
      <c r="G629" s="26">
        <v>0.25</v>
      </c>
      <c r="H629" s="15"/>
      <c r="I629" s="31">
        <v>290.75</v>
      </c>
      <c r="J629" s="27">
        <v>40.270000000000003</v>
      </c>
      <c r="M629" s="28">
        <f>ROUND(ROUND(J629, 2)*I629, 2)</f>
        <v>11708.5</v>
      </c>
      <c r="P629" s="29">
        <v>40.270000000000003</v>
      </c>
      <c r="S629" s="28">
        <f>ROUND(ROUND(P629, 2)*I629, 2)</f>
        <v>11708.5</v>
      </c>
      <c r="V629" s="9">
        <f>ROUND(ROUND(P629, 2)/1.2, 2)</f>
        <v>33.56</v>
      </c>
      <c r="Y629" s="9">
        <f t="shared" si="22"/>
        <v>9757.08</v>
      </c>
      <c r="AD629" s="4" t="s">
        <v>2029</v>
      </c>
      <c r="AE629" s="4" t="s">
        <v>2030</v>
      </c>
      <c r="AF629" s="4" t="s">
        <v>1160</v>
      </c>
    </row>
    <row r="630" spans="1:35" ht="54" x14ac:dyDescent="0.3">
      <c r="A630" s="10" t="s">
        <v>2031</v>
      </c>
      <c r="B630" s="10" t="s">
        <v>1971</v>
      </c>
      <c r="C630" s="14" t="s">
        <v>1972</v>
      </c>
      <c r="D630" s="15"/>
      <c r="E630" s="15" t="s">
        <v>2032</v>
      </c>
      <c r="F630" s="15" t="s">
        <v>62</v>
      </c>
      <c r="G630" s="16">
        <v>1</v>
      </c>
      <c r="H630" s="15"/>
      <c r="I630" s="16">
        <v>593.5</v>
      </c>
      <c r="J630" s="17">
        <v>1050.82</v>
      </c>
      <c r="K630" s="18">
        <v>2364</v>
      </c>
      <c r="L630" s="17">
        <f>J630+ROUND(K630, 2)</f>
        <v>3414.8199999999997</v>
      </c>
      <c r="M630" s="17">
        <v>623661.67000000004</v>
      </c>
      <c r="N630" s="17">
        <v>1403034</v>
      </c>
      <c r="O630" s="17">
        <f>M630+N630</f>
        <v>2026695.67</v>
      </c>
      <c r="P630" s="17">
        <v>1050.81</v>
      </c>
      <c r="Q630" s="19">
        <v>3546</v>
      </c>
      <c r="R630" s="17">
        <f>P630+ROUND(Q630, 2)</f>
        <v>4596.8099999999995</v>
      </c>
      <c r="S630" s="17">
        <v>623655.74</v>
      </c>
      <c r="T630" s="17">
        <v>2104551</v>
      </c>
      <c r="U630" s="17">
        <f>S630+T630</f>
        <v>2728206.74</v>
      </c>
      <c r="V630" s="9">
        <f>ROUND(P630 / 1.2, 2)</f>
        <v>875.68</v>
      </c>
      <c r="W630" s="9">
        <f>ROUND(Q630 / 1.2, 2)</f>
        <v>2955</v>
      </c>
      <c r="X630" s="9">
        <f>ROUND(R630 / 1.2, 2)</f>
        <v>3830.68</v>
      </c>
      <c r="Y630" s="9">
        <f t="shared" si="22"/>
        <v>519713.12</v>
      </c>
      <c r="Z630" s="9">
        <f>ROUND(T630 / 1.2, 2)</f>
        <v>1753792.5</v>
      </c>
      <c r="AA630" s="9">
        <f>Y630+Z630</f>
        <v>2273505.62</v>
      </c>
      <c r="AD630" s="4">
        <v>334080722</v>
      </c>
      <c r="AE630" s="4">
        <v>27245750</v>
      </c>
      <c r="AG630" s="4" t="s">
        <v>1973</v>
      </c>
      <c r="AH630" s="4" t="s">
        <v>1974</v>
      </c>
      <c r="AI630" s="4" t="s">
        <v>250</v>
      </c>
    </row>
    <row r="631" spans="1:35" ht="36" x14ac:dyDescent="0.3">
      <c r="A631" s="10" t="s">
        <v>2033</v>
      </c>
      <c r="B631" s="10"/>
      <c r="C631" s="24" t="s">
        <v>1157</v>
      </c>
      <c r="D631" s="15"/>
      <c r="E631" s="15"/>
      <c r="F631" s="25" t="s">
        <v>278</v>
      </c>
      <c r="G631" s="26">
        <v>0.25</v>
      </c>
      <c r="H631" s="15"/>
      <c r="I631" s="31">
        <v>148.375</v>
      </c>
      <c r="J631" s="27">
        <v>40.270000000000003</v>
      </c>
      <c r="M631" s="28">
        <f>ROUND(ROUND(J631, 2)*I631, 2)</f>
        <v>5975.06</v>
      </c>
      <c r="P631" s="29">
        <v>40.270000000000003</v>
      </c>
      <c r="S631" s="28">
        <f>ROUND(ROUND(P631, 2)*I631, 2)</f>
        <v>5975.06</v>
      </c>
      <c r="V631" s="9">
        <f>ROUND(ROUND(P631, 2)/1.2, 2)</f>
        <v>33.56</v>
      </c>
      <c r="Y631" s="9">
        <f t="shared" si="22"/>
        <v>4979.22</v>
      </c>
      <c r="AD631" s="4" t="s">
        <v>2034</v>
      </c>
      <c r="AE631" s="4" t="s">
        <v>2035</v>
      </c>
      <c r="AF631" s="4" t="s">
        <v>1160</v>
      </c>
    </row>
    <row r="632" spans="1:35" ht="36" x14ac:dyDescent="0.3">
      <c r="A632" s="10" t="s">
        <v>2036</v>
      </c>
      <c r="B632" s="10"/>
      <c r="C632" s="24" t="s">
        <v>543</v>
      </c>
      <c r="D632" s="15"/>
      <c r="E632" s="15"/>
      <c r="F632" s="25" t="s">
        <v>278</v>
      </c>
      <c r="G632" s="26">
        <v>0.15</v>
      </c>
      <c r="H632" s="15"/>
      <c r="I632" s="26">
        <v>89.025000000000006</v>
      </c>
      <c r="J632" s="27">
        <v>68.400000000000006</v>
      </c>
      <c r="M632" s="28">
        <f>ROUND(ROUND(J632, 2)*I632, 2)</f>
        <v>6089.31</v>
      </c>
      <c r="P632" s="29">
        <v>68.400000000000006</v>
      </c>
      <c r="S632" s="28">
        <f>ROUND(ROUND(P632, 2)*I632, 2)</f>
        <v>6089.31</v>
      </c>
      <c r="V632" s="9">
        <f>ROUND(ROUND(P632, 2)/1.2, 2)</f>
        <v>57</v>
      </c>
      <c r="Y632" s="9">
        <f t="shared" si="22"/>
        <v>5074.43</v>
      </c>
      <c r="AD632" s="4" t="s">
        <v>2037</v>
      </c>
      <c r="AE632" s="4" t="s">
        <v>2038</v>
      </c>
      <c r="AF632" s="4" t="s">
        <v>546</v>
      </c>
    </row>
    <row r="633" spans="1:35" ht="36" x14ac:dyDescent="0.3">
      <c r="A633" s="10" t="s">
        <v>2039</v>
      </c>
      <c r="B633" s="10"/>
      <c r="C633" s="30" t="s">
        <v>1200</v>
      </c>
      <c r="D633" s="15"/>
      <c r="E633" s="15"/>
      <c r="F633" s="25" t="s">
        <v>278</v>
      </c>
      <c r="G633" s="26">
        <v>1.2</v>
      </c>
      <c r="H633" s="15"/>
      <c r="I633" s="31">
        <v>712.2</v>
      </c>
      <c r="J633" s="27">
        <v>16.12</v>
      </c>
      <c r="M633" s="28">
        <f>ROUND(ROUND(J633, 2)*I633, 2)</f>
        <v>11480.66</v>
      </c>
      <c r="P633" s="29">
        <v>16.11</v>
      </c>
      <c r="S633" s="28">
        <f>ROUND(ROUND(P633, 2)*I633, 2)</f>
        <v>11473.54</v>
      </c>
      <c r="V633" s="9">
        <f>ROUND(ROUND(P633, 2)/1.2, 2)</f>
        <v>13.43</v>
      </c>
      <c r="Y633" s="9">
        <f t="shared" si="22"/>
        <v>9561.2800000000007</v>
      </c>
      <c r="AD633" s="4" t="s">
        <v>2040</v>
      </c>
      <c r="AE633" s="4" t="s">
        <v>2041</v>
      </c>
      <c r="AF633" s="4" t="s">
        <v>1203</v>
      </c>
    </row>
    <row r="634" spans="1:35" ht="36" x14ac:dyDescent="0.3">
      <c r="A634" s="10" t="s">
        <v>2042</v>
      </c>
      <c r="B634" s="10"/>
      <c r="C634" s="30" t="s">
        <v>1991</v>
      </c>
      <c r="D634" s="15"/>
      <c r="E634" s="15"/>
      <c r="F634" s="25" t="s">
        <v>62</v>
      </c>
      <c r="G634" s="26">
        <v>1.07</v>
      </c>
      <c r="H634" s="15"/>
      <c r="I634" s="31">
        <v>635.04499999999996</v>
      </c>
      <c r="J634" s="27">
        <v>945</v>
      </c>
      <c r="M634" s="28">
        <f>ROUND(ROUND(J634, 2)*I634, 2)</f>
        <v>600117.53</v>
      </c>
      <c r="P634" s="29">
        <v>945</v>
      </c>
      <c r="S634" s="28">
        <f>ROUND(ROUND(P634, 2)*I634, 2)</f>
        <v>600117.53</v>
      </c>
      <c r="V634" s="9">
        <f>ROUND(ROUND(P634, 2)/1.2, 2)</f>
        <v>787.5</v>
      </c>
      <c r="Y634" s="9">
        <f t="shared" si="22"/>
        <v>500097.94</v>
      </c>
      <c r="AD634" s="4" t="s">
        <v>2043</v>
      </c>
      <c r="AE634" s="4" t="s">
        <v>2044</v>
      </c>
      <c r="AF634" s="4" t="s">
        <v>1994</v>
      </c>
    </row>
    <row r="635" spans="1:35" ht="54" x14ac:dyDescent="0.3">
      <c r="A635" s="10" t="s">
        <v>2045</v>
      </c>
      <c r="B635" s="10" t="s">
        <v>1971</v>
      </c>
      <c r="C635" s="14" t="s">
        <v>1972</v>
      </c>
      <c r="D635" s="15"/>
      <c r="E635" s="15" t="s">
        <v>2046</v>
      </c>
      <c r="F635" s="15" t="s">
        <v>62</v>
      </c>
      <c r="G635" s="16">
        <v>1</v>
      </c>
      <c r="H635" s="15"/>
      <c r="I635" s="16">
        <v>46</v>
      </c>
      <c r="J635" s="17">
        <v>1521.58</v>
      </c>
      <c r="K635" s="18">
        <v>2364</v>
      </c>
      <c r="L635" s="17">
        <f>J635+ROUND(K635, 2)</f>
        <v>3885.58</v>
      </c>
      <c r="M635" s="17">
        <v>69992.679999999993</v>
      </c>
      <c r="N635" s="17">
        <v>108744</v>
      </c>
      <c r="O635" s="17">
        <f>M635+N635</f>
        <v>178736.68</v>
      </c>
      <c r="P635" s="17">
        <v>1521.56</v>
      </c>
      <c r="Q635" s="19">
        <v>3546</v>
      </c>
      <c r="R635" s="17">
        <f>P635+ROUND(Q635, 2)</f>
        <v>5067.5599999999995</v>
      </c>
      <c r="S635" s="17">
        <v>69991.759999999995</v>
      </c>
      <c r="T635" s="17">
        <v>163116</v>
      </c>
      <c r="U635" s="17">
        <f>S635+T635</f>
        <v>233107.76</v>
      </c>
      <c r="V635" s="9">
        <f>ROUND(P635 / 1.2, 2)</f>
        <v>1267.97</v>
      </c>
      <c r="W635" s="9">
        <f>ROUND(Q635 / 1.2, 2)</f>
        <v>2955</v>
      </c>
      <c r="X635" s="9">
        <f>ROUND(R635 / 1.2, 2)</f>
        <v>4222.97</v>
      </c>
      <c r="Y635" s="9">
        <f t="shared" si="22"/>
        <v>58326.47</v>
      </c>
      <c r="Z635" s="9">
        <f>ROUND(T635 / 1.2, 2)</f>
        <v>135930</v>
      </c>
      <c r="AA635" s="9">
        <f>Y635+Z635</f>
        <v>194256.47</v>
      </c>
      <c r="AD635" s="4">
        <v>334080723</v>
      </c>
      <c r="AE635" s="4">
        <v>27245727</v>
      </c>
      <c r="AG635" s="4" t="s">
        <v>1973</v>
      </c>
      <c r="AH635" s="4" t="s">
        <v>1974</v>
      </c>
      <c r="AI635" s="4" t="s">
        <v>250</v>
      </c>
    </row>
    <row r="636" spans="1:35" ht="36" x14ac:dyDescent="0.3">
      <c r="A636" s="10" t="s">
        <v>2047</v>
      </c>
      <c r="B636" s="10"/>
      <c r="C636" s="30" t="s">
        <v>1985</v>
      </c>
      <c r="D636" s="15"/>
      <c r="E636" s="15"/>
      <c r="F636" s="25" t="s">
        <v>62</v>
      </c>
      <c r="G636" s="26">
        <v>1.07</v>
      </c>
      <c r="H636" s="15"/>
      <c r="I636" s="31">
        <v>49.22</v>
      </c>
      <c r="J636" s="27">
        <v>1384.96</v>
      </c>
      <c r="M636" s="28">
        <f>ROUND(ROUND(J636, 2)*I636, 2)</f>
        <v>68167.73</v>
      </c>
      <c r="P636" s="29">
        <v>1384.95</v>
      </c>
      <c r="S636" s="28">
        <f>ROUND(ROUND(P636, 2)*I636, 2)</f>
        <v>68167.240000000005</v>
      </c>
      <c r="V636" s="9">
        <f>ROUND(ROUND(P636, 2)/1.2, 2)</f>
        <v>1154.1300000000001</v>
      </c>
      <c r="Y636" s="9">
        <f t="shared" si="22"/>
        <v>56806.03</v>
      </c>
      <c r="AD636" s="4" t="s">
        <v>2048</v>
      </c>
      <c r="AE636" s="4" t="s">
        <v>2049</v>
      </c>
      <c r="AF636" s="4" t="s">
        <v>1988</v>
      </c>
    </row>
    <row r="637" spans="1:35" ht="36" x14ac:dyDescent="0.3">
      <c r="A637" s="10" t="s">
        <v>2050</v>
      </c>
      <c r="B637" s="10"/>
      <c r="C637" s="30" t="s">
        <v>1200</v>
      </c>
      <c r="D637" s="15"/>
      <c r="E637" s="15"/>
      <c r="F637" s="25" t="s">
        <v>278</v>
      </c>
      <c r="G637" s="26">
        <v>1.2</v>
      </c>
      <c r="H637" s="15"/>
      <c r="I637" s="31">
        <v>55.2</v>
      </c>
      <c r="J637" s="27">
        <v>16.12</v>
      </c>
      <c r="M637" s="28">
        <f>ROUND(ROUND(J637, 2)*I637, 2)</f>
        <v>889.82</v>
      </c>
      <c r="P637" s="29">
        <v>16.11</v>
      </c>
      <c r="S637" s="28">
        <f>ROUND(ROUND(P637, 2)*I637, 2)</f>
        <v>889.27</v>
      </c>
      <c r="V637" s="9">
        <f>ROUND(ROUND(P637, 2)/1.2, 2)</f>
        <v>13.43</v>
      </c>
      <c r="Y637" s="9">
        <f t="shared" si="22"/>
        <v>741.06</v>
      </c>
      <c r="AD637" s="4" t="s">
        <v>2051</v>
      </c>
      <c r="AE637" s="4" t="s">
        <v>2052</v>
      </c>
      <c r="AF637" s="4" t="s">
        <v>1203</v>
      </c>
    </row>
    <row r="638" spans="1:35" ht="36" x14ac:dyDescent="0.3">
      <c r="A638" s="10" t="s">
        <v>2053</v>
      </c>
      <c r="B638" s="10"/>
      <c r="C638" s="24" t="s">
        <v>543</v>
      </c>
      <c r="D638" s="15"/>
      <c r="E638" s="15"/>
      <c r="F638" s="25" t="s">
        <v>278</v>
      </c>
      <c r="G638" s="26">
        <v>0.15</v>
      </c>
      <c r="H638" s="15"/>
      <c r="I638" s="26">
        <v>6.9</v>
      </c>
      <c r="J638" s="27">
        <v>68.400000000000006</v>
      </c>
      <c r="M638" s="28">
        <f>ROUND(ROUND(J638, 2)*I638, 2)</f>
        <v>471.96</v>
      </c>
      <c r="P638" s="29">
        <v>68.400000000000006</v>
      </c>
      <c r="S638" s="28">
        <f>ROUND(ROUND(P638, 2)*I638, 2)</f>
        <v>471.96</v>
      </c>
      <c r="V638" s="9">
        <f>ROUND(ROUND(P638, 2)/1.2, 2)</f>
        <v>57</v>
      </c>
      <c r="Y638" s="9">
        <f t="shared" si="22"/>
        <v>393.3</v>
      </c>
      <c r="AD638" s="4" t="s">
        <v>2054</v>
      </c>
      <c r="AE638" s="4" t="s">
        <v>2055</v>
      </c>
      <c r="AF638" s="4" t="s">
        <v>546</v>
      </c>
    </row>
    <row r="639" spans="1:35" ht="36" x14ac:dyDescent="0.3">
      <c r="A639" s="10" t="s">
        <v>2056</v>
      </c>
      <c r="B639" s="10"/>
      <c r="C639" s="24" t="s">
        <v>1157</v>
      </c>
      <c r="D639" s="15"/>
      <c r="E639" s="15"/>
      <c r="F639" s="25" t="s">
        <v>278</v>
      </c>
      <c r="G639" s="26">
        <v>0.25</v>
      </c>
      <c r="H639" s="15"/>
      <c r="I639" s="31">
        <v>11.5</v>
      </c>
      <c r="J639" s="27">
        <v>40.270000000000003</v>
      </c>
      <c r="M639" s="28">
        <f>ROUND(ROUND(J639, 2)*I639, 2)</f>
        <v>463.11</v>
      </c>
      <c r="P639" s="29">
        <v>40.270000000000003</v>
      </c>
      <c r="S639" s="28">
        <f>ROUND(ROUND(P639, 2)*I639, 2)</f>
        <v>463.11</v>
      </c>
      <c r="V639" s="9">
        <f>ROUND(ROUND(P639, 2)/1.2, 2)</f>
        <v>33.56</v>
      </c>
      <c r="Y639" s="9">
        <f t="shared" si="22"/>
        <v>385.93</v>
      </c>
      <c r="AD639" s="4" t="s">
        <v>2057</v>
      </c>
      <c r="AE639" s="4" t="s">
        <v>2058</v>
      </c>
      <c r="AF639" s="4" t="s">
        <v>1160</v>
      </c>
    </row>
    <row r="640" spans="1:35" ht="144" x14ac:dyDescent="0.3">
      <c r="A640" s="11" t="s">
        <v>2059</v>
      </c>
      <c r="B640" s="11" t="s">
        <v>1971</v>
      </c>
      <c r="C640" s="20" t="s">
        <v>1972</v>
      </c>
      <c r="D640" s="21"/>
      <c r="E640" s="21" t="s">
        <v>2060</v>
      </c>
      <c r="F640" s="21" t="s">
        <v>62</v>
      </c>
      <c r="G640" s="22">
        <v>1</v>
      </c>
      <c r="H640" s="21"/>
      <c r="I640" s="22">
        <v>67.87</v>
      </c>
      <c r="J640" s="23">
        <f>IFERROR(ROUND(SUM(M641,M642,M643,M644)/I640, 2),0)</f>
        <v>1583.25</v>
      </c>
      <c r="K640" s="23">
        <v>2363.9899999999998</v>
      </c>
      <c r="L640" s="23">
        <f>J640+ROUND(K640, 2)</f>
        <v>3947.24</v>
      </c>
      <c r="M640" s="23">
        <f>ROUND(J640*I640, 2)</f>
        <v>107455.18</v>
      </c>
      <c r="N640" s="23">
        <f>ROUND(I640*ROUND(K640, 2), 2)</f>
        <v>160444</v>
      </c>
      <c r="O640" s="23">
        <f>M640+N640</f>
        <v>267899.18</v>
      </c>
      <c r="P640" s="23">
        <f>IFERROR(ROUND(SUM(S641,S642,S643,S644)/I640, 2),0)</f>
        <v>1583.25</v>
      </c>
      <c r="Q640" s="23">
        <v>3546</v>
      </c>
      <c r="R640" s="23">
        <f>P640+ROUND(Q640, 2)</f>
        <v>5129.25</v>
      </c>
      <c r="S640" s="23">
        <f>ROUND(P640*I640, 2)</f>
        <v>107455.18</v>
      </c>
      <c r="T640" s="23">
        <f>ROUND(I640*ROUND(Q640, 2), 2)</f>
        <v>240667.02</v>
      </c>
      <c r="U640" s="23">
        <f>S640+T640</f>
        <v>348122.19999999995</v>
      </c>
      <c r="V640" s="9">
        <f>ROUND(P640 / 1.2, 2)</f>
        <v>1319.38</v>
      </c>
      <c r="W640" s="9">
        <f>ROUND(Q640 / 1.2, 2)</f>
        <v>2955</v>
      </c>
      <c r="X640" s="9">
        <f>ROUND(R640 / 1.2, 2)</f>
        <v>4274.38</v>
      </c>
      <c r="Y640" s="9">
        <f t="shared" si="22"/>
        <v>89545.98</v>
      </c>
      <c r="Z640" s="9">
        <f>ROUND(T640 / 1.2, 2)</f>
        <v>200555.85</v>
      </c>
      <c r="AA640" s="9">
        <f>Y640+Z640</f>
        <v>290101.83</v>
      </c>
      <c r="AD640" s="4">
        <v>334080724</v>
      </c>
      <c r="AE640" s="4">
        <v>29393980</v>
      </c>
      <c r="AG640" s="4" t="s">
        <v>1973</v>
      </c>
      <c r="AH640" s="4" t="s">
        <v>1974</v>
      </c>
      <c r="AI640" s="4" t="s">
        <v>250</v>
      </c>
    </row>
    <row r="641" spans="1:35" ht="36" x14ac:dyDescent="0.3">
      <c r="A641" s="11" t="s">
        <v>2061</v>
      </c>
      <c r="B641" s="11"/>
      <c r="C641" s="32" t="s">
        <v>2062</v>
      </c>
      <c r="D641" s="21"/>
      <c r="E641" s="21" t="s">
        <v>2063</v>
      </c>
      <c r="F641" s="33" t="s">
        <v>278</v>
      </c>
      <c r="G641" s="34">
        <v>0.17699999999999999</v>
      </c>
      <c r="H641" s="21"/>
      <c r="I641" s="37">
        <v>12.013</v>
      </c>
      <c r="J641" s="35">
        <v>40.94</v>
      </c>
      <c r="K641" s="12"/>
      <c r="L641" s="12"/>
      <c r="M641" s="35">
        <f>ROUND(ROUND(J641, 2)*I641, 2)</f>
        <v>491.81</v>
      </c>
      <c r="N641" s="12"/>
      <c r="O641" s="12"/>
      <c r="P641" s="35">
        <v>40.94</v>
      </c>
      <c r="Q641" s="12"/>
      <c r="R641" s="12"/>
      <c r="S641" s="35">
        <f>ROUND(ROUND(P641, 2)*I641, 2)</f>
        <v>491.81</v>
      </c>
      <c r="T641" s="12"/>
      <c r="U641" s="36"/>
      <c r="V641" s="9">
        <f>ROUND(ROUND(P641, 2)/1.2, 2)</f>
        <v>34.119999999999997</v>
      </c>
      <c r="Y641" s="9">
        <f t="shared" si="22"/>
        <v>409.84</v>
      </c>
      <c r="AD641" s="4" t="s">
        <v>2064</v>
      </c>
      <c r="AE641" s="4" t="s">
        <v>2065</v>
      </c>
      <c r="AF641" s="4" t="s">
        <v>2066</v>
      </c>
    </row>
    <row r="642" spans="1:35" ht="36" x14ac:dyDescent="0.3">
      <c r="A642" s="11" t="s">
        <v>2067</v>
      </c>
      <c r="B642" s="11"/>
      <c r="C642" s="32" t="s">
        <v>543</v>
      </c>
      <c r="D642" s="21"/>
      <c r="E642" s="21"/>
      <c r="F642" s="33" t="s">
        <v>278</v>
      </c>
      <c r="G642" s="34">
        <v>0.15</v>
      </c>
      <c r="H642" s="21"/>
      <c r="I642" s="34">
        <v>10.180999999999999</v>
      </c>
      <c r="J642" s="35">
        <v>69.540000000000006</v>
      </c>
      <c r="K642" s="12"/>
      <c r="L642" s="12"/>
      <c r="M642" s="35">
        <f>ROUND(ROUND(J642, 2)*I642, 2)</f>
        <v>707.99</v>
      </c>
      <c r="N642" s="12"/>
      <c r="O642" s="12"/>
      <c r="P642" s="35">
        <v>69.540000000000006</v>
      </c>
      <c r="Q642" s="12"/>
      <c r="R642" s="12"/>
      <c r="S642" s="35">
        <f>ROUND(ROUND(P642, 2)*I642, 2)</f>
        <v>707.99</v>
      </c>
      <c r="T642" s="12"/>
      <c r="U642" s="36"/>
      <c r="V642" s="9">
        <f>ROUND(ROUND(P642, 2)/1.2, 2)</f>
        <v>57.95</v>
      </c>
      <c r="Y642" s="9">
        <f t="shared" si="22"/>
        <v>589.99</v>
      </c>
      <c r="AD642" s="4" t="s">
        <v>2068</v>
      </c>
      <c r="AE642" s="4" t="s">
        <v>2069</v>
      </c>
      <c r="AF642" s="4" t="s">
        <v>546</v>
      </c>
    </row>
    <row r="643" spans="1:35" ht="36" x14ac:dyDescent="0.3">
      <c r="A643" s="11" t="s">
        <v>2070</v>
      </c>
      <c r="B643" s="11"/>
      <c r="C643" s="30" t="s">
        <v>1200</v>
      </c>
      <c r="D643" s="21"/>
      <c r="E643" s="21"/>
      <c r="F643" s="33" t="s">
        <v>278</v>
      </c>
      <c r="G643" s="34">
        <v>1.2</v>
      </c>
      <c r="H643" s="21"/>
      <c r="I643" s="37">
        <v>244.33199999999999</v>
      </c>
      <c r="J643" s="35">
        <v>16.38</v>
      </c>
      <c r="K643" s="12"/>
      <c r="L643" s="12"/>
      <c r="M643" s="35">
        <f>ROUND(ROUND(J643, 2)*I643, 2)</f>
        <v>4002.16</v>
      </c>
      <c r="N643" s="12"/>
      <c r="O643" s="12"/>
      <c r="P643" s="35">
        <v>16.38</v>
      </c>
      <c r="Q643" s="12"/>
      <c r="R643" s="12"/>
      <c r="S643" s="35">
        <f>ROUND(ROUND(P643, 2)*I643, 2)</f>
        <v>4002.16</v>
      </c>
      <c r="T643" s="12"/>
      <c r="U643" s="36"/>
      <c r="V643" s="9">
        <f>ROUND(ROUND(P643, 2)/1.2, 2)</f>
        <v>13.65</v>
      </c>
      <c r="Y643" s="9">
        <f t="shared" si="22"/>
        <v>3335.13</v>
      </c>
      <c r="AD643" s="4" t="s">
        <v>2071</v>
      </c>
      <c r="AE643" s="4" t="s">
        <v>2072</v>
      </c>
      <c r="AF643" s="4" t="s">
        <v>1203</v>
      </c>
    </row>
    <row r="644" spans="1:35" ht="54" x14ac:dyDescent="0.3">
      <c r="A644" s="11" t="s">
        <v>2073</v>
      </c>
      <c r="B644" s="11"/>
      <c r="C644" s="30" t="s">
        <v>1985</v>
      </c>
      <c r="D644" s="21"/>
      <c r="E644" s="21" t="s">
        <v>2074</v>
      </c>
      <c r="F644" s="33" t="s">
        <v>62</v>
      </c>
      <c r="G644" s="34">
        <v>1.07</v>
      </c>
      <c r="H644" s="21"/>
      <c r="I644" s="37">
        <v>72.620999999999995</v>
      </c>
      <c r="J644" s="35">
        <v>1408.04</v>
      </c>
      <c r="K644" s="12"/>
      <c r="L644" s="12"/>
      <c r="M644" s="35">
        <f>ROUND(ROUND(J644, 2)*I644, 2)</f>
        <v>102253.27</v>
      </c>
      <c r="N644" s="12"/>
      <c r="O644" s="12"/>
      <c r="P644" s="35">
        <v>1408.04</v>
      </c>
      <c r="Q644" s="12"/>
      <c r="R644" s="12"/>
      <c r="S644" s="35">
        <f>ROUND(ROUND(P644, 2)*I644, 2)</f>
        <v>102253.27</v>
      </c>
      <c r="T644" s="12"/>
      <c r="U644" s="36"/>
      <c r="V644" s="9">
        <f>ROUND(ROUND(P644, 2)/1.2, 2)</f>
        <v>1173.3699999999999</v>
      </c>
      <c r="Y644" s="9">
        <f t="shared" si="22"/>
        <v>85211.06</v>
      </c>
      <c r="AD644" s="4" t="s">
        <v>2075</v>
      </c>
      <c r="AE644" s="4" t="s">
        <v>2076</v>
      </c>
      <c r="AF644" s="4" t="s">
        <v>1988</v>
      </c>
    </row>
    <row r="645" spans="1:35" ht="162" x14ac:dyDescent="0.3">
      <c r="A645" s="11" t="s">
        <v>2077</v>
      </c>
      <c r="B645" s="11" t="s">
        <v>1971</v>
      </c>
      <c r="C645" s="20" t="s">
        <v>1972</v>
      </c>
      <c r="D645" s="21"/>
      <c r="E645" s="21" t="s">
        <v>2078</v>
      </c>
      <c r="F645" s="21" t="s">
        <v>62</v>
      </c>
      <c r="G645" s="22">
        <v>1</v>
      </c>
      <c r="H645" s="21"/>
      <c r="I645" s="22">
        <v>115.5</v>
      </c>
      <c r="J645" s="23">
        <f>IFERROR(ROUND(SUM(M646,M647,M648,M649)/I645, 2),0)</f>
        <v>1586.24</v>
      </c>
      <c r="K645" s="23">
        <v>2363.9899999999998</v>
      </c>
      <c r="L645" s="23">
        <f>J645+ROUND(K645, 2)</f>
        <v>3950.2299999999996</v>
      </c>
      <c r="M645" s="23">
        <f>ROUND(J645*I645, 2)</f>
        <v>183210.72</v>
      </c>
      <c r="N645" s="23">
        <f>ROUND(I645*ROUND(K645, 2), 2)</f>
        <v>273040.84999999998</v>
      </c>
      <c r="O645" s="23">
        <f>M645+N645</f>
        <v>456251.56999999995</v>
      </c>
      <c r="P645" s="23">
        <f>IFERROR(ROUND(SUM(S646,S647,S648,S649)/I645, 2),0)</f>
        <v>1596.82</v>
      </c>
      <c r="Q645" s="23">
        <v>3546</v>
      </c>
      <c r="R645" s="23">
        <f>P645+ROUND(Q645, 2)</f>
        <v>5142.82</v>
      </c>
      <c r="S645" s="23">
        <f>ROUND(P645*I645, 2)</f>
        <v>184432.71</v>
      </c>
      <c r="T645" s="23">
        <f>ROUND(I645*ROUND(Q645, 2), 2)</f>
        <v>409563</v>
      </c>
      <c r="U645" s="23">
        <f>S645+T645</f>
        <v>593995.71</v>
      </c>
      <c r="V645" s="9">
        <f>ROUND(P645 / 1.2, 2)</f>
        <v>1330.68</v>
      </c>
      <c r="W645" s="9">
        <f>ROUND(Q645 / 1.2, 2)</f>
        <v>2955</v>
      </c>
      <c r="X645" s="9">
        <f>ROUND(R645 / 1.2, 2)</f>
        <v>4285.68</v>
      </c>
      <c r="Y645" s="9">
        <f t="shared" si="22"/>
        <v>153693.93</v>
      </c>
      <c r="Z645" s="9">
        <f>ROUND(T645 / 1.2, 2)</f>
        <v>341302.5</v>
      </c>
      <c r="AA645" s="9">
        <f>Y645+Z645</f>
        <v>494996.43</v>
      </c>
      <c r="AD645" s="4">
        <v>334080725</v>
      </c>
      <c r="AE645" s="4">
        <v>29396517</v>
      </c>
      <c r="AG645" s="4" t="s">
        <v>1973</v>
      </c>
      <c r="AH645" s="4" t="s">
        <v>1974</v>
      </c>
      <c r="AI645" s="4" t="s">
        <v>250</v>
      </c>
    </row>
    <row r="646" spans="1:35" ht="54" x14ac:dyDescent="0.3">
      <c r="A646" s="11" t="s">
        <v>2079</v>
      </c>
      <c r="B646" s="11"/>
      <c r="C646" s="30" t="s">
        <v>1985</v>
      </c>
      <c r="D646" s="21"/>
      <c r="E646" s="21" t="s">
        <v>2074</v>
      </c>
      <c r="F646" s="33" t="s">
        <v>62</v>
      </c>
      <c r="G646" s="34">
        <v>1.07</v>
      </c>
      <c r="H646" s="21"/>
      <c r="I646" s="37">
        <v>123.58499999999999</v>
      </c>
      <c r="J646" s="35">
        <v>1408.04</v>
      </c>
      <c r="K646" s="12"/>
      <c r="L646" s="12"/>
      <c r="M646" s="35">
        <f>ROUND(ROUND(J646, 2)*I646, 2)</f>
        <v>174012.62</v>
      </c>
      <c r="N646" s="12"/>
      <c r="O646" s="12"/>
      <c r="P646" s="35">
        <v>1408.04</v>
      </c>
      <c r="Q646" s="12"/>
      <c r="R646" s="12"/>
      <c r="S646" s="35">
        <f>ROUND(ROUND(P646, 2)*I646, 2)</f>
        <v>174012.62</v>
      </c>
      <c r="T646" s="12"/>
      <c r="U646" s="36"/>
      <c r="V646" s="9">
        <f>ROUND(ROUND(P646, 2)/1.2, 2)</f>
        <v>1173.3699999999999</v>
      </c>
      <c r="Y646" s="9">
        <f t="shared" si="22"/>
        <v>145010.51999999999</v>
      </c>
      <c r="AD646" s="4" t="s">
        <v>2080</v>
      </c>
      <c r="AE646" s="4" t="s">
        <v>2081</v>
      </c>
      <c r="AF646" s="4" t="s">
        <v>1988</v>
      </c>
    </row>
    <row r="647" spans="1:35" ht="36" x14ac:dyDescent="0.3">
      <c r="A647" s="11" t="s">
        <v>2082</v>
      </c>
      <c r="B647" s="11"/>
      <c r="C647" s="30" t="s">
        <v>1200</v>
      </c>
      <c r="D647" s="21"/>
      <c r="E647" s="21" t="s">
        <v>2083</v>
      </c>
      <c r="F647" s="33" t="s">
        <v>278</v>
      </c>
      <c r="G647" s="34">
        <v>1.2</v>
      </c>
      <c r="H647" s="21"/>
      <c r="I647" s="37">
        <v>415.8</v>
      </c>
      <c r="J647" s="35">
        <v>16.38</v>
      </c>
      <c r="K647" s="12"/>
      <c r="L647" s="12"/>
      <c r="M647" s="35">
        <f>ROUND(ROUND(J647, 2)*I647, 2)</f>
        <v>6810.8</v>
      </c>
      <c r="N647" s="12"/>
      <c r="O647" s="12"/>
      <c r="P647" s="35">
        <v>19.32</v>
      </c>
      <c r="Q647" s="12"/>
      <c r="R647" s="12"/>
      <c r="S647" s="35">
        <f>ROUND(ROUND(P647, 2)*I647, 2)</f>
        <v>8033.26</v>
      </c>
      <c r="T647" s="12"/>
      <c r="U647" s="36"/>
      <c r="V647" s="9">
        <f>ROUND(ROUND(P647, 2)/1.2, 2)</f>
        <v>16.100000000000001</v>
      </c>
      <c r="Y647" s="9">
        <f t="shared" si="22"/>
        <v>6694.38</v>
      </c>
      <c r="AD647" s="4" t="s">
        <v>2084</v>
      </c>
      <c r="AE647" s="4" t="s">
        <v>2085</v>
      </c>
      <c r="AF647" s="4" t="s">
        <v>1203</v>
      </c>
    </row>
    <row r="648" spans="1:35" ht="36" x14ac:dyDescent="0.3">
      <c r="A648" s="11" t="s">
        <v>2086</v>
      </c>
      <c r="B648" s="11"/>
      <c r="C648" s="32" t="s">
        <v>543</v>
      </c>
      <c r="D648" s="21"/>
      <c r="E648" s="21"/>
      <c r="F648" s="33" t="s">
        <v>278</v>
      </c>
      <c r="G648" s="34">
        <v>0.15</v>
      </c>
      <c r="H648" s="21"/>
      <c r="I648" s="34">
        <v>17.324999999999999</v>
      </c>
      <c r="J648" s="35">
        <v>69.540000000000006</v>
      </c>
      <c r="K648" s="12"/>
      <c r="L648" s="12"/>
      <c r="M648" s="35">
        <f>ROUND(ROUND(J648, 2)*I648, 2)</f>
        <v>1204.78</v>
      </c>
      <c r="N648" s="12"/>
      <c r="O648" s="12"/>
      <c r="P648" s="35">
        <v>69.540000000000006</v>
      </c>
      <c r="Q648" s="12"/>
      <c r="R648" s="12"/>
      <c r="S648" s="35">
        <f>ROUND(ROUND(P648, 2)*I648, 2)</f>
        <v>1204.78</v>
      </c>
      <c r="T648" s="12"/>
      <c r="U648" s="36"/>
      <c r="V648" s="9">
        <f>ROUND(ROUND(P648, 2)/1.2, 2)</f>
        <v>57.95</v>
      </c>
      <c r="Y648" s="9">
        <f t="shared" si="22"/>
        <v>1003.98</v>
      </c>
      <c r="AD648" s="4" t="s">
        <v>2087</v>
      </c>
      <c r="AE648" s="4" t="s">
        <v>2088</v>
      </c>
      <c r="AF648" s="4" t="s">
        <v>546</v>
      </c>
    </row>
    <row r="649" spans="1:35" ht="36" x14ac:dyDescent="0.3">
      <c r="A649" s="11" t="s">
        <v>2089</v>
      </c>
      <c r="B649" s="11"/>
      <c r="C649" s="32" t="s">
        <v>1157</v>
      </c>
      <c r="D649" s="21"/>
      <c r="E649" s="21"/>
      <c r="F649" s="33" t="s">
        <v>278</v>
      </c>
      <c r="G649" s="34">
        <v>0.25</v>
      </c>
      <c r="H649" s="21"/>
      <c r="I649" s="37">
        <v>28.875</v>
      </c>
      <c r="J649" s="35">
        <v>40.94</v>
      </c>
      <c r="K649" s="12"/>
      <c r="L649" s="12"/>
      <c r="M649" s="35">
        <f>ROUND(ROUND(J649, 2)*I649, 2)</f>
        <v>1182.1400000000001</v>
      </c>
      <c r="N649" s="12"/>
      <c r="O649" s="12"/>
      <c r="P649" s="35">
        <v>40.94</v>
      </c>
      <c r="Q649" s="12"/>
      <c r="R649" s="12"/>
      <c r="S649" s="35">
        <f>ROUND(ROUND(P649, 2)*I649, 2)</f>
        <v>1182.1400000000001</v>
      </c>
      <c r="T649" s="12"/>
      <c r="U649" s="36"/>
      <c r="V649" s="9">
        <f>ROUND(ROUND(P649, 2)/1.2, 2)</f>
        <v>34.119999999999997</v>
      </c>
      <c r="Y649" s="9">
        <f t="shared" si="22"/>
        <v>985.12</v>
      </c>
      <c r="AD649" s="4" t="s">
        <v>2090</v>
      </c>
      <c r="AE649" s="4" t="s">
        <v>2091</v>
      </c>
      <c r="AF649" s="4" t="s">
        <v>1160</v>
      </c>
    </row>
    <row r="650" spans="1:35" ht="144" x14ac:dyDescent="0.3">
      <c r="A650" s="11" t="s">
        <v>2092</v>
      </c>
      <c r="B650" s="11" t="s">
        <v>1971</v>
      </c>
      <c r="C650" s="20" t="s">
        <v>1972</v>
      </c>
      <c r="D650" s="21"/>
      <c r="E650" s="21" t="s">
        <v>2093</v>
      </c>
      <c r="F650" s="21" t="s">
        <v>62</v>
      </c>
      <c r="G650" s="22">
        <v>1</v>
      </c>
      <c r="H650" s="21"/>
      <c r="I650" s="22">
        <v>628.91</v>
      </c>
      <c r="J650" s="23">
        <f>IFERROR(ROUND(SUM(M651,M652,M653,M654)/I650, 2),0)</f>
        <v>1107.6400000000001</v>
      </c>
      <c r="K650" s="23">
        <v>2363.9899999999998</v>
      </c>
      <c r="L650" s="23">
        <f>J650+ROUND(K650, 2)</f>
        <v>3471.63</v>
      </c>
      <c r="M650" s="23">
        <f>ROUND(J650*I650, 2)</f>
        <v>696605.87</v>
      </c>
      <c r="N650" s="23">
        <f>ROUND(I650*ROUND(K650, 2), 2)</f>
        <v>1486736.95</v>
      </c>
      <c r="O650" s="23">
        <f>M650+N650</f>
        <v>2183342.8199999998</v>
      </c>
      <c r="P650" s="23">
        <f>IFERROR(ROUND(SUM(S651,S652,S653,S654)/I650, 2),0)</f>
        <v>1118.22</v>
      </c>
      <c r="Q650" s="23">
        <v>3546</v>
      </c>
      <c r="R650" s="23">
        <f>P650+ROUND(Q650, 2)</f>
        <v>4664.22</v>
      </c>
      <c r="S650" s="23">
        <f>ROUND(P650*I650, 2)</f>
        <v>703259.74</v>
      </c>
      <c r="T650" s="23">
        <f>ROUND(I650*ROUND(Q650, 2), 2)</f>
        <v>2230114.86</v>
      </c>
      <c r="U650" s="23">
        <f>S650+T650</f>
        <v>2933374.5999999996</v>
      </c>
      <c r="V650" s="9">
        <f>ROUND(P650 / 1.2, 2)</f>
        <v>931.85</v>
      </c>
      <c r="W650" s="9">
        <f>ROUND(Q650 / 1.2, 2)</f>
        <v>2955</v>
      </c>
      <c r="X650" s="9">
        <f>ROUND(R650 / 1.2, 2)</f>
        <v>3886.85</v>
      </c>
      <c r="Y650" s="9">
        <f t="shared" si="22"/>
        <v>586049.78</v>
      </c>
      <c r="Z650" s="9">
        <f>ROUND(T650 / 1.2, 2)</f>
        <v>1858429.05</v>
      </c>
      <c r="AA650" s="9">
        <f>Y650+Z650</f>
        <v>2444478.83</v>
      </c>
      <c r="AD650" s="4">
        <v>334080726</v>
      </c>
      <c r="AE650" s="4">
        <v>29399332</v>
      </c>
      <c r="AG650" s="4" t="s">
        <v>1973</v>
      </c>
      <c r="AH650" s="4" t="s">
        <v>1974</v>
      </c>
      <c r="AI650" s="4" t="s">
        <v>250</v>
      </c>
    </row>
    <row r="651" spans="1:35" ht="36" x14ac:dyDescent="0.3">
      <c r="A651" s="11" t="s">
        <v>2094</v>
      </c>
      <c r="B651" s="11"/>
      <c r="C651" s="32" t="s">
        <v>1157</v>
      </c>
      <c r="D651" s="21"/>
      <c r="E651" s="21"/>
      <c r="F651" s="33" t="s">
        <v>278</v>
      </c>
      <c r="G651" s="34">
        <v>0.25</v>
      </c>
      <c r="H651" s="21"/>
      <c r="I651" s="37">
        <v>157.22800000000001</v>
      </c>
      <c r="J651" s="35">
        <v>40.94</v>
      </c>
      <c r="K651" s="12"/>
      <c r="L651" s="12"/>
      <c r="M651" s="35">
        <f>ROUND(ROUND(J651, 2)*I651, 2)</f>
        <v>6436.91</v>
      </c>
      <c r="N651" s="12"/>
      <c r="O651" s="12"/>
      <c r="P651" s="35">
        <v>40.94</v>
      </c>
      <c r="Q651" s="12"/>
      <c r="R651" s="12"/>
      <c r="S651" s="35">
        <f>ROUND(ROUND(P651, 2)*I651, 2)</f>
        <v>6436.91</v>
      </c>
      <c r="T651" s="12"/>
      <c r="U651" s="36"/>
      <c r="V651" s="9">
        <f>ROUND(ROUND(P651, 2)/1.2, 2)</f>
        <v>34.119999999999997</v>
      </c>
      <c r="Y651" s="9">
        <f t="shared" si="22"/>
        <v>5364.09</v>
      </c>
      <c r="AD651" s="4" t="s">
        <v>2095</v>
      </c>
      <c r="AE651" s="4" t="s">
        <v>2096</v>
      </c>
      <c r="AF651" s="4" t="s">
        <v>1160</v>
      </c>
    </row>
    <row r="652" spans="1:35" ht="36" x14ac:dyDescent="0.3">
      <c r="A652" s="11" t="s">
        <v>2097</v>
      </c>
      <c r="B652" s="11"/>
      <c r="C652" s="32" t="s">
        <v>543</v>
      </c>
      <c r="D652" s="21"/>
      <c r="E652" s="21"/>
      <c r="F652" s="33" t="s">
        <v>278</v>
      </c>
      <c r="G652" s="34">
        <v>0.15</v>
      </c>
      <c r="H652" s="21"/>
      <c r="I652" s="34">
        <v>94.337000000000003</v>
      </c>
      <c r="J652" s="35">
        <v>69.540000000000006</v>
      </c>
      <c r="K652" s="12"/>
      <c r="L652" s="12"/>
      <c r="M652" s="35">
        <f>ROUND(ROUND(J652, 2)*I652, 2)</f>
        <v>6560.19</v>
      </c>
      <c r="N652" s="12"/>
      <c r="O652" s="12"/>
      <c r="P652" s="35">
        <v>69.540000000000006</v>
      </c>
      <c r="Q652" s="12"/>
      <c r="R652" s="12"/>
      <c r="S652" s="35">
        <f>ROUND(ROUND(P652, 2)*I652, 2)</f>
        <v>6560.19</v>
      </c>
      <c r="T652" s="12"/>
      <c r="U652" s="36"/>
      <c r="V652" s="9">
        <f>ROUND(ROUND(P652, 2)/1.2, 2)</f>
        <v>57.95</v>
      </c>
      <c r="Y652" s="9">
        <f t="shared" si="22"/>
        <v>5466.83</v>
      </c>
      <c r="AD652" s="4" t="s">
        <v>2098</v>
      </c>
      <c r="AE652" s="4" t="s">
        <v>2099</v>
      </c>
      <c r="AF652" s="4" t="s">
        <v>546</v>
      </c>
    </row>
    <row r="653" spans="1:35" ht="36" x14ac:dyDescent="0.3">
      <c r="A653" s="11" t="s">
        <v>2100</v>
      </c>
      <c r="B653" s="11"/>
      <c r="C653" s="30" t="s">
        <v>1200</v>
      </c>
      <c r="D653" s="21"/>
      <c r="E653" s="21" t="s">
        <v>2083</v>
      </c>
      <c r="F653" s="33" t="s">
        <v>278</v>
      </c>
      <c r="G653" s="34">
        <v>1.2</v>
      </c>
      <c r="H653" s="21"/>
      <c r="I653" s="37">
        <v>2264.076</v>
      </c>
      <c r="J653" s="35">
        <v>16.38</v>
      </c>
      <c r="K653" s="12"/>
      <c r="L653" s="12"/>
      <c r="M653" s="35">
        <f>ROUND(ROUND(J653, 2)*I653, 2)</f>
        <v>37085.56</v>
      </c>
      <c r="N653" s="12"/>
      <c r="O653" s="12"/>
      <c r="P653" s="35">
        <v>19.32</v>
      </c>
      <c r="Q653" s="12"/>
      <c r="R653" s="12"/>
      <c r="S653" s="35">
        <f>ROUND(ROUND(P653, 2)*I653, 2)</f>
        <v>43741.95</v>
      </c>
      <c r="T653" s="12"/>
      <c r="U653" s="36"/>
      <c r="V653" s="9">
        <f>ROUND(ROUND(P653, 2)/1.2, 2)</f>
        <v>16.100000000000001</v>
      </c>
      <c r="Y653" s="9">
        <f t="shared" si="22"/>
        <v>36451.629999999997</v>
      </c>
      <c r="AD653" s="4" t="s">
        <v>2101</v>
      </c>
      <c r="AE653" s="4" t="s">
        <v>2102</v>
      </c>
      <c r="AF653" s="4" t="s">
        <v>1203</v>
      </c>
    </row>
    <row r="654" spans="1:35" ht="36" x14ac:dyDescent="0.3">
      <c r="A654" s="11" t="s">
        <v>2103</v>
      </c>
      <c r="B654" s="11"/>
      <c r="C654" s="30" t="s">
        <v>1991</v>
      </c>
      <c r="D654" s="21"/>
      <c r="E654" s="21"/>
      <c r="F654" s="33" t="s">
        <v>62</v>
      </c>
      <c r="G654" s="34">
        <v>1.07</v>
      </c>
      <c r="H654" s="21"/>
      <c r="I654" s="37">
        <v>672.93399999999997</v>
      </c>
      <c r="J654" s="35">
        <v>960.75</v>
      </c>
      <c r="K654" s="12"/>
      <c r="L654" s="12"/>
      <c r="M654" s="35">
        <f>ROUND(ROUND(J654, 2)*I654, 2)</f>
        <v>646521.34</v>
      </c>
      <c r="N654" s="12"/>
      <c r="O654" s="12"/>
      <c r="P654" s="35">
        <v>960.75</v>
      </c>
      <c r="Q654" s="12"/>
      <c r="R654" s="12"/>
      <c r="S654" s="35">
        <f>ROUND(ROUND(P654, 2)*I654, 2)</f>
        <v>646521.34</v>
      </c>
      <c r="T654" s="12"/>
      <c r="U654" s="36"/>
      <c r="V654" s="9">
        <f>ROUND(ROUND(P654, 2)/1.2, 2)</f>
        <v>800.63</v>
      </c>
      <c r="Y654" s="9">
        <f t="shared" si="22"/>
        <v>538767.78</v>
      </c>
      <c r="AD654" s="4" t="s">
        <v>2104</v>
      </c>
      <c r="AE654" s="4" t="s">
        <v>2105</v>
      </c>
      <c r="AF654" s="4" t="s">
        <v>1994</v>
      </c>
    </row>
    <row r="655" spans="1:35" ht="144" x14ac:dyDescent="0.3">
      <c r="A655" s="11" t="s">
        <v>2106</v>
      </c>
      <c r="B655" s="11" t="s">
        <v>1971</v>
      </c>
      <c r="C655" s="20" t="s">
        <v>1972</v>
      </c>
      <c r="D655" s="21"/>
      <c r="E655" s="21" t="s">
        <v>2107</v>
      </c>
      <c r="F655" s="21" t="s">
        <v>62</v>
      </c>
      <c r="G655" s="22">
        <v>1</v>
      </c>
      <c r="H655" s="21"/>
      <c r="I655" s="22">
        <v>2.3199999999999998</v>
      </c>
      <c r="J655" s="23">
        <f>IFERROR(ROUND(SUM(M656,M657,M658,M659)/I655, 2),0)</f>
        <v>1586</v>
      </c>
      <c r="K655" s="23">
        <v>2363.9899999999998</v>
      </c>
      <c r="L655" s="23">
        <f>J655+ROUND(K655, 2)</f>
        <v>3949.99</v>
      </c>
      <c r="M655" s="23">
        <f>ROUND(J655*I655, 2)</f>
        <v>3679.52</v>
      </c>
      <c r="N655" s="23">
        <f>ROUND(I655*ROUND(K655, 2), 2)</f>
        <v>5484.46</v>
      </c>
      <c r="O655" s="23">
        <f>M655+N655</f>
        <v>9163.98</v>
      </c>
      <c r="P655" s="23">
        <f>IFERROR(ROUND(SUM(S656,S657,S658,S659)/I655, 2),0)</f>
        <v>1586</v>
      </c>
      <c r="Q655" s="23">
        <v>3546</v>
      </c>
      <c r="R655" s="23">
        <f>P655+ROUND(Q655, 2)</f>
        <v>5132</v>
      </c>
      <c r="S655" s="23">
        <f>ROUND(P655*I655, 2)</f>
        <v>3679.52</v>
      </c>
      <c r="T655" s="23">
        <f>ROUND(I655*ROUND(Q655, 2), 2)</f>
        <v>8226.7199999999993</v>
      </c>
      <c r="U655" s="23">
        <f>S655+T655</f>
        <v>11906.24</v>
      </c>
      <c r="V655" s="9">
        <f>ROUND(P655 / 1.2, 2)</f>
        <v>1321.67</v>
      </c>
      <c r="W655" s="9">
        <f>ROUND(Q655 / 1.2, 2)</f>
        <v>2955</v>
      </c>
      <c r="X655" s="9">
        <f>ROUND(R655 / 1.2, 2)</f>
        <v>4276.67</v>
      </c>
      <c r="Y655" s="9">
        <f t="shared" si="22"/>
        <v>3066.27</v>
      </c>
      <c r="Z655" s="9">
        <f>ROUND(T655 / 1.2, 2)</f>
        <v>6855.6</v>
      </c>
      <c r="AA655" s="9">
        <f>Y655+Z655</f>
        <v>9921.8700000000008</v>
      </c>
      <c r="AD655" s="4">
        <v>334080727</v>
      </c>
      <c r="AE655" s="4">
        <v>29399333</v>
      </c>
      <c r="AG655" s="4" t="s">
        <v>1973</v>
      </c>
      <c r="AH655" s="4" t="s">
        <v>1974</v>
      </c>
      <c r="AI655" s="4" t="s">
        <v>250</v>
      </c>
    </row>
    <row r="656" spans="1:35" ht="54" x14ac:dyDescent="0.3">
      <c r="A656" s="11" t="s">
        <v>2108</v>
      </c>
      <c r="B656" s="11"/>
      <c r="C656" s="30" t="s">
        <v>1985</v>
      </c>
      <c r="D656" s="21"/>
      <c r="E656" s="21" t="s">
        <v>2074</v>
      </c>
      <c r="F656" s="33" t="s">
        <v>62</v>
      </c>
      <c r="G656" s="34">
        <v>1.07</v>
      </c>
      <c r="H656" s="21"/>
      <c r="I656" s="37">
        <v>2.4820000000000002</v>
      </c>
      <c r="J656" s="35">
        <v>1408.04</v>
      </c>
      <c r="K656" s="12"/>
      <c r="L656" s="12"/>
      <c r="M656" s="35">
        <f>ROUND(ROUND(J656, 2)*I656, 2)</f>
        <v>3494.76</v>
      </c>
      <c r="N656" s="12"/>
      <c r="O656" s="12"/>
      <c r="P656" s="35">
        <v>1408.04</v>
      </c>
      <c r="Q656" s="12"/>
      <c r="R656" s="12"/>
      <c r="S656" s="35">
        <f>ROUND(ROUND(P656, 2)*I656, 2)</f>
        <v>3494.76</v>
      </c>
      <c r="T656" s="12"/>
      <c r="U656" s="36"/>
      <c r="V656" s="9">
        <f>ROUND(ROUND(P656, 2)/1.2, 2)</f>
        <v>1173.3699999999999</v>
      </c>
      <c r="Y656" s="9">
        <f t="shared" si="22"/>
        <v>2912.3</v>
      </c>
      <c r="AD656" s="4" t="s">
        <v>2109</v>
      </c>
      <c r="AE656" s="4" t="s">
        <v>2110</v>
      </c>
      <c r="AF656" s="4" t="s">
        <v>1988</v>
      </c>
    </row>
    <row r="657" spans="1:35" ht="36" x14ac:dyDescent="0.3">
      <c r="A657" s="11" t="s">
        <v>2111</v>
      </c>
      <c r="B657" s="11"/>
      <c r="C657" s="30" t="s">
        <v>1200</v>
      </c>
      <c r="D657" s="21"/>
      <c r="E657" s="21"/>
      <c r="F657" s="33" t="s">
        <v>278</v>
      </c>
      <c r="G657" s="34">
        <v>1.2</v>
      </c>
      <c r="H657" s="21"/>
      <c r="I657" s="37">
        <v>8.3520000000000003</v>
      </c>
      <c r="J657" s="35">
        <v>16.38</v>
      </c>
      <c r="K657" s="12"/>
      <c r="L657" s="12"/>
      <c r="M657" s="35">
        <f>ROUND(ROUND(J657, 2)*I657, 2)</f>
        <v>136.81</v>
      </c>
      <c r="N657" s="12"/>
      <c r="O657" s="12"/>
      <c r="P657" s="35">
        <v>16.38</v>
      </c>
      <c r="Q657" s="12"/>
      <c r="R657" s="12"/>
      <c r="S657" s="35">
        <f>ROUND(ROUND(P657, 2)*I657, 2)</f>
        <v>136.81</v>
      </c>
      <c r="T657" s="12"/>
      <c r="U657" s="36"/>
      <c r="V657" s="9">
        <f>ROUND(ROUND(P657, 2)/1.2, 2)</f>
        <v>13.65</v>
      </c>
      <c r="Y657" s="9">
        <f t="shared" si="22"/>
        <v>114.01</v>
      </c>
      <c r="AD657" s="4" t="s">
        <v>2112</v>
      </c>
      <c r="AE657" s="4" t="s">
        <v>2113</v>
      </c>
      <c r="AF657" s="4" t="s">
        <v>1203</v>
      </c>
    </row>
    <row r="658" spans="1:35" ht="36" x14ac:dyDescent="0.3">
      <c r="A658" s="11" t="s">
        <v>2114</v>
      </c>
      <c r="B658" s="11"/>
      <c r="C658" s="32" t="s">
        <v>543</v>
      </c>
      <c r="D658" s="21"/>
      <c r="E658" s="21"/>
      <c r="F658" s="33" t="s">
        <v>278</v>
      </c>
      <c r="G658" s="34">
        <v>0.15</v>
      </c>
      <c r="H658" s="21"/>
      <c r="I658" s="34">
        <v>0.34799999999999998</v>
      </c>
      <c r="J658" s="35">
        <v>69.540000000000006</v>
      </c>
      <c r="K658" s="12"/>
      <c r="L658" s="12"/>
      <c r="M658" s="35">
        <f>ROUND(ROUND(J658, 2)*I658, 2)</f>
        <v>24.2</v>
      </c>
      <c r="N658" s="12"/>
      <c r="O658" s="12"/>
      <c r="P658" s="35">
        <v>69.540000000000006</v>
      </c>
      <c r="Q658" s="12"/>
      <c r="R658" s="12"/>
      <c r="S658" s="35">
        <f>ROUND(ROUND(P658, 2)*I658, 2)</f>
        <v>24.2</v>
      </c>
      <c r="T658" s="12"/>
      <c r="U658" s="36"/>
      <c r="V658" s="9">
        <f>ROUND(ROUND(P658, 2)/1.2, 2)</f>
        <v>57.95</v>
      </c>
      <c r="Y658" s="9">
        <f t="shared" si="22"/>
        <v>20.170000000000002</v>
      </c>
      <c r="AD658" s="4" t="s">
        <v>2115</v>
      </c>
      <c r="AE658" s="4" t="s">
        <v>2116</v>
      </c>
      <c r="AF658" s="4" t="s">
        <v>546</v>
      </c>
    </row>
    <row r="659" spans="1:35" ht="36" x14ac:dyDescent="0.3">
      <c r="A659" s="11" t="s">
        <v>2117</v>
      </c>
      <c r="B659" s="11"/>
      <c r="C659" s="32" t="s">
        <v>1157</v>
      </c>
      <c r="D659" s="21"/>
      <c r="E659" s="21"/>
      <c r="F659" s="33" t="s">
        <v>278</v>
      </c>
      <c r="G659" s="34">
        <v>0.25</v>
      </c>
      <c r="H659" s="21"/>
      <c r="I659" s="37">
        <v>0.57999999999999996</v>
      </c>
      <c r="J659" s="35">
        <v>40.94</v>
      </c>
      <c r="K659" s="12"/>
      <c r="L659" s="12"/>
      <c r="M659" s="35">
        <f>ROUND(ROUND(J659, 2)*I659, 2)</f>
        <v>23.75</v>
      </c>
      <c r="N659" s="12"/>
      <c r="O659" s="12"/>
      <c r="P659" s="35">
        <v>40.94</v>
      </c>
      <c r="Q659" s="12"/>
      <c r="R659" s="12"/>
      <c r="S659" s="35">
        <f>ROUND(ROUND(P659, 2)*I659, 2)</f>
        <v>23.75</v>
      </c>
      <c r="T659" s="12"/>
      <c r="U659" s="36"/>
      <c r="V659" s="9">
        <f>ROUND(ROUND(P659, 2)/1.2, 2)</f>
        <v>34.119999999999997</v>
      </c>
      <c r="Y659" s="9">
        <f t="shared" si="22"/>
        <v>19.79</v>
      </c>
      <c r="AD659" s="4" t="s">
        <v>2118</v>
      </c>
      <c r="AE659" s="4" t="s">
        <v>2119</v>
      </c>
      <c r="AF659" s="4" t="s">
        <v>1160</v>
      </c>
    </row>
    <row r="660" spans="1:35" ht="54" x14ac:dyDescent="0.3">
      <c r="A660" s="10" t="s">
        <v>2120</v>
      </c>
      <c r="B660" s="10" t="s">
        <v>2121</v>
      </c>
      <c r="C660" s="14" t="s">
        <v>2122</v>
      </c>
      <c r="D660" s="15"/>
      <c r="E660" s="15"/>
      <c r="F660" s="15" t="s">
        <v>62</v>
      </c>
      <c r="G660" s="16">
        <v>1</v>
      </c>
      <c r="H660" s="15"/>
      <c r="I660" s="16">
        <v>0</v>
      </c>
      <c r="J660" s="17">
        <v>0</v>
      </c>
      <c r="K660" s="18">
        <v>2983</v>
      </c>
      <c r="L660" s="17">
        <f>J660+ROUND(K660, 2)</f>
        <v>2983</v>
      </c>
      <c r="M660" s="17">
        <v>0</v>
      </c>
      <c r="N660" s="17">
        <v>0</v>
      </c>
      <c r="O660" s="17">
        <f>M660+N660</f>
        <v>0</v>
      </c>
      <c r="P660" s="17">
        <v>1253.43</v>
      </c>
      <c r="Q660" s="19">
        <v>2983</v>
      </c>
      <c r="R660" s="17">
        <f>P660+ROUND(Q660, 2)</f>
        <v>4236.43</v>
      </c>
      <c r="S660" s="17">
        <v>0</v>
      </c>
      <c r="T660" s="17">
        <v>0</v>
      </c>
      <c r="U660" s="17">
        <f>S660+T660</f>
        <v>0</v>
      </c>
      <c r="V660" s="9">
        <f>ROUND(P660 / 1.2, 2)</f>
        <v>1044.53</v>
      </c>
      <c r="W660" s="9">
        <f>ROUND(Q660 / 1.2, 2)</f>
        <v>2485.83</v>
      </c>
      <c r="X660" s="9">
        <f>ROUND(R660 / 1.2, 2)</f>
        <v>3530.36</v>
      </c>
      <c r="Y660" s="9">
        <f t="shared" si="22"/>
        <v>0</v>
      </c>
      <c r="Z660" s="9">
        <f>ROUND(T660 / 1.2, 2)</f>
        <v>0</v>
      </c>
      <c r="AA660" s="9">
        <f>Y660+Z660</f>
        <v>0</v>
      </c>
      <c r="AD660" s="4">
        <v>334080544</v>
      </c>
      <c r="AE660" s="4">
        <v>27245627</v>
      </c>
      <c r="AG660" s="4" t="s">
        <v>2123</v>
      </c>
      <c r="AH660" s="4" t="s">
        <v>2124</v>
      </c>
      <c r="AI660" s="4" t="s">
        <v>250</v>
      </c>
    </row>
    <row r="661" spans="1:35" ht="36" x14ac:dyDescent="0.3">
      <c r="A661" s="10" t="s">
        <v>2125</v>
      </c>
      <c r="B661" s="10"/>
      <c r="C661" s="30" t="s">
        <v>2126</v>
      </c>
      <c r="D661" s="15"/>
      <c r="E661" s="15"/>
      <c r="F661" s="25" t="s">
        <v>62</v>
      </c>
      <c r="G661" s="26">
        <v>1.1000000000000001</v>
      </c>
      <c r="H661" s="15"/>
      <c r="I661" s="31">
        <v>0</v>
      </c>
      <c r="J661" s="27">
        <v>2038.05</v>
      </c>
      <c r="M661" s="28">
        <f>ROUND(ROUND(J661, 2)*I661, 2)</f>
        <v>0</v>
      </c>
      <c r="P661" s="29">
        <v>1102.5</v>
      </c>
      <c r="S661" s="28">
        <f>ROUND(ROUND(P661, 2)*I661, 2)</f>
        <v>0</v>
      </c>
      <c r="V661" s="9">
        <f>ROUND(ROUND(P661, 2)/1.2, 2)</f>
        <v>918.75</v>
      </c>
      <c r="Y661" s="9">
        <f t="shared" si="22"/>
        <v>0</v>
      </c>
      <c r="AD661" s="4" t="s">
        <v>2127</v>
      </c>
      <c r="AE661" s="4" t="s">
        <v>2128</v>
      </c>
      <c r="AF661" s="4" t="s">
        <v>2129</v>
      </c>
    </row>
    <row r="662" spans="1:35" ht="36" x14ac:dyDescent="0.3">
      <c r="A662" s="10" t="s">
        <v>2130</v>
      </c>
      <c r="B662" s="10"/>
      <c r="C662" s="30" t="s">
        <v>1200</v>
      </c>
      <c r="D662" s="15"/>
      <c r="E662" s="15"/>
      <c r="F662" s="25" t="s">
        <v>278</v>
      </c>
      <c r="G662" s="26">
        <v>1.2</v>
      </c>
      <c r="H662" s="15"/>
      <c r="I662" s="31">
        <v>0</v>
      </c>
      <c r="J662" s="27">
        <v>16.96</v>
      </c>
      <c r="M662" s="28">
        <f>ROUND(ROUND(J662, 2)*I662, 2)</f>
        <v>0</v>
      </c>
      <c r="P662" s="29">
        <v>16.96</v>
      </c>
      <c r="S662" s="28">
        <f>ROUND(ROUND(P662, 2)*I662, 2)</f>
        <v>0</v>
      </c>
      <c r="V662" s="9">
        <f>ROUND(ROUND(P662, 2)/1.2, 2)</f>
        <v>14.13</v>
      </c>
      <c r="Y662" s="9">
        <f t="shared" si="22"/>
        <v>0</v>
      </c>
      <c r="AD662" s="4" t="s">
        <v>2131</v>
      </c>
      <c r="AE662" s="4" t="s">
        <v>2132</v>
      </c>
      <c r="AF662" s="4" t="s">
        <v>1203</v>
      </c>
    </row>
    <row r="663" spans="1:35" ht="36" x14ac:dyDescent="0.3">
      <c r="A663" s="10" t="s">
        <v>2133</v>
      </c>
      <c r="B663" s="10"/>
      <c r="C663" s="24" t="s">
        <v>1157</v>
      </c>
      <c r="D663" s="15"/>
      <c r="E663" s="15"/>
      <c r="F663" s="25" t="s">
        <v>278</v>
      </c>
      <c r="G663" s="26">
        <v>0.25</v>
      </c>
      <c r="H663" s="15"/>
      <c r="I663" s="31">
        <v>0</v>
      </c>
      <c r="J663" s="27">
        <v>40.270000000000003</v>
      </c>
      <c r="M663" s="28">
        <f>ROUND(ROUND(J663, 2)*I663, 2)</f>
        <v>0</v>
      </c>
      <c r="P663" s="29">
        <v>40.270000000000003</v>
      </c>
      <c r="S663" s="28">
        <f>ROUND(ROUND(P663, 2)*I663, 2)</f>
        <v>0</v>
      </c>
      <c r="V663" s="9">
        <f>ROUND(ROUND(P663, 2)/1.2, 2)</f>
        <v>33.56</v>
      </c>
      <c r="Y663" s="9">
        <f t="shared" si="22"/>
        <v>0</v>
      </c>
      <c r="AD663" s="4" t="s">
        <v>2134</v>
      </c>
      <c r="AE663" s="4" t="s">
        <v>2135</v>
      </c>
      <c r="AF663" s="4" t="s">
        <v>1160</v>
      </c>
    </row>
    <row r="664" spans="1:35" ht="36" x14ac:dyDescent="0.3">
      <c r="A664" s="10" t="s">
        <v>2136</v>
      </c>
      <c r="B664" s="10"/>
      <c r="C664" s="24" t="s">
        <v>543</v>
      </c>
      <c r="D664" s="15"/>
      <c r="E664" s="15"/>
      <c r="F664" s="25" t="s">
        <v>278</v>
      </c>
      <c r="G664" s="26">
        <v>0.15</v>
      </c>
      <c r="H664" s="15"/>
      <c r="I664" s="26">
        <v>0</v>
      </c>
      <c r="J664" s="27">
        <v>68.400000000000006</v>
      </c>
      <c r="M664" s="28">
        <f>ROUND(ROUND(J664, 2)*I664, 2)</f>
        <v>0</v>
      </c>
      <c r="P664" s="29">
        <v>68.400000000000006</v>
      </c>
      <c r="S664" s="28">
        <f>ROUND(ROUND(P664, 2)*I664, 2)</f>
        <v>0</v>
      </c>
      <c r="V664" s="9">
        <f>ROUND(ROUND(P664, 2)/1.2, 2)</f>
        <v>57</v>
      </c>
      <c r="Y664" s="9">
        <f t="shared" si="22"/>
        <v>0</v>
      </c>
      <c r="AD664" s="4" t="s">
        <v>2137</v>
      </c>
      <c r="AE664" s="4" t="s">
        <v>2138</v>
      </c>
      <c r="AF664" s="4" t="s">
        <v>546</v>
      </c>
    </row>
    <row r="665" spans="1:35" ht="54" x14ac:dyDescent="0.3">
      <c r="A665" s="10" t="s">
        <v>2139</v>
      </c>
      <c r="B665" s="10" t="s">
        <v>2121</v>
      </c>
      <c r="C665" s="14" t="s">
        <v>2122</v>
      </c>
      <c r="D665" s="15"/>
      <c r="E665" s="15"/>
      <c r="F665" s="15" t="s">
        <v>62</v>
      </c>
      <c r="G665" s="16">
        <v>1</v>
      </c>
      <c r="H665" s="15"/>
      <c r="I665" s="16">
        <v>0</v>
      </c>
      <c r="J665" s="17">
        <v>0</v>
      </c>
      <c r="K665" s="18">
        <v>2983</v>
      </c>
      <c r="L665" s="17">
        <f>J665+ROUND(K665, 2)</f>
        <v>2983</v>
      </c>
      <c r="M665" s="17">
        <v>0</v>
      </c>
      <c r="N665" s="17">
        <v>0</v>
      </c>
      <c r="O665" s="17">
        <f>M665+N665</f>
        <v>0</v>
      </c>
      <c r="P665" s="17">
        <v>1253.43</v>
      </c>
      <c r="Q665" s="19">
        <v>2983</v>
      </c>
      <c r="R665" s="17">
        <f>P665+ROUND(Q665, 2)</f>
        <v>4236.43</v>
      </c>
      <c r="S665" s="17">
        <v>0</v>
      </c>
      <c r="T665" s="17">
        <v>0</v>
      </c>
      <c r="U665" s="17">
        <f>S665+T665</f>
        <v>0</v>
      </c>
      <c r="V665" s="9">
        <f>ROUND(P665 / 1.2, 2)</f>
        <v>1044.53</v>
      </c>
      <c r="W665" s="9">
        <f>ROUND(Q665 / 1.2, 2)</f>
        <v>2485.83</v>
      </c>
      <c r="X665" s="9">
        <f>ROUND(R665 / 1.2, 2)</f>
        <v>3530.36</v>
      </c>
      <c r="Y665" s="9">
        <f t="shared" si="22"/>
        <v>0</v>
      </c>
      <c r="Z665" s="9">
        <f>ROUND(T665 / 1.2, 2)</f>
        <v>0</v>
      </c>
      <c r="AA665" s="9">
        <f>Y665+Z665</f>
        <v>0</v>
      </c>
      <c r="AD665" s="4">
        <v>334080728</v>
      </c>
      <c r="AE665" s="4">
        <v>27245628</v>
      </c>
      <c r="AG665" s="4" t="s">
        <v>2123</v>
      </c>
      <c r="AH665" s="4" t="s">
        <v>2124</v>
      </c>
      <c r="AI665" s="4" t="s">
        <v>250</v>
      </c>
    </row>
    <row r="666" spans="1:35" ht="36" x14ac:dyDescent="0.3">
      <c r="A666" s="10" t="s">
        <v>2140</v>
      </c>
      <c r="B666" s="10"/>
      <c r="C666" s="24" t="s">
        <v>543</v>
      </c>
      <c r="D666" s="15"/>
      <c r="E666" s="15"/>
      <c r="F666" s="25" t="s">
        <v>278</v>
      </c>
      <c r="G666" s="26">
        <v>0.15</v>
      </c>
      <c r="H666" s="15"/>
      <c r="I666" s="26">
        <v>0</v>
      </c>
      <c r="J666" s="27">
        <v>68.400000000000006</v>
      </c>
      <c r="M666" s="28">
        <f>ROUND(ROUND(J666, 2)*I666, 2)</f>
        <v>0</v>
      </c>
      <c r="P666" s="29">
        <v>68.400000000000006</v>
      </c>
      <c r="S666" s="28">
        <f>ROUND(ROUND(P666, 2)*I666, 2)</f>
        <v>0</v>
      </c>
      <c r="V666" s="9">
        <f>ROUND(ROUND(P666, 2)/1.2, 2)</f>
        <v>57</v>
      </c>
      <c r="Y666" s="9">
        <f t="shared" si="22"/>
        <v>0</v>
      </c>
      <c r="AD666" s="4" t="s">
        <v>2141</v>
      </c>
      <c r="AE666" s="4" t="s">
        <v>2142</v>
      </c>
      <c r="AF666" s="4" t="s">
        <v>546</v>
      </c>
    </row>
    <row r="667" spans="1:35" ht="36" x14ac:dyDescent="0.3">
      <c r="A667" s="10" t="s">
        <v>2143</v>
      </c>
      <c r="B667" s="10"/>
      <c r="C667" s="24" t="s">
        <v>1157</v>
      </c>
      <c r="D667" s="15"/>
      <c r="E667" s="15"/>
      <c r="F667" s="25" t="s">
        <v>278</v>
      </c>
      <c r="G667" s="26">
        <v>0.25</v>
      </c>
      <c r="H667" s="15"/>
      <c r="I667" s="31">
        <v>0</v>
      </c>
      <c r="J667" s="27">
        <v>40.270000000000003</v>
      </c>
      <c r="M667" s="28">
        <f>ROUND(ROUND(J667, 2)*I667, 2)</f>
        <v>0</v>
      </c>
      <c r="P667" s="29">
        <v>40.270000000000003</v>
      </c>
      <c r="S667" s="28">
        <f>ROUND(ROUND(P667, 2)*I667, 2)</f>
        <v>0</v>
      </c>
      <c r="V667" s="9">
        <f>ROUND(ROUND(P667, 2)/1.2, 2)</f>
        <v>33.56</v>
      </c>
      <c r="Y667" s="9">
        <f t="shared" si="22"/>
        <v>0</v>
      </c>
      <c r="AD667" s="4" t="s">
        <v>2144</v>
      </c>
      <c r="AE667" s="4" t="s">
        <v>2145</v>
      </c>
      <c r="AF667" s="4" t="s">
        <v>1160</v>
      </c>
    </row>
    <row r="668" spans="1:35" ht="36" x14ac:dyDescent="0.3">
      <c r="A668" s="10" t="s">
        <v>2146</v>
      </c>
      <c r="B668" s="10"/>
      <c r="C668" s="30" t="s">
        <v>1200</v>
      </c>
      <c r="D668" s="15"/>
      <c r="E668" s="15"/>
      <c r="F668" s="25" t="s">
        <v>278</v>
      </c>
      <c r="G668" s="26">
        <v>1.2</v>
      </c>
      <c r="H668" s="15"/>
      <c r="I668" s="31">
        <v>0</v>
      </c>
      <c r="J668" s="27">
        <v>16.96</v>
      </c>
      <c r="M668" s="28">
        <f>ROUND(ROUND(J668, 2)*I668, 2)</f>
        <v>0</v>
      </c>
      <c r="P668" s="29">
        <v>16.96</v>
      </c>
      <c r="S668" s="28">
        <f>ROUND(ROUND(P668, 2)*I668, 2)</f>
        <v>0</v>
      </c>
      <c r="V668" s="9">
        <f>ROUND(ROUND(P668, 2)/1.2, 2)</f>
        <v>14.13</v>
      </c>
      <c r="Y668" s="9">
        <f t="shared" si="22"/>
        <v>0</v>
      </c>
      <c r="AD668" s="4" t="s">
        <v>2147</v>
      </c>
      <c r="AE668" s="4" t="s">
        <v>2148</v>
      </c>
      <c r="AF668" s="4" t="s">
        <v>1203</v>
      </c>
    </row>
    <row r="669" spans="1:35" ht="36" x14ac:dyDescent="0.3">
      <c r="A669" s="10" t="s">
        <v>2149</v>
      </c>
      <c r="B669" s="10"/>
      <c r="C669" s="30" t="s">
        <v>2126</v>
      </c>
      <c r="D669" s="15"/>
      <c r="E669" s="15"/>
      <c r="F669" s="25" t="s">
        <v>62</v>
      </c>
      <c r="G669" s="26">
        <v>1.1000000000000001</v>
      </c>
      <c r="H669" s="15"/>
      <c r="I669" s="31">
        <v>0</v>
      </c>
      <c r="J669" s="27">
        <v>2038.05</v>
      </c>
      <c r="M669" s="28">
        <f>ROUND(ROUND(J669, 2)*I669, 2)</f>
        <v>0</v>
      </c>
      <c r="P669" s="29">
        <v>1102.5</v>
      </c>
      <c r="S669" s="28">
        <f>ROUND(ROUND(P669, 2)*I669, 2)</f>
        <v>0</v>
      </c>
      <c r="V669" s="9">
        <f>ROUND(ROUND(P669, 2)/1.2, 2)</f>
        <v>918.75</v>
      </c>
      <c r="Y669" s="9">
        <f t="shared" si="22"/>
        <v>0</v>
      </c>
      <c r="AD669" s="4" t="s">
        <v>2150</v>
      </c>
      <c r="AE669" s="4" t="s">
        <v>2151</v>
      </c>
      <c r="AF669" s="4" t="s">
        <v>2129</v>
      </c>
    </row>
    <row r="670" spans="1:35" ht="54" x14ac:dyDescent="0.3">
      <c r="A670" s="10" t="s">
        <v>2152</v>
      </c>
      <c r="B670" s="10" t="s">
        <v>2121</v>
      </c>
      <c r="C670" s="14" t="s">
        <v>2122</v>
      </c>
      <c r="D670" s="15"/>
      <c r="E670" s="15"/>
      <c r="F670" s="15" t="s">
        <v>62</v>
      </c>
      <c r="G670" s="16">
        <v>1</v>
      </c>
      <c r="H670" s="15"/>
      <c r="I670" s="16">
        <v>0</v>
      </c>
      <c r="J670" s="17">
        <v>0</v>
      </c>
      <c r="K670" s="18">
        <v>2983</v>
      </c>
      <c r="L670" s="17">
        <f>J670+ROUND(K670, 2)</f>
        <v>2983</v>
      </c>
      <c r="M670" s="17">
        <v>0</v>
      </c>
      <c r="N670" s="17">
        <v>0</v>
      </c>
      <c r="O670" s="17">
        <f>M670+N670</f>
        <v>0</v>
      </c>
      <c r="P670" s="17">
        <v>1253.43</v>
      </c>
      <c r="Q670" s="19">
        <v>2983</v>
      </c>
      <c r="R670" s="17">
        <f>P670+ROUND(Q670, 2)</f>
        <v>4236.43</v>
      </c>
      <c r="S670" s="17">
        <v>0</v>
      </c>
      <c r="T670" s="17">
        <v>0</v>
      </c>
      <c r="U670" s="17">
        <f>S670+T670</f>
        <v>0</v>
      </c>
      <c r="V670" s="9">
        <f>ROUND(P670 / 1.2, 2)</f>
        <v>1044.53</v>
      </c>
      <c r="W670" s="9">
        <f>ROUND(Q670 / 1.2, 2)</f>
        <v>2485.83</v>
      </c>
      <c r="X670" s="9">
        <f>ROUND(R670 / 1.2, 2)</f>
        <v>3530.36</v>
      </c>
      <c r="Y670" s="9">
        <f t="shared" si="22"/>
        <v>0</v>
      </c>
      <c r="Z670" s="9">
        <f>ROUND(T670 / 1.2, 2)</f>
        <v>0</v>
      </c>
      <c r="AA670" s="9">
        <f>Y670+Z670</f>
        <v>0</v>
      </c>
      <c r="AD670" s="4">
        <v>334080729</v>
      </c>
      <c r="AE670" s="4">
        <v>27245629</v>
      </c>
      <c r="AG670" s="4" t="s">
        <v>2123</v>
      </c>
      <c r="AH670" s="4" t="s">
        <v>2124</v>
      </c>
      <c r="AI670" s="4" t="s">
        <v>250</v>
      </c>
    </row>
    <row r="671" spans="1:35" ht="36" x14ac:dyDescent="0.3">
      <c r="A671" s="10" t="s">
        <v>2153</v>
      </c>
      <c r="B671" s="10"/>
      <c r="C671" s="30" t="s">
        <v>2126</v>
      </c>
      <c r="D671" s="15"/>
      <c r="E671" s="15"/>
      <c r="F671" s="25" t="s">
        <v>62</v>
      </c>
      <c r="G671" s="26">
        <v>1.1000000000000001</v>
      </c>
      <c r="H671" s="15"/>
      <c r="I671" s="31">
        <v>0</v>
      </c>
      <c r="J671" s="27">
        <v>2038.05</v>
      </c>
      <c r="M671" s="28">
        <f>ROUND(ROUND(J671, 2)*I671, 2)</f>
        <v>0</v>
      </c>
      <c r="P671" s="29">
        <v>1102.5</v>
      </c>
      <c r="S671" s="28">
        <f>ROUND(ROUND(P671, 2)*I671, 2)</f>
        <v>0</v>
      </c>
      <c r="V671" s="9">
        <f>ROUND(ROUND(P671, 2)/1.2, 2)</f>
        <v>918.75</v>
      </c>
      <c r="Y671" s="9">
        <f t="shared" si="22"/>
        <v>0</v>
      </c>
      <c r="AD671" s="4" t="s">
        <v>2154</v>
      </c>
      <c r="AE671" s="4" t="s">
        <v>2155</v>
      </c>
      <c r="AF671" s="4" t="s">
        <v>2129</v>
      </c>
    </row>
    <row r="672" spans="1:35" ht="36" x14ac:dyDescent="0.3">
      <c r="A672" s="10" t="s">
        <v>2156</v>
      </c>
      <c r="B672" s="10"/>
      <c r="C672" s="30" t="s">
        <v>1200</v>
      </c>
      <c r="D672" s="15"/>
      <c r="E672" s="15"/>
      <c r="F672" s="25" t="s">
        <v>278</v>
      </c>
      <c r="G672" s="26">
        <v>1.2</v>
      </c>
      <c r="H672" s="15"/>
      <c r="I672" s="31">
        <v>0</v>
      </c>
      <c r="J672" s="27">
        <v>16.96</v>
      </c>
      <c r="M672" s="28">
        <f>ROUND(ROUND(J672, 2)*I672, 2)</f>
        <v>0</v>
      </c>
      <c r="P672" s="29">
        <v>16.96</v>
      </c>
      <c r="S672" s="28">
        <f>ROUND(ROUND(P672, 2)*I672, 2)</f>
        <v>0</v>
      </c>
      <c r="V672" s="9">
        <f>ROUND(ROUND(P672, 2)/1.2, 2)</f>
        <v>14.13</v>
      </c>
      <c r="Y672" s="9">
        <f t="shared" si="22"/>
        <v>0</v>
      </c>
      <c r="AD672" s="4" t="s">
        <v>2157</v>
      </c>
      <c r="AE672" s="4" t="s">
        <v>2158</v>
      </c>
      <c r="AF672" s="4" t="s">
        <v>1203</v>
      </c>
    </row>
    <row r="673" spans="1:35" ht="36" x14ac:dyDescent="0.3">
      <c r="A673" s="10" t="s">
        <v>2159</v>
      </c>
      <c r="B673" s="10"/>
      <c r="C673" s="24" t="s">
        <v>1157</v>
      </c>
      <c r="D673" s="15"/>
      <c r="E673" s="15"/>
      <c r="F673" s="25" t="s">
        <v>278</v>
      </c>
      <c r="G673" s="26">
        <v>0.25</v>
      </c>
      <c r="H673" s="15"/>
      <c r="I673" s="31">
        <v>0</v>
      </c>
      <c r="J673" s="27">
        <v>40.270000000000003</v>
      </c>
      <c r="M673" s="28">
        <f>ROUND(ROUND(J673, 2)*I673, 2)</f>
        <v>0</v>
      </c>
      <c r="P673" s="29">
        <v>40.270000000000003</v>
      </c>
      <c r="S673" s="28">
        <f>ROUND(ROUND(P673, 2)*I673, 2)</f>
        <v>0</v>
      </c>
      <c r="V673" s="9">
        <f>ROUND(ROUND(P673, 2)/1.2, 2)</f>
        <v>33.56</v>
      </c>
      <c r="Y673" s="9">
        <f t="shared" si="22"/>
        <v>0</v>
      </c>
      <c r="AD673" s="4" t="s">
        <v>2160</v>
      </c>
      <c r="AE673" s="4" t="s">
        <v>2161</v>
      </c>
      <c r="AF673" s="4" t="s">
        <v>1160</v>
      </c>
    </row>
    <row r="674" spans="1:35" ht="36" x14ac:dyDescent="0.3">
      <c r="A674" s="10" t="s">
        <v>2162</v>
      </c>
      <c r="B674" s="10"/>
      <c r="C674" s="24" t="s">
        <v>543</v>
      </c>
      <c r="D674" s="15"/>
      <c r="E674" s="15"/>
      <c r="F674" s="25" t="s">
        <v>278</v>
      </c>
      <c r="G674" s="26">
        <v>0.15</v>
      </c>
      <c r="H674" s="15"/>
      <c r="I674" s="26">
        <v>0</v>
      </c>
      <c r="J674" s="27">
        <v>68.400000000000006</v>
      </c>
      <c r="M674" s="28">
        <f>ROUND(ROUND(J674, 2)*I674, 2)</f>
        <v>0</v>
      </c>
      <c r="P674" s="29">
        <v>68.400000000000006</v>
      </c>
      <c r="S674" s="28">
        <f>ROUND(ROUND(P674, 2)*I674, 2)</f>
        <v>0</v>
      </c>
      <c r="V674" s="9">
        <f>ROUND(ROUND(P674, 2)/1.2, 2)</f>
        <v>57</v>
      </c>
      <c r="Y674" s="9">
        <f t="shared" si="22"/>
        <v>0</v>
      </c>
      <c r="AD674" s="4" t="s">
        <v>2163</v>
      </c>
      <c r="AE674" s="4" t="s">
        <v>2164</v>
      </c>
      <c r="AF674" s="4" t="s">
        <v>546</v>
      </c>
    </row>
    <row r="675" spans="1:35" ht="54" x14ac:dyDescent="0.3">
      <c r="A675" s="10" t="s">
        <v>2165</v>
      </c>
      <c r="B675" s="10" t="s">
        <v>2121</v>
      </c>
      <c r="C675" s="14" t="s">
        <v>2122</v>
      </c>
      <c r="D675" s="15"/>
      <c r="E675" s="15"/>
      <c r="F675" s="15" t="s">
        <v>62</v>
      </c>
      <c r="G675" s="16">
        <v>1</v>
      </c>
      <c r="H675" s="15"/>
      <c r="I675" s="16">
        <v>0</v>
      </c>
      <c r="J675" s="17">
        <v>0</v>
      </c>
      <c r="K675" s="18">
        <v>2983</v>
      </c>
      <c r="L675" s="17">
        <f>J675+ROUND(K675, 2)</f>
        <v>2983</v>
      </c>
      <c r="M675" s="17">
        <v>0</v>
      </c>
      <c r="N675" s="17">
        <v>0</v>
      </c>
      <c r="O675" s="17">
        <f>M675+N675</f>
        <v>0</v>
      </c>
      <c r="P675" s="17">
        <v>1253.43</v>
      </c>
      <c r="Q675" s="19">
        <v>2983</v>
      </c>
      <c r="R675" s="17">
        <f>P675+ROUND(Q675, 2)</f>
        <v>4236.43</v>
      </c>
      <c r="S675" s="17">
        <v>0</v>
      </c>
      <c r="T675" s="17">
        <v>0</v>
      </c>
      <c r="U675" s="17">
        <f>S675+T675</f>
        <v>0</v>
      </c>
      <c r="V675" s="9">
        <f>ROUND(P675 / 1.2, 2)</f>
        <v>1044.53</v>
      </c>
      <c r="W675" s="9">
        <f>ROUND(Q675 / 1.2, 2)</f>
        <v>2485.83</v>
      </c>
      <c r="X675" s="9">
        <f>ROUND(R675 / 1.2, 2)</f>
        <v>3530.36</v>
      </c>
      <c r="Y675" s="9">
        <f t="shared" si="22"/>
        <v>0</v>
      </c>
      <c r="Z675" s="9">
        <f>ROUND(T675 / 1.2, 2)</f>
        <v>0</v>
      </c>
      <c r="AA675" s="9">
        <f>Y675+Z675</f>
        <v>0</v>
      </c>
      <c r="AD675" s="4">
        <v>334080730</v>
      </c>
      <c r="AE675" s="4">
        <v>27245630</v>
      </c>
      <c r="AG675" s="4" t="s">
        <v>2123</v>
      </c>
      <c r="AH675" s="4" t="s">
        <v>2124</v>
      </c>
      <c r="AI675" s="4" t="s">
        <v>250</v>
      </c>
    </row>
    <row r="676" spans="1:35" ht="36" x14ac:dyDescent="0.3">
      <c r="A676" s="10" t="s">
        <v>2166</v>
      </c>
      <c r="B676" s="10"/>
      <c r="C676" s="24" t="s">
        <v>543</v>
      </c>
      <c r="D676" s="15"/>
      <c r="E676" s="15"/>
      <c r="F676" s="25" t="s">
        <v>278</v>
      </c>
      <c r="G676" s="26">
        <v>0.15</v>
      </c>
      <c r="H676" s="15"/>
      <c r="I676" s="26">
        <v>0</v>
      </c>
      <c r="J676" s="27">
        <v>68.400000000000006</v>
      </c>
      <c r="M676" s="28">
        <f>ROUND(ROUND(J676, 2)*I676, 2)</f>
        <v>0</v>
      </c>
      <c r="P676" s="29">
        <v>68.400000000000006</v>
      </c>
      <c r="S676" s="28">
        <f>ROUND(ROUND(P676, 2)*I676, 2)</f>
        <v>0</v>
      </c>
      <c r="V676" s="9">
        <f>ROUND(ROUND(P676, 2)/1.2, 2)</f>
        <v>57</v>
      </c>
      <c r="Y676" s="9">
        <f t="shared" si="22"/>
        <v>0</v>
      </c>
      <c r="AD676" s="4" t="s">
        <v>2167</v>
      </c>
      <c r="AE676" s="4" t="s">
        <v>2168</v>
      </c>
      <c r="AF676" s="4" t="s">
        <v>546</v>
      </c>
    </row>
    <row r="677" spans="1:35" ht="36" x14ac:dyDescent="0.3">
      <c r="A677" s="10" t="s">
        <v>2169</v>
      </c>
      <c r="B677" s="10"/>
      <c r="C677" s="24" t="s">
        <v>1157</v>
      </c>
      <c r="D677" s="15"/>
      <c r="E677" s="15"/>
      <c r="F677" s="25" t="s">
        <v>278</v>
      </c>
      <c r="G677" s="26">
        <v>0.25</v>
      </c>
      <c r="H677" s="15"/>
      <c r="I677" s="31">
        <v>0</v>
      </c>
      <c r="J677" s="27">
        <v>40.270000000000003</v>
      </c>
      <c r="M677" s="28">
        <f>ROUND(ROUND(J677, 2)*I677, 2)</f>
        <v>0</v>
      </c>
      <c r="P677" s="29">
        <v>40.270000000000003</v>
      </c>
      <c r="S677" s="28">
        <f>ROUND(ROUND(P677, 2)*I677, 2)</f>
        <v>0</v>
      </c>
      <c r="V677" s="9">
        <f>ROUND(ROUND(P677, 2)/1.2, 2)</f>
        <v>33.56</v>
      </c>
      <c r="Y677" s="9">
        <f t="shared" si="22"/>
        <v>0</v>
      </c>
      <c r="AD677" s="4" t="s">
        <v>2170</v>
      </c>
      <c r="AE677" s="4" t="s">
        <v>2171</v>
      </c>
      <c r="AF677" s="4" t="s">
        <v>1160</v>
      </c>
    </row>
    <row r="678" spans="1:35" ht="36" x14ac:dyDescent="0.3">
      <c r="A678" s="10" t="s">
        <v>2172</v>
      </c>
      <c r="B678" s="10"/>
      <c r="C678" s="30" t="s">
        <v>1200</v>
      </c>
      <c r="D678" s="15"/>
      <c r="E678" s="15"/>
      <c r="F678" s="25" t="s">
        <v>278</v>
      </c>
      <c r="G678" s="26">
        <v>1.2</v>
      </c>
      <c r="H678" s="15"/>
      <c r="I678" s="31">
        <v>0</v>
      </c>
      <c r="J678" s="27">
        <v>16.96</v>
      </c>
      <c r="M678" s="28">
        <f>ROUND(ROUND(J678, 2)*I678, 2)</f>
        <v>0</v>
      </c>
      <c r="P678" s="29">
        <v>16.96</v>
      </c>
      <c r="S678" s="28">
        <f>ROUND(ROUND(P678, 2)*I678, 2)</f>
        <v>0</v>
      </c>
      <c r="V678" s="9">
        <f>ROUND(ROUND(P678, 2)/1.2, 2)</f>
        <v>14.13</v>
      </c>
      <c r="Y678" s="9">
        <f t="shared" si="22"/>
        <v>0</v>
      </c>
      <c r="AD678" s="4" t="s">
        <v>2173</v>
      </c>
      <c r="AE678" s="4" t="s">
        <v>2174</v>
      </c>
      <c r="AF678" s="4" t="s">
        <v>1203</v>
      </c>
    </row>
    <row r="679" spans="1:35" ht="36" x14ac:dyDescent="0.3">
      <c r="A679" s="10" t="s">
        <v>2175</v>
      </c>
      <c r="B679" s="10"/>
      <c r="C679" s="30" t="s">
        <v>2126</v>
      </c>
      <c r="D679" s="15"/>
      <c r="E679" s="15"/>
      <c r="F679" s="25" t="s">
        <v>62</v>
      </c>
      <c r="G679" s="26">
        <v>1.1000000000000001</v>
      </c>
      <c r="H679" s="15"/>
      <c r="I679" s="31">
        <v>0</v>
      </c>
      <c r="J679" s="27">
        <v>2038.05</v>
      </c>
      <c r="M679" s="28">
        <f>ROUND(ROUND(J679, 2)*I679, 2)</f>
        <v>0</v>
      </c>
      <c r="P679" s="29">
        <v>1102.5</v>
      </c>
      <c r="S679" s="28">
        <f>ROUND(ROUND(P679, 2)*I679, 2)</f>
        <v>0</v>
      </c>
      <c r="V679" s="9">
        <f>ROUND(ROUND(P679, 2)/1.2, 2)</f>
        <v>918.75</v>
      </c>
      <c r="Y679" s="9">
        <f t="shared" si="22"/>
        <v>0</v>
      </c>
      <c r="AD679" s="4" t="s">
        <v>2176</v>
      </c>
      <c r="AE679" s="4" t="s">
        <v>2177</v>
      </c>
      <c r="AF679" s="4" t="s">
        <v>2129</v>
      </c>
    </row>
    <row r="680" spans="1:35" ht="54" x14ac:dyDescent="0.3">
      <c r="A680" s="10" t="s">
        <v>2178</v>
      </c>
      <c r="B680" s="10" t="s">
        <v>2121</v>
      </c>
      <c r="C680" s="14" t="s">
        <v>2122</v>
      </c>
      <c r="D680" s="15"/>
      <c r="E680" s="15" t="s">
        <v>2179</v>
      </c>
      <c r="F680" s="15" t="s">
        <v>62</v>
      </c>
      <c r="G680" s="16">
        <v>1</v>
      </c>
      <c r="H680" s="15"/>
      <c r="I680" s="16">
        <v>320.39999999999998</v>
      </c>
      <c r="J680" s="17">
        <v>2281.54</v>
      </c>
      <c r="K680" s="18">
        <v>2983</v>
      </c>
      <c r="L680" s="17">
        <f>J680+ROUND(K680, 2)</f>
        <v>5264.54</v>
      </c>
      <c r="M680" s="17">
        <v>731005.42</v>
      </c>
      <c r="N680" s="17">
        <v>955753.2</v>
      </c>
      <c r="O680" s="17">
        <f>M680+N680</f>
        <v>1686758.62</v>
      </c>
      <c r="P680" s="17">
        <v>1252.4100000000001</v>
      </c>
      <c r="Q680" s="19">
        <v>4474.5</v>
      </c>
      <c r="R680" s="17">
        <f>P680+ROUND(Q680, 2)</f>
        <v>5726.91</v>
      </c>
      <c r="S680" s="17">
        <v>401272.16</v>
      </c>
      <c r="T680" s="17">
        <v>1433629.8</v>
      </c>
      <c r="U680" s="17">
        <f>S680+T680</f>
        <v>1834901.96</v>
      </c>
      <c r="V680" s="9">
        <f>ROUND(P680 / 1.2, 2)</f>
        <v>1043.68</v>
      </c>
      <c r="W680" s="9">
        <f>ROUND(Q680 / 1.2, 2)</f>
        <v>3728.75</v>
      </c>
      <c r="X680" s="9">
        <f>ROUND(R680 / 1.2, 2)</f>
        <v>4772.43</v>
      </c>
      <c r="Y680" s="9">
        <f t="shared" si="22"/>
        <v>334393.46999999997</v>
      </c>
      <c r="Z680" s="9">
        <f>ROUND(T680 / 1.2, 2)</f>
        <v>1194691.5</v>
      </c>
      <c r="AA680" s="9">
        <f>Y680+Z680</f>
        <v>1529084.97</v>
      </c>
      <c r="AD680" s="4">
        <v>334080731</v>
      </c>
      <c r="AE680" s="4">
        <v>27245755</v>
      </c>
      <c r="AG680" s="4" t="s">
        <v>2123</v>
      </c>
      <c r="AH680" s="4" t="s">
        <v>2124</v>
      </c>
      <c r="AI680" s="4" t="s">
        <v>250</v>
      </c>
    </row>
    <row r="681" spans="1:35" ht="72" x14ac:dyDescent="0.3">
      <c r="A681" s="10" t="s">
        <v>2180</v>
      </c>
      <c r="B681" s="10"/>
      <c r="C681" s="30" t="s">
        <v>2126</v>
      </c>
      <c r="D681" s="15"/>
      <c r="E681" s="15" t="s">
        <v>2181</v>
      </c>
      <c r="F681" s="25" t="s">
        <v>62</v>
      </c>
      <c r="G681" s="26">
        <v>1.1000000000000001</v>
      </c>
      <c r="H681" s="15"/>
      <c r="I681" s="31">
        <v>352.44</v>
      </c>
      <c r="J681" s="27">
        <v>2038.06</v>
      </c>
      <c r="M681" s="28">
        <f>ROUND(ROUND(J681, 2)*I681, 2)</f>
        <v>718293.87</v>
      </c>
      <c r="P681" s="29">
        <v>1102.5</v>
      </c>
      <c r="S681" s="28">
        <f>ROUND(ROUND(P681, 2)*I681, 2)</f>
        <v>388565.1</v>
      </c>
      <c r="V681" s="9">
        <f>ROUND(ROUND(P681, 2)/1.2, 2)</f>
        <v>918.75</v>
      </c>
      <c r="Y681" s="9">
        <f t="shared" si="22"/>
        <v>323804.25</v>
      </c>
      <c r="AD681" s="4" t="s">
        <v>2182</v>
      </c>
      <c r="AE681" s="4" t="s">
        <v>2183</v>
      </c>
      <c r="AF681" s="4" t="s">
        <v>2129</v>
      </c>
    </row>
    <row r="682" spans="1:35" ht="36" x14ac:dyDescent="0.3">
      <c r="A682" s="10" t="s">
        <v>2184</v>
      </c>
      <c r="B682" s="10"/>
      <c r="C682" s="30" t="s">
        <v>1200</v>
      </c>
      <c r="D682" s="15"/>
      <c r="E682" s="15"/>
      <c r="F682" s="25" t="s">
        <v>278</v>
      </c>
      <c r="G682" s="26">
        <v>1.2</v>
      </c>
      <c r="H682" s="15"/>
      <c r="I682" s="31">
        <v>384.48</v>
      </c>
      <c r="J682" s="27">
        <v>16.12</v>
      </c>
      <c r="M682" s="28">
        <f>ROUND(ROUND(J682, 2)*I682, 2)</f>
        <v>6197.82</v>
      </c>
      <c r="P682" s="29">
        <v>16.11</v>
      </c>
      <c r="S682" s="28">
        <f>ROUND(ROUND(P682, 2)*I682, 2)</f>
        <v>6193.97</v>
      </c>
      <c r="V682" s="9">
        <f>ROUND(ROUND(P682, 2)/1.2, 2)</f>
        <v>13.43</v>
      </c>
      <c r="Y682" s="9">
        <f t="shared" si="22"/>
        <v>5161.6400000000003</v>
      </c>
      <c r="AD682" s="4" t="s">
        <v>2185</v>
      </c>
      <c r="AE682" s="4" t="s">
        <v>2186</v>
      </c>
      <c r="AF682" s="4" t="s">
        <v>1203</v>
      </c>
    </row>
    <row r="683" spans="1:35" ht="36" x14ac:dyDescent="0.3">
      <c r="A683" s="10" t="s">
        <v>2187</v>
      </c>
      <c r="B683" s="10"/>
      <c r="C683" s="24" t="s">
        <v>1157</v>
      </c>
      <c r="D683" s="15"/>
      <c r="E683" s="15"/>
      <c r="F683" s="25" t="s">
        <v>278</v>
      </c>
      <c r="G683" s="26">
        <v>0.25</v>
      </c>
      <c r="H683" s="15"/>
      <c r="I683" s="31">
        <v>80.099999999999994</v>
      </c>
      <c r="J683" s="27">
        <v>40.270000000000003</v>
      </c>
      <c r="M683" s="28">
        <f>ROUND(ROUND(J683, 2)*I683, 2)</f>
        <v>3225.63</v>
      </c>
      <c r="P683" s="29">
        <v>40.270000000000003</v>
      </c>
      <c r="S683" s="28">
        <f>ROUND(ROUND(P683, 2)*I683, 2)</f>
        <v>3225.63</v>
      </c>
      <c r="V683" s="9">
        <f>ROUND(ROUND(P683, 2)/1.2, 2)</f>
        <v>33.56</v>
      </c>
      <c r="Y683" s="9">
        <f t="shared" si="22"/>
        <v>2688.03</v>
      </c>
      <c r="AD683" s="4" t="s">
        <v>2188</v>
      </c>
      <c r="AE683" s="4" t="s">
        <v>2189</v>
      </c>
      <c r="AF683" s="4" t="s">
        <v>1160</v>
      </c>
    </row>
    <row r="684" spans="1:35" ht="36" x14ac:dyDescent="0.3">
      <c r="A684" s="10" t="s">
        <v>2190</v>
      </c>
      <c r="B684" s="10"/>
      <c r="C684" s="24" t="s">
        <v>543</v>
      </c>
      <c r="D684" s="15"/>
      <c r="E684" s="15"/>
      <c r="F684" s="25" t="s">
        <v>278</v>
      </c>
      <c r="G684" s="26">
        <v>0.15</v>
      </c>
      <c r="H684" s="15"/>
      <c r="I684" s="26">
        <v>48.06</v>
      </c>
      <c r="J684" s="27">
        <v>68.400000000000006</v>
      </c>
      <c r="M684" s="28">
        <f>ROUND(ROUND(J684, 2)*I684, 2)</f>
        <v>3287.3</v>
      </c>
      <c r="P684" s="29">
        <v>68.400000000000006</v>
      </c>
      <c r="S684" s="28">
        <f>ROUND(ROUND(P684, 2)*I684, 2)</f>
        <v>3287.3</v>
      </c>
      <c r="V684" s="9">
        <f>ROUND(ROUND(P684, 2)/1.2, 2)</f>
        <v>57</v>
      </c>
      <c r="Y684" s="9">
        <f t="shared" si="22"/>
        <v>2739.42</v>
      </c>
      <c r="AD684" s="4" t="s">
        <v>2191</v>
      </c>
      <c r="AE684" s="4" t="s">
        <v>2192</v>
      </c>
      <c r="AF684" s="4" t="s">
        <v>546</v>
      </c>
    </row>
    <row r="685" spans="1:35" ht="54" x14ac:dyDescent="0.3">
      <c r="A685" s="10" t="s">
        <v>2193</v>
      </c>
      <c r="B685" s="10" t="s">
        <v>2121</v>
      </c>
      <c r="C685" s="14" t="s">
        <v>2122</v>
      </c>
      <c r="D685" s="15"/>
      <c r="E685" s="15" t="s">
        <v>2194</v>
      </c>
      <c r="F685" s="15" t="s">
        <v>62</v>
      </c>
      <c r="G685" s="16">
        <v>1</v>
      </c>
      <c r="H685" s="15"/>
      <c r="I685" s="16">
        <v>249.1</v>
      </c>
      <c r="J685" s="17">
        <v>2281.54</v>
      </c>
      <c r="K685" s="18">
        <v>2983</v>
      </c>
      <c r="L685" s="17">
        <f>J685+ROUND(K685, 2)</f>
        <v>5264.54</v>
      </c>
      <c r="M685" s="17">
        <v>568331.61</v>
      </c>
      <c r="N685" s="17">
        <v>743065.3</v>
      </c>
      <c r="O685" s="17">
        <f>M685+N685</f>
        <v>1311396.9100000001</v>
      </c>
      <c r="P685" s="17">
        <v>1252.4100000000001</v>
      </c>
      <c r="Q685" s="19">
        <v>4474.5</v>
      </c>
      <c r="R685" s="17">
        <f>P685+ROUND(Q685, 2)</f>
        <v>5726.91</v>
      </c>
      <c r="S685" s="17">
        <v>311975.33</v>
      </c>
      <c r="T685" s="17">
        <v>1114597.95</v>
      </c>
      <c r="U685" s="17">
        <f>S685+T685</f>
        <v>1426573.28</v>
      </c>
      <c r="V685" s="9">
        <f>ROUND(P685 / 1.2, 2)</f>
        <v>1043.68</v>
      </c>
      <c r="W685" s="9">
        <f>ROUND(Q685 / 1.2, 2)</f>
        <v>3728.75</v>
      </c>
      <c r="X685" s="9">
        <f>ROUND(R685 / 1.2, 2)</f>
        <v>4772.43</v>
      </c>
      <c r="Y685" s="9">
        <f t="shared" ref="Y685:Y719" si="23">ROUND(S685 / 1.2, 2)</f>
        <v>259979.44</v>
      </c>
      <c r="Z685" s="9">
        <f>ROUND(T685 / 1.2, 2)</f>
        <v>928831.63</v>
      </c>
      <c r="AA685" s="9">
        <f>Y685+Z685</f>
        <v>1188811.07</v>
      </c>
      <c r="AD685" s="4">
        <v>334080732</v>
      </c>
      <c r="AE685" s="4">
        <v>27245744</v>
      </c>
      <c r="AG685" s="4" t="s">
        <v>2123</v>
      </c>
      <c r="AH685" s="4" t="s">
        <v>2124</v>
      </c>
      <c r="AI685" s="4" t="s">
        <v>250</v>
      </c>
    </row>
    <row r="686" spans="1:35" ht="36" x14ac:dyDescent="0.3">
      <c r="A686" s="10" t="s">
        <v>2195</v>
      </c>
      <c r="B686" s="10"/>
      <c r="C686" s="24" t="s">
        <v>543</v>
      </c>
      <c r="D686" s="15"/>
      <c r="E686" s="15"/>
      <c r="F686" s="25" t="s">
        <v>278</v>
      </c>
      <c r="G686" s="26">
        <v>0.15</v>
      </c>
      <c r="H686" s="15"/>
      <c r="I686" s="26">
        <v>37.365000000000002</v>
      </c>
      <c r="J686" s="27">
        <v>68.400000000000006</v>
      </c>
      <c r="M686" s="28">
        <f>ROUND(ROUND(J686, 2)*I686, 2)</f>
        <v>2555.77</v>
      </c>
      <c r="P686" s="29">
        <v>68.400000000000006</v>
      </c>
      <c r="S686" s="28">
        <f>ROUND(ROUND(P686, 2)*I686, 2)</f>
        <v>2555.77</v>
      </c>
      <c r="V686" s="9">
        <f>ROUND(ROUND(P686, 2)/1.2, 2)</f>
        <v>57</v>
      </c>
      <c r="Y686" s="9">
        <f t="shared" si="23"/>
        <v>2129.81</v>
      </c>
      <c r="AD686" s="4" t="s">
        <v>2196</v>
      </c>
      <c r="AE686" s="4" t="s">
        <v>2197</v>
      </c>
      <c r="AF686" s="4" t="s">
        <v>546</v>
      </c>
    </row>
    <row r="687" spans="1:35" ht="36" x14ac:dyDescent="0.3">
      <c r="A687" s="10" t="s">
        <v>2198</v>
      </c>
      <c r="B687" s="10"/>
      <c r="C687" s="24" t="s">
        <v>1157</v>
      </c>
      <c r="D687" s="15"/>
      <c r="E687" s="15"/>
      <c r="F687" s="25" t="s">
        <v>278</v>
      </c>
      <c r="G687" s="26">
        <v>0.25</v>
      </c>
      <c r="H687" s="15"/>
      <c r="I687" s="31">
        <v>62.274999999999999</v>
      </c>
      <c r="J687" s="27">
        <v>40.270000000000003</v>
      </c>
      <c r="M687" s="28">
        <f>ROUND(ROUND(J687, 2)*I687, 2)</f>
        <v>2507.81</v>
      </c>
      <c r="P687" s="29">
        <v>40.270000000000003</v>
      </c>
      <c r="S687" s="28">
        <f>ROUND(ROUND(P687, 2)*I687, 2)</f>
        <v>2507.81</v>
      </c>
      <c r="V687" s="9">
        <f>ROUND(ROUND(P687, 2)/1.2, 2)</f>
        <v>33.56</v>
      </c>
      <c r="Y687" s="9">
        <f t="shared" si="23"/>
        <v>2089.84</v>
      </c>
      <c r="AD687" s="4" t="s">
        <v>2199</v>
      </c>
      <c r="AE687" s="4" t="s">
        <v>2200</v>
      </c>
      <c r="AF687" s="4" t="s">
        <v>1160</v>
      </c>
    </row>
    <row r="688" spans="1:35" ht="36" x14ac:dyDescent="0.3">
      <c r="A688" s="10" t="s">
        <v>2201</v>
      </c>
      <c r="B688" s="10"/>
      <c r="C688" s="30" t="s">
        <v>1200</v>
      </c>
      <c r="D688" s="15"/>
      <c r="E688" s="15"/>
      <c r="F688" s="25" t="s">
        <v>278</v>
      </c>
      <c r="G688" s="26">
        <v>1.2</v>
      </c>
      <c r="H688" s="15"/>
      <c r="I688" s="31">
        <v>298.92</v>
      </c>
      <c r="J688" s="27">
        <v>16.12</v>
      </c>
      <c r="M688" s="28">
        <f>ROUND(ROUND(J688, 2)*I688, 2)</f>
        <v>4818.59</v>
      </c>
      <c r="P688" s="29">
        <v>16.11</v>
      </c>
      <c r="S688" s="28">
        <f>ROUND(ROUND(P688, 2)*I688, 2)</f>
        <v>4815.6000000000004</v>
      </c>
      <c r="V688" s="9">
        <f>ROUND(ROUND(P688, 2)/1.2, 2)</f>
        <v>13.43</v>
      </c>
      <c r="Y688" s="9">
        <f t="shared" si="23"/>
        <v>4013</v>
      </c>
      <c r="AD688" s="4" t="s">
        <v>2202</v>
      </c>
      <c r="AE688" s="4" t="s">
        <v>2203</v>
      </c>
      <c r="AF688" s="4" t="s">
        <v>1203</v>
      </c>
    </row>
    <row r="689" spans="1:35" ht="72" x14ac:dyDescent="0.3">
      <c r="A689" s="10" t="s">
        <v>2204</v>
      </c>
      <c r="B689" s="10"/>
      <c r="C689" s="30" t="s">
        <v>2126</v>
      </c>
      <c r="D689" s="15"/>
      <c r="E689" s="15" t="s">
        <v>2205</v>
      </c>
      <c r="F689" s="25" t="s">
        <v>62</v>
      </c>
      <c r="G689" s="26">
        <v>1.1000000000000001</v>
      </c>
      <c r="H689" s="15"/>
      <c r="I689" s="31">
        <v>274.01</v>
      </c>
      <c r="J689" s="27">
        <v>2038.06</v>
      </c>
      <c r="M689" s="28">
        <f>ROUND(ROUND(J689, 2)*I689, 2)</f>
        <v>558448.81999999995</v>
      </c>
      <c r="P689" s="29">
        <v>1102.5</v>
      </c>
      <c r="S689" s="28">
        <f>ROUND(ROUND(P689, 2)*I689, 2)</f>
        <v>302096.03000000003</v>
      </c>
      <c r="V689" s="9">
        <f>ROUND(ROUND(P689, 2)/1.2, 2)</f>
        <v>918.75</v>
      </c>
      <c r="Y689" s="9">
        <f t="shared" si="23"/>
        <v>251746.69</v>
      </c>
      <c r="AD689" s="4" t="s">
        <v>2206</v>
      </c>
      <c r="AE689" s="4" t="s">
        <v>2207</v>
      </c>
      <c r="AF689" s="4" t="s">
        <v>2129</v>
      </c>
    </row>
    <row r="690" spans="1:35" ht="54" x14ac:dyDescent="0.3">
      <c r="A690" s="10" t="s">
        <v>2208</v>
      </c>
      <c r="B690" s="10" t="s">
        <v>2121</v>
      </c>
      <c r="C690" s="14" t="s">
        <v>2122</v>
      </c>
      <c r="D690" s="15"/>
      <c r="E690" s="15" t="s">
        <v>2209</v>
      </c>
      <c r="F690" s="15" t="s">
        <v>62</v>
      </c>
      <c r="G690" s="16">
        <v>1</v>
      </c>
      <c r="H690" s="15"/>
      <c r="I690" s="16">
        <v>238.4</v>
      </c>
      <c r="J690" s="17">
        <v>2281.54</v>
      </c>
      <c r="K690" s="18">
        <v>2983</v>
      </c>
      <c r="L690" s="17">
        <f>J690+ROUND(K690, 2)</f>
        <v>5264.54</v>
      </c>
      <c r="M690" s="17">
        <v>543919.14</v>
      </c>
      <c r="N690" s="17">
        <v>711147.2</v>
      </c>
      <c r="O690" s="17">
        <f>M690+N690</f>
        <v>1255066.3399999999</v>
      </c>
      <c r="P690" s="17">
        <v>1252.4100000000001</v>
      </c>
      <c r="Q690" s="19">
        <v>4474.5</v>
      </c>
      <c r="R690" s="17">
        <f>P690+ROUND(Q690, 2)</f>
        <v>5726.91</v>
      </c>
      <c r="S690" s="17">
        <v>298574.53999999998</v>
      </c>
      <c r="T690" s="17">
        <v>1066720.8</v>
      </c>
      <c r="U690" s="17">
        <f>S690+T690</f>
        <v>1365295.34</v>
      </c>
      <c r="V690" s="9">
        <f>ROUND(P690 / 1.2, 2)</f>
        <v>1043.68</v>
      </c>
      <c r="W690" s="9">
        <f>ROUND(Q690 / 1.2, 2)</f>
        <v>3728.75</v>
      </c>
      <c r="X690" s="9">
        <f>ROUND(R690 / 1.2, 2)</f>
        <v>4772.43</v>
      </c>
      <c r="Y690" s="9">
        <f t="shared" si="23"/>
        <v>248812.12</v>
      </c>
      <c r="Z690" s="9">
        <f>ROUND(T690 / 1.2, 2)</f>
        <v>888934</v>
      </c>
      <c r="AA690" s="9">
        <f>Y690+Z690</f>
        <v>1137746.1200000001</v>
      </c>
      <c r="AD690" s="4">
        <v>334080733</v>
      </c>
      <c r="AE690" s="4">
        <v>27245746</v>
      </c>
      <c r="AG690" s="4" t="s">
        <v>2123</v>
      </c>
      <c r="AH690" s="4" t="s">
        <v>2124</v>
      </c>
      <c r="AI690" s="4" t="s">
        <v>250</v>
      </c>
    </row>
    <row r="691" spans="1:35" ht="72" x14ac:dyDescent="0.3">
      <c r="A691" s="10" t="s">
        <v>2210</v>
      </c>
      <c r="B691" s="10"/>
      <c r="C691" s="30" t="s">
        <v>2126</v>
      </c>
      <c r="D691" s="15"/>
      <c r="E691" s="15" t="s">
        <v>1334</v>
      </c>
      <c r="F691" s="25" t="s">
        <v>62</v>
      </c>
      <c r="G691" s="26">
        <v>1.1000000000000001</v>
      </c>
      <c r="H691" s="15"/>
      <c r="I691" s="31">
        <v>262.24</v>
      </c>
      <c r="J691" s="27">
        <v>2038.06</v>
      </c>
      <c r="M691" s="28">
        <f>ROUND(ROUND(J691, 2)*I691, 2)</f>
        <v>534460.85</v>
      </c>
      <c r="P691" s="29">
        <v>1102.5</v>
      </c>
      <c r="S691" s="28">
        <f>ROUND(ROUND(P691, 2)*I691, 2)</f>
        <v>289119.59999999998</v>
      </c>
      <c r="V691" s="9">
        <f>ROUND(ROUND(P691, 2)/1.2, 2)</f>
        <v>918.75</v>
      </c>
      <c r="Y691" s="9">
        <f t="shared" si="23"/>
        <v>240933</v>
      </c>
      <c r="AD691" s="4" t="s">
        <v>2211</v>
      </c>
      <c r="AE691" s="4" t="s">
        <v>2212</v>
      </c>
      <c r="AF691" s="4" t="s">
        <v>2129</v>
      </c>
    </row>
    <row r="692" spans="1:35" ht="36" x14ac:dyDescent="0.3">
      <c r="A692" s="10" t="s">
        <v>2213</v>
      </c>
      <c r="B692" s="10"/>
      <c r="C692" s="30" t="s">
        <v>1200</v>
      </c>
      <c r="D692" s="15"/>
      <c r="E692" s="15"/>
      <c r="F692" s="25" t="s">
        <v>278</v>
      </c>
      <c r="G692" s="26">
        <v>1.2</v>
      </c>
      <c r="H692" s="15"/>
      <c r="I692" s="31">
        <v>286.08</v>
      </c>
      <c r="J692" s="27">
        <v>16.12</v>
      </c>
      <c r="M692" s="28">
        <f>ROUND(ROUND(J692, 2)*I692, 2)</f>
        <v>4611.6099999999997</v>
      </c>
      <c r="P692" s="29">
        <v>16.11</v>
      </c>
      <c r="S692" s="28">
        <f>ROUND(ROUND(P692, 2)*I692, 2)</f>
        <v>4608.75</v>
      </c>
      <c r="V692" s="9">
        <f>ROUND(ROUND(P692, 2)/1.2, 2)</f>
        <v>13.43</v>
      </c>
      <c r="Y692" s="9">
        <f t="shared" si="23"/>
        <v>3840.63</v>
      </c>
      <c r="AD692" s="4" t="s">
        <v>2214</v>
      </c>
      <c r="AE692" s="4" t="s">
        <v>2215</v>
      </c>
      <c r="AF692" s="4" t="s">
        <v>1203</v>
      </c>
    </row>
    <row r="693" spans="1:35" ht="36" x14ac:dyDescent="0.3">
      <c r="A693" s="10" t="s">
        <v>2216</v>
      </c>
      <c r="B693" s="10"/>
      <c r="C693" s="24" t="s">
        <v>1157</v>
      </c>
      <c r="D693" s="15"/>
      <c r="E693" s="15"/>
      <c r="F693" s="25" t="s">
        <v>278</v>
      </c>
      <c r="G693" s="26">
        <v>0.25</v>
      </c>
      <c r="H693" s="15"/>
      <c r="I693" s="31">
        <v>59.6</v>
      </c>
      <c r="J693" s="27">
        <v>40.270000000000003</v>
      </c>
      <c r="M693" s="28">
        <f>ROUND(ROUND(J693, 2)*I693, 2)</f>
        <v>2400.09</v>
      </c>
      <c r="P693" s="29">
        <v>40.270000000000003</v>
      </c>
      <c r="S693" s="28">
        <f>ROUND(ROUND(P693, 2)*I693, 2)</f>
        <v>2400.09</v>
      </c>
      <c r="V693" s="9">
        <f>ROUND(ROUND(P693, 2)/1.2, 2)</f>
        <v>33.56</v>
      </c>
      <c r="Y693" s="9">
        <f t="shared" si="23"/>
        <v>2000.08</v>
      </c>
      <c r="AD693" s="4" t="s">
        <v>2217</v>
      </c>
      <c r="AE693" s="4" t="s">
        <v>2218</v>
      </c>
      <c r="AF693" s="4" t="s">
        <v>1160</v>
      </c>
    </row>
    <row r="694" spans="1:35" ht="36" x14ac:dyDescent="0.3">
      <c r="A694" s="10" t="s">
        <v>2219</v>
      </c>
      <c r="B694" s="10"/>
      <c r="C694" s="24" t="s">
        <v>543</v>
      </c>
      <c r="D694" s="15"/>
      <c r="E694" s="15"/>
      <c r="F694" s="25" t="s">
        <v>278</v>
      </c>
      <c r="G694" s="26">
        <v>0.15</v>
      </c>
      <c r="H694" s="15"/>
      <c r="I694" s="26">
        <v>35.76</v>
      </c>
      <c r="J694" s="27">
        <v>68.400000000000006</v>
      </c>
      <c r="M694" s="28">
        <f>ROUND(ROUND(J694, 2)*I694, 2)</f>
        <v>2445.98</v>
      </c>
      <c r="P694" s="29">
        <v>68.400000000000006</v>
      </c>
      <c r="S694" s="28">
        <f>ROUND(ROUND(P694, 2)*I694, 2)</f>
        <v>2445.98</v>
      </c>
      <c r="V694" s="9">
        <f>ROUND(ROUND(P694, 2)/1.2, 2)</f>
        <v>57</v>
      </c>
      <c r="Y694" s="9">
        <f t="shared" si="23"/>
        <v>2038.32</v>
      </c>
      <c r="AD694" s="4" t="s">
        <v>2220</v>
      </c>
      <c r="AE694" s="4" t="s">
        <v>2221</v>
      </c>
      <c r="AF694" s="4" t="s">
        <v>546</v>
      </c>
    </row>
    <row r="695" spans="1:35" ht="54" x14ac:dyDescent="0.3">
      <c r="A695" s="10" t="s">
        <v>2222</v>
      </c>
      <c r="B695" s="10" t="s">
        <v>2121</v>
      </c>
      <c r="C695" s="14" t="s">
        <v>2122</v>
      </c>
      <c r="D695" s="15"/>
      <c r="E695" s="15" t="s">
        <v>2223</v>
      </c>
      <c r="F695" s="15" t="s">
        <v>62</v>
      </c>
      <c r="G695" s="16">
        <v>1</v>
      </c>
      <c r="H695" s="15"/>
      <c r="I695" s="16">
        <v>6.1</v>
      </c>
      <c r="J695" s="17">
        <v>2281.54</v>
      </c>
      <c r="K695" s="18">
        <v>2983</v>
      </c>
      <c r="L695" s="17">
        <f>J695+ROUND(K695, 2)</f>
        <v>5264.54</v>
      </c>
      <c r="M695" s="17">
        <v>13917.39</v>
      </c>
      <c r="N695" s="17">
        <v>18196.3</v>
      </c>
      <c r="O695" s="17">
        <f>M695+N695</f>
        <v>32113.69</v>
      </c>
      <c r="P695" s="17">
        <v>1252.4100000000001</v>
      </c>
      <c r="Q695" s="19">
        <v>4474.5</v>
      </c>
      <c r="R695" s="17">
        <f>P695+ROUND(Q695, 2)</f>
        <v>5726.91</v>
      </c>
      <c r="S695" s="17">
        <v>7639.7</v>
      </c>
      <c r="T695" s="17">
        <v>27294.45</v>
      </c>
      <c r="U695" s="17">
        <f>S695+T695</f>
        <v>34934.15</v>
      </c>
      <c r="V695" s="9">
        <f>ROUND(P695 / 1.2, 2)</f>
        <v>1043.68</v>
      </c>
      <c r="W695" s="9">
        <f>ROUND(Q695 / 1.2, 2)</f>
        <v>3728.75</v>
      </c>
      <c r="X695" s="9">
        <f>ROUND(R695 / 1.2, 2)</f>
        <v>4772.43</v>
      </c>
      <c r="Y695" s="9">
        <f t="shared" si="23"/>
        <v>6366.42</v>
      </c>
      <c r="Z695" s="9">
        <f>ROUND(T695 / 1.2, 2)</f>
        <v>22745.38</v>
      </c>
      <c r="AA695" s="9">
        <f>Y695+Z695</f>
        <v>29111.800000000003</v>
      </c>
      <c r="AD695" s="4">
        <v>334080734</v>
      </c>
      <c r="AE695" s="4">
        <v>27245753</v>
      </c>
      <c r="AG695" s="4" t="s">
        <v>2123</v>
      </c>
      <c r="AH695" s="4" t="s">
        <v>2124</v>
      </c>
      <c r="AI695" s="4" t="s">
        <v>250</v>
      </c>
    </row>
    <row r="696" spans="1:35" ht="36" x14ac:dyDescent="0.3">
      <c r="A696" s="10" t="s">
        <v>2224</v>
      </c>
      <c r="B696" s="10"/>
      <c r="C696" s="24" t="s">
        <v>543</v>
      </c>
      <c r="D696" s="15"/>
      <c r="E696" s="15"/>
      <c r="F696" s="25" t="s">
        <v>278</v>
      </c>
      <c r="G696" s="26">
        <v>0.15</v>
      </c>
      <c r="H696" s="15"/>
      <c r="I696" s="26">
        <v>0.91500000000000004</v>
      </c>
      <c r="J696" s="27">
        <v>68.400000000000006</v>
      </c>
      <c r="M696" s="28">
        <f>ROUND(ROUND(J696, 2)*I696, 2)</f>
        <v>62.59</v>
      </c>
      <c r="P696" s="29">
        <v>68.400000000000006</v>
      </c>
      <c r="S696" s="28">
        <f>ROUND(ROUND(P696, 2)*I696, 2)</f>
        <v>62.59</v>
      </c>
      <c r="V696" s="9">
        <f>ROUND(ROUND(P696, 2)/1.2, 2)</f>
        <v>57</v>
      </c>
      <c r="Y696" s="9">
        <f t="shared" si="23"/>
        <v>52.16</v>
      </c>
      <c r="AD696" s="4" t="s">
        <v>2225</v>
      </c>
      <c r="AE696" s="4" t="s">
        <v>2226</v>
      </c>
      <c r="AF696" s="4" t="s">
        <v>546</v>
      </c>
    </row>
    <row r="697" spans="1:35" ht="36" x14ac:dyDescent="0.3">
      <c r="A697" s="10" t="s">
        <v>2227</v>
      </c>
      <c r="B697" s="10"/>
      <c r="C697" s="24" t="s">
        <v>1157</v>
      </c>
      <c r="D697" s="15"/>
      <c r="E697" s="15"/>
      <c r="F697" s="25" t="s">
        <v>278</v>
      </c>
      <c r="G697" s="26">
        <v>0.25</v>
      </c>
      <c r="H697" s="15"/>
      <c r="I697" s="31">
        <v>1.5249999999999999</v>
      </c>
      <c r="J697" s="27">
        <v>40.270000000000003</v>
      </c>
      <c r="M697" s="28">
        <f>ROUND(ROUND(J697, 2)*I697, 2)</f>
        <v>61.41</v>
      </c>
      <c r="P697" s="29">
        <v>40.270000000000003</v>
      </c>
      <c r="S697" s="28">
        <f>ROUND(ROUND(P697, 2)*I697, 2)</f>
        <v>61.41</v>
      </c>
      <c r="V697" s="9">
        <f>ROUND(ROUND(P697, 2)/1.2, 2)</f>
        <v>33.56</v>
      </c>
      <c r="Y697" s="9">
        <f t="shared" si="23"/>
        <v>51.18</v>
      </c>
      <c r="AD697" s="4" t="s">
        <v>2228</v>
      </c>
      <c r="AE697" s="4" t="s">
        <v>2229</v>
      </c>
      <c r="AF697" s="4" t="s">
        <v>1160</v>
      </c>
    </row>
    <row r="698" spans="1:35" ht="36" x14ac:dyDescent="0.3">
      <c r="A698" s="10" t="s">
        <v>2230</v>
      </c>
      <c r="B698" s="10"/>
      <c r="C698" s="30" t="s">
        <v>1200</v>
      </c>
      <c r="D698" s="15"/>
      <c r="E698" s="15"/>
      <c r="F698" s="25" t="s">
        <v>278</v>
      </c>
      <c r="G698" s="26">
        <v>1.2</v>
      </c>
      <c r="H698" s="15"/>
      <c r="I698" s="31">
        <v>7.32</v>
      </c>
      <c r="J698" s="27">
        <v>16.12</v>
      </c>
      <c r="M698" s="28">
        <f>ROUND(ROUND(J698, 2)*I698, 2)</f>
        <v>118</v>
      </c>
      <c r="P698" s="29">
        <v>16.11</v>
      </c>
      <c r="S698" s="28">
        <f>ROUND(ROUND(P698, 2)*I698, 2)</f>
        <v>117.93</v>
      </c>
      <c r="V698" s="9">
        <f>ROUND(ROUND(P698, 2)/1.2, 2)</f>
        <v>13.43</v>
      </c>
      <c r="Y698" s="9">
        <f t="shared" si="23"/>
        <v>98.28</v>
      </c>
      <c r="AD698" s="4" t="s">
        <v>2231</v>
      </c>
      <c r="AE698" s="4" t="s">
        <v>2232</v>
      </c>
      <c r="AF698" s="4" t="s">
        <v>1203</v>
      </c>
    </row>
    <row r="699" spans="1:35" ht="36" x14ac:dyDescent="0.3">
      <c r="A699" s="10" t="s">
        <v>2233</v>
      </c>
      <c r="B699" s="10"/>
      <c r="C699" s="30" t="s">
        <v>2126</v>
      </c>
      <c r="D699" s="15"/>
      <c r="E699" s="15"/>
      <c r="F699" s="25" t="s">
        <v>62</v>
      </c>
      <c r="G699" s="26">
        <v>1.1000000000000001</v>
      </c>
      <c r="H699" s="15"/>
      <c r="I699" s="31">
        <v>6.71</v>
      </c>
      <c r="J699" s="27">
        <v>2038.06</v>
      </c>
      <c r="M699" s="28">
        <f>ROUND(ROUND(J699, 2)*I699, 2)</f>
        <v>13675.38</v>
      </c>
      <c r="P699" s="29">
        <v>1102.5</v>
      </c>
      <c r="S699" s="28">
        <f>ROUND(ROUND(P699, 2)*I699, 2)</f>
        <v>7397.78</v>
      </c>
      <c r="V699" s="9">
        <f>ROUND(ROUND(P699, 2)/1.2, 2)</f>
        <v>918.75</v>
      </c>
      <c r="Y699" s="9">
        <f t="shared" si="23"/>
        <v>6164.82</v>
      </c>
      <c r="AD699" s="4" t="s">
        <v>2234</v>
      </c>
      <c r="AE699" s="4" t="s">
        <v>2235</v>
      </c>
      <c r="AF699" s="4" t="s">
        <v>2129</v>
      </c>
    </row>
    <row r="700" spans="1:35" ht="162" x14ac:dyDescent="0.3">
      <c r="A700" s="11" t="s">
        <v>2236</v>
      </c>
      <c r="B700" s="11" t="s">
        <v>2121</v>
      </c>
      <c r="C700" s="20" t="s">
        <v>2122</v>
      </c>
      <c r="D700" s="21"/>
      <c r="E700" s="21" t="s">
        <v>2237</v>
      </c>
      <c r="F700" s="21" t="s">
        <v>62</v>
      </c>
      <c r="G700" s="22">
        <v>1</v>
      </c>
      <c r="H700" s="21"/>
      <c r="I700" s="22">
        <v>454.34</v>
      </c>
      <c r="J700" s="23">
        <f>IFERROR(ROUND(SUM(M701,M702,M703,M704)/I700, 2),0)</f>
        <v>2358.86</v>
      </c>
      <c r="K700" s="23">
        <v>2983</v>
      </c>
      <c r="L700" s="23">
        <f>J700+ROUND(K700, 2)</f>
        <v>5341.8600000000006</v>
      </c>
      <c r="M700" s="23">
        <f>ROUND(J700*I700, 2)</f>
        <v>1071724.45</v>
      </c>
      <c r="N700" s="23">
        <f>ROUND(I700*ROUND(K700, 2), 2)</f>
        <v>1355296.22</v>
      </c>
      <c r="O700" s="23">
        <f>M700+N700</f>
        <v>2427020.67</v>
      </c>
      <c r="P700" s="23">
        <f>IFERROR(ROUND(SUM(S701,S702,S703,S704)/I700, 2),0)</f>
        <v>2358.86</v>
      </c>
      <c r="Q700" s="23">
        <v>4474.5</v>
      </c>
      <c r="R700" s="23">
        <f>P700+ROUND(Q700, 2)</f>
        <v>6833.3600000000006</v>
      </c>
      <c r="S700" s="23">
        <f>ROUND(P700*I700, 2)</f>
        <v>1071724.45</v>
      </c>
      <c r="T700" s="23">
        <f>ROUND(I700*ROUND(Q700, 2), 2)</f>
        <v>2032944.33</v>
      </c>
      <c r="U700" s="23">
        <f>S700+T700</f>
        <v>3104668.7800000003</v>
      </c>
      <c r="V700" s="9">
        <f>ROUND(P700 / 1.2, 2)</f>
        <v>1965.72</v>
      </c>
      <c r="W700" s="9">
        <f>ROUND(Q700 / 1.2, 2)</f>
        <v>3728.75</v>
      </c>
      <c r="X700" s="9">
        <f>ROUND(R700 / 1.2, 2)</f>
        <v>5694.47</v>
      </c>
      <c r="Y700" s="9">
        <f t="shared" si="23"/>
        <v>893103.71</v>
      </c>
      <c r="Z700" s="9">
        <f>ROUND(T700 / 1.2, 2)</f>
        <v>1694120.28</v>
      </c>
      <c r="AA700" s="9">
        <f>Y700+Z700</f>
        <v>2587223.9900000002</v>
      </c>
      <c r="AD700" s="4">
        <v>334080735</v>
      </c>
      <c r="AE700" s="4">
        <v>29393979</v>
      </c>
      <c r="AG700" s="4" t="s">
        <v>2123</v>
      </c>
      <c r="AH700" s="4" t="s">
        <v>2124</v>
      </c>
      <c r="AI700" s="4" t="s">
        <v>250</v>
      </c>
    </row>
    <row r="701" spans="1:35" ht="72" x14ac:dyDescent="0.3">
      <c r="A701" s="11" t="s">
        <v>2238</v>
      </c>
      <c r="B701" s="11"/>
      <c r="C701" s="30" t="s">
        <v>2126</v>
      </c>
      <c r="D701" s="21"/>
      <c r="E701" s="21" t="s">
        <v>2181</v>
      </c>
      <c r="F701" s="33" t="s">
        <v>62</v>
      </c>
      <c r="G701" s="34">
        <v>1.1000000000000001</v>
      </c>
      <c r="H701" s="21"/>
      <c r="I701" s="37">
        <v>499.774</v>
      </c>
      <c r="J701" s="35">
        <v>2072.02</v>
      </c>
      <c r="K701" s="12"/>
      <c r="L701" s="12"/>
      <c r="M701" s="35">
        <f>ROUND(ROUND(J701, 2)*I701, 2)</f>
        <v>1035541.72</v>
      </c>
      <c r="N701" s="12"/>
      <c r="O701" s="12"/>
      <c r="P701" s="35">
        <v>2072.02</v>
      </c>
      <c r="Q701" s="12"/>
      <c r="R701" s="12"/>
      <c r="S701" s="35">
        <f>ROUND(ROUND(P701, 2)*I701, 2)</f>
        <v>1035541.72</v>
      </c>
      <c r="T701" s="12"/>
      <c r="U701" s="36"/>
      <c r="V701" s="9">
        <f>ROUND(ROUND(P701, 2)/1.2, 2)</f>
        <v>1726.68</v>
      </c>
      <c r="Y701" s="9">
        <f t="shared" si="23"/>
        <v>862951.43</v>
      </c>
      <c r="AD701" s="4" t="s">
        <v>2239</v>
      </c>
      <c r="AE701" s="4" t="s">
        <v>2240</v>
      </c>
      <c r="AF701" s="4" t="s">
        <v>2129</v>
      </c>
    </row>
    <row r="702" spans="1:35" ht="36" x14ac:dyDescent="0.3">
      <c r="A702" s="11" t="s">
        <v>2241</v>
      </c>
      <c r="B702" s="11"/>
      <c r="C702" s="30" t="s">
        <v>1200</v>
      </c>
      <c r="D702" s="21"/>
      <c r="E702" s="21"/>
      <c r="F702" s="33" t="s">
        <v>278</v>
      </c>
      <c r="G702" s="34">
        <v>1.2</v>
      </c>
      <c r="H702" s="21"/>
      <c r="I702" s="37">
        <v>1635.624</v>
      </c>
      <c r="J702" s="35">
        <v>16.38</v>
      </c>
      <c r="K702" s="12"/>
      <c r="L702" s="12"/>
      <c r="M702" s="35">
        <f>ROUND(ROUND(J702, 2)*I702, 2)</f>
        <v>26791.52</v>
      </c>
      <c r="N702" s="12"/>
      <c r="O702" s="12"/>
      <c r="P702" s="35">
        <v>16.38</v>
      </c>
      <c r="Q702" s="12"/>
      <c r="R702" s="12"/>
      <c r="S702" s="35">
        <f>ROUND(ROUND(P702, 2)*I702, 2)</f>
        <v>26791.52</v>
      </c>
      <c r="T702" s="12"/>
      <c r="U702" s="36"/>
      <c r="V702" s="9">
        <f>ROUND(ROUND(P702, 2)/1.2, 2)</f>
        <v>13.65</v>
      </c>
      <c r="Y702" s="9">
        <f t="shared" si="23"/>
        <v>22326.27</v>
      </c>
      <c r="AD702" s="4" t="s">
        <v>2242</v>
      </c>
      <c r="AE702" s="4" t="s">
        <v>2243</v>
      </c>
      <c r="AF702" s="4" t="s">
        <v>1203</v>
      </c>
    </row>
    <row r="703" spans="1:35" ht="36" x14ac:dyDescent="0.3">
      <c r="A703" s="11" t="s">
        <v>2244</v>
      </c>
      <c r="B703" s="11"/>
      <c r="C703" s="32" t="s">
        <v>1157</v>
      </c>
      <c r="D703" s="21"/>
      <c r="E703" s="21"/>
      <c r="F703" s="33" t="s">
        <v>278</v>
      </c>
      <c r="G703" s="34">
        <v>0.25</v>
      </c>
      <c r="H703" s="21"/>
      <c r="I703" s="37">
        <v>113.58499999999999</v>
      </c>
      <c r="J703" s="35">
        <v>40.94</v>
      </c>
      <c r="K703" s="12"/>
      <c r="L703" s="12"/>
      <c r="M703" s="35">
        <f>ROUND(ROUND(J703, 2)*I703, 2)</f>
        <v>4650.17</v>
      </c>
      <c r="N703" s="12"/>
      <c r="O703" s="12"/>
      <c r="P703" s="35">
        <v>40.94</v>
      </c>
      <c r="Q703" s="12"/>
      <c r="R703" s="12"/>
      <c r="S703" s="35">
        <f>ROUND(ROUND(P703, 2)*I703, 2)</f>
        <v>4650.17</v>
      </c>
      <c r="T703" s="12"/>
      <c r="U703" s="36"/>
      <c r="V703" s="9">
        <f>ROUND(ROUND(P703, 2)/1.2, 2)</f>
        <v>34.119999999999997</v>
      </c>
      <c r="Y703" s="9">
        <f t="shared" si="23"/>
        <v>3875.14</v>
      </c>
      <c r="AD703" s="4" t="s">
        <v>2245</v>
      </c>
      <c r="AE703" s="4" t="s">
        <v>2246</v>
      </c>
      <c r="AF703" s="4" t="s">
        <v>1160</v>
      </c>
    </row>
    <row r="704" spans="1:35" ht="36" x14ac:dyDescent="0.3">
      <c r="A704" s="11" t="s">
        <v>2247</v>
      </c>
      <c r="B704" s="11"/>
      <c r="C704" s="32" t="s">
        <v>543</v>
      </c>
      <c r="D704" s="21"/>
      <c r="E704" s="21"/>
      <c r="F704" s="33" t="s">
        <v>278</v>
      </c>
      <c r="G704" s="34">
        <v>0.15</v>
      </c>
      <c r="H704" s="21"/>
      <c r="I704" s="34">
        <v>68.150999999999996</v>
      </c>
      <c r="J704" s="35">
        <v>69.540000000000006</v>
      </c>
      <c r="K704" s="12"/>
      <c r="L704" s="12"/>
      <c r="M704" s="35">
        <f>ROUND(ROUND(J704, 2)*I704, 2)</f>
        <v>4739.22</v>
      </c>
      <c r="N704" s="12"/>
      <c r="O704" s="12"/>
      <c r="P704" s="35">
        <v>69.540000000000006</v>
      </c>
      <c r="Q704" s="12"/>
      <c r="R704" s="12"/>
      <c r="S704" s="35">
        <f>ROUND(ROUND(P704, 2)*I704, 2)</f>
        <v>4739.22</v>
      </c>
      <c r="T704" s="12"/>
      <c r="U704" s="36"/>
      <c r="V704" s="9">
        <f>ROUND(ROUND(P704, 2)/1.2, 2)</f>
        <v>57.95</v>
      </c>
      <c r="Y704" s="9">
        <f t="shared" si="23"/>
        <v>3949.35</v>
      </c>
      <c r="AD704" s="4" t="s">
        <v>2248</v>
      </c>
      <c r="AE704" s="4" t="s">
        <v>2249</v>
      </c>
      <c r="AF704" s="4" t="s">
        <v>546</v>
      </c>
    </row>
    <row r="705" spans="1:35" ht="162" x14ac:dyDescent="0.3">
      <c r="A705" s="11" t="s">
        <v>2250</v>
      </c>
      <c r="B705" s="11" t="s">
        <v>2121</v>
      </c>
      <c r="C705" s="20" t="s">
        <v>2122</v>
      </c>
      <c r="D705" s="21"/>
      <c r="E705" s="21" t="s">
        <v>2251</v>
      </c>
      <c r="F705" s="21" t="s">
        <v>62</v>
      </c>
      <c r="G705" s="22">
        <v>1</v>
      </c>
      <c r="H705" s="21"/>
      <c r="I705" s="22">
        <v>274.39999999999998</v>
      </c>
      <c r="J705" s="23">
        <f>IFERROR(ROUND(SUM(M706,M707,M708,M709)/I705, 2),0)</f>
        <v>292.12</v>
      </c>
      <c r="K705" s="23">
        <v>2983</v>
      </c>
      <c r="L705" s="23">
        <f>J705+ROUND(K705, 2)</f>
        <v>3275.12</v>
      </c>
      <c r="M705" s="23">
        <f>ROUND(J705*I705, 2)</f>
        <v>80157.73</v>
      </c>
      <c r="N705" s="23">
        <f>ROUND(I705*ROUND(K705, 2), 2)</f>
        <v>818535.2</v>
      </c>
      <c r="O705" s="23">
        <f>M705+N705</f>
        <v>898692.92999999993</v>
      </c>
      <c r="P705" s="23">
        <f>IFERROR(ROUND(SUM(S706,S707,S708,S709)/I705, 2),0)</f>
        <v>292.12</v>
      </c>
      <c r="Q705" s="23">
        <v>4474.5</v>
      </c>
      <c r="R705" s="23">
        <f>P705+ROUND(Q705, 2)</f>
        <v>4766.62</v>
      </c>
      <c r="S705" s="23">
        <f>ROUND(P705*I705, 2)</f>
        <v>80157.73</v>
      </c>
      <c r="T705" s="23">
        <f>ROUND(I705*ROUND(Q705, 2), 2)</f>
        <v>1227802.8</v>
      </c>
      <c r="U705" s="23">
        <f>S705+T705</f>
        <v>1307960.53</v>
      </c>
      <c r="V705" s="9">
        <f>ROUND(P705 / 1.2, 2)</f>
        <v>243.43</v>
      </c>
      <c r="W705" s="9">
        <f>ROUND(Q705 / 1.2, 2)</f>
        <v>3728.75</v>
      </c>
      <c r="X705" s="9">
        <f>ROUND(R705 / 1.2, 2)</f>
        <v>3972.18</v>
      </c>
      <c r="Y705" s="9">
        <f t="shared" si="23"/>
        <v>66798.11</v>
      </c>
      <c r="Z705" s="9">
        <f>ROUND(T705 / 1.2, 2)</f>
        <v>1023169</v>
      </c>
      <c r="AA705" s="9">
        <f>Y705+Z705</f>
        <v>1089967.1100000001</v>
      </c>
      <c r="AD705" s="4">
        <v>334080736</v>
      </c>
      <c r="AE705" s="4">
        <v>29396514</v>
      </c>
      <c r="AG705" s="4" t="s">
        <v>2123</v>
      </c>
      <c r="AH705" s="4" t="s">
        <v>2124</v>
      </c>
      <c r="AI705" s="4" t="s">
        <v>250</v>
      </c>
    </row>
    <row r="706" spans="1:35" ht="36" x14ac:dyDescent="0.3">
      <c r="A706" s="11" t="s">
        <v>2252</v>
      </c>
      <c r="B706" s="11"/>
      <c r="C706" s="32" t="s">
        <v>543</v>
      </c>
      <c r="D706" s="21"/>
      <c r="E706" s="21"/>
      <c r="F706" s="33" t="s">
        <v>278</v>
      </c>
      <c r="G706" s="34">
        <v>0.15</v>
      </c>
      <c r="H706" s="21"/>
      <c r="I706" s="34">
        <v>41.16</v>
      </c>
      <c r="J706" s="35">
        <v>69.540000000000006</v>
      </c>
      <c r="K706" s="12"/>
      <c r="L706" s="12"/>
      <c r="M706" s="35">
        <f>ROUND(ROUND(J706, 2)*I706, 2)</f>
        <v>2862.27</v>
      </c>
      <c r="N706" s="12"/>
      <c r="O706" s="12"/>
      <c r="P706" s="35">
        <v>69.540000000000006</v>
      </c>
      <c r="Q706" s="12"/>
      <c r="R706" s="12"/>
      <c r="S706" s="35">
        <f>ROUND(ROUND(P706, 2)*I706, 2)</f>
        <v>2862.27</v>
      </c>
      <c r="T706" s="12"/>
      <c r="U706" s="36"/>
      <c r="V706" s="9">
        <f>ROUND(ROUND(P706, 2)/1.2, 2)</f>
        <v>57.95</v>
      </c>
      <c r="Y706" s="9">
        <f t="shared" si="23"/>
        <v>2385.23</v>
      </c>
      <c r="AD706" s="4" t="s">
        <v>2253</v>
      </c>
      <c r="AE706" s="4" t="s">
        <v>2254</v>
      </c>
      <c r="AF706" s="4" t="s">
        <v>546</v>
      </c>
    </row>
    <row r="707" spans="1:35" ht="36" x14ac:dyDescent="0.3">
      <c r="A707" s="11" t="s">
        <v>2255</v>
      </c>
      <c r="B707" s="11"/>
      <c r="C707" s="32" t="s">
        <v>1157</v>
      </c>
      <c r="D707" s="21"/>
      <c r="E707" s="21"/>
      <c r="F707" s="33" t="s">
        <v>278</v>
      </c>
      <c r="G707" s="34">
        <v>0.25</v>
      </c>
      <c r="H707" s="21"/>
      <c r="I707" s="37">
        <v>68.599999999999994</v>
      </c>
      <c r="J707" s="35">
        <v>40.94</v>
      </c>
      <c r="K707" s="12"/>
      <c r="L707" s="12"/>
      <c r="M707" s="35">
        <f>ROUND(ROUND(J707, 2)*I707, 2)</f>
        <v>2808.48</v>
      </c>
      <c r="N707" s="12"/>
      <c r="O707" s="12"/>
      <c r="P707" s="35">
        <v>40.94</v>
      </c>
      <c r="Q707" s="12"/>
      <c r="R707" s="12"/>
      <c r="S707" s="35">
        <f>ROUND(ROUND(P707, 2)*I707, 2)</f>
        <v>2808.48</v>
      </c>
      <c r="T707" s="12"/>
      <c r="U707" s="36"/>
      <c r="V707" s="9">
        <f>ROUND(ROUND(P707, 2)/1.2, 2)</f>
        <v>34.119999999999997</v>
      </c>
      <c r="Y707" s="9">
        <f t="shared" si="23"/>
        <v>2340.4</v>
      </c>
      <c r="AD707" s="4" t="s">
        <v>2256</v>
      </c>
      <c r="AE707" s="4" t="s">
        <v>2257</v>
      </c>
      <c r="AF707" s="4" t="s">
        <v>1160</v>
      </c>
    </row>
    <row r="708" spans="1:35" ht="36" x14ac:dyDescent="0.3">
      <c r="A708" s="11" t="s">
        <v>2258</v>
      </c>
      <c r="B708" s="11"/>
      <c r="C708" s="30" t="s">
        <v>1200</v>
      </c>
      <c r="D708" s="21"/>
      <c r="E708" s="21"/>
      <c r="F708" s="33" t="s">
        <v>278</v>
      </c>
      <c r="G708" s="34">
        <v>1.2</v>
      </c>
      <c r="H708" s="21"/>
      <c r="I708" s="37">
        <v>987.84</v>
      </c>
      <c r="J708" s="35">
        <v>16.38</v>
      </c>
      <c r="K708" s="12"/>
      <c r="L708" s="12"/>
      <c r="M708" s="35">
        <f>ROUND(ROUND(J708, 2)*I708, 2)</f>
        <v>16180.82</v>
      </c>
      <c r="N708" s="12"/>
      <c r="O708" s="12"/>
      <c r="P708" s="35">
        <v>16.38</v>
      </c>
      <c r="Q708" s="12"/>
      <c r="R708" s="12"/>
      <c r="S708" s="35">
        <f>ROUND(ROUND(P708, 2)*I708, 2)</f>
        <v>16180.82</v>
      </c>
      <c r="T708" s="12"/>
      <c r="U708" s="36"/>
      <c r="V708" s="9">
        <f>ROUND(ROUND(P708, 2)/1.2, 2)</f>
        <v>13.65</v>
      </c>
      <c r="Y708" s="9">
        <f t="shared" si="23"/>
        <v>13484.02</v>
      </c>
      <c r="AD708" s="4" t="s">
        <v>2259</v>
      </c>
      <c r="AE708" s="4" t="s">
        <v>2260</v>
      </c>
      <c r="AF708" s="4" t="s">
        <v>1203</v>
      </c>
    </row>
    <row r="709" spans="1:35" ht="72" x14ac:dyDescent="0.3">
      <c r="A709" s="11" t="s">
        <v>2261</v>
      </c>
      <c r="B709" s="11"/>
      <c r="C709" s="30" t="s">
        <v>2262</v>
      </c>
      <c r="D709" s="21"/>
      <c r="E709" s="21" t="s">
        <v>2205</v>
      </c>
      <c r="F709" s="33" t="s">
        <v>62</v>
      </c>
      <c r="G709" s="34">
        <v>0.1</v>
      </c>
      <c r="H709" s="21"/>
      <c r="I709" s="37">
        <v>27.44</v>
      </c>
      <c r="J709" s="35">
        <v>2124.84</v>
      </c>
      <c r="K709" s="12"/>
      <c r="L709" s="12"/>
      <c r="M709" s="35">
        <f>ROUND(ROUND(J709, 2)*I709, 2)</f>
        <v>58305.61</v>
      </c>
      <c r="N709" s="12"/>
      <c r="O709" s="12"/>
      <c r="P709" s="35">
        <v>2124.84</v>
      </c>
      <c r="Q709" s="12"/>
      <c r="R709" s="12"/>
      <c r="S709" s="35">
        <f>ROUND(ROUND(P709, 2)*I709, 2)</f>
        <v>58305.61</v>
      </c>
      <c r="T709" s="12"/>
      <c r="U709" s="36"/>
      <c r="V709" s="9">
        <f>ROUND(ROUND(P709, 2)/1.2, 2)</f>
        <v>1770.7</v>
      </c>
      <c r="Y709" s="9">
        <f t="shared" si="23"/>
        <v>48588.01</v>
      </c>
      <c r="AD709" s="4" t="s">
        <v>2263</v>
      </c>
      <c r="AE709" s="4" t="s">
        <v>2264</v>
      </c>
      <c r="AF709" s="4" t="s">
        <v>2265</v>
      </c>
    </row>
    <row r="710" spans="1:35" ht="162" x14ac:dyDescent="0.3">
      <c r="A710" s="11" t="s">
        <v>2266</v>
      </c>
      <c r="B710" s="11" t="s">
        <v>2121</v>
      </c>
      <c r="C710" s="20" t="s">
        <v>2122</v>
      </c>
      <c r="D710" s="21"/>
      <c r="E710" s="21" t="s">
        <v>2267</v>
      </c>
      <c r="F710" s="21" t="s">
        <v>62</v>
      </c>
      <c r="G710" s="22">
        <v>1</v>
      </c>
      <c r="H710" s="21"/>
      <c r="I710" s="22">
        <v>86.72</v>
      </c>
      <c r="J710" s="23">
        <f>IFERROR(ROUND(SUM(M711,M712,M713,M714)/I710, 2),0)</f>
        <v>2358.86</v>
      </c>
      <c r="K710" s="23">
        <v>2983</v>
      </c>
      <c r="L710" s="23">
        <f>J710+ROUND(K710, 2)</f>
        <v>5341.8600000000006</v>
      </c>
      <c r="M710" s="23">
        <f>ROUND(J710*I710, 2)</f>
        <v>204560.34</v>
      </c>
      <c r="N710" s="23">
        <f>ROUND(I710*ROUND(K710, 2), 2)</f>
        <v>258685.76</v>
      </c>
      <c r="O710" s="23">
        <f>M710+N710</f>
        <v>463246.1</v>
      </c>
      <c r="P710" s="23">
        <f>IFERROR(ROUND(SUM(S711,S712,S713,S714)/I710, 2),0)</f>
        <v>2358.86</v>
      </c>
      <c r="Q710" s="23">
        <v>4474.5</v>
      </c>
      <c r="R710" s="23">
        <f>P710+ROUND(Q710, 2)</f>
        <v>6833.3600000000006</v>
      </c>
      <c r="S710" s="23">
        <f>ROUND(P710*I710, 2)</f>
        <v>204560.34</v>
      </c>
      <c r="T710" s="23">
        <f>ROUND(I710*ROUND(Q710, 2), 2)</f>
        <v>388028.64</v>
      </c>
      <c r="U710" s="23">
        <f>S710+T710</f>
        <v>592588.98</v>
      </c>
      <c r="V710" s="9">
        <f>ROUND(P710 / 1.2, 2)</f>
        <v>1965.72</v>
      </c>
      <c r="W710" s="9">
        <f>ROUND(Q710 / 1.2, 2)</f>
        <v>3728.75</v>
      </c>
      <c r="X710" s="9">
        <f>ROUND(R710 / 1.2, 2)</f>
        <v>5694.47</v>
      </c>
      <c r="Y710" s="9">
        <f t="shared" si="23"/>
        <v>170466.95</v>
      </c>
      <c r="Z710" s="9">
        <f>ROUND(T710 / 1.2, 2)</f>
        <v>323357.2</v>
      </c>
      <c r="AA710" s="9">
        <f>Y710+Z710</f>
        <v>493824.15</v>
      </c>
      <c r="AD710" s="4">
        <v>334080737</v>
      </c>
      <c r="AE710" s="4">
        <v>29396516</v>
      </c>
      <c r="AG710" s="4" t="s">
        <v>2123</v>
      </c>
      <c r="AH710" s="4" t="s">
        <v>2124</v>
      </c>
      <c r="AI710" s="4" t="s">
        <v>250</v>
      </c>
    </row>
    <row r="711" spans="1:35" ht="72" x14ac:dyDescent="0.3">
      <c r="A711" s="11" t="s">
        <v>2268</v>
      </c>
      <c r="B711" s="11"/>
      <c r="C711" s="30" t="s">
        <v>2126</v>
      </c>
      <c r="D711" s="21"/>
      <c r="E711" s="21" t="s">
        <v>1334</v>
      </c>
      <c r="F711" s="33" t="s">
        <v>62</v>
      </c>
      <c r="G711" s="34">
        <v>1.1000000000000001</v>
      </c>
      <c r="H711" s="21"/>
      <c r="I711" s="37">
        <v>95.391999999999996</v>
      </c>
      <c r="J711" s="35">
        <v>2072.02</v>
      </c>
      <c r="K711" s="12"/>
      <c r="L711" s="12"/>
      <c r="M711" s="35">
        <f>ROUND(ROUND(J711, 2)*I711, 2)</f>
        <v>197654.13</v>
      </c>
      <c r="N711" s="12"/>
      <c r="O711" s="12"/>
      <c r="P711" s="35">
        <v>2072.02</v>
      </c>
      <c r="Q711" s="12"/>
      <c r="R711" s="12"/>
      <c r="S711" s="35">
        <f>ROUND(ROUND(P711, 2)*I711, 2)</f>
        <v>197654.13</v>
      </c>
      <c r="T711" s="12"/>
      <c r="U711" s="36"/>
      <c r="V711" s="9">
        <f>ROUND(ROUND(P711, 2)/1.2, 2)</f>
        <v>1726.68</v>
      </c>
      <c r="Y711" s="9">
        <f t="shared" si="23"/>
        <v>164711.78</v>
      </c>
      <c r="AD711" s="4" t="s">
        <v>2269</v>
      </c>
      <c r="AE711" s="4" t="s">
        <v>2270</v>
      </c>
      <c r="AF711" s="4" t="s">
        <v>2129</v>
      </c>
    </row>
    <row r="712" spans="1:35" ht="36" x14ac:dyDescent="0.3">
      <c r="A712" s="11" t="s">
        <v>2271</v>
      </c>
      <c r="B712" s="11"/>
      <c r="C712" s="30" t="s">
        <v>1200</v>
      </c>
      <c r="D712" s="21"/>
      <c r="E712" s="21"/>
      <c r="F712" s="33" t="s">
        <v>278</v>
      </c>
      <c r="G712" s="34">
        <v>1.2</v>
      </c>
      <c r="H712" s="21"/>
      <c r="I712" s="37">
        <v>312.19200000000001</v>
      </c>
      <c r="J712" s="35">
        <v>16.38</v>
      </c>
      <c r="K712" s="12"/>
      <c r="L712" s="12"/>
      <c r="M712" s="35">
        <f>ROUND(ROUND(J712, 2)*I712, 2)</f>
        <v>5113.7</v>
      </c>
      <c r="N712" s="12"/>
      <c r="O712" s="12"/>
      <c r="P712" s="35">
        <v>16.38</v>
      </c>
      <c r="Q712" s="12"/>
      <c r="R712" s="12"/>
      <c r="S712" s="35">
        <f>ROUND(ROUND(P712, 2)*I712, 2)</f>
        <v>5113.7</v>
      </c>
      <c r="T712" s="12"/>
      <c r="U712" s="36"/>
      <c r="V712" s="9">
        <f>ROUND(ROUND(P712, 2)/1.2, 2)</f>
        <v>13.65</v>
      </c>
      <c r="Y712" s="9">
        <f t="shared" si="23"/>
        <v>4261.42</v>
      </c>
      <c r="AD712" s="4" t="s">
        <v>2272</v>
      </c>
      <c r="AE712" s="4" t="s">
        <v>2273</v>
      </c>
      <c r="AF712" s="4" t="s">
        <v>1203</v>
      </c>
    </row>
    <row r="713" spans="1:35" ht="36" x14ac:dyDescent="0.3">
      <c r="A713" s="11" t="s">
        <v>2274</v>
      </c>
      <c r="B713" s="11"/>
      <c r="C713" s="32" t="s">
        <v>1157</v>
      </c>
      <c r="D713" s="21"/>
      <c r="E713" s="21"/>
      <c r="F713" s="33" t="s">
        <v>278</v>
      </c>
      <c r="G713" s="34">
        <v>0.25</v>
      </c>
      <c r="H713" s="21"/>
      <c r="I713" s="37">
        <v>21.68</v>
      </c>
      <c r="J713" s="35">
        <v>40.94</v>
      </c>
      <c r="K713" s="12"/>
      <c r="L713" s="12"/>
      <c r="M713" s="35">
        <f>ROUND(ROUND(J713, 2)*I713, 2)</f>
        <v>887.58</v>
      </c>
      <c r="N713" s="12"/>
      <c r="O713" s="12"/>
      <c r="P713" s="35">
        <v>40.94</v>
      </c>
      <c r="Q713" s="12"/>
      <c r="R713" s="12"/>
      <c r="S713" s="35">
        <f>ROUND(ROUND(P713, 2)*I713, 2)</f>
        <v>887.58</v>
      </c>
      <c r="T713" s="12"/>
      <c r="U713" s="36"/>
      <c r="V713" s="9">
        <f>ROUND(ROUND(P713, 2)/1.2, 2)</f>
        <v>34.119999999999997</v>
      </c>
      <c r="Y713" s="9">
        <f t="shared" si="23"/>
        <v>739.65</v>
      </c>
      <c r="AD713" s="4" t="s">
        <v>2275</v>
      </c>
      <c r="AE713" s="4" t="s">
        <v>2276</v>
      </c>
      <c r="AF713" s="4" t="s">
        <v>1160</v>
      </c>
    </row>
    <row r="714" spans="1:35" ht="36" x14ac:dyDescent="0.3">
      <c r="A714" s="11" t="s">
        <v>2277</v>
      </c>
      <c r="B714" s="11"/>
      <c r="C714" s="32" t="s">
        <v>543</v>
      </c>
      <c r="D714" s="21"/>
      <c r="E714" s="21"/>
      <c r="F714" s="33" t="s">
        <v>278</v>
      </c>
      <c r="G714" s="34">
        <v>0.15</v>
      </c>
      <c r="H714" s="21"/>
      <c r="I714" s="34">
        <v>13.007999999999999</v>
      </c>
      <c r="J714" s="35">
        <v>69.540000000000006</v>
      </c>
      <c r="K714" s="12"/>
      <c r="L714" s="12"/>
      <c r="M714" s="35">
        <f>ROUND(ROUND(J714, 2)*I714, 2)</f>
        <v>904.58</v>
      </c>
      <c r="N714" s="12"/>
      <c r="O714" s="12"/>
      <c r="P714" s="35">
        <v>69.540000000000006</v>
      </c>
      <c r="Q714" s="12"/>
      <c r="R714" s="12"/>
      <c r="S714" s="35">
        <f>ROUND(ROUND(P714, 2)*I714, 2)</f>
        <v>904.58</v>
      </c>
      <c r="T714" s="12"/>
      <c r="U714" s="36"/>
      <c r="V714" s="9">
        <f>ROUND(ROUND(P714, 2)/1.2, 2)</f>
        <v>57.95</v>
      </c>
      <c r="Y714" s="9">
        <f t="shared" si="23"/>
        <v>753.82</v>
      </c>
      <c r="AD714" s="4" t="s">
        <v>2278</v>
      </c>
      <c r="AE714" s="4" t="s">
        <v>2279</v>
      </c>
      <c r="AF714" s="4" t="s">
        <v>546</v>
      </c>
    </row>
    <row r="715" spans="1:35" ht="180" x14ac:dyDescent="0.3">
      <c r="A715" s="11" t="s">
        <v>2280</v>
      </c>
      <c r="B715" s="11" t="s">
        <v>2121</v>
      </c>
      <c r="C715" s="20" t="s">
        <v>2122</v>
      </c>
      <c r="D715" s="21"/>
      <c r="E715" s="21" t="s">
        <v>2281</v>
      </c>
      <c r="F715" s="21" t="s">
        <v>62</v>
      </c>
      <c r="G715" s="22">
        <v>1</v>
      </c>
      <c r="H715" s="21"/>
      <c r="I715" s="22">
        <v>284.92</v>
      </c>
      <c r="J715" s="23">
        <f>IFERROR(ROUND(SUM(M716,M717,M718,M719)/I715, 2),0)</f>
        <v>2358.86</v>
      </c>
      <c r="K715" s="23">
        <v>2983</v>
      </c>
      <c r="L715" s="23">
        <f>J715+ROUND(K715, 2)</f>
        <v>5341.8600000000006</v>
      </c>
      <c r="M715" s="23">
        <f>ROUND(J715*I715, 2)</f>
        <v>672086.39</v>
      </c>
      <c r="N715" s="23">
        <f>ROUND(I715*ROUND(K715, 2), 2)</f>
        <v>849916.36</v>
      </c>
      <c r="O715" s="23">
        <f>M715+N715</f>
        <v>1522002.75</v>
      </c>
      <c r="P715" s="23">
        <f>IFERROR(ROUND(SUM(S716,S717,S718,S719)/I715, 2),0)</f>
        <v>2369.44</v>
      </c>
      <c r="Q715" s="23">
        <v>4474.5</v>
      </c>
      <c r="R715" s="23">
        <f>P715+ROUND(Q715, 2)</f>
        <v>6843.9400000000005</v>
      </c>
      <c r="S715" s="23">
        <f>ROUND(P715*I715, 2)</f>
        <v>675100.84</v>
      </c>
      <c r="T715" s="23">
        <f>ROUND(I715*ROUND(Q715, 2), 2)</f>
        <v>1274874.54</v>
      </c>
      <c r="U715" s="23">
        <f>S715+T715</f>
        <v>1949975.38</v>
      </c>
      <c r="V715" s="9">
        <f>ROUND(P715 / 1.2, 2)</f>
        <v>1974.53</v>
      </c>
      <c r="W715" s="9">
        <f>ROUND(Q715 / 1.2, 2)</f>
        <v>3728.75</v>
      </c>
      <c r="X715" s="9">
        <f>ROUND(R715 / 1.2, 2)</f>
        <v>5703.28</v>
      </c>
      <c r="Y715" s="9">
        <f t="shared" si="23"/>
        <v>562584.03</v>
      </c>
      <c r="Z715" s="9">
        <f>ROUND(T715 / 1.2, 2)</f>
        <v>1062395.45</v>
      </c>
      <c r="AA715" s="9">
        <f>Y715+Z715</f>
        <v>1624979.48</v>
      </c>
      <c r="AD715" s="4">
        <v>334080738</v>
      </c>
      <c r="AE715" s="4">
        <v>29396515</v>
      </c>
      <c r="AG715" s="4" t="s">
        <v>2123</v>
      </c>
      <c r="AH715" s="4" t="s">
        <v>2124</v>
      </c>
      <c r="AI715" s="4" t="s">
        <v>250</v>
      </c>
    </row>
    <row r="716" spans="1:35" ht="36" x14ac:dyDescent="0.3">
      <c r="A716" s="11" t="s">
        <v>2282</v>
      </c>
      <c r="B716" s="11"/>
      <c r="C716" s="32" t="s">
        <v>543</v>
      </c>
      <c r="D716" s="21"/>
      <c r="E716" s="21"/>
      <c r="F716" s="33" t="s">
        <v>278</v>
      </c>
      <c r="G716" s="34">
        <v>0.15</v>
      </c>
      <c r="H716" s="21"/>
      <c r="I716" s="34">
        <v>42.738</v>
      </c>
      <c r="J716" s="35">
        <v>69.540000000000006</v>
      </c>
      <c r="K716" s="12"/>
      <c r="L716" s="12"/>
      <c r="M716" s="35">
        <f>ROUND(ROUND(J716, 2)*I716, 2)</f>
        <v>2972</v>
      </c>
      <c r="N716" s="12"/>
      <c r="O716" s="12"/>
      <c r="P716" s="35">
        <v>69.540000000000006</v>
      </c>
      <c r="Q716" s="12"/>
      <c r="R716" s="12"/>
      <c r="S716" s="35">
        <f>ROUND(ROUND(P716, 2)*I716, 2)</f>
        <v>2972</v>
      </c>
      <c r="T716" s="12"/>
      <c r="U716" s="36"/>
      <c r="V716" s="9">
        <f>ROUND(ROUND(P716, 2)/1.2, 2)</f>
        <v>57.95</v>
      </c>
      <c r="Y716" s="9">
        <f t="shared" si="23"/>
        <v>2476.67</v>
      </c>
      <c r="AD716" s="4" t="s">
        <v>2283</v>
      </c>
      <c r="AE716" s="4" t="s">
        <v>2284</v>
      </c>
      <c r="AF716" s="4" t="s">
        <v>546</v>
      </c>
    </row>
    <row r="717" spans="1:35" ht="36" x14ac:dyDescent="0.3">
      <c r="A717" s="11" t="s">
        <v>2285</v>
      </c>
      <c r="B717" s="11"/>
      <c r="C717" s="32" t="s">
        <v>1157</v>
      </c>
      <c r="D717" s="21"/>
      <c r="E717" s="21"/>
      <c r="F717" s="33" t="s">
        <v>278</v>
      </c>
      <c r="G717" s="34">
        <v>0.25</v>
      </c>
      <c r="H717" s="21"/>
      <c r="I717" s="37">
        <v>71.23</v>
      </c>
      <c r="J717" s="35">
        <v>40.94</v>
      </c>
      <c r="K717" s="12"/>
      <c r="L717" s="12"/>
      <c r="M717" s="35">
        <f>ROUND(ROUND(J717, 2)*I717, 2)</f>
        <v>2916.16</v>
      </c>
      <c r="N717" s="12"/>
      <c r="O717" s="12"/>
      <c r="P717" s="35">
        <v>40.94</v>
      </c>
      <c r="Q717" s="12"/>
      <c r="R717" s="12"/>
      <c r="S717" s="35">
        <f>ROUND(ROUND(P717, 2)*I717, 2)</f>
        <v>2916.16</v>
      </c>
      <c r="T717" s="12"/>
      <c r="U717" s="36"/>
      <c r="V717" s="9">
        <f>ROUND(ROUND(P717, 2)/1.2, 2)</f>
        <v>34.119999999999997</v>
      </c>
      <c r="Y717" s="9">
        <f t="shared" si="23"/>
        <v>2430.13</v>
      </c>
      <c r="AD717" s="4" t="s">
        <v>2286</v>
      </c>
      <c r="AE717" s="4" t="s">
        <v>2287</v>
      </c>
      <c r="AF717" s="4" t="s">
        <v>1160</v>
      </c>
    </row>
    <row r="718" spans="1:35" ht="36" x14ac:dyDescent="0.3">
      <c r="A718" s="11" t="s">
        <v>2288</v>
      </c>
      <c r="B718" s="11"/>
      <c r="C718" s="30" t="s">
        <v>1200</v>
      </c>
      <c r="D718" s="21"/>
      <c r="E718" s="21" t="s">
        <v>2083</v>
      </c>
      <c r="F718" s="33" t="s">
        <v>278</v>
      </c>
      <c r="G718" s="34">
        <v>1.2</v>
      </c>
      <c r="H718" s="21"/>
      <c r="I718" s="37">
        <v>1025.712</v>
      </c>
      <c r="J718" s="35">
        <v>16.38</v>
      </c>
      <c r="K718" s="12"/>
      <c r="L718" s="12"/>
      <c r="M718" s="35">
        <f>ROUND(ROUND(J718, 2)*I718, 2)</f>
        <v>16801.16</v>
      </c>
      <c r="N718" s="12"/>
      <c r="O718" s="12"/>
      <c r="P718" s="35">
        <v>19.32</v>
      </c>
      <c r="Q718" s="12"/>
      <c r="R718" s="12"/>
      <c r="S718" s="35">
        <f>ROUND(ROUND(P718, 2)*I718, 2)</f>
        <v>19816.759999999998</v>
      </c>
      <c r="T718" s="12"/>
      <c r="U718" s="36"/>
      <c r="V718" s="9">
        <f>ROUND(ROUND(P718, 2)/1.2, 2)</f>
        <v>16.100000000000001</v>
      </c>
      <c r="Y718" s="9">
        <f t="shared" si="23"/>
        <v>16513.97</v>
      </c>
      <c r="AD718" s="4" t="s">
        <v>2289</v>
      </c>
      <c r="AE718" s="4" t="s">
        <v>2290</v>
      </c>
      <c r="AF718" s="4" t="s">
        <v>1203</v>
      </c>
    </row>
    <row r="719" spans="1:35" ht="72" x14ac:dyDescent="0.3">
      <c r="A719" s="11" t="s">
        <v>2291</v>
      </c>
      <c r="B719" s="11"/>
      <c r="C719" s="30" t="s">
        <v>2126</v>
      </c>
      <c r="D719" s="21"/>
      <c r="E719" s="21" t="s">
        <v>1334</v>
      </c>
      <c r="F719" s="33" t="s">
        <v>62</v>
      </c>
      <c r="G719" s="34">
        <v>1.1000000000000001</v>
      </c>
      <c r="H719" s="21"/>
      <c r="I719" s="37">
        <v>313.41199999999998</v>
      </c>
      <c r="J719" s="35">
        <v>2072.02</v>
      </c>
      <c r="K719" s="12"/>
      <c r="L719" s="12"/>
      <c r="M719" s="35">
        <f>ROUND(ROUND(J719, 2)*I719, 2)</f>
        <v>649395.93000000005</v>
      </c>
      <c r="N719" s="12"/>
      <c r="O719" s="12"/>
      <c r="P719" s="35">
        <v>2072.02</v>
      </c>
      <c r="Q719" s="12"/>
      <c r="R719" s="12"/>
      <c r="S719" s="35">
        <f>ROUND(ROUND(P719, 2)*I719, 2)</f>
        <v>649395.93000000005</v>
      </c>
      <c r="T719" s="12"/>
      <c r="U719" s="36"/>
      <c r="V719" s="9">
        <f>ROUND(ROUND(P719, 2)/1.2, 2)</f>
        <v>1726.68</v>
      </c>
      <c r="Y719" s="9">
        <f t="shared" si="23"/>
        <v>541163.28</v>
      </c>
      <c r="AD719" s="4" t="s">
        <v>2292</v>
      </c>
      <c r="AE719" s="4" t="s">
        <v>2293</v>
      </c>
      <c r="AF719" s="4" t="s">
        <v>2129</v>
      </c>
    </row>
    <row r="720" spans="1:35" ht="16.95" customHeight="1" x14ac:dyDescent="0.3">
      <c r="A720" s="10" t="s">
        <v>2294</v>
      </c>
      <c r="B720" s="10" t="s">
        <v>2295</v>
      </c>
      <c r="C720" s="91" t="s">
        <v>2296</v>
      </c>
      <c r="D720" s="92"/>
      <c r="E720" s="92"/>
      <c r="F720" s="92"/>
      <c r="G720" s="92"/>
      <c r="H720" s="92"/>
      <c r="I720" s="93"/>
      <c r="M720" s="6">
        <f>SUM(M721,M726,M731,M736,M741,M746,M751,M754,M759,M763,M766,M768,M770,M775,M780,M785)</f>
        <v>720373.47</v>
      </c>
      <c r="N720" s="6">
        <f>SUM(N721,N726,N731,N736,N741,N746,N751,N754,N759,N763,N766,N768,N770,N775,N780,N785)</f>
        <v>5393596.5900000008</v>
      </c>
      <c r="O720" s="6">
        <f>SUM(O721,O726,O731,O736,O741,O746,O751,O754,O759,O763,O766,O768,O770,O775,O780,O785)</f>
        <v>6113970.0600000005</v>
      </c>
      <c r="S720" s="6">
        <f>SUM(S721,S726,S731,S736,S741,S746,S751,S754,S759,S763,S766,S768,S770,S775,S780,S785)</f>
        <v>1113775.79</v>
      </c>
      <c r="T720" s="6">
        <f>SUM(T721,T726,T731,T736,T741,T746,T751,T754,T759,T763,T766,T768,T770,T775,T780,T785)</f>
        <v>5560826.8499999996</v>
      </c>
      <c r="U720" s="6">
        <f>SUM(U721,U726,U731,U736,U741,U746,U751,U754,U759,U763,U766,U768,U770,U775,U780,U785)</f>
        <v>6674602.6399999997</v>
      </c>
      <c r="Y720" s="9">
        <f>SUM(Y721,Y726,Y731,Y736,Y741,Y746,Y751,Y754,Y759,Y763,Y766,Y768,Y770,Y775,Y780,Y785)</f>
        <v>928146.52</v>
      </c>
      <c r="Z720" s="9">
        <f>SUM(Z721,Z726,Z731,Z736,Z741,Z746,Z751,Z754,Z759,Z763,Z766,Z768,Z770,Z775,Z780,Z785)</f>
        <v>4634022.3900000006</v>
      </c>
      <c r="AA720" s="9">
        <f>SUM(AA721,AA726,AA731,AA736,AA741,AA746,AA751,AA754,AA759,AA763,AA766,AA768,AA770,AA775,AA780,AA785)</f>
        <v>5562168.9100000001</v>
      </c>
      <c r="AD720" s="4">
        <v>334080545</v>
      </c>
      <c r="AE720" s="4">
        <v>27245639</v>
      </c>
    </row>
    <row r="721" spans="1:35" ht="126" x14ac:dyDescent="0.3">
      <c r="A721" s="11" t="s">
        <v>2297</v>
      </c>
      <c r="B721" s="11" t="s">
        <v>2298</v>
      </c>
      <c r="C721" s="20" t="s">
        <v>2299</v>
      </c>
      <c r="D721" s="21"/>
      <c r="E721" s="21" t="s">
        <v>2300</v>
      </c>
      <c r="F721" s="21" t="s">
        <v>62</v>
      </c>
      <c r="G721" s="22">
        <v>1</v>
      </c>
      <c r="H721" s="21"/>
      <c r="I721" s="22">
        <v>409.83</v>
      </c>
      <c r="J721" s="23">
        <f>IFERROR(ROUND(SUM(M722,M723,M724,M725)/I721, 2),0)</f>
        <v>284.23</v>
      </c>
      <c r="K721" s="23">
        <v>2956</v>
      </c>
      <c r="L721" s="23">
        <f>J721+ROUND(K721, 2)</f>
        <v>3240.23</v>
      </c>
      <c r="M721" s="23">
        <f>ROUND(J721*I721, 2)</f>
        <v>116485.98</v>
      </c>
      <c r="N721" s="23">
        <f>ROUND(I721*ROUND(K721, 2), 2)</f>
        <v>1211457.48</v>
      </c>
      <c r="O721" s="23">
        <f>M721+N721</f>
        <v>1327943.46</v>
      </c>
      <c r="P721" s="23">
        <f>IFERROR(ROUND(SUM(S722,S723,S724,S725)/I721, 2),0)</f>
        <v>361.5</v>
      </c>
      <c r="Q721" s="23">
        <v>4434</v>
      </c>
      <c r="R721" s="23">
        <f>P721+ROUND(Q721, 2)</f>
        <v>4795.5</v>
      </c>
      <c r="S721" s="23">
        <f>ROUND(P721*I721, 2)</f>
        <v>148153.54999999999</v>
      </c>
      <c r="T721" s="23">
        <f>ROUND(I721*ROUND(Q721, 2), 2)</f>
        <v>1817186.22</v>
      </c>
      <c r="U721" s="23">
        <f>S721+T721</f>
        <v>1965339.77</v>
      </c>
      <c r="V721" s="9">
        <f>ROUND(P721 / 1.2, 2)</f>
        <v>301.25</v>
      </c>
      <c r="W721" s="9">
        <f>ROUND(Q721 / 1.2, 2)</f>
        <v>3695</v>
      </c>
      <c r="X721" s="9">
        <f>ROUND(R721 / 1.2, 2)</f>
        <v>3996.25</v>
      </c>
      <c r="Y721" s="9">
        <f>ROUND(S721 / 1.2, 2)</f>
        <v>123461.29</v>
      </c>
      <c r="Z721" s="9">
        <f>ROUND(T721 / 1.2, 2)</f>
        <v>1514321.85</v>
      </c>
      <c r="AA721" s="9">
        <f>Y721+Z721</f>
        <v>1637783.1400000001</v>
      </c>
      <c r="AD721" s="4">
        <v>334080547</v>
      </c>
      <c r="AE721" s="4">
        <v>29277320</v>
      </c>
      <c r="AG721" s="4" t="s">
        <v>2301</v>
      </c>
      <c r="AH721" s="4" t="s">
        <v>2302</v>
      </c>
      <c r="AI721" s="4" t="s">
        <v>250</v>
      </c>
    </row>
    <row r="722" spans="1:35" ht="36" x14ac:dyDescent="0.3">
      <c r="A722" s="11" t="s">
        <v>2303</v>
      </c>
      <c r="B722" s="11"/>
      <c r="C722" s="30" t="s">
        <v>2304</v>
      </c>
      <c r="D722" s="21"/>
      <c r="E722" s="21"/>
      <c r="F722" s="33" t="s">
        <v>278</v>
      </c>
      <c r="G722" s="34">
        <v>1.1000000000000001</v>
      </c>
      <c r="H722" s="21"/>
      <c r="I722" s="37">
        <v>11270.325000000001</v>
      </c>
      <c r="J722" s="35">
        <v>7.92</v>
      </c>
      <c r="K722" s="12"/>
      <c r="L722" s="12"/>
      <c r="M722" s="35">
        <f>ROUND(ROUND(J722, 2)*I722, 2)</f>
        <v>89260.97</v>
      </c>
      <c r="N722" s="12"/>
      <c r="O722" s="12"/>
      <c r="P722" s="35">
        <v>10.73</v>
      </c>
      <c r="Q722" s="12"/>
      <c r="R722" s="12"/>
      <c r="S722" s="35">
        <f>ROUND(ROUND(P722, 2)*I722, 2)</f>
        <v>120930.59</v>
      </c>
      <c r="T722" s="12"/>
      <c r="U722" s="36"/>
      <c r="V722" s="9">
        <f>ROUND(ROUND(P722, 2)/1.2, 2)</f>
        <v>8.94</v>
      </c>
      <c r="Y722" s="9">
        <f t="shared" ref="Y722:Y753" si="24">ROUND(S722 / 1.2, 2)</f>
        <v>100775.49</v>
      </c>
      <c r="AD722" s="4" t="s">
        <v>2305</v>
      </c>
      <c r="AE722" s="4" t="s">
        <v>2306</v>
      </c>
      <c r="AF722" s="4" t="s">
        <v>2307</v>
      </c>
    </row>
    <row r="723" spans="1:35" ht="36" x14ac:dyDescent="0.3">
      <c r="A723" s="11" t="s">
        <v>2308</v>
      </c>
      <c r="B723" s="11"/>
      <c r="C723" s="32" t="s">
        <v>2309</v>
      </c>
      <c r="D723" s="21"/>
      <c r="E723" s="21"/>
      <c r="F723" s="33" t="s">
        <v>62</v>
      </c>
      <c r="G723" s="34">
        <v>1.1000000000000001</v>
      </c>
      <c r="H723" s="21"/>
      <c r="I723" s="34">
        <v>450.81299999999999</v>
      </c>
      <c r="J723" s="35">
        <v>20.34</v>
      </c>
      <c r="K723" s="12"/>
      <c r="L723" s="12"/>
      <c r="M723" s="35">
        <f>ROUND(ROUND(J723, 2)*I723, 2)</f>
        <v>9169.5400000000009</v>
      </c>
      <c r="N723" s="12"/>
      <c r="O723" s="12"/>
      <c r="P723" s="35">
        <v>20.34</v>
      </c>
      <c r="Q723" s="12"/>
      <c r="R723" s="12"/>
      <c r="S723" s="35">
        <f>ROUND(ROUND(P723, 2)*I723, 2)</f>
        <v>9169.5400000000009</v>
      </c>
      <c r="T723" s="12"/>
      <c r="U723" s="36"/>
      <c r="V723" s="9">
        <f>ROUND(ROUND(P723, 2)/1.2, 2)</f>
        <v>16.95</v>
      </c>
      <c r="Y723" s="9">
        <f t="shared" si="24"/>
        <v>7641.28</v>
      </c>
      <c r="AD723" s="4" t="s">
        <v>2310</v>
      </c>
      <c r="AE723" s="4" t="s">
        <v>2311</v>
      </c>
      <c r="AF723" s="4" t="s">
        <v>2312</v>
      </c>
    </row>
    <row r="724" spans="1:35" ht="18" x14ac:dyDescent="0.3">
      <c r="A724" s="11" t="s">
        <v>2313</v>
      </c>
      <c r="B724" s="11"/>
      <c r="C724" s="32" t="s">
        <v>2314</v>
      </c>
      <c r="D724" s="21"/>
      <c r="E724" s="21"/>
      <c r="F724" s="33" t="s">
        <v>102</v>
      </c>
      <c r="G724" s="34">
        <v>1</v>
      </c>
      <c r="H724" s="21"/>
      <c r="I724" s="34">
        <v>409.83</v>
      </c>
      <c r="J724" s="35">
        <v>18.64</v>
      </c>
      <c r="K724" s="12"/>
      <c r="L724" s="12"/>
      <c r="M724" s="35">
        <f>ROUND(ROUND(J724, 2)*I724, 2)</f>
        <v>7639.23</v>
      </c>
      <c r="N724" s="12"/>
      <c r="O724" s="12"/>
      <c r="P724" s="35">
        <v>18.64</v>
      </c>
      <c r="Q724" s="12"/>
      <c r="R724" s="12"/>
      <c r="S724" s="35">
        <f>ROUND(ROUND(P724, 2)*I724, 2)</f>
        <v>7639.23</v>
      </c>
      <c r="T724" s="12"/>
      <c r="U724" s="36"/>
      <c r="V724" s="9">
        <f>ROUND(ROUND(P724, 2)/1.2, 2)</f>
        <v>15.53</v>
      </c>
      <c r="Y724" s="9">
        <f t="shared" si="24"/>
        <v>6366.03</v>
      </c>
      <c r="AD724" s="4" t="s">
        <v>2315</v>
      </c>
      <c r="AE724" s="4" t="s">
        <v>2316</v>
      </c>
      <c r="AF724" s="4" t="s">
        <v>2317</v>
      </c>
    </row>
    <row r="725" spans="1:35" ht="18" x14ac:dyDescent="0.3">
      <c r="A725" s="11" t="s">
        <v>2318</v>
      </c>
      <c r="B725" s="11"/>
      <c r="C725" s="32" t="s">
        <v>1629</v>
      </c>
      <c r="D725" s="21"/>
      <c r="E725" s="21"/>
      <c r="F725" s="33" t="s">
        <v>278</v>
      </c>
      <c r="G725" s="34">
        <v>0.25</v>
      </c>
      <c r="H725" s="21"/>
      <c r="I725" s="34">
        <v>102.458</v>
      </c>
      <c r="J725" s="35">
        <v>101.66</v>
      </c>
      <c r="K725" s="12"/>
      <c r="L725" s="12"/>
      <c r="M725" s="35">
        <f>ROUND(ROUND(J725, 2)*I725, 2)</f>
        <v>10415.879999999999</v>
      </c>
      <c r="N725" s="12"/>
      <c r="O725" s="12"/>
      <c r="P725" s="35">
        <v>101.66</v>
      </c>
      <c r="Q725" s="12"/>
      <c r="R725" s="12"/>
      <c r="S725" s="35">
        <f>ROUND(ROUND(P725, 2)*I725, 2)</f>
        <v>10415.879999999999</v>
      </c>
      <c r="T725" s="12"/>
      <c r="U725" s="36"/>
      <c r="V725" s="9">
        <f>ROUND(ROUND(P725, 2)/1.2, 2)</f>
        <v>84.72</v>
      </c>
      <c r="Y725" s="9">
        <f t="shared" si="24"/>
        <v>8679.9</v>
      </c>
      <c r="AD725" s="4" t="s">
        <v>2319</v>
      </c>
      <c r="AE725" s="4" t="s">
        <v>2320</v>
      </c>
      <c r="AF725" s="4" t="s">
        <v>1632</v>
      </c>
    </row>
    <row r="726" spans="1:35" ht="108" x14ac:dyDescent="0.3">
      <c r="A726" s="11" t="s">
        <v>2321</v>
      </c>
      <c r="B726" s="11" t="s">
        <v>2298</v>
      </c>
      <c r="C726" s="20" t="s">
        <v>2299</v>
      </c>
      <c r="D726" s="21"/>
      <c r="E726" s="21" t="s">
        <v>2322</v>
      </c>
      <c r="F726" s="21" t="s">
        <v>62</v>
      </c>
      <c r="G726" s="22">
        <v>1</v>
      </c>
      <c r="H726" s="21"/>
      <c r="I726" s="22">
        <v>44.15</v>
      </c>
      <c r="J726" s="23">
        <f>IFERROR(ROUND(SUM(M727,M728,M729,M730)/I726, 2),0)</f>
        <v>272.36</v>
      </c>
      <c r="K726" s="23">
        <v>2956</v>
      </c>
      <c r="L726" s="23">
        <f>J726+ROUND(K726, 2)</f>
        <v>3228.36</v>
      </c>
      <c r="M726" s="23">
        <f>ROUND(J726*I726, 2)</f>
        <v>12024.69</v>
      </c>
      <c r="N726" s="23">
        <f>ROUND(I726*ROUND(K726, 2), 2)</f>
        <v>130507.4</v>
      </c>
      <c r="O726" s="23">
        <f>M726+N726</f>
        <v>142532.09</v>
      </c>
      <c r="P726" s="23">
        <f>IFERROR(ROUND(SUM(S727,S728,S729,S730)/I726, 2),0)</f>
        <v>349.63</v>
      </c>
      <c r="Q726" s="23">
        <v>4434</v>
      </c>
      <c r="R726" s="23">
        <f>P726+ROUND(Q726, 2)</f>
        <v>4783.63</v>
      </c>
      <c r="S726" s="23">
        <f>ROUND(P726*I726, 2)</f>
        <v>15436.16</v>
      </c>
      <c r="T726" s="23">
        <f>ROUND(I726*ROUND(Q726, 2), 2)</f>
        <v>195761.1</v>
      </c>
      <c r="U726" s="23">
        <f>S726+T726</f>
        <v>211197.26</v>
      </c>
      <c r="V726" s="9">
        <f>ROUND(P726 / 1.2, 2)</f>
        <v>291.36</v>
      </c>
      <c r="W726" s="9">
        <f>ROUND(Q726 / 1.2, 2)</f>
        <v>3695</v>
      </c>
      <c r="X726" s="9">
        <f>ROUND(R726 / 1.2, 2)</f>
        <v>3986.36</v>
      </c>
      <c r="Y726" s="9">
        <f t="shared" si="24"/>
        <v>12863.47</v>
      </c>
      <c r="Z726" s="9">
        <f>ROUND(T726 / 1.2, 2)</f>
        <v>163134.25</v>
      </c>
      <c r="AA726" s="9">
        <f>Y726+Z726</f>
        <v>175997.72</v>
      </c>
      <c r="AD726" s="4">
        <v>334080739</v>
      </c>
      <c r="AE726" s="4">
        <v>29277321</v>
      </c>
      <c r="AG726" s="4" t="s">
        <v>2301</v>
      </c>
      <c r="AH726" s="4" t="s">
        <v>2302</v>
      </c>
      <c r="AI726" s="4" t="s">
        <v>250</v>
      </c>
    </row>
    <row r="727" spans="1:35" ht="36" x14ac:dyDescent="0.3">
      <c r="A727" s="11" t="s">
        <v>2323</v>
      </c>
      <c r="B727" s="11"/>
      <c r="C727" s="32" t="s">
        <v>1007</v>
      </c>
      <c r="D727" s="21"/>
      <c r="E727" s="21"/>
      <c r="F727" s="33" t="s">
        <v>278</v>
      </c>
      <c r="G727" s="34">
        <v>0.15</v>
      </c>
      <c r="H727" s="21"/>
      <c r="I727" s="34">
        <v>6.6230000000000002</v>
      </c>
      <c r="J727" s="35">
        <v>90.28</v>
      </c>
      <c r="K727" s="12"/>
      <c r="L727" s="12"/>
      <c r="M727" s="35">
        <f>ROUND(ROUND(J727, 2)*I727, 2)</f>
        <v>597.91999999999996</v>
      </c>
      <c r="N727" s="12"/>
      <c r="O727" s="12"/>
      <c r="P727" s="35">
        <v>90.28</v>
      </c>
      <c r="Q727" s="12"/>
      <c r="R727" s="12"/>
      <c r="S727" s="35">
        <f>ROUND(ROUND(P727, 2)*I727, 2)</f>
        <v>597.91999999999996</v>
      </c>
      <c r="T727" s="12"/>
      <c r="U727" s="36"/>
      <c r="V727" s="9">
        <f>ROUND(ROUND(P727, 2)/1.2, 2)</f>
        <v>75.23</v>
      </c>
      <c r="Y727" s="9">
        <f t="shared" si="24"/>
        <v>498.27</v>
      </c>
      <c r="AD727" s="4" t="s">
        <v>2324</v>
      </c>
      <c r="AE727" s="4" t="s">
        <v>2325</v>
      </c>
      <c r="AF727" s="4" t="s">
        <v>1010</v>
      </c>
    </row>
    <row r="728" spans="1:35" ht="18" x14ac:dyDescent="0.3">
      <c r="A728" s="11" t="s">
        <v>2326</v>
      </c>
      <c r="B728" s="11"/>
      <c r="C728" s="32" t="s">
        <v>2314</v>
      </c>
      <c r="D728" s="21"/>
      <c r="E728" s="21"/>
      <c r="F728" s="33" t="s">
        <v>102</v>
      </c>
      <c r="G728" s="34">
        <v>1</v>
      </c>
      <c r="H728" s="21"/>
      <c r="I728" s="34">
        <v>44.15</v>
      </c>
      <c r="J728" s="35">
        <v>18.64</v>
      </c>
      <c r="K728" s="12"/>
      <c r="L728" s="12"/>
      <c r="M728" s="35">
        <f>ROUND(ROUND(J728, 2)*I728, 2)</f>
        <v>822.96</v>
      </c>
      <c r="N728" s="12"/>
      <c r="O728" s="12"/>
      <c r="P728" s="35">
        <v>18.64</v>
      </c>
      <c r="Q728" s="12"/>
      <c r="R728" s="12"/>
      <c r="S728" s="35">
        <f>ROUND(ROUND(P728, 2)*I728, 2)</f>
        <v>822.96</v>
      </c>
      <c r="T728" s="12"/>
      <c r="U728" s="36"/>
      <c r="V728" s="9">
        <f>ROUND(ROUND(P728, 2)/1.2, 2)</f>
        <v>15.53</v>
      </c>
      <c r="Y728" s="9">
        <f t="shared" si="24"/>
        <v>685.8</v>
      </c>
      <c r="AD728" s="4" t="s">
        <v>2327</v>
      </c>
      <c r="AE728" s="4" t="s">
        <v>2328</v>
      </c>
      <c r="AF728" s="4" t="s">
        <v>2317</v>
      </c>
    </row>
    <row r="729" spans="1:35" ht="36" x14ac:dyDescent="0.3">
      <c r="A729" s="11" t="s">
        <v>2329</v>
      </c>
      <c r="B729" s="11"/>
      <c r="C729" s="32" t="s">
        <v>2309</v>
      </c>
      <c r="D729" s="21"/>
      <c r="E729" s="21"/>
      <c r="F729" s="33" t="s">
        <v>62</v>
      </c>
      <c r="G729" s="34">
        <v>1.1000000000000001</v>
      </c>
      <c r="H729" s="21"/>
      <c r="I729" s="34">
        <v>48.564999999999998</v>
      </c>
      <c r="J729" s="35">
        <v>20.34</v>
      </c>
      <c r="K729" s="12"/>
      <c r="L729" s="12"/>
      <c r="M729" s="35">
        <f>ROUND(ROUND(J729, 2)*I729, 2)</f>
        <v>987.81</v>
      </c>
      <c r="N729" s="12"/>
      <c r="O729" s="12"/>
      <c r="P729" s="35">
        <v>20.34</v>
      </c>
      <c r="Q729" s="12"/>
      <c r="R729" s="12"/>
      <c r="S729" s="35">
        <f>ROUND(ROUND(P729, 2)*I729, 2)</f>
        <v>987.81</v>
      </c>
      <c r="T729" s="12"/>
      <c r="U729" s="36"/>
      <c r="V729" s="9">
        <f>ROUND(ROUND(P729, 2)/1.2, 2)</f>
        <v>16.95</v>
      </c>
      <c r="Y729" s="9">
        <f t="shared" si="24"/>
        <v>823.18</v>
      </c>
      <c r="AD729" s="4" t="s">
        <v>2330</v>
      </c>
      <c r="AE729" s="4" t="s">
        <v>2331</v>
      </c>
      <c r="AF729" s="4" t="s">
        <v>2312</v>
      </c>
    </row>
    <row r="730" spans="1:35" ht="36" x14ac:dyDescent="0.3">
      <c r="A730" s="11" t="s">
        <v>2332</v>
      </c>
      <c r="B730" s="11"/>
      <c r="C730" s="30" t="s">
        <v>2304</v>
      </c>
      <c r="D730" s="21"/>
      <c r="E730" s="21"/>
      <c r="F730" s="33" t="s">
        <v>278</v>
      </c>
      <c r="G730" s="34">
        <v>1.1000000000000001</v>
      </c>
      <c r="H730" s="21"/>
      <c r="I730" s="37">
        <v>1214.125</v>
      </c>
      <c r="J730" s="35">
        <v>7.92</v>
      </c>
      <c r="K730" s="12"/>
      <c r="L730" s="12"/>
      <c r="M730" s="35">
        <f>ROUND(ROUND(J730, 2)*I730, 2)</f>
        <v>9615.8700000000008</v>
      </c>
      <c r="N730" s="12"/>
      <c r="O730" s="12"/>
      <c r="P730" s="35">
        <v>10.73</v>
      </c>
      <c r="Q730" s="12"/>
      <c r="R730" s="12"/>
      <c r="S730" s="35">
        <f>ROUND(ROUND(P730, 2)*I730, 2)</f>
        <v>13027.56</v>
      </c>
      <c r="T730" s="12"/>
      <c r="U730" s="36"/>
      <c r="V730" s="9">
        <f>ROUND(ROUND(P730, 2)/1.2, 2)</f>
        <v>8.94</v>
      </c>
      <c r="Y730" s="9">
        <f t="shared" si="24"/>
        <v>10856.3</v>
      </c>
      <c r="AD730" s="4" t="s">
        <v>2333</v>
      </c>
      <c r="AE730" s="4" t="s">
        <v>2334</v>
      </c>
      <c r="AF730" s="4" t="s">
        <v>2307</v>
      </c>
    </row>
    <row r="731" spans="1:35" ht="144" x14ac:dyDescent="0.3">
      <c r="A731" s="11" t="s">
        <v>2335</v>
      </c>
      <c r="B731" s="11" t="s">
        <v>2298</v>
      </c>
      <c r="C731" s="20" t="s">
        <v>2299</v>
      </c>
      <c r="D731" s="21"/>
      <c r="E731" s="21" t="s">
        <v>2336</v>
      </c>
      <c r="F731" s="21" t="s">
        <v>62</v>
      </c>
      <c r="G731" s="22">
        <v>1</v>
      </c>
      <c r="H731" s="21"/>
      <c r="I731" s="22">
        <v>43.47</v>
      </c>
      <c r="J731" s="23">
        <f>IFERROR(ROUND(SUM(M732,M733,M734,M735)/I731, 2),0)</f>
        <v>365.96</v>
      </c>
      <c r="K731" s="23">
        <v>2956</v>
      </c>
      <c r="L731" s="23">
        <f>J731+ROUND(K731, 2)</f>
        <v>3321.96</v>
      </c>
      <c r="M731" s="23">
        <f>ROUND(J731*I731, 2)</f>
        <v>15908.28</v>
      </c>
      <c r="N731" s="23">
        <f>ROUND(I731*ROUND(K731, 2), 2)</f>
        <v>128497.32</v>
      </c>
      <c r="O731" s="23">
        <f>M731+N731</f>
        <v>144405.6</v>
      </c>
      <c r="P731" s="23">
        <f>IFERROR(ROUND(SUM(S732,S733,S734,S735)/I731, 2),0)</f>
        <v>537.86</v>
      </c>
      <c r="Q731" s="23">
        <v>4434</v>
      </c>
      <c r="R731" s="23">
        <f>P731+ROUND(Q731, 2)</f>
        <v>4971.8599999999997</v>
      </c>
      <c r="S731" s="23">
        <f>ROUND(P731*I731, 2)</f>
        <v>23380.77</v>
      </c>
      <c r="T731" s="23">
        <f>ROUND(I731*ROUND(Q731, 2), 2)</f>
        <v>192745.98</v>
      </c>
      <c r="U731" s="23">
        <f>S731+T731</f>
        <v>216126.75</v>
      </c>
      <c r="V731" s="9">
        <f>ROUND(P731 / 1.2, 2)</f>
        <v>448.22</v>
      </c>
      <c r="W731" s="9">
        <f>ROUND(Q731 / 1.2, 2)</f>
        <v>3695</v>
      </c>
      <c r="X731" s="9">
        <f>ROUND(R731 / 1.2, 2)</f>
        <v>4143.22</v>
      </c>
      <c r="Y731" s="9">
        <f t="shared" si="24"/>
        <v>19483.98</v>
      </c>
      <c r="Z731" s="9">
        <f>ROUND(T731 / 1.2, 2)</f>
        <v>160621.65</v>
      </c>
      <c r="AA731" s="9">
        <f>Y731+Z731</f>
        <v>180105.63</v>
      </c>
      <c r="AD731" s="4">
        <v>334080740</v>
      </c>
      <c r="AE731" s="4">
        <v>29285268</v>
      </c>
      <c r="AG731" s="4" t="s">
        <v>2301</v>
      </c>
      <c r="AH731" s="4" t="s">
        <v>2302</v>
      </c>
      <c r="AI731" s="4" t="s">
        <v>250</v>
      </c>
    </row>
    <row r="732" spans="1:35" ht="36" x14ac:dyDescent="0.3">
      <c r="A732" s="11" t="s">
        <v>2337</v>
      </c>
      <c r="B732" s="11"/>
      <c r="C732" s="32" t="s">
        <v>2338</v>
      </c>
      <c r="D732" s="21"/>
      <c r="E732" s="21" t="s">
        <v>1602</v>
      </c>
      <c r="F732" s="33" t="s">
        <v>278</v>
      </c>
      <c r="G732" s="34">
        <v>1.8</v>
      </c>
      <c r="H732" s="21"/>
      <c r="I732" s="37">
        <v>1956.15</v>
      </c>
      <c r="J732" s="35">
        <v>6.92</v>
      </c>
      <c r="K732" s="12"/>
      <c r="L732" s="12"/>
      <c r="M732" s="35">
        <f>ROUND(ROUND(J732, 2)*I732, 2)</f>
        <v>13536.56</v>
      </c>
      <c r="N732" s="12"/>
      <c r="O732" s="12"/>
      <c r="P732" s="35">
        <v>10.74</v>
      </c>
      <c r="Q732" s="12"/>
      <c r="R732" s="12"/>
      <c r="S732" s="35">
        <f>ROUND(ROUND(P732, 2)*I732, 2)</f>
        <v>21009.05</v>
      </c>
      <c r="T732" s="12"/>
      <c r="U732" s="36"/>
      <c r="V732" s="9">
        <f>ROUND(ROUND(P732, 2)/1.2, 2)</f>
        <v>8.9499999999999993</v>
      </c>
      <c r="Y732" s="9">
        <f t="shared" si="24"/>
        <v>17507.54</v>
      </c>
      <c r="AD732" s="4" t="s">
        <v>2339</v>
      </c>
      <c r="AE732" s="4" t="s">
        <v>2340</v>
      </c>
      <c r="AF732" s="4" t="s">
        <v>2341</v>
      </c>
    </row>
    <row r="733" spans="1:35" ht="36" x14ac:dyDescent="0.3">
      <c r="A733" s="11" t="s">
        <v>2342</v>
      </c>
      <c r="B733" s="11"/>
      <c r="C733" s="32" t="s">
        <v>2309</v>
      </c>
      <c r="D733" s="21"/>
      <c r="E733" s="21"/>
      <c r="F733" s="33" t="s">
        <v>62</v>
      </c>
      <c r="G733" s="34">
        <v>1.1000000000000001</v>
      </c>
      <c r="H733" s="21"/>
      <c r="I733" s="34">
        <v>47.817</v>
      </c>
      <c r="J733" s="35">
        <v>20.34</v>
      </c>
      <c r="K733" s="12"/>
      <c r="L733" s="12"/>
      <c r="M733" s="35">
        <f>ROUND(ROUND(J733, 2)*I733, 2)</f>
        <v>972.6</v>
      </c>
      <c r="N733" s="12"/>
      <c r="O733" s="12"/>
      <c r="P733" s="35">
        <v>20.34</v>
      </c>
      <c r="Q733" s="12"/>
      <c r="R733" s="12"/>
      <c r="S733" s="35">
        <f>ROUND(ROUND(P733, 2)*I733, 2)</f>
        <v>972.6</v>
      </c>
      <c r="T733" s="12"/>
      <c r="U733" s="36"/>
      <c r="V733" s="9">
        <f>ROUND(ROUND(P733, 2)/1.2, 2)</f>
        <v>16.95</v>
      </c>
      <c r="Y733" s="9">
        <f t="shared" si="24"/>
        <v>810.5</v>
      </c>
      <c r="AD733" s="4" t="s">
        <v>2343</v>
      </c>
      <c r="AE733" s="4" t="s">
        <v>2344</v>
      </c>
      <c r="AF733" s="4" t="s">
        <v>2312</v>
      </c>
    </row>
    <row r="734" spans="1:35" ht="18" x14ac:dyDescent="0.3">
      <c r="A734" s="11" t="s">
        <v>2345</v>
      </c>
      <c r="B734" s="11"/>
      <c r="C734" s="32" t="s">
        <v>2314</v>
      </c>
      <c r="D734" s="21"/>
      <c r="E734" s="21"/>
      <c r="F734" s="33" t="s">
        <v>102</v>
      </c>
      <c r="G734" s="34">
        <v>1</v>
      </c>
      <c r="H734" s="21"/>
      <c r="I734" s="34">
        <v>43.47</v>
      </c>
      <c r="J734" s="35">
        <v>18.64</v>
      </c>
      <c r="K734" s="12"/>
      <c r="L734" s="12"/>
      <c r="M734" s="35">
        <f>ROUND(ROUND(J734, 2)*I734, 2)</f>
        <v>810.28</v>
      </c>
      <c r="N734" s="12"/>
      <c r="O734" s="12"/>
      <c r="P734" s="35">
        <v>18.64</v>
      </c>
      <c r="Q734" s="12"/>
      <c r="R734" s="12"/>
      <c r="S734" s="35">
        <f>ROUND(ROUND(P734, 2)*I734, 2)</f>
        <v>810.28</v>
      </c>
      <c r="T734" s="12"/>
      <c r="U734" s="36"/>
      <c r="V734" s="9">
        <f>ROUND(ROUND(P734, 2)/1.2, 2)</f>
        <v>15.53</v>
      </c>
      <c r="Y734" s="9">
        <f t="shared" si="24"/>
        <v>675.23</v>
      </c>
      <c r="AD734" s="4" t="s">
        <v>2346</v>
      </c>
      <c r="AE734" s="4" t="s">
        <v>2347</v>
      </c>
      <c r="AF734" s="4" t="s">
        <v>2317</v>
      </c>
    </row>
    <row r="735" spans="1:35" ht="36" x14ac:dyDescent="0.3">
      <c r="A735" s="11" t="s">
        <v>2348</v>
      </c>
      <c r="B735" s="11"/>
      <c r="C735" s="32" t="s">
        <v>1007</v>
      </c>
      <c r="D735" s="21"/>
      <c r="E735" s="21"/>
      <c r="F735" s="33" t="s">
        <v>278</v>
      </c>
      <c r="G735" s="34">
        <v>0.15</v>
      </c>
      <c r="H735" s="21"/>
      <c r="I735" s="34">
        <v>6.5209999999999999</v>
      </c>
      <c r="J735" s="35">
        <v>90.28</v>
      </c>
      <c r="K735" s="12"/>
      <c r="L735" s="12"/>
      <c r="M735" s="35">
        <f>ROUND(ROUND(J735, 2)*I735, 2)</f>
        <v>588.72</v>
      </c>
      <c r="N735" s="12"/>
      <c r="O735" s="12"/>
      <c r="P735" s="35">
        <v>90.28</v>
      </c>
      <c r="Q735" s="12"/>
      <c r="R735" s="12"/>
      <c r="S735" s="35">
        <f>ROUND(ROUND(P735, 2)*I735, 2)</f>
        <v>588.72</v>
      </c>
      <c r="T735" s="12"/>
      <c r="U735" s="36"/>
      <c r="V735" s="9">
        <f>ROUND(ROUND(P735, 2)/1.2, 2)</f>
        <v>75.23</v>
      </c>
      <c r="Y735" s="9">
        <f t="shared" si="24"/>
        <v>490.6</v>
      </c>
      <c r="AD735" s="4" t="s">
        <v>2349</v>
      </c>
      <c r="AE735" s="4" t="s">
        <v>2350</v>
      </c>
      <c r="AF735" s="4" t="s">
        <v>1010</v>
      </c>
    </row>
    <row r="736" spans="1:35" ht="162" x14ac:dyDescent="0.3">
      <c r="A736" s="11" t="s">
        <v>2351</v>
      </c>
      <c r="B736" s="11" t="s">
        <v>2298</v>
      </c>
      <c r="C736" s="20" t="s">
        <v>2299</v>
      </c>
      <c r="D736" s="21"/>
      <c r="E736" s="21" t="s">
        <v>2352</v>
      </c>
      <c r="F736" s="21" t="s">
        <v>62</v>
      </c>
      <c r="G736" s="22">
        <v>1</v>
      </c>
      <c r="H736" s="21"/>
      <c r="I736" s="22">
        <v>53.76</v>
      </c>
      <c r="J736" s="23">
        <f>IFERROR(ROUND(SUM(M737,M738,M739,M740)/I736, 2),0)</f>
        <v>365.96</v>
      </c>
      <c r="K736" s="23">
        <v>2956</v>
      </c>
      <c r="L736" s="23">
        <f>J736+ROUND(K736, 2)</f>
        <v>3321.96</v>
      </c>
      <c r="M736" s="23">
        <f>ROUND(J736*I736, 2)</f>
        <v>19674.009999999998</v>
      </c>
      <c r="N736" s="23">
        <f>ROUND(I736*ROUND(K736, 2), 2)</f>
        <v>158914.56</v>
      </c>
      <c r="O736" s="23">
        <f>M736+N736</f>
        <v>178588.57</v>
      </c>
      <c r="P736" s="23">
        <f>IFERROR(ROUND(SUM(S737,S738,S739,S740)/I736, 2),0)</f>
        <v>537.86</v>
      </c>
      <c r="Q736" s="23">
        <v>4434</v>
      </c>
      <c r="R736" s="23">
        <f>P736+ROUND(Q736, 2)</f>
        <v>4971.8599999999997</v>
      </c>
      <c r="S736" s="23">
        <f>ROUND(P736*I736, 2)</f>
        <v>28915.35</v>
      </c>
      <c r="T736" s="23">
        <f>ROUND(I736*ROUND(Q736, 2), 2)</f>
        <v>238371.84</v>
      </c>
      <c r="U736" s="23">
        <f>S736+T736</f>
        <v>267287.19</v>
      </c>
      <c r="V736" s="9">
        <f>ROUND(P736 / 1.2, 2)</f>
        <v>448.22</v>
      </c>
      <c r="W736" s="9">
        <f>ROUND(Q736 / 1.2, 2)</f>
        <v>3695</v>
      </c>
      <c r="X736" s="9">
        <f>ROUND(R736 / 1.2, 2)</f>
        <v>4143.22</v>
      </c>
      <c r="Y736" s="9">
        <f t="shared" si="24"/>
        <v>24096.13</v>
      </c>
      <c r="Z736" s="9">
        <f>ROUND(T736 / 1.2, 2)</f>
        <v>198643.20000000001</v>
      </c>
      <c r="AA736" s="9">
        <f>Y736+Z736</f>
        <v>222739.33000000002</v>
      </c>
      <c r="AD736" s="4">
        <v>334080741</v>
      </c>
      <c r="AE736" s="4">
        <v>29285267</v>
      </c>
      <c r="AG736" s="4" t="s">
        <v>2301</v>
      </c>
      <c r="AH736" s="4" t="s">
        <v>2302</v>
      </c>
      <c r="AI736" s="4" t="s">
        <v>250</v>
      </c>
    </row>
    <row r="737" spans="1:35" ht="36" x14ac:dyDescent="0.3">
      <c r="A737" s="11" t="s">
        <v>2353</v>
      </c>
      <c r="B737" s="11"/>
      <c r="C737" s="32" t="s">
        <v>1007</v>
      </c>
      <c r="D737" s="21"/>
      <c r="E737" s="21"/>
      <c r="F737" s="33" t="s">
        <v>278</v>
      </c>
      <c r="G737" s="34">
        <v>0.15</v>
      </c>
      <c r="H737" s="21"/>
      <c r="I737" s="34">
        <v>8.0640000000000001</v>
      </c>
      <c r="J737" s="35">
        <v>90.28</v>
      </c>
      <c r="K737" s="12"/>
      <c r="L737" s="12"/>
      <c r="M737" s="35">
        <f>ROUND(ROUND(J737, 2)*I737, 2)</f>
        <v>728.02</v>
      </c>
      <c r="N737" s="12"/>
      <c r="O737" s="12"/>
      <c r="P737" s="35">
        <v>90.28</v>
      </c>
      <c r="Q737" s="12"/>
      <c r="R737" s="12"/>
      <c r="S737" s="35">
        <f>ROUND(ROUND(P737, 2)*I737, 2)</f>
        <v>728.02</v>
      </c>
      <c r="T737" s="12"/>
      <c r="U737" s="36"/>
      <c r="V737" s="9">
        <f>ROUND(ROUND(P737, 2)/1.2, 2)</f>
        <v>75.23</v>
      </c>
      <c r="Y737" s="9">
        <f t="shared" si="24"/>
        <v>606.67999999999995</v>
      </c>
      <c r="AD737" s="4" t="s">
        <v>2354</v>
      </c>
      <c r="AE737" s="4" t="s">
        <v>2355</v>
      </c>
      <c r="AF737" s="4" t="s">
        <v>1010</v>
      </c>
    </row>
    <row r="738" spans="1:35" ht="18" x14ac:dyDescent="0.3">
      <c r="A738" s="11" t="s">
        <v>2356</v>
      </c>
      <c r="B738" s="11"/>
      <c r="C738" s="32" t="s">
        <v>2314</v>
      </c>
      <c r="D738" s="21"/>
      <c r="E738" s="21"/>
      <c r="F738" s="33" t="s">
        <v>102</v>
      </c>
      <c r="G738" s="34">
        <v>1</v>
      </c>
      <c r="H738" s="21"/>
      <c r="I738" s="34">
        <v>53.76</v>
      </c>
      <c r="J738" s="35">
        <v>18.64</v>
      </c>
      <c r="K738" s="12"/>
      <c r="L738" s="12"/>
      <c r="M738" s="35">
        <f>ROUND(ROUND(J738, 2)*I738, 2)</f>
        <v>1002.09</v>
      </c>
      <c r="N738" s="12"/>
      <c r="O738" s="12"/>
      <c r="P738" s="35">
        <v>18.64</v>
      </c>
      <c r="Q738" s="12"/>
      <c r="R738" s="12"/>
      <c r="S738" s="35">
        <f>ROUND(ROUND(P738, 2)*I738, 2)</f>
        <v>1002.09</v>
      </c>
      <c r="T738" s="12"/>
      <c r="U738" s="36"/>
      <c r="V738" s="9">
        <f>ROUND(ROUND(P738, 2)/1.2, 2)</f>
        <v>15.53</v>
      </c>
      <c r="Y738" s="9">
        <f t="shared" si="24"/>
        <v>835.08</v>
      </c>
      <c r="AD738" s="4" t="s">
        <v>2357</v>
      </c>
      <c r="AE738" s="4" t="s">
        <v>2358</v>
      </c>
      <c r="AF738" s="4" t="s">
        <v>2317</v>
      </c>
    </row>
    <row r="739" spans="1:35" ht="36" x14ac:dyDescent="0.3">
      <c r="A739" s="11" t="s">
        <v>2359</v>
      </c>
      <c r="B739" s="11"/>
      <c r="C739" s="32" t="s">
        <v>2309</v>
      </c>
      <c r="D739" s="21"/>
      <c r="E739" s="21"/>
      <c r="F739" s="33" t="s">
        <v>62</v>
      </c>
      <c r="G739" s="34">
        <v>1.1000000000000001</v>
      </c>
      <c r="H739" s="21"/>
      <c r="I739" s="34">
        <v>59.136000000000003</v>
      </c>
      <c r="J739" s="35">
        <v>20.34</v>
      </c>
      <c r="K739" s="12"/>
      <c r="L739" s="12"/>
      <c r="M739" s="35">
        <f>ROUND(ROUND(J739, 2)*I739, 2)</f>
        <v>1202.83</v>
      </c>
      <c r="N739" s="12"/>
      <c r="O739" s="12"/>
      <c r="P739" s="35">
        <v>20.34</v>
      </c>
      <c r="Q739" s="12"/>
      <c r="R739" s="12"/>
      <c r="S739" s="35">
        <f>ROUND(ROUND(P739, 2)*I739, 2)</f>
        <v>1202.83</v>
      </c>
      <c r="T739" s="12"/>
      <c r="U739" s="36"/>
      <c r="V739" s="9">
        <f>ROUND(ROUND(P739, 2)/1.2, 2)</f>
        <v>16.95</v>
      </c>
      <c r="Y739" s="9">
        <f t="shared" si="24"/>
        <v>1002.36</v>
      </c>
      <c r="AD739" s="4" t="s">
        <v>2360</v>
      </c>
      <c r="AE739" s="4" t="s">
        <v>2361</v>
      </c>
      <c r="AF739" s="4" t="s">
        <v>2312</v>
      </c>
    </row>
    <row r="740" spans="1:35" ht="36" x14ac:dyDescent="0.3">
      <c r="A740" s="11" t="s">
        <v>2362</v>
      </c>
      <c r="B740" s="11"/>
      <c r="C740" s="32" t="s">
        <v>2338</v>
      </c>
      <c r="D740" s="21"/>
      <c r="E740" s="21" t="s">
        <v>1602</v>
      </c>
      <c r="F740" s="33" t="s">
        <v>278</v>
      </c>
      <c r="G740" s="34">
        <v>1.8</v>
      </c>
      <c r="H740" s="21"/>
      <c r="I740" s="37">
        <v>2419.1999999999998</v>
      </c>
      <c r="J740" s="35">
        <v>6.92</v>
      </c>
      <c r="K740" s="12"/>
      <c r="L740" s="12"/>
      <c r="M740" s="35">
        <f>ROUND(ROUND(J740, 2)*I740, 2)</f>
        <v>16740.86</v>
      </c>
      <c r="N740" s="12"/>
      <c r="O740" s="12"/>
      <c r="P740" s="35">
        <v>10.74</v>
      </c>
      <c r="Q740" s="12"/>
      <c r="R740" s="12"/>
      <c r="S740" s="35">
        <f>ROUND(ROUND(P740, 2)*I740, 2)</f>
        <v>25982.21</v>
      </c>
      <c r="T740" s="12"/>
      <c r="U740" s="36"/>
      <c r="V740" s="9">
        <f>ROUND(ROUND(P740, 2)/1.2, 2)</f>
        <v>8.9499999999999993</v>
      </c>
      <c r="Y740" s="9">
        <f t="shared" si="24"/>
        <v>21651.84</v>
      </c>
      <c r="AD740" s="4" t="s">
        <v>2363</v>
      </c>
      <c r="AE740" s="4" t="s">
        <v>2364</v>
      </c>
      <c r="AF740" s="4" t="s">
        <v>2341</v>
      </c>
    </row>
    <row r="741" spans="1:35" ht="162" x14ac:dyDescent="0.3">
      <c r="A741" s="11" t="s">
        <v>2365</v>
      </c>
      <c r="B741" s="11" t="s">
        <v>2298</v>
      </c>
      <c r="C741" s="20" t="s">
        <v>2299</v>
      </c>
      <c r="D741" s="21"/>
      <c r="E741" s="21" t="s">
        <v>2366</v>
      </c>
      <c r="F741" s="21" t="s">
        <v>62</v>
      </c>
      <c r="G741" s="22">
        <v>1</v>
      </c>
      <c r="H741" s="21"/>
      <c r="I741" s="22">
        <v>181.82</v>
      </c>
      <c r="J741" s="23">
        <f>IFERROR(ROUND(SUM(M742,M743,M744,M745)/I741, 2),0)</f>
        <v>284.23</v>
      </c>
      <c r="K741" s="23">
        <v>2956</v>
      </c>
      <c r="L741" s="23">
        <f>J741+ROUND(K741, 2)</f>
        <v>3240.23</v>
      </c>
      <c r="M741" s="23">
        <f>ROUND(J741*I741, 2)</f>
        <v>51678.7</v>
      </c>
      <c r="N741" s="23">
        <f>ROUND(I741*ROUND(K741, 2), 2)</f>
        <v>537459.92000000004</v>
      </c>
      <c r="O741" s="23">
        <f>M741+N741</f>
        <v>589138.62</v>
      </c>
      <c r="P741" s="23">
        <f>IFERROR(ROUND(SUM(S742,S743,S744,S745)/I741, 2),0)</f>
        <v>361.5</v>
      </c>
      <c r="Q741" s="23">
        <v>4434</v>
      </c>
      <c r="R741" s="23">
        <f>P741+ROUND(Q741, 2)</f>
        <v>4795.5</v>
      </c>
      <c r="S741" s="23">
        <f>ROUND(P741*I741, 2)</f>
        <v>65727.929999999993</v>
      </c>
      <c r="T741" s="23">
        <f>ROUND(I741*ROUND(Q741, 2), 2)</f>
        <v>806189.88</v>
      </c>
      <c r="U741" s="23">
        <f>S741+T741</f>
        <v>871917.81</v>
      </c>
      <c r="V741" s="9">
        <f>ROUND(P741 / 1.2, 2)</f>
        <v>301.25</v>
      </c>
      <c r="W741" s="9">
        <f>ROUND(Q741 / 1.2, 2)</f>
        <v>3695</v>
      </c>
      <c r="X741" s="9">
        <f>ROUND(R741 / 1.2, 2)</f>
        <v>3996.25</v>
      </c>
      <c r="Y741" s="9">
        <f t="shared" si="24"/>
        <v>54773.279999999999</v>
      </c>
      <c r="Z741" s="9">
        <f>ROUND(T741 / 1.2, 2)</f>
        <v>671824.9</v>
      </c>
      <c r="AA741" s="9">
        <f>Y741+Z741</f>
        <v>726598.18</v>
      </c>
      <c r="AD741" s="4">
        <v>334080742</v>
      </c>
      <c r="AE741" s="4">
        <v>29289989</v>
      </c>
      <c r="AG741" s="4" t="s">
        <v>2301</v>
      </c>
      <c r="AH741" s="4" t="s">
        <v>2302</v>
      </c>
      <c r="AI741" s="4" t="s">
        <v>250</v>
      </c>
    </row>
    <row r="742" spans="1:35" ht="36" x14ac:dyDescent="0.3">
      <c r="A742" s="11" t="s">
        <v>2367</v>
      </c>
      <c r="B742" s="11"/>
      <c r="C742" s="30" t="s">
        <v>2304</v>
      </c>
      <c r="D742" s="21"/>
      <c r="E742" s="21"/>
      <c r="F742" s="33" t="s">
        <v>278</v>
      </c>
      <c r="G742" s="34">
        <v>1.1000000000000001</v>
      </c>
      <c r="H742" s="21"/>
      <c r="I742" s="37">
        <v>5000.05</v>
      </c>
      <c r="J742" s="35">
        <v>7.92</v>
      </c>
      <c r="K742" s="12"/>
      <c r="L742" s="12"/>
      <c r="M742" s="35">
        <f>ROUND(ROUND(J742, 2)*I742, 2)</f>
        <v>39600.400000000001</v>
      </c>
      <c r="N742" s="12"/>
      <c r="O742" s="12"/>
      <c r="P742" s="35">
        <v>10.73</v>
      </c>
      <c r="Q742" s="12"/>
      <c r="R742" s="12"/>
      <c r="S742" s="35">
        <f>ROUND(ROUND(P742, 2)*I742, 2)</f>
        <v>53650.54</v>
      </c>
      <c r="T742" s="12"/>
      <c r="U742" s="36"/>
      <c r="V742" s="9">
        <f>ROUND(ROUND(P742, 2)/1.2, 2)</f>
        <v>8.94</v>
      </c>
      <c r="Y742" s="9">
        <f t="shared" si="24"/>
        <v>44708.78</v>
      </c>
      <c r="AD742" s="4" t="s">
        <v>2368</v>
      </c>
      <c r="AE742" s="4" t="s">
        <v>2369</v>
      </c>
      <c r="AF742" s="4" t="s">
        <v>2307</v>
      </c>
    </row>
    <row r="743" spans="1:35" ht="36" x14ac:dyDescent="0.3">
      <c r="A743" s="11" t="s">
        <v>2370</v>
      </c>
      <c r="B743" s="11"/>
      <c r="C743" s="32" t="s">
        <v>2309</v>
      </c>
      <c r="D743" s="21"/>
      <c r="E743" s="21"/>
      <c r="F743" s="33" t="s">
        <v>62</v>
      </c>
      <c r="G743" s="34">
        <v>1.1000000000000001</v>
      </c>
      <c r="H743" s="21"/>
      <c r="I743" s="34">
        <v>200.00200000000001</v>
      </c>
      <c r="J743" s="35">
        <v>20.34</v>
      </c>
      <c r="K743" s="12"/>
      <c r="L743" s="12"/>
      <c r="M743" s="35">
        <f>ROUND(ROUND(J743, 2)*I743, 2)</f>
        <v>4068.04</v>
      </c>
      <c r="N743" s="12"/>
      <c r="O743" s="12"/>
      <c r="P743" s="35">
        <v>20.34</v>
      </c>
      <c r="Q743" s="12"/>
      <c r="R743" s="12"/>
      <c r="S743" s="35">
        <f>ROUND(ROUND(P743, 2)*I743, 2)</f>
        <v>4068.04</v>
      </c>
      <c r="T743" s="12"/>
      <c r="U743" s="36"/>
      <c r="V743" s="9">
        <f>ROUND(ROUND(P743, 2)/1.2, 2)</f>
        <v>16.95</v>
      </c>
      <c r="Y743" s="9">
        <f t="shared" si="24"/>
        <v>3390.03</v>
      </c>
      <c r="AD743" s="4" t="s">
        <v>2371</v>
      </c>
      <c r="AE743" s="4" t="s">
        <v>2372</v>
      </c>
      <c r="AF743" s="4" t="s">
        <v>2312</v>
      </c>
    </row>
    <row r="744" spans="1:35" ht="18" x14ac:dyDescent="0.3">
      <c r="A744" s="11" t="s">
        <v>2373</v>
      </c>
      <c r="B744" s="11"/>
      <c r="C744" s="32" t="s">
        <v>2314</v>
      </c>
      <c r="D744" s="21"/>
      <c r="E744" s="21"/>
      <c r="F744" s="33" t="s">
        <v>102</v>
      </c>
      <c r="G744" s="34">
        <v>1</v>
      </c>
      <c r="H744" s="21"/>
      <c r="I744" s="34">
        <v>181.82</v>
      </c>
      <c r="J744" s="35">
        <v>18.64</v>
      </c>
      <c r="K744" s="12"/>
      <c r="L744" s="12"/>
      <c r="M744" s="35">
        <f>ROUND(ROUND(J744, 2)*I744, 2)</f>
        <v>3389.12</v>
      </c>
      <c r="N744" s="12"/>
      <c r="O744" s="12"/>
      <c r="P744" s="35">
        <v>18.64</v>
      </c>
      <c r="Q744" s="12"/>
      <c r="R744" s="12"/>
      <c r="S744" s="35">
        <f>ROUND(ROUND(P744, 2)*I744, 2)</f>
        <v>3389.12</v>
      </c>
      <c r="T744" s="12"/>
      <c r="U744" s="36"/>
      <c r="V744" s="9">
        <f>ROUND(ROUND(P744, 2)/1.2, 2)</f>
        <v>15.53</v>
      </c>
      <c r="Y744" s="9">
        <f t="shared" si="24"/>
        <v>2824.27</v>
      </c>
      <c r="AD744" s="4" t="s">
        <v>2374</v>
      </c>
      <c r="AE744" s="4" t="s">
        <v>2375</v>
      </c>
      <c r="AF744" s="4" t="s">
        <v>2317</v>
      </c>
    </row>
    <row r="745" spans="1:35" ht="18" x14ac:dyDescent="0.3">
      <c r="A745" s="11" t="s">
        <v>2376</v>
      </c>
      <c r="B745" s="11"/>
      <c r="C745" s="32" t="s">
        <v>1629</v>
      </c>
      <c r="D745" s="21"/>
      <c r="E745" s="21"/>
      <c r="F745" s="33" t="s">
        <v>278</v>
      </c>
      <c r="G745" s="34">
        <v>0.25</v>
      </c>
      <c r="H745" s="21"/>
      <c r="I745" s="34">
        <v>45.454999999999998</v>
      </c>
      <c r="J745" s="35">
        <v>101.66</v>
      </c>
      <c r="K745" s="12"/>
      <c r="L745" s="12"/>
      <c r="M745" s="35">
        <f>ROUND(ROUND(J745, 2)*I745, 2)</f>
        <v>4620.96</v>
      </c>
      <c r="N745" s="12"/>
      <c r="O745" s="12"/>
      <c r="P745" s="35">
        <v>101.66</v>
      </c>
      <c r="Q745" s="12"/>
      <c r="R745" s="12"/>
      <c r="S745" s="35">
        <f>ROUND(ROUND(P745, 2)*I745, 2)</f>
        <v>4620.96</v>
      </c>
      <c r="T745" s="12"/>
      <c r="U745" s="36"/>
      <c r="V745" s="9">
        <f>ROUND(ROUND(P745, 2)/1.2, 2)</f>
        <v>84.72</v>
      </c>
      <c r="Y745" s="9">
        <f t="shared" si="24"/>
        <v>3850.8</v>
      </c>
      <c r="AD745" s="4" t="s">
        <v>2377</v>
      </c>
      <c r="AE745" s="4" t="s">
        <v>2378</v>
      </c>
      <c r="AF745" s="4" t="s">
        <v>1632</v>
      </c>
    </row>
    <row r="746" spans="1:35" ht="90" x14ac:dyDescent="0.3">
      <c r="A746" s="11" t="s">
        <v>2379</v>
      </c>
      <c r="B746" s="11" t="s">
        <v>2298</v>
      </c>
      <c r="C746" s="20" t="s">
        <v>2299</v>
      </c>
      <c r="D746" s="21"/>
      <c r="E746" s="21" t="s">
        <v>2380</v>
      </c>
      <c r="F746" s="21" t="s">
        <v>62</v>
      </c>
      <c r="G746" s="22">
        <v>1</v>
      </c>
      <c r="H746" s="21"/>
      <c r="I746" s="22">
        <v>1.03</v>
      </c>
      <c r="J746" s="23">
        <f>IFERROR(ROUND(SUM(M747,M748,M749,M750)/I746, 2),0)</f>
        <v>377.88</v>
      </c>
      <c r="K746" s="23">
        <v>2956</v>
      </c>
      <c r="L746" s="23">
        <f>J746+ROUND(K746, 2)</f>
        <v>3333.88</v>
      </c>
      <c r="M746" s="23">
        <f>ROUND(J746*I746, 2)</f>
        <v>389.22</v>
      </c>
      <c r="N746" s="23">
        <f>ROUND(I746*ROUND(K746, 2), 2)</f>
        <v>3044.68</v>
      </c>
      <c r="O746" s="23">
        <f>M746+N746</f>
        <v>3433.8999999999996</v>
      </c>
      <c r="P746" s="23">
        <f>IFERROR(ROUND(SUM(S747,S748,S749,S750)/I746, 2),0)</f>
        <v>549.79</v>
      </c>
      <c r="Q746" s="23">
        <v>4434</v>
      </c>
      <c r="R746" s="23">
        <f>P746+ROUND(Q746, 2)</f>
        <v>4983.79</v>
      </c>
      <c r="S746" s="23">
        <f>ROUND(P746*I746, 2)</f>
        <v>566.28</v>
      </c>
      <c r="T746" s="23">
        <f>ROUND(I746*ROUND(Q746, 2), 2)</f>
        <v>4567.0200000000004</v>
      </c>
      <c r="U746" s="23">
        <f>S746+T746</f>
        <v>5133.3</v>
      </c>
      <c r="V746" s="9">
        <f>ROUND(P746 / 1.2, 2)</f>
        <v>458.16</v>
      </c>
      <c r="W746" s="9">
        <f>ROUND(Q746 / 1.2, 2)</f>
        <v>3695</v>
      </c>
      <c r="X746" s="9">
        <f>ROUND(R746 / 1.2, 2)</f>
        <v>4153.16</v>
      </c>
      <c r="Y746" s="9">
        <f t="shared" si="24"/>
        <v>471.9</v>
      </c>
      <c r="Z746" s="9">
        <f>ROUND(T746 / 1.2, 2)</f>
        <v>3805.85</v>
      </c>
      <c r="AA746" s="9">
        <f>Y746+Z746</f>
        <v>4277.75</v>
      </c>
      <c r="AD746" s="4">
        <v>334080743</v>
      </c>
      <c r="AE746" s="4">
        <v>29289991</v>
      </c>
      <c r="AG746" s="4" t="s">
        <v>2301</v>
      </c>
      <c r="AH746" s="4" t="s">
        <v>2302</v>
      </c>
      <c r="AI746" s="4" t="s">
        <v>250</v>
      </c>
    </row>
    <row r="747" spans="1:35" ht="18" x14ac:dyDescent="0.3">
      <c r="A747" s="11" t="s">
        <v>2381</v>
      </c>
      <c r="B747" s="11"/>
      <c r="C747" s="32" t="s">
        <v>1629</v>
      </c>
      <c r="D747" s="21"/>
      <c r="E747" s="21"/>
      <c r="F747" s="33" t="s">
        <v>278</v>
      </c>
      <c r="G747" s="34">
        <v>0.25</v>
      </c>
      <c r="H747" s="21"/>
      <c r="I747" s="34">
        <v>0.25800000000000001</v>
      </c>
      <c r="J747" s="35">
        <v>101.66</v>
      </c>
      <c r="K747" s="12"/>
      <c r="L747" s="12"/>
      <c r="M747" s="35">
        <f>ROUND(ROUND(J747, 2)*I747, 2)</f>
        <v>26.23</v>
      </c>
      <c r="N747" s="12"/>
      <c r="O747" s="12"/>
      <c r="P747" s="35">
        <v>101.66</v>
      </c>
      <c r="Q747" s="12"/>
      <c r="R747" s="12"/>
      <c r="S747" s="35">
        <f>ROUND(ROUND(P747, 2)*I747, 2)</f>
        <v>26.23</v>
      </c>
      <c r="T747" s="12"/>
      <c r="U747" s="36"/>
      <c r="V747" s="9">
        <f>ROUND(ROUND(P747, 2)/1.2, 2)</f>
        <v>84.72</v>
      </c>
      <c r="Y747" s="9">
        <f t="shared" si="24"/>
        <v>21.86</v>
      </c>
      <c r="AD747" s="4" t="s">
        <v>2382</v>
      </c>
      <c r="AE747" s="4" t="s">
        <v>2383</v>
      </c>
      <c r="AF747" s="4" t="s">
        <v>1632</v>
      </c>
    </row>
    <row r="748" spans="1:35" ht="18" x14ac:dyDescent="0.3">
      <c r="A748" s="11" t="s">
        <v>2384</v>
      </c>
      <c r="B748" s="11"/>
      <c r="C748" s="32" t="s">
        <v>2314</v>
      </c>
      <c r="D748" s="21"/>
      <c r="E748" s="21"/>
      <c r="F748" s="33" t="s">
        <v>102</v>
      </c>
      <c r="G748" s="34">
        <v>1</v>
      </c>
      <c r="H748" s="21"/>
      <c r="I748" s="34">
        <v>1.03</v>
      </c>
      <c r="J748" s="35">
        <v>18.64</v>
      </c>
      <c r="K748" s="12"/>
      <c r="L748" s="12"/>
      <c r="M748" s="35">
        <f>ROUND(ROUND(J748, 2)*I748, 2)</f>
        <v>19.2</v>
      </c>
      <c r="N748" s="12"/>
      <c r="O748" s="12"/>
      <c r="P748" s="35">
        <v>18.64</v>
      </c>
      <c r="Q748" s="12"/>
      <c r="R748" s="12"/>
      <c r="S748" s="35">
        <f>ROUND(ROUND(P748, 2)*I748, 2)</f>
        <v>19.2</v>
      </c>
      <c r="T748" s="12"/>
      <c r="U748" s="36"/>
      <c r="V748" s="9">
        <f>ROUND(ROUND(P748, 2)/1.2, 2)</f>
        <v>15.53</v>
      </c>
      <c r="Y748" s="9">
        <f t="shared" si="24"/>
        <v>16</v>
      </c>
      <c r="AD748" s="4" t="s">
        <v>2385</v>
      </c>
      <c r="AE748" s="4" t="s">
        <v>2386</v>
      </c>
      <c r="AF748" s="4" t="s">
        <v>2317</v>
      </c>
    </row>
    <row r="749" spans="1:35" ht="36" x14ac:dyDescent="0.3">
      <c r="A749" s="11" t="s">
        <v>2387</v>
      </c>
      <c r="B749" s="11"/>
      <c r="C749" s="32" t="s">
        <v>2309</v>
      </c>
      <c r="D749" s="21"/>
      <c r="E749" s="21"/>
      <c r="F749" s="33" t="s">
        <v>62</v>
      </c>
      <c r="G749" s="34">
        <v>1.1000000000000001</v>
      </c>
      <c r="H749" s="21"/>
      <c r="I749" s="34">
        <v>1.133</v>
      </c>
      <c r="J749" s="35">
        <v>20.34</v>
      </c>
      <c r="K749" s="12"/>
      <c r="L749" s="12"/>
      <c r="M749" s="35">
        <f>ROUND(ROUND(J749, 2)*I749, 2)</f>
        <v>23.05</v>
      </c>
      <c r="N749" s="12"/>
      <c r="O749" s="12"/>
      <c r="P749" s="35">
        <v>20.34</v>
      </c>
      <c r="Q749" s="12"/>
      <c r="R749" s="12"/>
      <c r="S749" s="35">
        <f>ROUND(ROUND(P749, 2)*I749, 2)</f>
        <v>23.05</v>
      </c>
      <c r="T749" s="12"/>
      <c r="U749" s="36"/>
      <c r="V749" s="9">
        <f>ROUND(ROUND(P749, 2)/1.2, 2)</f>
        <v>16.95</v>
      </c>
      <c r="Y749" s="9">
        <f t="shared" si="24"/>
        <v>19.21</v>
      </c>
      <c r="AD749" s="4" t="s">
        <v>2388</v>
      </c>
      <c r="AE749" s="4" t="s">
        <v>2389</v>
      </c>
      <c r="AF749" s="4" t="s">
        <v>2312</v>
      </c>
    </row>
    <row r="750" spans="1:35" ht="36" x14ac:dyDescent="0.3">
      <c r="A750" s="11" t="s">
        <v>2390</v>
      </c>
      <c r="B750" s="11"/>
      <c r="C750" s="32" t="s">
        <v>2338</v>
      </c>
      <c r="D750" s="21"/>
      <c r="E750" s="21" t="s">
        <v>1602</v>
      </c>
      <c r="F750" s="33" t="s">
        <v>278</v>
      </c>
      <c r="G750" s="34">
        <v>1.8</v>
      </c>
      <c r="H750" s="21"/>
      <c r="I750" s="37">
        <v>46.35</v>
      </c>
      <c r="J750" s="35">
        <v>6.92</v>
      </c>
      <c r="K750" s="12"/>
      <c r="L750" s="12"/>
      <c r="M750" s="35">
        <f>ROUND(ROUND(J750, 2)*I750, 2)</f>
        <v>320.74</v>
      </c>
      <c r="N750" s="12"/>
      <c r="O750" s="12"/>
      <c r="P750" s="35">
        <v>10.74</v>
      </c>
      <c r="Q750" s="12"/>
      <c r="R750" s="12"/>
      <c r="S750" s="35">
        <f>ROUND(ROUND(P750, 2)*I750, 2)</f>
        <v>497.8</v>
      </c>
      <c r="T750" s="12"/>
      <c r="U750" s="36"/>
      <c r="V750" s="9">
        <f>ROUND(ROUND(P750, 2)/1.2, 2)</f>
        <v>8.9499999999999993</v>
      </c>
      <c r="Y750" s="9">
        <f t="shared" si="24"/>
        <v>414.83</v>
      </c>
      <c r="AD750" s="4" t="s">
        <v>2391</v>
      </c>
      <c r="AE750" s="4" t="s">
        <v>2392</v>
      </c>
      <c r="AF750" s="4" t="s">
        <v>2341</v>
      </c>
    </row>
    <row r="751" spans="1:35" ht="90" x14ac:dyDescent="0.3">
      <c r="A751" s="11" t="s">
        <v>2393</v>
      </c>
      <c r="B751" s="11" t="s">
        <v>2298</v>
      </c>
      <c r="C751" s="20" t="s">
        <v>2299</v>
      </c>
      <c r="D751" s="21"/>
      <c r="E751" s="21" t="s">
        <v>2394</v>
      </c>
      <c r="F751" s="21" t="s">
        <v>62</v>
      </c>
      <c r="G751" s="22">
        <v>1</v>
      </c>
      <c r="H751" s="21"/>
      <c r="I751" s="22">
        <v>6.22</v>
      </c>
      <c r="J751" s="23">
        <f>IFERROR(ROUND(SUM(M752,M753)/I751, 2),0)</f>
        <v>149.97</v>
      </c>
      <c r="K751" s="23">
        <v>2956</v>
      </c>
      <c r="L751" s="23">
        <f>J751+ROUND(K751, 2)</f>
        <v>3105.97</v>
      </c>
      <c r="M751" s="23">
        <f>ROUND(J751*I751, 2)</f>
        <v>932.81</v>
      </c>
      <c r="N751" s="23">
        <f>ROUND(I751*ROUND(K751, 2), 2)</f>
        <v>18386.32</v>
      </c>
      <c r="O751" s="23">
        <f>M751+N751</f>
        <v>19319.13</v>
      </c>
      <c r="P751" s="23">
        <f>IFERROR(ROUND(SUM(S752,S753)/I751, 2),0)</f>
        <v>184</v>
      </c>
      <c r="Q751" s="23">
        <v>4434</v>
      </c>
      <c r="R751" s="23">
        <f>P751+ROUND(Q751, 2)</f>
        <v>4618</v>
      </c>
      <c r="S751" s="23">
        <f>ROUND(P751*I751, 2)</f>
        <v>1144.48</v>
      </c>
      <c r="T751" s="23">
        <f>ROUND(I751*ROUND(Q751, 2), 2)</f>
        <v>27579.48</v>
      </c>
      <c r="U751" s="23">
        <f>S751+T751</f>
        <v>28723.96</v>
      </c>
      <c r="V751" s="9">
        <f>ROUND(P751 / 1.2, 2)</f>
        <v>153.33000000000001</v>
      </c>
      <c r="W751" s="9">
        <f>ROUND(Q751 / 1.2, 2)</f>
        <v>3695</v>
      </c>
      <c r="X751" s="9">
        <f>ROUND(R751 / 1.2, 2)</f>
        <v>3848.33</v>
      </c>
      <c r="Y751" s="9">
        <f t="shared" si="24"/>
        <v>953.73</v>
      </c>
      <c r="Z751" s="9">
        <f>ROUND(T751 / 1.2, 2)</f>
        <v>22982.9</v>
      </c>
      <c r="AA751" s="9">
        <f>Y751+Z751</f>
        <v>23936.63</v>
      </c>
      <c r="AD751" s="4">
        <v>334080744</v>
      </c>
      <c r="AE751" s="4">
        <v>29289990</v>
      </c>
      <c r="AG751" s="4" t="s">
        <v>2301</v>
      </c>
      <c r="AH751" s="4" t="s">
        <v>2302</v>
      </c>
      <c r="AI751" s="4" t="s">
        <v>250</v>
      </c>
    </row>
    <row r="752" spans="1:35" ht="36" x14ac:dyDescent="0.3">
      <c r="A752" s="11" t="s">
        <v>2395</v>
      </c>
      <c r="B752" s="11"/>
      <c r="C752" s="32" t="s">
        <v>2338</v>
      </c>
      <c r="D752" s="21"/>
      <c r="E752" s="21" t="s">
        <v>2396</v>
      </c>
      <c r="F752" s="33" t="s">
        <v>278</v>
      </c>
      <c r="G752" s="34">
        <v>1.8</v>
      </c>
      <c r="H752" s="21"/>
      <c r="I752" s="37">
        <v>111.96</v>
      </c>
      <c r="J752" s="35">
        <v>6.92</v>
      </c>
      <c r="K752" s="12"/>
      <c r="L752" s="12"/>
      <c r="M752" s="35">
        <f>ROUND(ROUND(J752, 2)*I752, 2)</f>
        <v>774.76</v>
      </c>
      <c r="N752" s="12"/>
      <c r="O752" s="12"/>
      <c r="P752" s="35">
        <v>8.81</v>
      </c>
      <c r="Q752" s="12"/>
      <c r="R752" s="12"/>
      <c r="S752" s="35">
        <f>ROUND(ROUND(P752, 2)*I752, 2)</f>
        <v>986.37</v>
      </c>
      <c r="T752" s="12"/>
      <c r="U752" s="36"/>
      <c r="V752" s="9">
        <f>ROUND(ROUND(P752, 2)/1.2, 2)</f>
        <v>7.34</v>
      </c>
      <c r="Y752" s="9">
        <f t="shared" si="24"/>
        <v>821.98</v>
      </c>
      <c r="AD752" s="4" t="s">
        <v>2397</v>
      </c>
      <c r="AE752" s="4" t="s">
        <v>2398</v>
      </c>
      <c r="AF752" s="4" t="s">
        <v>2341</v>
      </c>
    </row>
    <row r="753" spans="1:35" ht="18" x14ac:dyDescent="0.3">
      <c r="A753" s="11" t="s">
        <v>2399</v>
      </c>
      <c r="B753" s="11"/>
      <c r="C753" s="32" t="s">
        <v>1629</v>
      </c>
      <c r="D753" s="21"/>
      <c r="E753" s="21"/>
      <c r="F753" s="33" t="s">
        <v>278</v>
      </c>
      <c r="G753" s="34">
        <v>0.25</v>
      </c>
      <c r="H753" s="21"/>
      <c r="I753" s="34">
        <v>1.5549999999999999</v>
      </c>
      <c r="J753" s="35">
        <v>101.66</v>
      </c>
      <c r="K753" s="12"/>
      <c r="L753" s="12"/>
      <c r="M753" s="35">
        <f>ROUND(ROUND(J753, 2)*I753, 2)</f>
        <v>158.08000000000001</v>
      </c>
      <c r="N753" s="12"/>
      <c r="O753" s="12"/>
      <c r="P753" s="35">
        <v>101.66</v>
      </c>
      <c r="Q753" s="12"/>
      <c r="R753" s="12"/>
      <c r="S753" s="35">
        <f>ROUND(ROUND(P753, 2)*I753, 2)</f>
        <v>158.08000000000001</v>
      </c>
      <c r="T753" s="12"/>
      <c r="U753" s="36"/>
      <c r="V753" s="9">
        <f>ROUND(ROUND(P753, 2)/1.2, 2)</f>
        <v>84.72</v>
      </c>
      <c r="Y753" s="9">
        <f t="shared" si="24"/>
        <v>131.72999999999999</v>
      </c>
      <c r="AD753" s="4" t="s">
        <v>2400</v>
      </c>
      <c r="AE753" s="4" t="s">
        <v>2401</v>
      </c>
      <c r="AF753" s="4" t="s">
        <v>1632</v>
      </c>
    </row>
    <row r="754" spans="1:35" ht="108" x14ac:dyDescent="0.3">
      <c r="A754" s="11" t="s">
        <v>2402</v>
      </c>
      <c r="B754" s="11" t="s">
        <v>2298</v>
      </c>
      <c r="C754" s="20" t="s">
        <v>2299</v>
      </c>
      <c r="D754" s="21"/>
      <c r="E754" s="21" t="s">
        <v>2403</v>
      </c>
      <c r="F754" s="21" t="s">
        <v>62</v>
      </c>
      <c r="G754" s="22">
        <v>1</v>
      </c>
      <c r="H754" s="21"/>
      <c r="I754" s="22">
        <v>77.31</v>
      </c>
      <c r="J754" s="23">
        <f>IFERROR(ROUND(SUM(M755,M756,M757,M758)/I754, 2),0)</f>
        <v>284.23</v>
      </c>
      <c r="K754" s="23">
        <v>2956</v>
      </c>
      <c r="L754" s="23">
        <f>J754+ROUND(K754, 2)</f>
        <v>3240.23</v>
      </c>
      <c r="M754" s="23">
        <f>ROUND(J754*I754, 2)</f>
        <v>21973.82</v>
      </c>
      <c r="N754" s="23">
        <f>ROUND(I754*ROUND(K754, 2), 2)</f>
        <v>228528.36</v>
      </c>
      <c r="O754" s="23">
        <f>M754+N754</f>
        <v>250502.18</v>
      </c>
      <c r="P754" s="23">
        <f>IFERROR(ROUND(SUM(S755,S756,S757,S758)/I754, 2),0)</f>
        <v>361.5</v>
      </c>
      <c r="Q754" s="23">
        <v>4434</v>
      </c>
      <c r="R754" s="23">
        <f>P754+ROUND(Q754, 2)</f>
        <v>4795.5</v>
      </c>
      <c r="S754" s="23">
        <f>ROUND(P754*I754, 2)</f>
        <v>27947.57</v>
      </c>
      <c r="T754" s="23">
        <f>ROUND(I754*ROUND(Q754, 2), 2)</f>
        <v>342792.54</v>
      </c>
      <c r="U754" s="23">
        <f>S754+T754</f>
        <v>370740.11</v>
      </c>
      <c r="V754" s="9">
        <f>ROUND(P754 / 1.2, 2)</f>
        <v>301.25</v>
      </c>
      <c r="W754" s="9">
        <f>ROUND(Q754 / 1.2, 2)</f>
        <v>3695</v>
      </c>
      <c r="X754" s="9">
        <f>ROUND(R754 / 1.2, 2)</f>
        <v>3996.25</v>
      </c>
      <c r="Y754" s="9">
        <f t="shared" ref="Y754:Y789" si="25">ROUND(S754 / 1.2, 2)</f>
        <v>23289.64</v>
      </c>
      <c r="Z754" s="9">
        <f>ROUND(T754 / 1.2, 2)</f>
        <v>285660.45</v>
      </c>
      <c r="AA754" s="9">
        <f>Y754+Z754</f>
        <v>308950.09000000003</v>
      </c>
      <c r="AD754" s="4">
        <v>334080745</v>
      </c>
      <c r="AE754" s="4">
        <v>29295733</v>
      </c>
      <c r="AG754" s="4" t="s">
        <v>2301</v>
      </c>
      <c r="AH754" s="4" t="s">
        <v>2302</v>
      </c>
      <c r="AI754" s="4" t="s">
        <v>250</v>
      </c>
    </row>
    <row r="755" spans="1:35" ht="18" x14ac:dyDescent="0.3">
      <c r="A755" s="11" t="s">
        <v>2404</v>
      </c>
      <c r="B755" s="11"/>
      <c r="C755" s="32" t="s">
        <v>1629</v>
      </c>
      <c r="D755" s="21"/>
      <c r="E755" s="21"/>
      <c r="F755" s="33" t="s">
        <v>278</v>
      </c>
      <c r="G755" s="34">
        <v>0.25</v>
      </c>
      <c r="H755" s="21"/>
      <c r="I755" s="34">
        <v>19.327999999999999</v>
      </c>
      <c r="J755" s="35">
        <v>101.66</v>
      </c>
      <c r="K755" s="12"/>
      <c r="L755" s="12"/>
      <c r="M755" s="35">
        <f>ROUND(ROUND(J755, 2)*I755, 2)</f>
        <v>1964.88</v>
      </c>
      <c r="N755" s="12"/>
      <c r="O755" s="12"/>
      <c r="P755" s="35">
        <v>101.66</v>
      </c>
      <c r="Q755" s="12"/>
      <c r="R755" s="12"/>
      <c r="S755" s="35">
        <f>ROUND(ROUND(P755, 2)*I755, 2)</f>
        <v>1964.88</v>
      </c>
      <c r="T755" s="12"/>
      <c r="U755" s="36"/>
      <c r="V755" s="9">
        <f>ROUND(ROUND(P755, 2)/1.2, 2)</f>
        <v>84.72</v>
      </c>
      <c r="Y755" s="9">
        <f t="shared" si="25"/>
        <v>1637.4</v>
      </c>
      <c r="AD755" s="4" t="s">
        <v>2405</v>
      </c>
      <c r="AE755" s="4" t="s">
        <v>2406</v>
      </c>
      <c r="AF755" s="4" t="s">
        <v>1632</v>
      </c>
    </row>
    <row r="756" spans="1:35" ht="18" x14ac:dyDescent="0.3">
      <c r="A756" s="11" t="s">
        <v>2407</v>
      </c>
      <c r="B756" s="11"/>
      <c r="C756" s="32" t="s">
        <v>2314</v>
      </c>
      <c r="D756" s="21"/>
      <c r="E756" s="21"/>
      <c r="F756" s="33" t="s">
        <v>102</v>
      </c>
      <c r="G756" s="34">
        <v>1</v>
      </c>
      <c r="H756" s="21"/>
      <c r="I756" s="34">
        <v>77.31</v>
      </c>
      <c r="J756" s="35">
        <v>18.64</v>
      </c>
      <c r="K756" s="12"/>
      <c r="L756" s="12"/>
      <c r="M756" s="35">
        <f>ROUND(ROUND(J756, 2)*I756, 2)</f>
        <v>1441.06</v>
      </c>
      <c r="N756" s="12"/>
      <c r="O756" s="12"/>
      <c r="P756" s="35">
        <v>18.64</v>
      </c>
      <c r="Q756" s="12"/>
      <c r="R756" s="12"/>
      <c r="S756" s="35">
        <f>ROUND(ROUND(P756, 2)*I756, 2)</f>
        <v>1441.06</v>
      </c>
      <c r="T756" s="12"/>
      <c r="U756" s="36"/>
      <c r="V756" s="9">
        <f>ROUND(ROUND(P756, 2)/1.2, 2)</f>
        <v>15.53</v>
      </c>
      <c r="Y756" s="9">
        <f t="shared" si="25"/>
        <v>1200.8800000000001</v>
      </c>
      <c r="AD756" s="4" t="s">
        <v>2408</v>
      </c>
      <c r="AE756" s="4" t="s">
        <v>2409</v>
      </c>
      <c r="AF756" s="4" t="s">
        <v>2317</v>
      </c>
    </row>
    <row r="757" spans="1:35" ht="36" x14ac:dyDescent="0.3">
      <c r="A757" s="11" t="s">
        <v>2410</v>
      </c>
      <c r="B757" s="11"/>
      <c r="C757" s="32" t="s">
        <v>2309</v>
      </c>
      <c r="D757" s="21"/>
      <c r="E757" s="21"/>
      <c r="F757" s="33" t="s">
        <v>62</v>
      </c>
      <c r="G757" s="34">
        <v>1.1000000000000001</v>
      </c>
      <c r="H757" s="21"/>
      <c r="I757" s="34">
        <v>85.040999999999997</v>
      </c>
      <c r="J757" s="35">
        <v>20.34</v>
      </c>
      <c r="K757" s="12"/>
      <c r="L757" s="12"/>
      <c r="M757" s="35">
        <f>ROUND(ROUND(J757, 2)*I757, 2)</f>
        <v>1729.73</v>
      </c>
      <c r="N757" s="12"/>
      <c r="O757" s="12"/>
      <c r="P757" s="35">
        <v>20.34</v>
      </c>
      <c r="Q757" s="12"/>
      <c r="R757" s="12"/>
      <c r="S757" s="35">
        <f>ROUND(ROUND(P757, 2)*I757, 2)</f>
        <v>1729.73</v>
      </c>
      <c r="T757" s="12"/>
      <c r="U757" s="36"/>
      <c r="V757" s="9">
        <f>ROUND(ROUND(P757, 2)/1.2, 2)</f>
        <v>16.95</v>
      </c>
      <c r="Y757" s="9">
        <f t="shared" si="25"/>
        <v>1441.44</v>
      </c>
      <c r="AD757" s="4" t="s">
        <v>2411</v>
      </c>
      <c r="AE757" s="4" t="s">
        <v>2412</v>
      </c>
      <c r="AF757" s="4" t="s">
        <v>2312</v>
      </c>
    </row>
    <row r="758" spans="1:35" ht="36" x14ac:dyDescent="0.3">
      <c r="A758" s="11" t="s">
        <v>2413</v>
      </c>
      <c r="B758" s="11"/>
      <c r="C758" s="30" t="s">
        <v>2304</v>
      </c>
      <c r="D758" s="21"/>
      <c r="E758" s="21"/>
      <c r="F758" s="33" t="s">
        <v>278</v>
      </c>
      <c r="G758" s="34">
        <v>1.1000000000000001</v>
      </c>
      <c r="H758" s="21"/>
      <c r="I758" s="37">
        <v>2126.0250000000001</v>
      </c>
      <c r="J758" s="35">
        <v>7.92</v>
      </c>
      <c r="K758" s="12"/>
      <c r="L758" s="12"/>
      <c r="M758" s="35">
        <f>ROUND(ROUND(J758, 2)*I758, 2)</f>
        <v>16838.12</v>
      </c>
      <c r="N758" s="12"/>
      <c r="O758" s="12"/>
      <c r="P758" s="35">
        <v>10.73</v>
      </c>
      <c r="Q758" s="12"/>
      <c r="R758" s="12"/>
      <c r="S758" s="35">
        <f>ROUND(ROUND(P758, 2)*I758, 2)</f>
        <v>22812.25</v>
      </c>
      <c r="T758" s="12"/>
      <c r="U758" s="36"/>
      <c r="V758" s="9">
        <f>ROUND(ROUND(P758, 2)/1.2, 2)</f>
        <v>8.94</v>
      </c>
      <c r="Y758" s="9">
        <f t="shared" si="25"/>
        <v>19010.21</v>
      </c>
      <c r="AD758" s="4" t="s">
        <v>2414</v>
      </c>
      <c r="AE758" s="4" t="s">
        <v>2415</v>
      </c>
      <c r="AF758" s="4" t="s">
        <v>2307</v>
      </c>
    </row>
    <row r="759" spans="1:35" ht="90" x14ac:dyDescent="0.3">
      <c r="A759" s="11" t="s">
        <v>2416</v>
      </c>
      <c r="B759" s="11" t="s">
        <v>2417</v>
      </c>
      <c r="C759" s="20" t="s">
        <v>2418</v>
      </c>
      <c r="D759" s="21"/>
      <c r="E759" s="21" t="s">
        <v>2419</v>
      </c>
      <c r="F759" s="21" t="s">
        <v>62</v>
      </c>
      <c r="G759" s="22">
        <v>1</v>
      </c>
      <c r="H759" s="21"/>
      <c r="I759" s="22">
        <v>279.94</v>
      </c>
      <c r="J759" s="23">
        <f>IFERROR(ROUND(SUM(M760,M761,M762)/I759, 2),0)</f>
        <v>91.01</v>
      </c>
      <c r="K759" s="23">
        <v>1001</v>
      </c>
      <c r="L759" s="23">
        <f>J759+ROUND(K759, 2)</f>
        <v>1092.01</v>
      </c>
      <c r="M759" s="23">
        <f>ROUND(J759*I759, 2)</f>
        <v>25477.34</v>
      </c>
      <c r="N759" s="23">
        <f>ROUND(I759*ROUND(K759, 2), 2)</f>
        <v>280219.94</v>
      </c>
      <c r="O759" s="23">
        <f>M759+N759</f>
        <v>305697.28000000003</v>
      </c>
      <c r="P759" s="23">
        <f>IFERROR(ROUND(SUM(S760,S761,S762)/I759, 2),0)</f>
        <v>91.01</v>
      </c>
      <c r="Q759" s="23">
        <v>1501.5</v>
      </c>
      <c r="R759" s="23">
        <f>P759+ROUND(Q759, 2)</f>
        <v>1592.51</v>
      </c>
      <c r="S759" s="23">
        <f>ROUND(P759*I759, 2)</f>
        <v>25477.34</v>
      </c>
      <c r="T759" s="23">
        <f>ROUND(I759*ROUND(Q759, 2), 2)</f>
        <v>420329.91</v>
      </c>
      <c r="U759" s="23">
        <f>S759+T759</f>
        <v>445807.25</v>
      </c>
      <c r="V759" s="9">
        <f>ROUND(P759 / 1.2, 2)</f>
        <v>75.84</v>
      </c>
      <c r="W759" s="9">
        <f>ROUND(Q759 / 1.2, 2)</f>
        <v>1251.25</v>
      </c>
      <c r="X759" s="9">
        <f>ROUND(R759 / 1.2, 2)</f>
        <v>1327.09</v>
      </c>
      <c r="Y759" s="9">
        <f t="shared" si="25"/>
        <v>21231.119999999999</v>
      </c>
      <c r="Z759" s="9">
        <f>ROUND(T759 / 1.2, 2)</f>
        <v>350274.93</v>
      </c>
      <c r="AA759" s="9">
        <f>Y759+Z759</f>
        <v>371506.05</v>
      </c>
      <c r="AD759" s="4">
        <v>334080549</v>
      </c>
      <c r="AE759" s="4">
        <v>29241734</v>
      </c>
      <c r="AG759" s="4" t="s">
        <v>2420</v>
      </c>
      <c r="AH759" s="4" t="s">
        <v>2421</v>
      </c>
      <c r="AI759" s="4" t="s">
        <v>250</v>
      </c>
    </row>
    <row r="760" spans="1:35" ht="18" x14ac:dyDescent="0.3">
      <c r="A760" s="11" t="s">
        <v>2422</v>
      </c>
      <c r="B760" s="11"/>
      <c r="C760" s="32" t="s">
        <v>1541</v>
      </c>
      <c r="D760" s="21"/>
      <c r="E760" s="21"/>
      <c r="F760" s="33" t="s">
        <v>597</v>
      </c>
      <c r="G760" s="34">
        <v>0.3</v>
      </c>
      <c r="H760" s="21"/>
      <c r="I760" s="34">
        <v>83.981999999999999</v>
      </c>
      <c r="J760" s="35">
        <v>74.319999999999993</v>
      </c>
      <c r="K760" s="12"/>
      <c r="L760" s="12"/>
      <c r="M760" s="35">
        <f>ROUND(ROUND(J760, 2)*I760, 2)</f>
        <v>6241.54</v>
      </c>
      <c r="N760" s="12"/>
      <c r="O760" s="12"/>
      <c r="P760" s="35">
        <v>74.319999999999993</v>
      </c>
      <c r="Q760" s="12"/>
      <c r="R760" s="12"/>
      <c r="S760" s="35">
        <f>ROUND(ROUND(P760, 2)*I760, 2)</f>
        <v>6241.54</v>
      </c>
      <c r="T760" s="12"/>
      <c r="U760" s="36"/>
      <c r="V760" s="9">
        <f>ROUND(ROUND(P760, 2)/1.2, 2)</f>
        <v>61.93</v>
      </c>
      <c r="Y760" s="9">
        <f t="shared" si="25"/>
        <v>5201.28</v>
      </c>
      <c r="AD760" s="4" t="s">
        <v>2423</v>
      </c>
      <c r="AE760" s="4" t="s">
        <v>2424</v>
      </c>
      <c r="AF760" s="4" t="s">
        <v>1544</v>
      </c>
    </row>
    <row r="761" spans="1:35" ht="36" x14ac:dyDescent="0.3">
      <c r="A761" s="11" t="s">
        <v>2425</v>
      </c>
      <c r="B761" s="11"/>
      <c r="C761" s="30" t="s">
        <v>1498</v>
      </c>
      <c r="D761" s="21"/>
      <c r="E761" s="21"/>
      <c r="F761" s="33" t="s">
        <v>278</v>
      </c>
      <c r="G761" s="34">
        <v>4.5</v>
      </c>
      <c r="H761" s="21"/>
      <c r="I761" s="34">
        <v>1259.73</v>
      </c>
      <c r="J761" s="35">
        <v>12.26</v>
      </c>
      <c r="K761" s="12"/>
      <c r="L761" s="12"/>
      <c r="M761" s="35">
        <f>ROUND(ROUND(J761, 2)*I761, 2)</f>
        <v>15444.29</v>
      </c>
      <c r="N761" s="12"/>
      <c r="O761" s="12"/>
      <c r="P761" s="35">
        <v>12.26</v>
      </c>
      <c r="Q761" s="12"/>
      <c r="R761" s="12"/>
      <c r="S761" s="35">
        <f>ROUND(ROUND(P761, 2)*I761, 2)</f>
        <v>15444.29</v>
      </c>
      <c r="T761" s="12"/>
      <c r="U761" s="36"/>
      <c r="V761" s="9">
        <f>ROUND(ROUND(P761, 2)/1.2, 2)</f>
        <v>10.220000000000001</v>
      </c>
      <c r="Y761" s="9">
        <f t="shared" si="25"/>
        <v>12870.24</v>
      </c>
      <c r="AD761" s="4" t="s">
        <v>2426</v>
      </c>
      <c r="AE761" s="4" t="s">
        <v>2427</v>
      </c>
      <c r="AF761" s="4" t="s">
        <v>1501</v>
      </c>
    </row>
    <row r="762" spans="1:35" ht="36" x14ac:dyDescent="0.3">
      <c r="A762" s="11" t="s">
        <v>2428</v>
      </c>
      <c r="B762" s="11"/>
      <c r="C762" s="32" t="s">
        <v>1007</v>
      </c>
      <c r="D762" s="21"/>
      <c r="E762" s="21"/>
      <c r="F762" s="33" t="s">
        <v>278</v>
      </c>
      <c r="G762" s="34">
        <v>0.15</v>
      </c>
      <c r="H762" s="21"/>
      <c r="I762" s="34">
        <v>41.991</v>
      </c>
      <c r="J762" s="35">
        <v>90.28</v>
      </c>
      <c r="K762" s="12"/>
      <c r="L762" s="12"/>
      <c r="M762" s="35">
        <f>ROUND(ROUND(J762, 2)*I762, 2)</f>
        <v>3790.95</v>
      </c>
      <c r="N762" s="12"/>
      <c r="O762" s="12"/>
      <c r="P762" s="35">
        <v>90.28</v>
      </c>
      <c r="Q762" s="12"/>
      <c r="R762" s="12"/>
      <c r="S762" s="35">
        <f>ROUND(ROUND(P762, 2)*I762, 2)</f>
        <v>3790.95</v>
      </c>
      <c r="T762" s="12"/>
      <c r="U762" s="36"/>
      <c r="V762" s="9">
        <f>ROUND(ROUND(P762, 2)/1.2, 2)</f>
        <v>75.23</v>
      </c>
      <c r="Y762" s="9">
        <f t="shared" si="25"/>
        <v>3159.13</v>
      </c>
      <c r="AD762" s="4" t="s">
        <v>2429</v>
      </c>
      <c r="AE762" s="4" t="s">
        <v>2430</v>
      </c>
      <c r="AF762" s="4" t="s">
        <v>1010</v>
      </c>
    </row>
    <row r="763" spans="1:35" ht="90" x14ac:dyDescent="0.3">
      <c r="A763" s="11" t="s">
        <v>2431</v>
      </c>
      <c r="B763" s="11" t="s">
        <v>2417</v>
      </c>
      <c r="C763" s="20" t="s">
        <v>2418</v>
      </c>
      <c r="D763" s="21"/>
      <c r="E763" s="21" t="s">
        <v>2432</v>
      </c>
      <c r="F763" s="21" t="s">
        <v>62</v>
      </c>
      <c r="G763" s="22">
        <v>1</v>
      </c>
      <c r="H763" s="21"/>
      <c r="I763" s="22">
        <v>305.22000000000003</v>
      </c>
      <c r="J763" s="23">
        <f>IFERROR(ROUND(SUM(M764,M765)/I763, 2),0)</f>
        <v>68.709999999999994</v>
      </c>
      <c r="K763" s="23">
        <v>1001</v>
      </c>
      <c r="L763" s="23">
        <f>J763+ROUND(K763, 2)</f>
        <v>1069.71</v>
      </c>
      <c r="M763" s="23">
        <f>ROUND(J763*I763, 2)</f>
        <v>20971.67</v>
      </c>
      <c r="N763" s="23">
        <f>ROUND(I763*ROUND(K763, 2), 2)</f>
        <v>305525.21999999997</v>
      </c>
      <c r="O763" s="23">
        <f>M763+N763</f>
        <v>326496.88999999996</v>
      </c>
      <c r="P763" s="23">
        <f>IFERROR(ROUND(SUM(S764,S765)/I763, 2),0)</f>
        <v>111.73</v>
      </c>
      <c r="Q763" s="23">
        <v>1501.5</v>
      </c>
      <c r="R763" s="23">
        <f>P763+ROUND(Q763, 2)</f>
        <v>1613.23</v>
      </c>
      <c r="S763" s="23">
        <f>ROUND(P763*I763, 2)</f>
        <v>34102.230000000003</v>
      </c>
      <c r="T763" s="23">
        <f>ROUND(I763*ROUND(Q763, 2), 2)</f>
        <v>458287.83</v>
      </c>
      <c r="U763" s="23">
        <f>S763+T763</f>
        <v>492390.06</v>
      </c>
      <c r="V763" s="9">
        <f>ROUND(P763 / 1.2, 2)</f>
        <v>93.11</v>
      </c>
      <c r="W763" s="9">
        <f>ROUND(Q763 / 1.2, 2)</f>
        <v>1251.25</v>
      </c>
      <c r="X763" s="9">
        <f>ROUND(R763 / 1.2, 2)</f>
        <v>1344.36</v>
      </c>
      <c r="Y763" s="9">
        <f t="shared" si="25"/>
        <v>28418.53</v>
      </c>
      <c r="Z763" s="9">
        <f>ROUND(T763 / 1.2, 2)</f>
        <v>381906.53</v>
      </c>
      <c r="AA763" s="9">
        <f>Y763+Z763</f>
        <v>410325.06000000006</v>
      </c>
      <c r="AD763" s="4">
        <v>334080746</v>
      </c>
      <c r="AE763" s="4">
        <v>29242660</v>
      </c>
      <c r="AG763" s="4" t="s">
        <v>2420</v>
      </c>
      <c r="AH763" s="4" t="s">
        <v>2421</v>
      </c>
      <c r="AI763" s="4" t="s">
        <v>250</v>
      </c>
    </row>
    <row r="764" spans="1:35" ht="36" x14ac:dyDescent="0.3">
      <c r="A764" s="11" t="s">
        <v>2433</v>
      </c>
      <c r="B764" s="11"/>
      <c r="C764" s="32" t="s">
        <v>1007</v>
      </c>
      <c r="D764" s="21"/>
      <c r="E764" s="21"/>
      <c r="F764" s="33" t="s">
        <v>278</v>
      </c>
      <c r="G764" s="34">
        <v>0.15</v>
      </c>
      <c r="H764" s="21"/>
      <c r="I764" s="34">
        <v>45.783000000000001</v>
      </c>
      <c r="J764" s="35">
        <v>90.28</v>
      </c>
      <c r="K764" s="12"/>
      <c r="L764" s="12"/>
      <c r="M764" s="35">
        <f>ROUND(ROUND(J764, 2)*I764, 2)</f>
        <v>4133.29</v>
      </c>
      <c r="N764" s="12"/>
      <c r="O764" s="12"/>
      <c r="P764" s="35">
        <v>90.28</v>
      </c>
      <c r="Q764" s="12"/>
      <c r="R764" s="12"/>
      <c r="S764" s="35">
        <f>ROUND(ROUND(P764, 2)*I764, 2)</f>
        <v>4133.29</v>
      </c>
      <c r="T764" s="12"/>
      <c r="U764" s="36"/>
      <c r="V764" s="9">
        <f>ROUND(ROUND(P764, 2)/1.2, 2)</f>
        <v>75.23</v>
      </c>
      <c r="Y764" s="9">
        <f t="shared" si="25"/>
        <v>3444.41</v>
      </c>
      <c r="AD764" s="4" t="s">
        <v>2434</v>
      </c>
      <c r="AE764" s="4" t="s">
        <v>2435</v>
      </c>
      <c r="AF764" s="4" t="s">
        <v>1010</v>
      </c>
    </row>
    <row r="765" spans="1:35" ht="36" x14ac:dyDescent="0.3">
      <c r="A765" s="11" t="s">
        <v>2436</v>
      </c>
      <c r="B765" s="11"/>
      <c r="C765" s="30" t="s">
        <v>1498</v>
      </c>
      <c r="D765" s="21"/>
      <c r="E765" s="21" t="s">
        <v>1579</v>
      </c>
      <c r="F765" s="33" t="s">
        <v>278</v>
      </c>
      <c r="G765" s="34">
        <v>4.5</v>
      </c>
      <c r="H765" s="21"/>
      <c r="I765" s="34">
        <v>1373.49</v>
      </c>
      <c r="J765" s="35">
        <v>12.26</v>
      </c>
      <c r="K765" s="12"/>
      <c r="L765" s="12"/>
      <c r="M765" s="35">
        <f>ROUND(ROUND(J765, 2)*I765, 2)</f>
        <v>16838.990000000002</v>
      </c>
      <c r="N765" s="12"/>
      <c r="O765" s="12"/>
      <c r="P765" s="35">
        <v>21.82</v>
      </c>
      <c r="Q765" s="12"/>
      <c r="R765" s="12"/>
      <c r="S765" s="35">
        <f>ROUND(ROUND(P765, 2)*I765, 2)</f>
        <v>29969.55</v>
      </c>
      <c r="T765" s="12"/>
      <c r="U765" s="36"/>
      <c r="V765" s="9">
        <f>ROUND(ROUND(P765, 2)/1.2, 2)</f>
        <v>18.18</v>
      </c>
      <c r="Y765" s="9">
        <f t="shared" si="25"/>
        <v>24974.63</v>
      </c>
      <c r="AD765" s="4" t="s">
        <v>2437</v>
      </c>
      <c r="AE765" s="4" t="s">
        <v>2438</v>
      </c>
      <c r="AF765" s="4" t="s">
        <v>1501</v>
      </c>
    </row>
    <row r="766" spans="1:35" ht="180" x14ac:dyDescent="0.3">
      <c r="A766" s="11" t="s">
        <v>2439</v>
      </c>
      <c r="B766" s="11" t="s">
        <v>2417</v>
      </c>
      <c r="C766" s="20" t="s">
        <v>2418</v>
      </c>
      <c r="D766" s="21"/>
      <c r="E766" s="21" t="s">
        <v>2440</v>
      </c>
      <c r="F766" s="21" t="s">
        <v>62</v>
      </c>
      <c r="G766" s="22">
        <v>1</v>
      </c>
      <c r="H766" s="21"/>
      <c r="I766" s="22">
        <v>895.56100000000004</v>
      </c>
      <c r="J766" s="23">
        <f>IFERROR(ROUND(SUM(M767)/I766, 2),0)</f>
        <v>49.05</v>
      </c>
      <c r="K766" s="23">
        <v>1001</v>
      </c>
      <c r="L766" s="23">
        <f>J766+ROUND(K766, 2)</f>
        <v>1050.05</v>
      </c>
      <c r="M766" s="23">
        <f>ROUND(J766*I766, 2)</f>
        <v>43927.27</v>
      </c>
      <c r="N766" s="23">
        <f>ROUND(I766*ROUND(K766, 2), 2)</f>
        <v>896456.56</v>
      </c>
      <c r="O766" s="23">
        <f>M766+N766</f>
        <v>940383.83000000007</v>
      </c>
      <c r="P766" s="23">
        <f>IFERROR(ROUND(SUM(S767)/I766, 2),0)</f>
        <v>82.37</v>
      </c>
      <c r="Q766" s="23">
        <v>0</v>
      </c>
      <c r="R766" s="23">
        <f>P766+ROUND(Q766, 2)</f>
        <v>82.37</v>
      </c>
      <c r="S766" s="23">
        <f>ROUND(P766*I766, 2)</f>
        <v>73767.360000000001</v>
      </c>
      <c r="T766" s="23">
        <f>ROUND(I766*ROUND(Q766, 2), 2)</f>
        <v>0</v>
      </c>
      <c r="U766" s="23">
        <f>S766+T766</f>
        <v>73767.360000000001</v>
      </c>
      <c r="V766" s="9">
        <f>ROUND(P766 / 1.2, 2)</f>
        <v>68.64</v>
      </c>
      <c r="W766" s="9">
        <f>ROUND(Q766 / 1.2, 2)</f>
        <v>0</v>
      </c>
      <c r="X766" s="9">
        <f>ROUND(R766 / 1.2, 2)</f>
        <v>68.64</v>
      </c>
      <c r="Y766" s="9">
        <f t="shared" si="25"/>
        <v>61472.800000000003</v>
      </c>
      <c r="Z766" s="9">
        <f>ROUND(T766 / 1.2, 2)</f>
        <v>0</v>
      </c>
      <c r="AA766" s="9">
        <f>Y766+Z766</f>
        <v>61472.800000000003</v>
      </c>
      <c r="AD766" s="4">
        <v>334080747</v>
      </c>
      <c r="AE766" s="4">
        <v>29295730</v>
      </c>
      <c r="AG766" s="4" t="s">
        <v>2420</v>
      </c>
      <c r="AH766" s="4" t="s">
        <v>2421</v>
      </c>
      <c r="AI766" s="4" t="s">
        <v>250</v>
      </c>
    </row>
    <row r="767" spans="1:35" ht="36" x14ac:dyDescent="0.3">
      <c r="A767" s="11" t="s">
        <v>2441</v>
      </c>
      <c r="B767" s="11"/>
      <c r="C767" s="32" t="s">
        <v>2442</v>
      </c>
      <c r="D767" s="21"/>
      <c r="E767" s="21"/>
      <c r="F767" s="33" t="s">
        <v>597</v>
      </c>
      <c r="G767" s="34">
        <v>0.3</v>
      </c>
      <c r="H767" s="21"/>
      <c r="I767" s="37">
        <v>591.07000000000005</v>
      </c>
      <c r="J767" s="35">
        <v>74.319999999999993</v>
      </c>
      <c r="K767" s="12"/>
      <c r="L767" s="12"/>
      <c r="M767" s="35">
        <f>ROUND(ROUND(J767, 2)*I767, 2)</f>
        <v>43928.32</v>
      </c>
      <c r="N767" s="12"/>
      <c r="O767" s="12"/>
      <c r="P767" s="35">
        <v>124.8</v>
      </c>
      <c r="Q767" s="12"/>
      <c r="R767" s="12"/>
      <c r="S767" s="35">
        <f>ROUND(ROUND(P767, 2)*I767, 2)</f>
        <v>73765.539999999994</v>
      </c>
      <c r="T767" s="12"/>
      <c r="U767" s="36"/>
      <c r="V767" s="9">
        <f>ROUND(ROUND(P767, 2)/1.2, 2)</f>
        <v>104</v>
      </c>
      <c r="Y767" s="9">
        <f t="shared" si="25"/>
        <v>61471.28</v>
      </c>
      <c r="AD767" s="4" t="s">
        <v>2443</v>
      </c>
      <c r="AE767" s="4" t="s">
        <v>2444</v>
      </c>
      <c r="AF767" s="4" t="s">
        <v>2445</v>
      </c>
    </row>
    <row r="768" spans="1:35" ht="216" x14ac:dyDescent="0.3">
      <c r="A768" s="11" t="s">
        <v>2446</v>
      </c>
      <c r="B768" s="11" t="s">
        <v>2417</v>
      </c>
      <c r="C768" s="20" t="s">
        <v>2418</v>
      </c>
      <c r="D768" s="21"/>
      <c r="E768" s="21" t="s">
        <v>2447</v>
      </c>
      <c r="F768" s="21" t="s">
        <v>62</v>
      </c>
      <c r="G768" s="22">
        <v>1</v>
      </c>
      <c r="H768" s="21"/>
      <c r="I768" s="22">
        <v>789.13300000000004</v>
      </c>
      <c r="J768" s="23">
        <f>IFERROR(ROUND(SUM(M769)/I768, 2),0)</f>
        <v>122.63</v>
      </c>
      <c r="K768" s="23">
        <v>1001</v>
      </c>
      <c r="L768" s="23">
        <f>J768+ROUND(K768, 2)</f>
        <v>1123.6300000000001</v>
      </c>
      <c r="M768" s="23">
        <f>ROUND(J768*I768, 2)</f>
        <v>96771.38</v>
      </c>
      <c r="N768" s="23">
        <f>ROUND(I768*ROUND(K768, 2), 2)</f>
        <v>789922.13</v>
      </c>
      <c r="O768" s="23">
        <f>M768+N768</f>
        <v>886693.51</v>
      </c>
      <c r="P768" s="23">
        <f>IFERROR(ROUND(SUM(S769)/I768, 2),0)</f>
        <v>326.7</v>
      </c>
      <c r="Q768" s="23">
        <v>0</v>
      </c>
      <c r="R768" s="23">
        <f>P768+ROUND(Q768, 2)</f>
        <v>326.7</v>
      </c>
      <c r="S768" s="23">
        <f>ROUND(P768*I768, 2)</f>
        <v>257809.75</v>
      </c>
      <c r="T768" s="23">
        <f>ROUND(I768*ROUND(Q768, 2), 2)</f>
        <v>0</v>
      </c>
      <c r="U768" s="23">
        <f>S768+T768</f>
        <v>257809.75</v>
      </c>
      <c r="V768" s="9">
        <f>ROUND(P768 / 1.2, 2)</f>
        <v>272.25</v>
      </c>
      <c r="W768" s="9">
        <f>ROUND(Q768 / 1.2, 2)</f>
        <v>0</v>
      </c>
      <c r="X768" s="9">
        <f>ROUND(R768 / 1.2, 2)</f>
        <v>272.25</v>
      </c>
      <c r="Y768" s="9">
        <f t="shared" si="25"/>
        <v>214841.46</v>
      </c>
      <c r="Z768" s="9">
        <f>ROUND(T768 / 1.2, 2)</f>
        <v>0</v>
      </c>
      <c r="AA768" s="9">
        <f>Y768+Z768</f>
        <v>214841.46</v>
      </c>
      <c r="AD768" s="4">
        <v>334080748</v>
      </c>
      <c r="AE768" s="4">
        <v>29295731</v>
      </c>
      <c r="AG768" s="4" t="s">
        <v>2420</v>
      </c>
      <c r="AH768" s="4" t="s">
        <v>2421</v>
      </c>
      <c r="AI768" s="4" t="s">
        <v>250</v>
      </c>
    </row>
    <row r="769" spans="1:35" ht="36" x14ac:dyDescent="0.3">
      <c r="A769" s="11" t="s">
        <v>2448</v>
      </c>
      <c r="B769" s="11"/>
      <c r="C769" s="32" t="s">
        <v>2442</v>
      </c>
      <c r="D769" s="21"/>
      <c r="E769" s="21"/>
      <c r="F769" s="33" t="s">
        <v>597</v>
      </c>
      <c r="G769" s="34">
        <v>0.3</v>
      </c>
      <c r="H769" s="21"/>
      <c r="I769" s="37">
        <v>1302.069</v>
      </c>
      <c r="J769" s="35">
        <v>74.319999999999993</v>
      </c>
      <c r="K769" s="12"/>
      <c r="L769" s="12"/>
      <c r="M769" s="35">
        <f>ROUND(ROUND(J769, 2)*I769, 2)</f>
        <v>96769.77</v>
      </c>
      <c r="N769" s="12"/>
      <c r="O769" s="12"/>
      <c r="P769" s="35">
        <v>198</v>
      </c>
      <c r="Q769" s="12"/>
      <c r="R769" s="12"/>
      <c r="S769" s="35">
        <f>ROUND(ROUND(P769, 2)*I769, 2)</f>
        <v>257809.66</v>
      </c>
      <c r="T769" s="12"/>
      <c r="U769" s="36"/>
      <c r="V769" s="9">
        <f>ROUND(ROUND(P769, 2)/1.2, 2)</f>
        <v>165</v>
      </c>
      <c r="Y769" s="9">
        <f t="shared" si="25"/>
        <v>214841.38</v>
      </c>
      <c r="AD769" s="4" t="s">
        <v>2449</v>
      </c>
      <c r="AE769" s="4" t="s">
        <v>2450</v>
      </c>
      <c r="AF769" s="4" t="s">
        <v>2445</v>
      </c>
    </row>
    <row r="770" spans="1:35" ht="36" x14ac:dyDescent="0.3">
      <c r="A770" s="10" t="s">
        <v>2451</v>
      </c>
      <c r="B770" s="10" t="s">
        <v>2452</v>
      </c>
      <c r="C770" s="14" t="s">
        <v>2453</v>
      </c>
      <c r="D770" s="15"/>
      <c r="E770" s="15"/>
      <c r="F770" s="15" t="s">
        <v>62</v>
      </c>
      <c r="G770" s="16">
        <v>1</v>
      </c>
      <c r="H770" s="15"/>
      <c r="I770" s="16">
        <v>0</v>
      </c>
      <c r="J770" s="17">
        <v>0</v>
      </c>
      <c r="K770" s="18">
        <v>1477</v>
      </c>
      <c r="L770" s="17">
        <f>J770+ROUND(K770, 2)</f>
        <v>1477</v>
      </c>
      <c r="M770" s="17">
        <v>0</v>
      </c>
      <c r="N770" s="17">
        <v>0</v>
      </c>
      <c r="O770" s="17">
        <f>M770+N770</f>
        <v>0</v>
      </c>
      <c r="P770" s="17">
        <v>2032.78</v>
      </c>
      <c r="Q770" s="19">
        <v>1477</v>
      </c>
      <c r="R770" s="17">
        <f>P770+ROUND(Q770, 2)</f>
        <v>3509.7799999999997</v>
      </c>
      <c r="S770" s="17">
        <v>0</v>
      </c>
      <c r="T770" s="17">
        <v>0</v>
      </c>
      <c r="U770" s="17">
        <f>S770+T770</f>
        <v>0</v>
      </c>
      <c r="V770" s="9">
        <f>ROUND(P770 / 1.2, 2)</f>
        <v>1693.98</v>
      </c>
      <c r="W770" s="9">
        <f>ROUND(Q770 / 1.2, 2)</f>
        <v>1230.83</v>
      </c>
      <c r="X770" s="9">
        <f>ROUND(R770 / 1.2, 2)</f>
        <v>2924.82</v>
      </c>
      <c r="Y770" s="9">
        <f t="shared" si="25"/>
        <v>0</v>
      </c>
      <c r="Z770" s="9">
        <f>ROUND(T770 / 1.2, 2)</f>
        <v>0</v>
      </c>
      <c r="AA770" s="9">
        <f>Y770+Z770</f>
        <v>0</v>
      </c>
      <c r="AD770" s="4">
        <v>334080551</v>
      </c>
      <c r="AE770" s="4">
        <v>27245600</v>
      </c>
      <c r="AG770" s="4" t="s">
        <v>2454</v>
      </c>
      <c r="AH770" s="4" t="s">
        <v>2455</v>
      </c>
      <c r="AI770" s="4" t="s">
        <v>250</v>
      </c>
    </row>
    <row r="771" spans="1:35" ht="18" x14ac:dyDescent="0.3">
      <c r="A771" s="10" t="s">
        <v>2456</v>
      </c>
      <c r="B771" s="10"/>
      <c r="C771" s="24" t="s">
        <v>2457</v>
      </c>
      <c r="D771" s="15"/>
      <c r="E771" s="15"/>
      <c r="F771" s="25" t="s">
        <v>597</v>
      </c>
      <c r="G771" s="26">
        <v>1</v>
      </c>
      <c r="H771" s="15"/>
      <c r="I771" s="31">
        <v>0</v>
      </c>
      <c r="J771" s="27">
        <v>80</v>
      </c>
      <c r="M771" s="28">
        <f>ROUND(ROUND(J771, 2)*I771, 2)</f>
        <v>0</v>
      </c>
      <c r="P771" s="29">
        <v>80</v>
      </c>
      <c r="S771" s="28">
        <f>ROUND(ROUND(P771, 2)*I771, 2)</f>
        <v>0</v>
      </c>
      <c r="V771" s="9">
        <f>ROUND(ROUND(P771, 2)/1.2, 2)</f>
        <v>66.67</v>
      </c>
      <c r="Y771" s="9">
        <f t="shared" si="25"/>
        <v>0</v>
      </c>
      <c r="AD771" s="4" t="s">
        <v>2458</v>
      </c>
      <c r="AE771" s="4" t="s">
        <v>2459</v>
      </c>
      <c r="AF771" s="4" t="s">
        <v>2460</v>
      </c>
    </row>
    <row r="772" spans="1:35" ht="18" x14ac:dyDescent="0.3">
      <c r="A772" s="10" t="s">
        <v>2461</v>
      </c>
      <c r="B772" s="10"/>
      <c r="C772" s="24" t="s">
        <v>2462</v>
      </c>
      <c r="D772" s="15"/>
      <c r="E772" s="15"/>
      <c r="F772" s="25" t="s">
        <v>102</v>
      </c>
      <c r="G772" s="26">
        <v>1</v>
      </c>
      <c r="H772" s="15"/>
      <c r="I772" s="31">
        <v>0</v>
      </c>
      <c r="J772" s="27">
        <v>44.71</v>
      </c>
      <c r="M772" s="28">
        <f>ROUND(ROUND(J772, 2)*I772, 2)</f>
        <v>0</v>
      </c>
      <c r="P772" s="29">
        <v>44.71</v>
      </c>
      <c r="S772" s="28">
        <f>ROUND(ROUND(P772, 2)*I772, 2)</f>
        <v>0</v>
      </c>
      <c r="V772" s="9">
        <f>ROUND(ROUND(P772, 2)/1.2, 2)</f>
        <v>37.26</v>
      </c>
      <c r="Y772" s="9">
        <f t="shared" si="25"/>
        <v>0</v>
      </c>
      <c r="AD772" s="4" t="s">
        <v>2463</v>
      </c>
      <c r="AE772" s="4" t="s">
        <v>2464</v>
      </c>
      <c r="AF772" s="4" t="s">
        <v>2465</v>
      </c>
    </row>
    <row r="773" spans="1:35" ht="18" x14ac:dyDescent="0.3">
      <c r="A773" s="10" t="s">
        <v>2466</v>
      </c>
      <c r="B773" s="10"/>
      <c r="C773" s="24" t="s">
        <v>175</v>
      </c>
      <c r="D773" s="15"/>
      <c r="E773" s="15"/>
      <c r="F773" s="25" t="s">
        <v>102</v>
      </c>
      <c r="G773" s="26">
        <v>1</v>
      </c>
      <c r="H773" s="15"/>
      <c r="I773" s="31">
        <v>0</v>
      </c>
      <c r="J773" s="27">
        <v>35.76</v>
      </c>
      <c r="M773" s="28">
        <f>ROUND(ROUND(J773, 2)*I773, 2)</f>
        <v>0</v>
      </c>
      <c r="P773" s="29">
        <v>35.76</v>
      </c>
      <c r="S773" s="28">
        <f>ROUND(ROUND(P773, 2)*I773, 2)</f>
        <v>0</v>
      </c>
      <c r="V773" s="9">
        <f>ROUND(ROUND(P773, 2)/1.2, 2)</f>
        <v>29.8</v>
      </c>
      <c r="Y773" s="9">
        <f t="shared" si="25"/>
        <v>0</v>
      </c>
      <c r="AD773" s="4" t="s">
        <v>2467</v>
      </c>
      <c r="AE773" s="4" t="s">
        <v>2468</v>
      </c>
      <c r="AF773" s="4" t="s">
        <v>178</v>
      </c>
    </row>
    <row r="774" spans="1:35" ht="36" x14ac:dyDescent="0.3">
      <c r="A774" s="10" t="s">
        <v>2469</v>
      </c>
      <c r="B774" s="10"/>
      <c r="C774" s="24" t="s">
        <v>2470</v>
      </c>
      <c r="D774" s="15"/>
      <c r="E774" s="15"/>
      <c r="F774" s="25" t="s">
        <v>62</v>
      </c>
      <c r="G774" s="26">
        <v>1.1000000000000001</v>
      </c>
      <c r="H774" s="15"/>
      <c r="I774" s="31">
        <v>0</v>
      </c>
      <c r="J774" s="27">
        <v>0</v>
      </c>
      <c r="M774" s="28">
        <f>ROUND(ROUND(J774, 2)*I774, 2)</f>
        <v>0</v>
      </c>
      <c r="P774" s="29">
        <v>1520.33</v>
      </c>
      <c r="S774" s="28">
        <f>ROUND(ROUND(P774, 2)*I774, 2)</f>
        <v>0</v>
      </c>
      <c r="V774" s="9">
        <f>ROUND(ROUND(P774, 2)/1.2, 2)</f>
        <v>1266.94</v>
      </c>
      <c r="Y774" s="9">
        <f t="shared" si="25"/>
        <v>0</v>
      </c>
      <c r="AD774" s="4" t="s">
        <v>2471</v>
      </c>
      <c r="AE774" s="4" t="s">
        <v>2472</v>
      </c>
      <c r="AF774" s="4" t="s">
        <v>2473</v>
      </c>
    </row>
    <row r="775" spans="1:35" ht="36" x14ac:dyDescent="0.3">
      <c r="A775" s="10" t="s">
        <v>2474</v>
      </c>
      <c r="B775" s="10" t="s">
        <v>2452</v>
      </c>
      <c r="C775" s="14" t="s">
        <v>2453</v>
      </c>
      <c r="D775" s="15"/>
      <c r="E775" s="15"/>
      <c r="F775" s="15" t="s">
        <v>62</v>
      </c>
      <c r="G775" s="16">
        <v>1</v>
      </c>
      <c r="H775" s="15"/>
      <c r="I775" s="16">
        <v>0</v>
      </c>
      <c r="J775" s="17">
        <v>0</v>
      </c>
      <c r="K775" s="18">
        <v>1477</v>
      </c>
      <c r="L775" s="17">
        <f>J775+ROUND(K775, 2)</f>
        <v>1477</v>
      </c>
      <c r="M775" s="17">
        <v>0</v>
      </c>
      <c r="N775" s="17">
        <v>0</v>
      </c>
      <c r="O775" s="17">
        <f>M775+N775</f>
        <v>0</v>
      </c>
      <c r="P775" s="17">
        <v>475.79</v>
      </c>
      <c r="Q775" s="19">
        <v>1477</v>
      </c>
      <c r="R775" s="17">
        <f>P775+ROUND(Q775, 2)</f>
        <v>1952.79</v>
      </c>
      <c r="S775" s="17">
        <v>0</v>
      </c>
      <c r="T775" s="17">
        <v>0</v>
      </c>
      <c r="U775" s="17">
        <f>S775+T775</f>
        <v>0</v>
      </c>
      <c r="V775" s="9">
        <f>ROUND(P775 / 1.2, 2)</f>
        <v>396.49</v>
      </c>
      <c r="W775" s="9">
        <f>ROUND(Q775 / 1.2, 2)</f>
        <v>1230.83</v>
      </c>
      <c r="X775" s="9">
        <f>ROUND(R775 / 1.2, 2)</f>
        <v>1627.33</v>
      </c>
      <c r="Y775" s="9">
        <f t="shared" si="25"/>
        <v>0</v>
      </c>
      <c r="Z775" s="9">
        <f>ROUND(T775 / 1.2, 2)</f>
        <v>0</v>
      </c>
      <c r="AA775" s="9">
        <f>Y775+Z775</f>
        <v>0</v>
      </c>
      <c r="AD775" s="4">
        <v>334080749</v>
      </c>
      <c r="AE775" s="4">
        <v>27245601</v>
      </c>
      <c r="AG775" s="4" t="s">
        <v>2454</v>
      </c>
      <c r="AH775" s="4" t="s">
        <v>2455</v>
      </c>
      <c r="AI775" s="4" t="s">
        <v>250</v>
      </c>
    </row>
    <row r="776" spans="1:35" ht="18" x14ac:dyDescent="0.3">
      <c r="A776" s="10" t="s">
        <v>2475</v>
      </c>
      <c r="B776" s="10"/>
      <c r="C776" s="30" t="s">
        <v>188</v>
      </c>
      <c r="D776" s="15"/>
      <c r="E776" s="15"/>
      <c r="F776" s="25" t="s">
        <v>62</v>
      </c>
      <c r="G776" s="26">
        <v>1.1000000000000001</v>
      </c>
      <c r="H776" s="15"/>
      <c r="I776" s="31">
        <v>0</v>
      </c>
      <c r="J776" s="27">
        <v>309.39999999999998</v>
      </c>
      <c r="M776" s="28">
        <f>ROUND(ROUND(J776, 2)*I776, 2)</f>
        <v>0</v>
      </c>
      <c r="P776" s="29">
        <v>104.57</v>
      </c>
      <c r="S776" s="28">
        <f>ROUND(ROUND(P776, 2)*I776, 2)</f>
        <v>0</v>
      </c>
      <c r="V776" s="9">
        <f>ROUND(ROUND(P776, 2)/1.2, 2)</f>
        <v>87.14</v>
      </c>
      <c r="Y776" s="9">
        <f t="shared" si="25"/>
        <v>0</v>
      </c>
      <c r="AD776" s="4" t="s">
        <v>2476</v>
      </c>
      <c r="AE776" s="4" t="s">
        <v>2477</v>
      </c>
      <c r="AF776" s="4" t="s">
        <v>191</v>
      </c>
    </row>
    <row r="777" spans="1:35" ht="18" x14ac:dyDescent="0.3">
      <c r="A777" s="10" t="s">
        <v>2478</v>
      </c>
      <c r="B777" s="10"/>
      <c r="C777" s="24" t="s">
        <v>2462</v>
      </c>
      <c r="D777" s="15"/>
      <c r="E777" s="15"/>
      <c r="F777" s="25" t="s">
        <v>102</v>
      </c>
      <c r="G777" s="26">
        <v>1</v>
      </c>
      <c r="H777" s="15"/>
      <c r="I777" s="31">
        <v>0</v>
      </c>
      <c r="J777" s="27">
        <v>44.71</v>
      </c>
      <c r="M777" s="28">
        <f>ROUND(ROUND(J777, 2)*I777, 2)</f>
        <v>0</v>
      </c>
      <c r="P777" s="29">
        <v>44.71</v>
      </c>
      <c r="S777" s="28">
        <f>ROUND(ROUND(P777, 2)*I777, 2)</f>
        <v>0</v>
      </c>
      <c r="V777" s="9">
        <f>ROUND(ROUND(P777, 2)/1.2, 2)</f>
        <v>37.26</v>
      </c>
      <c r="Y777" s="9">
        <f t="shared" si="25"/>
        <v>0</v>
      </c>
      <c r="AD777" s="4" t="s">
        <v>2479</v>
      </c>
      <c r="AE777" s="4" t="s">
        <v>2480</v>
      </c>
      <c r="AF777" s="4" t="s">
        <v>2465</v>
      </c>
    </row>
    <row r="778" spans="1:35" ht="18" x14ac:dyDescent="0.3">
      <c r="A778" s="10" t="s">
        <v>2481</v>
      </c>
      <c r="B778" s="10"/>
      <c r="C778" s="24" t="s">
        <v>175</v>
      </c>
      <c r="D778" s="15"/>
      <c r="E778" s="15"/>
      <c r="F778" s="25" t="s">
        <v>102</v>
      </c>
      <c r="G778" s="26">
        <v>1</v>
      </c>
      <c r="H778" s="15"/>
      <c r="I778" s="31">
        <v>0</v>
      </c>
      <c r="J778" s="27">
        <v>35.76</v>
      </c>
      <c r="M778" s="28">
        <f>ROUND(ROUND(J778, 2)*I778, 2)</f>
        <v>0</v>
      </c>
      <c r="P778" s="29">
        <v>35.76</v>
      </c>
      <c r="S778" s="28">
        <f>ROUND(ROUND(P778, 2)*I778, 2)</f>
        <v>0</v>
      </c>
      <c r="V778" s="9">
        <f>ROUND(ROUND(P778, 2)/1.2, 2)</f>
        <v>29.8</v>
      </c>
      <c r="Y778" s="9">
        <f t="shared" si="25"/>
        <v>0</v>
      </c>
      <c r="AD778" s="4" t="s">
        <v>2482</v>
      </c>
      <c r="AE778" s="4" t="s">
        <v>2483</v>
      </c>
      <c r="AF778" s="4" t="s">
        <v>178</v>
      </c>
    </row>
    <row r="779" spans="1:35" ht="18" x14ac:dyDescent="0.3">
      <c r="A779" s="10" t="s">
        <v>2484</v>
      </c>
      <c r="B779" s="10"/>
      <c r="C779" s="24" t="s">
        <v>2457</v>
      </c>
      <c r="D779" s="15"/>
      <c r="E779" s="15"/>
      <c r="F779" s="25" t="s">
        <v>597</v>
      </c>
      <c r="G779" s="26">
        <v>1</v>
      </c>
      <c r="H779" s="15"/>
      <c r="I779" s="31">
        <v>0</v>
      </c>
      <c r="J779" s="27">
        <v>80</v>
      </c>
      <c r="M779" s="28">
        <f>ROUND(ROUND(J779, 2)*I779, 2)</f>
        <v>0</v>
      </c>
      <c r="P779" s="29">
        <v>80</v>
      </c>
      <c r="S779" s="28">
        <f>ROUND(ROUND(P779, 2)*I779, 2)</f>
        <v>0</v>
      </c>
      <c r="V779" s="9">
        <f>ROUND(ROUND(P779, 2)/1.2, 2)</f>
        <v>66.67</v>
      </c>
      <c r="Y779" s="9">
        <f t="shared" si="25"/>
        <v>0</v>
      </c>
      <c r="AD779" s="4" t="s">
        <v>2485</v>
      </c>
      <c r="AE779" s="4" t="s">
        <v>2486</v>
      </c>
      <c r="AF779" s="4" t="s">
        <v>2460</v>
      </c>
    </row>
    <row r="780" spans="1:35" ht="90" x14ac:dyDescent="0.3">
      <c r="A780" s="10" t="s">
        <v>2487</v>
      </c>
      <c r="B780" s="10" t="s">
        <v>2452</v>
      </c>
      <c r="C780" s="14" t="s">
        <v>2453</v>
      </c>
      <c r="D780" s="15"/>
      <c r="E780" s="15" t="s">
        <v>2488</v>
      </c>
      <c r="F780" s="15" t="s">
        <v>62</v>
      </c>
      <c r="G780" s="16">
        <v>1</v>
      </c>
      <c r="H780" s="15"/>
      <c r="I780" s="16">
        <v>118.4</v>
      </c>
      <c r="J780" s="17">
        <v>360.42</v>
      </c>
      <c r="K780" s="18">
        <v>1477</v>
      </c>
      <c r="L780" s="17">
        <f>J780+ROUND(K780, 2)</f>
        <v>1837.42</v>
      </c>
      <c r="M780" s="17">
        <v>42673.73</v>
      </c>
      <c r="N780" s="17">
        <v>174876.79999999999</v>
      </c>
      <c r="O780" s="17">
        <f>M780+N780</f>
        <v>217550.53</v>
      </c>
      <c r="P780" s="17">
        <v>2032.78</v>
      </c>
      <c r="Q780" s="19">
        <v>2215.5</v>
      </c>
      <c r="R780" s="17">
        <f>P780+ROUND(Q780, 2)</f>
        <v>4248.28</v>
      </c>
      <c r="S780" s="17">
        <v>240681.15</v>
      </c>
      <c r="T780" s="17">
        <v>262315.2</v>
      </c>
      <c r="U780" s="17">
        <f>S780+T780</f>
        <v>502996.35</v>
      </c>
      <c r="V780" s="9">
        <f>ROUND(P780 / 1.2, 2)</f>
        <v>1693.98</v>
      </c>
      <c r="W780" s="9">
        <f>ROUND(Q780 / 1.2, 2)</f>
        <v>1846.25</v>
      </c>
      <c r="X780" s="9">
        <f>ROUND(R780 / 1.2, 2)</f>
        <v>3540.23</v>
      </c>
      <c r="Y780" s="9">
        <f t="shared" si="25"/>
        <v>200567.63</v>
      </c>
      <c r="Z780" s="9">
        <f>ROUND(T780 / 1.2, 2)</f>
        <v>218596</v>
      </c>
      <c r="AA780" s="9">
        <f>Y780+Z780</f>
        <v>419163.63</v>
      </c>
      <c r="AD780" s="4">
        <v>334080750</v>
      </c>
      <c r="AE780" s="4">
        <v>27245791</v>
      </c>
      <c r="AG780" s="4" t="s">
        <v>2454</v>
      </c>
      <c r="AH780" s="4" t="s">
        <v>2455</v>
      </c>
      <c r="AI780" s="4" t="s">
        <v>250</v>
      </c>
    </row>
    <row r="781" spans="1:35" ht="18" x14ac:dyDescent="0.3">
      <c r="A781" s="10" t="s">
        <v>2489</v>
      </c>
      <c r="B781" s="10"/>
      <c r="C781" s="24" t="s">
        <v>2457</v>
      </c>
      <c r="D781" s="15"/>
      <c r="E781" s="15"/>
      <c r="F781" s="25" t="s">
        <v>597</v>
      </c>
      <c r="G781" s="26">
        <v>1</v>
      </c>
      <c r="H781" s="15"/>
      <c r="I781" s="31">
        <v>123</v>
      </c>
      <c r="J781" s="27">
        <v>80</v>
      </c>
      <c r="M781" s="28">
        <f>ROUND(ROUND(J781, 2)*I781, 2)</f>
        <v>9840</v>
      </c>
      <c r="P781" s="29">
        <v>80</v>
      </c>
      <c r="S781" s="28">
        <f>ROUND(ROUND(P781, 2)*I781, 2)</f>
        <v>9840</v>
      </c>
      <c r="V781" s="9">
        <f>ROUND(ROUND(P781, 2)/1.2, 2)</f>
        <v>66.67</v>
      </c>
      <c r="Y781" s="9">
        <f t="shared" si="25"/>
        <v>8200</v>
      </c>
      <c r="AD781" s="4" t="s">
        <v>2490</v>
      </c>
      <c r="AE781" s="4" t="s">
        <v>2491</v>
      </c>
      <c r="AF781" s="4" t="s">
        <v>2460</v>
      </c>
    </row>
    <row r="782" spans="1:35" ht="18" x14ac:dyDescent="0.3">
      <c r="A782" s="10" t="s">
        <v>2492</v>
      </c>
      <c r="B782" s="10"/>
      <c r="C782" s="24" t="s">
        <v>2462</v>
      </c>
      <c r="D782" s="15"/>
      <c r="E782" s="15"/>
      <c r="F782" s="25" t="s">
        <v>102</v>
      </c>
      <c r="G782" s="26">
        <v>1</v>
      </c>
      <c r="H782" s="15"/>
      <c r="I782" s="31">
        <v>592</v>
      </c>
      <c r="J782" s="27">
        <v>44.71</v>
      </c>
      <c r="M782" s="28">
        <f>ROUND(ROUND(J782, 2)*I782, 2)</f>
        <v>26468.32</v>
      </c>
      <c r="P782" s="29">
        <v>44.71</v>
      </c>
      <c r="S782" s="28">
        <f>ROUND(ROUND(P782, 2)*I782, 2)</f>
        <v>26468.32</v>
      </c>
      <c r="V782" s="9">
        <f>ROUND(ROUND(P782, 2)/1.2, 2)</f>
        <v>37.26</v>
      </c>
      <c r="Y782" s="9">
        <f t="shared" si="25"/>
        <v>22056.93</v>
      </c>
      <c r="AD782" s="4" t="s">
        <v>2493</v>
      </c>
      <c r="AE782" s="4" t="s">
        <v>2494</v>
      </c>
      <c r="AF782" s="4" t="s">
        <v>2465</v>
      </c>
    </row>
    <row r="783" spans="1:35" ht="18" x14ac:dyDescent="0.3">
      <c r="A783" s="10" t="s">
        <v>2495</v>
      </c>
      <c r="B783" s="10"/>
      <c r="C783" s="24" t="s">
        <v>175</v>
      </c>
      <c r="D783" s="15"/>
      <c r="E783" s="15"/>
      <c r="F783" s="25" t="s">
        <v>102</v>
      </c>
      <c r="G783" s="26">
        <v>1</v>
      </c>
      <c r="H783" s="15"/>
      <c r="I783" s="31">
        <v>178</v>
      </c>
      <c r="J783" s="27">
        <v>35.76</v>
      </c>
      <c r="M783" s="28">
        <f>ROUND(ROUND(J783, 2)*I783, 2)</f>
        <v>6365.28</v>
      </c>
      <c r="P783" s="29">
        <v>35.76</v>
      </c>
      <c r="S783" s="28">
        <f>ROUND(ROUND(P783, 2)*I783, 2)</f>
        <v>6365.28</v>
      </c>
      <c r="V783" s="9">
        <f>ROUND(ROUND(P783, 2)/1.2, 2)</f>
        <v>29.8</v>
      </c>
      <c r="Y783" s="9">
        <f t="shared" si="25"/>
        <v>5304.4</v>
      </c>
      <c r="AD783" s="4" t="s">
        <v>2496</v>
      </c>
      <c r="AE783" s="4" t="s">
        <v>2497</v>
      </c>
      <c r="AF783" s="4" t="s">
        <v>178</v>
      </c>
    </row>
    <row r="784" spans="1:35" ht="36" x14ac:dyDescent="0.3">
      <c r="A784" s="10" t="s">
        <v>2498</v>
      </c>
      <c r="B784" s="10"/>
      <c r="C784" s="24" t="s">
        <v>2470</v>
      </c>
      <c r="D784" s="15"/>
      <c r="E784" s="15"/>
      <c r="F784" s="25" t="s">
        <v>62</v>
      </c>
      <c r="G784" s="26">
        <v>1.1000000000000001</v>
      </c>
      <c r="H784" s="15"/>
      <c r="I784" s="31">
        <v>130.24</v>
      </c>
      <c r="J784" s="27">
        <v>0</v>
      </c>
      <c r="M784" s="28">
        <f>ROUND(ROUND(J784, 2)*I784, 2)</f>
        <v>0</v>
      </c>
      <c r="P784" s="29">
        <v>1520.33</v>
      </c>
      <c r="S784" s="28">
        <f>ROUND(ROUND(P784, 2)*I784, 2)</f>
        <v>198007.78</v>
      </c>
      <c r="V784" s="9">
        <f>ROUND(ROUND(P784, 2)/1.2, 2)</f>
        <v>1266.94</v>
      </c>
      <c r="Y784" s="9">
        <f t="shared" si="25"/>
        <v>165006.48000000001</v>
      </c>
      <c r="AD784" s="4" t="s">
        <v>2499</v>
      </c>
      <c r="AE784" s="4" t="s">
        <v>2500</v>
      </c>
      <c r="AF784" s="4" t="s">
        <v>2473</v>
      </c>
    </row>
    <row r="785" spans="1:35" ht="162" x14ac:dyDescent="0.3">
      <c r="A785" s="10" t="s">
        <v>2501</v>
      </c>
      <c r="B785" s="10" t="s">
        <v>2452</v>
      </c>
      <c r="C785" s="14" t="s">
        <v>2453</v>
      </c>
      <c r="D785" s="15"/>
      <c r="E785" s="15" t="s">
        <v>2502</v>
      </c>
      <c r="F785" s="15" t="s">
        <v>62</v>
      </c>
      <c r="G785" s="16">
        <v>1</v>
      </c>
      <c r="H785" s="15"/>
      <c r="I785" s="16">
        <v>358.7</v>
      </c>
      <c r="J785" s="17">
        <v>701.1</v>
      </c>
      <c r="K785" s="18">
        <v>1477</v>
      </c>
      <c r="L785" s="17">
        <f>J785+ROUND(K785, 2)</f>
        <v>2178.1</v>
      </c>
      <c r="M785" s="17">
        <v>251484.57</v>
      </c>
      <c r="N785" s="17">
        <v>529799.9</v>
      </c>
      <c r="O785" s="17">
        <f>M785+N785</f>
        <v>781284.47</v>
      </c>
      <c r="P785" s="17">
        <v>475.79</v>
      </c>
      <c r="Q785" s="19">
        <v>2215.5</v>
      </c>
      <c r="R785" s="17">
        <f>P785+ROUND(Q785, 2)</f>
        <v>2691.29</v>
      </c>
      <c r="S785" s="17">
        <v>170665.87</v>
      </c>
      <c r="T785" s="17">
        <v>794699.85</v>
      </c>
      <c r="U785" s="17">
        <f>S785+T785</f>
        <v>965365.72</v>
      </c>
      <c r="V785" s="9">
        <f>ROUND(P785 / 1.2, 2)</f>
        <v>396.49</v>
      </c>
      <c r="W785" s="9">
        <f>ROUND(Q785 / 1.2, 2)</f>
        <v>1846.25</v>
      </c>
      <c r="X785" s="9">
        <f>ROUND(R785 / 1.2, 2)</f>
        <v>2242.7399999999998</v>
      </c>
      <c r="Y785" s="9">
        <f t="shared" si="25"/>
        <v>142221.56</v>
      </c>
      <c r="Z785" s="9">
        <f>ROUND(T785 / 1.2, 2)</f>
        <v>662249.88</v>
      </c>
      <c r="AA785" s="9">
        <f>Y785+Z785</f>
        <v>804471.44</v>
      </c>
      <c r="AD785" s="4">
        <v>334080751</v>
      </c>
      <c r="AE785" s="4">
        <v>27245790</v>
      </c>
      <c r="AG785" s="4" t="s">
        <v>2454</v>
      </c>
      <c r="AH785" s="4" t="s">
        <v>2455</v>
      </c>
      <c r="AI785" s="4" t="s">
        <v>250</v>
      </c>
    </row>
    <row r="786" spans="1:35" ht="18" x14ac:dyDescent="0.3">
      <c r="A786" s="10" t="s">
        <v>2503</v>
      </c>
      <c r="B786" s="10"/>
      <c r="C786" s="30" t="s">
        <v>188</v>
      </c>
      <c r="D786" s="15"/>
      <c r="E786" s="15"/>
      <c r="F786" s="25" t="s">
        <v>62</v>
      </c>
      <c r="G786" s="26">
        <v>1.1000000000000001</v>
      </c>
      <c r="H786" s="15"/>
      <c r="I786" s="31">
        <v>394.57</v>
      </c>
      <c r="J786" s="27">
        <v>309.39999999999998</v>
      </c>
      <c r="M786" s="28">
        <f>ROUND(ROUND(J786, 2)*I786, 2)</f>
        <v>122079.96</v>
      </c>
      <c r="P786" s="29">
        <v>104.57</v>
      </c>
      <c r="S786" s="28">
        <f>ROUND(ROUND(P786, 2)*I786, 2)</f>
        <v>41260.18</v>
      </c>
      <c r="V786" s="9">
        <f>ROUND(ROUND(P786, 2)/1.2, 2)</f>
        <v>87.14</v>
      </c>
      <c r="Y786" s="9">
        <f t="shared" si="25"/>
        <v>34383.480000000003</v>
      </c>
      <c r="AD786" s="4" t="s">
        <v>2504</v>
      </c>
      <c r="AE786" s="4" t="s">
        <v>2505</v>
      </c>
      <c r="AF786" s="4" t="s">
        <v>191</v>
      </c>
    </row>
    <row r="787" spans="1:35" ht="18" x14ac:dyDescent="0.3">
      <c r="A787" s="10" t="s">
        <v>2506</v>
      </c>
      <c r="B787" s="10"/>
      <c r="C787" s="24" t="s">
        <v>2462</v>
      </c>
      <c r="D787" s="15"/>
      <c r="E787" s="15"/>
      <c r="F787" s="25" t="s">
        <v>102</v>
      </c>
      <c r="G787" s="26">
        <v>1</v>
      </c>
      <c r="H787" s="15"/>
      <c r="I787" s="31">
        <v>1794</v>
      </c>
      <c r="J787" s="27">
        <v>44.71</v>
      </c>
      <c r="M787" s="28">
        <f>ROUND(ROUND(J787, 2)*I787, 2)</f>
        <v>80209.740000000005</v>
      </c>
      <c r="P787" s="29">
        <v>44.71</v>
      </c>
      <c r="S787" s="28">
        <f>ROUND(ROUND(P787, 2)*I787, 2)</f>
        <v>80209.740000000005</v>
      </c>
      <c r="V787" s="9">
        <f>ROUND(ROUND(P787, 2)/1.2, 2)</f>
        <v>37.26</v>
      </c>
      <c r="Y787" s="9">
        <f t="shared" si="25"/>
        <v>66841.45</v>
      </c>
      <c r="AD787" s="4" t="s">
        <v>2507</v>
      </c>
      <c r="AE787" s="4" t="s">
        <v>2508</v>
      </c>
      <c r="AF787" s="4" t="s">
        <v>2465</v>
      </c>
    </row>
    <row r="788" spans="1:35" ht="18" x14ac:dyDescent="0.3">
      <c r="A788" s="10" t="s">
        <v>2509</v>
      </c>
      <c r="B788" s="10"/>
      <c r="C788" s="24" t="s">
        <v>175</v>
      </c>
      <c r="D788" s="15"/>
      <c r="E788" s="15"/>
      <c r="F788" s="25" t="s">
        <v>102</v>
      </c>
      <c r="G788" s="26">
        <v>1</v>
      </c>
      <c r="H788" s="15"/>
      <c r="I788" s="31">
        <v>539</v>
      </c>
      <c r="J788" s="27">
        <v>35.76</v>
      </c>
      <c r="M788" s="28">
        <f>ROUND(ROUND(J788, 2)*I788, 2)</f>
        <v>19274.64</v>
      </c>
      <c r="P788" s="29">
        <v>35.76</v>
      </c>
      <c r="S788" s="28">
        <f>ROUND(ROUND(P788, 2)*I788, 2)</f>
        <v>19274.64</v>
      </c>
      <c r="V788" s="9">
        <f>ROUND(ROUND(P788, 2)/1.2, 2)</f>
        <v>29.8</v>
      </c>
      <c r="Y788" s="9">
        <f t="shared" si="25"/>
        <v>16062.2</v>
      </c>
      <c r="AD788" s="4" t="s">
        <v>2510</v>
      </c>
      <c r="AE788" s="4" t="s">
        <v>2511</v>
      </c>
      <c r="AF788" s="4" t="s">
        <v>178</v>
      </c>
    </row>
    <row r="789" spans="1:35" ht="18" x14ac:dyDescent="0.3">
      <c r="A789" s="10" t="s">
        <v>2512</v>
      </c>
      <c r="B789" s="10"/>
      <c r="C789" s="24" t="s">
        <v>2457</v>
      </c>
      <c r="D789" s="15"/>
      <c r="E789" s="15"/>
      <c r="F789" s="25" t="s">
        <v>597</v>
      </c>
      <c r="G789" s="26">
        <v>1</v>
      </c>
      <c r="H789" s="15"/>
      <c r="I789" s="31">
        <v>374</v>
      </c>
      <c r="J789" s="27">
        <v>80</v>
      </c>
      <c r="M789" s="28">
        <f>ROUND(ROUND(J789, 2)*I789, 2)</f>
        <v>29920</v>
      </c>
      <c r="P789" s="29">
        <v>80</v>
      </c>
      <c r="S789" s="28">
        <f>ROUND(ROUND(P789, 2)*I789, 2)</f>
        <v>29920</v>
      </c>
      <c r="V789" s="9">
        <f>ROUND(ROUND(P789, 2)/1.2, 2)</f>
        <v>66.67</v>
      </c>
      <c r="Y789" s="9">
        <f t="shared" si="25"/>
        <v>24933.33</v>
      </c>
      <c r="AD789" s="4" t="s">
        <v>2513</v>
      </c>
      <c r="AE789" s="4" t="s">
        <v>2514</v>
      </c>
      <c r="AF789" s="4" t="s">
        <v>2460</v>
      </c>
    </row>
    <row r="790" spans="1:35" ht="16.95" customHeight="1" x14ac:dyDescent="0.3">
      <c r="A790" s="10" t="s">
        <v>2515</v>
      </c>
      <c r="B790" s="10" t="s">
        <v>2516</v>
      </c>
      <c r="C790" s="91" t="s">
        <v>2517</v>
      </c>
      <c r="D790" s="92"/>
      <c r="E790" s="92"/>
      <c r="F790" s="92"/>
      <c r="G790" s="92"/>
      <c r="H790" s="92"/>
      <c r="I790" s="93"/>
      <c r="M790" s="6">
        <f>SUM(M791,M837)</f>
        <v>2485896.87</v>
      </c>
      <c r="N790" s="6">
        <f>SUM(N791,N837)</f>
        <v>9894489.959999999</v>
      </c>
      <c r="O790" s="6">
        <f>SUM(O791,O837)</f>
        <v>12380386.830000002</v>
      </c>
      <c r="S790" s="6">
        <f>SUM(S791,S837)</f>
        <v>1619935.7000000002</v>
      </c>
      <c r="T790" s="6">
        <f>SUM(T791,T837)</f>
        <v>14841734.940000001</v>
      </c>
      <c r="U790" s="6">
        <f>SUM(U791,U837)</f>
        <v>16461670.640000001</v>
      </c>
      <c r="Y790" s="9">
        <f>SUM(Y791,Y837)</f>
        <v>1349946.4300000002</v>
      </c>
      <c r="Z790" s="9">
        <f>SUM(Z791,Z837)</f>
        <v>12368112.469999999</v>
      </c>
      <c r="AA790" s="9">
        <f>SUM(AA791,AA837)</f>
        <v>13718058.899999999</v>
      </c>
      <c r="AD790" s="4">
        <v>334080552</v>
      </c>
      <c r="AE790" s="4">
        <v>27245631</v>
      </c>
    </row>
    <row r="791" spans="1:35" ht="16.95" customHeight="1" x14ac:dyDescent="0.3">
      <c r="A791" s="10" t="s">
        <v>2518</v>
      </c>
      <c r="B791" s="10" t="s">
        <v>2519</v>
      </c>
      <c r="C791" s="91" t="s">
        <v>2520</v>
      </c>
      <c r="D791" s="92"/>
      <c r="E791" s="92"/>
      <c r="F791" s="92"/>
      <c r="G791" s="92"/>
      <c r="H791" s="92"/>
      <c r="I791" s="93"/>
      <c r="M791" s="6">
        <f>SUM(M792,M795,M798,M801,M804,M807,M810,M813,M816,M819,M822,M825,M828,M831,M834)</f>
        <v>407687.72</v>
      </c>
      <c r="N791" s="6">
        <f>SUM(N792,N795,N798,N801,N804,N807,N810,N813,N816,N819,N822,N825,N828,N831,N834)</f>
        <v>5619314.5999999996</v>
      </c>
      <c r="O791" s="6">
        <f>SUM(O792,O795,O798,O801,O804,O807,O810,O813,O816,O819,O822,O825,O828,O831,O834)</f>
        <v>6027002.3200000003</v>
      </c>
      <c r="S791" s="6">
        <f>SUM(S792,S795,S798,S801,S804,S807,S810,S813,S816,S819,S822,S825,S828,S831,S834)</f>
        <v>438059.67000000004</v>
      </c>
      <c r="T791" s="6">
        <f>SUM(T792,T795,T798,T801,T804,T807,T810,T813,T816,T819,T822,T825,T828,T831,T834)</f>
        <v>8428971.9000000004</v>
      </c>
      <c r="U791" s="6">
        <f>SUM(U792,U795,U798,U801,U804,U807,U810,U813,U816,U819,U822,U825,U828,U831,U834)</f>
        <v>8867031.5700000003</v>
      </c>
      <c r="Y791" s="9">
        <f>SUM(Y792,Y795,Y798,Y801,Y804,Y807,Y810,Y813,Y816,Y819,Y822,Y825,Y828,Y831,Y834)</f>
        <v>365049.7300000001</v>
      </c>
      <c r="Z791" s="9">
        <f>SUM(Z792,Z795,Z798,Z801,Z804,Z807,Z810,Z813,Z816,Z819,Z822,Z825,Z828,Z831,Z834)</f>
        <v>7024143.2699999996</v>
      </c>
      <c r="AA791" s="9">
        <f>SUM(AA792,AA795,AA798,AA801,AA804,AA807,AA810,AA813,AA816,AA819,AA822,AA825,AA828,AA831,AA834)</f>
        <v>7389193</v>
      </c>
      <c r="AD791" s="4">
        <v>334080553</v>
      </c>
      <c r="AE791" s="4">
        <v>27245690</v>
      </c>
    </row>
    <row r="792" spans="1:35" ht="36" x14ac:dyDescent="0.3">
      <c r="A792" s="10" t="s">
        <v>2521</v>
      </c>
      <c r="B792" s="10" t="s">
        <v>2522</v>
      </c>
      <c r="C792" s="14" t="s">
        <v>2523</v>
      </c>
      <c r="D792" s="15"/>
      <c r="E792" s="15"/>
      <c r="F792" s="15" t="s">
        <v>62</v>
      </c>
      <c r="G792" s="16">
        <v>1</v>
      </c>
      <c r="H792" s="15"/>
      <c r="I792" s="16">
        <v>0</v>
      </c>
      <c r="J792" s="17">
        <v>0</v>
      </c>
      <c r="K792" s="18">
        <v>790</v>
      </c>
      <c r="L792" s="17">
        <f>J792+ROUND(K792, 2)</f>
        <v>790</v>
      </c>
      <c r="M792" s="17">
        <v>0</v>
      </c>
      <c r="N792" s="17">
        <v>0</v>
      </c>
      <c r="O792" s="17">
        <f>M792+N792</f>
        <v>0</v>
      </c>
      <c r="P792" s="17">
        <v>70.47</v>
      </c>
      <c r="Q792" s="19">
        <v>790</v>
      </c>
      <c r="R792" s="17">
        <f>P792+ROUND(Q792, 2)</f>
        <v>860.47</v>
      </c>
      <c r="S792" s="17">
        <v>0</v>
      </c>
      <c r="T792" s="17">
        <v>0</v>
      </c>
      <c r="U792" s="17">
        <f>S792+T792</f>
        <v>0</v>
      </c>
      <c r="V792" s="9">
        <f>ROUND(P792 / 1.2, 2)</f>
        <v>58.73</v>
      </c>
      <c r="W792" s="9">
        <f>ROUND(Q792 / 1.2, 2)</f>
        <v>658.33</v>
      </c>
      <c r="X792" s="9">
        <f>ROUND(R792 / 1.2, 2)</f>
        <v>717.06</v>
      </c>
      <c r="Y792" s="9">
        <f>ROUND(S792 / 1.2, 2)</f>
        <v>0</v>
      </c>
      <c r="Z792" s="9">
        <f>ROUND(T792 / 1.2, 2)</f>
        <v>0</v>
      </c>
      <c r="AA792" s="9">
        <f>Y792+Z792</f>
        <v>0</v>
      </c>
      <c r="AD792" s="4">
        <v>334080555</v>
      </c>
      <c r="AE792" s="4">
        <v>27245705</v>
      </c>
      <c r="AG792" s="4" t="s">
        <v>2524</v>
      </c>
      <c r="AH792" s="4" t="s">
        <v>2525</v>
      </c>
      <c r="AI792" s="4" t="s">
        <v>250</v>
      </c>
    </row>
    <row r="793" spans="1:35" ht="36" x14ac:dyDescent="0.3">
      <c r="A793" s="10" t="s">
        <v>2526</v>
      </c>
      <c r="B793" s="10"/>
      <c r="C793" s="30" t="s">
        <v>1498</v>
      </c>
      <c r="D793" s="15"/>
      <c r="E793" s="15"/>
      <c r="F793" s="25" t="s">
        <v>278</v>
      </c>
      <c r="G793" s="26">
        <v>4.5</v>
      </c>
      <c r="H793" s="15"/>
      <c r="I793" s="26">
        <v>0</v>
      </c>
      <c r="J793" s="27">
        <v>12.7</v>
      </c>
      <c r="M793" s="28">
        <f>ROUND(ROUND(J793, 2)*I793, 2)</f>
        <v>0</v>
      </c>
      <c r="P793" s="29">
        <v>12.7</v>
      </c>
      <c r="S793" s="28">
        <f>ROUND(ROUND(P793, 2)*I793, 2)</f>
        <v>0</v>
      </c>
      <c r="V793" s="9">
        <f>ROUND(ROUND(P793, 2)/1.2, 2)</f>
        <v>10.58</v>
      </c>
      <c r="Y793" s="9">
        <f t="shared" ref="Y793:Y836" si="26">ROUND(S793 / 1.2, 2)</f>
        <v>0</v>
      </c>
      <c r="AD793" s="4" t="s">
        <v>2527</v>
      </c>
      <c r="AE793" s="4" t="s">
        <v>2528</v>
      </c>
      <c r="AF793" s="4" t="s">
        <v>1501</v>
      </c>
    </row>
    <row r="794" spans="1:35" ht="36" x14ac:dyDescent="0.3">
      <c r="A794" s="10" t="s">
        <v>2529</v>
      </c>
      <c r="B794" s="10"/>
      <c r="C794" s="24" t="s">
        <v>1007</v>
      </c>
      <c r="D794" s="15"/>
      <c r="E794" s="15"/>
      <c r="F794" s="25" t="s">
        <v>278</v>
      </c>
      <c r="G794" s="26">
        <v>0.15</v>
      </c>
      <c r="H794" s="15"/>
      <c r="I794" s="26">
        <v>0</v>
      </c>
      <c r="J794" s="27">
        <v>88.8</v>
      </c>
      <c r="M794" s="28">
        <f>ROUND(ROUND(J794, 2)*I794, 2)</f>
        <v>0</v>
      </c>
      <c r="P794" s="29">
        <v>88.8</v>
      </c>
      <c r="S794" s="28">
        <f>ROUND(ROUND(P794, 2)*I794, 2)</f>
        <v>0</v>
      </c>
      <c r="V794" s="9">
        <f>ROUND(ROUND(P794, 2)/1.2, 2)</f>
        <v>74</v>
      </c>
      <c r="Y794" s="9">
        <f t="shared" si="26"/>
        <v>0</v>
      </c>
      <c r="AD794" s="4" t="s">
        <v>2530</v>
      </c>
      <c r="AE794" s="4" t="s">
        <v>2531</v>
      </c>
      <c r="AF794" s="4" t="s">
        <v>1010</v>
      </c>
    </row>
    <row r="795" spans="1:35" ht="54" x14ac:dyDescent="0.3">
      <c r="A795" s="10" t="s">
        <v>2532</v>
      </c>
      <c r="B795" s="10" t="s">
        <v>2522</v>
      </c>
      <c r="C795" s="14" t="s">
        <v>2523</v>
      </c>
      <c r="D795" s="15"/>
      <c r="E795" s="15" t="s">
        <v>2533</v>
      </c>
      <c r="F795" s="15" t="s">
        <v>62</v>
      </c>
      <c r="G795" s="16">
        <v>1</v>
      </c>
      <c r="H795" s="15"/>
      <c r="I795" s="16">
        <v>3898.4</v>
      </c>
      <c r="J795" s="17">
        <v>67.59</v>
      </c>
      <c r="K795" s="18">
        <v>790</v>
      </c>
      <c r="L795" s="17">
        <f>J795+ROUND(K795, 2)</f>
        <v>857.59</v>
      </c>
      <c r="M795" s="17">
        <v>263492.86</v>
      </c>
      <c r="N795" s="17">
        <v>3079736</v>
      </c>
      <c r="O795" s="17">
        <f>M795+N795</f>
        <v>3343228.86</v>
      </c>
      <c r="P795" s="17">
        <v>67.64</v>
      </c>
      <c r="Q795" s="19">
        <v>1185</v>
      </c>
      <c r="R795" s="17">
        <f>P795+ROUND(Q795, 2)</f>
        <v>1252.6400000000001</v>
      </c>
      <c r="S795" s="17">
        <v>263687.78000000003</v>
      </c>
      <c r="T795" s="17">
        <v>4619604</v>
      </c>
      <c r="U795" s="17">
        <f>S795+T795</f>
        <v>4883291.78</v>
      </c>
      <c r="V795" s="9">
        <f>ROUND(P795 / 1.2, 2)</f>
        <v>56.37</v>
      </c>
      <c r="W795" s="9">
        <f>ROUND(Q795 / 1.2, 2)</f>
        <v>987.5</v>
      </c>
      <c r="X795" s="9">
        <f>ROUND(R795 / 1.2, 2)</f>
        <v>1043.8699999999999</v>
      </c>
      <c r="Y795" s="9">
        <f t="shared" si="26"/>
        <v>219739.82</v>
      </c>
      <c r="Z795" s="9">
        <f>ROUND(T795 / 1.2, 2)</f>
        <v>3849670</v>
      </c>
      <c r="AA795" s="9">
        <f>Y795+Z795</f>
        <v>4069409.82</v>
      </c>
      <c r="AD795" s="4">
        <v>334080752</v>
      </c>
      <c r="AE795" s="4">
        <v>27245792</v>
      </c>
      <c r="AG795" s="4" t="s">
        <v>2524</v>
      </c>
      <c r="AH795" s="4" t="s">
        <v>2525</v>
      </c>
      <c r="AI795" s="4" t="s">
        <v>250</v>
      </c>
    </row>
    <row r="796" spans="1:35" ht="36" x14ac:dyDescent="0.3">
      <c r="A796" s="10" t="s">
        <v>2534</v>
      </c>
      <c r="B796" s="10"/>
      <c r="C796" s="24" t="s">
        <v>1007</v>
      </c>
      <c r="D796" s="15"/>
      <c r="E796" s="15"/>
      <c r="F796" s="25" t="s">
        <v>278</v>
      </c>
      <c r="G796" s="26">
        <v>0.15</v>
      </c>
      <c r="H796" s="15"/>
      <c r="I796" s="26">
        <v>584.76</v>
      </c>
      <c r="J796" s="27">
        <v>88.8</v>
      </c>
      <c r="M796" s="28">
        <f>ROUND(ROUND(J796, 2)*I796, 2)</f>
        <v>51926.69</v>
      </c>
      <c r="P796" s="29">
        <v>88.8</v>
      </c>
      <c r="S796" s="28">
        <f>ROUND(ROUND(P796, 2)*I796, 2)</f>
        <v>51926.69</v>
      </c>
      <c r="V796" s="9">
        <f>ROUND(ROUND(P796, 2)/1.2, 2)</f>
        <v>74</v>
      </c>
      <c r="Y796" s="9">
        <f t="shared" si="26"/>
        <v>43272.24</v>
      </c>
      <c r="AD796" s="4" t="s">
        <v>2535</v>
      </c>
      <c r="AE796" s="4" t="s">
        <v>2536</v>
      </c>
      <c r="AF796" s="4" t="s">
        <v>1010</v>
      </c>
    </row>
    <row r="797" spans="1:35" ht="36" x14ac:dyDescent="0.3">
      <c r="A797" s="10" t="s">
        <v>2537</v>
      </c>
      <c r="B797" s="10"/>
      <c r="C797" s="30" t="s">
        <v>1498</v>
      </c>
      <c r="D797" s="15"/>
      <c r="E797" s="15"/>
      <c r="F797" s="25" t="s">
        <v>278</v>
      </c>
      <c r="G797" s="26">
        <v>4.5</v>
      </c>
      <c r="H797" s="15"/>
      <c r="I797" s="26">
        <v>17542.8</v>
      </c>
      <c r="J797" s="27">
        <v>12.06</v>
      </c>
      <c r="M797" s="28">
        <f>ROUND(ROUND(J797, 2)*I797, 2)</f>
        <v>211566.17</v>
      </c>
      <c r="P797" s="29">
        <v>12.07</v>
      </c>
      <c r="S797" s="28">
        <f>ROUND(ROUND(P797, 2)*I797, 2)</f>
        <v>211741.6</v>
      </c>
      <c r="V797" s="9">
        <f>ROUND(ROUND(P797, 2)/1.2, 2)</f>
        <v>10.06</v>
      </c>
      <c r="Y797" s="9">
        <f t="shared" si="26"/>
        <v>176451.33</v>
      </c>
      <c r="AD797" s="4" t="s">
        <v>2538</v>
      </c>
      <c r="AE797" s="4" t="s">
        <v>2539</v>
      </c>
      <c r="AF797" s="4" t="s">
        <v>1501</v>
      </c>
    </row>
    <row r="798" spans="1:35" ht="126" x14ac:dyDescent="0.3">
      <c r="A798" s="11" t="s">
        <v>2540</v>
      </c>
      <c r="B798" s="11" t="s">
        <v>2522</v>
      </c>
      <c r="C798" s="20" t="s">
        <v>2523</v>
      </c>
      <c r="D798" s="21"/>
      <c r="E798" s="21" t="s">
        <v>2541</v>
      </c>
      <c r="F798" s="21" t="s">
        <v>62</v>
      </c>
      <c r="G798" s="22">
        <v>1</v>
      </c>
      <c r="H798" s="21"/>
      <c r="I798" s="22">
        <v>95.84</v>
      </c>
      <c r="J798" s="23">
        <f>IFERROR(ROUND(SUM(M799,M800)/I798, 2),0)</f>
        <v>33.130000000000003</v>
      </c>
      <c r="K798" s="23">
        <v>790</v>
      </c>
      <c r="L798" s="23">
        <f>J798+ROUND(K798, 2)</f>
        <v>823.13</v>
      </c>
      <c r="M798" s="23">
        <f>ROUND(J798*I798, 2)</f>
        <v>3175.18</v>
      </c>
      <c r="N798" s="23">
        <f>ROUND(I798*ROUND(K798, 2), 2)</f>
        <v>75713.600000000006</v>
      </c>
      <c r="O798" s="23">
        <f>M798+N798</f>
        <v>78888.78</v>
      </c>
      <c r="P798" s="23">
        <f>IFERROR(ROUND(SUM(S799,S800)/I798, 2),0)</f>
        <v>36.71</v>
      </c>
      <c r="Q798" s="23">
        <v>1185</v>
      </c>
      <c r="R798" s="23">
        <f>P798+ROUND(Q798, 2)</f>
        <v>1221.71</v>
      </c>
      <c r="S798" s="23">
        <f>ROUND(P798*I798, 2)</f>
        <v>3518.29</v>
      </c>
      <c r="T798" s="23">
        <f>ROUND(I798*ROUND(Q798, 2), 2)</f>
        <v>113570.4</v>
      </c>
      <c r="U798" s="23">
        <f>S798+T798</f>
        <v>117088.68999999999</v>
      </c>
      <c r="V798" s="9">
        <f>ROUND(P798 / 1.2, 2)</f>
        <v>30.59</v>
      </c>
      <c r="W798" s="9">
        <f>ROUND(Q798 / 1.2, 2)</f>
        <v>987.5</v>
      </c>
      <c r="X798" s="9">
        <f>ROUND(R798 / 1.2, 2)</f>
        <v>1018.09</v>
      </c>
      <c r="Y798" s="9">
        <f t="shared" si="26"/>
        <v>2931.91</v>
      </c>
      <c r="Z798" s="9">
        <f>ROUND(T798 / 1.2, 2)</f>
        <v>94642</v>
      </c>
      <c r="AA798" s="9">
        <f>Y798+Z798</f>
        <v>97573.91</v>
      </c>
      <c r="AD798" s="4">
        <v>334080753</v>
      </c>
      <c r="AE798" s="4">
        <v>29299410</v>
      </c>
      <c r="AG798" s="4" t="s">
        <v>2524</v>
      </c>
      <c r="AH798" s="4" t="s">
        <v>2525</v>
      </c>
      <c r="AI798" s="4" t="s">
        <v>250</v>
      </c>
    </row>
    <row r="799" spans="1:35" ht="54" x14ac:dyDescent="0.3">
      <c r="A799" s="11" t="s">
        <v>2542</v>
      </c>
      <c r="B799" s="11"/>
      <c r="C799" s="32" t="s">
        <v>2543</v>
      </c>
      <c r="D799" s="21"/>
      <c r="E799" s="21" t="s">
        <v>2544</v>
      </c>
      <c r="F799" s="33" t="s">
        <v>278</v>
      </c>
      <c r="G799" s="34">
        <v>2</v>
      </c>
      <c r="H799" s="21"/>
      <c r="I799" s="34">
        <v>191.68</v>
      </c>
      <c r="J799" s="35">
        <v>8.94</v>
      </c>
      <c r="K799" s="12"/>
      <c r="L799" s="12"/>
      <c r="M799" s="35">
        <f>ROUND(ROUND(J799, 2)*I799, 2)</f>
        <v>1713.62</v>
      </c>
      <c r="N799" s="12"/>
      <c r="O799" s="12"/>
      <c r="P799" s="35">
        <v>10.73</v>
      </c>
      <c r="Q799" s="12"/>
      <c r="R799" s="12"/>
      <c r="S799" s="35">
        <f>ROUND(ROUND(P799, 2)*I799, 2)</f>
        <v>2056.73</v>
      </c>
      <c r="T799" s="12"/>
      <c r="U799" s="36"/>
      <c r="V799" s="9">
        <f>ROUND(ROUND(P799, 2)/1.2, 2)</f>
        <v>8.94</v>
      </c>
      <c r="Y799" s="9">
        <f t="shared" si="26"/>
        <v>1713.94</v>
      </c>
      <c r="AD799" s="4" t="s">
        <v>2545</v>
      </c>
      <c r="AE799" s="4" t="s">
        <v>2546</v>
      </c>
      <c r="AF799" s="4" t="s">
        <v>2547</v>
      </c>
    </row>
    <row r="800" spans="1:35" ht="18" x14ac:dyDescent="0.3">
      <c r="A800" s="11" t="s">
        <v>2548</v>
      </c>
      <c r="B800" s="11"/>
      <c r="C800" s="32" t="s">
        <v>1629</v>
      </c>
      <c r="D800" s="21"/>
      <c r="E800" s="21"/>
      <c r="F800" s="33" t="s">
        <v>278</v>
      </c>
      <c r="G800" s="34">
        <v>0.15</v>
      </c>
      <c r="H800" s="21"/>
      <c r="I800" s="34">
        <v>14.375999999999999</v>
      </c>
      <c r="J800" s="35">
        <v>101.66</v>
      </c>
      <c r="K800" s="12"/>
      <c r="L800" s="12"/>
      <c r="M800" s="35">
        <f>ROUND(ROUND(J800, 2)*I800, 2)</f>
        <v>1461.46</v>
      </c>
      <c r="N800" s="12"/>
      <c r="O800" s="12"/>
      <c r="P800" s="35">
        <v>101.66</v>
      </c>
      <c r="Q800" s="12"/>
      <c r="R800" s="12"/>
      <c r="S800" s="35">
        <f>ROUND(ROUND(P800, 2)*I800, 2)</f>
        <v>1461.46</v>
      </c>
      <c r="T800" s="12"/>
      <c r="U800" s="36"/>
      <c r="V800" s="9">
        <f>ROUND(ROUND(P800, 2)/1.2, 2)</f>
        <v>84.72</v>
      </c>
      <c r="Y800" s="9">
        <f t="shared" si="26"/>
        <v>1217.8800000000001</v>
      </c>
      <c r="AD800" s="4" t="s">
        <v>2549</v>
      </c>
      <c r="AE800" s="4" t="s">
        <v>2550</v>
      </c>
      <c r="AF800" s="4" t="s">
        <v>1632</v>
      </c>
    </row>
    <row r="801" spans="1:35" ht="108" x14ac:dyDescent="0.3">
      <c r="A801" s="11" t="s">
        <v>2551</v>
      </c>
      <c r="B801" s="11" t="s">
        <v>2522</v>
      </c>
      <c r="C801" s="20" t="s">
        <v>2523</v>
      </c>
      <c r="D801" s="21"/>
      <c r="E801" s="21" t="s">
        <v>2552</v>
      </c>
      <c r="F801" s="21" t="s">
        <v>62</v>
      </c>
      <c r="G801" s="22">
        <v>1</v>
      </c>
      <c r="H801" s="21"/>
      <c r="I801" s="22">
        <v>36.17</v>
      </c>
      <c r="J801" s="23">
        <f>IFERROR(ROUND(SUM(M802,M803)/I801, 2),0)</f>
        <v>29.09</v>
      </c>
      <c r="K801" s="23">
        <v>790</v>
      </c>
      <c r="L801" s="23">
        <f>J801+ROUND(K801, 2)</f>
        <v>819.09</v>
      </c>
      <c r="M801" s="23">
        <f>ROUND(J801*I801, 2)</f>
        <v>1052.19</v>
      </c>
      <c r="N801" s="23">
        <f>ROUND(I801*ROUND(K801, 2), 2)</f>
        <v>28574.3</v>
      </c>
      <c r="O801" s="23">
        <f>M801+N801</f>
        <v>29626.489999999998</v>
      </c>
      <c r="P801" s="23">
        <f>IFERROR(ROUND(SUM(S802,S803)/I801, 2),0)</f>
        <v>36.729999999999997</v>
      </c>
      <c r="Q801" s="23">
        <v>1185</v>
      </c>
      <c r="R801" s="23">
        <f>P801+ROUND(Q801, 2)</f>
        <v>1221.73</v>
      </c>
      <c r="S801" s="23">
        <f>ROUND(P801*I801, 2)</f>
        <v>1328.52</v>
      </c>
      <c r="T801" s="23">
        <f>ROUND(I801*ROUND(Q801, 2), 2)</f>
        <v>42861.45</v>
      </c>
      <c r="U801" s="23">
        <f>S801+T801</f>
        <v>44189.969999999994</v>
      </c>
      <c r="V801" s="9">
        <f>ROUND(P801 / 1.2, 2)</f>
        <v>30.61</v>
      </c>
      <c r="W801" s="9">
        <f>ROUND(Q801 / 1.2, 2)</f>
        <v>987.5</v>
      </c>
      <c r="X801" s="9">
        <f>ROUND(R801 / 1.2, 2)</f>
        <v>1018.11</v>
      </c>
      <c r="Y801" s="9">
        <f t="shared" si="26"/>
        <v>1107.0999999999999</v>
      </c>
      <c r="Z801" s="9">
        <f>ROUND(T801 / 1.2, 2)</f>
        <v>35717.879999999997</v>
      </c>
      <c r="AA801" s="9">
        <f>Y801+Z801</f>
        <v>36824.979999999996</v>
      </c>
      <c r="AD801" s="4">
        <v>334080754</v>
      </c>
      <c r="AE801" s="4">
        <v>29299411</v>
      </c>
      <c r="AG801" s="4" t="s">
        <v>2524</v>
      </c>
      <c r="AH801" s="4" t="s">
        <v>2525</v>
      </c>
      <c r="AI801" s="4" t="s">
        <v>250</v>
      </c>
    </row>
    <row r="802" spans="1:35" ht="18" x14ac:dyDescent="0.3">
      <c r="A802" s="11" t="s">
        <v>2553</v>
      </c>
      <c r="B802" s="11"/>
      <c r="C802" s="32" t="s">
        <v>1629</v>
      </c>
      <c r="D802" s="21"/>
      <c r="E802" s="21"/>
      <c r="F802" s="33" t="s">
        <v>278</v>
      </c>
      <c r="G802" s="34">
        <v>0.15</v>
      </c>
      <c r="H802" s="21"/>
      <c r="I802" s="34">
        <v>5.4260000000000002</v>
      </c>
      <c r="J802" s="35">
        <v>101.66</v>
      </c>
      <c r="K802" s="12"/>
      <c r="L802" s="12"/>
      <c r="M802" s="35">
        <f>ROUND(ROUND(J802, 2)*I802, 2)</f>
        <v>551.61</v>
      </c>
      <c r="N802" s="12"/>
      <c r="O802" s="12"/>
      <c r="P802" s="35">
        <v>101.66</v>
      </c>
      <c r="Q802" s="12"/>
      <c r="R802" s="12"/>
      <c r="S802" s="35">
        <f>ROUND(ROUND(P802, 2)*I802, 2)</f>
        <v>551.61</v>
      </c>
      <c r="T802" s="12"/>
      <c r="U802" s="36"/>
      <c r="V802" s="9">
        <f>ROUND(ROUND(P802, 2)/1.2, 2)</f>
        <v>84.72</v>
      </c>
      <c r="Y802" s="9">
        <f t="shared" si="26"/>
        <v>459.68</v>
      </c>
      <c r="AD802" s="4" t="s">
        <v>2554</v>
      </c>
      <c r="AE802" s="4" t="s">
        <v>2555</v>
      </c>
      <c r="AF802" s="4" t="s">
        <v>1632</v>
      </c>
    </row>
    <row r="803" spans="1:35" ht="36" x14ac:dyDescent="0.3">
      <c r="A803" s="11" t="s">
        <v>2556</v>
      </c>
      <c r="B803" s="11"/>
      <c r="C803" s="32" t="s">
        <v>2557</v>
      </c>
      <c r="D803" s="21"/>
      <c r="E803" s="21" t="s">
        <v>1602</v>
      </c>
      <c r="F803" s="33" t="s">
        <v>278</v>
      </c>
      <c r="G803" s="34">
        <v>2</v>
      </c>
      <c r="H803" s="21"/>
      <c r="I803" s="34">
        <v>72.34</v>
      </c>
      <c r="J803" s="35">
        <v>6.92</v>
      </c>
      <c r="K803" s="12"/>
      <c r="L803" s="12"/>
      <c r="M803" s="35">
        <f>ROUND(ROUND(J803, 2)*I803, 2)</f>
        <v>500.59</v>
      </c>
      <c r="N803" s="12"/>
      <c r="O803" s="12"/>
      <c r="P803" s="35">
        <v>10.74</v>
      </c>
      <c r="Q803" s="12"/>
      <c r="R803" s="12"/>
      <c r="S803" s="35">
        <f>ROUND(ROUND(P803, 2)*I803, 2)</f>
        <v>776.93</v>
      </c>
      <c r="T803" s="12"/>
      <c r="U803" s="36"/>
      <c r="V803" s="9">
        <f>ROUND(ROUND(P803, 2)/1.2, 2)</f>
        <v>8.9499999999999993</v>
      </c>
      <c r="Y803" s="9">
        <f t="shared" si="26"/>
        <v>647.44000000000005</v>
      </c>
      <c r="AD803" s="4" t="s">
        <v>2558</v>
      </c>
      <c r="AE803" s="4" t="s">
        <v>2559</v>
      </c>
      <c r="AF803" s="4" t="s">
        <v>2560</v>
      </c>
    </row>
    <row r="804" spans="1:35" ht="108" x14ac:dyDescent="0.3">
      <c r="A804" s="11" t="s">
        <v>2561</v>
      </c>
      <c r="B804" s="11" t="s">
        <v>2522</v>
      </c>
      <c r="C804" s="20" t="s">
        <v>2523</v>
      </c>
      <c r="D804" s="21"/>
      <c r="E804" s="21" t="s">
        <v>2562</v>
      </c>
      <c r="F804" s="21" t="s">
        <v>62</v>
      </c>
      <c r="G804" s="22">
        <v>1</v>
      </c>
      <c r="H804" s="21"/>
      <c r="I804" s="22">
        <v>474.68</v>
      </c>
      <c r="J804" s="23">
        <f>IFERROR(ROUND(SUM(M805,M806)/I804, 2),0)</f>
        <v>33.130000000000003</v>
      </c>
      <c r="K804" s="23">
        <v>790</v>
      </c>
      <c r="L804" s="23">
        <f>J804+ROUND(K804, 2)</f>
        <v>823.13</v>
      </c>
      <c r="M804" s="23">
        <f>ROUND(J804*I804, 2)</f>
        <v>15726.15</v>
      </c>
      <c r="N804" s="23">
        <f>ROUND(I804*ROUND(K804, 2), 2)</f>
        <v>374997.2</v>
      </c>
      <c r="O804" s="23">
        <f>M804+N804</f>
        <v>390723.35000000003</v>
      </c>
      <c r="P804" s="23">
        <f>IFERROR(ROUND(SUM(S805,S806)/I804, 2),0)</f>
        <v>36.71</v>
      </c>
      <c r="Q804" s="23">
        <v>1185</v>
      </c>
      <c r="R804" s="23">
        <f>P804+ROUND(Q804, 2)</f>
        <v>1221.71</v>
      </c>
      <c r="S804" s="23">
        <f>ROUND(P804*I804, 2)</f>
        <v>17425.5</v>
      </c>
      <c r="T804" s="23">
        <f>ROUND(I804*ROUND(Q804, 2), 2)</f>
        <v>562495.80000000005</v>
      </c>
      <c r="U804" s="23">
        <f>S804+T804</f>
        <v>579921.30000000005</v>
      </c>
      <c r="V804" s="9">
        <f>ROUND(P804 / 1.2, 2)</f>
        <v>30.59</v>
      </c>
      <c r="W804" s="9">
        <f>ROUND(Q804 / 1.2, 2)</f>
        <v>987.5</v>
      </c>
      <c r="X804" s="9">
        <f>ROUND(R804 / 1.2, 2)</f>
        <v>1018.09</v>
      </c>
      <c r="Y804" s="9">
        <f t="shared" si="26"/>
        <v>14521.25</v>
      </c>
      <c r="Z804" s="9">
        <f>ROUND(T804 / 1.2, 2)</f>
        <v>468746.5</v>
      </c>
      <c r="AA804" s="9">
        <f>Y804+Z804</f>
        <v>483267.75</v>
      </c>
      <c r="AD804" s="4">
        <v>334080755</v>
      </c>
      <c r="AE804" s="4">
        <v>29299408</v>
      </c>
      <c r="AG804" s="4" t="s">
        <v>2524</v>
      </c>
      <c r="AH804" s="4" t="s">
        <v>2525</v>
      </c>
      <c r="AI804" s="4" t="s">
        <v>250</v>
      </c>
    </row>
    <row r="805" spans="1:35" ht="54" x14ac:dyDescent="0.3">
      <c r="A805" s="11" t="s">
        <v>2563</v>
      </c>
      <c r="B805" s="11"/>
      <c r="C805" s="32" t="s">
        <v>2543</v>
      </c>
      <c r="D805" s="21"/>
      <c r="E805" s="21" t="s">
        <v>2544</v>
      </c>
      <c r="F805" s="33" t="s">
        <v>278</v>
      </c>
      <c r="G805" s="34">
        <v>2</v>
      </c>
      <c r="H805" s="21"/>
      <c r="I805" s="34">
        <v>949.36</v>
      </c>
      <c r="J805" s="35">
        <v>8.94</v>
      </c>
      <c r="K805" s="12"/>
      <c r="L805" s="12"/>
      <c r="M805" s="35">
        <f>ROUND(ROUND(J805, 2)*I805, 2)</f>
        <v>8487.2800000000007</v>
      </c>
      <c r="N805" s="12"/>
      <c r="O805" s="12"/>
      <c r="P805" s="35">
        <v>10.73</v>
      </c>
      <c r="Q805" s="12"/>
      <c r="R805" s="12"/>
      <c r="S805" s="35">
        <f>ROUND(ROUND(P805, 2)*I805, 2)</f>
        <v>10186.629999999999</v>
      </c>
      <c r="T805" s="12"/>
      <c r="U805" s="36"/>
      <c r="V805" s="9">
        <f>ROUND(ROUND(P805, 2)/1.2, 2)</f>
        <v>8.94</v>
      </c>
      <c r="Y805" s="9">
        <f t="shared" si="26"/>
        <v>8488.86</v>
      </c>
      <c r="AD805" s="4" t="s">
        <v>2564</v>
      </c>
      <c r="AE805" s="4" t="s">
        <v>2565</v>
      </c>
      <c r="AF805" s="4" t="s">
        <v>2547</v>
      </c>
    </row>
    <row r="806" spans="1:35" ht="18" x14ac:dyDescent="0.3">
      <c r="A806" s="11" t="s">
        <v>2566</v>
      </c>
      <c r="B806" s="11"/>
      <c r="C806" s="32" t="s">
        <v>1629</v>
      </c>
      <c r="D806" s="21"/>
      <c r="E806" s="21"/>
      <c r="F806" s="33" t="s">
        <v>278</v>
      </c>
      <c r="G806" s="34">
        <v>0.15</v>
      </c>
      <c r="H806" s="21"/>
      <c r="I806" s="34">
        <v>71.201999999999998</v>
      </c>
      <c r="J806" s="35">
        <v>101.66</v>
      </c>
      <c r="K806" s="12"/>
      <c r="L806" s="12"/>
      <c r="M806" s="35">
        <f>ROUND(ROUND(J806, 2)*I806, 2)</f>
        <v>7238.4</v>
      </c>
      <c r="N806" s="12"/>
      <c r="O806" s="12"/>
      <c r="P806" s="35">
        <v>101.66</v>
      </c>
      <c r="Q806" s="12"/>
      <c r="R806" s="12"/>
      <c r="S806" s="35">
        <f>ROUND(ROUND(P806, 2)*I806, 2)</f>
        <v>7238.4</v>
      </c>
      <c r="T806" s="12"/>
      <c r="U806" s="36"/>
      <c r="V806" s="9">
        <f>ROUND(ROUND(P806, 2)/1.2, 2)</f>
        <v>84.72</v>
      </c>
      <c r="Y806" s="9">
        <f t="shared" si="26"/>
        <v>6032</v>
      </c>
      <c r="AD806" s="4" t="s">
        <v>2567</v>
      </c>
      <c r="AE806" s="4" t="s">
        <v>2568</v>
      </c>
      <c r="AF806" s="4" t="s">
        <v>1632</v>
      </c>
    </row>
    <row r="807" spans="1:35" ht="90" x14ac:dyDescent="0.3">
      <c r="A807" s="11" t="s">
        <v>2569</v>
      </c>
      <c r="B807" s="11" t="s">
        <v>2522</v>
      </c>
      <c r="C807" s="20" t="s">
        <v>2523</v>
      </c>
      <c r="D807" s="21"/>
      <c r="E807" s="21" t="s">
        <v>2570</v>
      </c>
      <c r="F807" s="21" t="s">
        <v>62</v>
      </c>
      <c r="G807" s="22">
        <v>1</v>
      </c>
      <c r="H807" s="21"/>
      <c r="I807" s="22">
        <v>30</v>
      </c>
      <c r="J807" s="23">
        <f>IFERROR(ROUND(SUM(M808,M809)/I807, 2),0)</f>
        <v>29.09</v>
      </c>
      <c r="K807" s="23">
        <v>790</v>
      </c>
      <c r="L807" s="23">
        <f>J807+ROUND(K807, 2)</f>
        <v>819.09</v>
      </c>
      <c r="M807" s="23">
        <f>ROUND(J807*I807, 2)</f>
        <v>872.7</v>
      </c>
      <c r="N807" s="23">
        <f>ROUND(I807*ROUND(K807, 2), 2)</f>
        <v>23700</v>
      </c>
      <c r="O807" s="23">
        <f>M807+N807</f>
        <v>24572.7</v>
      </c>
      <c r="P807" s="23">
        <f>IFERROR(ROUND(SUM(S808,S809)/I807, 2),0)</f>
        <v>36.729999999999997</v>
      </c>
      <c r="Q807" s="23">
        <v>1185</v>
      </c>
      <c r="R807" s="23">
        <f>P807+ROUND(Q807, 2)</f>
        <v>1221.73</v>
      </c>
      <c r="S807" s="23">
        <f>ROUND(P807*I807, 2)</f>
        <v>1101.9000000000001</v>
      </c>
      <c r="T807" s="23">
        <f>ROUND(I807*ROUND(Q807, 2), 2)</f>
        <v>35550</v>
      </c>
      <c r="U807" s="23">
        <f>S807+T807</f>
        <v>36651.9</v>
      </c>
      <c r="V807" s="9">
        <f>ROUND(P807 / 1.2, 2)</f>
        <v>30.61</v>
      </c>
      <c r="W807" s="9">
        <f>ROUND(Q807 / 1.2, 2)</f>
        <v>987.5</v>
      </c>
      <c r="X807" s="9">
        <f>ROUND(R807 / 1.2, 2)</f>
        <v>1018.11</v>
      </c>
      <c r="Y807" s="9">
        <f t="shared" si="26"/>
        <v>918.25</v>
      </c>
      <c r="Z807" s="9">
        <f>ROUND(T807 / 1.2, 2)</f>
        <v>29625</v>
      </c>
      <c r="AA807" s="9">
        <f>Y807+Z807</f>
        <v>30543.25</v>
      </c>
      <c r="AD807" s="4">
        <v>334080756</v>
      </c>
      <c r="AE807" s="4">
        <v>29299412</v>
      </c>
      <c r="AG807" s="4" t="s">
        <v>2524</v>
      </c>
      <c r="AH807" s="4" t="s">
        <v>2525</v>
      </c>
      <c r="AI807" s="4" t="s">
        <v>250</v>
      </c>
    </row>
    <row r="808" spans="1:35" ht="18" x14ac:dyDescent="0.3">
      <c r="A808" s="11" t="s">
        <v>2571</v>
      </c>
      <c r="B808" s="11"/>
      <c r="C808" s="32" t="s">
        <v>1629</v>
      </c>
      <c r="D808" s="21"/>
      <c r="E808" s="21"/>
      <c r="F808" s="33" t="s">
        <v>278</v>
      </c>
      <c r="G808" s="34">
        <v>0.15</v>
      </c>
      <c r="H808" s="21"/>
      <c r="I808" s="34">
        <v>4.5</v>
      </c>
      <c r="J808" s="35">
        <v>101.66</v>
      </c>
      <c r="K808" s="12"/>
      <c r="L808" s="12"/>
      <c r="M808" s="35">
        <f>ROUND(ROUND(J808, 2)*I808, 2)</f>
        <v>457.47</v>
      </c>
      <c r="N808" s="12"/>
      <c r="O808" s="12"/>
      <c r="P808" s="35">
        <v>101.66</v>
      </c>
      <c r="Q808" s="12"/>
      <c r="R808" s="12"/>
      <c r="S808" s="35">
        <f>ROUND(ROUND(P808, 2)*I808, 2)</f>
        <v>457.47</v>
      </c>
      <c r="T808" s="12"/>
      <c r="U808" s="36"/>
      <c r="V808" s="9">
        <f>ROUND(ROUND(P808, 2)/1.2, 2)</f>
        <v>84.72</v>
      </c>
      <c r="Y808" s="9">
        <f t="shared" si="26"/>
        <v>381.23</v>
      </c>
      <c r="AD808" s="4" t="s">
        <v>2572</v>
      </c>
      <c r="AE808" s="4" t="s">
        <v>2573</v>
      </c>
      <c r="AF808" s="4" t="s">
        <v>1632</v>
      </c>
    </row>
    <row r="809" spans="1:35" ht="36" x14ac:dyDescent="0.3">
      <c r="A809" s="11" t="s">
        <v>2574</v>
      </c>
      <c r="B809" s="11"/>
      <c r="C809" s="32" t="s">
        <v>2557</v>
      </c>
      <c r="D809" s="21"/>
      <c r="E809" s="21" t="s">
        <v>1602</v>
      </c>
      <c r="F809" s="33" t="s">
        <v>278</v>
      </c>
      <c r="G809" s="34">
        <v>2</v>
      </c>
      <c r="H809" s="21"/>
      <c r="I809" s="34">
        <v>60</v>
      </c>
      <c r="J809" s="35">
        <v>6.92</v>
      </c>
      <c r="K809" s="12"/>
      <c r="L809" s="12"/>
      <c r="M809" s="35">
        <f>ROUND(ROUND(J809, 2)*I809, 2)</f>
        <v>415.2</v>
      </c>
      <c r="N809" s="12"/>
      <c r="O809" s="12"/>
      <c r="P809" s="35">
        <v>10.74</v>
      </c>
      <c r="Q809" s="12"/>
      <c r="R809" s="12"/>
      <c r="S809" s="35">
        <f>ROUND(ROUND(P809, 2)*I809, 2)</f>
        <v>644.4</v>
      </c>
      <c r="T809" s="12"/>
      <c r="U809" s="36"/>
      <c r="V809" s="9">
        <f>ROUND(ROUND(P809, 2)/1.2, 2)</f>
        <v>8.9499999999999993</v>
      </c>
      <c r="Y809" s="9">
        <f t="shared" si="26"/>
        <v>537</v>
      </c>
      <c r="AD809" s="4" t="s">
        <v>2575</v>
      </c>
      <c r="AE809" s="4" t="s">
        <v>2576</v>
      </c>
      <c r="AF809" s="4" t="s">
        <v>2560</v>
      </c>
    </row>
    <row r="810" spans="1:35" ht="36" x14ac:dyDescent="0.3">
      <c r="A810" s="10" t="s">
        <v>2577</v>
      </c>
      <c r="B810" s="10" t="s">
        <v>2578</v>
      </c>
      <c r="C810" s="14" t="s">
        <v>2579</v>
      </c>
      <c r="D810" s="15"/>
      <c r="E810" s="15"/>
      <c r="F810" s="15" t="s">
        <v>62</v>
      </c>
      <c r="G810" s="16">
        <v>1</v>
      </c>
      <c r="H810" s="15"/>
      <c r="I810" s="16">
        <v>0</v>
      </c>
      <c r="J810" s="17">
        <v>0</v>
      </c>
      <c r="K810" s="18">
        <v>639</v>
      </c>
      <c r="L810" s="17">
        <f>J810+ROUND(K810, 2)</f>
        <v>639</v>
      </c>
      <c r="M810" s="17">
        <v>0</v>
      </c>
      <c r="N810" s="17">
        <v>0</v>
      </c>
      <c r="O810" s="17">
        <f>M810+N810</f>
        <v>0</v>
      </c>
      <c r="P810" s="17">
        <v>32.369999999999997</v>
      </c>
      <c r="Q810" s="19">
        <v>639</v>
      </c>
      <c r="R810" s="17">
        <f>P810+ROUND(Q810, 2)</f>
        <v>671.37</v>
      </c>
      <c r="S810" s="17">
        <v>0</v>
      </c>
      <c r="T810" s="17">
        <v>0</v>
      </c>
      <c r="U810" s="17">
        <f>S810+T810</f>
        <v>0</v>
      </c>
      <c r="V810" s="9">
        <f>ROUND(P810 / 1.2, 2)</f>
        <v>26.98</v>
      </c>
      <c r="W810" s="9">
        <f>ROUND(Q810 / 1.2, 2)</f>
        <v>532.5</v>
      </c>
      <c r="X810" s="9">
        <f>ROUND(R810 / 1.2, 2)</f>
        <v>559.48</v>
      </c>
      <c r="Y810" s="9">
        <f t="shared" si="26"/>
        <v>0</v>
      </c>
      <c r="Z810" s="9">
        <f>ROUND(T810 / 1.2, 2)</f>
        <v>0</v>
      </c>
      <c r="AA810" s="9">
        <f>Y810+Z810</f>
        <v>0</v>
      </c>
      <c r="AD810" s="4">
        <v>334080556</v>
      </c>
      <c r="AE810" s="4">
        <v>27245657</v>
      </c>
      <c r="AG810" s="4" t="s">
        <v>2580</v>
      </c>
      <c r="AH810" s="4" t="s">
        <v>2581</v>
      </c>
      <c r="AI810" s="4" t="s">
        <v>250</v>
      </c>
    </row>
    <row r="811" spans="1:35" ht="36" x14ac:dyDescent="0.3">
      <c r="A811" s="10" t="s">
        <v>2582</v>
      </c>
      <c r="B811" s="10"/>
      <c r="C811" s="30" t="s">
        <v>1498</v>
      </c>
      <c r="D811" s="15"/>
      <c r="E811" s="15"/>
      <c r="F811" s="25" t="s">
        <v>278</v>
      </c>
      <c r="G811" s="26">
        <v>1.5</v>
      </c>
      <c r="H811" s="15"/>
      <c r="I811" s="26">
        <v>0</v>
      </c>
      <c r="J811" s="27">
        <v>12.7</v>
      </c>
      <c r="M811" s="28">
        <f>ROUND(ROUND(J811, 2)*I811, 2)</f>
        <v>0</v>
      </c>
      <c r="P811" s="29">
        <v>12.7</v>
      </c>
      <c r="S811" s="28">
        <f>ROUND(ROUND(P811, 2)*I811, 2)</f>
        <v>0</v>
      </c>
      <c r="V811" s="9">
        <f>ROUND(ROUND(P811, 2)/1.2, 2)</f>
        <v>10.58</v>
      </c>
      <c r="Y811" s="9">
        <f t="shared" si="26"/>
        <v>0</v>
      </c>
      <c r="AD811" s="4" t="s">
        <v>2583</v>
      </c>
      <c r="AE811" s="4" t="s">
        <v>2584</v>
      </c>
      <c r="AF811" s="4" t="s">
        <v>1501</v>
      </c>
    </row>
    <row r="812" spans="1:35" ht="36" x14ac:dyDescent="0.3">
      <c r="A812" s="10" t="s">
        <v>2585</v>
      </c>
      <c r="B812" s="10"/>
      <c r="C812" s="24" t="s">
        <v>1007</v>
      </c>
      <c r="D812" s="15"/>
      <c r="E812" s="15"/>
      <c r="F812" s="25" t="s">
        <v>278</v>
      </c>
      <c r="G812" s="26">
        <v>0.15</v>
      </c>
      <c r="H812" s="15"/>
      <c r="I812" s="26">
        <v>0</v>
      </c>
      <c r="J812" s="27">
        <v>88.8</v>
      </c>
      <c r="M812" s="28">
        <f>ROUND(ROUND(J812, 2)*I812, 2)</f>
        <v>0</v>
      </c>
      <c r="P812" s="29">
        <v>88.8</v>
      </c>
      <c r="S812" s="28">
        <f>ROUND(ROUND(P812, 2)*I812, 2)</f>
        <v>0</v>
      </c>
      <c r="V812" s="9">
        <f>ROUND(ROUND(P812, 2)/1.2, 2)</f>
        <v>74</v>
      </c>
      <c r="Y812" s="9">
        <f t="shared" si="26"/>
        <v>0</v>
      </c>
      <c r="AD812" s="4" t="s">
        <v>2586</v>
      </c>
      <c r="AE812" s="4" t="s">
        <v>2587</v>
      </c>
      <c r="AF812" s="4" t="s">
        <v>1010</v>
      </c>
    </row>
    <row r="813" spans="1:35" ht="36" x14ac:dyDescent="0.3">
      <c r="A813" s="10" t="s">
        <v>2588</v>
      </c>
      <c r="B813" s="10" t="s">
        <v>2578</v>
      </c>
      <c r="C813" s="14" t="s">
        <v>2579</v>
      </c>
      <c r="D813" s="15"/>
      <c r="E813" s="15" t="s">
        <v>2589</v>
      </c>
      <c r="F813" s="15" t="s">
        <v>62</v>
      </c>
      <c r="G813" s="16">
        <v>1</v>
      </c>
      <c r="H813" s="15"/>
      <c r="I813" s="16">
        <v>921.3</v>
      </c>
      <c r="J813" s="17">
        <v>31.41</v>
      </c>
      <c r="K813" s="18">
        <v>639</v>
      </c>
      <c r="L813" s="17">
        <f>J813+ROUND(K813, 2)</f>
        <v>670.41</v>
      </c>
      <c r="M813" s="17">
        <v>28938.03</v>
      </c>
      <c r="N813" s="17">
        <v>588710.69999999995</v>
      </c>
      <c r="O813" s="17">
        <f>M813+N813</f>
        <v>617648.73</v>
      </c>
      <c r="P813" s="17">
        <v>31.43</v>
      </c>
      <c r="Q813" s="19">
        <v>958.5</v>
      </c>
      <c r="R813" s="17">
        <f>P813+ROUND(Q813, 2)</f>
        <v>989.93</v>
      </c>
      <c r="S813" s="17">
        <v>28956.46</v>
      </c>
      <c r="T813" s="17">
        <v>883066.05</v>
      </c>
      <c r="U813" s="17">
        <f>S813+T813</f>
        <v>912022.51</v>
      </c>
      <c r="V813" s="9">
        <f>ROUND(P813 / 1.2, 2)</f>
        <v>26.19</v>
      </c>
      <c r="W813" s="9">
        <f>ROUND(Q813 / 1.2, 2)</f>
        <v>798.75</v>
      </c>
      <c r="X813" s="9">
        <f>ROUND(R813 / 1.2, 2)</f>
        <v>824.94</v>
      </c>
      <c r="Y813" s="9">
        <f t="shared" si="26"/>
        <v>24130.38</v>
      </c>
      <c r="Z813" s="9">
        <f>ROUND(T813 / 1.2, 2)</f>
        <v>735888.38</v>
      </c>
      <c r="AA813" s="9">
        <f>Y813+Z813</f>
        <v>760018.76</v>
      </c>
      <c r="AD813" s="4">
        <v>334080757</v>
      </c>
      <c r="AE813" s="4">
        <v>27245793</v>
      </c>
      <c r="AG813" s="4" t="s">
        <v>2580</v>
      </c>
      <c r="AH813" s="4" t="s">
        <v>2581</v>
      </c>
      <c r="AI813" s="4" t="s">
        <v>250</v>
      </c>
    </row>
    <row r="814" spans="1:35" ht="36" x14ac:dyDescent="0.3">
      <c r="A814" s="10" t="s">
        <v>2590</v>
      </c>
      <c r="B814" s="10"/>
      <c r="C814" s="24" t="s">
        <v>1007</v>
      </c>
      <c r="D814" s="15"/>
      <c r="E814" s="15"/>
      <c r="F814" s="25" t="s">
        <v>278</v>
      </c>
      <c r="G814" s="26">
        <v>0.15</v>
      </c>
      <c r="H814" s="15"/>
      <c r="I814" s="26">
        <v>138.19499999999999</v>
      </c>
      <c r="J814" s="27">
        <v>88.8</v>
      </c>
      <c r="M814" s="28">
        <f>ROUND(ROUND(J814, 2)*I814, 2)</f>
        <v>12271.72</v>
      </c>
      <c r="P814" s="29">
        <v>88.8</v>
      </c>
      <c r="S814" s="28">
        <f>ROUND(ROUND(P814, 2)*I814, 2)</f>
        <v>12271.72</v>
      </c>
      <c r="V814" s="9">
        <f>ROUND(ROUND(P814, 2)/1.2, 2)</f>
        <v>74</v>
      </c>
      <c r="Y814" s="9">
        <f t="shared" si="26"/>
        <v>10226.43</v>
      </c>
      <c r="AD814" s="4" t="s">
        <v>2591</v>
      </c>
      <c r="AE814" s="4" t="s">
        <v>2592</v>
      </c>
      <c r="AF814" s="4" t="s">
        <v>1010</v>
      </c>
    </row>
    <row r="815" spans="1:35" ht="36" x14ac:dyDescent="0.3">
      <c r="A815" s="10" t="s">
        <v>2593</v>
      </c>
      <c r="B815" s="10"/>
      <c r="C815" s="30" t="s">
        <v>1498</v>
      </c>
      <c r="D815" s="15"/>
      <c r="E815" s="15"/>
      <c r="F815" s="25" t="s">
        <v>278</v>
      </c>
      <c r="G815" s="26">
        <v>1.5</v>
      </c>
      <c r="H815" s="15"/>
      <c r="I815" s="26">
        <v>1381.95</v>
      </c>
      <c r="J815" s="27">
        <v>12.06</v>
      </c>
      <c r="M815" s="28">
        <f>ROUND(ROUND(J815, 2)*I815, 2)</f>
        <v>16666.32</v>
      </c>
      <c r="P815" s="29">
        <v>12.07</v>
      </c>
      <c r="S815" s="28">
        <f>ROUND(ROUND(P815, 2)*I815, 2)</f>
        <v>16680.14</v>
      </c>
      <c r="V815" s="9">
        <f>ROUND(ROUND(P815, 2)/1.2, 2)</f>
        <v>10.06</v>
      </c>
      <c r="Y815" s="9">
        <f t="shared" si="26"/>
        <v>13900.12</v>
      </c>
      <c r="AD815" s="4" t="s">
        <v>2594</v>
      </c>
      <c r="AE815" s="4" t="s">
        <v>2595</v>
      </c>
      <c r="AF815" s="4" t="s">
        <v>1501</v>
      </c>
    </row>
    <row r="816" spans="1:35" ht="90" x14ac:dyDescent="0.3">
      <c r="A816" s="11" t="s">
        <v>2596</v>
      </c>
      <c r="B816" s="11" t="s">
        <v>2597</v>
      </c>
      <c r="C816" s="20" t="s">
        <v>2598</v>
      </c>
      <c r="D816" s="21"/>
      <c r="E816" s="21" t="s">
        <v>2599</v>
      </c>
      <c r="F816" s="21" t="s">
        <v>62</v>
      </c>
      <c r="G816" s="22">
        <v>1</v>
      </c>
      <c r="H816" s="21"/>
      <c r="I816" s="22">
        <v>30</v>
      </c>
      <c r="J816" s="23">
        <f>IFERROR(ROUND(SUM(M817,M818)/I816, 2),0)</f>
        <v>35.61</v>
      </c>
      <c r="K816" s="23">
        <v>546</v>
      </c>
      <c r="L816" s="23">
        <f>J816+ROUND(K816, 2)</f>
        <v>581.61</v>
      </c>
      <c r="M816" s="23">
        <f>ROUND(J816*I816, 2)</f>
        <v>1068.3</v>
      </c>
      <c r="N816" s="23">
        <f>ROUND(I816*ROUND(K816, 2), 2)</f>
        <v>16380</v>
      </c>
      <c r="O816" s="23">
        <f>M816+N816</f>
        <v>17448.3</v>
      </c>
      <c r="P816" s="23">
        <f>IFERROR(ROUND(SUM(S817,S818)/I816, 2),0)</f>
        <v>63.67</v>
      </c>
      <c r="Q816" s="23">
        <v>819</v>
      </c>
      <c r="R816" s="23">
        <f>P816+ROUND(Q816, 2)</f>
        <v>882.67</v>
      </c>
      <c r="S816" s="23">
        <f>ROUND(P816*I816, 2)</f>
        <v>1910.1</v>
      </c>
      <c r="T816" s="23">
        <f>ROUND(I816*ROUND(Q816, 2), 2)</f>
        <v>24570</v>
      </c>
      <c r="U816" s="23">
        <f>S816+T816</f>
        <v>26480.1</v>
      </c>
      <c r="V816" s="9">
        <f>ROUND(P816 / 1.2, 2)</f>
        <v>53.06</v>
      </c>
      <c r="W816" s="9">
        <f>ROUND(Q816 / 1.2, 2)</f>
        <v>682.5</v>
      </c>
      <c r="X816" s="9">
        <f>ROUND(R816 / 1.2, 2)</f>
        <v>735.56</v>
      </c>
      <c r="Y816" s="9">
        <f t="shared" si="26"/>
        <v>1591.75</v>
      </c>
      <c r="Z816" s="9">
        <f>ROUND(T816 / 1.2, 2)</f>
        <v>20475</v>
      </c>
      <c r="AA816" s="9">
        <f>Y816+Z816</f>
        <v>22066.75</v>
      </c>
      <c r="AD816" s="4">
        <v>334080557</v>
      </c>
      <c r="AE816" s="4">
        <v>29299416</v>
      </c>
      <c r="AG816" s="4" t="s">
        <v>2600</v>
      </c>
      <c r="AH816" s="4" t="s">
        <v>2601</v>
      </c>
      <c r="AI816" s="4" t="s">
        <v>250</v>
      </c>
    </row>
    <row r="817" spans="1:35" ht="54" x14ac:dyDescent="0.3">
      <c r="A817" s="11" t="s">
        <v>2602</v>
      </c>
      <c r="B817" s="11"/>
      <c r="C817" s="30" t="s">
        <v>2603</v>
      </c>
      <c r="D817" s="21"/>
      <c r="E817" s="21" t="s">
        <v>2604</v>
      </c>
      <c r="F817" s="33" t="s">
        <v>278</v>
      </c>
      <c r="G817" s="34">
        <v>1.8</v>
      </c>
      <c r="H817" s="21"/>
      <c r="I817" s="34">
        <v>54</v>
      </c>
      <c r="J817" s="35">
        <v>12.26</v>
      </c>
      <c r="K817" s="12"/>
      <c r="L817" s="12"/>
      <c r="M817" s="35">
        <f>ROUND(ROUND(J817, 2)*I817, 2)</f>
        <v>662.04</v>
      </c>
      <c r="N817" s="12"/>
      <c r="O817" s="12"/>
      <c r="P817" s="35">
        <v>27.85</v>
      </c>
      <c r="Q817" s="12"/>
      <c r="R817" s="12"/>
      <c r="S817" s="35">
        <f>ROUND(ROUND(P817, 2)*I817, 2)</f>
        <v>1503.9</v>
      </c>
      <c r="T817" s="12"/>
      <c r="U817" s="36"/>
      <c r="V817" s="9">
        <f>ROUND(ROUND(P817, 2)/1.2, 2)</f>
        <v>23.21</v>
      </c>
      <c r="Y817" s="9">
        <f t="shared" si="26"/>
        <v>1253.25</v>
      </c>
      <c r="AD817" s="4" t="s">
        <v>2605</v>
      </c>
      <c r="AE817" s="4" t="s">
        <v>2606</v>
      </c>
      <c r="AF817" s="4" t="s">
        <v>2607</v>
      </c>
    </row>
    <row r="818" spans="1:35" ht="36" x14ac:dyDescent="0.3">
      <c r="A818" s="11" t="s">
        <v>2608</v>
      </c>
      <c r="B818" s="11"/>
      <c r="C818" s="32" t="s">
        <v>304</v>
      </c>
      <c r="D818" s="21"/>
      <c r="E818" s="21"/>
      <c r="F818" s="33" t="s">
        <v>278</v>
      </c>
      <c r="G818" s="34">
        <v>0.15</v>
      </c>
      <c r="H818" s="21"/>
      <c r="I818" s="34">
        <v>4.5</v>
      </c>
      <c r="J818" s="35">
        <v>90.28</v>
      </c>
      <c r="K818" s="12"/>
      <c r="L818" s="12"/>
      <c r="M818" s="35">
        <f>ROUND(ROUND(J818, 2)*I818, 2)</f>
        <v>406.26</v>
      </c>
      <c r="N818" s="12"/>
      <c r="O818" s="12"/>
      <c r="P818" s="35">
        <v>90.28</v>
      </c>
      <c r="Q818" s="12"/>
      <c r="R818" s="12"/>
      <c r="S818" s="35">
        <f>ROUND(ROUND(P818, 2)*I818, 2)</f>
        <v>406.26</v>
      </c>
      <c r="T818" s="12"/>
      <c r="U818" s="36"/>
      <c r="V818" s="9">
        <f>ROUND(ROUND(P818, 2)/1.2, 2)</f>
        <v>75.23</v>
      </c>
      <c r="Y818" s="9">
        <f t="shared" si="26"/>
        <v>338.55</v>
      </c>
      <c r="AD818" s="4" t="s">
        <v>2609</v>
      </c>
      <c r="AE818" s="4" t="s">
        <v>2610</v>
      </c>
      <c r="AF818" s="4" t="s">
        <v>307</v>
      </c>
    </row>
    <row r="819" spans="1:35" ht="90" x14ac:dyDescent="0.3">
      <c r="A819" s="11" t="s">
        <v>2611</v>
      </c>
      <c r="B819" s="11" t="s">
        <v>2597</v>
      </c>
      <c r="C819" s="20" t="s">
        <v>2598</v>
      </c>
      <c r="D819" s="21"/>
      <c r="E819" s="21" t="s">
        <v>2612</v>
      </c>
      <c r="F819" s="21" t="s">
        <v>62</v>
      </c>
      <c r="G819" s="22">
        <v>1</v>
      </c>
      <c r="H819" s="21"/>
      <c r="I819" s="22">
        <v>40.700000000000003</v>
      </c>
      <c r="J819" s="23">
        <f>IFERROR(ROUND(SUM(M820,M821)/I819, 2),0)</f>
        <v>35.61</v>
      </c>
      <c r="K819" s="23">
        <v>546</v>
      </c>
      <c r="L819" s="23">
        <f>J819+ROUND(K819, 2)</f>
        <v>581.61</v>
      </c>
      <c r="M819" s="23">
        <f>ROUND(J819*I819, 2)</f>
        <v>1449.33</v>
      </c>
      <c r="N819" s="23">
        <f>ROUND(I819*ROUND(K819, 2), 2)</f>
        <v>22222.2</v>
      </c>
      <c r="O819" s="23">
        <f>M819+N819</f>
        <v>23671.53</v>
      </c>
      <c r="P819" s="23">
        <f>IFERROR(ROUND(SUM(S820,S821)/I819, 2),0)</f>
        <v>71.7</v>
      </c>
      <c r="Q819" s="23">
        <v>819</v>
      </c>
      <c r="R819" s="23">
        <f>P819+ROUND(Q819, 2)</f>
        <v>890.7</v>
      </c>
      <c r="S819" s="23">
        <f>ROUND(P819*I819, 2)</f>
        <v>2918.19</v>
      </c>
      <c r="T819" s="23">
        <f>ROUND(I819*ROUND(Q819, 2), 2)</f>
        <v>33333.300000000003</v>
      </c>
      <c r="U819" s="23">
        <f>S819+T819</f>
        <v>36251.490000000005</v>
      </c>
      <c r="V819" s="9">
        <f>ROUND(P819 / 1.2, 2)</f>
        <v>59.75</v>
      </c>
      <c r="W819" s="9">
        <f>ROUND(Q819 / 1.2, 2)</f>
        <v>682.5</v>
      </c>
      <c r="X819" s="9">
        <f>ROUND(R819 / 1.2, 2)</f>
        <v>742.25</v>
      </c>
      <c r="Y819" s="9">
        <f t="shared" si="26"/>
        <v>2431.83</v>
      </c>
      <c r="Z819" s="9">
        <f>ROUND(T819 / 1.2, 2)</f>
        <v>27777.75</v>
      </c>
      <c r="AA819" s="9">
        <f>Y819+Z819</f>
        <v>30209.58</v>
      </c>
      <c r="AD819" s="4">
        <v>334080758</v>
      </c>
      <c r="AE819" s="4">
        <v>29299417</v>
      </c>
      <c r="AG819" s="4" t="s">
        <v>2600</v>
      </c>
      <c r="AH819" s="4" t="s">
        <v>2601</v>
      </c>
      <c r="AI819" s="4" t="s">
        <v>250</v>
      </c>
    </row>
    <row r="820" spans="1:35" ht="36" x14ac:dyDescent="0.3">
      <c r="A820" s="11" t="s">
        <v>2613</v>
      </c>
      <c r="B820" s="11"/>
      <c r="C820" s="32" t="s">
        <v>304</v>
      </c>
      <c r="D820" s="21"/>
      <c r="E820" s="21"/>
      <c r="F820" s="33" t="s">
        <v>278</v>
      </c>
      <c r="G820" s="34">
        <v>0.15</v>
      </c>
      <c r="H820" s="21"/>
      <c r="I820" s="34">
        <v>6.1050000000000004</v>
      </c>
      <c r="J820" s="35">
        <v>90.28</v>
      </c>
      <c r="K820" s="12"/>
      <c r="L820" s="12"/>
      <c r="M820" s="35">
        <f>ROUND(ROUND(J820, 2)*I820, 2)</f>
        <v>551.16</v>
      </c>
      <c r="N820" s="12"/>
      <c r="O820" s="12"/>
      <c r="P820" s="35">
        <v>90.28</v>
      </c>
      <c r="Q820" s="12"/>
      <c r="R820" s="12"/>
      <c r="S820" s="35">
        <f>ROUND(ROUND(P820, 2)*I820, 2)</f>
        <v>551.16</v>
      </c>
      <c r="T820" s="12"/>
      <c r="U820" s="36"/>
      <c r="V820" s="9">
        <f>ROUND(ROUND(P820, 2)/1.2, 2)</f>
        <v>75.23</v>
      </c>
      <c r="Y820" s="9">
        <f t="shared" si="26"/>
        <v>459.3</v>
      </c>
      <c r="AD820" s="4" t="s">
        <v>2614</v>
      </c>
      <c r="AE820" s="4" t="s">
        <v>2615</v>
      </c>
      <c r="AF820" s="4" t="s">
        <v>307</v>
      </c>
    </row>
    <row r="821" spans="1:35" ht="54" x14ac:dyDescent="0.3">
      <c r="A821" s="11" t="s">
        <v>2616</v>
      </c>
      <c r="B821" s="11"/>
      <c r="C821" s="30" t="s">
        <v>2603</v>
      </c>
      <c r="D821" s="21"/>
      <c r="E821" s="21" t="s">
        <v>2617</v>
      </c>
      <c r="F821" s="33" t="s">
        <v>278</v>
      </c>
      <c r="G821" s="34">
        <v>1.8</v>
      </c>
      <c r="H821" s="21"/>
      <c r="I821" s="34">
        <v>73.260000000000005</v>
      </c>
      <c r="J821" s="35">
        <v>12.26</v>
      </c>
      <c r="K821" s="12"/>
      <c r="L821" s="12"/>
      <c r="M821" s="35">
        <f>ROUND(ROUND(J821, 2)*I821, 2)</f>
        <v>898.17</v>
      </c>
      <c r="N821" s="12"/>
      <c r="O821" s="12"/>
      <c r="P821" s="35">
        <v>32.31</v>
      </c>
      <c r="Q821" s="12"/>
      <c r="R821" s="12"/>
      <c r="S821" s="35">
        <f>ROUND(ROUND(P821, 2)*I821, 2)</f>
        <v>2367.0300000000002</v>
      </c>
      <c r="T821" s="12"/>
      <c r="U821" s="36"/>
      <c r="V821" s="9">
        <f>ROUND(ROUND(P821, 2)/1.2, 2)</f>
        <v>26.93</v>
      </c>
      <c r="Y821" s="9">
        <f t="shared" si="26"/>
        <v>1972.53</v>
      </c>
      <c r="AD821" s="4" t="s">
        <v>2618</v>
      </c>
      <c r="AE821" s="4" t="s">
        <v>2619</v>
      </c>
      <c r="AF821" s="4" t="s">
        <v>2607</v>
      </c>
    </row>
    <row r="822" spans="1:35" ht="108" x14ac:dyDescent="0.3">
      <c r="A822" s="11" t="s">
        <v>2620</v>
      </c>
      <c r="B822" s="11" t="s">
        <v>2597</v>
      </c>
      <c r="C822" s="20" t="s">
        <v>2598</v>
      </c>
      <c r="D822" s="21"/>
      <c r="E822" s="21" t="s">
        <v>2621</v>
      </c>
      <c r="F822" s="21" t="s">
        <v>62</v>
      </c>
      <c r="G822" s="22">
        <v>1</v>
      </c>
      <c r="H822" s="21"/>
      <c r="I822" s="22">
        <v>36.17</v>
      </c>
      <c r="J822" s="23">
        <f>IFERROR(ROUND(SUM(M823,M824)/I822, 2),0)</f>
        <v>35.61</v>
      </c>
      <c r="K822" s="23">
        <v>546</v>
      </c>
      <c r="L822" s="23">
        <f>J822+ROUND(K822, 2)</f>
        <v>581.61</v>
      </c>
      <c r="M822" s="23">
        <f>ROUND(J822*I822, 2)</f>
        <v>1288.01</v>
      </c>
      <c r="N822" s="23">
        <f>ROUND(I822*ROUND(K822, 2), 2)</f>
        <v>19748.82</v>
      </c>
      <c r="O822" s="23">
        <f>M822+N822</f>
        <v>21036.829999999998</v>
      </c>
      <c r="P822" s="23">
        <f>IFERROR(ROUND(SUM(S823,S824)/I822, 2),0)</f>
        <v>63.67</v>
      </c>
      <c r="Q822" s="23">
        <v>819</v>
      </c>
      <c r="R822" s="23">
        <f>P822+ROUND(Q822, 2)</f>
        <v>882.67</v>
      </c>
      <c r="S822" s="23">
        <f>ROUND(P822*I822, 2)</f>
        <v>2302.94</v>
      </c>
      <c r="T822" s="23">
        <f>ROUND(I822*ROUND(Q822, 2), 2)</f>
        <v>29623.23</v>
      </c>
      <c r="U822" s="23">
        <f>S822+T822</f>
        <v>31926.17</v>
      </c>
      <c r="V822" s="9">
        <f>ROUND(P822 / 1.2, 2)</f>
        <v>53.06</v>
      </c>
      <c r="W822" s="9">
        <f>ROUND(Q822 / 1.2, 2)</f>
        <v>682.5</v>
      </c>
      <c r="X822" s="9">
        <f>ROUND(R822 / 1.2, 2)</f>
        <v>735.56</v>
      </c>
      <c r="Y822" s="9">
        <f t="shared" si="26"/>
        <v>1919.12</v>
      </c>
      <c r="Z822" s="9">
        <f>ROUND(T822 / 1.2, 2)</f>
        <v>24686.03</v>
      </c>
      <c r="AA822" s="9">
        <f>Y822+Z822</f>
        <v>26605.149999999998</v>
      </c>
      <c r="AD822" s="4">
        <v>334080759</v>
      </c>
      <c r="AE822" s="4">
        <v>29299413</v>
      </c>
      <c r="AG822" s="4" t="s">
        <v>2600</v>
      </c>
      <c r="AH822" s="4" t="s">
        <v>2601</v>
      </c>
      <c r="AI822" s="4" t="s">
        <v>250</v>
      </c>
    </row>
    <row r="823" spans="1:35" ht="54" x14ac:dyDescent="0.3">
      <c r="A823" s="11" t="s">
        <v>2622</v>
      </c>
      <c r="B823" s="11"/>
      <c r="C823" s="30" t="s">
        <v>2603</v>
      </c>
      <c r="D823" s="21"/>
      <c r="E823" s="21" t="s">
        <v>2604</v>
      </c>
      <c r="F823" s="33" t="s">
        <v>278</v>
      </c>
      <c r="G823" s="34">
        <v>1.8</v>
      </c>
      <c r="H823" s="21"/>
      <c r="I823" s="34">
        <v>65.105999999999995</v>
      </c>
      <c r="J823" s="35">
        <v>12.26</v>
      </c>
      <c r="K823" s="12"/>
      <c r="L823" s="12"/>
      <c r="M823" s="35">
        <f>ROUND(ROUND(J823, 2)*I823, 2)</f>
        <v>798.2</v>
      </c>
      <c r="N823" s="12"/>
      <c r="O823" s="12"/>
      <c r="P823" s="35">
        <v>27.85</v>
      </c>
      <c r="Q823" s="12"/>
      <c r="R823" s="12"/>
      <c r="S823" s="35">
        <f>ROUND(ROUND(P823, 2)*I823, 2)</f>
        <v>1813.2</v>
      </c>
      <c r="T823" s="12"/>
      <c r="U823" s="36"/>
      <c r="V823" s="9">
        <f>ROUND(ROUND(P823, 2)/1.2, 2)</f>
        <v>23.21</v>
      </c>
      <c r="Y823" s="9">
        <f t="shared" si="26"/>
        <v>1511</v>
      </c>
      <c r="AD823" s="4" t="s">
        <v>2623</v>
      </c>
      <c r="AE823" s="4" t="s">
        <v>2624</v>
      </c>
      <c r="AF823" s="4" t="s">
        <v>2607</v>
      </c>
    </row>
    <row r="824" spans="1:35" ht="36" x14ac:dyDescent="0.3">
      <c r="A824" s="11" t="s">
        <v>2625</v>
      </c>
      <c r="B824" s="11"/>
      <c r="C824" s="32" t="s">
        <v>304</v>
      </c>
      <c r="D824" s="21"/>
      <c r="E824" s="21"/>
      <c r="F824" s="33" t="s">
        <v>278</v>
      </c>
      <c r="G824" s="34">
        <v>0.15</v>
      </c>
      <c r="H824" s="21"/>
      <c r="I824" s="34">
        <v>5.4260000000000002</v>
      </c>
      <c r="J824" s="35">
        <v>90.28</v>
      </c>
      <c r="K824" s="12"/>
      <c r="L824" s="12"/>
      <c r="M824" s="35">
        <f>ROUND(ROUND(J824, 2)*I824, 2)</f>
        <v>489.86</v>
      </c>
      <c r="N824" s="12"/>
      <c r="O824" s="12"/>
      <c r="P824" s="35">
        <v>90.28</v>
      </c>
      <c r="Q824" s="12"/>
      <c r="R824" s="12"/>
      <c r="S824" s="35">
        <f>ROUND(ROUND(P824, 2)*I824, 2)</f>
        <v>489.86</v>
      </c>
      <c r="T824" s="12"/>
      <c r="U824" s="36"/>
      <c r="V824" s="9">
        <f>ROUND(ROUND(P824, 2)/1.2, 2)</f>
        <v>75.23</v>
      </c>
      <c r="Y824" s="9">
        <f t="shared" si="26"/>
        <v>408.22</v>
      </c>
      <c r="AD824" s="4" t="s">
        <v>2626</v>
      </c>
      <c r="AE824" s="4" t="s">
        <v>2627</v>
      </c>
      <c r="AF824" s="4" t="s">
        <v>307</v>
      </c>
    </row>
    <row r="825" spans="1:35" ht="108" x14ac:dyDescent="0.3">
      <c r="A825" s="11" t="s">
        <v>2628</v>
      </c>
      <c r="B825" s="11" t="s">
        <v>2597</v>
      </c>
      <c r="C825" s="20" t="s">
        <v>2598</v>
      </c>
      <c r="D825" s="21"/>
      <c r="E825" s="21" t="s">
        <v>2629</v>
      </c>
      <c r="F825" s="21" t="s">
        <v>62</v>
      </c>
      <c r="G825" s="22">
        <v>1</v>
      </c>
      <c r="H825" s="21"/>
      <c r="I825" s="22">
        <v>137.6</v>
      </c>
      <c r="J825" s="23">
        <f>IFERROR(ROUND(SUM(M826,M827)/I825, 2),0)</f>
        <v>35.61</v>
      </c>
      <c r="K825" s="23">
        <v>546</v>
      </c>
      <c r="L825" s="23">
        <f>J825+ROUND(K825, 2)</f>
        <v>581.61</v>
      </c>
      <c r="M825" s="23">
        <f>ROUND(J825*I825, 2)</f>
        <v>4899.9399999999996</v>
      </c>
      <c r="N825" s="23">
        <f>ROUND(I825*ROUND(K825, 2), 2)</f>
        <v>75129.600000000006</v>
      </c>
      <c r="O825" s="23">
        <f>M825+N825</f>
        <v>80029.540000000008</v>
      </c>
      <c r="P825" s="23">
        <f>IFERROR(ROUND(SUM(S826,S827)/I825, 2),0)</f>
        <v>35.61</v>
      </c>
      <c r="Q825" s="23">
        <v>819</v>
      </c>
      <c r="R825" s="23">
        <f>P825+ROUND(Q825, 2)</f>
        <v>854.61</v>
      </c>
      <c r="S825" s="23">
        <f>ROUND(P825*I825, 2)</f>
        <v>4899.9399999999996</v>
      </c>
      <c r="T825" s="23">
        <f>ROUND(I825*ROUND(Q825, 2), 2)</f>
        <v>112694.39999999999</v>
      </c>
      <c r="U825" s="23">
        <f>S825+T825</f>
        <v>117594.34</v>
      </c>
      <c r="V825" s="9">
        <f>ROUND(P825 / 1.2, 2)</f>
        <v>29.68</v>
      </c>
      <c r="W825" s="9">
        <f>ROUND(Q825 / 1.2, 2)</f>
        <v>682.5</v>
      </c>
      <c r="X825" s="9">
        <f>ROUND(R825 / 1.2, 2)</f>
        <v>712.18</v>
      </c>
      <c r="Y825" s="9">
        <f t="shared" si="26"/>
        <v>4083.28</v>
      </c>
      <c r="Z825" s="9">
        <f>ROUND(T825 / 1.2, 2)</f>
        <v>93912</v>
      </c>
      <c r="AA825" s="9">
        <f>Y825+Z825</f>
        <v>97995.28</v>
      </c>
      <c r="AD825" s="4">
        <v>334080760</v>
      </c>
      <c r="AE825" s="4">
        <v>29299418</v>
      </c>
      <c r="AG825" s="4" t="s">
        <v>2600</v>
      </c>
      <c r="AH825" s="4" t="s">
        <v>2601</v>
      </c>
      <c r="AI825" s="4" t="s">
        <v>250</v>
      </c>
    </row>
    <row r="826" spans="1:35" ht="36" x14ac:dyDescent="0.3">
      <c r="A826" s="11" t="s">
        <v>2630</v>
      </c>
      <c r="B826" s="11"/>
      <c r="C826" s="32" t="s">
        <v>304</v>
      </c>
      <c r="D826" s="21"/>
      <c r="E826" s="21"/>
      <c r="F826" s="33" t="s">
        <v>278</v>
      </c>
      <c r="G826" s="34">
        <v>0.15</v>
      </c>
      <c r="H826" s="21"/>
      <c r="I826" s="34">
        <v>20.64</v>
      </c>
      <c r="J826" s="35">
        <v>90.28</v>
      </c>
      <c r="K826" s="12"/>
      <c r="L826" s="12"/>
      <c r="M826" s="35">
        <f>ROUND(ROUND(J826, 2)*I826, 2)</f>
        <v>1863.38</v>
      </c>
      <c r="N826" s="12"/>
      <c r="O826" s="12"/>
      <c r="P826" s="35">
        <v>90.28</v>
      </c>
      <c r="Q826" s="12"/>
      <c r="R826" s="12"/>
      <c r="S826" s="35">
        <f>ROUND(ROUND(P826, 2)*I826, 2)</f>
        <v>1863.38</v>
      </c>
      <c r="T826" s="12"/>
      <c r="U826" s="36"/>
      <c r="V826" s="9">
        <f>ROUND(ROUND(P826, 2)/1.2, 2)</f>
        <v>75.23</v>
      </c>
      <c r="Y826" s="9">
        <f t="shared" si="26"/>
        <v>1552.82</v>
      </c>
      <c r="AD826" s="4" t="s">
        <v>2631</v>
      </c>
      <c r="AE826" s="4" t="s">
        <v>2632</v>
      </c>
      <c r="AF826" s="4" t="s">
        <v>307</v>
      </c>
    </row>
    <row r="827" spans="1:35" ht="54" x14ac:dyDescent="0.3">
      <c r="A827" s="11" t="s">
        <v>2633</v>
      </c>
      <c r="B827" s="11"/>
      <c r="C827" s="30" t="s">
        <v>2603</v>
      </c>
      <c r="D827" s="21"/>
      <c r="E827" s="21"/>
      <c r="F827" s="33" t="s">
        <v>278</v>
      </c>
      <c r="G827" s="34">
        <v>1.8</v>
      </c>
      <c r="H827" s="21"/>
      <c r="I827" s="34">
        <v>247.68</v>
      </c>
      <c r="J827" s="35">
        <v>12.26</v>
      </c>
      <c r="K827" s="12"/>
      <c r="L827" s="12"/>
      <c r="M827" s="35">
        <f>ROUND(ROUND(J827, 2)*I827, 2)</f>
        <v>3036.56</v>
      </c>
      <c r="N827" s="12"/>
      <c r="O827" s="12"/>
      <c r="P827" s="35">
        <v>12.26</v>
      </c>
      <c r="Q827" s="12"/>
      <c r="R827" s="12"/>
      <c r="S827" s="35">
        <f>ROUND(ROUND(P827, 2)*I827, 2)</f>
        <v>3036.56</v>
      </c>
      <c r="T827" s="12"/>
      <c r="U827" s="36"/>
      <c r="V827" s="9">
        <f>ROUND(ROUND(P827, 2)/1.2, 2)</f>
        <v>10.220000000000001</v>
      </c>
      <c r="Y827" s="9">
        <f t="shared" si="26"/>
        <v>2530.4699999999998</v>
      </c>
      <c r="AD827" s="4" t="s">
        <v>2634</v>
      </c>
      <c r="AE827" s="4" t="s">
        <v>2635</v>
      </c>
      <c r="AF827" s="4" t="s">
        <v>2607</v>
      </c>
    </row>
    <row r="828" spans="1:35" ht="108" x14ac:dyDescent="0.3">
      <c r="A828" s="11" t="s">
        <v>2636</v>
      </c>
      <c r="B828" s="11" t="s">
        <v>2597</v>
      </c>
      <c r="C828" s="20" t="s">
        <v>2598</v>
      </c>
      <c r="D828" s="21"/>
      <c r="E828" s="21" t="s">
        <v>2637</v>
      </c>
      <c r="F828" s="21" t="s">
        <v>62</v>
      </c>
      <c r="G828" s="22">
        <v>1</v>
      </c>
      <c r="H828" s="21"/>
      <c r="I828" s="22">
        <v>237.32</v>
      </c>
      <c r="J828" s="23">
        <f>IFERROR(ROUND(SUM(M829,M830)/I828, 2),0)</f>
        <v>35.61</v>
      </c>
      <c r="K828" s="23">
        <v>546</v>
      </c>
      <c r="L828" s="23">
        <f>J828+ROUND(K828, 2)</f>
        <v>581.61</v>
      </c>
      <c r="M828" s="23">
        <f>ROUND(J828*I828, 2)</f>
        <v>8450.9699999999993</v>
      </c>
      <c r="N828" s="23">
        <f>ROUND(I828*ROUND(K828, 2), 2)</f>
        <v>129576.72</v>
      </c>
      <c r="O828" s="23">
        <f>M828+N828</f>
        <v>138027.69</v>
      </c>
      <c r="P828" s="23">
        <f>IFERROR(ROUND(SUM(S829,S830)/I828, 2),0)</f>
        <v>52.82</v>
      </c>
      <c r="Q828" s="23">
        <v>819</v>
      </c>
      <c r="R828" s="23">
        <f>P828+ROUND(Q828, 2)</f>
        <v>871.82</v>
      </c>
      <c r="S828" s="23">
        <f>ROUND(P828*I828, 2)</f>
        <v>12535.24</v>
      </c>
      <c r="T828" s="23">
        <f>ROUND(I828*ROUND(Q828, 2), 2)</f>
        <v>194365.08</v>
      </c>
      <c r="U828" s="23">
        <f>S828+T828</f>
        <v>206900.31999999998</v>
      </c>
      <c r="V828" s="9">
        <f>ROUND(P828 / 1.2, 2)</f>
        <v>44.02</v>
      </c>
      <c r="W828" s="9">
        <f>ROUND(Q828 / 1.2, 2)</f>
        <v>682.5</v>
      </c>
      <c r="X828" s="9">
        <f>ROUND(R828 / 1.2, 2)</f>
        <v>726.52</v>
      </c>
      <c r="Y828" s="9">
        <f t="shared" si="26"/>
        <v>10446.030000000001</v>
      </c>
      <c r="Z828" s="9">
        <f>ROUND(T828 / 1.2, 2)</f>
        <v>161970.9</v>
      </c>
      <c r="AA828" s="9">
        <f>Y828+Z828</f>
        <v>172416.93</v>
      </c>
      <c r="AD828" s="4">
        <v>334080761</v>
      </c>
      <c r="AE828" s="4">
        <v>29299419</v>
      </c>
      <c r="AG828" s="4" t="s">
        <v>2600</v>
      </c>
      <c r="AH828" s="4" t="s">
        <v>2601</v>
      </c>
      <c r="AI828" s="4" t="s">
        <v>250</v>
      </c>
    </row>
    <row r="829" spans="1:35" ht="54" x14ac:dyDescent="0.3">
      <c r="A829" s="11" t="s">
        <v>2638</v>
      </c>
      <c r="B829" s="11"/>
      <c r="C829" s="30" t="s">
        <v>2603</v>
      </c>
      <c r="D829" s="21"/>
      <c r="E829" s="21" t="s">
        <v>2639</v>
      </c>
      <c r="F829" s="33" t="s">
        <v>278</v>
      </c>
      <c r="G829" s="34">
        <v>1.8</v>
      </c>
      <c r="H829" s="21"/>
      <c r="I829" s="34">
        <v>427.17599999999999</v>
      </c>
      <c r="J829" s="35">
        <v>12.26</v>
      </c>
      <c r="K829" s="12"/>
      <c r="L829" s="12"/>
      <c r="M829" s="35">
        <f>ROUND(ROUND(J829, 2)*I829, 2)</f>
        <v>5237.18</v>
      </c>
      <c r="N829" s="12"/>
      <c r="O829" s="12"/>
      <c r="P829" s="35">
        <v>21.82</v>
      </c>
      <c r="Q829" s="12"/>
      <c r="R829" s="12"/>
      <c r="S829" s="35">
        <f>ROUND(ROUND(P829, 2)*I829, 2)</f>
        <v>9320.98</v>
      </c>
      <c r="T829" s="12"/>
      <c r="U829" s="36"/>
      <c r="V829" s="9">
        <f>ROUND(ROUND(P829, 2)/1.2, 2)</f>
        <v>18.18</v>
      </c>
      <c r="Y829" s="9">
        <f t="shared" si="26"/>
        <v>7767.48</v>
      </c>
      <c r="AD829" s="4" t="s">
        <v>2640</v>
      </c>
      <c r="AE829" s="4" t="s">
        <v>2641</v>
      </c>
      <c r="AF829" s="4" t="s">
        <v>2607</v>
      </c>
    </row>
    <row r="830" spans="1:35" ht="36" x14ac:dyDescent="0.3">
      <c r="A830" s="11" t="s">
        <v>2642</v>
      </c>
      <c r="B830" s="11"/>
      <c r="C830" s="32" t="s">
        <v>304</v>
      </c>
      <c r="D830" s="21"/>
      <c r="E830" s="21"/>
      <c r="F830" s="33" t="s">
        <v>278</v>
      </c>
      <c r="G830" s="34">
        <v>0.15</v>
      </c>
      <c r="H830" s="21"/>
      <c r="I830" s="34">
        <v>35.597999999999999</v>
      </c>
      <c r="J830" s="35">
        <v>90.28</v>
      </c>
      <c r="K830" s="12"/>
      <c r="L830" s="12"/>
      <c r="M830" s="35">
        <f>ROUND(ROUND(J830, 2)*I830, 2)</f>
        <v>3213.79</v>
      </c>
      <c r="N830" s="12"/>
      <c r="O830" s="12"/>
      <c r="P830" s="35">
        <v>90.28</v>
      </c>
      <c r="Q830" s="12"/>
      <c r="R830" s="12"/>
      <c r="S830" s="35">
        <f>ROUND(ROUND(P830, 2)*I830, 2)</f>
        <v>3213.79</v>
      </c>
      <c r="T830" s="12"/>
      <c r="U830" s="36"/>
      <c r="V830" s="9">
        <f>ROUND(ROUND(P830, 2)/1.2, 2)</f>
        <v>75.23</v>
      </c>
      <c r="Y830" s="9">
        <f t="shared" si="26"/>
        <v>2678.16</v>
      </c>
      <c r="AD830" s="4" t="s">
        <v>2643</v>
      </c>
      <c r="AE830" s="4" t="s">
        <v>2644</v>
      </c>
      <c r="AF830" s="4" t="s">
        <v>307</v>
      </c>
    </row>
    <row r="831" spans="1:35" ht="90" x14ac:dyDescent="0.3">
      <c r="A831" s="11" t="s">
        <v>2645</v>
      </c>
      <c r="B831" s="11" t="s">
        <v>2597</v>
      </c>
      <c r="C831" s="20" t="s">
        <v>2598</v>
      </c>
      <c r="D831" s="21"/>
      <c r="E831" s="21" t="s">
        <v>2646</v>
      </c>
      <c r="F831" s="21" t="s">
        <v>62</v>
      </c>
      <c r="G831" s="22">
        <v>1</v>
      </c>
      <c r="H831" s="21"/>
      <c r="I831" s="22">
        <v>996.23</v>
      </c>
      <c r="J831" s="23">
        <f>IFERROR(ROUND(SUM(M832,M833)/I831, 2),0)</f>
        <v>35.61</v>
      </c>
      <c r="K831" s="23">
        <v>546</v>
      </c>
      <c r="L831" s="23">
        <f>J831+ROUND(K831, 2)</f>
        <v>581.61</v>
      </c>
      <c r="M831" s="23">
        <f>ROUND(J831*I831, 2)</f>
        <v>35475.75</v>
      </c>
      <c r="N831" s="23">
        <f>ROUND(I831*ROUND(K831, 2), 2)</f>
        <v>543941.57999999996</v>
      </c>
      <c r="O831" s="23">
        <f>M831+N831</f>
        <v>579417.32999999996</v>
      </c>
      <c r="P831" s="23">
        <f>IFERROR(ROUND(SUM(S832,S833)/I831, 2),0)</f>
        <v>35.61</v>
      </c>
      <c r="Q831" s="23">
        <v>819</v>
      </c>
      <c r="R831" s="23">
        <f>P831+ROUND(Q831, 2)</f>
        <v>854.61</v>
      </c>
      <c r="S831" s="23">
        <f>ROUND(P831*I831, 2)</f>
        <v>35475.75</v>
      </c>
      <c r="T831" s="23">
        <f>ROUND(I831*ROUND(Q831, 2), 2)</f>
        <v>815912.37</v>
      </c>
      <c r="U831" s="23">
        <f>S831+T831</f>
        <v>851388.12</v>
      </c>
      <c r="V831" s="9">
        <f>ROUND(P831 / 1.2, 2)</f>
        <v>29.68</v>
      </c>
      <c r="W831" s="9">
        <f>ROUND(Q831 / 1.2, 2)</f>
        <v>682.5</v>
      </c>
      <c r="X831" s="9">
        <f>ROUND(R831 / 1.2, 2)</f>
        <v>712.18</v>
      </c>
      <c r="Y831" s="9">
        <f t="shared" si="26"/>
        <v>29563.13</v>
      </c>
      <c r="Z831" s="9">
        <f>ROUND(T831 / 1.2, 2)</f>
        <v>679926.98</v>
      </c>
      <c r="AA831" s="9">
        <f>Y831+Z831</f>
        <v>709490.11</v>
      </c>
      <c r="AD831" s="4">
        <v>334080762</v>
      </c>
      <c r="AE831" s="4">
        <v>29299414</v>
      </c>
      <c r="AG831" s="4" t="s">
        <v>2600</v>
      </c>
      <c r="AH831" s="4" t="s">
        <v>2601</v>
      </c>
      <c r="AI831" s="4" t="s">
        <v>250</v>
      </c>
    </row>
    <row r="832" spans="1:35" ht="36" x14ac:dyDescent="0.3">
      <c r="A832" s="11" t="s">
        <v>2647</v>
      </c>
      <c r="B832" s="11"/>
      <c r="C832" s="32" t="s">
        <v>304</v>
      </c>
      <c r="D832" s="21"/>
      <c r="E832" s="21"/>
      <c r="F832" s="33" t="s">
        <v>278</v>
      </c>
      <c r="G832" s="34">
        <v>0.15</v>
      </c>
      <c r="H832" s="21"/>
      <c r="I832" s="34">
        <v>149.435</v>
      </c>
      <c r="J832" s="35">
        <v>90.28</v>
      </c>
      <c r="K832" s="12"/>
      <c r="L832" s="12"/>
      <c r="M832" s="35">
        <f>ROUND(ROUND(J832, 2)*I832, 2)</f>
        <v>13490.99</v>
      </c>
      <c r="N832" s="12"/>
      <c r="O832" s="12"/>
      <c r="P832" s="35">
        <v>90.28</v>
      </c>
      <c r="Q832" s="12"/>
      <c r="R832" s="12"/>
      <c r="S832" s="35">
        <f>ROUND(ROUND(P832, 2)*I832, 2)</f>
        <v>13490.99</v>
      </c>
      <c r="T832" s="12"/>
      <c r="U832" s="36"/>
      <c r="V832" s="9">
        <f>ROUND(ROUND(P832, 2)/1.2, 2)</f>
        <v>75.23</v>
      </c>
      <c r="Y832" s="9">
        <f t="shared" si="26"/>
        <v>11242.49</v>
      </c>
      <c r="AD832" s="4" t="s">
        <v>2648</v>
      </c>
      <c r="AE832" s="4" t="s">
        <v>2649</v>
      </c>
      <c r="AF832" s="4" t="s">
        <v>307</v>
      </c>
    </row>
    <row r="833" spans="1:35" ht="54" x14ac:dyDescent="0.3">
      <c r="A833" s="11" t="s">
        <v>2650</v>
      </c>
      <c r="B833" s="11"/>
      <c r="C833" s="30" t="s">
        <v>2603</v>
      </c>
      <c r="D833" s="21"/>
      <c r="E833" s="21"/>
      <c r="F833" s="33" t="s">
        <v>278</v>
      </c>
      <c r="G833" s="34">
        <v>1.8</v>
      </c>
      <c r="H833" s="21"/>
      <c r="I833" s="34">
        <v>1793.2139999999999</v>
      </c>
      <c r="J833" s="35">
        <v>12.26</v>
      </c>
      <c r="K833" s="12"/>
      <c r="L833" s="12"/>
      <c r="M833" s="35">
        <f>ROUND(ROUND(J833, 2)*I833, 2)</f>
        <v>21984.799999999999</v>
      </c>
      <c r="N833" s="12"/>
      <c r="O833" s="12"/>
      <c r="P833" s="35">
        <v>12.26</v>
      </c>
      <c r="Q833" s="12"/>
      <c r="R833" s="12"/>
      <c r="S833" s="35">
        <f>ROUND(ROUND(P833, 2)*I833, 2)</f>
        <v>21984.799999999999</v>
      </c>
      <c r="T833" s="12"/>
      <c r="U833" s="36"/>
      <c r="V833" s="9">
        <f>ROUND(ROUND(P833, 2)/1.2, 2)</f>
        <v>10.220000000000001</v>
      </c>
      <c r="Y833" s="9">
        <f t="shared" si="26"/>
        <v>18320.669999999998</v>
      </c>
      <c r="AD833" s="4" t="s">
        <v>2651</v>
      </c>
      <c r="AE833" s="4" t="s">
        <v>2652</v>
      </c>
      <c r="AF833" s="4" t="s">
        <v>2607</v>
      </c>
    </row>
    <row r="834" spans="1:35" ht="90" x14ac:dyDescent="0.3">
      <c r="A834" s="11" t="s">
        <v>2653</v>
      </c>
      <c r="B834" s="11" t="s">
        <v>2597</v>
      </c>
      <c r="C834" s="20" t="s">
        <v>2598</v>
      </c>
      <c r="D834" s="21"/>
      <c r="E834" s="21" t="s">
        <v>2654</v>
      </c>
      <c r="F834" s="21" t="s">
        <v>62</v>
      </c>
      <c r="G834" s="22">
        <v>1</v>
      </c>
      <c r="H834" s="21"/>
      <c r="I834" s="22">
        <v>1173.78</v>
      </c>
      <c r="J834" s="23">
        <f>IFERROR(ROUND(SUM(M835,M836)/I834, 2),0)</f>
        <v>35.61</v>
      </c>
      <c r="K834" s="23">
        <v>546</v>
      </c>
      <c r="L834" s="23">
        <f>J834+ROUND(K834, 2)</f>
        <v>581.61</v>
      </c>
      <c r="M834" s="23">
        <f>ROUND(J834*I834, 2)</f>
        <v>41798.31</v>
      </c>
      <c r="N834" s="23">
        <f>ROUND(I834*ROUND(K834, 2), 2)</f>
        <v>640883.88</v>
      </c>
      <c r="O834" s="23">
        <f>M834+N834</f>
        <v>682682.19</v>
      </c>
      <c r="P834" s="23">
        <f>IFERROR(ROUND(SUM(S835,S836)/I834, 2),0)</f>
        <v>52.82</v>
      </c>
      <c r="Q834" s="23">
        <v>819</v>
      </c>
      <c r="R834" s="23">
        <f>P834+ROUND(Q834, 2)</f>
        <v>871.82</v>
      </c>
      <c r="S834" s="23">
        <f>ROUND(P834*I834, 2)</f>
        <v>61999.06</v>
      </c>
      <c r="T834" s="23">
        <f>ROUND(I834*ROUND(Q834, 2), 2)</f>
        <v>961325.82</v>
      </c>
      <c r="U834" s="23">
        <f>S834+T834</f>
        <v>1023324.8799999999</v>
      </c>
      <c r="V834" s="9">
        <f>ROUND(P834 / 1.2, 2)</f>
        <v>44.02</v>
      </c>
      <c r="W834" s="9">
        <f>ROUND(Q834 / 1.2, 2)</f>
        <v>682.5</v>
      </c>
      <c r="X834" s="9">
        <f>ROUND(R834 / 1.2, 2)</f>
        <v>726.52</v>
      </c>
      <c r="Y834" s="9">
        <f t="shared" si="26"/>
        <v>51665.88</v>
      </c>
      <c r="Z834" s="9">
        <f>ROUND(T834 / 1.2, 2)</f>
        <v>801104.85</v>
      </c>
      <c r="AA834" s="9">
        <f>Y834+Z834</f>
        <v>852770.73</v>
      </c>
      <c r="AD834" s="4">
        <v>334080763</v>
      </c>
      <c r="AE834" s="4">
        <v>29299415</v>
      </c>
      <c r="AG834" s="4" t="s">
        <v>2600</v>
      </c>
      <c r="AH834" s="4" t="s">
        <v>2601</v>
      </c>
      <c r="AI834" s="4" t="s">
        <v>250</v>
      </c>
    </row>
    <row r="835" spans="1:35" ht="54" x14ac:dyDescent="0.3">
      <c r="A835" s="11" t="s">
        <v>2655</v>
      </c>
      <c r="B835" s="11"/>
      <c r="C835" s="30" t="s">
        <v>2603</v>
      </c>
      <c r="D835" s="21"/>
      <c r="E835" s="21" t="s">
        <v>2639</v>
      </c>
      <c r="F835" s="33" t="s">
        <v>278</v>
      </c>
      <c r="G835" s="34">
        <v>1.8</v>
      </c>
      <c r="H835" s="21"/>
      <c r="I835" s="34">
        <v>2112.8040000000001</v>
      </c>
      <c r="J835" s="35">
        <v>12.26</v>
      </c>
      <c r="K835" s="12"/>
      <c r="L835" s="12"/>
      <c r="M835" s="35">
        <f>ROUND(ROUND(J835, 2)*I835, 2)</f>
        <v>25902.98</v>
      </c>
      <c r="N835" s="12"/>
      <c r="O835" s="12"/>
      <c r="P835" s="35">
        <v>21.82</v>
      </c>
      <c r="Q835" s="12"/>
      <c r="R835" s="12"/>
      <c r="S835" s="35">
        <f>ROUND(ROUND(P835, 2)*I835, 2)</f>
        <v>46101.38</v>
      </c>
      <c r="T835" s="12"/>
      <c r="U835" s="36"/>
      <c r="V835" s="9">
        <f>ROUND(ROUND(P835, 2)/1.2, 2)</f>
        <v>18.18</v>
      </c>
      <c r="Y835" s="9">
        <f t="shared" si="26"/>
        <v>38417.82</v>
      </c>
      <c r="AD835" s="4" t="s">
        <v>2656</v>
      </c>
      <c r="AE835" s="4" t="s">
        <v>2657</v>
      </c>
      <c r="AF835" s="4" t="s">
        <v>2607</v>
      </c>
    </row>
    <row r="836" spans="1:35" ht="36" x14ac:dyDescent="0.3">
      <c r="A836" s="11" t="s">
        <v>2658</v>
      </c>
      <c r="B836" s="11"/>
      <c r="C836" s="32" t="s">
        <v>304</v>
      </c>
      <c r="D836" s="21"/>
      <c r="E836" s="21"/>
      <c r="F836" s="33" t="s">
        <v>278</v>
      </c>
      <c r="G836" s="34">
        <v>0.15</v>
      </c>
      <c r="H836" s="21"/>
      <c r="I836" s="34">
        <v>176.06700000000001</v>
      </c>
      <c r="J836" s="35">
        <v>90.28</v>
      </c>
      <c r="K836" s="12"/>
      <c r="L836" s="12"/>
      <c r="M836" s="35">
        <f>ROUND(ROUND(J836, 2)*I836, 2)</f>
        <v>15895.33</v>
      </c>
      <c r="N836" s="12"/>
      <c r="O836" s="12"/>
      <c r="P836" s="35">
        <v>90.28</v>
      </c>
      <c r="Q836" s="12"/>
      <c r="R836" s="12"/>
      <c r="S836" s="35">
        <f>ROUND(ROUND(P836, 2)*I836, 2)</f>
        <v>15895.33</v>
      </c>
      <c r="T836" s="12"/>
      <c r="U836" s="36"/>
      <c r="V836" s="9">
        <f>ROUND(ROUND(P836, 2)/1.2, 2)</f>
        <v>75.23</v>
      </c>
      <c r="Y836" s="9">
        <f t="shared" si="26"/>
        <v>13246.11</v>
      </c>
      <c r="AD836" s="4" t="s">
        <v>2659</v>
      </c>
      <c r="AE836" s="4" t="s">
        <v>2660</v>
      </c>
      <c r="AF836" s="4" t="s">
        <v>307</v>
      </c>
    </row>
    <row r="837" spans="1:35" ht="16.95" customHeight="1" x14ac:dyDescent="0.3">
      <c r="A837" s="10" t="s">
        <v>2661</v>
      </c>
      <c r="B837" s="10" t="s">
        <v>2662</v>
      </c>
      <c r="C837" s="91" t="s">
        <v>2663</v>
      </c>
      <c r="D837" s="92"/>
      <c r="E837" s="92"/>
      <c r="F837" s="92"/>
      <c r="G837" s="92"/>
      <c r="H837" s="92"/>
      <c r="I837" s="93"/>
      <c r="M837" s="6">
        <f>SUM(M838,M841,M844,M847,M850,M853,M856,M859,M862,M865,M868)</f>
        <v>2078209.1500000004</v>
      </c>
      <c r="N837" s="6">
        <f>SUM(N838,N841,N844,N847,N850,N853,N856,N859,N862,N865,N868)</f>
        <v>4275175.3599999994</v>
      </c>
      <c r="O837" s="6">
        <f>SUM(O838,O841,O844,O847,O850,O853,O856,O859,O862,O865,O868)</f>
        <v>6353384.5100000007</v>
      </c>
      <c r="S837" s="6">
        <f>SUM(S838,S841,S844,S847,S850,S853,S856,S859,S862,S865,S868)</f>
        <v>1181876.03</v>
      </c>
      <c r="T837" s="6">
        <f>SUM(T838,T841,T844,T847,T850,T853,T856,T859,T862,T865,T868)</f>
        <v>6412763.04</v>
      </c>
      <c r="U837" s="6">
        <f>SUM(U838,U841,U844,U847,U850,U853,U856,U859,U862,U865,U868)</f>
        <v>7594639.0699999994</v>
      </c>
      <c r="Y837" s="9">
        <f>SUM(Y838,Y841,Y844,Y847,Y850,Y853,Y856,Y859,Y862,Y865,Y868)</f>
        <v>984896.70000000007</v>
      </c>
      <c r="Z837" s="9">
        <f>SUM(Z838,Z841,Z844,Z847,Z850,Z853,Z856,Z859,Z862,Z865,Z868)</f>
        <v>5343969.1999999993</v>
      </c>
      <c r="AA837" s="9">
        <f>SUM(AA838,AA841,AA844,AA847,AA850,AA853,AA856,AA859,AA862,AA865,AA868)</f>
        <v>6328865.8999999994</v>
      </c>
      <c r="AD837" s="4">
        <v>334080558</v>
      </c>
      <c r="AE837" s="4">
        <v>27245700</v>
      </c>
    </row>
    <row r="838" spans="1:35" ht="36" x14ac:dyDescent="0.3">
      <c r="A838" s="10" t="s">
        <v>2664</v>
      </c>
      <c r="B838" s="10" t="s">
        <v>2665</v>
      </c>
      <c r="C838" s="14" t="s">
        <v>2666</v>
      </c>
      <c r="D838" s="15"/>
      <c r="E838" s="15"/>
      <c r="F838" s="15" t="s">
        <v>62</v>
      </c>
      <c r="G838" s="16">
        <v>1</v>
      </c>
      <c r="H838" s="15"/>
      <c r="I838" s="16">
        <v>0</v>
      </c>
      <c r="J838" s="17">
        <v>0</v>
      </c>
      <c r="K838" s="18">
        <v>464</v>
      </c>
      <c r="L838" s="17">
        <f>J838+ROUND(K838, 2)</f>
        <v>464</v>
      </c>
      <c r="M838" s="17">
        <v>0</v>
      </c>
      <c r="N838" s="17">
        <v>0</v>
      </c>
      <c r="O838" s="17">
        <f>M838+N838</f>
        <v>0</v>
      </c>
      <c r="P838" s="17">
        <v>162.09</v>
      </c>
      <c r="Q838" s="19">
        <v>464</v>
      </c>
      <c r="R838" s="17">
        <f>P838+ROUND(Q838, 2)</f>
        <v>626.09</v>
      </c>
      <c r="S838" s="17">
        <v>0</v>
      </c>
      <c r="T838" s="17">
        <v>0</v>
      </c>
      <c r="U838" s="17">
        <f>S838+T838</f>
        <v>0</v>
      </c>
      <c r="V838" s="9">
        <f>ROUND(P838 / 1.2, 2)</f>
        <v>135.08000000000001</v>
      </c>
      <c r="W838" s="9">
        <f>ROUND(Q838 / 1.2, 2)</f>
        <v>386.67</v>
      </c>
      <c r="X838" s="9">
        <f>ROUND(R838 / 1.2, 2)</f>
        <v>521.74</v>
      </c>
      <c r="Y838" s="9">
        <f>ROUND(S838 / 1.2, 2)</f>
        <v>0</v>
      </c>
      <c r="Z838" s="9">
        <f>ROUND(T838 / 1.2, 2)</f>
        <v>0</v>
      </c>
      <c r="AA838" s="9">
        <f>Y838+Z838</f>
        <v>0</v>
      </c>
      <c r="AD838" s="4">
        <v>334080560</v>
      </c>
      <c r="AE838" s="4">
        <v>27245613</v>
      </c>
      <c r="AG838" s="4" t="s">
        <v>2667</v>
      </c>
      <c r="AH838" s="4" t="s">
        <v>2668</v>
      </c>
      <c r="AI838" s="4" t="s">
        <v>250</v>
      </c>
    </row>
    <row r="839" spans="1:35" ht="72" x14ac:dyDescent="0.3">
      <c r="A839" s="10" t="s">
        <v>2669</v>
      </c>
      <c r="B839" s="10"/>
      <c r="C839" s="24" t="s">
        <v>1757</v>
      </c>
      <c r="D839" s="15"/>
      <c r="E839" s="15" t="s">
        <v>2670</v>
      </c>
      <c r="F839" s="25" t="s">
        <v>278</v>
      </c>
      <c r="G839" s="26">
        <v>0.3</v>
      </c>
      <c r="H839" s="15"/>
      <c r="I839" s="26">
        <v>0</v>
      </c>
      <c r="J839" s="27">
        <v>1216.56</v>
      </c>
      <c r="M839" s="28">
        <f>ROUND(ROUND(J839, 2)*I839, 2)</f>
        <v>0</v>
      </c>
      <c r="P839" s="29">
        <v>495.9</v>
      </c>
      <c r="S839" s="28">
        <f>ROUND(ROUND(P839, 2)*I839, 2)</f>
        <v>0</v>
      </c>
      <c r="V839" s="9">
        <f>ROUND(ROUND(P839, 2)/1.2, 2)</f>
        <v>413.25</v>
      </c>
      <c r="Y839" s="9">
        <f t="shared" ref="Y839:Y870" si="27">ROUND(S839 / 1.2, 2)</f>
        <v>0</v>
      </c>
      <c r="AD839" s="4" t="s">
        <v>2671</v>
      </c>
      <c r="AE839" s="4" t="s">
        <v>2672</v>
      </c>
      <c r="AF839" s="4" t="s">
        <v>1760</v>
      </c>
    </row>
    <row r="840" spans="1:35" ht="36" x14ac:dyDescent="0.3">
      <c r="A840" s="10" t="s">
        <v>2673</v>
      </c>
      <c r="B840" s="10"/>
      <c r="C840" s="24" t="s">
        <v>1007</v>
      </c>
      <c r="D840" s="15"/>
      <c r="E840" s="15"/>
      <c r="F840" s="25" t="s">
        <v>278</v>
      </c>
      <c r="G840" s="26">
        <v>0.15</v>
      </c>
      <c r="H840" s="15"/>
      <c r="I840" s="26">
        <v>0</v>
      </c>
      <c r="J840" s="27">
        <v>88.8</v>
      </c>
      <c r="M840" s="28">
        <f>ROUND(ROUND(J840, 2)*I840, 2)</f>
        <v>0</v>
      </c>
      <c r="P840" s="29">
        <v>88.8</v>
      </c>
      <c r="S840" s="28">
        <f>ROUND(ROUND(P840, 2)*I840, 2)</f>
        <v>0</v>
      </c>
      <c r="V840" s="9">
        <f>ROUND(ROUND(P840, 2)/1.2, 2)</f>
        <v>74</v>
      </c>
      <c r="Y840" s="9">
        <f t="shared" si="27"/>
        <v>0</v>
      </c>
      <c r="AD840" s="4" t="s">
        <v>2674</v>
      </c>
      <c r="AE840" s="4" t="s">
        <v>2675</v>
      </c>
      <c r="AF840" s="4" t="s">
        <v>1010</v>
      </c>
    </row>
    <row r="841" spans="1:35" ht="36" x14ac:dyDescent="0.3">
      <c r="A841" s="10" t="s">
        <v>2676</v>
      </c>
      <c r="B841" s="10" t="s">
        <v>2665</v>
      </c>
      <c r="C841" s="14" t="s">
        <v>2666</v>
      </c>
      <c r="D841" s="15"/>
      <c r="E841" s="15"/>
      <c r="F841" s="15" t="s">
        <v>62</v>
      </c>
      <c r="G841" s="16">
        <v>1</v>
      </c>
      <c r="H841" s="15"/>
      <c r="I841" s="16">
        <v>0</v>
      </c>
      <c r="J841" s="17">
        <v>0</v>
      </c>
      <c r="K841" s="18">
        <v>464</v>
      </c>
      <c r="L841" s="17">
        <f>J841+ROUND(K841, 2)</f>
        <v>464</v>
      </c>
      <c r="M841" s="17">
        <v>0</v>
      </c>
      <c r="N841" s="17">
        <v>0</v>
      </c>
      <c r="O841" s="17">
        <f>M841+N841</f>
        <v>0</v>
      </c>
      <c r="P841" s="17">
        <v>162.09</v>
      </c>
      <c r="Q841" s="19">
        <v>464</v>
      </c>
      <c r="R841" s="17">
        <f>P841+ROUND(Q841, 2)</f>
        <v>626.09</v>
      </c>
      <c r="S841" s="17">
        <v>0</v>
      </c>
      <c r="T841" s="17">
        <v>0</v>
      </c>
      <c r="U841" s="17">
        <f>S841+T841</f>
        <v>0</v>
      </c>
      <c r="V841" s="9">
        <f>ROUND(P841 / 1.2, 2)</f>
        <v>135.08000000000001</v>
      </c>
      <c r="W841" s="9">
        <f>ROUND(Q841 / 1.2, 2)</f>
        <v>386.67</v>
      </c>
      <c r="X841" s="9">
        <f>ROUND(R841 / 1.2, 2)</f>
        <v>521.74</v>
      </c>
      <c r="Y841" s="9">
        <f t="shared" si="27"/>
        <v>0</v>
      </c>
      <c r="Z841" s="9">
        <f>ROUND(T841 / 1.2, 2)</f>
        <v>0</v>
      </c>
      <c r="AA841" s="9">
        <f>Y841+Z841</f>
        <v>0</v>
      </c>
      <c r="AD841" s="4">
        <v>334080764</v>
      </c>
      <c r="AE841" s="4">
        <v>27245614</v>
      </c>
      <c r="AG841" s="4" t="s">
        <v>2667</v>
      </c>
      <c r="AH841" s="4" t="s">
        <v>2668</v>
      </c>
      <c r="AI841" s="4" t="s">
        <v>250</v>
      </c>
    </row>
    <row r="842" spans="1:35" ht="36" x14ac:dyDescent="0.3">
      <c r="A842" s="10" t="s">
        <v>2677</v>
      </c>
      <c r="B842" s="10"/>
      <c r="C842" s="24" t="s">
        <v>1007</v>
      </c>
      <c r="D842" s="15"/>
      <c r="E842" s="15"/>
      <c r="F842" s="25" t="s">
        <v>278</v>
      </c>
      <c r="G842" s="26">
        <v>0.15</v>
      </c>
      <c r="H842" s="15"/>
      <c r="I842" s="26">
        <v>0</v>
      </c>
      <c r="J842" s="27">
        <v>88.8</v>
      </c>
      <c r="M842" s="28">
        <f>ROUND(ROUND(J842, 2)*I842, 2)</f>
        <v>0</v>
      </c>
      <c r="P842" s="29">
        <v>88.8</v>
      </c>
      <c r="S842" s="28">
        <f>ROUND(ROUND(P842, 2)*I842, 2)</f>
        <v>0</v>
      </c>
      <c r="V842" s="9">
        <f>ROUND(ROUND(P842, 2)/1.2, 2)</f>
        <v>74</v>
      </c>
      <c r="Y842" s="9">
        <f t="shared" si="27"/>
        <v>0</v>
      </c>
      <c r="AD842" s="4" t="s">
        <v>2678</v>
      </c>
      <c r="AE842" s="4" t="s">
        <v>2679</v>
      </c>
      <c r="AF842" s="4" t="s">
        <v>1010</v>
      </c>
    </row>
    <row r="843" spans="1:35" ht="36" x14ac:dyDescent="0.3">
      <c r="A843" s="10" t="s">
        <v>2680</v>
      </c>
      <c r="B843" s="10"/>
      <c r="C843" s="24" t="s">
        <v>1757</v>
      </c>
      <c r="D843" s="15"/>
      <c r="E843" s="15"/>
      <c r="F843" s="25" t="s">
        <v>278</v>
      </c>
      <c r="G843" s="26">
        <v>0.3</v>
      </c>
      <c r="H843" s="15"/>
      <c r="I843" s="26">
        <v>0</v>
      </c>
      <c r="J843" s="27">
        <v>1216.56</v>
      </c>
      <c r="M843" s="28">
        <f>ROUND(ROUND(J843, 2)*I843, 2)</f>
        <v>0</v>
      </c>
      <c r="P843" s="29">
        <v>495.9</v>
      </c>
      <c r="S843" s="28">
        <f>ROUND(ROUND(P843, 2)*I843, 2)</f>
        <v>0</v>
      </c>
      <c r="V843" s="9">
        <f>ROUND(ROUND(P843, 2)/1.2, 2)</f>
        <v>413.25</v>
      </c>
      <c r="Y843" s="9">
        <f t="shared" si="27"/>
        <v>0</v>
      </c>
      <c r="AD843" s="4" t="s">
        <v>2681</v>
      </c>
      <c r="AE843" s="4" t="s">
        <v>2682</v>
      </c>
      <c r="AF843" s="4" t="s">
        <v>1760</v>
      </c>
    </row>
    <row r="844" spans="1:35" ht="36" x14ac:dyDescent="0.3">
      <c r="A844" s="10" t="s">
        <v>2683</v>
      </c>
      <c r="B844" s="10" t="s">
        <v>2665</v>
      </c>
      <c r="C844" s="14" t="s">
        <v>2666</v>
      </c>
      <c r="D844" s="15"/>
      <c r="E844" s="15"/>
      <c r="F844" s="15" t="s">
        <v>62</v>
      </c>
      <c r="G844" s="16">
        <v>1</v>
      </c>
      <c r="H844" s="15"/>
      <c r="I844" s="16">
        <v>0</v>
      </c>
      <c r="J844" s="17">
        <v>0</v>
      </c>
      <c r="K844" s="18">
        <v>464</v>
      </c>
      <c r="L844" s="17">
        <f>J844+ROUND(K844, 2)</f>
        <v>464</v>
      </c>
      <c r="M844" s="17">
        <v>0</v>
      </c>
      <c r="N844" s="17">
        <v>0</v>
      </c>
      <c r="O844" s="17">
        <f>M844+N844</f>
        <v>0</v>
      </c>
      <c r="P844" s="17">
        <v>162.09</v>
      </c>
      <c r="Q844" s="19">
        <v>464</v>
      </c>
      <c r="R844" s="17">
        <f>P844+ROUND(Q844, 2)</f>
        <v>626.09</v>
      </c>
      <c r="S844" s="17">
        <v>0</v>
      </c>
      <c r="T844" s="17">
        <v>0</v>
      </c>
      <c r="U844" s="17">
        <f>S844+T844</f>
        <v>0</v>
      </c>
      <c r="V844" s="9">
        <f>ROUND(P844 / 1.2, 2)</f>
        <v>135.08000000000001</v>
      </c>
      <c r="W844" s="9">
        <f>ROUND(Q844 / 1.2, 2)</f>
        <v>386.67</v>
      </c>
      <c r="X844" s="9">
        <f>ROUND(R844 / 1.2, 2)</f>
        <v>521.74</v>
      </c>
      <c r="Y844" s="9">
        <f t="shared" si="27"/>
        <v>0</v>
      </c>
      <c r="Z844" s="9">
        <f>ROUND(T844 / 1.2, 2)</f>
        <v>0</v>
      </c>
      <c r="AA844" s="9">
        <f>Y844+Z844</f>
        <v>0</v>
      </c>
      <c r="AD844" s="4">
        <v>334080765</v>
      </c>
      <c r="AE844" s="4">
        <v>27245615</v>
      </c>
      <c r="AG844" s="4" t="s">
        <v>2667</v>
      </c>
      <c r="AH844" s="4" t="s">
        <v>2668</v>
      </c>
      <c r="AI844" s="4" t="s">
        <v>250</v>
      </c>
    </row>
    <row r="845" spans="1:35" ht="36" x14ac:dyDescent="0.3">
      <c r="A845" s="10" t="s">
        <v>2684</v>
      </c>
      <c r="B845" s="10"/>
      <c r="C845" s="24" t="s">
        <v>1757</v>
      </c>
      <c r="D845" s="15"/>
      <c r="E845" s="15"/>
      <c r="F845" s="25" t="s">
        <v>278</v>
      </c>
      <c r="G845" s="26">
        <v>0.3</v>
      </c>
      <c r="H845" s="15"/>
      <c r="I845" s="26">
        <v>0</v>
      </c>
      <c r="J845" s="27">
        <v>1216.56</v>
      </c>
      <c r="M845" s="28">
        <f>ROUND(ROUND(J845, 2)*I845, 2)</f>
        <v>0</v>
      </c>
      <c r="P845" s="29">
        <v>495.9</v>
      </c>
      <c r="S845" s="28">
        <f>ROUND(ROUND(P845, 2)*I845, 2)</f>
        <v>0</v>
      </c>
      <c r="V845" s="9">
        <f>ROUND(ROUND(P845, 2)/1.2, 2)</f>
        <v>413.25</v>
      </c>
      <c r="Y845" s="9">
        <f t="shared" si="27"/>
        <v>0</v>
      </c>
      <c r="AD845" s="4" t="s">
        <v>2685</v>
      </c>
      <c r="AE845" s="4" t="s">
        <v>2686</v>
      </c>
      <c r="AF845" s="4" t="s">
        <v>1760</v>
      </c>
    </row>
    <row r="846" spans="1:35" ht="36" x14ac:dyDescent="0.3">
      <c r="A846" s="10" t="s">
        <v>2687</v>
      </c>
      <c r="B846" s="10"/>
      <c r="C846" s="24" t="s">
        <v>1007</v>
      </c>
      <c r="D846" s="15"/>
      <c r="E846" s="15"/>
      <c r="F846" s="25" t="s">
        <v>278</v>
      </c>
      <c r="G846" s="26">
        <v>0.15</v>
      </c>
      <c r="H846" s="15"/>
      <c r="I846" s="26">
        <v>0</v>
      </c>
      <c r="J846" s="27">
        <v>88.8</v>
      </c>
      <c r="M846" s="28">
        <f>ROUND(ROUND(J846, 2)*I846, 2)</f>
        <v>0</v>
      </c>
      <c r="P846" s="29">
        <v>88.8</v>
      </c>
      <c r="S846" s="28">
        <f>ROUND(ROUND(P846, 2)*I846, 2)</f>
        <v>0</v>
      </c>
      <c r="V846" s="9">
        <f>ROUND(ROUND(P846, 2)/1.2, 2)</f>
        <v>74</v>
      </c>
      <c r="Y846" s="9">
        <f t="shared" si="27"/>
        <v>0</v>
      </c>
      <c r="AD846" s="4" t="s">
        <v>2688</v>
      </c>
      <c r="AE846" s="4" t="s">
        <v>2689</v>
      </c>
      <c r="AF846" s="4" t="s">
        <v>1010</v>
      </c>
    </row>
    <row r="847" spans="1:35" ht="36" x14ac:dyDescent="0.3">
      <c r="A847" s="10" t="s">
        <v>2690</v>
      </c>
      <c r="B847" s="10" t="s">
        <v>2665</v>
      </c>
      <c r="C847" s="14" t="s">
        <v>2666</v>
      </c>
      <c r="D847" s="15"/>
      <c r="E847" s="15"/>
      <c r="F847" s="15" t="s">
        <v>62</v>
      </c>
      <c r="G847" s="16">
        <v>1</v>
      </c>
      <c r="H847" s="15"/>
      <c r="I847" s="16">
        <v>0</v>
      </c>
      <c r="J847" s="17">
        <v>0</v>
      </c>
      <c r="K847" s="18">
        <v>464</v>
      </c>
      <c r="L847" s="17">
        <f>J847+ROUND(K847, 2)</f>
        <v>464</v>
      </c>
      <c r="M847" s="17">
        <v>0</v>
      </c>
      <c r="N847" s="17">
        <v>0</v>
      </c>
      <c r="O847" s="17">
        <f>M847+N847</f>
        <v>0</v>
      </c>
      <c r="P847" s="17">
        <v>162.09</v>
      </c>
      <c r="Q847" s="19">
        <v>464</v>
      </c>
      <c r="R847" s="17">
        <f>P847+ROUND(Q847, 2)</f>
        <v>626.09</v>
      </c>
      <c r="S847" s="17">
        <v>0</v>
      </c>
      <c r="T847" s="17">
        <v>0</v>
      </c>
      <c r="U847" s="17">
        <f>S847+T847</f>
        <v>0</v>
      </c>
      <c r="V847" s="9">
        <f>ROUND(P847 / 1.2, 2)</f>
        <v>135.08000000000001</v>
      </c>
      <c r="W847" s="9">
        <f>ROUND(Q847 / 1.2, 2)</f>
        <v>386.67</v>
      </c>
      <c r="X847" s="9">
        <f>ROUND(R847 / 1.2, 2)</f>
        <v>521.74</v>
      </c>
      <c r="Y847" s="9">
        <f t="shared" si="27"/>
        <v>0</v>
      </c>
      <c r="Z847" s="9">
        <f>ROUND(T847 / 1.2, 2)</f>
        <v>0</v>
      </c>
      <c r="AA847" s="9">
        <f>Y847+Z847</f>
        <v>0</v>
      </c>
      <c r="AD847" s="4">
        <v>334080766</v>
      </c>
      <c r="AE847" s="4">
        <v>27245616</v>
      </c>
      <c r="AG847" s="4" t="s">
        <v>2667</v>
      </c>
      <c r="AH847" s="4" t="s">
        <v>2668</v>
      </c>
      <c r="AI847" s="4" t="s">
        <v>250</v>
      </c>
    </row>
    <row r="848" spans="1:35" ht="36" x14ac:dyDescent="0.3">
      <c r="A848" s="10" t="s">
        <v>2691</v>
      </c>
      <c r="B848" s="10"/>
      <c r="C848" s="24" t="s">
        <v>1007</v>
      </c>
      <c r="D848" s="15"/>
      <c r="E848" s="15"/>
      <c r="F848" s="25" t="s">
        <v>278</v>
      </c>
      <c r="G848" s="26">
        <v>0.15</v>
      </c>
      <c r="H848" s="15"/>
      <c r="I848" s="26">
        <v>0</v>
      </c>
      <c r="J848" s="27">
        <v>88.8</v>
      </c>
      <c r="M848" s="28">
        <f>ROUND(ROUND(J848, 2)*I848, 2)</f>
        <v>0</v>
      </c>
      <c r="P848" s="29">
        <v>88.8</v>
      </c>
      <c r="S848" s="28">
        <f>ROUND(ROUND(P848, 2)*I848, 2)</f>
        <v>0</v>
      </c>
      <c r="V848" s="9">
        <f>ROUND(ROUND(P848, 2)/1.2, 2)</f>
        <v>74</v>
      </c>
      <c r="Y848" s="9">
        <f t="shared" si="27"/>
        <v>0</v>
      </c>
      <c r="AD848" s="4" t="s">
        <v>2692</v>
      </c>
      <c r="AE848" s="4" t="s">
        <v>2693</v>
      </c>
      <c r="AF848" s="4" t="s">
        <v>1010</v>
      </c>
    </row>
    <row r="849" spans="1:35" ht="36" x14ac:dyDescent="0.3">
      <c r="A849" s="10" t="s">
        <v>2694</v>
      </c>
      <c r="B849" s="10"/>
      <c r="C849" s="24" t="s">
        <v>1757</v>
      </c>
      <c r="D849" s="15"/>
      <c r="E849" s="15"/>
      <c r="F849" s="25" t="s">
        <v>278</v>
      </c>
      <c r="G849" s="26">
        <v>0.3</v>
      </c>
      <c r="H849" s="15"/>
      <c r="I849" s="26">
        <v>0</v>
      </c>
      <c r="J849" s="27">
        <v>1216.56</v>
      </c>
      <c r="M849" s="28">
        <f>ROUND(ROUND(J849, 2)*I849, 2)</f>
        <v>0</v>
      </c>
      <c r="P849" s="29">
        <v>495.9</v>
      </c>
      <c r="S849" s="28">
        <f>ROUND(ROUND(P849, 2)*I849, 2)</f>
        <v>0</v>
      </c>
      <c r="V849" s="9">
        <f>ROUND(ROUND(P849, 2)/1.2, 2)</f>
        <v>413.25</v>
      </c>
      <c r="Y849" s="9">
        <f t="shared" si="27"/>
        <v>0</v>
      </c>
      <c r="AD849" s="4" t="s">
        <v>2695</v>
      </c>
      <c r="AE849" s="4" t="s">
        <v>2696</v>
      </c>
      <c r="AF849" s="4" t="s">
        <v>1760</v>
      </c>
    </row>
    <row r="850" spans="1:35" ht="162" x14ac:dyDescent="0.3">
      <c r="A850" s="10" t="s">
        <v>2697</v>
      </c>
      <c r="B850" s="10" t="s">
        <v>2665</v>
      </c>
      <c r="C850" s="14" t="s">
        <v>2666</v>
      </c>
      <c r="D850" s="15"/>
      <c r="E850" s="15" t="s">
        <v>2698</v>
      </c>
      <c r="F850" s="15" t="s">
        <v>62</v>
      </c>
      <c r="G850" s="16">
        <v>1</v>
      </c>
      <c r="H850" s="15"/>
      <c r="I850" s="16">
        <v>3898.4</v>
      </c>
      <c r="J850" s="17">
        <v>378.29</v>
      </c>
      <c r="K850" s="18">
        <v>464</v>
      </c>
      <c r="L850" s="17">
        <f>J850+ROUND(K850, 2)</f>
        <v>842.29</v>
      </c>
      <c r="M850" s="17">
        <v>1474725.74</v>
      </c>
      <c r="N850" s="17">
        <v>1808857.6</v>
      </c>
      <c r="O850" s="17">
        <f>M850+N850</f>
        <v>3283583.34</v>
      </c>
      <c r="P850" s="17">
        <v>162.09</v>
      </c>
      <c r="Q850" s="19">
        <v>696</v>
      </c>
      <c r="R850" s="17">
        <f>P850+ROUND(Q850, 2)</f>
        <v>858.09</v>
      </c>
      <c r="S850" s="17">
        <v>631891.66</v>
      </c>
      <c r="T850" s="17">
        <v>2713286.4</v>
      </c>
      <c r="U850" s="17">
        <f>S850+T850</f>
        <v>3345178.06</v>
      </c>
      <c r="V850" s="9">
        <f>ROUND(P850 / 1.2, 2)</f>
        <v>135.08000000000001</v>
      </c>
      <c r="W850" s="9">
        <f>ROUND(Q850 / 1.2, 2)</f>
        <v>580</v>
      </c>
      <c r="X850" s="9">
        <f>ROUND(R850 / 1.2, 2)</f>
        <v>715.08</v>
      </c>
      <c r="Y850" s="9">
        <f t="shared" si="27"/>
        <v>526576.38</v>
      </c>
      <c r="Z850" s="9">
        <f>ROUND(T850 / 1.2, 2)</f>
        <v>2261072</v>
      </c>
      <c r="AA850" s="9">
        <f>Y850+Z850</f>
        <v>2787648.38</v>
      </c>
      <c r="AD850" s="4">
        <v>334080767</v>
      </c>
      <c r="AE850" s="4">
        <v>27245729</v>
      </c>
      <c r="AG850" s="4" t="s">
        <v>2667</v>
      </c>
      <c r="AH850" s="4" t="s">
        <v>2668</v>
      </c>
      <c r="AI850" s="4" t="s">
        <v>250</v>
      </c>
    </row>
    <row r="851" spans="1:35" ht="36" x14ac:dyDescent="0.3">
      <c r="A851" s="10" t="s">
        <v>2699</v>
      </c>
      <c r="B851" s="10"/>
      <c r="C851" s="24" t="s">
        <v>1757</v>
      </c>
      <c r="D851" s="15"/>
      <c r="E851" s="15"/>
      <c r="F851" s="25" t="s">
        <v>278</v>
      </c>
      <c r="G851" s="26">
        <v>0.3</v>
      </c>
      <c r="H851" s="15"/>
      <c r="I851" s="26">
        <v>1169.52</v>
      </c>
      <c r="J851" s="27">
        <v>1216.56</v>
      </c>
      <c r="M851" s="28">
        <f>ROUND(ROUND(J851, 2)*I851, 2)</f>
        <v>1422791.25</v>
      </c>
      <c r="P851" s="29">
        <v>495.9</v>
      </c>
      <c r="S851" s="28">
        <f>ROUND(ROUND(P851, 2)*I851, 2)</f>
        <v>579964.97</v>
      </c>
      <c r="V851" s="9">
        <f>ROUND(ROUND(P851, 2)/1.2, 2)</f>
        <v>413.25</v>
      </c>
      <c r="Y851" s="9">
        <f t="shared" si="27"/>
        <v>483304.14</v>
      </c>
      <c r="AD851" s="4" t="s">
        <v>2700</v>
      </c>
      <c r="AE851" s="4" t="s">
        <v>2701</v>
      </c>
      <c r="AF851" s="4" t="s">
        <v>1760</v>
      </c>
    </row>
    <row r="852" spans="1:35" ht="36" x14ac:dyDescent="0.3">
      <c r="A852" s="10" t="s">
        <v>2702</v>
      </c>
      <c r="B852" s="10"/>
      <c r="C852" s="24" t="s">
        <v>1007</v>
      </c>
      <c r="D852" s="15"/>
      <c r="E852" s="15"/>
      <c r="F852" s="25" t="s">
        <v>278</v>
      </c>
      <c r="G852" s="26">
        <v>0.15</v>
      </c>
      <c r="H852" s="15"/>
      <c r="I852" s="26">
        <v>584.76</v>
      </c>
      <c r="J852" s="27">
        <v>88.8</v>
      </c>
      <c r="M852" s="28">
        <f>ROUND(ROUND(J852, 2)*I852, 2)</f>
        <v>51926.69</v>
      </c>
      <c r="P852" s="29">
        <v>88.8</v>
      </c>
      <c r="S852" s="28">
        <f>ROUND(ROUND(P852, 2)*I852, 2)</f>
        <v>51926.69</v>
      </c>
      <c r="V852" s="9">
        <f>ROUND(ROUND(P852, 2)/1.2, 2)</f>
        <v>74</v>
      </c>
      <c r="Y852" s="9">
        <f t="shared" si="27"/>
        <v>43272.24</v>
      </c>
      <c r="AD852" s="4" t="s">
        <v>2703</v>
      </c>
      <c r="AE852" s="4" t="s">
        <v>2704</v>
      </c>
      <c r="AF852" s="4" t="s">
        <v>1010</v>
      </c>
    </row>
    <row r="853" spans="1:35" ht="54" x14ac:dyDescent="0.3">
      <c r="A853" s="10" t="s">
        <v>2705</v>
      </c>
      <c r="B853" s="10" t="s">
        <v>2665</v>
      </c>
      <c r="C853" s="14" t="s">
        <v>2666</v>
      </c>
      <c r="D853" s="15"/>
      <c r="E853" s="15" t="s">
        <v>2706</v>
      </c>
      <c r="F853" s="15" t="s">
        <v>62</v>
      </c>
      <c r="G853" s="16">
        <v>1</v>
      </c>
      <c r="H853" s="15"/>
      <c r="I853" s="16">
        <v>921.3</v>
      </c>
      <c r="J853" s="17">
        <v>378.29</v>
      </c>
      <c r="K853" s="18">
        <v>464</v>
      </c>
      <c r="L853" s="17">
        <f>J853+ROUND(K853, 2)</f>
        <v>842.29</v>
      </c>
      <c r="M853" s="17">
        <v>348518.58</v>
      </c>
      <c r="N853" s="17">
        <v>427483.2</v>
      </c>
      <c r="O853" s="17">
        <f>M853+N853</f>
        <v>776001.78</v>
      </c>
      <c r="P853" s="17">
        <v>162.09</v>
      </c>
      <c r="Q853" s="19">
        <v>696</v>
      </c>
      <c r="R853" s="17">
        <f>P853+ROUND(Q853, 2)</f>
        <v>858.09</v>
      </c>
      <c r="S853" s="17">
        <v>149333.51999999999</v>
      </c>
      <c r="T853" s="17">
        <v>641224.80000000005</v>
      </c>
      <c r="U853" s="17">
        <f>S853+T853</f>
        <v>790558.32000000007</v>
      </c>
      <c r="V853" s="9">
        <f>ROUND(P853 / 1.2, 2)</f>
        <v>135.08000000000001</v>
      </c>
      <c r="W853" s="9">
        <f>ROUND(Q853 / 1.2, 2)</f>
        <v>580</v>
      </c>
      <c r="X853" s="9">
        <f>ROUND(R853 / 1.2, 2)</f>
        <v>715.08</v>
      </c>
      <c r="Y853" s="9">
        <f t="shared" si="27"/>
        <v>124444.6</v>
      </c>
      <c r="Z853" s="9">
        <f>ROUND(T853 / 1.2, 2)</f>
        <v>534354</v>
      </c>
      <c r="AA853" s="9">
        <f>Y853+Z853</f>
        <v>658798.6</v>
      </c>
      <c r="AD853" s="4">
        <v>334080768</v>
      </c>
      <c r="AE853" s="4">
        <v>27245736</v>
      </c>
      <c r="AG853" s="4" t="s">
        <v>2667</v>
      </c>
      <c r="AH853" s="4" t="s">
        <v>2668</v>
      </c>
      <c r="AI853" s="4" t="s">
        <v>250</v>
      </c>
    </row>
    <row r="854" spans="1:35" ht="36" x14ac:dyDescent="0.3">
      <c r="A854" s="10" t="s">
        <v>2707</v>
      </c>
      <c r="B854" s="10"/>
      <c r="C854" s="24" t="s">
        <v>1007</v>
      </c>
      <c r="D854" s="15"/>
      <c r="E854" s="15"/>
      <c r="F854" s="25" t="s">
        <v>278</v>
      </c>
      <c r="G854" s="26">
        <v>0.15</v>
      </c>
      <c r="H854" s="15"/>
      <c r="I854" s="26">
        <v>138.19499999999999</v>
      </c>
      <c r="J854" s="27">
        <v>88.8</v>
      </c>
      <c r="M854" s="28">
        <f>ROUND(ROUND(J854, 2)*I854, 2)</f>
        <v>12271.72</v>
      </c>
      <c r="P854" s="29">
        <v>88.8</v>
      </c>
      <c r="S854" s="28">
        <f>ROUND(ROUND(P854, 2)*I854, 2)</f>
        <v>12271.72</v>
      </c>
      <c r="V854" s="9">
        <f>ROUND(ROUND(P854, 2)/1.2, 2)</f>
        <v>74</v>
      </c>
      <c r="Y854" s="9">
        <f t="shared" si="27"/>
        <v>10226.43</v>
      </c>
      <c r="AD854" s="4" t="s">
        <v>2708</v>
      </c>
      <c r="AE854" s="4" t="s">
        <v>2709</v>
      </c>
      <c r="AF854" s="4" t="s">
        <v>1010</v>
      </c>
    </row>
    <row r="855" spans="1:35" ht="36" x14ac:dyDescent="0.3">
      <c r="A855" s="10" t="s">
        <v>2710</v>
      </c>
      <c r="B855" s="10"/>
      <c r="C855" s="24" t="s">
        <v>1757</v>
      </c>
      <c r="D855" s="15"/>
      <c r="E855" s="15"/>
      <c r="F855" s="25" t="s">
        <v>278</v>
      </c>
      <c r="G855" s="26">
        <v>0.3</v>
      </c>
      <c r="H855" s="15"/>
      <c r="I855" s="26">
        <v>276.39</v>
      </c>
      <c r="J855" s="27">
        <v>1216.56</v>
      </c>
      <c r="M855" s="28">
        <f>ROUND(ROUND(J855, 2)*I855, 2)</f>
        <v>336245.02</v>
      </c>
      <c r="P855" s="29">
        <v>495.9</v>
      </c>
      <c r="S855" s="28">
        <f>ROUND(ROUND(P855, 2)*I855, 2)</f>
        <v>137061.79999999999</v>
      </c>
      <c r="V855" s="9">
        <f>ROUND(ROUND(P855, 2)/1.2, 2)</f>
        <v>413.25</v>
      </c>
      <c r="Y855" s="9">
        <f t="shared" si="27"/>
        <v>114218.17</v>
      </c>
      <c r="AD855" s="4" t="s">
        <v>2711</v>
      </c>
      <c r="AE855" s="4" t="s">
        <v>2712</v>
      </c>
      <c r="AF855" s="4" t="s">
        <v>1760</v>
      </c>
    </row>
    <row r="856" spans="1:35" ht="36" x14ac:dyDescent="0.3">
      <c r="A856" s="10" t="s">
        <v>2713</v>
      </c>
      <c r="B856" s="10" t="s">
        <v>2665</v>
      </c>
      <c r="C856" s="14" t="s">
        <v>2666</v>
      </c>
      <c r="D856" s="15"/>
      <c r="E856" s="15"/>
      <c r="F856" s="15" t="s">
        <v>62</v>
      </c>
      <c r="G856" s="16">
        <v>1</v>
      </c>
      <c r="H856" s="15"/>
      <c r="I856" s="16">
        <v>0</v>
      </c>
      <c r="J856" s="17">
        <v>0</v>
      </c>
      <c r="K856" s="18">
        <v>464</v>
      </c>
      <c r="L856" s="17">
        <f>J856+ROUND(K856, 2)</f>
        <v>464</v>
      </c>
      <c r="M856" s="17">
        <v>0</v>
      </c>
      <c r="N856" s="17">
        <v>0</v>
      </c>
      <c r="O856" s="17">
        <f>M856+N856</f>
        <v>0</v>
      </c>
      <c r="P856" s="17">
        <v>0</v>
      </c>
      <c r="Q856" s="19">
        <v>696</v>
      </c>
      <c r="R856" s="17">
        <f>P856+ROUND(Q856, 2)</f>
        <v>696</v>
      </c>
      <c r="S856" s="17">
        <v>0</v>
      </c>
      <c r="T856" s="17">
        <v>0</v>
      </c>
      <c r="U856" s="17">
        <f>S856+T856</f>
        <v>0</v>
      </c>
      <c r="V856" s="9">
        <f>ROUND(P856 / 1.2, 2)</f>
        <v>0</v>
      </c>
      <c r="W856" s="9">
        <f>ROUND(Q856 / 1.2, 2)</f>
        <v>580</v>
      </c>
      <c r="X856" s="9">
        <f>ROUND(R856 / 1.2, 2)</f>
        <v>580</v>
      </c>
      <c r="Y856" s="9">
        <f t="shared" si="27"/>
        <v>0</v>
      </c>
      <c r="Z856" s="9">
        <f>ROUND(T856 / 1.2, 2)</f>
        <v>0</v>
      </c>
      <c r="AA856" s="9">
        <f>Y856+Z856</f>
        <v>0</v>
      </c>
      <c r="AD856" s="4">
        <v>334080769</v>
      </c>
      <c r="AE856" s="4">
        <v>27245617</v>
      </c>
      <c r="AG856" s="4" t="s">
        <v>2667</v>
      </c>
      <c r="AH856" s="4" t="s">
        <v>2668</v>
      </c>
      <c r="AI856" s="4" t="s">
        <v>250</v>
      </c>
    </row>
    <row r="857" spans="1:35" ht="36" x14ac:dyDescent="0.3">
      <c r="A857" s="10" t="s">
        <v>2714</v>
      </c>
      <c r="B857" s="10"/>
      <c r="C857" s="24" t="s">
        <v>1757</v>
      </c>
      <c r="D857" s="15"/>
      <c r="E857" s="15"/>
      <c r="F857" s="25" t="s">
        <v>278</v>
      </c>
      <c r="G857" s="26">
        <v>0.3</v>
      </c>
      <c r="H857" s="15"/>
      <c r="I857" s="26">
        <v>0</v>
      </c>
      <c r="J857" s="27">
        <v>1216.56</v>
      </c>
      <c r="M857" s="28">
        <f>ROUND(ROUND(J857, 2)*I857, 2)</f>
        <v>0</v>
      </c>
      <c r="P857" s="29">
        <v>495.9</v>
      </c>
      <c r="S857" s="28">
        <f>ROUND(ROUND(P857, 2)*I857, 2)</f>
        <v>0</v>
      </c>
      <c r="V857" s="9">
        <f>ROUND(ROUND(P857, 2)/1.2, 2)</f>
        <v>413.25</v>
      </c>
      <c r="Y857" s="9">
        <f t="shared" si="27"/>
        <v>0</v>
      </c>
      <c r="AD857" s="4" t="s">
        <v>2715</v>
      </c>
      <c r="AE857" s="4" t="s">
        <v>2716</v>
      </c>
      <c r="AF857" s="4" t="s">
        <v>1760</v>
      </c>
    </row>
    <row r="858" spans="1:35" ht="36" x14ac:dyDescent="0.3">
      <c r="A858" s="10" t="s">
        <v>2717</v>
      </c>
      <c r="B858" s="10"/>
      <c r="C858" s="24" t="s">
        <v>1007</v>
      </c>
      <c r="D858" s="15"/>
      <c r="E858" s="15"/>
      <c r="F858" s="25" t="s">
        <v>278</v>
      </c>
      <c r="G858" s="26">
        <v>0.15</v>
      </c>
      <c r="H858" s="15"/>
      <c r="I858" s="26">
        <v>0</v>
      </c>
      <c r="J858" s="27">
        <v>88.8</v>
      </c>
      <c r="M858" s="28">
        <f>ROUND(ROUND(J858, 2)*I858, 2)</f>
        <v>0</v>
      </c>
      <c r="P858" s="29">
        <v>88.8</v>
      </c>
      <c r="S858" s="28">
        <f>ROUND(ROUND(P858, 2)*I858, 2)</f>
        <v>0</v>
      </c>
      <c r="V858" s="9">
        <f>ROUND(ROUND(P858, 2)/1.2, 2)</f>
        <v>74</v>
      </c>
      <c r="Y858" s="9">
        <f t="shared" si="27"/>
        <v>0</v>
      </c>
      <c r="AD858" s="4" t="s">
        <v>2718</v>
      </c>
      <c r="AE858" s="4" t="s">
        <v>2719</v>
      </c>
      <c r="AF858" s="4" t="s">
        <v>1010</v>
      </c>
    </row>
    <row r="859" spans="1:35" ht="162" x14ac:dyDescent="0.3">
      <c r="A859" s="10" t="s">
        <v>2720</v>
      </c>
      <c r="B859" s="10" t="s">
        <v>2665</v>
      </c>
      <c r="C859" s="14" t="s">
        <v>2666</v>
      </c>
      <c r="D859" s="15"/>
      <c r="E859" s="15" t="s">
        <v>2721</v>
      </c>
      <c r="F859" s="15" t="s">
        <v>62</v>
      </c>
      <c r="G859" s="16">
        <v>1</v>
      </c>
      <c r="H859" s="15"/>
      <c r="I859" s="16">
        <v>272.2</v>
      </c>
      <c r="J859" s="17">
        <v>378.29</v>
      </c>
      <c r="K859" s="18">
        <v>464</v>
      </c>
      <c r="L859" s="17">
        <f>J859+ROUND(K859, 2)</f>
        <v>842.29</v>
      </c>
      <c r="M859" s="17">
        <v>102970.54</v>
      </c>
      <c r="N859" s="17">
        <v>126300.8</v>
      </c>
      <c r="O859" s="17">
        <f>M859+N859</f>
        <v>229271.34</v>
      </c>
      <c r="P859" s="17">
        <v>162.09</v>
      </c>
      <c r="Q859" s="19">
        <v>696</v>
      </c>
      <c r="R859" s="17">
        <f>P859+ROUND(Q859, 2)</f>
        <v>858.09</v>
      </c>
      <c r="S859" s="17">
        <v>44120.9</v>
      </c>
      <c r="T859" s="17">
        <v>189451.2</v>
      </c>
      <c r="U859" s="17">
        <f>S859+T859</f>
        <v>233572.1</v>
      </c>
      <c r="V859" s="9">
        <f>ROUND(P859 / 1.2, 2)</f>
        <v>135.08000000000001</v>
      </c>
      <c r="W859" s="9">
        <f>ROUND(Q859 / 1.2, 2)</f>
        <v>580</v>
      </c>
      <c r="X859" s="9">
        <f>ROUND(R859 / 1.2, 2)</f>
        <v>715.08</v>
      </c>
      <c r="Y859" s="9">
        <f t="shared" si="27"/>
        <v>36767.42</v>
      </c>
      <c r="Z859" s="9">
        <f>ROUND(T859 / 1.2, 2)</f>
        <v>157876</v>
      </c>
      <c r="AA859" s="9">
        <f>Y859+Z859</f>
        <v>194643.41999999998</v>
      </c>
      <c r="AD859" s="4">
        <v>334080770</v>
      </c>
      <c r="AE859" s="4">
        <v>27245731</v>
      </c>
      <c r="AG859" s="4" t="s">
        <v>2667</v>
      </c>
      <c r="AH859" s="4" t="s">
        <v>2668</v>
      </c>
      <c r="AI859" s="4" t="s">
        <v>250</v>
      </c>
    </row>
    <row r="860" spans="1:35" ht="36" x14ac:dyDescent="0.3">
      <c r="A860" s="10" t="s">
        <v>2722</v>
      </c>
      <c r="B860" s="10"/>
      <c r="C860" s="24" t="s">
        <v>1007</v>
      </c>
      <c r="D860" s="15"/>
      <c r="E860" s="15"/>
      <c r="F860" s="25" t="s">
        <v>278</v>
      </c>
      <c r="G860" s="26">
        <v>0.15</v>
      </c>
      <c r="H860" s="15"/>
      <c r="I860" s="26">
        <v>40.83</v>
      </c>
      <c r="J860" s="27">
        <v>88.8</v>
      </c>
      <c r="M860" s="28">
        <f>ROUND(ROUND(J860, 2)*I860, 2)</f>
        <v>3625.7</v>
      </c>
      <c r="P860" s="29">
        <v>88.8</v>
      </c>
      <c r="S860" s="28">
        <f>ROUND(ROUND(P860, 2)*I860, 2)</f>
        <v>3625.7</v>
      </c>
      <c r="V860" s="9">
        <f>ROUND(ROUND(P860, 2)/1.2, 2)</f>
        <v>74</v>
      </c>
      <c r="Y860" s="9">
        <f t="shared" si="27"/>
        <v>3021.42</v>
      </c>
      <c r="AD860" s="4" t="s">
        <v>2723</v>
      </c>
      <c r="AE860" s="4" t="s">
        <v>2724</v>
      </c>
      <c r="AF860" s="4" t="s">
        <v>1010</v>
      </c>
    </row>
    <row r="861" spans="1:35" ht="54" x14ac:dyDescent="0.3">
      <c r="A861" s="10" t="s">
        <v>2725</v>
      </c>
      <c r="B861" s="10"/>
      <c r="C861" s="24" t="s">
        <v>1757</v>
      </c>
      <c r="D861" s="15"/>
      <c r="E861" s="15" t="s">
        <v>2726</v>
      </c>
      <c r="F861" s="25" t="s">
        <v>278</v>
      </c>
      <c r="G861" s="26">
        <v>0.3</v>
      </c>
      <c r="H861" s="15"/>
      <c r="I861" s="26">
        <v>81.66</v>
      </c>
      <c r="J861" s="27">
        <v>1216.56</v>
      </c>
      <c r="M861" s="28">
        <f>ROUND(ROUND(J861, 2)*I861, 2)</f>
        <v>99344.29</v>
      </c>
      <c r="P861" s="29">
        <v>495.9</v>
      </c>
      <c r="S861" s="28">
        <f>ROUND(ROUND(P861, 2)*I861, 2)</f>
        <v>40495.19</v>
      </c>
      <c r="V861" s="9">
        <f>ROUND(ROUND(P861, 2)/1.2, 2)</f>
        <v>413.25</v>
      </c>
      <c r="Y861" s="9">
        <f t="shared" si="27"/>
        <v>33745.99</v>
      </c>
      <c r="AD861" s="4" t="s">
        <v>2727</v>
      </c>
      <c r="AE861" s="4" t="s">
        <v>2728</v>
      </c>
      <c r="AF861" s="4" t="s">
        <v>1760</v>
      </c>
    </row>
    <row r="862" spans="1:35" ht="162" x14ac:dyDescent="0.3">
      <c r="A862" s="10" t="s">
        <v>2729</v>
      </c>
      <c r="B862" s="10" t="s">
        <v>2665</v>
      </c>
      <c r="C862" s="14" t="s">
        <v>2666</v>
      </c>
      <c r="D862" s="15"/>
      <c r="E862" s="15" t="s">
        <v>2730</v>
      </c>
      <c r="F862" s="15" t="s">
        <v>62</v>
      </c>
      <c r="G862" s="16">
        <v>1</v>
      </c>
      <c r="H862" s="15"/>
      <c r="I862" s="16">
        <v>263.7</v>
      </c>
      <c r="J862" s="17">
        <v>378.29</v>
      </c>
      <c r="K862" s="18">
        <v>464</v>
      </c>
      <c r="L862" s="17">
        <f>J862+ROUND(K862, 2)</f>
        <v>842.29</v>
      </c>
      <c r="M862" s="17">
        <v>99755.07</v>
      </c>
      <c r="N862" s="17">
        <v>122356.8</v>
      </c>
      <c r="O862" s="17">
        <f>M862+N862</f>
        <v>222111.87</v>
      </c>
      <c r="P862" s="17">
        <v>162.09</v>
      </c>
      <c r="Q862" s="19">
        <v>696</v>
      </c>
      <c r="R862" s="17">
        <f>P862+ROUND(Q862, 2)</f>
        <v>858.09</v>
      </c>
      <c r="S862" s="17">
        <v>42743.13</v>
      </c>
      <c r="T862" s="17">
        <v>183535.2</v>
      </c>
      <c r="U862" s="17">
        <f>S862+T862</f>
        <v>226278.33000000002</v>
      </c>
      <c r="V862" s="9">
        <f>ROUND(P862 / 1.2, 2)</f>
        <v>135.08000000000001</v>
      </c>
      <c r="W862" s="9">
        <f>ROUND(Q862 / 1.2, 2)</f>
        <v>580</v>
      </c>
      <c r="X862" s="9">
        <f>ROUND(R862 / 1.2, 2)</f>
        <v>715.08</v>
      </c>
      <c r="Y862" s="9">
        <f t="shared" si="27"/>
        <v>35619.279999999999</v>
      </c>
      <c r="Z862" s="9">
        <f>ROUND(T862 / 1.2, 2)</f>
        <v>152946</v>
      </c>
      <c r="AA862" s="9">
        <f>Y862+Z862</f>
        <v>188565.28</v>
      </c>
      <c r="AD862" s="4">
        <v>334080771</v>
      </c>
      <c r="AE862" s="4">
        <v>27245732</v>
      </c>
      <c r="AG862" s="4" t="s">
        <v>2667</v>
      </c>
      <c r="AH862" s="4" t="s">
        <v>2668</v>
      </c>
      <c r="AI862" s="4" t="s">
        <v>250</v>
      </c>
    </row>
    <row r="863" spans="1:35" ht="72" x14ac:dyDescent="0.3">
      <c r="A863" s="10" t="s">
        <v>2731</v>
      </c>
      <c r="B863" s="10"/>
      <c r="C863" s="24" t="s">
        <v>1757</v>
      </c>
      <c r="D863" s="15"/>
      <c r="E863" s="15" t="s">
        <v>2732</v>
      </c>
      <c r="F863" s="25" t="s">
        <v>278</v>
      </c>
      <c r="G863" s="26">
        <v>0.3</v>
      </c>
      <c r="H863" s="15"/>
      <c r="I863" s="26">
        <v>79.11</v>
      </c>
      <c r="J863" s="27">
        <v>1216.56</v>
      </c>
      <c r="M863" s="28">
        <f>ROUND(ROUND(J863, 2)*I863, 2)</f>
        <v>96242.06</v>
      </c>
      <c r="P863" s="29">
        <v>495.9</v>
      </c>
      <c r="S863" s="28">
        <f>ROUND(ROUND(P863, 2)*I863, 2)</f>
        <v>39230.65</v>
      </c>
      <c r="V863" s="9">
        <f>ROUND(ROUND(P863, 2)/1.2, 2)</f>
        <v>413.25</v>
      </c>
      <c r="Y863" s="9">
        <f t="shared" si="27"/>
        <v>32692.21</v>
      </c>
      <c r="AD863" s="4" t="s">
        <v>2733</v>
      </c>
      <c r="AE863" s="4" t="s">
        <v>2734</v>
      </c>
      <c r="AF863" s="4" t="s">
        <v>1760</v>
      </c>
    </row>
    <row r="864" spans="1:35" ht="36" x14ac:dyDescent="0.3">
      <c r="A864" s="10" t="s">
        <v>2735</v>
      </c>
      <c r="B864" s="10"/>
      <c r="C864" s="24" t="s">
        <v>1007</v>
      </c>
      <c r="D864" s="15"/>
      <c r="E864" s="15"/>
      <c r="F864" s="25" t="s">
        <v>278</v>
      </c>
      <c r="G864" s="26">
        <v>0.15</v>
      </c>
      <c r="H864" s="15"/>
      <c r="I864" s="26">
        <v>39.555</v>
      </c>
      <c r="J864" s="27">
        <v>88.8</v>
      </c>
      <c r="M864" s="28">
        <f>ROUND(ROUND(J864, 2)*I864, 2)</f>
        <v>3512.48</v>
      </c>
      <c r="P864" s="29">
        <v>88.8</v>
      </c>
      <c r="S864" s="28">
        <f>ROUND(ROUND(P864, 2)*I864, 2)</f>
        <v>3512.48</v>
      </c>
      <c r="V864" s="9">
        <f>ROUND(ROUND(P864, 2)/1.2, 2)</f>
        <v>74</v>
      </c>
      <c r="Y864" s="9">
        <f t="shared" si="27"/>
        <v>2927.07</v>
      </c>
      <c r="AD864" s="4" t="s">
        <v>2736</v>
      </c>
      <c r="AE864" s="4" t="s">
        <v>2737</v>
      </c>
      <c r="AF864" s="4" t="s">
        <v>1010</v>
      </c>
    </row>
    <row r="865" spans="1:35" ht="108" x14ac:dyDescent="0.3">
      <c r="A865" s="11" t="s">
        <v>2738</v>
      </c>
      <c r="B865" s="11" t="s">
        <v>2665</v>
      </c>
      <c r="C865" s="20" t="s">
        <v>2666</v>
      </c>
      <c r="D865" s="21"/>
      <c r="E865" s="21" t="s">
        <v>2739</v>
      </c>
      <c r="F865" s="21" t="s">
        <v>62</v>
      </c>
      <c r="G865" s="22">
        <v>1</v>
      </c>
      <c r="H865" s="21"/>
      <c r="I865" s="22">
        <v>3566.92</v>
      </c>
      <c r="J865" s="23">
        <f>IFERROR(ROUND(SUM(M866,M867)/I865, 2),0)</f>
        <v>13.54</v>
      </c>
      <c r="K865" s="23">
        <v>464</v>
      </c>
      <c r="L865" s="23">
        <f>J865+ROUND(K865, 2)</f>
        <v>477.54</v>
      </c>
      <c r="M865" s="23">
        <f>ROUND(J865*I865, 2)</f>
        <v>48296.1</v>
      </c>
      <c r="N865" s="23">
        <f>ROUND(I865*ROUND(K865, 2), 2)</f>
        <v>1655050.88</v>
      </c>
      <c r="O865" s="23">
        <f>M865+N865</f>
        <v>1703346.98</v>
      </c>
      <c r="P865" s="23">
        <f>IFERROR(ROUND(SUM(S866,S867)/I865, 2),0)</f>
        <v>78.69</v>
      </c>
      <c r="Q865" s="23">
        <v>696</v>
      </c>
      <c r="R865" s="23">
        <f>P865+ROUND(Q865, 2)</f>
        <v>774.69</v>
      </c>
      <c r="S865" s="23">
        <f>ROUND(P865*I865, 2)</f>
        <v>280680.93</v>
      </c>
      <c r="T865" s="23">
        <f>ROUND(I865*ROUND(Q865, 2), 2)</f>
        <v>2482576.3199999998</v>
      </c>
      <c r="U865" s="23">
        <f>S865+T865</f>
        <v>2763257.25</v>
      </c>
      <c r="V865" s="9">
        <f>ROUND(P865 / 1.2, 2)</f>
        <v>65.58</v>
      </c>
      <c r="W865" s="9">
        <f>ROUND(Q865 / 1.2, 2)</f>
        <v>580</v>
      </c>
      <c r="X865" s="9">
        <f>ROUND(R865 / 1.2, 2)</f>
        <v>645.58000000000004</v>
      </c>
      <c r="Y865" s="9">
        <f t="shared" si="27"/>
        <v>233900.78</v>
      </c>
      <c r="Z865" s="9">
        <f>ROUND(T865 / 1.2, 2)</f>
        <v>2068813.6</v>
      </c>
      <c r="AA865" s="9">
        <f>Y865+Z865</f>
        <v>2302714.38</v>
      </c>
      <c r="AD865" s="4">
        <v>334080772</v>
      </c>
      <c r="AE865" s="4">
        <v>29436604</v>
      </c>
      <c r="AG865" s="4" t="s">
        <v>2667</v>
      </c>
      <c r="AH865" s="4" t="s">
        <v>2668</v>
      </c>
      <c r="AI865" s="4" t="s">
        <v>250</v>
      </c>
    </row>
    <row r="866" spans="1:35" ht="36" x14ac:dyDescent="0.3">
      <c r="A866" s="11" t="s">
        <v>2740</v>
      </c>
      <c r="B866" s="11"/>
      <c r="C866" s="32" t="s">
        <v>1007</v>
      </c>
      <c r="D866" s="21"/>
      <c r="E866" s="21" t="s">
        <v>1883</v>
      </c>
      <c r="F866" s="33" t="s">
        <v>278</v>
      </c>
      <c r="G866" s="34">
        <v>0.15</v>
      </c>
      <c r="H866" s="21"/>
      <c r="I866" s="34">
        <v>535.03800000000001</v>
      </c>
      <c r="J866" s="35">
        <v>90.28</v>
      </c>
      <c r="K866" s="12"/>
      <c r="L866" s="12"/>
      <c r="M866" s="35">
        <f>ROUND(ROUND(J866, 2)*I866, 2)</f>
        <v>48303.23</v>
      </c>
      <c r="N866" s="12"/>
      <c r="O866" s="12"/>
      <c r="P866" s="35">
        <v>100</v>
      </c>
      <c r="Q866" s="12"/>
      <c r="R866" s="12"/>
      <c r="S866" s="35">
        <f>ROUND(ROUND(P866, 2)*I866, 2)</f>
        <v>53503.8</v>
      </c>
      <c r="T866" s="12"/>
      <c r="U866" s="36"/>
      <c r="V866" s="9">
        <f>ROUND(ROUND(P866, 2)/1.2, 2)</f>
        <v>83.33</v>
      </c>
      <c r="Y866" s="9">
        <f t="shared" si="27"/>
        <v>44586.5</v>
      </c>
      <c r="AD866" s="4" t="s">
        <v>2741</v>
      </c>
      <c r="AE866" s="4" t="s">
        <v>2742</v>
      </c>
      <c r="AF866" s="4" t="s">
        <v>1010</v>
      </c>
    </row>
    <row r="867" spans="1:35" ht="54" x14ac:dyDescent="0.3">
      <c r="A867" s="11" t="s">
        <v>2743</v>
      </c>
      <c r="B867" s="11"/>
      <c r="C867" s="32" t="s">
        <v>2744</v>
      </c>
      <c r="D867" s="21"/>
      <c r="E867" s="21" t="s">
        <v>1878</v>
      </c>
      <c r="F867" s="33" t="s">
        <v>278</v>
      </c>
      <c r="G867" s="34">
        <v>0.3</v>
      </c>
      <c r="H867" s="21"/>
      <c r="I867" s="34">
        <v>1070.076</v>
      </c>
      <c r="J867" s="35">
        <v>0</v>
      </c>
      <c r="K867" s="12"/>
      <c r="L867" s="12"/>
      <c r="M867" s="35">
        <f>ROUND(ROUND(J867, 2)*I867, 2)</f>
        <v>0</v>
      </c>
      <c r="N867" s="12"/>
      <c r="O867" s="12"/>
      <c r="P867" s="35">
        <v>212.3</v>
      </c>
      <c r="Q867" s="12"/>
      <c r="R867" s="12"/>
      <c r="S867" s="35">
        <f>ROUND(ROUND(P867, 2)*I867, 2)</f>
        <v>227177.13</v>
      </c>
      <c r="T867" s="12"/>
      <c r="U867" s="36"/>
      <c r="V867" s="9">
        <f>ROUND(ROUND(P867, 2)/1.2, 2)</f>
        <v>176.92</v>
      </c>
      <c r="Y867" s="9">
        <f t="shared" si="27"/>
        <v>189314.28</v>
      </c>
      <c r="AD867" s="4" t="s">
        <v>2745</v>
      </c>
      <c r="AE867" s="4" t="s">
        <v>2746</v>
      </c>
      <c r="AF867" s="4" t="s">
        <v>2747</v>
      </c>
    </row>
    <row r="868" spans="1:35" ht="198" x14ac:dyDescent="0.3">
      <c r="A868" s="11" t="s">
        <v>2748</v>
      </c>
      <c r="B868" s="11" t="s">
        <v>2665</v>
      </c>
      <c r="C868" s="20" t="s">
        <v>2666</v>
      </c>
      <c r="D868" s="21"/>
      <c r="E868" s="21" t="s">
        <v>2749</v>
      </c>
      <c r="F868" s="21" t="s">
        <v>62</v>
      </c>
      <c r="G868" s="22">
        <v>1</v>
      </c>
      <c r="H868" s="21"/>
      <c r="I868" s="22">
        <v>291.22000000000003</v>
      </c>
      <c r="J868" s="23">
        <f>IFERROR(ROUND(SUM(M869,M870)/I868, 2),0)</f>
        <v>13.54</v>
      </c>
      <c r="K868" s="23">
        <v>464</v>
      </c>
      <c r="L868" s="23">
        <f>J868+ROUND(K868, 2)</f>
        <v>477.54</v>
      </c>
      <c r="M868" s="23">
        <f>ROUND(J868*I868, 2)</f>
        <v>3943.12</v>
      </c>
      <c r="N868" s="23">
        <f>ROUND(I868*ROUND(K868, 2), 2)</f>
        <v>135126.07999999999</v>
      </c>
      <c r="O868" s="23">
        <f>M868+N868</f>
        <v>139069.19999999998</v>
      </c>
      <c r="P868" s="23">
        <f>IFERROR(ROUND(SUM(S869,S870)/I868, 2),0)</f>
        <v>113.68</v>
      </c>
      <c r="Q868" s="23">
        <v>696</v>
      </c>
      <c r="R868" s="23">
        <f>P868+ROUND(Q868, 2)</f>
        <v>809.68000000000006</v>
      </c>
      <c r="S868" s="23">
        <f>ROUND(P868*I868, 2)</f>
        <v>33105.89</v>
      </c>
      <c r="T868" s="23">
        <f>ROUND(I868*ROUND(Q868, 2), 2)</f>
        <v>202689.12</v>
      </c>
      <c r="U868" s="23">
        <f>S868+T868</f>
        <v>235795.01</v>
      </c>
      <c r="V868" s="9">
        <f>ROUND(P868 / 1.2, 2)</f>
        <v>94.73</v>
      </c>
      <c r="W868" s="9">
        <f>ROUND(Q868 / 1.2, 2)</f>
        <v>580</v>
      </c>
      <c r="X868" s="9">
        <f>ROUND(R868 / 1.2, 2)</f>
        <v>674.73</v>
      </c>
      <c r="Y868" s="9">
        <f t="shared" si="27"/>
        <v>27588.240000000002</v>
      </c>
      <c r="Z868" s="9">
        <f>ROUND(T868 / 1.2, 2)</f>
        <v>168907.6</v>
      </c>
      <c r="AA868" s="9">
        <f>Y868+Z868</f>
        <v>196495.84</v>
      </c>
      <c r="AD868" s="4">
        <v>334080773</v>
      </c>
      <c r="AE868" s="4">
        <v>29436605</v>
      </c>
      <c r="AG868" s="4" t="s">
        <v>2667</v>
      </c>
      <c r="AH868" s="4" t="s">
        <v>2668</v>
      </c>
      <c r="AI868" s="4" t="s">
        <v>250</v>
      </c>
    </row>
    <row r="869" spans="1:35" ht="54" x14ac:dyDescent="0.3">
      <c r="A869" s="11" t="s">
        <v>2750</v>
      </c>
      <c r="B869" s="11"/>
      <c r="C869" s="32" t="s">
        <v>2744</v>
      </c>
      <c r="D869" s="21"/>
      <c r="E869" s="21" t="s">
        <v>1910</v>
      </c>
      <c r="F869" s="33" t="s">
        <v>278</v>
      </c>
      <c r="G869" s="34">
        <v>0.3</v>
      </c>
      <c r="H869" s="21"/>
      <c r="I869" s="34">
        <v>87.366</v>
      </c>
      <c r="J869" s="35">
        <v>0</v>
      </c>
      <c r="K869" s="12"/>
      <c r="L869" s="12"/>
      <c r="M869" s="35">
        <f>ROUND(ROUND(J869, 2)*I869, 2)</f>
        <v>0</v>
      </c>
      <c r="N869" s="12"/>
      <c r="O869" s="12"/>
      <c r="P869" s="35">
        <v>328.94</v>
      </c>
      <c r="Q869" s="12"/>
      <c r="R869" s="12"/>
      <c r="S869" s="35">
        <f>ROUND(ROUND(P869, 2)*I869, 2)</f>
        <v>28738.17</v>
      </c>
      <c r="T869" s="12"/>
      <c r="U869" s="36"/>
      <c r="V869" s="9">
        <f>ROUND(ROUND(P869, 2)/1.2, 2)</f>
        <v>274.12</v>
      </c>
      <c r="Y869" s="9">
        <f t="shared" si="27"/>
        <v>23948.48</v>
      </c>
      <c r="AD869" s="4" t="s">
        <v>2751</v>
      </c>
      <c r="AE869" s="4" t="s">
        <v>2752</v>
      </c>
      <c r="AF869" s="4" t="s">
        <v>2747</v>
      </c>
    </row>
    <row r="870" spans="1:35" ht="36" x14ac:dyDescent="0.3">
      <c r="A870" s="11" t="s">
        <v>2753</v>
      </c>
      <c r="B870" s="11"/>
      <c r="C870" s="32" t="s">
        <v>1007</v>
      </c>
      <c r="D870" s="21"/>
      <c r="E870" s="21" t="s">
        <v>1883</v>
      </c>
      <c r="F870" s="33" t="s">
        <v>278</v>
      </c>
      <c r="G870" s="34">
        <v>0.15</v>
      </c>
      <c r="H870" s="21"/>
      <c r="I870" s="34">
        <v>43.683</v>
      </c>
      <c r="J870" s="35">
        <v>90.28</v>
      </c>
      <c r="K870" s="12"/>
      <c r="L870" s="12"/>
      <c r="M870" s="35">
        <f>ROUND(ROUND(J870, 2)*I870, 2)</f>
        <v>3943.7</v>
      </c>
      <c r="N870" s="12"/>
      <c r="O870" s="12"/>
      <c r="P870" s="35">
        <v>100</v>
      </c>
      <c r="Q870" s="12"/>
      <c r="R870" s="12"/>
      <c r="S870" s="35">
        <f>ROUND(ROUND(P870, 2)*I870, 2)</f>
        <v>4368.3</v>
      </c>
      <c r="T870" s="12"/>
      <c r="U870" s="36"/>
      <c r="V870" s="9">
        <f>ROUND(ROUND(P870, 2)/1.2, 2)</f>
        <v>83.33</v>
      </c>
      <c r="Y870" s="9">
        <f t="shared" si="27"/>
        <v>3640.25</v>
      </c>
      <c r="AD870" s="4" t="s">
        <v>2754</v>
      </c>
      <c r="AE870" s="4" t="s">
        <v>2755</v>
      </c>
      <c r="AF870" s="4" t="s">
        <v>1010</v>
      </c>
    </row>
    <row r="871" spans="1:35" ht="16.95" customHeight="1" x14ac:dyDescent="0.3">
      <c r="A871" s="10" t="s">
        <v>2756</v>
      </c>
      <c r="B871" s="10" t="s">
        <v>2757</v>
      </c>
      <c r="C871" s="91" t="s">
        <v>2758</v>
      </c>
      <c r="D871" s="92"/>
      <c r="E871" s="92"/>
      <c r="F871" s="92"/>
      <c r="G871" s="92"/>
      <c r="H871" s="92"/>
      <c r="I871" s="93"/>
      <c r="M871" s="6">
        <f>SUM(M872,M876,M879,M883,M885,M887,M889,M891,M893,M895,M897,M899,M901,M913,M914,M915,M916,M918,M920,M922,M924,M938,M952,M954,M956,M958,M960,M962,M964,M966,M968,M970)</f>
        <v>9195963.9299999978</v>
      </c>
      <c r="N871" s="6">
        <f>SUM(N872,N876,N879,N883,N885,N887,N889,N891,N893,N895,N897,N899,N901,N913,N914,N915,N916,N918,N920,N922,N924,N938,N952,N954,N956,N958,N960,N962,N964,N966,N968,N970)</f>
        <v>12063210.26</v>
      </c>
      <c r="O871" s="6">
        <f>SUM(O872,O876,O879,O883,O885,O887,O889,O891,O893,O895,O897,O899,O901,O913,O914,O915,O916,O918,O920,O922,O924,O938,O952,O954,O956,O958,O960,O962,O964,O966,O968,O970)</f>
        <v>21259174.190000001</v>
      </c>
      <c r="S871" s="6">
        <f>SUM(S872,S876,S879,S883,S885,S887,S889,S891,S893,S895,S897,S899,S901,S913,S914,S915,S916,S918,S920,S922,S924,S938,S952,S954,S956,S958,S960,S962,S964,S966,S968,S970)</f>
        <v>16112996.760000004</v>
      </c>
      <c r="T871" s="6">
        <f>SUM(T872,T876,T879,T883,T885,T887,T889,T891,T893,T895,T897,T899,T901,T913,T914,T915,T916,T918,T920,T922,T924,T938,T952,T954,T956,T958,T960,T962,T964,T966,T968,T970)</f>
        <v>18094826.339999996</v>
      </c>
      <c r="U871" s="6">
        <f>SUM(U872,U876,U879,U883,U885,U887,U889,U891,U893,U895,U897,U899,U901,U913,U914,U915,U916,U918,U920,U922,U924,U938,U952,U954,U956,U958,U960,U962,U964,U966,U968,U970)</f>
        <v>34207823.100000001</v>
      </c>
      <c r="Y871" s="9">
        <f>SUM(Y872,Y876,Y879,Y883,Y885,Y887,Y889,Y891,Y893,Y895,Y897,Y899,Y901,Y913,Y914,Y915,Y916,Y918,Y920,Y922,Y924,Y938,Y952,Y954,Y956,Y958,Y960,Y962,Y964,Y966,Y968,Y970)</f>
        <v>13427497.319999997</v>
      </c>
      <c r="Z871" s="9">
        <f>SUM(Z872,Z876,Z879,Z883,Z885,Z887,Z889,Z891,Z893,Z895,Z897,Z899,Z901,Z913,Z914,Z915,Z916,Z918,Z920,Z922,Z924,Z938,Z952,Z954,Z956,Z958,Z960,Z962,Z964,Z966,Z968,Z970)</f>
        <v>15079021.98</v>
      </c>
      <c r="AA871" s="9">
        <f>SUM(AA872,AA876,AA879,AA883,AA885,AA887,AA889,AA891,AA893,AA895,AA897,AA899,AA901,AA913,AA914,AA915,AA916,AA918,AA920,AA922,AA924,AA938,AA952,AA954,AA956,AA958,AA960,AA962,AA964,AA966,AA968,AA970)</f>
        <v>28506519.299999997</v>
      </c>
      <c r="AD871" s="4">
        <v>334080561</v>
      </c>
      <c r="AE871" s="4">
        <v>27245701</v>
      </c>
    </row>
    <row r="872" spans="1:35" ht="18" x14ac:dyDescent="0.3">
      <c r="A872" s="10" t="s">
        <v>2759</v>
      </c>
      <c r="B872" s="10" t="s">
        <v>2760</v>
      </c>
      <c r="C872" s="14" t="s">
        <v>2761</v>
      </c>
      <c r="D872" s="15"/>
      <c r="E872" s="15"/>
      <c r="F872" s="15" t="s">
        <v>62</v>
      </c>
      <c r="G872" s="16">
        <v>1</v>
      </c>
      <c r="H872" s="15"/>
      <c r="I872" s="16">
        <v>0</v>
      </c>
      <c r="J872" s="17">
        <v>0</v>
      </c>
      <c r="K872" s="18">
        <v>1359</v>
      </c>
      <c r="L872" s="17">
        <f>J872+ROUND(K872, 2)</f>
        <v>1359</v>
      </c>
      <c r="M872" s="17">
        <v>0</v>
      </c>
      <c r="N872" s="17">
        <v>0</v>
      </c>
      <c r="O872" s="17">
        <f>M872+N872</f>
        <v>0</v>
      </c>
      <c r="P872" s="17">
        <v>1231.99</v>
      </c>
      <c r="Q872" s="19">
        <v>1359</v>
      </c>
      <c r="R872" s="17">
        <f>P872+ROUND(Q872, 2)</f>
        <v>2590.9899999999998</v>
      </c>
      <c r="S872" s="17">
        <v>0</v>
      </c>
      <c r="T872" s="17">
        <v>0</v>
      </c>
      <c r="U872" s="17">
        <f>S872+T872</f>
        <v>0</v>
      </c>
      <c r="V872" s="9">
        <f>ROUND(P872 / 1.2, 2)</f>
        <v>1026.6600000000001</v>
      </c>
      <c r="W872" s="9">
        <f>ROUND(Q872 / 1.2, 2)</f>
        <v>1132.5</v>
      </c>
      <c r="X872" s="9">
        <f>ROUND(R872 / 1.2, 2)</f>
        <v>2159.16</v>
      </c>
      <c r="Y872" s="9">
        <f>ROUND(S872 / 1.2, 2)</f>
        <v>0</v>
      </c>
      <c r="Z872" s="9">
        <f>ROUND(T872 / 1.2, 2)</f>
        <v>0</v>
      </c>
      <c r="AA872" s="9">
        <f>Y872+Z872</f>
        <v>0</v>
      </c>
      <c r="AD872" s="4">
        <v>334080563</v>
      </c>
      <c r="AE872" s="4">
        <v>27245636</v>
      </c>
      <c r="AG872" s="4" t="s">
        <v>2762</v>
      </c>
      <c r="AH872" s="4" t="s">
        <v>2763</v>
      </c>
      <c r="AI872" s="4" t="s">
        <v>250</v>
      </c>
    </row>
    <row r="873" spans="1:35" ht="18" x14ac:dyDescent="0.3">
      <c r="A873" s="10" t="s">
        <v>2764</v>
      </c>
      <c r="B873" s="10"/>
      <c r="C873" s="24" t="s">
        <v>2765</v>
      </c>
      <c r="D873" s="15"/>
      <c r="E873" s="15"/>
      <c r="F873" s="25" t="s">
        <v>91</v>
      </c>
      <c r="G873" s="26">
        <v>1</v>
      </c>
      <c r="H873" s="15"/>
      <c r="I873" s="26">
        <v>0</v>
      </c>
      <c r="J873" s="27">
        <v>109</v>
      </c>
      <c r="M873" s="28">
        <f>ROUND(ROUND(J873, 2)*I873, 2)</f>
        <v>0</v>
      </c>
      <c r="P873" s="29">
        <v>109</v>
      </c>
      <c r="S873" s="28">
        <f>ROUND(ROUND(P873, 2)*I873, 2)</f>
        <v>0</v>
      </c>
      <c r="V873" s="9">
        <f>ROUND(ROUND(P873, 2)/1.2, 2)</f>
        <v>90.83</v>
      </c>
      <c r="Y873" s="9">
        <f t="shared" ref="Y873:Y912" si="28">ROUND(S873 / 1.2, 2)</f>
        <v>0</v>
      </c>
      <c r="AD873" s="4" t="s">
        <v>2766</v>
      </c>
      <c r="AE873" s="4" t="s">
        <v>2767</v>
      </c>
      <c r="AF873" s="4" t="s">
        <v>2768</v>
      </c>
    </row>
    <row r="874" spans="1:35" ht="18" x14ac:dyDescent="0.3">
      <c r="A874" s="10" t="s">
        <v>2769</v>
      </c>
      <c r="B874" s="10"/>
      <c r="C874" s="24" t="s">
        <v>2770</v>
      </c>
      <c r="D874" s="15"/>
      <c r="E874" s="15"/>
      <c r="F874" s="25" t="s">
        <v>62</v>
      </c>
      <c r="G874" s="26">
        <v>1.05</v>
      </c>
      <c r="H874" s="15"/>
      <c r="I874" s="26">
        <v>0</v>
      </c>
      <c r="J874" s="27">
        <v>838.09</v>
      </c>
      <c r="M874" s="28">
        <f>ROUND(ROUND(J874, 2)*I874, 2)</f>
        <v>0</v>
      </c>
      <c r="P874" s="29">
        <v>838.09</v>
      </c>
      <c r="S874" s="28">
        <f>ROUND(ROUND(P874, 2)*I874, 2)</f>
        <v>0</v>
      </c>
      <c r="V874" s="9">
        <f>ROUND(ROUND(P874, 2)/1.2, 2)</f>
        <v>698.41</v>
      </c>
      <c r="Y874" s="9">
        <f t="shared" si="28"/>
        <v>0</v>
      </c>
      <c r="AD874" s="4" t="s">
        <v>2771</v>
      </c>
      <c r="AE874" s="4" t="s">
        <v>2772</v>
      </c>
      <c r="AF874" s="4" t="s">
        <v>2773</v>
      </c>
    </row>
    <row r="875" spans="1:35" ht="18" x14ac:dyDescent="0.3">
      <c r="A875" s="10" t="s">
        <v>2774</v>
      </c>
      <c r="B875" s="10"/>
      <c r="C875" s="24" t="s">
        <v>2775</v>
      </c>
      <c r="D875" s="15"/>
      <c r="E875" s="15"/>
      <c r="F875" s="25" t="s">
        <v>91</v>
      </c>
      <c r="G875" s="26">
        <v>1</v>
      </c>
      <c r="H875" s="15"/>
      <c r="I875" s="26">
        <v>0</v>
      </c>
      <c r="J875" s="27">
        <v>0</v>
      </c>
      <c r="M875" s="28">
        <f>ROUND(ROUND(J875, 2)*I875, 2)</f>
        <v>0</v>
      </c>
      <c r="P875" s="29">
        <v>243</v>
      </c>
      <c r="S875" s="28">
        <f>ROUND(ROUND(P875, 2)*I875, 2)</f>
        <v>0</v>
      </c>
      <c r="V875" s="9">
        <f>ROUND(ROUND(P875, 2)/1.2, 2)</f>
        <v>202.5</v>
      </c>
      <c r="Y875" s="9">
        <f t="shared" si="28"/>
        <v>0</v>
      </c>
      <c r="AD875" s="4" t="s">
        <v>2776</v>
      </c>
      <c r="AE875" s="4" t="s">
        <v>2777</v>
      </c>
      <c r="AF875" s="4" t="s">
        <v>2778</v>
      </c>
    </row>
    <row r="876" spans="1:35" ht="216" x14ac:dyDescent="0.3">
      <c r="A876" s="10" t="s">
        <v>2779</v>
      </c>
      <c r="B876" s="10" t="s">
        <v>2760</v>
      </c>
      <c r="C876" s="14" t="s">
        <v>2761</v>
      </c>
      <c r="D876" s="15"/>
      <c r="E876" s="15" t="s">
        <v>2780</v>
      </c>
      <c r="F876" s="15" t="s">
        <v>62</v>
      </c>
      <c r="G876" s="16">
        <v>1</v>
      </c>
      <c r="H876" s="15"/>
      <c r="I876" s="16">
        <v>34.200000000000003</v>
      </c>
      <c r="J876" s="17">
        <v>879.99</v>
      </c>
      <c r="K876" s="18">
        <v>1359</v>
      </c>
      <c r="L876" s="17">
        <f>J876+ROUND(K876, 2)</f>
        <v>2238.9899999999998</v>
      </c>
      <c r="M876" s="17">
        <v>30095.66</v>
      </c>
      <c r="N876" s="17">
        <v>46477.8</v>
      </c>
      <c r="O876" s="17">
        <f>M876+N876</f>
        <v>76573.460000000006</v>
      </c>
      <c r="P876" s="17">
        <v>1122.99</v>
      </c>
      <c r="Q876" s="19">
        <v>2038.5</v>
      </c>
      <c r="R876" s="17">
        <f>P876+ROUND(Q876, 2)</f>
        <v>3161.49</v>
      </c>
      <c r="S876" s="17">
        <v>38406.26</v>
      </c>
      <c r="T876" s="17">
        <v>69716.7</v>
      </c>
      <c r="U876" s="17">
        <f>S876+T876</f>
        <v>108122.95999999999</v>
      </c>
      <c r="V876" s="9">
        <f>ROUND(P876 / 1.2, 2)</f>
        <v>935.83</v>
      </c>
      <c r="W876" s="9">
        <f>ROUND(Q876 / 1.2, 2)</f>
        <v>1698.75</v>
      </c>
      <c r="X876" s="9">
        <f>ROUND(R876 / 1.2, 2)</f>
        <v>2634.58</v>
      </c>
      <c r="Y876" s="9">
        <f t="shared" si="28"/>
        <v>32005.22</v>
      </c>
      <c r="Z876" s="9">
        <f>ROUND(T876 / 1.2, 2)</f>
        <v>58097.25</v>
      </c>
      <c r="AA876" s="9">
        <f>Y876+Z876</f>
        <v>90102.47</v>
      </c>
      <c r="AD876" s="4">
        <v>334080774</v>
      </c>
      <c r="AE876" s="4">
        <v>27245742</v>
      </c>
      <c r="AG876" s="4" t="s">
        <v>2762</v>
      </c>
      <c r="AH876" s="4" t="s">
        <v>2763</v>
      </c>
      <c r="AI876" s="4" t="s">
        <v>250</v>
      </c>
    </row>
    <row r="877" spans="1:35" ht="18" x14ac:dyDescent="0.3">
      <c r="A877" s="10" t="s">
        <v>2781</v>
      </c>
      <c r="B877" s="10"/>
      <c r="C877" s="24" t="s">
        <v>2775</v>
      </c>
      <c r="D877" s="15"/>
      <c r="E877" s="15"/>
      <c r="F877" s="25" t="s">
        <v>91</v>
      </c>
      <c r="G877" s="26">
        <v>1</v>
      </c>
      <c r="H877" s="15"/>
      <c r="I877" s="26">
        <v>34.200000000000003</v>
      </c>
      <c r="J877" s="27">
        <v>0</v>
      </c>
      <c r="M877" s="28">
        <f>ROUND(ROUND(J877, 2)*I877, 2)</f>
        <v>0</v>
      </c>
      <c r="P877" s="29">
        <v>243</v>
      </c>
      <c r="S877" s="28">
        <f>ROUND(ROUND(P877, 2)*I877, 2)</f>
        <v>8310.6</v>
      </c>
      <c r="V877" s="9">
        <f>ROUND(ROUND(P877, 2)/1.2, 2)</f>
        <v>202.5</v>
      </c>
      <c r="Y877" s="9">
        <f t="shared" si="28"/>
        <v>6925.5</v>
      </c>
      <c r="AD877" s="4" t="s">
        <v>2782</v>
      </c>
      <c r="AE877" s="4" t="s">
        <v>2783</v>
      </c>
      <c r="AF877" s="4" t="s">
        <v>2778</v>
      </c>
    </row>
    <row r="878" spans="1:35" ht="18" x14ac:dyDescent="0.3">
      <c r="A878" s="10" t="s">
        <v>2784</v>
      </c>
      <c r="B878" s="10"/>
      <c r="C878" s="24" t="s">
        <v>2770</v>
      </c>
      <c r="D878" s="15"/>
      <c r="E878" s="15"/>
      <c r="F878" s="25" t="s">
        <v>62</v>
      </c>
      <c r="G878" s="26">
        <v>1.05</v>
      </c>
      <c r="H878" s="15"/>
      <c r="I878" s="26">
        <v>35.909999999999997</v>
      </c>
      <c r="J878" s="27">
        <v>838.09</v>
      </c>
      <c r="M878" s="28">
        <f>ROUND(ROUND(J878, 2)*I878, 2)</f>
        <v>30095.81</v>
      </c>
      <c r="P878" s="29">
        <v>838.09</v>
      </c>
      <c r="S878" s="28">
        <f>ROUND(ROUND(P878, 2)*I878, 2)</f>
        <v>30095.81</v>
      </c>
      <c r="V878" s="9">
        <f>ROUND(ROUND(P878, 2)/1.2, 2)</f>
        <v>698.41</v>
      </c>
      <c r="Y878" s="9">
        <f t="shared" si="28"/>
        <v>25079.84</v>
      </c>
      <c r="AD878" s="4" t="s">
        <v>2785</v>
      </c>
      <c r="AE878" s="4" t="s">
        <v>2786</v>
      </c>
      <c r="AF878" s="4" t="s">
        <v>2773</v>
      </c>
    </row>
    <row r="879" spans="1:35" ht="144" x14ac:dyDescent="0.3">
      <c r="A879" s="11" t="s">
        <v>2787</v>
      </c>
      <c r="B879" s="11" t="s">
        <v>2760</v>
      </c>
      <c r="C879" s="20" t="s">
        <v>2761</v>
      </c>
      <c r="D879" s="21"/>
      <c r="E879" s="21" t="s">
        <v>2788</v>
      </c>
      <c r="F879" s="21" t="s">
        <v>62</v>
      </c>
      <c r="G879" s="22">
        <v>1</v>
      </c>
      <c r="H879" s="21"/>
      <c r="I879" s="22">
        <v>40.200000000000003</v>
      </c>
      <c r="J879" s="23">
        <f>IFERROR(ROUND(SUM(M880,M881,M882)/I879, 2),0)</f>
        <v>1005.47</v>
      </c>
      <c r="K879" s="23">
        <v>1358.99</v>
      </c>
      <c r="L879" s="23">
        <f>J879+ROUND(K879, 2)</f>
        <v>2364.46</v>
      </c>
      <c r="M879" s="23">
        <f>ROUND(J879*I879, 2)</f>
        <v>40419.89</v>
      </c>
      <c r="N879" s="23">
        <f>ROUND(I879*ROUND(K879, 2), 2)</f>
        <v>54631.4</v>
      </c>
      <c r="O879" s="23">
        <f>M879+N879</f>
        <v>95051.290000000008</v>
      </c>
      <c r="P879" s="23">
        <f>IFERROR(ROUND(SUM(S880,S881,S882)/I879, 2),0)</f>
        <v>1363.15</v>
      </c>
      <c r="Q879" s="23">
        <v>2038.48</v>
      </c>
      <c r="R879" s="23">
        <f>P879+ROUND(Q879, 2)</f>
        <v>3401.63</v>
      </c>
      <c r="S879" s="23">
        <f>ROUND(P879*I879, 2)</f>
        <v>54798.63</v>
      </c>
      <c r="T879" s="23">
        <f>ROUND(I879*ROUND(Q879, 2), 2)</f>
        <v>81946.899999999994</v>
      </c>
      <c r="U879" s="23">
        <f>S879+T879</f>
        <v>136745.53</v>
      </c>
      <c r="V879" s="9">
        <f>ROUND(P879 / 1.2, 2)</f>
        <v>1135.96</v>
      </c>
      <c r="W879" s="9">
        <f>ROUND(Q879 / 1.2, 2)</f>
        <v>1698.73</v>
      </c>
      <c r="X879" s="9">
        <f>ROUND(R879 / 1.2, 2)</f>
        <v>2834.69</v>
      </c>
      <c r="Y879" s="9">
        <f t="shared" si="28"/>
        <v>45665.53</v>
      </c>
      <c r="Z879" s="9">
        <f>ROUND(T879 / 1.2, 2)</f>
        <v>68289.08</v>
      </c>
      <c r="AA879" s="9">
        <f>Y879+Z879</f>
        <v>113954.61</v>
      </c>
      <c r="AD879" s="4">
        <v>334080775</v>
      </c>
      <c r="AE879" s="4">
        <v>29438309</v>
      </c>
      <c r="AG879" s="4" t="s">
        <v>2762</v>
      </c>
      <c r="AH879" s="4" t="s">
        <v>2763</v>
      </c>
      <c r="AI879" s="4" t="s">
        <v>250</v>
      </c>
    </row>
    <row r="880" spans="1:35" ht="18" x14ac:dyDescent="0.3">
      <c r="A880" s="11" t="s">
        <v>2789</v>
      </c>
      <c r="B880" s="11"/>
      <c r="C880" s="32" t="s">
        <v>2765</v>
      </c>
      <c r="D880" s="21"/>
      <c r="E880" s="21"/>
      <c r="F880" s="33" t="s">
        <v>91</v>
      </c>
      <c r="G880" s="34">
        <v>1</v>
      </c>
      <c r="H880" s="21"/>
      <c r="I880" s="34">
        <v>40.200000000000003</v>
      </c>
      <c r="J880" s="35">
        <v>110.81</v>
      </c>
      <c r="K880" s="12"/>
      <c r="L880" s="12"/>
      <c r="M880" s="35">
        <f>ROUND(ROUND(J880, 2)*I880, 2)</f>
        <v>4454.5600000000004</v>
      </c>
      <c r="N880" s="12"/>
      <c r="O880" s="12"/>
      <c r="P880" s="35">
        <v>110.81</v>
      </c>
      <c r="Q880" s="12"/>
      <c r="R880" s="12"/>
      <c r="S880" s="35">
        <f>ROUND(ROUND(P880, 2)*I880, 2)</f>
        <v>4454.5600000000004</v>
      </c>
      <c r="T880" s="12"/>
      <c r="U880" s="36"/>
      <c r="V880" s="9">
        <f>ROUND(ROUND(P880, 2)/1.2, 2)</f>
        <v>92.34</v>
      </c>
      <c r="Y880" s="9">
        <f t="shared" si="28"/>
        <v>3712.13</v>
      </c>
      <c r="AD880" s="4" t="s">
        <v>2790</v>
      </c>
      <c r="AE880" s="4" t="s">
        <v>2791</v>
      </c>
      <c r="AF880" s="4" t="s">
        <v>2768</v>
      </c>
    </row>
    <row r="881" spans="1:35" ht="18" x14ac:dyDescent="0.3">
      <c r="A881" s="11" t="s">
        <v>2792</v>
      </c>
      <c r="B881" s="11"/>
      <c r="C881" s="32" t="s">
        <v>2770</v>
      </c>
      <c r="D881" s="21"/>
      <c r="E881" s="21"/>
      <c r="F881" s="33" t="s">
        <v>62</v>
      </c>
      <c r="G881" s="34">
        <v>1.05</v>
      </c>
      <c r="H881" s="21"/>
      <c r="I881" s="34">
        <v>42.21</v>
      </c>
      <c r="J881" s="35">
        <v>852.06</v>
      </c>
      <c r="K881" s="12"/>
      <c r="L881" s="12"/>
      <c r="M881" s="35">
        <f>ROUND(ROUND(J881, 2)*I881, 2)</f>
        <v>35965.449999999997</v>
      </c>
      <c r="N881" s="12"/>
      <c r="O881" s="12"/>
      <c r="P881" s="35">
        <v>852.06</v>
      </c>
      <c r="Q881" s="12"/>
      <c r="R881" s="12"/>
      <c r="S881" s="35">
        <f>ROUND(ROUND(P881, 2)*I881, 2)</f>
        <v>35965.449999999997</v>
      </c>
      <c r="T881" s="12"/>
      <c r="U881" s="36"/>
      <c r="V881" s="9">
        <f>ROUND(ROUND(P881, 2)/1.2, 2)</f>
        <v>710.05</v>
      </c>
      <c r="Y881" s="9">
        <f t="shared" si="28"/>
        <v>29971.21</v>
      </c>
      <c r="AD881" s="4" t="s">
        <v>2793</v>
      </c>
      <c r="AE881" s="4" t="s">
        <v>2794</v>
      </c>
      <c r="AF881" s="4" t="s">
        <v>2773</v>
      </c>
    </row>
    <row r="882" spans="1:35" ht="18" x14ac:dyDescent="0.3">
      <c r="A882" s="11" t="s">
        <v>2795</v>
      </c>
      <c r="B882" s="11"/>
      <c r="C882" s="32" t="s">
        <v>2775</v>
      </c>
      <c r="D882" s="21"/>
      <c r="E882" s="21"/>
      <c r="F882" s="33" t="s">
        <v>91</v>
      </c>
      <c r="G882" s="34">
        <v>1</v>
      </c>
      <c r="H882" s="21"/>
      <c r="I882" s="34">
        <v>40.200000000000003</v>
      </c>
      <c r="J882" s="35">
        <v>0</v>
      </c>
      <c r="K882" s="12"/>
      <c r="L882" s="12"/>
      <c r="M882" s="35">
        <f>ROUND(ROUND(J882, 2)*I882, 2)</f>
        <v>0</v>
      </c>
      <c r="N882" s="12"/>
      <c r="O882" s="12"/>
      <c r="P882" s="35">
        <v>357.68</v>
      </c>
      <c r="Q882" s="12"/>
      <c r="R882" s="12"/>
      <c r="S882" s="35">
        <f>ROUND(ROUND(P882, 2)*I882, 2)</f>
        <v>14378.74</v>
      </c>
      <c r="T882" s="12"/>
      <c r="U882" s="36"/>
      <c r="V882" s="9">
        <f>ROUND(ROUND(P882, 2)/1.2, 2)</f>
        <v>298.07</v>
      </c>
      <c r="Y882" s="9">
        <f t="shared" si="28"/>
        <v>11982.28</v>
      </c>
      <c r="AD882" s="4" t="s">
        <v>2796</v>
      </c>
      <c r="AE882" s="4" t="s">
        <v>2797</v>
      </c>
      <c r="AF882" s="4" t="s">
        <v>2778</v>
      </c>
    </row>
    <row r="883" spans="1:35" ht="36" x14ac:dyDescent="0.3">
      <c r="A883" s="10" t="s">
        <v>2798</v>
      </c>
      <c r="B883" s="10" t="s">
        <v>2799</v>
      </c>
      <c r="C883" s="14" t="s">
        <v>2800</v>
      </c>
      <c r="D883" s="15"/>
      <c r="E883" s="15"/>
      <c r="F883" s="15" t="s">
        <v>62</v>
      </c>
      <c r="G883" s="16">
        <v>1</v>
      </c>
      <c r="H883" s="15"/>
      <c r="I883" s="16">
        <v>0</v>
      </c>
      <c r="J883" s="17">
        <v>0</v>
      </c>
      <c r="K883" s="18">
        <v>837</v>
      </c>
      <c r="L883" s="17">
        <f>J883+ROUND(K883, 2)</f>
        <v>837</v>
      </c>
      <c r="M883" s="17">
        <v>0</v>
      </c>
      <c r="N883" s="17">
        <v>0</v>
      </c>
      <c r="O883" s="17">
        <f>M883+N883</f>
        <v>0</v>
      </c>
      <c r="P883" s="17">
        <v>1280.4000000000001</v>
      </c>
      <c r="Q883" s="19">
        <v>837</v>
      </c>
      <c r="R883" s="17">
        <f>P883+ROUND(Q883, 2)</f>
        <v>2117.4</v>
      </c>
      <c r="S883" s="17">
        <v>0</v>
      </c>
      <c r="T883" s="17">
        <v>0</v>
      </c>
      <c r="U883" s="17">
        <f>S883+T883</f>
        <v>0</v>
      </c>
      <c r="V883" s="9">
        <f>ROUND(P883 / 1.2, 2)</f>
        <v>1067</v>
      </c>
      <c r="W883" s="9">
        <f>ROUND(Q883 / 1.2, 2)</f>
        <v>697.5</v>
      </c>
      <c r="X883" s="9">
        <f>ROUND(R883 / 1.2, 2)</f>
        <v>1764.5</v>
      </c>
      <c r="Y883" s="9">
        <f t="shared" si="28"/>
        <v>0</v>
      </c>
      <c r="Z883" s="9">
        <f>ROUND(T883 / 1.2, 2)</f>
        <v>0</v>
      </c>
      <c r="AA883" s="9">
        <f>Y883+Z883</f>
        <v>0</v>
      </c>
      <c r="AD883" s="4">
        <v>334080564</v>
      </c>
      <c r="AE883" s="4">
        <v>27245723</v>
      </c>
      <c r="AG883" s="4" t="s">
        <v>2801</v>
      </c>
      <c r="AH883" s="4" t="s">
        <v>2802</v>
      </c>
      <c r="AI883" s="4" t="s">
        <v>250</v>
      </c>
    </row>
    <row r="884" spans="1:35" ht="18" x14ac:dyDescent="0.3">
      <c r="A884" s="10" t="s">
        <v>2803</v>
      </c>
      <c r="B884" s="10"/>
      <c r="C884" s="24" t="s">
        <v>2804</v>
      </c>
      <c r="D884" s="15"/>
      <c r="E884" s="15"/>
      <c r="F884" s="25" t="s">
        <v>62</v>
      </c>
      <c r="G884" s="26">
        <v>1.1000000000000001</v>
      </c>
      <c r="H884" s="15"/>
      <c r="I884" s="31">
        <v>0</v>
      </c>
      <c r="J884" s="27">
        <v>1164</v>
      </c>
      <c r="M884" s="28">
        <f>ROUND(ROUND(J884, 2)*I884, 2)</f>
        <v>0</v>
      </c>
      <c r="P884" s="29">
        <v>1164</v>
      </c>
      <c r="S884" s="28">
        <f>ROUND(ROUND(P884, 2)*I884, 2)</f>
        <v>0</v>
      </c>
      <c r="V884" s="9">
        <f>ROUND(ROUND(P884, 2)/1.2, 2)</f>
        <v>970</v>
      </c>
      <c r="Y884" s="9">
        <f t="shared" si="28"/>
        <v>0</v>
      </c>
      <c r="AD884" s="4" t="s">
        <v>2805</v>
      </c>
      <c r="AE884" s="4" t="s">
        <v>2806</v>
      </c>
      <c r="AF884" s="4" t="s">
        <v>2807</v>
      </c>
    </row>
    <row r="885" spans="1:35" ht="36" x14ac:dyDescent="0.3">
      <c r="A885" s="10" t="s">
        <v>2808</v>
      </c>
      <c r="B885" s="10" t="s">
        <v>2799</v>
      </c>
      <c r="C885" s="14" t="s">
        <v>2800</v>
      </c>
      <c r="D885" s="15"/>
      <c r="E885" s="15"/>
      <c r="F885" s="15" t="s">
        <v>62</v>
      </c>
      <c r="G885" s="16">
        <v>1</v>
      </c>
      <c r="H885" s="15"/>
      <c r="I885" s="16">
        <v>0</v>
      </c>
      <c r="J885" s="17">
        <v>0</v>
      </c>
      <c r="K885" s="18">
        <v>837</v>
      </c>
      <c r="L885" s="17">
        <f>J885+ROUND(K885, 2)</f>
        <v>837</v>
      </c>
      <c r="M885" s="17">
        <v>0</v>
      </c>
      <c r="N885" s="17">
        <v>0</v>
      </c>
      <c r="O885" s="17">
        <f>M885+N885</f>
        <v>0</v>
      </c>
      <c r="P885" s="17">
        <v>1280.4000000000001</v>
      </c>
      <c r="Q885" s="19">
        <v>837</v>
      </c>
      <c r="R885" s="17">
        <f>P885+ROUND(Q885, 2)</f>
        <v>2117.4</v>
      </c>
      <c r="S885" s="17">
        <v>0</v>
      </c>
      <c r="T885" s="17">
        <v>0</v>
      </c>
      <c r="U885" s="17">
        <f>S885+T885</f>
        <v>0</v>
      </c>
      <c r="V885" s="9">
        <f>ROUND(P885 / 1.2, 2)</f>
        <v>1067</v>
      </c>
      <c r="W885" s="9">
        <f>ROUND(Q885 / 1.2, 2)</f>
        <v>697.5</v>
      </c>
      <c r="X885" s="9">
        <f>ROUND(R885 / 1.2, 2)</f>
        <v>1764.5</v>
      </c>
      <c r="Y885" s="9">
        <f t="shared" si="28"/>
        <v>0</v>
      </c>
      <c r="Z885" s="9">
        <f>ROUND(T885 / 1.2, 2)</f>
        <v>0</v>
      </c>
      <c r="AA885" s="9">
        <f>Y885+Z885</f>
        <v>0</v>
      </c>
      <c r="AD885" s="4">
        <v>334080776</v>
      </c>
      <c r="AE885" s="4">
        <v>27245724</v>
      </c>
      <c r="AG885" s="4" t="s">
        <v>2801</v>
      </c>
      <c r="AH885" s="4" t="s">
        <v>2802</v>
      </c>
      <c r="AI885" s="4" t="s">
        <v>250</v>
      </c>
    </row>
    <row r="886" spans="1:35" ht="18" x14ac:dyDescent="0.3">
      <c r="A886" s="10" t="s">
        <v>2809</v>
      </c>
      <c r="B886" s="10"/>
      <c r="C886" s="24" t="s">
        <v>2804</v>
      </c>
      <c r="D886" s="15"/>
      <c r="E886" s="15"/>
      <c r="F886" s="25" t="s">
        <v>62</v>
      </c>
      <c r="G886" s="26">
        <v>1.1000000000000001</v>
      </c>
      <c r="H886" s="15"/>
      <c r="I886" s="31">
        <v>0</v>
      </c>
      <c r="J886" s="27">
        <v>1164</v>
      </c>
      <c r="M886" s="28">
        <f>ROUND(ROUND(J886, 2)*I886, 2)</f>
        <v>0</v>
      </c>
      <c r="P886" s="29">
        <v>1164</v>
      </c>
      <c r="S886" s="28">
        <f>ROUND(ROUND(P886, 2)*I886, 2)</f>
        <v>0</v>
      </c>
      <c r="V886" s="9">
        <f>ROUND(ROUND(P886, 2)/1.2, 2)</f>
        <v>970</v>
      </c>
      <c r="Y886" s="9">
        <f t="shared" si="28"/>
        <v>0</v>
      </c>
      <c r="AD886" s="4" t="s">
        <v>2810</v>
      </c>
      <c r="AE886" s="4" t="s">
        <v>2811</v>
      </c>
      <c r="AF886" s="4" t="s">
        <v>2807</v>
      </c>
    </row>
    <row r="887" spans="1:35" ht="36" x14ac:dyDescent="0.3">
      <c r="A887" s="10" t="s">
        <v>2812</v>
      </c>
      <c r="B887" s="10" t="s">
        <v>2799</v>
      </c>
      <c r="C887" s="14" t="s">
        <v>2800</v>
      </c>
      <c r="D887" s="15"/>
      <c r="E887" s="15"/>
      <c r="F887" s="15" t="s">
        <v>62</v>
      </c>
      <c r="G887" s="16">
        <v>1</v>
      </c>
      <c r="H887" s="15"/>
      <c r="I887" s="16">
        <v>0</v>
      </c>
      <c r="J887" s="17">
        <v>0</v>
      </c>
      <c r="K887" s="18">
        <v>837</v>
      </c>
      <c r="L887" s="17">
        <f>J887+ROUND(K887, 2)</f>
        <v>837</v>
      </c>
      <c r="M887" s="17">
        <v>0</v>
      </c>
      <c r="N887" s="17">
        <v>0</v>
      </c>
      <c r="O887" s="17">
        <f>M887+N887</f>
        <v>0</v>
      </c>
      <c r="P887" s="17">
        <v>1280.4000000000001</v>
      </c>
      <c r="Q887" s="19">
        <v>837</v>
      </c>
      <c r="R887" s="17">
        <f>P887+ROUND(Q887, 2)</f>
        <v>2117.4</v>
      </c>
      <c r="S887" s="17">
        <v>0</v>
      </c>
      <c r="T887" s="17">
        <v>0</v>
      </c>
      <c r="U887" s="17">
        <f>S887+T887</f>
        <v>0</v>
      </c>
      <c r="V887" s="9">
        <f>ROUND(P887 / 1.2, 2)</f>
        <v>1067</v>
      </c>
      <c r="W887" s="9">
        <f>ROUND(Q887 / 1.2, 2)</f>
        <v>697.5</v>
      </c>
      <c r="X887" s="9">
        <f>ROUND(R887 / 1.2, 2)</f>
        <v>1764.5</v>
      </c>
      <c r="Y887" s="9">
        <f t="shared" si="28"/>
        <v>0</v>
      </c>
      <c r="Z887" s="9">
        <f>ROUND(T887 / 1.2, 2)</f>
        <v>0</v>
      </c>
      <c r="AA887" s="9">
        <f>Y887+Z887</f>
        <v>0</v>
      </c>
      <c r="AD887" s="4">
        <v>334080777</v>
      </c>
      <c r="AE887" s="4">
        <v>27245725</v>
      </c>
      <c r="AG887" s="4" t="s">
        <v>2801</v>
      </c>
      <c r="AH887" s="4" t="s">
        <v>2802</v>
      </c>
      <c r="AI887" s="4" t="s">
        <v>250</v>
      </c>
    </row>
    <row r="888" spans="1:35" ht="18" x14ac:dyDescent="0.3">
      <c r="A888" s="10" t="s">
        <v>2813</v>
      </c>
      <c r="B888" s="10"/>
      <c r="C888" s="24" t="s">
        <v>2804</v>
      </c>
      <c r="D888" s="15"/>
      <c r="E888" s="15"/>
      <c r="F888" s="25" t="s">
        <v>62</v>
      </c>
      <c r="G888" s="26">
        <v>1.1000000000000001</v>
      </c>
      <c r="H888" s="15"/>
      <c r="I888" s="31">
        <v>0</v>
      </c>
      <c r="J888" s="27">
        <v>1164</v>
      </c>
      <c r="M888" s="28">
        <f>ROUND(ROUND(J888, 2)*I888, 2)</f>
        <v>0</v>
      </c>
      <c r="P888" s="29">
        <v>1164</v>
      </c>
      <c r="S888" s="28">
        <f>ROUND(ROUND(P888, 2)*I888, 2)</f>
        <v>0</v>
      </c>
      <c r="V888" s="9">
        <f>ROUND(ROUND(P888, 2)/1.2, 2)</f>
        <v>970</v>
      </c>
      <c r="Y888" s="9">
        <f t="shared" si="28"/>
        <v>0</v>
      </c>
      <c r="AD888" s="4" t="s">
        <v>2814</v>
      </c>
      <c r="AE888" s="4" t="s">
        <v>2815</v>
      </c>
      <c r="AF888" s="4" t="s">
        <v>2807</v>
      </c>
    </row>
    <row r="889" spans="1:35" ht="90" x14ac:dyDescent="0.3">
      <c r="A889" s="10" t="s">
        <v>2816</v>
      </c>
      <c r="B889" s="10" t="s">
        <v>2799</v>
      </c>
      <c r="C889" s="14" t="s">
        <v>2800</v>
      </c>
      <c r="D889" s="15"/>
      <c r="E889" s="15" t="s">
        <v>2817</v>
      </c>
      <c r="F889" s="15" t="s">
        <v>62</v>
      </c>
      <c r="G889" s="16">
        <v>1</v>
      </c>
      <c r="H889" s="15"/>
      <c r="I889" s="16">
        <v>6</v>
      </c>
      <c r="J889" s="17">
        <v>1280.4000000000001</v>
      </c>
      <c r="K889" s="18">
        <v>837</v>
      </c>
      <c r="L889" s="17">
        <f>J889+ROUND(K889, 2)</f>
        <v>2117.4</v>
      </c>
      <c r="M889" s="17">
        <v>7682.4</v>
      </c>
      <c r="N889" s="17">
        <v>5022</v>
      </c>
      <c r="O889" s="17">
        <f>M889+N889</f>
        <v>12704.4</v>
      </c>
      <c r="P889" s="17">
        <v>1280.4000000000001</v>
      </c>
      <c r="Q889" s="19">
        <v>1255.5</v>
      </c>
      <c r="R889" s="17">
        <f>P889+ROUND(Q889, 2)</f>
        <v>2535.9</v>
      </c>
      <c r="S889" s="17">
        <v>7682.4</v>
      </c>
      <c r="T889" s="17">
        <v>7533</v>
      </c>
      <c r="U889" s="17">
        <f>S889+T889</f>
        <v>15215.4</v>
      </c>
      <c r="V889" s="9">
        <f>ROUND(P889 / 1.2, 2)</f>
        <v>1067</v>
      </c>
      <c r="W889" s="9">
        <f>ROUND(Q889 / 1.2, 2)</f>
        <v>1046.25</v>
      </c>
      <c r="X889" s="9">
        <f>ROUND(R889 / 1.2, 2)</f>
        <v>2113.25</v>
      </c>
      <c r="Y889" s="9">
        <f t="shared" si="28"/>
        <v>6402</v>
      </c>
      <c r="Z889" s="9">
        <f>ROUND(T889 / 1.2, 2)</f>
        <v>6277.5</v>
      </c>
      <c r="AA889" s="9">
        <f>Y889+Z889</f>
        <v>12679.5</v>
      </c>
      <c r="AD889" s="4">
        <v>334080778</v>
      </c>
      <c r="AE889" s="4">
        <v>27245740</v>
      </c>
      <c r="AG889" s="4" t="s">
        <v>2801</v>
      </c>
      <c r="AH889" s="4" t="s">
        <v>2802</v>
      </c>
      <c r="AI889" s="4" t="s">
        <v>250</v>
      </c>
    </row>
    <row r="890" spans="1:35" ht="18" x14ac:dyDescent="0.3">
      <c r="A890" s="10" t="s">
        <v>2818</v>
      </c>
      <c r="B890" s="10"/>
      <c r="C890" s="24" t="s">
        <v>2804</v>
      </c>
      <c r="D890" s="15"/>
      <c r="E890" s="15"/>
      <c r="F890" s="25" t="s">
        <v>62</v>
      </c>
      <c r="G890" s="26">
        <v>1.1000000000000001</v>
      </c>
      <c r="H890" s="15"/>
      <c r="I890" s="31">
        <v>6.6</v>
      </c>
      <c r="J890" s="27">
        <v>1164</v>
      </c>
      <c r="M890" s="28">
        <f>ROUND(ROUND(J890, 2)*I890, 2)</f>
        <v>7682.4</v>
      </c>
      <c r="P890" s="29">
        <v>1164</v>
      </c>
      <c r="S890" s="28">
        <f>ROUND(ROUND(P890, 2)*I890, 2)</f>
        <v>7682.4</v>
      </c>
      <c r="V890" s="9">
        <f>ROUND(ROUND(P890, 2)/1.2, 2)</f>
        <v>970</v>
      </c>
      <c r="Y890" s="9">
        <f t="shared" si="28"/>
        <v>6402</v>
      </c>
      <c r="AD890" s="4" t="s">
        <v>2819</v>
      </c>
      <c r="AE890" s="4" t="s">
        <v>2820</v>
      </c>
      <c r="AF890" s="4" t="s">
        <v>2807</v>
      </c>
    </row>
    <row r="891" spans="1:35" ht="90" x14ac:dyDescent="0.3">
      <c r="A891" s="10" t="s">
        <v>2821</v>
      </c>
      <c r="B891" s="10" t="s">
        <v>2799</v>
      </c>
      <c r="C891" s="14" t="s">
        <v>2800</v>
      </c>
      <c r="D891" s="15"/>
      <c r="E891" s="15" t="s">
        <v>2822</v>
      </c>
      <c r="F891" s="15" t="s">
        <v>62</v>
      </c>
      <c r="G891" s="16">
        <v>1</v>
      </c>
      <c r="H891" s="15"/>
      <c r="I891" s="16">
        <v>1549.1</v>
      </c>
      <c r="J891" s="17">
        <v>1280.4000000000001</v>
      </c>
      <c r="K891" s="18">
        <v>837</v>
      </c>
      <c r="L891" s="17">
        <f>J891+ROUND(K891, 2)</f>
        <v>2117.4</v>
      </c>
      <c r="M891" s="17">
        <v>1983467.64</v>
      </c>
      <c r="N891" s="17">
        <v>1296596.7</v>
      </c>
      <c r="O891" s="17">
        <f>M891+N891</f>
        <v>3280064.34</v>
      </c>
      <c r="P891" s="17">
        <v>1280.4000000000001</v>
      </c>
      <c r="Q891" s="19">
        <v>1255.5</v>
      </c>
      <c r="R891" s="17">
        <f>P891+ROUND(Q891, 2)</f>
        <v>2535.9</v>
      </c>
      <c r="S891" s="17">
        <v>1983467.64</v>
      </c>
      <c r="T891" s="17">
        <v>1944895.05</v>
      </c>
      <c r="U891" s="17">
        <f>S891+T891</f>
        <v>3928362.69</v>
      </c>
      <c r="V891" s="9">
        <f>ROUND(P891 / 1.2, 2)</f>
        <v>1067</v>
      </c>
      <c r="W891" s="9">
        <f>ROUND(Q891 / 1.2, 2)</f>
        <v>1046.25</v>
      </c>
      <c r="X891" s="9">
        <f>ROUND(R891 / 1.2, 2)</f>
        <v>2113.25</v>
      </c>
      <c r="Y891" s="9">
        <f t="shared" si="28"/>
        <v>1652889.7</v>
      </c>
      <c r="Z891" s="9">
        <f>ROUND(T891 / 1.2, 2)</f>
        <v>1620745.88</v>
      </c>
      <c r="AA891" s="9">
        <f>Y891+Z891</f>
        <v>3273635.58</v>
      </c>
      <c r="AD891" s="4">
        <v>334080779</v>
      </c>
      <c r="AE891" s="4">
        <v>27245741</v>
      </c>
      <c r="AG891" s="4" t="s">
        <v>2801</v>
      </c>
      <c r="AH891" s="4" t="s">
        <v>2802</v>
      </c>
      <c r="AI891" s="4" t="s">
        <v>250</v>
      </c>
    </row>
    <row r="892" spans="1:35" ht="18" x14ac:dyDescent="0.3">
      <c r="A892" s="10" t="s">
        <v>2823</v>
      </c>
      <c r="B892" s="10"/>
      <c r="C892" s="24" t="s">
        <v>2804</v>
      </c>
      <c r="D892" s="15"/>
      <c r="E892" s="15" t="s">
        <v>2824</v>
      </c>
      <c r="F892" s="25" t="s">
        <v>62</v>
      </c>
      <c r="G892" s="26">
        <v>1.1000000000000001</v>
      </c>
      <c r="H892" s="15"/>
      <c r="I892" s="31">
        <v>1704.01</v>
      </c>
      <c r="J892" s="27">
        <v>1164</v>
      </c>
      <c r="M892" s="28">
        <f>ROUND(ROUND(J892, 2)*I892, 2)</f>
        <v>1983467.64</v>
      </c>
      <c r="P892" s="29">
        <v>1164</v>
      </c>
      <c r="S892" s="28">
        <f>ROUND(ROUND(P892, 2)*I892, 2)</f>
        <v>1983467.64</v>
      </c>
      <c r="V892" s="9">
        <f>ROUND(ROUND(P892, 2)/1.2, 2)</f>
        <v>970</v>
      </c>
      <c r="Y892" s="9">
        <f t="shared" si="28"/>
        <v>1652889.7</v>
      </c>
      <c r="AD892" s="4" t="s">
        <v>2825</v>
      </c>
      <c r="AE892" s="4" t="s">
        <v>2826</v>
      </c>
      <c r="AF892" s="4" t="s">
        <v>2807</v>
      </c>
    </row>
    <row r="893" spans="1:35" ht="90" x14ac:dyDescent="0.3">
      <c r="A893" s="10" t="s">
        <v>2827</v>
      </c>
      <c r="B893" s="10" t="s">
        <v>2799</v>
      </c>
      <c r="C893" s="14" t="s">
        <v>2800</v>
      </c>
      <c r="D893" s="15"/>
      <c r="E893" s="15" t="s">
        <v>2828</v>
      </c>
      <c r="F893" s="15" t="s">
        <v>62</v>
      </c>
      <c r="G893" s="16">
        <v>1</v>
      </c>
      <c r="H893" s="15"/>
      <c r="I893" s="16">
        <v>242</v>
      </c>
      <c r="J893" s="17">
        <v>1280.4000000000001</v>
      </c>
      <c r="K893" s="18">
        <v>837</v>
      </c>
      <c r="L893" s="17">
        <f>J893+ROUND(K893, 2)</f>
        <v>2117.4</v>
      </c>
      <c r="M893" s="17">
        <v>309856.8</v>
      </c>
      <c r="N893" s="17">
        <v>202554</v>
      </c>
      <c r="O893" s="17">
        <f>M893+N893</f>
        <v>512410.8</v>
      </c>
      <c r="P893" s="17">
        <v>1280.4000000000001</v>
      </c>
      <c r="Q893" s="19">
        <v>1255.5</v>
      </c>
      <c r="R893" s="17">
        <f>P893+ROUND(Q893, 2)</f>
        <v>2535.9</v>
      </c>
      <c r="S893" s="17">
        <v>309856.8</v>
      </c>
      <c r="T893" s="17">
        <v>303831</v>
      </c>
      <c r="U893" s="17">
        <f>S893+T893</f>
        <v>613687.80000000005</v>
      </c>
      <c r="V893" s="9">
        <f>ROUND(P893 / 1.2, 2)</f>
        <v>1067</v>
      </c>
      <c r="W893" s="9">
        <f>ROUND(Q893 / 1.2, 2)</f>
        <v>1046.25</v>
      </c>
      <c r="X893" s="9">
        <f>ROUND(R893 / 1.2, 2)</f>
        <v>2113.25</v>
      </c>
      <c r="Y893" s="9">
        <f t="shared" si="28"/>
        <v>258214</v>
      </c>
      <c r="Z893" s="9">
        <f>ROUND(T893 / 1.2, 2)</f>
        <v>253192.5</v>
      </c>
      <c r="AA893" s="9">
        <f>Y893+Z893</f>
        <v>511406.5</v>
      </c>
      <c r="AD893" s="4">
        <v>334080780</v>
      </c>
      <c r="AE893" s="4">
        <v>27245733</v>
      </c>
      <c r="AG893" s="4" t="s">
        <v>2801</v>
      </c>
      <c r="AH893" s="4" t="s">
        <v>2802</v>
      </c>
      <c r="AI893" s="4" t="s">
        <v>250</v>
      </c>
    </row>
    <row r="894" spans="1:35" ht="18" x14ac:dyDescent="0.3">
      <c r="A894" s="10" t="s">
        <v>2829</v>
      </c>
      <c r="B894" s="10"/>
      <c r="C894" s="24" t="s">
        <v>2804</v>
      </c>
      <c r="D894" s="15"/>
      <c r="E894" s="15"/>
      <c r="F894" s="25" t="s">
        <v>62</v>
      </c>
      <c r="G894" s="26">
        <v>1.1000000000000001</v>
      </c>
      <c r="H894" s="15"/>
      <c r="I894" s="31">
        <v>266.2</v>
      </c>
      <c r="J894" s="27">
        <v>1164</v>
      </c>
      <c r="M894" s="28">
        <f>ROUND(ROUND(J894, 2)*I894, 2)</f>
        <v>309856.8</v>
      </c>
      <c r="P894" s="29">
        <v>1164</v>
      </c>
      <c r="S894" s="28">
        <f>ROUND(ROUND(P894, 2)*I894, 2)</f>
        <v>309856.8</v>
      </c>
      <c r="V894" s="9">
        <f>ROUND(ROUND(P894, 2)/1.2, 2)</f>
        <v>970</v>
      </c>
      <c r="Y894" s="9">
        <f t="shared" si="28"/>
        <v>258214</v>
      </c>
      <c r="AD894" s="4" t="s">
        <v>2830</v>
      </c>
      <c r="AE894" s="4" t="s">
        <v>2831</v>
      </c>
      <c r="AF894" s="4" t="s">
        <v>2807</v>
      </c>
    </row>
    <row r="895" spans="1:35" ht="126" x14ac:dyDescent="0.3">
      <c r="A895" s="11" t="s">
        <v>2832</v>
      </c>
      <c r="B895" s="11" t="s">
        <v>2799</v>
      </c>
      <c r="C895" s="20" t="s">
        <v>2800</v>
      </c>
      <c r="D895" s="21"/>
      <c r="E895" s="21" t="s">
        <v>2833</v>
      </c>
      <c r="F895" s="21" t="s">
        <v>62</v>
      </c>
      <c r="G895" s="22">
        <v>1</v>
      </c>
      <c r="H895" s="21"/>
      <c r="I895" s="22">
        <v>1714.16</v>
      </c>
      <c r="J895" s="23">
        <f>IFERROR(ROUND(SUM(M896)/I895, 2),0)</f>
        <v>1301.74</v>
      </c>
      <c r="K895" s="23">
        <v>837.01</v>
      </c>
      <c r="L895" s="23">
        <f>J895+ROUND(K895, 2)</f>
        <v>2138.75</v>
      </c>
      <c r="M895" s="23">
        <f>ROUND(J895*I895, 2)</f>
        <v>2231390.64</v>
      </c>
      <c r="N895" s="23">
        <f>ROUND(I895*ROUND(K895, 2), 2)</f>
        <v>1434769.06</v>
      </c>
      <c r="O895" s="23">
        <f>M895+N895</f>
        <v>3666159.7</v>
      </c>
      <c r="P895" s="23">
        <f>IFERROR(ROUND(SUM(S896)/I895, 2),0)</f>
        <v>1301.74</v>
      </c>
      <c r="Q895" s="23">
        <v>1255.5</v>
      </c>
      <c r="R895" s="23">
        <f>P895+ROUND(Q895, 2)</f>
        <v>2557.2399999999998</v>
      </c>
      <c r="S895" s="23">
        <f>ROUND(P895*I895, 2)</f>
        <v>2231390.64</v>
      </c>
      <c r="T895" s="23">
        <f>ROUND(I895*ROUND(Q895, 2), 2)</f>
        <v>2152127.88</v>
      </c>
      <c r="U895" s="23">
        <f>S895+T895</f>
        <v>4383518.5199999996</v>
      </c>
      <c r="V895" s="9">
        <f>ROUND(P895 / 1.2, 2)</f>
        <v>1084.78</v>
      </c>
      <c r="W895" s="9">
        <f>ROUND(Q895 / 1.2, 2)</f>
        <v>1046.25</v>
      </c>
      <c r="X895" s="9">
        <f>ROUND(R895 / 1.2, 2)</f>
        <v>2131.0300000000002</v>
      </c>
      <c r="Y895" s="9">
        <f t="shared" si="28"/>
        <v>1859492.2</v>
      </c>
      <c r="Z895" s="9">
        <f>ROUND(T895 / 1.2, 2)</f>
        <v>1793439.9</v>
      </c>
      <c r="AA895" s="9">
        <f>Y895+Z895</f>
        <v>3652932.0999999996</v>
      </c>
      <c r="AD895" s="4">
        <v>334080793</v>
      </c>
      <c r="AE895" s="4">
        <v>29438308</v>
      </c>
      <c r="AG895" s="4" t="s">
        <v>2801</v>
      </c>
      <c r="AH895" s="4" t="s">
        <v>2802</v>
      </c>
      <c r="AI895" s="4" t="s">
        <v>250</v>
      </c>
    </row>
    <row r="896" spans="1:35" ht="18" x14ac:dyDescent="0.3">
      <c r="A896" s="11" t="s">
        <v>2834</v>
      </c>
      <c r="B896" s="11"/>
      <c r="C896" s="32" t="s">
        <v>2804</v>
      </c>
      <c r="D896" s="21"/>
      <c r="E896" s="21"/>
      <c r="F896" s="33" t="s">
        <v>62</v>
      </c>
      <c r="G896" s="34">
        <v>1.1000000000000001</v>
      </c>
      <c r="H896" s="21"/>
      <c r="I896" s="37">
        <v>1885.576</v>
      </c>
      <c r="J896" s="35">
        <v>1183.4000000000001</v>
      </c>
      <c r="K896" s="12"/>
      <c r="L896" s="12"/>
      <c r="M896" s="35">
        <f>ROUND(ROUND(J896, 2)*I896, 2)</f>
        <v>2231390.64</v>
      </c>
      <c r="N896" s="12"/>
      <c r="O896" s="12"/>
      <c r="P896" s="35">
        <v>1183.4000000000001</v>
      </c>
      <c r="Q896" s="12"/>
      <c r="R896" s="12"/>
      <c r="S896" s="35">
        <f>ROUND(ROUND(P896, 2)*I896, 2)</f>
        <v>2231390.64</v>
      </c>
      <c r="T896" s="12"/>
      <c r="U896" s="36"/>
      <c r="V896" s="9">
        <f>ROUND(ROUND(P896, 2)/1.2, 2)</f>
        <v>986.17</v>
      </c>
      <c r="Y896" s="9">
        <f t="shared" si="28"/>
        <v>1859492.2</v>
      </c>
      <c r="AD896" s="4" t="s">
        <v>2835</v>
      </c>
      <c r="AE896" s="4" t="s">
        <v>2836</v>
      </c>
      <c r="AF896" s="4" t="s">
        <v>2807</v>
      </c>
    </row>
    <row r="897" spans="1:35" ht="144" x14ac:dyDescent="0.3">
      <c r="A897" s="11" t="s">
        <v>2837</v>
      </c>
      <c r="B897" s="11" t="s">
        <v>2799</v>
      </c>
      <c r="C897" s="20" t="s">
        <v>2800</v>
      </c>
      <c r="D897" s="21"/>
      <c r="E897" s="21" t="s">
        <v>2838</v>
      </c>
      <c r="F897" s="21" t="s">
        <v>62</v>
      </c>
      <c r="G897" s="22">
        <v>1</v>
      </c>
      <c r="H897" s="21"/>
      <c r="I897" s="22">
        <v>242</v>
      </c>
      <c r="J897" s="23">
        <f>IFERROR(ROUND(SUM(M898)/I897, 2),0)</f>
        <v>1301.74</v>
      </c>
      <c r="K897" s="23">
        <v>837.01</v>
      </c>
      <c r="L897" s="23">
        <f>J897+ROUND(K897, 2)</f>
        <v>2138.75</v>
      </c>
      <c r="M897" s="23">
        <f>ROUND(J897*I897, 2)</f>
        <v>315021.08</v>
      </c>
      <c r="N897" s="23">
        <f>ROUND(I897*ROUND(K897, 2), 2)</f>
        <v>202556.42</v>
      </c>
      <c r="O897" s="23">
        <f>M897+N897</f>
        <v>517577.5</v>
      </c>
      <c r="P897" s="23">
        <f>IFERROR(ROUND(SUM(S898)/I897, 2),0)</f>
        <v>1301.74</v>
      </c>
      <c r="Q897" s="23">
        <v>1255.5</v>
      </c>
      <c r="R897" s="23">
        <f>P897+ROUND(Q897, 2)</f>
        <v>2557.2399999999998</v>
      </c>
      <c r="S897" s="23">
        <f>ROUND(P897*I897, 2)</f>
        <v>315021.08</v>
      </c>
      <c r="T897" s="23">
        <f>ROUND(I897*ROUND(Q897, 2), 2)</f>
        <v>303831</v>
      </c>
      <c r="U897" s="23">
        <f>S897+T897</f>
        <v>618852.08000000007</v>
      </c>
      <c r="V897" s="9">
        <f>ROUND(P897 / 1.2, 2)</f>
        <v>1084.78</v>
      </c>
      <c r="W897" s="9">
        <f>ROUND(Q897 / 1.2, 2)</f>
        <v>1046.25</v>
      </c>
      <c r="X897" s="9">
        <f>ROUND(R897 / 1.2, 2)</f>
        <v>2131.0300000000002</v>
      </c>
      <c r="Y897" s="9">
        <f t="shared" si="28"/>
        <v>262517.57</v>
      </c>
      <c r="Z897" s="9">
        <f>ROUND(T897 / 1.2, 2)</f>
        <v>253192.5</v>
      </c>
      <c r="AA897" s="9">
        <f>Y897+Z897</f>
        <v>515710.07</v>
      </c>
      <c r="AD897" s="4">
        <v>334080795</v>
      </c>
      <c r="AE897" s="4">
        <v>29442620</v>
      </c>
      <c r="AG897" s="4" t="s">
        <v>2801</v>
      </c>
      <c r="AH897" s="4" t="s">
        <v>2802</v>
      </c>
      <c r="AI897" s="4" t="s">
        <v>250</v>
      </c>
    </row>
    <row r="898" spans="1:35" ht="18" x14ac:dyDescent="0.3">
      <c r="A898" s="11" t="s">
        <v>2839</v>
      </c>
      <c r="B898" s="11"/>
      <c r="C898" s="32" t="s">
        <v>2804</v>
      </c>
      <c r="D898" s="21"/>
      <c r="E898" s="21"/>
      <c r="F898" s="33" t="s">
        <v>62</v>
      </c>
      <c r="G898" s="34">
        <v>1.1000000000000001</v>
      </c>
      <c r="H898" s="21"/>
      <c r="I898" s="37">
        <v>266.2</v>
      </c>
      <c r="J898" s="35">
        <v>1183.4000000000001</v>
      </c>
      <c r="K898" s="12"/>
      <c r="L898" s="12"/>
      <c r="M898" s="35">
        <f>ROUND(ROUND(J898, 2)*I898, 2)</f>
        <v>315021.08</v>
      </c>
      <c r="N898" s="12"/>
      <c r="O898" s="12"/>
      <c r="P898" s="35">
        <v>1183.4000000000001</v>
      </c>
      <c r="Q898" s="12"/>
      <c r="R898" s="12"/>
      <c r="S898" s="35">
        <f>ROUND(ROUND(P898, 2)*I898, 2)</f>
        <v>315021.08</v>
      </c>
      <c r="T898" s="12"/>
      <c r="U898" s="36"/>
      <c r="V898" s="9">
        <f>ROUND(ROUND(P898, 2)/1.2, 2)</f>
        <v>986.17</v>
      </c>
      <c r="Y898" s="9">
        <f t="shared" si="28"/>
        <v>262517.57</v>
      </c>
      <c r="AD898" s="4" t="s">
        <v>2840</v>
      </c>
      <c r="AE898" s="4" t="s">
        <v>2841</v>
      </c>
      <c r="AF898" s="4" t="s">
        <v>2807</v>
      </c>
    </row>
    <row r="899" spans="1:35" ht="126" x14ac:dyDescent="0.3">
      <c r="A899" s="11" t="s">
        <v>2842</v>
      </c>
      <c r="B899" s="11" t="s">
        <v>2799</v>
      </c>
      <c r="C899" s="20" t="s">
        <v>2800</v>
      </c>
      <c r="D899" s="21"/>
      <c r="E899" s="21" t="s">
        <v>2843</v>
      </c>
      <c r="F899" s="21" t="s">
        <v>62</v>
      </c>
      <c r="G899" s="22">
        <v>1</v>
      </c>
      <c r="H899" s="21"/>
      <c r="I899" s="22">
        <v>3</v>
      </c>
      <c r="J899" s="23">
        <f>IFERROR(ROUND(SUM(M900)/I899, 2),0)</f>
        <v>1301.74</v>
      </c>
      <c r="K899" s="23">
        <v>837.01</v>
      </c>
      <c r="L899" s="23">
        <f>J899+ROUND(K899, 2)</f>
        <v>2138.75</v>
      </c>
      <c r="M899" s="23">
        <f>ROUND(J899*I899, 2)</f>
        <v>3905.22</v>
      </c>
      <c r="N899" s="23">
        <f>ROUND(I899*ROUND(K899, 2), 2)</f>
        <v>2511.0300000000002</v>
      </c>
      <c r="O899" s="23">
        <f>M899+N899</f>
        <v>6416.25</v>
      </c>
      <c r="P899" s="23">
        <f>IFERROR(ROUND(SUM(S900)/I899, 2),0)</f>
        <v>1301.74</v>
      </c>
      <c r="Q899" s="23">
        <v>1255.5</v>
      </c>
      <c r="R899" s="23">
        <f>P899+ROUND(Q899, 2)</f>
        <v>2557.2399999999998</v>
      </c>
      <c r="S899" s="23">
        <f>ROUND(P899*I899, 2)</f>
        <v>3905.22</v>
      </c>
      <c r="T899" s="23">
        <f>ROUND(I899*ROUND(Q899, 2), 2)</f>
        <v>3766.5</v>
      </c>
      <c r="U899" s="23">
        <f>S899+T899</f>
        <v>7671.7199999999993</v>
      </c>
      <c r="V899" s="9">
        <f>ROUND(P899 / 1.2, 2)</f>
        <v>1084.78</v>
      </c>
      <c r="W899" s="9">
        <f>ROUND(Q899 / 1.2, 2)</f>
        <v>1046.25</v>
      </c>
      <c r="X899" s="9">
        <f>ROUND(R899 / 1.2, 2)</f>
        <v>2131.0300000000002</v>
      </c>
      <c r="Y899" s="9">
        <f t="shared" si="28"/>
        <v>3254.35</v>
      </c>
      <c r="Z899" s="9">
        <f>ROUND(T899 / 1.2, 2)</f>
        <v>3138.75</v>
      </c>
      <c r="AA899" s="9">
        <f>Y899+Z899</f>
        <v>6393.1</v>
      </c>
      <c r="AD899" s="4">
        <v>334080799</v>
      </c>
      <c r="AE899" s="4">
        <v>29452406</v>
      </c>
      <c r="AG899" s="4" t="s">
        <v>2801</v>
      </c>
      <c r="AH899" s="4" t="s">
        <v>2802</v>
      </c>
      <c r="AI899" s="4" t="s">
        <v>250</v>
      </c>
    </row>
    <row r="900" spans="1:35" ht="18" x14ac:dyDescent="0.3">
      <c r="A900" s="11" t="s">
        <v>2844</v>
      </c>
      <c r="B900" s="11"/>
      <c r="C900" s="32" t="s">
        <v>2804</v>
      </c>
      <c r="D900" s="21"/>
      <c r="E900" s="21"/>
      <c r="F900" s="33" t="s">
        <v>62</v>
      </c>
      <c r="G900" s="34">
        <v>1.1000000000000001</v>
      </c>
      <c r="H900" s="21"/>
      <c r="I900" s="37">
        <v>3.3</v>
      </c>
      <c r="J900" s="35">
        <v>1183.4000000000001</v>
      </c>
      <c r="K900" s="12"/>
      <c r="L900" s="12"/>
      <c r="M900" s="35">
        <f>ROUND(ROUND(J900, 2)*I900, 2)</f>
        <v>3905.22</v>
      </c>
      <c r="N900" s="12"/>
      <c r="O900" s="12"/>
      <c r="P900" s="35">
        <v>1183.4000000000001</v>
      </c>
      <c r="Q900" s="12"/>
      <c r="R900" s="12"/>
      <c r="S900" s="35">
        <f>ROUND(ROUND(P900, 2)*I900, 2)</f>
        <v>3905.22</v>
      </c>
      <c r="T900" s="12"/>
      <c r="U900" s="36"/>
      <c r="V900" s="9">
        <f>ROUND(ROUND(P900, 2)/1.2, 2)</f>
        <v>986.17</v>
      </c>
      <c r="Y900" s="9">
        <f t="shared" si="28"/>
        <v>3254.35</v>
      </c>
      <c r="AD900" s="4" t="s">
        <v>2845</v>
      </c>
      <c r="AE900" s="4" t="s">
        <v>2846</v>
      </c>
      <c r="AF900" s="4" t="s">
        <v>2807</v>
      </c>
    </row>
    <row r="901" spans="1:35" ht="234" x14ac:dyDescent="0.3">
      <c r="A901" s="11" t="s">
        <v>2847</v>
      </c>
      <c r="B901" s="11" t="s">
        <v>2848</v>
      </c>
      <c r="C901" s="20" t="s">
        <v>2849</v>
      </c>
      <c r="D901" s="21"/>
      <c r="E901" s="21" t="s">
        <v>2850</v>
      </c>
      <c r="F901" s="21" t="s">
        <v>62</v>
      </c>
      <c r="G901" s="22">
        <v>1</v>
      </c>
      <c r="H901" s="21"/>
      <c r="I901" s="22">
        <v>1087.19</v>
      </c>
      <c r="J901" s="23">
        <f>IFERROR(ROUND(SUM(M902,M903,M904,M905,M906,M907,M908,M909,M910,M911,M912)/I901, 2),0)</f>
        <v>294.97000000000003</v>
      </c>
      <c r="K901" s="23">
        <v>1422</v>
      </c>
      <c r="L901" s="23">
        <f>J901+ROUND(K901, 2)</f>
        <v>1716.97</v>
      </c>
      <c r="M901" s="23">
        <f>ROUND(J901*I901, 2)</f>
        <v>320688.43</v>
      </c>
      <c r="N901" s="23">
        <f>ROUND(I901*ROUND(K901, 2), 2)</f>
        <v>1545984.18</v>
      </c>
      <c r="O901" s="23">
        <f>M901+N901</f>
        <v>1866672.6099999999</v>
      </c>
      <c r="P901" s="23">
        <f>IFERROR(ROUND(SUM(S902,S903,S904,S905,S906,S907,S908,S909,S910,S911,S912)/I901, 2),0)</f>
        <v>2194.83</v>
      </c>
      <c r="Q901" s="23">
        <v>2133</v>
      </c>
      <c r="R901" s="23">
        <f>P901+ROUND(Q901, 2)</f>
        <v>4327.83</v>
      </c>
      <c r="S901" s="23">
        <f>ROUND(P901*I901, 2)</f>
        <v>2386197.23</v>
      </c>
      <c r="T901" s="23">
        <f>ROUND(I901*ROUND(Q901, 2), 2)</f>
        <v>2318976.27</v>
      </c>
      <c r="U901" s="23">
        <f>S901+T901</f>
        <v>4705173.5</v>
      </c>
      <c r="V901" s="9">
        <f>ROUND(P901 / 1.2, 2)</f>
        <v>1829.03</v>
      </c>
      <c r="W901" s="9">
        <f>ROUND(Q901 / 1.2, 2)</f>
        <v>1777.5</v>
      </c>
      <c r="X901" s="9">
        <f>ROUND(R901 / 1.2, 2)</f>
        <v>3606.53</v>
      </c>
      <c r="Y901" s="9">
        <f t="shared" si="28"/>
        <v>1988497.69</v>
      </c>
      <c r="Z901" s="9">
        <f>ROUND(T901 / 1.2, 2)</f>
        <v>1932480.23</v>
      </c>
      <c r="AA901" s="9">
        <f>Y901+Z901</f>
        <v>3920977.9199999999</v>
      </c>
      <c r="AD901" s="4">
        <v>334080565</v>
      </c>
      <c r="AE901" s="4">
        <v>29444726</v>
      </c>
      <c r="AG901" s="4" t="s">
        <v>2851</v>
      </c>
      <c r="AH901" s="4" t="s">
        <v>2852</v>
      </c>
      <c r="AI901" s="4" t="s">
        <v>250</v>
      </c>
    </row>
    <row r="902" spans="1:35" ht="18" x14ac:dyDescent="0.3">
      <c r="A902" s="11" t="s">
        <v>2853</v>
      </c>
      <c r="B902" s="11"/>
      <c r="C902" s="32" t="s">
        <v>2854</v>
      </c>
      <c r="D902" s="21"/>
      <c r="E902" s="21"/>
      <c r="F902" s="33" t="s">
        <v>597</v>
      </c>
      <c r="G902" s="34">
        <v>2.6</v>
      </c>
      <c r="H902" s="21"/>
      <c r="I902" s="37">
        <v>2826.694</v>
      </c>
      <c r="J902" s="35">
        <v>0.96</v>
      </c>
      <c r="K902" s="12"/>
      <c r="L902" s="12"/>
      <c r="M902" s="35">
        <f t="shared" ref="M902:M912" si="29">ROUND(ROUND(J902, 2)*I902, 2)</f>
        <v>2713.63</v>
      </c>
      <c r="N902" s="12"/>
      <c r="O902" s="12"/>
      <c r="P902" s="35">
        <v>0.96</v>
      </c>
      <c r="Q902" s="12"/>
      <c r="R902" s="12"/>
      <c r="S902" s="35">
        <f t="shared" ref="S902:S912" si="30">ROUND(ROUND(P902, 2)*I902, 2)</f>
        <v>2713.63</v>
      </c>
      <c r="T902" s="12"/>
      <c r="U902" s="36"/>
      <c r="V902" s="9">
        <f t="shared" ref="V902:V912" si="31">ROUND(ROUND(P902, 2)/1.2, 2)</f>
        <v>0.8</v>
      </c>
      <c r="Y902" s="9">
        <f t="shared" si="28"/>
        <v>2261.36</v>
      </c>
      <c r="AD902" s="4" t="s">
        <v>2855</v>
      </c>
      <c r="AE902" s="4" t="s">
        <v>2856</v>
      </c>
      <c r="AF902" s="4" t="s">
        <v>2857</v>
      </c>
    </row>
    <row r="903" spans="1:35" ht="18" x14ac:dyDescent="0.3">
      <c r="A903" s="11" t="s">
        <v>2858</v>
      </c>
      <c r="B903" s="11"/>
      <c r="C903" s="32" t="s">
        <v>2859</v>
      </c>
      <c r="D903" s="21"/>
      <c r="E903" s="21"/>
      <c r="F903" s="33" t="s">
        <v>597</v>
      </c>
      <c r="G903" s="34">
        <v>17</v>
      </c>
      <c r="H903" s="21"/>
      <c r="I903" s="37">
        <v>18482.23</v>
      </c>
      <c r="J903" s="35">
        <v>0.28000000000000003</v>
      </c>
      <c r="K903" s="12"/>
      <c r="L903" s="12"/>
      <c r="M903" s="35">
        <f t="shared" si="29"/>
        <v>5175.0200000000004</v>
      </c>
      <c r="N903" s="12"/>
      <c r="O903" s="12"/>
      <c r="P903" s="35">
        <v>0.28000000000000003</v>
      </c>
      <c r="Q903" s="12"/>
      <c r="R903" s="12"/>
      <c r="S903" s="35">
        <f t="shared" si="30"/>
        <v>5175.0200000000004</v>
      </c>
      <c r="T903" s="12"/>
      <c r="U903" s="36"/>
      <c r="V903" s="9">
        <f t="shared" si="31"/>
        <v>0.23</v>
      </c>
      <c r="Y903" s="9">
        <f t="shared" si="28"/>
        <v>4312.5200000000004</v>
      </c>
      <c r="AD903" s="4" t="s">
        <v>2860</v>
      </c>
      <c r="AE903" s="4" t="s">
        <v>2861</v>
      </c>
      <c r="AF903" s="4" t="s">
        <v>2862</v>
      </c>
    </row>
    <row r="904" spans="1:35" ht="18" x14ac:dyDescent="0.3">
      <c r="A904" s="11" t="s">
        <v>2863</v>
      </c>
      <c r="B904" s="11"/>
      <c r="C904" s="32" t="s">
        <v>2864</v>
      </c>
      <c r="D904" s="21"/>
      <c r="E904" s="21"/>
      <c r="F904" s="33" t="s">
        <v>597</v>
      </c>
      <c r="G904" s="34">
        <v>0.6</v>
      </c>
      <c r="H904" s="21"/>
      <c r="I904" s="37">
        <v>652.31399999999996</v>
      </c>
      <c r="J904" s="35">
        <v>5.7</v>
      </c>
      <c r="K904" s="12"/>
      <c r="L904" s="12"/>
      <c r="M904" s="35">
        <f t="shared" si="29"/>
        <v>3718.19</v>
      </c>
      <c r="N904" s="12"/>
      <c r="O904" s="12"/>
      <c r="P904" s="35">
        <v>5.7</v>
      </c>
      <c r="Q904" s="12"/>
      <c r="R904" s="12"/>
      <c r="S904" s="35">
        <f t="shared" si="30"/>
        <v>3718.19</v>
      </c>
      <c r="T904" s="12"/>
      <c r="U904" s="36"/>
      <c r="V904" s="9">
        <f t="shared" si="31"/>
        <v>4.75</v>
      </c>
      <c r="Y904" s="9">
        <f t="shared" si="28"/>
        <v>3098.49</v>
      </c>
      <c r="AD904" s="4" t="s">
        <v>2865</v>
      </c>
      <c r="AE904" s="4" t="s">
        <v>2866</v>
      </c>
      <c r="AF904" s="4" t="s">
        <v>2867</v>
      </c>
    </row>
    <row r="905" spans="1:35" ht="36" x14ac:dyDescent="0.3">
      <c r="A905" s="11" t="s">
        <v>2868</v>
      </c>
      <c r="B905" s="11"/>
      <c r="C905" s="32" t="s">
        <v>2869</v>
      </c>
      <c r="D905" s="21"/>
      <c r="E905" s="21"/>
      <c r="F905" s="33" t="s">
        <v>597</v>
      </c>
      <c r="G905" s="34">
        <v>2.2999999999999998</v>
      </c>
      <c r="H905" s="21"/>
      <c r="I905" s="34">
        <v>2500.5369999999998</v>
      </c>
      <c r="J905" s="35">
        <v>7.32</v>
      </c>
      <c r="K905" s="12"/>
      <c r="L905" s="12"/>
      <c r="M905" s="35">
        <f t="shared" si="29"/>
        <v>18303.93</v>
      </c>
      <c r="N905" s="12"/>
      <c r="O905" s="12"/>
      <c r="P905" s="35">
        <v>7.32</v>
      </c>
      <c r="Q905" s="12"/>
      <c r="R905" s="12"/>
      <c r="S905" s="35">
        <f t="shared" si="30"/>
        <v>18303.93</v>
      </c>
      <c r="T905" s="12"/>
      <c r="U905" s="36"/>
      <c r="V905" s="9">
        <f t="shared" si="31"/>
        <v>6.1</v>
      </c>
      <c r="Y905" s="9">
        <f t="shared" si="28"/>
        <v>15253.28</v>
      </c>
      <c r="AD905" s="4" t="s">
        <v>2870</v>
      </c>
      <c r="AE905" s="4" t="s">
        <v>2871</v>
      </c>
      <c r="AF905" s="4" t="s">
        <v>2872</v>
      </c>
    </row>
    <row r="906" spans="1:35" ht="18" x14ac:dyDescent="0.3">
      <c r="A906" s="11" t="s">
        <v>2873</v>
      </c>
      <c r="B906" s="11"/>
      <c r="C906" s="30" t="s">
        <v>2874</v>
      </c>
      <c r="D906" s="21"/>
      <c r="E906" s="21"/>
      <c r="F906" s="33" t="s">
        <v>102</v>
      </c>
      <c r="G906" s="34">
        <v>1.2</v>
      </c>
      <c r="H906" s="21"/>
      <c r="I906" s="34">
        <v>1304.6279999999999</v>
      </c>
      <c r="J906" s="35">
        <v>34.119999999999997</v>
      </c>
      <c r="K906" s="12"/>
      <c r="L906" s="12"/>
      <c r="M906" s="35">
        <f t="shared" si="29"/>
        <v>44513.91</v>
      </c>
      <c r="N906" s="12"/>
      <c r="O906" s="12"/>
      <c r="P906" s="35">
        <v>34.119999999999997</v>
      </c>
      <c r="Q906" s="12"/>
      <c r="R906" s="12"/>
      <c r="S906" s="35">
        <f t="shared" si="30"/>
        <v>44513.91</v>
      </c>
      <c r="T906" s="12"/>
      <c r="U906" s="36"/>
      <c r="V906" s="9">
        <f t="shared" si="31"/>
        <v>28.43</v>
      </c>
      <c r="Y906" s="9">
        <f t="shared" si="28"/>
        <v>37094.93</v>
      </c>
      <c r="AD906" s="4" t="s">
        <v>2875</v>
      </c>
      <c r="AE906" s="4" t="s">
        <v>2876</v>
      </c>
      <c r="AF906" s="4" t="s">
        <v>2877</v>
      </c>
    </row>
    <row r="907" spans="1:35" ht="18" x14ac:dyDescent="0.3">
      <c r="A907" s="11" t="s">
        <v>2878</v>
      </c>
      <c r="B907" s="11"/>
      <c r="C907" s="32" t="s">
        <v>2879</v>
      </c>
      <c r="D907" s="21"/>
      <c r="E907" s="21"/>
      <c r="F907" s="33" t="s">
        <v>102</v>
      </c>
      <c r="G907" s="34">
        <v>3.2</v>
      </c>
      <c r="H907" s="21"/>
      <c r="I907" s="34">
        <v>3479.0079999999998</v>
      </c>
      <c r="J907" s="35">
        <v>68.099999999999994</v>
      </c>
      <c r="K907" s="12"/>
      <c r="L907" s="12"/>
      <c r="M907" s="35">
        <f t="shared" si="29"/>
        <v>236920.44</v>
      </c>
      <c r="N907" s="12"/>
      <c r="O907" s="12"/>
      <c r="P907" s="35">
        <v>68.099999999999994</v>
      </c>
      <c r="Q907" s="12"/>
      <c r="R907" s="12"/>
      <c r="S907" s="35">
        <f t="shared" si="30"/>
        <v>236920.44</v>
      </c>
      <c r="T907" s="12"/>
      <c r="U907" s="36"/>
      <c r="V907" s="9">
        <f t="shared" si="31"/>
        <v>56.75</v>
      </c>
      <c r="Y907" s="9">
        <f t="shared" si="28"/>
        <v>197433.7</v>
      </c>
      <c r="AD907" s="4" t="s">
        <v>2880</v>
      </c>
      <c r="AE907" s="4" t="s">
        <v>2881</v>
      </c>
      <c r="AF907" s="4" t="s">
        <v>2882</v>
      </c>
    </row>
    <row r="908" spans="1:35" ht="36" x14ac:dyDescent="0.3">
      <c r="A908" s="11" t="s">
        <v>2883</v>
      </c>
      <c r="B908" s="11"/>
      <c r="C908" s="32" t="s">
        <v>2470</v>
      </c>
      <c r="D908" s="21"/>
      <c r="E908" s="21"/>
      <c r="F908" s="33" t="s">
        <v>62</v>
      </c>
      <c r="G908" s="34">
        <v>1.1000000000000001</v>
      </c>
      <c r="H908" s="21"/>
      <c r="I908" s="34">
        <v>1195.9090000000001</v>
      </c>
      <c r="J908" s="35">
        <v>0</v>
      </c>
      <c r="K908" s="12"/>
      <c r="L908" s="12"/>
      <c r="M908" s="35">
        <f t="shared" si="29"/>
        <v>0</v>
      </c>
      <c r="N908" s="12"/>
      <c r="O908" s="12"/>
      <c r="P908" s="35">
        <v>1656</v>
      </c>
      <c r="Q908" s="12"/>
      <c r="R908" s="12"/>
      <c r="S908" s="35">
        <f t="shared" si="30"/>
        <v>1980425.3</v>
      </c>
      <c r="T908" s="12"/>
      <c r="U908" s="36"/>
      <c r="V908" s="9">
        <f t="shared" si="31"/>
        <v>1380</v>
      </c>
      <c r="Y908" s="9">
        <f t="shared" si="28"/>
        <v>1650354.42</v>
      </c>
      <c r="AD908" s="4" t="s">
        <v>2884</v>
      </c>
      <c r="AE908" s="4" t="s">
        <v>2885</v>
      </c>
      <c r="AF908" s="4" t="s">
        <v>2473</v>
      </c>
    </row>
    <row r="909" spans="1:35" ht="18" x14ac:dyDescent="0.3">
      <c r="A909" s="11" t="s">
        <v>2886</v>
      </c>
      <c r="B909" s="11"/>
      <c r="C909" s="32" t="s">
        <v>2887</v>
      </c>
      <c r="D909" s="21"/>
      <c r="E909" s="21"/>
      <c r="F909" s="33" t="s">
        <v>102</v>
      </c>
      <c r="G909" s="34">
        <v>1.05</v>
      </c>
      <c r="H909" s="21"/>
      <c r="I909" s="34">
        <v>1141.55</v>
      </c>
      <c r="J909" s="35">
        <v>4.67</v>
      </c>
      <c r="K909" s="12"/>
      <c r="L909" s="12"/>
      <c r="M909" s="35">
        <f t="shared" si="29"/>
        <v>5331.04</v>
      </c>
      <c r="N909" s="12"/>
      <c r="O909" s="12"/>
      <c r="P909" s="35">
        <v>4.67</v>
      </c>
      <c r="Q909" s="12"/>
      <c r="R909" s="12"/>
      <c r="S909" s="35">
        <f t="shared" si="30"/>
        <v>5331.04</v>
      </c>
      <c r="T909" s="12"/>
      <c r="U909" s="36"/>
      <c r="V909" s="9">
        <f t="shared" si="31"/>
        <v>3.89</v>
      </c>
      <c r="Y909" s="9">
        <f t="shared" si="28"/>
        <v>4442.53</v>
      </c>
      <c r="AD909" s="4" t="s">
        <v>2888</v>
      </c>
      <c r="AE909" s="4" t="s">
        <v>2889</v>
      </c>
      <c r="AF909" s="4" t="s">
        <v>2890</v>
      </c>
    </row>
    <row r="910" spans="1:35" ht="18" x14ac:dyDescent="0.3">
      <c r="A910" s="11" t="s">
        <v>2891</v>
      </c>
      <c r="B910" s="11"/>
      <c r="C910" s="32" t="s">
        <v>2892</v>
      </c>
      <c r="D910" s="21"/>
      <c r="E910" s="21"/>
      <c r="F910" s="33" t="s">
        <v>597</v>
      </c>
      <c r="G910" s="34">
        <v>1.3</v>
      </c>
      <c r="H910" s="21"/>
      <c r="I910" s="34">
        <v>1413.347</v>
      </c>
      <c r="J910" s="35">
        <v>2.84</v>
      </c>
      <c r="K910" s="12"/>
      <c r="L910" s="12"/>
      <c r="M910" s="35">
        <f t="shared" si="29"/>
        <v>4013.91</v>
      </c>
      <c r="N910" s="12"/>
      <c r="O910" s="12"/>
      <c r="P910" s="35">
        <v>2.84</v>
      </c>
      <c r="Q910" s="12"/>
      <c r="R910" s="12"/>
      <c r="S910" s="35">
        <f t="shared" si="30"/>
        <v>4013.91</v>
      </c>
      <c r="T910" s="12"/>
      <c r="U910" s="36"/>
      <c r="V910" s="9">
        <f t="shared" si="31"/>
        <v>2.37</v>
      </c>
      <c r="Y910" s="9">
        <f t="shared" si="28"/>
        <v>3344.93</v>
      </c>
      <c r="AD910" s="4" t="s">
        <v>2893</v>
      </c>
      <c r="AE910" s="4" t="s">
        <v>2894</v>
      </c>
      <c r="AF910" s="4" t="s">
        <v>2895</v>
      </c>
    </row>
    <row r="911" spans="1:35" ht="18" x14ac:dyDescent="0.3">
      <c r="A911" s="11" t="s">
        <v>2896</v>
      </c>
      <c r="B911" s="11"/>
      <c r="C911" s="32" t="s">
        <v>2897</v>
      </c>
      <c r="D911" s="21"/>
      <c r="E911" s="21"/>
      <c r="F911" s="33" t="s">
        <v>597</v>
      </c>
      <c r="G911" s="34">
        <v>1.3</v>
      </c>
      <c r="H911" s="21"/>
      <c r="I911" s="34">
        <v>1413.347</v>
      </c>
      <c r="J911" s="35">
        <v>0</v>
      </c>
      <c r="K911" s="12"/>
      <c r="L911" s="12"/>
      <c r="M911" s="35">
        <f t="shared" si="29"/>
        <v>0</v>
      </c>
      <c r="N911" s="12"/>
      <c r="O911" s="12"/>
      <c r="P911" s="35">
        <v>32.4</v>
      </c>
      <c r="Q911" s="12"/>
      <c r="R911" s="12"/>
      <c r="S911" s="35">
        <f t="shared" si="30"/>
        <v>45792.44</v>
      </c>
      <c r="T911" s="12"/>
      <c r="U911" s="36"/>
      <c r="V911" s="9">
        <f t="shared" si="31"/>
        <v>27</v>
      </c>
      <c r="Y911" s="9">
        <f t="shared" si="28"/>
        <v>38160.370000000003</v>
      </c>
      <c r="AD911" s="4" t="s">
        <v>2898</v>
      </c>
      <c r="AE911" s="4" t="s">
        <v>2899</v>
      </c>
      <c r="AF911" s="4" t="s">
        <v>2900</v>
      </c>
    </row>
    <row r="912" spans="1:35" ht="18" x14ac:dyDescent="0.3">
      <c r="A912" s="11" t="s">
        <v>2901</v>
      </c>
      <c r="B912" s="11"/>
      <c r="C912" s="32" t="s">
        <v>2902</v>
      </c>
      <c r="D912" s="21"/>
      <c r="E912" s="21"/>
      <c r="F912" s="33" t="s">
        <v>597</v>
      </c>
      <c r="G912" s="34">
        <v>1.3</v>
      </c>
      <c r="H912" s="21"/>
      <c r="I912" s="34">
        <v>1413.347</v>
      </c>
      <c r="J912" s="35">
        <v>0</v>
      </c>
      <c r="K912" s="12"/>
      <c r="L912" s="12"/>
      <c r="M912" s="35">
        <f t="shared" si="29"/>
        <v>0</v>
      </c>
      <c r="N912" s="12"/>
      <c r="O912" s="12"/>
      <c r="P912" s="35">
        <v>27.8</v>
      </c>
      <c r="Q912" s="12"/>
      <c r="R912" s="12"/>
      <c r="S912" s="35">
        <f t="shared" si="30"/>
        <v>39291.050000000003</v>
      </c>
      <c r="T912" s="12"/>
      <c r="U912" s="36"/>
      <c r="V912" s="9">
        <f t="shared" si="31"/>
        <v>23.17</v>
      </c>
      <c r="Y912" s="9">
        <f t="shared" si="28"/>
        <v>32742.54</v>
      </c>
      <c r="AD912" s="4" t="s">
        <v>2903</v>
      </c>
      <c r="AE912" s="4" t="s">
        <v>2904</v>
      </c>
      <c r="AF912" s="4" t="s">
        <v>2905</v>
      </c>
    </row>
    <row r="913" spans="1:35" ht="54" x14ac:dyDescent="0.3">
      <c r="A913" s="10" t="s">
        <v>2906</v>
      </c>
      <c r="B913" s="10" t="s">
        <v>2907</v>
      </c>
      <c r="C913" s="14" t="s">
        <v>2908</v>
      </c>
      <c r="D913" s="15"/>
      <c r="E913" s="15"/>
      <c r="F913" s="15" t="s">
        <v>62</v>
      </c>
      <c r="G913" s="16">
        <v>1</v>
      </c>
      <c r="H913" s="15"/>
      <c r="I913" s="16">
        <v>0</v>
      </c>
      <c r="J913" s="17">
        <v>0</v>
      </c>
      <c r="K913" s="18">
        <v>121</v>
      </c>
      <c r="L913" s="17">
        <f>J913+ROUND(K913, 2)</f>
        <v>121</v>
      </c>
      <c r="M913" s="17">
        <v>0</v>
      </c>
      <c r="N913" s="17">
        <v>0</v>
      </c>
      <c r="O913" s="17">
        <f>M913+N913</f>
        <v>0</v>
      </c>
      <c r="P913" s="17">
        <v>0</v>
      </c>
      <c r="Q913" s="19">
        <v>121</v>
      </c>
      <c r="R913" s="17">
        <f>P913+ROUND(Q913, 2)</f>
        <v>121</v>
      </c>
      <c r="S913" s="17">
        <v>0</v>
      </c>
      <c r="T913" s="17">
        <v>0</v>
      </c>
      <c r="U913" s="17">
        <f>S913+T913</f>
        <v>0</v>
      </c>
      <c r="V913" s="9"/>
      <c r="W913" s="9">
        <f t="shared" ref="W913:X916" si="32">ROUND(Q913 / 1.2, 2)</f>
        <v>100.83</v>
      </c>
      <c r="X913" s="9">
        <f t="shared" si="32"/>
        <v>100.83</v>
      </c>
      <c r="Y913" s="9"/>
      <c r="Z913" s="9">
        <f>ROUND(T913 / 1.2, 2)</f>
        <v>0</v>
      </c>
      <c r="AA913" s="9">
        <f>Y913+Z913</f>
        <v>0</v>
      </c>
      <c r="AD913" s="4">
        <v>334080567</v>
      </c>
      <c r="AE913" s="4">
        <v>27245659</v>
      </c>
      <c r="AG913" s="4" t="s">
        <v>2909</v>
      </c>
      <c r="AH913" s="4" t="s">
        <v>2910</v>
      </c>
      <c r="AI913" s="4" t="s">
        <v>250</v>
      </c>
    </row>
    <row r="914" spans="1:35" ht="54" x14ac:dyDescent="0.3">
      <c r="A914" s="10" t="s">
        <v>2911</v>
      </c>
      <c r="B914" s="10" t="s">
        <v>2907</v>
      </c>
      <c r="C914" s="14" t="s">
        <v>2908</v>
      </c>
      <c r="D914" s="15"/>
      <c r="E914" s="15"/>
      <c r="F914" s="15" t="s">
        <v>62</v>
      </c>
      <c r="G914" s="16">
        <v>1</v>
      </c>
      <c r="H914" s="15"/>
      <c r="I914" s="16">
        <v>2000</v>
      </c>
      <c r="J914" s="17">
        <v>0</v>
      </c>
      <c r="K914" s="18">
        <v>121</v>
      </c>
      <c r="L914" s="17">
        <f>J914+ROUND(K914, 2)</f>
        <v>121</v>
      </c>
      <c r="M914" s="17">
        <v>0</v>
      </c>
      <c r="N914" s="17">
        <v>242000</v>
      </c>
      <c r="O914" s="17">
        <f>M914+N914</f>
        <v>242000</v>
      </c>
      <c r="P914" s="17">
        <v>0</v>
      </c>
      <c r="Q914" s="19">
        <v>181.5</v>
      </c>
      <c r="R914" s="17">
        <f>P914+ROUND(Q914, 2)</f>
        <v>181.5</v>
      </c>
      <c r="S914" s="17">
        <v>0</v>
      </c>
      <c r="T914" s="17">
        <v>363000</v>
      </c>
      <c r="U914" s="17">
        <f>S914+T914</f>
        <v>363000</v>
      </c>
      <c r="V914" s="9"/>
      <c r="W914" s="9">
        <f t="shared" si="32"/>
        <v>151.25</v>
      </c>
      <c r="X914" s="9">
        <f t="shared" si="32"/>
        <v>151.25</v>
      </c>
      <c r="Y914" s="9"/>
      <c r="Z914" s="9">
        <f>ROUND(T914 / 1.2, 2)</f>
        <v>302500</v>
      </c>
      <c r="AA914" s="9">
        <f>Y914+Z914</f>
        <v>302500</v>
      </c>
      <c r="AD914" s="4">
        <v>334080781</v>
      </c>
      <c r="AE914" s="4">
        <v>27245660</v>
      </c>
      <c r="AG914" s="4" t="s">
        <v>2909</v>
      </c>
      <c r="AH914" s="4" t="s">
        <v>2910</v>
      </c>
      <c r="AI914" s="4" t="s">
        <v>250</v>
      </c>
    </row>
    <row r="915" spans="1:35" ht="54" x14ac:dyDescent="0.3">
      <c r="A915" s="11" t="s">
        <v>2912</v>
      </c>
      <c r="B915" s="11" t="s">
        <v>2907</v>
      </c>
      <c r="C915" s="20" t="s">
        <v>2908</v>
      </c>
      <c r="D915" s="21"/>
      <c r="E915" s="21" t="s">
        <v>2913</v>
      </c>
      <c r="F915" s="21" t="s">
        <v>62</v>
      </c>
      <c r="G915" s="22">
        <v>1</v>
      </c>
      <c r="H915" s="21"/>
      <c r="I915" s="22">
        <v>5974.62</v>
      </c>
      <c r="J915" s="23">
        <v>0</v>
      </c>
      <c r="K915" s="23">
        <v>121</v>
      </c>
      <c r="L915" s="23">
        <f>J915+ROUND(K915, 2)</f>
        <v>121</v>
      </c>
      <c r="M915" s="23">
        <v>0</v>
      </c>
      <c r="N915" s="23">
        <f>ROUND(I915*ROUND(K915, 2), 2)</f>
        <v>722929.02</v>
      </c>
      <c r="O915" s="23">
        <f>M915+N915</f>
        <v>722929.02</v>
      </c>
      <c r="P915" s="23">
        <v>0</v>
      </c>
      <c r="Q915" s="23">
        <v>181.5</v>
      </c>
      <c r="R915" s="23">
        <f>P915+ROUND(Q915, 2)</f>
        <v>181.5</v>
      </c>
      <c r="S915" s="23">
        <v>0</v>
      </c>
      <c r="T915" s="23">
        <f>ROUND(I915*ROUND(Q915, 2), 2)</f>
        <v>1084393.53</v>
      </c>
      <c r="U915" s="23">
        <f>S915+T915</f>
        <v>1084393.53</v>
      </c>
      <c r="V915" s="9"/>
      <c r="W915" s="9">
        <f t="shared" si="32"/>
        <v>151.25</v>
      </c>
      <c r="X915" s="9">
        <f t="shared" si="32"/>
        <v>151.25</v>
      </c>
      <c r="Y915" s="9"/>
      <c r="Z915" s="9">
        <f>ROUND(T915 / 1.2, 2)</f>
        <v>903661.28</v>
      </c>
      <c r="AA915" s="9">
        <f>Y915+Z915</f>
        <v>903661.28</v>
      </c>
      <c r="AD915" s="4">
        <v>334080797</v>
      </c>
      <c r="AE915" s="4">
        <v>29448380</v>
      </c>
      <c r="AG915" s="4" t="s">
        <v>2909</v>
      </c>
      <c r="AH915" s="4" t="s">
        <v>2910</v>
      </c>
      <c r="AI915" s="4" t="s">
        <v>250</v>
      </c>
    </row>
    <row r="916" spans="1:35" ht="36" x14ac:dyDescent="0.3">
      <c r="A916" s="10" t="s">
        <v>2914</v>
      </c>
      <c r="B916" s="10" t="s">
        <v>2915</v>
      </c>
      <c r="C916" s="14" t="s">
        <v>2916</v>
      </c>
      <c r="D916" s="15"/>
      <c r="E916" s="15"/>
      <c r="F916" s="15" t="s">
        <v>62</v>
      </c>
      <c r="G916" s="16">
        <v>1</v>
      </c>
      <c r="H916" s="15"/>
      <c r="I916" s="16">
        <v>0</v>
      </c>
      <c r="J916" s="17">
        <v>0</v>
      </c>
      <c r="K916" s="18">
        <v>1724</v>
      </c>
      <c r="L916" s="17">
        <f>J916+ROUND(K916, 2)</f>
        <v>1724</v>
      </c>
      <c r="M916" s="17">
        <v>0</v>
      </c>
      <c r="N916" s="17">
        <v>0</v>
      </c>
      <c r="O916" s="17">
        <f>M916+N916</f>
        <v>0</v>
      </c>
      <c r="P916" s="17">
        <v>1310</v>
      </c>
      <c r="Q916" s="19">
        <v>1724</v>
      </c>
      <c r="R916" s="17">
        <f>P916+ROUND(Q916, 2)</f>
        <v>3034</v>
      </c>
      <c r="S916" s="17">
        <v>0</v>
      </c>
      <c r="T916" s="17">
        <v>0</v>
      </c>
      <c r="U916" s="17">
        <f>S916+T916</f>
        <v>0</v>
      </c>
      <c r="V916" s="9">
        <f>ROUND(P916 / 1.2, 2)</f>
        <v>1091.67</v>
      </c>
      <c r="W916" s="9">
        <f t="shared" si="32"/>
        <v>1436.67</v>
      </c>
      <c r="X916" s="9">
        <f t="shared" si="32"/>
        <v>2528.33</v>
      </c>
      <c r="Y916" s="9">
        <f t="shared" ref="Y916:Y947" si="33">ROUND(S916 / 1.2, 2)</f>
        <v>0</v>
      </c>
      <c r="Z916" s="9">
        <f>ROUND(T916 / 1.2, 2)</f>
        <v>0</v>
      </c>
      <c r="AA916" s="9">
        <f>Y916+Z916</f>
        <v>0</v>
      </c>
      <c r="AD916" s="4">
        <v>334080569</v>
      </c>
      <c r="AE916" s="4">
        <v>27245626</v>
      </c>
      <c r="AG916" s="4" t="s">
        <v>2917</v>
      </c>
      <c r="AH916" s="4" t="s">
        <v>2918</v>
      </c>
      <c r="AI916" s="4" t="s">
        <v>250</v>
      </c>
    </row>
    <row r="917" spans="1:35" ht="36" x14ac:dyDescent="0.3">
      <c r="A917" s="10" t="s">
        <v>2919</v>
      </c>
      <c r="B917" s="10"/>
      <c r="C917" s="24" t="s">
        <v>2920</v>
      </c>
      <c r="D917" s="15"/>
      <c r="E917" s="15"/>
      <c r="F917" s="25" t="s">
        <v>62</v>
      </c>
      <c r="G917" s="26">
        <v>1</v>
      </c>
      <c r="H917" s="15"/>
      <c r="I917" s="26">
        <v>0</v>
      </c>
      <c r="J917" s="27">
        <v>0</v>
      </c>
      <c r="M917" s="28">
        <f>ROUND(ROUND(J917, 2)*I917, 2)</f>
        <v>0</v>
      </c>
      <c r="P917" s="29">
        <v>1310</v>
      </c>
      <c r="S917" s="28">
        <f>ROUND(ROUND(P917, 2)*I917, 2)</f>
        <v>0</v>
      </c>
      <c r="V917" s="9">
        <f>ROUND(ROUND(P917, 2)/1.2, 2)</f>
        <v>1091.67</v>
      </c>
      <c r="Y917" s="9">
        <f t="shared" si="33"/>
        <v>0</v>
      </c>
      <c r="AD917" s="4" t="s">
        <v>2921</v>
      </c>
      <c r="AE917" s="4" t="s">
        <v>2922</v>
      </c>
      <c r="AF917" s="4" t="s">
        <v>2923</v>
      </c>
    </row>
    <row r="918" spans="1:35" ht="108" x14ac:dyDescent="0.3">
      <c r="A918" s="10" t="s">
        <v>2924</v>
      </c>
      <c r="B918" s="10" t="s">
        <v>2915</v>
      </c>
      <c r="C918" s="14" t="s">
        <v>2916</v>
      </c>
      <c r="D918" s="15"/>
      <c r="E918" s="15" t="s">
        <v>2925</v>
      </c>
      <c r="F918" s="15" t="s">
        <v>62</v>
      </c>
      <c r="G918" s="16">
        <v>1</v>
      </c>
      <c r="H918" s="15"/>
      <c r="I918" s="16">
        <v>13.5</v>
      </c>
      <c r="J918" s="17">
        <v>0</v>
      </c>
      <c r="K918" s="18">
        <v>1724</v>
      </c>
      <c r="L918" s="17">
        <f>J918+ROUND(K918, 2)</f>
        <v>1724</v>
      </c>
      <c r="M918" s="17">
        <v>0</v>
      </c>
      <c r="N918" s="17">
        <v>23274</v>
      </c>
      <c r="O918" s="17">
        <f>M918+N918</f>
        <v>23274</v>
      </c>
      <c r="P918" s="17">
        <v>1310</v>
      </c>
      <c r="Q918" s="19">
        <v>2586</v>
      </c>
      <c r="R918" s="17">
        <f>P918+ROUND(Q918, 2)</f>
        <v>3896</v>
      </c>
      <c r="S918" s="17">
        <v>17685</v>
      </c>
      <c r="T918" s="17">
        <v>34911</v>
      </c>
      <c r="U918" s="17">
        <f>S918+T918</f>
        <v>52596</v>
      </c>
      <c r="V918" s="9">
        <f>ROUND(P918 / 1.2, 2)</f>
        <v>1091.67</v>
      </c>
      <c r="W918" s="9">
        <f>ROUND(Q918 / 1.2, 2)</f>
        <v>2155</v>
      </c>
      <c r="X918" s="9">
        <f>ROUND(R918 / 1.2, 2)</f>
        <v>3246.67</v>
      </c>
      <c r="Y918" s="9">
        <f t="shared" si="33"/>
        <v>14737.5</v>
      </c>
      <c r="Z918" s="9">
        <f>ROUND(T918 / 1.2, 2)</f>
        <v>29092.5</v>
      </c>
      <c r="AA918" s="9">
        <f>Y918+Z918</f>
        <v>43830</v>
      </c>
      <c r="AD918" s="4">
        <v>334080782</v>
      </c>
      <c r="AE918" s="4">
        <v>27245735</v>
      </c>
      <c r="AG918" s="4" t="s">
        <v>2917</v>
      </c>
      <c r="AH918" s="4" t="s">
        <v>2918</v>
      </c>
      <c r="AI918" s="4" t="s">
        <v>250</v>
      </c>
    </row>
    <row r="919" spans="1:35" ht="36" x14ac:dyDescent="0.3">
      <c r="A919" s="10" t="s">
        <v>2926</v>
      </c>
      <c r="B919" s="10"/>
      <c r="C919" s="24" t="s">
        <v>2920</v>
      </c>
      <c r="D919" s="15"/>
      <c r="E919" s="15"/>
      <c r="F919" s="25" t="s">
        <v>62</v>
      </c>
      <c r="G919" s="26">
        <v>1</v>
      </c>
      <c r="H919" s="15"/>
      <c r="I919" s="26">
        <v>13.5</v>
      </c>
      <c r="J919" s="27">
        <v>0</v>
      </c>
      <c r="M919" s="28">
        <f>ROUND(ROUND(J919, 2)*I919, 2)</f>
        <v>0</v>
      </c>
      <c r="P919" s="29">
        <v>1310</v>
      </c>
      <c r="S919" s="28">
        <f>ROUND(ROUND(P919, 2)*I919, 2)</f>
        <v>17685</v>
      </c>
      <c r="V919" s="9">
        <f>ROUND(ROUND(P919, 2)/1.2, 2)</f>
        <v>1091.67</v>
      </c>
      <c r="Y919" s="9">
        <f t="shared" si="33"/>
        <v>14737.5</v>
      </c>
      <c r="AD919" s="4" t="s">
        <v>2927</v>
      </c>
      <c r="AE919" s="4" t="s">
        <v>2928</v>
      </c>
      <c r="AF919" s="4" t="s">
        <v>2923</v>
      </c>
    </row>
    <row r="920" spans="1:35" ht="90" x14ac:dyDescent="0.3">
      <c r="A920" s="11" t="s">
        <v>2929</v>
      </c>
      <c r="B920" s="11" t="s">
        <v>2915</v>
      </c>
      <c r="C920" s="20" t="s">
        <v>2916</v>
      </c>
      <c r="D920" s="21"/>
      <c r="E920" s="21" t="s">
        <v>2930</v>
      </c>
      <c r="F920" s="21" t="s">
        <v>62</v>
      </c>
      <c r="G920" s="22">
        <v>1</v>
      </c>
      <c r="H920" s="21"/>
      <c r="I920" s="22">
        <v>179.95</v>
      </c>
      <c r="J920" s="23">
        <f>IFERROR(ROUND(SUM(M921)/I920, 2),0)</f>
        <v>0</v>
      </c>
      <c r="K920" s="23">
        <v>1723.99</v>
      </c>
      <c r="L920" s="23">
        <f>J920+ROUND(K920, 2)</f>
        <v>1723.99</v>
      </c>
      <c r="M920" s="23">
        <f>ROUND(J920*I920, 2)</f>
        <v>0</v>
      </c>
      <c r="N920" s="23">
        <f>ROUND(I920*ROUND(K920, 2), 2)</f>
        <v>310232</v>
      </c>
      <c r="O920" s="23">
        <f>M920+N920</f>
        <v>310232</v>
      </c>
      <c r="P920" s="23">
        <f>IFERROR(ROUND(SUM(S921)/I920, 2),0)</f>
        <v>6830</v>
      </c>
      <c r="Q920" s="23">
        <v>2586</v>
      </c>
      <c r="R920" s="23">
        <f>P920+ROUND(Q920, 2)</f>
        <v>9416</v>
      </c>
      <c r="S920" s="23">
        <f>ROUND(P920*I920, 2)</f>
        <v>1229058.5</v>
      </c>
      <c r="T920" s="23">
        <f>ROUND(I920*ROUND(Q920, 2), 2)</f>
        <v>465350.7</v>
      </c>
      <c r="U920" s="23">
        <f>S920+T920</f>
        <v>1694409.2</v>
      </c>
      <c r="V920" s="9">
        <f>ROUND(P920 / 1.2, 2)</f>
        <v>5691.67</v>
      </c>
      <c r="W920" s="9">
        <f>ROUND(Q920 / 1.2, 2)</f>
        <v>2155</v>
      </c>
      <c r="X920" s="9">
        <f>ROUND(R920 / 1.2, 2)</f>
        <v>7846.67</v>
      </c>
      <c r="Y920" s="9">
        <f t="shared" si="33"/>
        <v>1024215.42</v>
      </c>
      <c r="Z920" s="9">
        <f>ROUND(T920 / 1.2, 2)</f>
        <v>387792.25</v>
      </c>
      <c r="AA920" s="9">
        <f>Y920+Z920</f>
        <v>1412007.67</v>
      </c>
      <c r="AD920" s="4">
        <v>334080794</v>
      </c>
      <c r="AE920" s="4">
        <v>29442621</v>
      </c>
      <c r="AG920" s="4" t="s">
        <v>2917</v>
      </c>
      <c r="AH920" s="4" t="s">
        <v>2918</v>
      </c>
      <c r="AI920" s="4" t="s">
        <v>250</v>
      </c>
    </row>
    <row r="921" spans="1:35" ht="36" x14ac:dyDescent="0.3">
      <c r="A921" s="11" t="s">
        <v>2931</v>
      </c>
      <c r="B921" s="11"/>
      <c r="C921" s="32" t="s">
        <v>2920</v>
      </c>
      <c r="D921" s="21"/>
      <c r="E921" s="21"/>
      <c r="F921" s="33" t="s">
        <v>62</v>
      </c>
      <c r="G921" s="34">
        <v>1</v>
      </c>
      <c r="H921" s="21"/>
      <c r="I921" s="34">
        <v>179.95</v>
      </c>
      <c r="J921" s="35">
        <v>0</v>
      </c>
      <c r="K921" s="12"/>
      <c r="L921" s="12"/>
      <c r="M921" s="35">
        <f>ROUND(ROUND(J921, 2)*I921, 2)</f>
        <v>0</v>
      </c>
      <c r="N921" s="12"/>
      <c r="O921" s="12"/>
      <c r="P921" s="35">
        <v>6830</v>
      </c>
      <c r="Q921" s="12"/>
      <c r="R921" s="12"/>
      <c r="S921" s="35">
        <f>ROUND(ROUND(P921, 2)*I921, 2)</f>
        <v>1229058.5</v>
      </c>
      <c r="T921" s="12"/>
      <c r="U921" s="36"/>
      <c r="V921" s="9">
        <f>ROUND(ROUND(P921, 2)/1.2, 2)</f>
        <v>5691.67</v>
      </c>
      <c r="Y921" s="9">
        <f t="shared" si="33"/>
        <v>1024215.42</v>
      </c>
      <c r="AD921" s="4" t="s">
        <v>2932</v>
      </c>
      <c r="AE921" s="4" t="s">
        <v>2933</v>
      </c>
      <c r="AF921" s="4" t="s">
        <v>2923</v>
      </c>
    </row>
    <row r="922" spans="1:35" ht="198" x14ac:dyDescent="0.3">
      <c r="A922" s="11" t="s">
        <v>2934</v>
      </c>
      <c r="B922" s="11" t="s">
        <v>2915</v>
      </c>
      <c r="C922" s="20" t="s">
        <v>2916</v>
      </c>
      <c r="D922" s="21"/>
      <c r="E922" s="21" t="s">
        <v>2935</v>
      </c>
      <c r="F922" s="21" t="s">
        <v>62</v>
      </c>
      <c r="G922" s="22">
        <v>1</v>
      </c>
      <c r="H922" s="21"/>
      <c r="I922" s="22">
        <v>487.79</v>
      </c>
      <c r="J922" s="23">
        <f>IFERROR(ROUND(SUM(M923)/I922, 2),0)</f>
        <v>0</v>
      </c>
      <c r="K922" s="23">
        <v>1723.99</v>
      </c>
      <c r="L922" s="23">
        <f>J922+ROUND(K922, 2)</f>
        <v>1723.99</v>
      </c>
      <c r="M922" s="23">
        <f>ROUND(J922*I922, 2)</f>
        <v>0</v>
      </c>
      <c r="N922" s="23">
        <f>ROUND(I922*ROUND(K922, 2), 2)</f>
        <v>840945.08</v>
      </c>
      <c r="O922" s="23">
        <f>M922+N922</f>
        <v>840945.08</v>
      </c>
      <c r="P922" s="23">
        <f>IFERROR(ROUND(SUM(S923)/I922, 2),0)</f>
        <v>1601.19</v>
      </c>
      <c r="Q922" s="23">
        <v>2586</v>
      </c>
      <c r="R922" s="23">
        <f>P922+ROUND(Q922, 2)</f>
        <v>4187.1900000000005</v>
      </c>
      <c r="S922" s="23">
        <f>ROUND(P922*I922, 2)</f>
        <v>781044.47</v>
      </c>
      <c r="T922" s="23">
        <f>ROUND(I922*ROUND(Q922, 2), 2)</f>
        <v>1261424.94</v>
      </c>
      <c r="U922" s="23">
        <f>S922+T922</f>
        <v>2042469.41</v>
      </c>
      <c r="V922" s="9">
        <f>ROUND(P922 / 1.2, 2)</f>
        <v>1334.33</v>
      </c>
      <c r="W922" s="9">
        <f>ROUND(Q922 / 1.2, 2)</f>
        <v>2155</v>
      </c>
      <c r="X922" s="9">
        <f>ROUND(R922 / 1.2, 2)</f>
        <v>3489.33</v>
      </c>
      <c r="Y922" s="9">
        <f t="shared" si="33"/>
        <v>650870.39</v>
      </c>
      <c r="Z922" s="9">
        <f>ROUND(T922 / 1.2, 2)</f>
        <v>1051187.45</v>
      </c>
      <c r="AA922" s="9">
        <f>Y922+Z922</f>
        <v>1702057.8399999999</v>
      </c>
      <c r="AD922" s="4">
        <v>334080796</v>
      </c>
      <c r="AE922" s="4">
        <v>29448381</v>
      </c>
      <c r="AG922" s="4" t="s">
        <v>2917</v>
      </c>
      <c r="AH922" s="4" t="s">
        <v>2918</v>
      </c>
      <c r="AI922" s="4" t="s">
        <v>250</v>
      </c>
    </row>
    <row r="923" spans="1:35" ht="36" x14ac:dyDescent="0.3">
      <c r="A923" s="11" t="s">
        <v>2936</v>
      </c>
      <c r="B923" s="11"/>
      <c r="C923" s="32" t="s">
        <v>2920</v>
      </c>
      <c r="D923" s="21"/>
      <c r="E923" s="21"/>
      <c r="F923" s="33" t="s">
        <v>62</v>
      </c>
      <c r="G923" s="34">
        <v>1</v>
      </c>
      <c r="H923" s="21"/>
      <c r="I923" s="34">
        <v>487.79</v>
      </c>
      <c r="J923" s="35">
        <v>0</v>
      </c>
      <c r="K923" s="12"/>
      <c r="L923" s="12"/>
      <c r="M923" s="35">
        <f>ROUND(ROUND(J923, 2)*I923, 2)</f>
        <v>0</v>
      </c>
      <c r="N923" s="12"/>
      <c r="O923" s="12"/>
      <c r="P923" s="35">
        <v>1601.19</v>
      </c>
      <c r="Q923" s="12"/>
      <c r="R923" s="12"/>
      <c r="S923" s="35">
        <f>ROUND(ROUND(P923, 2)*I923, 2)</f>
        <v>781044.47</v>
      </c>
      <c r="T923" s="12"/>
      <c r="U923" s="36"/>
      <c r="V923" s="9">
        <f>ROUND(ROUND(P923, 2)/1.2, 2)</f>
        <v>1334.33</v>
      </c>
      <c r="Y923" s="9">
        <f t="shared" si="33"/>
        <v>650870.39</v>
      </c>
      <c r="AD923" s="4" t="s">
        <v>2937</v>
      </c>
      <c r="AE923" s="4" t="s">
        <v>2938</v>
      </c>
      <c r="AF923" s="4" t="s">
        <v>2923</v>
      </c>
    </row>
    <row r="924" spans="1:35" ht="36" x14ac:dyDescent="0.3">
      <c r="A924" s="10" t="s">
        <v>2939</v>
      </c>
      <c r="B924" s="10" t="s">
        <v>2940</v>
      </c>
      <c r="C924" s="14" t="s">
        <v>2941</v>
      </c>
      <c r="D924" s="15"/>
      <c r="E924" s="15"/>
      <c r="F924" s="15" t="s">
        <v>62</v>
      </c>
      <c r="G924" s="16">
        <v>1</v>
      </c>
      <c r="H924" s="15"/>
      <c r="I924" s="16">
        <v>0</v>
      </c>
      <c r="J924" s="17">
        <v>0</v>
      </c>
      <c r="K924" s="18">
        <v>1379</v>
      </c>
      <c r="L924" s="17">
        <f>J924+ROUND(K924, 2)</f>
        <v>1379</v>
      </c>
      <c r="M924" s="17">
        <v>0</v>
      </c>
      <c r="N924" s="17">
        <v>0</v>
      </c>
      <c r="O924" s="17">
        <f>M924+N924</f>
        <v>0</v>
      </c>
      <c r="P924" s="17">
        <v>2076.5300000000002</v>
      </c>
      <c r="Q924" s="19">
        <v>1379</v>
      </c>
      <c r="R924" s="17">
        <f>P924+ROUND(Q924, 2)</f>
        <v>3455.53</v>
      </c>
      <c r="S924" s="17">
        <v>0</v>
      </c>
      <c r="T924" s="17">
        <v>0</v>
      </c>
      <c r="U924" s="17">
        <f>S924+T924</f>
        <v>0</v>
      </c>
      <c r="V924" s="9">
        <f>ROUND(P924 / 1.2, 2)</f>
        <v>1730.44</v>
      </c>
      <c r="W924" s="9">
        <f>ROUND(Q924 / 1.2, 2)</f>
        <v>1149.17</v>
      </c>
      <c r="X924" s="9">
        <f>ROUND(R924 / 1.2, 2)</f>
        <v>2879.61</v>
      </c>
      <c r="Y924" s="9">
        <f t="shared" si="33"/>
        <v>0</v>
      </c>
      <c r="Z924" s="9">
        <f>ROUND(T924 / 1.2, 2)</f>
        <v>0</v>
      </c>
      <c r="AA924" s="9">
        <f>Y924+Z924</f>
        <v>0</v>
      </c>
      <c r="AD924" s="4">
        <v>334080570</v>
      </c>
      <c r="AE924" s="4">
        <v>27245620</v>
      </c>
      <c r="AG924" s="4" t="s">
        <v>2942</v>
      </c>
      <c r="AH924" s="4" t="s">
        <v>2943</v>
      </c>
      <c r="AI924" s="4" t="s">
        <v>250</v>
      </c>
    </row>
    <row r="925" spans="1:35" ht="18" x14ac:dyDescent="0.3">
      <c r="A925" s="10" t="s">
        <v>2944</v>
      </c>
      <c r="B925" s="10"/>
      <c r="C925" s="24" t="s">
        <v>2854</v>
      </c>
      <c r="D925" s="15"/>
      <c r="E925" s="15"/>
      <c r="F925" s="25" t="s">
        <v>597</v>
      </c>
      <c r="G925" s="26">
        <v>15</v>
      </c>
      <c r="H925" s="15"/>
      <c r="I925" s="26">
        <v>0</v>
      </c>
      <c r="J925" s="27">
        <v>0.95</v>
      </c>
      <c r="M925" s="28">
        <f t="shared" ref="M925:M937" si="34">ROUND(ROUND(J925, 2)*I925, 2)</f>
        <v>0</v>
      </c>
      <c r="P925" s="29">
        <v>0.95</v>
      </c>
      <c r="S925" s="28">
        <f t="shared" ref="S925:S937" si="35">ROUND(ROUND(P925, 2)*I925, 2)</f>
        <v>0</v>
      </c>
      <c r="V925" s="9">
        <f t="shared" ref="V925:V937" si="36">ROUND(ROUND(P925, 2)/1.2, 2)</f>
        <v>0.79</v>
      </c>
      <c r="Y925" s="9">
        <f t="shared" si="33"/>
        <v>0</v>
      </c>
      <c r="AD925" s="4" t="s">
        <v>2945</v>
      </c>
      <c r="AE925" s="4" t="s">
        <v>2946</v>
      </c>
      <c r="AF925" s="4" t="s">
        <v>2857</v>
      </c>
    </row>
    <row r="926" spans="1:35" ht="18" x14ac:dyDescent="0.3">
      <c r="A926" s="10" t="s">
        <v>2947</v>
      </c>
      <c r="B926" s="10"/>
      <c r="C926" s="24" t="s">
        <v>2859</v>
      </c>
      <c r="D926" s="15"/>
      <c r="E926" s="15"/>
      <c r="F926" s="25" t="s">
        <v>597</v>
      </c>
      <c r="G926" s="26">
        <v>30</v>
      </c>
      <c r="H926" s="15"/>
      <c r="I926" s="26">
        <v>0</v>
      </c>
      <c r="J926" s="27">
        <v>0.28000000000000003</v>
      </c>
      <c r="M926" s="28">
        <f t="shared" si="34"/>
        <v>0</v>
      </c>
      <c r="P926" s="29">
        <v>0.28000000000000003</v>
      </c>
      <c r="S926" s="28">
        <f t="shared" si="35"/>
        <v>0</v>
      </c>
      <c r="V926" s="9">
        <f t="shared" si="36"/>
        <v>0.23</v>
      </c>
      <c r="Y926" s="9">
        <f t="shared" si="33"/>
        <v>0</v>
      </c>
      <c r="AD926" s="4" t="s">
        <v>2948</v>
      </c>
      <c r="AE926" s="4" t="s">
        <v>2949</v>
      </c>
      <c r="AF926" s="4" t="s">
        <v>2862</v>
      </c>
    </row>
    <row r="927" spans="1:35" ht="18" x14ac:dyDescent="0.3">
      <c r="A927" s="10" t="s">
        <v>2950</v>
      </c>
      <c r="B927" s="10"/>
      <c r="C927" s="24" t="s">
        <v>2951</v>
      </c>
      <c r="D927" s="15"/>
      <c r="E927" s="15"/>
      <c r="F927" s="25" t="s">
        <v>278</v>
      </c>
      <c r="G927" s="26">
        <v>0.35</v>
      </c>
      <c r="H927" s="15"/>
      <c r="I927" s="26">
        <v>0</v>
      </c>
      <c r="J927" s="27">
        <v>55</v>
      </c>
      <c r="M927" s="28">
        <f t="shared" si="34"/>
        <v>0</v>
      </c>
      <c r="P927" s="29">
        <v>55</v>
      </c>
      <c r="S927" s="28">
        <f t="shared" si="35"/>
        <v>0</v>
      </c>
      <c r="V927" s="9">
        <f t="shared" si="36"/>
        <v>45.83</v>
      </c>
      <c r="Y927" s="9">
        <f t="shared" si="33"/>
        <v>0</v>
      </c>
      <c r="AD927" s="4" t="s">
        <v>2952</v>
      </c>
      <c r="AE927" s="4" t="s">
        <v>2953</v>
      </c>
      <c r="AF927" s="4" t="s">
        <v>2954</v>
      </c>
    </row>
    <row r="928" spans="1:35" ht="18" x14ac:dyDescent="0.3">
      <c r="A928" s="10" t="s">
        <v>2955</v>
      </c>
      <c r="B928" s="10"/>
      <c r="C928" s="24" t="s">
        <v>2864</v>
      </c>
      <c r="D928" s="15"/>
      <c r="E928" s="15"/>
      <c r="F928" s="25" t="s">
        <v>597</v>
      </c>
      <c r="G928" s="26">
        <v>0.3</v>
      </c>
      <c r="H928" s="15"/>
      <c r="I928" s="26">
        <v>0</v>
      </c>
      <c r="J928" s="27">
        <v>5.6</v>
      </c>
      <c r="M928" s="28">
        <f t="shared" si="34"/>
        <v>0</v>
      </c>
      <c r="P928" s="29">
        <v>5.6</v>
      </c>
      <c r="S928" s="28">
        <f t="shared" si="35"/>
        <v>0</v>
      </c>
      <c r="V928" s="9">
        <f t="shared" si="36"/>
        <v>4.67</v>
      </c>
      <c r="Y928" s="9">
        <f t="shared" si="33"/>
        <v>0</v>
      </c>
      <c r="AD928" s="4" t="s">
        <v>2956</v>
      </c>
      <c r="AE928" s="4" t="s">
        <v>2957</v>
      </c>
      <c r="AF928" s="4" t="s">
        <v>2867</v>
      </c>
    </row>
    <row r="929" spans="1:35" ht="36" x14ac:dyDescent="0.3">
      <c r="A929" s="10" t="s">
        <v>2958</v>
      </c>
      <c r="B929" s="10"/>
      <c r="C929" s="30" t="s">
        <v>2959</v>
      </c>
      <c r="D929" s="15"/>
      <c r="E929" s="15"/>
      <c r="F929" s="25" t="s">
        <v>597</v>
      </c>
      <c r="G929" s="26">
        <v>3.6</v>
      </c>
      <c r="H929" s="15"/>
      <c r="I929" s="26">
        <v>0</v>
      </c>
      <c r="J929" s="27">
        <v>15.9</v>
      </c>
      <c r="M929" s="28">
        <f t="shared" si="34"/>
        <v>0</v>
      </c>
      <c r="P929" s="29">
        <v>15.9</v>
      </c>
      <c r="S929" s="28">
        <f t="shared" si="35"/>
        <v>0</v>
      </c>
      <c r="V929" s="9">
        <f t="shared" si="36"/>
        <v>13.25</v>
      </c>
      <c r="Y929" s="9">
        <f t="shared" si="33"/>
        <v>0</v>
      </c>
      <c r="AD929" s="4" t="s">
        <v>2960</v>
      </c>
      <c r="AE929" s="4" t="s">
        <v>2961</v>
      </c>
      <c r="AF929" s="4" t="s">
        <v>2962</v>
      </c>
    </row>
    <row r="930" spans="1:35" ht="18" x14ac:dyDescent="0.3">
      <c r="A930" s="10" t="s">
        <v>2963</v>
      </c>
      <c r="B930" s="10"/>
      <c r="C930" s="24" t="s">
        <v>2964</v>
      </c>
      <c r="D930" s="15"/>
      <c r="E930" s="15"/>
      <c r="F930" s="25" t="s">
        <v>102</v>
      </c>
      <c r="G930" s="26">
        <v>1.2</v>
      </c>
      <c r="H930" s="15"/>
      <c r="I930" s="26">
        <v>0</v>
      </c>
      <c r="J930" s="27">
        <v>22.82</v>
      </c>
      <c r="M930" s="28">
        <f t="shared" si="34"/>
        <v>0</v>
      </c>
      <c r="P930" s="29">
        <v>22.82</v>
      </c>
      <c r="S930" s="28">
        <f t="shared" si="35"/>
        <v>0</v>
      </c>
      <c r="V930" s="9">
        <f t="shared" si="36"/>
        <v>19.02</v>
      </c>
      <c r="Y930" s="9">
        <f t="shared" si="33"/>
        <v>0</v>
      </c>
      <c r="AD930" s="4" t="s">
        <v>2965</v>
      </c>
      <c r="AE930" s="4" t="s">
        <v>2966</v>
      </c>
      <c r="AF930" s="4" t="s">
        <v>2967</v>
      </c>
    </row>
    <row r="931" spans="1:35" ht="18" x14ac:dyDescent="0.3">
      <c r="A931" s="10" t="s">
        <v>2968</v>
      </c>
      <c r="B931" s="10"/>
      <c r="C931" s="24" t="s">
        <v>2879</v>
      </c>
      <c r="D931" s="15"/>
      <c r="E931" s="15"/>
      <c r="F931" s="25" t="s">
        <v>102</v>
      </c>
      <c r="G931" s="26">
        <v>4.7</v>
      </c>
      <c r="H931" s="15"/>
      <c r="I931" s="26">
        <v>0</v>
      </c>
      <c r="J931" s="27">
        <v>66.98</v>
      </c>
      <c r="M931" s="28">
        <f t="shared" si="34"/>
        <v>0</v>
      </c>
      <c r="P931" s="29">
        <v>66.98</v>
      </c>
      <c r="S931" s="28">
        <f t="shared" si="35"/>
        <v>0</v>
      </c>
      <c r="V931" s="9">
        <f t="shared" si="36"/>
        <v>55.82</v>
      </c>
      <c r="Y931" s="9">
        <f t="shared" si="33"/>
        <v>0</v>
      </c>
      <c r="AD931" s="4" t="s">
        <v>2969</v>
      </c>
      <c r="AE931" s="4" t="s">
        <v>2970</v>
      </c>
      <c r="AF931" s="4" t="s">
        <v>2882</v>
      </c>
    </row>
    <row r="932" spans="1:35" ht="18" x14ac:dyDescent="0.3">
      <c r="A932" s="10" t="s">
        <v>2971</v>
      </c>
      <c r="B932" s="10"/>
      <c r="C932" s="30" t="s">
        <v>2972</v>
      </c>
      <c r="D932" s="15"/>
      <c r="E932" s="15"/>
      <c r="F932" s="25" t="s">
        <v>597</v>
      </c>
      <c r="G932" s="26">
        <v>4.2</v>
      </c>
      <c r="H932" s="15"/>
      <c r="I932" s="26">
        <v>0</v>
      </c>
      <c r="J932" s="27">
        <v>4.92</v>
      </c>
      <c r="M932" s="28">
        <f t="shared" si="34"/>
        <v>0</v>
      </c>
      <c r="P932" s="29">
        <v>4.92</v>
      </c>
      <c r="S932" s="28">
        <f t="shared" si="35"/>
        <v>0</v>
      </c>
      <c r="V932" s="9">
        <f t="shared" si="36"/>
        <v>4.0999999999999996</v>
      </c>
      <c r="Y932" s="9">
        <f t="shared" si="33"/>
        <v>0</v>
      </c>
      <c r="AD932" s="4" t="s">
        <v>2973</v>
      </c>
      <c r="AE932" s="4" t="s">
        <v>2974</v>
      </c>
      <c r="AF932" s="4" t="s">
        <v>2975</v>
      </c>
    </row>
    <row r="933" spans="1:35" ht="36" x14ac:dyDescent="0.3">
      <c r="A933" s="10" t="s">
        <v>2976</v>
      </c>
      <c r="B933" s="10"/>
      <c r="C933" s="24" t="s">
        <v>2470</v>
      </c>
      <c r="D933" s="15"/>
      <c r="E933" s="15"/>
      <c r="F933" s="25" t="s">
        <v>62</v>
      </c>
      <c r="G933" s="26">
        <v>1.05</v>
      </c>
      <c r="H933" s="15"/>
      <c r="I933" s="26">
        <v>0</v>
      </c>
      <c r="J933" s="27">
        <v>0</v>
      </c>
      <c r="M933" s="28">
        <f t="shared" si="34"/>
        <v>0</v>
      </c>
      <c r="P933" s="29">
        <v>1520.33</v>
      </c>
      <c r="S933" s="28">
        <f t="shared" si="35"/>
        <v>0</v>
      </c>
      <c r="V933" s="9">
        <f t="shared" si="36"/>
        <v>1266.94</v>
      </c>
      <c r="Y933" s="9">
        <f t="shared" si="33"/>
        <v>0</v>
      </c>
      <c r="AD933" s="4" t="s">
        <v>2977</v>
      </c>
      <c r="AE933" s="4" t="s">
        <v>2978</v>
      </c>
      <c r="AF933" s="4" t="s">
        <v>2473</v>
      </c>
    </row>
    <row r="934" spans="1:35" ht="18" x14ac:dyDescent="0.3">
      <c r="A934" s="10" t="s">
        <v>2979</v>
      </c>
      <c r="B934" s="10"/>
      <c r="C934" s="24" t="s">
        <v>2887</v>
      </c>
      <c r="D934" s="15"/>
      <c r="E934" s="15"/>
      <c r="F934" s="25" t="s">
        <v>102</v>
      </c>
      <c r="G934" s="26">
        <v>1.05</v>
      </c>
      <c r="H934" s="15"/>
      <c r="I934" s="26">
        <v>0</v>
      </c>
      <c r="J934" s="27">
        <v>4.5999999999999996</v>
      </c>
      <c r="M934" s="28">
        <f t="shared" si="34"/>
        <v>0</v>
      </c>
      <c r="P934" s="29">
        <v>4.5999999999999996</v>
      </c>
      <c r="S934" s="28">
        <f t="shared" si="35"/>
        <v>0</v>
      </c>
      <c r="V934" s="9">
        <f t="shared" si="36"/>
        <v>3.83</v>
      </c>
      <c r="Y934" s="9">
        <f t="shared" si="33"/>
        <v>0</v>
      </c>
      <c r="AD934" s="4" t="s">
        <v>2980</v>
      </c>
      <c r="AE934" s="4" t="s">
        <v>2981</v>
      </c>
      <c r="AF934" s="4" t="s">
        <v>2890</v>
      </c>
    </row>
    <row r="935" spans="1:35" ht="18" x14ac:dyDescent="0.3">
      <c r="A935" s="10" t="s">
        <v>2982</v>
      </c>
      <c r="B935" s="10"/>
      <c r="C935" s="24" t="s">
        <v>2983</v>
      </c>
      <c r="D935" s="15"/>
      <c r="E935" s="15"/>
      <c r="F935" s="25" t="s">
        <v>102</v>
      </c>
      <c r="G935" s="26">
        <v>0.25</v>
      </c>
      <c r="H935" s="15"/>
      <c r="I935" s="26">
        <v>0</v>
      </c>
      <c r="J935" s="27">
        <v>2.8</v>
      </c>
      <c r="M935" s="28">
        <f t="shared" si="34"/>
        <v>0</v>
      </c>
      <c r="P935" s="29">
        <v>2.8</v>
      </c>
      <c r="S935" s="28">
        <f t="shared" si="35"/>
        <v>0</v>
      </c>
      <c r="V935" s="9">
        <f t="shared" si="36"/>
        <v>2.33</v>
      </c>
      <c r="Y935" s="9">
        <f t="shared" si="33"/>
        <v>0</v>
      </c>
      <c r="AD935" s="4" t="s">
        <v>2984</v>
      </c>
      <c r="AE935" s="4" t="s">
        <v>2985</v>
      </c>
      <c r="AF935" s="4" t="s">
        <v>2986</v>
      </c>
    </row>
    <row r="936" spans="1:35" ht="36" x14ac:dyDescent="0.3">
      <c r="A936" s="10" t="s">
        <v>2987</v>
      </c>
      <c r="B936" s="10"/>
      <c r="C936" s="24" t="s">
        <v>304</v>
      </c>
      <c r="D936" s="15"/>
      <c r="E936" s="15"/>
      <c r="F936" s="25" t="s">
        <v>278</v>
      </c>
      <c r="G936" s="26">
        <v>0.1</v>
      </c>
      <c r="H936" s="15"/>
      <c r="I936" s="26">
        <v>0</v>
      </c>
      <c r="J936" s="27">
        <v>88.8</v>
      </c>
      <c r="M936" s="28">
        <f t="shared" si="34"/>
        <v>0</v>
      </c>
      <c r="P936" s="29">
        <v>88.8</v>
      </c>
      <c r="S936" s="28">
        <f t="shared" si="35"/>
        <v>0</v>
      </c>
      <c r="V936" s="9">
        <f t="shared" si="36"/>
        <v>74</v>
      </c>
      <c r="Y936" s="9">
        <f t="shared" si="33"/>
        <v>0</v>
      </c>
      <c r="AD936" s="4" t="s">
        <v>2988</v>
      </c>
      <c r="AE936" s="4" t="s">
        <v>2989</v>
      </c>
      <c r="AF936" s="4" t="s">
        <v>307</v>
      </c>
    </row>
    <row r="937" spans="1:35" ht="18" x14ac:dyDescent="0.3">
      <c r="A937" s="10" t="s">
        <v>2990</v>
      </c>
      <c r="B937" s="10"/>
      <c r="C937" s="24" t="s">
        <v>2892</v>
      </c>
      <c r="D937" s="15"/>
      <c r="E937" s="15"/>
      <c r="F937" s="25" t="s">
        <v>597</v>
      </c>
      <c r="G937" s="26">
        <v>0.75</v>
      </c>
      <c r="H937" s="15"/>
      <c r="I937" s="26">
        <v>0</v>
      </c>
      <c r="J937" s="27">
        <v>2.8</v>
      </c>
      <c r="M937" s="28">
        <f t="shared" si="34"/>
        <v>0</v>
      </c>
      <c r="P937" s="29">
        <v>2.8</v>
      </c>
      <c r="S937" s="28">
        <f t="shared" si="35"/>
        <v>0</v>
      </c>
      <c r="V937" s="9">
        <f t="shared" si="36"/>
        <v>2.33</v>
      </c>
      <c r="Y937" s="9">
        <f t="shared" si="33"/>
        <v>0</v>
      </c>
      <c r="AD937" s="4" t="s">
        <v>2991</v>
      </c>
      <c r="AE937" s="4" t="s">
        <v>2992</v>
      </c>
      <c r="AF937" s="4" t="s">
        <v>2895</v>
      </c>
    </row>
    <row r="938" spans="1:35" ht="234" x14ac:dyDescent="0.3">
      <c r="A938" s="10" t="s">
        <v>2993</v>
      </c>
      <c r="B938" s="10" t="s">
        <v>2940</v>
      </c>
      <c r="C938" s="14" t="s">
        <v>2941</v>
      </c>
      <c r="D938" s="15"/>
      <c r="E938" s="15" t="s">
        <v>2994</v>
      </c>
      <c r="F938" s="15" t="s">
        <v>62</v>
      </c>
      <c r="G938" s="16">
        <v>1</v>
      </c>
      <c r="H938" s="15"/>
      <c r="I938" s="16">
        <v>921.3</v>
      </c>
      <c r="J938" s="17">
        <v>480.18</v>
      </c>
      <c r="K938" s="18">
        <v>1379</v>
      </c>
      <c r="L938" s="17">
        <f>J938+ROUND(K938, 2)</f>
        <v>1859.18</v>
      </c>
      <c r="M938" s="17">
        <v>442389.83</v>
      </c>
      <c r="N938" s="17">
        <v>1270472.7</v>
      </c>
      <c r="O938" s="17">
        <f>M938+N938</f>
        <v>1712862.53</v>
      </c>
      <c r="P938" s="17">
        <v>2076.5300000000002</v>
      </c>
      <c r="Q938" s="19">
        <v>2068.5</v>
      </c>
      <c r="R938" s="17">
        <f>P938+ROUND(Q938, 2)</f>
        <v>4145.0300000000007</v>
      </c>
      <c r="S938" s="17">
        <v>1913107.09</v>
      </c>
      <c r="T938" s="17">
        <v>1905709.05</v>
      </c>
      <c r="U938" s="17">
        <f>S938+T938</f>
        <v>3818816.14</v>
      </c>
      <c r="V938" s="9">
        <f>ROUND(P938 / 1.2, 2)</f>
        <v>1730.44</v>
      </c>
      <c r="W938" s="9">
        <f>ROUND(Q938 / 1.2, 2)</f>
        <v>1723.75</v>
      </c>
      <c r="X938" s="9">
        <f>ROUND(R938 / 1.2, 2)</f>
        <v>3454.19</v>
      </c>
      <c r="Y938" s="9">
        <f t="shared" si="33"/>
        <v>1594255.91</v>
      </c>
      <c r="Z938" s="9">
        <f>ROUND(T938 / 1.2, 2)</f>
        <v>1588090.8799999999</v>
      </c>
      <c r="AA938" s="9">
        <f>Y938+Z938</f>
        <v>3182346.79</v>
      </c>
      <c r="AD938" s="4">
        <v>334080783</v>
      </c>
      <c r="AE938" s="4">
        <v>27245737</v>
      </c>
      <c r="AG938" s="4" t="s">
        <v>2942</v>
      </c>
      <c r="AH938" s="4" t="s">
        <v>2943</v>
      </c>
      <c r="AI938" s="4" t="s">
        <v>250</v>
      </c>
    </row>
    <row r="939" spans="1:35" ht="18" x14ac:dyDescent="0.3">
      <c r="A939" s="10" t="s">
        <v>2995</v>
      </c>
      <c r="B939" s="10"/>
      <c r="C939" s="24" t="s">
        <v>2892</v>
      </c>
      <c r="D939" s="15"/>
      <c r="E939" s="15"/>
      <c r="F939" s="25" t="s">
        <v>597</v>
      </c>
      <c r="G939" s="26">
        <v>0.75</v>
      </c>
      <c r="H939" s="15"/>
      <c r="I939" s="26">
        <v>690.97500000000002</v>
      </c>
      <c r="J939" s="27">
        <v>2.8</v>
      </c>
      <c r="M939" s="28">
        <f t="shared" ref="M939:M951" si="37">ROUND(ROUND(J939, 2)*I939, 2)</f>
        <v>1934.73</v>
      </c>
      <c r="P939" s="29">
        <v>2.8</v>
      </c>
      <c r="S939" s="28">
        <f t="shared" ref="S939:S951" si="38">ROUND(ROUND(P939, 2)*I939, 2)</f>
        <v>1934.73</v>
      </c>
      <c r="V939" s="9">
        <f t="shared" ref="V939:V951" si="39">ROUND(ROUND(P939, 2)/1.2, 2)</f>
        <v>2.33</v>
      </c>
      <c r="Y939" s="9">
        <f t="shared" si="33"/>
        <v>1612.28</v>
      </c>
      <c r="AD939" s="4" t="s">
        <v>2996</v>
      </c>
      <c r="AE939" s="4" t="s">
        <v>2997</v>
      </c>
      <c r="AF939" s="4" t="s">
        <v>2895</v>
      </c>
    </row>
    <row r="940" spans="1:35" ht="36" x14ac:dyDescent="0.3">
      <c r="A940" s="10" t="s">
        <v>2998</v>
      </c>
      <c r="B940" s="10"/>
      <c r="C940" s="24" t="s">
        <v>304</v>
      </c>
      <c r="D940" s="15"/>
      <c r="E940" s="15"/>
      <c r="F940" s="25" t="s">
        <v>278</v>
      </c>
      <c r="G940" s="26">
        <v>0.1</v>
      </c>
      <c r="H940" s="15"/>
      <c r="I940" s="26">
        <v>92.13</v>
      </c>
      <c r="J940" s="27">
        <v>88.8</v>
      </c>
      <c r="M940" s="28">
        <f t="shared" si="37"/>
        <v>8181.14</v>
      </c>
      <c r="P940" s="29">
        <v>88.8</v>
      </c>
      <c r="S940" s="28">
        <f t="shared" si="38"/>
        <v>8181.14</v>
      </c>
      <c r="V940" s="9">
        <f t="shared" si="39"/>
        <v>74</v>
      </c>
      <c r="Y940" s="9">
        <f t="shared" si="33"/>
        <v>6817.62</v>
      </c>
      <c r="AD940" s="4" t="s">
        <v>2999</v>
      </c>
      <c r="AE940" s="4" t="s">
        <v>3000</v>
      </c>
      <c r="AF940" s="4" t="s">
        <v>307</v>
      </c>
    </row>
    <row r="941" spans="1:35" ht="18" x14ac:dyDescent="0.3">
      <c r="A941" s="10" t="s">
        <v>3001</v>
      </c>
      <c r="B941" s="10"/>
      <c r="C941" s="24" t="s">
        <v>2983</v>
      </c>
      <c r="D941" s="15"/>
      <c r="E941" s="15"/>
      <c r="F941" s="25" t="s">
        <v>102</v>
      </c>
      <c r="G941" s="26">
        <v>0.25</v>
      </c>
      <c r="H941" s="15"/>
      <c r="I941" s="26">
        <v>230.32499999999999</v>
      </c>
      <c r="J941" s="27">
        <v>2.8</v>
      </c>
      <c r="M941" s="28">
        <f t="shared" si="37"/>
        <v>644.91</v>
      </c>
      <c r="P941" s="29">
        <v>2.8</v>
      </c>
      <c r="S941" s="28">
        <f t="shared" si="38"/>
        <v>644.91</v>
      </c>
      <c r="V941" s="9">
        <f t="shared" si="39"/>
        <v>2.33</v>
      </c>
      <c r="Y941" s="9">
        <f t="shared" si="33"/>
        <v>537.42999999999995</v>
      </c>
      <c r="AD941" s="4" t="s">
        <v>3002</v>
      </c>
      <c r="AE941" s="4" t="s">
        <v>3003</v>
      </c>
      <c r="AF941" s="4" t="s">
        <v>2986</v>
      </c>
    </row>
    <row r="942" spans="1:35" ht="18" x14ac:dyDescent="0.3">
      <c r="A942" s="10" t="s">
        <v>3004</v>
      </c>
      <c r="B942" s="10"/>
      <c r="C942" s="24" t="s">
        <v>2887</v>
      </c>
      <c r="D942" s="15"/>
      <c r="E942" s="15"/>
      <c r="F942" s="25" t="s">
        <v>102</v>
      </c>
      <c r="G942" s="26">
        <v>1.05</v>
      </c>
      <c r="H942" s="15"/>
      <c r="I942" s="26">
        <v>967.36500000000001</v>
      </c>
      <c r="J942" s="27">
        <v>4.5999999999999996</v>
      </c>
      <c r="M942" s="28">
        <f t="shared" si="37"/>
        <v>4449.88</v>
      </c>
      <c r="P942" s="29">
        <v>4.5999999999999996</v>
      </c>
      <c r="S942" s="28">
        <f t="shared" si="38"/>
        <v>4449.88</v>
      </c>
      <c r="V942" s="9">
        <f t="shared" si="39"/>
        <v>3.83</v>
      </c>
      <c r="Y942" s="9">
        <f t="shared" si="33"/>
        <v>3708.23</v>
      </c>
      <c r="AD942" s="4" t="s">
        <v>3005</v>
      </c>
      <c r="AE942" s="4" t="s">
        <v>3006</v>
      </c>
      <c r="AF942" s="4" t="s">
        <v>2890</v>
      </c>
    </row>
    <row r="943" spans="1:35" ht="36" x14ac:dyDescent="0.3">
      <c r="A943" s="10" t="s">
        <v>3007</v>
      </c>
      <c r="B943" s="10"/>
      <c r="C943" s="24" t="s">
        <v>2470</v>
      </c>
      <c r="D943" s="15"/>
      <c r="E943" s="15"/>
      <c r="F943" s="25" t="s">
        <v>62</v>
      </c>
      <c r="G943" s="26">
        <v>1.05</v>
      </c>
      <c r="H943" s="15"/>
      <c r="I943" s="26">
        <v>967.36500000000001</v>
      </c>
      <c r="J943" s="27">
        <v>0</v>
      </c>
      <c r="M943" s="28">
        <f t="shared" si="37"/>
        <v>0</v>
      </c>
      <c r="P943" s="29">
        <v>1520.33</v>
      </c>
      <c r="S943" s="28">
        <f t="shared" si="38"/>
        <v>1470714.03</v>
      </c>
      <c r="V943" s="9">
        <f t="shared" si="39"/>
        <v>1266.94</v>
      </c>
      <c r="Y943" s="9">
        <f t="shared" si="33"/>
        <v>1225595.03</v>
      </c>
      <c r="AD943" s="4" t="s">
        <v>3008</v>
      </c>
      <c r="AE943" s="4" t="s">
        <v>3009</v>
      </c>
      <c r="AF943" s="4" t="s">
        <v>2473</v>
      </c>
    </row>
    <row r="944" spans="1:35" ht="18" x14ac:dyDescent="0.3">
      <c r="A944" s="10" t="s">
        <v>3010</v>
      </c>
      <c r="B944" s="10"/>
      <c r="C944" s="30" t="s">
        <v>2972</v>
      </c>
      <c r="D944" s="15"/>
      <c r="E944" s="15"/>
      <c r="F944" s="25" t="s">
        <v>597</v>
      </c>
      <c r="G944" s="26">
        <v>4.2</v>
      </c>
      <c r="H944" s="15"/>
      <c r="I944" s="26">
        <v>3869.46</v>
      </c>
      <c r="J944" s="27">
        <v>4.92</v>
      </c>
      <c r="M944" s="28">
        <f t="shared" si="37"/>
        <v>19037.740000000002</v>
      </c>
      <c r="P944" s="29">
        <v>4.92</v>
      </c>
      <c r="S944" s="28">
        <f t="shared" si="38"/>
        <v>19037.740000000002</v>
      </c>
      <c r="V944" s="9">
        <f t="shared" si="39"/>
        <v>4.0999999999999996</v>
      </c>
      <c r="Y944" s="9">
        <f t="shared" si="33"/>
        <v>15864.78</v>
      </c>
      <c r="AD944" s="4" t="s">
        <v>3011</v>
      </c>
      <c r="AE944" s="4" t="s">
        <v>3012</v>
      </c>
      <c r="AF944" s="4" t="s">
        <v>2975</v>
      </c>
    </row>
    <row r="945" spans="1:35" ht="18" x14ac:dyDescent="0.3">
      <c r="A945" s="10" t="s">
        <v>3013</v>
      </c>
      <c r="B945" s="10"/>
      <c r="C945" s="24" t="s">
        <v>2964</v>
      </c>
      <c r="D945" s="15"/>
      <c r="E945" s="15"/>
      <c r="F945" s="25" t="s">
        <v>102</v>
      </c>
      <c r="G945" s="26">
        <v>1.2</v>
      </c>
      <c r="H945" s="15"/>
      <c r="I945" s="26">
        <v>1105.56</v>
      </c>
      <c r="J945" s="27">
        <v>22.82</v>
      </c>
      <c r="M945" s="28">
        <f t="shared" si="37"/>
        <v>25228.880000000001</v>
      </c>
      <c r="P945" s="29">
        <v>22.82</v>
      </c>
      <c r="S945" s="28">
        <f t="shared" si="38"/>
        <v>25228.880000000001</v>
      </c>
      <c r="V945" s="9">
        <f t="shared" si="39"/>
        <v>19.02</v>
      </c>
      <c r="Y945" s="9">
        <f t="shared" si="33"/>
        <v>21024.07</v>
      </c>
      <c r="AD945" s="4" t="s">
        <v>3014</v>
      </c>
      <c r="AE945" s="4" t="s">
        <v>3015</v>
      </c>
      <c r="AF945" s="4" t="s">
        <v>2967</v>
      </c>
    </row>
    <row r="946" spans="1:35" ht="18" x14ac:dyDescent="0.3">
      <c r="A946" s="10" t="s">
        <v>3016</v>
      </c>
      <c r="B946" s="10"/>
      <c r="C946" s="24" t="s">
        <v>2879</v>
      </c>
      <c r="D946" s="15"/>
      <c r="E946" s="15"/>
      <c r="F946" s="25" t="s">
        <v>102</v>
      </c>
      <c r="G946" s="26">
        <v>4.7</v>
      </c>
      <c r="H946" s="15"/>
      <c r="I946" s="26">
        <v>4330.1099999999997</v>
      </c>
      <c r="J946" s="27">
        <v>66.98</v>
      </c>
      <c r="M946" s="28">
        <f t="shared" si="37"/>
        <v>290030.77</v>
      </c>
      <c r="P946" s="29">
        <v>66.98</v>
      </c>
      <c r="S946" s="28">
        <f t="shared" si="38"/>
        <v>290030.77</v>
      </c>
      <c r="V946" s="9">
        <f t="shared" si="39"/>
        <v>55.82</v>
      </c>
      <c r="Y946" s="9">
        <f t="shared" si="33"/>
        <v>241692.31</v>
      </c>
      <c r="AD946" s="4" t="s">
        <v>3017</v>
      </c>
      <c r="AE946" s="4" t="s">
        <v>3018</v>
      </c>
      <c r="AF946" s="4" t="s">
        <v>2882</v>
      </c>
    </row>
    <row r="947" spans="1:35" ht="36" x14ac:dyDescent="0.3">
      <c r="A947" s="10" t="s">
        <v>3019</v>
      </c>
      <c r="B947" s="10"/>
      <c r="C947" s="30" t="s">
        <v>2959</v>
      </c>
      <c r="D947" s="15"/>
      <c r="E947" s="15"/>
      <c r="F947" s="25" t="s">
        <v>597</v>
      </c>
      <c r="G947" s="26">
        <v>3.6</v>
      </c>
      <c r="H947" s="15"/>
      <c r="I947" s="26">
        <v>3316.68</v>
      </c>
      <c r="J947" s="27">
        <v>15.9</v>
      </c>
      <c r="M947" s="28">
        <f t="shared" si="37"/>
        <v>52735.21</v>
      </c>
      <c r="P947" s="29">
        <v>15.9</v>
      </c>
      <c r="S947" s="28">
        <f t="shared" si="38"/>
        <v>52735.21</v>
      </c>
      <c r="V947" s="9">
        <f t="shared" si="39"/>
        <v>13.25</v>
      </c>
      <c r="Y947" s="9">
        <f t="shared" si="33"/>
        <v>43946.01</v>
      </c>
      <c r="AD947" s="4" t="s">
        <v>3020</v>
      </c>
      <c r="AE947" s="4" t="s">
        <v>3021</v>
      </c>
      <c r="AF947" s="4" t="s">
        <v>2962</v>
      </c>
    </row>
    <row r="948" spans="1:35" ht="18" x14ac:dyDescent="0.3">
      <c r="A948" s="10" t="s">
        <v>3022</v>
      </c>
      <c r="B948" s="10"/>
      <c r="C948" s="24" t="s">
        <v>2864</v>
      </c>
      <c r="D948" s="15"/>
      <c r="E948" s="15"/>
      <c r="F948" s="25" t="s">
        <v>597</v>
      </c>
      <c r="G948" s="26">
        <v>0.3</v>
      </c>
      <c r="H948" s="15"/>
      <c r="I948" s="26">
        <v>276.39</v>
      </c>
      <c r="J948" s="27">
        <v>5.6</v>
      </c>
      <c r="M948" s="28">
        <f t="shared" si="37"/>
        <v>1547.78</v>
      </c>
      <c r="P948" s="29">
        <v>5.6</v>
      </c>
      <c r="S948" s="28">
        <f t="shared" si="38"/>
        <v>1547.78</v>
      </c>
      <c r="V948" s="9">
        <f t="shared" si="39"/>
        <v>4.67</v>
      </c>
      <c r="Y948" s="9">
        <f t="shared" ref="Y948:Y971" si="40">ROUND(S948 / 1.2, 2)</f>
        <v>1289.82</v>
      </c>
      <c r="AD948" s="4" t="s">
        <v>3023</v>
      </c>
      <c r="AE948" s="4" t="s">
        <v>3024</v>
      </c>
      <c r="AF948" s="4" t="s">
        <v>2867</v>
      </c>
    </row>
    <row r="949" spans="1:35" ht="18" x14ac:dyDescent="0.3">
      <c r="A949" s="10" t="s">
        <v>3025</v>
      </c>
      <c r="B949" s="10"/>
      <c r="C949" s="24" t="s">
        <v>2951</v>
      </c>
      <c r="D949" s="15"/>
      <c r="E949" s="15"/>
      <c r="F949" s="25" t="s">
        <v>278</v>
      </c>
      <c r="G949" s="26">
        <v>0.35</v>
      </c>
      <c r="H949" s="15"/>
      <c r="I949" s="26">
        <v>322.45499999999998</v>
      </c>
      <c r="J949" s="27">
        <v>55</v>
      </c>
      <c r="M949" s="28">
        <f t="shared" si="37"/>
        <v>17735.03</v>
      </c>
      <c r="P949" s="29">
        <v>55</v>
      </c>
      <c r="S949" s="28">
        <f t="shared" si="38"/>
        <v>17735.03</v>
      </c>
      <c r="V949" s="9">
        <f t="shared" si="39"/>
        <v>45.83</v>
      </c>
      <c r="Y949" s="9">
        <f t="shared" si="40"/>
        <v>14779.19</v>
      </c>
      <c r="AD949" s="4" t="s">
        <v>3026</v>
      </c>
      <c r="AE949" s="4" t="s">
        <v>3027</v>
      </c>
      <c r="AF949" s="4" t="s">
        <v>2954</v>
      </c>
    </row>
    <row r="950" spans="1:35" ht="18" x14ac:dyDescent="0.3">
      <c r="A950" s="10" t="s">
        <v>3028</v>
      </c>
      <c r="B950" s="10"/>
      <c r="C950" s="24" t="s">
        <v>2859</v>
      </c>
      <c r="D950" s="15"/>
      <c r="E950" s="15"/>
      <c r="F950" s="25" t="s">
        <v>597</v>
      </c>
      <c r="G950" s="26">
        <v>30</v>
      </c>
      <c r="H950" s="15"/>
      <c r="I950" s="26">
        <v>27639</v>
      </c>
      <c r="J950" s="27">
        <v>0.28000000000000003</v>
      </c>
      <c r="M950" s="28">
        <f t="shared" si="37"/>
        <v>7738.92</v>
      </c>
      <c r="P950" s="29">
        <v>0.28000000000000003</v>
      </c>
      <c r="S950" s="28">
        <f t="shared" si="38"/>
        <v>7738.92</v>
      </c>
      <c r="V950" s="9">
        <f t="shared" si="39"/>
        <v>0.23</v>
      </c>
      <c r="Y950" s="9">
        <f t="shared" si="40"/>
        <v>6449.1</v>
      </c>
      <c r="AD950" s="4" t="s">
        <v>3029</v>
      </c>
      <c r="AE950" s="4" t="s">
        <v>3030</v>
      </c>
      <c r="AF950" s="4" t="s">
        <v>2862</v>
      </c>
    </row>
    <row r="951" spans="1:35" ht="18" x14ac:dyDescent="0.3">
      <c r="A951" s="10" t="s">
        <v>3031</v>
      </c>
      <c r="B951" s="10"/>
      <c r="C951" s="24" t="s">
        <v>2854</v>
      </c>
      <c r="D951" s="15"/>
      <c r="E951" s="15"/>
      <c r="F951" s="25" t="s">
        <v>597</v>
      </c>
      <c r="G951" s="26">
        <v>15</v>
      </c>
      <c r="H951" s="15"/>
      <c r="I951" s="26">
        <v>13819.5</v>
      </c>
      <c r="J951" s="27">
        <v>0.95</v>
      </c>
      <c r="M951" s="28">
        <f t="shared" si="37"/>
        <v>13128.53</v>
      </c>
      <c r="P951" s="29">
        <v>0.95</v>
      </c>
      <c r="S951" s="28">
        <f t="shared" si="38"/>
        <v>13128.53</v>
      </c>
      <c r="V951" s="9">
        <f t="shared" si="39"/>
        <v>0.79</v>
      </c>
      <c r="Y951" s="9">
        <f t="shared" si="40"/>
        <v>10940.44</v>
      </c>
      <c r="AD951" s="4" t="s">
        <v>3032</v>
      </c>
      <c r="AE951" s="4" t="s">
        <v>3033</v>
      </c>
      <c r="AF951" s="4" t="s">
        <v>2857</v>
      </c>
    </row>
    <row r="952" spans="1:35" ht="36" x14ac:dyDescent="0.3">
      <c r="A952" s="10" t="s">
        <v>3034</v>
      </c>
      <c r="B952" s="10" t="s">
        <v>3035</v>
      </c>
      <c r="C952" s="14" t="s">
        <v>3036</v>
      </c>
      <c r="D952" s="15"/>
      <c r="E952" s="15"/>
      <c r="F952" s="15" t="s">
        <v>62</v>
      </c>
      <c r="G952" s="16">
        <v>1</v>
      </c>
      <c r="H952" s="15"/>
      <c r="I952" s="16">
        <v>0</v>
      </c>
      <c r="J952" s="17">
        <v>0</v>
      </c>
      <c r="K952" s="18">
        <v>963</v>
      </c>
      <c r="L952" s="17">
        <f>J952+ROUND(K952, 2)</f>
        <v>963</v>
      </c>
      <c r="M952" s="17">
        <v>0</v>
      </c>
      <c r="N952" s="17">
        <v>0</v>
      </c>
      <c r="O952" s="17">
        <f>M952+N952</f>
        <v>0</v>
      </c>
      <c r="P952" s="17">
        <v>902.98</v>
      </c>
      <c r="Q952" s="19">
        <v>963</v>
      </c>
      <c r="R952" s="17">
        <f>P952+ROUND(Q952, 2)</f>
        <v>1865.98</v>
      </c>
      <c r="S952" s="17">
        <v>0</v>
      </c>
      <c r="T952" s="17">
        <v>0</v>
      </c>
      <c r="U952" s="17">
        <f>S952+T952</f>
        <v>0</v>
      </c>
      <c r="V952" s="9">
        <f>ROUND(P952 / 1.2, 2)</f>
        <v>752.48</v>
      </c>
      <c r="W952" s="9">
        <f>ROUND(Q952 / 1.2, 2)</f>
        <v>802.5</v>
      </c>
      <c r="X952" s="9">
        <f>ROUND(R952 / 1.2, 2)</f>
        <v>1554.98</v>
      </c>
      <c r="Y952" s="9">
        <f t="shared" si="40"/>
        <v>0</v>
      </c>
      <c r="Z952" s="9">
        <f>ROUND(T952 / 1.2, 2)</f>
        <v>0</v>
      </c>
      <c r="AA952" s="9">
        <f>Y952+Z952</f>
        <v>0</v>
      </c>
      <c r="AD952" s="4">
        <v>334080571</v>
      </c>
      <c r="AE952" s="4">
        <v>27245621</v>
      </c>
      <c r="AG952" s="4" t="s">
        <v>3037</v>
      </c>
      <c r="AH952" s="4" t="s">
        <v>3038</v>
      </c>
      <c r="AI952" s="4" t="s">
        <v>250</v>
      </c>
    </row>
    <row r="953" spans="1:35" ht="36" x14ac:dyDescent="0.3">
      <c r="A953" s="10" t="s">
        <v>3039</v>
      </c>
      <c r="B953" s="10"/>
      <c r="C953" s="30" t="s">
        <v>3040</v>
      </c>
      <c r="D953" s="15"/>
      <c r="E953" s="15"/>
      <c r="F953" s="25" t="s">
        <v>62</v>
      </c>
      <c r="G953" s="26">
        <v>1.1000000000000001</v>
      </c>
      <c r="H953" s="15"/>
      <c r="I953" s="31">
        <v>0</v>
      </c>
      <c r="J953" s="27">
        <v>820.89</v>
      </c>
      <c r="M953" s="28">
        <f>ROUND(ROUND(J953, 2)*I953, 2)</f>
        <v>0</v>
      </c>
      <c r="P953" s="29">
        <v>820.89</v>
      </c>
      <c r="S953" s="28">
        <f>ROUND(ROUND(P953, 2)*I953, 2)</f>
        <v>0</v>
      </c>
      <c r="V953" s="9">
        <f>ROUND(ROUND(P953, 2)/1.2, 2)</f>
        <v>684.08</v>
      </c>
      <c r="Y953" s="9">
        <f t="shared" si="40"/>
        <v>0</v>
      </c>
      <c r="AD953" s="4" t="s">
        <v>3041</v>
      </c>
      <c r="AE953" s="4" t="s">
        <v>3042</v>
      </c>
      <c r="AF953" s="4" t="s">
        <v>3043</v>
      </c>
    </row>
    <row r="954" spans="1:35" ht="36" x14ac:dyDescent="0.3">
      <c r="A954" s="10" t="s">
        <v>3044</v>
      </c>
      <c r="B954" s="10" t="s">
        <v>3035</v>
      </c>
      <c r="C954" s="14" t="s">
        <v>3036</v>
      </c>
      <c r="D954" s="15"/>
      <c r="E954" s="15"/>
      <c r="F954" s="15" t="s">
        <v>62</v>
      </c>
      <c r="G954" s="16">
        <v>1</v>
      </c>
      <c r="H954" s="15"/>
      <c r="I954" s="16">
        <v>0</v>
      </c>
      <c r="J954" s="17">
        <v>0</v>
      </c>
      <c r="K954" s="18">
        <v>963</v>
      </c>
      <c r="L954" s="17">
        <f>J954+ROUND(K954, 2)</f>
        <v>963</v>
      </c>
      <c r="M954" s="17">
        <v>0</v>
      </c>
      <c r="N954" s="17">
        <v>0</v>
      </c>
      <c r="O954" s="17">
        <f>M954+N954</f>
        <v>0</v>
      </c>
      <c r="P954" s="17">
        <v>855.89</v>
      </c>
      <c r="Q954" s="19">
        <v>963</v>
      </c>
      <c r="R954" s="17">
        <f>P954+ROUND(Q954, 2)</f>
        <v>1818.8899999999999</v>
      </c>
      <c r="S954" s="17">
        <v>0</v>
      </c>
      <c r="T954" s="17">
        <v>0</v>
      </c>
      <c r="U954" s="17">
        <f>S954+T954</f>
        <v>0</v>
      </c>
      <c r="V954" s="9">
        <f>ROUND(P954 / 1.2, 2)</f>
        <v>713.24</v>
      </c>
      <c r="W954" s="9">
        <f>ROUND(Q954 / 1.2, 2)</f>
        <v>802.5</v>
      </c>
      <c r="X954" s="9">
        <f>ROUND(R954 / 1.2, 2)</f>
        <v>1515.74</v>
      </c>
      <c r="Y954" s="9">
        <f t="shared" si="40"/>
        <v>0</v>
      </c>
      <c r="Z954" s="9">
        <f>ROUND(T954 / 1.2, 2)</f>
        <v>0</v>
      </c>
      <c r="AA954" s="9">
        <f>Y954+Z954</f>
        <v>0</v>
      </c>
      <c r="AD954" s="4">
        <v>334080784</v>
      </c>
      <c r="AE954" s="4">
        <v>27245622</v>
      </c>
      <c r="AG954" s="4" t="s">
        <v>3037</v>
      </c>
      <c r="AH954" s="4" t="s">
        <v>3038</v>
      </c>
      <c r="AI954" s="4" t="s">
        <v>250</v>
      </c>
    </row>
    <row r="955" spans="1:35" ht="18" x14ac:dyDescent="0.3">
      <c r="A955" s="10" t="s">
        <v>3045</v>
      </c>
      <c r="B955" s="10"/>
      <c r="C955" s="30" t="s">
        <v>3046</v>
      </c>
      <c r="D955" s="15"/>
      <c r="E955" s="15"/>
      <c r="F955" s="25" t="s">
        <v>62</v>
      </c>
      <c r="G955" s="26">
        <v>1.1000000000000001</v>
      </c>
      <c r="H955" s="15"/>
      <c r="I955" s="31">
        <v>0</v>
      </c>
      <c r="J955" s="27">
        <v>778.08</v>
      </c>
      <c r="M955" s="28">
        <f>ROUND(ROUND(J955, 2)*I955, 2)</f>
        <v>0</v>
      </c>
      <c r="P955" s="29">
        <v>778.08</v>
      </c>
      <c r="S955" s="28">
        <f>ROUND(ROUND(P955, 2)*I955, 2)</f>
        <v>0</v>
      </c>
      <c r="V955" s="9">
        <f>ROUND(ROUND(P955, 2)/1.2, 2)</f>
        <v>648.4</v>
      </c>
      <c r="Y955" s="9">
        <f t="shared" si="40"/>
        <v>0</v>
      </c>
      <c r="AD955" s="4" t="s">
        <v>3047</v>
      </c>
      <c r="AE955" s="4" t="s">
        <v>3048</v>
      </c>
      <c r="AF955" s="4" t="s">
        <v>3049</v>
      </c>
    </row>
    <row r="956" spans="1:35" ht="36" x14ac:dyDescent="0.3">
      <c r="A956" s="10" t="s">
        <v>3050</v>
      </c>
      <c r="B956" s="10" t="s">
        <v>3035</v>
      </c>
      <c r="C956" s="14" t="s">
        <v>3036</v>
      </c>
      <c r="D956" s="15"/>
      <c r="E956" s="15"/>
      <c r="F956" s="15" t="s">
        <v>62</v>
      </c>
      <c r="G956" s="16">
        <v>1</v>
      </c>
      <c r="H956" s="15"/>
      <c r="I956" s="16">
        <v>0</v>
      </c>
      <c r="J956" s="17">
        <v>0</v>
      </c>
      <c r="K956" s="18">
        <v>963</v>
      </c>
      <c r="L956" s="17">
        <f>J956+ROUND(K956, 2)</f>
        <v>963</v>
      </c>
      <c r="M956" s="17">
        <v>0</v>
      </c>
      <c r="N956" s="17">
        <v>0</v>
      </c>
      <c r="O956" s="17">
        <f>M956+N956</f>
        <v>0</v>
      </c>
      <c r="P956" s="17">
        <v>855.89</v>
      </c>
      <c r="Q956" s="19">
        <v>963</v>
      </c>
      <c r="R956" s="17">
        <f>P956+ROUND(Q956, 2)</f>
        <v>1818.8899999999999</v>
      </c>
      <c r="S956" s="17">
        <v>0</v>
      </c>
      <c r="T956" s="17">
        <v>0</v>
      </c>
      <c r="U956" s="17">
        <f>S956+T956</f>
        <v>0</v>
      </c>
      <c r="V956" s="9">
        <f>ROUND(P956 / 1.2, 2)</f>
        <v>713.24</v>
      </c>
      <c r="W956" s="9">
        <f>ROUND(Q956 / 1.2, 2)</f>
        <v>802.5</v>
      </c>
      <c r="X956" s="9">
        <f>ROUND(R956 / 1.2, 2)</f>
        <v>1515.74</v>
      </c>
      <c r="Y956" s="9">
        <f t="shared" si="40"/>
        <v>0</v>
      </c>
      <c r="Z956" s="9">
        <f>ROUND(T956 / 1.2, 2)</f>
        <v>0</v>
      </c>
      <c r="AA956" s="9">
        <f>Y956+Z956</f>
        <v>0</v>
      </c>
      <c r="AD956" s="4">
        <v>334080785</v>
      </c>
      <c r="AE956" s="4">
        <v>27245623</v>
      </c>
      <c r="AG956" s="4" t="s">
        <v>3037</v>
      </c>
      <c r="AH956" s="4" t="s">
        <v>3038</v>
      </c>
      <c r="AI956" s="4" t="s">
        <v>250</v>
      </c>
    </row>
    <row r="957" spans="1:35" ht="18" x14ac:dyDescent="0.3">
      <c r="A957" s="10" t="s">
        <v>3051</v>
      </c>
      <c r="B957" s="10"/>
      <c r="C957" s="30" t="s">
        <v>3046</v>
      </c>
      <c r="D957" s="15"/>
      <c r="E957" s="15"/>
      <c r="F957" s="25" t="s">
        <v>62</v>
      </c>
      <c r="G957" s="26">
        <v>1.1000000000000001</v>
      </c>
      <c r="H957" s="15"/>
      <c r="I957" s="31">
        <v>0</v>
      </c>
      <c r="J957" s="27">
        <v>778.08</v>
      </c>
      <c r="M957" s="28">
        <f>ROUND(ROUND(J957, 2)*I957, 2)</f>
        <v>0</v>
      </c>
      <c r="P957" s="29">
        <v>778.08</v>
      </c>
      <c r="S957" s="28">
        <f>ROUND(ROUND(P957, 2)*I957, 2)</f>
        <v>0</v>
      </c>
      <c r="V957" s="9">
        <f>ROUND(ROUND(P957, 2)/1.2, 2)</f>
        <v>648.4</v>
      </c>
      <c r="Y957" s="9">
        <f t="shared" si="40"/>
        <v>0</v>
      </c>
      <c r="AD957" s="4" t="s">
        <v>3052</v>
      </c>
      <c r="AE957" s="4" t="s">
        <v>3053</v>
      </c>
      <c r="AF957" s="4" t="s">
        <v>3049</v>
      </c>
    </row>
    <row r="958" spans="1:35" ht="36" x14ac:dyDescent="0.3">
      <c r="A958" s="10" t="s">
        <v>3054</v>
      </c>
      <c r="B958" s="10" t="s">
        <v>3035</v>
      </c>
      <c r="C958" s="14" t="s">
        <v>3036</v>
      </c>
      <c r="D958" s="15"/>
      <c r="E958" s="15"/>
      <c r="F958" s="15" t="s">
        <v>62</v>
      </c>
      <c r="G958" s="16">
        <v>1</v>
      </c>
      <c r="H958" s="15"/>
      <c r="I958" s="16">
        <v>0</v>
      </c>
      <c r="J958" s="17">
        <v>0</v>
      </c>
      <c r="K958" s="18">
        <v>963</v>
      </c>
      <c r="L958" s="17">
        <f>J958+ROUND(K958, 2)</f>
        <v>963</v>
      </c>
      <c r="M958" s="17">
        <v>0</v>
      </c>
      <c r="N958" s="17">
        <v>0</v>
      </c>
      <c r="O958" s="17">
        <f>M958+N958</f>
        <v>0</v>
      </c>
      <c r="P958" s="17">
        <v>855</v>
      </c>
      <c r="Q958" s="19">
        <v>963</v>
      </c>
      <c r="R958" s="17">
        <f>P958+ROUND(Q958, 2)</f>
        <v>1818</v>
      </c>
      <c r="S958" s="17">
        <v>0</v>
      </c>
      <c r="T958" s="17">
        <v>0</v>
      </c>
      <c r="U958" s="17">
        <f>S958+T958</f>
        <v>0</v>
      </c>
      <c r="V958" s="9">
        <f>ROUND(P958 / 1.2, 2)</f>
        <v>712.5</v>
      </c>
      <c r="W958" s="9">
        <f>ROUND(Q958 / 1.2, 2)</f>
        <v>802.5</v>
      </c>
      <c r="X958" s="9">
        <f>ROUND(R958 / 1.2, 2)</f>
        <v>1515</v>
      </c>
      <c r="Y958" s="9">
        <f t="shared" si="40"/>
        <v>0</v>
      </c>
      <c r="Z958" s="9">
        <f>ROUND(T958 / 1.2, 2)</f>
        <v>0</v>
      </c>
      <c r="AA958" s="9">
        <f>Y958+Z958</f>
        <v>0</v>
      </c>
      <c r="AD958" s="4">
        <v>334080786</v>
      </c>
      <c r="AE958" s="4">
        <v>27245624</v>
      </c>
      <c r="AG958" s="4" t="s">
        <v>3037</v>
      </c>
      <c r="AH958" s="4" t="s">
        <v>3038</v>
      </c>
      <c r="AI958" s="4" t="s">
        <v>250</v>
      </c>
    </row>
    <row r="959" spans="1:35" ht="18" x14ac:dyDescent="0.3">
      <c r="A959" s="10" t="s">
        <v>3055</v>
      </c>
      <c r="B959" s="10"/>
      <c r="C959" s="24" t="s">
        <v>3056</v>
      </c>
      <c r="D959" s="15"/>
      <c r="E959" s="15"/>
      <c r="F959" s="25" t="s">
        <v>62</v>
      </c>
      <c r="G959" s="26">
        <v>1</v>
      </c>
      <c r="H959" s="15"/>
      <c r="I959" s="31">
        <v>0</v>
      </c>
      <c r="J959" s="27">
        <v>0</v>
      </c>
      <c r="M959" s="28">
        <f>ROUND(ROUND(J959, 2)*I959, 2)</f>
        <v>0</v>
      </c>
      <c r="P959" s="29">
        <v>855</v>
      </c>
      <c r="S959" s="28">
        <f>ROUND(ROUND(P959, 2)*I959, 2)</f>
        <v>0</v>
      </c>
      <c r="V959" s="9">
        <f>ROUND(ROUND(P959, 2)/1.2, 2)</f>
        <v>712.5</v>
      </c>
      <c r="Y959" s="9">
        <f t="shared" si="40"/>
        <v>0</v>
      </c>
      <c r="AD959" s="4" t="s">
        <v>3057</v>
      </c>
      <c r="AE959" s="4" t="s">
        <v>3058</v>
      </c>
      <c r="AF959" s="4" t="s">
        <v>3059</v>
      </c>
    </row>
    <row r="960" spans="1:35" ht="54" x14ac:dyDescent="0.3">
      <c r="A960" s="10" t="s">
        <v>3060</v>
      </c>
      <c r="B960" s="10" t="s">
        <v>3035</v>
      </c>
      <c r="C960" s="14" t="s">
        <v>3036</v>
      </c>
      <c r="D960" s="15"/>
      <c r="E960" s="15" t="s">
        <v>3061</v>
      </c>
      <c r="F960" s="15" t="s">
        <v>62</v>
      </c>
      <c r="G960" s="16">
        <v>1</v>
      </c>
      <c r="H960" s="15"/>
      <c r="I960" s="16">
        <v>716.1</v>
      </c>
      <c r="J960" s="17">
        <v>902.99</v>
      </c>
      <c r="K960" s="18">
        <v>963</v>
      </c>
      <c r="L960" s="17">
        <f>J960+ROUND(K960, 2)</f>
        <v>1865.99</v>
      </c>
      <c r="M960" s="17">
        <v>646631.14</v>
      </c>
      <c r="N960" s="17">
        <v>689604.3</v>
      </c>
      <c r="O960" s="17">
        <f>M960+N960</f>
        <v>1336235.44</v>
      </c>
      <c r="P960" s="17">
        <v>902.98</v>
      </c>
      <c r="Q960" s="19">
        <v>1444.5</v>
      </c>
      <c r="R960" s="17">
        <f>P960+ROUND(Q960, 2)</f>
        <v>2347.48</v>
      </c>
      <c r="S960" s="17">
        <v>646623.98</v>
      </c>
      <c r="T960" s="17">
        <v>1034406.45</v>
      </c>
      <c r="U960" s="17">
        <f>S960+T960</f>
        <v>1681030.43</v>
      </c>
      <c r="V960" s="9">
        <f>ROUND(P960 / 1.2, 2)</f>
        <v>752.48</v>
      </c>
      <c r="W960" s="9">
        <f>ROUND(Q960 / 1.2, 2)</f>
        <v>1203.75</v>
      </c>
      <c r="X960" s="9">
        <f>ROUND(R960 / 1.2, 2)</f>
        <v>1956.23</v>
      </c>
      <c r="Y960" s="9">
        <f t="shared" si="40"/>
        <v>538853.31999999995</v>
      </c>
      <c r="Z960" s="9">
        <f>ROUND(T960 / 1.2, 2)</f>
        <v>862005.38</v>
      </c>
      <c r="AA960" s="9">
        <f>Y960+Z960</f>
        <v>1400858.7</v>
      </c>
      <c r="AD960" s="4">
        <v>334080787</v>
      </c>
      <c r="AE960" s="4">
        <v>27245738</v>
      </c>
      <c r="AG960" s="4" t="s">
        <v>3037</v>
      </c>
      <c r="AH960" s="4" t="s">
        <v>3038</v>
      </c>
      <c r="AI960" s="4" t="s">
        <v>250</v>
      </c>
    </row>
    <row r="961" spans="1:35" ht="36" x14ac:dyDescent="0.3">
      <c r="A961" s="10" t="s">
        <v>3062</v>
      </c>
      <c r="B961" s="10"/>
      <c r="C961" s="30" t="s">
        <v>3040</v>
      </c>
      <c r="D961" s="15"/>
      <c r="E961" s="15"/>
      <c r="F961" s="25" t="s">
        <v>62</v>
      </c>
      <c r="G961" s="26">
        <v>1.1000000000000001</v>
      </c>
      <c r="H961" s="15"/>
      <c r="I961" s="31">
        <v>787.71</v>
      </c>
      <c r="J961" s="27">
        <v>820.9</v>
      </c>
      <c r="M961" s="28">
        <f>ROUND(ROUND(J961, 2)*I961, 2)</f>
        <v>646631.14</v>
      </c>
      <c r="P961" s="29">
        <v>820.89</v>
      </c>
      <c r="S961" s="28">
        <f>ROUND(ROUND(P961, 2)*I961, 2)</f>
        <v>646623.26</v>
      </c>
      <c r="V961" s="9">
        <f>ROUND(ROUND(P961, 2)/1.2, 2)</f>
        <v>684.08</v>
      </c>
      <c r="Y961" s="9">
        <f t="shared" si="40"/>
        <v>538852.72</v>
      </c>
      <c r="AD961" s="4" t="s">
        <v>3063</v>
      </c>
      <c r="AE961" s="4" t="s">
        <v>3064</v>
      </c>
      <c r="AF961" s="4" t="s">
        <v>3043</v>
      </c>
    </row>
    <row r="962" spans="1:35" ht="72" x14ac:dyDescent="0.3">
      <c r="A962" s="10" t="s">
        <v>3065</v>
      </c>
      <c r="B962" s="10" t="s">
        <v>3035</v>
      </c>
      <c r="C962" s="14" t="s">
        <v>3036</v>
      </c>
      <c r="D962" s="15"/>
      <c r="E962" s="15" t="s">
        <v>3066</v>
      </c>
      <c r="F962" s="15" t="s">
        <v>62</v>
      </c>
      <c r="G962" s="16">
        <v>1</v>
      </c>
      <c r="H962" s="15"/>
      <c r="I962" s="16">
        <v>1176</v>
      </c>
      <c r="J962" s="17">
        <v>855.89</v>
      </c>
      <c r="K962" s="18">
        <v>963</v>
      </c>
      <c r="L962" s="17">
        <f>J962+ROUND(K962, 2)</f>
        <v>1818.8899999999999</v>
      </c>
      <c r="M962" s="17">
        <v>1006526.64</v>
      </c>
      <c r="N962" s="17">
        <v>1132488</v>
      </c>
      <c r="O962" s="17">
        <f>M962+N962</f>
        <v>2139014.64</v>
      </c>
      <c r="P962" s="17">
        <v>855.89</v>
      </c>
      <c r="Q962" s="19">
        <v>1444.5</v>
      </c>
      <c r="R962" s="17">
        <f>P962+ROUND(Q962, 2)</f>
        <v>2300.39</v>
      </c>
      <c r="S962" s="17">
        <v>1006526.64</v>
      </c>
      <c r="T962" s="17">
        <v>1698732</v>
      </c>
      <c r="U962" s="17">
        <f>S962+T962</f>
        <v>2705258.64</v>
      </c>
      <c r="V962" s="9">
        <f>ROUND(P962 / 1.2, 2)</f>
        <v>713.24</v>
      </c>
      <c r="W962" s="9">
        <f>ROUND(Q962 / 1.2, 2)</f>
        <v>1203.75</v>
      </c>
      <c r="X962" s="9">
        <f>ROUND(R962 / 1.2, 2)</f>
        <v>1916.99</v>
      </c>
      <c r="Y962" s="9">
        <f t="shared" si="40"/>
        <v>838772.2</v>
      </c>
      <c r="Z962" s="9">
        <f>ROUND(T962 / 1.2, 2)</f>
        <v>1415610</v>
      </c>
      <c r="AA962" s="9">
        <f>Y962+Z962</f>
        <v>2254382.2000000002</v>
      </c>
      <c r="AD962" s="4">
        <v>334080788</v>
      </c>
      <c r="AE962" s="4">
        <v>27245739</v>
      </c>
      <c r="AG962" s="4" t="s">
        <v>3037</v>
      </c>
      <c r="AH962" s="4" t="s">
        <v>3038</v>
      </c>
      <c r="AI962" s="4" t="s">
        <v>250</v>
      </c>
    </row>
    <row r="963" spans="1:35" ht="18" x14ac:dyDescent="0.3">
      <c r="A963" s="10" t="s">
        <v>3067</v>
      </c>
      <c r="B963" s="10"/>
      <c r="C963" s="30" t="s">
        <v>3046</v>
      </c>
      <c r="D963" s="15"/>
      <c r="E963" s="15"/>
      <c r="F963" s="25" t="s">
        <v>62</v>
      </c>
      <c r="G963" s="26">
        <v>1.1000000000000001</v>
      </c>
      <c r="H963" s="15"/>
      <c r="I963" s="31">
        <v>1293.5999999999999</v>
      </c>
      <c r="J963" s="27">
        <v>778.08</v>
      </c>
      <c r="M963" s="28">
        <f>ROUND(ROUND(J963, 2)*I963, 2)</f>
        <v>1006524.29</v>
      </c>
      <c r="P963" s="29">
        <v>778.08</v>
      </c>
      <c r="S963" s="28">
        <f>ROUND(ROUND(P963, 2)*I963, 2)</f>
        <v>1006524.29</v>
      </c>
      <c r="V963" s="9">
        <f>ROUND(ROUND(P963, 2)/1.2, 2)</f>
        <v>648.4</v>
      </c>
      <c r="Y963" s="9">
        <f t="shared" si="40"/>
        <v>838770.24</v>
      </c>
      <c r="AD963" s="4" t="s">
        <v>3068</v>
      </c>
      <c r="AE963" s="4" t="s">
        <v>3069</v>
      </c>
      <c r="AF963" s="4" t="s">
        <v>3049</v>
      </c>
    </row>
    <row r="964" spans="1:35" ht="90" x14ac:dyDescent="0.3">
      <c r="A964" s="10" t="s">
        <v>3070</v>
      </c>
      <c r="B964" s="10" t="s">
        <v>3035</v>
      </c>
      <c r="C964" s="14" t="s">
        <v>3036</v>
      </c>
      <c r="D964" s="15"/>
      <c r="E964" s="15" t="s">
        <v>3071</v>
      </c>
      <c r="F964" s="15" t="s">
        <v>62</v>
      </c>
      <c r="G964" s="16">
        <v>1</v>
      </c>
      <c r="H964" s="15"/>
      <c r="I964" s="16">
        <v>21.5</v>
      </c>
      <c r="J964" s="17">
        <v>855.89</v>
      </c>
      <c r="K964" s="18">
        <v>963</v>
      </c>
      <c r="L964" s="17">
        <f>J964+ROUND(K964, 2)</f>
        <v>1818.8899999999999</v>
      </c>
      <c r="M964" s="17">
        <v>18401.64</v>
      </c>
      <c r="N964" s="17">
        <v>20704.5</v>
      </c>
      <c r="O964" s="17">
        <f>M964+N964</f>
        <v>39106.14</v>
      </c>
      <c r="P964" s="17">
        <v>855.89</v>
      </c>
      <c r="Q964" s="19">
        <v>1444.5</v>
      </c>
      <c r="R964" s="17">
        <f>P964+ROUND(Q964, 2)</f>
        <v>2300.39</v>
      </c>
      <c r="S964" s="17">
        <v>18401.64</v>
      </c>
      <c r="T964" s="17">
        <v>31056.75</v>
      </c>
      <c r="U964" s="17">
        <f>S964+T964</f>
        <v>49458.39</v>
      </c>
      <c r="V964" s="9">
        <f>ROUND(P964 / 1.2, 2)</f>
        <v>713.24</v>
      </c>
      <c r="W964" s="9">
        <f>ROUND(Q964 / 1.2, 2)</f>
        <v>1203.75</v>
      </c>
      <c r="X964" s="9">
        <f>ROUND(R964 / 1.2, 2)</f>
        <v>1916.99</v>
      </c>
      <c r="Y964" s="9">
        <f t="shared" si="40"/>
        <v>15334.7</v>
      </c>
      <c r="Z964" s="9">
        <f>ROUND(T964 / 1.2, 2)</f>
        <v>25880.63</v>
      </c>
      <c r="AA964" s="9">
        <f>Y964+Z964</f>
        <v>41215.33</v>
      </c>
      <c r="AD964" s="4">
        <v>334080789</v>
      </c>
      <c r="AE964" s="4">
        <v>27245734</v>
      </c>
      <c r="AG964" s="4" t="s">
        <v>3037</v>
      </c>
      <c r="AH964" s="4" t="s">
        <v>3038</v>
      </c>
      <c r="AI964" s="4" t="s">
        <v>250</v>
      </c>
    </row>
    <row r="965" spans="1:35" ht="18" x14ac:dyDescent="0.3">
      <c r="A965" s="10" t="s">
        <v>3072</v>
      </c>
      <c r="B965" s="10"/>
      <c r="C965" s="30" t="s">
        <v>3046</v>
      </c>
      <c r="D965" s="15"/>
      <c r="E965" s="15"/>
      <c r="F965" s="25" t="s">
        <v>62</v>
      </c>
      <c r="G965" s="26">
        <v>1.1000000000000001</v>
      </c>
      <c r="H965" s="15"/>
      <c r="I965" s="31">
        <v>23.65</v>
      </c>
      <c r="J965" s="27">
        <v>778.08</v>
      </c>
      <c r="M965" s="28">
        <f>ROUND(ROUND(J965, 2)*I965, 2)</f>
        <v>18401.59</v>
      </c>
      <c r="P965" s="29">
        <v>778.08</v>
      </c>
      <c r="S965" s="28">
        <f>ROUND(ROUND(P965, 2)*I965, 2)</f>
        <v>18401.59</v>
      </c>
      <c r="V965" s="9">
        <f>ROUND(ROUND(P965, 2)/1.2, 2)</f>
        <v>648.4</v>
      </c>
      <c r="Y965" s="9">
        <f t="shared" si="40"/>
        <v>15334.66</v>
      </c>
      <c r="AD965" s="4" t="s">
        <v>3073</v>
      </c>
      <c r="AE965" s="4" t="s">
        <v>3074</v>
      </c>
      <c r="AF965" s="4" t="s">
        <v>3049</v>
      </c>
    </row>
    <row r="966" spans="1:35" ht="198" x14ac:dyDescent="0.3">
      <c r="A966" s="10" t="s">
        <v>3075</v>
      </c>
      <c r="B966" s="10" t="s">
        <v>3035</v>
      </c>
      <c r="C966" s="14" t="s">
        <v>3036</v>
      </c>
      <c r="D966" s="15"/>
      <c r="E966" s="15" t="s">
        <v>3076</v>
      </c>
      <c r="F966" s="15" t="s">
        <v>62</v>
      </c>
      <c r="G966" s="16">
        <v>1</v>
      </c>
      <c r="H966" s="15"/>
      <c r="I966" s="16">
        <v>63.6</v>
      </c>
      <c r="J966" s="17">
        <v>0</v>
      </c>
      <c r="K966" s="18">
        <v>963</v>
      </c>
      <c r="L966" s="17">
        <f>J966+ROUND(K966, 2)</f>
        <v>963</v>
      </c>
      <c r="M966" s="17">
        <v>0</v>
      </c>
      <c r="N966" s="17">
        <v>61246.8</v>
      </c>
      <c r="O966" s="17">
        <f>M966+N966</f>
        <v>61246.8</v>
      </c>
      <c r="P966" s="17">
        <v>855</v>
      </c>
      <c r="Q966" s="19">
        <v>1444.5</v>
      </c>
      <c r="R966" s="17">
        <f>P966+ROUND(Q966, 2)</f>
        <v>2299.5</v>
      </c>
      <c r="S966" s="17">
        <v>54378</v>
      </c>
      <c r="T966" s="17">
        <v>91870.2</v>
      </c>
      <c r="U966" s="17">
        <f>S966+T966</f>
        <v>146248.20000000001</v>
      </c>
      <c r="V966" s="9">
        <f>ROUND(P966 / 1.2, 2)</f>
        <v>712.5</v>
      </c>
      <c r="W966" s="9">
        <f>ROUND(Q966 / 1.2, 2)</f>
        <v>1203.75</v>
      </c>
      <c r="X966" s="9">
        <f>ROUND(R966 / 1.2, 2)</f>
        <v>1916.25</v>
      </c>
      <c r="Y966" s="9">
        <f t="shared" si="40"/>
        <v>45315</v>
      </c>
      <c r="Z966" s="9">
        <f>ROUND(T966 / 1.2, 2)</f>
        <v>76558.5</v>
      </c>
      <c r="AA966" s="9">
        <f>Y966+Z966</f>
        <v>121873.5</v>
      </c>
      <c r="AD966" s="4">
        <v>334080790</v>
      </c>
      <c r="AE966" s="4">
        <v>27245730</v>
      </c>
      <c r="AG966" s="4" t="s">
        <v>3037</v>
      </c>
      <c r="AH966" s="4" t="s">
        <v>3038</v>
      </c>
      <c r="AI966" s="4" t="s">
        <v>250</v>
      </c>
    </row>
    <row r="967" spans="1:35" ht="18" x14ac:dyDescent="0.3">
      <c r="A967" s="10" t="s">
        <v>3077</v>
      </c>
      <c r="B967" s="10"/>
      <c r="C967" s="24" t="s">
        <v>3056</v>
      </c>
      <c r="D967" s="15"/>
      <c r="E967" s="15"/>
      <c r="F967" s="25" t="s">
        <v>62</v>
      </c>
      <c r="G967" s="26">
        <v>1</v>
      </c>
      <c r="H967" s="15"/>
      <c r="I967" s="31">
        <v>63.6</v>
      </c>
      <c r="J967" s="27">
        <v>0</v>
      </c>
      <c r="M967" s="28">
        <f>ROUND(ROUND(J967, 2)*I967, 2)</f>
        <v>0</v>
      </c>
      <c r="P967" s="29">
        <v>855</v>
      </c>
      <c r="S967" s="28">
        <f>ROUND(ROUND(P967, 2)*I967, 2)</f>
        <v>54378</v>
      </c>
      <c r="V967" s="9">
        <f>ROUND(ROUND(P967, 2)/1.2, 2)</f>
        <v>712.5</v>
      </c>
      <c r="Y967" s="9">
        <f t="shared" si="40"/>
        <v>45315</v>
      </c>
      <c r="AD967" s="4" t="s">
        <v>3078</v>
      </c>
      <c r="AE967" s="4" t="s">
        <v>3079</v>
      </c>
      <c r="AF967" s="4" t="s">
        <v>3059</v>
      </c>
    </row>
    <row r="968" spans="1:35" ht="162" x14ac:dyDescent="0.3">
      <c r="A968" s="11" t="s">
        <v>3080</v>
      </c>
      <c r="B968" s="11" t="s">
        <v>3035</v>
      </c>
      <c r="C968" s="20" t="s">
        <v>3036</v>
      </c>
      <c r="D968" s="21"/>
      <c r="E968" s="21" t="s">
        <v>3081</v>
      </c>
      <c r="F968" s="21" t="s">
        <v>62</v>
      </c>
      <c r="G968" s="22">
        <v>1</v>
      </c>
      <c r="H968" s="21"/>
      <c r="I968" s="22">
        <v>709.67</v>
      </c>
      <c r="J968" s="23">
        <f>IFERROR(ROUND(SUM(M969)/I968, 2),0)</f>
        <v>936.4</v>
      </c>
      <c r="K968" s="23">
        <v>962.99</v>
      </c>
      <c r="L968" s="23">
        <f>J968+ROUND(K968, 2)</f>
        <v>1899.3899999999999</v>
      </c>
      <c r="M968" s="23">
        <f>ROUND(J968*I968, 2)</f>
        <v>664534.99</v>
      </c>
      <c r="N968" s="23">
        <f>ROUND(I968*ROUND(K968, 2), 2)</f>
        <v>683405.11</v>
      </c>
      <c r="O968" s="23">
        <f>M968+N968</f>
        <v>1347940.1</v>
      </c>
      <c r="P968" s="23">
        <f>IFERROR(ROUND(SUM(S969)/I968, 2),0)</f>
        <v>1700.85</v>
      </c>
      <c r="Q968" s="23">
        <v>1444.5</v>
      </c>
      <c r="R968" s="23">
        <f>P968+ROUND(Q968, 2)</f>
        <v>3145.35</v>
      </c>
      <c r="S968" s="23">
        <f>ROUND(P968*I968, 2)</f>
        <v>1207042.22</v>
      </c>
      <c r="T968" s="23">
        <f>ROUND(I968*ROUND(Q968, 2), 2)</f>
        <v>1025118.32</v>
      </c>
      <c r="U968" s="23">
        <f>S968+T968</f>
        <v>2232160.54</v>
      </c>
      <c r="V968" s="9">
        <f>ROUND(P968 / 1.2, 2)</f>
        <v>1417.38</v>
      </c>
      <c r="W968" s="9">
        <f>ROUND(Q968 / 1.2, 2)</f>
        <v>1203.75</v>
      </c>
      <c r="X968" s="9">
        <f>ROUND(R968 / 1.2, 2)</f>
        <v>2621.13</v>
      </c>
      <c r="Y968" s="9">
        <f t="shared" si="40"/>
        <v>1005868.52</v>
      </c>
      <c r="Z968" s="9">
        <f>ROUND(T968 / 1.2, 2)</f>
        <v>854265.27</v>
      </c>
      <c r="AA968" s="9">
        <f>Y968+Z968</f>
        <v>1860133.79</v>
      </c>
      <c r="AD968" s="4">
        <v>334080791</v>
      </c>
      <c r="AE968" s="4">
        <v>29442622</v>
      </c>
      <c r="AG968" s="4" t="s">
        <v>3037</v>
      </c>
      <c r="AH968" s="4" t="s">
        <v>3038</v>
      </c>
      <c r="AI968" s="4" t="s">
        <v>250</v>
      </c>
    </row>
    <row r="969" spans="1:35" ht="36" x14ac:dyDescent="0.3">
      <c r="A969" s="11" t="s">
        <v>3082</v>
      </c>
      <c r="B969" s="11"/>
      <c r="C969" s="30" t="s">
        <v>3040</v>
      </c>
      <c r="D969" s="21"/>
      <c r="E969" s="21"/>
      <c r="F969" s="33" t="s">
        <v>62</v>
      </c>
      <c r="G969" s="34">
        <v>1.1000000000000001</v>
      </c>
      <c r="H969" s="21"/>
      <c r="I969" s="37">
        <v>780.63699999999994</v>
      </c>
      <c r="J969" s="35">
        <v>851.27</v>
      </c>
      <c r="K969" s="12"/>
      <c r="L969" s="12"/>
      <c r="M969" s="35">
        <f>ROUND(ROUND(J969, 2)*I969, 2)</f>
        <v>664532.86</v>
      </c>
      <c r="N969" s="12"/>
      <c r="O969" s="12"/>
      <c r="P969" s="35">
        <v>1546.23</v>
      </c>
      <c r="Q969" s="12"/>
      <c r="R969" s="12"/>
      <c r="S969" s="35">
        <f>ROUND(ROUND(P969, 2)*I969, 2)</f>
        <v>1207044.3500000001</v>
      </c>
      <c r="T969" s="12"/>
      <c r="U969" s="36"/>
      <c r="V969" s="9">
        <f>ROUND(ROUND(P969, 2)/1.2, 2)</f>
        <v>1288.53</v>
      </c>
      <c r="Y969" s="9">
        <f t="shared" si="40"/>
        <v>1005870.29</v>
      </c>
      <c r="AD969" s="4" t="s">
        <v>3083</v>
      </c>
      <c r="AE969" s="4" t="s">
        <v>3084</v>
      </c>
      <c r="AF969" s="4" t="s">
        <v>3043</v>
      </c>
    </row>
    <row r="970" spans="1:35" ht="144" x14ac:dyDescent="0.3">
      <c r="A970" s="11" t="s">
        <v>3085</v>
      </c>
      <c r="B970" s="11" t="s">
        <v>3035</v>
      </c>
      <c r="C970" s="20" t="s">
        <v>3036</v>
      </c>
      <c r="D970" s="21"/>
      <c r="E970" s="21" t="s">
        <v>3086</v>
      </c>
      <c r="F970" s="21" t="s">
        <v>62</v>
      </c>
      <c r="G970" s="22">
        <v>1</v>
      </c>
      <c r="H970" s="21"/>
      <c r="I970" s="22">
        <v>1323.8</v>
      </c>
      <c r="J970" s="23">
        <f>IFERROR(ROUND(SUM(M971)/I970, 2),0)</f>
        <v>887.56</v>
      </c>
      <c r="K970" s="23">
        <v>962.99</v>
      </c>
      <c r="L970" s="23">
        <f>J970+ROUND(K970, 2)</f>
        <v>1850.55</v>
      </c>
      <c r="M970" s="23">
        <f>ROUND(J970*I970, 2)</f>
        <v>1174951.93</v>
      </c>
      <c r="N970" s="23">
        <f>ROUND(I970*ROUND(K970, 2), 2)</f>
        <v>1274806.1599999999</v>
      </c>
      <c r="O970" s="23">
        <f>M970+N970</f>
        <v>2449758.09</v>
      </c>
      <c r="P970" s="23">
        <f>IFERROR(ROUND(SUM(S971)/I970, 2),0)</f>
        <v>1441.61</v>
      </c>
      <c r="Q970" s="23">
        <v>1444.5</v>
      </c>
      <c r="R970" s="23">
        <f>P970+ROUND(Q970, 2)</f>
        <v>2886.1099999999997</v>
      </c>
      <c r="S970" s="23">
        <f>ROUND(P970*I970, 2)</f>
        <v>1908403.32</v>
      </c>
      <c r="T970" s="23">
        <f>ROUND(I970*ROUND(Q970, 2), 2)</f>
        <v>1912229.1</v>
      </c>
      <c r="U970" s="23">
        <f>S970+T970</f>
        <v>3820632.42</v>
      </c>
      <c r="V970" s="9">
        <f>ROUND(P970 / 1.2, 2)</f>
        <v>1201.3399999999999</v>
      </c>
      <c r="W970" s="9">
        <f>ROUND(Q970 / 1.2, 2)</f>
        <v>1203.75</v>
      </c>
      <c r="X970" s="9">
        <f>ROUND(R970 / 1.2, 2)</f>
        <v>2405.09</v>
      </c>
      <c r="Y970" s="9">
        <f t="shared" si="40"/>
        <v>1590336.1</v>
      </c>
      <c r="Z970" s="9">
        <f>ROUND(T970 / 1.2, 2)</f>
        <v>1593524.25</v>
      </c>
      <c r="AA970" s="9">
        <f>Y970+Z970</f>
        <v>3183860.35</v>
      </c>
      <c r="AD970" s="4">
        <v>334080792</v>
      </c>
      <c r="AE970" s="4">
        <v>29442623</v>
      </c>
      <c r="AG970" s="4" t="s">
        <v>3037</v>
      </c>
      <c r="AH970" s="4" t="s">
        <v>3038</v>
      </c>
      <c r="AI970" s="4" t="s">
        <v>250</v>
      </c>
    </row>
    <row r="971" spans="1:35" ht="72" x14ac:dyDescent="0.3">
      <c r="A971" s="11" t="s">
        <v>3087</v>
      </c>
      <c r="B971" s="11"/>
      <c r="C971" s="30" t="s">
        <v>3046</v>
      </c>
      <c r="D971" s="21"/>
      <c r="E971" s="21" t="s">
        <v>3088</v>
      </c>
      <c r="F971" s="33" t="s">
        <v>62</v>
      </c>
      <c r="G971" s="34">
        <v>1.1000000000000001</v>
      </c>
      <c r="H971" s="21"/>
      <c r="I971" s="37">
        <v>1456.18</v>
      </c>
      <c r="J971" s="35">
        <v>806.87</v>
      </c>
      <c r="K971" s="12"/>
      <c r="L971" s="12"/>
      <c r="M971" s="35">
        <f>ROUND(ROUND(J971, 2)*I971, 2)</f>
        <v>1174947.96</v>
      </c>
      <c r="N971" s="12"/>
      <c r="O971" s="12"/>
      <c r="P971" s="35">
        <v>1310.55</v>
      </c>
      <c r="Q971" s="12"/>
      <c r="R971" s="12"/>
      <c r="S971" s="35">
        <f>ROUND(ROUND(P971, 2)*I971, 2)</f>
        <v>1908396.7</v>
      </c>
      <c r="T971" s="12"/>
      <c r="U971" s="36"/>
      <c r="V971" s="9">
        <f>ROUND(ROUND(P971, 2)/1.2, 2)</f>
        <v>1092.1300000000001</v>
      </c>
      <c r="Y971" s="9">
        <f t="shared" si="40"/>
        <v>1590330.58</v>
      </c>
      <c r="AD971" s="4" t="s">
        <v>3089</v>
      </c>
      <c r="AE971" s="4" t="s">
        <v>3090</v>
      </c>
      <c r="AF971" s="4" t="s">
        <v>3049</v>
      </c>
    </row>
    <row r="972" spans="1:35" ht="16.95" customHeight="1" x14ac:dyDescent="0.3">
      <c r="A972" s="11" t="s">
        <v>3091</v>
      </c>
      <c r="B972" s="11" t="s">
        <v>3092</v>
      </c>
      <c r="C972" s="94" t="s">
        <v>3093</v>
      </c>
      <c r="D972" s="95"/>
      <c r="E972" s="95"/>
      <c r="F972" s="95"/>
      <c r="G972" s="95"/>
      <c r="H972" s="95"/>
      <c r="I972" s="96"/>
      <c r="J972" s="12"/>
      <c r="K972" s="12"/>
      <c r="L972" s="12"/>
      <c r="M972" s="13">
        <f>SUM(M973,M975)</f>
        <v>1242163</v>
      </c>
      <c r="N972" s="13">
        <f>SUM(N973,N975)</f>
        <v>183600.54</v>
      </c>
      <c r="O972" s="13">
        <f>SUM(O973,O975)</f>
        <v>1425763.54</v>
      </c>
      <c r="P972" s="12"/>
      <c r="Q972" s="12"/>
      <c r="R972" s="12"/>
      <c r="S972" s="13">
        <f>SUM(S973,S975)</f>
        <v>1617000</v>
      </c>
      <c r="T972" s="13">
        <f>SUM(T973,T975)</f>
        <v>275400.53999999998</v>
      </c>
      <c r="U972" s="13">
        <f>SUM(U973,U975)</f>
        <v>1892400.54</v>
      </c>
      <c r="Y972" s="9">
        <f>SUM(Y973,Y975)</f>
        <v>1347500</v>
      </c>
      <c r="Z972" s="9">
        <f>SUM(Z973,Z975)</f>
        <v>229500.45</v>
      </c>
      <c r="AA972" s="9">
        <f>SUM(AA973,AA975)</f>
        <v>1577000.4500000002</v>
      </c>
      <c r="AD972" s="4">
        <v>334080572</v>
      </c>
      <c r="AE972" s="4">
        <v>29448371</v>
      </c>
    </row>
    <row r="973" spans="1:35" ht="108" x14ac:dyDescent="0.3">
      <c r="A973" s="11" t="s">
        <v>3094</v>
      </c>
      <c r="B973" s="11" t="s">
        <v>3095</v>
      </c>
      <c r="C973" s="20" t="s">
        <v>3096</v>
      </c>
      <c r="D973" s="21"/>
      <c r="E973" s="21" t="s">
        <v>3097</v>
      </c>
      <c r="F973" s="21" t="s">
        <v>597</v>
      </c>
      <c r="G973" s="22">
        <v>1</v>
      </c>
      <c r="H973" s="21"/>
      <c r="I973" s="22">
        <v>10</v>
      </c>
      <c r="J973" s="23">
        <f>IFERROR(ROUND(SUM(M974)/I973, 2),0)</f>
        <v>22851.3</v>
      </c>
      <c r="K973" s="23">
        <v>3400.01</v>
      </c>
      <c r="L973" s="23">
        <f>J973+ROUND(K973, 2)</f>
        <v>26251.309999999998</v>
      </c>
      <c r="M973" s="23">
        <f>ROUND(J973*I973, 2)</f>
        <v>228513</v>
      </c>
      <c r="N973" s="23">
        <f>ROUND(I973*ROUND(K973, 2), 2)</f>
        <v>34000.1</v>
      </c>
      <c r="O973" s="23">
        <f>M973+N973</f>
        <v>262513.09999999998</v>
      </c>
      <c r="P973" s="23">
        <f>IFERROR(ROUND(SUM(S974)/I973, 2),0)</f>
        <v>31570</v>
      </c>
      <c r="Q973" s="23">
        <v>5100.01</v>
      </c>
      <c r="R973" s="23">
        <f>P973+ROUND(Q973, 2)</f>
        <v>36670.01</v>
      </c>
      <c r="S973" s="23">
        <f>ROUND(P973*I973, 2)</f>
        <v>315700</v>
      </c>
      <c r="T973" s="23">
        <f>ROUND(I973*ROUND(Q973, 2), 2)</f>
        <v>51000.1</v>
      </c>
      <c r="U973" s="23">
        <f>S973+T973</f>
        <v>366700.1</v>
      </c>
      <c r="V973" s="9">
        <f>ROUND(P973 / 1.2, 2)</f>
        <v>26308.33</v>
      </c>
      <c r="W973" s="9">
        <f>ROUND(Q973 / 1.2, 2)</f>
        <v>4250.01</v>
      </c>
      <c r="X973" s="9">
        <f>ROUND(R973 / 1.2, 2)</f>
        <v>30558.34</v>
      </c>
      <c r="Y973" s="9">
        <f>ROUND(S973 / 1.2, 2)</f>
        <v>263083.33</v>
      </c>
      <c r="Z973" s="9">
        <f>ROUND(T973 / 1.2, 2)</f>
        <v>42500.08</v>
      </c>
      <c r="AA973" s="9">
        <f>Y973+Z973</f>
        <v>305583.41000000003</v>
      </c>
      <c r="AD973" s="4">
        <v>334080574</v>
      </c>
      <c r="AE973" s="4">
        <v>29448379</v>
      </c>
      <c r="AG973" s="4" t="s">
        <v>3098</v>
      </c>
      <c r="AH973" s="4" t="s">
        <v>3099</v>
      </c>
      <c r="AI973" s="4" t="s">
        <v>250</v>
      </c>
    </row>
    <row r="974" spans="1:35" ht="36" x14ac:dyDescent="0.3">
      <c r="A974" s="11" t="s">
        <v>3100</v>
      </c>
      <c r="B974" s="11"/>
      <c r="C974" s="32" t="s">
        <v>3101</v>
      </c>
      <c r="D974" s="21"/>
      <c r="E974" s="21" t="s">
        <v>3102</v>
      </c>
      <c r="F974" s="33" t="s">
        <v>597</v>
      </c>
      <c r="G974" s="34">
        <v>1</v>
      </c>
      <c r="H974" s="21"/>
      <c r="I974" s="37">
        <v>10</v>
      </c>
      <c r="J974" s="35">
        <v>22851.3</v>
      </c>
      <c r="K974" s="12"/>
      <c r="L974" s="12"/>
      <c r="M974" s="35">
        <f>ROUND(ROUND(J974, 2)*I974, 2)</f>
        <v>228513</v>
      </c>
      <c r="N974" s="12"/>
      <c r="O974" s="12"/>
      <c r="P974" s="35">
        <v>31570</v>
      </c>
      <c r="Q974" s="12"/>
      <c r="R974" s="12"/>
      <c r="S974" s="35">
        <f>ROUND(ROUND(P974, 2)*I974, 2)</f>
        <v>315700</v>
      </c>
      <c r="T974" s="12"/>
      <c r="U974" s="36"/>
      <c r="V974" s="9">
        <f>ROUND(ROUND(P974, 2)/1.2, 2)</f>
        <v>26308.33</v>
      </c>
      <c r="Y974" s="9">
        <f>ROUND(S974 / 1.2, 2)</f>
        <v>263083.33</v>
      </c>
      <c r="AD974" s="4" t="s">
        <v>3103</v>
      </c>
      <c r="AE974" s="4" t="s">
        <v>3104</v>
      </c>
      <c r="AF974" s="4" t="s">
        <v>3105</v>
      </c>
    </row>
    <row r="975" spans="1:35" ht="108" x14ac:dyDescent="0.3">
      <c r="A975" s="11" t="s">
        <v>3106</v>
      </c>
      <c r="B975" s="11" t="s">
        <v>3095</v>
      </c>
      <c r="C975" s="20" t="s">
        <v>3096</v>
      </c>
      <c r="D975" s="21"/>
      <c r="E975" s="21" t="s">
        <v>3107</v>
      </c>
      <c r="F975" s="21" t="s">
        <v>597</v>
      </c>
      <c r="G975" s="22">
        <v>1</v>
      </c>
      <c r="H975" s="21"/>
      <c r="I975" s="22">
        <v>44</v>
      </c>
      <c r="J975" s="23">
        <f>IFERROR(ROUND(SUM(M976)/I975, 2),0)</f>
        <v>23037.5</v>
      </c>
      <c r="K975" s="23">
        <v>3400.01</v>
      </c>
      <c r="L975" s="23">
        <f>J975+ROUND(K975, 2)</f>
        <v>26437.510000000002</v>
      </c>
      <c r="M975" s="23">
        <f>ROUND(J975*I975, 2)</f>
        <v>1013650</v>
      </c>
      <c r="N975" s="23">
        <f>ROUND(I975*ROUND(K975, 2), 2)</f>
        <v>149600.44</v>
      </c>
      <c r="O975" s="23">
        <f>M975+N975</f>
        <v>1163250.44</v>
      </c>
      <c r="P975" s="23">
        <f>IFERROR(ROUND(SUM(S976)/I975, 2),0)</f>
        <v>29575</v>
      </c>
      <c r="Q975" s="23">
        <v>5100.01</v>
      </c>
      <c r="R975" s="23">
        <f>P975+ROUND(Q975, 2)</f>
        <v>34675.01</v>
      </c>
      <c r="S975" s="23">
        <f>ROUND(P975*I975, 2)</f>
        <v>1301300</v>
      </c>
      <c r="T975" s="23">
        <f>ROUND(I975*ROUND(Q975, 2), 2)</f>
        <v>224400.44</v>
      </c>
      <c r="U975" s="23">
        <f>S975+T975</f>
        <v>1525700.44</v>
      </c>
      <c r="V975" s="9">
        <f>ROUND(P975 / 1.2, 2)</f>
        <v>24645.83</v>
      </c>
      <c r="W975" s="9">
        <f>ROUND(Q975 / 1.2, 2)</f>
        <v>4250.01</v>
      </c>
      <c r="X975" s="9">
        <f>ROUND(R975 / 1.2, 2)</f>
        <v>28895.84</v>
      </c>
      <c r="Y975" s="9">
        <f>ROUND(S975 / 1.2, 2)</f>
        <v>1084416.67</v>
      </c>
      <c r="Z975" s="9">
        <f>ROUND(T975 / 1.2, 2)</f>
        <v>187000.37</v>
      </c>
      <c r="AA975" s="9">
        <f>Y975+Z975</f>
        <v>1271417.04</v>
      </c>
      <c r="AD975" s="4">
        <v>334080798</v>
      </c>
      <c r="AE975" s="4">
        <v>29448378</v>
      </c>
      <c r="AG975" s="4" t="s">
        <v>3098</v>
      </c>
      <c r="AH975" s="4" t="s">
        <v>3099</v>
      </c>
      <c r="AI975" s="4" t="s">
        <v>250</v>
      </c>
    </row>
    <row r="976" spans="1:35" ht="36" x14ac:dyDescent="0.3">
      <c r="A976" s="11" t="s">
        <v>3108</v>
      </c>
      <c r="B976" s="11"/>
      <c r="C976" s="30" t="s">
        <v>3109</v>
      </c>
      <c r="D976" s="21"/>
      <c r="E976" s="21" t="s">
        <v>3110</v>
      </c>
      <c r="F976" s="33" t="s">
        <v>597</v>
      </c>
      <c r="G976" s="34">
        <v>1</v>
      </c>
      <c r="H976" s="21"/>
      <c r="I976" s="37">
        <v>44</v>
      </c>
      <c r="J976" s="35">
        <v>23037.5</v>
      </c>
      <c r="K976" s="12"/>
      <c r="L976" s="12"/>
      <c r="M976" s="35">
        <f>ROUND(ROUND(J976, 2)*I976, 2)</f>
        <v>1013650</v>
      </c>
      <c r="N976" s="12"/>
      <c r="O976" s="12"/>
      <c r="P976" s="35">
        <v>29575</v>
      </c>
      <c r="Q976" s="12"/>
      <c r="R976" s="12"/>
      <c r="S976" s="35">
        <f>ROUND(ROUND(P976, 2)*I976, 2)</f>
        <v>1301300</v>
      </c>
      <c r="T976" s="12"/>
      <c r="U976" s="36"/>
      <c r="V976" s="9">
        <f>ROUND(ROUND(P976, 2)/1.2, 2)</f>
        <v>24645.83</v>
      </c>
      <c r="Y976" s="9">
        <f>ROUND(S976 / 1.2, 2)</f>
        <v>1084416.67</v>
      </c>
      <c r="AD976" s="4" t="s">
        <v>3111</v>
      </c>
      <c r="AE976" s="4" t="s">
        <v>3112</v>
      </c>
      <c r="AF976" s="4" t="s">
        <v>3113</v>
      </c>
    </row>
    <row r="977" spans="1:35" ht="16.95" customHeight="1" x14ac:dyDescent="0.3">
      <c r="A977" s="11" t="s">
        <v>3114</v>
      </c>
      <c r="B977" s="11" t="s">
        <v>3115</v>
      </c>
      <c r="C977" s="94" t="s">
        <v>3116</v>
      </c>
      <c r="D977" s="95"/>
      <c r="E977" s="95"/>
      <c r="F977" s="95"/>
      <c r="G977" s="95"/>
      <c r="H977" s="95"/>
      <c r="I977" s="96"/>
      <c r="J977" s="12"/>
      <c r="K977" s="12"/>
      <c r="L977" s="12"/>
      <c r="M977" s="13">
        <f>SUM(M978)</f>
        <v>0</v>
      </c>
      <c r="N977" s="13">
        <f>SUM(N978)</f>
        <v>1298932.8</v>
      </c>
      <c r="O977" s="13">
        <f>SUM(O978)</f>
        <v>1298932.8</v>
      </c>
      <c r="P977" s="12"/>
      <c r="Q977" s="12"/>
      <c r="R977" s="12"/>
      <c r="S977" s="13">
        <f>SUM(S978)</f>
        <v>0</v>
      </c>
      <c r="T977" s="13">
        <f>SUM(T978)</f>
        <v>1948399.2</v>
      </c>
      <c r="U977" s="13">
        <f>SUM(U978)</f>
        <v>1948399.2</v>
      </c>
      <c r="Y977" s="9">
        <f>SUM(Y978)</f>
        <v>0</v>
      </c>
      <c r="Z977" s="9">
        <f>SUM(Z978)</f>
        <v>1623666</v>
      </c>
      <c r="AA977" s="9">
        <f>SUM(AA978)</f>
        <v>1623666</v>
      </c>
      <c r="AD977" s="4">
        <v>334080575</v>
      </c>
      <c r="AE977" s="4">
        <v>29299399</v>
      </c>
    </row>
    <row r="978" spans="1:35" ht="126" x14ac:dyDescent="0.3">
      <c r="A978" s="11" t="s">
        <v>3117</v>
      </c>
      <c r="B978" s="11" t="s">
        <v>3118</v>
      </c>
      <c r="C978" s="20" t="s">
        <v>3119</v>
      </c>
      <c r="D978" s="21"/>
      <c r="E978" s="21" t="s">
        <v>3120</v>
      </c>
      <c r="F978" s="21" t="s">
        <v>62</v>
      </c>
      <c r="G978" s="22">
        <v>1</v>
      </c>
      <c r="H978" s="21"/>
      <c r="I978" s="22">
        <v>9840.4</v>
      </c>
      <c r="J978" s="23">
        <v>0</v>
      </c>
      <c r="K978" s="23">
        <v>132</v>
      </c>
      <c r="L978" s="23">
        <f>J978+ROUND(K978, 2)</f>
        <v>132</v>
      </c>
      <c r="M978" s="23">
        <v>0</v>
      </c>
      <c r="N978" s="23">
        <f>ROUND(I978*ROUND(K978, 2), 2)</f>
        <v>1298932.8</v>
      </c>
      <c r="O978" s="23">
        <f>M978+N978</f>
        <v>1298932.8</v>
      </c>
      <c r="P978" s="23">
        <v>0</v>
      </c>
      <c r="Q978" s="23">
        <v>198</v>
      </c>
      <c r="R978" s="23">
        <f>P978+ROUND(Q978, 2)</f>
        <v>198</v>
      </c>
      <c r="S978" s="23">
        <v>0</v>
      </c>
      <c r="T978" s="23">
        <f>ROUND(I978*ROUND(Q978, 2), 2)</f>
        <v>1948399.2</v>
      </c>
      <c r="U978" s="23">
        <f>S978+T978</f>
        <v>1948399.2</v>
      </c>
      <c r="V978" s="9"/>
      <c r="W978" s="9">
        <f>ROUND(Q978 / 1.2, 2)</f>
        <v>165</v>
      </c>
      <c r="X978" s="9">
        <f>ROUND(R978 / 1.2, 2)</f>
        <v>165</v>
      </c>
      <c r="Y978" s="9"/>
      <c r="Z978" s="9">
        <f>ROUND(T978 / 1.2, 2)</f>
        <v>1623666</v>
      </c>
      <c r="AA978" s="9">
        <f>Y978+Z978</f>
        <v>1623666</v>
      </c>
      <c r="AD978" s="4">
        <v>334080577</v>
      </c>
      <c r="AE978" s="4">
        <v>29299409</v>
      </c>
      <c r="AG978" s="4" t="s">
        <v>3121</v>
      </c>
      <c r="AH978" s="4" t="s">
        <v>3122</v>
      </c>
      <c r="AI978" s="4" t="s">
        <v>250</v>
      </c>
    </row>
    <row r="979" spans="1:35" ht="16.95" customHeight="1" x14ac:dyDescent="0.3">
      <c r="A979" s="11" t="s">
        <v>3123</v>
      </c>
      <c r="B979" s="11" t="s">
        <v>3124</v>
      </c>
      <c r="C979" s="94" t="s">
        <v>3125</v>
      </c>
      <c r="D979" s="95"/>
      <c r="E979" s="95"/>
      <c r="F979" s="95"/>
      <c r="G979" s="95"/>
      <c r="H979" s="95"/>
      <c r="I979" s="96"/>
      <c r="J979" s="12"/>
      <c r="K979" s="12"/>
      <c r="L979" s="12"/>
      <c r="M979" s="13">
        <f t="shared" ref="M979:O982" si="41">SUM(M980)</f>
        <v>263316.14</v>
      </c>
      <c r="N979" s="13">
        <f t="shared" si="41"/>
        <v>272584</v>
      </c>
      <c r="O979" s="13">
        <f t="shared" si="41"/>
        <v>535900.14</v>
      </c>
      <c r="P979" s="12"/>
      <c r="Q979" s="12"/>
      <c r="R979" s="12"/>
      <c r="S979" s="13">
        <f t="shared" ref="S979:U982" si="42">SUM(S980)</f>
        <v>486373.73</v>
      </c>
      <c r="T979" s="13">
        <f t="shared" si="42"/>
        <v>408876</v>
      </c>
      <c r="U979" s="13">
        <f t="shared" si="42"/>
        <v>895249.73</v>
      </c>
      <c r="Y979" s="9">
        <f t="shared" ref="Y979:AA982" si="43">SUM(Y980)</f>
        <v>405311.44</v>
      </c>
      <c r="Z979" s="9">
        <f t="shared" si="43"/>
        <v>340730</v>
      </c>
      <c r="AA979" s="9">
        <f t="shared" si="43"/>
        <v>746041.44</v>
      </c>
      <c r="AD979" s="4">
        <v>334080578</v>
      </c>
      <c r="AE979" s="4">
        <v>29316856</v>
      </c>
    </row>
    <row r="980" spans="1:35" ht="16.95" customHeight="1" x14ac:dyDescent="0.3">
      <c r="A980" s="11" t="s">
        <v>3126</v>
      </c>
      <c r="B980" s="11" t="s">
        <v>3127</v>
      </c>
      <c r="C980" s="94" t="s">
        <v>3128</v>
      </c>
      <c r="D980" s="95"/>
      <c r="E980" s="95"/>
      <c r="F980" s="95"/>
      <c r="G980" s="95"/>
      <c r="H980" s="95"/>
      <c r="I980" s="96"/>
      <c r="J980" s="12"/>
      <c r="K980" s="12"/>
      <c r="L980" s="12"/>
      <c r="M980" s="13">
        <f t="shared" si="41"/>
        <v>263316.14</v>
      </c>
      <c r="N980" s="13">
        <f t="shared" si="41"/>
        <v>272584</v>
      </c>
      <c r="O980" s="13">
        <f t="shared" si="41"/>
        <v>535900.14</v>
      </c>
      <c r="P980" s="12"/>
      <c r="Q980" s="12"/>
      <c r="R980" s="12"/>
      <c r="S980" s="13">
        <f t="shared" si="42"/>
        <v>486373.73</v>
      </c>
      <c r="T980" s="13">
        <f t="shared" si="42"/>
        <v>408876</v>
      </c>
      <c r="U980" s="13">
        <f t="shared" si="42"/>
        <v>895249.73</v>
      </c>
      <c r="Y980" s="9">
        <f t="shared" si="43"/>
        <v>405311.44</v>
      </c>
      <c r="Z980" s="9">
        <f t="shared" si="43"/>
        <v>340730</v>
      </c>
      <c r="AA980" s="9">
        <f t="shared" si="43"/>
        <v>746041.44</v>
      </c>
      <c r="AD980" s="4">
        <v>334080579</v>
      </c>
      <c r="AE980" s="4">
        <v>29316858</v>
      </c>
    </row>
    <row r="981" spans="1:35" ht="16.95" customHeight="1" x14ac:dyDescent="0.3">
      <c r="A981" s="11" t="s">
        <v>3129</v>
      </c>
      <c r="B981" s="11" t="s">
        <v>3130</v>
      </c>
      <c r="C981" s="94" t="s">
        <v>3131</v>
      </c>
      <c r="D981" s="95"/>
      <c r="E981" s="95"/>
      <c r="F981" s="95"/>
      <c r="G981" s="95"/>
      <c r="H981" s="95"/>
      <c r="I981" s="96"/>
      <c r="J981" s="12"/>
      <c r="K981" s="12"/>
      <c r="L981" s="12"/>
      <c r="M981" s="13">
        <f t="shared" si="41"/>
        <v>263316.14</v>
      </c>
      <c r="N981" s="13">
        <f t="shared" si="41"/>
        <v>272584</v>
      </c>
      <c r="O981" s="13">
        <f t="shared" si="41"/>
        <v>535900.14</v>
      </c>
      <c r="P981" s="12"/>
      <c r="Q981" s="12"/>
      <c r="R981" s="12"/>
      <c r="S981" s="13">
        <f t="shared" si="42"/>
        <v>486373.73</v>
      </c>
      <c r="T981" s="13">
        <f t="shared" si="42"/>
        <v>408876</v>
      </c>
      <c r="U981" s="13">
        <f t="shared" si="42"/>
        <v>895249.73</v>
      </c>
      <c r="Y981" s="9">
        <f t="shared" si="43"/>
        <v>405311.44</v>
      </c>
      <c r="Z981" s="9">
        <f t="shared" si="43"/>
        <v>340730</v>
      </c>
      <c r="AA981" s="9">
        <f t="shared" si="43"/>
        <v>746041.44</v>
      </c>
      <c r="AD981" s="4">
        <v>334080580</v>
      </c>
      <c r="AE981" s="4">
        <v>29316859</v>
      </c>
    </row>
    <row r="982" spans="1:35" ht="16.95" customHeight="1" x14ac:dyDescent="0.3">
      <c r="A982" s="11" t="s">
        <v>3132</v>
      </c>
      <c r="B982" s="11" t="s">
        <v>3133</v>
      </c>
      <c r="C982" s="94" t="s">
        <v>3116</v>
      </c>
      <c r="D982" s="95"/>
      <c r="E982" s="95"/>
      <c r="F982" s="95"/>
      <c r="G982" s="95"/>
      <c r="H982" s="95"/>
      <c r="I982" s="96"/>
      <c r="J982" s="12"/>
      <c r="K982" s="12"/>
      <c r="L982" s="12"/>
      <c r="M982" s="13">
        <f t="shared" si="41"/>
        <v>263316.14</v>
      </c>
      <c r="N982" s="13">
        <f t="shared" si="41"/>
        <v>272584</v>
      </c>
      <c r="O982" s="13">
        <f t="shared" si="41"/>
        <v>535900.14</v>
      </c>
      <c r="P982" s="12"/>
      <c r="Q982" s="12"/>
      <c r="R982" s="12"/>
      <c r="S982" s="13">
        <f t="shared" si="42"/>
        <v>486373.73</v>
      </c>
      <c r="T982" s="13">
        <f t="shared" si="42"/>
        <v>408876</v>
      </c>
      <c r="U982" s="13">
        <f t="shared" si="42"/>
        <v>895249.73</v>
      </c>
      <c r="Y982" s="9">
        <f t="shared" si="43"/>
        <v>405311.44</v>
      </c>
      <c r="Z982" s="9">
        <f t="shared" si="43"/>
        <v>340730</v>
      </c>
      <c r="AA982" s="9">
        <f t="shared" si="43"/>
        <v>746041.44</v>
      </c>
      <c r="AD982" s="4">
        <v>334080581</v>
      </c>
      <c r="AE982" s="4">
        <v>29316860</v>
      </c>
    </row>
    <row r="983" spans="1:35" ht="36" x14ac:dyDescent="0.3">
      <c r="A983" s="11" t="s">
        <v>3134</v>
      </c>
      <c r="B983" s="11" t="s">
        <v>3135</v>
      </c>
      <c r="C983" s="20" t="s">
        <v>3136</v>
      </c>
      <c r="D983" s="21"/>
      <c r="E983" s="21" t="s">
        <v>3137</v>
      </c>
      <c r="F983" s="21" t="s">
        <v>62</v>
      </c>
      <c r="G983" s="22">
        <v>1</v>
      </c>
      <c r="H983" s="21"/>
      <c r="I983" s="22">
        <v>4193.6000000000004</v>
      </c>
      <c r="J983" s="23">
        <f>IFERROR(ROUND(SUM(M984,M985)/I983, 2),0)</f>
        <v>62.79</v>
      </c>
      <c r="K983" s="23">
        <v>65</v>
      </c>
      <c r="L983" s="23">
        <f>J983+ROUND(K983, 2)</f>
        <v>127.78999999999999</v>
      </c>
      <c r="M983" s="23">
        <f>ROUND(J983*I983, 2)</f>
        <v>263316.14</v>
      </c>
      <c r="N983" s="23">
        <f>ROUND(I983*ROUND(K983, 2), 2)</f>
        <v>272584</v>
      </c>
      <c r="O983" s="23">
        <f>M983+N983</f>
        <v>535900.14</v>
      </c>
      <c r="P983" s="23">
        <f>IFERROR(ROUND(SUM(S984,S985)/I983, 2),0)</f>
        <v>115.98</v>
      </c>
      <c r="Q983" s="23">
        <v>97.5</v>
      </c>
      <c r="R983" s="23">
        <f>P983+ROUND(Q983, 2)</f>
        <v>213.48000000000002</v>
      </c>
      <c r="S983" s="23">
        <f>ROUND(P983*I983, 2)</f>
        <v>486373.73</v>
      </c>
      <c r="T983" s="23">
        <f>ROUND(I983*ROUND(Q983, 2), 2)</f>
        <v>408876</v>
      </c>
      <c r="U983" s="23">
        <f>S983+T983</f>
        <v>895249.73</v>
      </c>
      <c r="V983" s="9">
        <f>ROUND(P983 / 1.2, 2)</f>
        <v>96.65</v>
      </c>
      <c r="W983" s="9">
        <f>ROUND(Q983 / 1.2, 2)</f>
        <v>81.25</v>
      </c>
      <c r="X983" s="9">
        <f>ROUND(R983 / 1.2, 2)</f>
        <v>177.9</v>
      </c>
      <c r="Y983" s="9">
        <f>ROUND(S983 / 1.2, 2)</f>
        <v>405311.44</v>
      </c>
      <c r="Z983" s="9">
        <f>ROUND(T983 / 1.2, 2)</f>
        <v>340730</v>
      </c>
      <c r="AA983" s="9">
        <f>Y983+Z983</f>
        <v>746041.44</v>
      </c>
      <c r="AD983" s="4">
        <v>334080583</v>
      </c>
      <c r="AE983" s="4">
        <v>29316869</v>
      </c>
      <c r="AG983" s="4" t="s">
        <v>3138</v>
      </c>
      <c r="AH983" s="4" t="s">
        <v>3139</v>
      </c>
      <c r="AI983" s="4" t="s">
        <v>3140</v>
      </c>
    </row>
    <row r="984" spans="1:35" ht="36" x14ac:dyDescent="0.3">
      <c r="A984" s="11" t="s">
        <v>3141</v>
      </c>
      <c r="B984" s="11"/>
      <c r="C984" s="32" t="s">
        <v>3142</v>
      </c>
      <c r="D984" s="21"/>
      <c r="E984" s="21" t="s">
        <v>3143</v>
      </c>
      <c r="F984" s="33" t="s">
        <v>597</v>
      </c>
      <c r="G984" s="34">
        <v>1</v>
      </c>
      <c r="H984" s="21"/>
      <c r="I984" s="37">
        <v>1606.25</v>
      </c>
      <c r="J984" s="35">
        <v>160.13</v>
      </c>
      <c r="K984" s="12"/>
      <c r="L984" s="12"/>
      <c r="M984" s="35">
        <f>ROUND(ROUND(J984, 2)*I984, 2)</f>
        <v>257208.81</v>
      </c>
      <c r="N984" s="12"/>
      <c r="O984" s="12"/>
      <c r="P984" s="35">
        <v>299</v>
      </c>
      <c r="Q984" s="12"/>
      <c r="R984" s="12"/>
      <c r="S984" s="35">
        <f>ROUND(ROUND(P984, 2)*I984, 2)</f>
        <v>480268.75</v>
      </c>
      <c r="T984" s="12"/>
      <c r="U984" s="36"/>
      <c r="V984" s="9">
        <f>ROUND(ROUND(P984, 2)/1.2, 2)</f>
        <v>249.17</v>
      </c>
      <c r="Y984" s="9">
        <f>ROUND(S984 / 1.2, 2)</f>
        <v>400223.96</v>
      </c>
      <c r="AD984" s="4" t="s">
        <v>3144</v>
      </c>
      <c r="AE984" s="4" t="s">
        <v>3145</v>
      </c>
      <c r="AF984" s="4" t="s">
        <v>3146</v>
      </c>
    </row>
    <row r="985" spans="1:35" ht="18" x14ac:dyDescent="0.3">
      <c r="A985" s="11" t="s">
        <v>3147</v>
      </c>
      <c r="B985" s="11"/>
      <c r="C985" s="32" t="s">
        <v>3148</v>
      </c>
      <c r="D985" s="21"/>
      <c r="E985" s="21"/>
      <c r="F985" s="33" t="s">
        <v>102</v>
      </c>
      <c r="G985" s="34">
        <v>1</v>
      </c>
      <c r="H985" s="21"/>
      <c r="I985" s="37">
        <v>5396</v>
      </c>
      <c r="J985" s="35">
        <v>1.1299999999999999</v>
      </c>
      <c r="K985" s="12"/>
      <c r="L985" s="12"/>
      <c r="M985" s="35">
        <f>ROUND(ROUND(J985, 2)*I985, 2)</f>
        <v>6097.48</v>
      </c>
      <c r="N985" s="12"/>
      <c r="O985" s="12"/>
      <c r="P985" s="35">
        <v>1.1299999999999999</v>
      </c>
      <c r="Q985" s="12"/>
      <c r="R985" s="12"/>
      <c r="S985" s="35">
        <f>ROUND(ROUND(P985, 2)*I985, 2)</f>
        <v>6097.48</v>
      </c>
      <c r="T985" s="12"/>
      <c r="U985" s="36"/>
      <c r="V985" s="9">
        <f>ROUND(ROUND(P985, 2)/1.2, 2)</f>
        <v>0.94</v>
      </c>
      <c r="Y985" s="9">
        <f>ROUND(S985 / 1.2, 2)</f>
        <v>5081.2299999999996</v>
      </c>
      <c r="AD985" s="4" t="s">
        <v>3149</v>
      </c>
      <c r="AE985" s="4" t="s">
        <v>3150</v>
      </c>
      <c r="AF985" s="4" t="s">
        <v>3151</v>
      </c>
    </row>
    <row r="986" spans="1:35" ht="30" customHeight="1" x14ac:dyDescent="0.3">
      <c r="A986" s="97" t="s">
        <v>3152</v>
      </c>
      <c r="B986" s="98"/>
      <c r="C986" s="98"/>
      <c r="D986" s="98"/>
      <c r="E986" s="98"/>
      <c r="F986" s="98"/>
      <c r="G986" s="98"/>
      <c r="H986" s="98"/>
      <c r="I986" s="99"/>
      <c r="J986" s="12"/>
      <c r="K986" s="12"/>
      <c r="L986" s="12"/>
      <c r="M986" s="13">
        <f t="shared" ref="M986:O990" si="44">SUM(M987)</f>
        <v>0</v>
      </c>
      <c r="N986" s="13">
        <f t="shared" si="44"/>
        <v>930636</v>
      </c>
      <c r="O986" s="13">
        <f t="shared" si="44"/>
        <v>930636</v>
      </c>
      <c r="P986" s="12"/>
      <c r="Q986" s="12"/>
      <c r="R986" s="12"/>
      <c r="S986" s="13">
        <f t="shared" ref="S986:U990" si="45">SUM(S987)</f>
        <v>0</v>
      </c>
      <c r="T986" s="13">
        <f t="shared" si="45"/>
        <v>1395954</v>
      </c>
      <c r="U986" s="13">
        <f t="shared" si="45"/>
        <v>1395954</v>
      </c>
      <c r="Y986" s="9">
        <f t="shared" ref="Y986:AA990" si="46">SUM(Y987)</f>
        <v>0</v>
      </c>
      <c r="Z986" s="9">
        <f t="shared" si="46"/>
        <v>1163295</v>
      </c>
      <c r="AA986" s="9">
        <f t="shared" si="46"/>
        <v>1163295</v>
      </c>
      <c r="AC986" s="4" t="s">
        <v>3153</v>
      </c>
    </row>
    <row r="987" spans="1:35" ht="16.95" customHeight="1" x14ac:dyDescent="0.3">
      <c r="A987" s="11" t="s">
        <v>3154</v>
      </c>
      <c r="B987" s="11" t="s">
        <v>44</v>
      </c>
      <c r="C987" s="94" t="s">
        <v>45</v>
      </c>
      <c r="D987" s="95"/>
      <c r="E987" s="95"/>
      <c r="F987" s="95"/>
      <c r="G987" s="95"/>
      <c r="H987" s="95"/>
      <c r="I987" s="96"/>
      <c r="J987" s="12"/>
      <c r="K987" s="12"/>
      <c r="L987" s="12"/>
      <c r="M987" s="13">
        <f t="shared" si="44"/>
        <v>0</v>
      </c>
      <c r="N987" s="13">
        <f t="shared" si="44"/>
        <v>930636</v>
      </c>
      <c r="O987" s="13">
        <f t="shared" si="44"/>
        <v>930636</v>
      </c>
      <c r="P987" s="12"/>
      <c r="Q987" s="12"/>
      <c r="R987" s="12"/>
      <c r="S987" s="13">
        <f t="shared" si="45"/>
        <v>0</v>
      </c>
      <c r="T987" s="13">
        <f t="shared" si="45"/>
        <v>1395954</v>
      </c>
      <c r="U987" s="13">
        <f t="shared" si="45"/>
        <v>1395954</v>
      </c>
      <c r="Y987" s="9">
        <f t="shared" si="46"/>
        <v>0</v>
      </c>
      <c r="Z987" s="9">
        <f t="shared" si="46"/>
        <v>1163295</v>
      </c>
      <c r="AA987" s="9">
        <f t="shared" si="46"/>
        <v>1163295</v>
      </c>
      <c r="AD987" s="4">
        <v>332528777</v>
      </c>
      <c r="AE987" s="4">
        <v>29304607</v>
      </c>
    </row>
    <row r="988" spans="1:35" ht="16.95" customHeight="1" x14ac:dyDescent="0.3">
      <c r="A988" s="11" t="s">
        <v>3155</v>
      </c>
      <c r="B988" s="11" t="s">
        <v>3156</v>
      </c>
      <c r="C988" s="94" t="s">
        <v>3157</v>
      </c>
      <c r="D988" s="95"/>
      <c r="E988" s="95"/>
      <c r="F988" s="95"/>
      <c r="G988" s="95"/>
      <c r="H988" s="95"/>
      <c r="I988" s="96"/>
      <c r="J988" s="12"/>
      <c r="K988" s="12"/>
      <c r="L988" s="12"/>
      <c r="M988" s="13">
        <f t="shared" si="44"/>
        <v>0</v>
      </c>
      <c r="N988" s="13">
        <f t="shared" si="44"/>
        <v>930636</v>
      </c>
      <c r="O988" s="13">
        <f t="shared" si="44"/>
        <v>930636</v>
      </c>
      <c r="P988" s="12"/>
      <c r="Q988" s="12"/>
      <c r="R988" s="12"/>
      <c r="S988" s="13">
        <f t="shared" si="45"/>
        <v>0</v>
      </c>
      <c r="T988" s="13">
        <f t="shared" si="45"/>
        <v>1395954</v>
      </c>
      <c r="U988" s="13">
        <f t="shared" si="45"/>
        <v>1395954</v>
      </c>
      <c r="Y988" s="9">
        <f t="shared" si="46"/>
        <v>0</v>
      </c>
      <c r="Z988" s="9">
        <f t="shared" si="46"/>
        <v>1163295</v>
      </c>
      <c r="AA988" s="9">
        <f t="shared" si="46"/>
        <v>1163295</v>
      </c>
      <c r="AD988" s="4">
        <v>332528778</v>
      </c>
      <c r="AE988" s="4">
        <v>29304609</v>
      </c>
    </row>
    <row r="989" spans="1:35" ht="16.95" customHeight="1" x14ac:dyDescent="0.3">
      <c r="A989" s="11" t="s">
        <v>3158</v>
      </c>
      <c r="B989" s="11" t="s">
        <v>3159</v>
      </c>
      <c r="C989" s="94" t="s">
        <v>3160</v>
      </c>
      <c r="D989" s="95"/>
      <c r="E989" s="95"/>
      <c r="F989" s="95"/>
      <c r="G989" s="95"/>
      <c r="H989" s="95"/>
      <c r="I989" s="96"/>
      <c r="J989" s="12"/>
      <c r="K989" s="12"/>
      <c r="L989" s="12"/>
      <c r="M989" s="13">
        <f t="shared" si="44"/>
        <v>0</v>
      </c>
      <c r="N989" s="13">
        <f t="shared" si="44"/>
        <v>930636</v>
      </c>
      <c r="O989" s="13">
        <f t="shared" si="44"/>
        <v>930636</v>
      </c>
      <c r="P989" s="12"/>
      <c r="Q989" s="12"/>
      <c r="R989" s="12"/>
      <c r="S989" s="13">
        <f t="shared" si="45"/>
        <v>0</v>
      </c>
      <c r="T989" s="13">
        <f t="shared" si="45"/>
        <v>1395954</v>
      </c>
      <c r="U989" s="13">
        <f t="shared" si="45"/>
        <v>1395954</v>
      </c>
      <c r="Y989" s="9">
        <f t="shared" si="46"/>
        <v>0</v>
      </c>
      <c r="Z989" s="9">
        <f t="shared" si="46"/>
        <v>1163295</v>
      </c>
      <c r="AA989" s="9">
        <f t="shared" si="46"/>
        <v>1163295</v>
      </c>
      <c r="AD989" s="4">
        <v>332528779</v>
      </c>
      <c r="AE989" s="4">
        <v>29304610</v>
      </c>
    </row>
    <row r="990" spans="1:35" ht="16.95" customHeight="1" x14ac:dyDescent="0.3">
      <c r="A990" s="11" t="s">
        <v>3161</v>
      </c>
      <c r="B990" s="11" t="s">
        <v>3162</v>
      </c>
      <c r="C990" s="94" t="s">
        <v>3116</v>
      </c>
      <c r="D990" s="95"/>
      <c r="E990" s="95"/>
      <c r="F990" s="95"/>
      <c r="G990" s="95"/>
      <c r="H990" s="95"/>
      <c r="I990" s="96"/>
      <c r="J990" s="12"/>
      <c r="K990" s="12"/>
      <c r="L990" s="12"/>
      <c r="M990" s="13">
        <f t="shared" si="44"/>
        <v>0</v>
      </c>
      <c r="N990" s="13">
        <f t="shared" si="44"/>
        <v>930636</v>
      </c>
      <c r="O990" s="13">
        <f t="shared" si="44"/>
        <v>930636</v>
      </c>
      <c r="P990" s="12"/>
      <c r="Q990" s="12"/>
      <c r="R990" s="12"/>
      <c r="S990" s="13">
        <f t="shared" si="45"/>
        <v>0</v>
      </c>
      <c r="T990" s="13">
        <f t="shared" si="45"/>
        <v>1395954</v>
      </c>
      <c r="U990" s="13">
        <f t="shared" si="45"/>
        <v>1395954</v>
      </c>
      <c r="Y990" s="9">
        <f t="shared" si="46"/>
        <v>0</v>
      </c>
      <c r="Z990" s="9">
        <f t="shared" si="46"/>
        <v>1163295</v>
      </c>
      <c r="AA990" s="9">
        <f t="shared" si="46"/>
        <v>1163295</v>
      </c>
      <c r="AD990" s="4">
        <v>332528780</v>
      </c>
      <c r="AE990" s="4">
        <v>29304608</v>
      </c>
    </row>
    <row r="991" spans="1:35" ht="54" x14ac:dyDescent="0.3">
      <c r="A991" s="11" t="s">
        <v>3163</v>
      </c>
      <c r="B991" s="11" t="s">
        <v>3164</v>
      </c>
      <c r="C991" s="20" t="s">
        <v>3165</v>
      </c>
      <c r="D991" s="21"/>
      <c r="E991" s="21" t="s">
        <v>3166</v>
      </c>
      <c r="F991" s="21" t="s">
        <v>3167</v>
      </c>
      <c r="G991" s="22">
        <v>1</v>
      </c>
      <c r="H991" s="21"/>
      <c r="I991" s="22">
        <v>4</v>
      </c>
      <c r="J991" s="23">
        <v>0</v>
      </c>
      <c r="K991" s="23">
        <v>232659</v>
      </c>
      <c r="L991" s="23">
        <f>J991+ROUND(K991, 2)</f>
        <v>232659</v>
      </c>
      <c r="M991" s="23">
        <v>0</v>
      </c>
      <c r="N991" s="23">
        <f>ROUND(I991*ROUND(K991, 2), 2)</f>
        <v>930636</v>
      </c>
      <c r="O991" s="23">
        <f>M991+N991</f>
        <v>930636</v>
      </c>
      <c r="P991" s="23">
        <v>0</v>
      </c>
      <c r="Q991" s="23">
        <v>348988.5</v>
      </c>
      <c r="R991" s="23">
        <f>P991+ROUND(Q991, 2)</f>
        <v>348988.5</v>
      </c>
      <c r="S991" s="23">
        <v>0</v>
      </c>
      <c r="T991" s="23">
        <f>ROUND(I991*ROUND(Q991, 2), 2)</f>
        <v>1395954</v>
      </c>
      <c r="U991" s="23">
        <f>S991+T991</f>
        <v>1395954</v>
      </c>
      <c r="V991" s="9"/>
      <c r="W991" s="9">
        <f>ROUND(Q991 / 1.2, 2)</f>
        <v>290823.75</v>
      </c>
      <c r="X991" s="9">
        <f>ROUND(R991 / 1.2, 2)</f>
        <v>290823.75</v>
      </c>
      <c r="Y991" s="9"/>
      <c r="Z991" s="9">
        <f>ROUND(T991 / 1.2, 2)</f>
        <v>1163295</v>
      </c>
      <c r="AA991" s="9">
        <f>Y991+Z991</f>
        <v>1163295</v>
      </c>
      <c r="AD991" s="4">
        <v>332528782</v>
      </c>
      <c r="AE991" s="4">
        <v>29304612</v>
      </c>
      <c r="AG991" s="4" t="s">
        <v>3168</v>
      </c>
      <c r="AH991" s="4" t="s">
        <v>3169</v>
      </c>
      <c r="AI991" s="4" t="s">
        <v>3170</v>
      </c>
    </row>
    <row r="992" spans="1:35" ht="24" customHeight="1" x14ac:dyDescent="0.3">
      <c r="A992" s="68"/>
      <c r="B992" s="68"/>
      <c r="C992" s="68"/>
      <c r="D992" s="69" t="s">
        <v>3171</v>
      </c>
      <c r="E992" s="68"/>
      <c r="F992" s="68"/>
      <c r="G992" s="68"/>
      <c r="H992" s="68"/>
      <c r="I992" s="68"/>
      <c r="J992" s="68"/>
      <c r="K992" s="68"/>
      <c r="L992" s="68"/>
      <c r="M992" s="70">
        <f>SUM(M8,M986)</f>
        <v>48779467.810000002</v>
      </c>
      <c r="N992" s="70">
        <f>SUM(N8,N986)</f>
        <v>88104391.99000001</v>
      </c>
      <c r="O992" s="70">
        <f>M992+N992</f>
        <v>136883859.80000001</v>
      </c>
      <c r="P992" s="68"/>
      <c r="Q992" s="68"/>
      <c r="R992" s="68"/>
      <c r="S992" s="70">
        <f>SUM(S8,S986)</f>
        <v>61057592.320000008</v>
      </c>
      <c r="T992" s="70">
        <f>SUM(T8,T986)</f>
        <v>129618425.82000002</v>
      </c>
      <c r="U992" s="70">
        <f>S992+T992</f>
        <v>190676018.14000005</v>
      </c>
      <c r="Y992" s="9">
        <f>SUM(Y8,Y986)</f>
        <v>50881327.060000002</v>
      </c>
      <c r="Z992" s="9">
        <f>SUM(Z8,Z986)</f>
        <v>108015355.06</v>
      </c>
      <c r="AA992" s="9">
        <f>Y992+Z992</f>
        <v>158896682.12</v>
      </c>
    </row>
  </sheetData>
  <sheetProtection password="C644" sheet="1" formatColumns="0" autoFilter="0"/>
  <autoFilter ref="A7:U7"/>
  <mergeCells count="61">
    <mergeCell ref="A986:I986"/>
    <mergeCell ref="C987:I987"/>
    <mergeCell ref="C988:I988"/>
    <mergeCell ref="C989:I989"/>
    <mergeCell ref="C990:I990"/>
    <mergeCell ref="C977:I977"/>
    <mergeCell ref="C979:I979"/>
    <mergeCell ref="C980:I980"/>
    <mergeCell ref="C981:I981"/>
    <mergeCell ref="C982:I982"/>
    <mergeCell ref="C790:I790"/>
    <mergeCell ref="C791:I791"/>
    <mergeCell ref="C837:I837"/>
    <mergeCell ref="C871:I871"/>
    <mergeCell ref="C972:I972"/>
    <mergeCell ref="C441:I441"/>
    <mergeCell ref="C448:I448"/>
    <mergeCell ref="C449:I449"/>
    <mergeCell ref="C491:I491"/>
    <mergeCell ref="C720:I720"/>
    <mergeCell ref="C63:I63"/>
    <mergeCell ref="C64:I64"/>
    <mergeCell ref="C65:I65"/>
    <mergeCell ref="C96:I96"/>
    <mergeCell ref="C117:I117"/>
    <mergeCell ref="C18:I18"/>
    <mergeCell ref="C19:I19"/>
    <mergeCell ref="C20:I20"/>
    <mergeCell ref="C61:I61"/>
    <mergeCell ref="C62:I62"/>
    <mergeCell ref="C11:I11"/>
    <mergeCell ref="C12:I12"/>
    <mergeCell ref="C13:I13"/>
    <mergeCell ref="C16:I16"/>
    <mergeCell ref="C17:I17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02"/>
  <sheetViews>
    <sheetView zoomScale="62" zoomScaleNormal="62" workbookViewId="0">
      <pane xSplit="9" ySplit="7" topLeftCell="U971" activePane="bottomRight" state="frozen"/>
      <selection pane="topRight"/>
      <selection pane="bottomLeft"/>
      <selection pane="bottomRight" sqref="A1:XFD1048576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3172</v>
      </c>
      <c r="H1" s="2" t="s">
        <v>3173</v>
      </c>
      <c r="I1" s="2" t="s">
        <v>3174</v>
      </c>
      <c r="J1" s="2" t="s">
        <v>3175</v>
      </c>
      <c r="K1" s="2" t="s">
        <v>3176</v>
      </c>
      <c r="L1" s="2" t="s">
        <v>3177</v>
      </c>
      <c r="M1" s="2" t="s">
        <v>3178</v>
      </c>
      <c r="N1" s="2" t="s">
        <v>3179</v>
      </c>
      <c r="O1" s="2" t="s">
        <v>3180</v>
      </c>
      <c r="P1" s="2" t="s">
        <v>3181</v>
      </c>
      <c r="Q1" s="3"/>
      <c r="R1" s="3"/>
      <c r="S1" s="3"/>
      <c r="T1" s="3"/>
      <c r="U1" s="3"/>
      <c r="AC1" s="4" t="s">
        <v>20</v>
      </c>
      <c r="AD1" s="4" t="s">
        <v>21</v>
      </c>
      <c r="AE1" s="4" t="s">
        <v>22</v>
      </c>
      <c r="AF1" s="4" t="s">
        <v>23</v>
      </c>
      <c r="AG1" s="4" t="s">
        <v>24</v>
      </c>
      <c r="AH1" s="4" t="s">
        <v>25</v>
      </c>
      <c r="AI1" s="4" t="s">
        <v>26</v>
      </c>
    </row>
    <row r="2" spans="1:35" ht="30.75" customHeight="1" x14ac:dyDescent="0.3">
      <c r="A2" s="74" t="s">
        <v>4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</row>
    <row r="3" spans="1:35" ht="15" customHeight="1" x14ac:dyDescent="0.3">
      <c r="A3" s="75" t="s">
        <v>5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35" ht="15" customHeight="1" x14ac:dyDescent="0.3">
      <c r="A4" s="76" t="s">
        <v>6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</row>
    <row r="5" spans="1:35" ht="40.799999999999997" customHeight="1" x14ac:dyDescent="0.3">
      <c r="A5" s="83" t="s">
        <v>27</v>
      </c>
      <c r="B5" s="83" t="s">
        <v>28</v>
      </c>
      <c r="C5" s="83" t="s">
        <v>29</v>
      </c>
      <c r="D5" s="83" t="s">
        <v>30</v>
      </c>
      <c r="E5" s="83" t="s">
        <v>31</v>
      </c>
      <c r="F5" s="83" t="s">
        <v>32</v>
      </c>
      <c r="G5" s="83" t="s">
        <v>33</v>
      </c>
      <c r="H5" s="83" t="s">
        <v>34</v>
      </c>
      <c r="I5" s="83" t="s">
        <v>35</v>
      </c>
      <c r="J5" s="77" t="s">
        <v>7</v>
      </c>
      <c r="K5" s="78"/>
      <c r="L5" s="78"/>
      <c r="M5" s="78"/>
      <c r="N5" s="78"/>
      <c r="O5" s="79"/>
      <c r="P5" s="80" t="s">
        <v>8</v>
      </c>
      <c r="Q5" s="81"/>
      <c r="R5" s="82"/>
      <c r="S5" s="80" t="s">
        <v>9</v>
      </c>
      <c r="T5" s="81"/>
      <c r="U5" s="82"/>
    </row>
    <row r="6" spans="1:35" ht="15.75" customHeight="1" x14ac:dyDescent="0.3">
      <c r="A6" s="84"/>
      <c r="B6" s="84"/>
      <c r="C6" s="84"/>
      <c r="D6" s="84"/>
      <c r="E6" s="84"/>
      <c r="F6" s="84"/>
      <c r="G6" s="84"/>
      <c r="H6" s="84"/>
      <c r="I6" s="84"/>
      <c r="J6" s="86" t="s">
        <v>36</v>
      </c>
      <c r="K6" s="87"/>
      <c r="L6" s="83" t="s">
        <v>36</v>
      </c>
      <c r="M6" s="86" t="s">
        <v>39</v>
      </c>
      <c r="N6" s="87"/>
      <c r="O6" s="83" t="s">
        <v>40</v>
      </c>
      <c r="P6" s="86" t="s">
        <v>36</v>
      </c>
      <c r="Q6" s="87"/>
      <c r="R6" s="83" t="s">
        <v>36</v>
      </c>
      <c r="S6" s="86" t="s">
        <v>39</v>
      </c>
      <c r="T6" s="87"/>
      <c r="U6" s="83" t="s">
        <v>40</v>
      </c>
    </row>
    <row r="7" spans="1:35" ht="31.2" customHeight="1" x14ac:dyDescent="0.3">
      <c r="A7" s="85"/>
      <c r="B7" s="85"/>
      <c r="C7" s="85"/>
      <c r="D7" s="85"/>
      <c r="E7" s="85"/>
      <c r="F7" s="85"/>
      <c r="G7" s="85"/>
      <c r="H7" s="85"/>
      <c r="I7" s="85"/>
      <c r="J7" s="5" t="s">
        <v>37</v>
      </c>
      <c r="K7" s="5" t="s">
        <v>38</v>
      </c>
      <c r="L7" s="85"/>
      <c r="M7" s="5" t="s">
        <v>37</v>
      </c>
      <c r="N7" s="5" t="s">
        <v>38</v>
      </c>
      <c r="O7" s="85"/>
      <c r="P7" s="5" t="s">
        <v>37</v>
      </c>
      <c r="Q7" s="5" t="s">
        <v>38</v>
      </c>
      <c r="R7" s="85"/>
      <c r="S7" s="5" t="s">
        <v>37</v>
      </c>
      <c r="T7" s="5" t="s">
        <v>38</v>
      </c>
      <c r="U7" s="85"/>
    </row>
    <row r="8" spans="1:35" ht="30" customHeight="1" x14ac:dyDescent="0.3">
      <c r="A8" s="88" t="s">
        <v>41</v>
      </c>
      <c r="B8" s="89"/>
      <c r="C8" s="89"/>
      <c r="D8" s="89"/>
      <c r="E8" s="89"/>
      <c r="F8" s="89"/>
      <c r="G8" s="89"/>
      <c r="H8" s="89"/>
      <c r="I8" s="90"/>
      <c r="J8" s="7"/>
      <c r="K8" s="7"/>
      <c r="L8" s="7"/>
      <c r="M8" s="8">
        <f>SUM(M9,M970)</f>
        <v>48779467.810000002</v>
      </c>
      <c r="N8" s="8">
        <f>SUM(N9,N970)</f>
        <v>87173755.99000001</v>
      </c>
      <c r="O8" s="8">
        <f>SUM(O9,O970)</f>
        <v>135953223.79999998</v>
      </c>
      <c r="P8" s="7"/>
      <c r="Q8" s="7"/>
      <c r="R8" s="7"/>
      <c r="S8" s="8">
        <f>SUM(S9,S970)</f>
        <v>61057592.320000008</v>
      </c>
      <c r="T8" s="8">
        <f>SUM(T9,T970)</f>
        <v>128222471.82000002</v>
      </c>
      <c r="U8" s="8">
        <f>SUM(U9,U970)</f>
        <v>189280064.13999996</v>
      </c>
      <c r="Y8" s="9">
        <f>SUM(Y9,Y970)</f>
        <v>50881327.060000002</v>
      </c>
      <c r="Z8" s="9">
        <f>SUM(Z9,Z970)</f>
        <v>106852060.06</v>
      </c>
      <c r="AA8" s="9">
        <f>SUM(AA9,AA970)</f>
        <v>157733387.11999997</v>
      </c>
      <c r="AC8" s="4" t="s">
        <v>42</v>
      </c>
    </row>
    <row r="9" spans="1:35" ht="16.95" customHeight="1" x14ac:dyDescent="0.3">
      <c r="A9" s="10" t="s">
        <v>43</v>
      </c>
      <c r="B9" s="10" t="s">
        <v>44</v>
      </c>
      <c r="C9" s="91" t="s">
        <v>45</v>
      </c>
      <c r="D9" s="92"/>
      <c r="E9" s="92"/>
      <c r="F9" s="92"/>
      <c r="G9" s="92"/>
      <c r="H9" s="92"/>
      <c r="I9" s="93"/>
      <c r="M9" s="6">
        <f>SUM(M10,M16,M61)</f>
        <v>48516151.670000002</v>
      </c>
      <c r="N9" s="6">
        <f>SUM(N10,N16,N61)</f>
        <v>86901171.99000001</v>
      </c>
      <c r="O9" s="6">
        <f>SUM(O10,O16,O61)</f>
        <v>135417323.66</v>
      </c>
      <c r="S9" s="6">
        <f>SUM(S10,S16,S61)</f>
        <v>60571218.590000011</v>
      </c>
      <c r="T9" s="6">
        <f>SUM(T10,T16,T61)</f>
        <v>127813595.82000002</v>
      </c>
      <c r="U9" s="6">
        <f>SUM(U10,U16,U61)</f>
        <v>188384814.40999997</v>
      </c>
      <c r="Y9" s="9">
        <f>SUM(Y10,Y16,Y61)</f>
        <v>50476015.620000005</v>
      </c>
      <c r="Z9" s="9">
        <f>SUM(Z10,Z16,Z61)</f>
        <v>106511330.06</v>
      </c>
      <c r="AA9" s="9">
        <f>SUM(AA10,AA16,AA61)</f>
        <v>156987345.67999998</v>
      </c>
      <c r="AD9" s="4">
        <v>334080463</v>
      </c>
      <c r="AE9" s="4">
        <v>27245612</v>
      </c>
    </row>
    <row r="10" spans="1:35" ht="16.95" customHeight="1" x14ac:dyDescent="0.3">
      <c r="A10" s="10" t="s">
        <v>46</v>
      </c>
      <c r="B10" s="10" t="s">
        <v>47</v>
      </c>
      <c r="C10" s="91" t="s">
        <v>48</v>
      </c>
      <c r="D10" s="92"/>
      <c r="E10" s="92"/>
      <c r="F10" s="92"/>
      <c r="G10" s="92"/>
      <c r="H10" s="92"/>
      <c r="I10" s="93"/>
      <c r="M10" s="6">
        <f t="shared" ref="M10:O12" si="0">SUM(M11)</f>
        <v>0</v>
      </c>
      <c r="N10" s="6">
        <f t="shared" si="0"/>
        <v>1524423.75</v>
      </c>
      <c r="O10" s="6">
        <f t="shared" si="0"/>
        <v>1524423.75</v>
      </c>
      <c r="S10" s="6">
        <f t="shared" ref="S10:U12" si="1">SUM(S11)</f>
        <v>0</v>
      </c>
      <c r="T10" s="6">
        <f t="shared" si="1"/>
        <v>2286635.63</v>
      </c>
      <c r="U10" s="6">
        <f t="shared" si="1"/>
        <v>2286635.63</v>
      </c>
      <c r="Y10" s="9">
        <f t="shared" ref="Y10:AA12" si="2">SUM(Y11)</f>
        <v>0</v>
      </c>
      <c r="Z10" s="9">
        <f t="shared" si="2"/>
        <v>1905529.7000000002</v>
      </c>
      <c r="AA10" s="9">
        <f t="shared" si="2"/>
        <v>1905529.7000000002</v>
      </c>
      <c r="AD10" s="4">
        <v>334080464</v>
      </c>
      <c r="AE10" s="4">
        <v>29196638</v>
      </c>
    </row>
    <row r="11" spans="1:35" ht="16.95" customHeight="1" x14ac:dyDescent="0.3">
      <c r="A11" s="10" t="s">
        <v>49</v>
      </c>
      <c r="B11" s="10" t="s">
        <v>50</v>
      </c>
      <c r="C11" s="91" t="s">
        <v>51</v>
      </c>
      <c r="D11" s="92"/>
      <c r="E11" s="92"/>
      <c r="F11" s="92"/>
      <c r="G11" s="92"/>
      <c r="H11" s="92"/>
      <c r="I11" s="93"/>
      <c r="M11" s="6">
        <f t="shared" si="0"/>
        <v>0</v>
      </c>
      <c r="N11" s="6">
        <f t="shared" si="0"/>
        <v>1524423.75</v>
      </c>
      <c r="O11" s="6">
        <f t="shared" si="0"/>
        <v>1524423.75</v>
      </c>
      <c r="S11" s="6">
        <f t="shared" si="1"/>
        <v>0</v>
      </c>
      <c r="T11" s="6">
        <f t="shared" si="1"/>
        <v>2286635.63</v>
      </c>
      <c r="U11" s="6">
        <f t="shared" si="1"/>
        <v>2286635.63</v>
      </c>
      <c r="Y11" s="9">
        <f t="shared" si="2"/>
        <v>0</v>
      </c>
      <c r="Z11" s="9">
        <f t="shared" si="2"/>
        <v>1905529.7000000002</v>
      </c>
      <c r="AA11" s="9">
        <f t="shared" si="2"/>
        <v>1905529.7000000002</v>
      </c>
      <c r="AD11" s="4">
        <v>334080465</v>
      </c>
      <c r="AE11" s="4">
        <v>29196636</v>
      </c>
    </row>
    <row r="12" spans="1:35" ht="16.95" customHeight="1" x14ac:dyDescent="0.3">
      <c r="A12" s="10" t="s">
        <v>52</v>
      </c>
      <c r="B12" s="10" t="s">
        <v>53</v>
      </c>
      <c r="C12" s="91" t="s">
        <v>54</v>
      </c>
      <c r="D12" s="92"/>
      <c r="E12" s="92"/>
      <c r="F12" s="92"/>
      <c r="G12" s="92"/>
      <c r="H12" s="92"/>
      <c r="I12" s="93"/>
      <c r="M12" s="6">
        <f t="shared" si="0"/>
        <v>0</v>
      </c>
      <c r="N12" s="6">
        <f t="shared" si="0"/>
        <v>1524423.75</v>
      </c>
      <c r="O12" s="6">
        <f t="shared" si="0"/>
        <v>1524423.75</v>
      </c>
      <c r="S12" s="6">
        <f t="shared" si="1"/>
        <v>0</v>
      </c>
      <c r="T12" s="6">
        <f t="shared" si="1"/>
        <v>2286635.63</v>
      </c>
      <c r="U12" s="6">
        <f t="shared" si="1"/>
        <v>2286635.63</v>
      </c>
      <c r="Y12" s="9">
        <f t="shared" si="2"/>
        <v>0</v>
      </c>
      <c r="Z12" s="9">
        <f t="shared" si="2"/>
        <v>1905529.7000000002</v>
      </c>
      <c r="AA12" s="9">
        <f t="shared" si="2"/>
        <v>1905529.7000000002</v>
      </c>
      <c r="AD12" s="4">
        <v>334080466</v>
      </c>
      <c r="AE12" s="4">
        <v>29196653</v>
      </c>
    </row>
    <row r="13" spans="1:35" ht="16.95" customHeight="1" x14ac:dyDescent="0.3">
      <c r="A13" s="10" t="s">
        <v>55</v>
      </c>
      <c r="B13" s="10" t="s">
        <v>56</v>
      </c>
      <c r="C13" s="91" t="s">
        <v>57</v>
      </c>
      <c r="D13" s="92"/>
      <c r="E13" s="92"/>
      <c r="F13" s="92"/>
      <c r="G13" s="92"/>
      <c r="H13" s="92"/>
      <c r="I13" s="93"/>
      <c r="M13" s="6">
        <f>SUM(M14,M15)</f>
        <v>0</v>
      </c>
      <c r="N13" s="6">
        <f>SUM(N14,N15)</f>
        <v>1524423.75</v>
      </c>
      <c r="O13" s="6">
        <f>SUM(O14,O15)</f>
        <v>1524423.75</v>
      </c>
      <c r="S13" s="6">
        <f>SUM(S14,S15)</f>
        <v>0</v>
      </c>
      <c r="T13" s="6">
        <f>SUM(T14,T15)</f>
        <v>2286635.63</v>
      </c>
      <c r="U13" s="6">
        <f>SUM(U14,U15)</f>
        <v>2286635.63</v>
      </c>
      <c r="Y13" s="9">
        <f>SUM(Y14,Y15)</f>
        <v>0</v>
      </c>
      <c r="Z13" s="9">
        <f>SUM(Z14,Z15)</f>
        <v>1905529.7000000002</v>
      </c>
      <c r="AA13" s="9">
        <f>SUM(AA14,AA15)</f>
        <v>1905529.7000000002</v>
      </c>
      <c r="AD13" s="4">
        <v>334080467</v>
      </c>
      <c r="AE13" s="4">
        <v>29196647</v>
      </c>
    </row>
    <row r="14" spans="1:35" ht="126" x14ac:dyDescent="0.3">
      <c r="A14" s="10" t="s">
        <v>58</v>
      </c>
      <c r="B14" s="10" t="s">
        <v>59</v>
      </c>
      <c r="C14" s="14" t="s">
        <v>60</v>
      </c>
      <c r="D14" s="15"/>
      <c r="E14" s="15" t="s">
        <v>61</v>
      </c>
      <c r="F14" s="15" t="s">
        <v>62</v>
      </c>
      <c r="G14" s="16">
        <v>1</v>
      </c>
      <c r="H14" s="16"/>
      <c r="I14" s="16">
        <v>1707.54</v>
      </c>
      <c r="J14" s="17">
        <v>0</v>
      </c>
      <c r="K14" s="18">
        <v>375</v>
      </c>
      <c r="L14" s="17">
        <f>J14+ROUND(K14, 2)</f>
        <v>375</v>
      </c>
      <c r="M14" s="17">
        <v>0</v>
      </c>
      <c r="N14" s="17">
        <f>ROUND(I14*ROUND(K14, 2), 2)</f>
        <v>640327.5</v>
      </c>
      <c r="O14" s="17">
        <f>M14+N14</f>
        <v>640327.5</v>
      </c>
      <c r="P14" s="17">
        <v>0</v>
      </c>
      <c r="Q14" s="19">
        <v>562.5</v>
      </c>
      <c r="R14" s="17">
        <f>P14+ROUND(Q14, 2)</f>
        <v>562.5</v>
      </c>
      <c r="S14" s="17">
        <v>0</v>
      </c>
      <c r="T14" s="17">
        <f>ROUND(I14*ROUND(Q14, 2), 2)</f>
        <v>960491.25</v>
      </c>
      <c r="U14" s="17">
        <f>S14+T14</f>
        <v>960491.25</v>
      </c>
      <c r="V14" s="9"/>
      <c r="W14" s="9">
        <f>ROUND(Q14 / 1.2, 2)</f>
        <v>468.75</v>
      </c>
      <c r="X14" s="9">
        <f>ROUND(R14 / 1.2, 2)</f>
        <v>468.75</v>
      </c>
      <c r="Y14" s="9"/>
      <c r="Z14" s="9">
        <f>ROUND(T14 / 1.2, 2)</f>
        <v>800409.38</v>
      </c>
      <c r="AA14" s="9">
        <f>Y14+Z14</f>
        <v>800409.38</v>
      </c>
      <c r="AD14" s="4">
        <v>334080469</v>
      </c>
      <c r="AE14" s="4">
        <v>29196680</v>
      </c>
      <c r="AG14" s="4" t="s">
        <v>63</v>
      </c>
      <c r="AH14" s="4" t="s">
        <v>64</v>
      </c>
      <c r="AI14" s="4" t="s">
        <v>65</v>
      </c>
    </row>
    <row r="15" spans="1:35" ht="144" x14ac:dyDescent="0.3">
      <c r="A15" s="10" t="s">
        <v>66</v>
      </c>
      <c r="B15" s="10" t="s">
        <v>59</v>
      </c>
      <c r="C15" s="14" t="s">
        <v>60</v>
      </c>
      <c r="D15" s="15"/>
      <c r="E15" s="15" t="s">
        <v>67</v>
      </c>
      <c r="F15" s="15" t="s">
        <v>62</v>
      </c>
      <c r="G15" s="16">
        <v>1</v>
      </c>
      <c r="H15" s="16"/>
      <c r="I15" s="16">
        <v>2357.59</v>
      </c>
      <c r="J15" s="17">
        <v>0</v>
      </c>
      <c r="K15" s="18">
        <v>375</v>
      </c>
      <c r="L15" s="17">
        <f>J15+ROUND(K15, 2)</f>
        <v>375</v>
      </c>
      <c r="M15" s="17">
        <v>0</v>
      </c>
      <c r="N15" s="17">
        <f>ROUND(I15*ROUND(K15, 2), 2)</f>
        <v>884096.25</v>
      </c>
      <c r="O15" s="17">
        <f>M15+N15</f>
        <v>884096.25</v>
      </c>
      <c r="P15" s="17">
        <v>0</v>
      </c>
      <c r="Q15" s="19">
        <v>562.5</v>
      </c>
      <c r="R15" s="17">
        <f>P15+ROUND(Q15, 2)</f>
        <v>562.5</v>
      </c>
      <c r="S15" s="17">
        <v>0</v>
      </c>
      <c r="T15" s="17">
        <f>ROUND(I15*ROUND(Q15, 2), 2)</f>
        <v>1326144.3799999999</v>
      </c>
      <c r="U15" s="17">
        <f>S15+T15</f>
        <v>1326144.3799999999</v>
      </c>
      <c r="V15" s="9"/>
      <c r="W15" s="9">
        <f>ROUND(Q15 / 1.2, 2)</f>
        <v>468.75</v>
      </c>
      <c r="X15" s="9">
        <f>ROUND(R15 / 1.2, 2)</f>
        <v>468.75</v>
      </c>
      <c r="Y15" s="9"/>
      <c r="Z15" s="9">
        <f>ROUND(T15 / 1.2, 2)</f>
        <v>1105120.32</v>
      </c>
      <c r="AA15" s="9">
        <f>Y15+Z15</f>
        <v>1105120.32</v>
      </c>
      <c r="AD15" s="4">
        <v>334080584</v>
      </c>
      <c r="AE15" s="4">
        <v>29196681</v>
      </c>
      <c r="AG15" s="4" t="s">
        <v>63</v>
      </c>
      <c r="AH15" s="4" t="s">
        <v>64</v>
      </c>
      <c r="AI15" s="4" t="s">
        <v>65</v>
      </c>
    </row>
    <row r="16" spans="1:35" ht="16.95" customHeight="1" x14ac:dyDescent="0.3">
      <c r="A16" s="10" t="s">
        <v>68</v>
      </c>
      <c r="B16" s="10" t="s">
        <v>69</v>
      </c>
      <c r="C16" s="91" t="s">
        <v>70</v>
      </c>
      <c r="D16" s="92"/>
      <c r="E16" s="92"/>
      <c r="F16" s="92"/>
      <c r="G16" s="92"/>
      <c r="H16" s="92"/>
      <c r="I16" s="93"/>
      <c r="M16" s="6">
        <f t="shared" ref="M16:O19" si="3">SUM(M17)</f>
        <v>49224.53</v>
      </c>
      <c r="N16" s="6">
        <f t="shared" si="3"/>
        <v>128833.69999999998</v>
      </c>
      <c r="O16" s="6">
        <f t="shared" si="3"/>
        <v>178058.23</v>
      </c>
      <c r="S16" s="6">
        <f t="shared" ref="S16:U19" si="4">SUM(S17)</f>
        <v>123088.61</v>
      </c>
      <c r="T16" s="6">
        <f t="shared" si="4"/>
        <v>193250.55</v>
      </c>
      <c r="U16" s="6">
        <f t="shared" si="4"/>
        <v>316339.16000000003</v>
      </c>
      <c r="Y16" s="9">
        <f t="shared" ref="Y16:AA19" si="5">SUM(Y17)</f>
        <v>102573.83999999998</v>
      </c>
      <c r="Z16" s="9">
        <f t="shared" si="5"/>
        <v>161042.13</v>
      </c>
      <c r="AA16" s="9">
        <f t="shared" si="5"/>
        <v>263615.97000000003</v>
      </c>
      <c r="AD16" s="4">
        <v>334080470</v>
      </c>
      <c r="AE16" s="4">
        <v>27245716</v>
      </c>
    </row>
    <row r="17" spans="1:35" ht="16.95" customHeight="1" x14ac:dyDescent="0.3">
      <c r="A17" s="10" t="s">
        <v>71</v>
      </c>
      <c r="B17" s="10" t="s">
        <v>72</v>
      </c>
      <c r="C17" s="91" t="s">
        <v>73</v>
      </c>
      <c r="D17" s="92"/>
      <c r="E17" s="92"/>
      <c r="F17" s="92"/>
      <c r="G17" s="92"/>
      <c r="H17" s="92"/>
      <c r="I17" s="93"/>
      <c r="M17" s="6">
        <f t="shared" si="3"/>
        <v>49224.53</v>
      </c>
      <c r="N17" s="6">
        <f t="shared" si="3"/>
        <v>128833.69999999998</v>
      </c>
      <c r="O17" s="6">
        <f t="shared" si="3"/>
        <v>178058.23</v>
      </c>
      <c r="S17" s="6">
        <f t="shared" si="4"/>
        <v>123088.61</v>
      </c>
      <c r="T17" s="6">
        <f t="shared" si="4"/>
        <v>193250.55</v>
      </c>
      <c r="U17" s="6">
        <f t="shared" si="4"/>
        <v>316339.16000000003</v>
      </c>
      <c r="Y17" s="9">
        <f t="shared" si="5"/>
        <v>102573.83999999998</v>
      </c>
      <c r="Z17" s="9">
        <f t="shared" si="5"/>
        <v>161042.13</v>
      </c>
      <c r="AA17" s="9">
        <f t="shared" si="5"/>
        <v>263615.97000000003</v>
      </c>
      <c r="AD17" s="4">
        <v>334080471</v>
      </c>
      <c r="AE17" s="4">
        <v>27245640</v>
      </c>
    </row>
    <row r="18" spans="1:35" ht="16.95" customHeight="1" x14ac:dyDescent="0.3">
      <c r="A18" s="10" t="s">
        <v>74</v>
      </c>
      <c r="B18" s="10" t="s">
        <v>75</v>
      </c>
      <c r="C18" s="91" t="s">
        <v>76</v>
      </c>
      <c r="D18" s="92"/>
      <c r="E18" s="92"/>
      <c r="F18" s="92"/>
      <c r="G18" s="92"/>
      <c r="H18" s="92"/>
      <c r="I18" s="93"/>
      <c r="M18" s="6">
        <f t="shared" si="3"/>
        <v>49224.53</v>
      </c>
      <c r="N18" s="6">
        <f t="shared" si="3"/>
        <v>128833.69999999998</v>
      </c>
      <c r="O18" s="6">
        <f t="shared" si="3"/>
        <v>178058.23</v>
      </c>
      <c r="S18" s="6">
        <f t="shared" si="4"/>
        <v>123088.61</v>
      </c>
      <c r="T18" s="6">
        <f t="shared" si="4"/>
        <v>193250.55</v>
      </c>
      <c r="U18" s="6">
        <f t="shared" si="4"/>
        <v>316339.16000000003</v>
      </c>
      <c r="Y18" s="9">
        <f t="shared" si="5"/>
        <v>102573.83999999998</v>
      </c>
      <c r="Z18" s="9">
        <f t="shared" si="5"/>
        <v>161042.13</v>
      </c>
      <c r="AA18" s="9">
        <f t="shared" si="5"/>
        <v>263615.97000000003</v>
      </c>
      <c r="AD18" s="4">
        <v>334080472</v>
      </c>
      <c r="AE18" s="4">
        <v>27245618</v>
      </c>
    </row>
    <row r="19" spans="1:35" ht="16.95" customHeight="1" x14ac:dyDescent="0.3">
      <c r="A19" s="10" t="s">
        <v>77</v>
      </c>
      <c r="B19" s="10" t="s">
        <v>78</v>
      </c>
      <c r="C19" s="91" t="s">
        <v>79</v>
      </c>
      <c r="D19" s="92"/>
      <c r="E19" s="92"/>
      <c r="F19" s="92"/>
      <c r="G19" s="92"/>
      <c r="H19" s="92"/>
      <c r="I19" s="93"/>
      <c r="M19" s="6">
        <f t="shared" si="3"/>
        <v>49224.53</v>
      </c>
      <c r="N19" s="6">
        <f t="shared" si="3"/>
        <v>128833.69999999998</v>
      </c>
      <c r="O19" s="6">
        <f t="shared" si="3"/>
        <v>178058.23</v>
      </c>
      <c r="S19" s="6">
        <f t="shared" si="4"/>
        <v>123088.61</v>
      </c>
      <c r="T19" s="6">
        <f t="shared" si="4"/>
        <v>193250.55</v>
      </c>
      <c r="U19" s="6">
        <f t="shared" si="4"/>
        <v>316339.16000000003</v>
      </c>
      <c r="Y19" s="9">
        <f t="shared" si="5"/>
        <v>102573.83999999998</v>
      </c>
      <c r="Z19" s="9">
        <f t="shared" si="5"/>
        <v>161042.13</v>
      </c>
      <c r="AA19" s="9">
        <f t="shared" si="5"/>
        <v>263615.97000000003</v>
      </c>
      <c r="AD19" s="4">
        <v>334080473</v>
      </c>
      <c r="AE19" s="4">
        <v>27245643</v>
      </c>
    </row>
    <row r="20" spans="1:35" ht="16.95" customHeight="1" x14ac:dyDescent="0.3">
      <c r="A20" s="10" t="s">
        <v>80</v>
      </c>
      <c r="B20" s="10" t="s">
        <v>81</v>
      </c>
      <c r="C20" s="91" t="s">
        <v>82</v>
      </c>
      <c r="D20" s="92"/>
      <c r="E20" s="92"/>
      <c r="F20" s="92"/>
      <c r="G20" s="92"/>
      <c r="H20" s="92"/>
      <c r="I20" s="93"/>
      <c r="M20" s="6">
        <f>SUM(M21,M26,M31,M36,M41,M46,M51,M56)</f>
        <v>49224.53</v>
      </c>
      <c r="N20" s="6">
        <f>SUM(N21,N26,N31,N36,N41,N46,N51,N56)</f>
        <v>128833.69999999998</v>
      </c>
      <c r="O20" s="6">
        <f>SUM(O21,O26,O31,O36,O41,O46,O51,O56)</f>
        <v>178058.23</v>
      </c>
      <c r="S20" s="6">
        <f>SUM(S21,S26,S31,S36,S41,S46,S51,S56)</f>
        <v>123088.61</v>
      </c>
      <c r="T20" s="6">
        <f>SUM(T21,T26,T31,T36,T41,T46,T51,T56)</f>
        <v>193250.55</v>
      </c>
      <c r="U20" s="6">
        <f>SUM(U21,U26,U31,U36,U41,U46,U51,U56)</f>
        <v>316339.16000000003</v>
      </c>
      <c r="Y20" s="9">
        <f>SUM(Y21,Y26,Y31,Y36,Y41,Y46,Y51,Y56)</f>
        <v>102573.83999999998</v>
      </c>
      <c r="Z20" s="9">
        <f>SUM(Z21,Z26,Z31,Z36,Z41,Z46,Z51,Z56)</f>
        <v>161042.13</v>
      </c>
      <c r="AA20" s="9">
        <f>SUM(AA21,AA26,AA31,AA36,AA41,AA46,AA51,AA56)</f>
        <v>263615.97000000003</v>
      </c>
      <c r="AD20" s="4">
        <v>334080474</v>
      </c>
      <c r="AE20" s="4">
        <v>27245619</v>
      </c>
    </row>
    <row r="21" spans="1:35" ht="36" x14ac:dyDescent="0.3">
      <c r="A21" s="10" t="s">
        <v>83</v>
      </c>
      <c r="B21" s="10" t="s">
        <v>84</v>
      </c>
      <c r="C21" s="14" t="s">
        <v>85</v>
      </c>
      <c r="D21" s="15"/>
      <c r="E21" s="15"/>
      <c r="F21" s="15" t="s">
        <v>62</v>
      </c>
      <c r="G21" s="16">
        <v>1</v>
      </c>
      <c r="H21" s="16"/>
      <c r="I21" s="16">
        <v>0</v>
      </c>
      <c r="J21" s="17">
        <v>0</v>
      </c>
      <c r="K21" s="18">
        <v>2293</v>
      </c>
      <c r="L21" s="17">
        <f>J21+ROUND(K21, 2)</f>
        <v>2293</v>
      </c>
      <c r="M21" s="17">
        <v>0</v>
      </c>
      <c r="N21" s="17">
        <v>0</v>
      </c>
      <c r="O21" s="17">
        <f>M21+N21</f>
        <v>0</v>
      </c>
      <c r="P21" s="17">
        <v>877.6</v>
      </c>
      <c r="Q21" s="18">
        <v>2293</v>
      </c>
      <c r="R21" s="17">
        <f>P21+ROUND(Q21, 2)</f>
        <v>3170.6</v>
      </c>
      <c r="S21" s="17">
        <v>0</v>
      </c>
      <c r="T21" s="17">
        <v>0</v>
      </c>
      <c r="U21" s="17">
        <f>S21+T21</f>
        <v>0</v>
      </c>
      <c r="V21" s="9">
        <f>ROUND(P21 / 1.2, 2)</f>
        <v>731.33</v>
      </c>
      <c r="W21" s="9">
        <f>ROUND(Q21 / 1.2, 2)</f>
        <v>1910.83</v>
      </c>
      <c r="X21" s="9">
        <f>ROUND(R21 / 1.2, 2)</f>
        <v>2642.17</v>
      </c>
      <c r="Y21" s="9">
        <f>ROUND(S21 / 1.2, 2)</f>
        <v>0</v>
      </c>
      <c r="Z21" s="9">
        <f>ROUND(T21 / 1.2, 2)</f>
        <v>0</v>
      </c>
      <c r="AA21" s="9">
        <f>Y21+Z21</f>
        <v>0</v>
      </c>
      <c r="AD21" s="4">
        <v>334080476</v>
      </c>
      <c r="AE21" s="4">
        <v>27245632</v>
      </c>
      <c r="AG21" s="4" t="s">
        <v>86</v>
      </c>
      <c r="AH21" s="4" t="s">
        <v>87</v>
      </c>
      <c r="AI21" s="4" t="s">
        <v>88</v>
      </c>
    </row>
    <row r="22" spans="1:35" ht="54" x14ac:dyDescent="0.3">
      <c r="A22" s="10" t="s">
        <v>89</v>
      </c>
      <c r="B22" s="10"/>
      <c r="C22" s="24" t="s">
        <v>90</v>
      </c>
      <c r="D22" s="15"/>
      <c r="E22" s="15"/>
      <c r="F22" s="25" t="s">
        <v>91</v>
      </c>
      <c r="G22" s="26">
        <v>1</v>
      </c>
      <c r="H22" s="26"/>
      <c r="I22" s="26">
        <v>0</v>
      </c>
      <c r="J22" s="27">
        <v>102.33</v>
      </c>
      <c r="M22" s="28">
        <f>ROUND(ROUND(J22, 2)*I22, 2)</f>
        <v>0</v>
      </c>
      <c r="P22" s="27">
        <v>102.33</v>
      </c>
      <c r="S22" s="28">
        <f>ROUND(ROUND(P22, 2)*I22, 2)</f>
        <v>0</v>
      </c>
      <c r="V22" s="9">
        <f>ROUND(ROUND(P22, 2)/1.2, 2)</f>
        <v>85.28</v>
      </c>
      <c r="Y22" s="9">
        <f t="shared" ref="Y22:Y60" si="6">ROUND(S22 / 1.2, 2)</f>
        <v>0</v>
      </c>
      <c r="AD22" s="4" t="s">
        <v>92</v>
      </c>
      <c r="AE22" s="4" t="s">
        <v>93</v>
      </c>
      <c r="AF22" s="4" t="s">
        <v>94</v>
      </c>
    </row>
    <row r="23" spans="1:35" ht="36" x14ac:dyDescent="0.3">
      <c r="A23" s="10" t="s">
        <v>95</v>
      </c>
      <c r="B23" s="10"/>
      <c r="C23" s="30" t="s">
        <v>96</v>
      </c>
      <c r="D23" s="15"/>
      <c r="E23" s="15"/>
      <c r="F23" s="25" t="s">
        <v>62</v>
      </c>
      <c r="G23" s="26">
        <v>4.2</v>
      </c>
      <c r="H23" s="26"/>
      <c r="I23" s="26">
        <v>0</v>
      </c>
      <c r="J23" s="27">
        <v>104.57</v>
      </c>
      <c r="M23" s="28">
        <f>ROUND(ROUND(J23, 2)*I23, 2)</f>
        <v>0</v>
      </c>
      <c r="P23" s="27">
        <v>104.57</v>
      </c>
      <c r="S23" s="28">
        <f>ROUND(ROUND(P23, 2)*I23, 2)</f>
        <v>0</v>
      </c>
      <c r="V23" s="9">
        <f>ROUND(ROUND(P23, 2)/1.2, 2)</f>
        <v>87.14</v>
      </c>
      <c r="Y23" s="9">
        <f t="shared" si="6"/>
        <v>0</v>
      </c>
      <c r="AD23" s="4" t="s">
        <v>97</v>
      </c>
      <c r="AE23" s="4" t="s">
        <v>98</v>
      </c>
      <c r="AF23" s="4" t="s">
        <v>99</v>
      </c>
    </row>
    <row r="24" spans="1:35" ht="18" x14ac:dyDescent="0.3">
      <c r="A24" s="10" t="s">
        <v>100</v>
      </c>
      <c r="B24" s="10"/>
      <c r="C24" s="30" t="s">
        <v>101</v>
      </c>
      <c r="D24" s="15"/>
      <c r="E24" s="15"/>
      <c r="F24" s="25" t="s">
        <v>102</v>
      </c>
      <c r="G24" s="26">
        <v>4.07</v>
      </c>
      <c r="H24" s="31"/>
      <c r="I24" s="31">
        <v>0</v>
      </c>
      <c r="J24" s="27">
        <v>64.56</v>
      </c>
      <c r="M24" s="28">
        <f>ROUND(ROUND(J24, 2)*I24, 2)</f>
        <v>0</v>
      </c>
      <c r="P24" s="27">
        <v>64.56</v>
      </c>
      <c r="S24" s="28">
        <f>ROUND(ROUND(P24, 2)*I24, 2)</f>
        <v>0</v>
      </c>
      <c r="V24" s="9">
        <f>ROUND(ROUND(P24, 2)/1.2, 2)</f>
        <v>53.8</v>
      </c>
      <c r="Y24" s="9">
        <f t="shared" si="6"/>
        <v>0</v>
      </c>
      <c r="AD24" s="4" t="s">
        <v>103</v>
      </c>
      <c r="AE24" s="4" t="s">
        <v>104</v>
      </c>
      <c r="AF24" s="4" t="s">
        <v>105</v>
      </c>
    </row>
    <row r="25" spans="1:35" ht="18" x14ac:dyDescent="0.3">
      <c r="A25" s="10" t="s">
        <v>106</v>
      </c>
      <c r="B25" s="10"/>
      <c r="C25" s="30" t="s">
        <v>107</v>
      </c>
      <c r="D25" s="15"/>
      <c r="E25" s="15"/>
      <c r="F25" s="25" t="s">
        <v>102</v>
      </c>
      <c r="G25" s="26">
        <v>1.42</v>
      </c>
      <c r="H25" s="31"/>
      <c r="I25" s="31">
        <v>0</v>
      </c>
      <c r="J25" s="27">
        <v>51.63</v>
      </c>
      <c r="M25" s="28">
        <f>ROUND(ROUND(J25, 2)*I25, 2)</f>
        <v>0</v>
      </c>
      <c r="P25" s="27">
        <v>51.63</v>
      </c>
      <c r="S25" s="28">
        <f>ROUND(ROUND(P25, 2)*I25, 2)</f>
        <v>0</v>
      </c>
      <c r="V25" s="9">
        <f>ROUND(ROUND(P25, 2)/1.2, 2)</f>
        <v>43.03</v>
      </c>
      <c r="Y25" s="9">
        <f t="shared" si="6"/>
        <v>0</v>
      </c>
      <c r="AD25" s="4" t="s">
        <v>108</v>
      </c>
      <c r="AE25" s="4" t="s">
        <v>109</v>
      </c>
      <c r="AF25" s="4" t="s">
        <v>110</v>
      </c>
    </row>
    <row r="26" spans="1:35" ht="36" x14ac:dyDescent="0.3">
      <c r="A26" s="10" t="s">
        <v>111</v>
      </c>
      <c r="B26" s="10" t="s">
        <v>84</v>
      </c>
      <c r="C26" s="14" t="s">
        <v>85</v>
      </c>
      <c r="D26" s="15"/>
      <c r="E26" s="15"/>
      <c r="F26" s="15" t="s">
        <v>62</v>
      </c>
      <c r="G26" s="16">
        <v>1</v>
      </c>
      <c r="H26" s="16"/>
      <c r="I26" s="16">
        <v>0</v>
      </c>
      <c r="J26" s="17">
        <v>0</v>
      </c>
      <c r="K26" s="18">
        <v>2293</v>
      </c>
      <c r="L26" s="17">
        <f>J26+ROUND(K26, 2)</f>
        <v>2293</v>
      </c>
      <c r="M26" s="17">
        <v>0</v>
      </c>
      <c r="N26" s="17">
        <v>0</v>
      </c>
      <c r="O26" s="17">
        <f>M26+N26</f>
        <v>0</v>
      </c>
      <c r="P26" s="17">
        <v>3631.1</v>
      </c>
      <c r="Q26" s="18">
        <v>2293</v>
      </c>
      <c r="R26" s="17">
        <f>P26+ROUND(Q26, 2)</f>
        <v>5924.1</v>
      </c>
      <c r="S26" s="17">
        <v>0</v>
      </c>
      <c r="T26" s="17">
        <v>0</v>
      </c>
      <c r="U26" s="17">
        <f>S26+T26</f>
        <v>0</v>
      </c>
      <c r="V26" s="9">
        <f>ROUND(P26 / 1.2, 2)</f>
        <v>3025.92</v>
      </c>
      <c r="W26" s="9">
        <f>ROUND(Q26 / 1.2, 2)</f>
        <v>1910.83</v>
      </c>
      <c r="X26" s="9">
        <f>ROUND(R26 / 1.2, 2)</f>
        <v>4936.75</v>
      </c>
      <c r="Y26" s="9">
        <f t="shared" si="6"/>
        <v>0</v>
      </c>
      <c r="Z26" s="9">
        <f>ROUND(T26 / 1.2, 2)</f>
        <v>0</v>
      </c>
      <c r="AA26" s="9">
        <f>Y26+Z26</f>
        <v>0</v>
      </c>
      <c r="AD26" s="4">
        <v>334080585</v>
      </c>
      <c r="AE26" s="4">
        <v>27245633</v>
      </c>
      <c r="AG26" s="4" t="s">
        <v>86</v>
      </c>
      <c r="AH26" s="4" t="s">
        <v>87</v>
      </c>
      <c r="AI26" s="4" t="s">
        <v>88</v>
      </c>
    </row>
    <row r="27" spans="1:35" ht="18" x14ac:dyDescent="0.3">
      <c r="A27" s="10" t="s">
        <v>112</v>
      </c>
      <c r="B27" s="10"/>
      <c r="C27" s="30" t="s">
        <v>101</v>
      </c>
      <c r="D27" s="15"/>
      <c r="E27" s="15"/>
      <c r="F27" s="25" t="s">
        <v>102</v>
      </c>
      <c r="G27" s="26">
        <v>4.07</v>
      </c>
      <c r="H27" s="31"/>
      <c r="I27" s="31">
        <v>0</v>
      </c>
      <c r="J27" s="27">
        <v>64.56</v>
      </c>
      <c r="M27" s="28">
        <f>ROUND(ROUND(J27, 2)*I27, 2)</f>
        <v>0</v>
      </c>
      <c r="P27" s="27">
        <v>64.56</v>
      </c>
      <c r="S27" s="28">
        <f>ROUND(ROUND(P27, 2)*I27, 2)</f>
        <v>0</v>
      </c>
      <c r="V27" s="9">
        <f>ROUND(ROUND(P27, 2)/1.2, 2)</f>
        <v>53.8</v>
      </c>
      <c r="Y27" s="9">
        <f t="shared" si="6"/>
        <v>0</v>
      </c>
      <c r="AD27" s="4" t="s">
        <v>113</v>
      </c>
      <c r="AE27" s="4" t="s">
        <v>114</v>
      </c>
      <c r="AF27" s="4" t="s">
        <v>105</v>
      </c>
    </row>
    <row r="28" spans="1:35" ht="18" x14ac:dyDescent="0.3">
      <c r="A28" s="10" t="s">
        <v>115</v>
      </c>
      <c r="B28" s="10"/>
      <c r="C28" s="30" t="s">
        <v>107</v>
      </c>
      <c r="D28" s="15"/>
      <c r="E28" s="15"/>
      <c r="F28" s="25" t="s">
        <v>102</v>
      </c>
      <c r="G28" s="26">
        <v>1.42</v>
      </c>
      <c r="H28" s="31"/>
      <c r="I28" s="31">
        <v>0</v>
      </c>
      <c r="J28" s="27">
        <v>51.63</v>
      </c>
      <c r="M28" s="28">
        <f>ROUND(ROUND(J28, 2)*I28, 2)</f>
        <v>0</v>
      </c>
      <c r="P28" s="27">
        <v>51.63</v>
      </c>
      <c r="S28" s="28">
        <f>ROUND(ROUND(P28, 2)*I28, 2)</f>
        <v>0</v>
      </c>
      <c r="V28" s="9">
        <f>ROUND(ROUND(P28, 2)/1.2, 2)</f>
        <v>43.03</v>
      </c>
      <c r="Y28" s="9">
        <f t="shared" si="6"/>
        <v>0</v>
      </c>
      <c r="AD28" s="4" t="s">
        <v>116</v>
      </c>
      <c r="AE28" s="4" t="s">
        <v>117</v>
      </c>
      <c r="AF28" s="4" t="s">
        <v>110</v>
      </c>
    </row>
    <row r="29" spans="1:35" ht="36" x14ac:dyDescent="0.3">
      <c r="A29" s="10" t="s">
        <v>118</v>
      </c>
      <c r="B29" s="10"/>
      <c r="C29" s="24" t="s">
        <v>119</v>
      </c>
      <c r="D29" s="15"/>
      <c r="E29" s="15"/>
      <c r="F29" s="25" t="s">
        <v>62</v>
      </c>
      <c r="G29" s="26">
        <v>2.1</v>
      </c>
      <c r="H29" s="26"/>
      <c r="I29" s="26">
        <v>0</v>
      </c>
      <c r="J29" s="27">
        <v>135.53</v>
      </c>
      <c r="M29" s="28">
        <f>ROUND(ROUND(J29, 2)*I29, 2)</f>
        <v>0</v>
      </c>
      <c r="P29" s="27">
        <v>1520.33</v>
      </c>
      <c r="S29" s="28">
        <f>ROUND(ROUND(P29, 2)*I29, 2)</f>
        <v>0</v>
      </c>
      <c r="V29" s="9">
        <f>ROUND(ROUND(P29, 2)/1.2, 2)</f>
        <v>1266.94</v>
      </c>
      <c r="Y29" s="9">
        <f t="shared" si="6"/>
        <v>0</v>
      </c>
      <c r="AD29" s="4" t="s">
        <v>120</v>
      </c>
      <c r="AE29" s="4" t="s">
        <v>121</v>
      </c>
      <c r="AF29" s="4" t="s">
        <v>122</v>
      </c>
    </row>
    <row r="30" spans="1:35" ht="54" x14ac:dyDescent="0.3">
      <c r="A30" s="10" t="s">
        <v>123</v>
      </c>
      <c r="B30" s="10"/>
      <c r="C30" s="24" t="s">
        <v>90</v>
      </c>
      <c r="D30" s="15"/>
      <c r="E30" s="15"/>
      <c r="F30" s="25" t="s">
        <v>91</v>
      </c>
      <c r="G30" s="26">
        <v>1</v>
      </c>
      <c r="H30" s="26"/>
      <c r="I30" s="26">
        <v>0</v>
      </c>
      <c r="J30" s="27">
        <v>102.33</v>
      </c>
      <c r="M30" s="28">
        <f>ROUND(ROUND(J30, 2)*I30, 2)</f>
        <v>0</v>
      </c>
      <c r="P30" s="27">
        <v>102.33</v>
      </c>
      <c r="S30" s="28">
        <f>ROUND(ROUND(P30, 2)*I30, 2)</f>
        <v>0</v>
      </c>
      <c r="V30" s="9">
        <f>ROUND(ROUND(P30, 2)/1.2, 2)</f>
        <v>85.28</v>
      </c>
      <c r="Y30" s="9">
        <f t="shared" si="6"/>
        <v>0</v>
      </c>
      <c r="AD30" s="4" t="s">
        <v>124</v>
      </c>
      <c r="AE30" s="4" t="s">
        <v>125</v>
      </c>
      <c r="AF30" s="4" t="s">
        <v>94</v>
      </c>
    </row>
    <row r="31" spans="1:35" ht="162" x14ac:dyDescent="0.3">
      <c r="A31" s="10" t="s">
        <v>126</v>
      </c>
      <c r="B31" s="10" t="s">
        <v>84</v>
      </c>
      <c r="C31" s="14" t="s">
        <v>85</v>
      </c>
      <c r="D31" s="15"/>
      <c r="E31" s="15" t="s">
        <v>127</v>
      </c>
      <c r="F31" s="15" t="s">
        <v>62</v>
      </c>
      <c r="G31" s="16">
        <v>1</v>
      </c>
      <c r="H31" s="16"/>
      <c r="I31" s="16">
        <v>6.3</v>
      </c>
      <c r="J31" s="17">
        <v>877.62</v>
      </c>
      <c r="K31" s="18">
        <v>2293</v>
      </c>
      <c r="L31" s="17">
        <f>J31+ROUND(K31, 2)</f>
        <v>3170.62</v>
      </c>
      <c r="M31" s="17">
        <v>5529.01</v>
      </c>
      <c r="N31" s="17">
        <v>14445.9</v>
      </c>
      <c r="O31" s="17">
        <f>M31+N31</f>
        <v>19974.91</v>
      </c>
      <c r="P31" s="17">
        <v>877.6</v>
      </c>
      <c r="Q31" s="18">
        <v>3439.5</v>
      </c>
      <c r="R31" s="17">
        <f>P31+ROUND(Q31, 2)</f>
        <v>4317.1000000000004</v>
      </c>
      <c r="S31" s="17">
        <v>5528.88</v>
      </c>
      <c r="T31" s="17">
        <v>21668.85</v>
      </c>
      <c r="U31" s="17">
        <f>S31+T31</f>
        <v>27197.73</v>
      </c>
      <c r="V31" s="9">
        <f>ROUND(P31 / 1.2, 2)</f>
        <v>731.33</v>
      </c>
      <c r="W31" s="9">
        <f>ROUND(Q31 / 1.2, 2)</f>
        <v>2866.25</v>
      </c>
      <c r="X31" s="9">
        <f>ROUND(R31 / 1.2, 2)</f>
        <v>3597.58</v>
      </c>
      <c r="Y31" s="9">
        <f t="shared" si="6"/>
        <v>4607.3999999999996</v>
      </c>
      <c r="Z31" s="9">
        <f>ROUND(T31 / 1.2, 2)</f>
        <v>18057.38</v>
      </c>
      <c r="AA31" s="9">
        <f>Y31+Z31</f>
        <v>22664.78</v>
      </c>
      <c r="AD31" s="4">
        <v>334080586</v>
      </c>
      <c r="AE31" s="4">
        <v>27245768</v>
      </c>
      <c r="AG31" s="4" t="s">
        <v>86</v>
      </c>
      <c r="AH31" s="4" t="s">
        <v>87</v>
      </c>
      <c r="AI31" s="4" t="s">
        <v>88</v>
      </c>
    </row>
    <row r="32" spans="1:35" ht="54" x14ac:dyDescent="0.3">
      <c r="A32" s="10" t="s">
        <v>128</v>
      </c>
      <c r="B32" s="10"/>
      <c r="C32" s="24" t="s">
        <v>90</v>
      </c>
      <c r="D32" s="15"/>
      <c r="E32" s="15"/>
      <c r="F32" s="25" t="s">
        <v>91</v>
      </c>
      <c r="G32" s="26">
        <v>1</v>
      </c>
      <c r="H32" s="26"/>
      <c r="I32" s="26">
        <v>6.3</v>
      </c>
      <c r="J32" s="27">
        <v>102.34</v>
      </c>
      <c r="M32" s="28">
        <f>ROUND(ROUND(J32, 2)*I32, 2)</f>
        <v>644.74</v>
      </c>
      <c r="P32" s="27">
        <v>102.33</v>
      </c>
      <c r="S32" s="28">
        <f>ROUND(ROUND(P32, 2)*I32, 2)</f>
        <v>644.67999999999995</v>
      </c>
      <c r="V32" s="9">
        <f>ROUND(ROUND(P32, 2)/1.2, 2)</f>
        <v>85.28</v>
      </c>
      <c r="Y32" s="9">
        <f t="shared" si="6"/>
        <v>537.23</v>
      </c>
      <c r="AD32" s="4" t="s">
        <v>129</v>
      </c>
      <c r="AE32" s="4" t="s">
        <v>130</v>
      </c>
      <c r="AF32" s="4" t="s">
        <v>94</v>
      </c>
    </row>
    <row r="33" spans="1:35" ht="36" x14ac:dyDescent="0.3">
      <c r="A33" s="10" t="s">
        <v>131</v>
      </c>
      <c r="B33" s="10"/>
      <c r="C33" s="30" t="s">
        <v>96</v>
      </c>
      <c r="D33" s="15"/>
      <c r="E33" s="15"/>
      <c r="F33" s="25" t="s">
        <v>62</v>
      </c>
      <c r="G33" s="26">
        <v>4.2</v>
      </c>
      <c r="H33" s="26"/>
      <c r="I33" s="26">
        <v>26.46</v>
      </c>
      <c r="J33" s="27">
        <v>104.57</v>
      </c>
      <c r="M33" s="28">
        <f>ROUND(ROUND(J33, 2)*I33, 2)</f>
        <v>2766.92</v>
      </c>
      <c r="P33" s="27">
        <v>104.57</v>
      </c>
      <c r="S33" s="28">
        <f>ROUND(ROUND(P33, 2)*I33, 2)</f>
        <v>2766.92</v>
      </c>
      <c r="V33" s="9">
        <f>ROUND(ROUND(P33, 2)/1.2, 2)</f>
        <v>87.14</v>
      </c>
      <c r="Y33" s="9">
        <f t="shared" si="6"/>
        <v>2305.77</v>
      </c>
      <c r="AD33" s="4" t="s">
        <v>132</v>
      </c>
      <c r="AE33" s="4" t="s">
        <v>133</v>
      </c>
      <c r="AF33" s="4" t="s">
        <v>99</v>
      </c>
    </row>
    <row r="34" spans="1:35" ht="18" x14ac:dyDescent="0.3">
      <c r="A34" s="10" t="s">
        <v>134</v>
      </c>
      <c r="B34" s="10"/>
      <c r="C34" s="30" t="s">
        <v>101</v>
      </c>
      <c r="D34" s="15"/>
      <c r="E34" s="15"/>
      <c r="F34" s="25" t="s">
        <v>102</v>
      </c>
      <c r="G34" s="26">
        <v>4.07</v>
      </c>
      <c r="H34" s="31"/>
      <c r="I34" s="31">
        <v>25.640999999999998</v>
      </c>
      <c r="J34" s="27">
        <v>64.56</v>
      </c>
      <c r="M34" s="28">
        <f>ROUND(ROUND(J34, 2)*I34, 2)</f>
        <v>1655.38</v>
      </c>
      <c r="P34" s="27">
        <v>64.56</v>
      </c>
      <c r="S34" s="28">
        <f>ROUND(ROUND(P34, 2)*I34, 2)</f>
        <v>1655.38</v>
      </c>
      <c r="V34" s="9">
        <f>ROUND(ROUND(P34, 2)/1.2, 2)</f>
        <v>53.8</v>
      </c>
      <c r="Y34" s="9">
        <f t="shared" si="6"/>
        <v>1379.48</v>
      </c>
      <c r="AD34" s="4" t="s">
        <v>135</v>
      </c>
      <c r="AE34" s="4" t="s">
        <v>136</v>
      </c>
      <c r="AF34" s="4" t="s">
        <v>105</v>
      </c>
    </row>
    <row r="35" spans="1:35" ht="18" x14ac:dyDescent="0.3">
      <c r="A35" s="10" t="s">
        <v>137</v>
      </c>
      <c r="B35" s="10"/>
      <c r="C35" s="30" t="s">
        <v>107</v>
      </c>
      <c r="D35" s="15"/>
      <c r="E35" s="15"/>
      <c r="F35" s="25" t="s">
        <v>102</v>
      </c>
      <c r="G35" s="26">
        <v>1.42</v>
      </c>
      <c r="H35" s="31"/>
      <c r="I35" s="31">
        <v>8.9459999999999997</v>
      </c>
      <c r="J35" s="27">
        <v>51.64</v>
      </c>
      <c r="M35" s="28">
        <f>ROUND(ROUND(J35, 2)*I35, 2)</f>
        <v>461.97</v>
      </c>
      <c r="P35" s="27">
        <v>51.63</v>
      </c>
      <c r="S35" s="28">
        <f>ROUND(ROUND(P35, 2)*I35, 2)</f>
        <v>461.88</v>
      </c>
      <c r="V35" s="9">
        <f>ROUND(ROUND(P35, 2)/1.2, 2)</f>
        <v>43.03</v>
      </c>
      <c r="Y35" s="9">
        <f t="shared" si="6"/>
        <v>384.9</v>
      </c>
      <c r="AD35" s="4" t="s">
        <v>138</v>
      </c>
      <c r="AE35" s="4" t="s">
        <v>139</v>
      </c>
      <c r="AF35" s="4" t="s">
        <v>110</v>
      </c>
    </row>
    <row r="36" spans="1:35" ht="198" x14ac:dyDescent="0.3">
      <c r="A36" s="10" t="s">
        <v>140</v>
      </c>
      <c r="B36" s="10" t="s">
        <v>84</v>
      </c>
      <c r="C36" s="14" t="s">
        <v>85</v>
      </c>
      <c r="D36" s="15"/>
      <c r="E36" s="15" t="s">
        <v>141</v>
      </c>
      <c r="F36" s="15" t="s">
        <v>62</v>
      </c>
      <c r="G36" s="16">
        <v>1</v>
      </c>
      <c r="H36" s="16"/>
      <c r="I36" s="16">
        <v>25.4</v>
      </c>
      <c r="J36" s="17">
        <v>723.04</v>
      </c>
      <c r="K36" s="18">
        <v>2293</v>
      </c>
      <c r="L36" s="17">
        <f>J36+ROUND(K36, 2)</f>
        <v>3016.04</v>
      </c>
      <c r="M36" s="17">
        <v>18365.22</v>
      </c>
      <c r="N36" s="17">
        <v>58242.2</v>
      </c>
      <c r="O36" s="17">
        <f>M36+N36</f>
        <v>76607.42</v>
      </c>
      <c r="P36" s="17">
        <v>3631.1</v>
      </c>
      <c r="Q36" s="18">
        <v>3439.5</v>
      </c>
      <c r="R36" s="17">
        <f>P36+ROUND(Q36, 2)</f>
        <v>7070.6</v>
      </c>
      <c r="S36" s="17">
        <v>92229.94</v>
      </c>
      <c r="T36" s="17">
        <v>87363.3</v>
      </c>
      <c r="U36" s="17">
        <f>S36+T36</f>
        <v>179593.24</v>
      </c>
      <c r="V36" s="9">
        <f>ROUND(P36 / 1.2, 2)</f>
        <v>3025.92</v>
      </c>
      <c r="W36" s="9">
        <f>ROUND(Q36 / 1.2, 2)</f>
        <v>2866.25</v>
      </c>
      <c r="X36" s="9">
        <f>ROUND(R36 / 1.2, 2)</f>
        <v>5892.17</v>
      </c>
      <c r="Y36" s="9">
        <f t="shared" si="6"/>
        <v>76858.28</v>
      </c>
      <c r="Z36" s="9">
        <f>ROUND(T36 / 1.2, 2)</f>
        <v>72802.75</v>
      </c>
      <c r="AA36" s="9">
        <f>Y36+Z36</f>
        <v>149661.03</v>
      </c>
      <c r="AD36" s="4">
        <v>334080587</v>
      </c>
      <c r="AE36" s="4">
        <v>27245765</v>
      </c>
      <c r="AG36" s="4" t="s">
        <v>86</v>
      </c>
      <c r="AH36" s="4" t="s">
        <v>87</v>
      </c>
      <c r="AI36" s="4" t="s">
        <v>88</v>
      </c>
    </row>
    <row r="37" spans="1:35" ht="18" x14ac:dyDescent="0.3">
      <c r="A37" s="10" t="s">
        <v>142</v>
      </c>
      <c r="B37" s="10"/>
      <c r="C37" s="30" t="s">
        <v>101</v>
      </c>
      <c r="D37" s="15"/>
      <c r="E37" s="15"/>
      <c r="F37" s="25" t="s">
        <v>102</v>
      </c>
      <c r="G37" s="26">
        <v>4.07</v>
      </c>
      <c r="H37" s="31"/>
      <c r="I37" s="31">
        <v>103.378</v>
      </c>
      <c r="J37" s="27">
        <v>64.56</v>
      </c>
      <c r="M37" s="28">
        <f>ROUND(ROUND(J37, 2)*I37, 2)</f>
        <v>6674.08</v>
      </c>
      <c r="P37" s="27">
        <v>64.56</v>
      </c>
      <c r="S37" s="28">
        <f>ROUND(ROUND(P37, 2)*I37, 2)</f>
        <v>6674.08</v>
      </c>
      <c r="V37" s="9">
        <f>ROUND(ROUND(P37, 2)/1.2, 2)</f>
        <v>53.8</v>
      </c>
      <c r="Y37" s="9">
        <f t="shared" si="6"/>
        <v>5561.73</v>
      </c>
      <c r="AD37" s="4" t="s">
        <v>143</v>
      </c>
      <c r="AE37" s="4" t="s">
        <v>144</v>
      </c>
      <c r="AF37" s="4" t="s">
        <v>105</v>
      </c>
    </row>
    <row r="38" spans="1:35" ht="18" x14ac:dyDescent="0.3">
      <c r="A38" s="10" t="s">
        <v>145</v>
      </c>
      <c r="B38" s="10"/>
      <c r="C38" s="30" t="s">
        <v>107</v>
      </c>
      <c r="D38" s="15"/>
      <c r="E38" s="15"/>
      <c r="F38" s="25" t="s">
        <v>102</v>
      </c>
      <c r="G38" s="26">
        <v>1.42</v>
      </c>
      <c r="H38" s="31"/>
      <c r="I38" s="31">
        <v>36.067999999999998</v>
      </c>
      <c r="J38" s="27">
        <v>51.64</v>
      </c>
      <c r="M38" s="28">
        <f>ROUND(ROUND(J38, 2)*I38, 2)</f>
        <v>1862.55</v>
      </c>
      <c r="P38" s="27">
        <v>51.63</v>
      </c>
      <c r="S38" s="28">
        <f>ROUND(ROUND(P38, 2)*I38, 2)</f>
        <v>1862.19</v>
      </c>
      <c r="V38" s="9">
        <f>ROUND(ROUND(P38, 2)/1.2, 2)</f>
        <v>43.03</v>
      </c>
      <c r="Y38" s="9">
        <f t="shared" si="6"/>
        <v>1551.83</v>
      </c>
      <c r="AD38" s="4" t="s">
        <v>146</v>
      </c>
      <c r="AE38" s="4" t="s">
        <v>147</v>
      </c>
      <c r="AF38" s="4" t="s">
        <v>110</v>
      </c>
    </row>
    <row r="39" spans="1:35" ht="36" x14ac:dyDescent="0.3">
      <c r="A39" s="10" t="s">
        <v>148</v>
      </c>
      <c r="B39" s="10"/>
      <c r="C39" s="24" t="s">
        <v>119</v>
      </c>
      <c r="D39" s="15"/>
      <c r="E39" s="15" t="s">
        <v>149</v>
      </c>
      <c r="F39" s="25" t="s">
        <v>62</v>
      </c>
      <c r="G39" s="26">
        <v>2.1</v>
      </c>
      <c r="H39" s="26"/>
      <c r="I39" s="26">
        <v>53.34</v>
      </c>
      <c r="J39" s="27">
        <v>135.53</v>
      </c>
      <c r="M39" s="28">
        <f>ROUND(ROUND(J39, 2)*I39, 2)</f>
        <v>7229.17</v>
      </c>
      <c r="P39" s="27">
        <v>1520.33</v>
      </c>
      <c r="S39" s="28">
        <f>ROUND(ROUND(P39, 2)*I39, 2)</f>
        <v>81094.399999999994</v>
      </c>
      <c r="V39" s="9">
        <f>ROUND(ROUND(P39, 2)/1.2, 2)</f>
        <v>1266.94</v>
      </c>
      <c r="Y39" s="9">
        <f t="shared" si="6"/>
        <v>67578.67</v>
      </c>
      <c r="AD39" s="4" t="s">
        <v>150</v>
      </c>
      <c r="AE39" s="4" t="s">
        <v>151</v>
      </c>
      <c r="AF39" s="4" t="s">
        <v>122</v>
      </c>
    </row>
    <row r="40" spans="1:35" ht="54" x14ac:dyDescent="0.3">
      <c r="A40" s="10" t="s">
        <v>152</v>
      </c>
      <c r="B40" s="10"/>
      <c r="C40" s="24" t="s">
        <v>90</v>
      </c>
      <c r="D40" s="15"/>
      <c r="E40" s="15"/>
      <c r="F40" s="25" t="s">
        <v>91</v>
      </c>
      <c r="G40" s="26">
        <v>1</v>
      </c>
      <c r="H40" s="26"/>
      <c r="I40" s="26">
        <v>25.4</v>
      </c>
      <c r="J40" s="27">
        <v>102.34</v>
      </c>
      <c r="M40" s="28">
        <f>ROUND(ROUND(J40, 2)*I40, 2)</f>
        <v>2599.44</v>
      </c>
      <c r="P40" s="27">
        <v>102.33</v>
      </c>
      <c r="S40" s="28">
        <f>ROUND(ROUND(P40, 2)*I40, 2)</f>
        <v>2599.1799999999998</v>
      </c>
      <c r="V40" s="9">
        <f>ROUND(ROUND(P40, 2)/1.2, 2)</f>
        <v>85.28</v>
      </c>
      <c r="Y40" s="9">
        <f t="shared" si="6"/>
        <v>2165.98</v>
      </c>
      <c r="AD40" s="4" t="s">
        <v>153</v>
      </c>
      <c r="AE40" s="4" t="s">
        <v>154</v>
      </c>
      <c r="AF40" s="4" t="s">
        <v>94</v>
      </c>
    </row>
    <row r="41" spans="1:35" ht="36" x14ac:dyDescent="0.3">
      <c r="A41" s="10" t="s">
        <v>155</v>
      </c>
      <c r="B41" s="10" t="s">
        <v>156</v>
      </c>
      <c r="C41" s="14" t="s">
        <v>157</v>
      </c>
      <c r="D41" s="15" t="s">
        <v>158</v>
      </c>
      <c r="E41" s="15"/>
      <c r="F41" s="15" t="s">
        <v>62</v>
      </c>
      <c r="G41" s="16">
        <v>1</v>
      </c>
      <c r="H41" s="16"/>
      <c r="I41" s="16">
        <v>0</v>
      </c>
      <c r="J41" s="17">
        <v>0</v>
      </c>
      <c r="K41" s="18">
        <v>1064</v>
      </c>
      <c r="L41" s="17">
        <f>J41+ROUND(K41, 2)</f>
        <v>1064</v>
      </c>
      <c r="M41" s="17">
        <v>0</v>
      </c>
      <c r="N41" s="17">
        <v>0</v>
      </c>
      <c r="O41" s="17">
        <f>M41+N41</f>
        <v>0</v>
      </c>
      <c r="P41" s="17">
        <v>333.37</v>
      </c>
      <c r="Q41" s="18">
        <v>1064</v>
      </c>
      <c r="R41" s="17">
        <f>P41+ROUND(Q41, 2)</f>
        <v>1397.37</v>
      </c>
      <c r="S41" s="17">
        <v>0</v>
      </c>
      <c r="T41" s="17">
        <v>0</v>
      </c>
      <c r="U41" s="17">
        <f>S41+T41</f>
        <v>0</v>
      </c>
      <c r="V41" s="9">
        <f>ROUND(P41 / 1.2, 2)</f>
        <v>277.81</v>
      </c>
      <c r="W41" s="9">
        <f>ROUND(Q41 / 1.2, 2)</f>
        <v>886.67</v>
      </c>
      <c r="X41" s="9">
        <f>ROUND(R41 / 1.2, 2)</f>
        <v>1164.48</v>
      </c>
      <c r="Y41" s="9">
        <f t="shared" si="6"/>
        <v>0</v>
      </c>
      <c r="Z41" s="9">
        <f>ROUND(T41 / 1.2, 2)</f>
        <v>0</v>
      </c>
      <c r="AA41" s="9">
        <f>Y41+Z41</f>
        <v>0</v>
      </c>
      <c r="AD41" s="4">
        <v>334080478</v>
      </c>
      <c r="AE41" s="4">
        <v>27245691</v>
      </c>
      <c r="AG41" s="4" t="s">
        <v>159</v>
      </c>
      <c r="AH41" s="4" t="s">
        <v>160</v>
      </c>
      <c r="AI41" s="4" t="s">
        <v>88</v>
      </c>
    </row>
    <row r="42" spans="1:35" ht="72" x14ac:dyDescent="0.3">
      <c r="A42" s="10" t="s">
        <v>161</v>
      </c>
      <c r="B42" s="10"/>
      <c r="C42" s="24" t="s">
        <v>162</v>
      </c>
      <c r="D42" s="15"/>
      <c r="E42" s="15"/>
      <c r="F42" s="25" t="s">
        <v>91</v>
      </c>
      <c r="G42" s="26">
        <v>1</v>
      </c>
      <c r="H42" s="26"/>
      <c r="I42" s="26">
        <v>0</v>
      </c>
      <c r="J42" s="27">
        <v>43.7</v>
      </c>
      <c r="M42" s="28">
        <f>ROUND(ROUND(J42, 2)*I42, 2)</f>
        <v>0</v>
      </c>
      <c r="P42" s="27">
        <v>43.7</v>
      </c>
      <c r="S42" s="28">
        <f>ROUND(ROUND(P42, 2)*I42, 2)</f>
        <v>0</v>
      </c>
      <c r="V42" s="9">
        <f>ROUND(ROUND(P42, 2)/1.2, 2)</f>
        <v>36.42</v>
      </c>
      <c r="Y42" s="9">
        <f t="shared" si="6"/>
        <v>0</v>
      </c>
      <c r="AD42" s="4" t="s">
        <v>163</v>
      </c>
      <c r="AE42" s="4" t="s">
        <v>164</v>
      </c>
      <c r="AF42" s="4" t="s">
        <v>165</v>
      </c>
    </row>
    <row r="43" spans="1:35" ht="36" x14ac:dyDescent="0.3">
      <c r="A43" s="10" t="s">
        <v>166</v>
      </c>
      <c r="B43" s="10"/>
      <c r="C43" s="30" t="s">
        <v>167</v>
      </c>
      <c r="D43" s="15"/>
      <c r="E43" s="15"/>
      <c r="F43" s="25" t="s">
        <v>62</v>
      </c>
      <c r="G43" s="26">
        <v>1.2</v>
      </c>
      <c r="H43" s="26"/>
      <c r="I43" s="26">
        <v>0</v>
      </c>
      <c r="J43" s="27">
        <v>104.57</v>
      </c>
      <c r="M43" s="28">
        <f>ROUND(ROUND(J43, 2)*I43, 2)</f>
        <v>0</v>
      </c>
      <c r="P43" s="27">
        <v>104.57</v>
      </c>
      <c r="S43" s="28">
        <f>ROUND(ROUND(P43, 2)*I43, 2)</f>
        <v>0</v>
      </c>
      <c r="V43" s="9">
        <f>ROUND(ROUND(P43, 2)/1.2, 2)</f>
        <v>87.14</v>
      </c>
      <c r="Y43" s="9">
        <f t="shared" si="6"/>
        <v>0</v>
      </c>
      <c r="AD43" s="4" t="s">
        <v>168</v>
      </c>
      <c r="AE43" s="4" t="s">
        <v>169</v>
      </c>
      <c r="AF43" s="4" t="s">
        <v>170</v>
      </c>
    </row>
    <row r="44" spans="1:35" ht="18" x14ac:dyDescent="0.3">
      <c r="A44" s="10" t="s">
        <v>171</v>
      </c>
      <c r="B44" s="10"/>
      <c r="C44" s="30" t="s">
        <v>101</v>
      </c>
      <c r="D44" s="15"/>
      <c r="E44" s="15"/>
      <c r="F44" s="25" t="s">
        <v>102</v>
      </c>
      <c r="G44" s="26">
        <v>2.1</v>
      </c>
      <c r="H44" s="26"/>
      <c r="I44" s="26">
        <v>0</v>
      </c>
      <c r="J44" s="27">
        <v>64.56</v>
      </c>
      <c r="M44" s="28">
        <f>ROUND(ROUND(J44, 2)*I44, 2)</f>
        <v>0</v>
      </c>
      <c r="P44" s="27">
        <v>64.56</v>
      </c>
      <c r="S44" s="28">
        <f>ROUND(ROUND(P44, 2)*I44, 2)</f>
        <v>0</v>
      </c>
      <c r="V44" s="9">
        <f>ROUND(ROUND(P44, 2)/1.2, 2)</f>
        <v>53.8</v>
      </c>
      <c r="Y44" s="9">
        <f t="shared" si="6"/>
        <v>0</v>
      </c>
      <c r="AD44" s="4" t="s">
        <v>172</v>
      </c>
      <c r="AE44" s="4" t="s">
        <v>173</v>
      </c>
      <c r="AF44" s="4" t="s">
        <v>105</v>
      </c>
    </row>
    <row r="45" spans="1:35" ht="18" x14ac:dyDescent="0.3">
      <c r="A45" s="10" t="s">
        <v>174</v>
      </c>
      <c r="B45" s="10"/>
      <c r="C45" s="24" t="s">
        <v>175</v>
      </c>
      <c r="D45" s="15"/>
      <c r="E45" s="15"/>
      <c r="F45" s="25" t="s">
        <v>102</v>
      </c>
      <c r="G45" s="26">
        <v>0.8</v>
      </c>
      <c r="H45" s="26"/>
      <c r="I45" s="26">
        <v>0</v>
      </c>
      <c r="J45" s="27">
        <v>35.76</v>
      </c>
      <c r="M45" s="28">
        <f>ROUND(ROUND(J45, 2)*I45, 2)</f>
        <v>0</v>
      </c>
      <c r="P45" s="27">
        <v>35.76</v>
      </c>
      <c r="S45" s="28">
        <f>ROUND(ROUND(P45, 2)*I45, 2)</f>
        <v>0</v>
      </c>
      <c r="V45" s="9">
        <f>ROUND(ROUND(P45, 2)/1.2, 2)</f>
        <v>29.8</v>
      </c>
      <c r="Y45" s="9">
        <f t="shared" si="6"/>
        <v>0</v>
      </c>
      <c r="AD45" s="4" t="s">
        <v>176</v>
      </c>
      <c r="AE45" s="4" t="s">
        <v>177</v>
      </c>
      <c r="AF45" s="4" t="s">
        <v>178</v>
      </c>
    </row>
    <row r="46" spans="1:35" ht="144" x14ac:dyDescent="0.3">
      <c r="A46" s="10" t="s">
        <v>179</v>
      </c>
      <c r="B46" s="10" t="s">
        <v>156</v>
      </c>
      <c r="C46" s="14" t="s">
        <v>157</v>
      </c>
      <c r="D46" s="15" t="s">
        <v>158</v>
      </c>
      <c r="E46" s="15" t="s">
        <v>180</v>
      </c>
      <c r="F46" s="15" t="s">
        <v>62</v>
      </c>
      <c r="G46" s="16">
        <v>1</v>
      </c>
      <c r="H46" s="16"/>
      <c r="I46" s="16">
        <v>45.4</v>
      </c>
      <c r="J46" s="17">
        <v>484.9</v>
      </c>
      <c r="K46" s="18">
        <v>1064</v>
      </c>
      <c r="L46" s="17">
        <f>J46+ROUND(K46, 2)</f>
        <v>1548.9</v>
      </c>
      <c r="M46" s="17">
        <v>22014.46</v>
      </c>
      <c r="N46" s="17">
        <v>48305.599999999999</v>
      </c>
      <c r="O46" s="17">
        <f>M46+N46</f>
        <v>70320.06</v>
      </c>
      <c r="P46" s="17">
        <v>484.89</v>
      </c>
      <c r="Q46" s="18">
        <v>1596</v>
      </c>
      <c r="R46" s="17">
        <f>P46+ROUND(Q46, 2)</f>
        <v>2080.89</v>
      </c>
      <c r="S46" s="17">
        <v>22014.01</v>
      </c>
      <c r="T46" s="17">
        <v>72458.399999999994</v>
      </c>
      <c r="U46" s="17">
        <f>S46+T46</f>
        <v>94472.409999999989</v>
      </c>
      <c r="V46" s="9">
        <f>ROUND(P46 / 1.2, 2)</f>
        <v>404.08</v>
      </c>
      <c r="W46" s="9">
        <f>ROUND(Q46 / 1.2, 2)</f>
        <v>1330</v>
      </c>
      <c r="X46" s="9">
        <f>ROUND(R46 / 1.2, 2)</f>
        <v>1734.08</v>
      </c>
      <c r="Y46" s="9">
        <f t="shared" si="6"/>
        <v>18345.009999999998</v>
      </c>
      <c r="Z46" s="9">
        <f>ROUND(T46 / 1.2, 2)</f>
        <v>60382</v>
      </c>
      <c r="AA46" s="9">
        <f>Y46+Z46</f>
        <v>78727.009999999995</v>
      </c>
      <c r="AD46" s="4">
        <v>334080588</v>
      </c>
      <c r="AE46" s="4">
        <v>27245766</v>
      </c>
      <c r="AG46" s="4" t="s">
        <v>159</v>
      </c>
      <c r="AH46" s="4" t="s">
        <v>160</v>
      </c>
      <c r="AI46" s="4" t="s">
        <v>88</v>
      </c>
    </row>
    <row r="47" spans="1:35" ht="18" x14ac:dyDescent="0.3">
      <c r="A47" s="10" t="s">
        <v>181</v>
      </c>
      <c r="B47" s="10"/>
      <c r="C47" s="24" t="s">
        <v>175</v>
      </c>
      <c r="D47" s="15"/>
      <c r="E47" s="15"/>
      <c r="F47" s="25" t="s">
        <v>102</v>
      </c>
      <c r="G47" s="26">
        <v>0.8</v>
      </c>
      <c r="H47" s="26"/>
      <c r="I47" s="26">
        <v>36.32</v>
      </c>
      <c r="J47" s="27">
        <v>35.76</v>
      </c>
      <c r="M47" s="28">
        <f>ROUND(ROUND(J47, 2)*I47, 2)</f>
        <v>1298.8</v>
      </c>
      <c r="P47" s="27">
        <v>35.76</v>
      </c>
      <c r="S47" s="28">
        <f>ROUND(ROUND(P47, 2)*I47, 2)</f>
        <v>1298.8</v>
      </c>
      <c r="V47" s="9">
        <f>ROUND(ROUND(P47, 2)/1.2, 2)</f>
        <v>29.8</v>
      </c>
      <c r="Y47" s="9">
        <f t="shared" si="6"/>
        <v>1082.33</v>
      </c>
      <c r="AD47" s="4" t="s">
        <v>182</v>
      </c>
      <c r="AE47" s="4" t="s">
        <v>183</v>
      </c>
      <c r="AF47" s="4" t="s">
        <v>178</v>
      </c>
    </row>
    <row r="48" spans="1:35" ht="18" x14ac:dyDescent="0.3">
      <c r="A48" s="10" t="s">
        <v>184</v>
      </c>
      <c r="B48" s="10"/>
      <c r="C48" s="30" t="s">
        <v>107</v>
      </c>
      <c r="D48" s="15"/>
      <c r="E48" s="15"/>
      <c r="F48" s="25" t="s">
        <v>102</v>
      </c>
      <c r="G48" s="26">
        <v>0.8</v>
      </c>
      <c r="H48" s="26"/>
      <c r="I48" s="26">
        <v>36.32</v>
      </c>
      <c r="J48" s="27">
        <v>51.64</v>
      </c>
      <c r="M48" s="28">
        <f>ROUND(ROUND(J48, 2)*I48, 2)</f>
        <v>1875.56</v>
      </c>
      <c r="P48" s="27">
        <v>51.63</v>
      </c>
      <c r="S48" s="28">
        <f>ROUND(ROUND(P48, 2)*I48, 2)</f>
        <v>1875.2</v>
      </c>
      <c r="V48" s="9">
        <f>ROUND(ROUND(P48, 2)/1.2, 2)</f>
        <v>43.03</v>
      </c>
      <c r="Y48" s="9">
        <f t="shared" si="6"/>
        <v>1562.67</v>
      </c>
      <c r="AD48" s="4" t="s">
        <v>185</v>
      </c>
      <c r="AE48" s="4" t="s">
        <v>186</v>
      </c>
      <c r="AF48" s="4" t="s">
        <v>110</v>
      </c>
    </row>
    <row r="49" spans="1:35" ht="18" x14ac:dyDescent="0.3">
      <c r="A49" s="10" t="s">
        <v>187</v>
      </c>
      <c r="B49" s="10"/>
      <c r="C49" s="30" t="s">
        <v>188</v>
      </c>
      <c r="D49" s="15"/>
      <c r="E49" s="15"/>
      <c r="F49" s="25" t="s">
        <v>62</v>
      </c>
      <c r="G49" s="26">
        <v>1.2</v>
      </c>
      <c r="H49" s="26"/>
      <c r="I49" s="26">
        <v>54.48</v>
      </c>
      <c r="J49" s="27">
        <v>309.39999999999998</v>
      </c>
      <c r="M49" s="28">
        <f>ROUND(ROUND(J49, 2)*I49, 2)</f>
        <v>16856.11</v>
      </c>
      <c r="P49" s="27">
        <v>309.39999999999998</v>
      </c>
      <c r="S49" s="28">
        <f>ROUND(ROUND(P49, 2)*I49, 2)</f>
        <v>16856.11</v>
      </c>
      <c r="V49" s="9">
        <f>ROUND(ROUND(P49, 2)/1.2, 2)</f>
        <v>257.83</v>
      </c>
      <c r="Y49" s="9">
        <f t="shared" si="6"/>
        <v>14046.76</v>
      </c>
      <c r="AD49" s="4" t="s">
        <v>189</v>
      </c>
      <c r="AE49" s="4" t="s">
        <v>190</v>
      </c>
      <c r="AF49" s="4" t="s">
        <v>191</v>
      </c>
    </row>
    <row r="50" spans="1:35" ht="72" x14ac:dyDescent="0.3">
      <c r="A50" s="10" t="s">
        <v>192</v>
      </c>
      <c r="B50" s="10"/>
      <c r="C50" s="24" t="s">
        <v>162</v>
      </c>
      <c r="D50" s="15"/>
      <c r="E50" s="15"/>
      <c r="F50" s="25" t="s">
        <v>91</v>
      </c>
      <c r="G50" s="26">
        <v>1</v>
      </c>
      <c r="H50" s="26"/>
      <c r="I50" s="26">
        <v>45.4</v>
      </c>
      <c r="J50" s="27">
        <v>43.7</v>
      </c>
      <c r="M50" s="28">
        <f>ROUND(ROUND(J50, 2)*I50, 2)</f>
        <v>1983.98</v>
      </c>
      <c r="P50" s="27">
        <v>43.7</v>
      </c>
      <c r="S50" s="28">
        <f>ROUND(ROUND(P50, 2)*I50, 2)</f>
        <v>1983.98</v>
      </c>
      <c r="V50" s="9">
        <f>ROUND(ROUND(P50, 2)/1.2, 2)</f>
        <v>36.42</v>
      </c>
      <c r="Y50" s="9">
        <f t="shared" si="6"/>
        <v>1653.32</v>
      </c>
      <c r="AD50" s="4" t="s">
        <v>193</v>
      </c>
      <c r="AE50" s="4" t="s">
        <v>194</v>
      </c>
      <c r="AF50" s="4" t="s">
        <v>165</v>
      </c>
    </row>
    <row r="51" spans="1:35" ht="36" x14ac:dyDescent="0.3">
      <c r="A51" s="10" t="s">
        <v>195</v>
      </c>
      <c r="B51" s="10" t="s">
        <v>196</v>
      </c>
      <c r="C51" s="14" t="s">
        <v>197</v>
      </c>
      <c r="D51" s="15" t="s">
        <v>158</v>
      </c>
      <c r="E51" s="15"/>
      <c r="F51" s="15" t="s">
        <v>62</v>
      </c>
      <c r="G51" s="16">
        <v>1</v>
      </c>
      <c r="H51" s="16"/>
      <c r="I51" s="16">
        <v>0</v>
      </c>
      <c r="J51" s="17">
        <v>0</v>
      </c>
      <c r="K51" s="18">
        <v>1225</v>
      </c>
      <c r="L51" s="17">
        <f>J51+ROUND(K51, 2)</f>
        <v>1225</v>
      </c>
      <c r="M51" s="17">
        <v>0</v>
      </c>
      <c r="N51" s="17">
        <v>0</v>
      </c>
      <c r="O51" s="17">
        <f>M51+N51</f>
        <v>0</v>
      </c>
      <c r="P51" s="17">
        <v>518.09</v>
      </c>
      <c r="Q51" s="18">
        <v>1225</v>
      </c>
      <c r="R51" s="17">
        <f>P51+ROUND(Q51, 2)</f>
        <v>1743.0900000000001</v>
      </c>
      <c r="S51" s="17">
        <v>0</v>
      </c>
      <c r="T51" s="17">
        <v>0</v>
      </c>
      <c r="U51" s="17">
        <f>S51+T51</f>
        <v>0</v>
      </c>
      <c r="V51" s="9">
        <f>ROUND(P51 / 1.2, 2)</f>
        <v>431.74</v>
      </c>
      <c r="W51" s="9">
        <f>ROUND(Q51 / 1.2, 2)</f>
        <v>1020.83</v>
      </c>
      <c r="X51" s="9">
        <f>ROUND(R51 / 1.2, 2)</f>
        <v>1452.58</v>
      </c>
      <c r="Y51" s="9">
        <f t="shared" si="6"/>
        <v>0</v>
      </c>
      <c r="Z51" s="9">
        <f>ROUND(T51 / 1.2, 2)</f>
        <v>0</v>
      </c>
      <c r="AA51" s="9">
        <f>Y51+Z51</f>
        <v>0</v>
      </c>
      <c r="AD51" s="4">
        <v>334080479</v>
      </c>
      <c r="AE51" s="4">
        <v>27245718</v>
      </c>
      <c r="AG51" s="4" t="s">
        <v>198</v>
      </c>
      <c r="AH51" s="4" t="s">
        <v>199</v>
      </c>
      <c r="AI51" s="4" t="s">
        <v>88</v>
      </c>
    </row>
    <row r="52" spans="1:35" ht="72" x14ac:dyDescent="0.3">
      <c r="A52" s="10" t="s">
        <v>200</v>
      </c>
      <c r="B52" s="10"/>
      <c r="C52" s="24" t="s">
        <v>201</v>
      </c>
      <c r="D52" s="15"/>
      <c r="E52" s="15"/>
      <c r="F52" s="25" t="s">
        <v>91</v>
      </c>
      <c r="G52" s="26">
        <v>1</v>
      </c>
      <c r="H52" s="26"/>
      <c r="I52" s="26">
        <v>0</v>
      </c>
      <c r="J52" s="27">
        <v>111.15</v>
      </c>
      <c r="M52" s="28">
        <f>ROUND(ROUND(J52, 2)*I52, 2)</f>
        <v>0</v>
      </c>
      <c r="P52" s="27">
        <v>111.15</v>
      </c>
      <c r="S52" s="28">
        <f>ROUND(ROUND(P52, 2)*I52, 2)</f>
        <v>0</v>
      </c>
      <c r="V52" s="9">
        <f>ROUND(ROUND(P52, 2)/1.2, 2)</f>
        <v>92.63</v>
      </c>
      <c r="Y52" s="9">
        <f t="shared" si="6"/>
        <v>0</v>
      </c>
      <c r="AD52" s="4" t="s">
        <v>202</v>
      </c>
      <c r="AE52" s="4" t="s">
        <v>203</v>
      </c>
      <c r="AF52" s="4" t="s">
        <v>204</v>
      </c>
    </row>
    <row r="53" spans="1:35" ht="36" x14ac:dyDescent="0.3">
      <c r="A53" s="10" t="s">
        <v>205</v>
      </c>
      <c r="B53" s="10"/>
      <c r="C53" s="30" t="s">
        <v>96</v>
      </c>
      <c r="D53" s="15"/>
      <c r="E53" s="15"/>
      <c r="F53" s="25" t="s">
        <v>62</v>
      </c>
      <c r="G53" s="26">
        <v>2.2000000000000002</v>
      </c>
      <c r="H53" s="26"/>
      <c r="I53" s="26">
        <v>0</v>
      </c>
      <c r="J53" s="27">
        <v>104.57</v>
      </c>
      <c r="M53" s="28">
        <f>ROUND(ROUND(J53, 2)*I53, 2)</f>
        <v>0</v>
      </c>
      <c r="P53" s="27">
        <v>104.57</v>
      </c>
      <c r="S53" s="28">
        <f>ROUND(ROUND(P53, 2)*I53, 2)</f>
        <v>0</v>
      </c>
      <c r="V53" s="9">
        <f>ROUND(ROUND(P53, 2)/1.2, 2)</f>
        <v>87.14</v>
      </c>
      <c r="Y53" s="9">
        <f t="shared" si="6"/>
        <v>0</v>
      </c>
      <c r="AD53" s="4" t="s">
        <v>206</v>
      </c>
      <c r="AE53" s="4" t="s">
        <v>207</v>
      </c>
      <c r="AF53" s="4" t="s">
        <v>208</v>
      </c>
    </row>
    <row r="54" spans="1:35" ht="18" x14ac:dyDescent="0.3">
      <c r="A54" s="10" t="s">
        <v>209</v>
      </c>
      <c r="B54" s="10"/>
      <c r="C54" s="30" t="s">
        <v>101</v>
      </c>
      <c r="D54" s="15"/>
      <c r="E54" s="15"/>
      <c r="F54" s="25" t="s">
        <v>102</v>
      </c>
      <c r="G54" s="26">
        <v>2.1</v>
      </c>
      <c r="H54" s="26"/>
      <c r="I54" s="26">
        <v>0</v>
      </c>
      <c r="J54" s="27">
        <v>64.56</v>
      </c>
      <c r="M54" s="28">
        <f>ROUND(ROUND(J54, 2)*I54, 2)</f>
        <v>0</v>
      </c>
      <c r="P54" s="27">
        <v>64.56</v>
      </c>
      <c r="S54" s="28">
        <f>ROUND(ROUND(P54, 2)*I54, 2)</f>
        <v>0</v>
      </c>
      <c r="V54" s="9">
        <f>ROUND(ROUND(P54, 2)/1.2, 2)</f>
        <v>53.8</v>
      </c>
      <c r="Y54" s="9">
        <f t="shared" si="6"/>
        <v>0</v>
      </c>
      <c r="AD54" s="4" t="s">
        <v>210</v>
      </c>
      <c r="AE54" s="4" t="s">
        <v>211</v>
      </c>
      <c r="AF54" s="4" t="s">
        <v>105</v>
      </c>
    </row>
    <row r="55" spans="1:35" ht="18" x14ac:dyDescent="0.3">
      <c r="A55" s="10" t="s">
        <v>212</v>
      </c>
      <c r="B55" s="10"/>
      <c r="C55" s="30" t="s">
        <v>107</v>
      </c>
      <c r="D55" s="15"/>
      <c r="E55" s="15"/>
      <c r="F55" s="25" t="s">
        <v>102</v>
      </c>
      <c r="G55" s="26">
        <v>0.8</v>
      </c>
      <c r="H55" s="26"/>
      <c r="I55" s="26">
        <v>0</v>
      </c>
      <c r="J55" s="27">
        <v>51.63</v>
      </c>
      <c r="M55" s="28">
        <f>ROUND(ROUND(J55, 2)*I55, 2)</f>
        <v>0</v>
      </c>
      <c r="P55" s="27">
        <v>51.63</v>
      </c>
      <c r="S55" s="28">
        <f>ROUND(ROUND(P55, 2)*I55, 2)</f>
        <v>0</v>
      </c>
      <c r="V55" s="9">
        <f>ROUND(ROUND(P55, 2)/1.2, 2)</f>
        <v>43.03</v>
      </c>
      <c r="Y55" s="9">
        <f t="shared" si="6"/>
        <v>0</v>
      </c>
      <c r="AD55" s="4" t="s">
        <v>213</v>
      </c>
      <c r="AE55" s="4" t="s">
        <v>214</v>
      </c>
      <c r="AF55" s="4" t="s">
        <v>110</v>
      </c>
    </row>
    <row r="56" spans="1:35" ht="108" x14ac:dyDescent="0.3">
      <c r="A56" s="10" t="s">
        <v>215</v>
      </c>
      <c r="B56" s="10" t="s">
        <v>196</v>
      </c>
      <c r="C56" s="14" t="s">
        <v>197</v>
      </c>
      <c r="D56" s="15" t="s">
        <v>158</v>
      </c>
      <c r="E56" s="15" t="s">
        <v>216</v>
      </c>
      <c r="F56" s="15" t="s">
        <v>62</v>
      </c>
      <c r="G56" s="16">
        <v>1</v>
      </c>
      <c r="H56" s="16"/>
      <c r="I56" s="16">
        <v>6.4</v>
      </c>
      <c r="J56" s="17">
        <v>518.1</v>
      </c>
      <c r="K56" s="18">
        <v>1225</v>
      </c>
      <c r="L56" s="17">
        <f>J56+ROUND(K56, 2)</f>
        <v>1743.1</v>
      </c>
      <c r="M56" s="17">
        <v>3315.84</v>
      </c>
      <c r="N56" s="17">
        <v>7840</v>
      </c>
      <c r="O56" s="17">
        <f>M56+N56</f>
        <v>11155.84</v>
      </c>
      <c r="P56" s="17">
        <v>518.09</v>
      </c>
      <c r="Q56" s="18">
        <v>1837.5</v>
      </c>
      <c r="R56" s="17">
        <f>P56+ROUND(Q56, 2)</f>
        <v>2355.59</v>
      </c>
      <c r="S56" s="17">
        <v>3315.78</v>
      </c>
      <c r="T56" s="17">
        <v>11760</v>
      </c>
      <c r="U56" s="17">
        <f>S56+T56</f>
        <v>15075.78</v>
      </c>
      <c r="V56" s="9">
        <f>ROUND(P56 / 1.2, 2)</f>
        <v>431.74</v>
      </c>
      <c r="W56" s="9">
        <f>ROUND(Q56 / 1.2, 2)</f>
        <v>1531.25</v>
      </c>
      <c r="X56" s="9">
        <f>ROUND(R56 / 1.2, 2)</f>
        <v>1962.99</v>
      </c>
      <c r="Y56" s="9">
        <f t="shared" si="6"/>
        <v>2763.15</v>
      </c>
      <c r="Z56" s="9">
        <f>ROUND(T56 / 1.2, 2)</f>
        <v>9800</v>
      </c>
      <c r="AA56" s="9">
        <f>Y56+Z56</f>
        <v>12563.15</v>
      </c>
      <c r="AD56" s="4">
        <v>334080589</v>
      </c>
      <c r="AE56" s="4">
        <v>27245767</v>
      </c>
      <c r="AG56" s="4" t="s">
        <v>198</v>
      </c>
      <c r="AH56" s="4" t="s">
        <v>199</v>
      </c>
      <c r="AI56" s="4" t="s">
        <v>88</v>
      </c>
    </row>
    <row r="57" spans="1:35" ht="18" x14ac:dyDescent="0.3">
      <c r="A57" s="10" t="s">
        <v>217</v>
      </c>
      <c r="B57" s="10"/>
      <c r="C57" s="30" t="s">
        <v>101</v>
      </c>
      <c r="D57" s="15"/>
      <c r="E57" s="15"/>
      <c r="F57" s="25" t="s">
        <v>102</v>
      </c>
      <c r="G57" s="26">
        <v>2.1</v>
      </c>
      <c r="H57" s="26"/>
      <c r="I57" s="26">
        <v>13.44</v>
      </c>
      <c r="J57" s="27">
        <v>64.56</v>
      </c>
      <c r="M57" s="28">
        <f>ROUND(ROUND(J57, 2)*I57, 2)</f>
        <v>867.69</v>
      </c>
      <c r="P57" s="27">
        <v>64.56</v>
      </c>
      <c r="S57" s="28">
        <f>ROUND(ROUND(P57, 2)*I57, 2)</f>
        <v>867.69</v>
      </c>
      <c r="V57" s="9">
        <f>ROUND(ROUND(P57, 2)/1.2, 2)</f>
        <v>53.8</v>
      </c>
      <c r="Y57" s="9">
        <f t="shared" si="6"/>
        <v>723.08</v>
      </c>
      <c r="AD57" s="4" t="s">
        <v>218</v>
      </c>
      <c r="AE57" s="4" t="s">
        <v>219</v>
      </c>
      <c r="AF57" s="4" t="s">
        <v>105</v>
      </c>
    </row>
    <row r="58" spans="1:35" ht="18" x14ac:dyDescent="0.3">
      <c r="A58" s="10" t="s">
        <v>220</v>
      </c>
      <c r="B58" s="10"/>
      <c r="C58" s="30" t="s">
        <v>107</v>
      </c>
      <c r="D58" s="15"/>
      <c r="E58" s="15"/>
      <c r="F58" s="25" t="s">
        <v>102</v>
      </c>
      <c r="G58" s="26">
        <v>0.8</v>
      </c>
      <c r="H58" s="26"/>
      <c r="I58" s="26">
        <v>5.12</v>
      </c>
      <c r="J58" s="27">
        <v>51.64</v>
      </c>
      <c r="M58" s="28">
        <f>ROUND(ROUND(J58, 2)*I58, 2)</f>
        <v>264.39999999999998</v>
      </c>
      <c r="P58" s="27">
        <v>51.63</v>
      </c>
      <c r="S58" s="28">
        <f>ROUND(ROUND(P58, 2)*I58, 2)</f>
        <v>264.35000000000002</v>
      </c>
      <c r="V58" s="9">
        <f>ROUND(ROUND(P58, 2)/1.2, 2)</f>
        <v>43.03</v>
      </c>
      <c r="Y58" s="9">
        <f t="shared" si="6"/>
        <v>220.29</v>
      </c>
      <c r="AD58" s="4" t="s">
        <v>221</v>
      </c>
      <c r="AE58" s="4" t="s">
        <v>222</v>
      </c>
      <c r="AF58" s="4" t="s">
        <v>110</v>
      </c>
    </row>
    <row r="59" spans="1:35" ht="36" x14ac:dyDescent="0.3">
      <c r="A59" s="10" t="s">
        <v>223</v>
      </c>
      <c r="B59" s="10"/>
      <c r="C59" s="30" t="s">
        <v>96</v>
      </c>
      <c r="D59" s="15"/>
      <c r="E59" s="15"/>
      <c r="F59" s="25" t="s">
        <v>62</v>
      </c>
      <c r="G59" s="26">
        <v>2.2000000000000002</v>
      </c>
      <c r="H59" s="26"/>
      <c r="I59" s="26">
        <v>14.08</v>
      </c>
      <c r="J59" s="27">
        <v>104.57</v>
      </c>
      <c r="M59" s="28">
        <f>ROUND(ROUND(J59, 2)*I59, 2)</f>
        <v>1472.35</v>
      </c>
      <c r="P59" s="27">
        <v>104.57</v>
      </c>
      <c r="S59" s="28">
        <f>ROUND(ROUND(P59, 2)*I59, 2)</f>
        <v>1472.35</v>
      </c>
      <c r="V59" s="9">
        <f>ROUND(ROUND(P59, 2)/1.2, 2)</f>
        <v>87.14</v>
      </c>
      <c r="Y59" s="9">
        <f t="shared" si="6"/>
        <v>1226.96</v>
      </c>
      <c r="AD59" s="4" t="s">
        <v>224</v>
      </c>
      <c r="AE59" s="4" t="s">
        <v>225</v>
      </c>
      <c r="AF59" s="4" t="s">
        <v>208</v>
      </c>
    </row>
    <row r="60" spans="1:35" ht="72" x14ac:dyDescent="0.3">
      <c r="A60" s="10" t="s">
        <v>226</v>
      </c>
      <c r="B60" s="10"/>
      <c r="C60" s="24" t="s">
        <v>201</v>
      </c>
      <c r="D60" s="15"/>
      <c r="E60" s="15"/>
      <c r="F60" s="25" t="s">
        <v>91</v>
      </c>
      <c r="G60" s="26">
        <v>1</v>
      </c>
      <c r="H60" s="26"/>
      <c r="I60" s="26">
        <v>6.4</v>
      </c>
      <c r="J60" s="27">
        <v>111.16</v>
      </c>
      <c r="M60" s="28">
        <f>ROUND(ROUND(J60, 2)*I60, 2)</f>
        <v>711.42</v>
      </c>
      <c r="P60" s="27">
        <v>111.15</v>
      </c>
      <c r="S60" s="28">
        <f>ROUND(ROUND(P60, 2)*I60, 2)</f>
        <v>711.36</v>
      </c>
      <c r="V60" s="9">
        <f>ROUND(ROUND(P60, 2)/1.2, 2)</f>
        <v>92.63</v>
      </c>
      <c r="Y60" s="9">
        <f t="shared" si="6"/>
        <v>592.79999999999995</v>
      </c>
      <c r="AD60" s="4" t="s">
        <v>227</v>
      </c>
      <c r="AE60" s="4" t="s">
        <v>228</v>
      </c>
      <c r="AF60" s="4" t="s">
        <v>204</v>
      </c>
    </row>
    <row r="61" spans="1:35" ht="16.95" customHeight="1" x14ac:dyDescent="0.3">
      <c r="A61" s="10" t="s">
        <v>229</v>
      </c>
      <c r="B61" s="10" t="s">
        <v>230</v>
      </c>
      <c r="C61" s="91" t="s">
        <v>231</v>
      </c>
      <c r="D61" s="92"/>
      <c r="E61" s="92"/>
      <c r="F61" s="92"/>
      <c r="G61" s="92"/>
      <c r="H61" s="92"/>
      <c r="I61" s="93"/>
      <c r="M61" s="6">
        <f t="shared" ref="M61:O62" si="7">SUM(M62)</f>
        <v>48466927.140000001</v>
      </c>
      <c r="N61" s="6">
        <f t="shared" si="7"/>
        <v>85247914.540000007</v>
      </c>
      <c r="O61" s="6">
        <f t="shared" si="7"/>
        <v>133714841.67999999</v>
      </c>
      <c r="S61" s="6">
        <f t="shared" ref="S61:U62" si="8">SUM(S62)</f>
        <v>60448129.980000012</v>
      </c>
      <c r="T61" s="6">
        <f t="shared" si="8"/>
        <v>125333709.64000002</v>
      </c>
      <c r="U61" s="6">
        <f t="shared" si="8"/>
        <v>185781839.61999997</v>
      </c>
      <c r="Y61" s="9">
        <f t="shared" ref="Y61:AA62" si="9">SUM(Y62)</f>
        <v>50373441.780000001</v>
      </c>
      <c r="Z61" s="9">
        <f t="shared" si="9"/>
        <v>104444758.23</v>
      </c>
      <c r="AA61" s="9">
        <f t="shared" si="9"/>
        <v>154818200.00999999</v>
      </c>
      <c r="AD61" s="4">
        <v>334080480</v>
      </c>
      <c r="AE61" s="4">
        <v>27245637</v>
      </c>
    </row>
    <row r="62" spans="1:35" ht="16.95" customHeight="1" x14ac:dyDescent="0.3">
      <c r="A62" s="10" t="s">
        <v>232</v>
      </c>
      <c r="B62" s="10" t="s">
        <v>233</v>
      </c>
      <c r="C62" s="91" t="s">
        <v>234</v>
      </c>
      <c r="D62" s="92"/>
      <c r="E62" s="92"/>
      <c r="F62" s="92"/>
      <c r="G62" s="92"/>
      <c r="H62" s="92"/>
      <c r="I62" s="93"/>
      <c r="M62" s="6">
        <f t="shared" si="7"/>
        <v>48466927.140000001</v>
      </c>
      <c r="N62" s="6">
        <f t="shared" si="7"/>
        <v>85247914.540000007</v>
      </c>
      <c r="O62" s="6">
        <f t="shared" si="7"/>
        <v>133714841.67999999</v>
      </c>
      <c r="S62" s="6">
        <f t="shared" si="8"/>
        <v>60448129.980000012</v>
      </c>
      <c r="T62" s="6">
        <f t="shared" si="8"/>
        <v>125333709.64000002</v>
      </c>
      <c r="U62" s="6">
        <f t="shared" si="8"/>
        <v>185781839.61999997</v>
      </c>
      <c r="Y62" s="9">
        <f t="shared" si="9"/>
        <v>50373441.780000001</v>
      </c>
      <c r="Z62" s="9">
        <f t="shared" si="9"/>
        <v>104444758.23</v>
      </c>
      <c r="AA62" s="9">
        <f t="shared" si="9"/>
        <v>154818200.00999999</v>
      </c>
      <c r="AD62" s="4">
        <v>334080481</v>
      </c>
      <c r="AE62" s="4">
        <v>27245644</v>
      </c>
    </row>
    <row r="63" spans="1:35" ht="16.95" customHeight="1" x14ac:dyDescent="0.3">
      <c r="A63" s="10" t="s">
        <v>235</v>
      </c>
      <c r="B63" s="10" t="s">
        <v>236</v>
      </c>
      <c r="C63" s="91" t="s">
        <v>237</v>
      </c>
      <c r="D63" s="92"/>
      <c r="E63" s="92"/>
      <c r="F63" s="92"/>
      <c r="G63" s="92"/>
      <c r="H63" s="92"/>
      <c r="I63" s="93"/>
      <c r="M63" s="6">
        <f>SUM(M64,M439,M781,M862,M963,M968)</f>
        <v>48466927.140000001</v>
      </c>
      <c r="N63" s="6">
        <f>SUM(N64,N439,N781,N862,N963,N968)</f>
        <v>85247914.540000007</v>
      </c>
      <c r="O63" s="6">
        <f>SUM(O64,O439,O781,O862,O963,O968)</f>
        <v>133714841.67999999</v>
      </c>
      <c r="S63" s="6">
        <f>SUM(S64,S439,S781,S862,S963,S968)</f>
        <v>60448129.980000012</v>
      </c>
      <c r="T63" s="6">
        <f>SUM(T64,T439,T781,T862,T963,T968)</f>
        <v>125333709.64000002</v>
      </c>
      <c r="U63" s="6">
        <f>SUM(U64,U439,U781,U862,U963,U968)</f>
        <v>185781839.61999997</v>
      </c>
      <c r="Y63" s="9">
        <f>SUM(Y64,Y439,Y781,Y862,Y963,Y968)</f>
        <v>50373441.780000001</v>
      </c>
      <c r="Z63" s="9">
        <f>SUM(Z64,Z439,Z781,Z862,Z963,Z968)</f>
        <v>104444758.23</v>
      </c>
      <c r="AA63" s="9">
        <f>SUM(AA64,AA439,AA781,AA862,AA963,AA968)</f>
        <v>154818200.00999999</v>
      </c>
      <c r="AD63" s="4">
        <v>334080482</v>
      </c>
      <c r="AE63" s="4">
        <v>27245702</v>
      </c>
    </row>
    <row r="64" spans="1:35" ht="16.95" customHeight="1" x14ac:dyDescent="0.3">
      <c r="A64" s="10" t="s">
        <v>238</v>
      </c>
      <c r="B64" s="10" t="s">
        <v>239</v>
      </c>
      <c r="C64" s="91" t="s">
        <v>240</v>
      </c>
      <c r="D64" s="92"/>
      <c r="E64" s="92"/>
      <c r="F64" s="92"/>
      <c r="G64" s="92"/>
      <c r="H64" s="92"/>
      <c r="I64" s="93"/>
      <c r="M64" s="6">
        <f>SUM(M65,M96,M117,M432)</f>
        <v>23989256.77</v>
      </c>
      <c r="N64" s="6">
        <f>SUM(N65,N96,N117,N432)</f>
        <v>26065212.199999996</v>
      </c>
      <c r="O64" s="6">
        <f>SUM(O65,O96,O117,O432)</f>
        <v>50054468.969999999</v>
      </c>
      <c r="S64" s="6">
        <f>SUM(S65,S96,S117,S432)</f>
        <v>30980274.400000002</v>
      </c>
      <c r="T64" s="6">
        <f>SUM(T65,T96,T117,T432)</f>
        <v>39089205.550000004</v>
      </c>
      <c r="U64" s="6">
        <f>SUM(U65,U96,U117,U432)</f>
        <v>70069479.950000003</v>
      </c>
      <c r="Y64" s="9">
        <f>SUM(Y65,Y96,Y117,Y432)</f>
        <v>25816895.370000001</v>
      </c>
      <c r="Z64" s="9">
        <f>SUM(Z65,Z96,Z117,Z432)</f>
        <v>32574338.059999999</v>
      </c>
      <c r="AA64" s="9">
        <f>SUM(AA65,AA96,AA117,AA432)</f>
        <v>58391233.430000015</v>
      </c>
      <c r="AD64" s="4">
        <v>334080483</v>
      </c>
      <c r="AE64" s="4">
        <v>27245715</v>
      </c>
    </row>
    <row r="65" spans="1:35" ht="16.95" customHeight="1" x14ac:dyDescent="0.3">
      <c r="A65" s="10" t="s">
        <v>241</v>
      </c>
      <c r="B65" s="10" t="s">
        <v>242</v>
      </c>
      <c r="C65" s="91" t="s">
        <v>243</v>
      </c>
      <c r="D65" s="92"/>
      <c r="E65" s="92"/>
      <c r="F65" s="92"/>
      <c r="G65" s="92"/>
      <c r="H65" s="92"/>
      <c r="I65" s="93"/>
      <c r="M65" s="6">
        <f>SUM(M66,M67,M68,M70,M72,M74,M79,M84,M88,M92)</f>
        <v>884634.92999999993</v>
      </c>
      <c r="N65" s="6">
        <f>SUM(N66,N67,N68,N70,N72,N74,N79,N84,N88,N92)</f>
        <v>4411583.08</v>
      </c>
      <c r="O65" s="6">
        <f>SUM(O66,O67,O68,O70,O72,O74,O79,O84,O88,O92)</f>
        <v>5296218.01</v>
      </c>
      <c r="S65" s="6">
        <f>SUM(S66,S67,S68,S70,S72,S74,S79,S84,S88,S92)</f>
        <v>909375.22</v>
      </c>
      <c r="T65" s="6">
        <f>SUM(T66,T67,T68,T70,T72,T74,T79,T84,T88,T92)</f>
        <v>6617374.620000001</v>
      </c>
      <c r="U65" s="6">
        <f>SUM(U66,U67,U68,U70,U72,U74,U79,U84,U88,U92)</f>
        <v>7526749.8399999999</v>
      </c>
      <c r="Y65" s="9">
        <f>SUM(Y66,Y67,Y68,Y70,Y72,Y74,Y79,Y84,Y88,Y92)</f>
        <v>757812.69</v>
      </c>
      <c r="Z65" s="9">
        <f>SUM(Z66,Z67,Z68,Z70,Z72,Z74,Z79,Z84,Z88,Z92)</f>
        <v>5514478.8699999992</v>
      </c>
      <c r="AA65" s="9">
        <f>SUM(AA66,AA67,AA68,AA70,AA72,AA74,AA79,AA84,AA88,AA92)</f>
        <v>6272291.5600000005</v>
      </c>
      <c r="AD65" s="4">
        <v>334080484</v>
      </c>
      <c r="AE65" s="4">
        <v>29196649</v>
      </c>
    </row>
    <row r="66" spans="1:35" ht="54" x14ac:dyDescent="0.3">
      <c r="A66" s="10" t="s">
        <v>244</v>
      </c>
      <c r="B66" s="10" t="s">
        <v>245</v>
      </c>
      <c r="C66" s="14" t="s">
        <v>246</v>
      </c>
      <c r="D66" s="15"/>
      <c r="E66" s="15" t="s">
        <v>247</v>
      </c>
      <c r="F66" s="15" t="s">
        <v>62</v>
      </c>
      <c r="G66" s="16">
        <v>1</v>
      </c>
      <c r="H66" s="16"/>
      <c r="I66" s="16">
        <v>1827.2</v>
      </c>
      <c r="J66" s="17">
        <v>0</v>
      </c>
      <c r="K66" s="18">
        <v>270</v>
      </c>
      <c r="L66" s="17">
        <f>J66+ROUND(K66, 2)</f>
        <v>270</v>
      </c>
      <c r="M66" s="17">
        <v>0</v>
      </c>
      <c r="N66" s="17">
        <f>ROUND(I66*ROUND(K66, 2), 2)</f>
        <v>493344</v>
      </c>
      <c r="O66" s="17">
        <f>M66+N66</f>
        <v>493344</v>
      </c>
      <c r="P66" s="17">
        <v>0</v>
      </c>
      <c r="Q66" s="19">
        <v>405</v>
      </c>
      <c r="R66" s="17">
        <f>P66+ROUND(Q66, 2)</f>
        <v>405</v>
      </c>
      <c r="S66" s="17">
        <v>0</v>
      </c>
      <c r="T66" s="17">
        <f>ROUND(I66*ROUND(Q66, 2), 2)</f>
        <v>740016</v>
      </c>
      <c r="U66" s="17">
        <f>S66+T66</f>
        <v>740016</v>
      </c>
      <c r="V66" s="9"/>
      <c r="W66" s="9">
        <f t="shared" ref="W66:X68" si="10">ROUND(Q66 / 1.2, 2)</f>
        <v>337.5</v>
      </c>
      <c r="X66" s="9">
        <f t="shared" si="10"/>
        <v>337.5</v>
      </c>
      <c r="Y66" s="9"/>
      <c r="Z66" s="9">
        <f>ROUND(T66 / 1.2, 2)</f>
        <v>616680</v>
      </c>
      <c r="AA66" s="9">
        <f>Y66+Z66</f>
        <v>616680</v>
      </c>
      <c r="AD66" s="4">
        <v>334080486</v>
      </c>
      <c r="AE66" s="4">
        <v>29196679</v>
      </c>
      <c r="AG66" s="4" t="s">
        <v>248</v>
      </c>
      <c r="AH66" s="4" t="s">
        <v>249</v>
      </c>
      <c r="AI66" s="4" t="s">
        <v>250</v>
      </c>
    </row>
    <row r="67" spans="1:35" ht="18" x14ac:dyDescent="0.3">
      <c r="A67" s="10" t="s">
        <v>251</v>
      </c>
      <c r="B67" s="10" t="s">
        <v>245</v>
      </c>
      <c r="C67" s="14" t="s">
        <v>246</v>
      </c>
      <c r="D67" s="15"/>
      <c r="E67" s="15" t="s">
        <v>252</v>
      </c>
      <c r="F67" s="15" t="s">
        <v>62</v>
      </c>
      <c r="G67" s="16">
        <v>1</v>
      </c>
      <c r="H67" s="16"/>
      <c r="I67" s="16">
        <v>4193.6000000000004</v>
      </c>
      <c r="J67" s="17">
        <v>0</v>
      </c>
      <c r="K67" s="18">
        <v>270</v>
      </c>
      <c r="L67" s="17">
        <f>J67+ROUND(K67, 2)</f>
        <v>270</v>
      </c>
      <c r="M67" s="17">
        <v>0</v>
      </c>
      <c r="N67" s="17">
        <f>ROUND(I67*ROUND(K67, 2), 2)</f>
        <v>1132272</v>
      </c>
      <c r="O67" s="17">
        <f>M67+N67</f>
        <v>1132272</v>
      </c>
      <c r="P67" s="17">
        <v>0</v>
      </c>
      <c r="Q67" s="19">
        <v>405</v>
      </c>
      <c r="R67" s="17">
        <f>P67+ROUND(Q67, 2)</f>
        <v>405</v>
      </c>
      <c r="S67" s="17">
        <v>0</v>
      </c>
      <c r="T67" s="17">
        <f>ROUND(I67*ROUND(Q67, 2), 2)</f>
        <v>1698408</v>
      </c>
      <c r="U67" s="17">
        <f>S67+T67</f>
        <v>1698408</v>
      </c>
      <c r="V67" s="9"/>
      <c r="W67" s="9">
        <f t="shared" si="10"/>
        <v>337.5</v>
      </c>
      <c r="X67" s="9">
        <f t="shared" si="10"/>
        <v>337.5</v>
      </c>
      <c r="Y67" s="9"/>
      <c r="Z67" s="9">
        <f>ROUND(T67 / 1.2, 2)</f>
        <v>1415340</v>
      </c>
      <c r="AA67" s="9">
        <f>Y67+Z67</f>
        <v>1415340</v>
      </c>
      <c r="AD67" s="4">
        <v>334080590</v>
      </c>
      <c r="AE67" s="4">
        <v>29309227</v>
      </c>
      <c r="AG67" s="4" t="s">
        <v>248</v>
      </c>
      <c r="AH67" s="4" t="s">
        <v>249</v>
      </c>
      <c r="AI67" s="4" t="s">
        <v>250</v>
      </c>
    </row>
    <row r="68" spans="1:35" ht="72" x14ac:dyDescent="0.3">
      <c r="A68" s="10" t="s">
        <v>253</v>
      </c>
      <c r="B68" s="10" t="s">
        <v>254</v>
      </c>
      <c r="C68" s="14" t="s">
        <v>255</v>
      </c>
      <c r="D68" s="15"/>
      <c r="E68" s="15" t="s">
        <v>256</v>
      </c>
      <c r="F68" s="15" t="s">
        <v>62</v>
      </c>
      <c r="G68" s="16">
        <v>1</v>
      </c>
      <c r="H68" s="16"/>
      <c r="I68" s="16">
        <v>39.270000000000003</v>
      </c>
      <c r="J68" s="17">
        <f>IFERROR(ROUND(SUM(M69)/I68, 2),0)</f>
        <v>52.29</v>
      </c>
      <c r="K68" s="18">
        <v>40</v>
      </c>
      <c r="L68" s="17">
        <f>J68+ROUND(K68, 2)</f>
        <v>92.289999999999992</v>
      </c>
      <c r="M68" s="17">
        <f>ROUND(J68*I68, 2)</f>
        <v>2053.4299999999998</v>
      </c>
      <c r="N68" s="17">
        <f>ROUND(I68*ROUND(K68, 2), 2)</f>
        <v>1570.8</v>
      </c>
      <c r="O68" s="17">
        <f>M68+N68</f>
        <v>3624.2299999999996</v>
      </c>
      <c r="P68" s="17">
        <f>IFERROR(ROUND(SUM(S69)/I68, 2),0)</f>
        <v>52.29</v>
      </c>
      <c r="Q68" s="19">
        <v>60</v>
      </c>
      <c r="R68" s="17">
        <f>P68+ROUND(Q68, 2)</f>
        <v>112.28999999999999</v>
      </c>
      <c r="S68" s="17">
        <f>ROUND(P68*I68, 2)</f>
        <v>2053.4299999999998</v>
      </c>
      <c r="T68" s="17">
        <f>ROUND(I68*ROUND(Q68, 2), 2)</f>
        <v>2356.1999999999998</v>
      </c>
      <c r="U68" s="17">
        <f>S68+T68</f>
        <v>4409.6299999999992</v>
      </c>
      <c r="V68" s="9">
        <f>ROUND(P68 / 1.2, 2)</f>
        <v>43.58</v>
      </c>
      <c r="W68" s="9">
        <f t="shared" si="10"/>
        <v>50</v>
      </c>
      <c r="X68" s="9">
        <f t="shared" si="10"/>
        <v>93.58</v>
      </c>
      <c r="Y68" s="9">
        <f t="shared" ref="Y68:Y95" si="11">ROUND(S68 / 1.2, 2)</f>
        <v>1711.19</v>
      </c>
      <c r="Z68" s="9">
        <f>ROUND(T68 / 1.2, 2)</f>
        <v>1963.5</v>
      </c>
      <c r="AA68" s="9">
        <f>Y68+Z68</f>
        <v>3674.69</v>
      </c>
      <c r="AD68" s="4">
        <v>334080488</v>
      </c>
      <c r="AE68" s="4">
        <v>29220848</v>
      </c>
      <c r="AG68" s="4" t="s">
        <v>257</v>
      </c>
      <c r="AH68" s="4" t="s">
        <v>258</v>
      </c>
      <c r="AI68" s="4" t="s">
        <v>250</v>
      </c>
    </row>
    <row r="69" spans="1:35" ht="18" x14ac:dyDescent="0.3">
      <c r="A69" s="10" t="s">
        <v>259</v>
      </c>
      <c r="B69" s="10"/>
      <c r="C69" s="24" t="s">
        <v>260</v>
      </c>
      <c r="D69" s="15"/>
      <c r="E69" s="15"/>
      <c r="F69" s="25" t="s">
        <v>62</v>
      </c>
      <c r="G69" s="26">
        <v>1.1000000000000001</v>
      </c>
      <c r="H69" s="26"/>
      <c r="I69" s="26">
        <v>43.197000000000003</v>
      </c>
      <c r="J69" s="27">
        <v>47.54</v>
      </c>
      <c r="M69" s="28">
        <f>ROUND(ROUND(J69, 2)*I69, 2)</f>
        <v>2053.59</v>
      </c>
      <c r="P69" s="29">
        <v>47.54</v>
      </c>
      <c r="S69" s="28">
        <f>ROUND(ROUND(P69, 2)*I69, 2)</f>
        <v>2053.59</v>
      </c>
      <c r="V69" s="9">
        <f>ROUND(ROUND(P69, 2)/1.2, 2)</f>
        <v>39.619999999999997</v>
      </c>
      <c r="Y69" s="9">
        <f t="shared" si="11"/>
        <v>1711.33</v>
      </c>
      <c r="AD69" s="4" t="s">
        <v>261</v>
      </c>
      <c r="AE69" s="4" t="s">
        <v>262</v>
      </c>
      <c r="AF69" s="4" t="s">
        <v>263</v>
      </c>
    </row>
    <row r="70" spans="1:35" ht="108" x14ac:dyDescent="0.3">
      <c r="A70" s="10" t="s">
        <v>264</v>
      </c>
      <c r="B70" s="10" t="s">
        <v>254</v>
      </c>
      <c r="C70" s="14" t="s">
        <v>255</v>
      </c>
      <c r="D70" s="15"/>
      <c r="E70" s="15" t="s">
        <v>265</v>
      </c>
      <c r="F70" s="15" t="s">
        <v>62</v>
      </c>
      <c r="G70" s="16">
        <v>1</v>
      </c>
      <c r="H70" s="16"/>
      <c r="I70" s="16">
        <v>88.47</v>
      </c>
      <c r="J70" s="17">
        <f>IFERROR(ROUND(SUM(M71)/I70, 2),0)</f>
        <v>52.29</v>
      </c>
      <c r="K70" s="18">
        <v>40</v>
      </c>
      <c r="L70" s="17">
        <f>J70+ROUND(K70, 2)</f>
        <v>92.289999999999992</v>
      </c>
      <c r="M70" s="17">
        <f>ROUND(J70*I70, 2)</f>
        <v>4626.1000000000004</v>
      </c>
      <c r="N70" s="17">
        <f>ROUND(I70*ROUND(K70, 2), 2)</f>
        <v>3538.8</v>
      </c>
      <c r="O70" s="17">
        <f>M70+N70</f>
        <v>8164.9000000000005</v>
      </c>
      <c r="P70" s="17">
        <f>IFERROR(ROUND(SUM(S71)/I70, 2),0)</f>
        <v>52.29</v>
      </c>
      <c r="Q70" s="19">
        <v>60</v>
      </c>
      <c r="R70" s="17">
        <f>P70+ROUND(Q70, 2)</f>
        <v>112.28999999999999</v>
      </c>
      <c r="S70" s="17">
        <f>ROUND(P70*I70, 2)</f>
        <v>4626.1000000000004</v>
      </c>
      <c r="T70" s="17">
        <f>ROUND(I70*ROUND(Q70, 2), 2)</f>
        <v>5308.2</v>
      </c>
      <c r="U70" s="17">
        <f>S70+T70</f>
        <v>9934.2999999999993</v>
      </c>
      <c r="V70" s="9">
        <f>ROUND(P70 / 1.2, 2)</f>
        <v>43.58</v>
      </c>
      <c r="W70" s="9">
        <f>ROUND(Q70 / 1.2, 2)</f>
        <v>50</v>
      </c>
      <c r="X70" s="9">
        <f>ROUND(R70 / 1.2, 2)</f>
        <v>93.58</v>
      </c>
      <c r="Y70" s="9">
        <f t="shared" si="11"/>
        <v>3855.08</v>
      </c>
      <c r="Z70" s="9">
        <f>ROUND(T70 / 1.2, 2)</f>
        <v>4423.5</v>
      </c>
      <c r="AA70" s="9">
        <f>Y70+Z70</f>
        <v>8278.58</v>
      </c>
      <c r="AD70" s="4">
        <v>334080591</v>
      </c>
      <c r="AE70" s="4">
        <v>29220849</v>
      </c>
      <c r="AG70" s="4" t="s">
        <v>257</v>
      </c>
      <c r="AH70" s="4" t="s">
        <v>258</v>
      </c>
      <c r="AI70" s="4" t="s">
        <v>250</v>
      </c>
    </row>
    <row r="71" spans="1:35" ht="18" x14ac:dyDescent="0.3">
      <c r="A71" s="10" t="s">
        <v>266</v>
      </c>
      <c r="B71" s="10"/>
      <c r="C71" s="24" t="s">
        <v>260</v>
      </c>
      <c r="D71" s="15"/>
      <c r="E71" s="15"/>
      <c r="F71" s="25" t="s">
        <v>62</v>
      </c>
      <c r="G71" s="26">
        <v>1.1000000000000001</v>
      </c>
      <c r="H71" s="26"/>
      <c r="I71" s="26">
        <v>97.316999999999993</v>
      </c>
      <c r="J71" s="27">
        <v>47.54</v>
      </c>
      <c r="M71" s="28">
        <f>ROUND(ROUND(J71, 2)*I71, 2)</f>
        <v>4626.45</v>
      </c>
      <c r="P71" s="29">
        <v>47.54</v>
      </c>
      <c r="S71" s="28">
        <f>ROUND(ROUND(P71, 2)*I71, 2)</f>
        <v>4626.45</v>
      </c>
      <c r="V71" s="9">
        <f>ROUND(ROUND(P71, 2)/1.2, 2)</f>
        <v>39.619999999999997</v>
      </c>
      <c r="Y71" s="9">
        <f t="shared" si="11"/>
        <v>3855.38</v>
      </c>
      <c r="AD71" s="4" t="s">
        <v>267</v>
      </c>
      <c r="AE71" s="4" t="s">
        <v>268</v>
      </c>
      <c r="AF71" s="4" t="s">
        <v>263</v>
      </c>
    </row>
    <row r="72" spans="1:35" ht="90" x14ac:dyDescent="0.3">
      <c r="A72" s="10" t="s">
        <v>269</v>
      </c>
      <c r="B72" s="10" t="s">
        <v>270</v>
      </c>
      <c r="C72" s="14" t="s">
        <v>271</v>
      </c>
      <c r="D72" s="15"/>
      <c r="E72" s="15" t="s">
        <v>272</v>
      </c>
      <c r="F72" s="15" t="s">
        <v>62</v>
      </c>
      <c r="G72" s="16">
        <v>1</v>
      </c>
      <c r="H72" s="16"/>
      <c r="I72" s="16">
        <v>1827.2</v>
      </c>
      <c r="J72" s="17">
        <f>IFERROR(ROUND(SUM(M73)/I72, 2),0)</f>
        <v>0</v>
      </c>
      <c r="K72" s="18">
        <v>117</v>
      </c>
      <c r="L72" s="17">
        <f>J72+ROUND(K72, 2)</f>
        <v>117</v>
      </c>
      <c r="M72" s="17">
        <f>ROUND(J72*I72, 2)</f>
        <v>0</v>
      </c>
      <c r="N72" s="17">
        <f>ROUND(I72*ROUND(K72, 2), 2)</f>
        <v>213782.39999999999</v>
      </c>
      <c r="O72" s="17">
        <f>M72+N72</f>
        <v>213782.39999999999</v>
      </c>
      <c r="P72" s="17">
        <f>IFERROR(ROUND(SUM(S73)/I72, 2),0)</f>
        <v>13.54</v>
      </c>
      <c r="Q72" s="19">
        <v>175.5</v>
      </c>
      <c r="R72" s="17">
        <f>P72+ROUND(Q72, 2)</f>
        <v>189.04</v>
      </c>
      <c r="S72" s="17">
        <f>ROUND(P72*I72, 2)</f>
        <v>24740.29</v>
      </c>
      <c r="T72" s="17">
        <f>ROUND(I72*ROUND(Q72, 2), 2)</f>
        <v>320673.59999999998</v>
      </c>
      <c r="U72" s="17">
        <f>S72+T72</f>
        <v>345413.88999999996</v>
      </c>
      <c r="V72" s="9">
        <f>ROUND(P72 / 1.2, 2)</f>
        <v>11.28</v>
      </c>
      <c r="W72" s="9">
        <f>ROUND(Q72 / 1.2, 2)</f>
        <v>146.25</v>
      </c>
      <c r="X72" s="9">
        <f>ROUND(R72 / 1.2, 2)</f>
        <v>157.53</v>
      </c>
      <c r="Y72" s="9">
        <f t="shared" si="11"/>
        <v>20616.91</v>
      </c>
      <c r="Z72" s="9">
        <f>ROUND(T72 / 1.2, 2)</f>
        <v>267228</v>
      </c>
      <c r="AA72" s="9">
        <f>Y72+Z72</f>
        <v>287844.90999999997</v>
      </c>
      <c r="AD72" s="4">
        <v>334080490</v>
      </c>
      <c r="AE72" s="4">
        <v>29220846</v>
      </c>
      <c r="AG72" s="4" t="s">
        <v>273</v>
      </c>
      <c r="AH72" s="4" t="s">
        <v>274</v>
      </c>
      <c r="AI72" s="4" t="s">
        <v>250</v>
      </c>
    </row>
    <row r="73" spans="1:35" ht="36" x14ac:dyDescent="0.3">
      <c r="A73" s="10" t="s">
        <v>275</v>
      </c>
      <c r="B73" s="10"/>
      <c r="C73" s="24" t="s">
        <v>276</v>
      </c>
      <c r="D73" s="15"/>
      <c r="E73" s="15" t="s">
        <v>277</v>
      </c>
      <c r="F73" s="25" t="s">
        <v>278</v>
      </c>
      <c r="G73" s="26">
        <v>0.15</v>
      </c>
      <c r="H73" s="26"/>
      <c r="I73" s="26">
        <v>274.08</v>
      </c>
      <c r="J73" s="27">
        <v>0</v>
      </c>
      <c r="M73" s="28">
        <f>ROUND(ROUND(J73, 2)*I73, 2)</f>
        <v>0</v>
      </c>
      <c r="P73" s="29">
        <v>90.28</v>
      </c>
      <c r="S73" s="28">
        <f>ROUND(ROUND(P73, 2)*I73, 2)</f>
        <v>24743.94</v>
      </c>
      <c r="V73" s="9">
        <f>ROUND(ROUND(P73, 2)/1.2, 2)</f>
        <v>75.23</v>
      </c>
      <c r="Y73" s="9">
        <f t="shared" si="11"/>
        <v>20619.95</v>
      </c>
      <c r="AD73" s="4" t="s">
        <v>279</v>
      </c>
      <c r="AE73" s="4" t="s">
        <v>280</v>
      </c>
      <c r="AF73" s="4" t="s">
        <v>281</v>
      </c>
    </row>
    <row r="74" spans="1:35" ht="126" x14ac:dyDescent="0.3">
      <c r="A74" s="10" t="s">
        <v>282</v>
      </c>
      <c r="B74" s="10" t="s">
        <v>283</v>
      </c>
      <c r="C74" s="14" t="s">
        <v>284</v>
      </c>
      <c r="D74" s="15"/>
      <c r="E74" s="15" t="s">
        <v>285</v>
      </c>
      <c r="F74" s="15" t="s">
        <v>62</v>
      </c>
      <c r="G74" s="16">
        <v>1</v>
      </c>
      <c r="H74" s="16"/>
      <c r="I74" s="16">
        <v>13.8</v>
      </c>
      <c r="J74" s="17">
        <f>IFERROR(ROUND(SUM(M75,M76,M77,M78)/I74, 2),0)</f>
        <v>880.6</v>
      </c>
      <c r="K74" s="18">
        <v>941</v>
      </c>
      <c r="L74" s="17">
        <f>J74+ROUND(K74, 2)</f>
        <v>1821.6</v>
      </c>
      <c r="M74" s="17">
        <f>ROUND(J74*I74, 2)</f>
        <v>12152.28</v>
      </c>
      <c r="N74" s="17">
        <f>ROUND(I74*ROUND(K74, 2), 2)</f>
        <v>12985.8</v>
      </c>
      <c r="O74" s="17">
        <f>M74+N74</f>
        <v>25138.080000000002</v>
      </c>
      <c r="P74" s="17">
        <f>IFERROR(ROUND(SUM(S75,S76,S77,S78)/I74, 2),0)</f>
        <v>880.6</v>
      </c>
      <c r="Q74" s="19">
        <v>1411.5</v>
      </c>
      <c r="R74" s="17">
        <f>P74+ROUND(Q74, 2)</f>
        <v>2292.1</v>
      </c>
      <c r="S74" s="17">
        <f>ROUND(P74*I74, 2)</f>
        <v>12152.28</v>
      </c>
      <c r="T74" s="17">
        <f>ROUND(I74*ROUND(Q74, 2), 2)</f>
        <v>19478.7</v>
      </c>
      <c r="U74" s="17">
        <f>S74+T74</f>
        <v>31630.980000000003</v>
      </c>
      <c r="V74" s="9">
        <f>ROUND(P74 / 1.2, 2)</f>
        <v>733.83</v>
      </c>
      <c r="W74" s="9">
        <f>ROUND(Q74 / 1.2, 2)</f>
        <v>1176.25</v>
      </c>
      <c r="X74" s="9">
        <f>ROUND(R74 / 1.2, 2)</f>
        <v>1910.08</v>
      </c>
      <c r="Y74" s="9">
        <f t="shared" si="11"/>
        <v>10126.9</v>
      </c>
      <c r="Z74" s="9">
        <f>ROUND(T74 / 1.2, 2)</f>
        <v>16232.25</v>
      </c>
      <c r="AA74" s="9">
        <f>Y74+Z74</f>
        <v>26359.15</v>
      </c>
      <c r="AD74" s="4">
        <v>334080492</v>
      </c>
      <c r="AE74" s="4">
        <v>29223867</v>
      </c>
      <c r="AG74" s="4" t="s">
        <v>286</v>
      </c>
      <c r="AH74" s="4" t="s">
        <v>287</v>
      </c>
      <c r="AI74" s="4" t="s">
        <v>250</v>
      </c>
    </row>
    <row r="75" spans="1:35" ht="18" x14ac:dyDescent="0.3">
      <c r="A75" s="10" t="s">
        <v>288</v>
      </c>
      <c r="B75" s="10"/>
      <c r="C75" s="24" t="s">
        <v>289</v>
      </c>
      <c r="D75" s="15"/>
      <c r="E75" s="15"/>
      <c r="F75" s="25" t="s">
        <v>278</v>
      </c>
      <c r="G75" s="26">
        <v>1.8</v>
      </c>
      <c r="H75" s="31"/>
      <c r="I75" s="31">
        <v>1242</v>
      </c>
      <c r="J75" s="27">
        <v>7.54</v>
      </c>
      <c r="M75" s="28">
        <f>ROUND(ROUND(J75, 2)*I75, 2)</f>
        <v>9364.68</v>
      </c>
      <c r="P75" s="29">
        <v>7.54</v>
      </c>
      <c r="S75" s="28">
        <f>ROUND(ROUND(P75, 2)*I75, 2)</f>
        <v>9364.68</v>
      </c>
      <c r="V75" s="9">
        <f>ROUND(ROUND(P75, 2)/1.2, 2)</f>
        <v>6.28</v>
      </c>
      <c r="Y75" s="9">
        <f t="shared" si="11"/>
        <v>7803.9</v>
      </c>
      <c r="AD75" s="4" t="s">
        <v>290</v>
      </c>
      <c r="AE75" s="4" t="s">
        <v>291</v>
      </c>
      <c r="AF75" s="4" t="s">
        <v>292</v>
      </c>
    </row>
    <row r="76" spans="1:35" ht="18" x14ac:dyDescent="0.3">
      <c r="A76" s="10" t="s">
        <v>293</v>
      </c>
      <c r="B76" s="10"/>
      <c r="C76" s="24" t="s">
        <v>294</v>
      </c>
      <c r="D76" s="15"/>
      <c r="E76" s="15"/>
      <c r="F76" s="25" t="s">
        <v>62</v>
      </c>
      <c r="G76" s="26">
        <v>1.1000000000000001</v>
      </c>
      <c r="H76" s="31"/>
      <c r="I76" s="31">
        <v>15.18</v>
      </c>
      <c r="J76" s="27">
        <v>157.6</v>
      </c>
      <c r="M76" s="28">
        <f>ROUND(ROUND(J76, 2)*I76, 2)</f>
        <v>2392.37</v>
      </c>
      <c r="P76" s="29">
        <v>157.6</v>
      </c>
      <c r="S76" s="28">
        <f>ROUND(ROUND(P76, 2)*I76, 2)</f>
        <v>2392.37</v>
      </c>
      <c r="V76" s="9">
        <f>ROUND(ROUND(P76, 2)/1.2, 2)</f>
        <v>131.33000000000001</v>
      </c>
      <c r="Y76" s="9">
        <f t="shared" si="11"/>
        <v>1993.64</v>
      </c>
      <c r="AD76" s="4" t="s">
        <v>295</v>
      </c>
      <c r="AE76" s="4" t="s">
        <v>296</v>
      </c>
      <c r="AF76" s="4" t="s">
        <v>297</v>
      </c>
    </row>
    <row r="77" spans="1:35" ht="18" x14ac:dyDescent="0.3">
      <c r="A77" s="10" t="s">
        <v>298</v>
      </c>
      <c r="B77" s="10"/>
      <c r="C77" s="24" t="s">
        <v>299</v>
      </c>
      <c r="D77" s="15"/>
      <c r="E77" s="15"/>
      <c r="F77" s="25" t="s">
        <v>102</v>
      </c>
      <c r="G77" s="26">
        <v>1</v>
      </c>
      <c r="H77" s="31"/>
      <c r="I77" s="31">
        <v>13.8</v>
      </c>
      <c r="J77" s="27">
        <v>10.58</v>
      </c>
      <c r="M77" s="28">
        <f>ROUND(ROUND(J77, 2)*I77, 2)</f>
        <v>146</v>
      </c>
      <c r="P77" s="29">
        <v>10.58</v>
      </c>
      <c r="S77" s="28">
        <f>ROUND(ROUND(P77, 2)*I77, 2)</f>
        <v>146</v>
      </c>
      <c r="V77" s="9">
        <f>ROUND(ROUND(P77, 2)/1.2, 2)</f>
        <v>8.82</v>
      </c>
      <c r="Y77" s="9">
        <f t="shared" si="11"/>
        <v>121.67</v>
      </c>
      <c r="AD77" s="4" t="s">
        <v>300</v>
      </c>
      <c r="AE77" s="4" t="s">
        <v>301</v>
      </c>
      <c r="AF77" s="4" t="s">
        <v>302</v>
      </c>
    </row>
    <row r="78" spans="1:35" ht="36" x14ac:dyDescent="0.3">
      <c r="A78" s="10" t="s">
        <v>303</v>
      </c>
      <c r="B78" s="10"/>
      <c r="C78" s="24" t="s">
        <v>304</v>
      </c>
      <c r="D78" s="15"/>
      <c r="E78" s="15"/>
      <c r="F78" s="25" t="s">
        <v>278</v>
      </c>
      <c r="G78" s="26">
        <v>0.2</v>
      </c>
      <c r="H78" s="26"/>
      <c r="I78" s="26">
        <v>2.76</v>
      </c>
      <c r="J78" s="27">
        <v>90.28</v>
      </c>
      <c r="M78" s="28">
        <f>ROUND(ROUND(J78, 2)*I78, 2)</f>
        <v>249.17</v>
      </c>
      <c r="P78" s="29">
        <v>90.28</v>
      </c>
      <c r="S78" s="28">
        <f>ROUND(ROUND(P78, 2)*I78, 2)</f>
        <v>249.17</v>
      </c>
      <c r="V78" s="9">
        <f>ROUND(ROUND(P78, 2)/1.2, 2)</f>
        <v>75.23</v>
      </c>
      <c r="Y78" s="9">
        <f t="shared" si="11"/>
        <v>207.64</v>
      </c>
      <c r="AD78" s="4" t="s">
        <v>305</v>
      </c>
      <c r="AE78" s="4" t="s">
        <v>306</v>
      </c>
      <c r="AF78" s="4" t="s">
        <v>307</v>
      </c>
    </row>
    <row r="79" spans="1:35" ht="126" x14ac:dyDescent="0.3">
      <c r="A79" s="10" t="s">
        <v>308</v>
      </c>
      <c r="B79" s="10" t="s">
        <v>309</v>
      </c>
      <c r="C79" s="14" t="s">
        <v>310</v>
      </c>
      <c r="D79" s="15"/>
      <c r="E79" s="15" t="s">
        <v>311</v>
      </c>
      <c r="F79" s="15" t="s">
        <v>62</v>
      </c>
      <c r="G79" s="16">
        <v>1</v>
      </c>
      <c r="H79" s="16"/>
      <c r="I79" s="16">
        <v>25.47</v>
      </c>
      <c r="J79" s="17">
        <f>IFERROR(ROUND(SUM(M80,M81,M82,M83)/I79, 2),0)</f>
        <v>1084.18</v>
      </c>
      <c r="K79" s="18">
        <v>1014</v>
      </c>
      <c r="L79" s="17">
        <f>J79+ROUND(K79, 2)</f>
        <v>2098.1800000000003</v>
      </c>
      <c r="M79" s="17">
        <f>ROUND(J79*I79, 2)</f>
        <v>27614.06</v>
      </c>
      <c r="N79" s="17">
        <f>ROUND(I79*ROUND(K79, 2), 2)</f>
        <v>25826.58</v>
      </c>
      <c r="O79" s="17">
        <f>M79+N79</f>
        <v>53440.639999999999</v>
      </c>
      <c r="P79" s="17">
        <f>IFERROR(ROUND(SUM(S80,S81,S82,S83)/I79, 2),0)</f>
        <v>1084.18</v>
      </c>
      <c r="Q79" s="19">
        <v>1521</v>
      </c>
      <c r="R79" s="17">
        <f>P79+ROUND(Q79, 2)</f>
        <v>2605.1800000000003</v>
      </c>
      <c r="S79" s="17">
        <f>ROUND(P79*I79, 2)</f>
        <v>27614.06</v>
      </c>
      <c r="T79" s="17">
        <f>ROUND(I79*ROUND(Q79, 2), 2)</f>
        <v>38739.870000000003</v>
      </c>
      <c r="U79" s="17">
        <f>S79+T79</f>
        <v>66353.930000000008</v>
      </c>
      <c r="V79" s="9">
        <f>ROUND(P79 / 1.2, 2)</f>
        <v>903.48</v>
      </c>
      <c r="W79" s="9">
        <f>ROUND(Q79 / 1.2, 2)</f>
        <v>1267.5</v>
      </c>
      <c r="X79" s="9">
        <f>ROUND(R79 / 1.2, 2)</f>
        <v>2170.98</v>
      </c>
      <c r="Y79" s="9">
        <f t="shared" si="11"/>
        <v>23011.72</v>
      </c>
      <c r="Z79" s="9">
        <f>ROUND(T79 / 1.2, 2)</f>
        <v>32283.23</v>
      </c>
      <c r="AA79" s="9">
        <f>Y79+Z79</f>
        <v>55294.95</v>
      </c>
      <c r="AD79" s="4">
        <v>334080493</v>
      </c>
      <c r="AE79" s="4">
        <v>29220850</v>
      </c>
      <c r="AG79" s="4" t="s">
        <v>312</v>
      </c>
      <c r="AH79" s="4" t="s">
        <v>313</v>
      </c>
      <c r="AI79" s="4" t="s">
        <v>250</v>
      </c>
    </row>
    <row r="80" spans="1:35" ht="18" x14ac:dyDescent="0.3">
      <c r="A80" s="10" t="s">
        <v>314</v>
      </c>
      <c r="B80" s="10"/>
      <c r="C80" s="24" t="s">
        <v>289</v>
      </c>
      <c r="D80" s="15"/>
      <c r="E80" s="15"/>
      <c r="F80" s="25" t="s">
        <v>278</v>
      </c>
      <c r="G80" s="26">
        <v>1.8</v>
      </c>
      <c r="H80" s="31"/>
      <c r="I80" s="31">
        <v>2979.99</v>
      </c>
      <c r="J80" s="27">
        <v>7.54</v>
      </c>
      <c r="M80" s="28">
        <f>ROUND(ROUND(J80, 2)*I80, 2)</f>
        <v>22469.119999999999</v>
      </c>
      <c r="P80" s="29">
        <v>7.54</v>
      </c>
      <c r="S80" s="28">
        <f>ROUND(ROUND(P80, 2)*I80, 2)</f>
        <v>22469.119999999999</v>
      </c>
      <c r="V80" s="9">
        <f>ROUND(ROUND(P80, 2)/1.2, 2)</f>
        <v>6.28</v>
      </c>
      <c r="Y80" s="9">
        <f t="shared" si="11"/>
        <v>18724.27</v>
      </c>
      <c r="AD80" s="4" t="s">
        <v>315</v>
      </c>
      <c r="AE80" s="4" t="s">
        <v>316</v>
      </c>
      <c r="AF80" s="4" t="s">
        <v>292</v>
      </c>
    </row>
    <row r="81" spans="1:35" ht="18" x14ac:dyDescent="0.3">
      <c r="A81" s="10" t="s">
        <v>317</v>
      </c>
      <c r="B81" s="10"/>
      <c r="C81" s="24" t="s">
        <v>294</v>
      </c>
      <c r="D81" s="15"/>
      <c r="E81" s="15"/>
      <c r="F81" s="25" t="s">
        <v>62</v>
      </c>
      <c r="G81" s="26">
        <v>1.1000000000000001</v>
      </c>
      <c r="H81" s="31"/>
      <c r="I81" s="31">
        <v>28.016999999999999</v>
      </c>
      <c r="J81" s="27">
        <v>157.6</v>
      </c>
      <c r="M81" s="28">
        <f>ROUND(ROUND(J81, 2)*I81, 2)</f>
        <v>4415.4799999999996</v>
      </c>
      <c r="P81" s="29">
        <v>157.6</v>
      </c>
      <c r="S81" s="28">
        <f>ROUND(ROUND(P81, 2)*I81, 2)</f>
        <v>4415.4799999999996</v>
      </c>
      <c r="V81" s="9">
        <f>ROUND(ROUND(P81, 2)/1.2, 2)</f>
        <v>131.33000000000001</v>
      </c>
      <c r="Y81" s="9">
        <f t="shared" si="11"/>
        <v>3679.57</v>
      </c>
      <c r="AD81" s="4" t="s">
        <v>318</v>
      </c>
      <c r="AE81" s="4" t="s">
        <v>319</v>
      </c>
      <c r="AF81" s="4" t="s">
        <v>297</v>
      </c>
    </row>
    <row r="82" spans="1:35" ht="18" x14ac:dyDescent="0.3">
      <c r="A82" s="10" t="s">
        <v>320</v>
      </c>
      <c r="B82" s="10"/>
      <c r="C82" s="24" t="s">
        <v>299</v>
      </c>
      <c r="D82" s="15"/>
      <c r="E82" s="15"/>
      <c r="F82" s="25" t="s">
        <v>102</v>
      </c>
      <c r="G82" s="26">
        <v>1</v>
      </c>
      <c r="H82" s="31"/>
      <c r="I82" s="31">
        <v>25.47</v>
      </c>
      <c r="J82" s="27">
        <v>10.58</v>
      </c>
      <c r="M82" s="28">
        <f>ROUND(ROUND(J82, 2)*I82, 2)</f>
        <v>269.47000000000003</v>
      </c>
      <c r="P82" s="29">
        <v>10.58</v>
      </c>
      <c r="S82" s="28">
        <f>ROUND(ROUND(P82, 2)*I82, 2)</f>
        <v>269.47000000000003</v>
      </c>
      <c r="V82" s="9">
        <f>ROUND(ROUND(P82, 2)/1.2, 2)</f>
        <v>8.82</v>
      </c>
      <c r="Y82" s="9">
        <f t="shared" si="11"/>
        <v>224.56</v>
      </c>
      <c r="AD82" s="4" t="s">
        <v>321</v>
      </c>
      <c r="AE82" s="4" t="s">
        <v>322</v>
      </c>
      <c r="AF82" s="4" t="s">
        <v>302</v>
      </c>
    </row>
    <row r="83" spans="1:35" ht="36" x14ac:dyDescent="0.3">
      <c r="A83" s="10" t="s">
        <v>323</v>
      </c>
      <c r="B83" s="10"/>
      <c r="C83" s="24" t="s">
        <v>304</v>
      </c>
      <c r="D83" s="15"/>
      <c r="E83" s="15"/>
      <c r="F83" s="25" t="s">
        <v>278</v>
      </c>
      <c r="G83" s="26">
        <v>0.2</v>
      </c>
      <c r="H83" s="26"/>
      <c r="I83" s="26">
        <v>5.0940000000000003</v>
      </c>
      <c r="J83" s="27">
        <v>90.28</v>
      </c>
      <c r="M83" s="28">
        <f>ROUND(ROUND(J83, 2)*I83, 2)</f>
        <v>459.89</v>
      </c>
      <c r="P83" s="29">
        <v>90.28</v>
      </c>
      <c r="S83" s="28">
        <f>ROUND(ROUND(P83, 2)*I83, 2)</f>
        <v>459.89</v>
      </c>
      <c r="V83" s="9">
        <f>ROUND(ROUND(P83, 2)/1.2, 2)</f>
        <v>75.23</v>
      </c>
      <c r="Y83" s="9">
        <f t="shared" si="11"/>
        <v>383.24</v>
      </c>
      <c r="AD83" s="4" t="s">
        <v>324</v>
      </c>
      <c r="AE83" s="4" t="s">
        <v>325</v>
      </c>
      <c r="AF83" s="4" t="s">
        <v>307</v>
      </c>
    </row>
    <row r="84" spans="1:35" ht="108" x14ac:dyDescent="0.3">
      <c r="A84" s="10" t="s">
        <v>326</v>
      </c>
      <c r="B84" s="10" t="s">
        <v>327</v>
      </c>
      <c r="C84" s="14" t="s">
        <v>328</v>
      </c>
      <c r="D84" s="15"/>
      <c r="E84" s="15" t="s">
        <v>329</v>
      </c>
      <c r="F84" s="15" t="s">
        <v>62</v>
      </c>
      <c r="G84" s="16">
        <v>1</v>
      </c>
      <c r="H84" s="16"/>
      <c r="I84" s="16">
        <v>197.1</v>
      </c>
      <c r="J84" s="17">
        <f>IFERROR(ROUND(SUM(M85,M86,M87)/I84, 2),0)</f>
        <v>310.79000000000002</v>
      </c>
      <c r="K84" s="18">
        <v>705</v>
      </c>
      <c r="L84" s="17">
        <f>J84+ROUND(K84, 2)</f>
        <v>1015.79</v>
      </c>
      <c r="M84" s="17">
        <f>ROUND(J84*I84, 2)</f>
        <v>61256.71</v>
      </c>
      <c r="N84" s="17">
        <f>ROUND(I84*ROUND(K84, 2), 2)</f>
        <v>138955.5</v>
      </c>
      <c r="O84" s="17">
        <f>M84+N84</f>
        <v>200212.21</v>
      </c>
      <c r="P84" s="17">
        <f>IFERROR(ROUND(SUM(S85,S86,S87)/I84, 2),0)</f>
        <v>310.79000000000002</v>
      </c>
      <c r="Q84" s="19">
        <v>1057.5</v>
      </c>
      <c r="R84" s="17">
        <f>P84+ROUND(Q84, 2)</f>
        <v>1368.29</v>
      </c>
      <c r="S84" s="17">
        <f>ROUND(P84*I84, 2)</f>
        <v>61256.71</v>
      </c>
      <c r="T84" s="17">
        <f>ROUND(I84*ROUND(Q84, 2), 2)</f>
        <v>208433.25</v>
      </c>
      <c r="U84" s="17">
        <f>S84+T84</f>
        <v>269689.96000000002</v>
      </c>
      <c r="V84" s="9">
        <f>ROUND(P84 / 1.2, 2)</f>
        <v>258.99</v>
      </c>
      <c r="W84" s="9">
        <f>ROUND(Q84 / 1.2, 2)</f>
        <v>881.25</v>
      </c>
      <c r="X84" s="9">
        <f>ROUND(R84 / 1.2, 2)</f>
        <v>1140.24</v>
      </c>
      <c r="Y84" s="9">
        <f t="shared" si="11"/>
        <v>51047.26</v>
      </c>
      <c r="Z84" s="9">
        <f>ROUND(T84 / 1.2, 2)</f>
        <v>173694.38</v>
      </c>
      <c r="AA84" s="9">
        <f>Y84+Z84</f>
        <v>224741.64</v>
      </c>
      <c r="AD84" s="4">
        <v>334080494</v>
      </c>
      <c r="AE84" s="4">
        <v>29220847</v>
      </c>
      <c r="AG84" s="4" t="s">
        <v>330</v>
      </c>
      <c r="AH84" s="4" t="s">
        <v>331</v>
      </c>
      <c r="AI84" s="4" t="s">
        <v>250</v>
      </c>
    </row>
    <row r="85" spans="1:35" ht="18" x14ac:dyDescent="0.3">
      <c r="A85" s="10" t="s">
        <v>332</v>
      </c>
      <c r="B85" s="10"/>
      <c r="C85" s="24" t="s">
        <v>333</v>
      </c>
      <c r="D85" s="15"/>
      <c r="E85" s="15"/>
      <c r="F85" s="25" t="s">
        <v>278</v>
      </c>
      <c r="G85" s="26">
        <v>1.8</v>
      </c>
      <c r="H85" s="31"/>
      <c r="I85" s="31">
        <v>8869.5</v>
      </c>
      <c r="J85" s="27">
        <v>6.27</v>
      </c>
      <c r="M85" s="28">
        <f>ROUND(ROUND(J85, 2)*I85, 2)</f>
        <v>55611.77</v>
      </c>
      <c r="P85" s="29">
        <v>6.27</v>
      </c>
      <c r="S85" s="28">
        <f>ROUND(ROUND(P85, 2)*I85, 2)</f>
        <v>55611.77</v>
      </c>
      <c r="V85" s="9">
        <f>ROUND(ROUND(P85, 2)/1.2, 2)</f>
        <v>5.23</v>
      </c>
      <c r="Y85" s="9">
        <f t="shared" si="11"/>
        <v>46343.14</v>
      </c>
      <c r="AD85" s="4" t="s">
        <v>334</v>
      </c>
      <c r="AE85" s="4" t="s">
        <v>335</v>
      </c>
      <c r="AF85" s="4" t="s">
        <v>336</v>
      </c>
    </row>
    <row r="86" spans="1:35" ht="18" x14ac:dyDescent="0.3">
      <c r="A86" s="10" t="s">
        <v>337</v>
      </c>
      <c r="B86" s="10"/>
      <c r="C86" s="24" t="s">
        <v>299</v>
      </c>
      <c r="D86" s="15"/>
      <c r="E86" s="15"/>
      <c r="F86" s="25" t="s">
        <v>102</v>
      </c>
      <c r="G86" s="26">
        <v>1</v>
      </c>
      <c r="H86" s="31"/>
      <c r="I86" s="31">
        <v>197.1</v>
      </c>
      <c r="J86" s="27">
        <v>10.58</v>
      </c>
      <c r="M86" s="28">
        <f>ROUND(ROUND(J86, 2)*I86, 2)</f>
        <v>2085.3200000000002</v>
      </c>
      <c r="P86" s="29">
        <v>10.58</v>
      </c>
      <c r="S86" s="28">
        <f>ROUND(ROUND(P86, 2)*I86, 2)</f>
        <v>2085.3200000000002</v>
      </c>
      <c r="V86" s="9">
        <f>ROUND(ROUND(P86, 2)/1.2, 2)</f>
        <v>8.82</v>
      </c>
      <c r="Y86" s="9">
        <f t="shared" si="11"/>
        <v>1737.77</v>
      </c>
      <c r="AD86" s="4" t="s">
        <v>338</v>
      </c>
      <c r="AE86" s="4" t="s">
        <v>339</v>
      </c>
      <c r="AF86" s="4" t="s">
        <v>302</v>
      </c>
    </row>
    <row r="87" spans="1:35" ht="36" x14ac:dyDescent="0.3">
      <c r="A87" s="10" t="s">
        <v>340</v>
      </c>
      <c r="B87" s="10"/>
      <c r="C87" s="24" t="s">
        <v>304</v>
      </c>
      <c r="D87" s="15"/>
      <c r="E87" s="15"/>
      <c r="F87" s="25" t="s">
        <v>278</v>
      </c>
      <c r="G87" s="26">
        <v>0.2</v>
      </c>
      <c r="H87" s="26"/>
      <c r="I87" s="26">
        <v>39.42</v>
      </c>
      <c r="J87" s="27">
        <v>90.28</v>
      </c>
      <c r="M87" s="28">
        <f>ROUND(ROUND(J87, 2)*I87, 2)</f>
        <v>3558.84</v>
      </c>
      <c r="P87" s="29">
        <v>90.28</v>
      </c>
      <c r="S87" s="28">
        <f>ROUND(ROUND(P87, 2)*I87, 2)</f>
        <v>3558.84</v>
      </c>
      <c r="V87" s="9">
        <f>ROUND(ROUND(P87, 2)/1.2, 2)</f>
        <v>75.23</v>
      </c>
      <c r="Y87" s="9">
        <f t="shared" si="11"/>
        <v>2965.7</v>
      </c>
      <c r="AD87" s="4" t="s">
        <v>341</v>
      </c>
      <c r="AE87" s="4" t="s">
        <v>342</v>
      </c>
      <c r="AF87" s="4" t="s">
        <v>307</v>
      </c>
    </row>
    <row r="88" spans="1:35" ht="54" x14ac:dyDescent="0.3">
      <c r="A88" s="10" t="s">
        <v>343</v>
      </c>
      <c r="B88" s="10" t="s">
        <v>344</v>
      </c>
      <c r="C88" s="14" t="s">
        <v>345</v>
      </c>
      <c r="D88" s="15"/>
      <c r="E88" s="15" t="s">
        <v>346</v>
      </c>
      <c r="F88" s="15" t="s">
        <v>62</v>
      </c>
      <c r="G88" s="16">
        <v>1</v>
      </c>
      <c r="H88" s="16"/>
      <c r="I88" s="16">
        <v>793.1</v>
      </c>
      <c r="J88" s="17">
        <f>IFERROR(ROUND(SUM(M89,M90,M91)/I88, 2),0)</f>
        <v>181.12</v>
      </c>
      <c r="K88" s="18">
        <v>557</v>
      </c>
      <c r="L88" s="17">
        <f>J88+ROUND(K88, 2)</f>
        <v>738.12</v>
      </c>
      <c r="M88" s="17">
        <f>ROUND(J88*I88, 2)</f>
        <v>143646.26999999999</v>
      </c>
      <c r="N88" s="17">
        <f>ROUND(I88*ROUND(K88, 2), 2)</f>
        <v>441756.7</v>
      </c>
      <c r="O88" s="17">
        <f>M88+N88</f>
        <v>585402.97</v>
      </c>
      <c r="P88" s="17">
        <f>IFERROR(ROUND(SUM(S89,S90,S91)/I88, 2),0)</f>
        <v>181.12</v>
      </c>
      <c r="Q88" s="19">
        <v>835.5</v>
      </c>
      <c r="R88" s="17">
        <f>P88+ROUND(Q88, 2)</f>
        <v>1016.62</v>
      </c>
      <c r="S88" s="17">
        <f>ROUND(P88*I88, 2)</f>
        <v>143646.26999999999</v>
      </c>
      <c r="T88" s="17">
        <f>ROUND(I88*ROUND(Q88, 2), 2)</f>
        <v>662635.05000000005</v>
      </c>
      <c r="U88" s="17">
        <f>S88+T88</f>
        <v>806281.32000000007</v>
      </c>
      <c r="V88" s="9">
        <f>ROUND(P88 / 1.2, 2)</f>
        <v>150.93</v>
      </c>
      <c r="W88" s="9">
        <f>ROUND(Q88 / 1.2, 2)</f>
        <v>696.25</v>
      </c>
      <c r="X88" s="9">
        <f>ROUND(R88 / 1.2, 2)</f>
        <v>847.18</v>
      </c>
      <c r="Y88" s="9">
        <f t="shared" si="11"/>
        <v>119705.23</v>
      </c>
      <c r="Z88" s="9">
        <f>ROUND(T88 / 1.2, 2)</f>
        <v>552195.88</v>
      </c>
      <c r="AA88" s="9">
        <f>Y88+Z88</f>
        <v>671901.11</v>
      </c>
      <c r="AD88" s="4">
        <v>334080496</v>
      </c>
      <c r="AE88" s="4">
        <v>29196678</v>
      </c>
      <c r="AG88" s="4" t="s">
        <v>347</v>
      </c>
      <c r="AH88" s="4" t="s">
        <v>348</v>
      </c>
      <c r="AI88" s="4" t="s">
        <v>250</v>
      </c>
    </row>
    <row r="89" spans="1:35" ht="18" x14ac:dyDescent="0.3">
      <c r="A89" s="10" t="s">
        <v>349</v>
      </c>
      <c r="B89" s="10"/>
      <c r="C89" s="24" t="s">
        <v>299</v>
      </c>
      <c r="D89" s="15"/>
      <c r="E89" s="15"/>
      <c r="F89" s="25" t="s">
        <v>102</v>
      </c>
      <c r="G89" s="26">
        <v>1</v>
      </c>
      <c r="H89" s="31"/>
      <c r="I89" s="31">
        <v>793.1</v>
      </c>
      <c r="J89" s="27">
        <v>10.58</v>
      </c>
      <c r="M89" s="28">
        <f>ROUND(ROUND(J89, 2)*I89, 2)</f>
        <v>8391</v>
      </c>
      <c r="P89" s="29">
        <v>10.58</v>
      </c>
      <c r="S89" s="28">
        <f>ROUND(ROUND(P89, 2)*I89, 2)</f>
        <v>8391</v>
      </c>
      <c r="V89" s="9">
        <f>ROUND(ROUND(P89, 2)/1.2, 2)</f>
        <v>8.82</v>
      </c>
      <c r="Y89" s="9">
        <f t="shared" si="11"/>
        <v>6992.5</v>
      </c>
      <c r="AD89" s="4" t="s">
        <v>350</v>
      </c>
      <c r="AE89" s="4" t="s">
        <v>351</v>
      </c>
      <c r="AF89" s="4" t="s">
        <v>302</v>
      </c>
    </row>
    <row r="90" spans="1:35" ht="36" x14ac:dyDescent="0.3">
      <c r="A90" s="10" t="s">
        <v>352</v>
      </c>
      <c r="B90" s="10"/>
      <c r="C90" s="24" t="s">
        <v>304</v>
      </c>
      <c r="D90" s="15"/>
      <c r="E90" s="15"/>
      <c r="F90" s="25" t="s">
        <v>278</v>
      </c>
      <c r="G90" s="26">
        <v>0.255</v>
      </c>
      <c r="H90" s="26"/>
      <c r="I90" s="26">
        <v>202.24100000000001</v>
      </c>
      <c r="J90" s="27">
        <v>90.28</v>
      </c>
      <c r="M90" s="28">
        <f>ROUND(ROUND(J90, 2)*I90, 2)</f>
        <v>18258.32</v>
      </c>
      <c r="P90" s="29">
        <v>90.28</v>
      </c>
      <c r="S90" s="28">
        <f>ROUND(ROUND(P90, 2)*I90, 2)</f>
        <v>18258.32</v>
      </c>
      <c r="V90" s="9">
        <f>ROUND(ROUND(P90, 2)/1.2, 2)</f>
        <v>75.23</v>
      </c>
      <c r="Y90" s="9">
        <f t="shared" si="11"/>
        <v>15215.27</v>
      </c>
      <c r="AD90" s="4" t="s">
        <v>353</v>
      </c>
      <c r="AE90" s="4" t="s">
        <v>354</v>
      </c>
      <c r="AF90" s="4" t="s">
        <v>307</v>
      </c>
    </row>
    <row r="91" spans="1:35" ht="36" x14ac:dyDescent="0.3">
      <c r="A91" s="10" t="s">
        <v>355</v>
      </c>
      <c r="B91" s="10"/>
      <c r="C91" s="30" t="s">
        <v>356</v>
      </c>
      <c r="D91" s="15"/>
      <c r="E91" s="15"/>
      <c r="F91" s="25" t="s">
        <v>278</v>
      </c>
      <c r="G91" s="26">
        <v>1.6</v>
      </c>
      <c r="H91" s="31"/>
      <c r="I91" s="31">
        <v>12689.6</v>
      </c>
      <c r="J91" s="27">
        <v>9.2200000000000006</v>
      </c>
      <c r="M91" s="28">
        <f>ROUND(ROUND(J91, 2)*I91, 2)</f>
        <v>116998.11</v>
      </c>
      <c r="P91" s="29">
        <v>9.2200000000000006</v>
      </c>
      <c r="S91" s="28">
        <f>ROUND(ROUND(P91, 2)*I91, 2)</f>
        <v>116998.11</v>
      </c>
      <c r="V91" s="9">
        <f>ROUND(ROUND(P91, 2)/1.2, 2)</f>
        <v>7.68</v>
      </c>
      <c r="Y91" s="9">
        <f t="shared" si="11"/>
        <v>97498.43</v>
      </c>
      <c r="AD91" s="4" t="s">
        <v>357</v>
      </c>
      <c r="AE91" s="4" t="s">
        <v>358</v>
      </c>
      <c r="AF91" s="4" t="s">
        <v>359</v>
      </c>
    </row>
    <row r="92" spans="1:35" ht="72" x14ac:dyDescent="0.3">
      <c r="A92" s="10" t="s">
        <v>360</v>
      </c>
      <c r="B92" s="10" t="s">
        <v>344</v>
      </c>
      <c r="C92" s="14" t="s">
        <v>345</v>
      </c>
      <c r="D92" s="15"/>
      <c r="E92" s="15" t="s">
        <v>361</v>
      </c>
      <c r="F92" s="15" t="s">
        <v>62</v>
      </c>
      <c r="G92" s="16">
        <v>1</v>
      </c>
      <c r="H92" s="16"/>
      <c r="I92" s="16">
        <v>3496.5</v>
      </c>
      <c r="J92" s="17">
        <f>IFERROR(ROUND(SUM(M93,M94,M95)/I92, 2),0)</f>
        <v>181.12</v>
      </c>
      <c r="K92" s="18">
        <v>557</v>
      </c>
      <c r="L92" s="17">
        <f>J92+ROUND(K92, 2)</f>
        <v>738.12</v>
      </c>
      <c r="M92" s="17">
        <f>ROUND(J92*I92, 2)</f>
        <v>633286.07999999996</v>
      </c>
      <c r="N92" s="17">
        <f>ROUND(I92*ROUND(K92, 2), 2)</f>
        <v>1947550.5</v>
      </c>
      <c r="O92" s="17">
        <f>M92+N92</f>
        <v>2580836.58</v>
      </c>
      <c r="P92" s="17">
        <f>IFERROR(ROUND(SUM(S93,S94,S95)/I92, 2),0)</f>
        <v>181.12</v>
      </c>
      <c r="Q92" s="19">
        <v>835.5</v>
      </c>
      <c r="R92" s="17">
        <f>P92+ROUND(Q92, 2)</f>
        <v>1016.62</v>
      </c>
      <c r="S92" s="17">
        <f>ROUND(P92*I92, 2)</f>
        <v>633286.07999999996</v>
      </c>
      <c r="T92" s="17">
        <f>ROUND(I92*ROUND(Q92, 2), 2)</f>
        <v>2921325.75</v>
      </c>
      <c r="U92" s="17">
        <f>S92+T92</f>
        <v>3554611.83</v>
      </c>
      <c r="V92" s="9">
        <f>ROUND(P92 / 1.2, 2)</f>
        <v>150.93</v>
      </c>
      <c r="W92" s="9">
        <f>ROUND(Q92 / 1.2, 2)</f>
        <v>696.25</v>
      </c>
      <c r="X92" s="9">
        <f>ROUND(R92 / 1.2, 2)</f>
        <v>847.18</v>
      </c>
      <c r="Y92" s="9">
        <f t="shared" si="11"/>
        <v>527738.4</v>
      </c>
      <c r="Z92" s="9">
        <f>ROUND(T92 / 1.2, 2)</f>
        <v>2434438.13</v>
      </c>
      <c r="AA92" s="9">
        <f>Y92+Z92</f>
        <v>2962176.53</v>
      </c>
      <c r="AD92" s="4">
        <v>334080592</v>
      </c>
      <c r="AE92" s="4">
        <v>29196677</v>
      </c>
      <c r="AG92" s="4" t="s">
        <v>347</v>
      </c>
      <c r="AH92" s="4" t="s">
        <v>348</v>
      </c>
      <c r="AI92" s="4" t="s">
        <v>250</v>
      </c>
    </row>
    <row r="93" spans="1:35" ht="36" x14ac:dyDescent="0.3">
      <c r="A93" s="10" t="s">
        <v>362</v>
      </c>
      <c r="B93" s="10"/>
      <c r="C93" s="30" t="s">
        <v>356</v>
      </c>
      <c r="D93" s="15"/>
      <c r="E93" s="15"/>
      <c r="F93" s="25" t="s">
        <v>278</v>
      </c>
      <c r="G93" s="26">
        <v>1.6</v>
      </c>
      <c r="H93" s="31"/>
      <c r="I93" s="31">
        <v>55944</v>
      </c>
      <c r="J93" s="27">
        <v>9.2200000000000006</v>
      </c>
      <c r="M93" s="28">
        <f>ROUND(ROUND(J93, 2)*I93, 2)</f>
        <v>515803.68</v>
      </c>
      <c r="P93" s="29">
        <v>9.2200000000000006</v>
      </c>
      <c r="S93" s="28">
        <f>ROUND(ROUND(P93, 2)*I93, 2)</f>
        <v>515803.68</v>
      </c>
      <c r="V93" s="9">
        <f>ROUND(ROUND(P93, 2)/1.2, 2)</f>
        <v>7.68</v>
      </c>
      <c r="Y93" s="9">
        <f t="shared" si="11"/>
        <v>429836.4</v>
      </c>
      <c r="AD93" s="4" t="s">
        <v>363</v>
      </c>
      <c r="AE93" s="4" t="s">
        <v>364</v>
      </c>
      <c r="AF93" s="4" t="s">
        <v>359</v>
      </c>
    </row>
    <row r="94" spans="1:35" ht="36" x14ac:dyDescent="0.3">
      <c r="A94" s="10" t="s">
        <v>365</v>
      </c>
      <c r="B94" s="10"/>
      <c r="C94" s="24" t="s">
        <v>304</v>
      </c>
      <c r="D94" s="15"/>
      <c r="E94" s="15"/>
      <c r="F94" s="25" t="s">
        <v>278</v>
      </c>
      <c r="G94" s="26">
        <v>0.255</v>
      </c>
      <c r="H94" s="26"/>
      <c r="I94" s="26">
        <v>891.60799999999995</v>
      </c>
      <c r="J94" s="27">
        <v>90.28</v>
      </c>
      <c r="M94" s="28">
        <f>ROUND(ROUND(J94, 2)*I94, 2)</f>
        <v>80494.37</v>
      </c>
      <c r="P94" s="29">
        <v>90.28</v>
      </c>
      <c r="S94" s="28">
        <f>ROUND(ROUND(P94, 2)*I94, 2)</f>
        <v>80494.37</v>
      </c>
      <c r="V94" s="9">
        <f>ROUND(ROUND(P94, 2)/1.2, 2)</f>
        <v>75.23</v>
      </c>
      <c r="Y94" s="9">
        <f t="shared" si="11"/>
        <v>67078.64</v>
      </c>
      <c r="AD94" s="4" t="s">
        <v>366</v>
      </c>
      <c r="AE94" s="4" t="s">
        <v>367</v>
      </c>
      <c r="AF94" s="4" t="s">
        <v>307</v>
      </c>
    </row>
    <row r="95" spans="1:35" ht="18" x14ac:dyDescent="0.3">
      <c r="A95" s="10" t="s">
        <v>368</v>
      </c>
      <c r="B95" s="10"/>
      <c r="C95" s="24" t="s">
        <v>299</v>
      </c>
      <c r="D95" s="15"/>
      <c r="E95" s="15"/>
      <c r="F95" s="25" t="s">
        <v>102</v>
      </c>
      <c r="G95" s="26">
        <v>1</v>
      </c>
      <c r="H95" s="31"/>
      <c r="I95" s="31">
        <v>3496.5</v>
      </c>
      <c r="J95" s="27">
        <v>10.58</v>
      </c>
      <c r="M95" s="28">
        <f>ROUND(ROUND(J95, 2)*I95, 2)</f>
        <v>36992.97</v>
      </c>
      <c r="P95" s="29">
        <v>10.58</v>
      </c>
      <c r="S95" s="28">
        <f>ROUND(ROUND(P95, 2)*I95, 2)</f>
        <v>36992.97</v>
      </c>
      <c r="V95" s="9">
        <f>ROUND(ROUND(P95, 2)/1.2, 2)</f>
        <v>8.82</v>
      </c>
      <c r="Y95" s="9">
        <f t="shared" si="11"/>
        <v>30827.48</v>
      </c>
      <c r="AD95" s="4" t="s">
        <v>369</v>
      </c>
      <c r="AE95" s="4" t="s">
        <v>370</v>
      </c>
      <c r="AF95" s="4" t="s">
        <v>302</v>
      </c>
    </row>
    <row r="96" spans="1:35" ht="16.95" customHeight="1" x14ac:dyDescent="0.3">
      <c r="A96" s="10" t="s">
        <v>371</v>
      </c>
      <c r="B96" s="10" t="s">
        <v>372</v>
      </c>
      <c r="C96" s="91" t="s">
        <v>373</v>
      </c>
      <c r="D96" s="92"/>
      <c r="E96" s="92"/>
      <c r="F96" s="92"/>
      <c r="G96" s="92"/>
      <c r="H96" s="92"/>
      <c r="I96" s="93"/>
      <c r="M96" s="6">
        <f>SUM(M97,M101,M105,M108,M111,M113,M115)</f>
        <v>759677.49000000011</v>
      </c>
      <c r="N96" s="6">
        <f>SUM(N97,N101,N105,N108,N111,N113,N115)</f>
        <v>500328.01</v>
      </c>
      <c r="O96" s="6">
        <f>SUM(O97,O101,O105,O108,O111,O113,O115)</f>
        <v>1260005.5</v>
      </c>
      <c r="S96" s="6">
        <f>SUM(S97,S101,S105,S108,S111,S113,S115)</f>
        <v>763725.44000000006</v>
      </c>
      <c r="T96" s="6">
        <f>SUM(T97,T101,T105,T108,T111,T113,T115)</f>
        <v>741872.25</v>
      </c>
      <c r="U96" s="6">
        <f>SUM(U97,U101,U105,U108,U111,U113,U115)</f>
        <v>1505597.69</v>
      </c>
      <c r="Y96" s="9">
        <f>SUM(Y97,Y101,Y105,Y108,Y111,Y113,Y115)</f>
        <v>636437.88</v>
      </c>
      <c r="Z96" s="9">
        <f>SUM(Z97,Z101,Z105,Z108,Z111,Z113,Z115)</f>
        <v>618226.88000000012</v>
      </c>
      <c r="AA96" s="9">
        <f>SUM(AA97,AA101,AA105,AA108,AA111,AA113,AA115)</f>
        <v>1254664.76</v>
      </c>
      <c r="AD96" s="4">
        <v>334080497</v>
      </c>
      <c r="AE96" s="4">
        <v>29223861</v>
      </c>
    </row>
    <row r="97" spans="1:35" ht="144" x14ac:dyDescent="0.3">
      <c r="A97" s="10" t="s">
        <v>374</v>
      </c>
      <c r="B97" s="10" t="s">
        <v>375</v>
      </c>
      <c r="C97" s="14" t="s">
        <v>376</v>
      </c>
      <c r="D97" s="15"/>
      <c r="E97" s="15" t="s">
        <v>377</v>
      </c>
      <c r="F97" s="15" t="s">
        <v>62</v>
      </c>
      <c r="G97" s="16">
        <v>1</v>
      </c>
      <c r="H97" s="16"/>
      <c r="I97" s="16">
        <v>54.4</v>
      </c>
      <c r="J97" s="17">
        <f>IFERROR(ROUND(SUM(M98,M99,M100)/I97, 2),0)</f>
        <v>420.29</v>
      </c>
      <c r="K97" s="18">
        <v>324</v>
      </c>
      <c r="L97" s="17">
        <f>J97+ROUND(K97, 2)</f>
        <v>744.29</v>
      </c>
      <c r="M97" s="17">
        <f>ROUND(J97*I97, 2)</f>
        <v>22863.78</v>
      </c>
      <c r="N97" s="17">
        <f>ROUND(I97*ROUND(K97, 2), 2)</f>
        <v>17625.599999999999</v>
      </c>
      <c r="O97" s="17">
        <f>M97+N97</f>
        <v>40489.379999999997</v>
      </c>
      <c r="P97" s="17">
        <f>IFERROR(ROUND(SUM(S98,S99,S100)/I97, 2),0)</f>
        <v>420.29</v>
      </c>
      <c r="Q97" s="19">
        <v>486</v>
      </c>
      <c r="R97" s="17">
        <f>P97+ROUND(Q97, 2)</f>
        <v>906.29</v>
      </c>
      <c r="S97" s="17">
        <f>ROUND(P97*I97, 2)</f>
        <v>22863.78</v>
      </c>
      <c r="T97" s="17">
        <f>ROUND(I97*ROUND(Q97, 2), 2)</f>
        <v>26438.400000000001</v>
      </c>
      <c r="U97" s="17">
        <f>S97+T97</f>
        <v>49302.18</v>
      </c>
      <c r="V97" s="9">
        <f>ROUND(P97 / 1.2, 2)</f>
        <v>350.24</v>
      </c>
      <c r="W97" s="9">
        <f>ROUND(Q97 / 1.2, 2)</f>
        <v>405</v>
      </c>
      <c r="X97" s="9">
        <f>ROUND(R97 / 1.2, 2)</f>
        <v>755.24</v>
      </c>
      <c r="Y97" s="9">
        <f>ROUND(S97 / 1.2, 2)</f>
        <v>19053.150000000001</v>
      </c>
      <c r="Z97" s="9">
        <f>ROUND(T97 / 1.2, 2)</f>
        <v>22032</v>
      </c>
      <c r="AA97" s="9">
        <f>Y97+Z97</f>
        <v>41085.15</v>
      </c>
      <c r="AD97" s="4">
        <v>334080499</v>
      </c>
      <c r="AE97" s="4">
        <v>29223865</v>
      </c>
      <c r="AG97" s="4" t="s">
        <v>378</v>
      </c>
      <c r="AH97" s="4" t="s">
        <v>379</v>
      </c>
      <c r="AI97" s="4" t="s">
        <v>250</v>
      </c>
    </row>
    <row r="98" spans="1:35" ht="18" x14ac:dyDescent="0.3">
      <c r="A98" s="10" t="s">
        <v>380</v>
      </c>
      <c r="B98" s="10"/>
      <c r="C98" s="24" t="s">
        <v>381</v>
      </c>
      <c r="D98" s="15"/>
      <c r="E98" s="15"/>
      <c r="F98" s="25" t="s">
        <v>278</v>
      </c>
      <c r="G98" s="26">
        <v>0.25</v>
      </c>
      <c r="H98" s="26"/>
      <c r="I98" s="26">
        <v>13.6</v>
      </c>
      <c r="J98" s="27">
        <v>213.81</v>
      </c>
      <c r="M98" s="28">
        <f>ROUND(ROUND(J98, 2)*I98, 2)</f>
        <v>2907.82</v>
      </c>
      <c r="P98" s="29">
        <v>213.81</v>
      </c>
      <c r="S98" s="28">
        <f>ROUND(ROUND(P98, 2)*I98, 2)</f>
        <v>2907.82</v>
      </c>
      <c r="V98" s="9">
        <f>ROUND(ROUND(P98, 2)/1.2, 2)</f>
        <v>178.18</v>
      </c>
      <c r="Y98" s="9">
        <f t="shared" ref="Y98:Y116" si="12">ROUND(S98 / 1.2, 2)</f>
        <v>2423.1799999999998</v>
      </c>
      <c r="AD98" s="4" t="s">
        <v>382</v>
      </c>
      <c r="AE98" s="4" t="s">
        <v>383</v>
      </c>
      <c r="AF98" s="4" t="s">
        <v>384</v>
      </c>
    </row>
    <row r="99" spans="1:35" ht="36" x14ac:dyDescent="0.3">
      <c r="A99" s="10" t="s">
        <v>385</v>
      </c>
      <c r="B99" s="10"/>
      <c r="C99" s="24" t="s">
        <v>386</v>
      </c>
      <c r="D99" s="15"/>
      <c r="E99" s="15" t="s">
        <v>387</v>
      </c>
      <c r="F99" s="25" t="s">
        <v>102</v>
      </c>
      <c r="G99" s="26">
        <v>1.05</v>
      </c>
      <c r="H99" s="31"/>
      <c r="I99" s="31">
        <v>57.12</v>
      </c>
      <c r="J99" s="27">
        <v>7.11</v>
      </c>
      <c r="M99" s="28">
        <f>ROUND(ROUND(J99, 2)*I99, 2)</f>
        <v>406.12</v>
      </c>
      <c r="P99" s="29">
        <v>7.11</v>
      </c>
      <c r="S99" s="28">
        <f>ROUND(ROUND(P99, 2)*I99, 2)</f>
        <v>406.12</v>
      </c>
      <c r="V99" s="9">
        <f>ROUND(ROUND(P99, 2)/1.2, 2)</f>
        <v>5.93</v>
      </c>
      <c r="Y99" s="9">
        <f t="shared" si="12"/>
        <v>338.43</v>
      </c>
      <c r="AD99" s="4" t="s">
        <v>388</v>
      </c>
      <c r="AE99" s="4" t="s">
        <v>389</v>
      </c>
      <c r="AF99" s="4" t="s">
        <v>390</v>
      </c>
    </row>
    <row r="100" spans="1:35" ht="36" x14ac:dyDescent="0.3">
      <c r="A100" s="10" t="s">
        <v>391</v>
      </c>
      <c r="B100" s="10"/>
      <c r="C100" s="24" t="s">
        <v>392</v>
      </c>
      <c r="D100" s="15"/>
      <c r="E100" s="15"/>
      <c r="F100" s="25" t="s">
        <v>278</v>
      </c>
      <c r="G100" s="26">
        <v>2.5</v>
      </c>
      <c r="H100" s="26"/>
      <c r="I100" s="26">
        <v>136</v>
      </c>
      <c r="J100" s="27">
        <v>143.75</v>
      </c>
      <c r="M100" s="28">
        <f>ROUND(ROUND(J100, 2)*I100, 2)</f>
        <v>19550</v>
      </c>
      <c r="P100" s="29">
        <v>143.75</v>
      </c>
      <c r="S100" s="28">
        <f>ROUND(ROUND(P100, 2)*I100, 2)</f>
        <v>19550</v>
      </c>
      <c r="V100" s="9">
        <f>ROUND(ROUND(P100, 2)/1.2, 2)</f>
        <v>119.79</v>
      </c>
      <c r="Y100" s="9">
        <f t="shared" si="12"/>
        <v>16291.67</v>
      </c>
      <c r="AD100" s="4" t="s">
        <v>393</v>
      </c>
      <c r="AE100" s="4" t="s">
        <v>394</v>
      </c>
      <c r="AF100" s="4" t="s">
        <v>395</v>
      </c>
    </row>
    <row r="101" spans="1:35" ht="108" x14ac:dyDescent="0.3">
      <c r="A101" s="10" t="s">
        <v>396</v>
      </c>
      <c r="B101" s="10" t="s">
        <v>375</v>
      </c>
      <c r="C101" s="14" t="s">
        <v>376</v>
      </c>
      <c r="D101" s="15"/>
      <c r="E101" s="15" t="s">
        <v>397</v>
      </c>
      <c r="F101" s="15" t="s">
        <v>62</v>
      </c>
      <c r="G101" s="16">
        <v>1</v>
      </c>
      <c r="H101" s="16"/>
      <c r="I101" s="16">
        <v>118.66</v>
      </c>
      <c r="J101" s="17">
        <f>IFERROR(ROUND(SUM(M102,M103,M104)/I101, 2),0)</f>
        <v>420.29</v>
      </c>
      <c r="K101" s="18">
        <v>324</v>
      </c>
      <c r="L101" s="17">
        <f>J101+ROUND(K101, 2)</f>
        <v>744.29</v>
      </c>
      <c r="M101" s="17">
        <f>ROUND(J101*I101, 2)</f>
        <v>49871.61</v>
      </c>
      <c r="N101" s="17">
        <f>ROUND(I101*ROUND(K101, 2), 2)</f>
        <v>38445.839999999997</v>
      </c>
      <c r="O101" s="17">
        <f>M101+N101</f>
        <v>88317.45</v>
      </c>
      <c r="P101" s="17">
        <f>IFERROR(ROUND(SUM(S102,S103,S104)/I101, 2),0)</f>
        <v>420.29</v>
      </c>
      <c r="Q101" s="19">
        <v>486</v>
      </c>
      <c r="R101" s="17">
        <f>P101+ROUND(Q101, 2)</f>
        <v>906.29</v>
      </c>
      <c r="S101" s="17">
        <f>ROUND(P101*I101, 2)</f>
        <v>49871.61</v>
      </c>
      <c r="T101" s="17">
        <f>ROUND(I101*ROUND(Q101, 2), 2)</f>
        <v>57668.76</v>
      </c>
      <c r="U101" s="17">
        <f>S101+T101</f>
        <v>107540.37</v>
      </c>
      <c r="V101" s="9">
        <f>ROUND(P101 / 1.2, 2)</f>
        <v>350.24</v>
      </c>
      <c r="W101" s="9">
        <f>ROUND(Q101 / 1.2, 2)</f>
        <v>405</v>
      </c>
      <c r="X101" s="9">
        <f>ROUND(R101 / 1.2, 2)</f>
        <v>755.24</v>
      </c>
      <c r="Y101" s="9">
        <f t="shared" si="12"/>
        <v>41559.68</v>
      </c>
      <c r="Z101" s="9">
        <f>ROUND(T101 / 1.2, 2)</f>
        <v>48057.3</v>
      </c>
      <c r="AA101" s="9">
        <f>Y101+Z101</f>
        <v>89616.98000000001</v>
      </c>
      <c r="AD101" s="4">
        <v>334080593</v>
      </c>
      <c r="AE101" s="4">
        <v>29223866</v>
      </c>
      <c r="AG101" s="4" t="s">
        <v>378</v>
      </c>
      <c r="AH101" s="4" t="s">
        <v>379</v>
      </c>
      <c r="AI101" s="4" t="s">
        <v>250</v>
      </c>
    </row>
    <row r="102" spans="1:35" ht="36" x14ac:dyDescent="0.3">
      <c r="A102" s="10" t="s">
        <v>398</v>
      </c>
      <c r="B102" s="10"/>
      <c r="C102" s="24" t="s">
        <v>392</v>
      </c>
      <c r="D102" s="15"/>
      <c r="E102" s="15"/>
      <c r="F102" s="25" t="s">
        <v>278</v>
      </c>
      <c r="G102" s="26">
        <v>2.5</v>
      </c>
      <c r="H102" s="26"/>
      <c r="I102" s="26">
        <v>296.64999999999998</v>
      </c>
      <c r="J102" s="27">
        <v>143.75</v>
      </c>
      <c r="M102" s="28">
        <f>ROUND(ROUND(J102, 2)*I102, 2)</f>
        <v>42643.44</v>
      </c>
      <c r="P102" s="29">
        <v>143.75</v>
      </c>
      <c r="S102" s="28">
        <f>ROUND(ROUND(P102, 2)*I102, 2)</f>
        <v>42643.44</v>
      </c>
      <c r="V102" s="9">
        <f>ROUND(ROUND(P102, 2)/1.2, 2)</f>
        <v>119.79</v>
      </c>
      <c r="Y102" s="9">
        <f t="shared" si="12"/>
        <v>35536.199999999997</v>
      </c>
      <c r="AD102" s="4" t="s">
        <v>399</v>
      </c>
      <c r="AE102" s="4" t="s">
        <v>400</v>
      </c>
      <c r="AF102" s="4" t="s">
        <v>395</v>
      </c>
    </row>
    <row r="103" spans="1:35" ht="18" x14ac:dyDescent="0.3">
      <c r="A103" s="10" t="s">
        <v>401</v>
      </c>
      <c r="B103" s="10"/>
      <c r="C103" s="24" t="s">
        <v>386</v>
      </c>
      <c r="D103" s="15"/>
      <c r="E103" s="15"/>
      <c r="F103" s="25" t="s">
        <v>102</v>
      </c>
      <c r="G103" s="26">
        <v>1.05</v>
      </c>
      <c r="H103" s="31"/>
      <c r="I103" s="31">
        <v>124.593</v>
      </c>
      <c r="J103" s="27">
        <v>7.11</v>
      </c>
      <c r="M103" s="28">
        <f>ROUND(ROUND(J103, 2)*I103, 2)</f>
        <v>885.86</v>
      </c>
      <c r="P103" s="29">
        <v>7.11</v>
      </c>
      <c r="S103" s="28">
        <f>ROUND(ROUND(P103, 2)*I103, 2)</f>
        <v>885.86</v>
      </c>
      <c r="V103" s="9">
        <f>ROUND(ROUND(P103, 2)/1.2, 2)</f>
        <v>5.93</v>
      </c>
      <c r="Y103" s="9">
        <f t="shared" si="12"/>
        <v>738.22</v>
      </c>
      <c r="AD103" s="4" t="s">
        <v>402</v>
      </c>
      <c r="AE103" s="4" t="s">
        <v>403</v>
      </c>
      <c r="AF103" s="4" t="s">
        <v>390</v>
      </c>
    </row>
    <row r="104" spans="1:35" ht="18" x14ac:dyDescent="0.3">
      <c r="A104" s="10" t="s">
        <v>404</v>
      </c>
      <c r="B104" s="10"/>
      <c r="C104" s="24" t="s">
        <v>381</v>
      </c>
      <c r="D104" s="15"/>
      <c r="E104" s="15"/>
      <c r="F104" s="25" t="s">
        <v>278</v>
      </c>
      <c r="G104" s="26">
        <v>0.25</v>
      </c>
      <c r="H104" s="26"/>
      <c r="I104" s="26">
        <v>29.664999999999999</v>
      </c>
      <c r="J104" s="27">
        <v>213.81</v>
      </c>
      <c r="M104" s="28">
        <f>ROUND(ROUND(J104, 2)*I104, 2)</f>
        <v>6342.67</v>
      </c>
      <c r="P104" s="29">
        <v>213.81</v>
      </c>
      <c r="S104" s="28">
        <f>ROUND(ROUND(P104, 2)*I104, 2)</f>
        <v>6342.67</v>
      </c>
      <c r="V104" s="9">
        <f>ROUND(ROUND(P104, 2)/1.2, 2)</f>
        <v>178.18</v>
      </c>
      <c r="Y104" s="9">
        <f t="shared" si="12"/>
        <v>5285.56</v>
      </c>
      <c r="AD104" s="4" t="s">
        <v>405</v>
      </c>
      <c r="AE104" s="4" t="s">
        <v>406</v>
      </c>
      <c r="AF104" s="4" t="s">
        <v>384</v>
      </c>
    </row>
    <row r="105" spans="1:35" ht="144" x14ac:dyDescent="0.3">
      <c r="A105" s="10" t="s">
        <v>407</v>
      </c>
      <c r="B105" s="10" t="s">
        <v>375</v>
      </c>
      <c r="C105" s="14" t="s">
        <v>376</v>
      </c>
      <c r="D105" s="15"/>
      <c r="E105" s="15" t="s">
        <v>408</v>
      </c>
      <c r="F105" s="15" t="s">
        <v>62</v>
      </c>
      <c r="G105" s="16">
        <v>1</v>
      </c>
      <c r="H105" s="16"/>
      <c r="I105" s="16">
        <v>536.16999999999996</v>
      </c>
      <c r="J105" s="17">
        <f>IFERROR(ROUND(SUM(M106,M107)/I105, 2),0)</f>
        <v>996.76</v>
      </c>
      <c r="K105" s="18">
        <v>324</v>
      </c>
      <c r="L105" s="17">
        <f>J105+ROUND(K105, 2)</f>
        <v>1320.76</v>
      </c>
      <c r="M105" s="17">
        <f>ROUND(J105*I105, 2)</f>
        <v>534432.81000000006</v>
      </c>
      <c r="N105" s="17">
        <f>ROUND(I105*ROUND(K105, 2), 2)</f>
        <v>173719.08</v>
      </c>
      <c r="O105" s="17">
        <f>M105+N105</f>
        <v>708151.89</v>
      </c>
      <c r="P105" s="17">
        <f>IFERROR(ROUND(SUM(S106,S107)/I105, 2),0)</f>
        <v>996.76</v>
      </c>
      <c r="Q105" s="19">
        <v>486</v>
      </c>
      <c r="R105" s="17">
        <f>P105+ROUND(Q105, 2)</f>
        <v>1482.76</v>
      </c>
      <c r="S105" s="17">
        <f>ROUND(P105*I105, 2)</f>
        <v>534432.81000000006</v>
      </c>
      <c r="T105" s="17">
        <f>ROUND(I105*ROUND(Q105, 2), 2)</f>
        <v>260578.62</v>
      </c>
      <c r="U105" s="17">
        <f>S105+T105</f>
        <v>795011.43</v>
      </c>
      <c r="V105" s="9">
        <f>ROUND(P105 / 1.2, 2)</f>
        <v>830.63</v>
      </c>
      <c r="W105" s="9">
        <f>ROUND(Q105 / 1.2, 2)</f>
        <v>405</v>
      </c>
      <c r="X105" s="9">
        <f>ROUND(R105 / 1.2, 2)</f>
        <v>1235.6300000000001</v>
      </c>
      <c r="Y105" s="9">
        <f t="shared" si="12"/>
        <v>445360.68</v>
      </c>
      <c r="Z105" s="9">
        <f>ROUND(T105 / 1.2, 2)</f>
        <v>217148.85</v>
      </c>
      <c r="AA105" s="9">
        <f>Y105+Z105</f>
        <v>662509.53</v>
      </c>
      <c r="AD105" s="4">
        <v>334080594</v>
      </c>
      <c r="AE105" s="4">
        <v>29240474</v>
      </c>
      <c r="AG105" s="4" t="s">
        <v>378</v>
      </c>
      <c r="AH105" s="4" t="s">
        <v>379</v>
      </c>
      <c r="AI105" s="4" t="s">
        <v>250</v>
      </c>
    </row>
    <row r="106" spans="1:35" ht="36" x14ac:dyDescent="0.3">
      <c r="A106" s="10" t="s">
        <v>409</v>
      </c>
      <c r="B106" s="10"/>
      <c r="C106" s="24" t="s">
        <v>410</v>
      </c>
      <c r="D106" s="15"/>
      <c r="E106" s="15" t="s">
        <v>411</v>
      </c>
      <c r="F106" s="25" t="s">
        <v>278</v>
      </c>
      <c r="G106" s="26">
        <v>1.4</v>
      </c>
      <c r="H106" s="26"/>
      <c r="I106" s="26">
        <v>750.63800000000003</v>
      </c>
      <c r="J106" s="27">
        <v>528.97</v>
      </c>
      <c r="M106" s="28">
        <f>ROUND(ROUND(J106, 2)*I106, 2)</f>
        <v>397064.98</v>
      </c>
      <c r="P106" s="29">
        <v>528.97</v>
      </c>
      <c r="S106" s="28">
        <f>ROUND(ROUND(P106, 2)*I106, 2)</f>
        <v>397064.98</v>
      </c>
      <c r="V106" s="9">
        <f>ROUND(ROUND(P106, 2)/1.2, 2)</f>
        <v>440.81</v>
      </c>
      <c r="Y106" s="9">
        <f t="shared" si="12"/>
        <v>330887.48</v>
      </c>
      <c r="AD106" s="4" t="s">
        <v>412</v>
      </c>
      <c r="AE106" s="4" t="s">
        <v>413</v>
      </c>
      <c r="AF106" s="4" t="s">
        <v>414</v>
      </c>
    </row>
    <row r="107" spans="1:35" ht="36" x14ac:dyDescent="0.3">
      <c r="A107" s="10" t="s">
        <v>415</v>
      </c>
      <c r="B107" s="10"/>
      <c r="C107" s="24" t="s">
        <v>416</v>
      </c>
      <c r="D107" s="15"/>
      <c r="E107" s="15" t="s">
        <v>417</v>
      </c>
      <c r="F107" s="25" t="s">
        <v>102</v>
      </c>
      <c r="G107" s="26">
        <v>1.05</v>
      </c>
      <c r="H107" s="31"/>
      <c r="I107" s="31">
        <v>562.97900000000004</v>
      </c>
      <c r="J107" s="27">
        <v>244</v>
      </c>
      <c r="M107" s="28">
        <f>ROUND(ROUND(J107, 2)*I107, 2)</f>
        <v>137366.88</v>
      </c>
      <c r="P107" s="29">
        <v>244</v>
      </c>
      <c r="S107" s="28">
        <f>ROUND(ROUND(P107, 2)*I107, 2)</f>
        <v>137366.88</v>
      </c>
      <c r="V107" s="9">
        <f>ROUND(ROUND(P107, 2)/1.2, 2)</f>
        <v>203.33</v>
      </c>
      <c r="Y107" s="9">
        <f t="shared" si="12"/>
        <v>114472.4</v>
      </c>
      <c r="AD107" s="4" t="s">
        <v>418</v>
      </c>
      <c r="AE107" s="4" t="s">
        <v>419</v>
      </c>
      <c r="AF107" s="4" t="s">
        <v>420</v>
      </c>
    </row>
    <row r="108" spans="1:35" ht="108" x14ac:dyDescent="0.3">
      <c r="A108" s="10" t="s">
        <v>421</v>
      </c>
      <c r="B108" s="10" t="s">
        <v>375</v>
      </c>
      <c r="C108" s="14" t="s">
        <v>376</v>
      </c>
      <c r="D108" s="15"/>
      <c r="E108" s="15" t="s">
        <v>422</v>
      </c>
      <c r="F108" s="15" t="s">
        <v>62</v>
      </c>
      <c r="G108" s="16">
        <v>1</v>
      </c>
      <c r="H108" s="16"/>
      <c r="I108" s="16">
        <v>105.69</v>
      </c>
      <c r="J108" s="17">
        <f>IFERROR(ROUND(SUM(M109,M110)/I108, 2),0)</f>
        <v>996.76</v>
      </c>
      <c r="K108" s="18">
        <v>324</v>
      </c>
      <c r="L108" s="17">
        <f>J108+ROUND(K108, 2)</f>
        <v>1320.76</v>
      </c>
      <c r="M108" s="17">
        <f>ROUND(J108*I108, 2)</f>
        <v>105347.56</v>
      </c>
      <c r="N108" s="17">
        <f>ROUND(I108*ROUND(K108, 2), 2)</f>
        <v>34243.56</v>
      </c>
      <c r="O108" s="17">
        <f>M108+N108</f>
        <v>139591.12</v>
      </c>
      <c r="P108" s="17">
        <f>IFERROR(ROUND(SUM(S109,S110)/I108, 2),0)</f>
        <v>996.76</v>
      </c>
      <c r="Q108" s="19">
        <v>486</v>
      </c>
      <c r="R108" s="17">
        <f>P108+ROUND(Q108, 2)</f>
        <v>1482.76</v>
      </c>
      <c r="S108" s="17">
        <f>ROUND(P108*I108, 2)</f>
        <v>105347.56</v>
      </c>
      <c r="T108" s="17">
        <f>ROUND(I108*ROUND(Q108, 2), 2)</f>
        <v>51365.34</v>
      </c>
      <c r="U108" s="17">
        <f>S108+T108</f>
        <v>156712.9</v>
      </c>
      <c r="V108" s="9">
        <f>ROUND(P108 / 1.2, 2)</f>
        <v>830.63</v>
      </c>
      <c r="W108" s="9">
        <f>ROUND(Q108 / 1.2, 2)</f>
        <v>405</v>
      </c>
      <c r="X108" s="9">
        <f>ROUND(R108 / 1.2, 2)</f>
        <v>1235.6300000000001</v>
      </c>
      <c r="Y108" s="9">
        <f t="shared" si="12"/>
        <v>87789.63</v>
      </c>
      <c r="Z108" s="9">
        <f>ROUND(T108 / 1.2, 2)</f>
        <v>42804.45</v>
      </c>
      <c r="AA108" s="9">
        <f>Y108+Z108</f>
        <v>130594.08</v>
      </c>
      <c r="AD108" s="4">
        <v>334080595</v>
      </c>
      <c r="AE108" s="4">
        <v>29240473</v>
      </c>
      <c r="AG108" s="4" t="s">
        <v>378</v>
      </c>
      <c r="AH108" s="4" t="s">
        <v>379</v>
      </c>
      <c r="AI108" s="4" t="s">
        <v>250</v>
      </c>
    </row>
    <row r="109" spans="1:35" ht="36" x14ac:dyDescent="0.3">
      <c r="A109" s="10" t="s">
        <v>423</v>
      </c>
      <c r="B109" s="10"/>
      <c r="C109" s="24" t="s">
        <v>416</v>
      </c>
      <c r="D109" s="15"/>
      <c r="E109" s="15" t="s">
        <v>417</v>
      </c>
      <c r="F109" s="25" t="s">
        <v>102</v>
      </c>
      <c r="G109" s="26">
        <v>1.05</v>
      </c>
      <c r="H109" s="31"/>
      <c r="I109" s="31">
        <v>110.97499999999999</v>
      </c>
      <c r="J109" s="27">
        <v>244</v>
      </c>
      <c r="M109" s="28">
        <f>ROUND(ROUND(J109, 2)*I109, 2)</f>
        <v>27077.9</v>
      </c>
      <c r="P109" s="29">
        <v>244</v>
      </c>
      <c r="S109" s="28">
        <f>ROUND(ROUND(P109, 2)*I109, 2)</f>
        <v>27077.9</v>
      </c>
      <c r="V109" s="9">
        <f>ROUND(ROUND(P109, 2)/1.2, 2)</f>
        <v>203.33</v>
      </c>
      <c r="Y109" s="9">
        <f t="shared" si="12"/>
        <v>22564.92</v>
      </c>
      <c r="AD109" s="4" t="s">
        <v>424</v>
      </c>
      <c r="AE109" s="4" t="s">
        <v>425</v>
      </c>
      <c r="AF109" s="4" t="s">
        <v>420</v>
      </c>
    </row>
    <row r="110" spans="1:35" ht="36" x14ac:dyDescent="0.3">
      <c r="A110" s="10" t="s">
        <v>426</v>
      </c>
      <c r="B110" s="10"/>
      <c r="C110" s="24" t="s">
        <v>410</v>
      </c>
      <c r="D110" s="15"/>
      <c r="E110" s="15" t="s">
        <v>411</v>
      </c>
      <c r="F110" s="25" t="s">
        <v>278</v>
      </c>
      <c r="G110" s="26">
        <v>1.4</v>
      </c>
      <c r="H110" s="26"/>
      <c r="I110" s="26">
        <v>147.96600000000001</v>
      </c>
      <c r="J110" s="27">
        <v>528.97</v>
      </c>
      <c r="M110" s="28">
        <f>ROUND(ROUND(J110, 2)*I110, 2)</f>
        <v>78269.58</v>
      </c>
      <c r="P110" s="29">
        <v>528.97</v>
      </c>
      <c r="S110" s="28">
        <f>ROUND(ROUND(P110, 2)*I110, 2)</f>
        <v>78269.58</v>
      </c>
      <c r="V110" s="9">
        <f>ROUND(ROUND(P110, 2)/1.2, 2)</f>
        <v>440.81</v>
      </c>
      <c r="Y110" s="9">
        <f t="shared" si="12"/>
        <v>65224.65</v>
      </c>
      <c r="AD110" s="4" t="s">
        <v>427</v>
      </c>
      <c r="AE110" s="4" t="s">
        <v>428</v>
      </c>
      <c r="AF110" s="4" t="s">
        <v>414</v>
      </c>
    </row>
    <row r="111" spans="1:35" ht="108" x14ac:dyDescent="0.3">
      <c r="A111" s="10" t="s">
        <v>429</v>
      </c>
      <c r="B111" s="10" t="s">
        <v>430</v>
      </c>
      <c r="C111" s="14" t="s">
        <v>431</v>
      </c>
      <c r="D111" s="15"/>
      <c r="E111" s="15" t="s">
        <v>432</v>
      </c>
      <c r="F111" s="15" t="s">
        <v>62</v>
      </c>
      <c r="G111" s="16">
        <v>1</v>
      </c>
      <c r="H111" s="16"/>
      <c r="I111" s="16">
        <v>316.39999999999998</v>
      </c>
      <c r="J111" s="17">
        <f>IFERROR(ROUND(SUM(M112)/I111, 2),0)</f>
        <v>86.12</v>
      </c>
      <c r="K111" s="18">
        <v>580</v>
      </c>
      <c r="L111" s="17">
        <f>J111+ROUND(K111, 2)</f>
        <v>666.12</v>
      </c>
      <c r="M111" s="17">
        <f>ROUND(J111*I111, 2)</f>
        <v>27248.37</v>
      </c>
      <c r="N111" s="17">
        <f>ROUND(I111*ROUND(K111, 2), 2)</f>
        <v>183512</v>
      </c>
      <c r="O111" s="17">
        <f>M111+N111</f>
        <v>210760.37</v>
      </c>
      <c r="P111" s="17">
        <f>IFERROR(ROUND(SUM(S112)/I111, 2),0)</f>
        <v>86.12</v>
      </c>
      <c r="Q111" s="19">
        <v>870</v>
      </c>
      <c r="R111" s="17">
        <f>P111+ROUND(Q111, 2)</f>
        <v>956.12</v>
      </c>
      <c r="S111" s="17">
        <f>ROUND(P111*I111, 2)</f>
        <v>27248.37</v>
      </c>
      <c r="T111" s="17">
        <f>ROUND(I111*ROUND(Q111, 2), 2)</f>
        <v>275268</v>
      </c>
      <c r="U111" s="17">
        <f>S111+T111</f>
        <v>302516.37</v>
      </c>
      <c r="V111" s="9">
        <f>ROUND(P111 / 1.2, 2)</f>
        <v>71.77</v>
      </c>
      <c r="W111" s="9">
        <f>ROUND(Q111 / 1.2, 2)</f>
        <v>725</v>
      </c>
      <c r="X111" s="9">
        <f>ROUND(R111 / 1.2, 2)</f>
        <v>796.77</v>
      </c>
      <c r="Y111" s="9">
        <f t="shared" si="12"/>
        <v>22706.98</v>
      </c>
      <c r="Z111" s="9">
        <f>ROUND(T111 / 1.2, 2)</f>
        <v>229390</v>
      </c>
      <c r="AA111" s="9">
        <f>Y111+Z111</f>
        <v>252096.98</v>
      </c>
      <c r="AD111" s="4">
        <v>334080501</v>
      </c>
      <c r="AE111" s="4">
        <v>29240478</v>
      </c>
      <c r="AG111" s="4" t="s">
        <v>433</v>
      </c>
      <c r="AH111" s="4" t="s">
        <v>434</v>
      </c>
      <c r="AI111" s="4" t="s">
        <v>250</v>
      </c>
    </row>
    <row r="112" spans="1:35" ht="36" x14ac:dyDescent="0.3">
      <c r="A112" s="10" t="s">
        <v>435</v>
      </c>
      <c r="B112" s="10"/>
      <c r="C112" s="24" t="s">
        <v>436</v>
      </c>
      <c r="D112" s="15"/>
      <c r="E112" s="15"/>
      <c r="F112" s="25" t="s">
        <v>62</v>
      </c>
      <c r="G112" s="26">
        <v>1.1000000000000001</v>
      </c>
      <c r="H112" s="31"/>
      <c r="I112" s="31">
        <v>348.04</v>
      </c>
      <c r="J112" s="27">
        <v>78.290000000000006</v>
      </c>
      <c r="M112" s="28">
        <f>ROUND(ROUND(J112, 2)*I112, 2)</f>
        <v>27248.05</v>
      </c>
      <c r="P112" s="29">
        <v>78.290000000000006</v>
      </c>
      <c r="S112" s="28">
        <f>ROUND(ROUND(P112, 2)*I112, 2)</f>
        <v>27248.05</v>
      </c>
      <c r="V112" s="9">
        <f>ROUND(ROUND(P112, 2)/1.2, 2)</f>
        <v>65.239999999999995</v>
      </c>
      <c r="Y112" s="9">
        <f t="shared" si="12"/>
        <v>22706.71</v>
      </c>
      <c r="AD112" s="4" t="s">
        <v>437</v>
      </c>
      <c r="AE112" s="4" t="s">
        <v>438</v>
      </c>
      <c r="AF112" s="4" t="s">
        <v>439</v>
      </c>
    </row>
    <row r="113" spans="1:35" ht="162" x14ac:dyDescent="0.3">
      <c r="A113" s="10" t="s">
        <v>440</v>
      </c>
      <c r="B113" s="10" t="s">
        <v>430</v>
      </c>
      <c r="C113" s="14" t="s">
        <v>431</v>
      </c>
      <c r="D113" s="15"/>
      <c r="E113" s="15" t="s">
        <v>441</v>
      </c>
      <c r="F113" s="15" t="s">
        <v>62</v>
      </c>
      <c r="G113" s="16">
        <v>1</v>
      </c>
      <c r="H113" s="16"/>
      <c r="I113" s="16">
        <v>61.28</v>
      </c>
      <c r="J113" s="17">
        <f>IFERROR(ROUND(SUM(M114)/I113, 2),0)</f>
        <v>86.12</v>
      </c>
      <c r="K113" s="18">
        <v>580</v>
      </c>
      <c r="L113" s="17">
        <f>J113+ROUND(K113, 2)</f>
        <v>666.12</v>
      </c>
      <c r="M113" s="17">
        <f>ROUND(J113*I113, 2)</f>
        <v>5277.43</v>
      </c>
      <c r="N113" s="17">
        <f>ROUND(I113*ROUND(K113, 2), 2)</f>
        <v>35542.400000000001</v>
      </c>
      <c r="O113" s="17">
        <f>M113+N113</f>
        <v>40819.83</v>
      </c>
      <c r="P113" s="17">
        <f>IFERROR(ROUND(SUM(S114)/I113, 2),0)</f>
        <v>86.12</v>
      </c>
      <c r="Q113" s="19">
        <v>870</v>
      </c>
      <c r="R113" s="17">
        <f>P113+ROUND(Q113, 2)</f>
        <v>956.12</v>
      </c>
      <c r="S113" s="17">
        <f>ROUND(P113*I113, 2)</f>
        <v>5277.43</v>
      </c>
      <c r="T113" s="17">
        <f>ROUND(I113*ROUND(Q113, 2), 2)</f>
        <v>53313.599999999999</v>
      </c>
      <c r="U113" s="17">
        <f>S113+T113</f>
        <v>58591.03</v>
      </c>
      <c r="V113" s="9">
        <f>ROUND(P113 / 1.2, 2)</f>
        <v>71.77</v>
      </c>
      <c r="W113" s="9">
        <f>ROUND(Q113 / 1.2, 2)</f>
        <v>725</v>
      </c>
      <c r="X113" s="9">
        <f>ROUND(R113 / 1.2, 2)</f>
        <v>796.77</v>
      </c>
      <c r="Y113" s="9">
        <f t="shared" si="12"/>
        <v>4397.8599999999997</v>
      </c>
      <c r="Z113" s="9">
        <f>ROUND(T113 / 1.2, 2)</f>
        <v>44428</v>
      </c>
      <c r="AA113" s="9">
        <f>Y113+Z113</f>
        <v>48825.86</v>
      </c>
      <c r="AD113" s="4">
        <v>334080596</v>
      </c>
      <c r="AE113" s="4">
        <v>29240477</v>
      </c>
      <c r="AG113" s="4" t="s">
        <v>433</v>
      </c>
      <c r="AH113" s="4" t="s">
        <v>434</v>
      </c>
      <c r="AI113" s="4" t="s">
        <v>250</v>
      </c>
    </row>
    <row r="114" spans="1:35" ht="36" x14ac:dyDescent="0.3">
      <c r="A114" s="10" t="s">
        <v>442</v>
      </c>
      <c r="B114" s="10"/>
      <c r="C114" s="24" t="s">
        <v>436</v>
      </c>
      <c r="D114" s="15"/>
      <c r="E114" s="15"/>
      <c r="F114" s="25" t="s">
        <v>62</v>
      </c>
      <c r="G114" s="26">
        <v>1.1000000000000001</v>
      </c>
      <c r="H114" s="31"/>
      <c r="I114" s="31">
        <v>67.408000000000001</v>
      </c>
      <c r="J114" s="27">
        <v>78.290000000000006</v>
      </c>
      <c r="M114" s="28">
        <f>ROUND(ROUND(J114, 2)*I114, 2)</f>
        <v>5277.37</v>
      </c>
      <c r="P114" s="29">
        <v>78.290000000000006</v>
      </c>
      <c r="S114" s="28">
        <f>ROUND(ROUND(P114, 2)*I114, 2)</f>
        <v>5277.37</v>
      </c>
      <c r="V114" s="9">
        <f>ROUND(ROUND(P114, 2)/1.2, 2)</f>
        <v>65.239999999999995</v>
      </c>
      <c r="Y114" s="9">
        <f t="shared" si="12"/>
        <v>4397.8100000000004</v>
      </c>
      <c r="AD114" s="4" t="s">
        <v>443</v>
      </c>
      <c r="AE114" s="4" t="s">
        <v>444</v>
      </c>
      <c r="AF114" s="4" t="s">
        <v>439</v>
      </c>
    </row>
    <row r="115" spans="1:35" ht="162" x14ac:dyDescent="0.3">
      <c r="A115" s="10" t="s">
        <v>445</v>
      </c>
      <c r="B115" s="10" t="s">
        <v>446</v>
      </c>
      <c r="C115" s="14" t="s">
        <v>447</v>
      </c>
      <c r="D115" s="15"/>
      <c r="E115" s="15" t="s">
        <v>448</v>
      </c>
      <c r="F115" s="15" t="s">
        <v>62</v>
      </c>
      <c r="G115" s="16">
        <v>1</v>
      </c>
      <c r="H115" s="16"/>
      <c r="I115" s="16">
        <v>39.270000000000003</v>
      </c>
      <c r="J115" s="17">
        <f>IFERROR(ROUND(SUM(M116)/I115, 2),0)</f>
        <v>372.7</v>
      </c>
      <c r="K115" s="18">
        <v>439</v>
      </c>
      <c r="L115" s="17">
        <f>J115+ROUND(K115, 2)</f>
        <v>811.7</v>
      </c>
      <c r="M115" s="17">
        <f>ROUND(J115*I115, 2)</f>
        <v>14635.93</v>
      </c>
      <c r="N115" s="17">
        <f>ROUND(I115*ROUND(K115, 2), 2)</f>
        <v>17239.53</v>
      </c>
      <c r="O115" s="17">
        <f>M115+N115</f>
        <v>31875.46</v>
      </c>
      <c r="P115" s="17">
        <f>IFERROR(ROUND(SUM(S116)/I115, 2),0)</f>
        <v>475.78</v>
      </c>
      <c r="Q115" s="19">
        <v>439</v>
      </c>
      <c r="R115" s="17">
        <f>P115+ROUND(Q115, 2)</f>
        <v>914.78</v>
      </c>
      <c r="S115" s="17">
        <f>ROUND(P115*I115, 2)</f>
        <v>18683.88</v>
      </c>
      <c r="T115" s="17">
        <f>ROUND(I115*ROUND(Q115, 2), 2)</f>
        <v>17239.53</v>
      </c>
      <c r="U115" s="17">
        <f>S115+T115</f>
        <v>35923.410000000003</v>
      </c>
      <c r="V115" s="9">
        <f>ROUND(P115 / 1.2, 2)</f>
        <v>396.48</v>
      </c>
      <c r="W115" s="9">
        <f>ROUND(Q115 / 1.2, 2)</f>
        <v>365.83</v>
      </c>
      <c r="X115" s="9">
        <f>ROUND(R115 / 1.2, 2)</f>
        <v>762.32</v>
      </c>
      <c r="Y115" s="9">
        <f t="shared" si="12"/>
        <v>15569.9</v>
      </c>
      <c r="Z115" s="9">
        <f>ROUND(T115 / 1.2, 2)</f>
        <v>14366.28</v>
      </c>
      <c r="AA115" s="9">
        <f>Y115+Z115</f>
        <v>29936.18</v>
      </c>
      <c r="AD115" s="4">
        <v>334080503</v>
      </c>
      <c r="AE115" s="4">
        <v>29240475</v>
      </c>
      <c r="AG115" s="4" t="s">
        <v>449</v>
      </c>
      <c r="AH115" s="4" t="s">
        <v>450</v>
      </c>
      <c r="AI115" s="4" t="s">
        <v>250</v>
      </c>
    </row>
    <row r="116" spans="1:35" ht="36" x14ac:dyDescent="0.3">
      <c r="A116" s="10" t="s">
        <v>451</v>
      </c>
      <c r="B116" s="10"/>
      <c r="C116" s="30" t="s">
        <v>452</v>
      </c>
      <c r="D116" s="15"/>
      <c r="E116" s="15"/>
      <c r="F116" s="25" t="s">
        <v>453</v>
      </c>
      <c r="G116" s="26">
        <v>1.03</v>
      </c>
      <c r="H116" s="31"/>
      <c r="I116" s="31">
        <v>2.0219999999999998</v>
      </c>
      <c r="J116" s="27">
        <v>7238.3</v>
      </c>
      <c r="M116" s="28">
        <f>ROUND(ROUND(J116, 2)*I116, 2)</f>
        <v>14635.84</v>
      </c>
      <c r="P116" s="29">
        <v>9240.33</v>
      </c>
      <c r="S116" s="28">
        <f>ROUND(ROUND(P116, 2)*I116, 2)</f>
        <v>18683.95</v>
      </c>
      <c r="V116" s="9">
        <f>ROUND(ROUND(P116, 2)/1.2, 2)</f>
        <v>7700.28</v>
      </c>
      <c r="Y116" s="9">
        <f t="shared" si="12"/>
        <v>15569.96</v>
      </c>
      <c r="AD116" s="4" t="s">
        <v>454</v>
      </c>
      <c r="AE116" s="4" t="s">
        <v>455</v>
      </c>
      <c r="AF116" s="4" t="s">
        <v>456</v>
      </c>
    </row>
    <row r="117" spans="1:35" ht="16.95" customHeight="1" x14ac:dyDescent="0.3">
      <c r="A117" s="10" t="s">
        <v>457</v>
      </c>
      <c r="B117" s="10" t="s">
        <v>458</v>
      </c>
      <c r="C117" s="91" t="s">
        <v>459</v>
      </c>
      <c r="D117" s="92"/>
      <c r="E117" s="92"/>
      <c r="F117" s="92"/>
      <c r="G117" s="92"/>
      <c r="H117" s="92"/>
      <c r="I117" s="93"/>
      <c r="M117" s="6">
        <f>SUM(M118,M122,M126,M130,M134,M138,M141,M146,M150,M155,M158,M161,M164,M167,M170,M173,M176,M179,M182,M184,M186,M188,M190,M192,M194,M197,M200,M203,M206,M210,M214,M218,M220,M222,M224,M226,M228,M230,M232,M234,M239,M244,M249,M254,M259,M264,M269,M274,M279,M284,M289,M293,M297,M302,M307,M312,M317,M322,M327,M332,M337,M342,M347,M352,M357,M362,M367,M372,M377,M382,M387,M392,M397,M402,M407,M412,M417,M422,M427)</f>
        <v>21625097.409999996</v>
      </c>
      <c r="N117" s="6">
        <f>SUM(N118,N122,N126,N130,N134,N138,N141,N146,N150,N155,N158,N161,N164,N167,N170,N173,N176,N179,N182,N184,N186,N188,N190,N192,N194,N197,N200,N203,N206,N210,N214,N218,N220,N222,N224,N226,N228,N230,N232,N234,N239,N244,N249,N254,N259,N264,N269,N274,N279,N284,N289,N293,N297,N302,N307,N312,N317,N322,N327,N332,N337,N342,N347,N352,N357,N362,N367,N372,N377,N382,N387,N392,N397,N402,N407,N412,N417,N422,N427)</f>
        <v>21090517.109999996</v>
      </c>
      <c r="O117" s="6">
        <f>SUM(O118,O122,O126,O130,O134,O138,O141,O146,O150,O155,O158,O161,O164,O167,O170,O173,O176,O179,O182,O184,O186,O188,O190,O192,O194,O197,O200,O203,O206,O210,O214,O218,O220,O222,O224,O226,O228,O230,O232,O234,O239,O244,O249,O254,O259,O264,O269,O274,O279,O284,O289,O293,O297,O302,O307,O312,O317,O322,O327,O332,O337,O342,O347,O352,O357,O362,O367,O372,O377,O382,O387,O392,O397,O402,O407,O412,O417,O422,O427)</f>
        <v>42715614.520000003</v>
      </c>
      <c r="S117" s="6">
        <f>SUM(S118,S122,S126,S130,S134,S138,S141,S146,S150,S155,S158,S161,S164,S167,S170,S173,S176,S179,S182,S184,S186,S188,S190,S192,S194,S197,S200,S203,S206,S210,S214,S218,S220,S222,S224,S226,S228,S230,S232,S234,S239,S244,S249,S254,S259,S264,S269,S274,S279,S284,S289,S293,S297,S302,S307,S312,S317,S322,S327,S332,S337,S342,S347,S352,S357,S362,S367,S372,S377,S382,S387,S392,S397,S402,S407,S412,S417,S422,S427)</f>
        <v>28587326.800000001</v>
      </c>
      <c r="T117" s="6">
        <f>SUM(T118,T122,T126,T130,T134,T138,T141,T146,T150,T155,T158,T161,T164,T167,T170,T173,T176,T179,T182,T184,T186,T188,T190,T192,T194,T197,T200,T203,T206,T210,T214,T218,T220,T222,T224,T226,T228,T230,T232,T234,T239,T244,T249,T254,T259,T264,T269,T274,T279,T284,T289,T293,T297,T302,T307,T312,T317,T322,T327,T332,T337,T342,T347,T352,T357,T362,T367,T372,T377,T382,T387,T392,T397,T402,T407,T412,T417,T422,T427)</f>
        <v>31635783.280000005</v>
      </c>
      <c r="U117" s="6">
        <f>SUM(U118,U122,U126,U130,U134,U138,U141,U146,U150,U155,U158,U161,U164,U167,U170,U173,U176,U179,U182,U184,U186,U188,U190,U192,U194,U197,U200,U203,U206,U210,U214,U218,U220,U222,U224,U226,U228,U230,U232,U234,U239,U244,U249,U254,U259,U264,U269,U274,U279,U284,U289,U293,U297,U302,U307,U312,U317,U322,U327,U332,U337,U342,U347,U352,U357,U362,U367,U372,U377,U382,U387,U392,U397,U402,U407,U412,U417,U422,U427)</f>
        <v>60223110.080000006</v>
      </c>
      <c r="Y117" s="9">
        <f>SUM(Y118,Y122,Y126,Y130,Y134,Y138,Y141,Y146,Y150,Y155,Y158,Y161,Y164,Y167,Y170,Y173,Y176,Y179,Y182,Y184,Y186,Y188,Y190,Y192,Y194,Y197,Y200,Y203,Y206,Y210,Y214,Y218,Y220,Y222,Y224,Y226,Y228,Y230,Y232,Y234,Y239,Y244,Y249,Y254,Y259,Y264,Y269,Y274,Y279,Y284,Y289,Y293,Y297,Y302,Y307,Y312,Y317,Y322,Y327,Y332,Y337,Y342,Y347,Y352,Y357,Y362,Y367,Y372,Y377,Y382,Y387,Y392,Y397,Y402,Y407,Y412,Y417,Y422,Y427)</f>
        <v>23822772.350000001</v>
      </c>
      <c r="Z117" s="9">
        <f>SUM(Z118,Z122,Z126,Z130,Z134,Z138,Z141,Z146,Z150,Z155,Z158,Z161,Z164,Z167,Z170,Z173,Z176,Z179,Z182,Z184,Z186,Z188,Z190,Z192,Z194,Z197,Z200,Z203,Z206,Z210,Z214,Z218,Z220,Z222,Z224,Z226,Z228,Z230,Z232,Z234,Z239,Z244,Z249,Z254,Z259,Z264,Z269,Z274,Z279,Z284,Z289,Z293,Z297,Z302,Z307,Z312,Z317,Z322,Z327,Z332,Z337,Z342,Z347,Z352,Z357,Z362,Z367,Z372,Z377,Z382,Z387,Z392,Z397,Z402,Z407,Z412,Z417,Z422,Z427)</f>
        <v>26363152.809999999</v>
      </c>
      <c r="AA117" s="9">
        <f>SUM(AA118,AA122,AA126,AA130,AA134,AA138,AA141,AA146,AA150,AA155,AA158,AA161,AA164,AA167,AA170,AA173,AA176,AA179,AA182,AA184,AA186,AA188,AA190,AA192,AA194,AA197,AA200,AA203,AA206,AA210,AA214,AA218,AA220,AA222,AA224,AA226,AA228,AA230,AA232,AA234,AA239,AA244,AA249,AA254,AA259,AA264,AA269,AA274,AA279,AA284,AA289,AA293,AA297,AA302,AA307,AA312,AA317,AA322,AA327,AA332,AA337,AA342,AA347,AA352,AA357,AA362,AA367,AA372,AA377,AA382,AA387,AA392,AA397,AA402,AA407,AA412,AA417,AA422,AA427)</f>
        <v>50185925.160000011</v>
      </c>
      <c r="AD117" s="4">
        <v>334080504</v>
      </c>
      <c r="AE117" s="4">
        <v>27245611</v>
      </c>
    </row>
    <row r="118" spans="1:35" ht="18" x14ac:dyDescent="0.3">
      <c r="A118" s="10" t="s">
        <v>460</v>
      </c>
      <c r="B118" s="10" t="s">
        <v>461</v>
      </c>
      <c r="C118" s="14" t="s">
        <v>462</v>
      </c>
      <c r="D118" s="15" t="s">
        <v>463</v>
      </c>
      <c r="E118" s="15"/>
      <c r="F118" s="15" t="s">
        <v>62</v>
      </c>
      <c r="G118" s="16">
        <v>1</v>
      </c>
      <c r="H118" s="16"/>
      <c r="I118" s="16">
        <v>0</v>
      </c>
      <c r="J118" s="17">
        <v>0</v>
      </c>
      <c r="K118" s="18">
        <v>556</v>
      </c>
      <c r="L118" s="17">
        <f>J118+ROUND(K118, 2)</f>
        <v>556</v>
      </c>
      <c r="M118" s="17">
        <v>0</v>
      </c>
      <c r="N118" s="17">
        <v>0</v>
      </c>
      <c r="O118" s="17">
        <f>M118+N118</f>
        <v>0</v>
      </c>
      <c r="P118" s="17">
        <v>1580.6</v>
      </c>
      <c r="Q118" s="18">
        <v>556</v>
      </c>
      <c r="R118" s="17">
        <f>P118+ROUND(Q118, 2)</f>
        <v>2136.6</v>
      </c>
      <c r="S118" s="17">
        <v>0</v>
      </c>
      <c r="T118" s="17">
        <v>0</v>
      </c>
      <c r="U118" s="17">
        <f>S118+T118</f>
        <v>0</v>
      </c>
      <c r="V118" s="9">
        <f>ROUND(P118 / 1.2, 2)</f>
        <v>1317.17</v>
      </c>
      <c r="W118" s="9">
        <f>ROUND(Q118 / 1.2, 2)</f>
        <v>463.33</v>
      </c>
      <c r="X118" s="9">
        <f>ROUND(R118 / 1.2, 2)</f>
        <v>1780.5</v>
      </c>
      <c r="Y118" s="9">
        <f>ROUND(S118 / 1.2, 2)</f>
        <v>0</v>
      </c>
      <c r="Z118" s="9">
        <f>ROUND(T118 / 1.2, 2)</f>
        <v>0</v>
      </c>
      <c r="AA118" s="9">
        <f>Y118+Z118</f>
        <v>0</v>
      </c>
      <c r="AD118" s="4">
        <v>334080506</v>
      </c>
      <c r="AE118" s="4">
        <v>27245671</v>
      </c>
      <c r="AG118" s="4" t="s">
        <v>464</v>
      </c>
      <c r="AH118" s="4" t="s">
        <v>465</v>
      </c>
      <c r="AI118" s="4" t="s">
        <v>250</v>
      </c>
    </row>
    <row r="119" spans="1:35" ht="18" x14ac:dyDescent="0.3">
      <c r="A119" s="10" t="s">
        <v>466</v>
      </c>
      <c r="B119" s="10"/>
      <c r="C119" s="24" t="s">
        <v>467</v>
      </c>
      <c r="D119" s="15"/>
      <c r="E119" s="15"/>
      <c r="F119" s="25" t="s">
        <v>278</v>
      </c>
      <c r="G119" s="26">
        <v>0.3</v>
      </c>
      <c r="H119" s="26"/>
      <c r="I119" s="26">
        <v>0</v>
      </c>
      <c r="J119" s="27">
        <v>220</v>
      </c>
      <c r="M119" s="28">
        <f>ROUND(ROUND(J119, 2)*I119, 2)</f>
        <v>0</v>
      </c>
      <c r="P119" s="27">
        <v>220</v>
      </c>
      <c r="S119" s="28">
        <f>ROUND(ROUND(P119, 2)*I119, 2)</f>
        <v>0</v>
      </c>
      <c r="V119" s="9">
        <f>ROUND(ROUND(P119, 2)/1.2, 2)</f>
        <v>183.33</v>
      </c>
      <c r="Y119" s="9">
        <f t="shared" ref="Y119:Y182" si="13">ROUND(S119 / 1.2, 2)</f>
        <v>0</v>
      </c>
      <c r="AD119" s="4" t="s">
        <v>468</v>
      </c>
      <c r="AE119" s="4" t="s">
        <v>469</v>
      </c>
      <c r="AF119" s="4" t="s">
        <v>470</v>
      </c>
    </row>
    <row r="120" spans="1:35" ht="72" x14ac:dyDescent="0.3">
      <c r="A120" s="10" t="s">
        <v>471</v>
      </c>
      <c r="B120" s="10"/>
      <c r="C120" s="30" t="s">
        <v>472</v>
      </c>
      <c r="D120" s="15"/>
      <c r="E120" s="15"/>
      <c r="F120" s="25" t="s">
        <v>102</v>
      </c>
      <c r="G120" s="26">
        <v>1</v>
      </c>
      <c r="H120" s="31"/>
      <c r="I120" s="31">
        <v>0</v>
      </c>
      <c r="J120" s="27">
        <v>51</v>
      </c>
      <c r="M120" s="28">
        <f>ROUND(ROUND(J120, 2)*I120, 2)</f>
        <v>0</v>
      </c>
      <c r="P120" s="27">
        <v>51</v>
      </c>
      <c r="S120" s="28">
        <f>ROUND(ROUND(P120, 2)*I120, 2)</f>
        <v>0</v>
      </c>
      <c r="V120" s="9">
        <f>ROUND(ROUND(P120, 2)/1.2, 2)</f>
        <v>42.5</v>
      </c>
      <c r="Y120" s="9">
        <f t="shared" si="13"/>
        <v>0</v>
      </c>
      <c r="AD120" s="4" t="s">
        <v>473</v>
      </c>
      <c r="AE120" s="4" t="s">
        <v>474</v>
      </c>
      <c r="AF120" s="4" t="s">
        <v>475</v>
      </c>
    </row>
    <row r="121" spans="1:35" ht="72" x14ac:dyDescent="0.3">
      <c r="A121" s="10" t="s">
        <v>476</v>
      </c>
      <c r="B121" s="10"/>
      <c r="C121" s="30" t="s">
        <v>477</v>
      </c>
      <c r="D121" s="15"/>
      <c r="E121" s="15"/>
      <c r="F121" s="25" t="s">
        <v>62</v>
      </c>
      <c r="G121" s="26">
        <v>1.1000000000000001</v>
      </c>
      <c r="H121" s="31"/>
      <c r="I121" s="31">
        <v>0</v>
      </c>
      <c r="J121" s="27">
        <v>1339</v>
      </c>
      <c r="M121" s="28">
        <f>ROUND(ROUND(J121, 2)*I121, 2)</f>
        <v>0</v>
      </c>
      <c r="P121" s="27">
        <v>1339</v>
      </c>
      <c r="S121" s="28">
        <f>ROUND(ROUND(P121, 2)*I121, 2)</f>
        <v>0</v>
      </c>
      <c r="V121" s="9">
        <f>ROUND(ROUND(P121, 2)/1.2, 2)</f>
        <v>1115.83</v>
      </c>
      <c r="Y121" s="9">
        <f t="shared" si="13"/>
        <v>0</v>
      </c>
      <c r="AD121" s="4" t="s">
        <v>478</v>
      </c>
      <c r="AE121" s="4" t="s">
        <v>479</v>
      </c>
      <c r="AF121" s="4" t="s">
        <v>480</v>
      </c>
    </row>
    <row r="122" spans="1:35" ht="18" x14ac:dyDescent="0.3">
      <c r="A122" s="10" t="s">
        <v>481</v>
      </c>
      <c r="B122" s="10" t="s">
        <v>461</v>
      </c>
      <c r="C122" s="14" t="s">
        <v>462</v>
      </c>
      <c r="D122" s="15" t="s">
        <v>463</v>
      </c>
      <c r="E122" s="15"/>
      <c r="F122" s="15" t="s">
        <v>62</v>
      </c>
      <c r="G122" s="16">
        <v>1</v>
      </c>
      <c r="H122" s="16"/>
      <c r="I122" s="16">
        <v>0</v>
      </c>
      <c r="J122" s="17">
        <v>0</v>
      </c>
      <c r="K122" s="18">
        <v>556</v>
      </c>
      <c r="L122" s="17">
        <f>J122+ROUND(K122, 2)</f>
        <v>556</v>
      </c>
      <c r="M122" s="17">
        <v>0</v>
      </c>
      <c r="N122" s="17">
        <v>0</v>
      </c>
      <c r="O122" s="17">
        <f>M122+N122</f>
        <v>0</v>
      </c>
      <c r="P122" s="17">
        <v>1562.05</v>
      </c>
      <c r="Q122" s="18">
        <v>556</v>
      </c>
      <c r="R122" s="17">
        <f>P122+ROUND(Q122, 2)</f>
        <v>2118.0500000000002</v>
      </c>
      <c r="S122" s="17">
        <v>0</v>
      </c>
      <c r="T122" s="17">
        <v>0</v>
      </c>
      <c r="U122" s="17">
        <f>S122+T122</f>
        <v>0</v>
      </c>
      <c r="V122" s="9">
        <f>ROUND(P122 / 1.2, 2)</f>
        <v>1301.71</v>
      </c>
      <c r="W122" s="9">
        <f>ROUND(Q122 / 1.2, 2)</f>
        <v>463.33</v>
      </c>
      <c r="X122" s="9">
        <f>ROUND(R122 / 1.2, 2)</f>
        <v>1765.04</v>
      </c>
      <c r="Y122" s="9">
        <f t="shared" si="13"/>
        <v>0</v>
      </c>
      <c r="Z122" s="9">
        <f>ROUND(T122 / 1.2, 2)</f>
        <v>0</v>
      </c>
      <c r="AA122" s="9">
        <f>Y122+Z122</f>
        <v>0</v>
      </c>
      <c r="AD122" s="4">
        <v>334080597</v>
      </c>
      <c r="AE122" s="4">
        <v>27245672</v>
      </c>
      <c r="AG122" s="4" t="s">
        <v>464</v>
      </c>
      <c r="AH122" s="4" t="s">
        <v>465</v>
      </c>
      <c r="AI122" s="4" t="s">
        <v>250</v>
      </c>
    </row>
    <row r="123" spans="1:35" ht="54" x14ac:dyDescent="0.3">
      <c r="A123" s="10" t="s">
        <v>482</v>
      </c>
      <c r="B123" s="10"/>
      <c r="C123" s="30" t="s">
        <v>483</v>
      </c>
      <c r="D123" s="15"/>
      <c r="E123" s="15"/>
      <c r="F123" s="25" t="s">
        <v>62</v>
      </c>
      <c r="G123" s="26">
        <v>1.1000000000000001</v>
      </c>
      <c r="H123" s="31"/>
      <c r="I123" s="31">
        <v>0</v>
      </c>
      <c r="J123" s="27">
        <v>1339</v>
      </c>
      <c r="M123" s="28">
        <f>ROUND(ROUND(J123, 2)*I123, 2)</f>
        <v>0</v>
      </c>
      <c r="P123" s="27">
        <v>1339</v>
      </c>
      <c r="S123" s="28">
        <f>ROUND(ROUND(P123, 2)*I123, 2)</f>
        <v>0</v>
      </c>
      <c r="V123" s="9">
        <f>ROUND(ROUND(P123, 2)/1.2, 2)</f>
        <v>1115.83</v>
      </c>
      <c r="Y123" s="9">
        <f t="shared" si="13"/>
        <v>0</v>
      </c>
      <c r="AD123" s="4" t="s">
        <v>484</v>
      </c>
      <c r="AE123" s="4" t="s">
        <v>485</v>
      </c>
      <c r="AF123" s="4" t="s">
        <v>486</v>
      </c>
    </row>
    <row r="124" spans="1:35" ht="72" x14ac:dyDescent="0.3">
      <c r="A124" s="10" t="s">
        <v>487</v>
      </c>
      <c r="B124" s="10"/>
      <c r="C124" s="30" t="s">
        <v>488</v>
      </c>
      <c r="D124" s="15"/>
      <c r="E124" s="15"/>
      <c r="F124" s="25" t="s">
        <v>102</v>
      </c>
      <c r="G124" s="26">
        <v>1</v>
      </c>
      <c r="H124" s="31"/>
      <c r="I124" s="31">
        <v>0</v>
      </c>
      <c r="J124" s="27">
        <v>51</v>
      </c>
      <c r="M124" s="28">
        <f>ROUND(ROUND(J124, 2)*I124, 2)</f>
        <v>0</v>
      </c>
      <c r="P124" s="27">
        <v>51</v>
      </c>
      <c r="S124" s="28">
        <f>ROUND(ROUND(P124, 2)*I124, 2)</f>
        <v>0</v>
      </c>
      <c r="V124" s="9">
        <f>ROUND(ROUND(P124, 2)/1.2, 2)</f>
        <v>42.5</v>
      </c>
      <c r="Y124" s="9">
        <f t="shared" si="13"/>
        <v>0</v>
      </c>
      <c r="AD124" s="4" t="s">
        <v>489</v>
      </c>
      <c r="AE124" s="4" t="s">
        <v>490</v>
      </c>
      <c r="AF124" s="4" t="s">
        <v>491</v>
      </c>
    </row>
    <row r="125" spans="1:35" ht="18" x14ac:dyDescent="0.3">
      <c r="A125" s="10" t="s">
        <v>492</v>
      </c>
      <c r="B125" s="10"/>
      <c r="C125" s="24" t="s">
        <v>467</v>
      </c>
      <c r="D125" s="15"/>
      <c r="E125" s="15"/>
      <c r="F125" s="25" t="s">
        <v>278</v>
      </c>
      <c r="G125" s="26">
        <v>0.3</v>
      </c>
      <c r="H125" s="26"/>
      <c r="I125" s="26">
        <v>0</v>
      </c>
      <c r="J125" s="27">
        <v>220</v>
      </c>
      <c r="M125" s="28">
        <f>ROUND(ROUND(J125, 2)*I125, 2)</f>
        <v>0</v>
      </c>
      <c r="P125" s="27">
        <v>220</v>
      </c>
      <c r="S125" s="28">
        <f>ROUND(ROUND(P125, 2)*I125, 2)</f>
        <v>0</v>
      </c>
      <c r="V125" s="9">
        <f>ROUND(ROUND(P125, 2)/1.2, 2)</f>
        <v>183.33</v>
      </c>
      <c r="Y125" s="9">
        <f t="shared" si="13"/>
        <v>0</v>
      </c>
      <c r="AD125" s="4" t="s">
        <v>493</v>
      </c>
      <c r="AE125" s="4" t="s">
        <v>494</v>
      </c>
      <c r="AF125" s="4" t="s">
        <v>470</v>
      </c>
    </row>
    <row r="126" spans="1:35" ht="18" x14ac:dyDescent="0.3">
      <c r="A126" s="10" t="s">
        <v>495</v>
      </c>
      <c r="B126" s="10" t="s">
        <v>461</v>
      </c>
      <c r="C126" s="14" t="s">
        <v>462</v>
      </c>
      <c r="D126" s="15" t="s">
        <v>463</v>
      </c>
      <c r="E126" s="15" t="s">
        <v>496</v>
      </c>
      <c r="F126" s="15" t="s">
        <v>62</v>
      </c>
      <c r="G126" s="16">
        <v>1</v>
      </c>
      <c r="H126" s="16"/>
      <c r="I126" s="16">
        <v>0</v>
      </c>
      <c r="J126" s="17">
        <v>0</v>
      </c>
      <c r="K126" s="18">
        <v>556</v>
      </c>
      <c r="L126" s="17">
        <f>J126+ROUND(K126, 2)</f>
        <v>556</v>
      </c>
      <c r="M126" s="17">
        <v>0</v>
      </c>
      <c r="N126" s="17">
        <v>0</v>
      </c>
      <c r="O126" s="17">
        <f>M126+N126</f>
        <v>0</v>
      </c>
      <c r="P126" s="17">
        <v>1562.05</v>
      </c>
      <c r="Q126" s="18">
        <v>556</v>
      </c>
      <c r="R126" s="17">
        <f>P126+ROUND(Q126, 2)</f>
        <v>2118.0500000000002</v>
      </c>
      <c r="S126" s="17">
        <v>0</v>
      </c>
      <c r="T126" s="17">
        <v>0</v>
      </c>
      <c r="U126" s="17">
        <f>S126+T126</f>
        <v>0</v>
      </c>
      <c r="V126" s="9">
        <f>ROUND(P126 / 1.2, 2)</f>
        <v>1301.71</v>
      </c>
      <c r="W126" s="9">
        <f>ROUND(Q126 / 1.2, 2)</f>
        <v>463.33</v>
      </c>
      <c r="X126" s="9">
        <f>ROUND(R126 / 1.2, 2)</f>
        <v>1765.04</v>
      </c>
      <c r="Y126" s="9">
        <f t="shared" si="13"/>
        <v>0</v>
      </c>
      <c r="Z126" s="9">
        <f>ROUND(T126 / 1.2, 2)</f>
        <v>0</v>
      </c>
      <c r="AA126" s="9">
        <f>Y126+Z126</f>
        <v>0</v>
      </c>
      <c r="AD126" s="4">
        <v>334080598</v>
      </c>
      <c r="AE126" s="4">
        <v>27245781</v>
      </c>
      <c r="AG126" s="4" t="s">
        <v>464</v>
      </c>
      <c r="AH126" s="4" t="s">
        <v>465</v>
      </c>
      <c r="AI126" s="4" t="s">
        <v>250</v>
      </c>
    </row>
    <row r="127" spans="1:35" ht="18" x14ac:dyDescent="0.3">
      <c r="A127" s="10" t="s">
        <v>497</v>
      </c>
      <c r="B127" s="10"/>
      <c r="C127" s="24" t="s">
        <v>467</v>
      </c>
      <c r="D127" s="15"/>
      <c r="E127" s="15"/>
      <c r="F127" s="25" t="s">
        <v>278</v>
      </c>
      <c r="G127" s="26">
        <v>0.3</v>
      </c>
      <c r="H127" s="26"/>
      <c r="I127" s="26">
        <v>0</v>
      </c>
      <c r="J127" s="27">
        <v>220</v>
      </c>
      <c r="M127" s="28">
        <f>ROUND(ROUND(J127, 2)*I127, 2)</f>
        <v>0</v>
      </c>
      <c r="P127" s="27">
        <v>220</v>
      </c>
      <c r="S127" s="28">
        <f>ROUND(ROUND(P127, 2)*I127, 2)</f>
        <v>0</v>
      </c>
      <c r="V127" s="9">
        <f>ROUND(ROUND(P127, 2)/1.2, 2)</f>
        <v>183.33</v>
      </c>
      <c r="Y127" s="9">
        <f t="shared" si="13"/>
        <v>0</v>
      </c>
      <c r="AD127" s="4" t="s">
        <v>498</v>
      </c>
      <c r="AE127" s="4" t="s">
        <v>499</v>
      </c>
      <c r="AF127" s="4" t="s">
        <v>470</v>
      </c>
    </row>
    <row r="128" spans="1:35" ht="72" x14ac:dyDescent="0.3">
      <c r="A128" s="10" t="s">
        <v>500</v>
      </c>
      <c r="B128" s="10"/>
      <c r="C128" s="30" t="s">
        <v>488</v>
      </c>
      <c r="D128" s="15"/>
      <c r="E128" s="15"/>
      <c r="F128" s="25" t="s">
        <v>102</v>
      </c>
      <c r="G128" s="26">
        <v>1</v>
      </c>
      <c r="H128" s="31"/>
      <c r="I128" s="31">
        <v>0</v>
      </c>
      <c r="J128" s="27">
        <v>51</v>
      </c>
      <c r="M128" s="28">
        <f>ROUND(ROUND(J128, 2)*I128, 2)</f>
        <v>0</v>
      </c>
      <c r="P128" s="27">
        <v>51</v>
      </c>
      <c r="S128" s="28">
        <f>ROUND(ROUND(P128, 2)*I128, 2)</f>
        <v>0</v>
      </c>
      <c r="V128" s="9">
        <f>ROUND(ROUND(P128, 2)/1.2, 2)</f>
        <v>42.5</v>
      </c>
      <c r="Y128" s="9">
        <f t="shared" si="13"/>
        <v>0</v>
      </c>
      <c r="AD128" s="4" t="s">
        <v>501</v>
      </c>
      <c r="AE128" s="4" t="s">
        <v>502</v>
      </c>
      <c r="AF128" s="4" t="s">
        <v>491</v>
      </c>
    </row>
    <row r="129" spans="1:35" ht="54" x14ac:dyDescent="0.3">
      <c r="A129" s="10" t="s">
        <v>503</v>
      </c>
      <c r="B129" s="10"/>
      <c r="C129" s="30" t="s">
        <v>483</v>
      </c>
      <c r="D129" s="15"/>
      <c r="E129" s="15"/>
      <c r="F129" s="25" t="s">
        <v>62</v>
      </c>
      <c r="G129" s="26">
        <v>1.1000000000000001</v>
      </c>
      <c r="H129" s="31"/>
      <c r="I129" s="31">
        <v>0</v>
      </c>
      <c r="J129" s="27">
        <v>1339</v>
      </c>
      <c r="M129" s="28">
        <f>ROUND(ROUND(J129, 2)*I129, 2)</f>
        <v>0</v>
      </c>
      <c r="P129" s="27">
        <v>1339</v>
      </c>
      <c r="S129" s="28">
        <f>ROUND(ROUND(P129, 2)*I129, 2)</f>
        <v>0</v>
      </c>
      <c r="V129" s="9">
        <f>ROUND(ROUND(P129, 2)/1.2, 2)</f>
        <v>1115.83</v>
      </c>
      <c r="Y129" s="9">
        <f t="shared" si="13"/>
        <v>0</v>
      </c>
      <c r="AD129" s="4" t="s">
        <v>504</v>
      </c>
      <c r="AE129" s="4" t="s">
        <v>505</v>
      </c>
      <c r="AF129" s="4" t="s">
        <v>486</v>
      </c>
    </row>
    <row r="130" spans="1:35" ht="18" x14ac:dyDescent="0.3">
      <c r="A130" s="10" t="s">
        <v>506</v>
      </c>
      <c r="B130" s="10" t="s">
        <v>461</v>
      </c>
      <c r="C130" s="14" t="s">
        <v>462</v>
      </c>
      <c r="D130" s="15" t="s">
        <v>463</v>
      </c>
      <c r="E130" s="15" t="s">
        <v>507</v>
      </c>
      <c r="F130" s="15" t="s">
        <v>62</v>
      </c>
      <c r="G130" s="16">
        <v>1</v>
      </c>
      <c r="H130" s="16"/>
      <c r="I130" s="16">
        <v>435.4</v>
      </c>
      <c r="J130" s="17">
        <v>1580.6</v>
      </c>
      <c r="K130" s="18">
        <v>556</v>
      </c>
      <c r="L130" s="17">
        <f>J130+ROUND(K130, 2)</f>
        <v>2136.6</v>
      </c>
      <c r="M130" s="17">
        <v>688193.24</v>
      </c>
      <c r="N130" s="17">
        <v>242082.4</v>
      </c>
      <c r="O130" s="17">
        <f>M130+N130</f>
        <v>930275.64</v>
      </c>
      <c r="P130" s="17">
        <v>1580.6</v>
      </c>
      <c r="Q130" s="18">
        <v>834</v>
      </c>
      <c r="R130" s="17">
        <f>P130+ROUND(Q130, 2)</f>
        <v>2414.6</v>
      </c>
      <c r="S130" s="17">
        <v>688193.24</v>
      </c>
      <c r="T130" s="17">
        <v>363123.6</v>
      </c>
      <c r="U130" s="17">
        <f>S130+T130</f>
        <v>1051316.8399999999</v>
      </c>
      <c r="V130" s="9">
        <f>ROUND(P130 / 1.2, 2)</f>
        <v>1317.17</v>
      </c>
      <c r="W130" s="9">
        <f>ROUND(Q130 / 1.2, 2)</f>
        <v>695</v>
      </c>
      <c r="X130" s="9">
        <f>ROUND(R130 / 1.2, 2)</f>
        <v>2012.17</v>
      </c>
      <c r="Y130" s="9">
        <f t="shared" si="13"/>
        <v>573494.37</v>
      </c>
      <c r="Z130" s="9">
        <f>ROUND(T130 / 1.2, 2)</f>
        <v>302603</v>
      </c>
      <c r="AA130" s="9">
        <f>Y130+Z130</f>
        <v>876097.37</v>
      </c>
      <c r="AD130" s="4">
        <v>334080599</v>
      </c>
      <c r="AE130" s="4">
        <v>27245780</v>
      </c>
      <c r="AG130" s="4" t="s">
        <v>464</v>
      </c>
      <c r="AH130" s="4" t="s">
        <v>465</v>
      </c>
      <c r="AI130" s="4" t="s">
        <v>250</v>
      </c>
    </row>
    <row r="131" spans="1:35" ht="72" x14ac:dyDescent="0.3">
      <c r="A131" s="10" t="s">
        <v>508</v>
      </c>
      <c r="B131" s="10"/>
      <c r="C131" s="30" t="s">
        <v>477</v>
      </c>
      <c r="D131" s="15"/>
      <c r="E131" s="15" t="s">
        <v>509</v>
      </c>
      <c r="F131" s="25" t="s">
        <v>62</v>
      </c>
      <c r="G131" s="26">
        <v>1.1000000000000001</v>
      </c>
      <c r="H131" s="31"/>
      <c r="I131" s="31">
        <v>478.94</v>
      </c>
      <c r="J131" s="27">
        <v>1339</v>
      </c>
      <c r="M131" s="28">
        <f>ROUND(ROUND(J131, 2)*I131, 2)</f>
        <v>641300.66</v>
      </c>
      <c r="P131" s="27">
        <v>1339</v>
      </c>
      <c r="S131" s="28">
        <f>ROUND(ROUND(P131, 2)*I131, 2)</f>
        <v>641300.66</v>
      </c>
      <c r="V131" s="9">
        <f>ROUND(ROUND(P131, 2)/1.2, 2)</f>
        <v>1115.83</v>
      </c>
      <c r="Y131" s="9">
        <f t="shared" si="13"/>
        <v>534417.22</v>
      </c>
      <c r="AD131" s="4" t="s">
        <v>510</v>
      </c>
      <c r="AE131" s="4" t="s">
        <v>511</v>
      </c>
      <c r="AF131" s="4" t="s">
        <v>480</v>
      </c>
    </row>
    <row r="132" spans="1:35" ht="72" x14ac:dyDescent="0.3">
      <c r="A132" s="10" t="s">
        <v>512</v>
      </c>
      <c r="B132" s="10"/>
      <c r="C132" s="30" t="s">
        <v>472</v>
      </c>
      <c r="D132" s="15"/>
      <c r="E132" s="15"/>
      <c r="F132" s="25" t="s">
        <v>102</v>
      </c>
      <c r="G132" s="26">
        <v>1</v>
      </c>
      <c r="H132" s="31"/>
      <c r="I132" s="31">
        <v>356</v>
      </c>
      <c r="J132" s="27">
        <v>51</v>
      </c>
      <c r="M132" s="28">
        <f>ROUND(ROUND(J132, 2)*I132, 2)</f>
        <v>18156</v>
      </c>
      <c r="P132" s="27">
        <v>51</v>
      </c>
      <c r="S132" s="28">
        <f>ROUND(ROUND(P132, 2)*I132, 2)</f>
        <v>18156</v>
      </c>
      <c r="V132" s="9">
        <f>ROUND(ROUND(P132, 2)/1.2, 2)</f>
        <v>42.5</v>
      </c>
      <c r="Y132" s="9">
        <f t="shared" si="13"/>
        <v>15130</v>
      </c>
      <c r="AD132" s="4" t="s">
        <v>513</v>
      </c>
      <c r="AE132" s="4" t="s">
        <v>514</v>
      </c>
      <c r="AF132" s="4" t="s">
        <v>475</v>
      </c>
    </row>
    <row r="133" spans="1:35" ht="18" x14ac:dyDescent="0.3">
      <c r="A133" s="10" t="s">
        <v>515</v>
      </c>
      <c r="B133" s="10"/>
      <c r="C133" s="24" t="s">
        <v>467</v>
      </c>
      <c r="D133" s="15"/>
      <c r="E133" s="15"/>
      <c r="F133" s="25" t="s">
        <v>278</v>
      </c>
      <c r="G133" s="26">
        <v>0.3</v>
      </c>
      <c r="H133" s="26"/>
      <c r="I133" s="26">
        <v>130.62</v>
      </c>
      <c r="J133" s="27">
        <v>220</v>
      </c>
      <c r="M133" s="28">
        <f>ROUND(ROUND(J133, 2)*I133, 2)</f>
        <v>28736.400000000001</v>
      </c>
      <c r="P133" s="27">
        <v>220</v>
      </c>
      <c r="S133" s="28">
        <f>ROUND(ROUND(P133, 2)*I133, 2)</f>
        <v>28736.400000000001</v>
      </c>
      <c r="V133" s="9">
        <f>ROUND(ROUND(P133, 2)/1.2, 2)</f>
        <v>183.33</v>
      </c>
      <c r="Y133" s="9">
        <f t="shared" si="13"/>
        <v>23947</v>
      </c>
      <c r="AD133" s="4" t="s">
        <v>516</v>
      </c>
      <c r="AE133" s="4" t="s">
        <v>517</v>
      </c>
      <c r="AF133" s="4" t="s">
        <v>470</v>
      </c>
    </row>
    <row r="134" spans="1:35" ht="18" x14ac:dyDescent="0.3">
      <c r="A134" s="10" t="s">
        <v>518</v>
      </c>
      <c r="B134" s="10" t="s">
        <v>461</v>
      </c>
      <c r="C134" s="14" t="s">
        <v>462</v>
      </c>
      <c r="D134" s="15" t="s">
        <v>463</v>
      </c>
      <c r="E134" s="15" t="s">
        <v>519</v>
      </c>
      <c r="F134" s="15" t="s">
        <v>62</v>
      </c>
      <c r="G134" s="16">
        <v>1</v>
      </c>
      <c r="H134" s="16"/>
      <c r="I134" s="16">
        <v>1236</v>
      </c>
      <c r="J134" s="17">
        <v>1562.05</v>
      </c>
      <c r="K134" s="18">
        <v>556</v>
      </c>
      <c r="L134" s="17">
        <f>J134+ROUND(K134, 2)</f>
        <v>2118.0500000000002</v>
      </c>
      <c r="M134" s="17">
        <v>1930693.8</v>
      </c>
      <c r="N134" s="17">
        <v>687216</v>
      </c>
      <c r="O134" s="17">
        <f>M134+N134</f>
        <v>2617909.7999999998</v>
      </c>
      <c r="P134" s="17">
        <v>1562.05</v>
      </c>
      <c r="Q134" s="18">
        <v>834</v>
      </c>
      <c r="R134" s="17">
        <f>P134+ROUND(Q134, 2)</f>
        <v>2396.0500000000002</v>
      </c>
      <c r="S134" s="17">
        <v>1930693.8</v>
      </c>
      <c r="T134" s="17">
        <v>1030824</v>
      </c>
      <c r="U134" s="17">
        <f>S134+T134</f>
        <v>2961517.8</v>
      </c>
      <c r="V134" s="9">
        <f>ROUND(P134 / 1.2, 2)</f>
        <v>1301.71</v>
      </c>
      <c r="W134" s="9">
        <f>ROUND(Q134 / 1.2, 2)</f>
        <v>695</v>
      </c>
      <c r="X134" s="9">
        <f>ROUND(R134 / 1.2, 2)</f>
        <v>1996.71</v>
      </c>
      <c r="Y134" s="9">
        <f t="shared" si="13"/>
        <v>1608911.5</v>
      </c>
      <c r="Z134" s="9">
        <f>ROUND(T134 / 1.2, 2)</f>
        <v>859020</v>
      </c>
      <c r="AA134" s="9">
        <f>Y134+Z134</f>
        <v>2467931.5</v>
      </c>
      <c r="AD134" s="4">
        <v>334080600</v>
      </c>
      <c r="AE134" s="4">
        <v>27245779</v>
      </c>
      <c r="AG134" s="4" t="s">
        <v>464</v>
      </c>
      <c r="AH134" s="4" t="s">
        <v>465</v>
      </c>
      <c r="AI134" s="4" t="s">
        <v>250</v>
      </c>
    </row>
    <row r="135" spans="1:35" ht="18" x14ac:dyDescent="0.3">
      <c r="A135" s="10" t="s">
        <v>520</v>
      </c>
      <c r="B135" s="10"/>
      <c r="C135" s="24" t="s">
        <v>467</v>
      </c>
      <c r="D135" s="15"/>
      <c r="E135" s="15"/>
      <c r="F135" s="25" t="s">
        <v>278</v>
      </c>
      <c r="G135" s="26">
        <v>0.3</v>
      </c>
      <c r="H135" s="26"/>
      <c r="I135" s="26">
        <v>370.8</v>
      </c>
      <c r="J135" s="27">
        <v>220</v>
      </c>
      <c r="M135" s="28">
        <f>ROUND(ROUND(J135, 2)*I135, 2)</f>
        <v>81576</v>
      </c>
      <c r="P135" s="27">
        <v>220</v>
      </c>
      <c r="S135" s="28">
        <f>ROUND(ROUND(P135, 2)*I135, 2)</f>
        <v>81576</v>
      </c>
      <c r="V135" s="9">
        <f>ROUND(ROUND(P135, 2)/1.2, 2)</f>
        <v>183.33</v>
      </c>
      <c r="Y135" s="9">
        <f t="shared" si="13"/>
        <v>67980</v>
      </c>
      <c r="AD135" s="4" t="s">
        <v>521</v>
      </c>
      <c r="AE135" s="4" t="s">
        <v>522</v>
      </c>
      <c r="AF135" s="4" t="s">
        <v>470</v>
      </c>
    </row>
    <row r="136" spans="1:35" ht="72" x14ac:dyDescent="0.3">
      <c r="A136" s="10" t="s">
        <v>523</v>
      </c>
      <c r="B136" s="10"/>
      <c r="C136" s="30" t="s">
        <v>488</v>
      </c>
      <c r="D136" s="15"/>
      <c r="E136" s="15"/>
      <c r="F136" s="25" t="s">
        <v>102</v>
      </c>
      <c r="G136" s="26">
        <v>1</v>
      </c>
      <c r="H136" s="31"/>
      <c r="I136" s="31">
        <v>561</v>
      </c>
      <c r="J136" s="27">
        <v>51</v>
      </c>
      <c r="M136" s="28">
        <f>ROUND(ROUND(J136, 2)*I136, 2)</f>
        <v>28611</v>
      </c>
      <c r="P136" s="27">
        <v>51</v>
      </c>
      <c r="S136" s="28">
        <f>ROUND(ROUND(P136, 2)*I136, 2)</f>
        <v>28611</v>
      </c>
      <c r="V136" s="9">
        <f>ROUND(ROUND(P136, 2)/1.2, 2)</f>
        <v>42.5</v>
      </c>
      <c r="Y136" s="9">
        <f t="shared" si="13"/>
        <v>23842.5</v>
      </c>
      <c r="AD136" s="4" t="s">
        <v>524</v>
      </c>
      <c r="AE136" s="4" t="s">
        <v>525</v>
      </c>
      <c r="AF136" s="4" t="s">
        <v>491</v>
      </c>
    </row>
    <row r="137" spans="1:35" ht="54" x14ac:dyDescent="0.3">
      <c r="A137" s="10" t="s">
        <v>526</v>
      </c>
      <c r="B137" s="10"/>
      <c r="C137" s="30" t="s">
        <v>483</v>
      </c>
      <c r="D137" s="15"/>
      <c r="E137" s="15"/>
      <c r="F137" s="25" t="s">
        <v>62</v>
      </c>
      <c r="G137" s="26">
        <v>1.1000000000000001</v>
      </c>
      <c r="H137" s="31"/>
      <c r="I137" s="31">
        <v>1359.6</v>
      </c>
      <c r="J137" s="27">
        <v>1339</v>
      </c>
      <c r="M137" s="28">
        <f>ROUND(ROUND(J137, 2)*I137, 2)</f>
        <v>1820504.4</v>
      </c>
      <c r="P137" s="27">
        <v>1339</v>
      </c>
      <c r="S137" s="28">
        <f>ROUND(ROUND(P137, 2)*I137, 2)</f>
        <v>1820504.4</v>
      </c>
      <c r="V137" s="9">
        <f>ROUND(ROUND(P137, 2)/1.2, 2)</f>
        <v>1115.83</v>
      </c>
      <c r="Y137" s="9">
        <f t="shared" si="13"/>
        <v>1517087</v>
      </c>
      <c r="AD137" s="4" t="s">
        <v>527</v>
      </c>
      <c r="AE137" s="4" t="s">
        <v>528</v>
      </c>
      <c r="AF137" s="4" t="s">
        <v>486</v>
      </c>
    </row>
    <row r="138" spans="1:35" ht="18" x14ac:dyDescent="0.3">
      <c r="A138" s="10" t="s">
        <v>529</v>
      </c>
      <c r="B138" s="10" t="s">
        <v>461</v>
      </c>
      <c r="C138" s="14" t="s">
        <v>462</v>
      </c>
      <c r="D138" s="15" t="s">
        <v>463</v>
      </c>
      <c r="E138" s="15" t="s">
        <v>496</v>
      </c>
      <c r="F138" s="15" t="s">
        <v>62</v>
      </c>
      <c r="G138" s="16">
        <v>1</v>
      </c>
      <c r="H138" s="16"/>
      <c r="I138" s="16">
        <v>2276</v>
      </c>
      <c r="J138" s="17">
        <v>89.15</v>
      </c>
      <c r="K138" s="18">
        <v>556</v>
      </c>
      <c r="L138" s="17">
        <f>J138+ROUND(K138, 2)</f>
        <v>645.15</v>
      </c>
      <c r="M138" s="17">
        <v>202905.4</v>
      </c>
      <c r="N138" s="17">
        <v>1265456</v>
      </c>
      <c r="O138" s="17">
        <f>M138+N138</f>
        <v>1468361.4</v>
      </c>
      <c r="P138" s="17">
        <v>89.15</v>
      </c>
      <c r="Q138" s="18">
        <v>834</v>
      </c>
      <c r="R138" s="17">
        <f>P138+ROUND(Q138, 2)</f>
        <v>923.15</v>
      </c>
      <c r="S138" s="17">
        <v>202905.4</v>
      </c>
      <c r="T138" s="17">
        <v>1898184</v>
      </c>
      <c r="U138" s="17">
        <f>S138+T138</f>
        <v>2101089.4</v>
      </c>
      <c r="V138" s="9">
        <f>ROUND(P138 / 1.2, 2)</f>
        <v>74.290000000000006</v>
      </c>
      <c r="W138" s="9">
        <f>ROUND(Q138 / 1.2, 2)</f>
        <v>695</v>
      </c>
      <c r="X138" s="9">
        <f>ROUND(R138 / 1.2, 2)</f>
        <v>769.29</v>
      </c>
      <c r="Y138" s="9">
        <f t="shared" si="13"/>
        <v>169087.83</v>
      </c>
      <c r="Z138" s="9">
        <f>ROUND(T138 / 1.2, 2)</f>
        <v>1581820</v>
      </c>
      <c r="AA138" s="9">
        <f>Y138+Z138</f>
        <v>1750907.83</v>
      </c>
      <c r="AD138" s="4">
        <v>334080601</v>
      </c>
      <c r="AE138" s="4">
        <v>27245782</v>
      </c>
      <c r="AG138" s="4" t="s">
        <v>464</v>
      </c>
      <c r="AH138" s="4" t="s">
        <v>465</v>
      </c>
      <c r="AI138" s="4" t="s">
        <v>250</v>
      </c>
    </row>
    <row r="139" spans="1:35" ht="72" x14ac:dyDescent="0.3">
      <c r="A139" s="10" t="s">
        <v>530</v>
      </c>
      <c r="B139" s="10"/>
      <c r="C139" s="30" t="s">
        <v>488</v>
      </c>
      <c r="D139" s="15"/>
      <c r="E139" s="15"/>
      <c r="F139" s="25" t="s">
        <v>102</v>
      </c>
      <c r="G139" s="26">
        <v>1</v>
      </c>
      <c r="H139" s="31"/>
      <c r="I139" s="31">
        <v>1033</v>
      </c>
      <c r="J139" s="27">
        <v>51</v>
      </c>
      <c r="M139" s="28">
        <f>ROUND(ROUND(J139, 2)*I139, 2)</f>
        <v>52683</v>
      </c>
      <c r="P139" s="27">
        <v>51</v>
      </c>
      <c r="S139" s="28">
        <f>ROUND(ROUND(P139, 2)*I139, 2)</f>
        <v>52683</v>
      </c>
      <c r="V139" s="9">
        <f>ROUND(ROUND(P139, 2)/1.2, 2)</f>
        <v>42.5</v>
      </c>
      <c r="Y139" s="9">
        <f t="shared" si="13"/>
        <v>43902.5</v>
      </c>
      <c r="AD139" s="4" t="s">
        <v>531</v>
      </c>
      <c r="AE139" s="4" t="s">
        <v>532</v>
      </c>
      <c r="AF139" s="4" t="s">
        <v>491</v>
      </c>
    </row>
    <row r="140" spans="1:35" ht="18" x14ac:dyDescent="0.3">
      <c r="A140" s="10" t="s">
        <v>533</v>
      </c>
      <c r="B140" s="10"/>
      <c r="C140" s="24" t="s">
        <v>467</v>
      </c>
      <c r="D140" s="15"/>
      <c r="E140" s="15"/>
      <c r="F140" s="25" t="s">
        <v>278</v>
      </c>
      <c r="G140" s="26">
        <v>0.3</v>
      </c>
      <c r="H140" s="26"/>
      <c r="I140" s="26">
        <v>682.8</v>
      </c>
      <c r="J140" s="27">
        <v>220</v>
      </c>
      <c r="M140" s="28">
        <f>ROUND(ROUND(J140, 2)*I140, 2)</f>
        <v>150216</v>
      </c>
      <c r="P140" s="27">
        <v>220</v>
      </c>
      <c r="S140" s="28">
        <f>ROUND(ROUND(P140, 2)*I140, 2)</f>
        <v>150216</v>
      </c>
      <c r="V140" s="9">
        <f>ROUND(ROUND(P140, 2)/1.2, 2)</f>
        <v>183.33</v>
      </c>
      <c r="Y140" s="9">
        <f t="shared" si="13"/>
        <v>125180</v>
      </c>
      <c r="AD140" s="4" t="s">
        <v>534</v>
      </c>
      <c r="AE140" s="4" t="s">
        <v>535</v>
      </c>
      <c r="AF140" s="4" t="s">
        <v>470</v>
      </c>
    </row>
    <row r="141" spans="1:35" ht="72" x14ac:dyDescent="0.3">
      <c r="A141" s="10" t="s">
        <v>536</v>
      </c>
      <c r="B141" s="10" t="s">
        <v>461</v>
      </c>
      <c r="C141" s="14" t="s">
        <v>462</v>
      </c>
      <c r="D141" s="15" t="s">
        <v>463</v>
      </c>
      <c r="E141" s="15" t="s">
        <v>537</v>
      </c>
      <c r="F141" s="15" t="s">
        <v>62</v>
      </c>
      <c r="G141" s="16">
        <v>1</v>
      </c>
      <c r="H141" s="16"/>
      <c r="I141" s="16">
        <v>1347.2</v>
      </c>
      <c r="J141" s="17">
        <f>IFERROR(ROUND(SUM(M142,M143,M144,M145)/I141, 2),0)</f>
        <v>1298.03</v>
      </c>
      <c r="K141" s="18">
        <v>556</v>
      </c>
      <c r="L141" s="17">
        <f>J141+ROUND(K141, 2)</f>
        <v>1854.03</v>
      </c>
      <c r="M141" s="17">
        <f>ROUND(J141*I141, 2)</f>
        <v>1748706.02</v>
      </c>
      <c r="N141" s="17">
        <f>ROUND(I141*ROUND(K141, 2), 2)</f>
        <v>749043.19999999995</v>
      </c>
      <c r="O141" s="17">
        <f>M141+N141</f>
        <v>2497749.2199999997</v>
      </c>
      <c r="P141" s="17">
        <f>IFERROR(ROUND(SUM(S142,S143,S144,S145)/I141, 2),0)</f>
        <v>1417.68</v>
      </c>
      <c r="Q141" s="19">
        <v>834</v>
      </c>
      <c r="R141" s="17">
        <f>P141+ROUND(Q141, 2)</f>
        <v>2251.6800000000003</v>
      </c>
      <c r="S141" s="17">
        <f>ROUND(P141*I141, 2)</f>
        <v>1909898.5</v>
      </c>
      <c r="T141" s="17">
        <f>ROUND(I141*ROUND(Q141, 2), 2)</f>
        <v>1123564.8</v>
      </c>
      <c r="U141" s="17">
        <f>S141+T141</f>
        <v>3033463.3</v>
      </c>
      <c r="V141" s="9">
        <f>ROUND(P141 / 1.2, 2)</f>
        <v>1181.4000000000001</v>
      </c>
      <c r="W141" s="9">
        <f>ROUND(Q141 / 1.2, 2)</f>
        <v>695</v>
      </c>
      <c r="X141" s="9">
        <f>ROUND(R141 / 1.2, 2)</f>
        <v>1876.4</v>
      </c>
      <c r="Y141" s="9">
        <f t="shared" si="13"/>
        <v>1591582.08</v>
      </c>
      <c r="Z141" s="9">
        <f>ROUND(T141 / 1.2, 2)</f>
        <v>936304</v>
      </c>
      <c r="AA141" s="9">
        <f>Y141+Z141</f>
        <v>2527886.08</v>
      </c>
      <c r="AD141" s="4">
        <v>334080602</v>
      </c>
      <c r="AE141" s="4">
        <v>29362334</v>
      </c>
      <c r="AG141" s="4" t="s">
        <v>464</v>
      </c>
      <c r="AH141" s="4" t="s">
        <v>465</v>
      </c>
      <c r="AI141" s="4" t="s">
        <v>250</v>
      </c>
    </row>
    <row r="142" spans="1:35" ht="36" x14ac:dyDescent="0.3">
      <c r="A142" s="10" t="s">
        <v>538</v>
      </c>
      <c r="B142" s="10"/>
      <c r="C142" s="24" t="s">
        <v>467</v>
      </c>
      <c r="D142" s="15"/>
      <c r="E142" s="15" t="s">
        <v>539</v>
      </c>
      <c r="F142" s="25" t="s">
        <v>278</v>
      </c>
      <c r="G142" s="26">
        <v>0.3</v>
      </c>
      <c r="H142" s="26"/>
      <c r="I142" s="26">
        <v>404.16</v>
      </c>
      <c r="J142" s="27">
        <v>223.66</v>
      </c>
      <c r="M142" s="28">
        <f>ROUND(ROUND(J142, 2)*I142, 2)</f>
        <v>90394.43</v>
      </c>
      <c r="P142" s="29">
        <v>622.5</v>
      </c>
      <c r="S142" s="28">
        <f>ROUND(ROUND(P142, 2)*I142, 2)</f>
        <v>251589.6</v>
      </c>
      <c r="V142" s="9">
        <f>ROUND(ROUND(P142, 2)/1.2, 2)</f>
        <v>518.75</v>
      </c>
      <c r="Y142" s="9">
        <f t="shared" si="13"/>
        <v>209658</v>
      </c>
      <c r="AD142" s="4" t="s">
        <v>540</v>
      </c>
      <c r="AE142" s="4" t="s">
        <v>541</v>
      </c>
      <c r="AF142" s="4" t="s">
        <v>470</v>
      </c>
    </row>
    <row r="143" spans="1:35" ht="36" x14ac:dyDescent="0.3">
      <c r="A143" s="10" t="s">
        <v>542</v>
      </c>
      <c r="B143" s="10"/>
      <c r="C143" s="24" t="s">
        <v>543</v>
      </c>
      <c r="D143" s="15"/>
      <c r="E143" s="15"/>
      <c r="F143" s="25" t="s">
        <v>278</v>
      </c>
      <c r="G143" s="26">
        <v>0.15</v>
      </c>
      <c r="H143" s="26"/>
      <c r="I143" s="26">
        <v>202.08</v>
      </c>
      <c r="J143" s="27">
        <v>69.540000000000006</v>
      </c>
      <c r="M143" s="28">
        <f>ROUND(ROUND(J143, 2)*I143, 2)</f>
        <v>14052.64</v>
      </c>
      <c r="P143" s="29">
        <v>69.540000000000006</v>
      </c>
      <c r="S143" s="28">
        <f>ROUND(ROUND(P143, 2)*I143, 2)</f>
        <v>14052.64</v>
      </c>
      <c r="V143" s="9">
        <f>ROUND(ROUND(P143, 2)/1.2, 2)</f>
        <v>57.95</v>
      </c>
      <c r="Y143" s="9">
        <f t="shared" si="13"/>
        <v>11710.53</v>
      </c>
      <c r="AD143" s="4" t="s">
        <v>544</v>
      </c>
      <c r="AE143" s="4" t="s">
        <v>545</v>
      </c>
      <c r="AF143" s="4" t="s">
        <v>546</v>
      </c>
    </row>
    <row r="144" spans="1:35" ht="72" x14ac:dyDescent="0.3">
      <c r="A144" s="10" t="s">
        <v>547</v>
      </c>
      <c r="B144" s="10"/>
      <c r="C144" s="30" t="s">
        <v>548</v>
      </c>
      <c r="D144" s="15"/>
      <c r="E144" s="15"/>
      <c r="F144" s="25" t="s">
        <v>102</v>
      </c>
      <c r="G144" s="26">
        <v>1</v>
      </c>
      <c r="H144" s="31"/>
      <c r="I144" s="31">
        <v>1347.2</v>
      </c>
      <c r="J144" s="27">
        <v>51.85</v>
      </c>
      <c r="M144" s="28">
        <f>ROUND(ROUND(J144, 2)*I144, 2)</f>
        <v>69852.320000000007</v>
      </c>
      <c r="P144" s="29">
        <v>51.85</v>
      </c>
      <c r="S144" s="28">
        <f>ROUND(ROUND(P144, 2)*I144, 2)</f>
        <v>69852.320000000007</v>
      </c>
      <c r="V144" s="9">
        <f>ROUND(ROUND(P144, 2)/1.2, 2)</f>
        <v>43.21</v>
      </c>
      <c r="Y144" s="9">
        <f t="shared" si="13"/>
        <v>58210.27</v>
      </c>
      <c r="AD144" s="4" t="s">
        <v>549</v>
      </c>
      <c r="AE144" s="4" t="s">
        <v>550</v>
      </c>
      <c r="AF144" s="4" t="s">
        <v>551</v>
      </c>
    </row>
    <row r="145" spans="1:35" ht="72" x14ac:dyDescent="0.3">
      <c r="A145" s="10" t="s">
        <v>552</v>
      </c>
      <c r="B145" s="10"/>
      <c r="C145" s="30" t="s">
        <v>553</v>
      </c>
      <c r="D145" s="15"/>
      <c r="E145" s="15" t="s">
        <v>554</v>
      </c>
      <c r="F145" s="25" t="s">
        <v>62</v>
      </c>
      <c r="G145" s="26">
        <v>1.1000000000000001</v>
      </c>
      <c r="H145" s="31"/>
      <c r="I145" s="31">
        <v>1481.92</v>
      </c>
      <c r="J145" s="27">
        <v>1062.4100000000001</v>
      </c>
      <c r="M145" s="28">
        <f>ROUND(ROUND(J145, 2)*I145, 2)</f>
        <v>1574406.63</v>
      </c>
      <c r="P145" s="29">
        <v>1062.4100000000001</v>
      </c>
      <c r="S145" s="28">
        <f>ROUND(ROUND(P145, 2)*I145, 2)</f>
        <v>1574406.63</v>
      </c>
      <c r="V145" s="9">
        <f>ROUND(ROUND(P145, 2)/1.2, 2)</f>
        <v>885.34</v>
      </c>
      <c r="Y145" s="9">
        <f t="shared" si="13"/>
        <v>1312005.53</v>
      </c>
      <c r="AD145" s="4" t="s">
        <v>555</v>
      </c>
      <c r="AE145" s="4" t="s">
        <v>556</v>
      </c>
      <c r="AF145" s="4" t="s">
        <v>557</v>
      </c>
    </row>
    <row r="146" spans="1:35" ht="90" x14ac:dyDescent="0.3">
      <c r="A146" s="10" t="s">
        <v>558</v>
      </c>
      <c r="B146" s="10" t="s">
        <v>461</v>
      </c>
      <c r="C146" s="14" t="s">
        <v>462</v>
      </c>
      <c r="D146" s="15" t="s">
        <v>463</v>
      </c>
      <c r="E146" s="15" t="s">
        <v>559</v>
      </c>
      <c r="F146" s="15" t="s">
        <v>62</v>
      </c>
      <c r="G146" s="16">
        <v>1</v>
      </c>
      <c r="H146" s="16"/>
      <c r="I146" s="16">
        <v>75.599999999999994</v>
      </c>
      <c r="J146" s="17">
        <f>IFERROR(ROUND(SUM(M147,M148,M149)/I146, 2),0)</f>
        <v>1616.39</v>
      </c>
      <c r="K146" s="18">
        <v>556</v>
      </c>
      <c r="L146" s="17">
        <f>J146+ROUND(K146, 2)</f>
        <v>2172.3900000000003</v>
      </c>
      <c r="M146" s="17">
        <f>ROUND(J146*I146, 2)</f>
        <v>122199.08</v>
      </c>
      <c r="N146" s="17">
        <f>ROUND(I146*ROUND(K146, 2), 2)</f>
        <v>42033.599999999999</v>
      </c>
      <c r="O146" s="17">
        <f>M146+N146</f>
        <v>164232.68</v>
      </c>
      <c r="P146" s="17">
        <f>IFERROR(ROUND(SUM(S147,S148,S149)/I146, 2),0)</f>
        <v>1736.04</v>
      </c>
      <c r="Q146" s="19">
        <v>834</v>
      </c>
      <c r="R146" s="17">
        <f>P146+ROUND(Q146, 2)</f>
        <v>2570.04</v>
      </c>
      <c r="S146" s="17">
        <f>ROUND(P146*I146, 2)</f>
        <v>131244.62</v>
      </c>
      <c r="T146" s="17">
        <f>ROUND(I146*ROUND(Q146, 2), 2)</f>
        <v>63050.400000000001</v>
      </c>
      <c r="U146" s="17">
        <f>S146+T146</f>
        <v>194295.02</v>
      </c>
      <c r="V146" s="9">
        <f>ROUND(P146 / 1.2, 2)</f>
        <v>1446.7</v>
      </c>
      <c r="W146" s="9">
        <f>ROUND(Q146 / 1.2, 2)</f>
        <v>695</v>
      </c>
      <c r="X146" s="9">
        <f>ROUND(R146 / 1.2, 2)</f>
        <v>2141.6999999999998</v>
      </c>
      <c r="Y146" s="9">
        <f t="shared" si="13"/>
        <v>109370.52</v>
      </c>
      <c r="Z146" s="9">
        <f>ROUND(T146 / 1.2, 2)</f>
        <v>52542</v>
      </c>
      <c r="AA146" s="9">
        <f>Y146+Z146</f>
        <v>161912.52000000002</v>
      </c>
      <c r="AD146" s="4">
        <v>334080603</v>
      </c>
      <c r="AE146" s="4">
        <v>29362335</v>
      </c>
      <c r="AG146" s="4" t="s">
        <v>464</v>
      </c>
      <c r="AH146" s="4" t="s">
        <v>465</v>
      </c>
      <c r="AI146" s="4" t="s">
        <v>250</v>
      </c>
    </row>
    <row r="147" spans="1:35" ht="54" x14ac:dyDescent="0.3">
      <c r="A147" s="10" t="s">
        <v>560</v>
      </c>
      <c r="B147" s="10"/>
      <c r="C147" s="30" t="s">
        <v>483</v>
      </c>
      <c r="D147" s="15"/>
      <c r="E147" s="15"/>
      <c r="F147" s="25" t="s">
        <v>62</v>
      </c>
      <c r="G147" s="26">
        <v>1.1000000000000001</v>
      </c>
      <c r="H147" s="31"/>
      <c r="I147" s="31">
        <v>83.16</v>
      </c>
      <c r="J147" s="27">
        <v>1361.31</v>
      </c>
      <c r="M147" s="28">
        <f>ROUND(ROUND(J147, 2)*I147, 2)</f>
        <v>113206.54</v>
      </c>
      <c r="P147" s="29">
        <v>1361.31</v>
      </c>
      <c r="S147" s="28">
        <f>ROUND(ROUND(P147, 2)*I147, 2)</f>
        <v>113206.54</v>
      </c>
      <c r="V147" s="9">
        <f>ROUND(ROUND(P147, 2)/1.2, 2)</f>
        <v>1134.43</v>
      </c>
      <c r="Y147" s="9">
        <f t="shared" si="13"/>
        <v>94338.78</v>
      </c>
      <c r="AD147" s="4" t="s">
        <v>561</v>
      </c>
      <c r="AE147" s="4" t="s">
        <v>562</v>
      </c>
      <c r="AF147" s="4" t="s">
        <v>486</v>
      </c>
    </row>
    <row r="148" spans="1:35" ht="72" x14ac:dyDescent="0.3">
      <c r="A148" s="10" t="s">
        <v>563</v>
      </c>
      <c r="B148" s="10"/>
      <c r="C148" s="30" t="s">
        <v>548</v>
      </c>
      <c r="D148" s="15"/>
      <c r="E148" s="15"/>
      <c r="F148" s="25" t="s">
        <v>102</v>
      </c>
      <c r="G148" s="26">
        <v>1</v>
      </c>
      <c r="H148" s="31"/>
      <c r="I148" s="31">
        <v>75.599999999999994</v>
      </c>
      <c r="J148" s="27">
        <v>51.85</v>
      </c>
      <c r="M148" s="28">
        <f>ROUND(ROUND(J148, 2)*I148, 2)</f>
        <v>3919.86</v>
      </c>
      <c r="P148" s="29">
        <v>51.85</v>
      </c>
      <c r="S148" s="28">
        <f>ROUND(ROUND(P148, 2)*I148, 2)</f>
        <v>3919.86</v>
      </c>
      <c r="V148" s="9">
        <f>ROUND(ROUND(P148, 2)/1.2, 2)</f>
        <v>43.21</v>
      </c>
      <c r="Y148" s="9">
        <f t="shared" si="13"/>
        <v>3266.55</v>
      </c>
      <c r="AD148" s="4" t="s">
        <v>564</v>
      </c>
      <c r="AE148" s="4" t="s">
        <v>565</v>
      </c>
      <c r="AF148" s="4" t="s">
        <v>551</v>
      </c>
    </row>
    <row r="149" spans="1:35" ht="36" x14ac:dyDescent="0.3">
      <c r="A149" s="10" t="s">
        <v>566</v>
      </c>
      <c r="B149" s="10"/>
      <c r="C149" s="24" t="s">
        <v>467</v>
      </c>
      <c r="D149" s="15"/>
      <c r="E149" s="15" t="s">
        <v>539</v>
      </c>
      <c r="F149" s="25" t="s">
        <v>278</v>
      </c>
      <c r="G149" s="26">
        <v>0.3</v>
      </c>
      <c r="H149" s="26"/>
      <c r="I149" s="26">
        <v>22.68</v>
      </c>
      <c r="J149" s="27">
        <v>223.66</v>
      </c>
      <c r="M149" s="28">
        <f>ROUND(ROUND(J149, 2)*I149, 2)</f>
        <v>5072.6099999999997</v>
      </c>
      <c r="P149" s="29">
        <v>622.5</v>
      </c>
      <c r="S149" s="28">
        <f>ROUND(ROUND(P149, 2)*I149, 2)</f>
        <v>14118.3</v>
      </c>
      <c r="V149" s="9">
        <f>ROUND(ROUND(P149, 2)/1.2, 2)</f>
        <v>518.75</v>
      </c>
      <c r="Y149" s="9">
        <f t="shared" si="13"/>
        <v>11765.25</v>
      </c>
      <c r="AD149" s="4" t="s">
        <v>567</v>
      </c>
      <c r="AE149" s="4" t="s">
        <v>568</v>
      </c>
      <c r="AF149" s="4" t="s">
        <v>470</v>
      </c>
    </row>
    <row r="150" spans="1:35" ht="90" x14ac:dyDescent="0.3">
      <c r="A150" s="10" t="s">
        <v>569</v>
      </c>
      <c r="B150" s="10" t="s">
        <v>461</v>
      </c>
      <c r="C150" s="14" t="s">
        <v>462</v>
      </c>
      <c r="D150" s="15" t="s">
        <v>463</v>
      </c>
      <c r="E150" s="15" t="s">
        <v>570</v>
      </c>
      <c r="F150" s="15" t="s">
        <v>62</v>
      </c>
      <c r="G150" s="16">
        <v>1</v>
      </c>
      <c r="H150" s="16"/>
      <c r="I150" s="16">
        <v>359.3</v>
      </c>
      <c r="J150" s="17">
        <f>IFERROR(ROUND(SUM(M151,M152,M153,M154)/I150, 2),0)</f>
        <v>1632.01</v>
      </c>
      <c r="K150" s="18">
        <v>556</v>
      </c>
      <c r="L150" s="17">
        <f>J150+ROUND(K150, 2)</f>
        <v>2188.0100000000002</v>
      </c>
      <c r="M150" s="17">
        <f>ROUND(J150*I150, 2)</f>
        <v>586381.18999999994</v>
      </c>
      <c r="N150" s="17">
        <f>ROUND(I150*ROUND(K150, 2), 2)</f>
        <v>199770.8</v>
      </c>
      <c r="O150" s="17">
        <f>M150+N150</f>
        <v>786151.99</v>
      </c>
      <c r="P150" s="17">
        <f>IFERROR(ROUND(SUM(S151,S152,S153,S154)/I150, 2),0)</f>
        <v>1751.66</v>
      </c>
      <c r="Q150" s="19">
        <v>834</v>
      </c>
      <c r="R150" s="17">
        <f>P150+ROUND(Q150, 2)</f>
        <v>2585.66</v>
      </c>
      <c r="S150" s="17">
        <f>ROUND(P150*I150, 2)</f>
        <v>629371.43999999994</v>
      </c>
      <c r="T150" s="17">
        <f>ROUND(I150*ROUND(Q150, 2), 2)</f>
        <v>299656.2</v>
      </c>
      <c r="U150" s="17">
        <f>S150+T150</f>
        <v>929027.6399999999</v>
      </c>
      <c r="V150" s="9">
        <f>ROUND(P150 / 1.2, 2)</f>
        <v>1459.72</v>
      </c>
      <c r="W150" s="9">
        <f>ROUND(Q150 / 1.2, 2)</f>
        <v>695</v>
      </c>
      <c r="X150" s="9">
        <f>ROUND(R150 / 1.2, 2)</f>
        <v>2154.7199999999998</v>
      </c>
      <c r="Y150" s="9">
        <f t="shared" si="13"/>
        <v>524476.19999999995</v>
      </c>
      <c r="Z150" s="9">
        <f>ROUND(T150 / 1.2, 2)</f>
        <v>249713.5</v>
      </c>
      <c r="AA150" s="9">
        <f>Y150+Z150</f>
        <v>774189.7</v>
      </c>
      <c r="AD150" s="4">
        <v>334080604</v>
      </c>
      <c r="AE150" s="4">
        <v>29371275</v>
      </c>
      <c r="AG150" s="4" t="s">
        <v>464</v>
      </c>
      <c r="AH150" s="4" t="s">
        <v>465</v>
      </c>
      <c r="AI150" s="4" t="s">
        <v>250</v>
      </c>
    </row>
    <row r="151" spans="1:35" ht="36" x14ac:dyDescent="0.3">
      <c r="A151" s="10" t="s">
        <v>571</v>
      </c>
      <c r="B151" s="10"/>
      <c r="C151" s="24" t="s">
        <v>467</v>
      </c>
      <c r="D151" s="15"/>
      <c r="E151" s="15" t="s">
        <v>539</v>
      </c>
      <c r="F151" s="25" t="s">
        <v>278</v>
      </c>
      <c r="G151" s="26">
        <v>0.3</v>
      </c>
      <c r="H151" s="26"/>
      <c r="I151" s="26">
        <v>107.79</v>
      </c>
      <c r="J151" s="27">
        <v>223.66</v>
      </c>
      <c r="M151" s="28">
        <f>ROUND(ROUND(J151, 2)*I151, 2)</f>
        <v>24108.31</v>
      </c>
      <c r="P151" s="29">
        <v>622.5</v>
      </c>
      <c r="S151" s="28">
        <f>ROUND(ROUND(P151, 2)*I151, 2)</f>
        <v>67099.28</v>
      </c>
      <c r="V151" s="9">
        <f>ROUND(ROUND(P151, 2)/1.2, 2)</f>
        <v>518.75</v>
      </c>
      <c r="Y151" s="9">
        <f t="shared" si="13"/>
        <v>55916.07</v>
      </c>
      <c r="AD151" s="4" t="s">
        <v>572</v>
      </c>
      <c r="AE151" s="4" t="s">
        <v>573</v>
      </c>
      <c r="AF151" s="4" t="s">
        <v>470</v>
      </c>
    </row>
    <row r="152" spans="1:35" ht="36" x14ac:dyDescent="0.3">
      <c r="A152" s="10" t="s">
        <v>574</v>
      </c>
      <c r="B152" s="10"/>
      <c r="C152" s="24" t="s">
        <v>543</v>
      </c>
      <c r="D152" s="15"/>
      <c r="E152" s="15"/>
      <c r="F152" s="25" t="s">
        <v>278</v>
      </c>
      <c r="G152" s="26">
        <v>0.15</v>
      </c>
      <c r="H152" s="26"/>
      <c r="I152" s="26">
        <v>53.895000000000003</v>
      </c>
      <c r="J152" s="27">
        <v>69.540000000000006</v>
      </c>
      <c r="M152" s="28">
        <f>ROUND(ROUND(J152, 2)*I152, 2)</f>
        <v>3747.86</v>
      </c>
      <c r="P152" s="29">
        <v>69.540000000000006</v>
      </c>
      <c r="S152" s="28">
        <f>ROUND(ROUND(P152, 2)*I152, 2)</f>
        <v>3747.86</v>
      </c>
      <c r="V152" s="9">
        <f>ROUND(ROUND(P152, 2)/1.2, 2)</f>
        <v>57.95</v>
      </c>
      <c r="Y152" s="9">
        <f t="shared" si="13"/>
        <v>3123.22</v>
      </c>
      <c r="AD152" s="4" t="s">
        <v>575</v>
      </c>
      <c r="AE152" s="4" t="s">
        <v>576</v>
      </c>
      <c r="AF152" s="4" t="s">
        <v>546</v>
      </c>
    </row>
    <row r="153" spans="1:35" ht="72" x14ac:dyDescent="0.3">
      <c r="A153" s="10" t="s">
        <v>577</v>
      </c>
      <c r="B153" s="10"/>
      <c r="C153" s="30" t="s">
        <v>548</v>
      </c>
      <c r="D153" s="15"/>
      <c r="E153" s="15"/>
      <c r="F153" s="25" t="s">
        <v>102</v>
      </c>
      <c r="G153" s="26">
        <v>1</v>
      </c>
      <c r="H153" s="31"/>
      <c r="I153" s="31">
        <v>395.23</v>
      </c>
      <c r="J153" s="27">
        <v>51.85</v>
      </c>
      <c r="M153" s="28">
        <f>ROUND(ROUND(J153, 2)*I153, 2)</f>
        <v>20492.68</v>
      </c>
      <c r="P153" s="29">
        <v>51.85</v>
      </c>
      <c r="S153" s="28">
        <f>ROUND(ROUND(P153, 2)*I153, 2)</f>
        <v>20492.68</v>
      </c>
      <c r="V153" s="9">
        <f>ROUND(ROUND(P153, 2)/1.2, 2)</f>
        <v>43.21</v>
      </c>
      <c r="Y153" s="9">
        <f t="shared" si="13"/>
        <v>17077.23</v>
      </c>
      <c r="AD153" s="4" t="s">
        <v>578</v>
      </c>
      <c r="AE153" s="4" t="s">
        <v>579</v>
      </c>
      <c r="AF153" s="4" t="s">
        <v>551</v>
      </c>
    </row>
    <row r="154" spans="1:35" ht="54" x14ac:dyDescent="0.3">
      <c r="A154" s="10" t="s">
        <v>580</v>
      </c>
      <c r="B154" s="10"/>
      <c r="C154" s="30" t="s">
        <v>581</v>
      </c>
      <c r="D154" s="15"/>
      <c r="E154" s="15"/>
      <c r="F154" s="25" t="s">
        <v>62</v>
      </c>
      <c r="G154" s="26">
        <v>1.1000000000000001</v>
      </c>
      <c r="H154" s="31"/>
      <c r="I154" s="31">
        <v>395.23</v>
      </c>
      <c r="J154" s="27">
        <v>1361.31</v>
      </c>
      <c r="M154" s="28">
        <f>ROUND(ROUND(J154, 2)*I154, 2)</f>
        <v>538030.55000000005</v>
      </c>
      <c r="P154" s="29">
        <v>1361.31</v>
      </c>
      <c r="S154" s="28">
        <f>ROUND(ROUND(P154, 2)*I154, 2)</f>
        <v>538030.55000000005</v>
      </c>
      <c r="V154" s="9">
        <f>ROUND(ROUND(P154, 2)/1.2, 2)</f>
        <v>1134.43</v>
      </c>
      <c r="Y154" s="9">
        <f t="shared" si="13"/>
        <v>448358.79</v>
      </c>
      <c r="AD154" s="4" t="s">
        <v>582</v>
      </c>
      <c r="AE154" s="4" t="s">
        <v>583</v>
      </c>
      <c r="AF154" s="4" t="s">
        <v>584</v>
      </c>
    </row>
    <row r="155" spans="1:35" ht="18" x14ac:dyDescent="0.3">
      <c r="A155" s="10" t="s">
        <v>585</v>
      </c>
      <c r="B155" s="10" t="s">
        <v>586</v>
      </c>
      <c r="C155" s="14" t="s">
        <v>587</v>
      </c>
      <c r="D155" s="15"/>
      <c r="E155" s="15"/>
      <c r="F155" s="15" t="s">
        <v>102</v>
      </c>
      <c r="G155" s="16">
        <v>1</v>
      </c>
      <c r="H155" s="16"/>
      <c r="I155" s="16">
        <v>0</v>
      </c>
      <c r="J155" s="17">
        <v>0</v>
      </c>
      <c r="K155" s="18">
        <v>200</v>
      </c>
      <c r="L155" s="17">
        <f>J155+ROUND(K155, 2)</f>
        <v>200</v>
      </c>
      <c r="M155" s="17">
        <v>0</v>
      </c>
      <c r="N155" s="17">
        <v>0</v>
      </c>
      <c r="O155" s="17">
        <f>M155+N155</f>
        <v>0</v>
      </c>
      <c r="P155" s="17">
        <v>577.48</v>
      </c>
      <c r="Q155" s="18">
        <v>200</v>
      </c>
      <c r="R155" s="17">
        <f>P155+ROUND(Q155, 2)</f>
        <v>777.48</v>
      </c>
      <c r="S155" s="17">
        <v>0</v>
      </c>
      <c r="T155" s="17">
        <v>0</v>
      </c>
      <c r="U155" s="17">
        <f>S155+T155</f>
        <v>0</v>
      </c>
      <c r="V155" s="9">
        <f>ROUND(P155 / 1.2, 2)</f>
        <v>481.23</v>
      </c>
      <c r="W155" s="9">
        <f>ROUND(Q155 / 1.2, 2)</f>
        <v>166.67</v>
      </c>
      <c r="X155" s="9">
        <f>ROUND(R155 / 1.2, 2)</f>
        <v>647.9</v>
      </c>
      <c r="Y155" s="9">
        <f t="shared" si="13"/>
        <v>0</v>
      </c>
      <c r="Z155" s="9">
        <f>ROUND(T155 / 1.2, 2)</f>
        <v>0</v>
      </c>
      <c r="AA155" s="9">
        <f>Y155+Z155</f>
        <v>0</v>
      </c>
      <c r="AD155" s="4">
        <v>334080508</v>
      </c>
      <c r="AE155" s="4">
        <v>27245706</v>
      </c>
      <c r="AG155" s="4" t="s">
        <v>588</v>
      </c>
      <c r="AH155" s="4" t="s">
        <v>589</v>
      </c>
      <c r="AI155" s="4" t="s">
        <v>250</v>
      </c>
    </row>
    <row r="156" spans="1:35" ht="36" x14ac:dyDescent="0.3">
      <c r="A156" s="10" t="s">
        <v>590</v>
      </c>
      <c r="B156" s="10"/>
      <c r="C156" s="24" t="s">
        <v>591</v>
      </c>
      <c r="D156" s="15"/>
      <c r="E156" s="15"/>
      <c r="F156" s="25" t="s">
        <v>102</v>
      </c>
      <c r="G156" s="26">
        <v>1.1000000000000001</v>
      </c>
      <c r="H156" s="31"/>
      <c r="I156" s="31">
        <v>0</v>
      </c>
      <c r="J156" s="27">
        <v>0</v>
      </c>
      <c r="M156" s="28">
        <f>ROUND(ROUND(J156, 2)*I156, 2)</f>
        <v>0</v>
      </c>
      <c r="P156" s="27">
        <v>516.79999999999995</v>
      </c>
      <c r="S156" s="28">
        <f>ROUND(ROUND(P156, 2)*I156, 2)</f>
        <v>0</v>
      </c>
      <c r="V156" s="9">
        <f>ROUND(ROUND(P156, 2)/1.2, 2)</f>
        <v>430.67</v>
      </c>
      <c r="Y156" s="9">
        <f t="shared" si="13"/>
        <v>0</v>
      </c>
      <c r="AD156" s="4" t="s">
        <v>592</v>
      </c>
      <c r="AE156" s="4" t="s">
        <v>593</v>
      </c>
      <c r="AF156" s="4" t="s">
        <v>594</v>
      </c>
    </row>
    <row r="157" spans="1:35" ht="18" x14ac:dyDescent="0.3">
      <c r="A157" s="10" t="s">
        <v>595</v>
      </c>
      <c r="B157" s="10"/>
      <c r="C157" s="24" t="s">
        <v>596</v>
      </c>
      <c r="D157" s="15"/>
      <c r="E157" s="15"/>
      <c r="F157" s="25" t="s">
        <v>597</v>
      </c>
      <c r="G157" s="38">
        <v>0.09</v>
      </c>
      <c r="H157" s="26"/>
      <c r="I157" s="26">
        <v>0</v>
      </c>
      <c r="J157" s="27">
        <v>100</v>
      </c>
      <c r="M157" s="28">
        <f>ROUND(ROUND(J157, 2)*I157, 2)</f>
        <v>0</v>
      </c>
      <c r="P157" s="27">
        <v>100</v>
      </c>
      <c r="S157" s="28">
        <f>ROUND(ROUND(P157, 2)*I157, 2)</f>
        <v>0</v>
      </c>
      <c r="V157" s="9">
        <f>ROUND(ROUND(P157, 2)/1.2, 2)</f>
        <v>83.33</v>
      </c>
      <c r="Y157" s="9">
        <f t="shared" si="13"/>
        <v>0</v>
      </c>
      <c r="AD157" s="4" t="s">
        <v>598</v>
      </c>
      <c r="AE157" s="4" t="s">
        <v>599</v>
      </c>
      <c r="AF157" s="4" t="s">
        <v>600</v>
      </c>
    </row>
    <row r="158" spans="1:35" ht="18" x14ac:dyDescent="0.3">
      <c r="A158" s="10" t="s">
        <v>601</v>
      </c>
      <c r="B158" s="10" t="s">
        <v>586</v>
      </c>
      <c r="C158" s="14" t="s">
        <v>587</v>
      </c>
      <c r="D158" s="15"/>
      <c r="E158" s="15"/>
      <c r="F158" s="15" t="s">
        <v>102</v>
      </c>
      <c r="G158" s="16">
        <v>1</v>
      </c>
      <c r="H158" s="16"/>
      <c r="I158" s="16">
        <v>0</v>
      </c>
      <c r="J158" s="17">
        <v>0</v>
      </c>
      <c r="K158" s="18">
        <v>200</v>
      </c>
      <c r="L158" s="17">
        <f>J158+ROUND(K158, 2)</f>
        <v>200</v>
      </c>
      <c r="M158" s="17">
        <v>0</v>
      </c>
      <c r="N158" s="17">
        <v>0</v>
      </c>
      <c r="O158" s="17">
        <f>M158+N158</f>
        <v>0</v>
      </c>
      <c r="P158" s="17">
        <v>577.48</v>
      </c>
      <c r="Q158" s="18">
        <v>200</v>
      </c>
      <c r="R158" s="17">
        <f>P158+ROUND(Q158, 2)</f>
        <v>777.48</v>
      </c>
      <c r="S158" s="17">
        <v>0</v>
      </c>
      <c r="T158" s="17">
        <v>0</v>
      </c>
      <c r="U158" s="17">
        <f>S158+T158</f>
        <v>0</v>
      </c>
      <c r="V158" s="9">
        <f>ROUND(P158 / 1.2, 2)</f>
        <v>481.23</v>
      </c>
      <c r="W158" s="9">
        <f>ROUND(Q158 / 1.2, 2)</f>
        <v>166.67</v>
      </c>
      <c r="X158" s="9">
        <f>ROUND(R158 / 1.2, 2)</f>
        <v>647.9</v>
      </c>
      <c r="Y158" s="9">
        <f t="shared" si="13"/>
        <v>0</v>
      </c>
      <c r="Z158" s="9">
        <f>ROUND(T158 / 1.2, 2)</f>
        <v>0</v>
      </c>
      <c r="AA158" s="9">
        <f>Y158+Z158</f>
        <v>0</v>
      </c>
      <c r="AD158" s="4">
        <v>334080605</v>
      </c>
      <c r="AE158" s="4">
        <v>27245707</v>
      </c>
      <c r="AG158" s="4" t="s">
        <v>588</v>
      </c>
      <c r="AH158" s="4" t="s">
        <v>589</v>
      </c>
      <c r="AI158" s="4" t="s">
        <v>250</v>
      </c>
    </row>
    <row r="159" spans="1:35" ht="18" x14ac:dyDescent="0.3">
      <c r="A159" s="10" t="s">
        <v>602</v>
      </c>
      <c r="B159" s="10"/>
      <c r="C159" s="24" t="s">
        <v>596</v>
      </c>
      <c r="D159" s="15"/>
      <c r="E159" s="15"/>
      <c r="F159" s="25" t="s">
        <v>597</v>
      </c>
      <c r="G159" s="38">
        <v>0.09</v>
      </c>
      <c r="H159" s="26"/>
      <c r="I159" s="26">
        <v>0</v>
      </c>
      <c r="J159" s="27">
        <v>100</v>
      </c>
      <c r="M159" s="28">
        <f>ROUND(ROUND(J159, 2)*I159, 2)</f>
        <v>0</v>
      </c>
      <c r="P159" s="27">
        <v>100</v>
      </c>
      <c r="S159" s="28">
        <f>ROUND(ROUND(P159, 2)*I159, 2)</f>
        <v>0</v>
      </c>
      <c r="V159" s="9">
        <f>ROUND(ROUND(P159, 2)/1.2, 2)</f>
        <v>83.33</v>
      </c>
      <c r="Y159" s="9">
        <f t="shared" si="13"/>
        <v>0</v>
      </c>
      <c r="AD159" s="4" t="s">
        <v>603</v>
      </c>
      <c r="AE159" s="4" t="s">
        <v>604</v>
      </c>
      <c r="AF159" s="4" t="s">
        <v>600</v>
      </c>
    </row>
    <row r="160" spans="1:35" ht="36" x14ac:dyDescent="0.3">
      <c r="A160" s="10" t="s">
        <v>605</v>
      </c>
      <c r="B160" s="10"/>
      <c r="C160" s="24" t="s">
        <v>591</v>
      </c>
      <c r="D160" s="15"/>
      <c r="E160" s="15"/>
      <c r="F160" s="25" t="s">
        <v>102</v>
      </c>
      <c r="G160" s="26">
        <v>1.1000000000000001</v>
      </c>
      <c r="H160" s="31"/>
      <c r="I160" s="31">
        <v>0</v>
      </c>
      <c r="J160" s="27">
        <v>0</v>
      </c>
      <c r="M160" s="28">
        <f>ROUND(ROUND(J160, 2)*I160, 2)</f>
        <v>0</v>
      </c>
      <c r="P160" s="27">
        <v>516.79999999999995</v>
      </c>
      <c r="S160" s="28">
        <f>ROUND(ROUND(P160, 2)*I160, 2)</f>
        <v>0</v>
      </c>
      <c r="V160" s="9">
        <f>ROUND(ROUND(P160, 2)/1.2, 2)</f>
        <v>430.67</v>
      </c>
      <c r="Y160" s="9">
        <f t="shared" si="13"/>
        <v>0</v>
      </c>
      <c r="AD160" s="4" t="s">
        <v>606</v>
      </c>
      <c r="AE160" s="4" t="s">
        <v>607</v>
      </c>
      <c r="AF160" s="4" t="s">
        <v>594</v>
      </c>
    </row>
    <row r="161" spans="1:35" ht="18" x14ac:dyDescent="0.3">
      <c r="A161" s="10" t="s">
        <v>608</v>
      </c>
      <c r="B161" s="10" t="s">
        <v>586</v>
      </c>
      <c r="C161" s="14" t="s">
        <v>587</v>
      </c>
      <c r="D161" s="15"/>
      <c r="E161" s="15"/>
      <c r="F161" s="15" t="s">
        <v>102</v>
      </c>
      <c r="G161" s="16">
        <v>1</v>
      </c>
      <c r="H161" s="16"/>
      <c r="I161" s="16">
        <v>0</v>
      </c>
      <c r="J161" s="17">
        <v>0</v>
      </c>
      <c r="K161" s="18">
        <v>200</v>
      </c>
      <c r="L161" s="17">
        <f>J161+ROUND(K161, 2)</f>
        <v>200</v>
      </c>
      <c r="M161" s="17">
        <v>0</v>
      </c>
      <c r="N161" s="17">
        <v>0</v>
      </c>
      <c r="O161" s="17">
        <f>M161+N161</f>
        <v>0</v>
      </c>
      <c r="P161" s="17">
        <v>577.48</v>
      </c>
      <c r="Q161" s="18">
        <v>200</v>
      </c>
      <c r="R161" s="17">
        <f>P161+ROUND(Q161, 2)</f>
        <v>777.48</v>
      </c>
      <c r="S161" s="17">
        <v>0</v>
      </c>
      <c r="T161" s="17">
        <v>0</v>
      </c>
      <c r="U161" s="17">
        <f>S161+T161</f>
        <v>0</v>
      </c>
      <c r="V161" s="9">
        <f>ROUND(P161 / 1.2, 2)</f>
        <v>481.23</v>
      </c>
      <c r="W161" s="9">
        <f>ROUND(Q161 / 1.2, 2)</f>
        <v>166.67</v>
      </c>
      <c r="X161" s="9">
        <f>ROUND(R161 / 1.2, 2)</f>
        <v>647.9</v>
      </c>
      <c r="Y161" s="9">
        <f t="shared" si="13"/>
        <v>0</v>
      </c>
      <c r="Z161" s="9">
        <f>ROUND(T161 / 1.2, 2)</f>
        <v>0</v>
      </c>
      <c r="AA161" s="9">
        <f>Y161+Z161</f>
        <v>0</v>
      </c>
      <c r="AD161" s="4">
        <v>334080606</v>
      </c>
      <c r="AE161" s="4">
        <v>27245708</v>
      </c>
      <c r="AG161" s="4" t="s">
        <v>588</v>
      </c>
      <c r="AH161" s="4" t="s">
        <v>589</v>
      </c>
      <c r="AI161" s="4" t="s">
        <v>250</v>
      </c>
    </row>
    <row r="162" spans="1:35" ht="36" x14ac:dyDescent="0.3">
      <c r="A162" s="10" t="s">
        <v>609</v>
      </c>
      <c r="B162" s="10"/>
      <c r="C162" s="24" t="s">
        <v>591</v>
      </c>
      <c r="D162" s="15"/>
      <c r="E162" s="15"/>
      <c r="F162" s="25" t="s">
        <v>102</v>
      </c>
      <c r="G162" s="26">
        <v>1.1000000000000001</v>
      </c>
      <c r="H162" s="31"/>
      <c r="I162" s="31">
        <v>0</v>
      </c>
      <c r="J162" s="27">
        <v>0</v>
      </c>
      <c r="M162" s="28">
        <f>ROUND(ROUND(J162, 2)*I162, 2)</f>
        <v>0</v>
      </c>
      <c r="P162" s="27">
        <v>516.79999999999995</v>
      </c>
      <c r="S162" s="28">
        <f>ROUND(ROUND(P162, 2)*I162, 2)</f>
        <v>0</v>
      </c>
      <c r="V162" s="9">
        <f>ROUND(ROUND(P162, 2)/1.2, 2)</f>
        <v>430.67</v>
      </c>
      <c r="Y162" s="9">
        <f t="shared" si="13"/>
        <v>0</v>
      </c>
      <c r="AD162" s="4" t="s">
        <v>610</v>
      </c>
      <c r="AE162" s="4" t="s">
        <v>611</v>
      </c>
      <c r="AF162" s="4" t="s">
        <v>594</v>
      </c>
    </row>
    <row r="163" spans="1:35" ht="18" x14ac:dyDescent="0.3">
      <c r="A163" s="10" t="s">
        <v>612</v>
      </c>
      <c r="B163" s="10"/>
      <c r="C163" s="24" t="s">
        <v>596</v>
      </c>
      <c r="D163" s="15"/>
      <c r="E163" s="15"/>
      <c r="F163" s="25" t="s">
        <v>597</v>
      </c>
      <c r="G163" s="38">
        <v>0.09</v>
      </c>
      <c r="H163" s="26"/>
      <c r="I163" s="26">
        <v>0</v>
      </c>
      <c r="J163" s="27">
        <v>100</v>
      </c>
      <c r="M163" s="28">
        <f>ROUND(ROUND(J163, 2)*I163, 2)</f>
        <v>0</v>
      </c>
      <c r="P163" s="27">
        <v>100</v>
      </c>
      <c r="S163" s="28">
        <f>ROUND(ROUND(P163, 2)*I163, 2)</f>
        <v>0</v>
      </c>
      <c r="V163" s="9">
        <f>ROUND(ROUND(P163, 2)/1.2, 2)</f>
        <v>83.33</v>
      </c>
      <c r="Y163" s="9">
        <f t="shared" si="13"/>
        <v>0</v>
      </c>
      <c r="AD163" s="4" t="s">
        <v>613</v>
      </c>
      <c r="AE163" s="4" t="s">
        <v>614</v>
      </c>
      <c r="AF163" s="4" t="s">
        <v>600</v>
      </c>
    </row>
    <row r="164" spans="1:35" ht="18" x14ac:dyDescent="0.3">
      <c r="A164" s="10" t="s">
        <v>615</v>
      </c>
      <c r="B164" s="10" t="s">
        <v>586</v>
      </c>
      <c r="C164" s="14" t="s">
        <v>587</v>
      </c>
      <c r="D164" s="15"/>
      <c r="E164" s="15"/>
      <c r="F164" s="15" t="s">
        <v>102</v>
      </c>
      <c r="G164" s="16">
        <v>1</v>
      </c>
      <c r="H164" s="16"/>
      <c r="I164" s="16">
        <v>0</v>
      </c>
      <c r="J164" s="17">
        <v>0</v>
      </c>
      <c r="K164" s="18">
        <v>200</v>
      </c>
      <c r="L164" s="17">
        <f>J164+ROUND(K164, 2)</f>
        <v>200</v>
      </c>
      <c r="M164" s="17">
        <v>0</v>
      </c>
      <c r="N164" s="17">
        <v>0</v>
      </c>
      <c r="O164" s="17">
        <f>M164+N164</f>
        <v>0</v>
      </c>
      <c r="P164" s="17">
        <v>99.86</v>
      </c>
      <c r="Q164" s="18">
        <v>200</v>
      </c>
      <c r="R164" s="17">
        <f>P164+ROUND(Q164, 2)</f>
        <v>299.86</v>
      </c>
      <c r="S164" s="17">
        <v>0</v>
      </c>
      <c r="T164" s="17">
        <v>0</v>
      </c>
      <c r="U164" s="17">
        <f>S164+T164</f>
        <v>0</v>
      </c>
      <c r="V164" s="9">
        <f>ROUND(P164 / 1.2, 2)</f>
        <v>83.22</v>
      </c>
      <c r="W164" s="9">
        <f>ROUND(Q164 / 1.2, 2)</f>
        <v>166.67</v>
      </c>
      <c r="X164" s="9">
        <f>ROUND(R164 / 1.2, 2)</f>
        <v>249.88</v>
      </c>
      <c r="Y164" s="9">
        <f t="shared" si="13"/>
        <v>0</v>
      </c>
      <c r="Z164" s="9">
        <f>ROUND(T164 / 1.2, 2)</f>
        <v>0</v>
      </c>
      <c r="AA164" s="9">
        <f>Y164+Z164</f>
        <v>0</v>
      </c>
      <c r="AD164" s="4">
        <v>334080607</v>
      </c>
      <c r="AE164" s="4">
        <v>27245709</v>
      </c>
      <c r="AG164" s="4" t="s">
        <v>588</v>
      </c>
      <c r="AH164" s="4" t="s">
        <v>589</v>
      </c>
      <c r="AI164" s="4" t="s">
        <v>250</v>
      </c>
    </row>
    <row r="165" spans="1:35" ht="18" x14ac:dyDescent="0.3">
      <c r="A165" s="10" t="s">
        <v>616</v>
      </c>
      <c r="B165" s="10"/>
      <c r="C165" s="30" t="s">
        <v>617</v>
      </c>
      <c r="D165" s="15"/>
      <c r="E165" s="15"/>
      <c r="F165" s="25" t="s">
        <v>102</v>
      </c>
      <c r="G165" s="26">
        <v>1.05</v>
      </c>
      <c r="H165" s="31"/>
      <c r="I165" s="31">
        <v>0</v>
      </c>
      <c r="J165" s="27">
        <v>140.54</v>
      </c>
      <c r="M165" s="28">
        <f>ROUND(ROUND(J165, 2)*I165, 2)</f>
        <v>0</v>
      </c>
      <c r="P165" s="27">
        <v>140.54</v>
      </c>
      <c r="S165" s="28">
        <f>ROUND(ROUND(P165, 2)*I165, 2)</f>
        <v>0</v>
      </c>
      <c r="V165" s="9">
        <f>ROUND(ROUND(P165, 2)/1.2, 2)</f>
        <v>117.12</v>
      </c>
      <c r="Y165" s="9">
        <f t="shared" si="13"/>
        <v>0</v>
      </c>
      <c r="AD165" s="4" t="s">
        <v>618</v>
      </c>
      <c r="AE165" s="4" t="s">
        <v>619</v>
      </c>
      <c r="AF165" s="4" t="s">
        <v>620</v>
      </c>
    </row>
    <row r="166" spans="1:35" ht="18" x14ac:dyDescent="0.3">
      <c r="A166" s="10" t="s">
        <v>621</v>
      </c>
      <c r="B166" s="10"/>
      <c r="C166" s="24" t="s">
        <v>596</v>
      </c>
      <c r="D166" s="15"/>
      <c r="E166" s="15"/>
      <c r="F166" s="25" t="s">
        <v>597</v>
      </c>
      <c r="G166" s="38">
        <v>0.09</v>
      </c>
      <c r="H166" s="26"/>
      <c r="I166" s="26">
        <v>0</v>
      </c>
      <c r="J166" s="27">
        <v>100</v>
      </c>
      <c r="M166" s="28">
        <f>ROUND(ROUND(J166, 2)*I166, 2)</f>
        <v>0</v>
      </c>
      <c r="P166" s="27">
        <v>100</v>
      </c>
      <c r="S166" s="28">
        <f>ROUND(ROUND(P166, 2)*I166, 2)</f>
        <v>0</v>
      </c>
      <c r="V166" s="9">
        <f>ROUND(ROUND(P166, 2)/1.2, 2)</f>
        <v>83.33</v>
      </c>
      <c r="Y166" s="9">
        <f t="shared" si="13"/>
        <v>0</v>
      </c>
      <c r="AD166" s="4" t="s">
        <v>622</v>
      </c>
      <c r="AE166" s="4" t="s">
        <v>623</v>
      </c>
      <c r="AF166" s="4" t="s">
        <v>600</v>
      </c>
    </row>
    <row r="167" spans="1:35" ht="72" x14ac:dyDescent="0.3">
      <c r="A167" s="10" t="s">
        <v>624</v>
      </c>
      <c r="B167" s="10" t="s">
        <v>586</v>
      </c>
      <c r="C167" s="14" t="s">
        <v>587</v>
      </c>
      <c r="D167" s="15"/>
      <c r="E167" s="15" t="s">
        <v>625</v>
      </c>
      <c r="F167" s="15" t="s">
        <v>102</v>
      </c>
      <c r="G167" s="16">
        <v>1</v>
      </c>
      <c r="H167" s="16"/>
      <c r="I167" s="16">
        <v>0</v>
      </c>
      <c r="J167" s="17">
        <v>9</v>
      </c>
      <c r="K167" s="18">
        <v>200</v>
      </c>
      <c r="L167" s="17">
        <f>J167+ROUND(K167, 2)</f>
        <v>209</v>
      </c>
      <c r="M167" s="17">
        <v>0</v>
      </c>
      <c r="N167" s="17">
        <v>0</v>
      </c>
      <c r="O167" s="17">
        <f>M167+N167</f>
        <v>0</v>
      </c>
      <c r="P167" s="17">
        <v>9</v>
      </c>
      <c r="Q167" s="18">
        <v>300</v>
      </c>
      <c r="R167" s="17">
        <f>P167+ROUND(Q167, 2)</f>
        <v>309</v>
      </c>
      <c r="S167" s="17">
        <v>0</v>
      </c>
      <c r="T167" s="17">
        <v>0</v>
      </c>
      <c r="U167" s="17">
        <f>S167+T167</f>
        <v>0</v>
      </c>
      <c r="V167" s="9">
        <f>ROUND(P167 / 1.2, 2)</f>
        <v>7.5</v>
      </c>
      <c r="W167" s="9">
        <f>ROUND(Q167 / 1.2, 2)</f>
        <v>250</v>
      </c>
      <c r="X167" s="9">
        <f>ROUND(R167 / 1.2, 2)</f>
        <v>257.5</v>
      </c>
      <c r="Y167" s="9">
        <f t="shared" si="13"/>
        <v>0</v>
      </c>
      <c r="Z167" s="9">
        <f>ROUND(T167 / 1.2, 2)</f>
        <v>0</v>
      </c>
      <c r="AA167" s="9">
        <f>Y167+Z167</f>
        <v>0</v>
      </c>
      <c r="AD167" s="4">
        <v>334080608</v>
      </c>
      <c r="AE167" s="4">
        <v>27245762</v>
      </c>
      <c r="AG167" s="4" t="s">
        <v>588</v>
      </c>
      <c r="AH167" s="4" t="s">
        <v>589</v>
      </c>
      <c r="AI167" s="4" t="s">
        <v>250</v>
      </c>
    </row>
    <row r="168" spans="1:35" ht="36" x14ac:dyDescent="0.3">
      <c r="A168" s="10" t="s">
        <v>627</v>
      </c>
      <c r="B168" s="10"/>
      <c r="C168" s="24" t="s">
        <v>591</v>
      </c>
      <c r="D168" s="15"/>
      <c r="E168" s="15"/>
      <c r="F168" s="25" t="s">
        <v>102</v>
      </c>
      <c r="G168" s="26">
        <v>1.1000000000000001</v>
      </c>
      <c r="H168" s="31"/>
      <c r="I168" s="31">
        <v>0</v>
      </c>
      <c r="J168" s="27">
        <v>0</v>
      </c>
      <c r="M168" s="28">
        <f>ROUND(ROUND(J168, 2)*I168, 2)</f>
        <v>0</v>
      </c>
      <c r="P168" s="27">
        <v>0</v>
      </c>
      <c r="S168" s="28">
        <f>ROUND(ROUND(P168, 2)*I168, 2)</f>
        <v>0</v>
      </c>
      <c r="V168" s="9">
        <f>ROUND(ROUND(P168, 2)/1.2, 2)</f>
        <v>0</v>
      </c>
      <c r="Y168" s="9">
        <f t="shared" si="13"/>
        <v>0</v>
      </c>
      <c r="AD168" s="4" t="s">
        <v>628</v>
      </c>
      <c r="AE168" s="4" t="s">
        <v>629</v>
      </c>
      <c r="AF168" s="4" t="s">
        <v>594</v>
      </c>
    </row>
    <row r="169" spans="1:35" ht="18" x14ac:dyDescent="0.3">
      <c r="A169" s="10" t="s">
        <v>632</v>
      </c>
      <c r="B169" s="10"/>
      <c r="C169" s="24" t="s">
        <v>596</v>
      </c>
      <c r="D169" s="15"/>
      <c r="E169" s="15"/>
      <c r="F169" s="25" t="s">
        <v>597</v>
      </c>
      <c r="G169" s="38">
        <v>0.09</v>
      </c>
      <c r="H169" s="26"/>
      <c r="I169" s="26">
        <v>0</v>
      </c>
      <c r="J169" s="27">
        <v>100</v>
      </c>
      <c r="M169" s="28">
        <f>ROUND(ROUND(J169, 2)*I169, 2)</f>
        <v>0</v>
      </c>
      <c r="P169" s="27">
        <v>100</v>
      </c>
      <c r="S169" s="28">
        <f>ROUND(ROUND(P169, 2)*I169, 2)</f>
        <v>0</v>
      </c>
      <c r="V169" s="9">
        <f>ROUND(ROUND(P169, 2)/1.2, 2)</f>
        <v>83.33</v>
      </c>
      <c r="Y169" s="9">
        <f t="shared" si="13"/>
        <v>0</v>
      </c>
      <c r="AD169" s="4" t="s">
        <v>633</v>
      </c>
      <c r="AE169" s="4" t="s">
        <v>634</v>
      </c>
      <c r="AF169" s="4" t="s">
        <v>600</v>
      </c>
    </row>
    <row r="170" spans="1:35" ht="72" x14ac:dyDescent="0.3">
      <c r="A170" s="10" t="s">
        <v>637</v>
      </c>
      <c r="B170" s="10" t="s">
        <v>586</v>
      </c>
      <c r="C170" s="14" t="s">
        <v>587</v>
      </c>
      <c r="D170" s="15"/>
      <c r="E170" s="15" t="s">
        <v>638</v>
      </c>
      <c r="F170" s="15" t="s">
        <v>102</v>
      </c>
      <c r="G170" s="16">
        <v>1</v>
      </c>
      <c r="H170" s="16"/>
      <c r="I170" s="16">
        <v>0</v>
      </c>
      <c r="J170" s="17">
        <v>9</v>
      </c>
      <c r="K170" s="18">
        <v>200</v>
      </c>
      <c r="L170" s="17">
        <f>J170+ROUND(K170, 2)</f>
        <v>209</v>
      </c>
      <c r="M170" s="17">
        <v>0</v>
      </c>
      <c r="N170" s="17">
        <v>0</v>
      </c>
      <c r="O170" s="17">
        <f>M170+N170</f>
        <v>0</v>
      </c>
      <c r="P170" s="17">
        <v>9</v>
      </c>
      <c r="Q170" s="18">
        <v>300</v>
      </c>
      <c r="R170" s="17">
        <f>P170+ROUND(Q170, 2)</f>
        <v>309</v>
      </c>
      <c r="S170" s="17">
        <v>0</v>
      </c>
      <c r="T170" s="17">
        <v>0</v>
      </c>
      <c r="U170" s="17">
        <f>S170+T170</f>
        <v>0</v>
      </c>
      <c r="V170" s="9">
        <f>ROUND(P170 / 1.2, 2)</f>
        <v>7.5</v>
      </c>
      <c r="W170" s="9">
        <f>ROUND(Q170 / 1.2, 2)</f>
        <v>250</v>
      </c>
      <c r="X170" s="9">
        <f>ROUND(R170 / 1.2, 2)</f>
        <v>257.5</v>
      </c>
      <c r="Y170" s="9">
        <f t="shared" si="13"/>
        <v>0</v>
      </c>
      <c r="Z170" s="9">
        <f>ROUND(T170 / 1.2, 2)</f>
        <v>0</v>
      </c>
      <c r="AA170" s="9">
        <f>Y170+Z170</f>
        <v>0</v>
      </c>
      <c r="AD170" s="4">
        <v>334080609</v>
      </c>
      <c r="AE170" s="4">
        <v>27245763</v>
      </c>
      <c r="AG170" s="4" t="s">
        <v>588</v>
      </c>
      <c r="AH170" s="4" t="s">
        <v>589</v>
      </c>
      <c r="AI170" s="4" t="s">
        <v>250</v>
      </c>
    </row>
    <row r="171" spans="1:35" ht="18" x14ac:dyDescent="0.3">
      <c r="A171" s="10" t="s">
        <v>640</v>
      </c>
      <c r="B171" s="10"/>
      <c r="C171" s="24" t="s">
        <v>596</v>
      </c>
      <c r="D171" s="15"/>
      <c r="E171" s="15"/>
      <c r="F171" s="25" t="s">
        <v>597</v>
      </c>
      <c r="G171" s="38">
        <v>0.09</v>
      </c>
      <c r="H171" s="26"/>
      <c r="I171" s="26">
        <v>0</v>
      </c>
      <c r="J171" s="27">
        <v>100</v>
      </c>
      <c r="M171" s="28">
        <f>ROUND(ROUND(J171, 2)*I171, 2)</f>
        <v>0</v>
      </c>
      <c r="P171" s="27">
        <v>100</v>
      </c>
      <c r="S171" s="28">
        <f>ROUND(ROUND(P171, 2)*I171, 2)</f>
        <v>0</v>
      </c>
      <c r="V171" s="9">
        <f>ROUND(ROUND(P171, 2)/1.2, 2)</f>
        <v>83.33</v>
      </c>
      <c r="Y171" s="9">
        <f t="shared" si="13"/>
        <v>0</v>
      </c>
      <c r="AD171" s="4" t="s">
        <v>641</v>
      </c>
      <c r="AE171" s="4" t="s">
        <v>642</v>
      </c>
      <c r="AF171" s="4" t="s">
        <v>600</v>
      </c>
    </row>
    <row r="172" spans="1:35" ht="36" x14ac:dyDescent="0.3">
      <c r="A172" s="10" t="s">
        <v>645</v>
      </c>
      <c r="B172" s="10"/>
      <c r="C172" s="24" t="s">
        <v>591</v>
      </c>
      <c r="D172" s="15"/>
      <c r="E172" s="15"/>
      <c r="F172" s="25" t="s">
        <v>102</v>
      </c>
      <c r="G172" s="26">
        <v>1.1000000000000001</v>
      </c>
      <c r="H172" s="31"/>
      <c r="I172" s="31">
        <v>0</v>
      </c>
      <c r="J172" s="27">
        <v>0</v>
      </c>
      <c r="M172" s="28">
        <f>ROUND(ROUND(J172, 2)*I172, 2)</f>
        <v>0</v>
      </c>
      <c r="P172" s="27">
        <v>0</v>
      </c>
      <c r="S172" s="28">
        <f>ROUND(ROUND(P172, 2)*I172, 2)</f>
        <v>0</v>
      </c>
      <c r="V172" s="9">
        <f>ROUND(ROUND(P172, 2)/1.2, 2)</f>
        <v>0</v>
      </c>
      <c r="Y172" s="9">
        <f t="shared" si="13"/>
        <v>0</v>
      </c>
      <c r="AD172" s="4" t="s">
        <v>646</v>
      </c>
      <c r="AE172" s="4" t="s">
        <v>647</v>
      </c>
      <c r="AF172" s="4" t="s">
        <v>594</v>
      </c>
    </row>
    <row r="173" spans="1:35" ht="72" x14ac:dyDescent="0.3">
      <c r="A173" s="10" t="s">
        <v>650</v>
      </c>
      <c r="B173" s="10" t="s">
        <v>586</v>
      </c>
      <c r="C173" s="14" t="s">
        <v>587</v>
      </c>
      <c r="D173" s="15"/>
      <c r="E173" s="15" t="s">
        <v>651</v>
      </c>
      <c r="F173" s="15" t="s">
        <v>102</v>
      </c>
      <c r="G173" s="16">
        <v>1</v>
      </c>
      <c r="H173" s="16"/>
      <c r="I173" s="16">
        <v>0</v>
      </c>
      <c r="J173" s="17">
        <v>9</v>
      </c>
      <c r="K173" s="18">
        <v>200</v>
      </c>
      <c r="L173" s="17">
        <f>J173+ROUND(K173, 2)</f>
        <v>209</v>
      </c>
      <c r="M173" s="17">
        <v>0</v>
      </c>
      <c r="N173" s="17">
        <v>0</v>
      </c>
      <c r="O173" s="17">
        <f>M173+N173</f>
        <v>0</v>
      </c>
      <c r="P173" s="17">
        <v>9</v>
      </c>
      <c r="Q173" s="18">
        <v>300</v>
      </c>
      <c r="R173" s="17">
        <f>P173+ROUND(Q173, 2)</f>
        <v>309</v>
      </c>
      <c r="S173" s="17">
        <v>0</v>
      </c>
      <c r="T173" s="17">
        <v>0</v>
      </c>
      <c r="U173" s="17">
        <f>S173+T173</f>
        <v>0</v>
      </c>
      <c r="V173" s="9">
        <f>ROUND(P173 / 1.2, 2)</f>
        <v>7.5</v>
      </c>
      <c r="W173" s="9">
        <f>ROUND(Q173 / 1.2, 2)</f>
        <v>250</v>
      </c>
      <c r="X173" s="9">
        <f>ROUND(R173 / 1.2, 2)</f>
        <v>257.5</v>
      </c>
      <c r="Y173" s="9">
        <f t="shared" si="13"/>
        <v>0</v>
      </c>
      <c r="Z173" s="9">
        <f>ROUND(T173 / 1.2, 2)</f>
        <v>0</v>
      </c>
      <c r="AA173" s="9">
        <f>Y173+Z173</f>
        <v>0</v>
      </c>
      <c r="AD173" s="4">
        <v>334080610</v>
      </c>
      <c r="AE173" s="4">
        <v>27245789</v>
      </c>
      <c r="AG173" s="4" t="s">
        <v>588</v>
      </c>
      <c r="AH173" s="4" t="s">
        <v>589</v>
      </c>
      <c r="AI173" s="4" t="s">
        <v>250</v>
      </c>
    </row>
    <row r="174" spans="1:35" ht="36" x14ac:dyDescent="0.3">
      <c r="A174" s="10" t="s">
        <v>653</v>
      </c>
      <c r="B174" s="10"/>
      <c r="C174" s="24" t="s">
        <v>591</v>
      </c>
      <c r="D174" s="15"/>
      <c r="E174" s="15"/>
      <c r="F174" s="25" t="s">
        <v>102</v>
      </c>
      <c r="G174" s="26">
        <v>1.1000000000000001</v>
      </c>
      <c r="H174" s="31"/>
      <c r="I174" s="31">
        <v>0</v>
      </c>
      <c r="J174" s="27">
        <v>0</v>
      </c>
      <c r="M174" s="28">
        <f>ROUND(ROUND(J174, 2)*I174, 2)</f>
        <v>0</v>
      </c>
      <c r="P174" s="27">
        <v>0</v>
      </c>
      <c r="S174" s="28">
        <f>ROUND(ROUND(P174, 2)*I174, 2)</f>
        <v>0</v>
      </c>
      <c r="V174" s="9">
        <f>ROUND(ROUND(P174, 2)/1.2, 2)</f>
        <v>0</v>
      </c>
      <c r="Y174" s="9">
        <f t="shared" si="13"/>
        <v>0</v>
      </c>
      <c r="AD174" s="4" t="s">
        <v>654</v>
      </c>
      <c r="AE174" s="4" t="s">
        <v>655</v>
      </c>
      <c r="AF174" s="4" t="s">
        <v>594</v>
      </c>
    </row>
    <row r="175" spans="1:35" ht="18" x14ac:dyDescent="0.3">
      <c r="A175" s="10" t="s">
        <v>658</v>
      </c>
      <c r="B175" s="10"/>
      <c r="C175" s="24" t="s">
        <v>596</v>
      </c>
      <c r="D175" s="15"/>
      <c r="E175" s="15"/>
      <c r="F175" s="25" t="s">
        <v>597</v>
      </c>
      <c r="G175" s="38">
        <v>0.09</v>
      </c>
      <c r="H175" s="26"/>
      <c r="I175" s="26">
        <v>0</v>
      </c>
      <c r="J175" s="27">
        <v>100</v>
      </c>
      <c r="M175" s="28">
        <f>ROUND(ROUND(J175, 2)*I175, 2)</f>
        <v>0</v>
      </c>
      <c r="P175" s="27">
        <v>100</v>
      </c>
      <c r="S175" s="28">
        <f>ROUND(ROUND(P175, 2)*I175, 2)</f>
        <v>0</v>
      </c>
      <c r="V175" s="9">
        <f>ROUND(ROUND(P175, 2)/1.2, 2)</f>
        <v>83.33</v>
      </c>
      <c r="Y175" s="9">
        <f t="shared" si="13"/>
        <v>0</v>
      </c>
      <c r="AD175" s="4" t="s">
        <v>659</v>
      </c>
      <c r="AE175" s="4" t="s">
        <v>660</v>
      </c>
      <c r="AF175" s="4" t="s">
        <v>600</v>
      </c>
    </row>
    <row r="176" spans="1:35" ht="18" x14ac:dyDescent="0.3">
      <c r="A176" s="10" t="s">
        <v>663</v>
      </c>
      <c r="B176" s="10" t="s">
        <v>586</v>
      </c>
      <c r="C176" s="14" t="s">
        <v>587</v>
      </c>
      <c r="D176" s="15"/>
      <c r="E176" s="15" t="s">
        <v>664</v>
      </c>
      <c r="F176" s="15" t="s">
        <v>102</v>
      </c>
      <c r="G176" s="16">
        <v>1</v>
      </c>
      <c r="H176" s="16"/>
      <c r="I176" s="16">
        <v>106.7</v>
      </c>
      <c r="J176" s="17">
        <v>99.86</v>
      </c>
      <c r="K176" s="18">
        <v>200</v>
      </c>
      <c r="L176" s="17">
        <f>J176+ROUND(K176, 2)</f>
        <v>299.86</v>
      </c>
      <c r="M176" s="17">
        <v>10655.06</v>
      </c>
      <c r="N176" s="17">
        <v>21340</v>
      </c>
      <c r="O176" s="17">
        <f>M176+N176</f>
        <v>31995.059999999998</v>
      </c>
      <c r="P176" s="17">
        <v>99.86</v>
      </c>
      <c r="Q176" s="18">
        <v>300</v>
      </c>
      <c r="R176" s="17">
        <f>P176+ROUND(Q176, 2)</f>
        <v>399.86</v>
      </c>
      <c r="S176" s="17">
        <v>10655.06</v>
      </c>
      <c r="T176" s="17">
        <v>32010</v>
      </c>
      <c r="U176" s="17">
        <f>S176+T176</f>
        <v>42665.06</v>
      </c>
      <c r="V176" s="9">
        <f>ROUND(P176 / 1.2, 2)</f>
        <v>83.22</v>
      </c>
      <c r="W176" s="9">
        <f>ROUND(Q176 / 1.2, 2)</f>
        <v>250</v>
      </c>
      <c r="X176" s="9">
        <f>ROUND(R176 / 1.2, 2)</f>
        <v>333.22</v>
      </c>
      <c r="Y176" s="9">
        <f t="shared" si="13"/>
        <v>8879.2199999999993</v>
      </c>
      <c r="Z176" s="9">
        <f>ROUND(T176 / 1.2, 2)</f>
        <v>26675</v>
      </c>
      <c r="AA176" s="9">
        <f>Y176+Z176</f>
        <v>35554.22</v>
      </c>
      <c r="AD176" s="4">
        <v>334080611</v>
      </c>
      <c r="AE176" s="4">
        <v>27245761</v>
      </c>
      <c r="AG176" s="4" t="s">
        <v>588</v>
      </c>
      <c r="AH176" s="4" t="s">
        <v>589</v>
      </c>
      <c r="AI176" s="4" t="s">
        <v>250</v>
      </c>
    </row>
    <row r="177" spans="1:35" ht="18" x14ac:dyDescent="0.3">
      <c r="A177" s="10" t="s">
        <v>665</v>
      </c>
      <c r="B177" s="10"/>
      <c r="C177" s="30" t="s">
        <v>617</v>
      </c>
      <c r="D177" s="15"/>
      <c r="E177" s="15"/>
      <c r="F177" s="25" t="s">
        <v>102</v>
      </c>
      <c r="G177" s="26">
        <v>1.05</v>
      </c>
      <c r="H177" s="31"/>
      <c r="I177" s="31">
        <v>68.984999999999999</v>
      </c>
      <c r="J177" s="27">
        <v>140.54</v>
      </c>
      <c r="M177" s="28">
        <f>ROUND(ROUND(J177, 2)*I177, 2)</f>
        <v>9695.15</v>
      </c>
      <c r="P177" s="27">
        <v>140.54</v>
      </c>
      <c r="S177" s="28">
        <f>ROUND(ROUND(P177, 2)*I177, 2)</f>
        <v>9695.15</v>
      </c>
      <c r="V177" s="9">
        <f>ROUND(ROUND(P177, 2)/1.2, 2)</f>
        <v>117.12</v>
      </c>
      <c r="Y177" s="9">
        <f t="shared" si="13"/>
        <v>8079.29</v>
      </c>
      <c r="AD177" s="4" t="s">
        <v>666</v>
      </c>
      <c r="AE177" s="4" t="s">
        <v>667</v>
      </c>
      <c r="AF177" s="4" t="s">
        <v>620</v>
      </c>
    </row>
    <row r="178" spans="1:35" ht="18" x14ac:dyDescent="0.3">
      <c r="A178" s="10" t="s">
        <v>668</v>
      </c>
      <c r="B178" s="10"/>
      <c r="C178" s="24" t="s">
        <v>596</v>
      </c>
      <c r="D178" s="15"/>
      <c r="E178" s="15"/>
      <c r="F178" s="25" t="s">
        <v>597</v>
      </c>
      <c r="G178" s="38">
        <v>0.09</v>
      </c>
      <c r="H178" s="26"/>
      <c r="I178" s="26">
        <v>9.6029999999999998</v>
      </c>
      <c r="J178" s="27">
        <v>100</v>
      </c>
      <c r="M178" s="28">
        <f>ROUND(ROUND(J178, 2)*I178, 2)</f>
        <v>960.3</v>
      </c>
      <c r="P178" s="27">
        <v>100</v>
      </c>
      <c r="S178" s="28">
        <f>ROUND(ROUND(P178, 2)*I178, 2)</f>
        <v>960.3</v>
      </c>
      <c r="V178" s="9">
        <f>ROUND(ROUND(P178, 2)/1.2, 2)</f>
        <v>83.33</v>
      </c>
      <c r="Y178" s="9">
        <f t="shared" si="13"/>
        <v>800.25</v>
      </c>
      <c r="AD178" s="4" t="s">
        <v>669</v>
      </c>
      <c r="AE178" s="4" t="s">
        <v>670</v>
      </c>
      <c r="AF178" s="4" t="s">
        <v>600</v>
      </c>
    </row>
    <row r="179" spans="1:35" ht="108" x14ac:dyDescent="0.3">
      <c r="A179" s="10" t="s">
        <v>671</v>
      </c>
      <c r="B179" s="10" t="s">
        <v>586</v>
      </c>
      <c r="C179" s="14" t="s">
        <v>587</v>
      </c>
      <c r="D179" s="15"/>
      <c r="E179" s="15" t="s">
        <v>672</v>
      </c>
      <c r="F179" s="15" t="s">
        <v>102</v>
      </c>
      <c r="G179" s="16">
        <v>1</v>
      </c>
      <c r="H179" s="16"/>
      <c r="I179" s="16">
        <v>142.5</v>
      </c>
      <c r="J179" s="17">
        <f>IFERROR(ROUND(SUM(M180,M181)/I179, 2),0)</f>
        <v>112.16</v>
      </c>
      <c r="K179" s="18">
        <v>199.99</v>
      </c>
      <c r="L179" s="17">
        <f>J179+ROUND(K179, 2)</f>
        <v>312.14999999999998</v>
      </c>
      <c r="M179" s="17">
        <f>ROUND(J179*I179, 2)</f>
        <v>15982.8</v>
      </c>
      <c r="N179" s="17">
        <f>ROUND(I179*ROUND(K179, 2), 2)</f>
        <v>28498.58</v>
      </c>
      <c r="O179" s="17">
        <f>M179+N179</f>
        <v>44481.380000000005</v>
      </c>
      <c r="P179" s="17">
        <f>IFERROR(ROUND(SUM(S180,S181)/I179, 2),0)</f>
        <v>129.21</v>
      </c>
      <c r="Q179" s="19">
        <v>299.99</v>
      </c>
      <c r="R179" s="17">
        <f>P179+ROUND(Q179, 2)</f>
        <v>429.20000000000005</v>
      </c>
      <c r="S179" s="17">
        <f>ROUND(P179*I179, 2)</f>
        <v>18412.43</v>
      </c>
      <c r="T179" s="17">
        <f>ROUND(I179*ROUND(Q179, 2), 2)</f>
        <v>42748.58</v>
      </c>
      <c r="U179" s="17">
        <f>S179+T179</f>
        <v>61161.01</v>
      </c>
      <c r="V179" s="9">
        <f>ROUND(P179 / 1.2, 2)</f>
        <v>107.68</v>
      </c>
      <c r="W179" s="9">
        <f>ROUND(Q179 / 1.2, 2)</f>
        <v>249.99</v>
      </c>
      <c r="X179" s="9">
        <f>ROUND(R179 / 1.2, 2)</f>
        <v>357.67</v>
      </c>
      <c r="Y179" s="9">
        <f t="shared" si="13"/>
        <v>15343.69</v>
      </c>
      <c r="Z179" s="9">
        <f>ROUND(T179 / 1.2, 2)</f>
        <v>35623.82</v>
      </c>
      <c r="AA179" s="9">
        <f>Y179+Z179</f>
        <v>50967.51</v>
      </c>
      <c r="AD179" s="4">
        <v>334080612</v>
      </c>
      <c r="AE179" s="4">
        <v>29371273</v>
      </c>
      <c r="AG179" s="4" t="s">
        <v>588</v>
      </c>
      <c r="AH179" s="4" t="s">
        <v>589</v>
      </c>
      <c r="AI179" s="4" t="s">
        <v>250</v>
      </c>
    </row>
    <row r="180" spans="1:35" ht="36" x14ac:dyDescent="0.3">
      <c r="A180" s="10" t="s">
        <v>673</v>
      </c>
      <c r="B180" s="10"/>
      <c r="C180" s="30" t="s">
        <v>674</v>
      </c>
      <c r="D180" s="15"/>
      <c r="E180" s="15"/>
      <c r="F180" s="25" t="s">
        <v>102</v>
      </c>
      <c r="G180" s="26">
        <v>1.05</v>
      </c>
      <c r="H180" s="31"/>
      <c r="I180" s="31">
        <v>149.625</v>
      </c>
      <c r="J180" s="27">
        <v>98.11</v>
      </c>
      <c r="M180" s="28">
        <f>ROUND(ROUND(J180, 2)*I180, 2)</f>
        <v>14679.71</v>
      </c>
      <c r="P180" s="29">
        <v>98.11</v>
      </c>
      <c r="S180" s="28">
        <f>ROUND(ROUND(P180, 2)*I180, 2)</f>
        <v>14679.71</v>
      </c>
      <c r="V180" s="9">
        <f>ROUND(ROUND(P180, 2)/1.2, 2)</f>
        <v>81.760000000000005</v>
      </c>
      <c r="Y180" s="9">
        <f t="shared" si="13"/>
        <v>12233.09</v>
      </c>
      <c r="AD180" s="4" t="s">
        <v>675</v>
      </c>
      <c r="AE180" s="4" t="s">
        <v>676</v>
      </c>
      <c r="AF180" s="4" t="s">
        <v>677</v>
      </c>
    </row>
    <row r="181" spans="1:35" ht="72" x14ac:dyDescent="0.3">
      <c r="A181" s="10" t="s">
        <v>678</v>
      </c>
      <c r="B181" s="10"/>
      <c r="C181" s="24" t="s">
        <v>596</v>
      </c>
      <c r="D181" s="15"/>
      <c r="E181" s="15" t="s">
        <v>679</v>
      </c>
      <c r="F181" s="25" t="s">
        <v>597</v>
      </c>
      <c r="G181" s="38">
        <v>0.09</v>
      </c>
      <c r="H181" s="26"/>
      <c r="I181" s="26">
        <v>12.824999999999999</v>
      </c>
      <c r="J181" s="27">
        <v>101.66</v>
      </c>
      <c r="M181" s="28">
        <f>ROUND(ROUND(J181, 2)*I181, 2)</f>
        <v>1303.79</v>
      </c>
      <c r="P181" s="29">
        <v>291</v>
      </c>
      <c r="S181" s="28">
        <f>ROUND(ROUND(P181, 2)*I181, 2)</f>
        <v>3732.08</v>
      </c>
      <c r="V181" s="9">
        <f>ROUND(ROUND(P181, 2)/1.2, 2)</f>
        <v>242.5</v>
      </c>
      <c r="Y181" s="9">
        <f t="shared" si="13"/>
        <v>3110.07</v>
      </c>
      <c r="AD181" s="4" t="s">
        <v>680</v>
      </c>
      <c r="AE181" s="4" t="s">
        <v>681</v>
      </c>
      <c r="AF181" s="4" t="s">
        <v>600</v>
      </c>
    </row>
    <row r="182" spans="1:35" ht="90" x14ac:dyDescent="0.3">
      <c r="A182" s="10" t="s">
        <v>682</v>
      </c>
      <c r="B182" s="10" t="s">
        <v>586</v>
      </c>
      <c r="C182" s="14" t="s">
        <v>587</v>
      </c>
      <c r="D182" s="15"/>
      <c r="E182" s="15" t="s">
        <v>683</v>
      </c>
      <c r="F182" s="15" t="s">
        <v>102</v>
      </c>
      <c r="G182" s="16">
        <v>1</v>
      </c>
      <c r="H182" s="16"/>
      <c r="I182" s="16">
        <v>25.1</v>
      </c>
      <c r="J182" s="17">
        <f>IFERROR(ROUND(SUM(M183)/I182, 2),0)</f>
        <v>0</v>
      </c>
      <c r="K182" s="18">
        <v>199.99</v>
      </c>
      <c r="L182" s="17">
        <f>J182+ROUND(K182, 2)</f>
        <v>199.99</v>
      </c>
      <c r="M182" s="17">
        <f>ROUND(J182*I182, 2)</f>
        <v>0</v>
      </c>
      <c r="N182" s="17">
        <f>ROUND(I182*ROUND(K182, 2), 2)</f>
        <v>5019.75</v>
      </c>
      <c r="O182" s="17">
        <f>M182+N182</f>
        <v>5019.75</v>
      </c>
      <c r="P182" s="17">
        <f>IFERROR(ROUND(SUM(S183)/I182, 2),0)</f>
        <v>3790.09</v>
      </c>
      <c r="Q182" s="19">
        <v>299.99</v>
      </c>
      <c r="R182" s="17">
        <f>P182+ROUND(Q182, 2)</f>
        <v>4090.08</v>
      </c>
      <c r="S182" s="17">
        <f>ROUND(P182*I182, 2)</f>
        <v>95131.26</v>
      </c>
      <c r="T182" s="17">
        <f>ROUND(I182*ROUND(Q182, 2), 2)</f>
        <v>7529.75</v>
      </c>
      <c r="U182" s="17">
        <f>S182+T182</f>
        <v>102661.01</v>
      </c>
      <c r="V182" s="9">
        <f>ROUND(P182 / 1.2, 2)</f>
        <v>3158.41</v>
      </c>
      <c r="W182" s="9">
        <f>ROUND(Q182 / 1.2, 2)</f>
        <v>249.99</v>
      </c>
      <c r="X182" s="9">
        <f>ROUND(R182 / 1.2, 2)</f>
        <v>3408.4</v>
      </c>
      <c r="Y182" s="9">
        <f t="shared" si="13"/>
        <v>79276.05</v>
      </c>
      <c r="Z182" s="9">
        <f>ROUND(T182 / 1.2, 2)</f>
        <v>6274.79</v>
      </c>
      <c r="AA182" s="9">
        <f>Y182+Z182</f>
        <v>85550.84</v>
      </c>
      <c r="AD182" s="4">
        <v>334080613</v>
      </c>
      <c r="AE182" s="4">
        <v>29371274</v>
      </c>
      <c r="AG182" s="4" t="s">
        <v>588</v>
      </c>
      <c r="AH182" s="4" t="s">
        <v>589</v>
      </c>
      <c r="AI182" s="4" t="s">
        <v>250</v>
      </c>
    </row>
    <row r="183" spans="1:35" ht="162" x14ac:dyDescent="0.3">
      <c r="A183" s="10" t="s">
        <v>684</v>
      </c>
      <c r="B183" s="10"/>
      <c r="C183" s="24" t="s">
        <v>685</v>
      </c>
      <c r="D183" s="15"/>
      <c r="E183" s="15" t="s">
        <v>686</v>
      </c>
      <c r="F183" s="25" t="s">
        <v>102</v>
      </c>
      <c r="G183" s="26">
        <v>1.1000000000000001</v>
      </c>
      <c r="H183" s="31"/>
      <c r="I183" s="31">
        <v>27.61</v>
      </c>
      <c r="J183" s="27">
        <v>0</v>
      </c>
      <c r="M183" s="28">
        <f>ROUND(ROUND(J183, 2)*I183, 2)</f>
        <v>0</v>
      </c>
      <c r="P183" s="29">
        <v>3445.54</v>
      </c>
      <c r="S183" s="28">
        <f>ROUND(ROUND(P183, 2)*I183, 2)</f>
        <v>95131.36</v>
      </c>
      <c r="V183" s="9">
        <f>ROUND(ROUND(P183, 2)/1.2, 2)</f>
        <v>2871.28</v>
      </c>
      <c r="Y183" s="9">
        <f t="shared" ref="Y183:Y246" si="14">ROUND(S183 / 1.2, 2)</f>
        <v>79276.13</v>
      </c>
      <c r="AD183" s="4" t="s">
        <v>687</v>
      </c>
      <c r="AE183" s="4" t="s">
        <v>688</v>
      </c>
      <c r="AF183" s="4" t="s">
        <v>689</v>
      </c>
    </row>
    <row r="184" spans="1:35" ht="90" x14ac:dyDescent="0.3">
      <c r="A184" s="10" t="s">
        <v>690</v>
      </c>
      <c r="B184" s="10" t="s">
        <v>586</v>
      </c>
      <c r="C184" s="14" t="s">
        <v>587</v>
      </c>
      <c r="D184" s="15"/>
      <c r="E184" s="15" t="s">
        <v>691</v>
      </c>
      <c r="F184" s="15" t="s">
        <v>102</v>
      </c>
      <c r="G184" s="16">
        <v>1</v>
      </c>
      <c r="H184" s="16"/>
      <c r="I184" s="16">
        <v>81.08</v>
      </c>
      <c r="J184" s="17">
        <f>IFERROR(ROUND(SUM(M185)/I184, 2),0)</f>
        <v>0</v>
      </c>
      <c r="K184" s="18">
        <v>199.99</v>
      </c>
      <c r="L184" s="17">
        <f>J184+ROUND(K184, 2)</f>
        <v>199.99</v>
      </c>
      <c r="M184" s="17">
        <f>ROUND(J184*I184, 2)</f>
        <v>0</v>
      </c>
      <c r="N184" s="17">
        <f>ROUND(I184*ROUND(K184, 2), 2)</f>
        <v>16215.19</v>
      </c>
      <c r="O184" s="17">
        <f>M184+N184</f>
        <v>16215.19</v>
      </c>
      <c r="P184" s="17">
        <f>IFERROR(ROUND(SUM(S185)/I184, 2),0)</f>
        <v>1129.99</v>
      </c>
      <c r="Q184" s="19">
        <v>299.99</v>
      </c>
      <c r="R184" s="17">
        <f>P184+ROUND(Q184, 2)</f>
        <v>1429.98</v>
      </c>
      <c r="S184" s="17">
        <f>ROUND(P184*I184, 2)</f>
        <v>91619.59</v>
      </c>
      <c r="T184" s="17">
        <f>ROUND(I184*ROUND(Q184, 2), 2)</f>
        <v>24323.19</v>
      </c>
      <c r="U184" s="17">
        <f>S184+T184</f>
        <v>115942.78</v>
      </c>
      <c r="V184" s="9">
        <f>ROUND(P184 / 1.2, 2)</f>
        <v>941.66</v>
      </c>
      <c r="W184" s="9">
        <f>ROUND(Q184 / 1.2, 2)</f>
        <v>249.99</v>
      </c>
      <c r="X184" s="9">
        <f>ROUND(R184 / 1.2, 2)</f>
        <v>1191.6500000000001</v>
      </c>
      <c r="Y184" s="9">
        <f t="shared" si="14"/>
        <v>76349.66</v>
      </c>
      <c r="Z184" s="9">
        <f>ROUND(T184 / 1.2, 2)</f>
        <v>20269.330000000002</v>
      </c>
      <c r="AA184" s="9">
        <f>Y184+Z184</f>
        <v>96618.99</v>
      </c>
      <c r="AD184" s="4">
        <v>334080614</v>
      </c>
      <c r="AE184" s="4">
        <v>29373765</v>
      </c>
      <c r="AG184" s="4" t="s">
        <v>588</v>
      </c>
      <c r="AH184" s="4" t="s">
        <v>589</v>
      </c>
      <c r="AI184" s="4" t="s">
        <v>250</v>
      </c>
    </row>
    <row r="185" spans="1:35" ht="126" x14ac:dyDescent="0.3">
      <c r="A185" s="10" t="s">
        <v>692</v>
      </c>
      <c r="B185" s="10"/>
      <c r="C185" s="24" t="s">
        <v>591</v>
      </c>
      <c r="D185" s="15"/>
      <c r="E185" s="15" t="s">
        <v>693</v>
      </c>
      <c r="F185" s="25" t="s">
        <v>102</v>
      </c>
      <c r="G185" s="26">
        <v>1.1000000000000001</v>
      </c>
      <c r="H185" s="31"/>
      <c r="I185" s="31">
        <v>89.188000000000002</v>
      </c>
      <c r="J185" s="27">
        <v>0</v>
      </c>
      <c r="M185" s="28">
        <f>ROUND(ROUND(J185, 2)*I185, 2)</f>
        <v>0</v>
      </c>
      <c r="P185" s="29">
        <v>1027.26</v>
      </c>
      <c r="S185" s="28">
        <f>ROUND(ROUND(P185, 2)*I185, 2)</f>
        <v>91619.26</v>
      </c>
      <c r="V185" s="9">
        <f>ROUND(ROUND(P185, 2)/1.2, 2)</f>
        <v>856.05</v>
      </c>
      <c r="Y185" s="9">
        <f t="shared" si="14"/>
        <v>76349.38</v>
      </c>
      <c r="AD185" s="4" t="s">
        <v>694</v>
      </c>
      <c r="AE185" s="4" t="s">
        <v>695</v>
      </c>
      <c r="AF185" s="4" t="s">
        <v>594</v>
      </c>
    </row>
    <row r="186" spans="1:35" ht="90" x14ac:dyDescent="0.3">
      <c r="A186" s="10" t="s">
        <v>696</v>
      </c>
      <c r="B186" s="10" t="s">
        <v>586</v>
      </c>
      <c r="C186" s="14" t="s">
        <v>587</v>
      </c>
      <c r="D186" s="15"/>
      <c r="E186" s="15" t="s">
        <v>697</v>
      </c>
      <c r="F186" s="15" t="s">
        <v>102</v>
      </c>
      <c r="G186" s="16">
        <v>1</v>
      </c>
      <c r="H186" s="16"/>
      <c r="I186" s="16">
        <v>25.1</v>
      </c>
      <c r="J186" s="17">
        <f>IFERROR(ROUND(SUM(M187)/I186, 2),0)</f>
        <v>0</v>
      </c>
      <c r="K186" s="18">
        <v>199.99</v>
      </c>
      <c r="L186" s="17">
        <f>J186+ROUND(K186, 2)</f>
        <v>199.99</v>
      </c>
      <c r="M186" s="17">
        <f>ROUND(J186*I186, 2)</f>
        <v>0</v>
      </c>
      <c r="N186" s="17">
        <f>ROUND(I186*ROUND(K186, 2), 2)</f>
        <v>5019.75</v>
      </c>
      <c r="O186" s="17">
        <f>M186+N186</f>
        <v>5019.75</v>
      </c>
      <c r="P186" s="17">
        <f>IFERROR(ROUND(SUM(S187)/I186, 2),0)</f>
        <v>1129.99</v>
      </c>
      <c r="Q186" s="19">
        <v>299.99</v>
      </c>
      <c r="R186" s="17">
        <f>P186+ROUND(Q186, 2)</f>
        <v>1429.98</v>
      </c>
      <c r="S186" s="17">
        <f>ROUND(P186*I186, 2)</f>
        <v>28362.75</v>
      </c>
      <c r="T186" s="17">
        <f>ROUND(I186*ROUND(Q186, 2), 2)</f>
        <v>7529.75</v>
      </c>
      <c r="U186" s="17">
        <f>S186+T186</f>
        <v>35892.5</v>
      </c>
      <c r="V186" s="9">
        <f>ROUND(P186 / 1.2, 2)</f>
        <v>941.66</v>
      </c>
      <c r="W186" s="9">
        <f>ROUND(Q186 / 1.2, 2)</f>
        <v>249.99</v>
      </c>
      <c r="X186" s="9">
        <f>ROUND(R186 / 1.2, 2)</f>
        <v>1191.6500000000001</v>
      </c>
      <c r="Y186" s="9">
        <f t="shared" si="14"/>
        <v>23635.63</v>
      </c>
      <c r="Z186" s="9">
        <f>ROUND(T186 / 1.2, 2)</f>
        <v>6274.79</v>
      </c>
      <c r="AA186" s="9">
        <f>Y186+Z186</f>
        <v>29910.420000000002</v>
      </c>
      <c r="AD186" s="4">
        <v>334080615</v>
      </c>
      <c r="AE186" s="4">
        <v>29373766</v>
      </c>
      <c r="AG186" s="4" t="s">
        <v>588</v>
      </c>
      <c r="AH186" s="4" t="s">
        <v>589</v>
      </c>
      <c r="AI186" s="4" t="s">
        <v>250</v>
      </c>
    </row>
    <row r="187" spans="1:35" ht="126" x14ac:dyDescent="0.3">
      <c r="A187" s="10" t="s">
        <v>698</v>
      </c>
      <c r="B187" s="10"/>
      <c r="C187" s="24" t="s">
        <v>591</v>
      </c>
      <c r="D187" s="15"/>
      <c r="E187" s="15" t="s">
        <v>693</v>
      </c>
      <c r="F187" s="25" t="s">
        <v>102</v>
      </c>
      <c r="G187" s="26">
        <v>1.1000000000000001</v>
      </c>
      <c r="H187" s="31"/>
      <c r="I187" s="31">
        <v>27.61</v>
      </c>
      <c r="J187" s="27">
        <v>0</v>
      </c>
      <c r="M187" s="28">
        <f>ROUND(ROUND(J187, 2)*I187, 2)</f>
        <v>0</v>
      </c>
      <c r="P187" s="29">
        <v>1027.26</v>
      </c>
      <c r="S187" s="28">
        <f>ROUND(ROUND(P187, 2)*I187, 2)</f>
        <v>28362.65</v>
      </c>
      <c r="V187" s="9">
        <f>ROUND(ROUND(P187, 2)/1.2, 2)</f>
        <v>856.05</v>
      </c>
      <c r="Y187" s="9">
        <f t="shared" si="14"/>
        <v>23635.54</v>
      </c>
      <c r="AD187" s="4" t="s">
        <v>699</v>
      </c>
      <c r="AE187" s="4" t="s">
        <v>700</v>
      </c>
      <c r="AF187" s="4" t="s">
        <v>594</v>
      </c>
    </row>
    <row r="188" spans="1:35" ht="72" x14ac:dyDescent="0.3">
      <c r="A188" s="10" t="s">
        <v>701</v>
      </c>
      <c r="B188" s="10" t="s">
        <v>586</v>
      </c>
      <c r="C188" s="14" t="s">
        <v>587</v>
      </c>
      <c r="D188" s="15"/>
      <c r="E188" s="15" t="s">
        <v>625</v>
      </c>
      <c r="F188" s="15" t="s">
        <v>102</v>
      </c>
      <c r="G188" s="16">
        <v>1</v>
      </c>
      <c r="H188" s="16"/>
      <c r="I188" s="16">
        <v>25</v>
      </c>
      <c r="J188" s="17">
        <f>IFERROR(ROUND(SUM(M189)/I188, 2),0)</f>
        <v>0</v>
      </c>
      <c r="K188" s="18">
        <v>199.99</v>
      </c>
      <c r="L188" s="17">
        <f>J188+ROUND(K188, 2)</f>
        <v>199.99</v>
      </c>
      <c r="M188" s="17">
        <f>ROUND(J188*I188, 2)</f>
        <v>0</v>
      </c>
      <c r="N188" s="17">
        <f>ROUND(I188*ROUND(K188, 2), 2)</f>
        <v>4999.75</v>
      </c>
      <c r="O188" s="17">
        <f>M188+N188</f>
        <v>4999.75</v>
      </c>
      <c r="P188" s="17">
        <f>IFERROR(ROUND(SUM(S189)/I188, 2),0)</f>
        <v>3790.09</v>
      </c>
      <c r="Q188" s="19">
        <v>299.99</v>
      </c>
      <c r="R188" s="17">
        <f>P188+ROUND(Q188, 2)</f>
        <v>4090.08</v>
      </c>
      <c r="S188" s="17">
        <f>ROUND(P188*I188, 2)</f>
        <v>94752.25</v>
      </c>
      <c r="T188" s="17">
        <f>ROUND(I188*ROUND(Q188, 2), 2)</f>
        <v>7499.75</v>
      </c>
      <c r="U188" s="17">
        <f>S188+T188</f>
        <v>102252</v>
      </c>
      <c r="V188" s="9">
        <f>ROUND(P188 / 1.2, 2)</f>
        <v>3158.41</v>
      </c>
      <c r="W188" s="9">
        <f>ROUND(Q188 / 1.2, 2)</f>
        <v>249.99</v>
      </c>
      <c r="X188" s="9">
        <f>ROUND(R188 / 1.2, 2)</f>
        <v>3408.4</v>
      </c>
      <c r="Y188" s="9">
        <f t="shared" si="14"/>
        <v>78960.210000000006</v>
      </c>
      <c r="Z188" s="9">
        <f>ROUND(T188 / 1.2, 2)</f>
        <v>6249.79</v>
      </c>
      <c r="AA188" s="9">
        <f>Y188+Z188</f>
        <v>85210</v>
      </c>
      <c r="AD188" s="4">
        <v>334080616</v>
      </c>
      <c r="AE188" s="4">
        <v>29373759</v>
      </c>
      <c r="AG188" s="4" t="s">
        <v>588</v>
      </c>
      <c r="AH188" s="4" t="s">
        <v>589</v>
      </c>
      <c r="AI188" s="4" t="s">
        <v>250</v>
      </c>
    </row>
    <row r="189" spans="1:35" ht="162" x14ac:dyDescent="0.3">
      <c r="A189" s="10" t="s">
        <v>702</v>
      </c>
      <c r="B189" s="10"/>
      <c r="C189" s="24" t="s">
        <v>685</v>
      </c>
      <c r="D189" s="15"/>
      <c r="E189" s="15" t="s">
        <v>686</v>
      </c>
      <c r="F189" s="25" t="s">
        <v>102</v>
      </c>
      <c r="G189" s="26">
        <v>1.1000000000000001</v>
      </c>
      <c r="H189" s="31"/>
      <c r="I189" s="31">
        <v>27.5</v>
      </c>
      <c r="J189" s="27">
        <v>0</v>
      </c>
      <c r="M189" s="28">
        <f>ROUND(ROUND(J189, 2)*I189, 2)</f>
        <v>0</v>
      </c>
      <c r="P189" s="29">
        <v>3445.54</v>
      </c>
      <c r="S189" s="28">
        <f>ROUND(ROUND(P189, 2)*I189, 2)</f>
        <v>94752.35</v>
      </c>
      <c r="V189" s="9">
        <f>ROUND(ROUND(P189, 2)/1.2, 2)</f>
        <v>2871.28</v>
      </c>
      <c r="Y189" s="9">
        <f t="shared" si="14"/>
        <v>78960.289999999994</v>
      </c>
      <c r="AD189" s="4" t="s">
        <v>703</v>
      </c>
      <c r="AE189" s="4" t="s">
        <v>704</v>
      </c>
      <c r="AF189" s="4" t="s">
        <v>689</v>
      </c>
    </row>
    <row r="190" spans="1:35" ht="72" x14ac:dyDescent="0.3">
      <c r="A190" s="10" t="s">
        <v>705</v>
      </c>
      <c r="B190" s="10" t="s">
        <v>586</v>
      </c>
      <c r="C190" s="14" t="s">
        <v>587</v>
      </c>
      <c r="D190" s="15"/>
      <c r="E190" s="15" t="s">
        <v>638</v>
      </c>
      <c r="F190" s="15" t="s">
        <v>102</v>
      </c>
      <c r="G190" s="16">
        <v>1</v>
      </c>
      <c r="H190" s="16"/>
      <c r="I190" s="16">
        <v>8.1</v>
      </c>
      <c r="J190" s="17">
        <f>IFERROR(ROUND(SUM(M191)/I190, 2),0)</f>
        <v>0</v>
      </c>
      <c r="K190" s="18">
        <v>199.99</v>
      </c>
      <c r="L190" s="17">
        <f>J190+ROUND(K190, 2)</f>
        <v>199.99</v>
      </c>
      <c r="M190" s="17">
        <f>ROUND(J190*I190, 2)</f>
        <v>0</v>
      </c>
      <c r="N190" s="17">
        <f>ROUND(I190*ROUND(K190, 2), 2)</f>
        <v>1619.92</v>
      </c>
      <c r="O190" s="17">
        <f>M190+N190</f>
        <v>1619.92</v>
      </c>
      <c r="P190" s="17">
        <f>IFERROR(ROUND(SUM(S191)/I190, 2),0)</f>
        <v>1129.99</v>
      </c>
      <c r="Q190" s="19">
        <v>299.99</v>
      </c>
      <c r="R190" s="17">
        <f>P190+ROUND(Q190, 2)</f>
        <v>1429.98</v>
      </c>
      <c r="S190" s="17">
        <f>ROUND(P190*I190, 2)</f>
        <v>9152.92</v>
      </c>
      <c r="T190" s="17">
        <f>ROUND(I190*ROUND(Q190, 2), 2)</f>
        <v>2429.92</v>
      </c>
      <c r="U190" s="17">
        <f>S190+T190</f>
        <v>11582.84</v>
      </c>
      <c r="V190" s="9">
        <f>ROUND(P190 / 1.2, 2)</f>
        <v>941.66</v>
      </c>
      <c r="W190" s="9">
        <f>ROUND(Q190 / 1.2, 2)</f>
        <v>249.99</v>
      </c>
      <c r="X190" s="9">
        <f>ROUND(R190 / 1.2, 2)</f>
        <v>1191.6500000000001</v>
      </c>
      <c r="Y190" s="9">
        <f t="shared" si="14"/>
        <v>7627.43</v>
      </c>
      <c r="Z190" s="9">
        <f>ROUND(T190 / 1.2, 2)</f>
        <v>2024.93</v>
      </c>
      <c r="AA190" s="9">
        <f>Y190+Z190</f>
        <v>9652.36</v>
      </c>
      <c r="AD190" s="4">
        <v>334080617</v>
      </c>
      <c r="AE190" s="4">
        <v>29373761</v>
      </c>
      <c r="AG190" s="4" t="s">
        <v>588</v>
      </c>
      <c r="AH190" s="4" t="s">
        <v>589</v>
      </c>
      <c r="AI190" s="4" t="s">
        <v>250</v>
      </c>
    </row>
    <row r="191" spans="1:35" ht="126" x14ac:dyDescent="0.3">
      <c r="A191" s="10" t="s">
        <v>706</v>
      </c>
      <c r="B191" s="10"/>
      <c r="C191" s="24" t="s">
        <v>591</v>
      </c>
      <c r="D191" s="15"/>
      <c r="E191" s="15" t="s">
        <v>693</v>
      </c>
      <c r="F191" s="25" t="s">
        <v>102</v>
      </c>
      <c r="G191" s="26">
        <v>1.1000000000000001</v>
      </c>
      <c r="H191" s="31"/>
      <c r="I191" s="31">
        <v>8.91</v>
      </c>
      <c r="J191" s="27">
        <v>0</v>
      </c>
      <c r="M191" s="28">
        <f>ROUND(ROUND(J191, 2)*I191, 2)</f>
        <v>0</v>
      </c>
      <c r="P191" s="29">
        <v>1027.26</v>
      </c>
      <c r="S191" s="28">
        <f>ROUND(ROUND(P191, 2)*I191, 2)</f>
        <v>9152.89</v>
      </c>
      <c r="V191" s="9">
        <f>ROUND(ROUND(P191, 2)/1.2, 2)</f>
        <v>856.05</v>
      </c>
      <c r="Y191" s="9">
        <f t="shared" si="14"/>
        <v>7627.41</v>
      </c>
      <c r="AD191" s="4" t="s">
        <v>707</v>
      </c>
      <c r="AE191" s="4" t="s">
        <v>708</v>
      </c>
      <c r="AF191" s="4" t="s">
        <v>594</v>
      </c>
    </row>
    <row r="192" spans="1:35" ht="72" x14ac:dyDescent="0.3">
      <c r="A192" s="10" t="s">
        <v>709</v>
      </c>
      <c r="B192" s="10" t="s">
        <v>586</v>
      </c>
      <c r="C192" s="14" t="s">
        <v>587</v>
      </c>
      <c r="D192" s="15"/>
      <c r="E192" s="15" t="s">
        <v>651</v>
      </c>
      <c r="F192" s="15" t="s">
        <v>102</v>
      </c>
      <c r="G192" s="16">
        <v>1</v>
      </c>
      <c r="H192" s="16"/>
      <c r="I192" s="16">
        <v>11</v>
      </c>
      <c r="J192" s="17">
        <f>IFERROR(ROUND(SUM(M193)/I192, 2),0)</f>
        <v>0</v>
      </c>
      <c r="K192" s="18">
        <v>199.99</v>
      </c>
      <c r="L192" s="17">
        <f>J192+ROUND(K192, 2)</f>
        <v>199.99</v>
      </c>
      <c r="M192" s="17">
        <f>ROUND(J192*I192, 2)</f>
        <v>0</v>
      </c>
      <c r="N192" s="17">
        <f>ROUND(I192*ROUND(K192, 2), 2)</f>
        <v>2199.89</v>
      </c>
      <c r="O192" s="17">
        <f>M192+N192</f>
        <v>2199.89</v>
      </c>
      <c r="P192" s="17">
        <f>IFERROR(ROUND(SUM(S193)/I192, 2),0)</f>
        <v>1129.99</v>
      </c>
      <c r="Q192" s="19">
        <v>299.99</v>
      </c>
      <c r="R192" s="17">
        <f>P192+ROUND(Q192, 2)</f>
        <v>1429.98</v>
      </c>
      <c r="S192" s="17">
        <f>ROUND(P192*I192, 2)</f>
        <v>12429.89</v>
      </c>
      <c r="T192" s="17">
        <f>ROUND(I192*ROUND(Q192, 2), 2)</f>
        <v>3299.89</v>
      </c>
      <c r="U192" s="17">
        <f>S192+T192</f>
        <v>15729.779999999999</v>
      </c>
      <c r="V192" s="9">
        <f>ROUND(P192 / 1.2, 2)</f>
        <v>941.66</v>
      </c>
      <c r="W192" s="9">
        <f>ROUND(Q192 / 1.2, 2)</f>
        <v>249.99</v>
      </c>
      <c r="X192" s="9">
        <f>ROUND(R192 / 1.2, 2)</f>
        <v>1191.6500000000001</v>
      </c>
      <c r="Y192" s="9">
        <f t="shared" si="14"/>
        <v>10358.24</v>
      </c>
      <c r="Z192" s="9">
        <f>ROUND(T192 / 1.2, 2)</f>
        <v>2749.91</v>
      </c>
      <c r="AA192" s="9">
        <f>Y192+Z192</f>
        <v>13108.15</v>
      </c>
      <c r="AD192" s="4">
        <v>334080618</v>
      </c>
      <c r="AE192" s="4">
        <v>29373763</v>
      </c>
      <c r="AG192" s="4" t="s">
        <v>588</v>
      </c>
      <c r="AH192" s="4" t="s">
        <v>589</v>
      </c>
      <c r="AI192" s="4" t="s">
        <v>250</v>
      </c>
    </row>
    <row r="193" spans="1:35" ht="126" x14ac:dyDescent="0.3">
      <c r="A193" s="10" t="s">
        <v>710</v>
      </c>
      <c r="B193" s="10"/>
      <c r="C193" s="24" t="s">
        <v>591</v>
      </c>
      <c r="D193" s="15"/>
      <c r="E193" s="15" t="s">
        <v>693</v>
      </c>
      <c r="F193" s="25" t="s">
        <v>102</v>
      </c>
      <c r="G193" s="26">
        <v>1.1000000000000001</v>
      </c>
      <c r="H193" s="31"/>
      <c r="I193" s="31">
        <v>12.1</v>
      </c>
      <c r="J193" s="27">
        <v>0</v>
      </c>
      <c r="M193" s="28">
        <f>ROUND(ROUND(J193, 2)*I193, 2)</f>
        <v>0</v>
      </c>
      <c r="P193" s="29">
        <v>1027.26</v>
      </c>
      <c r="S193" s="28">
        <f>ROUND(ROUND(P193, 2)*I193, 2)</f>
        <v>12429.85</v>
      </c>
      <c r="V193" s="9">
        <f>ROUND(ROUND(P193, 2)/1.2, 2)</f>
        <v>856.05</v>
      </c>
      <c r="Y193" s="9">
        <f t="shared" si="14"/>
        <v>10358.209999999999</v>
      </c>
      <c r="AD193" s="4" t="s">
        <v>711</v>
      </c>
      <c r="AE193" s="4" t="s">
        <v>712</v>
      </c>
      <c r="AF193" s="4" t="s">
        <v>594</v>
      </c>
    </row>
    <row r="194" spans="1:35" ht="36" x14ac:dyDescent="0.3">
      <c r="A194" s="10" t="s">
        <v>713</v>
      </c>
      <c r="B194" s="10" t="s">
        <v>714</v>
      </c>
      <c r="C194" s="14" t="s">
        <v>715</v>
      </c>
      <c r="D194" s="15"/>
      <c r="E194" s="15"/>
      <c r="F194" s="15" t="s">
        <v>62</v>
      </c>
      <c r="G194" s="16">
        <v>1</v>
      </c>
      <c r="H194" s="16"/>
      <c r="I194" s="16">
        <v>0</v>
      </c>
      <c r="J194" s="17">
        <v>0</v>
      </c>
      <c r="K194" s="18">
        <v>661</v>
      </c>
      <c r="L194" s="17">
        <f>J194+ROUND(K194, 2)</f>
        <v>661</v>
      </c>
      <c r="M194" s="17">
        <v>0</v>
      </c>
      <c r="N194" s="17">
        <v>0</v>
      </c>
      <c r="O194" s="17">
        <f>M194+N194</f>
        <v>0</v>
      </c>
      <c r="P194" s="17">
        <v>2510.19</v>
      </c>
      <c r="Q194" s="18">
        <v>661</v>
      </c>
      <c r="R194" s="17">
        <f>P194+ROUND(Q194, 2)</f>
        <v>3171.19</v>
      </c>
      <c r="S194" s="17">
        <v>0</v>
      </c>
      <c r="T194" s="17">
        <v>0</v>
      </c>
      <c r="U194" s="17">
        <f>S194+T194</f>
        <v>0</v>
      </c>
      <c r="V194" s="9">
        <f>ROUND(P194 / 1.2, 2)</f>
        <v>2091.83</v>
      </c>
      <c r="W194" s="9">
        <f>ROUND(Q194 / 1.2, 2)</f>
        <v>550.83000000000004</v>
      </c>
      <c r="X194" s="9">
        <f>ROUND(R194 / 1.2, 2)</f>
        <v>2642.66</v>
      </c>
      <c r="Y194" s="9">
        <f t="shared" si="14"/>
        <v>0</v>
      </c>
      <c r="Z194" s="9">
        <f>ROUND(T194 / 1.2, 2)</f>
        <v>0</v>
      </c>
      <c r="AA194" s="9">
        <f>Y194+Z194</f>
        <v>0</v>
      </c>
      <c r="AD194" s="4">
        <v>334080510</v>
      </c>
      <c r="AE194" s="4">
        <v>27245602</v>
      </c>
      <c r="AG194" s="4" t="s">
        <v>716</v>
      </c>
      <c r="AH194" s="4" t="s">
        <v>717</v>
      </c>
      <c r="AI194" s="4" t="s">
        <v>250</v>
      </c>
    </row>
    <row r="195" spans="1:35" ht="90" x14ac:dyDescent="0.3">
      <c r="A195" s="10" t="s">
        <v>718</v>
      </c>
      <c r="B195" s="10"/>
      <c r="C195" s="24" t="s">
        <v>719</v>
      </c>
      <c r="D195" s="15"/>
      <c r="E195" s="15"/>
      <c r="F195" s="25" t="s">
        <v>597</v>
      </c>
      <c r="G195" s="26">
        <v>1</v>
      </c>
      <c r="H195" s="31"/>
      <c r="I195" s="31">
        <v>0</v>
      </c>
      <c r="J195" s="27">
        <v>0</v>
      </c>
      <c r="M195" s="28">
        <f>ROUND(ROUND(J195, 2)*I195, 2)</f>
        <v>0</v>
      </c>
      <c r="P195" s="27">
        <v>3880</v>
      </c>
      <c r="S195" s="28">
        <f>ROUND(ROUND(P195, 2)*I195, 2)</f>
        <v>0</v>
      </c>
      <c r="V195" s="9">
        <f>ROUND(ROUND(P195, 2)/1.2, 2)</f>
        <v>3233.33</v>
      </c>
      <c r="Y195" s="9">
        <f t="shared" si="14"/>
        <v>0</v>
      </c>
      <c r="AD195" s="4" t="s">
        <v>720</v>
      </c>
      <c r="AE195" s="4" t="s">
        <v>721</v>
      </c>
      <c r="AF195" s="4" t="s">
        <v>722</v>
      </c>
    </row>
    <row r="196" spans="1:35" ht="36" x14ac:dyDescent="0.3">
      <c r="A196" s="10" t="s">
        <v>723</v>
      </c>
      <c r="B196" s="10"/>
      <c r="C196" s="24" t="s">
        <v>724</v>
      </c>
      <c r="D196" s="15"/>
      <c r="E196" s="15"/>
      <c r="F196" s="25" t="s">
        <v>62</v>
      </c>
      <c r="G196" s="26">
        <v>1.03</v>
      </c>
      <c r="H196" s="31"/>
      <c r="I196" s="31">
        <v>0</v>
      </c>
      <c r="J196" s="27">
        <v>0</v>
      </c>
      <c r="M196" s="28">
        <f>ROUND(ROUND(J196, 2)*I196, 2)</f>
        <v>0</v>
      </c>
      <c r="P196" s="27">
        <v>2000</v>
      </c>
      <c r="S196" s="28">
        <f>ROUND(ROUND(P196, 2)*I196, 2)</f>
        <v>0</v>
      </c>
      <c r="V196" s="9">
        <f>ROUND(ROUND(P196, 2)/1.2, 2)</f>
        <v>1666.67</v>
      </c>
      <c r="Y196" s="9">
        <f t="shared" si="14"/>
        <v>0</v>
      </c>
      <c r="AD196" s="4" t="s">
        <v>725</v>
      </c>
      <c r="AE196" s="4" t="s">
        <v>726</v>
      </c>
      <c r="AF196" s="4" t="s">
        <v>727</v>
      </c>
    </row>
    <row r="197" spans="1:35" ht="36" x14ac:dyDescent="0.3">
      <c r="A197" s="10" t="s">
        <v>728</v>
      </c>
      <c r="B197" s="10" t="s">
        <v>714</v>
      </c>
      <c r="C197" s="14" t="s">
        <v>715</v>
      </c>
      <c r="D197" s="15"/>
      <c r="E197" s="15"/>
      <c r="F197" s="15" t="s">
        <v>62</v>
      </c>
      <c r="G197" s="16">
        <v>1</v>
      </c>
      <c r="H197" s="16"/>
      <c r="I197" s="16">
        <v>0</v>
      </c>
      <c r="J197" s="17">
        <v>0</v>
      </c>
      <c r="K197" s="18">
        <v>661</v>
      </c>
      <c r="L197" s="17">
        <f>J197+ROUND(K197, 2)</f>
        <v>661</v>
      </c>
      <c r="M197" s="17">
        <v>0</v>
      </c>
      <c r="N197" s="17">
        <v>0</v>
      </c>
      <c r="O197" s="17">
        <f>M197+N197</f>
        <v>0</v>
      </c>
      <c r="P197" s="17">
        <v>2509.98</v>
      </c>
      <c r="Q197" s="18">
        <v>661</v>
      </c>
      <c r="R197" s="17">
        <f>P197+ROUND(Q197, 2)</f>
        <v>3170.98</v>
      </c>
      <c r="S197" s="17">
        <v>0</v>
      </c>
      <c r="T197" s="17">
        <v>0</v>
      </c>
      <c r="U197" s="17">
        <f>S197+T197</f>
        <v>0</v>
      </c>
      <c r="V197" s="9">
        <f>ROUND(P197 / 1.2, 2)</f>
        <v>2091.65</v>
      </c>
      <c r="W197" s="9">
        <f>ROUND(Q197 / 1.2, 2)</f>
        <v>550.83000000000004</v>
      </c>
      <c r="X197" s="9">
        <f>ROUND(R197 / 1.2, 2)</f>
        <v>2642.48</v>
      </c>
      <c r="Y197" s="9">
        <f t="shared" si="14"/>
        <v>0</v>
      </c>
      <c r="Z197" s="9">
        <f>ROUND(T197 / 1.2, 2)</f>
        <v>0</v>
      </c>
      <c r="AA197" s="9">
        <f>Y197+Z197</f>
        <v>0</v>
      </c>
      <c r="AD197" s="4">
        <v>334080619</v>
      </c>
      <c r="AE197" s="4">
        <v>27245603</v>
      </c>
      <c r="AG197" s="4" t="s">
        <v>716</v>
      </c>
      <c r="AH197" s="4" t="s">
        <v>717</v>
      </c>
      <c r="AI197" s="4" t="s">
        <v>250</v>
      </c>
    </row>
    <row r="198" spans="1:35" ht="36" x14ac:dyDescent="0.3">
      <c r="A198" s="10" t="s">
        <v>729</v>
      </c>
      <c r="B198" s="10"/>
      <c r="C198" s="24" t="s">
        <v>724</v>
      </c>
      <c r="D198" s="15"/>
      <c r="E198" s="15"/>
      <c r="F198" s="25" t="s">
        <v>62</v>
      </c>
      <c r="G198" s="26">
        <v>1.03</v>
      </c>
      <c r="H198" s="31"/>
      <c r="I198" s="31">
        <v>0</v>
      </c>
      <c r="J198" s="27">
        <v>0</v>
      </c>
      <c r="M198" s="28">
        <f>ROUND(ROUND(J198, 2)*I198, 2)</f>
        <v>0</v>
      </c>
      <c r="P198" s="27">
        <v>2000</v>
      </c>
      <c r="S198" s="28">
        <f>ROUND(ROUND(P198, 2)*I198, 2)</f>
        <v>0</v>
      </c>
      <c r="V198" s="9">
        <f>ROUND(ROUND(P198, 2)/1.2, 2)</f>
        <v>1666.67</v>
      </c>
      <c r="Y198" s="9">
        <f t="shared" si="14"/>
        <v>0</v>
      </c>
      <c r="AD198" s="4" t="s">
        <v>730</v>
      </c>
      <c r="AE198" s="4" t="s">
        <v>731</v>
      </c>
      <c r="AF198" s="4" t="s">
        <v>727</v>
      </c>
    </row>
    <row r="199" spans="1:35" ht="90" x14ac:dyDescent="0.3">
      <c r="A199" s="10" t="s">
        <v>732</v>
      </c>
      <c r="B199" s="10"/>
      <c r="C199" s="24" t="s">
        <v>719</v>
      </c>
      <c r="D199" s="15"/>
      <c r="E199" s="15"/>
      <c r="F199" s="25" t="s">
        <v>597</v>
      </c>
      <c r="G199" s="26">
        <v>1</v>
      </c>
      <c r="H199" s="31"/>
      <c r="I199" s="31">
        <v>0</v>
      </c>
      <c r="J199" s="27">
        <v>0</v>
      </c>
      <c r="M199" s="28">
        <f>ROUND(ROUND(J199, 2)*I199, 2)</f>
        <v>0</v>
      </c>
      <c r="P199" s="27">
        <v>3880</v>
      </c>
      <c r="S199" s="28">
        <f>ROUND(ROUND(P199, 2)*I199, 2)</f>
        <v>0</v>
      </c>
      <c r="V199" s="9">
        <f>ROUND(ROUND(P199, 2)/1.2, 2)</f>
        <v>3233.33</v>
      </c>
      <c r="Y199" s="9">
        <f t="shared" si="14"/>
        <v>0</v>
      </c>
      <c r="AD199" s="4" t="s">
        <v>733</v>
      </c>
      <c r="AE199" s="4" t="s">
        <v>734</v>
      </c>
      <c r="AF199" s="4" t="s">
        <v>722</v>
      </c>
    </row>
    <row r="200" spans="1:35" ht="90" x14ac:dyDescent="0.3">
      <c r="A200" s="10" t="s">
        <v>735</v>
      </c>
      <c r="B200" s="10" t="s">
        <v>714</v>
      </c>
      <c r="C200" s="14" t="s">
        <v>715</v>
      </c>
      <c r="D200" s="15"/>
      <c r="E200" s="15" t="s">
        <v>736</v>
      </c>
      <c r="F200" s="15" t="s">
        <v>62</v>
      </c>
      <c r="G200" s="16">
        <v>1</v>
      </c>
      <c r="H200" s="16"/>
      <c r="I200" s="16">
        <v>245.2</v>
      </c>
      <c r="J200" s="17">
        <v>0</v>
      </c>
      <c r="K200" s="18">
        <v>661</v>
      </c>
      <c r="L200" s="17">
        <f>J200+ROUND(K200, 2)</f>
        <v>661</v>
      </c>
      <c r="M200" s="17">
        <v>0</v>
      </c>
      <c r="N200" s="17">
        <v>162077.20000000001</v>
      </c>
      <c r="O200" s="17">
        <f>M200+N200</f>
        <v>162077.20000000001</v>
      </c>
      <c r="P200" s="17">
        <v>4146.0600000000004</v>
      </c>
      <c r="Q200" s="18">
        <v>991.5</v>
      </c>
      <c r="R200" s="17">
        <f>P200+ROUND(Q200, 2)</f>
        <v>5137.5600000000004</v>
      </c>
      <c r="S200" s="17">
        <v>1016613.91</v>
      </c>
      <c r="T200" s="17">
        <v>243115.8</v>
      </c>
      <c r="U200" s="17">
        <f>S200+T200</f>
        <v>1259729.71</v>
      </c>
      <c r="V200" s="9">
        <f>ROUND(P200 / 1.2, 2)</f>
        <v>3455.05</v>
      </c>
      <c r="W200" s="9">
        <f>ROUND(Q200 / 1.2, 2)</f>
        <v>826.25</v>
      </c>
      <c r="X200" s="9">
        <f>ROUND(R200 / 1.2, 2)</f>
        <v>4281.3</v>
      </c>
      <c r="Y200" s="9">
        <f t="shared" si="14"/>
        <v>847178.26</v>
      </c>
      <c r="Z200" s="9">
        <f>ROUND(T200 / 1.2, 2)</f>
        <v>202596.5</v>
      </c>
      <c r="AA200" s="9">
        <f>Y200+Z200</f>
        <v>1049774.76</v>
      </c>
      <c r="AD200" s="4">
        <v>334080620</v>
      </c>
      <c r="AE200" s="4">
        <v>27245796</v>
      </c>
      <c r="AG200" s="4" t="s">
        <v>716</v>
      </c>
      <c r="AH200" s="4" t="s">
        <v>717</v>
      </c>
      <c r="AI200" s="4" t="s">
        <v>250</v>
      </c>
    </row>
    <row r="201" spans="1:35" ht="90" x14ac:dyDescent="0.3">
      <c r="A201" s="10" t="s">
        <v>737</v>
      </c>
      <c r="B201" s="10"/>
      <c r="C201" s="24" t="s">
        <v>719</v>
      </c>
      <c r="D201" s="15"/>
      <c r="E201" s="15" t="s">
        <v>738</v>
      </c>
      <c r="F201" s="25" t="s">
        <v>597</v>
      </c>
      <c r="G201" s="26">
        <v>1</v>
      </c>
      <c r="H201" s="31"/>
      <c r="I201" s="31">
        <v>28.45</v>
      </c>
      <c r="J201" s="27">
        <v>0</v>
      </c>
      <c r="M201" s="28">
        <f>ROUND(ROUND(J201, 2)*I201, 2)</f>
        <v>0</v>
      </c>
      <c r="P201" s="27">
        <v>2000</v>
      </c>
      <c r="S201" s="28">
        <f>ROUND(ROUND(P201, 2)*I201, 2)</f>
        <v>56900</v>
      </c>
      <c r="V201" s="9">
        <f>ROUND(ROUND(P201, 2)/1.2, 2)</f>
        <v>1666.67</v>
      </c>
      <c r="Y201" s="9">
        <f t="shared" si="14"/>
        <v>47416.67</v>
      </c>
      <c r="AD201" s="4" t="s">
        <v>739</v>
      </c>
      <c r="AE201" s="4" t="s">
        <v>740</v>
      </c>
      <c r="AF201" s="4" t="s">
        <v>722</v>
      </c>
    </row>
    <row r="202" spans="1:35" ht="36" x14ac:dyDescent="0.3">
      <c r="A202" s="10" t="s">
        <v>741</v>
      </c>
      <c r="B202" s="10"/>
      <c r="C202" s="24" t="s">
        <v>724</v>
      </c>
      <c r="D202" s="15"/>
      <c r="E202" s="15" t="s">
        <v>742</v>
      </c>
      <c r="F202" s="25" t="s">
        <v>62</v>
      </c>
      <c r="G202" s="26">
        <v>1.03</v>
      </c>
      <c r="H202" s="31"/>
      <c r="I202" s="31">
        <v>252.55600000000001</v>
      </c>
      <c r="J202" s="27">
        <v>0</v>
      </c>
      <c r="M202" s="28">
        <f>ROUND(ROUND(J202, 2)*I202, 2)</f>
        <v>0</v>
      </c>
      <c r="P202" s="27">
        <v>3800</v>
      </c>
      <c r="S202" s="28">
        <f>ROUND(ROUND(P202, 2)*I202, 2)</f>
        <v>959712.8</v>
      </c>
      <c r="V202" s="9">
        <f>ROUND(ROUND(P202, 2)/1.2, 2)</f>
        <v>3166.67</v>
      </c>
      <c r="Y202" s="9">
        <f t="shared" si="14"/>
        <v>799760.67</v>
      </c>
      <c r="AD202" s="4" t="s">
        <v>743</v>
      </c>
      <c r="AE202" s="4" t="s">
        <v>744</v>
      </c>
      <c r="AF202" s="4" t="s">
        <v>727</v>
      </c>
    </row>
    <row r="203" spans="1:35" ht="90" x14ac:dyDescent="0.3">
      <c r="A203" s="10" t="s">
        <v>745</v>
      </c>
      <c r="B203" s="10" t="s">
        <v>714</v>
      </c>
      <c r="C203" s="14" t="s">
        <v>715</v>
      </c>
      <c r="D203" s="15"/>
      <c r="E203" s="15" t="s">
        <v>746</v>
      </c>
      <c r="F203" s="15" t="s">
        <v>62</v>
      </c>
      <c r="G203" s="16">
        <v>1</v>
      </c>
      <c r="H203" s="16"/>
      <c r="I203" s="16">
        <v>45.7</v>
      </c>
      <c r="J203" s="17">
        <v>0</v>
      </c>
      <c r="K203" s="18">
        <v>661</v>
      </c>
      <c r="L203" s="17">
        <f>J203+ROUND(K203, 2)</f>
        <v>661</v>
      </c>
      <c r="M203" s="17">
        <v>0</v>
      </c>
      <c r="N203" s="17">
        <v>30207.7</v>
      </c>
      <c r="O203" s="17">
        <f>M203+N203</f>
        <v>30207.7</v>
      </c>
      <c r="P203" s="17">
        <v>2509.98</v>
      </c>
      <c r="Q203" s="18">
        <v>991.5</v>
      </c>
      <c r="R203" s="17">
        <f>P203+ROUND(Q203, 2)</f>
        <v>3501.48</v>
      </c>
      <c r="S203" s="17">
        <v>114706.09</v>
      </c>
      <c r="T203" s="17">
        <v>45311.55</v>
      </c>
      <c r="U203" s="17">
        <f>S203+T203</f>
        <v>160017.64000000001</v>
      </c>
      <c r="V203" s="9">
        <f>ROUND(P203 / 1.2, 2)</f>
        <v>2091.65</v>
      </c>
      <c r="W203" s="9">
        <f>ROUND(Q203 / 1.2, 2)</f>
        <v>826.25</v>
      </c>
      <c r="X203" s="9">
        <f>ROUND(R203 / 1.2, 2)</f>
        <v>2917.9</v>
      </c>
      <c r="Y203" s="9">
        <f t="shared" si="14"/>
        <v>95588.41</v>
      </c>
      <c r="Z203" s="9">
        <f>ROUND(T203 / 1.2, 2)</f>
        <v>37759.629999999997</v>
      </c>
      <c r="AA203" s="9">
        <f>Y203+Z203</f>
        <v>133348.04</v>
      </c>
      <c r="AD203" s="4">
        <v>334080621</v>
      </c>
      <c r="AE203" s="4">
        <v>27245798</v>
      </c>
      <c r="AG203" s="4" t="s">
        <v>716</v>
      </c>
      <c r="AH203" s="4" t="s">
        <v>717</v>
      </c>
      <c r="AI203" s="4" t="s">
        <v>250</v>
      </c>
    </row>
    <row r="204" spans="1:35" ht="36" x14ac:dyDescent="0.3">
      <c r="A204" s="10" t="s">
        <v>747</v>
      </c>
      <c r="B204" s="10"/>
      <c r="C204" s="24" t="s">
        <v>724</v>
      </c>
      <c r="D204" s="15"/>
      <c r="E204" s="15"/>
      <c r="F204" s="25" t="s">
        <v>62</v>
      </c>
      <c r="G204" s="26">
        <v>1.03</v>
      </c>
      <c r="H204" s="31"/>
      <c r="I204" s="31">
        <v>47.070999999999998</v>
      </c>
      <c r="J204" s="27">
        <v>0</v>
      </c>
      <c r="M204" s="28">
        <f>ROUND(ROUND(J204, 2)*I204, 2)</f>
        <v>0</v>
      </c>
      <c r="P204" s="27">
        <v>2000</v>
      </c>
      <c r="S204" s="28">
        <f>ROUND(ROUND(P204, 2)*I204, 2)</f>
        <v>94142</v>
      </c>
      <c r="V204" s="9">
        <f>ROUND(ROUND(P204, 2)/1.2, 2)</f>
        <v>1666.67</v>
      </c>
      <c r="Y204" s="9">
        <f t="shared" si="14"/>
        <v>78451.67</v>
      </c>
      <c r="AD204" s="4" t="s">
        <v>748</v>
      </c>
      <c r="AE204" s="4" t="s">
        <v>749</v>
      </c>
      <c r="AF204" s="4" t="s">
        <v>727</v>
      </c>
    </row>
    <row r="205" spans="1:35" ht="90" x14ac:dyDescent="0.3">
      <c r="A205" s="10" t="s">
        <v>750</v>
      </c>
      <c r="B205" s="10"/>
      <c r="C205" s="24" t="s">
        <v>719</v>
      </c>
      <c r="D205" s="15"/>
      <c r="E205" s="15"/>
      <c r="F205" s="25" t="s">
        <v>597</v>
      </c>
      <c r="G205" s="26">
        <v>1</v>
      </c>
      <c r="H205" s="31"/>
      <c r="I205" s="31">
        <v>5.3</v>
      </c>
      <c r="J205" s="27">
        <v>0</v>
      </c>
      <c r="M205" s="28">
        <f>ROUND(ROUND(J205, 2)*I205, 2)</f>
        <v>0</v>
      </c>
      <c r="P205" s="27">
        <v>3880</v>
      </c>
      <c r="S205" s="28">
        <f>ROUND(ROUND(P205, 2)*I205, 2)</f>
        <v>20564</v>
      </c>
      <c r="V205" s="9">
        <f>ROUND(ROUND(P205, 2)/1.2, 2)</f>
        <v>3233.33</v>
      </c>
      <c r="Y205" s="9">
        <f t="shared" si="14"/>
        <v>17136.669999999998</v>
      </c>
      <c r="AD205" s="4" t="s">
        <v>751</v>
      </c>
      <c r="AE205" s="4" t="s">
        <v>752</v>
      </c>
      <c r="AF205" s="4" t="s">
        <v>722</v>
      </c>
    </row>
    <row r="206" spans="1:35" ht="108" x14ac:dyDescent="0.3">
      <c r="A206" s="10" t="s">
        <v>753</v>
      </c>
      <c r="B206" s="10" t="s">
        <v>714</v>
      </c>
      <c r="C206" s="14" t="s">
        <v>715</v>
      </c>
      <c r="D206" s="15"/>
      <c r="E206" s="15" t="s">
        <v>754</v>
      </c>
      <c r="F206" s="15" t="s">
        <v>62</v>
      </c>
      <c r="G206" s="16">
        <v>1</v>
      </c>
      <c r="H206" s="16"/>
      <c r="I206" s="16">
        <v>2253.9</v>
      </c>
      <c r="J206" s="17">
        <f>IFERROR(ROUND(SUM(M207,M208,M209)/I206, 2),0)</f>
        <v>10.43</v>
      </c>
      <c r="K206" s="18">
        <v>661</v>
      </c>
      <c r="L206" s="17">
        <f>J206+ROUND(K206, 2)</f>
        <v>671.43</v>
      </c>
      <c r="M206" s="17">
        <f>ROUND(J206*I206, 2)</f>
        <v>23508.18</v>
      </c>
      <c r="N206" s="17">
        <f>ROUND(I206*ROUND(K206, 2), 2)</f>
        <v>1489827.9</v>
      </c>
      <c r="O206" s="17">
        <f>M206+N206</f>
        <v>1513336.0799999998</v>
      </c>
      <c r="P206" s="17">
        <f>IFERROR(ROUND(SUM(S207,S208,S209)/I206, 2),0)</f>
        <v>2251.54</v>
      </c>
      <c r="Q206" s="19">
        <v>991.5</v>
      </c>
      <c r="R206" s="17">
        <f>P206+ROUND(Q206, 2)</f>
        <v>3243.04</v>
      </c>
      <c r="S206" s="17">
        <f>ROUND(P206*I206, 2)</f>
        <v>5074746.01</v>
      </c>
      <c r="T206" s="17">
        <f>ROUND(I206*ROUND(Q206, 2), 2)</f>
        <v>2234741.85</v>
      </c>
      <c r="U206" s="17">
        <f>S206+T206</f>
        <v>7309487.8599999994</v>
      </c>
      <c r="V206" s="9">
        <f>ROUND(P206 / 1.2, 2)</f>
        <v>1876.28</v>
      </c>
      <c r="W206" s="9">
        <f>ROUND(Q206 / 1.2, 2)</f>
        <v>826.25</v>
      </c>
      <c r="X206" s="9">
        <f>ROUND(R206 / 1.2, 2)</f>
        <v>2702.53</v>
      </c>
      <c r="Y206" s="9">
        <f t="shared" si="14"/>
        <v>4228955.01</v>
      </c>
      <c r="Z206" s="9">
        <f>ROUND(T206 / 1.2, 2)</f>
        <v>1862284.88</v>
      </c>
      <c r="AA206" s="9">
        <f>Y206+Z206</f>
        <v>6091239.8899999997</v>
      </c>
      <c r="AD206" s="4">
        <v>334080622</v>
      </c>
      <c r="AE206" s="4">
        <v>29371272</v>
      </c>
      <c r="AG206" s="4" t="s">
        <v>716</v>
      </c>
      <c r="AH206" s="4" t="s">
        <v>717</v>
      </c>
      <c r="AI206" s="4" t="s">
        <v>250</v>
      </c>
    </row>
    <row r="207" spans="1:35" ht="36" x14ac:dyDescent="0.3">
      <c r="A207" s="10" t="s">
        <v>755</v>
      </c>
      <c r="B207" s="10"/>
      <c r="C207" s="24" t="s">
        <v>543</v>
      </c>
      <c r="D207" s="15"/>
      <c r="E207" s="15"/>
      <c r="F207" s="25" t="s">
        <v>278</v>
      </c>
      <c r="G207" s="26">
        <v>0.15</v>
      </c>
      <c r="H207" s="26"/>
      <c r="I207" s="26">
        <v>338.08499999999998</v>
      </c>
      <c r="J207" s="27">
        <v>69.540000000000006</v>
      </c>
      <c r="M207" s="28">
        <f>ROUND(ROUND(J207, 2)*I207, 2)</f>
        <v>23510.43</v>
      </c>
      <c r="P207" s="29">
        <v>69.540000000000006</v>
      </c>
      <c r="S207" s="28">
        <f>ROUND(ROUND(P207, 2)*I207, 2)</f>
        <v>23510.43</v>
      </c>
      <c r="V207" s="9">
        <f>ROUND(ROUND(P207, 2)/1.2, 2)</f>
        <v>57.95</v>
      </c>
      <c r="Y207" s="9">
        <f t="shared" si="14"/>
        <v>19592.03</v>
      </c>
      <c r="AD207" s="4" t="s">
        <v>756</v>
      </c>
      <c r="AE207" s="4" t="s">
        <v>757</v>
      </c>
      <c r="AF207" s="4" t="s">
        <v>546</v>
      </c>
    </row>
    <row r="208" spans="1:35" ht="90" x14ac:dyDescent="0.3">
      <c r="A208" s="10" t="s">
        <v>758</v>
      </c>
      <c r="B208" s="10"/>
      <c r="C208" s="24" t="s">
        <v>719</v>
      </c>
      <c r="D208" s="15"/>
      <c r="E208" s="15" t="s">
        <v>759</v>
      </c>
      <c r="F208" s="25" t="s">
        <v>597</v>
      </c>
      <c r="G208" s="26">
        <v>1</v>
      </c>
      <c r="H208" s="31"/>
      <c r="I208" s="31">
        <v>40</v>
      </c>
      <c r="J208" s="27">
        <v>0</v>
      </c>
      <c r="M208" s="28">
        <f>ROUND(ROUND(J208, 2)*I208, 2)</f>
        <v>0</v>
      </c>
      <c r="P208" s="29">
        <v>10205</v>
      </c>
      <c r="S208" s="28">
        <f>ROUND(ROUND(P208, 2)*I208, 2)</f>
        <v>408200</v>
      </c>
      <c r="V208" s="9">
        <f>ROUND(ROUND(P208, 2)/1.2, 2)</f>
        <v>8504.17</v>
      </c>
      <c r="Y208" s="9">
        <f t="shared" si="14"/>
        <v>340166.67</v>
      </c>
      <c r="AD208" s="4" t="s">
        <v>760</v>
      </c>
      <c r="AE208" s="4" t="s">
        <v>761</v>
      </c>
      <c r="AF208" s="4" t="s">
        <v>722</v>
      </c>
    </row>
    <row r="209" spans="1:35" ht="72" x14ac:dyDescent="0.3">
      <c r="A209" s="10" t="s">
        <v>762</v>
      </c>
      <c r="B209" s="10"/>
      <c r="C209" s="24" t="s">
        <v>724</v>
      </c>
      <c r="D209" s="15"/>
      <c r="E209" s="15" t="s">
        <v>763</v>
      </c>
      <c r="F209" s="25" t="s">
        <v>62</v>
      </c>
      <c r="G209" s="26">
        <v>1.03</v>
      </c>
      <c r="H209" s="31"/>
      <c r="I209" s="31">
        <v>2321.5169999999998</v>
      </c>
      <c r="J209" s="27">
        <v>0</v>
      </c>
      <c r="M209" s="28">
        <f>ROUND(ROUND(J209, 2)*I209, 2)</f>
        <v>0</v>
      </c>
      <c r="P209" s="29">
        <v>2000</v>
      </c>
      <c r="S209" s="28">
        <f>ROUND(ROUND(P209, 2)*I209, 2)</f>
        <v>4643034</v>
      </c>
      <c r="V209" s="9">
        <f>ROUND(ROUND(P209, 2)/1.2, 2)</f>
        <v>1666.67</v>
      </c>
      <c r="Y209" s="9">
        <f t="shared" si="14"/>
        <v>3869195</v>
      </c>
      <c r="AD209" s="4" t="s">
        <v>764</v>
      </c>
      <c r="AE209" s="4" t="s">
        <v>765</v>
      </c>
      <c r="AF209" s="4" t="s">
        <v>727</v>
      </c>
    </row>
    <row r="210" spans="1:35" ht="126" x14ac:dyDescent="0.3">
      <c r="A210" s="10" t="s">
        <v>766</v>
      </c>
      <c r="B210" s="10" t="s">
        <v>714</v>
      </c>
      <c r="C210" s="14" t="s">
        <v>715</v>
      </c>
      <c r="D210" s="15"/>
      <c r="E210" s="15" t="s">
        <v>767</v>
      </c>
      <c r="F210" s="15" t="s">
        <v>62</v>
      </c>
      <c r="G210" s="16">
        <v>1</v>
      </c>
      <c r="H210" s="16"/>
      <c r="I210" s="16">
        <v>245.2</v>
      </c>
      <c r="J210" s="17">
        <f>IFERROR(ROUND(SUM(M211,M212,M213)/I210, 2),0)</f>
        <v>10.43</v>
      </c>
      <c r="K210" s="18">
        <v>661</v>
      </c>
      <c r="L210" s="17">
        <f>J210+ROUND(K210, 2)</f>
        <v>671.43</v>
      </c>
      <c r="M210" s="17">
        <f>ROUND(J210*I210, 2)</f>
        <v>2557.44</v>
      </c>
      <c r="N210" s="17">
        <f>ROUND(I210*ROUND(K210, 2), 2)</f>
        <v>162077.20000000001</v>
      </c>
      <c r="O210" s="17">
        <f>M210+N210</f>
        <v>164634.64000000001</v>
      </c>
      <c r="P210" s="17">
        <f>IFERROR(ROUND(SUM(S211,S212,S213)/I210, 2),0)</f>
        <v>2249.39</v>
      </c>
      <c r="Q210" s="19">
        <v>991.5</v>
      </c>
      <c r="R210" s="17">
        <f>P210+ROUND(Q210, 2)</f>
        <v>3240.89</v>
      </c>
      <c r="S210" s="17">
        <f>ROUND(P210*I210, 2)</f>
        <v>551550.43000000005</v>
      </c>
      <c r="T210" s="17">
        <f>ROUND(I210*ROUND(Q210, 2), 2)</f>
        <v>243115.8</v>
      </c>
      <c r="U210" s="17">
        <f>S210+T210</f>
        <v>794666.23</v>
      </c>
      <c r="V210" s="9">
        <f>ROUND(P210 / 1.2, 2)</f>
        <v>1874.49</v>
      </c>
      <c r="W210" s="9">
        <f>ROUND(Q210 / 1.2, 2)</f>
        <v>826.25</v>
      </c>
      <c r="X210" s="9">
        <f>ROUND(R210 / 1.2, 2)</f>
        <v>2700.74</v>
      </c>
      <c r="Y210" s="9">
        <f t="shared" si="14"/>
        <v>459625.36</v>
      </c>
      <c r="Z210" s="9">
        <f>ROUND(T210 / 1.2, 2)</f>
        <v>202596.5</v>
      </c>
      <c r="AA210" s="9">
        <f>Y210+Z210</f>
        <v>662221.86</v>
      </c>
      <c r="AD210" s="4">
        <v>334080623</v>
      </c>
      <c r="AE210" s="4">
        <v>29386787</v>
      </c>
      <c r="AG210" s="4" t="s">
        <v>716</v>
      </c>
      <c r="AH210" s="4" t="s">
        <v>717</v>
      </c>
      <c r="AI210" s="4" t="s">
        <v>250</v>
      </c>
    </row>
    <row r="211" spans="1:35" ht="72" x14ac:dyDescent="0.3">
      <c r="A211" s="10" t="s">
        <v>768</v>
      </c>
      <c r="B211" s="10"/>
      <c r="C211" s="24" t="s">
        <v>724</v>
      </c>
      <c r="D211" s="15"/>
      <c r="E211" s="15" t="s">
        <v>769</v>
      </c>
      <c r="F211" s="25" t="s">
        <v>62</v>
      </c>
      <c r="G211" s="26">
        <v>1.03</v>
      </c>
      <c r="H211" s="31"/>
      <c r="I211" s="31">
        <v>252.55600000000001</v>
      </c>
      <c r="J211" s="27">
        <v>0</v>
      </c>
      <c r="M211" s="28">
        <f>ROUND(ROUND(J211, 2)*I211, 2)</f>
        <v>0</v>
      </c>
      <c r="P211" s="29">
        <v>2000</v>
      </c>
      <c r="S211" s="28">
        <f>ROUND(ROUND(P211, 2)*I211, 2)</f>
        <v>505112</v>
      </c>
      <c r="V211" s="9">
        <f>ROUND(ROUND(P211, 2)/1.2, 2)</f>
        <v>1666.67</v>
      </c>
      <c r="Y211" s="9">
        <f t="shared" si="14"/>
        <v>420926.67</v>
      </c>
      <c r="AD211" s="4" t="s">
        <v>770</v>
      </c>
      <c r="AE211" s="4" t="s">
        <v>771</v>
      </c>
      <c r="AF211" s="4" t="s">
        <v>727</v>
      </c>
    </row>
    <row r="212" spans="1:35" ht="90" x14ac:dyDescent="0.3">
      <c r="A212" s="10" t="s">
        <v>772</v>
      </c>
      <c r="B212" s="10"/>
      <c r="C212" s="24" t="s">
        <v>719</v>
      </c>
      <c r="D212" s="15"/>
      <c r="E212" s="15" t="s">
        <v>759</v>
      </c>
      <c r="F212" s="25" t="s">
        <v>597</v>
      </c>
      <c r="G212" s="26">
        <v>1</v>
      </c>
      <c r="H212" s="31"/>
      <c r="I212" s="31">
        <v>4.3</v>
      </c>
      <c r="J212" s="27">
        <v>0</v>
      </c>
      <c r="M212" s="28">
        <f>ROUND(ROUND(J212, 2)*I212, 2)</f>
        <v>0</v>
      </c>
      <c r="P212" s="29">
        <v>10205</v>
      </c>
      <c r="S212" s="28">
        <f>ROUND(ROUND(P212, 2)*I212, 2)</f>
        <v>43881.5</v>
      </c>
      <c r="V212" s="9">
        <f>ROUND(ROUND(P212, 2)/1.2, 2)</f>
        <v>8504.17</v>
      </c>
      <c r="Y212" s="9">
        <f t="shared" si="14"/>
        <v>36567.919999999998</v>
      </c>
      <c r="AD212" s="4" t="s">
        <v>773</v>
      </c>
      <c r="AE212" s="4" t="s">
        <v>774</v>
      </c>
      <c r="AF212" s="4" t="s">
        <v>722</v>
      </c>
    </row>
    <row r="213" spans="1:35" ht="36" x14ac:dyDescent="0.3">
      <c r="A213" s="10" t="s">
        <v>775</v>
      </c>
      <c r="B213" s="10"/>
      <c r="C213" s="24" t="s">
        <v>543</v>
      </c>
      <c r="D213" s="15"/>
      <c r="E213" s="15"/>
      <c r="F213" s="25" t="s">
        <v>278</v>
      </c>
      <c r="G213" s="26">
        <v>0.15</v>
      </c>
      <c r="H213" s="26"/>
      <c r="I213" s="26">
        <v>36.78</v>
      </c>
      <c r="J213" s="27">
        <v>69.540000000000006</v>
      </c>
      <c r="M213" s="28">
        <f>ROUND(ROUND(J213, 2)*I213, 2)</f>
        <v>2557.6799999999998</v>
      </c>
      <c r="P213" s="29">
        <v>69.540000000000006</v>
      </c>
      <c r="S213" s="28">
        <f>ROUND(ROUND(P213, 2)*I213, 2)</f>
        <v>2557.6799999999998</v>
      </c>
      <c r="V213" s="9">
        <f>ROUND(ROUND(P213, 2)/1.2, 2)</f>
        <v>57.95</v>
      </c>
      <c r="Y213" s="9">
        <f t="shared" si="14"/>
        <v>2131.4</v>
      </c>
      <c r="AD213" s="4" t="s">
        <v>776</v>
      </c>
      <c r="AE213" s="4" t="s">
        <v>777</v>
      </c>
      <c r="AF213" s="4" t="s">
        <v>546</v>
      </c>
    </row>
    <row r="214" spans="1:35" ht="126" x14ac:dyDescent="0.3">
      <c r="A214" s="10" t="s">
        <v>778</v>
      </c>
      <c r="B214" s="10" t="s">
        <v>714</v>
      </c>
      <c r="C214" s="14" t="s">
        <v>715</v>
      </c>
      <c r="D214" s="15"/>
      <c r="E214" s="15" t="s">
        <v>779</v>
      </c>
      <c r="F214" s="15" t="s">
        <v>62</v>
      </c>
      <c r="G214" s="16">
        <v>1</v>
      </c>
      <c r="H214" s="16"/>
      <c r="I214" s="16">
        <v>20.25</v>
      </c>
      <c r="J214" s="17">
        <f>IFERROR(ROUND(SUM(M215,M216,M217)/I214, 2),0)</f>
        <v>10.43</v>
      </c>
      <c r="K214" s="18">
        <v>661</v>
      </c>
      <c r="L214" s="17">
        <f>J214+ROUND(K214, 2)</f>
        <v>671.43</v>
      </c>
      <c r="M214" s="17">
        <f>ROUND(J214*I214, 2)</f>
        <v>211.21</v>
      </c>
      <c r="N214" s="17">
        <f>ROUND(I214*ROUND(K214, 2), 2)</f>
        <v>13385.25</v>
      </c>
      <c r="O214" s="17">
        <f>M214+N214</f>
        <v>13596.46</v>
      </c>
      <c r="P214" s="17">
        <f>IFERROR(ROUND(SUM(S215,S216,S217)/I214, 2),0)</f>
        <v>2246.86</v>
      </c>
      <c r="Q214" s="19">
        <v>991.5</v>
      </c>
      <c r="R214" s="17">
        <f>P214+ROUND(Q214, 2)</f>
        <v>3238.36</v>
      </c>
      <c r="S214" s="17">
        <f>ROUND(P214*I214, 2)</f>
        <v>45498.92</v>
      </c>
      <c r="T214" s="17">
        <f>ROUND(I214*ROUND(Q214, 2), 2)</f>
        <v>20077.88</v>
      </c>
      <c r="U214" s="17">
        <f>S214+T214</f>
        <v>65576.800000000003</v>
      </c>
      <c r="V214" s="9">
        <f>ROUND(P214 / 1.2, 2)</f>
        <v>1872.38</v>
      </c>
      <c r="W214" s="9">
        <f>ROUND(Q214 / 1.2, 2)</f>
        <v>826.25</v>
      </c>
      <c r="X214" s="9">
        <f>ROUND(R214 / 1.2, 2)</f>
        <v>2698.63</v>
      </c>
      <c r="Y214" s="9">
        <f t="shared" si="14"/>
        <v>37915.769999999997</v>
      </c>
      <c r="Z214" s="9">
        <f>ROUND(T214 / 1.2, 2)</f>
        <v>16731.57</v>
      </c>
      <c r="AA214" s="9">
        <f>Y214+Z214</f>
        <v>54647.34</v>
      </c>
      <c r="AD214" s="4">
        <v>334080624</v>
      </c>
      <c r="AE214" s="4">
        <v>29386786</v>
      </c>
      <c r="AG214" s="4" t="s">
        <v>716</v>
      </c>
      <c r="AH214" s="4" t="s">
        <v>717</v>
      </c>
      <c r="AI214" s="4" t="s">
        <v>250</v>
      </c>
    </row>
    <row r="215" spans="1:35" ht="36" x14ac:dyDescent="0.3">
      <c r="A215" s="10" t="s">
        <v>780</v>
      </c>
      <c r="B215" s="10"/>
      <c r="C215" s="24" t="s">
        <v>543</v>
      </c>
      <c r="D215" s="15"/>
      <c r="E215" s="15"/>
      <c r="F215" s="25" t="s">
        <v>278</v>
      </c>
      <c r="G215" s="26">
        <v>0.15</v>
      </c>
      <c r="H215" s="26"/>
      <c r="I215" s="26">
        <v>3.0379999999999998</v>
      </c>
      <c r="J215" s="27">
        <v>69.540000000000006</v>
      </c>
      <c r="M215" s="28">
        <f>ROUND(ROUND(J215, 2)*I215, 2)</f>
        <v>211.26</v>
      </c>
      <c r="P215" s="29">
        <v>69.540000000000006</v>
      </c>
      <c r="S215" s="28">
        <f>ROUND(ROUND(P215, 2)*I215, 2)</f>
        <v>211.26</v>
      </c>
      <c r="V215" s="9">
        <f>ROUND(ROUND(P215, 2)/1.2, 2)</f>
        <v>57.95</v>
      </c>
      <c r="Y215" s="9">
        <f t="shared" si="14"/>
        <v>176.05</v>
      </c>
      <c r="AD215" s="4" t="s">
        <v>781</v>
      </c>
      <c r="AE215" s="4" t="s">
        <v>782</v>
      </c>
      <c r="AF215" s="4" t="s">
        <v>546</v>
      </c>
    </row>
    <row r="216" spans="1:35" ht="90" x14ac:dyDescent="0.3">
      <c r="A216" s="10" t="s">
        <v>783</v>
      </c>
      <c r="B216" s="10"/>
      <c r="C216" s="24" t="s">
        <v>719</v>
      </c>
      <c r="D216" s="15"/>
      <c r="E216" s="15" t="s">
        <v>759</v>
      </c>
      <c r="F216" s="25" t="s">
        <v>597</v>
      </c>
      <c r="G216" s="26">
        <v>1</v>
      </c>
      <c r="H216" s="31"/>
      <c r="I216" s="31">
        <v>0.35</v>
      </c>
      <c r="J216" s="27">
        <v>0</v>
      </c>
      <c r="M216" s="28">
        <f>ROUND(ROUND(J216, 2)*I216, 2)</f>
        <v>0</v>
      </c>
      <c r="P216" s="29">
        <v>10205</v>
      </c>
      <c r="S216" s="28">
        <f>ROUND(ROUND(P216, 2)*I216, 2)</f>
        <v>3571.75</v>
      </c>
      <c r="V216" s="9">
        <f>ROUND(ROUND(P216, 2)/1.2, 2)</f>
        <v>8504.17</v>
      </c>
      <c r="Y216" s="9">
        <f t="shared" si="14"/>
        <v>2976.46</v>
      </c>
      <c r="AD216" s="4" t="s">
        <v>784</v>
      </c>
      <c r="AE216" s="4" t="s">
        <v>785</v>
      </c>
      <c r="AF216" s="4" t="s">
        <v>722</v>
      </c>
    </row>
    <row r="217" spans="1:35" ht="36" x14ac:dyDescent="0.3">
      <c r="A217" s="10" t="s">
        <v>786</v>
      </c>
      <c r="B217" s="10"/>
      <c r="C217" s="24" t="s">
        <v>724</v>
      </c>
      <c r="D217" s="15"/>
      <c r="E217" s="15" t="s">
        <v>787</v>
      </c>
      <c r="F217" s="25" t="s">
        <v>62</v>
      </c>
      <c r="G217" s="26">
        <v>1.03</v>
      </c>
      <c r="H217" s="31"/>
      <c r="I217" s="31">
        <v>20.858000000000001</v>
      </c>
      <c r="J217" s="27">
        <v>0</v>
      </c>
      <c r="M217" s="28">
        <f>ROUND(ROUND(J217, 2)*I217, 2)</f>
        <v>0</v>
      </c>
      <c r="P217" s="29">
        <v>2000</v>
      </c>
      <c r="S217" s="28">
        <f>ROUND(ROUND(P217, 2)*I217, 2)</f>
        <v>41716</v>
      </c>
      <c r="V217" s="9">
        <f>ROUND(ROUND(P217, 2)/1.2, 2)</f>
        <v>1666.67</v>
      </c>
      <c r="Y217" s="9">
        <f t="shared" si="14"/>
        <v>34763.33</v>
      </c>
      <c r="AD217" s="4" t="s">
        <v>788</v>
      </c>
      <c r="AE217" s="4" t="s">
        <v>789</v>
      </c>
      <c r="AF217" s="4" t="s">
        <v>727</v>
      </c>
    </row>
    <row r="218" spans="1:35" ht="36" x14ac:dyDescent="0.3">
      <c r="A218" s="10" t="s">
        <v>790</v>
      </c>
      <c r="B218" s="10" t="s">
        <v>791</v>
      </c>
      <c r="C218" s="14" t="s">
        <v>792</v>
      </c>
      <c r="D218" s="15"/>
      <c r="E218" s="15"/>
      <c r="F218" s="15" t="s">
        <v>102</v>
      </c>
      <c r="G218" s="16">
        <v>1</v>
      </c>
      <c r="H218" s="16"/>
      <c r="I218" s="16">
        <v>0</v>
      </c>
      <c r="J218" s="17">
        <v>0</v>
      </c>
      <c r="K218" s="18">
        <v>210</v>
      </c>
      <c r="L218" s="17">
        <f>J218+ROUND(K218, 2)</f>
        <v>210</v>
      </c>
      <c r="M218" s="17">
        <v>0</v>
      </c>
      <c r="N218" s="17">
        <v>0</v>
      </c>
      <c r="O218" s="17">
        <f>M218+N218</f>
        <v>0</v>
      </c>
      <c r="P218" s="17">
        <v>409.64</v>
      </c>
      <c r="Q218" s="18">
        <v>210</v>
      </c>
      <c r="R218" s="17">
        <f>P218+ROUND(Q218, 2)</f>
        <v>619.64</v>
      </c>
      <c r="S218" s="17">
        <v>0</v>
      </c>
      <c r="T218" s="17">
        <v>0</v>
      </c>
      <c r="U218" s="17">
        <f>S218+T218</f>
        <v>0</v>
      </c>
      <c r="V218" s="9">
        <f>ROUND(P218 / 1.2, 2)</f>
        <v>341.37</v>
      </c>
      <c r="W218" s="9">
        <f>ROUND(Q218 / 1.2, 2)</f>
        <v>175</v>
      </c>
      <c r="X218" s="9">
        <f>ROUND(R218 / 1.2, 2)</f>
        <v>516.37</v>
      </c>
      <c r="Y218" s="9">
        <f t="shared" si="14"/>
        <v>0</v>
      </c>
      <c r="Z218" s="9">
        <f>ROUND(T218 / 1.2, 2)</f>
        <v>0</v>
      </c>
      <c r="AA218" s="9">
        <f>Y218+Z218</f>
        <v>0</v>
      </c>
      <c r="AD218" s="4">
        <v>334080512</v>
      </c>
      <c r="AE218" s="4">
        <v>27245607</v>
      </c>
      <c r="AG218" s="4" t="s">
        <v>793</v>
      </c>
      <c r="AH218" s="4" t="s">
        <v>794</v>
      </c>
      <c r="AI218" s="4" t="s">
        <v>250</v>
      </c>
    </row>
    <row r="219" spans="1:35" ht="72" x14ac:dyDescent="0.3">
      <c r="A219" s="10" t="s">
        <v>795</v>
      </c>
      <c r="B219" s="10"/>
      <c r="C219" s="24" t="s">
        <v>796</v>
      </c>
      <c r="D219" s="15"/>
      <c r="E219" s="15"/>
      <c r="F219" s="25" t="s">
        <v>102</v>
      </c>
      <c r="G219" s="26">
        <v>1.1000000000000001</v>
      </c>
      <c r="H219" s="31"/>
      <c r="I219" s="31">
        <v>0</v>
      </c>
      <c r="J219" s="27">
        <v>0</v>
      </c>
      <c r="M219" s="28">
        <f>ROUND(ROUND(J219, 2)*I219, 2)</f>
        <v>0</v>
      </c>
      <c r="P219" s="27">
        <v>372.4</v>
      </c>
      <c r="S219" s="28">
        <f>ROUND(ROUND(P219, 2)*I219, 2)</f>
        <v>0</v>
      </c>
      <c r="V219" s="9">
        <f>ROUND(ROUND(P219, 2)/1.2, 2)</f>
        <v>310.33</v>
      </c>
      <c r="Y219" s="9">
        <f t="shared" si="14"/>
        <v>0</v>
      </c>
      <c r="AD219" s="4" t="s">
        <v>797</v>
      </c>
      <c r="AE219" s="4" t="s">
        <v>798</v>
      </c>
      <c r="AF219" s="4" t="s">
        <v>799</v>
      </c>
    </row>
    <row r="220" spans="1:35" ht="36" x14ac:dyDescent="0.3">
      <c r="A220" s="10" t="s">
        <v>800</v>
      </c>
      <c r="B220" s="10" t="s">
        <v>791</v>
      </c>
      <c r="C220" s="14" t="s">
        <v>792</v>
      </c>
      <c r="D220" s="15"/>
      <c r="E220" s="15"/>
      <c r="F220" s="15" t="s">
        <v>102</v>
      </c>
      <c r="G220" s="16">
        <v>1</v>
      </c>
      <c r="H220" s="16"/>
      <c r="I220" s="16">
        <v>0</v>
      </c>
      <c r="J220" s="17">
        <v>0</v>
      </c>
      <c r="K220" s="18">
        <v>210</v>
      </c>
      <c r="L220" s="17">
        <f>J220+ROUND(K220, 2)</f>
        <v>210</v>
      </c>
      <c r="M220" s="17">
        <v>0</v>
      </c>
      <c r="N220" s="17">
        <v>0</v>
      </c>
      <c r="O220" s="17">
        <f>M220+N220</f>
        <v>0</v>
      </c>
      <c r="P220" s="17">
        <v>409.64</v>
      </c>
      <c r="Q220" s="18">
        <v>210</v>
      </c>
      <c r="R220" s="17">
        <f>P220+ROUND(Q220, 2)</f>
        <v>619.64</v>
      </c>
      <c r="S220" s="17">
        <v>0</v>
      </c>
      <c r="T220" s="17">
        <v>0</v>
      </c>
      <c r="U220" s="17">
        <f>S220+T220</f>
        <v>0</v>
      </c>
      <c r="V220" s="9">
        <f>ROUND(P220 / 1.2, 2)</f>
        <v>341.37</v>
      </c>
      <c r="W220" s="9">
        <f>ROUND(Q220 / 1.2, 2)</f>
        <v>175</v>
      </c>
      <c r="X220" s="9">
        <f>ROUND(R220 / 1.2, 2)</f>
        <v>516.37</v>
      </c>
      <c r="Y220" s="9">
        <f t="shared" si="14"/>
        <v>0</v>
      </c>
      <c r="Z220" s="9">
        <f>ROUND(T220 / 1.2, 2)</f>
        <v>0</v>
      </c>
      <c r="AA220" s="9">
        <f>Y220+Z220</f>
        <v>0</v>
      </c>
      <c r="AD220" s="4">
        <v>334080625</v>
      </c>
      <c r="AE220" s="4">
        <v>27245608</v>
      </c>
      <c r="AG220" s="4" t="s">
        <v>793</v>
      </c>
      <c r="AH220" s="4" t="s">
        <v>794</v>
      </c>
      <c r="AI220" s="4" t="s">
        <v>250</v>
      </c>
    </row>
    <row r="221" spans="1:35" ht="72" x14ac:dyDescent="0.3">
      <c r="A221" s="10" t="s">
        <v>801</v>
      </c>
      <c r="B221" s="10"/>
      <c r="C221" s="24" t="s">
        <v>796</v>
      </c>
      <c r="D221" s="15"/>
      <c r="E221" s="15"/>
      <c r="F221" s="25" t="s">
        <v>102</v>
      </c>
      <c r="G221" s="26">
        <v>1.1000000000000001</v>
      </c>
      <c r="H221" s="31"/>
      <c r="I221" s="31">
        <v>0</v>
      </c>
      <c r="J221" s="27">
        <v>0</v>
      </c>
      <c r="M221" s="28">
        <f>ROUND(ROUND(J221, 2)*I221, 2)</f>
        <v>0</v>
      </c>
      <c r="P221" s="27">
        <v>372.4</v>
      </c>
      <c r="S221" s="28">
        <f>ROUND(ROUND(P221, 2)*I221, 2)</f>
        <v>0</v>
      </c>
      <c r="V221" s="9">
        <f>ROUND(ROUND(P221, 2)/1.2, 2)</f>
        <v>310.33</v>
      </c>
      <c r="Y221" s="9">
        <f t="shared" si="14"/>
        <v>0</v>
      </c>
      <c r="AD221" s="4" t="s">
        <v>802</v>
      </c>
      <c r="AE221" s="4" t="s">
        <v>803</v>
      </c>
      <c r="AF221" s="4" t="s">
        <v>799</v>
      </c>
    </row>
    <row r="222" spans="1:35" ht="36" x14ac:dyDescent="0.3">
      <c r="A222" s="10" t="s">
        <v>804</v>
      </c>
      <c r="B222" s="10" t="s">
        <v>791</v>
      </c>
      <c r="C222" s="14" t="s">
        <v>792</v>
      </c>
      <c r="D222" s="15"/>
      <c r="E222" s="15" t="s">
        <v>805</v>
      </c>
      <c r="F222" s="15" t="s">
        <v>102</v>
      </c>
      <c r="G222" s="16">
        <v>1</v>
      </c>
      <c r="H222" s="16"/>
      <c r="I222" s="16">
        <v>1012.89</v>
      </c>
      <c r="J222" s="17">
        <v>0</v>
      </c>
      <c r="K222" s="18">
        <v>210</v>
      </c>
      <c r="L222" s="17">
        <f>J222+ROUND(K222, 2)</f>
        <v>210</v>
      </c>
      <c r="M222" s="17">
        <v>0</v>
      </c>
      <c r="N222" s="17">
        <v>212706.9</v>
      </c>
      <c r="O222" s="17">
        <f>M222+N222</f>
        <v>212706.9</v>
      </c>
      <c r="P222" s="17">
        <v>409.64</v>
      </c>
      <c r="Q222" s="18">
        <v>315</v>
      </c>
      <c r="R222" s="17">
        <f>P222+ROUND(Q222, 2)</f>
        <v>724.64</v>
      </c>
      <c r="S222" s="17">
        <v>414920.26</v>
      </c>
      <c r="T222" s="17">
        <v>319060.34999999998</v>
      </c>
      <c r="U222" s="17">
        <f>S222+T222</f>
        <v>733980.61</v>
      </c>
      <c r="V222" s="9">
        <f>ROUND(P222 / 1.2, 2)</f>
        <v>341.37</v>
      </c>
      <c r="W222" s="9">
        <f>ROUND(Q222 / 1.2, 2)</f>
        <v>262.5</v>
      </c>
      <c r="X222" s="9">
        <f>ROUND(R222 / 1.2, 2)</f>
        <v>603.87</v>
      </c>
      <c r="Y222" s="9">
        <f t="shared" si="14"/>
        <v>345766.88</v>
      </c>
      <c r="Z222" s="9">
        <f>ROUND(T222 / 1.2, 2)</f>
        <v>265883.63</v>
      </c>
      <c r="AA222" s="9">
        <f>Y222+Z222</f>
        <v>611650.51</v>
      </c>
      <c r="AD222" s="4">
        <v>334080626</v>
      </c>
      <c r="AE222" s="4">
        <v>27245787</v>
      </c>
      <c r="AG222" s="4" t="s">
        <v>793</v>
      </c>
      <c r="AH222" s="4" t="s">
        <v>794</v>
      </c>
      <c r="AI222" s="4" t="s">
        <v>250</v>
      </c>
    </row>
    <row r="223" spans="1:35" ht="72" x14ac:dyDescent="0.3">
      <c r="A223" s="10" t="s">
        <v>806</v>
      </c>
      <c r="B223" s="10"/>
      <c r="C223" s="24" t="s">
        <v>796</v>
      </c>
      <c r="D223" s="15"/>
      <c r="E223" s="15" t="s">
        <v>807</v>
      </c>
      <c r="F223" s="25" t="s">
        <v>102</v>
      </c>
      <c r="G223" s="26">
        <v>1.1000000000000001</v>
      </c>
      <c r="H223" s="31"/>
      <c r="I223" s="31">
        <v>1114.1790000000001</v>
      </c>
      <c r="J223" s="27">
        <v>0</v>
      </c>
      <c r="M223" s="28">
        <f>ROUND(ROUND(J223, 2)*I223, 2)</f>
        <v>0</v>
      </c>
      <c r="P223" s="27">
        <v>372.4</v>
      </c>
      <c r="S223" s="28">
        <f>ROUND(ROUND(P223, 2)*I223, 2)</f>
        <v>414920.26</v>
      </c>
      <c r="V223" s="9">
        <f>ROUND(ROUND(P223, 2)/1.2, 2)</f>
        <v>310.33</v>
      </c>
      <c r="Y223" s="9">
        <f t="shared" si="14"/>
        <v>345766.88</v>
      </c>
      <c r="AD223" s="4" t="s">
        <v>808</v>
      </c>
      <c r="AE223" s="4" t="s">
        <v>809</v>
      </c>
      <c r="AF223" s="4" t="s">
        <v>799</v>
      </c>
    </row>
    <row r="224" spans="1:35" ht="36" x14ac:dyDescent="0.3">
      <c r="A224" s="10" t="s">
        <v>810</v>
      </c>
      <c r="B224" s="10" t="s">
        <v>791</v>
      </c>
      <c r="C224" s="14" t="s">
        <v>792</v>
      </c>
      <c r="D224" s="15"/>
      <c r="E224" s="15" t="s">
        <v>811</v>
      </c>
      <c r="F224" s="15" t="s">
        <v>102</v>
      </c>
      <c r="G224" s="16">
        <v>1</v>
      </c>
      <c r="H224" s="16"/>
      <c r="I224" s="16">
        <v>409.31</v>
      </c>
      <c r="J224" s="17">
        <v>0</v>
      </c>
      <c r="K224" s="18">
        <v>210</v>
      </c>
      <c r="L224" s="17">
        <f>J224+ROUND(K224, 2)</f>
        <v>210</v>
      </c>
      <c r="M224" s="17">
        <v>0</v>
      </c>
      <c r="N224" s="17">
        <v>85955.1</v>
      </c>
      <c r="O224" s="17">
        <f>M224+N224</f>
        <v>85955.1</v>
      </c>
      <c r="P224" s="17">
        <v>409.64</v>
      </c>
      <c r="Q224" s="18">
        <v>315</v>
      </c>
      <c r="R224" s="17">
        <f>P224+ROUND(Q224, 2)</f>
        <v>724.64</v>
      </c>
      <c r="S224" s="17">
        <v>167669.75</v>
      </c>
      <c r="T224" s="17">
        <v>128932.65</v>
      </c>
      <c r="U224" s="17">
        <f>S224+T224</f>
        <v>296602.40000000002</v>
      </c>
      <c r="V224" s="9">
        <f>ROUND(P224 / 1.2, 2)</f>
        <v>341.37</v>
      </c>
      <c r="W224" s="9">
        <f>ROUND(Q224 / 1.2, 2)</f>
        <v>262.5</v>
      </c>
      <c r="X224" s="9">
        <f>ROUND(R224 / 1.2, 2)</f>
        <v>603.87</v>
      </c>
      <c r="Y224" s="9">
        <f t="shared" si="14"/>
        <v>139724.79</v>
      </c>
      <c r="Z224" s="9">
        <f>ROUND(T224 / 1.2, 2)</f>
        <v>107443.88</v>
      </c>
      <c r="AA224" s="9">
        <f>Y224+Z224</f>
        <v>247168.67</v>
      </c>
      <c r="AD224" s="4">
        <v>334080627</v>
      </c>
      <c r="AE224" s="4">
        <v>27245788</v>
      </c>
      <c r="AG224" s="4" t="s">
        <v>793</v>
      </c>
      <c r="AH224" s="4" t="s">
        <v>794</v>
      </c>
      <c r="AI224" s="4" t="s">
        <v>250</v>
      </c>
    </row>
    <row r="225" spans="1:35" ht="72" x14ac:dyDescent="0.3">
      <c r="A225" s="10" t="s">
        <v>812</v>
      </c>
      <c r="B225" s="10"/>
      <c r="C225" s="24" t="s">
        <v>796</v>
      </c>
      <c r="D225" s="15"/>
      <c r="E225" s="15" t="s">
        <v>813</v>
      </c>
      <c r="F225" s="25" t="s">
        <v>102</v>
      </c>
      <c r="G225" s="26">
        <v>1.1000000000000001</v>
      </c>
      <c r="H225" s="31"/>
      <c r="I225" s="31">
        <v>450.24099999999999</v>
      </c>
      <c r="J225" s="27">
        <v>0</v>
      </c>
      <c r="M225" s="28">
        <f>ROUND(ROUND(J225, 2)*I225, 2)</f>
        <v>0</v>
      </c>
      <c r="P225" s="27">
        <v>372.4</v>
      </c>
      <c r="S225" s="28">
        <f>ROUND(ROUND(P225, 2)*I225, 2)</f>
        <v>167669.75</v>
      </c>
      <c r="V225" s="9">
        <f>ROUND(ROUND(P225, 2)/1.2, 2)</f>
        <v>310.33</v>
      </c>
      <c r="Y225" s="9">
        <f t="shared" si="14"/>
        <v>139724.79</v>
      </c>
      <c r="AD225" s="4" t="s">
        <v>814</v>
      </c>
      <c r="AE225" s="4" t="s">
        <v>815</v>
      </c>
      <c r="AF225" s="4" t="s">
        <v>799</v>
      </c>
    </row>
    <row r="226" spans="1:35" ht="72" x14ac:dyDescent="0.3">
      <c r="A226" s="10" t="s">
        <v>816</v>
      </c>
      <c r="B226" s="10" t="s">
        <v>791</v>
      </c>
      <c r="C226" s="14" t="s">
        <v>792</v>
      </c>
      <c r="D226" s="15"/>
      <c r="E226" s="15" t="s">
        <v>817</v>
      </c>
      <c r="F226" s="15" t="s">
        <v>102</v>
      </c>
      <c r="G226" s="16">
        <v>1</v>
      </c>
      <c r="H226" s="16"/>
      <c r="I226" s="16">
        <v>1099.2</v>
      </c>
      <c r="J226" s="17">
        <f>IFERROR(ROUND(SUM(M227)/I226, 2),0)</f>
        <v>385.54</v>
      </c>
      <c r="K226" s="18">
        <v>210</v>
      </c>
      <c r="L226" s="17">
        <f>J226+ROUND(K226, 2)</f>
        <v>595.54</v>
      </c>
      <c r="M226" s="17">
        <f>ROUND(J226*I226, 2)</f>
        <v>423785.57</v>
      </c>
      <c r="N226" s="17">
        <f>ROUND(I226*ROUND(K226, 2), 2)</f>
        <v>230832</v>
      </c>
      <c r="O226" s="17">
        <f>M226+N226</f>
        <v>654617.57000000007</v>
      </c>
      <c r="P226" s="17">
        <f>IFERROR(ROUND(SUM(S227)/I226, 2),0)</f>
        <v>385.54</v>
      </c>
      <c r="Q226" s="19">
        <v>315</v>
      </c>
      <c r="R226" s="17">
        <f>P226+ROUND(Q226, 2)</f>
        <v>700.54</v>
      </c>
      <c r="S226" s="17">
        <f>ROUND(P226*I226, 2)</f>
        <v>423785.57</v>
      </c>
      <c r="T226" s="17">
        <f>ROUND(I226*ROUND(Q226, 2), 2)</f>
        <v>346248</v>
      </c>
      <c r="U226" s="17">
        <f>S226+T226</f>
        <v>770033.57000000007</v>
      </c>
      <c r="V226" s="9">
        <f>ROUND(P226 / 1.2, 2)</f>
        <v>321.27999999999997</v>
      </c>
      <c r="W226" s="9">
        <f>ROUND(Q226 / 1.2, 2)</f>
        <v>262.5</v>
      </c>
      <c r="X226" s="9">
        <f>ROUND(R226 / 1.2, 2)</f>
        <v>583.78</v>
      </c>
      <c r="Y226" s="9">
        <f t="shared" si="14"/>
        <v>353154.64</v>
      </c>
      <c r="Z226" s="9">
        <f>ROUND(T226 / 1.2, 2)</f>
        <v>288540</v>
      </c>
      <c r="AA226" s="9">
        <f>Y226+Z226</f>
        <v>641694.64</v>
      </c>
      <c r="AD226" s="4">
        <v>334080628</v>
      </c>
      <c r="AE226" s="4">
        <v>29384251</v>
      </c>
      <c r="AG226" s="4" t="s">
        <v>793</v>
      </c>
      <c r="AH226" s="4" t="s">
        <v>794</v>
      </c>
      <c r="AI226" s="4" t="s">
        <v>250</v>
      </c>
    </row>
    <row r="227" spans="1:35" ht="72" x14ac:dyDescent="0.3">
      <c r="A227" s="10" t="s">
        <v>818</v>
      </c>
      <c r="B227" s="10"/>
      <c r="C227" s="24" t="s">
        <v>819</v>
      </c>
      <c r="D227" s="15"/>
      <c r="E227" s="15"/>
      <c r="F227" s="25" t="s">
        <v>102</v>
      </c>
      <c r="G227" s="26">
        <v>1.1000000000000001</v>
      </c>
      <c r="H227" s="31"/>
      <c r="I227" s="31">
        <v>1209.1199999999999</v>
      </c>
      <c r="J227" s="27">
        <v>350.49</v>
      </c>
      <c r="M227" s="28">
        <f>ROUND(ROUND(J227, 2)*I227, 2)</f>
        <v>423784.47</v>
      </c>
      <c r="P227" s="29">
        <v>350.49</v>
      </c>
      <c r="S227" s="28">
        <f>ROUND(ROUND(P227, 2)*I227, 2)</f>
        <v>423784.47</v>
      </c>
      <c r="V227" s="9">
        <f>ROUND(ROUND(P227, 2)/1.2, 2)</f>
        <v>292.08</v>
      </c>
      <c r="Y227" s="9">
        <f t="shared" si="14"/>
        <v>353153.73</v>
      </c>
      <c r="AD227" s="4" t="s">
        <v>820</v>
      </c>
      <c r="AE227" s="4" t="s">
        <v>821</v>
      </c>
      <c r="AF227" s="4" t="s">
        <v>822</v>
      </c>
    </row>
    <row r="228" spans="1:35" ht="72" x14ac:dyDescent="0.3">
      <c r="A228" s="10" t="s">
        <v>823</v>
      </c>
      <c r="B228" s="10" t="s">
        <v>791</v>
      </c>
      <c r="C228" s="14" t="s">
        <v>792</v>
      </c>
      <c r="D228" s="15"/>
      <c r="E228" s="15" t="s">
        <v>824</v>
      </c>
      <c r="F228" s="15" t="s">
        <v>102</v>
      </c>
      <c r="G228" s="16">
        <v>1</v>
      </c>
      <c r="H228" s="16"/>
      <c r="I228" s="16">
        <v>797.3</v>
      </c>
      <c r="J228" s="17">
        <f>IFERROR(ROUND(SUM(M229)/I228, 2),0)</f>
        <v>385.54</v>
      </c>
      <c r="K228" s="18">
        <v>210</v>
      </c>
      <c r="L228" s="17">
        <f>J228+ROUND(K228, 2)</f>
        <v>595.54</v>
      </c>
      <c r="M228" s="17">
        <f>ROUND(J228*I228, 2)</f>
        <v>307391.03999999998</v>
      </c>
      <c r="N228" s="17">
        <f>ROUND(I228*ROUND(K228, 2), 2)</f>
        <v>167433</v>
      </c>
      <c r="O228" s="17">
        <f>M228+N228</f>
        <v>474824.04</v>
      </c>
      <c r="P228" s="17">
        <f>IFERROR(ROUND(SUM(S229)/I228, 2),0)</f>
        <v>385.54</v>
      </c>
      <c r="Q228" s="19">
        <v>315</v>
      </c>
      <c r="R228" s="17">
        <f>P228+ROUND(Q228, 2)</f>
        <v>700.54</v>
      </c>
      <c r="S228" s="17">
        <f>ROUND(P228*I228, 2)</f>
        <v>307391.03999999998</v>
      </c>
      <c r="T228" s="17">
        <f>ROUND(I228*ROUND(Q228, 2), 2)</f>
        <v>251149.5</v>
      </c>
      <c r="U228" s="17">
        <f>S228+T228</f>
        <v>558540.54</v>
      </c>
      <c r="V228" s="9">
        <f>ROUND(P228 / 1.2, 2)</f>
        <v>321.27999999999997</v>
      </c>
      <c r="W228" s="9">
        <f>ROUND(Q228 / 1.2, 2)</f>
        <v>262.5</v>
      </c>
      <c r="X228" s="9">
        <f>ROUND(R228 / 1.2, 2)</f>
        <v>583.78</v>
      </c>
      <c r="Y228" s="9">
        <f t="shared" si="14"/>
        <v>256159.2</v>
      </c>
      <c r="Z228" s="9">
        <f>ROUND(T228 / 1.2, 2)</f>
        <v>209291.25</v>
      </c>
      <c r="AA228" s="9">
        <f>Y228+Z228</f>
        <v>465450.45</v>
      </c>
      <c r="AD228" s="4">
        <v>334080629</v>
      </c>
      <c r="AE228" s="4">
        <v>29384250</v>
      </c>
      <c r="AG228" s="4" t="s">
        <v>793</v>
      </c>
      <c r="AH228" s="4" t="s">
        <v>794</v>
      </c>
      <c r="AI228" s="4" t="s">
        <v>250</v>
      </c>
    </row>
    <row r="229" spans="1:35" ht="72" x14ac:dyDescent="0.3">
      <c r="A229" s="10" t="s">
        <v>825</v>
      </c>
      <c r="B229" s="10"/>
      <c r="C229" s="24" t="s">
        <v>819</v>
      </c>
      <c r="D229" s="15"/>
      <c r="E229" s="15" t="s">
        <v>826</v>
      </c>
      <c r="F229" s="25" t="s">
        <v>102</v>
      </c>
      <c r="G229" s="26">
        <v>1.1000000000000001</v>
      </c>
      <c r="H229" s="31"/>
      <c r="I229" s="31">
        <v>877.03</v>
      </c>
      <c r="J229" s="27">
        <v>350.49</v>
      </c>
      <c r="M229" s="28">
        <f>ROUND(ROUND(J229, 2)*I229, 2)</f>
        <v>307390.24</v>
      </c>
      <c r="P229" s="29">
        <v>350.49</v>
      </c>
      <c r="S229" s="28">
        <f>ROUND(ROUND(P229, 2)*I229, 2)</f>
        <v>307390.24</v>
      </c>
      <c r="V229" s="9">
        <f>ROUND(ROUND(P229, 2)/1.2, 2)</f>
        <v>292.08</v>
      </c>
      <c r="Y229" s="9">
        <f t="shared" si="14"/>
        <v>256158.53</v>
      </c>
      <c r="AD229" s="4" t="s">
        <v>827</v>
      </c>
      <c r="AE229" s="4" t="s">
        <v>828</v>
      </c>
      <c r="AF229" s="4" t="s">
        <v>822</v>
      </c>
    </row>
    <row r="230" spans="1:35" ht="108" x14ac:dyDescent="0.3">
      <c r="A230" s="10" t="s">
        <v>829</v>
      </c>
      <c r="B230" s="10" t="s">
        <v>791</v>
      </c>
      <c r="C230" s="14" t="s">
        <v>792</v>
      </c>
      <c r="D230" s="15"/>
      <c r="E230" s="15" t="s">
        <v>830</v>
      </c>
      <c r="F230" s="15" t="s">
        <v>102</v>
      </c>
      <c r="G230" s="16">
        <v>1</v>
      </c>
      <c r="H230" s="16"/>
      <c r="I230" s="16">
        <v>20.7</v>
      </c>
      <c r="J230" s="17">
        <f>IFERROR(ROUND(SUM(M231)/I230, 2),0)</f>
        <v>139.80000000000001</v>
      </c>
      <c r="K230" s="18">
        <v>210</v>
      </c>
      <c r="L230" s="17">
        <f>J230+ROUND(K230, 2)</f>
        <v>349.8</v>
      </c>
      <c r="M230" s="17">
        <f>ROUND(J230*I230, 2)</f>
        <v>2893.86</v>
      </c>
      <c r="N230" s="17">
        <f>ROUND(I230*ROUND(K230, 2), 2)</f>
        <v>4347</v>
      </c>
      <c r="O230" s="17">
        <f>M230+N230</f>
        <v>7240.8600000000006</v>
      </c>
      <c r="P230" s="17">
        <f>IFERROR(ROUND(SUM(S231)/I230, 2),0)</f>
        <v>139.80000000000001</v>
      </c>
      <c r="Q230" s="19">
        <v>315</v>
      </c>
      <c r="R230" s="17">
        <f>P230+ROUND(Q230, 2)</f>
        <v>454.8</v>
      </c>
      <c r="S230" s="17">
        <f>ROUND(P230*I230, 2)</f>
        <v>2893.86</v>
      </c>
      <c r="T230" s="17">
        <f>ROUND(I230*ROUND(Q230, 2), 2)</f>
        <v>6520.5</v>
      </c>
      <c r="U230" s="17">
        <f>S230+T230</f>
        <v>9414.36</v>
      </c>
      <c r="V230" s="9">
        <f>ROUND(P230 / 1.2, 2)</f>
        <v>116.5</v>
      </c>
      <c r="W230" s="9">
        <f>ROUND(Q230 / 1.2, 2)</f>
        <v>262.5</v>
      </c>
      <c r="X230" s="9">
        <f>ROUND(R230 / 1.2, 2)</f>
        <v>379</v>
      </c>
      <c r="Y230" s="9">
        <f t="shared" si="14"/>
        <v>2411.5500000000002</v>
      </c>
      <c r="Z230" s="9">
        <f>ROUND(T230 / 1.2, 2)</f>
        <v>5433.75</v>
      </c>
      <c r="AA230" s="9">
        <f>Y230+Z230</f>
        <v>7845.3</v>
      </c>
      <c r="AD230" s="4">
        <v>334080630</v>
      </c>
      <c r="AE230" s="4">
        <v>29384252</v>
      </c>
      <c r="AG230" s="4" t="s">
        <v>793</v>
      </c>
      <c r="AH230" s="4" t="s">
        <v>794</v>
      </c>
      <c r="AI230" s="4" t="s">
        <v>250</v>
      </c>
    </row>
    <row r="231" spans="1:35" ht="72" x14ac:dyDescent="0.3">
      <c r="A231" s="10" t="s">
        <v>831</v>
      </c>
      <c r="B231" s="10"/>
      <c r="C231" s="24" t="s">
        <v>832</v>
      </c>
      <c r="D231" s="15"/>
      <c r="E231" s="15"/>
      <c r="F231" s="25" t="s">
        <v>102</v>
      </c>
      <c r="G231" s="26">
        <v>1.1000000000000001</v>
      </c>
      <c r="H231" s="31"/>
      <c r="I231" s="31">
        <v>22.77</v>
      </c>
      <c r="J231" s="27">
        <v>127.09</v>
      </c>
      <c r="M231" s="28">
        <f>ROUND(ROUND(J231, 2)*I231, 2)</f>
        <v>2893.84</v>
      </c>
      <c r="P231" s="29">
        <v>127.09</v>
      </c>
      <c r="S231" s="28">
        <f>ROUND(ROUND(P231, 2)*I231, 2)</f>
        <v>2893.84</v>
      </c>
      <c r="V231" s="9">
        <f>ROUND(ROUND(P231, 2)/1.2, 2)</f>
        <v>105.91</v>
      </c>
      <c r="Y231" s="9">
        <f t="shared" si="14"/>
        <v>2411.5300000000002</v>
      </c>
      <c r="AD231" s="4" t="s">
        <v>833</v>
      </c>
      <c r="AE231" s="4" t="s">
        <v>834</v>
      </c>
      <c r="AF231" s="4" t="s">
        <v>835</v>
      </c>
    </row>
    <row r="232" spans="1:35" ht="90" x14ac:dyDescent="0.3">
      <c r="A232" s="10" t="s">
        <v>836</v>
      </c>
      <c r="B232" s="10" t="s">
        <v>791</v>
      </c>
      <c r="C232" s="14" t="s">
        <v>792</v>
      </c>
      <c r="D232" s="15"/>
      <c r="E232" s="15" t="s">
        <v>837</v>
      </c>
      <c r="F232" s="15" t="s">
        <v>102</v>
      </c>
      <c r="G232" s="16">
        <v>1</v>
      </c>
      <c r="H232" s="16"/>
      <c r="I232" s="16">
        <v>85.61</v>
      </c>
      <c r="J232" s="17">
        <f>IFERROR(ROUND(SUM(M233)/I232, 2),0)</f>
        <v>385.54</v>
      </c>
      <c r="K232" s="18">
        <v>210</v>
      </c>
      <c r="L232" s="17">
        <f>J232+ROUND(K232, 2)</f>
        <v>595.54</v>
      </c>
      <c r="M232" s="17">
        <f>ROUND(J232*I232, 2)</f>
        <v>33006.080000000002</v>
      </c>
      <c r="N232" s="17">
        <f>ROUND(I232*ROUND(K232, 2), 2)</f>
        <v>17978.099999999999</v>
      </c>
      <c r="O232" s="17">
        <f>M232+N232</f>
        <v>50984.18</v>
      </c>
      <c r="P232" s="17">
        <f>IFERROR(ROUND(SUM(S233)/I232, 2),0)</f>
        <v>385.54</v>
      </c>
      <c r="Q232" s="19">
        <v>315</v>
      </c>
      <c r="R232" s="17">
        <f>P232+ROUND(Q232, 2)</f>
        <v>700.54</v>
      </c>
      <c r="S232" s="17">
        <f>ROUND(P232*I232, 2)</f>
        <v>33006.080000000002</v>
      </c>
      <c r="T232" s="17">
        <f>ROUND(I232*ROUND(Q232, 2), 2)</f>
        <v>26967.15</v>
      </c>
      <c r="U232" s="17">
        <f>S232+T232</f>
        <v>59973.23</v>
      </c>
      <c r="V232" s="9">
        <f>ROUND(P232 / 1.2, 2)</f>
        <v>321.27999999999997</v>
      </c>
      <c r="W232" s="9">
        <f>ROUND(Q232 / 1.2, 2)</f>
        <v>262.5</v>
      </c>
      <c r="X232" s="9">
        <f>ROUND(R232 / 1.2, 2)</f>
        <v>583.78</v>
      </c>
      <c r="Y232" s="9">
        <f t="shared" si="14"/>
        <v>27505.07</v>
      </c>
      <c r="Z232" s="9">
        <f>ROUND(T232 / 1.2, 2)</f>
        <v>22472.63</v>
      </c>
      <c r="AA232" s="9">
        <f>Y232+Z232</f>
        <v>49977.7</v>
      </c>
      <c r="AD232" s="4">
        <v>334080631</v>
      </c>
      <c r="AE232" s="4">
        <v>29384253</v>
      </c>
      <c r="AG232" s="4" t="s">
        <v>793</v>
      </c>
      <c r="AH232" s="4" t="s">
        <v>794</v>
      </c>
      <c r="AI232" s="4" t="s">
        <v>250</v>
      </c>
    </row>
    <row r="233" spans="1:35" ht="72" x14ac:dyDescent="0.3">
      <c r="A233" s="10" t="s">
        <v>838</v>
      </c>
      <c r="B233" s="10"/>
      <c r="C233" s="24" t="s">
        <v>819</v>
      </c>
      <c r="D233" s="15"/>
      <c r="E233" s="15" t="s">
        <v>839</v>
      </c>
      <c r="F233" s="25" t="s">
        <v>102</v>
      </c>
      <c r="G233" s="26">
        <v>1.1000000000000001</v>
      </c>
      <c r="H233" s="31"/>
      <c r="I233" s="31">
        <v>94.171000000000006</v>
      </c>
      <c r="J233" s="27">
        <v>350.49</v>
      </c>
      <c r="M233" s="28">
        <f>ROUND(ROUND(J233, 2)*I233, 2)</f>
        <v>33005.99</v>
      </c>
      <c r="P233" s="29">
        <v>350.49</v>
      </c>
      <c r="S233" s="28">
        <f>ROUND(ROUND(P233, 2)*I233, 2)</f>
        <v>33005.99</v>
      </c>
      <c r="V233" s="9">
        <f>ROUND(ROUND(P233, 2)/1.2, 2)</f>
        <v>292.08</v>
      </c>
      <c r="Y233" s="9">
        <f t="shared" si="14"/>
        <v>27504.99</v>
      </c>
      <c r="AD233" s="4" t="s">
        <v>840</v>
      </c>
      <c r="AE233" s="4" t="s">
        <v>841</v>
      </c>
      <c r="AF233" s="4" t="s">
        <v>822</v>
      </c>
    </row>
    <row r="234" spans="1:35" ht="36" x14ac:dyDescent="0.3">
      <c r="A234" s="10" t="s">
        <v>842</v>
      </c>
      <c r="B234" s="10" t="s">
        <v>843</v>
      </c>
      <c r="C234" s="14" t="s">
        <v>844</v>
      </c>
      <c r="D234" s="15"/>
      <c r="E234" s="15"/>
      <c r="F234" s="15" t="s">
        <v>62</v>
      </c>
      <c r="G234" s="16">
        <v>1</v>
      </c>
      <c r="H234" s="16"/>
      <c r="I234" s="16">
        <v>0</v>
      </c>
      <c r="J234" s="17">
        <v>0</v>
      </c>
      <c r="K234" s="18">
        <v>2310</v>
      </c>
      <c r="L234" s="17">
        <f>J234+ROUND(K234, 2)</f>
        <v>2310</v>
      </c>
      <c r="M234" s="17">
        <v>0</v>
      </c>
      <c r="N234" s="17">
        <v>0</v>
      </c>
      <c r="O234" s="17">
        <f>M234+N234</f>
        <v>0</v>
      </c>
      <c r="P234" s="17">
        <v>1629.53</v>
      </c>
      <c r="Q234" s="18">
        <v>2310</v>
      </c>
      <c r="R234" s="17">
        <f>P234+ROUND(Q234, 2)</f>
        <v>3939.5299999999997</v>
      </c>
      <c r="S234" s="17">
        <v>0</v>
      </c>
      <c r="T234" s="17">
        <v>0</v>
      </c>
      <c r="U234" s="17">
        <f>S234+T234</f>
        <v>0</v>
      </c>
      <c r="V234" s="9">
        <f>ROUND(P234 / 1.2, 2)</f>
        <v>1357.94</v>
      </c>
      <c r="W234" s="9">
        <f>ROUND(Q234 / 1.2, 2)</f>
        <v>1925</v>
      </c>
      <c r="X234" s="9">
        <f>ROUND(R234 / 1.2, 2)</f>
        <v>3282.94</v>
      </c>
      <c r="Y234" s="9">
        <f t="shared" si="14"/>
        <v>0</v>
      </c>
      <c r="Z234" s="9">
        <f>ROUND(T234 / 1.2, 2)</f>
        <v>0</v>
      </c>
      <c r="AA234" s="9">
        <f>Y234+Z234</f>
        <v>0</v>
      </c>
      <c r="AD234" s="4">
        <v>334080514</v>
      </c>
      <c r="AE234" s="4">
        <v>27245720</v>
      </c>
      <c r="AG234" s="4" t="s">
        <v>845</v>
      </c>
      <c r="AH234" s="4" t="s">
        <v>846</v>
      </c>
      <c r="AI234" s="4" t="s">
        <v>250</v>
      </c>
    </row>
    <row r="235" spans="1:35" ht="54" x14ac:dyDescent="0.3">
      <c r="A235" s="10" t="s">
        <v>847</v>
      </c>
      <c r="B235" s="10"/>
      <c r="C235" s="30" t="s">
        <v>848</v>
      </c>
      <c r="D235" s="15"/>
      <c r="E235" s="15"/>
      <c r="F235" s="25" t="s">
        <v>597</v>
      </c>
      <c r="G235" s="26">
        <v>4</v>
      </c>
      <c r="H235" s="26"/>
      <c r="I235" s="26">
        <v>0</v>
      </c>
      <c r="J235" s="27">
        <v>396</v>
      </c>
      <c r="M235" s="28">
        <f>ROUND(ROUND(J235, 2)*I235, 2)</f>
        <v>0</v>
      </c>
      <c r="P235" s="27">
        <v>396</v>
      </c>
      <c r="S235" s="28">
        <f>ROUND(ROUND(P235, 2)*I235, 2)</f>
        <v>0</v>
      </c>
      <c r="V235" s="9">
        <f>ROUND(ROUND(P235, 2)/1.2, 2)</f>
        <v>330</v>
      </c>
      <c r="Y235" s="9">
        <f t="shared" si="14"/>
        <v>0</v>
      </c>
      <c r="AD235" s="4" t="s">
        <v>849</v>
      </c>
      <c r="AE235" s="4" t="s">
        <v>850</v>
      </c>
      <c r="AF235" s="4" t="s">
        <v>851</v>
      </c>
    </row>
    <row r="236" spans="1:35" ht="36" x14ac:dyDescent="0.3">
      <c r="A236" s="10" t="s">
        <v>852</v>
      </c>
      <c r="B236" s="10"/>
      <c r="C236" s="30" t="s">
        <v>853</v>
      </c>
      <c r="D236" s="15"/>
      <c r="E236" s="15"/>
      <c r="F236" s="25" t="s">
        <v>278</v>
      </c>
      <c r="G236" s="26">
        <v>1.2</v>
      </c>
      <c r="H236" s="31"/>
      <c r="I236" s="31">
        <v>0</v>
      </c>
      <c r="J236" s="27">
        <v>16.96</v>
      </c>
      <c r="M236" s="28">
        <f>ROUND(ROUND(J236, 2)*I236, 2)</f>
        <v>0</v>
      </c>
      <c r="P236" s="27">
        <v>16.96</v>
      </c>
      <c r="S236" s="28">
        <f>ROUND(ROUND(P236, 2)*I236, 2)</f>
        <v>0</v>
      </c>
      <c r="V236" s="9">
        <f>ROUND(ROUND(P236, 2)/1.2, 2)</f>
        <v>14.13</v>
      </c>
      <c r="Y236" s="9">
        <f t="shared" si="14"/>
        <v>0</v>
      </c>
      <c r="AD236" s="4" t="s">
        <v>854</v>
      </c>
      <c r="AE236" s="4" t="s">
        <v>855</v>
      </c>
      <c r="AF236" s="4" t="s">
        <v>856</v>
      </c>
    </row>
    <row r="237" spans="1:35" ht="18" x14ac:dyDescent="0.3">
      <c r="A237" s="10" t="s">
        <v>857</v>
      </c>
      <c r="B237" s="10"/>
      <c r="C237" s="24" t="s">
        <v>858</v>
      </c>
      <c r="D237" s="15"/>
      <c r="E237" s="15"/>
      <c r="F237" s="25" t="s">
        <v>278</v>
      </c>
      <c r="G237" s="26">
        <v>0.25</v>
      </c>
      <c r="H237" s="26"/>
      <c r="I237" s="26">
        <v>0</v>
      </c>
      <c r="J237" s="27">
        <v>47.44</v>
      </c>
      <c r="M237" s="28">
        <f>ROUND(ROUND(J237, 2)*I237, 2)</f>
        <v>0</v>
      </c>
      <c r="P237" s="27">
        <v>47.44</v>
      </c>
      <c r="S237" s="28">
        <f>ROUND(ROUND(P237, 2)*I237, 2)</f>
        <v>0</v>
      </c>
      <c r="V237" s="9">
        <f>ROUND(ROUND(P237, 2)/1.2, 2)</f>
        <v>39.53</v>
      </c>
      <c r="Y237" s="9">
        <f t="shared" si="14"/>
        <v>0</v>
      </c>
      <c r="AD237" s="4" t="s">
        <v>859</v>
      </c>
      <c r="AE237" s="4" t="s">
        <v>860</v>
      </c>
      <c r="AF237" s="4" t="s">
        <v>861</v>
      </c>
    </row>
    <row r="238" spans="1:35" ht="36" x14ac:dyDescent="0.3">
      <c r="A238" s="10" t="s">
        <v>862</v>
      </c>
      <c r="B238" s="10"/>
      <c r="C238" s="24" t="s">
        <v>304</v>
      </c>
      <c r="D238" s="15"/>
      <c r="E238" s="15"/>
      <c r="F238" s="25" t="s">
        <v>278</v>
      </c>
      <c r="G238" s="26">
        <v>0.15</v>
      </c>
      <c r="H238" s="26"/>
      <c r="I238" s="26">
        <v>0</v>
      </c>
      <c r="J238" s="27">
        <v>88.8</v>
      </c>
      <c r="M238" s="28">
        <f>ROUND(ROUND(J238, 2)*I238, 2)</f>
        <v>0</v>
      </c>
      <c r="P238" s="27">
        <v>88.8</v>
      </c>
      <c r="S238" s="28">
        <f>ROUND(ROUND(P238, 2)*I238, 2)</f>
        <v>0</v>
      </c>
      <c r="V238" s="9">
        <f>ROUND(ROUND(P238, 2)/1.2, 2)</f>
        <v>74</v>
      </c>
      <c r="Y238" s="9">
        <f t="shared" si="14"/>
        <v>0</v>
      </c>
      <c r="AD238" s="4" t="s">
        <v>863</v>
      </c>
      <c r="AE238" s="4" t="s">
        <v>864</v>
      </c>
      <c r="AF238" s="4" t="s">
        <v>307</v>
      </c>
    </row>
    <row r="239" spans="1:35" ht="36" x14ac:dyDescent="0.3">
      <c r="A239" s="10" t="s">
        <v>865</v>
      </c>
      <c r="B239" s="10" t="s">
        <v>843</v>
      </c>
      <c r="C239" s="14" t="s">
        <v>844</v>
      </c>
      <c r="D239" s="15"/>
      <c r="E239" s="15"/>
      <c r="F239" s="15" t="s">
        <v>62</v>
      </c>
      <c r="G239" s="16">
        <v>1</v>
      </c>
      <c r="H239" s="16"/>
      <c r="I239" s="16">
        <v>0</v>
      </c>
      <c r="J239" s="17">
        <v>0</v>
      </c>
      <c r="K239" s="18">
        <v>2310</v>
      </c>
      <c r="L239" s="17">
        <f>J239+ROUND(K239, 2)</f>
        <v>2310</v>
      </c>
      <c r="M239" s="17">
        <v>0</v>
      </c>
      <c r="N239" s="17">
        <v>0</v>
      </c>
      <c r="O239" s="17">
        <f>M239+N239</f>
        <v>0</v>
      </c>
      <c r="P239" s="17">
        <v>1469.97</v>
      </c>
      <c r="Q239" s="18">
        <v>2310</v>
      </c>
      <c r="R239" s="17">
        <f>P239+ROUND(Q239, 2)</f>
        <v>3779.9700000000003</v>
      </c>
      <c r="S239" s="17">
        <v>0</v>
      </c>
      <c r="T239" s="17">
        <v>0</v>
      </c>
      <c r="U239" s="17">
        <f>S239+T239</f>
        <v>0</v>
      </c>
      <c r="V239" s="9">
        <f>ROUND(P239 / 1.2, 2)</f>
        <v>1224.98</v>
      </c>
      <c r="W239" s="9">
        <f>ROUND(Q239 / 1.2, 2)</f>
        <v>1925</v>
      </c>
      <c r="X239" s="9">
        <f>ROUND(R239 / 1.2, 2)</f>
        <v>3149.98</v>
      </c>
      <c r="Y239" s="9">
        <f t="shared" si="14"/>
        <v>0</v>
      </c>
      <c r="Z239" s="9">
        <f>ROUND(T239 / 1.2, 2)</f>
        <v>0</v>
      </c>
      <c r="AA239" s="9">
        <f>Y239+Z239</f>
        <v>0</v>
      </c>
      <c r="AD239" s="4">
        <v>334080632</v>
      </c>
      <c r="AE239" s="4">
        <v>27245721</v>
      </c>
      <c r="AG239" s="4" t="s">
        <v>845</v>
      </c>
      <c r="AH239" s="4" t="s">
        <v>846</v>
      </c>
      <c r="AI239" s="4" t="s">
        <v>250</v>
      </c>
    </row>
    <row r="240" spans="1:35" ht="36" x14ac:dyDescent="0.3">
      <c r="A240" s="10" t="s">
        <v>866</v>
      </c>
      <c r="B240" s="10"/>
      <c r="C240" s="24" t="s">
        <v>304</v>
      </c>
      <c r="D240" s="15"/>
      <c r="E240" s="15"/>
      <c r="F240" s="25" t="s">
        <v>278</v>
      </c>
      <c r="G240" s="26">
        <v>0.15</v>
      </c>
      <c r="H240" s="26"/>
      <c r="I240" s="26">
        <v>0</v>
      </c>
      <c r="J240" s="27">
        <v>88.8</v>
      </c>
      <c r="M240" s="28">
        <f>ROUND(ROUND(J240, 2)*I240, 2)</f>
        <v>0</v>
      </c>
      <c r="P240" s="27">
        <v>88.8</v>
      </c>
      <c r="S240" s="28">
        <f>ROUND(ROUND(P240, 2)*I240, 2)</f>
        <v>0</v>
      </c>
      <c r="V240" s="9">
        <f>ROUND(ROUND(P240, 2)/1.2, 2)</f>
        <v>74</v>
      </c>
      <c r="Y240" s="9">
        <f t="shared" si="14"/>
        <v>0</v>
      </c>
      <c r="AD240" s="4" t="s">
        <v>867</v>
      </c>
      <c r="AE240" s="4" t="s">
        <v>868</v>
      </c>
      <c r="AF240" s="4" t="s">
        <v>307</v>
      </c>
    </row>
    <row r="241" spans="1:35" ht="18" x14ac:dyDescent="0.3">
      <c r="A241" s="10" t="s">
        <v>869</v>
      </c>
      <c r="B241" s="10"/>
      <c r="C241" s="24" t="s">
        <v>858</v>
      </c>
      <c r="D241" s="15"/>
      <c r="E241" s="15"/>
      <c r="F241" s="25" t="s">
        <v>278</v>
      </c>
      <c r="G241" s="26">
        <v>0.25</v>
      </c>
      <c r="H241" s="26"/>
      <c r="I241" s="26">
        <v>0</v>
      </c>
      <c r="J241" s="27">
        <v>47.44</v>
      </c>
      <c r="M241" s="28">
        <f>ROUND(ROUND(J241, 2)*I241, 2)</f>
        <v>0</v>
      </c>
      <c r="P241" s="27">
        <v>47.44</v>
      </c>
      <c r="S241" s="28">
        <f>ROUND(ROUND(P241, 2)*I241, 2)</f>
        <v>0</v>
      </c>
      <c r="V241" s="9">
        <f>ROUND(ROUND(P241, 2)/1.2, 2)</f>
        <v>39.53</v>
      </c>
      <c r="Y241" s="9">
        <f t="shared" si="14"/>
        <v>0</v>
      </c>
      <c r="AD241" s="4" t="s">
        <v>870</v>
      </c>
      <c r="AE241" s="4" t="s">
        <v>871</v>
      </c>
      <c r="AF241" s="4" t="s">
        <v>861</v>
      </c>
    </row>
    <row r="242" spans="1:35" ht="36" x14ac:dyDescent="0.3">
      <c r="A242" s="10" t="s">
        <v>872</v>
      </c>
      <c r="B242" s="10"/>
      <c r="C242" s="30" t="s">
        <v>853</v>
      </c>
      <c r="D242" s="15"/>
      <c r="E242" s="15"/>
      <c r="F242" s="25" t="s">
        <v>278</v>
      </c>
      <c r="G242" s="26">
        <v>1.2</v>
      </c>
      <c r="H242" s="31"/>
      <c r="I242" s="31">
        <v>0</v>
      </c>
      <c r="J242" s="27">
        <v>16.96</v>
      </c>
      <c r="M242" s="28">
        <f>ROUND(ROUND(J242, 2)*I242, 2)</f>
        <v>0</v>
      </c>
      <c r="P242" s="27">
        <v>16.96</v>
      </c>
      <c r="S242" s="28">
        <f>ROUND(ROUND(P242, 2)*I242, 2)</f>
        <v>0</v>
      </c>
      <c r="V242" s="9">
        <f>ROUND(ROUND(P242, 2)/1.2, 2)</f>
        <v>14.13</v>
      </c>
      <c r="Y242" s="9">
        <f t="shared" si="14"/>
        <v>0</v>
      </c>
      <c r="AD242" s="4" t="s">
        <v>873</v>
      </c>
      <c r="AE242" s="4" t="s">
        <v>874</v>
      </c>
      <c r="AF242" s="4" t="s">
        <v>856</v>
      </c>
    </row>
    <row r="243" spans="1:35" ht="36" x14ac:dyDescent="0.3">
      <c r="A243" s="10" t="s">
        <v>875</v>
      </c>
      <c r="B243" s="10"/>
      <c r="C243" s="24" t="s">
        <v>876</v>
      </c>
      <c r="D243" s="15"/>
      <c r="E243" s="15"/>
      <c r="F243" s="25" t="s">
        <v>597</v>
      </c>
      <c r="G243" s="26">
        <v>4</v>
      </c>
      <c r="H243" s="26"/>
      <c r="I243" s="26">
        <v>0</v>
      </c>
      <c r="J243" s="27">
        <v>356.11</v>
      </c>
      <c r="M243" s="28">
        <f>ROUND(ROUND(J243, 2)*I243, 2)</f>
        <v>0</v>
      </c>
      <c r="P243" s="27">
        <v>356.11</v>
      </c>
      <c r="S243" s="28">
        <f>ROUND(ROUND(P243, 2)*I243, 2)</f>
        <v>0</v>
      </c>
      <c r="V243" s="9">
        <f>ROUND(ROUND(P243, 2)/1.2, 2)</f>
        <v>296.76</v>
      </c>
      <c r="Y243" s="9">
        <f t="shared" si="14"/>
        <v>0</v>
      </c>
      <c r="AD243" s="4" t="s">
        <v>877</v>
      </c>
      <c r="AE243" s="4" t="s">
        <v>878</v>
      </c>
      <c r="AF243" s="4" t="s">
        <v>879</v>
      </c>
    </row>
    <row r="244" spans="1:35" ht="36" x14ac:dyDescent="0.3">
      <c r="A244" s="10" t="s">
        <v>880</v>
      </c>
      <c r="B244" s="10" t="s">
        <v>843</v>
      </c>
      <c r="C244" s="14" t="s">
        <v>844</v>
      </c>
      <c r="D244" s="15"/>
      <c r="E244" s="15"/>
      <c r="F244" s="15" t="s">
        <v>62</v>
      </c>
      <c r="G244" s="16">
        <v>1</v>
      </c>
      <c r="H244" s="16"/>
      <c r="I244" s="16">
        <v>0</v>
      </c>
      <c r="J244" s="17">
        <v>0</v>
      </c>
      <c r="K244" s="18">
        <v>2310</v>
      </c>
      <c r="L244" s="17">
        <f>J244+ROUND(K244, 2)</f>
        <v>2310</v>
      </c>
      <c r="M244" s="17">
        <v>0</v>
      </c>
      <c r="N244" s="17">
        <v>0</v>
      </c>
      <c r="O244" s="17">
        <f>M244+N244</f>
        <v>0</v>
      </c>
      <c r="P244" s="17">
        <v>4447.13</v>
      </c>
      <c r="Q244" s="18">
        <v>2310</v>
      </c>
      <c r="R244" s="17">
        <f>P244+ROUND(Q244, 2)</f>
        <v>6757.13</v>
      </c>
      <c r="S244" s="17">
        <v>0</v>
      </c>
      <c r="T244" s="17">
        <v>0</v>
      </c>
      <c r="U244" s="17">
        <f>S244+T244</f>
        <v>0</v>
      </c>
      <c r="V244" s="9">
        <f>ROUND(P244 / 1.2, 2)</f>
        <v>3705.94</v>
      </c>
      <c r="W244" s="9">
        <f>ROUND(Q244 / 1.2, 2)</f>
        <v>1925</v>
      </c>
      <c r="X244" s="9">
        <f>ROUND(R244 / 1.2, 2)</f>
        <v>5630.94</v>
      </c>
      <c r="Y244" s="9">
        <f t="shared" si="14"/>
        <v>0</v>
      </c>
      <c r="Z244" s="9">
        <f>ROUND(T244 / 1.2, 2)</f>
        <v>0</v>
      </c>
      <c r="AA244" s="9">
        <f>Y244+Z244</f>
        <v>0</v>
      </c>
      <c r="AD244" s="4">
        <v>334080633</v>
      </c>
      <c r="AE244" s="4">
        <v>27245722</v>
      </c>
      <c r="AG244" s="4" t="s">
        <v>845</v>
      </c>
      <c r="AH244" s="4" t="s">
        <v>846</v>
      </c>
      <c r="AI244" s="4" t="s">
        <v>250</v>
      </c>
    </row>
    <row r="245" spans="1:35" ht="54" x14ac:dyDescent="0.3">
      <c r="A245" s="10" t="s">
        <v>881</v>
      </c>
      <c r="B245" s="10"/>
      <c r="C245" s="30" t="s">
        <v>882</v>
      </c>
      <c r="D245" s="15"/>
      <c r="E245" s="15"/>
      <c r="F245" s="25" t="s">
        <v>597</v>
      </c>
      <c r="G245" s="26">
        <v>4</v>
      </c>
      <c r="H245" s="26"/>
      <c r="I245" s="26">
        <v>0</v>
      </c>
      <c r="J245" s="27">
        <v>1100.4000000000001</v>
      </c>
      <c r="M245" s="28">
        <f>ROUND(ROUND(J245, 2)*I245, 2)</f>
        <v>0</v>
      </c>
      <c r="P245" s="27">
        <v>1100.4000000000001</v>
      </c>
      <c r="S245" s="28">
        <f>ROUND(ROUND(P245, 2)*I245, 2)</f>
        <v>0</v>
      </c>
      <c r="V245" s="9">
        <f>ROUND(ROUND(P245, 2)/1.2, 2)</f>
        <v>917</v>
      </c>
      <c r="Y245" s="9">
        <f t="shared" si="14"/>
        <v>0</v>
      </c>
      <c r="AD245" s="4" t="s">
        <v>883</v>
      </c>
      <c r="AE245" s="4" t="s">
        <v>884</v>
      </c>
      <c r="AF245" s="4" t="s">
        <v>885</v>
      </c>
    </row>
    <row r="246" spans="1:35" ht="36" x14ac:dyDescent="0.3">
      <c r="A246" s="10" t="s">
        <v>886</v>
      </c>
      <c r="B246" s="10"/>
      <c r="C246" s="30" t="s">
        <v>853</v>
      </c>
      <c r="D246" s="15"/>
      <c r="E246" s="15"/>
      <c r="F246" s="25" t="s">
        <v>278</v>
      </c>
      <c r="G246" s="26">
        <v>1.2</v>
      </c>
      <c r="H246" s="31"/>
      <c r="I246" s="31">
        <v>0</v>
      </c>
      <c r="J246" s="27">
        <v>16.96</v>
      </c>
      <c r="M246" s="28">
        <f>ROUND(ROUND(J246, 2)*I246, 2)</f>
        <v>0</v>
      </c>
      <c r="P246" s="27">
        <v>16.96</v>
      </c>
      <c r="S246" s="28">
        <f>ROUND(ROUND(P246, 2)*I246, 2)</f>
        <v>0</v>
      </c>
      <c r="V246" s="9">
        <f>ROUND(ROUND(P246, 2)/1.2, 2)</f>
        <v>14.13</v>
      </c>
      <c r="Y246" s="9">
        <f t="shared" si="14"/>
        <v>0</v>
      </c>
      <c r="AD246" s="4" t="s">
        <v>887</v>
      </c>
      <c r="AE246" s="4" t="s">
        <v>888</v>
      </c>
      <c r="AF246" s="4" t="s">
        <v>856</v>
      </c>
    </row>
    <row r="247" spans="1:35" ht="18" x14ac:dyDescent="0.3">
      <c r="A247" s="10" t="s">
        <v>889</v>
      </c>
      <c r="B247" s="10"/>
      <c r="C247" s="24" t="s">
        <v>858</v>
      </c>
      <c r="D247" s="15"/>
      <c r="E247" s="15"/>
      <c r="F247" s="25" t="s">
        <v>278</v>
      </c>
      <c r="G247" s="26">
        <v>0.25</v>
      </c>
      <c r="H247" s="26"/>
      <c r="I247" s="26">
        <v>0</v>
      </c>
      <c r="J247" s="27">
        <v>47.44</v>
      </c>
      <c r="M247" s="28">
        <f>ROUND(ROUND(J247, 2)*I247, 2)</f>
        <v>0</v>
      </c>
      <c r="P247" s="27">
        <v>47.44</v>
      </c>
      <c r="S247" s="28">
        <f>ROUND(ROUND(P247, 2)*I247, 2)</f>
        <v>0</v>
      </c>
      <c r="V247" s="9">
        <f>ROUND(ROUND(P247, 2)/1.2, 2)</f>
        <v>39.53</v>
      </c>
      <c r="Y247" s="9">
        <f t="shared" ref="Y247:Y310" si="15">ROUND(S247 / 1.2, 2)</f>
        <v>0</v>
      </c>
      <c r="AD247" s="4" t="s">
        <v>890</v>
      </c>
      <c r="AE247" s="4" t="s">
        <v>891</v>
      </c>
      <c r="AF247" s="4" t="s">
        <v>861</v>
      </c>
    </row>
    <row r="248" spans="1:35" ht="36" x14ac:dyDescent="0.3">
      <c r="A248" s="10" t="s">
        <v>892</v>
      </c>
      <c r="B248" s="10"/>
      <c r="C248" s="24" t="s">
        <v>304</v>
      </c>
      <c r="D248" s="15"/>
      <c r="E248" s="15"/>
      <c r="F248" s="25" t="s">
        <v>278</v>
      </c>
      <c r="G248" s="26">
        <v>0.15</v>
      </c>
      <c r="H248" s="26"/>
      <c r="I248" s="26">
        <v>0</v>
      </c>
      <c r="J248" s="27">
        <v>88.8</v>
      </c>
      <c r="M248" s="28">
        <f>ROUND(ROUND(J248, 2)*I248, 2)</f>
        <v>0</v>
      </c>
      <c r="P248" s="27">
        <v>88.8</v>
      </c>
      <c r="S248" s="28">
        <f>ROUND(ROUND(P248, 2)*I248, 2)</f>
        <v>0</v>
      </c>
      <c r="V248" s="9">
        <f>ROUND(ROUND(P248, 2)/1.2, 2)</f>
        <v>74</v>
      </c>
      <c r="Y248" s="9">
        <f t="shared" si="15"/>
        <v>0</v>
      </c>
      <c r="AD248" s="4" t="s">
        <v>893</v>
      </c>
      <c r="AE248" s="4" t="s">
        <v>894</v>
      </c>
      <c r="AF248" s="4" t="s">
        <v>307</v>
      </c>
    </row>
    <row r="249" spans="1:35" ht="36" x14ac:dyDescent="0.3">
      <c r="A249" s="10" t="s">
        <v>895</v>
      </c>
      <c r="B249" s="10" t="s">
        <v>843</v>
      </c>
      <c r="C249" s="14" t="s">
        <v>844</v>
      </c>
      <c r="D249" s="15"/>
      <c r="E249" s="15" t="s">
        <v>896</v>
      </c>
      <c r="F249" s="15" t="s">
        <v>62</v>
      </c>
      <c r="G249" s="16">
        <v>1</v>
      </c>
      <c r="H249" s="16"/>
      <c r="I249" s="16">
        <v>338.3</v>
      </c>
      <c r="J249" s="17">
        <v>1628.52</v>
      </c>
      <c r="K249" s="18">
        <v>2310</v>
      </c>
      <c r="L249" s="17">
        <f>J249+ROUND(K249, 2)</f>
        <v>3938.52</v>
      </c>
      <c r="M249" s="17">
        <v>550928.31999999995</v>
      </c>
      <c r="N249" s="17">
        <v>781473</v>
      </c>
      <c r="O249" s="17">
        <f>M249+N249</f>
        <v>1332401.3199999998</v>
      </c>
      <c r="P249" s="17">
        <v>1628.51</v>
      </c>
      <c r="Q249" s="18">
        <v>3465</v>
      </c>
      <c r="R249" s="17">
        <f>P249+ROUND(Q249, 2)</f>
        <v>5093.51</v>
      </c>
      <c r="S249" s="17">
        <v>550924.93000000005</v>
      </c>
      <c r="T249" s="17">
        <v>1172209.5</v>
      </c>
      <c r="U249" s="17">
        <f>S249+T249</f>
        <v>1723134.4300000002</v>
      </c>
      <c r="V249" s="9">
        <f>ROUND(P249 / 1.2, 2)</f>
        <v>1357.09</v>
      </c>
      <c r="W249" s="9">
        <f>ROUND(Q249 / 1.2, 2)</f>
        <v>2887.5</v>
      </c>
      <c r="X249" s="9">
        <f>ROUND(R249 / 1.2, 2)</f>
        <v>4244.59</v>
      </c>
      <c r="Y249" s="9">
        <f t="shared" si="15"/>
        <v>459104.11</v>
      </c>
      <c r="Z249" s="9">
        <f>ROUND(T249 / 1.2, 2)</f>
        <v>976841.25</v>
      </c>
      <c r="AA249" s="9">
        <f>Y249+Z249</f>
        <v>1435945.3599999999</v>
      </c>
      <c r="AD249" s="4">
        <v>334080634</v>
      </c>
      <c r="AE249" s="4">
        <v>27245771</v>
      </c>
      <c r="AG249" s="4" t="s">
        <v>845</v>
      </c>
      <c r="AH249" s="4" t="s">
        <v>846</v>
      </c>
      <c r="AI249" s="4" t="s">
        <v>250</v>
      </c>
    </row>
    <row r="250" spans="1:35" ht="36" x14ac:dyDescent="0.3">
      <c r="A250" s="10" t="s">
        <v>897</v>
      </c>
      <c r="B250" s="10"/>
      <c r="C250" s="24" t="s">
        <v>304</v>
      </c>
      <c r="D250" s="15"/>
      <c r="E250" s="15"/>
      <c r="F250" s="25" t="s">
        <v>278</v>
      </c>
      <c r="G250" s="26">
        <v>0.15</v>
      </c>
      <c r="H250" s="26"/>
      <c r="I250" s="26">
        <v>50.744999999999997</v>
      </c>
      <c r="J250" s="27">
        <v>88.8</v>
      </c>
      <c r="M250" s="28">
        <f>ROUND(ROUND(J250, 2)*I250, 2)</f>
        <v>4506.16</v>
      </c>
      <c r="P250" s="27">
        <v>88.8</v>
      </c>
      <c r="S250" s="28">
        <f>ROUND(ROUND(P250, 2)*I250, 2)</f>
        <v>4506.16</v>
      </c>
      <c r="V250" s="9">
        <f>ROUND(ROUND(P250, 2)/1.2, 2)</f>
        <v>74</v>
      </c>
      <c r="Y250" s="9">
        <f t="shared" si="15"/>
        <v>3755.13</v>
      </c>
      <c r="AD250" s="4" t="s">
        <v>898</v>
      </c>
      <c r="AE250" s="4" t="s">
        <v>899</v>
      </c>
      <c r="AF250" s="4" t="s">
        <v>307</v>
      </c>
    </row>
    <row r="251" spans="1:35" ht="18" x14ac:dyDescent="0.3">
      <c r="A251" s="10" t="s">
        <v>900</v>
      </c>
      <c r="B251" s="10"/>
      <c r="C251" s="24" t="s">
        <v>858</v>
      </c>
      <c r="D251" s="15"/>
      <c r="E251" s="15"/>
      <c r="F251" s="25" t="s">
        <v>278</v>
      </c>
      <c r="G251" s="26">
        <v>0.25</v>
      </c>
      <c r="H251" s="26"/>
      <c r="I251" s="26">
        <v>84.575000000000003</v>
      </c>
      <c r="J251" s="27">
        <v>47.44</v>
      </c>
      <c r="M251" s="28">
        <f>ROUND(ROUND(J251, 2)*I251, 2)</f>
        <v>4012.24</v>
      </c>
      <c r="P251" s="27">
        <v>47.44</v>
      </c>
      <c r="S251" s="28">
        <f>ROUND(ROUND(P251, 2)*I251, 2)</f>
        <v>4012.24</v>
      </c>
      <c r="V251" s="9">
        <f>ROUND(ROUND(P251, 2)/1.2, 2)</f>
        <v>39.53</v>
      </c>
      <c r="Y251" s="9">
        <f t="shared" si="15"/>
        <v>3343.53</v>
      </c>
      <c r="AD251" s="4" t="s">
        <v>901</v>
      </c>
      <c r="AE251" s="4" t="s">
        <v>902</v>
      </c>
      <c r="AF251" s="4" t="s">
        <v>861</v>
      </c>
    </row>
    <row r="252" spans="1:35" ht="36" x14ac:dyDescent="0.3">
      <c r="A252" s="10" t="s">
        <v>903</v>
      </c>
      <c r="B252" s="10"/>
      <c r="C252" s="30" t="s">
        <v>853</v>
      </c>
      <c r="D252" s="15"/>
      <c r="E252" s="15"/>
      <c r="F252" s="25" t="s">
        <v>278</v>
      </c>
      <c r="G252" s="26">
        <v>1.2</v>
      </c>
      <c r="H252" s="31"/>
      <c r="I252" s="31">
        <v>405.96</v>
      </c>
      <c r="J252" s="27">
        <v>16.12</v>
      </c>
      <c r="M252" s="28">
        <f>ROUND(ROUND(J252, 2)*I252, 2)</f>
        <v>6544.08</v>
      </c>
      <c r="P252" s="27">
        <v>16.11</v>
      </c>
      <c r="S252" s="28">
        <f>ROUND(ROUND(P252, 2)*I252, 2)</f>
        <v>6540.02</v>
      </c>
      <c r="V252" s="9">
        <f>ROUND(ROUND(P252, 2)/1.2, 2)</f>
        <v>13.43</v>
      </c>
      <c r="Y252" s="9">
        <f t="shared" si="15"/>
        <v>5450.02</v>
      </c>
      <c r="AD252" s="4" t="s">
        <v>904</v>
      </c>
      <c r="AE252" s="4" t="s">
        <v>905</v>
      </c>
      <c r="AF252" s="4" t="s">
        <v>856</v>
      </c>
    </row>
    <row r="253" spans="1:35" ht="90" x14ac:dyDescent="0.3">
      <c r="A253" s="10" t="s">
        <v>906</v>
      </c>
      <c r="B253" s="10"/>
      <c r="C253" s="30" t="s">
        <v>848</v>
      </c>
      <c r="D253" s="15"/>
      <c r="E253" s="15" t="s">
        <v>907</v>
      </c>
      <c r="F253" s="25" t="s">
        <v>597</v>
      </c>
      <c r="G253" s="26">
        <v>4</v>
      </c>
      <c r="H253" s="26"/>
      <c r="I253" s="26">
        <v>1353.2</v>
      </c>
      <c r="J253" s="27">
        <v>396</v>
      </c>
      <c r="M253" s="28">
        <f>ROUND(ROUND(J253, 2)*I253, 2)</f>
        <v>535867.19999999995</v>
      </c>
      <c r="P253" s="27">
        <v>396</v>
      </c>
      <c r="S253" s="28">
        <f>ROUND(ROUND(P253, 2)*I253, 2)</f>
        <v>535867.19999999995</v>
      </c>
      <c r="V253" s="9">
        <f>ROUND(ROUND(P253, 2)/1.2, 2)</f>
        <v>330</v>
      </c>
      <c r="Y253" s="9">
        <f t="shared" si="15"/>
        <v>446556</v>
      </c>
      <c r="AD253" s="4" t="s">
        <v>908</v>
      </c>
      <c r="AE253" s="4" t="s">
        <v>909</v>
      </c>
      <c r="AF253" s="4" t="s">
        <v>851</v>
      </c>
    </row>
    <row r="254" spans="1:35" ht="36" x14ac:dyDescent="0.3">
      <c r="A254" s="10" t="s">
        <v>910</v>
      </c>
      <c r="B254" s="10" t="s">
        <v>843</v>
      </c>
      <c r="C254" s="14" t="s">
        <v>844</v>
      </c>
      <c r="D254" s="15"/>
      <c r="E254" s="15" t="s">
        <v>911</v>
      </c>
      <c r="F254" s="15" t="s">
        <v>62</v>
      </c>
      <c r="G254" s="16">
        <v>1</v>
      </c>
      <c r="H254" s="16"/>
      <c r="I254" s="16">
        <v>190.6</v>
      </c>
      <c r="J254" s="17">
        <v>4446.12</v>
      </c>
      <c r="K254" s="18">
        <v>2310</v>
      </c>
      <c r="L254" s="17">
        <f>J254+ROUND(K254, 2)</f>
        <v>6756.12</v>
      </c>
      <c r="M254" s="17">
        <v>847430.47</v>
      </c>
      <c r="N254" s="17">
        <v>440286</v>
      </c>
      <c r="O254" s="17">
        <f>M254+N254</f>
        <v>1287716.47</v>
      </c>
      <c r="P254" s="17">
        <v>4446.1099999999997</v>
      </c>
      <c r="Q254" s="18">
        <v>3465</v>
      </c>
      <c r="R254" s="17">
        <f>P254+ROUND(Q254, 2)</f>
        <v>7911.11</v>
      </c>
      <c r="S254" s="17">
        <v>847428.57</v>
      </c>
      <c r="T254" s="17">
        <v>660429</v>
      </c>
      <c r="U254" s="17">
        <f>S254+T254</f>
        <v>1507857.5699999998</v>
      </c>
      <c r="V254" s="9">
        <f>ROUND(P254 / 1.2, 2)</f>
        <v>3705.09</v>
      </c>
      <c r="W254" s="9">
        <f>ROUND(Q254 / 1.2, 2)</f>
        <v>2887.5</v>
      </c>
      <c r="X254" s="9">
        <f>ROUND(R254 / 1.2, 2)</f>
        <v>6592.59</v>
      </c>
      <c r="Y254" s="9">
        <f t="shared" si="15"/>
        <v>706190.48</v>
      </c>
      <c r="Z254" s="9">
        <f>ROUND(T254 / 1.2, 2)</f>
        <v>550357.5</v>
      </c>
      <c r="AA254" s="9">
        <f>Y254+Z254</f>
        <v>1256547.98</v>
      </c>
      <c r="AD254" s="4">
        <v>334080635</v>
      </c>
      <c r="AE254" s="4">
        <v>27245772</v>
      </c>
      <c r="AG254" s="4" t="s">
        <v>845</v>
      </c>
      <c r="AH254" s="4" t="s">
        <v>846</v>
      </c>
      <c r="AI254" s="4" t="s">
        <v>250</v>
      </c>
    </row>
    <row r="255" spans="1:35" ht="90" x14ac:dyDescent="0.3">
      <c r="A255" s="10" t="s">
        <v>912</v>
      </c>
      <c r="B255" s="10"/>
      <c r="C255" s="30" t="s">
        <v>882</v>
      </c>
      <c r="D255" s="15"/>
      <c r="E255" s="15" t="s">
        <v>913</v>
      </c>
      <c r="F255" s="25" t="s">
        <v>597</v>
      </c>
      <c r="G255" s="26">
        <v>4</v>
      </c>
      <c r="H255" s="26"/>
      <c r="I255" s="26">
        <v>762.4</v>
      </c>
      <c r="J255" s="27">
        <v>1100.4000000000001</v>
      </c>
      <c r="M255" s="28">
        <f>ROUND(ROUND(J255, 2)*I255, 2)</f>
        <v>838944.96</v>
      </c>
      <c r="P255" s="27">
        <v>1100.4000000000001</v>
      </c>
      <c r="S255" s="28">
        <f>ROUND(ROUND(P255, 2)*I255, 2)</f>
        <v>838944.96</v>
      </c>
      <c r="V255" s="9">
        <f>ROUND(ROUND(P255, 2)/1.2, 2)</f>
        <v>917</v>
      </c>
      <c r="Y255" s="9">
        <f t="shared" si="15"/>
        <v>699120.8</v>
      </c>
      <c r="AD255" s="4" t="s">
        <v>914</v>
      </c>
      <c r="AE255" s="4" t="s">
        <v>915</v>
      </c>
      <c r="AF255" s="4" t="s">
        <v>885</v>
      </c>
    </row>
    <row r="256" spans="1:35" ht="36" x14ac:dyDescent="0.3">
      <c r="A256" s="10" t="s">
        <v>916</v>
      </c>
      <c r="B256" s="10"/>
      <c r="C256" s="30" t="s">
        <v>853</v>
      </c>
      <c r="D256" s="15"/>
      <c r="E256" s="15"/>
      <c r="F256" s="25" t="s">
        <v>278</v>
      </c>
      <c r="G256" s="26">
        <v>1.2</v>
      </c>
      <c r="H256" s="31"/>
      <c r="I256" s="31">
        <v>228.72</v>
      </c>
      <c r="J256" s="27">
        <v>16.12</v>
      </c>
      <c r="M256" s="28">
        <f>ROUND(ROUND(J256, 2)*I256, 2)</f>
        <v>3686.97</v>
      </c>
      <c r="P256" s="27">
        <v>16.11</v>
      </c>
      <c r="S256" s="28">
        <f>ROUND(ROUND(P256, 2)*I256, 2)</f>
        <v>3684.68</v>
      </c>
      <c r="V256" s="9">
        <f>ROUND(ROUND(P256, 2)/1.2, 2)</f>
        <v>13.43</v>
      </c>
      <c r="Y256" s="9">
        <f t="shared" si="15"/>
        <v>3070.57</v>
      </c>
      <c r="AD256" s="4" t="s">
        <v>917</v>
      </c>
      <c r="AE256" s="4" t="s">
        <v>918</v>
      </c>
      <c r="AF256" s="4" t="s">
        <v>856</v>
      </c>
    </row>
    <row r="257" spans="1:35" ht="18" x14ac:dyDescent="0.3">
      <c r="A257" s="10" t="s">
        <v>919</v>
      </c>
      <c r="B257" s="10"/>
      <c r="C257" s="24" t="s">
        <v>858</v>
      </c>
      <c r="D257" s="15"/>
      <c r="E257" s="15"/>
      <c r="F257" s="25" t="s">
        <v>278</v>
      </c>
      <c r="G257" s="26">
        <v>0.25</v>
      </c>
      <c r="H257" s="26"/>
      <c r="I257" s="26">
        <v>47.65</v>
      </c>
      <c r="J257" s="27">
        <v>47.44</v>
      </c>
      <c r="M257" s="28">
        <f>ROUND(ROUND(J257, 2)*I257, 2)</f>
        <v>2260.52</v>
      </c>
      <c r="P257" s="27">
        <v>47.44</v>
      </c>
      <c r="S257" s="28">
        <f>ROUND(ROUND(P257, 2)*I257, 2)</f>
        <v>2260.52</v>
      </c>
      <c r="V257" s="9">
        <f>ROUND(ROUND(P257, 2)/1.2, 2)</f>
        <v>39.53</v>
      </c>
      <c r="Y257" s="9">
        <f t="shared" si="15"/>
        <v>1883.77</v>
      </c>
      <c r="AD257" s="4" t="s">
        <v>920</v>
      </c>
      <c r="AE257" s="4" t="s">
        <v>921</v>
      </c>
      <c r="AF257" s="4" t="s">
        <v>861</v>
      </c>
    </row>
    <row r="258" spans="1:35" ht="36" x14ac:dyDescent="0.3">
      <c r="A258" s="10" t="s">
        <v>922</v>
      </c>
      <c r="B258" s="10"/>
      <c r="C258" s="24" t="s">
        <v>304</v>
      </c>
      <c r="D258" s="15"/>
      <c r="E258" s="15"/>
      <c r="F258" s="25" t="s">
        <v>278</v>
      </c>
      <c r="G258" s="26">
        <v>0.15</v>
      </c>
      <c r="H258" s="26"/>
      <c r="I258" s="26">
        <v>28.59</v>
      </c>
      <c r="J258" s="27">
        <v>88.8</v>
      </c>
      <c r="M258" s="28">
        <f>ROUND(ROUND(J258, 2)*I258, 2)</f>
        <v>2538.79</v>
      </c>
      <c r="P258" s="27">
        <v>88.8</v>
      </c>
      <c r="S258" s="28">
        <f>ROUND(ROUND(P258, 2)*I258, 2)</f>
        <v>2538.79</v>
      </c>
      <c r="V258" s="9">
        <f>ROUND(ROUND(P258, 2)/1.2, 2)</f>
        <v>74</v>
      </c>
      <c r="Y258" s="9">
        <f t="shared" si="15"/>
        <v>2115.66</v>
      </c>
      <c r="AD258" s="4" t="s">
        <v>923</v>
      </c>
      <c r="AE258" s="4" t="s">
        <v>924</v>
      </c>
      <c r="AF258" s="4" t="s">
        <v>307</v>
      </c>
    </row>
    <row r="259" spans="1:35" ht="36" x14ac:dyDescent="0.3">
      <c r="A259" s="10" t="s">
        <v>925</v>
      </c>
      <c r="B259" s="10" t="s">
        <v>843</v>
      </c>
      <c r="C259" s="14" t="s">
        <v>844</v>
      </c>
      <c r="D259" s="15"/>
      <c r="E259" s="15" t="s">
        <v>926</v>
      </c>
      <c r="F259" s="15" t="s">
        <v>62</v>
      </c>
      <c r="G259" s="16">
        <v>1</v>
      </c>
      <c r="H259" s="16"/>
      <c r="I259" s="16">
        <v>129.4</v>
      </c>
      <c r="J259" s="17">
        <v>4446.12</v>
      </c>
      <c r="K259" s="18">
        <v>2310</v>
      </c>
      <c r="L259" s="17">
        <f>J259+ROUND(K259, 2)</f>
        <v>6756.12</v>
      </c>
      <c r="M259" s="17">
        <v>575327.93000000005</v>
      </c>
      <c r="N259" s="17">
        <v>298914</v>
      </c>
      <c r="O259" s="17">
        <f>M259+N259</f>
        <v>874241.93</v>
      </c>
      <c r="P259" s="17">
        <v>4446.1099999999997</v>
      </c>
      <c r="Q259" s="18">
        <v>3465</v>
      </c>
      <c r="R259" s="17">
        <f>P259+ROUND(Q259, 2)</f>
        <v>7911.11</v>
      </c>
      <c r="S259" s="17">
        <v>575326.63</v>
      </c>
      <c r="T259" s="17">
        <v>448371</v>
      </c>
      <c r="U259" s="17">
        <f>S259+T259</f>
        <v>1023697.63</v>
      </c>
      <c r="V259" s="9">
        <f>ROUND(P259 / 1.2, 2)</f>
        <v>3705.09</v>
      </c>
      <c r="W259" s="9">
        <f>ROUND(Q259 / 1.2, 2)</f>
        <v>2887.5</v>
      </c>
      <c r="X259" s="9">
        <f>ROUND(R259 / 1.2, 2)</f>
        <v>6592.59</v>
      </c>
      <c r="Y259" s="9">
        <f t="shared" si="15"/>
        <v>479438.86</v>
      </c>
      <c r="Z259" s="9">
        <f>ROUND(T259 / 1.2, 2)</f>
        <v>373642.5</v>
      </c>
      <c r="AA259" s="9">
        <f>Y259+Z259</f>
        <v>853081.36</v>
      </c>
      <c r="AD259" s="4">
        <v>334080636</v>
      </c>
      <c r="AE259" s="4">
        <v>27245778</v>
      </c>
      <c r="AG259" s="4" t="s">
        <v>845</v>
      </c>
      <c r="AH259" s="4" t="s">
        <v>846</v>
      </c>
      <c r="AI259" s="4" t="s">
        <v>250</v>
      </c>
    </row>
    <row r="260" spans="1:35" ht="36" x14ac:dyDescent="0.3">
      <c r="A260" s="10" t="s">
        <v>927</v>
      </c>
      <c r="B260" s="10"/>
      <c r="C260" s="24" t="s">
        <v>304</v>
      </c>
      <c r="D260" s="15"/>
      <c r="E260" s="15"/>
      <c r="F260" s="25" t="s">
        <v>278</v>
      </c>
      <c r="G260" s="26">
        <v>0.15</v>
      </c>
      <c r="H260" s="26"/>
      <c r="I260" s="26">
        <v>19.41</v>
      </c>
      <c r="J260" s="27">
        <v>88.8</v>
      </c>
      <c r="M260" s="28">
        <f>ROUND(ROUND(J260, 2)*I260, 2)</f>
        <v>1723.61</v>
      </c>
      <c r="P260" s="27">
        <v>88.8</v>
      </c>
      <c r="S260" s="28">
        <f>ROUND(ROUND(P260, 2)*I260, 2)</f>
        <v>1723.61</v>
      </c>
      <c r="V260" s="9">
        <f>ROUND(ROUND(P260, 2)/1.2, 2)</f>
        <v>74</v>
      </c>
      <c r="Y260" s="9">
        <f t="shared" si="15"/>
        <v>1436.34</v>
      </c>
      <c r="AD260" s="4" t="s">
        <v>928</v>
      </c>
      <c r="AE260" s="4" t="s">
        <v>929</v>
      </c>
      <c r="AF260" s="4" t="s">
        <v>307</v>
      </c>
    </row>
    <row r="261" spans="1:35" ht="18" x14ac:dyDescent="0.3">
      <c r="A261" s="10" t="s">
        <v>930</v>
      </c>
      <c r="B261" s="10"/>
      <c r="C261" s="24" t="s">
        <v>858</v>
      </c>
      <c r="D261" s="15"/>
      <c r="E261" s="15"/>
      <c r="F261" s="25" t="s">
        <v>278</v>
      </c>
      <c r="G261" s="26">
        <v>0.25</v>
      </c>
      <c r="H261" s="26"/>
      <c r="I261" s="26">
        <v>32.35</v>
      </c>
      <c r="J261" s="27">
        <v>47.44</v>
      </c>
      <c r="M261" s="28">
        <f>ROUND(ROUND(J261, 2)*I261, 2)</f>
        <v>1534.68</v>
      </c>
      <c r="P261" s="27">
        <v>47.44</v>
      </c>
      <c r="S261" s="28">
        <f>ROUND(ROUND(P261, 2)*I261, 2)</f>
        <v>1534.68</v>
      </c>
      <c r="V261" s="9">
        <f>ROUND(ROUND(P261, 2)/1.2, 2)</f>
        <v>39.53</v>
      </c>
      <c r="Y261" s="9">
        <f t="shared" si="15"/>
        <v>1278.9000000000001</v>
      </c>
      <c r="AD261" s="4" t="s">
        <v>931</v>
      </c>
      <c r="AE261" s="4" t="s">
        <v>932</v>
      </c>
      <c r="AF261" s="4" t="s">
        <v>861</v>
      </c>
    </row>
    <row r="262" spans="1:35" ht="36" x14ac:dyDescent="0.3">
      <c r="A262" s="10" t="s">
        <v>933</v>
      </c>
      <c r="B262" s="10"/>
      <c r="C262" s="30" t="s">
        <v>853</v>
      </c>
      <c r="D262" s="15"/>
      <c r="E262" s="15"/>
      <c r="F262" s="25" t="s">
        <v>278</v>
      </c>
      <c r="G262" s="26">
        <v>1.2</v>
      </c>
      <c r="H262" s="31"/>
      <c r="I262" s="31">
        <v>155.28</v>
      </c>
      <c r="J262" s="27">
        <v>16.12</v>
      </c>
      <c r="M262" s="28">
        <f>ROUND(ROUND(J262, 2)*I262, 2)</f>
        <v>2503.11</v>
      </c>
      <c r="P262" s="27">
        <v>16.11</v>
      </c>
      <c r="S262" s="28">
        <f>ROUND(ROUND(P262, 2)*I262, 2)</f>
        <v>2501.56</v>
      </c>
      <c r="V262" s="9">
        <f>ROUND(ROUND(P262, 2)/1.2, 2)</f>
        <v>13.43</v>
      </c>
      <c r="Y262" s="9">
        <f t="shared" si="15"/>
        <v>2084.63</v>
      </c>
      <c r="AD262" s="4" t="s">
        <v>934</v>
      </c>
      <c r="AE262" s="4" t="s">
        <v>935</v>
      </c>
      <c r="AF262" s="4" t="s">
        <v>856</v>
      </c>
    </row>
    <row r="263" spans="1:35" ht="72" x14ac:dyDescent="0.3">
      <c r="A263" s="10" t="s">
        <v>936</v>
      </c>
      <c r="B263" s="10"/>
      <c r="C263" s="30" t="s">
        <v>882</v>
      </c>
      <c r="D263" s="15"/>
      <c r="E263" s="15" t="s">
        <v>937</v>
      </c>
      <c r="F263" s="25" t="s">
        <v>597</v>
      </c>
      <c r="G263" s="26">
        <v>4</v>
      </c>
      <c r="H263" s="26"/>
      <c r="I263" s="26">
        <v>517.6</v>
      </c>
      <c r="J263" s="27">
        <v>1100.4000000000001</v>
      </c>
      <c r="M263" s="28">
        <f>ROUND(ROUND(J263, 2)*I263, 2)</f>
        <v>569567.04</v>
      </c>
      <c r="P263" s="27">
        <v>1100.4000000000001</v>
      </c>
      <c r="S263" s="28">
        <f>ROUND(ROUND(P263, 2)*I263, 2)</f>
        <v>569567.04</v>
      </c>
      <c r="V263" s="9">
        <f>ROUND(ROUND(P263, 2)/1.2, 2)</f>
        <v>917</v>
      </c>
      <c r="Y263" s="9">
        <f t="shared" si="15"/>
        <v>474639.2</v>
      </c>
      <c r="AD263" s="4" t="s">
        <v>938</v>
      </c>
      <c r="AE263" s="4" t="s">
        <v>939</v>
      </c>
      <c r="AF263" s="4" t="s">
        <v>885</v>
      </c>
    </row>
    <row r="264" spans="1:35" ht="180" x14ac:dyDescent="0.3">
      <c r="A264" s="10" t="s">
        <v>940</v>
      </c>
      <c r="B264" s="10" t="s">
        <v>843</v>
      </c>
      <c r="C264" s="14" t="s">
        <v>844</v>
      </c>
      <c r="D264" s="15"/>
      <c r="E264" s="15" t="s">
        <v>941</v>
      </c>
      <c r="F264" s="15" t="s">
        <v>62</v>
      </c>
      <c r="G264" s="16">
        <v>1</v>
      </c>
      <c r="H264" s="16"/>
      <c r="I264" s="16">
        <v>178.24</v>
      </c>
      <c r="J264" s="17">
        <f>IFERROR(ROUND(SUM(M265,M266,M267,M268)/I264, 2),0)</f>
        <v>4597.0200000000004</v>
      </c>
      <c r="K264" s="18">
        <v>2310</v>
      </c>
      <c r="L264" s="17">
        <f>J264+ROUND(K264, 2)</f>
        <v>6907.02</v>
      </c>
      <c r="M264" s="17">
        <f>ROUND(J264*I264, 2)</f>
        <v>819372.84</v>
      </c>
      <c r="N264" s="17">
        <f>ROUND(I264*ROUND(K264, 2), 2)</f>
        <v>411734.4</v>
      </c>
      <c r="O264" s="17">
        <f>M264+N264</f>
        <v>1231107.24</v>
      </c>
      <c r="P264" s="17">
        <f>IFERROR(ROUND(SUM(S265,S266,S267,S268)/I264, 2),0)</f>
        <v>4597.0200000000004</v>
      </c>
      <c r="Q264" s="19">
        <v>3465</v>
      </c>
      <c r="R264" s="17">
        <f>P264+ROUND(Q264, 2)</f>
        <v>8062.02</v>
      </c>
      <c r="S264" s="17">
        <f>ROUND(P264*I264, 2)</f>
        <v>819372.84</v>
      </c>
      <c r="T264" s="17">
        <f>ROUND(I264*ROUND(Q264, 2), 2)</f>
        <v>617601.6</v>
      </c>
      <c r="U264" s="17">
        <f>S264+T264</f>
        <v>1436974.44</v>
      </c>
      <c r="V264" s="9">
        <f>ROUND(P264 / 1.2, 2)</f>
        <v>3830.85</v>
      </c>
      <c r="W264" s="9">
        <f>ROUND(Q264 / 1.2, 2)</f>
        <v>2887.5</v>
      </c>
      <c r="X264" s="9">
        <f>ROUND(R264 / 1.2, 2)</f>
        <v>6718.35</v>
      </c>
      <c r="Y264" s="9">
        <f t="shared" si="15"/>
        <v>682810.7</v>
      </c>
      <c r="Z264" s="9">
        <f>ROUND(T264 / 1.2, 2)</f>
        <v>514668</v>
      </c>
      <c r="AA264" s="9">
        <f>Y264+Z264</f>
        <v>1197478.7</v>
      </c>
      <c r="AD264" s="4">
        <v>334080637</v>
      </c>
      <c r="AE264" s="4">
        <v>29378730</v>
      </c>
      <c r="AG264" s="4" t="s">
        <v>845</v>
      </c>
      <c r="AH264" s="4" t="s">
        <v>846</v>
      </c>
      <c r="AI264" s="4" t="s">
        <v>250</v>
      </c>
    </row>
    <row r="265" spans="1:35" ht="72" x14ac:dyDescent="0.3">
      <c r="A265" s="10" t="s">
        <v>942</v>
      </c>
      <c r="B265" s="10"/>
      <c r="C265" s="30" t="s">
        <v>882</v>
      </c>
      <c r="D265" s="15"/>
      <c r="E265" s="15" t="s">
        <v>943</v>
      </c>
      <c r="F265" s="25" t="s">
        <v>597</v>
      </c>
      <c r="G265" s="26">
        <v>4</v>
      </c>
      <c r="H265" s="26"/>
      <c r="I265" s="26">
        <v>712.96</v>
      </c>
      <c r="J265" s="27">
        <v>1118.74</v>
      </c>
      <c r="M265" s="28">
        <f>ROUND(ROUND(J265, 2)*I265, 2)</f>
        <v>797616.87</v>
      </c>
      <c r="P265" s="29">
        <v>1118.74</v>
      </c>
      <c r="S265" s="28">
        <f>ROUND(ROUND(P265, 2)*I265, 2)</f>
        <v>797616.87</v>
      </c>
      <c r="V265" s="9">
        <f>ROUND(ROUND(P265, 2)/1.2, 2)</f>
        <v>932.28</v>
      </c>
      <c r="Y265" s="9">
        <f t="shared" si="15"/>
        <v>664680.73</v>
      </c>
      <c r="AD265" s="4" t="s">
        <v>944</v>
      </c>
      <c r="AE265" s="4" t="s">
        <v>945</v>
      </c>
      <c r="AF265" s="4" t="s">
        <v>885</v>
      </c>
    </row>
    <row r="266" spans="1:35" ht="36" x14ac:dyDescent="0.3">
      <c r="A266" s="10" t="s">
        <v>946</v>
      </c>
      <c r="B266" s="10"/>
      <c r="C266" s="30" t="s">
        <v>853</v>
      </c>
      <c r="D266" s="15"/>
      <c r="E266" s="15"/>
      <c r="F266" s="25" t="s">
        <v>278</v>
      </c>
      <c r="G266" s="26">
        <v>1.2</v>
      </c>
      <c r="H266" s="31"/>
      <c r="I266" s="31">
        <v>1069.44</v>
      </c>
      <c r="J266" s="27">
        <v>16.38</v>
      </c>
      <c r="M266" s="28">
        <f>ROUND(ROUND(J266, 2)*I266, 2)</f>
        <v>17517.43</v>
      </c>
      <c r="P266" s="29">
        <v>16.38</v>
      </c>
      <c r="S266" s="28">
        <f>ROUND(ROUND(P266, 2)*I266, 2)</f>
        <v>17517.43</v>
      </c>
      <c r="V266" s="9">
        <f>ROUND(ROUND(P266, 2)/1.2, 2)</f>
        <v>13.65</v>
      </c>
      <c r="Y266" s="9">
        <f t="shared" si="15"/>
        <v>14597.86</v>
      </c>
      <c r="AD266" s="4" t="s">
        <v>947</v>
      </c>
      <c r="AE266" s="4" t="s">
        <v>948</v>
      </c>
      <c r="AF266" s="4" t="s">
        <v>856</v>
      </c>
    </row>
    <row r="267" spans="1:35" ht="36" x14ac:dyDescent="0.3">
      <c r="A267" s="10" t="s">
        <v>949</v>
      </c>
      <c r="B267" s="10"/>
      <c r="C267" s="24" t="s">
        <v>950</v>
      </c>
      <c r="D267" s="15"/>
      <c r="E267" s="15" t="s">
        <v>951</v>
      </c>
      <c r="F267" s="25" t="s">
        <v>278</v>
      </c>
      <c r="G267" s="26">
        <v>0.25</v>
      </c>
      <c r="H267" s="26"/>
      <c r="I267" s="26">
        <v>44.56</v>
      </c>
      <c r="J267" s="27">
        <v>40.94</v>
      </c>
      <c r="M267" s="28">
        <f>ROUND(ROUND(J267, 2)*I267, 2)</f>
        <v>1824.29</v>
      </c>
      <c r="P267" s="29">
        <v>40.94</v>
      </c>
      <c r="S267" s="28">
        <f>ROUND(ROUND(P267, 2)*I267, 2)</f>
        <v>1824.29</v>
      </c>
      <c r="V267" s="9">
        <f>ROUND(ROUND(P267, 2)/1.2, 2)</f>
        <v>34.119999999999997</v>
      </c>
      <c r="Y267" s="9">
        <f t="shared" si="15"/>
        <v>1520.24</v>
      </c>
      <c r="AD267" s="4" t="s">
        <v>952</v>
      </c>
      <c r="AE267" s="4" t="s">
        <v>953</v>
      </c>
      <c r="AF267" s="4" t="s">
        <v>954</v>
      </c>
    </row>
    <row r="268" spans="1:35" ht="36" x14ac:dyDescent="0.3">
      <c r="A268" s="10" t="s">
        <v>955</v>
      </c>
      <c r="B268" s="10"/>
      <c r="C268" s="24" t="s">
        <v>304</v>
      </c>
      <c r="D268" s="15"/>
      <c r="E268" s="15"/>
      <c r="F268" s="25" t="s">
        <v>278</v>
      </c>
      <c r="G268" s="26">
        <v>0.15</v>
      </c>
      <c r="H268" s="26"/>
      <c r="I268" s="26">
        <v>26.736000000000001</v>
      </c>
      <c r="J268" s="27">
        <v>90.28</v>
      </c>
      <c r="M268" s="28">
        <f>ROUND(ROUND(J268, 2)*I268, 2)</f>
        <v>2413.73</v>
      </c>
      <c r="P268" s="29">
        <v>90.28</v>
      </c>
      <c r="S268" s="28">
        <f>ROUND(ROUND(P268, 2)*I268, 2)</f>
        <v>2413.73</v>
      </c>
      <c r="V268" s="9">
        <f>ROUND(ROUND(P268, 2)/1.2, 2)</f>
        <v>75.23</v>
      </c>
      <c r="Y268" s="9">
        <f t="shared" si="15"/>
        <v>2011.44</v>
      </c>
      <c r="AD268" s="4" t="s">
        <v>956</v>
      </c>
      <c r="AE268" s="4" t="s">
        <v>957</v>
      </c>
      <c r="AF268" s="4" t="s">
        <v>307</v>
      </c>
    </row>
    <row r="269" spans="1:35" ht="162" x14ac:dyDescent="0.3">
      <c r="A269" s="10" t="s">
        <v>958</v>
      </c>
      <c r="B269" s="10" t="s">
        <v>843</v>
      </c>
      <c r="C269" s="14" t="s">
        <v>844</v>
      </c>
      <c r="D269" s="15"/>
      <c r="E269" s="15" t="s">
        <v>959</v>
      </c>
      <c r="F269" s="15" t="s">
        <v>62</v>
      </c>
      <c r="G269" s="16">
        <v>1</v>
      </c>
      <c r="H269" s="16"/>
      <c r="I269" s="16">
        <v>89.01</v>
      </c>
      <c r="J269" s="17">
        <f>IFERROR(ROUND(SUM(M270,M271,M272,M273)/I269, 2),0)</f>
        <v>1570.26</v>
      </c>
      <c r="K269" s="18">
        <v>2310</v>
      </c>
      <c r="L269" s="17">
        <f>J269+ROUND(K269, 2)</f>
        <v>3880.26</v>
      </c>
      <c r="M269" s="17">
        <f>ROUND(J269*I269, 2)</f>
        <v>139768.84</v>
      </c>
      <c r="N269" s="17">
        <f>ROUND(I269*ROUND(K269, 2), 2)</f>
        <v>205613.1</v>
      </c>
      <c r="O269" s="17">
        <f>M269+N269</f>
        <v>345381.94</v>
      </c>
      <c r="P269" s="17">
        <f>IFERROR(ROUND(SUM(S270,S271,S272,S273)/I269, 2),0)</f>
        <v>1570.26</v>
      </c>
      <c r="Q269" s="19">
        <v>3465</v>
      </c>
      <c r="R269" s="17">
        <f>P269+ROUND(Q269, 2)</f>
        <v>5035.26</v>
      </c>
      <c r="S269" s="17">
        <f>ROUND(P269*I269, 2)</f>
        <v>139768.84</v>
      </c>
      <c r="T269" s="17">
        <f>ROUND(I269*ROUND(Q269, 2), 2)</f>
        <v>308419.65000000002</v>
      </c>
      <c r="U269" s="17">
        <f>S269+T269</f>
        <v>448188.49</v>
      </c>
      <c r="V269" s="9">
        <f>ROUND(P269 / 1.2, 2)</f>
        <v>1308.55</v>
      </c>
      <c r="W269" s="9">
        <f>ROUND(Q269 / 1.2, 2)</f>
        <v>2887.5</v>
      </c>
      <c r="X269" s="9">
        <f>ROUND(R269 / 1.2, 2)</f>
        <v>4196.05</v>
      </c>
      <c r="Y269" s="9">
        <f t="shared" si="15"/>
        <v>116474.03</v>
      </c>
      <c r="Z269" s="9">
        <f>ROUND(T269 / 1.2, 2)</f>
        <v>257016.38</v>
      </c>
      <c r="AA269" s="9">
        <f>Y269+Z269</f>
        <v>373490.41000000003</v>
      </c>
      <c r="AD269" s="4">
        <v>334080638</v>
      </c>
      <c r="AE269" s="4">
        <v>29378731</v>
      </c>
      <c r="AG269" s="4" t="s">
        <v>845</v>
      </c>
      <c r="AH269" s="4" t="s">
        <v>846</v>
      </c>
      <c r="AI269" s="4" t="s">
        <v>250</v>
      </c>
    </row>
    <row r="270" spans="1:35" ht="36" x14ac:dyDescent="0.3">
      <c r="A270" s="10" t="s">
        <v>960</v>
      </c>
      <c r="B270" s="10"/>
      <c r="C270" s="24" t="s">
        <v>304</v>
      </c>
      <c r="D270" s="15"/>
      <c r="E270" s="15"/>
      <c r="F270" s="25" t="s">
        <v>278</v>
      </c>
      <c r="G270" s="26">
        <v>0.15</v>
      </c>
      <c r="H270" s="26"/>
      <c r="I270" s="26">
        <v>13.352</v>
      </c>
      <c r="J270" s="27">
        <v>90.28</v>
      </c>
      <c r="M270" s="28">
        <f>ROUND(ROUND(J270, 2)*I270, 2)</f>
        <v>1205.42</v>
      </c>
      <c r="P270" s="29">
        <v>90.28</v>
      </c>
      <c r="S270" s="28">
        <f>ROUND(ROUND(P270, 2)*I270, 2)</f>
        <v>1205.42</v>
      </c>
      <c r="V270" s="9">
        <f>ROUND(ROUND(P270, 2)/1.2, 2)</f>
        <v>75.23</v>
      </c>
      <c r="Y270" s="9">
        <f t="shared" si="15"/>
        <v>1004.52</v>
      </c>
      <c r="AD270" s="4" t="s">
        <v>961</v>
      </c>
      <c r="AE270" s="4" t="s">
        <v>962</v>
      </c>
      <c r="AF270" s="4" t="s">
        <v>307</v>
      </c>
    </row>
    <row r="271" spans="1:35" ht="18" x14ac:dyDescent="0.3">
      <c r="A271" s="10" t="s">
        <v>963</v>
      </c>
      <c r="B271" s="10"/>
      <c r="C271" s="24" t="s">
        <v>950</v>
      </c>
      <c r="D271" s="15"/>
      <c r="E271" s="15"/>
      <c r="F271" s="25" t="s">
        <v>278</v>
      </c>
      <c r="G271" s="26">
        <v>0.25</v>
      </c>
      <c r="H271" s="26"/>
      <c r="I271" s="26">
        <v>22.253</v>
      </c>
      <c r="J271" s="27">
        <v>40.94</v>
      </c>
      <c r="M271" s="28">
        <f>ROUND(ROUND(J271, 2)*I271, 2)</f>
        <v>911.04</v>
      </c>
      <c r="P271" s="29">
        <v>40.94</v>
      </c>
      <c r="S271" s="28">
        <f>ROUND(ROUND(P271, 2)*I271, 2)</f>
        <v>911.04</v>
      </c>
      <c r="V271" s="9">
        <f>ROUND(ROUND(P271, 2)/1.2, 2)</f>
        <v>34.119999999999997</v>
      </c>
      <c r="Y271" s="9">
        <f t="shared" si="15"/>
        <v>759.2</v>
      </c>
      <c r="AD271" s="4" t="s">
        <v>964</v>
      </c>
      <c r="AE271" s="4" t="s">
        <v>965</v>
      </c>
      <c r="AF271" s="4" t="s">
        <v>954</v>
      </c>
    </row>
    <row r="272" spans="1:35" ht="36" x14ac:dyDescent="0.3">
      <c r="A272" s="10" t="s">
        <v>966</v>
      </c>
      <c r="B272" s="10"/>
      <c r="C272" s="30" t="s">
        <v>853</v>
      </c>
      <c r="D272" s="15"/>
      <c r="E272" s="15"/>
      <c r="F272" s="25" t="s">
        <v>278</v>
      </c>
      <c r="G272" s="26">
        <v>1.2</v>
      </c>
      <c r="H272" s="31"/>
      <c r="I272" s="31">
        <v>534.05999999999995</v>
      </c>
      <c r="J272" s="27">
        <v>16.38</v>
      </c>
      <c r="M272" s="28">
        <f>ROUND(ROUND(J272, 2)*I272, 2)</f>
        <v>8747.9</v>
      </c>
      <c r="P272" s="29">
        <v>16.38</v>
      </c>
      <c r="S272" s="28">
        <f>ROUND(ROUND(P272, 2)*I272, 2)</f>
        <v>8747.9</v>
      </c>
      <c r="V272" s="9">
        <f>ROUND(ROUND(P272, 2)/1.2, 2)</f>
        <v>13.65</v>
      </c>
      <c r="Y272" s="9">
        <f t="shared" si="15"/>
        <v>7289.92</v>
      </c>
      <c r="AD272" s="4" t="s">
        <v>967</v>
      </c>
      <c r="AE272" s="4" t="s">
        <v>968</v>
      </c>
      <c r="AF272" s="4" t="s">
        <v>856</v>
      </c>
    </row>
    <row r="273" spans="1:35" ht="72" x14ac:dyDescent="0.3">
      <c r="A273" s="10" t="s">
        <v>969</v>
      </c>
      <c r="B273" s="10"/>
      <c r="C273" s="24" t="s">
        <v>876</v>
      </c>
      <c r="D273" s="15"/>
      <c r="E273" s="15" t="s">
        <v>970</v>
      </c>
      <c r="F273" s="25" t="s">
        <v>597</v>
      </c>
      <c r="G273" s="26">
        <v>4</v>
      </c>
      <c r="H273" s="26"/>
      <c r="I273" s="26">
        <v>356.04</v>
      </c>
      <c r="J273" s="27">
        <v>362.05</v>
      </c>
      <c r="M273" s="28">
        <f>ROUND(ROUND(J273, 2)*I273, 2)</f>
        <v>128904.28</v>
      </c>
      <c r="P273" s="29">
        <v>362.05</v>
      </c>
      <c r="S273" s="28">
        <f>ROUND(ROUND(P273, 2)*I273, 2)</f>
        <v>128904.28</v>
      </c>
      <c r="V273" s="9">
        <f>ROUND(ROUND(P273, 2)/1.2, 2)</f>
        <v>301.70999999999998</v>
      </c>
      <c r="Y273" s="9">
        <f t="shared" si="15"/>
        <v>107420.23</v>
      </c>
      <c r="AD273" s="4" t="s">
        <v>971</v>
      </c>
      <c r="AE273" s="4" t="s">
        <v>972</v>
      </c>
      <c r="AF273" s="4" t="s">
        <v>879</v>
      </c>
    </row>
    <row r="274" spans="1:35" ht="144" x14ac:dyDescent="0.3">
      <c r="A274" s="10" t="s">
        <v>973</v>
      </c>
      <c r="B274" s="10" t="s">
        <v>843</v>
      </c>
      <c r="C274" s="14" t="s">
        <v>844</v>
      </c>
      <c r="D274" s="15"/>
      <c r="E274" s="15" t="s">
        <v>974</v>
      </c>
      <c r="F274" s="15" t="s">
        <v>62</v>
      </c>
      <c r="G274" s="16">
        <v>1</v>
      </c>
      <c r="H274" s="16"/>
      <c r="I274" s="16">
        <v>129.19</v>
      </c>
      <c r="J274" s="17">
        <f>IFERROR(ROUND(SUM(M275,M276,M277,M278)/I274, 2),0)</f>
        <v>4597.0200000000004</v>
      </c>
      <c r="K274" s="18">
        <v>2310</v>
      </c>
      <c r="L274" s="17">
        <f>J274+ROUND(K274, 2)</f>
        <v>6907.02</v>
      </c>
      <c r="M274" s="17">
        <f>ROUND(J274*I274, 2)</f>
        <v>593889.01</v>
      </c>
      <c r="N274" s="17">
        <f>ROUND(I274*ROUND(K274, 2), 2)</f>
        <v>298428.90000000002</v>
      </c>
      <c r="O274" s="17">
        <f>M274+N274</f>
        <v>892317.91</v>
      </c>
      <c r="P274" s="17">
        <f>IFERROR(ROUND(SUM(S275,S276,S277,S278)/I274, 2),0)</f>
        <v>4597.0200000000004</v>
      </c>
      <c r="Q274" s="19">
        <v>3465</v>
      </c>
      <c r="R274" s="17">
        <f>P274+ROUND(Q274, 2)</f>
        <v>8062.02</v>
      </c>
      <c r="S274" s="17">
        <f>ROUND(P274*I274, 2)</f>
        <v>593889.01</v>
      </c>
      <c r="T274" s="17">
        <f>ROUND(I274*ROUND(Q274, 2), 2)</f>
        <v>447643.35</v>
      </c>
      <c r="U274" s="17">
        <f>S274+T274</f>
        <v>1041532.36</v>
      </c>
      <c r="V274" s="9">
        <f>ROUND(P274 / 1.2, 2)</f>
        <v>3830.85</v>
      </c>
      <c r="W274" s="9">
        <f>ROUND(Q274 / 1.2, 2)</f>
        <v>2887.5</v>
      </c>
      <c r="X274" s="9">
        <f>ROUND(R274 / 1.2, 2)</f>
        <v>6718.35</v>
      </c>
      <c r="Y274" s="9">
        <f t="shared" si="15"/>
        <v>494907.51</v>
      </c>
      <c r="Z274" s="9">
        <f>ROUND(T274 / 1.2, 2)</f>
        <v>373036.13</v>
      </c>
      <c r="AA274" s="9">
        <f>Y274+Z274</f>
        <v>867943.64</v>
      </c>
      <c r="AD274" s="4">
        <v>334080639</v>
      </c>
      <c r="AE274" s="4">
        <v>29378732</v>
      </c>
      <c r="AG274" s="4" t="s">
        <v>845</v>
      </c>
      <c r="AH274" s="4" t="s">
        <v>846</v>
      </c>
      <c r="AI274" s="4" t="s">
        <v>250</v>
      </c>
    </row>
    <row r="275" spans="1:35" ht="54" x14ac:dyDescent="0.3">
      <c r="A275" s="10" t="s">
        <v>975</v>
      </c>
      <c r="B275" s="10"/>
      <c r="C275" s="30" t="s">
        <v>882</v>
      </c>
      <c r="D275" s="15"/>
      <c r="E275" s="15" t="s">
        <v>976</v>
      </c>
      <c r="F275" s="25" t="s">
        <v>597</v>
      </c>
      <c r="G275" s="26">
        <v>4</v>
      </c>
      <c r="H275" s="26"/>
      <c r="I275" s="26">
        <v>516.76</v>
      </c>
      <c r="J275" s="27">
        <v>1118.74</v>
      </c>
      <c r="M275" s="28">
        <f>ROUND(ROUND(J275, 2)*I275, 2)</f>
        <v>578120.07999999996</v>
      </c>
      <c r="P275" s="29">
        <v>1118.74</v>
      </c>
      <c r="S275" s="28">
        <f>ROUND(ROUND(P275, 2)*I275, 2)</f>
        <v>578120.07999999996</v>
      </c>
      <c r="V275" s="9">
        <f>ROUND(ROUND(P275, 2)/1.2, 2)</f>
        <v>932.28</v>
      </c>
      <c r="Y275" s="9">
        <f t="shared" si="15"/>
        <v>481766.73</v>
      </c>
      <c r="AD275" s="4" t="s">
        <v>977</v>
      </c>
      <c r="AE275" s="4" t="s">
        <v>978</v>
      </c>
      <c r="AF275" s="4" t="s">
        <v>885</v>
      </c>
    </row>
    <row r="276" spans="1:35" ht="36" x14ac:dyDescent="0.3">
      <c r="A276" s="10" t="s">
        <v>979</v>
      </c>
      <c r="B276" s="10"/>
      <c r="C276" s="30" t="s">
        <v>853</v>
      </c>
      <c r="D276" s="15"/>
      <c r="E276" s="15"/>
      <c r="F276" s="25" t="s">
        <v>278</v>
      </c>
      <c r="G276" s="26">
        <v>1.2</v>
      </c>
      <c r="H276" s="31"/>
      <c r="I276" s="31">
        <v>775.14</v>
      </c>
      <c r="J276" s="27">
        <v>16.38</v>
      </c>
      <c r="M276" s="28">
        <f>ROUND(ROUND(J276, 2)*I276, 2)</f>
        <v>12696.79</v>
      </c>
      <c r="P276" s="29">
        <v>16.38</v>
      </c>
      <c r="S276" s="28">
        <f>ROUND(ROUND(P276, 2)*I276, 2)</f>
        <v>12696.79</v>
      </c>
      <c r="V276" s="9">
        <f>ROUND(ROUND(P276, 2)/1.2, 2)</f>
        <v>13.65</v>
      </c>
      <c r="Y276" s="9">
        <f t="shared" si="15"/>
        <v>10580.66</v>
      </c>
      <c r="AD276" s="4" t="s">
        <v>980</v>
      </c>
      <c r="AE276" s="4" t="s">
        <v>981</v>
      </c>
      <c r="AF276" s="4" t="s">
        <v>856</v>
      </c>
    </row>
    <row r="277" spans="1:35" ht="36" x14ac:dyDescent="0.3">
      <c r="A277" s="10" t="s">
        <v>982</v>
      </c>
      <c r="B277" s="10"/>
      <c r="C277" s="24" t="s">
        <v>950</v>
      </c>
      <c r="D277" s="15"/>
      <c r="E277" s="15" t="s">
        <v>951</v>
      </c>
      <c r="F277" s="25" t="s">
        <v>278</v>
      </c>
      <c r="G277" s="26">
        <v>0.25</v>
      </c>
      <c r="H277" s="26"/>
      <c r="I277" s="26">
        <v>32.298000000000002</v>
      </c>
      <c r="J277" s="27">
        <v>40.94</v>
      </c>
      <c r="M277" s="28">
        <f>ROUND(ROUND(J277, 2)*I277, 2)</f>
        <v>1322.28</v>
      </c>
      <c r="P277" s="29">
        <v>40.94</v>
      </c>
      <c r="S277" s="28">
        <f>ROUND(ROUND(P277, 2)*I277, 2)</f>
        <v>1322.28</v>
      </c>
      <c r="V277" s="9">
        <f>ROUND(ROUND(P277, 2)/1.2, 2)</f>
        <v>34.119999999999997</v>
      </c>
      <c r="Y277" s="9">
        <f t="shared" si="15"/>
        <v>1101.9000000000001</v>
      </c>
      <c r="AD277" s="4" t="s">
        <v>983</v>
      </c>
      <c r="AE277" s="4" t="s">
        <v>984</v>
      </c>
      <c r="AF277" s="4" t="s">
        <v>954</v>
      </c>
    </row>
    <row r="278" spans="1:35" ht="36" x14ac:dyDescent="0.3">
      <c r="A278" s="10" t="s">
        <v>985</v>
      </c>
      <c r="B278" s="10"/>
      <c r="C278" s="24" t="s">
        <v>304</v>
      </c>
      <c r="D278" s="15"/>
      <c r="E278" s="15"/>
      <c r="F278" s="25" t="s">
        <v>278</v>
      </c>
      <c r="G278" s="26">
        <v>0.15</v>
      </c>
      <c r="H278" s="26"/>
      <c r="I278" s="26">
        <v>19.379000000000001</v>
      </c>
      <c r="J278" s="27">
        <v>90.28</v>
      </c>
      <c r="M278" s="28">
        <f>ROUND(ROUND(J278, 2)*I278, 2)</f>
        <v>1749.54</v>
      </c>
      <c r="P278" s="29">
        <v>90.28</v>
      </c>
      <c r="S278" s="28">
        <f>ROUND(ROUND(P278, 2)*I278, 2)</f>
        <v>1749.54</v>
      </c>
      <c r="V278" s="9">
        <f>ROUND(ROUND(P278, 2)/1.2, 2)</f>
        <v>75.23</v>
      </c>
      <c r="Y278" s="9">
        <f t="shared" si="15"/>
        <v>1457.95</v>
      </c>
      <c r="AD278" s="4" t="s">
        <v>986</v>
      </c>
      <c r="AE278" s="4" t="s">
        <v>987</v>
      </c>
      <c r="AF278" s="4" t="s">
        <v>307</v>
      </c>
    </row>
    <row r="279" spans="1:35" ht="36" x14ac:dyDescent="0.3">
      <c r="A279" s="10" t="s">
        <v>988</v>
      </c>
      <c r="B279" s="10" t="s">
        <v>989</v>
      </c>
      <c r="C279" s="14" t="s">
        <v>990</v>
      </c>
      <c r="D279" s="15"/>
      <c r="E279" s="15"/>
      <c r="F279" s="15" t="s">
        <v>102</v>
      </c>
      <c r="G279" s="16">
        <v>1</v>
      </c>
      <c r="H279" s="16"/>
      <c r="I279" s="16">
        <v>0</v>
      </c>
      <c r="J279" s="17">
        <v>0</v>
      </c>
      <c r="K279" s="18">
        <v>473</v>
      </c>
      <c r="L279" s="17">
        <f>J279+ROUND(K279, 2)</f>
        <v>473</v>
      </c>
      <c r="M279" s="17">
        <v>0</v>
      </c>
      <c r="N279" s="17">
        <v>0</v>
      </c>
      <c r="O279" s="17">
        <f>M279+N279</f>
        <v>0</v>
      </c>
      <c r="P279" s="17">
        <v>844.85</v>
      </c>
      <c r="Q279" s="18">
        <v>473</v>
      </c>
      <c r="R279" s="17">
        <f>P279+ROUND(Q279, 2)</f>
        <v>1317.85</v>
      </c>
      <c r="S279" s="17">
        <v>0</v>
      </c>
      <c r="T279" s="17">
        <v>0</v>
      </c>
      <c r="U279" s="17">
        <f>S279+T279</f>
        <v>0</v>
      </c>
      <c r="V279" s="9">
        <f>ROUND(P279 / 1.2, 2)</f>
        <v>704.04</v>
      </c>
      <c r="W279" s="9">
        <f>ROUND(Q279 / 1.2, 2)</f>
        <v>394.17</v>
      </c>
      <c r="X279" s="9">
        <f>ROUND(R279 / 1.2, 2)</f>
        <v>1098.21</v>
      </c>
      <c r="Y279" s="9">
        <f t="shared" si="15"/>
        <v>0</v>
      </c>
      <c r="Z279" s="9">
        <f>ROUND(T279 / 1.2, 2)</f>
        <v>0</v>
      </c>
      <c r="AA279" s="9">
        <f>Y279+Z279</f>
        <v>0</v>
      </c>
      <c r="AD279" s="4">
        <v>334080516</v>
      </c>
      <c r="AE279" s="4">
        <v>27245655</v>
      </c>
      <c r="AG279" s="4" t="s">
        <v>991</v>
      </c>
      <c r="AH279" s="4" t="s">
        <v>992</v>
      </c>
      <c r="AI279" s="4" t="s">
        <v>250</v>
      </c>
    </row>
    <row r="280" spans="1:35" ht="36" x14ac:dyDescent="0.3">
      <c r="A280" s="10" t="s">
        <v>993</v>
      </c>
      <c r="B280" s="10"/>
      <c r="C280" s="30" t="s">
        <v>994</v>
      </c>
      <c r="D280" s="15"/>
      <c r="E280" s="15"/>
      <c r="F280" s="25" t="s">
        <v>278</v>
      </c>
      <c r="G280" s="26">
        <v>0.7</v>
      </c>
      <c r="H280" s="31"/>
      <c r="I280" s="31">
        <v>0</v>
      </c>
      <c r="J280" s="27">
        <v>16.96</v>
      </c>
      <c r="M280" s="28">
        <f>ROUND(ROUND(J280, 2)*I280, 2)</f>
        <v>0</v>
      </c>
      <c r="P280" s="27">
        <v>16.96</v>
      </c>
      <c r="S280" s="28">
        <f>ROUND(ROUND(P280, 2)*I280, 2)</f>
        <v>0</v>
      </c>
      <c r="V280" s="9">
        <f>ROUND(ROUND(P280, 2)/1.2, 2)</f>
        <v>14.13</v>
      </c>
      <c r="Y280" s="9">
        <f t="shared" si="15"/>
        <v>0</v>
      </c>
      <c r="AD280" s="4" t="s">
        <v>995</v>
      </c>
      <c r="AE280" s="4" t="s">
        <v>996</v>
      </c>
      <c r="AF280" s="4" t="s">
        <v>997</v>
      </c>
    </row>
    <row r="281" spans="1:35" ht="36" x14ac:dyDescent="0.3">
      <c r="A281" s="10" t="s">
        <v>998</v>
      </c>
      <c r="B281" s="10"/>
      <c r="C281" s="24" t="s">
        <v>999</v>
      </c>
      <c r="D281" s="15"/>
      <c r="E281" s="15"/>
      <c r="F281" s="25" t="s">
        <v>597</v>
      </c>
      <c r="G281" s="26">
        <v>1.84</v>
      </c>
      <c r="H281" s="31"/>
      <c r="I281" s="31">
        <v>0</v>
      </c>
      <c r="J281" s="27">
        <v>450.95</v>
      </c>
      <c r="M281" s="28">
        <f>ROUND(ROUND(J281, 2)*I281, 2)</f>
        <v>0</v>
      </c>
      <c r="P281" s="27">
        <v>450.95</v>
      </c>
      <c r="S281" s="28">
        <f>ROUND(ROUND(P281, 2)*I281, 2)</f>
        <v>0</v>
      </c>
      <c r="V281" s="9">
        <f>ROUND(ROUND(P281, 2)/1.2, 2)</f>
        <v>375.79</v>
      </c>
      <c r="Y281" s="9">
        <f t="shared" si="15"/>
        <v>0</v>
      </c>
      <c r="AD281" s="4" t="s">
        <v>1000</v>
      </c>
      <c r="AE281" s="4" t="s">
        <v>1001</v>
      </c>
      <c r="AF281" s="4" t="s">
        <v>1002</v>
      </c>
    </row>
    <row r="282" spans="1:35" ht="18" x14ac:dyDescent="0.3">
      <c r="A282" s="10" t="s">
        <v>1003</v>
      </c>
      <c r="B282" s="10"/>
      <c r="C282" s="24" t="s">
        <v>858</v>
      </c>
      <c r="D282" s="15"/>
      <c r="E282" s="15"/>
      <c r="F282" s="25" t="s">
        <v>278</v>
      </c>
      <c r="G282" s="26">
        <v>0.04</v>
      </c>
      <c r="H282" s="26"/>
      <c r="I282" s="26">
        <v>0</v>
      </c>
      <c r="J282" s="27">
        <v>47.44</v>
      </c>
      <c r="M282" s="28">
        <f>ROUND(ROUND(J282, 2)*I282, 2)</f>
        <v>0</v>
      </c>
      <c r="P282" s="27">
        <v>47.44</v>
      </c>
      <c r="S282" s="28">
        <f>ROUND(ROUND(P282, 2)*I282, 2)</f>
        <v>0</v>
      </c>
      <c r="V282" s="9">
        <f>ROUND(ROUND(P282, 2)/1.2, 2)</f>
        <v>39.53</v>
      </c>
      <c r="Y282" s="9">
        <f t="shared" si="15"/>
        <v>0</v>
      </c>
      <c r="AD282" s="4" t="s">
        <v>1004</v>
      </c>
      <c r="AE282" s="4" t="s">
        <v>1005</v>
      </c>
      <c r="AF282" s="4" t="s">
        <v>861</v>
      </c>
    </row>
    <row r="283" spans="1:35" ht="36" x14ac:dyDescent="0.3">
      <c r="A283" s="10" t="s">
        <v>1006</v>
      </c>
      <c r="B283" s="10"/>
      <c r="C283" s="24" t="s">
        <v>1007</v>
      </c>
      <c r="D283" s="15"/>
      <c r="E283" s="15"/>
      <c r="F283" s="25" t="s">
        <v>278</v>
      </c>
      <c r="G283" s="26">
        <v>1.4999999999999999E-2</v>
      </c>
      <c r="H283" s="26"/>
      <c r="I283" s="26">
        <v>0</v>
      </c>
      <c r="J283" s="27">
        <v>88.8</v>
      </c>
      <c r="M283" s="28">
        <f>ROUND(ROUND(J283, 2)*I283, 2)</f>
        <v>0</v>
      </c>
      <c r="P283" s="27">
        <v>88.8</v>
      </c>
      <c r="S283" s="28">
        <f>ROUND(ROUND(P283, 2)*I283, 2)</f>
        <v>0</v>
      </c>
      <c r="V283" s="9">
        <f>ROUND(ROUND(P283, 2)/1.2, 2)</f>
        <v>74</v>
      </c>
      <c r="Y283" s="9">
        <f t="shared" si="15"/>
        <v>0</v>
      </c>
      <c r="AD283" s="4" t="s">
        <v>1008</v>
      </c>
      <c r="AE283" s="4" t="s">
        <v>1009</v>
      </c>
      <c r="AF283" s="4" t="s">
        <v>1010</v>
      </c>
    </row>
    <row r="284" spans="1:35" ht="36" x14ac:dyDescent="0.3">
      <c r="A284" s="10" t="s">
        <v>1011</v>
      </c>
      <c r="B284" s="10" t="s">
        <v>989</v>
      </c>
      <c r="C284" s="14" t="s">
        <v>990</v>
      </c>
      <c r="D284" s="15"/>
      <c r="E284" s="15"/>
      <c r="F284" s="15" t="s">
        <v>102</v>
      </c>
      <c r="G284" s="16">
        <v>1</v>
      </c>
      <c r="H284" s="16"/>
      <c r="I284" s="16">
        <v>0</v>
      </c>
      <c r="J284" s="17">
        <v>0</v>
      </c>
      <c r="K284" s="18">
        <v>473</v>
      </c>
      <c r="L284" s="17">
        <f>J284+ROUND(K284, 2)</f>
        <v>473</v>
      </c>
      <c r="M284" s="17">
        <v>0</v>
      </c>
      <c r="N284" s="17">
        <v>0</v>
      </c>
      <c r="O284" s="17">
        <f>M284+N284</f>
        <v>0</v>
      </c>
      <c r="P284" s="17">
        <v>844.85</v>
      </c>
      <c r="Q284" s="18">
        <v>473</v>
      </c>
      <c r="R284" s="17">
        <f>P284+ROUND(Q284, 2)</f>
        <v>1317.85</v>
      </c>
      <c r="S284" s="17">
        <v>0</v>
      </c>
      <c r="T284" s="17">
        <v>0</v>
      </c>
      <c r="U284" s="17">
        <f>S284+T284</f>
        <v>0</v>
      </c>
      <c r="V284" s="9">
        <f>ROUND(P284 / 1.2, 2)</f>
        <v>704.04</v>
      </c>
      <c r="W284" s="9">
        <f>ROUND(Q284 / 1.2, 2)</f>
        <v>394.17</v>
      </c>
      <c r="X284" s="9">
        <f>ROUND(R284 / 1.2, 2)</f>
        <v>1098.21</v>
      </c>
      <c r="Y284" s="9">
        <f t="shared" si="15"/>
        <v>0</v>
      </c>
      <c r="Z284" s="9">
        <f>ROUND(T284 / 1.2, 2)</f>
        <v>0</v>
      </c>
      <c r="AA284" s="9">
        <f>Y284+Z284</f>
        <v>0</v>
      </c>
      <c r="AD284" s="4">
        <v>334080640</v>
      </c>
      <c r="AE284" s="4">
        <v>27245656</v>
      </c>
      <c r="AG284" s="4" t="s">
        <v>991</v>
      </c>
      <c r="AH284" s="4" t="s">
        <v>992</v>
      </c>
      <c r="AI284" s="4" t="s">
        <v>250</v>
      </c>
    </row>
    <row r="285" spans="1:35" ht="36" x14ac:dyDescent="0.3">
      <c r="A285" s="10" t="s">
        <v>1012</v>
      </c>
      <c r="B285" s="10"/>
      <c r="C285" s="24" t="s">
        <v>1007</v>
      </c>
      <c r="D285" s="15"/>
      <c r="E285" s="15"/>
      <c r="F285" s="25" t="s">
        <v>278</v>
      </c>
      <c r="G285" s="26">
        <v>1.4999999999999999E-2</v>
      </c>
      <c r="H285" s="26"/>
      <c r="I285" s="26">
        <v>0</v>
      </c>
      <c r="J285" s="27">
        <v>88.8</v>
      </c>
      <c r="M285" s="28">
        <f>ROUND(ROUND(J285, 2)*I285, 2)</f>
        <v>0</v>
      </c>
      <c r="P285" s="27">
        <v>88.8</v>
      </c>
      <c r="S285" s="28">
        <f>ROUND(ROUND(P285, 2)*I285, 2)</f>
        <v>0</v>
      </c>
      <c r="V285" s="9">
        <f>ROUND(ROUND(P285, 2)/1.2, 2)</f>
        <v>74</v>
      </c>
      <c r="Y285" s="9">
        <f t="shared" si="15"/>
        <v>0</v>
      </c>
      <c r="AD285" s="4" t="s">
        <v>1013</v>
      </c>
      <c r="AE285" s="4" t="s">
        <v>1014</v>
      </c>
      <c r="AF285" s="4" t="s">
        <v>1010</v>
      </c>
    </row>
    <row r="286" spans="1:35" ht="18" x14ac:dyDescent="0.3">
      <c r="A286" s="10" t="s">
        <v>1015</v>
      </c>
      <c r="B286" s="10"/>
      <c r="C286" s="24" t="s">
        <v>858</v>
      </c>
      <c r="D286" s="15"/>
      <c r="E286" s="15"/>
      <c r="F286" s="25" t="s">
        <v>278</v>
      </c>
      <c r="G286" s="26">
        <v>0.04</v>
      </c>
      <c r="H286" s="26"/>
      <c r="I286" s="26">
        <v>0</v>
      </c>
      <c r="J286" s="27">
        <v>47.44</v>
      </c>
      <c r="M286" s="28">
        <f>ROUND(ROUND(J286, 2)*I286, 2)</f>
        <v>0</v>
      </c>
      <c r="P286" s="27">
        <v>47.44</v>
      </c>
      <c r="S286" s="28">
        <f>ROUND(ROUND(P286, 2)*I286, 2)</f>
        <v>0</v>
      </c>
      <c r="V286" s="9">
        <f>ROUND(ROUND(P286, 2)/1.2, 2)</f>
        <v>39.53</v>
      </c>
      <c r="Y286" s="9">
        <f t="shared" si="15"/>
        <v>0</v>
      </c>
      <c r="AD286" s="4" t="s">
        <v>1016</v>
      </c>
      <c r="AE286" s="4" t="s">
        <v>1017</v>
      </c>
      <c r="AF286" s="4" t="s">
        <v>861</v>
      </c>
    </row>
    <row r="287" spans="1:35" ht="36" x14ac:dyDescent="0.3">
      <c r="A287" s="10" t="s">
        <v>1018</v>
      </c>
      <c r="B287" s="10"/>
      <c r="C287" s="24" t="s">
        <v>999</v>
      </c>
      <c r="D287" s="15"/>
      <c r="E287" s="15"/>
      <c r="F287" s="25" t="s">
        <v>597</v>
      </c>
      <c r="G287" s="26">
        <v>1.84</v>
      </c>
      <c r="H287" s="31"/>
      <c r="I287" s="31">
        <v>0</v>
      </c>
      <c r="J287" s="27">
        <v>450.95</v>
      </c>
      <c r="M287" s="28">
        <f>ROUND(ROUND(J287, 2)*I287, 2)</f>
        <v>0</v>
      </c>
      <c r="P287" s="27">
        <v>450.95</v>
      </c>
      <c r="S287" s="28">
        <f>ROUND(ROUND(P287, 2)*I287, 2)</f>
        <v>0</v>
      </c>
      <c r="V287" s="9">
        <f>ROUND(ROUND(P287, 2)/1.2, 2)</f>
        <v>375.79</v>
      </c>
      <c r="Y287" s="9">
        <f t="shared" si="15"/>
        <v>0</v>
      </c>
      <c r="AD287" s="4" t="s">
        <v>1019</v>
      </c>
      <c r="AE287" s="4" t="s">
        <v>1020</v>
      </c>
      <c r="AF287" s="4" t="s">
        <v>1002</v>
      </c>
    </row>
    <row r="288" spans="1:35" ht="36" x14ac:dyDescent="0.3">
      <c r="A288" s="10" t="s">
        <v>1021</v>
      </c>
      <c r="B288" s="10"/>
      <c r="C288" s="30" t="s">
        <v>994</v>
      </c>
      <c r="D288" s="15"/>
      <c r="E288" s="15"/>
      <c r="F288" s="25" t="s">
        <v>278</v>
      </c>
      <c r="G288" s="26">
        <v>0.7</v>
      </c>
      <c r="H288" s="31"/>
      <c r="I288" s="31">
        <v>0</v>
      </c>
      <c r="J288" s="27">
        <v>16.96</v>
      </c>
      <c r="M288" s="28">
        <f>ROUND(ROUND(J288, 2)*I288, 2)</f>
        <v>0</v>
      </c>
      <c r="P288" s="27">
        <v>16.96</v>
      </c>
      <c r="S288" s="28">
        <f>ROUND(ROUND(P288, 2)*I288, 2)</f>
        <v>0</v>
      </c>
      <c r="V288" s="9">
        <f>ROUND(ROUND(P288, 2)/1.2, 2)</f>
        <v>14.13</v>
      </c>
      <c r="Y288" s="9">
        <f t="shared" si="15"/>
        <v>0</v>
      </c>
      <c r="AD288" s="4" t="s">
        <v>1022</v>
      </c>
      <c r="AE288" s="4" t="s">
        <v>1023</v>
      </c>
      <c r="AF288" s="4" t="s">
        <v>997</v>
      </c>
    </row>
    <row r="289" spans="1:35" ht="36" x14ac:dyDescent="0.3">
      <c r="A289" s="10" t="s">
        <v>1024</v>
      </c>
      <c r="B289" s="10" t="s">
        <v>989</v>
      </c>
      <c r="C289" s="14" t="s">
        <v>990</v>
      </c>
      <c r="D289" s="15"/>
      <c r="E289" s="15" t="s">
        <v>1025</v>
      </c>
      <c r="F289" s="15" t="s">
        <v>102</v>
      </c>
      <c r="G289" s="16">
        <v>1</v>
      </c>
      <c r="H289" s="16"/>
      <c r="I289" s="16">
        <v>0</v>
      </c>
      <c r="J289" s="17">
        <v>0</v>
      </c>
      <c r="K289" s="18">
        <v>473</v>
      </c>
      <c r="L289" s="17">
        <f>J289+ROUND(K289, 2)</f>
        <v>473</v>
      </c>
      <c r="M289" s="17">
        <v>0</v>
      </c>
      <c r="N289" s="17">
        <v>0</v>
      </c>
      <c r="O289" s="17">
        <f>M289+N289</f>
        <v>0</v>
      </c>
      <c r="P289" s="17">
        <v>842.95</v>
      </c>
      <c r="Q289" s="18">
        <v>473</v>
      </c>
      <c r="R289" s="17">
        <f>P289+ROUND(Q289, 2)</f>
        <v>1315.95</v>
      </c>
      <c r="S289" s="17">
        <v>0</v>
      </c>
      <c r="T289" s="17">
        <v>0</v>
      </c>
      <c r="U289" s="17">
        <f>S289+T289</f>
        <v>0</v>
      </c>
      <c r="V289" s="9">
        <f>ROUND(P289 / 1.2, 2)</f>
        <v>702.46</v>
      </c>
      <c r="W289" s="9">
        <f>ROUND(Q289 / 1.2, 2)</f>
        <v>394.17</v>
      </c>
      <c r="X289" s="9">
        <f>ROUND(R289 / 1.2, 2)</f>
        <v>1096.6300000000001</v>
      </c>
      <c r="Y289" s="9">
        <f t="shared" si="15"/>
        <v>0</v>
      </c>
      <c r="Z289" s="9">
        <f>ROUND(T289 / 1.2, 2)</f>
        <v>0</v>
      </c>
      <c r="AA289" s="9">
        <f>Y289+Z289</f>
        <v>0</v>
      </c>
      <c r="AD289" s="4">
        <v>334080641</v>
      </c>
      <c r="AE289" s="4">
        <v>27245783</v>
      </c>
      <c r="AG289" s="4" t="s">
        <v>991</v>
      </c>
      <c r="AH289" s="4" t="s">
        <v>992</v>
      </c>
      <c r="AI289" s="4" t="s">
        <v>250</v>
      </c>
    </row>
    <row r="290" spans="1:35" ht="36" x14ac:dyDescent="0.3">
      <c r="A290" s="10" t="s">
        <v>1026</v>
      </c>
      <c r="B290" s="10"/>
      <c r="C290" s="30" t="s">
        <v>994</v>
      </c>
      <c r="D290" s="15"/>
      <c r="E290" s="15"/>
      <c r="F290" s="25" t="s">
        <v>278</v>
      </c>
      <c r="G290" s="26">
        <v>0.7</v>
      </c>
      <c r="H290" s="31"/>
      <c r="I290" s="31">
        <v>0</v>
      </c>
      <c r="J290" s="27">
        <v>16.96</v>
      </c>
      <c r="M290" s="28">
        <f>ROUND(ROUND(J290, 2)*I290, 2)</f>
        <v>0</v>
      </c>
      <c r="P290" s="27">
        <v>16.96</v>
      </c>
      <c r="S290" s="28">
        <f>ROUND(ROUND(P290, 2)*I290, 2)</f>
        <v>0</v>
      </c>
      <c r="V290" s="9">
        <f>ROUND(ROUND(P290, 2)/1.2, 2)</f>
        <v>14.13</v>
      </c>
      <c r="Y290" s="9">
        <f t="shared" si="15"/>
        <v>0</v>
      </c>
      <c r="AD290" s="4" t="s">
        <v>1027</v>
      </c>
      <c r="AE290" s="4" t="s">
        <v>1028</v>
      </c>
      <c r="AF290" s="4" t="s">
        <v>997</v>
      </c>
    </row>
    <row r="291" spans="1:35" ht="36" x14ac:dyDescent="0.3">
      <c r="A291" s="10" t="s">
        <v>1029</v>
      </c>
      <c r="B291" s="10"/>
      <c r="C291" s="24" t="s">
        <v>999</v>
      </c>
      <c r="D291" s="15"/>
      <c r="E291" s="15"/>
      <c r="F291" s="25" t="s">
        <v>597</v>
      </c>
      <c r="G291" s="26">
        <v>1.84</v>
      </c>
      <c r="H291" s="31"/>
      <c r="I291" s="31">
        <v>0</v>
      </c>
      <c r="J291" s="27">
        <v>450.95</v>
      </c>
      <c r="M291" s="28">
        <f>ROUND(ROUND(J291, 2)*I291, 2)</f>
        <v>0</v>
      </c>
      <c r="P291" s="27">
        <v>450.95</v>
      </c>
      <c r="S291" s="28">
        <f>ROUND(ROUND(P291, 2)*I291, 2)</f>
        <v>0</v>
      </c>
      <c r="V291" s="9">
        <f>ROUND(ROUND(P291, 2)/1.2, 2)</f>
        <v>375.79</v>
      </c>
      <c r="Y291" s="9">
        <f t="shared" si="15"/>
        <v>0</v>
      </c>
      <c r="AD291" s="4" t="s">
        <v>1030</v>
      </c>
      <c r="AE291" s="4" t="s">
        <v>1031</v>
      </c>
      <c r="AF291" s="4" t="s">
        <v>1002</v>
      </c>
    </row>
    <row r="292" spans="1:35" ht="36" x14ac:dyDescent="0.3">
      <c r="A292" s="10" t="s">
        <v>1032</v>
      </c>
      <c r="B292" s="10"/>
      <c r="C292" s="24" t="s">
        <v>1007</v>
      </c>
      <c r="D292" s="15"/>
      <c r="E292" s="15"/>
      <c r="F292" s="25" t="s">
        <v>278</v>
      </c>
      <c r="G292" s="26">
        <v>1.4999999999999999E-2</v>
      </c>
      <c r="H292" s="26"/>
      <c r="I292" s="26">
        <v>0</v>
      </c>
      <c r="J292" s="27">
        <v>88.8</v>
      </c>
      <c r="M292" s="28">
        <f>ROUND(ROUND(J292, 2)*I292, 2)</f>
        <v>0</v>
      </c>
      <c r="P292" s="27">
        <v>88.8</v>
      </c>
      <c r="S292" s="28">
        <f>ROUND(ROUND(P292, 2)*I292, 2)</f>
        <v>0</v>
      </c>
      <c r="V292" s="9">
        <f>ROUND(ROUND(P292, 2)/1.2, 2)</f>
        <v>74</v>
      </c>
      <c r="Y292" s="9">
        <f t="shared" si="15"/>
        <v>0</v>
      </c>
      <c r="AD292" s="4" t="s">
        <v>1033</v>
      </c>
      <c r="AE292" s="4" t="s">
        <v>1034</v>
      </c>
      <c r="AF292" s="4" t="s">
        <v>1010</v>
      </c>
    </row>
    <row r="293" spans="1:35" ht="36" x14ac:dyDescent="0.3">
      <c r="A293" s="10" t="s">
        <v>1035</v>
      </c>
      <c r="B293" s="10" t="s">
        <v>989</v>
      </c>
      <c r="C293" s="14" t="s">
        <v>990</v>
      </c>
      <c r="D293" s="15"/>
      <c r="E293" s="15" t="s">
        <v>1036</v>
      </c>
      <c r="F293" s="15" t="s">
        <v>102</v>
      </c>
      <c r="G293" s="16">
        <v>1</v>
      </c>
      <c r="H293" s="16"/>
      <c r="I293" s="16">
        <v>103.54</v>
      </c>
      <c r="J293" s="17">
        <v>832.98</v>
      </c>
      <c r="K293" s="18">
        <v>473</v>
      </c>
      <c r="L293" s="17">
        <f>J293+ROUND(K293, 2)</f>
        <v>1305.98</v>
      </c>
      <c r="M293" s="17">
        <v>86246.75</v>
      </c>
      <c r="N293" s="17">
        <v>48974.42</v>
      </c>
      <c r="O293" s="17">
        <f>M293+N293</f>
        <v>135221.16999999998</v>
      </c>
      <c r="P293" s="17">
        <v>832.98</v>
      </c>
      <c r="Q293" s="18">
        <v>709.5</v>
      </c>
      <c r="R293" s="17">
        <f>P293+ROUND(Q293, 2)</f>
        <v>1542.48</v>
      </c>
      <c r="S293" s="17">
        <v>86246.75</v>
      </c>
      <c r="T293" s="17">
        <v>73461.63</v>
      </c>
      <c r="U293" s="17">
        <f>S293+T293</f>
        <v>159708.38</v>
      </c>
      <c r="V293" s="9">
        <f>ROUND(P293 / 1.2, 2)</f>
        <v>694.15</v>
      </c>
      <c r="W293" s="9">
        <f>ROUND(Q293 / 1.2, 2)</f>
        <v>591.25</v>
      </c>
      <c r="X293" s="9">
        <f>ROUND(R293 / 1.2, 2)</f>
        <v>1285.4000000000001</v>
      </c>
      <c r="Y293" s="9">
        <f t="shared" si="15"/>
        <v>71872.289999999994</v>
      </c>
      <c r="Z293" s="9">
        <f>ROUND(T293 / 1.2, 2)</f>
        <v>61218.03</v>
      </c>
      <c r="AA293" s="9">
        <f>Y293+Z293</f>
        <v>133090.32</v>
      </c>
      <c r="AD293" s="4">
        <v>334080642</v>
      </c>
      <c r="AE293" s="4">
        <v>27245785</v>
      </c>
      <c r="AG293" s="4" t="s">
        <v>991</v>
      </c>
      <c r="AH293" s="4" t="s">
        <v>992</v>
      </c>
      <c r="AI293" s="4" t="s">
        <v>250</v>
      </c>
    </row>
    <row r="294" spans="1:35" ht="36" x14ac:dyDescent="0.3">
      <c r="A294" s="10" t="s">
        <v>1037</v>
      </c>
      <c r="B294" s="10"/>
      <c r="C294" s="24" t="s">
        <v>1007</v>
      </c>
      <c r="D294" s="15"/>
      <c r="E294" s="15"/>
      <c r="F294" s="25" t="s">
        <v>278</v>
      </c>
      <c r="G294" s="26">
        <v>1.4999999999999999E-2</v>
      </c>
      <c r="H294" s="26"/>
      <c r="I294" s="26">
        <v>1.5529999999999999</v>
      </c>
      <c r="J294" s="27">
        <v>88.8</v>
      </c>
      <c r="M294" s="28">
        <f>ROUND(ROUND(J294, 2)*I294, 2)</f>
        <v>137.91</v>
      </c>
      <c r="P294" s="27">
        <v>88.8</v>
      </c>
      <c r="S294" s="28">
        <f>ROUND(ROUND(P294, 2)*I294, 2)</f>
        <v>137.91</v>
      </c>
      <c r="V294" s="9">
        <f>ROUND(ROUND(P294, 2)/1.2, 2)</f>
        <v>74</v>
      </c>
      <c r="Y294" s="9">
        <f t="shared" si="15"/>
        <v>114.93</v>
      </c>
      <c r="AD294" s="4" t="s">
        <v>1038</v>
      </c>
      <c r="AE294" s="4" t="s">
        <v>1039</v>
      </c>
      <c r="AF294" s="4" t="s">
        <v>1010</v>
      </c>
    </row>
    <row r="295" spans="1:35" ht="18" x14ac:dyDescent="0.3">
      <c r="A295" s="10" t="s">
        <v>1040</v>
      </c>
      <c r="B295" s="10"/>
      <c r="C295" s="24" t="s">
        <v>858</v>
      </c>
      <c r="D295" s="15"/>
      <c r="E295" s="15"/>
      <c r="F295" s="25" t="s">
        <v>278</v>
      </c>
      <c r="G295" s="26">
        <v>0.04</v>
      </c>
      <c r="H295" s="26"/>
      <c r="I295" s="26">
        <v>4.1420000000000003</v>
      </c>
      <c r="J295" s="27">
        <v>47.44</v>
      </c>
      <c r="M295" s="28">
        <f>ROUND(ROUND(J295, 2)*I295, 2)</f>
        <v>196.5</v>
      </c>
      <c r="P295" s="27">
        <v>47.44</v>
      </c>
      <c r="S295" s="28">
        <f>ROUND(ROUND(P295, 2)*I295, 2)</f>
        <v>196.5</v>
      </c>
      <c r="V295" s="9">
        <f>ROUND(ROUND(P295, 2)/1.2, 2)</f>
        <v>39.53</v>
      </c>
      <c r="Y295" s="9">
        <f t="shared" si="15"/>
        <v>163.75</v>
      </c>
      <c r="AD295" s="4" t="s">
        <v>1041</v>
      </c>
      <c r="AE295" s="4" t="s">
        <v>1042</v>
      </c>
      <c r="AF295" s="4" t="s">
        <v>861</v>
      </c>
    </row>
    <row r="296" spans="1:35" ht="90" x14ac:dyDescent="0.3">
      <c r="A296" s="10" t="s">
        <v>1043</v>
      </c>
      <c r="B296" s="10"/>
      <c r="C296" s="24" t="s">
        <v>999</v>
      </c>
      <c r="D296" s="15"/>
      <c r="E296" s="15" t="s">
        <v>1044</v>
      </c>
      <c r="F296" s="25" t="s">
        <v>597</v>
      </c>
      <c r="G296" s="26">
        <v>1.84</v>
      </c>
      <c r="H296" s="31"/>
      <c r="I296" s="31">
        <v>190.51400000000001</v>
      </c>
      <c r="J296" s="27">
        <v>450.95</v>
      </c>
      <c r="M296" s="28">
        <f>ROUND(ROUND(J296, 2)*I296, 2)</f>
        <v>85912.29</v>
      </c>
      <c r="P296" s="27">
        <v>450.95</v>
      </c>
      <c r="S296" s="28">
        <f>ROUND(ROUND(P296, 2)*I296, 2)</f>
        <v>85912.29</v>
      </c>
      <c r="V296" s="9">
        <f>ROUND(ROUND(P296, 2)/1.2, 2)</f>
        <v>375.79</v>
      </c>
      <c r="Y296" s="9">
        <f t="shared" si="15"/>
        <v>71593.58</v>
      </c>
      <c r="AD296" s="4" t="s">
        <v>1045</v>
      </c>
      <c r="AE296" s="4" t="s">
        <v>1046</v>
      </c>
      <c r="AF296" s="4" t="s">
        <v>1002</v>
      </c>
    </row>
    <row r="297" spans="1:35" ht="36" x14ac:dyDescent="0.3">
      <c r="A297" s="10" t="s">
        <v>1047</v>
      </c>
      <c r="B297" s="10" t="s">
        <v>989</v>
      </c>
      <c r="C297" s="14" t="s">
        <v>990</v>
      </c>
      <c r="D297" s="15"/>
      <c r="E297" s="15" t="s">
        <v>1048</v>
      </c>
      <c r="F297" s="15" t="s">
        <v>102</v>
      </c>
      <c r="G297" s="16">
        <v>1</v>
      </c>
      <c r="H297" s="16"/>
      <c r="I297" s="16">
        <v>379.83</v>
      </c>
      <c r="J297" s="17">
        <v>844.26</v>
      </c>
      <c r="K297" s="18">
        <v>473</v>
      </c>
      <c r="L297" s="17">
        <f>J297+ROUND(K297, 2)</f>
        <v>1317.26</v>
      </c>
      <c r="M297" s="17">
        <v>320675.28000000003</v>
      </c>
      <c r="N297" s="17">
        <v>179659.59</v>
      </c>
      <c r="O297" s="17">
        <f>M297+N297</f>
        <v>500334.87</v>
      </c>
      <c r="P297" s="17">
        <v>844.25</v>
      </c>
      <c r="Q297" s="18">
        <v>709.5</v>
      </c>
      <c r="R297" s="17">
        <f>P297+ROUND(Q297, 2)</f>
        <v>1553.75</v>
      </c>
      <c r="S297" s="17">
        <v>320671.48</v>
      </c>
      <c r="T297" s="17">
        <v>269489.39</v>
      </c>
      <c r="U297" s="17">
        <f>S297+T297</f>
        <v>590160.87</v>
      </c>
      <c r="V297" s="9">
        <f>ROUND(P297 / 1.2, 2)</f>
        <v>703.54</v>
      </c>
      <c r="W297" s="9">
        <f>ROUND(Q297 / 1.2, 2)</f>
        <v>591.25</v>
      </c>
      <c r="X297" s="9">
        <f>ROUND(R297 / 1.2, 2)</f>
        <v>1294.79</v>
      </c>
      <c r="Y297" s="9">
        <f t="shared" si="15"/>
        <v>267226.23</v>
      </c>
      <c r="Z297" s="9">
        <f>ROUND(T297 / 1.2, 2)</f>
        <v>224574.49</v>
      </c>
      <c r="AA297" s="9">
        <f>Y297+Z297</f>
        <v>491800.72</v>
      </c>
      <c r="AD297" s="4">
        <v>334080643</v>
      </c>
      <c r="AE297" s="4">
        <v>27245786</v>
      </c>
      <c r="AG297" s="4" t="s">
        <v>991</v>
      </c>
      <c r="AH297" s="4" t="s">
        <v>992</v>
      </c>
      <c r="AI297" s="4" t="s">
        <v>250</v>
      </c>
    </row>
    <row r="298" spans="1:35" ht="36" x14ac:dyDescent="0.3">
      <c r="A298" s="10" t="s">
        <v>1049</v>
      </c>
      <c r="B298" s="10"/>
      <c r="C298" s="30" t="s">
        <v>994</v>
      </c>
      <c r="D298" s="15"/>
      <c r="E298" s="15"/>
      <c r="F298" s="25" t="s">
        <v>278</v>
      </c>
      <c r="G298" s="26">
        <v>0.7</v>
      </c>
      <c r="H298" s="31"/>
      <c r="I298" s="31">
        <v>265.88099999999997</v>
      </c>
      <c r="J298" s="27">
        <v>16.12</v>
      </c>
      <c r="M298" s="28">
        <f>ROUND(ROUND(J298, 2)*I298, 2)</f>
        <v>4286</v>
      </c>
      <c r="P298" s="27">
        <v>16.11</v>
      </c>
      <c r="S298" s="28">
        <f>ROUND(ROUND(P298, 2)*I298, 2)</f>
        <v>4283.34</v>
      </c>
      <c r="V298" s="9">
        <f>ROUND(ROUND(P298, 2)/1.2, 2)</f>
        <v>13.43</v>
      </c>
      <c r="Y298" s="9">
        <f t="shared" si="15"/>
        <v>3569.45</v>
      </c>
      <c r="AD298" s="4" t="s">
        <v>1050</v>
      </c>
      <c r="AE298" s="4" t="s">
        <v>1051</v>
      </c>
      <c r="AF298" s="4" t="s">
        <v>997</v>
      </c>
    </row>
    <row r="299" spans="1:35" ht="72" x14ac:dyDescent="0.3">
      <c r="A299" s="10" t="s">
        <v>1052</v>
      </c>
      <c r="B299" s="10"/>
      <c r="C299" s="24" t="s">
        <v>999</v>
      </c>
      <c r="D299" s="15"/>
      <c r="E299" s="15" t="s">
        <v>1053</v>
      </c>
      <c r="F299" s="25" t="s">
        <v>597</v>
      </c>
      <c r="G299" s="26">
        <v>1.84</v>
      </c>
      <c r="H299" s="31"/>
      <c r="I299" s="31">
        <v>698.88699999999994</v>
      </c>
      <c r="J299" s="27">
        <v>450.95</v>
      </c>
      <c r="M299" s="28">
        <f>ROUND(ROUND(J299, 2)*I299, 2)</f>
        <v>315163.09000000003</v>
      </c>
      <c r="P299" s="27">
        <v>450.95</v>
      </c>
      <c r="S299" s="28">
        <f>ROUND(ROUND(P299, 2)*I299, 2)</f>
        <v>315163.09000000003</v>
      </c>
      <c r="V299" s="9">
        <f>ROUND(ROUND(P299, 2)/1.2, 2)</f>
        <v>375.79</v>
      </c>
      <c r="Y299" s="9">
        <f t="shared" si="15"/>
        <v>262635.90999999997</v>
      </c>
      <c r="AD299" s="4" t="s">
        <v>1054</v>
      </c>
      <c r="AE299" s="4" t="s">
        <v>1055</v>
      </c>
      <c r="AF299" s="4" t="s">
        <v>1002</v>
      </c>
    </row>
    <row r="300" spans="1:35" ht="18" x14ac:dyDescent="0.3">
      <c r="A300" s="10" t="s">
        <v>1056</v>
      </c>
      <c r="B300" s="10"/>
      <c r="C300" s="24" t="s">
        <v>858</v>
      </c>
      <c r="D300" s="15"/>
      <c r="E300" s="15"/>
      <c r="F300" s="25" t="s">
        <v>278</v>
      </c>
      <c r="G300" s="26">
        <v>0.04</v>
      </c>
      <c r="H300" s="26"/>
      <c r="I300" s="26">
        <v>15.193</v>
      </c>
      <c r="J300" s="27">
        <v>47.44</v>
      </c>
      <c r="M300" s="28">
        <f>ROUND(ROUND(J300, 2)*I300, 2)</f>
        <v>720.76</v>
      </c>
      <c r="P300" s="27">
        <v>47.44</v>
      </c>
      <c r="S300" s="28">
        <f>ROUND(ROUND(P300, 2)*I300, 2)</f>
        <v>720.76</v>
      </c>
      <c r="V300" s="9">
        <f>ROUND(ROUND(P300, 2)/1.2, 2)</f>
        <v>39.53</v>
      </c>
      <c r="Y300" s="9">
        <f t="shared" si="15"/>
        <v>600.63</v>
      </c>
      <c r="AD300" s="4" t="s">
        <v>1057</v>
      </c>
      <c r="AE300" s="4" t="s">
        <v>1058</v>
      </c>
      <c r="AF300" s="4" t="s">
        <v>861</v>
      </c>
    </row>
    <row r="301" spans="1:35" ht="36" x14ac:dyDescent="0.3">
      <c r="A301" s="10" t="s">
        <v>1059</v>
      </c>
      <c r="B301" s="10"/>
      <c r="C301" s="24" t="s">
        <v>1007</v>
      </c>
      <c r="D301" s="15"/>
      <c r="E301" s="15"/>
      <c r="F301" s="25" t="s">
        <v>278</v>
      </c>
      <c r="G301" s="26">
        <v>1.4999999999999999E-2</v>
      </c>
      <c r="H301" s="26"/>
      <c r="I301" s="26">
        <v>5.6970000000000001</v>
      </c>
      <c r="J301" s="27">
        <v>88.8</v>
      </c>
      <c r="M301" s="28">
        <f>ROUND(ROUND(J301, 2)*I301, 2)</f>
        <v>505.89</v>
      </c>
      <c r="P301" s="27">
        <v>88.8</v>
      </c>
      <c r="S301" s="28">
        <f>ROUND(ROUND(P301, 2)*I301, 2)</f>
        <v>505.89</v>
      </c>
      <c r="V301" s="9">
        <f>ROUND(ROUND(P301, 2)/1.2, 2)</f>
        <v>74</v>
      </c>
      <c r="Y301" s="9">
        <f t="shared" si="15"/>
        <v>421.58</v>
      </c>
      <c r="AD301" s="4" t="s">
        <v>1060</v>
      </c>
      <c r="AE301" s="4" t="s">
        <v>1061</v>
      </c>
      <c r="AF301" s="4" t="s">
        <v>1010</v>
      </c>
    </row>
    <row r="302" spans="1:35" ht="36" x14ac:dyDescent="0.3">
      <c r="A302" s="10" t="s">
        <v>1062</v>
      </c>
      <c r="B302" s="10" t="s">
        <v>989</v>
      </c>
      <c r="C302" s="14" t="s">
        <v>990</v>
      </c>
      <c r="D302" s="15"/>
      <c r="E302" s="15" t="s">
        <v>1025</v>
      </c>
      <c r="F302" s="15" t="s">
        <v>102</v>
      </c>
      <c r="G302" s="16">
        <v>1</v>
      </c>
      <c r="H302" s="16"/>
      <c r="I302" s="16">
        <v>78</v>
      </c>
      <c r="J302" s="17">
        <v>844.26</v>
      </c>
      <c r="K302" s="18">
        <v>473</v>
      </c>
      <c r="L302" s="17">
        <f>J302+ROUND(K302, 2)</f>
        <v>1317.26</v>
      </c>
      <c r="M302" s="17">
        <v>65852.28</v>
      </c>
      <c r="N302" s="17">
        <v>36894</v>
      </c>
      <c r="O302" s="17">
        <f>M302+N302</f>
        <v>102746.28</v>
      </c>
      <c r="P302" s="17">
        <v>844.25</v>
      </c>
      <c r="Q302" s="18">
        <v>709.5</v>
      </c>
      <c r="R302" s="17">
        <f>P302+ROUND(Q302, 2)</f>
        <v>1553.75</v>
      </c>
      <c r="S302" s="17">
        <v>65851.5</v>
      </c>
      <c r="T302" s="17">
        <v>55341</v>
      </c>
      <c r="U302" s="17">
        <f>S302+T302</f>
        <v>121192.5</v>
      </c>
      <c r="V302" s="9">
        <f>ROUND(P302 / 1.2, 2)</f>
        <v>703.54</v>
      </c>
      <c r="W302" s="9">
        <f>ROUND(Q302 / 1.2, 2)</f>
        <v>591.25</v>
      </c>
      <c r="X302" s="9">
        <f>ROUND(R302 / 1.2, 2)</f>
        <v>1294.79</v>
      </c>
      <c r="Y302" s="9">
        <f t="shared" si="15"/>
        <v>54876.25</v>
      </c>
      <c r="Z302" s="9">
        <f>ROUND(T302 / 1.2, 2)</f>
        <v>46117.5</v>
      </c>
      <c r="AA302" s="9">
        <f>Y302+Z302</f>
        <v>100993.75</v>
      </c>
      <c r="AD302" s="4">
        <v>334080644</v>
      </c>
      <c r="AE302" s="4">
        <v>27245784</v>
      </c>
      <c r="AG302" s="4" t="s">
        <v>991</v>
      </c>
      <c r="AH302" s="4" t="s">
        <v>992</v>
      </c>
      <c r="AI302" s="4" t="s">
        <v>250</v>
      </c>
    </row>
    <row r="303" spans="1:35" ht="36" x14ac:dyDescent="0.3">
      <c r="A303" s="10" t="s">
        <v>1063</v>
      </c>
      <c r="B303" s="10"/>
      <c r="C303" s="24" t="s">
        <v>1007</v>
      </c>
      <c r="D303" s="15"/>
      <c r="E303" s="15"/>
      <c r="F303" s="25" t="s">
        <v>278</v>
      </c>
      <c r="G303" s="26">
        <v>1.4999999999999999E-2</v>
      </c>
      <c r="H303" s="26"/>
      <c r="I303" s="26">
        <v>1.17</v>
      </c>
      <c r="J303" s="27">
        <v>88.8</v>
      </c>
      <c r="M303" s="28">
        <f>ROUND(ROUND(J303, 2)*I303, 2)</f>
        <v>103.9</v>
      </c>
      <c r="P303" s="27">
        <v>88.8</v>
      </c>
      <c r="S303" s="28">
        <f>ROUND(ROUND(P303, 2)*I303, 2)</f>
        <v>103.9</v>
      </c>
      <c r="V303" s="9">
        <f>ROUND(ROUND(P303, 2)/1.2, 2)</f>
        <v>74</v>
      </c>
      <c r="Y303" s="9">
        <f t="shared" si="15"/>
        <v>86.58</v>
      </c>
      <c r="AD303" s="4" t="s">
        <v>1064</v>
      </c>
      <c r="AE303" s="4" t="s">
        <v>1065</v>
      </c>
      <c r="AF303" s="4" t="s">
        <v>1010</v>
      </c>
    </row>
    <row r="304" spans="1:35" ht="18" x14ac:dyDescent="0.3">
      <c r="A304" s="10" t="s">
        <v>1066</v>
      </c>
      <c r="B304" s="10"/>
      <c r="C304" s="24" t="s">
        <v>858</v>
      </c>
      <c r="D304" s="15"/>
      <c r="E304" s="15"/>
      <c r="F304" s="25" t="s">
        <v>278</v>
      </c>
      <c r="G304" s="26">
        <v>0.04</v>
      </c>
      <c r="H304" s="26"/>
      <c r="I304" s="26">
        <v>3.12</v>
      </c>
      <c r="J304" s="27">
        <v>47.44</v>
      </c>
      <c r="M304" s="28">
        <f>ROUND(ROUND(J304, 2)*I304, 2)</f>
        <v>148.01</v>
      </c>
      <c r="P304" s="27">
        <v>47.44</v>
      </c>
      <c r="S304" s="28">
        <f>ROUND(ROUND(P304, 2)*I304, 2)</f>
        <v>148.01</v>
      </c>
      <c r="V304" s="9">
        <f>ROUND(ROUND(P304, 2)/1.2, 2)</f>
        <v>39.53</v>
      </c>
      <c r="Y304" s="9">
        <f t="shared" si="15"/>
        <v>123.34</v>
      </c>
      <c r="AD304" s="4" t="s">
        <v>1067</v>
      </c>
      <c r="AE304" s="4" t="s">
        <v>1068</v>
      </c>
      <c r="AF304" s="4" t="s">
        <v>861</v>
      </c>
    </row>
    <row r="305" spans="1:35" ht="54" x14ac:dyDescent="0.3">
      <c r="A305" s="10" t="s">
        <v>1069</v>
      </c>
      <c r="B305" s="10"/>
      <c r="C305" s="24" t="s">
        <v>999</v>
      </c>
      <c r="D305" s="15"/>
      <c r="E305" s="15" t="s">
        <v>1070</v>
      </c>
      <c r="F305" s="25" t="s">
        <v>597</v>
      </c>
      <c r="G305" s="26">
        <v>1.84</v>
      </c>
      <c r="H305" s="31"/>
      <c r="I305" s="31">
        <v>143.52000000000001</v>
      </c>
      <c r="J305" s="27">
        <v>450.95</v>
      </c>
      <c r="M305" s="28">
        <f>ROUND(ROUND(J305, 2)*I305, 2)</f>
        <v>64720.34</v>
      </c>
      <c r="P305" s="27">
        <v>450.95</v>
      </c>
      <c r="S305" s="28">
        <f>ROUND(ROUND(P305, 2)*I305, 2)</f>
        <v>64720.34</v>
      </c>
      <c r="V305" s="9">
        <f>ROUND(ROUND(P305, 2)/1.2, 2)</f>
        <v>375.79</v>
      </c>
      <c r="Y305" s="9">
        <f t="shared" si="15"/>
        <v>53933.62</v>
      </c>
      <c r="AD305" s="4" t="s">
        <v>1071</v>
      </c>
      <c r="AE305" s="4" t="s">
        <v>1072</v>
      </c>
      <c r="AF305" s="4" t="s">
        <v>1002</v>
      </c>
    </row>
    <row r="306" spans="1:35" ht="36" x14ac:dyDescent="0.3">
      <c r="A306" s="10" t="s">
        <v>1073</v>
      </c>
      <c r="B306" s="10"/>
      <c r="C306" s="30" t="s">
        <v>994</v>
      </c>
      <c r="D306" s="15"/>
      <c r="E306" s="15"/>
      <c r="F306" s="25" t="s">
        <v>278</v>
      </c>
      <c r="G306" s="26">
        <v>0.7</v>
      </c>
      <c r="H306" s="31"/>
      <c r="I306" s="31">
        <v>54.6</v>
      </c>
      <c r="J306" s="27">
        <v>16.12</v>
      </c>
      <c r="M306" s="28">
        <f>ROUND(ROUND(J306, 2)*I306, 2)</f>
        <v>880.15</v>
      </c>
      <c r="P306" s="27">
        <v>16.11</v>
      </c>
      <c r="S306" s="28">
        <f>ROUND(ROUND(P306, 2)*I306, 2)</f>
        <v>879.61</v>
      </c>
      <c r="V306" s="9">
        <f>ROUND(ROUND(P306, 2)/1.2, 2)</f>
        <v>13.43</v>
      </c>
      <c r="Y306" s="9">
        <f t="shared" si="15"/>
        <v>733.01</v>
      </c>
      <c r="AD306" s="4" t="s">
        <v>1074</v>
      </c>
      <c r="AE306" s="4" t="s">
        <v>1075</v>
      </c>
      <c r="AF306" s="4" t="s">
        <v>997</v>
      </c>
    </row>
    <row r="307" spans="1:35" ht="162" x14ac:dyDescent="0.3">
      <c r="A307" s="10" t="s">
        <v>1076</v>
      </c>
      <c r="B307" s="10" t="s">
        <v>989</v>
      </c>
      <c r="C307" s="14" t="s">
        <v>990</v>
      </c>
      <c r="D307" s="15"/>
      <c r="E307" s="15" t="s">
        <v>1077</v>
      </c>
      <c r="F307" s="15" t="s">
        <v>102</v>
      </c>
      <c r="G307" s="16">
        <v>1</v>
      </c>
      <c r="H307" s="16"/>
      <c r="I307" s="16">
        <v>102.1</v>
      </c>
      <c r="J307" s="17">
        <f>IFERROR(ROUND(SUM(M308,M309,M310,M311)/I307, 2),0)</f>
        <v>858.02</v>
      </c>
      <c r="K307" s="18">
        <v>472.99</v>
      </c>
      <c r="L307" s="17">
        <f>J307+ROUND(K307, 2)</f>
        <v>1331.01</v>
      </c>
      <c r="M307" s="17">
        <f>ROUND(J307*I307, 2)</f>
        <v>87603.839999999997</v>
      </c>
      <c r="N307" s="17">
        <f>ROUND(I307*ROUND(K307, 2), 2)</f>
        <v>48292.28</v>
      </c>
      <c r="O307" s="17">
        <f>M307+N307</f>
        <v>135896.12</v>
      </c>
      <c r="P307" s="17">
        <f>IFERROR(ROUND(SUM(S308,S309,S310,S311)/I307, 2),0)</f>
        <v>858.02</v>
      </c>
      <c r="Q307" s="19">
        <v>709.49</v>
      </c>
      <c r="R307" s="17">
        <f>P307+ROUND(Q307, 2)</f>
        <v>1567.51</v>
      </c>
      <c r="S307" s="17">
        <f>ROUND(P307*I307, 2)</f>
        <v>87603.839999999997</v>
      </c>
      <c r="T307" s="17">
        <f>ROUND(I307*ROUND(Q307, 2), 2)</f>
        <v>72438.929999999993</v>
      </c>
      <c r="U307" s="17">
        <f>S307+T307</f>
        <v>160042.76999999999</v>
      </c>
      <c r="V307" s="9">
        <f>ROUND(P307 / 1.2, 2)</f>
        <v>715.02</v>
      </c>
      <c r="W307" s="9">
        <f>ROUND(Q307 / 1.2, 2)</f>
        <v>591.24</v>
      </c>
      <c r="X307" s="9">
        <f>ROUND(R307 / 1.2, 2)</f>
        <v>1306.26</v>
      </c>
      <c r="Y307" s="9">
        <f t="shared" si="15"/>
        <v>73003.199999999997</v>
      </c>
      <c r="Z307" s="9">
        <f>ROUND(T307 / 1.2, 2)</f>
        <v>60365.78</v>
      </c>
      <c r="AA307" s="9">
        <f>Y307+Z307</f>
        <v>133368.97999999998</v>
      </c>
      <c r="AD307" s="4">
        <v>334080645</v>
      </c>
      <c r="AE307" s="4">
        <v>29378733</v>
      </c>
      <c r="AG307" s="4" t="s">
        <v>991</v>
      </c>
      <c r="AH307" s="4" t="s">
        <v>992</v>
      </c>
      <c r="AI307" s="4" t="s">
        <v>250</v>
      </c>
    </row>
    <row r="308" spans="1:35" ht="36" x14ac:dyDescent="0.3">
      <c r="A308" s="10" t="s">
        <v>1078</v>
      </c>
      <c r="B308" s="10"/>
      <c r="C308" s="30" t="s">
        <v>994</v>
      </c>
      <c r="D308" s="15"/>
      <c r="E308" s="15"/>
      <c r="F308" s="25" t="s">
        <v>278</v>
      </c>
      <c r="G308" s="26">
        <v>0.7</v>
      </c>
      <c r="H308" s="31"/>
      <c r="I308" s="31">
        <v>71.47</v>
      </c>
      <c r="J308" s="27">
        <v>16.38</v>
      </c>
      <c r="M308" s="28">
        <f>ROUND(ROUND(J308, 2)*I308, 2)</f>
        <v>1170.68</v>
      </c>
      <c r="P308" s="29">
        <v>16.38</v>
      </c>
      <c r="S308" s="28">
        <f>ROUND(ROUND(P308, 2)*I308, 2)</f>
        <v>1170.68</v>
      </c>
      <c r="V308" s="9">
        <f>ROUND(ROUND(P308, 2)/1.2, 2)</f>
        <v>13.65</v>
      </c>
      <c r="Y308" s="9">
        <f t="shared" si="15"/>
        <v>975.57</v>
      </c>
      <c r="AD308" s="4" t="s">
        <v>1079</v>
      </c>
      <c r="AE308" s="4" t="s">
        <v>1080</v>
      </c>
      <c r="AF308" s="4" t="s">
        <v>997</v>
      </c>
    </row>
    <row r="309" spans="1:35" ht="90" x14ac:dyDescent="0.3">
      <c r="A309" s="10" t="s">
        <v>1081</v>
      </c>
      <c r="B309" s="10"/>
      <c r="C309" s="24" t="s">
        <v>999</v>
      </c>
      <c r="D309" s="15"/>
      <c r="E309" s="15" t="s">
        <v>1082</v>
      </c>
      <c r="F309" s="25" t="s">
        <v>597</v>
      </c>
      <c r="G309" s="26">
        <v>1.84</v>
      </c>
      <c r="H309" s="31"/>
      <c r="I309" s="31">
        <v>187.864</v>
      </c>
      <c r="J309" s="27">
        <v>458.46</v>
      </c>
      <c r="M309" s="28">
        <f>ROUND(ROUND(J309, 2)*I309, 2)</f>
        <v>86128.13</v>
      </c>
      <c r="P309" s="29">
        <v>458.46</v>
      </c>
      <c r="S309" s="28">
        <f>ROUND(ROUND(P309, 2)*I309, 2)</f>
        <v>86128.13</v>
      </c>
      <c r="V309" s="9">
        <f>ROUND(ROUND(P309, 2)/1.2, 2)</f>
        <v>382.05</v>
      </c>
      <c r="Y309" s="9">
        <f t="shared" si="15"/>
        <v>71773.440000000002</v>
      </c>
      <c r="AD309" s="4" t="s">
        <v>1083</v>
      </c>
      <c r="AE309" s="4" t="s">
        <v>1084</v>
      </c>
      <c r="AF309" s="4" t="s">
        <v>1002</v>
      </c>
    </row>
    <row r="310" spans="1:35" ht="36" x14ac:dyDescent="0.3">
      <c r="A310" s="10" t="s">
        <v>1085</v>
      </c>
      <c r="B310" s="10"/>
      <c r="C310" s="24" t="s">
        <v>950</v>
      </c>
      <c r="D310" s="15"/>
      <c r="E310" s="15" t="s">
        <v>1086</v>
      </c>
      <c r="F310" s="25" t="s">
        <v>278</v>
      </c>
      <c r="G310" s="26">
        <v>0.04</v>
      </c>
      <c r="H310" s="26"/>
      <c r="I310" s="26">
        <v>4.0839999999999996</v>
      </c>
      <c r="J310" s="27">
        <v>40.94</v>
      </c>
      <c r="M310" s="28">
        <f>ROUND(ROUND(J310, 2)*I310, 2)</f>
        <v>167.2</v>
      </c>
      <c r="P310" s="29">
        <v>40.94</v>
      </c>
      <c r="S310" s="28">
        <f>ROUND(ROUND(P310, 2)*I310, 2)</f>
        <v>167.2</v>
      </c>
      <c r="V310" s="9">
        <f>ROUND(ROUND(P310, 2)/1.2, 2)</f>
        <v>34.119999999999997</v>
      </c>
      <c r="Y310" s="9">
        <f t="shared" si="15"/>
        <v>139.33000000000001</v>
      </c>
      <c r="AD310" s="4" t="s">
        <v>1087</v>
      </c>
      <c r="AE310" s="4" t="s">
        <v>1088</v>
      </c>
      <c r="AF310" s="4" t="s">
        <v>954</v>
      </c>
    </row>
    <row r="311" spans="1:35" ht="36" x14ac:dyDescent="0.3">
      <c r="A311" s="10" t="s">
        <v>1089</v>
      </c>
      <c r="B311" s="10"/>
      <c r="C311" s="24" t="s">
        <v>1007</v>
      </c>
      <c r="D311" s="15"/>
      <c r="E311" s="15"/>
      <c r="F311" s="25" t="s">
        <v>278</v>
      </c>
      <c r="G311" s="26">
        <v>1.4999999999999999E-2</v>
      </c>
      <c r="H311" s="26"/>
      <c r="I311" s="26">
        <v>1.532</v>
      </c>
      <c r="J311" s="27">
        <v>90.28</v>
      </c>
      <c r="M311" s="28">
        <f>ROUND(ROUND(J311, 2)*I311, 2)</f>
        <v>138.31</v>
      </c>
      <c r="P311" s="29">
        <v>90.28</v>
      </c>
      <c r="S311" s="28">
        <f>ROUND(ROUND(P311, 2)*I311, 2)</f>
        <v>138.31</v>
      </c>
      <c r="V311" s="9">
        <f>ROUND(ROUND(P311, 2)/1.2, 2)</f>
        <v>75.23</v>
      </c>
      <c r="Y311" s="9">
        <f t="shared" ref="Y311:Y374" si="16">ROUND(S311 / 1.2, 2)</f>
        <v>115.26</v>
      </c>
      <c r="AD311" s="4" t="s">
        <v>1090</v>
      </c>
      <c r="AE311" s="4" t="s">
        <v>1091</v>
      </c>
      <c r="AF311" s="4" t="s">
        <v>1010</v>
      </c>
    </row>
    <row r="312" spans="1:35" ht="162" x14ac:dyDescent="0.3">
      <c r="A312" s="10" t="s">
        <v>1092</v>
      </c>
      <c r="B312" s="10" t="s">
        <v>989</v>
      </c>
      <c r="C312" s="14" t="s">
        <v>990</v>
      </c>
      <c r="D312" s="15"/>
      <c r="E312" s="15" t="s">
        <v>1093</v>
      </c>
      <c r="F312" s="15" t="s">
        <v>102</v>
      </c>
      <c r="G312" s="16">
        <v>1</v>
      </c>
      <c r="H312" s="16"/>
      <c r="I312" s="16">
        <v>462.7</v>
      </c>
      <c r="J312" s="17">
        <f>IFERROR(ROUND(SUM(M313,M314,M315,M316)/I312, 2),0)</f>
        <v>858.02</v>
      </c>
      <c r="K312" s="18">
        <v>472.99</v>
      </c>
      <c r="L312" s="17">
        <f>J312+ROUND(K312, 2)</f>
        <v>1331.01</v>
      </c>
      <c r="M312" s="17">
        <f>ROUND(J312*I312, 2)</f>
        <v>397005.85</v>
      </c>
      <c r="N312" s="17">
        <f>ROUND(I312*ROUND(K312, 2), 2)</f>
        <v>218852.47</v>
      </c>
      <c r="O312" s="17">
        <f>M312+N312</f>
        <v>615858.31999999995</v>
      </c>
      <c r="P312" s="17">
        <f>IFERROR(ROUND(SUM(S313,S314,S315,S316)/I312, 2),0)</f>
        <v>858.02</v>
      </c>
      <c r="Q312" s="19">
        <v>709.49</v>
      </c>
      <c r="R312" s="17">
        <f>P312+ROUND(Q312, 2)</f>
        <v>1567.51</v>
      </c>
      <c r="S312" s="17">
        <f>ROUND(P312*I312, 2)</f>
        <v>397005.85</v>
      </c>
      <c r="T312" s="17">
        <f>ROUND(I312*ROUND(Q312, 2), 2)</f>
        <v>328281.02</v>
      </c>
      <c r="U312" s="17">
        <f>S312+T312</f>
        <v>725286.87</v>
      </c>
      <c r="V312" s="9">
        <f>ROUND(P312 / 1.2, 2)</f>
        <v>715.02</v>
      </c>
      <c r="W312" s="9">
        <f>ROUND(Q312 / 1.2, 2)</f>
        <v>591.24</v>
      </c>
      <c r="X312" s="9">
        <f>ROUND(R312 / 1.2, 2)</f>
        <v>1306.26</v>
      </c>
      <c r="Y312" s="9">
        <f t="shared" si="16"/>
        <v>330838.21000000002</v>
      </c>
      <c r="Z312" s="9">
        <f>ROUND(T312 / 1.2, 2)</f>
        <v>273567.52</v>
      </c>
      <c r="AA312" s="9">
        <f>Y312+Z312</f>
        <v>604405.73</v>
      </c>
      <c r="AD312" s="4">
        <v>334080646</v>
      </c>
      <c r="AE312" s="4">
        <v>29378735</v>
      </c>
      <c r="AG312" s="4" t="s">
        <v>991</v>
      </c>
      <c r="AH312" s="4" t="s">
        <v>992</v>
      </c>
      <c r="AI312" s="4" t="s">
        <v>250</v>
      </c>
    </row>
    <row r="313" spans="1:35" ht="36" x14ac:dyDescent="0.3">
      <c r="A313" s="10" t="s">
        <v>1094</v>
      </c>
      <c r="B313" s="10"/>
      <c r="C313" s="24" t="s">
        <v>1007</v>
      </c>
      <c r="D313" s="15"/>
      <c r="E313" s="15"/>
      <c r="F313" s="25" t="s">
        <v>278</v>
      </c>
      <c r="G313" s="26">
        <v>1.4999999999999999E-2</v>
      </c>
      <c r="H313" s="26"/>
      <c r="I313" s="26">
        <v>6.9409999999999998</v>
      </c>
      <c r="J313" s="27">
        <v>90.28</v>
      </c>
      <c r="M313" s="28">
        <f>ROUND(ROUND(J313, 2)*I313, 2)</f>
        <v>626.63</v>
      </c>
      <c r="P313" s="29">
        <v>90.28</v>
      </c>
      <c r="S313" s="28">
        <f>ROUND(ROUND(P313, 2)*I313, 2)</f>
        <v>626.63</v>
      </c>
      <c r="V313" s="9">
        <f>ROUND(ROUND(P313, 2)/1.2, 2)</f>
        <v>75.23</v>
      </c>
      <c r="Y313" s="9">
        <f t="shared" si="16"/>
        <v>522.19000000000005</v>
      </c>
      <c r="AD313" s="4" t="s">
        <v>1095</v>
      </c>
      <c r="AE313" s="4" t="s">
        <v>1096</v>
      </c>
      <c r="AF313" s="4" t="s">
        <v>1010</v>
      </c>
    </row>
    <row r="314" spans="1:35" ht="36" x14ac:dyDescent="0.3">
      <c r="A314" s="10" t="s">
        <v>1097</v>
      </c>
      <c r="B314" s="10"/>
      <c r="C314" s="24" t="s">
        <v>950</v>
      </c>
      <c r="D314" s="15"/>
      <c r="E314" s="15" t="s">
        <v>1098</v>
      </c>
      <c r="F314" s="25" t="s">
        <v>278</v>
      </c>
      <c r="G314" s="26">
        <v>0.04</v>
      </c>
      <c r="H314" s="26"/>
      <c r="I314" s="26">
        <v>18.507999999999999</v>
      </c>
      <c r="J314" s="27">
        <v>40.94</v>
      </c>
      <c r="M314" s="28">
        <f>ROUND(ROUND(J314, 2)*I314, 2)</f>
        <v>757.72</v>
      </c>
      <c r="P314" s="29">
        <v>40.94</v>
      </c>
      <c r="S314" s="28">
        <f>ROUND(ROUND(P314, 2)*I314, 2)</f>
        <v>757.72</v>
      </c>
      <c r="V314" s="9">
        <f>ROUND(ROUND(P314, 2)/1.2, 2)</f>
        <v>34.119999999999997</v>
      </c>
      <c r="Y314" s="9">
        <f t="shared" si="16"/>
        <v>631.42999999999995</v>
      </c>
      <c r="AD314" s="4" t="s">
        <v>1099</v>
      </c>
      <c r="AE314" s="4" t="s">
        <v>1100</v>
      </c>
      <c r="AF314" s="4" t="s">
        <v>954</v>
      </c>
    </row>
    <row r="315" spans="1:35" ht="72" x14ac:dyDescent="0.3">
      <c r="A315" s="10" t="s">
        <v>1101</v>
      </c>
      <c r="B315" s="10"/>
      <c r="C315" s="24" t="s">
        <v>999</v>
      </c>
      <c r="D315" s="15"/>
      <c r="E315" s="15" t="s">
        <v>1102</v>
      </c>
      <c r="F315" s="25" t="s">
        <v>597</v>
      </c>
      <c r="G315" s="26">
        <v>1.84</v>
      </c>
      <c r="H315" s="31"/>
      <c r="I315" s="31">
        <v>851.36800000000005</v>
      </c>
      <c r="J315" s="27">
        <v>458.46</v>
      </c>
      <c r="M315" s="28">
        <f>ROUND(ROUND(J315, 2)*I315, 2)</f>
        <v>390318.17</v>
      </c>
      <c r="P315" s="29">
        <v>458.46</v>
      </c>
      <c r="S315" s="28">
        <f>ROUND(ROUND(P315, 2)*I315, 2)</f>
        <v>390318.17</v>
      </c>
      <c r="V315" s="9">
        <f>ROUND(ROUND(P315, 2)/1.2, 2)</f>
        <v>382.05</v>
      </c>
      <c r="Y315" s="9">
        <f t="shared" si="16"/>
        <v>325265.14</v>
      </c>
      <c r="AD315" s="4" t="s">
        <v>1103</v>
      </c>
      <c r="AE315" s="4" t="s">
        <v>1104</v>
      </c>
      <c r="AF315" s="4" t="s">
        <v>1002</v>
      </c>
    </row>
    <row r="316" spans="1:35" ht="36" x14ac:dyDescent="0.3">
      <c r="A316" s="10" t="s">
        <v>1105</v>
      </c>
      <c r="B316" s="10"/>
      <c r="C316" s="30" t="s">
        <v>994</v>
      </c>
      <c r="D316" s="15"/>
      <c r="E316" s="15"/>
      <c r="F316" s="25" t="s">
        <v>278</v>
      </c>
      <c r="G316" s="26">
        <v>0.7</v>
      </c>
      <c r="H316" s="31"/>
      <c r="I316" s="31">
        <v>323.89</v>
      </c>
      <c r="J316" s="27">
        <v>16.38</v>
      </c>
      <c r="M316" s="28">
        <f>ROUND(ROUND(J316, 2)*I316, 2)</f>
        <v>5305.32</v>
      </c>
      <c r="P316" s="29">
        <v>16.38</v>
      </c>
      <c r="S316" s="28">
        <f>ROUND(ROUND(P316, 2)*I316, 2)</f>
        <v>5305.32</v>
      </c>
      <c r="V316" s="9">
        <f>ROUND(ROUND(P316, 2)/1.2, 2)</f>
        <v>13.65</v>
      </c>
      <c r="Y316" s="9">
        <f t="shared" si="16"/>
        <v>4421.1000000000004</v>
      </c>
      <c r="AD316" s="4" t="s">
        <v>1106</v>
      </c>
      <c r="AE316" s="4" t="s">
        <v>1107</v>
      </c>
      <c r="AF316" s="4" t="s">
        <v>997</v>
      </c>
    </row>
    <row r="317" spans="1:35" ht="144" x14ac:dyDescent="0.3">
      <c r="A317" s="10" t="s">
        <v>1108</v>
      </c>
      <c r="B317" s="10" t="s">
        <v>989</v>
      </c>
      <c r="C317" s="14" t="s">
        <v>990</v>
      </c>
      <c r="D317" s="15"/>
      <c r="E317" s="15" t="s">
        <v>1109</v>
      </c>
      <c r="F317" s="15" t="s">
        <v>102</v>
      </c>
      <c r="G317" s="16">
        <v>1</v>
      </c>
      <c r="H317" s="16"/>
      <c r="I317" s="16">
        <v>496.18</v>
      </c>
      <c r="J317" s="17">
        <f>IFERROR(ROUND(SUM(M318,M319,M320,M321)/I317, 2),0)</f>
        <v>858.02</v>
      </c>
      <c r="K317" s="18">
        <v>472.99</v>
      </c>
      <c r="L317" s="17">
        <f>J317+ROUND(K317, 2)</f>
        <v>1331.01</v>
      </c>
      <c r="M317" s="17">
        <f>ROUND(J317*I317, 2)</f>
        <v>425732.36</v>
      </c>
      <c r="N317" s="17">
        <f>ROUND(I317*ROUND(K317, 2), 2)</f>
        <v>234688.18</v>
      </c>
      <c r="O317" s="17">
        <f>M317+N317</f>
        <v>660420.54</v>
      </c>
      <c r="P317" s="17">
        <f>IFERROR(ROUND(SUM(S318,S319,S320,S321)/I317, 2),0)</f>
        <v>858.02</v>
      </c>
      <c r="Q317" s="19">
        <v>709.49</v>
      </c>
      <c r="R317" s="17">
        <f>P317+ROUND(Q317, 2)</f>
        <v>1567.51</v>
      </c>
      <c r="S317" s="17">
        <f>ROUND(P317*I317, 2)</f>
        <v>425732.36</v>
      </c>
      <c r="T317" s="17">
        <f>ROUND(I317*ROUND(Q317, 2), 2)</f>
        <v>352034.75</v>
      </c>
      <c r="U317" s="17">
        <f>S317+T317</f>
        <v>777767.11</v>
      </c>
      <c r="V317" s="9">
        <f>ROUND(P317 / 1.2, 2)</f>
        <v>715.02</v>
      </c>
      <c r="W317" s="9">
        <f>ROUND(Q317 / 1.2, 2)</f>
        <v>591.24</v>
      </c>
      <c r="X317" s="9">
        <f>ROUND(R317 / 1.2, 2)</f>
        <v>1306.26</v>
      </c>
      <c r="Y317" s="9">
        <f t="shared" si="16"/>
        <v>354776.97</v>
      </c>
      <c r="Z317" s="9">
        <f>ROUND(T317 / 1.2, 2)</f>
        <v>293362.28999999998</v>
      </c>
      <c r="AA317" s="9">
        <f>Y317+Z317</f>
        <v>648139.26</v>
      </c>
      <c r="AD317" s="4">
        <v>334080647</v>
      </c>
      <c r="AE317" s="4">
        <v>29378734</v>
      </c>
      <c r="AG317" s="4" t="s">
        <v>991</v>
      </c>
      <c r="AH317" s="4" t="s">
        <v>992</v>
      </c>
      <c r="AI317" s="4" t="s">
        <v>250</v>
      </c>
    </row>
    <row r="318" spans="1:35" ht="36" x14ac:dyDescent="0.3">
      <c r="A318" s="10" t="s">
        <v>1110</v>
      </c>
      <c r="B318" s="10"/>
      <c r="C318" s="30" t="s">
        <v>994</v>
      </c>
      <c r="D318" s="15"/>
      <c r="E318" s="15"/>
      <c r="F318" s="25" t="s">
        <v>278</v>
      </c>
      <c r="G318" s="26">
        <v>0.7</v>
      </c>
      <c r="H318" s="31"/>
      <c r="I318" s="31">
        <v>347.32600000000002</v>
      </c>
      <c r="J318" s="27">
        <v>16.38</v>
      </c>
      <c r="M318" s="28">
        <f>ROUND(ROUND(J318, 2)*I318, 2)</f>
        <v>5689.2</v>
      </c>
      <c r="P318" s="29">
        <v>16.38</v>
      </c>
      <c r="S318" s="28">
        <f>ROUND(ROUND(P318, 2)*I318, 2)</f>
        <v>5689.2</v>
      </c>
      <c r="V318" s="9">
        <f>ROUND(ROUND(P318, 2)/1.2, 2)</f>
        <v>13.65</v>
      </c>
      <c r="Y318" s="9">
        <f t="shared" si="16"/>
        <v>4741</v>
      </c>
      <c r="AD318" s="4" t="s">
        <v>1111</v>
      </c>
      <c r="AE318" s="4" t="s">
        <v>1112</v>
      </c>
      <c r="AF318" s="4" t="s">
        <v>997</v>
      </c>
    </row>
    <row r="319" spans="1:35" ht="54" x14ac:dyDescent="0.3">
      <c r="A319" s="10" t="s">
        <v>1113</v>
      </c>
      <c r="B319" s="10"/>
      <c r="C319" s="24" t="s">
        <v>999</v>
      </c>
      <c r="D319" s="15"/>
      <c r="E319" s="15" t="s">
        <v>1114</v>
      </c>
      <c r="F319" s="25" t="s">
        <v>597</v>
      </c>
      <c r="G319" s="26">
        <v>1.84</v>
      </c>
      <c r="H319" s="31"/>
      <c r="I319" s="31">
        <v>912.971</v>
      </c>
      <c r="J319" s="27">
        <v>458.46</v>
      </c>
      <c r="M319" s="28">
        <f>ROUND(ROUND(J319, 2)*I319, 2)</f>
        <v>418560.68</v>
      </c>
      <c r="P319" s="29">
        <v>458.46</v>
      </c>
      <c r="S319" s="28">
        <f>ROUND(ROUND(P319, 2)*I319, 2)</f>
        <v>418560.68</v>
      </c>
      <c r="V319" s="9">
        <f>ROUND(ROUND(P319, 2)/1.2, 2)</f>
        <v>382.05</v>
      </c>
      <c r="Y319" s="9">
        <f t="shared" si="16"/>
        <v>348800.57</v>
      </c>
      <c r="AD319" s="4" t="s">
        <v>1115</v>
      </c>
      <c r="AE319" s="4" t="s">
        <v>1116</v>
      </c>
      <c r="AF319" s="4" t="s">
        <v>1002</v>
      </c>
    </row>
    <row r="320" spans="1:35" ht="36" x14ac:dyDescent="0.3">
      <c r="A320" s="10" t="s">
        <v>1117</v>
      </c>
      <c r="B320" s="10"/>
      <c r="C320" s="24" t="s">
        <v>950</v>
      </c>
      <c r="D320" s="15"/>
      <c r="E320" s="15" t="s">
        <v>1118</v>
      </c>
      <c r="F320" s="25" t="s">
        <v>278</v>
      </c>
      <c r="G320" s="26">
        <v>0.04</v>
      </c>
      <c r="H320" s="26"/>
      <c r="I320" s="26">
        <v>19.847000000000001</v>
      </c>
      <c r="J320" s="27">
        <v>40.94</v>
      </c>
      <c r="M320" s="28">
        <f>ROUND(ROUND(J320, 2)*I320, 2)</f>
        <v>812.54</v>
      </c>
      <c r="P320" s="29">
        <v>40.94</v>
      </c>
      <c r="S320" s="28">
        <f>ROUND(ROUND(P320, 2)*I320, 2)</f>
        <v>812.54</v>
      </c>
      <c r="V320" s="9">
        <f>ROUND(ROUND(P320, 2)/1.2, 2)</f>
        <v>34.119999999999997</v>
      </c>
      <c r="Y320" s="9">
        <f t="shared" si="16"/>
        <v>677.12</v>
      </c>
      <c r="AD320" s="4" t="s">
        <v>1119</v>
      </c>
      <c r="AE320" s="4" t="s">
        <v>1120</v>
      </c>
      <c r="AF320" s="4" t="s">
        <v>954</v>
      </c>
    </row>
    <row r="321" spans="1:35" ht="36" x14ac:dyDescent="0.3">
      <c r="A321" s="10" t="s">
        <v>1121</v>
      </c>
      <c r="B321" s="10"/>
      <c r="C321" s="24" t="s">
        <v>1007</v>
      </c>
      <c r="D321" s="15"/>
      <c r="E321" s="15"/>
      <c r="F321" s="25" t="s">
        <v>278</v>
      </c>
      <c r="G321" s="26">
        <v>1.4999999999999999E-2</v>
      </c>
      <c r="H321" s="26"/>
      <c r="I321" s="26">
        <v>7.4429999999999996</v>
      </c>
      <c r="J321" s="27">
        <v>90.28</v>
      </c>
      <c r="M321" s="28">
        <f>ROUND(ROUND(J321, 2)*I321, 2)</f>
        <v>671.95</v>
      </c>
      <c r="P321" s="29">
        <v>90.28</v>
      </c>
      <c r="S321" s="28">
        <f>ROUND(ROUND(P321, 2)*I321, 2)</f>
        <v>671.95</v>
      </c>
      <c r="V321" s="9">
        <f>ROUND(ROUND(P321, 2)/1.2, 2)</f>
        <v>75.23</v>
      </c>
      <c r="Y321" s="9">
        <f t="shared" si="16"/>
        <v>559.96</v>
      </c>
      <c r="AD321" s="4" t="s">
        <v>1122</v>
      </c>
      <c r="AE321" s="4" t="s">
        <v>1123</v>
      </c>
      <c r="AF321" s="4" t="s">
        <v>1010</v>
      </c>
    </row>
    <row r="322" spans="1:35" ht="108" x14ac:dyDescent="0.3">
      <c r="A322" s="10" t="s">
        <v>1124</v>
      </c>
      <c r="B322" s="10" t="s">
        <v>989</v>
      </c>
      <c r="C322" s="14" t="s">
        <v>990</v>
      </c>
      <c r="D322" s="15"/>
      <c r="E322" s="15" t="s">
        <v>1125</v>
      </c>
      <c r="F322" s="15" t="s">
        <v>102</v>
      </c>
      <c r="G322" s="16">
        <v>1</v>
      </c>
      <c r="H322" s="16"/>
      <c r="I322" s="16">
        <v>139.68</v>
      </c>
      <c r="J322" s="17">
        <f>IFERROR(ROUND(SUM(M323,M324,M325,M326)/I322, 2),0)</f>
        <v>381.39</v>
      </c>
      <c r="K322" s="18">
        <v>472.99</v>
      </c>
      <c r="L322" s="17">
        <f>J322+ROUND(K322, 2)</f>
        <v>854.38</v>
      </c>
      <c r="M322" s="17">
        <f>ROUND(J322*I322, 2)</f>
        <v>53272.56</v>
      </c>
      <c r="N322" s="17">
        <f>ROUND(I322*ROUND(K322, 2), 2)</f>
        <v>66067.240000000005</v>
      </c>
      <c r="O322" s="17">
        <f>M322+N322</f>
        <v>119339.8</v>
      </c>
      <c r="P322" s="17">
        <f>IFERROR(ROUND(SUM(S323,S324,S325,S326)/I322, 2),0)</f>
        <v>381.39</v>
      </c>
      <c r="Q322" s="19">
        <v>709.49</v>
      </c>
      <c r="R322" s="17">
        <f>P322+ROUND(Q322, 2)</f>
        <v>1090.8800000000001</v>
      </c>
      <c r="S322" s="17">
        <f>ROUND(P322*I322, 2)</f>
        <v>53272.56</v>
      </c>
      <c r="T322" s="17">
        <f>ROUND(I322*ROUND(Q322, 2), 2)</f>
        <v>99101.56</v>
      </c>
      <c r="U322" s="17">
        <f>S322+T322</f>
        <v>152374.12</v>
      </c>
      <c r="V322" s="9">
        <f>ROUND(P322 / 1.2, 2)</f>
        <v>317.83</v>
      </c>
      <c r="W322" s="9">
        <f>ROUND(Q322 / 1.2, 2)</f>
        <v>591.24</v>
      </c>
      <c r="X322" s="9">
        <f>ROUND(R322 / 1.2, 2)</f>
        <v>909.07</v>
      </c>
      <c r="Y322" s="9">
        <f t="shared" si="16"/>
        <v>44393.8</v>
      </c>
      <c r="Z322" s="9">
        <f>ROUND(T322 / 1.2, 2)</f>
        <v>82584.63</v>
      </c>
      <c r="AA322" s="9">
        <f>Y322+Z322</f>
        <v>126978.43000000001</v>
      </c>
      <c r="AD322" s="4">
        <v>334080648</v>
      </c>
      <c r="AE322" s="4">
        <v>29378736</v>
      </c>
      <c r="AG322" s="4" t="s">
        <v>991</v>
      </c>
      <c r="AH322" s="4" t="s">
        <v>992</v>
      </c>
      <c r="AI322" s="4" t="s">
        <v>250</v>
      </c>
    </row>
    <row r="323" spans="1:35" ht="36" x14ac:dyDescent="0.3">
      <c r="A323" s="10" t="s">
        <v>1126</v>
      </c>
      <c r="B323" s="10"/>
      <c r="C323" s="24" t="s">
        <v>1007</v>
      </c>
      <c r="D323" s="15"/>
      <c r="E323" s="15"/>
      <c r="F323" s="25" t="s">
        <v>278</v>
      </c>
      <c r="G323" s="26">
        <v>1.4999999999999999E-2</v>
      </c>
      <c r="H323" s="26"/>
      <c r="I323" s="26">
        <v>2.0950000000000002</v>
      </c>
      <c r="J323" s="27">
        <v>90.28</v>
      </c>
      <c r="M323" s="28">
        <f>ROUND(ROUND(J323, 2)*I323, 2)</f>
        <v>189.14</v>
      </c>
      <c r="P323" s="29">
        <v>90.28</v>
      </c>
      <c r="S323" s="28">
        <f>ROUND(ROUND(P323, 2)*I323, 2)</f>
        <v>189.14</v>
      </c>
      <c r="V323" s="9">
        <f>ROUND(ROUND(P323, 2)/1.2, 2)</f>
        <v>75.23</v>
      </c>
      <c r="Y323" s="9">
        <f t="shared" si="16"/>
        <v>157.62</v>
      </c>
      <c r="AD323" s="4" t="s">
        <v>1127</v>
      </c>
      <c r="AE323" s="4" t="s">
        <v>1128</v>
      </c>
      <c r="AF323" s="4" t="s">
        <v>1010</v>
      </c>
    </row>
    <row r="324" spans="1:35" ht="18" x14ac:dyDescent="0.3">
      <c r="A324" s="10" t="s">
        <v>1129</v>
      </c>
      <c r="B324" s="10"/>
      <c r="C324" s="24" t="s">
        <v>858</v>
      </c>
      <c r="D324" s="15"/>
      <c r="E324" s="15"/>
      <c r="F324" s="25" t="s">
        <v>278</v>
      </c>
      <c r="G324" s="26">
        <v>0.04</v>
      </c>
      <c r="H324" s="26"/>
      <c r="I324" s="26">
        <v>5.5869999999999997</v>
      </c>
      <c r="J324" s="27">
        <v>48.23</v>
      </c>
      <c r="M324" s="28">
        <f>ROUND(ROUND(J324, 2)*I324, 2)</f>
        <v>269.45999999999998</v>
      </c>
      <c r="P324" s="29">
        <v>48.23</v>
      </c>
      <c r="S324" s="28">
        <f>ROUND(ROUND(P324, 2)*I324, 2)</f>
        <v>269.45999999999998</v>
      </c>
      <c r="V324" s="9">
        <f>ROUND(ROUND(P324, 2)/1.2, 2)</f>
        <v>40.19</v>
      </c>
      <c r="Y324" s="9">
        <f t="shared" si="16"/>
        <v>224.55</v>
      </c>
      <c r="AD324" s="4" t="s">
        <v>1130</v>
      </c>
      <c r="AE324" s="4" t="s">
        <v>1131</v>
      </c>
      <c r="AF324" s="4" t="s">
        <v>861</v>
      </c>
    </row>
    <row r="325" spans="1:35" ht="54" x14ac:dyDescent="0.3">
      <c r="A325" s="10" t="s">
        <v>1132</v>
      </c>
      <c r="B325" s="10"/>
      <c r="C325" s="24" t="s">
        <v>1133</v>
      </c>
      <c r="D325" s="15"/>
      <c r="E325" s="15" t="s">
        <v>1134</v>
      </c>
      <c r="F325" s="25" t="s">
        <v>597</v>
      </c>
      <c r="G325" s="26">
        <v>1.84</v>
      </c>
      <c r="H325" s="31"/>
      <c r="I325" s="31">
        <v>257.01100000000002</v>
      </c>
      <c r="J325" s="27">
        <v>199.26</v>
      </c>
      <c r="M325" s="28">
        <f>ROUND(ROUND(J325, 2)*I325, 2)</f>
        <v>51212.01</v>
      </c>
      <c r="P325" s="29">
        <v>199.26</v>
      </c>
      <c r="S325" s="28">
        <f>ROUND(ROUND(P325, 2)*I325, 2)</f>
        <v>51212.01</v>
      </c>
      <c r="V325" s="9">
        <f>ROUND(ROUND(P325, 2)/1.2, 2)</f>
        <v>166.05</v>
      </c>
      <c r="Y325" s="9">
        <f t="shared" si="16"/>
        <v>42676.68</v>
      </c>
      <c r="AD325" s="4" t="s">
        <v>1135</v>
      </c>
      <c r="AE325" s="4" t="s">
        <v>1136</v>
      </c>
      <c r="AF325" s="4" t="s">
        <v>1137</v>
      </c>
    </row>
    <row r="326" spans="1:35" ht="36" x14ac:dyDescent="0.3">
      <c r="A326" s="10" t="s">
        <v>1138</v>
      </c>
      <c r="B326" s="10"/>
      <c r="C326" s="30" t="s">
        <v>994</v>
      </c>
      <c r="D326" s="15"/>
      <c r="E326" s="15"/>
      <c r="F326" s="25" t="s">
        <v>278</v>
      </c>
      <c r="G326" s="26">
        <v>0.7</v>
      </c>
      <c r="H326" s="31"/>
      <c r="I326" s="31">
        <v>97.775999999999996</v>
      </c>
      <c r="J326" s="27">
        <v>16.38</v>
      </c>
      <c r="M326" s="28">
        <f>ROUND(ROUND(J326, 2)*I326, 2)</f>
        <v>1601.57</v>
      </c>
      <c r="P326" s="29">
        <v>16.38</v>
      </c>
      <c r="S326" s="28">
        <f>ROUND(ROUND(P326, 2)*I326, 2)</f>
        <v>1601.57</v>
      </c>
      <c r="V326" s="9">
        <f>ROUND(ROUND(P326, 2)/1.2, 2)</f>
        <v>13.65</v>
      </c>
      <c r="Y326" s="9">
        <f t="shared" si="16"/>
        <v>1334.64</v>
      </c>
      <c r="AD326" s="4" t="s">
        <v>1139</v>
      </c>
      <c r="AE326" s="4" t="s">
        <v>1140</v>
      </c>
      <c r="AF326" s="4" t="s">
        <v>997</v>
      </c>
    </row>
    <row r="327" spans="1:35" ht="54" x14ac:dyDescent="0.3">
      <c r="A327" s="10" t="s">
        <v>1141</v>
      </c>
      <c r="B327" s="10" t="s">
        <v>1142</v>
      </c>
      <c r="C327" s="14" t="s">
        <v>1143</v>
      </c>
      <c r="D327" s="15"/>
      <c r="E327" s="15"/>
      <c r="F327" s="15" t="s">
        <v>62</v>
      </c>
      <c r="G327" s="16">
        <v>1</v>
      </c>
      <c r="H327" s="16"/>
      <c r="I327" s="16">
        <v>0</v>
      </c>
      <c r="J327" s="17">
        <v>0</v>
      </c>
      <c r="K327" s="18">
        <v>1655</v>
      </c>
      <c r="L327" s="17">
        <f>J327+ROUND(K327, 2)</f>
        <v>1655</v>
      </c>
      <c r="M327" s="17">
        <v>0</v>
      </c>
      <c r="N327" s="17">
        <v>0</v>
      </c>
      <c r="O327" s="17">
        <f>M327+N327</f>
        <v>0</v>
      </c>
      <c r="P327" s="17">
        <v>1046.53</v>
      </c>
      <c r="Q327" s="18">
        <v>1655</v>
      </c>
      <c r="R327" s="17">
        <f>P327+ROUND(Q327, 2)</f>
        <v>2701.5299999999997</v>
      </c>
      <c r="S327" s="17">
        <v>0</v>
      </c>
      <c r="T327" s="17">
        <v>0</v>
      </c>
      <c r="U327" s="17">
        <f>S327+T327</f>
        <v>0</v>
      </c>
      <c r="V327" s="9">
        <f>ROUND(P327 / 1.2, 2)</f>
        <v>872.11</v>
      </c>
      <c r="W327" s="9">
        <f>ROUND(Q327 / 1.2, 2)</f>
        <v>1379.17</v>
      </c>
      <c r="X327" s="9">
        <f>ROUND(R327 / 1.2, 2)</f>
        <v>2251.2800000000002</v>
      </c>
      <c r="Y327" s="9">
        <f t="shared" si="16"/>
        <v>0</v>
      </c>
      <c r="Z327" s="9">
        <f>ROUND(T327 / 1.2, 2)</f>
        <v>0</v>
      </c>
      <c r="AA327" s="9">
        <f>Y327+Z327</f>
        <v>0</v>
      </c>
      <c r="AD327" s="4">
        <v>334080518</v>
      </c>
      <c r="AE327" s="4">
        <v>27245634</v>
      </c>
      <c r="AG327" s="4" t="s">
        <v>1144</v>
      </c>
      <c r="AH327" s="4" t="s">
        <v>1145</v>
      </c>
      <c r="AI327" s="4" t="s">
        <v>250</v>
      </c>
    </row>
    <row r="328" spans="1:35" ht="36" x14ac:dyDescent="0.3">
      <c r="A328" s="10" t="s">
        <v>1146</v>
      </c>
      <c r="B328" s="10"/>
      <c r="C328" s="30" t="s">
        <v>1147</v>
      </c>
      <c r="D328" s="15"/>
      <c r="E328" s="15"/>
      <c r="F328" s="25" t="s">
        <v>278</v>
      </c>
      <c r="G328" s="26">
        <v>7</v>
      </c>
      <c r="H328" s="26"/>
      <c r="I328" s="26">
        <v>0</v>
      </c>
      <c r="J328" s="27">
        <v>16.96</v>
      </c>
      <c r="M328" s="28">
        <f>ROUND(ROUND(J328, 2)*I328, 2)</f>
        <v>0</v>
      </c>
      <c r="P328" s="27">
        <v>16.96</v>
      </c>
      <c r="S328" s="28">
        <f>ROUND(ROUND(P328, 2)*I328, 2)</f>
        <v>0</v>
      </c>
      <c r="V328" s="9">
        <f>ROUND(ROUND(P328, 2)/1.2, 2)</f>
        <v>14.13</v>
      </c>
      <c r="Y328" s="9">
        <f t="shared" si="16"/>
        <v>0</v>
      </c>
      <c r="AD328" s="4" t="s">
        <v>1148</v>
      </c>
      <c r="AE328" s="4" t="s">
        <v>1149</v>
      </c>
      <c r="AF328" s="4" t="s">
        <v>1150</v>
      </c>
    </row>
    <row r="329" spans="1:35" ht="36" x14ac:dyDescent="0.3">
      <c r="A329" s="10" t="s">
        <v>1151</v>
      </c>
      <c r="B329" s="10"/>
      <c r="C329" s="24" t="s">
        <v>1152</v>
      </c>
      <c r="D329" s="15"/>
      <c r="E329" s="15"/>
      <c r="F329" s="25" t="s">
        <v>62</v>
      </c>
      <c r="G329" s="26">
        <v>1.07</v>
      </c>
      <c r="H329" s="31"/>
      <c r="I329" s="31">
        <v>0</v>
      </c>
      <c r="J329" s="27">
        <v>845.25</v>
      </c>
      <c r="M329" s="28">
        <f>ROUND(ROUND(J329, 2)*I329, 2)</f>
        <v>0</v>
      </c>
      <c r="P329" s="27">
        <v>845.25</v>
      </c>
      <c r="S329" s="28">
        <f>ROUND(ROUND(P329, 2)*I329, 2)</f>
        <v>0</v>
      </c>
      <c r="V329" s="9">
        <f>ROUND(ROUND(P329, 2)/1.2, 2)</f>
        <v>704.38</v>
      </c>
      <c r="Y329" s="9">
        <f t="shared" si="16"/>
        <v>0</v>
      </c>
      <c r="AD329" s="4" t="s">
        <v>1153</v>
      </c>
      <c r="AE329" s="4" t="s">
        <v>1154</v>
      </c>
      <c r="AF329" s="4" t="s">
        <v>1155</v>
      </c>
    </row>
    <row r="330" spans="1:35" ht="36" x14ac:dyDescent="0.3">
      <c r="A330" s="10" t="s">
        <v>1156</v>
      </c>
      <c r="B330" s="10"/>
      <c r="C330" s="24" t="s">
        <v>1157</v>
      </c>
      <c r="D330" s="15"/>
      <c r="E330" s="15"/>
      <c r="F330" s="25" t="s">
        <v>278</v>
      </c>
      <c r="G330" s="26">
        <v>0.25</v>
      </c>
      <c r="H330" s="31"/>
      <c r="I330" s="31">
        <v>0</v>
      </c>
      <c r="J330" s="27">
        <v>40.270000000000003</v>
      </c>
      <c r="M330" s="28">
        <f>ROUND(ROUND(J330, 2)*I330, 2)</f>
        <v>0</v>
      </c>
      <c r="P330" s="27">
        <v>40.270000000000003</v>
      </c>
      <c r="S330" s="28">
        <f>ROUND(ROUND(P330, 2)*I330, 2)</f>
        <v>0</v>
      </c>
      <c r="V330" s="9">
        <f>ROUND(ROUND(P330, 2)/1.2, 2)</f>
        <v>33.56</v>
      </c>
      <c r="Y330" s="9">
        <f t="shared" si="16"/>
        <v>0</v>
      </c>
      <c r="AD330" s="4" t="s">
        <v>1158</v>
      </c>
      <c r="AE330" s="4" t="s">
        <v>1159</v>
      </c>
      <c r="AF330" s="4" t="s">
        <v>1160</v>
      </c>
    </row>
    <row r="331" spans="1:35" ht="36" x14ac:dyDescent="0.3">
      <c r="A331" s="10" t="s">
        <v>1161</v>
      </c>
      <c r="B331" s="10"/>
      <c r="C331" s="24" t="s">
        <v>1007</v>
      </c>
      <c r="D331" s="15"/>
      <c r="E331" s="15"/>
      <c r="F331" s="25" t="s">
        <v>278</v>
      </c>
      <c r="G331" s="26">
        <v>0.15</v>
      </c>
      <c r="H331" s="26"/>
      <c r="I331" s="26">
        <v>0</v>
      </c>
      <c r="J331" s="27">
        <v>88.8</v>
      </c>
      <c r="M331" s="28">
        <f>ROUND(ROUND(J331, 2)*I331, 2)</f>
        <v>0</v>
      </c>
      <c r="P331" s="27">
        <v>88.8</v>
      </c>
      <c r="S331" s="28">
        <f>ROUND(ROUND(P331, 2)*I331, 2)</f>
        <v>0</v>
      </c>
      <c r="V331" s="9">
        <f>ROUND(ROUND(P331, 2)/1.2, 2)</f>
        <v>74</v>
      </c>
      <c r="Y331" s="9">
        <f t="shared" si="16"/>
        <v>0</v>
      </c>
      <c r="AD331" s="4" t="s">
        <v>1162</v>
      </c>
      <c r="AE331" s="4" t="s">
        <v>1163</v>
      </c>
      <c r="AF331" s="4" t="s">
        <v>1010</v>
      </c>
    </row>
    <row r="332" spans="1:35" ht="54" x14ac:dyDescent="0.3">
      <c r="A332" s="10" t="s">
        <v>1164</v>
      </c>
      <c r="B332" s="10" t="s">
        <v>1142</v>
      </c>
      <c r="C332" s="14" t="s">
        <v>1143</v>
      </c>
      <c r="D332" s="15"/>
      <c r="E332" s="15" t="s">
        <v>1165</v>
      </c>
      <c r="F332" s="15" t="s">
        <v>62</v>
      </c>
      <c r="G332" s="16">
        <v>1</v>
      </c>
      <c r="H332" s="16"/>
      <c r="I332" s="16">
        <v>370.9</v>
      </c>
      <c r="J332" s="17">
        <v>1040.6600000000001</v>
      </c>
      <c r="K332" s="18">
        <v>1655</v>
      </c>
      <c r="L332" s="17">
        <f>J332+ROUND(K332, 2)</f>
        <v>2695.66</v>
      </c>
      <c r="M332" s="17">
        <v>385980.79</v>
      </c>
      <c r="N332" s="17">
        <v>613839.5</v>
      </c>
      <c r="O332" s="17">
        <f>M332+N332</f>
        <v>999820.29</v>
      </c>
      <c r="P332" s="17">
        <v>1040.58</v>
      </c>
      <c r="Q332" s="18">
        <v>2482.5</v>
      </c>
      <c r="R332" s="17">
        <f>P332+ROUND(Q332, 2)</f>
        <v>3523.08</v>
      </c>
      <c r="S332" s="17">
        <v>385951.12</v>
      </c>
      <c r="T332" s="17">
        <v>920759.25</v>
      </c>
      <c r="U332" s="17">
        <f>S332+T332</f>
        <v>1306710.3700000001</v>
      </c>
      <c r="V332" s="9">
        <f>ROUND(P332 / 1.2, 2)</f>
        <v>867.15</v>
      </c>
      <c r="W332" s="9">
        <f>ROUND(Q332 / 1.2, 2)</f>
        <v>2068.75</v>
      </c>
      <c r="X332" s="9">
        <f>ROUND(R332 / 1.2, 2)</f>
        <v>2935.9</v>
      </c>
      <c r="Y332" s="9">
        <f t="shared" si="16"/>
        <v>321625.93</v>
      </c>
      <c r="Z332" s="9">
        <f>ROUND(T332 / 1.2, 2)</f>
        <v>767299.38</v>
      </c>
      <c r="AA332" s="9">
        <f>Y332+Z332</f>
        <v>1088925.31</v>
      </c>
      <c r="AD332" s="4">
        <v>334080649</v>
      </c>
      <c r="AE332" s="4">
        <v>27245777</v>
      </c>
      <c r="AG332" s="4" t="s">
        <v>1144</v>
      </c>
      <c r="AH332" s="4" t="s">
        <v>1145</v>
      </c>
      <c r="AI332" s="4" t="s">
        <v>250</v>
      </c>
    </row>
    <row r="333" spans="1:35" ht="36" x14ac:dyDescent="0.3">
      <c r="A333" s="10" t="s">
        <v>1166</v>
      </c>
      <c r="B333" s="10"/>
      <c r="C333" s="24" t="s">
        <v>1007</v>
      </c>
      <c r="D333" s="15"/>
      <c r="E333" s="15"/>
      <c r="F333" s="25" t="s">
        <v>278</v>
      </c>
      <c r="G333" s="26">
        <v>0.15</v>
      </c>
      <c r="H333" s="26"/>
      <c r="I333" s="26">
        <v>55.634999999999998</v>
      </c>
      <c r="J333" s="27">
        <v>88.8</v>
      </c>
      <c r="M333" s="28">
        <f>ROUND(ROUND(J333, 2)*I333, 2)</f>
        <v>4940.3900000000003</v>
      </c>
      <c r="P333" s="27">
        <v>88.8</v>
      </c>
      <c r="S333" s="28">
        <f>ROUND(ROUND(P333, 2)*I333, 2)</f>
        <v>4940.3900000000003</v>
      </c>
      <c r="V333" s="9">
        <f>ROUND(ROUND(P333, 2)/1.2, 2)</f>
        <v>74</v>
      </c>
      <c r="Y333" s="9">
        <f t="shared" si="16"/>
        <v>4116.99</v>
      </c>
      <c r="AD333" s="4" t="s">
        <v>1167</v>
      </c>
      <c r="AE333" s="4" t="s">
        <v>1168</v>
      </c>
      <c r="AF333" s="4" t="s">
        <v>1010</v>
      </c>
    </row>
    <row r="334" spans="1:35" ht="36" x14ac:dyDescent="0.3">
      <c r="A334" s="10" t="s">
        <v>1169</v>
      </c>
      <c r="B334" s="10"/>
      <c r="C334" s="24" t="s">
        <v>1157</v>
      </c>
      <c r="D334" s="15"/>
      <c r="E334" s="15"/>
      <c r="F334" s="25" t="s">
        <v>278</v>
      </c>
      <c r="G334" s="26">
        <v>0.25</v>
      </c>
      <c r="H334" s="31"/>
      <c r="I334" s="31">
        <v>92.724999999999994</v>
      </c>
      <c r="J334" s="27">
        <v>40.270000000000003</v>
      </c>
      <c r="M334" s="28">
        <f>ROUND(ROUND(J334, 2)*I334, 2)</f>
        <v>3734.04</v>
      </c>
      <c r="P334" s="27">
        <v>40.270000000000003</v>
      </c>
      <c r="S334" s="28">
        <f>ROUND(ROUND(P334, 2)*I334, 2)</f>
        <v>3734.04</v>
      </c>
      <c r="V334" s="9">
        <f>ROUND(ROUND(P334, 2)/1.2, 2)</f>
        <v>33.56</v>
      </c>
      <c r="Y334" s="9">
        <f t="shared" si="16"/>
        <v>3111.7</v>
      </c>
      <c r="AD334" s="4" t="s">
        <v>1170</v>
      </c>
      <c r="AE334" s="4" t="s">
        <v>1171</v>
      </c>
      <c r="AF334" s="4" t="s">
        <v>1160</v>
      </c>
    </row>
    <row r="335" spans="1:35" ht="72" x14ac:dyDescent="0.3">
      <c r="A335" s="10" t="s">
        <v>1172</v>
      </c>
      <c r="B335" s="10"/>
      <c r="C335" s="24" t="s">
        <v>1152</v>
      </c>
      <c r="D335" s="15"/>
      <c r="E335" s="15" t="s">
        <v>1173</v>
      </c>
      <c r="F335" s="25" t="s">
        <v>62</v>
      </c>
      <c r="G335" s="26">
        <v>1.07</v>
      </c>
      <c r="H335" s="31"/>
      <c r="I335" s="31">
        <v>396.863</v>
      </c>
      <c r="J335" s="27">
        <v>845.26</v>
      </c>
      <c r="M335" s="28">
        <f>ROUND(ROUND(J335, 2)*I335, 2)</f>
        <v>335452.42</v>
      </c>
      <c r="P335" s="27">
        <v>845.25</v>
      </c>
      <c r="S335" s="28">
        <f>ROUND(ROUND(P335, 2)*I335, 2)</f>
        <v>335448.45</v>
      </c>
      <c r="V335" s="9">
        <f>ROUND(ROUND(P335, 2)/1.2, 2)</f>
        <v>704.38</v>
      </c>
      <c r="Y335" s="9">
        <f t="shared" si="16"/>
        <v>279540.38</v>
      </c>
      <c r="AD335" s="4" t="s">
        <v>1174</v>
      </c>
      <c r="AE335" s="4" t="s">
        <v>1175</v>
      </c>
      <c r="AF335" s="4" t="s">
        <v>1155</v>
      </c>
    </row>
    <row r="336" spans="1:35" ht="36" x14ac:dyDescent="0.3">
      <c r="A336" s="10" t="s">
        <v>1176</v>
      </c>
      <c r="B336" s="10"/>
      <c r="C336" s="30" t="s">
        <v>1147</v>
      </c>
      <c r="D336" s="15"/>
      <c r="E336" s="15"/>
      <c r="F336" s="25" t="s">
        <v>278</v>
      </c>
      <c r="G336" s="26">
        <v>7</v>
      </c>
      <c r="H336" s="26"/>
      <c r="I336" s="26">
        <v>2596.3000000000002</v>
      </c>
      <c r="J336" s="27">
        <v>16.12</v>
      </c>
      <c r="M336" s="28">
        <f>ROUND(ROUND(J336, 2)*I336, 2)</f>
        <v>41852.36</v>
      </c>
      <c r="P336" s="27">
        <v>16.11</v>
      </c>
      <c r="S336" s="28">
        <f>ROUND(ROUND(P336, 2)*I336, 2)</f>
        <v>41826.39</v>
      </c>
      <c r="V336" s="9">
        <f>ROUND(ROUND(P336, 2)/1.2, 2)</f>
        <v>13.43</v>
      </c>
      <c r="Y336" s="9">
        <f t="shared" si="16"/>
        <v>34855.33</v>
      </c>
      <c r="AD336" s="4" t="s">
        <v>1177</v>
      </c>
      <c r="AE336" s="4" t="s">
        <v>1178</v>
      </c>
      <c r="AF336" s="4" t="s">
        <v>1150</v>
      </c>
    </row>
    <row r="337" spans="1:35" ht="144" x14ac:dyDescent="0.3">
      <c r="A337" s="10" t="s">
        <v>1179</v>
      </c>
      <c r="B337" s="10" t="s">
        <v>1142</v>
      </c>
      <c r="C337" s="14" t="s">
        <v>1143</v>
      </c>
      <c r="D337" s="15"/>
      <c r="E337" s="15" t="s">
        <v>1180</v>
      </c>
      <c r="F337" s="15" t="s">
        <v>62</v>
      </c>
      <c r="G337" s="16">
        <v>1</v>
      </c>
      <c r="H337" s="16"/>
      <c r="I337" s="16">
        <v>90.87</v>
      </c>
      <c r="J337" s="17">
        <f>IFERROR(ROUND(SUM(M338,M339,M340,M341)/I337, 2),0)</f>
        <v>1057.93</v>
      </c>
      <c r="K337" s="18">
        <v>1655</v>
      </c>
      <c r="L337" s="17">
        <f>J337+ROUND(K337, 2)</f>
        <v>2712.9300000000003</v>
      </c>
      <c r="M337" s="17">
        <f>ROUND(J337*I337, 2)</f>
        <v>96134.1</v>
      </c>
      <c r="N337" s="17">
        <f>ROUND(I337*ROUND(K337, 2), 2)</f>
        <v>150389.85</v>
      </c>
      <c r="O337" s="17">
        <f>M337+N337</f>
        <v>246523.95</v>
      </c>
      <c r="P337" s="17">
        <f>IFERROR(ROUND(SUM(S338,S339,S340,S341)/I337, 2),0)</f>
        <v>1057.93</v>
      </c>
      <c r="Q337" s="19">
        <v>2482.5</v>
      </c>
      <c r="R337" s="17">
        <f>P337+ROUND(Q337, 2)</f>
        <v>3540.4300000000003</v>
      </c>
      <c r="S337" s="17">
        <f>ROUND(P337*I337, 2)</f>
        <v>96134.1</v>
      </c>
      <c r="T337" s="17">
        <f>ROUND(I337*ROUND(Q337, 2), 2)</f>
        <v>225584.78</v>
      </c>
      <c r="U337" s="17">
        <f>S337+T337</f>
        <v>321718.88</v>
      </c>
      <c r="V337" s="9">
        <f>ROUND(P337 / 1.2, 2)</f>
        <v>881.61</v>
      </c>
      <c r="W337" s="9">
        <f>ROUND(Q337 / 1.2, 2)</f>
        <v>2068.75</v>
      </c>
      <c r="X337" s="9">
        <f>ROUND(R337 / 1.2, 2)</f>
        <v>2950.36</v>
      </c>
      <c r="Y337" s="9">
        <f t="shared" si="16"/>
        <v>80111.75</v>
      </c>
      <c r="Z337" s="9">
        <f>ROUND(T337 / 1.2, 2)</f>
        <v>187987.32</v>
      </c>
      <c r="AA337" s="9">
        <f>Y337+Z337</f>
        <v>268099.07</v>
      </c>
      <c r="AD337" s="4">
        <v>334080650</v>
      </c>
      <c r="AE337" s="4">
        <v>29331075</v>
      </c>
      <c r="AG337" s="4" t="s">
        <v>1144</v>
      </c>
      <c r="AH337" s="4" t="s">
        <v>1145</v>
      </c>
      <c r="AI337" s="4" t="s">
        <v>250</v>
      </c>
    </row>
    <row r="338" spans="1:35" ht="36" x14ac:dyDescent="0.3">
      <c r="A338" s="10" t="s">
        <v>1181</v>
      </c>
      <c r="B338" s="10"/>
      <c r="C338" s="30" t="s">
        <v>1147</v>
      </c>
      <c r="D338" s="15"/>
      <c r="E338" s="15"/>
      <c r="F338" s="25" t="s">
        <v>278</v>
      </c>
      <c r="G338" s="26">
        <v>7</v>
      </c>
      <c r="H338" s="26"/>
      <c r="I338" s="26">
        <v>636.09</v>
      </c>
      <c r="J338" s="27">
        <v>16.38</v>
      </c>
      <c r="M338" s="28">
        <f>ROUND(ROUND(J338, 2)*I338, 2)</f>
        <v>10419.15</v>
      </c>
      <c r="P338" s="29">
        <v>16.38</v>
      </c>
      <c r="S338" s="28">
        <f>ROUND(ROUND(P338, 2)*I338, 2)</f>
        <v>10419.15</v>
      </c>
      <c r="V338" s="9">
        <f>ROUND(ROUND(P338, 2)/1.2, 2)</f>
        <v>13.65</v>
      </c>
      <c r="Y338" s="9">
        <f t="shared" si="16"/>
        <v>8682.6299999999992</v>
      </c>
      <c r="AD338" s="4" t="s">
        <v>1182</v>
      </c>
      <c r="AE338" s="4" t="s">
        <v>1183</v>
      </c>
      <c r="AF338" s="4" t="s">
        <v>1150</v>
      </c>
    </row>
    <row r="339" spans="1:35" ht="72" x14ac:dyDescent="0.3">
      <c r="A339" s="10" t="s">
        <v>1184</v>
      </c>
      <c r="B339" s="10"/>
      <c r="C339" s="24" t="s">
        <v>1152</v>
      </c>
      <c r="D339" s="15"/>
      <c r="E339" s="15" t="s">
        <v>1185</v>
      </c>
      <c r="F339" s="25" t="s">
        <v>62</v>
      </c>
      <c r="G339" s="26">
        <v>1.07</v>
      </c>
      <c r="H339" s="31"/>
      <c r="I339" s="31">
        <v>97.230999999999995</v>
      </c>
      <c r="J339" s="27">
        <v>859.34</v>
      </c>
      <c r="M339" s="28">
        <f>ROUND(ROUND(J339, 2)*I339, 2)</f>
        <v>83554.490000000005</v>
      </c>
      <c r="P339" s="29">
        <v>859.34</v>
      </c>
      <c r="S339" s="28">
        <f>ROUND(ROUND(P339, 2)*I339, 2)</f>
        <v>83554.490000000005</v>
      </c>
      <c r="V339" s="9">
        <f>ROUND(ROUND(P339, 2)/1.2, 2)</f>
        <v>716.12</v>
      </c>
      <c r="Y339" s="9">
        <f t="shared" si="16"/>
        <v>69628.740000000005</v>
      </c>
      <c r="AD339" s="4" t="s">
        <v>1186</v>
      </c>
      <c r="AE339" s="4" t="s">
        <v>1187</v>
      </c>
      <c r="AF339" s="4" t="s">
        <v>1155</v>
      </c>
    </row>
    <row r="340" spans="1:35" ht="36" x14ac:dyDescent="0.3">
      <c r="A340" s="10" t="s">
        <v>1188</v>
      </c>
      <c r="B340" s="10"/>
      <c r="C340" s="24" t="s">
        <v>1157</v>
      </c>
      <c r="D340" s="15"/>
      <c r="E340" s="15"/>
      <c r="F340" s="25" t="s">
        <v>278</v>
      </c>
      <c r="G340" s="26">
        <v>0.25</v>
      </c>
      <c r="H340" s="31"/>
      <c r="I340" s="31">
        <v>22.718</v>
      </c>
      <c r="J340" s="27">
        <v>40.94</v>
      </c>
      <c r="M340" s="28">
        <f>ROUND(ROUND(J340, 2)*I340, 2)</f>
        <v>930.07</v>
      </c>
      <c r="P340" s="29">
        <v>40.94</v>
      </c>
      <c r="S340" s="28">
        <f>ROUND(ROUND(P340, 2)*I340, 2)</f>
        <v>930.07</v>
      </c>
      <c r="V340" s="9">
        <f>ROUND(ROUND(P340, 2)/1.2, 2)</f>
        <v>34.119999999999997</v>
      </c>
      <c r="Y340" s="9">
        <f t="shared" si="16"/>
        <v>775.06</v>
      </c>
      <c r="AD340" s="4" t="s">
        <v>1189</v>
      </c>
      <c r="AE340" s="4" t="s">
        <v>1190</v>
      </c>
      <c r="AF340" s="4" t="s">
        <v>1160</v>
      </c>
    </row>
    <row r="341" spans="1:35" ht="36" x14ac:dyDescent="0.3">
      <c r="A341" s="10" t="s">
        <v>1191</v>
      </c>
      <c r="B341" s="10"/>
      <c r="C341" s="24" t="s">
        <v>1007</v>
      </c>
      <c r="D341" s="15"/>
      <c r="E341" s="15"/>
      <c r="F341" s="25" t="s">
        <v>278</v>
      </c>
      <c r="G341" s="26">
        <v>0.15</v>
      </c>
      <c r="H341" s="26"/>
      <c r="I341" s="26">
        <v>13.631</v>
      </c>
      <c r="J341" s="27">
        <v>90.28</v>
      </c>
      <c r="M341" s="28">
        <f>ROUND(ROUND(J341, 2)*I341, 2)</f>
        <v>1230.6099999999999</v>
      </c>
      <c r="P341" s="29">
        <v>90.28</v>
      </c>
      <c r="S341" s="28">
        <f>ROUND(ROUND(P341, 2)*I341, 2)</f>
        <v>1230.6099999999999</v>
      </c>
      <c r="V341" s="9">
        <f>ROUND(ROUND(P341, 2)/1.2, 2)</f>
        <v>75.23</v>
      </c>
      <c r="Y341" s="9">
        <f t="shared" si="16"/>
        <v>1025.51</v>
      </c>
      <c r="AD341" s="4" t="s">
        <v>1192</v>
      </c>
      <c r="AE341" s="4" t="s">
        <v>1193</v>
      </c>
      <c r="AF341" s="4" t="s">
        <v>1010</v>
      </c>
    </row>
    <row r="342" spans="1:35" ht="54" x14ac:dyDescent="0.3">
      <c r="A342" s="10" t="s">
        <v>1194</v>
      </c>
      <c r="B342" s="10" t="s">
        <v>1195</v>
      </c>
      <c r="C342" s="14" t="s">
        <v>1196</v>
      </c>
      <c r="D342" s="15"/>
      <c r="E342" s="15"/>
      <c r="F342" s="15" t="s">
        <v>62</v>
      </c>
      <c r="G342" s="16">
        <v>1</v>
      </c>
      <c r="H342" s="16"/>
      <c r="I342" s="16">
        <v>0</v>
      </c>
      <c r="J342" s="17">
        <v>0</v>
      </c>
      <c r="K342" s="18">
        <v>2785</v>
      </c>
      <c r="L342" s="17">
        <f>J342+ROUND(K342, 2)</f>
        <v>2785</v>
      </c>
      <c r="M342" s="17">
        <v>0</v>
      </c>
      <c r="N342" s="17">
        <v>0</v>
      </c>
      <c r="O342" s="17">
        <f>M342+N342</f>
        <v>0</v>
      </c>
      <c r="P342" s="17">
        <v>2064.9</v>
      </c>
      <c r="Q342" s="18">
        <v>2785</v>
      </c>
      <c r="R342" s="17">
        <f>P342+ROUND(Q342, 2)</f>
        <v>4849.8999999999996</v>
      </c>
      <c r="S342" s="17">
        <v>0</v>
      </c>
      <c r="T342" s="17">
        <v>0</v>
      </c>
      <c r="U342" s="17">
        <f>S342+T342</f>
        <v>0</v>
      </c>
      <c r="V342" s="9">
        <f>ROUND(P342 / 1.2, 2)</f>
        <v>1720.75</v>
      </c>
      <c r="W342" s="9">
        <f>ROUND(Q342 / 1.2, 2)</f>
        <v>2320.83</v>
      </c>
      <c r="X342" s="9">
        <f>ROUND(R342 / 1.2, 2)</f>
        <v>4041.58</v>
      </c>
      <c r="Y342" s="9">
        <f t="shared" si="16"/>
        <v>0</v>
      </c>
      <c r="Z342" s="9">
        <f>ROUND(T342 / 1.2, 2)</f>
        <v>0</v>
      </c>
      <c r="AA342" s="9">
        <f>Y342+Z342</f>
        <v>0</v>
      </c>
      <c r="AD342" s="4">
        <v>334080519</v>
      </c>
      <c r="AE342" s="4">
        <v>27245665</v>
      </c>
      <c r="AG342" s="4" t="s">
        <v>1197</v>
      </c>
      <c r="AH342" s="4" t="s">
        <v>1198</v>
      </c>
      <c r="AI342" s="4" t="s">
        <v>250</v>
      </c>
    </row>
    <row r="343" spans="1:35" ht="36" x14ac:dyDescent="0.3">
      <c r="A343" s="10" t="s">
        <v>1199</v>
      </c>
      <c r="B343" s="10"/>
      <c r="C343" s="30" t="s">
        <v>1200</v>
      </c>
      <c r="D343" s="15"/>
      <c r="E343" s="15"/>
      <c r="F343" s="25" t="s">
        <v>278</v>
      </c>
      <c r="G343" s="26">
        <v>1.2</v>
      </c>
      <c r="H343" s="31"/>
      <c r="I343" s="31">
        <v>0</v>
      </c>
      <c r="J343" s="27">
        <v>16.96</v>
      </c>
      <c r="M343" s="28">
        <f>ROUND(ROUND(J343, 2)*I343, 2)</f>
        <v>0</v>
      </c>
      <c r="P343" s="27">
        <v>16.96</v>
      </c>
      <c r="S343" s="28">
        <f>ROUND(ROUND(P343, 2)*I343, 2)</f>
        <v>0</v>
      </c>
      <c r="V343" s="9">
        <f>ROUND(ROUND(P343, 2)/1.2, 2)</f>
        <v>14.13</v>
      </c>
      <c r="Y343" s="9">
        <f t="shared" si="16"/>
        <v>0</v>
      </c>
      <c r="AD343" s="4" t="s">
        <v>1201</v>
      </c>
      <c r="AE343" s="4" t="s">
        <v>1202</v>
      </c>
      <c r="AF343" s="4" t="s">
        <v>1203</v>
      </c>
    </row>
    <row r="344" spans="1:35" ht="36" x14ac:dyDescent="0.3">
      <c r="A344" s="10" t="s">
        <v>1204</v>
      </c>
      <c r="B344" s="10"/>
      <c r="C344" s="24" t="s">
        <v>1205</v>
      </c>
      <c r="D344" s="15"/>
      <c r="E344" s="15"/>
      <c r="F344" s="25" t="s">
        <v>62</v>
      </c>
      <c r="G344" s="26">
        <v>1.2</v>
      </c>
      <c r="H344" s="31"/>
      <c r="I344" s="31">
        <v>0</v>
      </c>
      <c r="J344" s="27">
        <v>2021.25</v>
      </c>
      <c r="M344" s="28">
        <f>ROUND(ROUND(J344, 2)*I344, 2)</f>
        <v>0</v>
      </c>
      <c r="P344" s="27">
        <v>1684.3</v>
      </c>
      <c r="S344" s="28">
        <f>ROUND(ROUND(P344, 2)*I344, 2)</f>
        <v>0</v>
      </c>
      <c r="V344" s="9">
        <f>ROUND(ROUND(P344, 2)/1.2, 2)</f>
        <v>1403.58</v>
      </c>
      <c r="Y344" s="9">
        <f t="shared" si="16"/>
        <v>0</v>
      </c>
      <c r="AD344" s="4" t="s">
        <v>1206</v>
      </c>
      <c r="AE344" s="4" t="s">
        <v>1207</v>
      </c>
      <c r="AF344" s="4" t="s">
        <v>1208</v>
      </c>
    </row>
    <row r="345" spans="1:35" ht="36" x14ac:dyDescent="0.3">
      <c r="A345" s="10" t="s">
        <v>1209</v>
      </c>
      <c r="B345" s="10"/>
      <c r="C345" s="24" t="s">
        <v>1157</v>
      </c>
      <c r="D345" s="15"/>
      <c r="E345" s="15"/>
      <c r="F345" s="25" t="s">
        <v>278</v>
      </c>
      <c r="G345" s="26">
        <v>0.25</v>
      </c>
      <c r="H345" s="31"/>
      <c r="I345" s="31">
        <v>0</v>
      </c>
      <c r="J345" s="27">
        <v>40.270000000000003</v>
      </c>
      <c r="M345" s="28">
        <f>ROUND(ROUND(J345, 2)*I345, 2)</f>
        <v>0</v>
      </c>
      <c r="P345" s="27">
        <v>40.270000000000003</v>
      </c>
      <c r="S345" s="28">
        <f>ROUND(ROUND(P345, 2)*I345, 2)</f>
        <v>0</v>
      </c>
      <c r="V345" s="9">
        <f>ROUND(ROUND(P345, 2)/1.2, 2)</f>
        <v>33.56</v>
      </c>
      <c r="Y345" s="9">
        <f t="shared" si="16"/>
        <v>0</v>
      </c>
      <c r="AD345" s="4" t="s">
        <v>1210</v>
      </c>
      <c r="AE345" s="4" t="s">
        <v>1211</v>
      </c>
      <c r="AF345" s="4" t="s">
        <v>1160</v>
      </c>
    </row>
    <row r="346" spans="1:35" ht="36" x14ac:dyDescent="0.3">
      <c r="A346" s="10" t="s">
        <v>1212</v>
      </c>
      <c r="B346" s="10"/>
      <c r="C346" s="24" t="s">
        <v>1007</v>
      </c>
      <c r="D346" s="15"/>
      <c r="E346" s="15"/>
      <c r="F346" s="25" t="s">
        <v>278</v>
      </c>
      <c r="G346" s="26">
        <v>0.15</v>
      </c>
      <c r="H346" s="26"/>
      <c r="I346" s="26">
        <v>0</v>
      </c>
      <c r="J346" s="27">
        <v>88.8</v>
      </c>
      <c r="M346" s="28">
        <f>ROUND(ROUND(J346, 2)*I346, 2)</f>
        <v>0</v>
      </c>
      <c r="P346" s="27">
        <v>88.8</v>
      </c>
      <c r="S346" s="28">
        <f>ROUND(ROUND(P346, 2)*I346, 2)</f>
        <v>0</v>
      </c>
      <c r="V346" s="9">
        <f>ROUND(ROUND(P346, 2)/1.2, 2)</f>
        <v>74</v>
      </c>
      <c r="Y346" s="9">
        <f t="shared" si="16"/>
        <v>0</v>
      </c>
      <c r="AD346" s="4" t="s">
        <v>1213</v>
      </c>
      <c r="AE346" s="4" t="s">
        <v>1214</v>
      </c>
      <c r="AF346" s="4" t="s">
        <v>1010</v>
      </c>
    </row>
    <row r="347" spans="1:35" ht="54" x14ac:dyDescent="0.3">
      <c r="A347" s="10" t="s">
        <v>1215</v>
      </c>
      <c r="B347" s="10" t="s">
        <v>1195</v>
      </c>
      <c r="C347" s="14" t="s">
        <v>1196</v>
      </c>
      <c r="D347" s="15"/>
      <c r="E347" s="15"/>
      <c r="F347" s="15" t="s">
        <v>62</v>
      </c>
      <c r="G347" s="16">
        <v>1</v>
      </c>
      <c r="H347" s="16"/>
      <c r="I347" s="16">
        <v>0</v>
      </c>
      <c r="J347" s="17">
        <v>0</v>
      </c>
      <c r="K347" s="18">
        <v>2785</v>
      </c>
      <c r="L347" s="17">
        <f>J347+ROUND(K347, 2)</f>
        <v>2785</v>
      </c>
      <c r="M347" s="17">
        <v>0</v>
      </c>
      <c r="N347" s="17">
        <v>0</v>
      </c>
      <c r="O347" s="17">
        <f>M347+N347</f>
        <v>0</v>
      </c>
      <c r="P347" s="17">
        <v>2054.6999999999998</v>
      </c>
      <c r="Q347" s="18">
        <v>2785</v>
      </c>
      <c r="R347" s="17">
        <f>P347+ROUND(Q347, 2)</f>
        <v>4839.7</v>
      </c>
      <c r="S347" s="17">
        <v>0</v>
      </c>
      <c r="T347" s="17">
        <v>0</v>
      </c>
      <c r="U347" s="17">
        <f>S347+T347</f>
        <v>0</v>
      </c>
      <c r="V347" s="9">
        <f>ROUND(P347 / 1.2, 2)</f>
        <v>1712.25</v>
      </c>
      <c r="W347" s="9">
        <f>ROUND(Q347 / 1.2, 2)</f>
        <v>2320.83</v>
      </c>
      <c r="X347" s="9">
        <f>ROUND(R347 / 1.2, 2)</f>
        <v>4033.08</v>
      </c>
      <c r="Y347" s="9">
        <f t="shared" si="16"/>
        <v>0</v>
      </c>
      <c r="Z347" s="9">
        <f>ROUND(T347 / 1.2, 2)</f>
        <v>0</v>
      </c>
      <c r="AA347" s="9">
        <f>Y347+Z347</f>
        <v>0</v>
      </c>
      <c r="AD347" s="4">
        <v>334080651</v>
      </c>
      <c r="AE347" s="4">
        <v>27245666</v>
      </c>
      <c r="AG347" s="4" t="s">
        <v>1197</v>
      </c>
      <c r="AH347" s="4" t="s">
        <v>1198</v>
      </c>
      <c r="AI347" s="4" t="s">
        <v>250</v>
      </c>
    </row>
    <row r="348" spans="1:35" ht="36" x14ac:dyDescent="0.3">
      <c r="A348" s="10" t="s">
        <v>1216</v>
      </c>
      <c r="B348" s="10"/>
      <c r="C348" s="24" t="s">
        <v>1007</v>
      </c>
      <c r="D348" s="15"/>
      <c r="E348" s="15"/>
      <c r="F348" s="25" t="s">
        <v>278</v>
      </c>
      <c r="G348" s="26">
        <v>0.15</v>
      </c>
      <c r="H348" s="26"/>
      <c r="I348" s="26">
        <v>0</v>
      </c>
      <c r="J348" s="27">
        <v>88.8</v>
      </c>
      <c r="M348" s="28">
        <f>ROUND(ROUND(J348, 2)*I348, 2)</f>
        <v>0</v>
      </c>
      <c r="P348" s="27">
        <v>88.8</v>
      </c>
      <c r="S348" s="28">
        <f>ROUND(ROUND(P348, 2)*I348, 2)</f>
        <v>0</v>
      </c>
      <c r="V348" s="9">
        <f>ROUND(ROUND(P348, 2)/1.2, 2)</f>
        <v>74</v>
      </c>
      <c r="Y348" s="9">
        <f t="shared" si="16"/>
        <v>0</v>
      </c>
      <c r="AD348" s="4" t="s">
        <v>1217</v>
      </c>
      <c r="AE348" s="4" t="s">
        <v>1218</v>
      </c>
      <c r="AF348" s="4" t="s">
        <v>1010</v>
      </c>
    </row>
    <row r="349" spans="1:35" ht="36" x14ac:dyDescent="0.3">
      <c r="A349" s="10" t="s">
        <v>1219</v>
      </c>
      <c r="B349" s="10"/>
      <c r="C349" s="24" t="s">
        <v>1157</v>
      </c>
      <c r="D349" s="15"/>
      <c r="E349" s="15"/>
      <c r="F349" s="25" t="s">
        <v>278</v>
      </c>
      <c r="G349" s="26">
        <v>0.25</v>
      </c>
      <c r="H349" s="31"/>
      <c r="I349" s="31">
        <v>0</v>
      </c>
      <c r="J349" s="27">
        <v>40.270000000000003</v>
      </c>
      <c r="M349" s="28">
        <f>ROUND(ROUND(J349, 2)*I349, 2)</f>
        <v>0</v>
      </c>
      <c r="P349" s="27">
        <v>40.270000000000003</v>
      </c>
      <c r="S349" s="28">
        <f>ROUND(ROUND(P349, 2)*I349, 2)</f>
        <v>0</v>
      </c>
      <c r="V349" s="9">
        <f>ROUND(ROUND(P349, 2)/1.2, 2)</f>
        <v>33.56</v>
      </c>
      <c r="Y349" s="9">
        <f t="shared" si="16"/>
        <v>0</v>
      </c>
      <c r="AD349" s="4" t="s">
        <v>1220</v>
      </c>
      <c r="AE349" s="4" t="s">
        <v>1221</v>
      </c>
      <c r="AF349" s="4" t="s">
        <v>1160</v>
      </c>
    </row>
    <row r="350" spans="1:35" ht="36" x14ac:dyDescent="0.3">
      <c r="A350" s="10" t="s">
        <v>1222</v>
      </c>
      <c r="B350" s="10"/>
      <c r="C350" s="24" t="s">
        <v>1205</v>
      </c>
      <c r="D350" s="15"/>
      <c r="E350" s="15"/>
      <c r="F350" s="25" t="s">
        <v>62</v>
      </c>
      <c r="G350" s="26">
        <v>1.2</v>
      </c>
      <c r="H350" s="31"/>
      <c r="I350" s="31">
        <v>0</v>
      </c>
      <c r="J350" s="27">
        <v>2021.25</v>
      </c>
      <c r="M350" s="28">
        <f>ROUND(ROUND(J350, 2)*I350, 2)</f>
        <v>0</v>
      </c>
      <c r="P350" s="27">
        <v>1675.8</v>
      </c>
      <c r="S350" s="28">
        <f>ROUND(ROUND(P350, 2)*I350, 2)</f>
        <v>0</v>
      </c>
      <c r="V350" s="9">
        <f>ROUND(ROUND(P350, 2)/1.2, 2)</f>
        <v>1396.5</v>
      </c>
      <c r="Y350" s="9">
        <f t="shared" si="16"/>
        <v>0</v>
      </c>
      <c r="AD350" s="4" t="s">
        <v>1223</v>
      </c>
      <c r="AE350" s="4" t="s">
        <v>1224</v>
      </c>
      <c r="AF350" s="4" t="s">
        <v>1208</v>
      </c>
    </row>
    <row r="351" spans="1:35" ht="36" x14ac:dyDescent="0.3">
      <c r="A351" s="10" t="s">
        <v>1225</v>
      </c>
      <c r="B351" s="10"/>
      <c r="C351" s="30" t="s">
        <v>1200</v>
      </c>
      <c r="D351" s="15"/>
      <c r="E351" s="15"/>
      <c r="F351" s="25" t="s">
        <v>278</v>
      </c>
      <c r="G351" s="26">
        <v>1.2</v>
      </c>
      <c r="H351" s="31"/>
      <c r="I351" s="31">
        <v>0</v>
      </c>
      <c r="J351" s="27">
        <v>16.96</v>
      </c>
      <c r="M351" s="28">
        <f>ROUND(ROUND(J351, 2)*I351, 2)</f>
        <v>0</v>
      </c>
      <c r="P351" s="27">
        <v>16.96</v>
      </c>
      <c r="S351" s="28">
        <f>ROUND(ROUND(P351, 2)*I351, 2)</f>
        <v>0</v>
      </c>
      <c r="V351" s="9">
        <f>ROUND(ROUND(P351, 2)/1.2, 2)</f>
        <v>14.13</v>
      </c>
      <c r="Y351" s="9">
        <f t="shared" si="16"/>
        <v>0</v>
      </c>
      <c r="AD351" s="4" t="s">
        <v>1226</v>
      </c>
      <c r="AE351" s="4" t="s">
        <v>1227</v>
      </c>
      <c r="AF351" s="4" t="s">
        <v>1203</v>
      </c>
    </row>
    <row r="352" spans="1:35" ht="54" x14ac:dyDescent="0.3">
      <c r="A352" s="10" t="s">
        <v>1228</v>
      </c>
      <c r="B352" s="10" t="s">
        <v>1195</v>
      </c>
      <c r="C352" s="14" t="s">
        <v>1196</v>
      </c>
      <c r="D352" s="15"/>
      <c r="E352" s="15"/>
      <c r="F352" s="15" t="s">
        <v>62</v>
      </c>
      <c r="G352" s="16">
        <v>1</v>
      </c>
      <c r="H352" s="16"/>
      <c r="I352" s="16">
        <v>0</v>
      </c>
      <c r="J352" s="17">
        <v>0</v>
      </c>
      <c r="K352" s="18">
        <v>2785</v>
      </c>
      <c r="L352" s="17">
        <f>J352+ROUND(K352, 2)</f>
        <v>2785</v>
      </c>
      <c r="M352" s="17">
        <v>0</v>
      </c>
      <c r="N352" s="17">
        <v>0</v>
      </c>
      <c r="O352" s="17">
        <f>M352+N352</f>
        <v>0</v>
      </c>
      <c r="P352" s="17">
        <v>1990.74</v>
      </c>
      <c r="Q352" s="18">
        <v>2785</v>
      </c>
      <c r="R352" s="17">
        <f>P352+ROUND(Q352, 2)</f>
        <v>4775.74</v>
      </c>
      <c r="S352" s="17">
        <v>0</v>
      </c>
      <c r="T352" s="17">
        <v>0</v>
      </c>
      <c r="U352" s="17">
        <f>S352+T352</f>
        <v>0</v>
      </c>
      <c r="V352" s="9">
        <f>ROUND(P352 / 1.2, 2)</f>
        <v>1658.95</v>
      </c>
      <c r="W352" s="9">
        <f>ROUND(Q352 / 1.2, 2)</f>
        <v>2320.83</v>
      </c>
      <c r="X352" s="9">
        <f>ROUND(R352 / 1.2, 2)</f>
        <v>3979.78</v>
      </c>
      <c r="Y352" s="9">
        <f t="shared" si="16"/>
        <v>0</v>
      </c>
      <c r="Z352" s="9">
        <f>ROUND(T352 / 1.2, 2)</f>
        <v>0</v>
      </c>
      <c r="AA352" s="9">
        <f>Y352+Z352</f>
        <v>0</v>
      </c>
      <c r="AD352" s="4">
        <v>334080652</v>
      </c>
      <c r="AE352" s="4">
        <v>27245667</v>
      </c>
      <c r="AG352" s="4" t="s">
        <v>1197</v>
      </c>
      <c r="AH352" s="4" t="s">
        <v>1198</v>
      </c>
      <c r="AI352" s="4" t="s">
        <v>250</v>
      </c>
    </row>
    <row r="353" spans="1:35" ht="36" x14ac:dyDescent="0.3">
      <c r="A353" s="10" t="s">
        <v>1229</v>
      </c>
      <c r="B353" s="10"/>
      <c r="C353" s="30" t="s">
        <v>1200</v>
      </c>
      <c r="D353" s="15"/>
      <c r="E353" s="15"/>
      <c r="F353" s="25" t="s">
        <v>278</v>
      </c>
      <c r="G353" s="26">
        <v>1.2</v>
      </c>
      <c r="H353" s="31"/>
      <c r="I353" s="31">
        <v>0</v>
      </c>
      <c r="J353" s="27">
        <v>16.96</v>
      </c>
      <c r="M353" s="28">
        <f>ROUND(ROUND(J353, 2)*I353, 2)</f>
        <v>0</v>
      </c>
      <c r="P353" s="27">
        <v>16.96</v>
      </c>
      <c r="S353" s="28">
        <f>ROUND(ROUND(P353, 2)*I353, 2)</f>
        <v>0</v>
      </c>
      <c r="V353" s="9">
        <f>ROUND(ROUND(P353, 2)/1.2, 2)</f>
        <v>14.13</v>
      </c>
      <c r="Y353" s="9">
        <f t="shared" si="16"/>
        <v>0</v>
      </c>
      <c r="AD353" s="4" t="s">
        <v>1230</v>
      </c>
      <c r="AE353" s="4" t="s">
        <v>1231</v>
      </c>
      <c r="AF353" s="4" t="s">
        <v>1203</v>
      </c>
    </row>
    <row r="354" spans="1:35" ht="36" x14ac:dyDescent="0.3">
      <c r="A354" s="10" t="s">
        <v>1232</v>
      </c>
      <c r="B354" s="10"/>
      <c r="C354" s="24" t="s">
        <v>1205</v>
      </c>
      <c r="D354" s="15"/>
      <c r="E354" s="15"/>
      <c r="F354" s="25" t="s">
        <v>62</v>
      </c>
      <c r="G354" s="26">
        <v>1.2</v>
      </c>
      <c r="H354" s="31"/>
      <c r="I354" s="31">
        <v>0</v>
      </c>
      <c r="J354" s="27">
        <v>2021.25</v>
      </c>
      <c r="M354" s="28">
        <f>ROUND(ROUND(J354, 2)*I354, 2)</f>
        <v>0</v>
      </c>
      <c r="P354" s="27">
        <v>1622.5</v>
      </c>
      <c r="S354" s="28">
        <f>ROUND(ROUND(P354, 2)*I354, 2)</f>
        <v>0</v>
      </c>
      <c r="V354" s="9">
        <f>ROUND(ROUND(P354, 2)/1.2, 2)</f>
        <v>1352.08</v>
      </c>
      <c r="Y354" s="9">
        <f t="shared" si="16"/>
        <v>0</v>
      </c>
      <c r="AD354" s="4" t="s">
        <v>1233</v>
      </c>
      <c r="AE354" s="4" t="s">
        <v>1234</v>
      </c>
      <c r="AF354" s="4" t="s">
        <v>1208</v>
      </c>
    </row>
    <row r="355" spans="1:35" ht="36" x14ac:dyDescent="0.3">
      <c r="A355" s="10" t="s">
        <v>1235</v>
      </c>
      <c r="B355" s="10"/>
      <c r="C355" s="24" t="s">
        <v>1157</v>
      </c>
      <c r="D355" s="15"/>
      <c r="E355" s="15"/>
      <c r="F355" s="25" t="s">
        <v>278</v>
      </c>
      <c r="G355" s="26">
        <v>0.25</v>
      </c>
      <c r="H355" s="31"/>
      <c r="I355" s="31">
        <v>0</v>
      </c>
      <c r="J355" s="27">
        <v>40.270000000000003</v>
      </c>
      <c r="M355" s="28">
        <f>ROUND(ROUND(J355, 2)*I355, 2)</f>
        <v>0</v>
      </c>
      <c r="P355" s="27">
        <v>40.270000000000003</v>
      </c>
      <c r="S355" s="28">
        <f>ROUND(ROUND(P355, 2)*I355, 2)</f>
        <v>0</v>
      </c>
      <c r="V355" s="9">
        <f>ROUND(ROUND(P355, 2)/1.2, 2)</f>
        <v>33.56</v>
      </c>
      <c r="Y355" s="9">
        <f t="shared" si="16"/>
        <v>0</v>
      </c>
      <c r="AD355" s="4" t="s">
        <v>1236</v>
      </c>
      <c r="AE355" s="4" t="s">
        <v>1237</v>
      </c>
      <c r="AF355" s="4" t="s">
        <v>1160</v>
      </c>
    </row>
    <row r="356" spans="1:35" ht="36" x14ac:dyDescent="0.3">
      <c r="A356" s="10" t="s">
        <v>1238</v>
      </c>
      <c r="B356" s="10"/>
      <c r="C356" s="24" t="s">
        <v>1007</v>
      </c>
      <c r="D356" s="15"/>
      <c r="E356" s="15"/>
      <c r="F356" s="25" t="s">
        <v>278</v>
      </c>
      <c r="G356" s="26">
        <v>0.15</v>
      </c>
      <c r="H356" s="26"/>
      <c r="I356" s="26">
        <v>0</v>
      </c>
      <c r="J356" s="27">
        <v>88.8</v>
      </c>
      <c r="M356" s="28">
        <f>ROUND(ROUND(J356, 2)*I356, 2)</f>
        <v>0</v>
      </c>
      <c r="P356" s="27">
        <v>88.8</v>
      </c>
      <c r="S356" s="28">
        <f>ROUND(ROUND(P356, 2)*I356, 2)</f>
        <v>0</v>
      </c>
      <c r="V356" s="9">
        <f>ROUND(ROUND(P356, 2)/1.2, 2)</f>
        <v>74</v>
      </c>
      <c r="Y356" s="9">
        <f t="shared" si="16"/>
        <v>0</v>
      </c>
      <c r="AD356" s="4" t="s">
        <v>1239</v>
      </c>
      <c r="AE356" s="4" t="s">
        <v>1240</v>
      </c>
      <c r="AF356" s="4" t="s">
        <v>1010</v>
      </c>
    </row>
    <row r="357" spans="1:35" ht="54" x14ac:dyDescent="0.3">
      <c r="A357" s="10" t="s">
        <v>1241</v>
      </c>
      <c r="B357" s="10" t="s">
        <v>1195</v>
      </c>
      <c r="C357" s="14" t="s">
        <v>1196</v>
      </c>
      <c r="D357" s="15"/>
      <c r="E357" s="15"/>
      <c r="F357" s="15" t="s">
        <v>62</v>
      </c>
      <c r="G357" s="16">
        <v>1</v>
      </c>
      <c r="H357" s="16"/>
      <c r="I357" s="16">
        <v>0</v>
      </c>
      <c r="J357" s="17">
        <v>0</v>
      </c>
      <c r="K357" s="18">
        <v>2785</v>
      </c>
      <c r="L357" s="17">
        <f>J357+ROUND(K357, 2)</f>
        <v>2785</v>
      </c>
      <c r="M357" s="17">
        <v>0</v>
      </c>
      <c r="N357" s="17">
        <v>0</v>
      </c>
      <c r="O357" s="17">
        <f>M357+N357</f>
        <v>0</v>
      </c>
      <c r="P357" s="17">
        <v>2075.46</v>
      </c>
      <c r="Q357" s="18">
        <v>2785</v>
      </c>
      <c r="R357" s="17">
        <f>P357+ROUND(Q357, 2)</f>
        <v>4860.46</v>
      </c>
      <c r="S357" s="17">
        <v>0</v>
      </c>
      <c r="T357" s="17">
        <v>0</v>
      </c>
      <c r="U357" s="17">
        <f>S357+T357</f>
        <v>0</v>
      </c>
      <c r="V357" s="9">
        <f>ROUND(P357 / 1.2, 2)</f>
        <v>1729.55</v>
      </c>
      <c r="W357" s="9">
        <f>ROUND(Q357 / 1.2, 2)</f>
        <v>2320.83</v>
      </c>
      <c r="X357" s="9">
        <f>ROUND(R357 / 1.2, 2)</f>
        <v>4050.38</v>
      </c>
      <c r="Y357" s="9">
        <f t="shared" si="16"/>
        <v>0</v>
      </c>
      <c r="Z357" s="9">
        <f>ROUND(T357 / 1.2, 2)</f>
        <v>0</v>
      </c>
      <c r="AA357" s="9">
        <f>Y357+Z357</f>
        <v>0</v>
      </c>
      <c r="AD357" s="4">
        <v>334080653</v>
      </c>
      <c r="AE357" s="4">
        <v>27245668</v>
      </c>
      <c r="AG357" s="4" t="s">
        <v>1197</v>
      </c>
      <c r="AH357" s="4" t="s">
        <v>1198</v>
      </c>
      <c r="AI357" s="4" t="s">
        <v>250</v>
      </c>
    </row>
    <row r="358" spans="1:35" ht="36" x14ac:dyDescent="0.3">
      <c r="A358" s="10" t="s">
        <v>1242</v>
      </c>
      <c r="B358" s="10"/>
      <c r="C358" s="24" t="s">
        <v>1007</v>
      </c>
      <c r="D358" s="15"/>
      <c r="E358" s="15"/>
      <c r="F358" s="25" t="s">
        <v>278</v>
      </c>
      <c r="G358" s="26">
        <v>0.15</v>
      </c>
      <c r="H358" s="26"/>
      <c r="I358" s="26">
        <v>0</v>
      </c>
      <c r="J358" s="27">
        <v>88.8</v>
      </c>
      <c r="M358" s="28">
        <f>ROUND(ROUND(J358, 2)*I358, 2)</f>
        <v>0</v>
      </c>
      <c r="P358" s="27">
        <v>88.8</v>
      </c>
      <c r="S358" s="28">
        <f>ROUND(ROUND(P358, 2)*I358, 2)</f>
        <v>0</v>
      </c>
      <c r="V358" s="9">
        <f>ROUND(ROUND(P358, 2)/1.2, 2)</f>
        <v>74</v>
      </c>
      <c r="Y358" s="9">
        <f t="shared" si="16"/>
        <v>0</v>
      </c>
      <c r="AD358" s="4" t="s">
        <v>1243</v>
      </c>
      <c r="AE358" s="4" t="s">
        <v>1244</v>
      </c>
      <c r="AF358" s="4" t="s">
        <v>1010</v>
      </c>
    </row>
    <row r="359" spans="1:35" ht="36" x14ac:dyDescent="0.3">
      <c r="A359" s="10" t="s">
        <v>1245</v>
      </c>
      <c r="B359" s="10"/>
      <c r="C359" s="24" t="s">
        <v>1157</v>
      </c>
      <c r="D359" s="15"/>
      <c r="E359" s="15"/>
      <c r="F359" s="25" t="s">
        <v>278</v>
      </c>
      <c r="G359" s="26">
        <v>0.25</v>
      </c>
      <c r="H359" s="31"/>
      <c r="I359" s="31">
        <v>0</v>
      </c>
      <c r="J359" s="27">
        <v>40.270000000000003</v>
      </c>
      <c r="M359" s="28">
        <f>ROUND(ROUND(J359, 2)*I359, 2)</f>
        <v>0</v>
      </c>
      <c r="P359" s="27">
        <v>40.270000000000003</v>
      </c>
      <c r="S359" s="28">
        <f>ROUND(ROUND(P359, 2)*I359, 2)</f>
        <v>0</v>
      </c>
      <c r="V359" s="9">
        <f>ROUND(ROUND(P359, 2)/1.2, 2)</f>
        <v>33.56</v>
      </c>
      <c r="Y359" s="9">
        <f t="shared" si="16"/>
        <v>0</v>
      </c>
      <c r="AD359" s="4" t="s">
        <v>1246</v>
      </c>
      <c r="AE359" s="4" t="s">
        <v>1247</v>
      </c>
      <c r="AF359" s="4" t="s">
        <v>1160</v>
      </c>
    </row>
    <row r="360" spans="1:35" ht="36" x14ac:dyDescent="0.3">
      <c r="A360" s="10" t="s">
        <v>1248</v>
      </c>
      <c r="B360" s="10"/>
      <c r="C360" s="24" t="s">
        <v>1205</v>
      </c>
      <c r="D360" s="15"/>
      <c r="E360" s="15"/>
      <c r="F360" s="25" t="s">
        <v>62</v>
      </c>
      <c r="G360" s="26">
        <v>1.2</v>
      </c>
      <c r="H360" s="31"/>
      <c r="I360" s="31">
        <v>0</v>
      </c>
      <c r="J360" s="27">
        <v>2021.25</v>
      </c>
      <c r="M360" s="28">
        <f>ROUND(ROUND(J360, 2)*I360, 2)</f>
        <v>0</v>
      </c>
      <c r="P360" s="27">
        <v>1693.1</v>
      </c>
      <c r="S360" s="28">
        <f>ROUND(ROUND(P360, 2)*I360, 2)</f>
        <v>0</v>
      </c>
      <c r="V360" s="9">
        <f>ROUND(ROUND(P360, 2)/1.2, 2)</f>
        <v>1410.92</v>
      </c>
      <c r="Y360" s="9">
        <f t="shared" si="16"/>
        <v>0</v>
      </c>
      <c r="AD360" s="4" t="s">
        <v>1249</v>
      </c>
      <c r="AE360" s="4" t="s">
        <v>1250</v>
      </c>
      <c r="AF360" s="4" t="s">
        <v>1208</v>
      </c>
    </row>
    <row r="361" spans="1:35" ht="36" x14ac:dyDescent="0.3">
      <c r="A361" s="10" t="s">
        <v>1251</v>
      </c>
      <c r="B361" s="10"/>
      <c r="C361" s="30" t="s">
        <v>1200</v>
      </c>
      <c r="D361" s="15"/>
      <c r="E361" s="15"/>
      <c r="F361" s="25" t="s">
        <v>278</v>
      </c>
      <c r="G361" s="26">
        <v>1.2</v>
      </c>
      <c r="H361" s="31"/>
      <c r="I361" s="31">
        <v>0</v>
      </c>
      <c r="J361" s="27">
        <v>16.96</v>
      </c>
      <c r="M361" s="28">
        <f>ROUND(ROUND(J361, 2)*I361, 2)</f>
        <v>0</v>
      </c>
      <c r="P361" s="27">
        <v>16.96</v>
      </c>
      <c r="S361" s="28">
        <f>ROUND(ROUND(P361, 2)*I361, 2)</f>
        <v>0</v>
      </c>
      <c r="V361" s="9">
        <f>ROUND(ROUND(P361, 2)/1.2, 2)</f>
        <v>14.13</v>
      </c>
      <c r="Y361" s="9">
        <f t="shared" si="16"/>
        <v>0</v>
      </c>
      <c r="AD361" s="4" t="s">
        <v>1252</v>
      </c>
      <c r="AE361" s="4" t="s">
        <v>1253</v>
      </c>
      <c r="AF361" s="4" t="s">
        <v>1203</v>
      </c>
    </row>
    <row r="362" spans="1:35" ht="54" x14ac:dyDescent="0.3">
      <c r="A362" s="10" t="s">
        <v>1254</v>
      </c>
      <c r="B362" s="10" t="s">
        <v>1195</v>
      </c>
      <c r="C362" s="14" t="s">
        <v>1196</v>
      </c>
      <c r="D362" s="15"/>
      <c r="E362" s="15"/>
      <c r="F362" s="15" t="s">
        <v>62</v>
      </c>
      <c r="G362" s="16">
        <v>1</v>
      </c>
      <c r="H362" s="16"/>
      <c r="I362" s="16">
        <v>0</v>
      </c>
      <c r="J362" s="17">
        <v>0</v>
      </c>
      <c r="K362" s="18">
        <v>2785</v>
      </c>
      <c r="L362" s="17">
        <f>J362+ROUND(K362, 2)</f>
        <v>2785</v>
      </c>
      <c r="M362" s="17">
        <v>0</v>
      </c>
      <c r="N362" s="17">
        <v>0</v>
      </c>
      <c r="O362" s="17">
        <f>M362+N362</f>
        <v>0</v>
      </c>
      <c r="P362" s="17">
        <v>2000.82</v>
      </c>
      <c r="Q362" s="18">
        <v>2785</v>
      </c>
      <c r="R362" s="17">
        <f>P362+ROUND(Q362, 2)</f>
        <v>4785.82</v>
      </c>
      <c r="S362" s="17">
        <v>0</v>
      </c>
      <c r="T362" s="17">
        <v>0</v>
      </c>
      <c r="U362" s="17">
        <f>S362+T362</f>
        <v>0</v>
      </c>
      <c r="V362" s="9">
        <f>ROUND(P362 / 1.2, 2)</f>
        <v>1667.35</v>
      </c>
      <c r="W362" s="9">
        <f>ROUND(Q362 / 1.2, 2)</f>
        <v>2320.83</v>
      </c>
      <c r="X362" s="9">
        <f>ROUND(R362 / 1.2, 2)</f>
        <v>3988.18</v>
      </c>
      <c r="Y362" s="9">
        <f t="shared" si="16"/>
        <v>0</v>
      </c>
      <c r="Z362" s="9">
        <f>ROUND(T362 / 1.2, 2)</f>
        <v>0</v>
      </c>
      <c r="AA362" s="9">
        <f>Y362+Z362</f>
        <v>0</v>
      </c>
      <c r="AD362" s="4">
        <v>334080654</v>
      </c>
      <c r="AE362" s="4">
        <v>27245669</v>
      </c>
      <c r="AG362" s="4" t="s">
        <v>1197</v>
      </c>
      <c r="AH362" s="4" t="s">
        <v>1198</v>
      </c>
      <c r="AI362" s="4" t="s">
        <v>250</v>
      </c>
    </row>
    <row r="363" spans="1:35" ht="36" x14ac:dyDescent="0.3">
      <c r="A363" s="10" t="s">
        <v>1255</v>
      </c>
      <c r="B363" s="10"/>
      <c r="C363" s="30" t="s">
        <v>1200</v>
      </c>
      <c r="D363" s="15"/>
      <c r="E363" s="15"/>
      <c r="F363" s="25" t="s">
        <v>278</v>
      </c>
      <c r="G363" s="26">
        <v>1.2</v>
      </c>
      <c r="H363" s="31"/>
      <c r="I363" s="31">
        <v>0</v>
      </c>
      <c r="J363" s="27">
        <v>16.96</v>
      </c>
      <c r="M363" s="28">
        <f>ROUND(ROUND(J363, 2)*I363, 2)</f>
        <v>0</v>
      </c>
      <c r="P363" s="27">
        <v>16.96</v>
      </c>
      <c r="S363" s="28">
        <f>ROUND(ROUND(P363, 2)*I363, 2)</f>
        <v>0</v>
      </c>
      <c r="V363" s="9">
        <f>ROUND(ROUND(P363, 2)/1.2, 2)</f>
        <v>14.13</v>
      </c>
      <c r="Y363" s="9">
        <f t="shared" si="16"/>
        <v>0</v>
      </c>
      <c r="AD363" s="4" t="s">
        <v>1256</v>
      </c>
      <c r="AE363" s="4" t="s">
        <v>1257</v>
      </c>
      <c r="AF363" s="4" t="s">
        <v>1203</v>
      </c>
    </row>
    <row r="364" spans="1:35" ht="36" x14ac:dyDescent="0.3">
      <c r="A364" s="10" t="s">
        <v>1258</v>
      </c>
      <c r="B364" s="10"/>
      <c r="C364" s="24" t="s">
        <v>1205</v>
      </c>
      <c r="D364" s="15"/>
      <c r="E364" s="15"/>
      <c r="F364" s="25" t="s">
        <v>62</v>
      </c>
      <c r="G364" s="26">
        <v>1.2</v>
      </c>
      <c r="H364" s="31"/>
      <c r="I364" s="31">
        <v>0</v>
      </c>
      <c r="J364" s="27">
        <v>2021.25</v>
      </c>
      <c r="M364" s="28">
        <f>ROUND(ROUND(J364, 2)*I364, 2)</f>
        <v>0</v>
      </c>
      <c r="P364" s="27">
        <v>1630.9</v>
      </c>
      <c r="S364" s="28">
        <f>ROUND(ROUND(P364, 2)*I364, 2)</f>
        <v>0</v>
      </c>
      <c r="V364" s="9">
        <f>ROUND(ROUND(P364, 2)/1.2, 2)</f>
        <v>1359.08</v>
      </c>
      <c r="Y364" s="9">
        <f t="shared" si="16"/>
        <v>0</v>
      </c>
      <c r="AD364" s="4" t="s">
        <v>1259</v>
      </c>
      <c r="AE364" s="4" t="s">
        <v>1260</v>
      </c>
      <c r="AF364" s="4" t="s">
        <v>1208</v>
      </c>
    </row>
    <row r="365" spans="1:35" ht="36" x14ac:dyDescent="0.3">
      <c r="A365" s="10" t="s">
        <v>1261</v>
      </c>
      <c r="B365" s="10"/>
      <c r="C365" s="24" t="s">
        <v>1157</v>
      </c>
      <c r="D365" s="15"/>
      <c r="E365" s="15"/>
      <c r="F365" s="25" t="s">
        <v>278</v>
      </c>
      <c r="G365" s="26">
        <v>0.25</v>
      </c>
      <c r="H365" s="31"/>
      <c r="I365" s="31">
        <v>0</v>
      </c>
      <c r="J365" s="27">
        <v>40.270000000000003</v>
      </c>
      <c r="M365" s="28">
        <f>ROUND(ROUND(J365, 2)*I365, 2)</f>
        <v>0</v>
      </c>
      <c r="P365" s="27">
        <v>40.270000000000003</v>
      </c>
      <c r="S365" s="28">
        <f>ROUND(ROUND(P365, 2)*I365, 2)</f>
        <v>0</v>
      </c>
      <c r="V365" s="9">
        <f>ROUND(ROUND(P365, 2)/1.2, 2)</f>
        <v>33.56</v>
      </c>
      <c r="Y365" s="9">
        <f t="shared" si="16"/>
        <v>0</v>
      </c>
      <c r="AD365" s="4" t="s">
        <v>1262</v>
      </c>
      <c r="AE365" s="4" t="s">
        <v>1263</v>
      </c>
      <c r="AF365" s="4" t="s">
        <v>1160</v>
      </c>
    </row>
    <row r="366" spans="1:35" ht="36" x14ac:dyDescent="0.3">
      <c r="A366" s="10" t="s">
        <v>1264</v>
      </c>
      <c r="B366" s="10"/>
      <c r="C366" s="24" t="s">
        <v>1007</v>
      </c>
      <c r="D366" s="15"/>
      <c r="E366" s="15"/>
      <c r="F366" s="25" t="s">
        <v>278</v>
      </c>
      <c r="G366" s="26">
        <v>0.15</v>
      </c>
      <c r="H366" s="26"/>
      <c r="I366" s="26">
        <v>0</v>
      </c>
      <c r="J366" s="27">
        <v>88.8</v>
      </c>
      <c r="M366" s="28">
        <f>ROUND(ROUND(J366, 2)*I366, 2)</f>
        <v>0</v>
      </c>
      <c r="P366" s="27">
        <v>88.8</v>
      </c>
      <c r="S366" s="28">
        <f>ROUND(ROUND(P366, 2)*I366, 2)</f>
        <v>0</v>
      </c>
      <c r="V366" s="9">
        <f>ROUND(ROUND(P366, 2)/1.2, 2)</f>
        <v>74</v>
      </c>
      <c r="Y366" s="9">
        <f t="shared" si="16"/>
        <v>0</v>
      </c>
      <c r="AD366" s="4" t="s">
        <v>1265</v>
      </c>
      <c r="AE366" s="4" t="s">
        <v>1266</v>
      </c>
      <c r="AF366" s="4" t="s">
        <v>1010</v>
      </c>
    </row>
    <row r="367" spans="1:35" ht="54" x14ac:dyDescent="0.3">
      <c r="A367" s="10" t="s">
        <v>1267</v>
      </c>
      <c r="B367" s="10" t="s">
        <v>1195</v>
      </c>
      <c r="C367" s="14" t="s">
        <v>1196</v>
      </c>
      <c r="D367" s="15"/>
      <c r="E367" s="15"/>
      <c r="F367" s="15" t="s">
        <v>62</v>
      </c>
      <c r="G367" s="16">
        <v>1</v>
      </c>
      <c r="H367" s="16"/>
      <c r="I367" s="16">
        <v>0</v>
      </c>
      <c r="J367" s="17">
        <v>0</v>
      </c>
      <c r="K367" s="18">
        <v>2785</v>
      </c>
      <c r="L367" s="17">
        <f>J367+ROUND(K367, 2)</f>
        <v>2785</v>
      </c>
      <c r="M367" s="17">
        <v>0</v>
      </c>
      <c r="N367" s="17">
        <v>0</v>
      </c>
      <c r="O367" s="17">
        <f>M367+N367</f>
        <v>0</v>
      </c>
      <c r="P367" s="17">
        <v>2000.82</v>
      </c>
      <c r="Q367" s="18">
        <v>2785</v>
      </c>
      <c r="R367" s="17">
        <f>P367+ROUND(Q367, 2)</f>
        <v>4785.82</v>
      </c>
      <c r="S367" s="17">
        <v>0</v>
      </c>
      <c r="T367" s="17">
        <v>0</v>
      </c>
      <c r="U367" s="17">
        <f>S367+T367</f>
        <v>0</v>
      </c>
      <c r="V367" s="9">
        <f>ROUND(P367 / 1.2, 2)</f>
        <v>1667.35</v>
      </c>
      <c r="W367" s="9">
        <f>ROUND(Q367 / 1.2, 2)</f>
        <v>2320.83</v>
      </c>
      <c r="X367" s="9">
        <f>ROUND(R367 / 1.2, 2)</f>
        <v>3988.18</v>
      </c>
      <c r="Y367" s="9">
        <f t="shared" si="16"/>
        <v>0</v>
      </c>
      <c r="Z367" s="9">
        <f>ROUND(T367 / 1.2, 2)</f>
        <v>0</v>
      </c>
      <c r="AA367" s="9">
        <f>Y367+Z367</f>
        <v>0</v>
      </c>
      <c r="AD367" s="4">
        <v>334080655</v>
      </c>
      <c r="AE367" s="4">
        <v>27245670</v>
      </c>
      <c r="AG367" s="4" t="s">
        <v>1197</v>
      </c>
      <c r="AH367" s="4" t="s">
        <v>1198</v>
      </c>
      <c r="AI367" s="4" t="s">
        <v>250</v>
      </c>
    </row>
    <row r="368" spans="1:35" ht="36" x14ac:dyDescent="0.3">
      <c r="A368" s="10" t="s">
        <v>1268</v>
      </c>
      <c r="B368" s="10"/>
      <c r="C368" s="24" t="s">
        <v>1007</v>
      </c>
      <c r="D368" s="15"/>
      <c r="E368" s="15"/>
      <c r="F368" s="25" t="s">
        <v>278</v>
      </c>
      <c r="G368" s="26">
        <v>0.15</v>
      </c>
      <c r="H368" s="26"/>
      <c r="I368" s="26">
        <v>0</v>
      </c>
      <c r="J368" s="27">
        <v>88.8</v>
      </c>
      <c r="M368" s="28">
        <f>ROUND(ROUND(J368, 2)*I368, 2)</f>
        <v>0</v>
      </c>
      <c r="P368" s="27">
        <v>88.8</v>
      </c>
      <c r="S368" s="28">
        <f>ROUND(ROUND(P368, 2)*I368, 2)</f>
        <v>0</v>
      </c>
      <c r="V368" s="9">
        <f>ROUND(ROUND(P368, 2)/1.2, 2)</f>
        <v>74</v>
      </c>
      <c r="Y368" s="9">
        <f t="shared" si="16"/>
        <v>0</v>
      </c>
      <c r="AD368" s="4" t="s">
        <v>1269</v>
      </c>
      <c r="AE368" s="4" t="s">
        <v>1270</v>
      </c>
      <c r="AF368" s="4" t="s">
        <v>1010</v>
      </c>
    </row>
    <row r="369" spans="1:35" ht="36" x14ac:dyDescent="0.3">
      <c r="A369" s="10" t="s">
        <v>1271</v>
      </c>
      <c r="B369" s="10"/>
      <c r="C369" s="24" t="s">
        <v>1157</v>
      </c>
      <c r="D369" s="15"/>
      <c r="E369" s="15"/>
      <c r="F369" s="25" t="s">
        <v>278</v>
      </c>
      <c r="G369" s="26">
        <v>0.25</v>
      </c>
      <c r="H369" s="31"/>
      <c r="I369" s="31">
        <v>0</v>
      </c>
      <c r="J369" s="27">
        <v>40.270000000000003</v>
      </c>
      <c r="M369" s="28">
        <f>ROUND(ROUND(J369, 2)*I369, 2)</f>
        <v>0</v>
      </c>
      <c r="P369" s="27">
        <v>40.270000000000003</v>
      </c>
      <c r="S369" s="28">
        <f>ROUND(ROUND(P369, 2)*I369, 2)</f>
        <v>0</v>
      </c>
      <c r="V369" s="9">
        <f>ROUND(ROUND(P369, 2)/1.2, 2)</f>
        <v>33.56</v>
      </c>
      <c r="Y369" s="9">
        <f t="shared" si="16"/>
        <v>0</v>
      </c>
      <c r="AD369" s="4" t="s">
        <v>1272</v>
      </c>
      <c r="AE369" s="4" t="s">
        <v>1273</v>
      </c>
      <c r="AF369" s="4" t="s">
        <v>1160</v>
      </c>
    </row>
    <row r="370" spans="1:35" ht="36" x14ac:dyDescent="0.3">
      <c r="A370" s="10" t="s">
        <v>1274</v>
      </c>
      <c r="B370" s="10"/>
      <c r="C370" s="24" t="s">
        <v>1205</v>
      </c>
      <c r="D370" s="15"/>
      <c r="E370" s="15"/>
      <c r="F370" s="25" t="s">
        <v>62</v>
      </c>
      <c r="G370" s="26">
        <v>1.2</v>
      </c>
      <c r="H370" s="31"/>
      <c r="I370" s="31">
        <v>0</v>
      </c>
      <c r="J370" s="27">
        <v>2021.25</v>
      </c>
      <c r="M370" s="28">
        <f>ROUND(ROUND(J370, 2)*I370, 2)</f>
        <v>0</v>
      </c>
      <c r="P370" s="27">
        <v>1630.9</v>
      </c>
      <c r="S370" s="28">
        <f>ROUND(ROUND(P370, 2)*I370, 2)</f>
        <v>0</v>
      </c>
      <c r="V370" s="9">
        <f>ROUND(ROUND(P370, 2)/1.2, 2)</f>
        <v>1359.08</v>
      </c>
      <c r="Y370" s="9">
        <f t="shared" si="16"/>
        <v>0</v>
      </c>
      <c r="AD370" s="4" t="s">
        <v>1275</v>
      </c>
      <c r="AE370" s="4" t="s">
        <v>1276</v>
      </c>
      <c r="AF370" s="4" t="s">
        <v>1208</v>
      </c>
    </row>
    <row r="371" spans="1:35" ht="36" x14ac:dyDescent="0.3">
      <c r="A371" s="10" t="s">
        <v>1277</v>
      </c>
      <c r="B371" s="10"/>
      <c r="C371" s="30" t="s">
        <v>1200</v>
      </c>
      <c r="D371" s="15"/>
      <c r="E371" s="15"/>
      <c r="F371" s="25" t="s">
        <v>278</v>
      </c>
      <c r="G371" s="26">
        <v>1.2</v>
      </c>
      <c r="H371" s="31"/>
      <c r="I371" s="31">
        <v>0</v>
      </c>
      <c r="J371" s="27">
        <v>16.96</v>
      </c>
      <c r="M371" s="28">
        <f>ROUND(ROUND(J371, 2)*I371, 2)</f>
        <v>0</v>
      </c>
      <c r="P371" s="27">
        <v>16.96</v>
      </c>
      <c r="S371" s="28">
        <f>ROUND(ROUND(P371, 2)*I371, 2)</f>
        <v>0</v>
      </c>
      <c r="V371" s="9">
        <f>ROUND(ROUND(P371, 2)/1.2, 2)</f>
        <v>14.13</v>
      </c>
      <c r="Y371" s="9">
        <f t="shared" si="16"/>
        <v>0</v>
      </c>
      <c r="AD371" s="4" t="s">
        <v>1278</v>
      </c>
      <c r="AE371" s="4" t="s">
        <v>1279</v>
      </c>
      <c r="AF371" s="4" t="s">
        <v>1203</v>
      </c>
    </row>
    <row r="372" spans="1:35" ht="54" x14ac:dyDescent="0.3">
      <c r="A372" s="10" t="s">
        <v>1280</v>
      </c>
      <c r="B372" s="10" t="s">
        <v>1195</v>
      </c>
      <c r="C372" s="14" t="s">
        <v>1196</v>
      </c>
      <c r="D372" s="15"/>
      <c r="E372" s="15" t="s">
        <v>1281</v>
      </c>
      <c r="F372" s="15" t="s">
        <v>62</v>
      </c>
      <c r="G372" s="16">
        <v>1</v>
      </c>
      <c r="H372" s="16"/>
      <c r="I372" s="16">
        <v>1132.5</v>
      </c>
      <c r="J372" s="17">
        <v>2468.2399999999998</v>
      </c>
      <c r="K372" s="18">
        <v>2785</v>
      </c>
      <c r="L372" s="17">
        <f>J372+ROUND(K372, 2)</f>
        <v>5253.24</v>
      </c>
      <c r="M372" s="17">
        <v>2795281.8</v>
      </c>
      <c r="N372" s="17">
        <v>3154012.5</v>
      </c>
      <c r="O372" s="17">
        <f>M372+N372</f>
        <v>5949294.2999999998</v>
      </c>
      <c r="P372" s="17">
        <v>2063.89</v>
      </c>
      <c r="Q372" s="18">
        <v>4177.5</v>
      </c>
      <c r="R372" s="17">
        <f>P372+ROUND(Q372, 2)</f>
        <v>6241.3899999999994</v>
      </c>
      <c r="S372" s="17">
        <v>2337355.4300000002</v>
      </c>
      <c r="T372" s="17">
        <v>4731018.75</v>
      </c>
      <c r="U372" s="17">
        <f>S372+T372</f>
        <v>7068374.1799999997</v>
      </c>
      <c r="V372" s="9">
        <f>ROUND(P372 / 1.2, 2)</f>
        <v>1719.91</v>
      </c>
      <c r="W372" s="9">
        <f>ROUND(Q372 / 1.2, 2)</f>
        <v>3481.25</v>
      </c>
      <c r="X372" s="9">
        <f>ROUND(R372 / 1.2, 2)</f>
        <v>5201.16</v>
      </c>
      <c r="Y372" s="9">
        <f t="shared" si="16"/>
        <v>1947796.19</v>
      </c>
      <c r="Z372" s="9">
        <f>ROUND(T372 / 1.2, 2)</f>
        <v>3942515.63</v>
      </c>
      <c r="AA372" s="9">
        <f>Y372+Z372</f>
        <v>5890311.8200000003</v>
      </c>
      <c r="AD372" s="4">
        <v>334080656</v>
      </c>
      <c r="AE372" s="4">
        <v>27245769</v>
      </c>
      <c r="AG372" s="4" t="s">
        <v>1197</v>
      </c>
      <c r="AH372" s="4" t="s">
        <v>1198</v>
      </c>
      <c r="AI372" s="4" t="s">
        <v>250</v>
      </c>
    </row>
    <row r="373" spans="1:35" ht="36" x14ac:dyDescent="0.3">
      <c r="A373" s="10" t="s">
        <v>1282</v>
      </c>
      <c r="B373" s="10"/>
      <c r="C373" s="30" t="s">
        <v>1200</v>
      </c>
      <c r="D373" s="15"/>
      <c r="E373" s="15"/>
      <c r="F373" s="25" t="s">
        <v>278</v>
      </c>
      <c r="G373" s="26">
        <v>1.2</v>
      </c>
      <c r="H373" s="31"/>
      <c r="I373" s="31">
        <v>1359</v>
      </c>
      <c r="J373" s="27">
        <v>16.12</v>
      </c>
      <c r="M373" s="28">
        <f>ROUND(ROUND(J373, 2)*I373, 2)</f>
        <v>21907.08</v>
      </c>
      <c r="P373" s="27">
        <v>16.12</v>
      </c>
      <c r="S373" s="28">
        <f>ROUND(ROUND(P373, 2)*I373, 2)</f>
        <v>21907.08</v>
      </c>
      <c r="V373" s="9">
        <f>ROUND(ROUND(P373, 2)/1.2, 2)</f>
        <v>13.43</v>
      </c>
      <c r="Y373" s="9">
        <f t="shared" si="16"/>
        <v>18255.900000000001</v>
      </c>
      <c r="AD373" s="4" t="s">
        <v>1283</v>
      </c>
      <c r="AE373" s="4" t="s">
        <v>1284</v>
      </c>
      <c r="AF373" s="4" t="s">
        <v>1203</v>
      </c>
    </row>
    <row r="374" spans="1:35" ht="72" x14ac:dyDescent="0.3">
      <c r="A374" s="10" t="s">
        <v>1285</v>
      </c>
      <c r="B374" s="10"/>
      <c r="C374" s="24" t="s">
        <v>1205</v>
      </c>
      <c r="D374" s="15"/>
      <c r="E374" s="15" t="s">
        <v>1286</v>
      </c>
      <c r="F374" s="25" t="s">
        <v>62</v>
      </c>
      <c r="G374" s="26">
        <v>1.2</v>
      </c>
      <c r="H374" s="31"/>
      <c r="I374" s="31">
        <v>1359</v>
      </c>
      <c r="J374" s="27">
        <v>2021.26</v>
      </c>
      <c r="M374" s="28">
        <f>ROUND(ROUND(J374, 2)*I374, 2)</f>
        <v>2746892.34</v>
      </c>
      <c r="P374" s="27">
        <v>1684.3</v>
      </c>
      <c r="S374" s="28">
        <f>ROUND(ROUND(P374, 2)*I374, 2)</f>
        <v>2288963.7000000002</v>
      </c>
      <c r="V374" s="9">
        <f>ROUND(ROUND(P374, 2)/1.2, 2)</f>
        <v>1403.58</v>
      </c>
      <c r="Y374" s="9">
        <f t="shared" si="16"/>
        <v>1907469.75</v>
      </c>
      <c r="AD374" s="4" t="s">
        <v>1287</v>
      </c>
      <c r="AE374" s="4" t="s">
        <v>1288</v>
      </c>
      <c r="AF374" s="4" t="s">
        <v>1208</v>
      </c>
    </row>
    <row r="375" spans="1:35" ht="36" x14ac:dyDescent="0.3">
      <c r="A375" s="10" t="s">
        <v>1289</v>
      </c>
      <c r="B375" s="10"/>
      <c r="C375" s="24" t="s">
        <v>1157</v>
      </c>
      <c r="D375" s="15"/>
      <c r="E375" s="15"/>
      <c r="F375" s="25" t="s">
        <v>278</v>
      </c>
      <c r="G375" s="26">
        <v>0.25</v>
      </c>
      <c r="H375" s="31"/>
      <c r="I375" s="31">
        <v>283.125</v>
      </c>
      <c r="J375" s="27">
        <v>40.270000000000003</v>
      </c>
      <c r="M375" s="28">
        <f>ROUND(ROUND(J375, 2)*I375, 2)</f>
        <v>11401.44</v>
      </c>
      <c r="P375" s="27">
        <v>40.270000000000003</v>
      </c>
      <c r="S375" s="28">
        <f>ROUND(ROUND(P375, 2)*I375, 2)</f>
        <v>11401.44</v>
      </c>
      <c r="V375" s="9">
        <f>ROUND(ROUND(P375, 2)/1.2, 2)</f>
        <v>33.56</v>
      </c>
      <c r="Y375" s="9">
        <f t="shared" ref="Y375:Y431" si="17">ROUND(S375 / 1.2, 2)</f>
        <v>9501.2000000000007</v>
      </c>
      <c r="AD375" s="4" t="s">
        <v>1290</v>
      </c>
      <c r="AE375" s="4" t="s">
        <v>1291</v>
      </c>
      <c r="AF375" s="4" t="s">
        <v>1160</v>
      </c>
    </row>
    <row r="376" spans="1:35" ht="36" x14ac:dyDescent="0.3">
      <c r="A376" s="10" t="s">
        <v>1292</v>
      </c>
      <c r="B376" s="10"/>
      <c r="C376" s="24" t="s">
        <v>1007</v>
      </c>
      <c r="D376" s="15"/>
      <c r="E376" s="15"/>
      <c r="F376" s="25" t="s">
        <v>278</v>
      </c>
      <c r="G376" s="26">
        <v>0.15</v>
      </c>
      <c r="H376" s="26"/>
      <c r="I376" s="26">
        <v>169.875</v>
      </c>
      <c r="J376" s="27">
        <v>88.8</v>
      </c>
      <c r="M376" s="28">
        <f>ROUND(ROUND(J376, 2)*I376, 2)</f>
        <v>15084.9</v>
      </c>
      <c r="P376" s="27">
        <v>88.8</v>
      </c>
      <c r="S376" s="28">
        <f>ROUND(ROUND(P376, 2)*I376, 2)</f>
        <v>15084.9</v>
      </c>
      <c r="V376" s="9">
        <f>ROUND(ROUND(P376, 2)/1.2, 2)</f>
        <v>74</v>
      </c>
      <c r="Y376" s="9">
        <f t="shared" si="17"/>
        <v>12570.75</v>
      </c>
      <c r="AD376" s="4" t="s">
        <v>1293</v>
      </c>
      <c r="AE376" s="4" t="s">
        <v>1294</v>
      </c>
      <c r="AF376" s="4" t="s">
        <v>1010</v>
      </c>
    </row>
    <row r="377" spans="1:35" ht="54" x14ac:dyDescent="0.3">
      <c r="A377" s="10" t="s">
        <v>1295</v>
      </c>
      <c r="B377" s="10" t="s">
        <v>1195</v>
      </c>
      <c r="C377" s="14" t="s">
        <v>1196</v>
      </c>
      <c r="D377" s="15"/>
      <c r="E377" s="15" t="s">
        <v>1296</v>
      </c>
      <c r="F377" s="15" t="s">
        <v>62</v>
      </c>
      <c r="G377" s="16">
        <v>1</v>
      </c>
      <c r="H377" s="16"/>
      <c r="I377" s="16">
        <v>31.2</v>
      </c>
      <c r="J377" s="17">
        <v>2468.2399999999998</v>
      </c>
      <c r="K377" s="18">
        <v>2785</v>
      </c>
      <c r="L377" s="17">
        <f>J377+ROUND(K377, 2)</f>
        <v>5253.24</v>
      </c>
      <c r="M377" s="17">
        <v>77009.09</v>
      </c>
      <c r="N377" s="17">
        <v>86892</v>
      </c>
      <c r="O377" s="17">
        <f>M377+N377</f>
        <v>163901.09</v>
      </c>
      <c r="P377" s="17">
        <v>2053.6799999999998</v>
      </c>
      <c r="Q377" s="18">
        <v>4177.5</v>
      </c>
      <c r="R377" s="17">
        <f>P377+ROUND(Q377, 2)</f>
        <v>6231.18</v>
      </c>
      <c r="S377" s="17">
        <v>64074.82</v>
      </c>
      <c r="T377" s="17">
        <v>130338</v>
      </c>
      <c r="U377" s="17">
        <f>S377+T377</f>
        <v>194412.82</v>
      </c>
      <c r="V377" s="9">
        <f>ROUND(P377 / 1.2, 2)</f>
        <v>1711.4</v>
      </c>
      <c r="W377" s="9">
        <f>ROUND(Q377 / 1.2, 2)</f>
        <v>3481.25</v>
      </c>
      <c r="X377" s="9">
        <f>ROUND(R377 / 1.2, 2)</f>
        <v>5192.6499999999996</v>
      </c>
      <c r="Y377" s="9">
        <f t="shared" si="17"/>
        <v>53395.68</v>
      </c>
      <c r="Z377" s="9">
        <f>ROUND(T377 / 1.2, 2)</f>
        <v>108615</v>
      </c>
      <c r="AA377" s="9">
        <f>Y377+Z377</f>
        <v>162010.68</v>
      </c>
      <c r="AD377" s="4">
        <v>334080657</v>
      </c>
      <c r="AE377" s="4">
        <v>27245774</v>
      </c>
      <c r="AG377" s="4" t="s">
        <v>1197</v>
      </c>
      <c r="AH377" s="4" t="s">
        <v>1198</v>
      </c>
      <c r="AI377" s="4" t="s">
        <v>250</v>
      </c>
    </row>
    <row r="378" spans="1:35" ht="36" x14ac:dyDescent="0.3">
      <c r="A378" s="10" t="s">
        <v>1297</v>
      </c>
      <c r="B378" s="10"/>
      <c r="C378" s="24" t="s">
        <v>1007</v>
      </c>
      <c r="D378" s="15"/>
      <c r="E378" s="15"/>
      <c r="F378" s="25" t="s">
        <v>278</v>
      </c>
      <c r="G378" s="26">
        <v>0.15</v>
      </c>
      <c r="H378" s="26"/>
      <c r="I378" s="26">
        <v>4.68</v>
      </c>
      <c r="J378" s="27">
        <v>88.8</v>
      </c>
      <c r="M378" s="28">
        <f>ROUND(ROUND(J378, 2)*I378, 2)</f>
        <v>415.58</v>
      </c>
      <c r="P378" s="27">
        <v>88.8</v>
      </c>
      <c r="S378" s="28">
        <f>ROUND(ROUND(P378, 2)*I378, 2)</f>
        <v>415.58</v>
      </c>
      <c r="V378" s="9">
        <f>ROUND(ROUND(P378, 2)/1.2, 2)</f>
        <v>74</v>
      </c>
      <c r="Y378" s="9">
        <f t="shared" si="17"/>
        <v>346.32</v>
      </c>
      <c r="AD378" s="4" t="s">
        <v>1298</v>
      </c>
      <c r="AE378" s="4" t="s">
        <v>1299</v>
      </c>
      <c r="AF378" s="4" t="s">
        <v>1010</v>
      </c>
    </row>
    <row r="379" spans="1:35" ht="36" x14ac:dyDescent="0.3">
      <c r="A379" s="10" t="s">
        <v>1300</v>
      </c>
      <c r="B379" s="10"/>
      <c r="C379" s="24" t="s">
        <v>1157</v>
      </c>
      <c r="D379" s="15"/>
      <c r="E379" s="15"/>
      <c r="F379" s="25" t="s">
        <v>278</v>
      </c>
      <c r="G379" s="26">
        <v>0.25</v>
      </c>
      <c r="H379" s="31"/>
      <c r="I379" s="31">
        <v>7.8</v>
      </c>
      <c r="J379" s="27">
        <v>40.270000000000003</v>
      </c>
      <c r="M379" s="28">
        <f>ROUND(ROUND(J379, 2)*I379, 2)</f>
        <v>314.11</v>
      </c>
      <c r="P379" s="27">
        <v>40.270000000000003</v>
      </c>
      <c r="S379" s="28">
        <f>ROUND(ROUND(P379, 2)*I379, 2)</f>
        <v>314.11</v>
      </c>
      <c r="V379" s="9">
        <f>ROUND(ROUND(P379, 2)/1.2, 2)</f>
        <v>33.56</v>
      </c>
      <c r="Y379" s="9">
        <f t="shared" si="17"/>
        <v>261.76</v>
      </c>
      <c r="AD379" s="4" t="s">
        <v>1301</v>
      </c>
      <c r="AE379" s="4" t="s">
        <v>1302</v>
      </c>
      <c r="AF379" s="4" t="s">
        <v>1160</v>
      </c>
    </row>
    <row r="380" spans="1:35" ht="72" x14ac:dyDescent="0.3">
      <c r="A380" s="10" t="s">
        <v>1303</v>
      </c>
      <c r="B380" s="10"/>
      <c r="C380" s="24" t="s">
        <v>1205</v>
      </c>
      <c r="D380" s="15"/>
      <c r="E380" s="15" t="s">
        <v>1304</v>
      </c>
      <c r="F380" s="25" t="s">
        <v>62</v>
      </c>
      <c r="G380" s="26">
        <v>1.2</v>
      </c>
      <c r="H380" s="31"/>
      <c r="I380" s="31">
        <v>37.44</v>
      </c>
      <c r="J380" s="27">
        <v>2021.26</v>
      </c>
      <c r="M380" s="28">
        <f>ROUND(ROUND(J380, 2)*I380, 2)</f>
        <v>75675.97</v>
      </c>
      <c r="P380" s="27">
        <v>1675.8</v>
      </c>
      <c r="S380" s="28">
        <f>ROUND(ROUND(P380, 2)*I380, 2)</f>
        <v>62741.95</v>
      </c>
      <c r="V380" s="9">
        <f>ROUND(ROUND(P380, 2)/1.2, 2)</f>
        <v>1396.5</v>
      </c>
      <c r="Y380" s="9">
        <f t="shared" si="17"/>
        <v>52284.959999999999</v>
      </c>
      <c r="AD380" s="4" t="s">
        <v>1305</v>
      </c>
      <c r="AE380" s="4" t="s">
        <v>1306</v>
      </c>
      <c r="AF380" s="4" t="s">
        <v>1208</v>
      </c>
    </row>
    <row r="381" spans="1:35" ht="36" x14ac:dyDescent="0.3">
      <c r="A381" s="10" t="s">
        <v>1307</v>
      </c>
      <c r="B381" s="10"/>
      <c r="C381" s="30" t="s">
        <v>1200</v>
      </c>
      <c r="D381" s="15"/>
      <c r="E381" s="15"/>
      <c r="F381" s="25" t="s">
        <v>278</v>
      </c>
      <c r="G381" s="26">
        <v>1.2</v>
      </c>
      <c r="H381" s="31"/>
      <c r="I381" s="31">
        <v>37.44</v>
      </c>
      <c r="J381" s="27">
        <v>16.12</v>
      </c>
      <c r="M381" s="28">
        <f>ROUND(ROUND(J381, 2)*I381, 2)</f>
        <v>603.53</v>
      </c>
      <c r="P381" s="27">
        <v>16.11</v>
      </c>
      <c r="S381" s="28">
        <f>ROUND(ROUND(P381, 2)*I381, 2)</f>
        <v>603.16</v>
      </c>
      <c r="V381" s="9">
        <f>ROUND(ROUND(P381, 2)/1.2, 2)</f>
        <v>13.43</v>
      </c>
      <c r="Y381" s="9">
        <f t="shared" si="17"/>
        <v>502.63</v>
      </c>
      <c r="AD381" s="4" t="s">
        <v>1308</v>
      </c>
      <c r="AE381" s="4" t="s">
        <v>1309</v>
      </c>
      <c r="AF381" s="4" t="s">
        <v>1203</v>
      </c>
    </row>
    <row r="382" spans="1:35" ht="54" x14ac:dyDescent="0.3">
      <c r="A382" s="10" t="s">
        <v>1310</v>
      </c>
      <c r="B382" s="10" t="s">
        <v>1195</v>
      </c>
      <c r="C382" s="14" t="s">
        <v>1196</v>
      </c>
      <c r="D382" s="15"/>
      <c r="E382" s="15" t="s">
        <v>1311</v>
      </c>
      <c r="F382" s="15" t="s">
        <v>62</v>
      </c>
      <c r="G382" s="16">
        <v>1</v>
      </c>
      <c r="H382" s="16"/>
      <c r="I382" s="16">
        <v>560.4</v>
      </c>
      <c r="J382" s="17">
        <v>2468.2399999999998</v>
      </c>
      <c r="K382" s="18">
        <v>2785</v>
      </c>
      <c r="L382" s="17">
        <f>J382+ROUND(K382, 2)</f>
        <v>5253.24</v>
      </c>
      <c r="M382" s="17">
        <v>1383201.7</v>
      </c>
      <c r="N382" s="17">
        <v>1560714</v>
      </c>
      <c r="O382" s="17">
        <f>M382+N382</f>
        <v>2943915.7</v>
      </c>
      <c r="P382" s="17">
        <v>1989.72</v>
      </c>
      <c r="Q382" s="18">
        <v>4177.5</v>
      </c>
      <c r="R382" s="17">
        <f>P382+ROUND(Q382, 2)</f>
        <v>6167.22</v>
      </c>
      <c r="S382" s="17">
        <v>1115039.0900000001</v>
      </c>
      <c r="T382" s="17">
        <v>2341071</v>
      </c>
      <c r="U382" s="17">
        <f>S382+T382</f>
        <v>3456110.09</v>
      </c>
      <c r="V382" s="9">
        <f>ROUND(P382 / 1.2, 2)</f>
        <v>1658.1</v>
      </c>
      <c r="W382" s="9">
        <f>ROUND(Q382 / 1.2, 2)</f>
        <v>3481.25</v>
      </c>
      <c r="X382" s="9">
        <f>ROUND(R382 / 1.2, 2)</f>
        <v>5139.3500000000004</v>
      </c>
      <c r="Y382" s="9">
        <f t="shared" si="17"/>
        <v>929199.24</v>
      </c>
      <c r="Z382" s="9">
        <f>ROUND(T382 / 1.2, 2)</f>
        <v>1950892.5</v>
      </c>
      <c r="AA382" s="9">
        <f>Y382+Z382</f>
        <v>2880091.74</v>
      </c>
      <c r="AD382" s="4">
        <v>334080658</v>
      </c>
      <c r="AE382" s="4">
        <v>27245775</v>
      </c>
      <c r="AG382" s="4" t="s">
        <v>1197</v>
      </c>
      <c r="AH382" s="4" t="s">
        <v>1198</v>
      </c>
      <c r="AI382" s="4" t="s">
        <v>250</v>
      </c>
    </row>
    <row r="383" spans="1:35" ht="36" x14ac:dyDescent="0.3">
      <c r="A383" s="10" t="s">
        <v>1312</v>
      </c>
      <c r="B383" s="10"/>
      <c r="C383" s="30" t="s">
        <v>1200</v>
      </c>
      <c r="D383" s="15"/>
      <c r="E383" s="15"/>
      <c r="F383" s="25" t="s">
        <v>278</v>
      </c>
      <c r="G383" s="26">
        <v>1.2</v>
      </c>
      <c r="H383" s="31"/>
      <c r="I383" s="31">
        <v>672.48</v>
      </c>
      <c r="J383" s="27">
        <v>16.12</v>
      </c>
      <c r="M383" s="28">
        <f>ROUND(ROUND(J383, 2)*I383, 2)</f>
        <v>10840.38</v>
      </c>
      <c r="P383" s="27">
        <v>16.11</v>
      </c>
      <c r="S383" s="28">
        <f>ROUND(ROUND(P383, 2)*I383, 2)</f>
        <v>10833.65</v>
      </c>
      <c r="V383" s="9">
        <f>ROUND(ROUND(P383, 2)/1.2, 2)</f>
        <v>13.43</v>
      </c>
      <c r="Y383" s="9">
        <f t="shared" si="17"/>
        <v>9028.0400000000009</v>
      </c>
      <c r="AD383" s="4" t="s">
        <v>1313</v>
      </c>
      <c r="AE383" s="4" t="s">
        <v>1314</v>
      </c>
      <c r="AF383" s="4" t="s">
        <v>1203</v>
      </c>
    </row>
    <row r="384" spans="1:35" ht="90" x14ac:dyDescent="0.3">
      <c r="A384" s="10" t="s">
        <v>1315</v>
      </c>
      <c r="B384" s="10"/>
      <c r="C384" s="24" t="s">
        <v>1205</v>
      </c>
      <c r="D384" s="15"/>
      <c r="E384" s="15" t="s">
        <v>1316</v>
      </c>
      <c r="F384" s="25" t="s">
        <v>62</v>
      </c>
      <c r="G384" s="26">
        <v>1.2</v>
      </c>
      <c r="H384" s="31"/>
      <c r="I384" s="31">
        <v>672.48</v>
      </c>
      <c r="J384" s="27">
        <v>2021.26</v>
      </c>
      <c r="M384" s="28">
        <f>ROUND(ROUND(J384, 2)*I384, 2)</f>
        <v>1359256.92</v>
      </c>
      <c r="P384" s="27">
        <v>1622.5</v>
      </c>
      <c r="S384" s="28">
        <f>ROUND(ROUND(P384, 2)*I384, 2)</f>
        <v>1091098.8</v>
      </c>
      <c r="V384" s="9">
        <f>ROUND(ROUND(P384, 2)/1.2, 2)</f>
        <v>1352.08</v>
      </c>
      <c r="Y384" s="9">
        <f t="shared" si="17"/>
        <v>909249</v>
      </c>
      <c r="AD384" s="4" t="s">
        <v>1317</v>
      </c>
      <c r="AE384" s="4" t="s">
        <v>1318</v>
      </c>
      <c r="AF384" s="4" t="s">
        <v>1208</v>
      </c>
    </row>
    <row r="385" spans="1:35" ht="36" x14ac:dyDescent="0.3">
      <c r="A385" s="10" t="s">
        <v>1319</v>
      </c>
      <c r="B385" s="10"/>
      <c r="C385" s="24" t="s">
        <v>1157</v>
      </c>
      <c r="D385" s="15"/>
      <c r="E385" s="15"/>
      <c r="F385" s="25" t="s">
        <v>278</v>
      </c>
      <c r="G385" s="26">
        <v>0.25</v>
      </c>
      <c r="H385" s="31"/>
      <c r="I385" s="31">
        <v>140.1</v>
      </c>
      <c r="J385" s="27">
        <v>40.270000000000003</v>
      </c>
      <c r="M385" s="28">
        <f>ROUND(ROUND(J385, 2)*I385, 2)</f>
        <v>5641.83</v>
      </c>
      <c r="P385" s="27">
        <v>40.270000000000003</v>
      </c>
      <c r="S385" s="28">
        <f>ROUND(ROUND(P385, 2)*I385, 2)</f>
        <v>5641.83</v>
      </c>
      <c r="V385" s="9">
        <f>ROUND(ROUND(P385, 2)/1.2, 2)</f>
        <v>33.56</v>
      </c>
      <c r="Y385" s="9">
        <f t="shared" si="17"/>
        <v>4701.53</v>
      </c>
      <c r="AD385" s="4" t="s">
        <v>1320</v>
      </c>
      <c r="AE385" s="4" t="s">
        <v>1321</v>
      </c>
      <c r="AF385" s="4" t="s">
        <v>1160</v>
      </c>
    </row>
    <row r="386" spans="1:35" ht="36" x14ac:dyDescent="0.3">
      <c r="A386" s="10" t="s">
        <v>1322</v>
      </c>
      <c r="B386" s="10"/>
      <c r="C386" s="24" t="s">
        <v>1007</v>
      </c>
      <c r="D386" s="15"/>
      <c r="E386" s="15"/>
      <c r="F386" s="25" t="s">
        <v>278</v>
      </c>
      <c r="G386" s="26">
        <v>0.15</v>
      </c>
      <c r="H386" s="26"/>
      <c r="I386" s="26">
        <v>84.06</v>
      </c>
      <c r="J386" s="27">
        <v>88.8</v>
      </c>
      <c r="M386" s="28">
        <f>ROUND(ROUND(J386, 2)*I386, 2)</f>
        <v>7464.53</v>
      </c>
      <c r="P386" s="27">
        <v>88.8</v>
      </c>
      <c r="S386" s="28">
        <f>ROUND(ROUND(P386, 2)*I386, 2)</f>
        <v>7464.53</v>
      </c>
      <c r="V386" s="9">
        <f>ROUND(ROUND(P386, 2)/1.2, 2)</f>
        <v>74</v>
      </c>
      <c r="Y386" s="9">
        <f t="shared" si="17"/>
        <v>6220.44</v>
      </c>
      <c r="AD386" s="4" t="s">
        <v>1323</v>
      </c>
      <c r="AE386" s="4" t="s">
        <v>1324</v>
      </c>
      <c r="AF386" s="4" t="s">
        <v>1010</v>
      </c>
    </row>
    <row r="387" spans="1:35" ht="54" x14ac:dyDescent="0.3">
      <c r="A387" s="10" t="s">
        <v>1325</v>
      </c>
      <c r="B387" s="10" t="s">
        <v>1195</v>
      </c>
      <c r="C387" s="14" t="s">
        <v>1196</v>
      </c>
      <c r="D387" s="15"/>
      <c r="E387" s="15" t="s">
        <v>1326</v>
      </c>
      <c r="F387" s="15" t="s">
        <v>62</v>
      </c>
      <c r="G387" s="16">
        <v>1</v>
      </c>
      <c r="H387" s="16"/>
      <c r="I387" s="16">
        <v>28</v>
      </c>
      <c r="J387" s="17">
        <v>2468.2399999999998</v>
      </c>
      <c r="K387" s="18">
        <v>2785</v>
      </c>
      <c r="L387" s="17">
        <f>J387+ROUND(K387, 2)</f>
        <v>5253.24</v>
      </c>
      <c r="M387" s="17">
        <v>69110.720000000001</v>
      </c>
      <c r="N387" s="17">
        <v>77980</v>
      </c>
      <c r="O387" s="17">
        <f>M387+N387</f>
        <v>147090.72</v>
      </c>
      <c r="P387" s="17">
        <v>2074.44</v>
      </c>
      <c r="Q387" s="18">
        <v>4177.5</v>
      </c>
      <c r="R387" s="17">
        <f>P387+ROUND(Q387, 2)</f>
        <v>6251.9400000000005</v>
      </c>
      <c r="S387" s="17">
        <v>58084.32</v>
      </c>
      <c r="T387" s="17">
        <v>116970</v>
      </c>
      <c r="U387" s="17">
        <f>S387+T387</f>
        <v>175054.32</v>
      </c>
      <c r="V387" s="9">
        <f>ROUND(P387 / 1.2, 2)</f>
        <v>1728.7</v>
      </c>
      <c r="W387" s="9">
        <f>ROUND(Q387 / 1.2, 2)</f>
        <v>3481.25</v>
      </c>
      <c r="X387" s="9">
        <f>ROUND(R387 / 1.2, 2)</f>
        <v>5209.95</v>
      </c>
      <c r="Y387" s="9">
        <f t="shared" si="17"/>
        <v>48403.6</v>
      </c>
      <c r="Z387" s="9">
        <f>ROUND(T387 / 1.2, 2)</f>
        <v>97475</v>
      </c>
      <c r="AA387" s="9">
        <f>Y387+Z387</f>
        <v>145878.6</v>
      </c>
      <c r="AD387" s="4">
        <v>334080659</v>
      </c>
      <c r="AE387" s="4">
        <v>27245776</v>
      </c>
      <c r="AG387" s="4" t="s">
        <v>1197</v>
      </c>
      <c r="AH387" s="4" t="s">
        <v>1198</v>
      </c>
      <c r="AI387" s="4" t="s">
        <v>250</v>
      </c>
    </row>
    <row r="388" spans="1:35" ht="36" x14ac:dyDescent="0.3">
      <c r="A388" s="10" t="s">
        <v>1327</v>
      </c>
      <c r="B388" s="10"/>
      <c r="C388" s="24" t="s">
        <v>1007</v>
      </c>
      <c r="D388" s="15"/>
      <c r="E388" s="15"/>
      <c r="F388" s="25" t="s">
        <v>278</v>
      </c>
      <c r="G388" s="26">
        <v>0.15</v>
      </c>
      <c r="H388" s="26"/>
      <c r="I388" s="26">
        <v>4.2</v>
      </c>
      <c r="J388" s="27">
        <v>88.8</v>
      </c>
      <c r="M388" s="28">
        <f>ROUND(ROUND(J388, 2)*I388, 2)</f>
        <v>372.96</v>
      </c>
      <c r="P388" s="27">
        <v>88.8</v>
      </c>
      <c r="S388" s="28">
        <f>ROUND(ROUND(P388, 2)*I388, 2)</f>
        <v>372.96</v>
      </c>
      <c r="V388" s="9">
        <f>ROUND(ROUND(P388, 2)/1.2, 2)</f>
        <v>74</v>
      </c>
      <c r="Y388" s="9">
        <f t="shared" si="17"/>
        <v>310.8</v>
      </c>
      <c r="AD388" s="4" t="s">
        <v>1328</v>
      </c>
      <c r="AE388" s="4" t="s">
        <v>1329</v>
      </c>
      <c r="AF388" s="4" t="s">
        <v>1010</v>
      </c>
    </row>
    <row r="389" spans="1:35" ht="36" x14ac:dyDescent="0.3">
      <c r="A389" s="10" t="s">
        <v>1330</v>
      </c>
      <c r="B389" s="10"/>
      <c r="C389" s="24" t="s">
        <v>1157</v>
      </c>
      <c r="D389" s="15"/>
      <c r="E389" s="15"/>
      <c r="F389" s="25" t="s">
        <v>278</v>
      </c>
      <c r="G389" s="26">
        <v>0.25</v>
      </c>
      <c r="H389" s="31"/>
      <c r="I389" s="31">
        <v>7</v>
      </c>
      <c r="J389" s="27">
        <v>40.270000000000003</v>
      </c>
      <c r="M389" s="28">
        <f>ROUND(ROUND(J389, 2)*I389, 2)</f>
        <v>281.89</v>
      </c>
      <c r="P389" s="27">
        <v>40.270000000000003</v>
      </c>
      <c r="S389" s="28">
        <f>ROUND(ROUND(P389, 2)*I389, 2)</f>
        <v>281.89</v>
      </c>
      <c r="V389" s="9">
        <f>ROUND(ROUND(P389, 2)/1.2, 2)</f>
        <v>33.56</v>
      </c>
      <c r="Y389" s="9">
        <f t="shared" si="17"/>
        <v>234.91</v>
      </c>
      <c r="AD389" s="4" t="s">
        <v>1331</v>
      </c>
      <c r="AE389" s="4" t="s">
        <v>1332</v>
      </c>
      <c r="AF389" s="4" t="s">
        <v>1160</v>
      </c>
    </row>
    <row r="390" spans="1:35" ht="72" x14ac:dyDescent="0.3">
      <c r="A390" s="10" t="s">
        <v>1333</v>
      </c>
      <c r="B390" s="10"/>
      <c r="C390" s="24" t="s">
        <v>1205</v>
      </c>
      <c r="D390" s="15"/>
      <c r="E390" s="15" t="s">
        <v>1334</v>
      </c>
      <c r="F390" s="25" t="s">
        <v>62</v>
      </c>
      <c r="G390" s="26">
        <v>1.2</v>
      </c>
      <c r="H390" s="31"/>
      <c r="I390" s="31">
        <v>33.6</v>
      </c>
      <c r="J390" s="27">
        <v>2021.26</v>
      </c>
      <c r="M390" s="28">
        <f>ROUND(ROUND(J390, 2)*I390, 2)</f>
        <v>67914.34</v>
      </c>
      <c r="P390" s="27">
        <v>1693.1</v>
      </c>
      <c r="S390" s="28">
        <f>ROUND(ROUND(P390, 2)*I390, 2)</f>
        <v>56888.160000000003</v>
      </c>
      <c r="V390" s="9">
        <f>ROUND(ROUND(P390, 2)/1.2, 2)</f>
        <v>1410.92</v>
      </c>
      <c r="Y390" s="9">
        <f t="shared" si="17"/>
        <v>47406.8</v>
      </c>
      <c r="AD390" s="4" t="s">
        <v>1335</v>
      </c>
      <c r="AE390" s="4" t="s">
        <v>1336</v>
      </c>
      <c r="AF390" s="4" t="s">
        <v>1208</v>
      </c>
    </row>
    <row r="391" spans="1:35" ht="36" x14ac:dyDescent="0.3">
      <c r="A391" s="10" t="s">
        <v>1337</v>
      </c>
      <c r="B391" s="10"/>
      <c r="C391" s="30" t="s">
        <v>1200</v>
      </c>
      <c r="D391" s="15"/>
      <c r="E391" s="15"/>
      <c r="F391" s="25" t="s">
        <v>278</v>
      </c>
      <c r="G391" s="26">
        <v>1.2</v>
      </c>
      <c r="H391" s="31"/>
      <c r="I391" s="31">
        <v>33.6</v>
      </c>
      <c r="J391" s="27">
        <v>16.12</v>
      </c>
      <c r="M391" s="28">
        <f>ROUND(ROUND(J391, 2)*I391, 2)</f>
        <v>541.63</v>
      </c>
      <c r="P391" s="27">
        <v>16.11</v>
      </c>
      <c r="S391" s="28">
        <f>ROUND(ROUND(P391, 2)*I391, 2)</f>
        <v>541.29999999999995</v>
      </c>
      <c r="V391" s="9">
        <f>ROUND(ROUND(P391, 2)/1.2, 2)</f>
        <v>13.43</v>
      </c>
      <c r="Y391" s="9">
        <f t="shared" si="17"/>
        <v>451.08</v>
      </c>
      <c r="AD391" s="4" t="s">
        <v>1338</v>
      </c>
      <c r="AE391" s="4" t="s">
        <v>1339</v>
      </c>
      <c r="AF391" s="4" t="s">
        <v>1203</v>
      </c>
    </row>
    <row r="392" spans="1:35" ht="54" x14ac:dyDescent="0.3">
      <c r="A392" s="10" t="s">
        <v>1340</v>
      </c>
      <c r="B392" s="10" t="s">
        <v>1195</v>
      </c>
      <c r="C392" s="14" t="s">
        <v>1196</v>
      </c>
      <c r="D392" s="15"/>
      <c r="E392" s="15" t="s">
        <v>1341</v>
      </c>
      <c r="F392" s="15" t="s">
        <v>62</v>
      </c>
      <c r="G392" s="16">
        <v>1</v>
      </c>
      <c r="H392" s="16"/>
      <c r="I392" s="16">
        <v>207.1</v>
      </c>
      <c r="J392" s="17">
        <v>2468.2399999999998</v>
      </c>
      <c r="K392" s="18">
        <v>2785</v>
      </c>
      <c r="L392" s="17">
        <f>J392+ROUND(K392, 2)</f>
        <v>5253.24</v>
      </c>
      <c r="M392" s="17">
        <v>511172.5</v>
      </c>
      <c r="N392" s="17">
        <v>576773.5</v>
      </c>
      <c r="O392" s="17">
        <f>M392+N392</f>
        <v>1087946</v>
      </c>
      <c r="P392" s="17">
        <v>1999.8</v>
      </c>
      <c r="Q392" s="18">
        <v>4177.5</v>
      </c>
      <c r="R392" s="17">
        <f>P392+ROUND(Q392, 2)</f>
        <v>6177.3</v>
      </c>
      <c r="S392" s="17">
        <v>414158.58</v>
      </c>
      <c r="T392" s="17">
        <v>865160.25</v>
      </c>
      <c r="U392" s="17">
        <f>S392+T392</f>
        <v>1279318.83</v>
      </c>
      <c r="V392" s="9">
        <f>ROUND(P392 / 1.2, 2)</f>
        <v>1666.5</v>
      </c>
      <c r="W392" s="9">
        <f>ROUND(Q392 / 1.2, 2)</f>
        <v>3481.25</v>
      </c>
      <c r="X392" s="9">
        <f>ROUND(R392 / 1.2, 2)</f>
        <v>5147.75</v>
      </c>
      <c r="Y392" s="9">
        <f t="shared" si="17"/>
        <v>345132.15</v>
      </c>
      <c r="Z392" s="9">
        <f>ROUND(T392 / 1.2, 2)</f>
        <v>720966.88</v>
      </c>
      <c r="AA392" s="9">
        <f>Y392+Z392</f>
        <v>1066099.03</v>
      </c>
      <c r="AD392" s="4">
        <v>334080660</v>
      </c>
      <c r="AE392" s="4">
        <v>27245773</v>
      </c>
      <c r="AG392" s="4" t="s">
        <v>1197</v>
      </c>
      <c r="AH392" s="4" t="s">
        <v>1198</v>
      </c>
      <c r="AI392" s="4" t="s">
        <v>250</v>
      </c>
    </row>
    <row r="393" spans="1:35" ht="36" x14ac:dyDescent="0.3">
      <c r="A393" s="10" t="s">
        <v>1342</v>
      </c>
      <c r="B393" s="10"/>
      <c r="C393" s="30" t="s">
        <v>1200</v>
      </c>
      <c r="D393" s="15"/>
      <c r="E393" s="15"/>
      <c r="F393" s="25" t="s">
        <v>278</v>
      </c>
      <c r="G393" s="26">
        <v>1.2</v>
      </c>
      <c r="H393" s="31"/>
      <c r="I393" s="31">
        <v>248.52</v>
      </c>
      <c r="J393" s="27">
        <v>16.12</v>
      </c>
      <c r="M393" s="28">
        <f>ROUND(ROUND(J393, 2)*I393, 2)</f>
        <v>4006.14</v>
      </c>
      <c r="P393" s="27">
        <v>16.11</v>
      </c>
      <c r="S393" s="28">
        <f>ROUND(ROUND(P393, 2)*I393, 2)</f>
        <v>4003.66</v>
      </c>
      <c r="V393" s="9">
        <f>ROUND(ROUND(P393, 2)/1.2, 2)</f>
        <v>13.43</v>
      </c>
      <c r="Y393" s="9">
        <f t="shared" si="17"/>
        <v>3336.38</v>
      </c>
      <c r="AD393" s="4" t="s">
        <v>1343</v>
      </c>
      <c r="AE393" s="4" t="s">
        <v>1344</v>
      </c>
      <c r="AF393" s="4" t="s">
        <v>1203</v>
      </c>
    </row>
    <row r="394" spans="1:35" ht="72" x14ac:dyDescent="0.3">
      <c r="A394" s="10" t="s">
        <v>1345</v>
      </c>
      <c r="B394" s="10"/>
      <c r="C394" s="24" t="s">
        <v>1205</v>
      </c>
      <c r="D394" s="15"/>
      <c r="E394" s="15" t="s">
        <v>1346</v>
      </c>
      <c r="F394" s="25" t="s">
        <v>62</v>
      </c>
      <c r="G394" s="26">
        <v>1.2</v>
      </c>
      <c r="H394" s="31"/>
      <c r="I394" s="31">
        <v>248.52</v>
      </c>
      <c r="J394" s="27">
        <v>2021.26</v>
      </c>
      <c r="M394" s="28">
        <f>ROUND(ROUND(J394, 2)*I394, 2)</f>
        <v>502323.54</v>
      </c>
      <c r="P394" s="27">
        <v>1630.9</v>
      </c>
      <c r="S394" s="28">
        <f>ROUND(ROUND(P394, 2)*I394, 2)</f>
        <v>405311.27</v>
      </c>
      <c r="V394" s="9">
        <f>ROUND(ROUND(P394, 2)/1.2, 2)</f>
        <v>1359.08</v>
      </c>
      <c r="Y394" s="9">
        <f t="shared" si="17"/>
        <v>337759.39</v>
      </c>
      <c r="AD394" s="4" t="s">
        <v>1347</v>
      </c>
      <c r="AE394" s="4" t="s">
        <v>1348</v>
      </c>
      <c r="AF394" s="4" t="s">
        <v>1208</v>
      </c>
    </row>
    <row r="395" spans="1:35" ht="36" x14ac:dyDescent="0.3">
      <c r="A395" s="10" t="s">
        <v>1349</v>
      </c>
      <c r="B395" s="10"/>
      <c r="C395" s="24" t="s">
        <v>1157</v>
      </c>
      <c r="D395" s="15"/>
      <c r="E395" s="15"/>
      <c r="F395" s="25" t="s">
        <v>278</v>
      </c>
      <c r="G395" s="26">
        <v>0.25</v>
      </c>
      <c r="H395" s="31"/>
      <c r="I395" s="31">
        <v>51.774999999999999</v>
      </c>
      <c r="J395" s="27">
        <v>40.270000000000003</v>
      </c>
      <c r="M395" s="28">
        <f>ROUND(ROUND(J395, 2)*I395, 2)</f>
        <v>2084.98</v>
      </c>
      <c r="P395" s="27">
        <v>40.270000000000003</v>
      </c>
      <c r="S395" s="28">
        <f>ROUND(ROUND(P395, 2)*I395, 2)</f>
        <v>2084.98</v>
      </c>
      <c r="V395" s="9">
        <f>ROUND(ROUND(P395, 2)/1.2, 2)</f>
        <v>33.56</v>
      </c>
      <c r="Y395" s="9">
        <f t="shared" si="17"/>
        <v>1737.48</v>
      </c>
      <c r="AD395" s="4" t="s">
        <v>1350</v>
      </c>
      <c r="AE395" s="4" t="s">
        <v>1351</v>
      </c>
      <c r="AF395" s="4" t="s">
        <v>1160</v>
      </c>
    </row>
    <row r="396" spans="1:35" ht="36" x14ac:dyDescent="0.3">
      <c r="A396" s="10" t="s">
        <v>1352</v>
      </c>
      <c r="B396" s="10"/>
      <c r="C396" s="24" t="s">
        <v>1007</v>
      </c>
      <c r="D396" s="15"/>
      <c r="E396" s="15"/>
      <c r="F396" s="25" t="s">
        <v>278</v>
      </c>
      <c r="G396" s="26">
        <v>0.15</v>
      </c>
      <c r="H396" s="26"/>
      <c r="I396" s="26">
        <v>31.065000000000001</v>
      </c>
      <c r="J396" s="27">
        <v>88.8</v>
      </c>
      <c r="M396" s="28">
        <f>ROUND(ROUND(J396, 2)*I396, 2)</f>
        <v>2758.57</v>
      </c>
      <c r="P396" s="27">
        <v>88.8</v>
      </c>
      <c r="S396" s="28">
        <f>ROUND(ROUND(P396, 2)*I396, 2)</f>
        <v>2758.57</v>
      </c>
      <c r="V396" s="9">
        <f>ROUND(ROUND(P396, 2)/1.2, 2)</f>
        <v>74</v>
      </c>
      <c r="Y396" s="9">
        <f t="shared" si="17"/>
        <v>2298.81</v>
      </c>
      <c r="AD396" s="4" t="s">
        <v>1353</v>
      </c>
      <c r="AE396" s="4" t="s">
        <v>1354</v>
      </c>
      <c r="AF396" s="4" t="s">
        <v>1010</v>
      </c>
    </row>
    <row r="397" spans="1:35" ht="54" x14ac:dyDescent="0.3">
      <c r="A397" s="10" t="s">
        <v>1355</v>
      </c>
      <c r="B397" s="10" t="s">
        <v>1195</v>
      </c>
      <c r="C397" s="14" t="s">
        <v>1196</v>
      </c>
      <c r="D397" s="15"/>
      <c r="E397" s="15" t="s">
        <v>1356</v>
      </c>
      <c r="F397" s="15" t="s">
        <v>62</v>
      </c>
      <c r="G397" s="16">
        <v>1</v>
      </c>
      <c r="H397" s="16"/>
      <c r="I397" s="16">
        <v>207.5</v>
      </c>
      <c r="J397" s="17">
        <v>2468.2399999999998</v>
      </c>
      <c r="K397" s="18">
        <v>2785</v>
      </c>
      <c r="L397" s="17">
        <f>J397+ROUND(K397, 2)</f>
        <v>5253.24</v>
      </c>
      <c r="M397" s="17">
        <v>512159.8</v>
      </c>
      <c r="N397" s="17">
        <v>577887.5</v>
      </c>
      <c r="O397" s="17">
        <f>M397+N397</f>
        <v>1090047.3</v>
      </c>
      <c r="P397" s="17">
        <v>1999.8</v>
      </c>
      <c r="Q397" s="18">
        <v>4177.5</v>
      </c>
      <c r="R397" s="17">
        <f>P397+ROUND(Q397, 2)</f>
        <v>6177.3</v>
      </c>
      <c r="S397" s="17">
        <v>414958.5</v>
      </c>
      <c r="T397" s="17">
        <v>866831.25</v>
      </c>
      <c r="U397" s="17">
        <f>S397+T397</f>
        <v>1281789.75</v>
      </c>
      <c r="V397" s="9">
        <f>ROUND(P397 / 1.2, 2)</f>
        <v>1666.5</v>
      </c>
      <c r="W397" s="9">
        <f>ROUND(Q397 / 1.2, 2)</f>
        <v>3481.25</v>
      </c>
      <c r="X397" s="9">
        <f>ROUND(R397 / 1.2, 2)</f>
        <v>5147.75</v>
      </c>
      <c r="Y397" s="9">
        <f t="shared" si="17"/>
        <v>345798.75</v>
      </c>
      <c r="Z397" s="9">
        <f>ROUND(T397 / 1.2, 2)</f>
        <v>722359.38</v>
      </c>
      <c r="AA397" s="9">
        <f>Y397+Z397</f>
        <v>1068158.1299999999</v>
      </c>
      <c r="AD397" s="4">
        <v>334080661</v>
      </c>
      <c r="AE397" s="4">
        <v>27245770</v>
      </c>
      <c r="AG397" s="4" t="s">
        <v>1197</v>
      </c>
      <c r="AH397" s="4" t="s">
        <v>1198</v>
      </c>
      <c r="AI397" s="4" t="s">
        <v>250</v>
      </c>
    </row>
    <row r="398" spans="1:35" ht="36" x14ac:dyDescent="0.3">
      <c r="A398" s="10" t="s">
        <v>1357</v>
      </c>
      <c r="B398" s="10"/>
      <c r="C398" s="24" t="s">
        <v>1007</v>
      </c>
      <c r="D398" s="15"/>
      <c r="E398" s="15"/>
      <c r="F398" s="25" t="s">
        <v>278</v>
      </c>
      <c r="G398" s="26">
        <v>0.15</v>
      </c>
      <c r="H398" s="26"/>
      <c r="I398" s="26">
        <v>31.125</v>
      </c>
      <c r="J398" s="27">
        <v>88.8</v>
      </c>
      <c r="M398" s="28">
        <f>ROUND(ROUND(J398, 2)*I398, 2)</f>
        <v>2763.9</v>
      </c>
      <c r="P398" s="27">
        <v>88.8</v>
      </c>
      <c r="S398" s="28">
        <f>ROUND(ROUND(P398, 2)*I398, 2)</f>
        <v>2763.9</v>
      </c>
      <c r="V398" s="9">
        <f>ROUND(ROUND(P398, 2)/1.2, 2)</f>
        <v>74</v>
      </c>
      <c r="Y398" s="9">
        <f t="shared" si="17"/>
        <v>2303.25</v>
      </c>
      <c r="AD398" s="4" t="s">
        <v>1358</v>
      </c>
      <c r="AE398" s="4" t="s">
        <v>1359</v>
      </c>
      <c r="AF398" s="4" t="s">
        <v>1010</v>
      </c>
    </row>
    <row r="399" spans="1:35" ht="36" x14ac:dyDescent="0.3">
      <c r="A399" s="10" t="s">
        <v>1360</v>
      </c>
      <c r="B399" s="10"/>
      <c r="C399" s="24" t="s">
        <v>1157</v>
      </c>
      <c r="D399" s="15"/>
      <c r="E399" s="15"/>
      <c r="F399" s="25" t="s">
        <v>278</v>
      </c>
      <c r="G399" s="26">
        <v>0.25</v>
      </c>
      <c r="H399" s="31"/>
      <c r="I399" s="31">
        <v>51.875</v>
      </c>
      <c r="J399" s="27">
        <v>40.270000000000003</v>
      </c>
      <c r="M399" s="28">
        <f>ROUND(ROUND(J399, 2)*I399, 2)</f>
        <v>2089.0100000000002</v>
      </c>
      <c r="P399" s="27">
        <v>40.270000000000003</v>
      </c>
      <c r="S399" s="28">
        <f>ROUND(ROUND(P399, 2)*I399, 2)</f>
        <v>2089.0100000000002</v>
      </c>
      <c r="V399" s="9">
        <f>ROUND(ROUND(P399, 2)/1.2, 2)</f>
        <v>33.56</v>
      </c>
      <c r="Y399" s="9">
        <f t="shared" si="17"/>
        <v>1740.84</v>
      </c>
      <c r="AD399" s="4" t="s">
        <v>1361</v>
      </c>
      <c r="AE399" s="4" t="s">
        <v>1362</v>
      </c>
      <c r="AF399" s="4" t="s">
        <v>1160</v>
      </c>
    </row>
    <row r="400" spans="1:35" ht="90" x14ac:dyDescent="0.3">
      <c r="A400" s="10" t="s">
        <v>1363</v>
      </c>
      <c r="B400" s="10"/>
      <c r="C400" s="24" t="s">
        <v>1205</v>
      </c>
      <c r="D400" s="15"/>
      <c r="E400" s="15" t="s">
        <v>1364</v>
      </c>
      <c r="F400" s="25" t="s">
        <v>62</v>
      </c>
      <c r="G400" s="26">
        <v>1.2</v>
      </c>
      <c r="H400" s="31"/>
      <c r="I400" s="31">
        <v>249</v>
      </c>
      <c r="J400" s="27">
        <v>2021.26</v>
      </c>
      <c r="M400" s="28">
        <f>ROUND(ROUND(J400, 2)*I400, 2)</f>
        <v>503293.74</v>
      </c>
      <c r="P400" s="27">
        <v>1630.9</v>
      </c>
      <c r="S400" s="28">
        <f>ROUND(ROUND(P400, 2)*I400, 2)</f>
        <v>406094.1</v>
      </c>
      <c r="V400" s="9">
        <f>ROUND(ROUND(P400, 2)/1.2, 2)</f>
        <v>1359.08</v>
      </c>
      <c r="Y400" s="9">
        <f t="shared" si="17"/>
        <v>338411.75</v>
      </c>
      <c r="AD400" s="4" t="s">
        <v>1365</v>
      </c>
      <c r="AE400" s="4" t="s">
        <v>1366</v>
      </c>
      <c r="AF400" s="4" t="s">
        <v>1208</v>
      </c>
    </row>
    <row r="401" spans="1:35" ht="36" x14ac:dyDescent="0.3">
      <c r="A401" s="10" t="s">
        <v>1367</v>
      </c>
      <c r="B401" s="10"/>
      <c r="C401" s="30" t="s">
        <v>1200</v>
      </c>
      <c r="D401" s="15"/>
      <c r="E401" s="15"/>
      <c r="F401" s="25" t="s">
        <v>278</v>
      </c>
      <c r="G401" s="26">
        <v>1.2</v>
      </c>
      <c r="H401" s="31"/>
      <c r="I401" s="31">
        <v>249</v>
      </c>
      <c r="J401" s="27">
        <v>16.12</v>
      </c>
      <c r="M401" s="28">
        <f>ROUND(ROUND(J401, 2)*I401, 2)</f>
        <v>4013.88</v>
      </c>
      <c r="P401" s="27">
        <v>16.11</v>
      </c>
      <c r="S401" s="28">
        <f>ROUND(ROUND(P401, 2)*I401, 2)</f>
        <v>4011.39</v>
      </c>
      <c r="V401" s="9">
        <f>ROUND(ROUND(P401, 2)/1.2, 2)</f>
        <v>13.43</v>
      </c>
      <c r="Y401" s="9">
        <f t="shared" si="17"/>
        <v>3342.83</v>
      </c>
      <c r="AD401" s="4" t="s">
        <v>1368</v>
      </c>
      <c r="AE401" s="4" t="s">
        <v>1369</v>
      </c>
      <c r="AF401" s="4" t="s">
        <v>1203</v>
      </c>
    </row>
    <row r="402" spans="1:35" ht="144" x14ac:dyDescent="0.3">
      <c r="A402" s="10" t="s">
        <v>1370</v>
      </c>
      <c r="B402" s="10" t="s">
        <v>1195</v>
      </c>
      <c r="C402" s="14" t="s">
        <v>1196</v>
      </c>
      <c r="D402" s="15"/>
      <c r="E402" s="15" t="s">
        <v>1371</v>
      </c>
      <c r="F402" s="15" t="s">
        <v>62</v>
      </c>
      <c r="G402" s="16">
        <v>1</v>
      </c>
      <c r="H402" s="16"/>
      <c r="I402" s="16">
        <v>1028.5899999999999</v>
      </c>
      <c r="J402" s="17">
        <f>IFERROR(ROUND(SUM(M403,M404,M405,M406)/I402, 2),0)</f>
        <v>2587.9899999999998</v>
      </c>
      <c r="K402" s="18">
        <v>2785</v>
      </c>
      <c r="L402" s="17">
        <f>J402+ROUND(K402, 2)</f>
        <v>5372.99</v>
      </c>
      <c r="M402" s="17">
        <f>ROUND(J402*I402, 2)</f>
        <v>2661980.63</v>
      </c>
      <c r="N402" s="17">
        <f>ROUND(I402*ROUND(K402, 2), 2)</f>
        <v>2864623.15</v>
      </c>
      <c r="O402" s="17">
        <f>M402+N402</f>
        <v>5526603.7799999993</v>
      </c>
      <c r="P402" s="17">
        <f>IFERROR(ROUND(SUM(S403,S404,S405,S406)/I402, 2),0)</f>
        <v>2587.9899999999998</v>
      </c>
      <c r="Q402" s="19">
        <v>4177.5</v>
      </c>
      <c r="R402" s="17">
        <f>P402+ROUND(Q402, 2)</f>
        <v>6765.49</v>
      </c>
      <c r="S402" s="17">
        <f>ROUND(P402*I402, 2)</f>
        <v>2661980.63</v>
      </c>
      <c r="T402" s="17">
        <f>ROUND(I402*ROUND(Q402, 2), 2)</f>
        <v>4296934.7300000004</v>
      </c>
      <c r="U402" s="17">
        <f>S402+T402</f>
        <v>6958915.3600000003</v>
      </c>
      <c r="V402" s="9">
        <f>ROUND(P402 / 1.2, 2)</f>
        <v>2156.66</v>
      </c>
      <c r="W402" s="9">
        <f>ROUND(Q402 / 1.2, 2)</f>
        <v>3481.25</v>
      </c>
      <c r="X402" s="9">
        <f>ROUND(R402 / 1.2, 2)</f>
        <v>5637.91</v>
      </c>
      <c r="Y402" s="9">
        <f t="shared" si="17"/>
        <v>2218317.19</v>
      </c>
      <c r="Z402" s="9">
        <f>ROUND(T402 / 1.2, 2)</f>
        <v>3580778.94</v>
      </c>
      <c r="AA402" s="9">
        <f>Y402+Z402</f>
        <v>5799096.1299999999</v>
      </c>
      <c r="AD402" s="4">
        <v>334080662</v>
      </c>
      <c r="AE402" s="4">
        <v>29328538</v>
      </c>
      <c r="AG402" s="4" t="s">
        <v>1197</v>
      </c>
      <c r="AH402" s="4" t="s">
        <v>1198</v>
      </c>
      <c r="AI402" s="4" t="s">
        <v>250</v>
      </c>
    </row>
    <row r="403" spans="1:35" ht="36" x14ac:dyDescent="0.3">
      <c r="A403" s="10" t="s">
        <v>1372</v>
      </c>
      <c r="B403" s="10"/>
      <c r="C403" s="30" t="s">
        <v>1200</v>
      </c>
      <c r="D403" s="15"/>
      <c r="E403" s="15"/>
      <c r="F403" s="25" t="s">
        <v>278</v>
      </c>
      <c r="G403" s="26">
        <v>1.2</v>
      </c>
      <c r="H403" s="31"/>
      <c r="I403" s="31">
        <v>6171.54</v>
      </c>
      <c r="J403" s="27">
        <v>16.38</v>
      </c>
      <c r="M403" s="28">
        <f>ROUND(ROUND(J403, 2)*I403, 2)</f>
        <v>101089.83</v>
      </c>
      <c r="P403" s="29">
        <v>16.38</v>
      </c>
      <c r="S403" s="28">
        <f>ROUND(ROUND(P403, 2)*I403, 2)</f>
        <v>101089.83</v>
      </c>
      <c r="V403" s="9">
        <f>ROUND(ROUND(P403, 2)/1.2, 2)</f>
        <v>13.65</v>
      </c>
      <c r="Y403" s="9">
        <f t="shared" si="17"/>
        <v>84241.53</v>
      </c>
      <c r="AD403" s="4" t="s">
        <v>1373</v>
      </c>
      <c r="AE403" s="4" t="s">
        <v>1374</v>
      </c>
      <c r="AF403" s="4" t="s">
        <v>1203</v>
      </c>
    </row>
    <row r="404" spans="1:35" ht="72" x14ac:dyDescent="0.3">
      <c r="A404" s="10" t="s">
        <v>1375</v>
      </c>
      <c r="B404" s="10"/>
      <c r="C404" s="24" t="s">
        <v>1205</v>
      </c>
      <c r="D404" s="15"/>
      <c r="E404" s="15" t="s">
        <v>1376</v>
      </c>
      <c r="F404" s="25" t="s">
        <v>62</v>
      </c>
      <c r="G404" s="26">
        <v>1.2</v>
      </c>
      <c r="H404" s="31"/>
      <c r="I404" s="31">
        <v>1234.308</v>
      </c>
      <c r="J404" s="27">
        <v>2054.94</v>
      </c>
      <c r="M404" s="28">
        <f>ROUND(ROUND(J404, 2)*I404, 2)</f>
        <v>2536428.88</v>
      </c>
      <c r="P404" s="29">
        <v>2054.94</v>
      </c>
      <c r="S404" s="28">
        <f>ROUND(ROUND(P404, 2)*I404, 2)</f>
        <v>2536428.88</v>
      </c>
      <c r="V404" s="9">
        <f>ROUND(ROUND(P404, 2)/1.2, 2)</f>
        <v>1712.45</v>
      </c>
      <c r="Y404" s="9">
        <f t="shared" si="17"/>
        <v>2113690.73</v>
      </c>
      <c r="AD404" s="4" t="s">
        <v>1377</v>
      </c>
      <c r="AE404" s="4" t="s">
        <v>1378</v>
      </c>
      <c r="AF404" s="4" t="s">
        <v>1208</v>
      </c>
    </row>
    <row r="405" spans="1:35" ht="36" x14ac:dyDescent="0.3">
      <c r="A405" s="10" t="s">
        <v>1379</v>
      </c>
      <c r="B405" s="10"/>
      <c r="C405" s="24" t="s">
        <v>1157</v>
      </c>
      <c r="D405" s="15"/>
      <c r="E405" s="15"/>
      <c r="F405" s="25" t="s">
        <v>278</v>
      </c>
      <c r="G405" s="26">
        <v>0.25</v>
      </c>
      <c r="H405" s="31"/>
      <c r="I405" s="31">
        <v>257.14800000000002</v>
      </c>
      <c r="J405" s="27">
        <v>40.94</v>
      </c>
      <c r="M405" s="28">
        <f>ROUND(ROUND(J405, 2)*I405, 2)</f>
        <v>10527.64</v>
      </c>
      <c r="P405" s="29">
        <v>40.94</v>
      </c>
      <c r="S405" s="28">
        <f>ROUND(ROUND(P405, 2)*I405, 2)</f>
        <v>10527.64</v>
      </c>
      <c r="V405" s="9">
        <f>ROUND(ROUND(P405, 2)/1.2, 2)</f>
        <v>34.119999999999997</v>
      </c>
      <c r="Y405" s="9">
        <f t="shared" si="17"/>
        <v>8773.0300000000007</v>
      </c>
      <c r="AD405" s="4" t="s">
        <v>1380</v>
      </c>
      <c r="AE405" s="4" t="s">
        <v>1381</v>
      </c>
      <c r="AF405" s="4" t="s">
        <v>1160</v>
      </c>
    </row>
    <row r="406" spans="1:35" ht="36" x14ac:dyDescent="0.3">
      <c r="A406" s="10" t="s">
        <v>1382</v>
      </c>
      <c r="B406" s="10"/>
      <c r="C406" s="24" t="s">
        <v>1007</v>
      </c>
      <c r="D406" s="15"/>
      <c r="E406" s="15"/>
      <c r="F406" s="25" t="s">
        <v>278</v>
      </c>
      <c r="G406" s="26">
        <v>0.15</v>
      </c>
      <c r="H406" s="26"/>
      <c r="I406" s="26">
        <v>154.28899999999999</v>
      </c>
      <c r="J406" s="27">
        <v>90.28</v>
      </c>
      <c r="M406" s="28">
        <f>ROUND(ROUND(J406, 2)*I406, 2)</f>
        <v>13929.21</v>
      </c>
      <c r="P406" s="29">
        <v>90.28</v>
      </c>
      <c r="S406" s="28">
        <f>ROUND(ROUND(P406, 2)*I406, 2)</f>
        <v>13929.21</v>
      </c>
      <c r="V406" s="9">
        <f>ROUND(ROUND(P406, 2)/1.2, 2)</f>
        <v>75.23</v>
      </c>
      <c r="Y406" s="9">
        <f t="shared" si="17"/>
        <v>11607.68</v>
      </c>
      <c r="AD406" s="4" t="s">
        <v>1383</v>
      </c>
      <c r="AE406" s="4" t="s">
        <v>1384</v>
      </c>
      <c r="AF406" s="4" t="s">
        <v>1010</v>
      </c>
    </row>
    <row r="407" spans="1:35" ht="126" x14ac:dyDescent="0.3">
      <c r="A407" s="10" t="s">
        <v>1385</v>
      </c>
      <c r="B407" s="10" t="s">
        <v>1195</v>
      </c>
      <c r="C407" s="14" t="s">
        <v>1196</v>
      </c>
      <c r="D407" s="15"/>
      <c r="E407" s="15" t="s">
        <v>1386</v>
      </c>
      <c r="F407" s="15" t="s">
        <v>62</v>
      </c>
      <c r="G407" s="16">
        <v>1</v>
      </c>
      <c r="H407" s="16"/>
      <c r="I407" s="16">
        <v>31.09</v>
      </c>
      <c r="J407" s="17">
        <f>IFERROR(ROUND(SUM(M408,M409,M410,M411)/I407, 2),0)</f>
        <v>2587.9899999999998</v>
      </c>
      <c r="K407" s="18">
        <v>2785</v>
      </c>
      <c r="L407" s="17">
        <f>J407+ROUND(K407, 2)</f>
        <v>5372.99</v>
      </c>
      <c r="M407" s="17">
        <f>ROUND(J407*I407, 2)</f>
        <v>80460.61</v>
      </c>
      <c r="N407" s="17">
        <f>ROUND(I407*ROUND(K407, 2), 2)</f>
        <v>86585.65</v>
      </c>
      <c r="O407" s="17">
        <f>M407+N407</f>
        <v>167046.26</v>
      </c>
      <c r="P407" s="17">
        <f>IFERROR(ROUND(SUM(S408,S409,S410,S411)/I407, 2),0)</f>
        <v>2587.9899999999998</v>
      </c>
      <c r="Q407" s="19">
        <v>4177.5</v>
      </c>
      <c r="R407" s="17">
        <f>P407+ROUND(Q407, 2)</f>
        <v>6765.49</v>
      </c>
      <c r="S407" s="17">
        <f>ROUND(P407*I407, 2)</f>
        <v>80460.61</v>
      </c>
      <c r="T407" s="17">
        <f>ROUND(I407*ROUND(Q407, 2), 2)</f>
        <v>129878.48</v>
      </c>
      <c r="U407" s="17">
        <f>S407+T407</f>
        <v>210339.09</v>
      </c>
      <c r="V407" s="9">
        <f>ROUND(P407 / 1.2, 2)</f>
        <v>2156.66</v>
      </c>
      <c r="W407" s="9">
        <f>ROUND(Q407 / 1.2, 2)</f>
        <v>3481.25</v>
      </c>
      <c r="X407" s="9">
        <f>ROUND(R407 / 1.2, 2)</f>
        <v>5637.91</v>
      </c>
      <c r="Y407" s="9">
        <f t="shared" si="17"/>
        <v>67050.509999999995</v>
      </c>
      <c r="Z407" s="9">
        <f>ROUND(T407 / 1.2, 2)</f>
        <v>108232.07</v>
      </c>
      <c r="AA407" s="9">
        <f>Y407+Z407</f>
        <v>175282.58000000002</v>
      </c>
      <c r="AD407" s="4">
        <v>334080663</v>
      </c>
      <c r="AE407" s="4">
        <v>29328536</v>
      </c>
      <c r="AG407" s="4" t="s">
        <v>1197</v>
      </c>
      <c r="AH407" s="4" t="s">
        <v>1198</v>
      </c>
      <c r="AI407" s="4" t="s">
        <v>250</v>
      </c>
    </row>
    <row r="408" spans="1:35" ht="36" x14ac:dyDescent="0.3">
      <c r="A408" s="10" t="s">
        <v>1387</v>
      </c>
      <c r="B408" s="10"/>
      <c r="C408" s="24" t="s">
        <v>1007</v>
      </c>
      <c r="D408" s="15"/>
      <c r="E408" s="15"/>
      <c r="F408" s="25" t="s">
        <v>278</v>
      </c>
      <c r="G408" s="26">
        <v>0.15</v>
      </c>
      <c r="H408" s="26"/>
      <c r="I408" s="26">
        <v>4.6639999999999997</v>
      </c>
      <c r="J408" s="27">
        <v>90.28</v>
      </c>
      <c r="M408" s="28">
        <f>ROUND(ROUND(J408, 2)*I408, 2)</f>
        <v>421.07</v>
      </c>
      <c r="P408" s="29">
        <v>90.28</v>
      </c>
      <c r="S408" s="28">
        <f>ROUND(ROUND(P408, 2)*I408, 2)</f>
        <v>421.07</v>
      </c>
      <c r="V408" s="9">
        <f>ROUND(ROUND(P408, 2)/1.2, 2)</f>
        <v>75.23</v>
      </c>
      <c r="Y408" s="9">
        <f t="shared" si="17"/>
        <v>350.89</v>
      </c>
      <c r="AD408" s="4" t="s">
        <v>1388</v>
      </c>
      <c r="AE408" s="4" t="s">
        <v>1389</v>
      </c>
      <c r="AF408" s="4" t="s">
        <v>1010</v>
      </c>
    </row>
    <row r="409" spans="1:35" ht="36" x14ac:dyDescent="0.3">
      <c r="A409" s="10" t="s">
        <v>1390</v>
      </c>
      <c r="B409" s="10"/>
      <c r="C409" s="24" t="s">
        <v>1157</v>
      </c>
      <c r="D409" s="15"/>
      <c r="E409" s="15"/>
      <c r="F409" s="25" t="s">
        <v>278</v>
      </c>
      <c r="G409" s="26">
        <v>0.25</v>
      </c>
      <c r="H409" s="31"/>
      <c r="I409" s="31">
        <v>7.7729999999999997</v>
      </c>
      <c r="J409" s="27">
        <v>40.94</v>
      </c>
      <c r="M409" s="28">
        <f>ROUND(ROUND(J409, 2)*I409, 2)</f>
        <v>318.23</v>
      </c>
      <c r="P409" s="29">
        <v>40.94</v>
      </c>
      <c r="S409" s="28">
        <f>ROUND(ROUND(P409, 2)*I409, 2)</f>
        <v>318.23</v>
      </c>
      <c r="V409" s="9">
        <f>ROUND(ROUND(P409, 2)/1.2, 2)</f>
        <v>34.119999999999997</v>
      </c>
      <c r="Y409" s="9">
        <f t="shared" si="17"/>
        <v>265.19</v>
      </c>
      <c r="AD409" s="4" t="s">
        <v>1391</v>
      </c>
      <c r="AE409" s="4" t="s">
        <v>1392</v>
      </c>
      <c r="AF409" s="4" t="s">
        <v>1160</v>
      </c>
    </row>
    <row r="410" spans="1:35" ht="54" x14ac:dyDescent="0.3">
      <c r="A410" s="10" t="s">
        <v>1393</v>
      </c>
      <c r="B410" s="10"/>
      <c r="C410" s="24" t="s">
        <v>1205</v>
      </c>
      <c r="D410" s="15"/>
      <c r="E410" s="15" t="s">
        <v>1394</v>
      </c>
      <c r="F410" s="25" t="s">
        <v>62</v>
      </c>
      <c r="G410" s="26">
        <v>1.2</v>
      </c>
      <c r="H410" s="31"/>
      <c r="I410" s="31">
        <v>37.308</v>
      </c>
      <c r="J410" s="27">
        <v>2054.94</v>
      </c>
      <c r="M410" s="28">
        <f>ROUND(ROUND(J410, 2)*I410, 2)</f>
        <v>76665.7</v>
      </c>
      <c r="P410" s="29">
        <v>2054.94</v>
      </c>
      <c r="S410" s="28">
        <f>ROUND(ROUND(P410, 2)*I410, 2)</f>
        <v>76665.7</v>
      </c>
      <c r="V410" s="9">
        <f>ROUND(ROUND(P410, 2)/1.2, 2)</f>
        <v>1712.45</v>
      </c>
      <c r="Y410" s="9">
        <f t="shared" si="17"/>
        <v>63888.08</v>
      </c>
      <c r="AD410" s="4" t="s">
        <v>1395</v>
      </c>
      <c r="AE410" s="4" t="s">
        <v>1396</v>
      </c>
      <c r="AF410" s="4" t="s">
        <v>1208</v>
      </c>
    </row>
    <row r="411" spans="1:35" ht="36" x14ac:dyDescent="0.3">
      <c r="A411" s="10" t="s">
        <v>1397</v>
      </c>
      <c r="B411" s="10"/>
      <c r="C411" s="30" t="s">
        <v>1200</v>
      </c>
      <c r="D411" s="15"/>
      <c r="E411" s="15"/>
      <c r="F411" s="25" t="s">
        <v>278</v>
      </c>
      <c r="G411" s="26">
        <v>1.2</v>
      </c>
      <c r="H411" s="31"/>
      <c r="I411" s="31">
        <v>186.54</v>
      </c>
      <c r="J411" s="27">
        <v>16.38</v>
      </c>
      <c r="M411" s="28">
        <f>ROUND(ROUND(J411, 2)*I411, 2)</f>
        <v>3055.53</v>
      </c>
      <c r="P411" s="29">
        <v>16.38</v>
      </c>
      <c r="S411" s="28">
        <f>ROUND(ROUND(P411, 2)*I411, 2)</f>
        <v>3055.53</v>
      </c>
      <c r="V411" s="9">
        <f>ROUND(ROUND(P411, 2)/1.2, 2)</f>
        <v>13.65</v>
      </c>
      <c r="Y411" s="9">
        <f t="shared" si="17"/>
        <v>2546.2800000000002</v>
      </c>
      <c r="AD411" s="4" t="s">
        <v>1398</v>
      </c>
      <c r="AE411" s="4" t="s">
        <v>1399</v>
      </c>
      <c r="AF411" s="4" t="s">
        <v>1203</v>
      </c>
    </row>
    <row r="412" spans="1:35" ht="144" x14ac:dyDescent="0.3">
      <c r="A412" s="10" t="s">
        <v>1400</v>
      </c>
      <c r="B412" s="10" t="s">
        <v>1195</v>
      </c>
      <c r="C412" s="14" t="s">
        <v>1196</v>
      </c>
      <c r="D412" s="15"/>
      <c r="E412" s="15" t="s">
        <v>1401</v>
      </c>
      <c r="F412" s="15" t="s">
        <v>62</v>
      </c>
      <c r="G412" s="16">
        <v>1</v>
      </c>
      <c r="H412" s="16"/>
      <c r="I412" s="16">
        <v>477</v>
      </c>
      <c r="J412" s="17">
        <f>IFERROR(ROUND(SUM(M413,M414,M415,M416)/I412, 2),0)</f>
        <v>2587.9899999999998</v>
      </c>
      <c r="K412" s="18">
        <v>2785</v>
      </c>
      <c r="L412" s="17">
        <f>J412+ROUND(K412, 2)</f>
        <v>5372.99</v>
      </c>
      <c r="M412" s="17">
        <f>ROUND(J412*I412, 2)</f>
        <v>1234471.23</v>
      </c>
      <c r="N412" s="17">
        <f>ROUND(I412*ROUND(K412, 2), 2)</f>
        <v>1328445</v>
      </c>
      <c r="O412" s="17">
        <f>M412+N412</f>
        <v>2562916.23</v>
      </c>
      <c r="P412" s="17">
        <f>IFERROR(ROUND(SUM(S413,S414,S415,S416)/I412, 2),0)</f>
        <v>2587.9899999999998</v>
      </c>
      <c r="Q412" s="19">
        <v>4177.5</v>
      </c>
      <c r="R412" s="17">
        <f>P412+ROUND(Q412, 2)</f>
        <v>6765.49</v>
      </c>
      <c r="S412" s="17">
        <f>ROUND(P412*I412, 2)</f>
        <v>1234471.23</v>
      </c>
      <c r="T412" s="17">
        <f>ROUND(I412*ROUND(Q412, 2), 2)</f>
        <v>1992667.5</v>
      </c>
      <c r="U412" s="17">
        <f>S412+T412</f>
        <v>3227138.73</v>
      </c>
      <c r="V412" s="9">
        <f>ROUND(P412 / 1.2, 2)</f>
        <v>2156.66</v>
      </c>
      <c r="W412" s="9">
        <f>ROUND(Q412 / 1.2, 2)</f>
        <v>3481.25</v>
      </c>
      <c r="X412" s="9">
        <f>ROUND(R412 / 1.2, 2)</f>
        <v>5637.91</v>
      </c>
      <c r="Y412" s="9">
        <f t="shared" si="17"/>
        <v>1028726.03</v>
      </c>
      <c r="Z412" s="9">
        <f>ROUND(T412 / 1.2, 2)</f>
        <v>1660556.25</v>
      </c>
      <c r="AA412" s="9">
        <f>Y412+Z412</f>
        <v>2689282.2800000003</v>
      </c>
      <c r="AD412" s="4">
        <v>334080664</v>
      </c>
      <c r="AE412" s="4">
        <v>29328537</v>
      </c>
      <c r="AG412" s="4" t="s">
        <v>1197</v>
      </c>
      <c r="AH412" s="4" t="s">
        <v>1198</v>
      </c>
      <c r="AI412" s="4" t="s">
        <v>250</v>
      </c>
    </row>
    <row r="413" spans="1:35" ht="36" x14ac:dyDescent="0.3">
      <c r="A413" s="10" t="s">
        <v>1402</v>
      </c>
      <c r="B413" s="10"/>
      <c r="C413" s="30" t="s">
        <v>1200</v>
      </c>
      <c r="D413" s="15"/>
      <c r="E413" s="15"/>
      <c r="F413" s="25" t="s">
        <v>278</v>
      </c>
      <c r="G413" s="26">
        <v>1.2</v>
      </c>
      <c r="H413" s="31"/>
      <c r="I413" s="31">
        <v>2862</v>
      </c>
      <c r="J413" s="27">
        <v>16.38</v>
      </c>
      <c r="M413" s="28">
        <f>ROUND(ROUND(J413, 2)*I413, 2)</f>
        <v>46879.56</v>
      </c>
      <c r="P413" s="29">
        <v>16.38</v>
      </c>
      <c r="S413" s="28">
        <f>ROUND(ROUND(P413, 2)*I413, 2)</f>
        <v>46879.56</v>
      </c>
      <c r="V413" s="9">
        <f>ROUND(ROUND(P413, 2)/1.2, 2)</f>
        <v>13.65</v>
      </c>
      <c r="Y413" s="9">
        <f t="shared" si="17"/>
        <v>39066.300000000003</v>
      </c>
      <c r="AD413" s="4" t="s">
        <v>1403</v>
      </c>
      <c r="AE413" s="4" t="s">
        <v>1404</v>
      </c>
      <c r="AF413" s="4" t="s">
        <v>1203</v>
      </c>
    </row>
    <row r="414" spans="1:35" ht="72" x14ac:dyDescent="0.3">
      <c r="A414" s="10" t="s">
        <v>1405</v>
      </c>
      <c r="B414" s="10"/>
      <c r="C414" s="24" t="s">
        <v>1205</v>
      </c>
      <c r="D414" s="15"/>
      <c r="E414" s="15" t="s">
        <v>1406</v>
      </c>
      <c r="F414" s="25" t="s">
        <v>62</v>
      </c>
      <c r="G414" s="26">
        <v>1.2</v>
      </c>
      <c r="H414" s="31"/>
      <c r="I414" s="31">
        <v>572.4</v>
      </c>
      <c r="J414" s="27">
        <v>2054.94</v>
      </c>
      <c r="M414" s="28">
        <f>ROUND(ROUND(J414, 2)*I414, 2)</f>
        <v>1176247.6599999999</v>
      </c>
      <c r="P414" s="29">
        <v>2054.94</v>
      </c>
      <c r="S414" s="28">
        <f>ROUND(ROUND(P414, 2)*I414, 2)</f>
        <v>1176247.6599999999</v>
      </c>
      <c r="V414" s="9">
        <f>ROUND(ROUND(P414, 2)/1.2, 2)</f>
        <v>1712.45</v>
      </c>
      <c r="Y414" s="9">
        <f t="shared" si="17"/>
        <v>980206.38</v>
      </c>
      <c r="AD414" s="4" t="s">
        <v>1407</v>
      </c>
      <c r="AE414" s="4" t="s">
        <v>1408</v>
      </c>
      <c r="AF414" s="4" t="s">
        <v>1208</v>
      </c>
    </row>
    <row r="415" spans="1:35" ht="36" x14ac:dyDescent="0.3">
      <c r="A415" s="10" t="s">
        <v>1409</v>
      </c>
      <c r="B415" s="10"/>
      <c r="C415" s="24" t="s">
        <v>1157</v>
      </c>
      <c r="D415" s="15"/>
      <c r="E415" s="15"/>
      <c r="F415" s="25" t="s">
        <v>278</v>
      </c>
      <c r="G415" s="26">
        <v>0.25</v>
      </c>
      <c r="H415" s="31"/>
      <c r="I415" s="31">
        <v>119.25</v>
      </c>
      <c r="J415" s="27">
        <v>40.94</v>
      </c>
      <c r="M415" s="28">
        <f>ROUND(ROUND(J415, 2)*I415, 2)</f>
        <v>4882.1000000000004</v>
      </c>
      <c r="P415" s="29">
        <v>40.94</v>
      </c>
      <c r="S415" s="28">
        <f>ROUND(ROUND(P415, 2)*I415, 2)</f>
        <v>4882.1000000000004</v>
      </c>
      <c r="V415" s="9">
        <f>ROUND(ROUND(P415, 2)/1.2, 2)</f>
        <v>34.119999999999997</v>
      </c>
      <c r="Y415" s="9">
        <f t="shared" si="17"/>
        <v>4068.42</v>
      </c>
      <c r="AD415" s="4" t="s">
        <v>1410</v>
      </c>
      <c r="AE415" s="4" t="s">
        <v>1411</v>
      </c>
      <c r="AF415" s="4" t="s">
        <v>1160</v>
      </c>
    </row>
    <row r="416" spans="1:35" ht="36" x14ac:dyDescent="0.3">
      <c r="A416" s="10" t="s">
        <v>1412</v>
      </c>
      <c r="B416" s="10"/>
      <c r="C416" s="24" t="s">
        <v>1007</v>
      </c>
      <c r="D416" s="15"/>
      <c r="E416" s="15"/>
      <c r="F416" s="25" t="s">
        <v>278</v>
      </c>
      <c r="G416" s="26">
        <v>0.15</v>
      </c>
      <c r="H416" s="26"/>
      <c r="I416" s="26">
        <v>71.55</v>
      </c>
      <c r="J416" s="27">
        <v>90.28</v>
      </c>
      <c r="M416" s="28">
        <f>ROUND(ROUND(J416, 2)*I416, 2)</f>
        <v>6459.53</v>
      </c>
      <c r="P416" s="29">
        <v>90.28</v>
      </c>
      <c r="S416" s="28">
        <f>ROUND(ROUND(P416, 2)*I416, 2)</f>
        <v>6459.53</v>
      </c>
      <c r="V416" s="9">
        <f>ROUND(ROUND(P416, 2)/1.2, 2)</f>
        <v>75.23</v>
      </c>
      <c r="Y416" s="9">
        <f t="shared" si="17"/>
        <v>5382.94</v>
      </c>
      <c r="AD416" s="4" t="s">
        <v>1413</v>
      </c>
      <c r="AE416" s="4" t="s">
        <v>1414</v>
      </c>
      <c r="AF416" s="4" t="s">
        <v>1010</v>
      </c>
    </row>
    <row r="417" spans="1:35" ht="144" x14ac:dyDescent="0.3">
      <c r="A417" s="10" t="s">
        <v>1415</v>
      </c>
      <c r="B417" s="10" t="s">
        <v>1195</v>
      </c>
      <c r="C417" s="14" t="s">
        <v>1196</v>
      </c>
      <c r="D417" s="15"/>
      <c r="E417" s="15" t="s">
        <v>1416</v>
      </c>
      <c r="F417" s="15" t="s">
        <v>62</v>
      </c>
      <c r="G417" s="16">
        <v>1</v>
      </c>
      <c r="H417" s="16"/>
      <c r="I417" s="16">
        <v>28.2</v>
      </c>
      <c r="J417" s="17">
        <f>IFERROR(ROUND(SUM(M418,M419,M420,M421)/I417, 2),0)</f>
        <v>2587.9899999999998</v>
      </c>
      <c r="K417" s="18">
        <v>2785</v>
      </c>
      <c r="L417" s="17">
        <f>J417+ROUND(K417, 2)</f>
        <v>5372.99</v>
      </c>
      <c r="M417" s="17">
        <f>ROUND(J417*I417, 2)</f>
        <v>72981.320000000007</v>
      </c>
      <c r="N417" s="17">
        <f>ROUND(I417*ROUND(K417, 2), 2)</f>
        <v>78537</v>
      </c>
      <c r="O417" s="17">
        <f>M417+N417</f>
        <v>151518.32</v>
      </c>
      <c r="P417" s="17">
        <f>IFERROR(ROUND(SUM(S418,S419,S420,S421)/I417, 2),0)</f>
        <v>2587.9899999999998</v>
      </c>
      <c r="Q417" s="19">
        <v>4177.5</v>
      </c>
      <c r="R417" s="17">
        <f>P417+ROUND(Q417, 2)</f>
        <v>6765.49</v>
      </c>
      <c r="S417" s="17">
        <f>ROUND(P417*I417, 2)</f>
        <v>72981.320000000007</v>
      </c>
      <c r="T417" s="17">
        <f>ROUND(I417*ROUND(Q417, 2), 2)</f>
        <v>117805.5</v>
      </c>
      <c r="U417" s="17">
        <f>S417+T417</f>
        <v>190786.82</v>
      </c>
      <c r="V417" s="9">
        <f>ROUND(P417 / 1.2, 2)</f>
        <v>2156.66</v>
      </c>
      <c r="W417" s="9">
        <f>ROUND(Q417 / 1.2, 2)</f>
        <v>3481.25</v>
      </c>
      <c r="X417" s="9">
        <f>ROUND(R417 / 1.2, 2)</f>
        <v>5637.91</v>
      </c>
      <c r="Y417" s="9">
        <f t="shared" si="17"/>
        <v>60817.77</v>
      </c>
      <c r="Z417" s="9">
        <f>ROUND(T417 / 1.2, 2)</f>
        <v>98171.25</v>
      </c>
      <c r="AA417" s="9">
        <f>Y417+Z417</f>
        <v>158989.01999999999</v>
      </c>
      <c r="AD417" s="4">
        <v>334080665</v>
      </c>
      <c r="AE417" s="4">
        <v>29331072</v>
      </c>
      <c r="AG417" s="4" t="s">
        <v>1197</v>
      </c>
      <c r="AH417" s="4" t="s">
        <v>1198</v>
      </c>
      <c r="AI417" s="4" t="s">
        <v>250</v>
      </c>
    </row>
    <row r="418" spans="1:35" ht="36" x14ac:dyDescent="0.3">
      <c r="A418" s="10" t="s">
        <v>1417</v>
      </c>
      <c r="B418" s="10"/>
      <c r="C418" s="24" t="s">
        <v>1007</v>
      </c>
      <c r="D418" s="15"/>
      <c r="E418" s="15"/>
      <c r="F418" s="25" t="s">
        <v>278</v>
      </c>
      <c r="G418" s="26">
        <v>0.15</v>
      </c>
      <c r="H418" s="26"/>
      <c r="I418" s="26">
        <v>4.2300000000000004</v>
      </c>
      <c r="J418" s="27">
        <v>90.28</v>
      </c>
      <c r="M418" s="28">
        <f>ROUND(ROUND(J418, 2)*I418, 2)</f>
        <v>381.88</v>
      </c>
      <c r="P418" s="29">
        <v>90.28</v>
      </c>
      <c r="S418" s="28">
        <f>ROUND(ROUND(P418, 2)*I418, 2)</f>
        <v>381.88</v>
      </c>
      <c r="V418" s="9">
        <f>ROUND(ROUND(P418, 2)/1.2, 2)</f>
        <v>75.23</v>
      </c>
      <c r="Y418" s="9">
        <f t="shared" si="17"/>
        <v>318.23</v>
      </c>
      <c r="AD418" s="4" t="s">
        <v>1418</v>
      </c>
      <c r="AE418" s="4" t="s">
        <v>1419</v>
      </c>
      <c r="AF418" s="4" t="s">
        <v>1010</v>
      </c>
    </row>
    <row r="419" spans="1:35" ht="36" x14ac:dyDescent="0.3">
      <c r="A419" s="10" t="s">
        <v>1420</v>
      </c>
      <c r="B419" s="10"/>
      <c r="C419" s="24" t="s">
        <v>1157</v>
      </c>
      <c r="D419" s="15"/>
      <c r="E419" s="15"/>
      <c r="F419" s="25" t="s">
        <v>278</v>
      </c>
      <c r="G419" s="26">
        <v>0.25</v>
      </c>
      <c r="H419" s="31"/>
      <c r="I419" s="31">
        <v>7.05</v>
      </c>
      <c r="J419" s="27">
        <v>40.94</v>
      </c>
      <c r="M419" s="28">
        <f>ROUND(ROUND(J419, 2)*I419, 2)</f>
        <v>288.63</v>
      </c>
      <c r="P419" s="29">
        <v>40.94</v>
      </c>
      <c r="S419" s="28">
        <f>ROUND(ROUND(P419, 2)*I419, 2)</f>
        <v>288.63</v>
      </c>
      <c r="V419" s="9">
        <f>ROUND(ROUND(P419, 2)/1.2, 2)</f>
        <v>34.119999999999997</v>
      </c>
      <c r="Y419" s="9">
        <f t="shared" si="17"/>
        <v>240.53</v>
      </c>
      <c r="AD419" s="4" t="s">
        <v>1421</v>
      </c>
      <c r="AE419" s="4" t="s">
        <v>1422</v>
      </c>
      <c r="AF419" s="4" t="s">
        <v>1160</v>
      </c>
    </row>
    <row r="420" spans="1:35" ht="72" x14ac:dyDescent="0.3">
      <c r="A420" s="10" t="s">
        <v>1423</v>
      </c>
      <c r="B420" s="10"/>
      <c r="C420" s="24" t="s">
        <v>1205</v>
      </c>
      <c r="D420" s="15"/>
      <c r="E420" s="15" t="s">
        <v>1334</v>
      </c>
      <c r="F420" s="25" t="s">
        <v>62</v>
      </c>
      <c r="G420" s="26">
        <v>1.2</v>
      </c>
      <c r="H420" s="31"/>
      <c r="I420" s="31">
        <v>33.840000000000003</v>
      </c>
      <c r="J420" s="27">
        <v>2054.94</v>
      </c>
      <c r="M420" s="28">
        <f>ROUND(ROUND(J420, 2)*I420, 2)</f>
        <v>69539.17</v>
      </c>
      <c r="P420" s="29">
        <v>2054.94</v>
      </c>
      <c r="S420" s="28">
        <f>ROUND(ROUND(P420, 2)*I420, 2)</f>
        <v>69539.17</v>
      </c>
      <c r="V420" s="9">
        <f>ROUND(ROUND(P420, 2)/1.2, 2)</f>
        <v>1712.45</v>
      </c>
      <c r="Y420" s="9">
        <f t="shared" si="17"/>
        <v>57949.31</v>
      </c>
      <c r="AD420" s="4" t="s">
        <v>1424</v>
      </c>
      <c r="AE420" s="4" t="s">
        <v>1425</v>
      </c>
      <c r="AF420" s="4" t="s">
        <v>1208</v>
      </c>
    </row>
    <row r="421" spans="1:35" ht="36" x14ac:dyDescent="0.3">
      <c r="A421" s="10" t="s">
        <v>1426</v>
      </c>
      <c r="B421" s="10"/>
      <c r="C421" s="30" t="s">
        <v>1200</v>
      </c>
      <c r="D421" s="15"/>
      <c r="E421" s="15"/>
      <c r="F421" s="25" t="s">
        <v>278</v>
      </c>
      <c r="G421" s="26">
        <v>1.2</v>
      </c>
      <c r="H421" s="31"/>
      <c r="I421" s="31">
        <v>169.2</v>
      </c>
      <c r="J421" s="27">
        <v>16.38</v>
      </c>
      <c r="M421" s="28">
        <f>ROUND(ROUND(J421, 2)*I421, 2)</f>
        <v>2771.5</v>
      </c>
      <c r="P421" s="29">
        <v>16.38</v>
      </c>
      <c r="S421" s="28">
        <f>ROUND(ROUND(P421, 2)*I421, 2)</f>
        <v>2771.5</v>
      </c>
      <c r="V421" s="9">
        <f>ROUND(ROUND(P421, 2)/1.2, 2)</f>
        <v>13.65</v>
      </c>
      <c r="Y421" s="9">
        <f t="shared" si="17"/>
        <v>2309.58</v>
      </c>
      <c r="AD421" s="4" t="s">
        <v>1427</v>
      </c>
      <c r="AE421" s="4" t="s">
        <v>1428</v>
      </c>
      <c r="AF421" s="4" t="s">
        <v>1203</v>
      </c>
    </row>
    <row r="422" spans="1:35" ht="180" x14ac:dyDescent="0.3">
      <c r="A422" s="10" t="s">
        <v>1429</v>
      </c>
      <c r="B422" s="10" t="s">
        <v>1195</v>
      </c>
      <c r="C422" s="14" t="s">
        <v>1196</v>
      </c>
      <c r="D422" s="15"/>
      <c r="E422" s="15" t="s">
        <v>1430</v>
      </c>
      <c r="F422" s="15" t="s">
        <v>62</v>
      </c>
      <c r="G422" s="16">
        <v>1</v>
      </c>
      <c r="H422" s="16"/>
      <c r="I422" s="16">
        <v>228.14</v>
      </c>
      <c r="J422" s="17">
        <f>IFERROR(ROUND(SUM(M423,M424,M425,M426)/I422, 2),0)</f>
        <v>2329.23</v>
      </c>
      <c r="K422" s="18">
        <v>2785</v>
      </c>
      <c r="L422" s="17">
        <f>J422+ROUND(K422, 2)</f>
        <v>5114.2299999999996</v>
      </c>
      <c r="M422" s="17">
        <f>ROUND(J422*I422, 2)</f>
        <v>531390.53</v>
      </c>
      <c r="N422" s="17">
        <f>ROUND(I422*ROUND(K422, 2), 2)</f>
        <v>635369.9</v>
      </c>
      <c r="O422" s="17">
        <f>M422+N422</f>
        <v>1166760.4300000002</v>
      </c>
      <c r="P422" s="17">
        <f>IFERROR(ROUND(SUM(S423,S424,S425,S426)/I422, 2),0)</f>
        <v>2329.23</v>
      </c>
      <c r="Q422" s="19">
        <v>4177.5</v>
      </c>
      <c r="R422" s="17">
        <f>P422+ROUND(Q422, 2)</f>
        <v>6506.73</v>
      </c>
      <c r="S422" s="17">
        <f>ROUND(P422*I422, 2)</f>
        <v>531390.53</v>
      </c>
      <c r="T422" s="17">
        <f>ROUND(I422*ROUND(Q422, 2), 2)</f>
        <v>953054.85</v>
      </c>
      <c r="U422" s="17">
        <f>S422+T422</f>
        <v>1484445.38</v>
      </c>
      <c r="V422" s="9">
        <f>ROUND(P422 / 1.2, 2)</f>
        <v>1941.03</v>
      </c>
      <c r="W422" s="9">
        <f>ROUND(Q422 / 1.2, 2)</f>
        <v>3481.25</v>
      </c>
      <c r="X422" s="9">
        <f>ROUND(R422 / 1.2, 2)</f>
        <v>5422.28</v>
      </c>
      <c r="Y422" s="9">
        <f t="shared" si="17"/>
        <v>442825.44</v>
      </c>
      <c r="Z422" s="9">
        <f>ROUND(T422 / 1.2, 2)</f>
        <v>794212.38</v>
      </c>
      <c r="AA422" s="9">
        <f>Y422+Z422</f>
        <v>1237037.82</v>
      </c>
      <c r="AD422" s="4">
        <v>334080666</v>
      </c>
      <c r="AE422" s="4">
        <v>29331073</v>
      </c>
      <c r="AG422" s="4" t="s">
        <v>1197</v>
      </c>
      <c r="AH422" s="4" t="s">
        <v>1198</v>
      </c>
      <c r="AI422" s="4" t="s">
        <v>250</v>
      </c>
    </row>
    <row r="423" spans="1:35" ht="36" x14ac:dyDescent="0.3">
      <c r="A423" s="10" t="s">
        <v>1431</v>
      </c>
      <c r="B423" s="10"/>
      <c r="C423" s="30" t="s">
        <v>1200</v>
      </c>
      <c r="D423" s="15"/>
      <c r="E423" s="15"/>
      <c r="F423" s="25" t="s">
        <v>278</v>
      </c>
      <c r="G423" s="26">
        <v>1.2</v>
      </c>
      <c r="H423" s="31"/>
      <c r="I423" s="31">
        <v>1368.84</v>
      </c>
      <c r="J423" s="27">
        <v>16.38</v>
      </c>
      <c r="M423" s="28">
        <f>ROUND(ROUND(J423, 2)*I423, 2)</f>
        <v>22421.599999999999</v>
      </c>
      <c r="P423" s="29">
        <v>16.38</v>
      </c>
      <c r="S423" s="28">
        <f>ROUND(ROUND(P423, 2)*I423, 2)</f>
        <v>22421.599999999999</v>
      </c>
      <c r="V423" s="9">
        <f>ROUND(ROUND(P423, 2)/1.2, 2)</f>
        <v>13.65</v>
      </c>
      <c r="Y423" s="9">
        <f t="shared" si="17"/>
        <v>18684.669999999998</v>
      </c>
      <c r="AD423" s="4" t="s">
        <v>1432</v>
      </c>
      <c r="AE423" s="4" t="s">
        <v>1433</v>
      </c>
      <c r="AF423" s="4" t="s">
        <v>1203</v>
      </c>
    </row>
    <row r="424" spans="1:35" ht="72" x14ac:dyDescent="0.3">
      <c r="A424" s="10" t="s">
        <v>1434</v>
      </c>
      <c r="B424" s="10"/>
      <c r="C424" s="24" t="s">
        <v>1435</v>
      </c>
      <c r="D424" s="15"/>
      <c r="E424" s="15" t="s">
        <v>1346</v>
      </c>
      <c r="F424" s="25" t="s">
        <v>62</v>
      </c>
      <c r="G424" s="26">
        <v>1.2</v>
      </c>
      <c r="H424" s="31"/>
      <c r="I424" s="31">
        <v>273.76799999999997</v>
      </c>
      <c r="J424" s="27">
        <v>1839.31</v>
      </c>
      <c r="M424" s="28">
        <f>ROUND(ROUND(J424, 2)*I424, 2)</f>
        <v>503544.22</v>
      </c>
      <c r="P424" s="29">
        <v>1839.31</v>
      </c>
      <c r="S424" s="28">
        <f>ROUND(ROUND(P424, 2)*I424, 2)</f>
        <v>503544.22</v>
      </c>
      <c r="V424" s="9">
        <f>ROUND(ROUND(P424, 2)/1.2, 2)</f>
        <v>1532.76</v>
      </c>
      <c r="Y424" s="9">
        <f t="shared" si="17"/>
        <v>419620.18</v>
      </c>
      <c r="AD424" s="4" t="s">
        <v>1436</v>
      </c>
      <c r="AE424" s="4" t="s">
        <v>1437</v>
      </c>
      <c r="AF424" s="4" t="s">
        <v>1438</v>
      </c>
    </row>
    <row r="425" spans="1:35" ht="36" x14ac:dyDescent="0.3">
      <c r="A425" s="10" t="s">
        <v>1439</v>
      </c>
      <c r="B425" s="10"/>
      <c r="C425" s="24" t="s">
        <v>1157</v>
      </c>
      <c r="D425" s="15"/>
      <c r="E425" s="15"/>
      <c r="F425" s="25" t="s">
        <v>278</v>
      </c>
      <c r="G425" s="26">
        <v>0.25</v>
      </c>
      <c r="H425" s="31"/>
      <c r="I425" s="31">
        <v>57.034999999999997</v>
      </c>
      <c r="J425" s="27">
        <v>40.94</v>
      </c>
      <c r="M425" s="28">
        <f>ROUND(ROUND(J425, 2)*I425, 2)</f>
        <v>2335.0100000000002</v>
      </c>
      <c r="P425" s="29">
        <v>40.94</v>
      </c>
      <c r="S425" s="28">
        <f>ROUND(ROUND(P425, 2)*I425, 2)</f>
        <v>2335.0100000000002</v>
      </c>
      <c r="V425" s="9">
        <f>ROUND(ROUND(P425, 2)/1.2, 2)</f>
        <v>34.119999999999997</v>
      </c>
      <c r="Y425" s="9">
        <f t="shared" si="17"/>
        <v>1945.84</v>
      </c>
      <c r="AD425" s="4" t="s">
        <v>1440</v>
      </c>
      <c r="AE425" s="4" t="s">
        <v>1441</v>
      </c>
      <c r="AF425" s="4" t="s">
        <v>1160</v>
      </c>
    </row>
    <row r="426" spans="1:35" ht="36" x14ac:dyDescent="0.3">
      <c r="A426" s="10" t="s">
        <v>1442</v>
      </c>
      <c r="B426" s="10"/>
      <c r="C426" s="24" t="s">
        <v>1007</v>
      </c>
      <c r="D426" s="15"/>
      <c r="E426" s="15"/>
      <c r="F426" s="25" t="s">
        <v>278</v>
      </c>
      <c r="G426" s="26">
        <v>0.15</v>
      </c>
      <c r="H426" s="26"/>
      <c r="I426" s="26">
        <v>34.220999999999997</v>
      </c>
      <c r="J426" s="27">
        <v>90.28</v>
      </c>
      <c r="M426" s="28">
        <f>ROUND(ROUND(J426, 2)*I426, 2)</f>
        <v>3089.47</v>
      </c>
      <c r="P426" s="29">
        <v>90.28</v>
      </c>
      <c r="S426" s="28">
        <f>ROUND(ROUND(P426, 2)*I426, 2)</f>
        <v>3089.47</v>
      </c>
      <c r="V426" s="9">
        <f>ROUND(ROUND(P426, 2)/1.2, 2)</f>
        <v>75.23</v>
      </c>
      <c r="Y426" s="9">
        <f t="shared" si="17"/>
        <v>2574.56</v>
      </c>
      <c r="AD426" s="4" t="s">
        <v>1443</v>
      </c>
      <c r="AE426" s="4" t="s">
        <v>1444</v>
      </c>
      <c r="AF426" s="4" t="s">
        <v>1010</v>
      </c>
    </row>
    <row r="427" spans="1:35" ht="162" x14ac:dyDescent="0.3">
      <c r="A427" s="10" t="s">
        <v>1445</v>
      </c>
      <c r="B427" s="10" t="s">
        <v>1195</v>
      </c>
      <c r="C427" s="14" t="s">
        <v>1196</v>
      </c>
      <c r="D427" s="15"/>
      <c r="E427" s="15" t="s">
        <v>1446</v>
      </c>
      <c r="F427" s="15" t="s">
        <v>62</v>
      </c>
      <c r="G427" s="16">
        <v>1</v>
      </c>
      <c r="H427" s="16"/>
      <c r="I427" s="16">
        <v>65.08</v>
      </c>
      <c r="J427" s="17">
        <f>IFERROR(ROUND(SUM(M428,M429,M430,M431)/I427, 2),0)</f>
        <v>2329.23</v>
      </c>
      <c r="K427" s="18">
        <v>2785</v>
      </c>
      <c r="L427" s="17">
        <f>J427+ROUND(K427, 2)</f>
        <v>5114.2299999999996</v>
      </c>
      <c r="M427" s="17">
        <f>ROUND(J427*I427, 2)</f>
        <v>151586.29</v>
      </c>
      <c r="N427" s="17">
        <f>ROUND(I427*ROUND(K427, 2), 2)</f>
        <v>181247.8</v>
      </c>
      <c r="O427" s="17">
        <f>M427+N427</f>
        <v>332834.08999999997</v>
      </c>
      <c r="P427" s="17">
        <f>IFERROR(ROUND(SUM(S428,S429,S430,S431)/I427, 2),0)</f>
        <v>2329.23</v>
      </c>
      <c r="Q427" s="19">
        <v>4177.5</v>
      </c>
      <c r="R427" s="17">
        <f>P427+ROUND(Q427, 2)</f>
        <v>6506.73</v>
      </c>
      <c r="S427" s="17">
        <f>ROUND(P427*I427, 2)</f>
        <v>151586.29</v>
      </c>
      <c r="T427" s="17">
        <f>ROUND(I427*ROUND(Q427, 2), 2)</f>
        <v>271871.7</v>
      </c>
      <c r="U427" s="17">
        <f>S427+T427</f>
        <v>423457.99</v>
      </c>
      <c r="V427" s="9">
        <f>ROUND(P427 / 1.2, 2)</f>
        <v>1941.03</v>
      </c>
      <c r="W427" s="9">
        <f>ROUND(Q427 / 1.2, 2)</f>
        <v>3481.25</v>
      </c>
      <c r="X427" s="9">
        <f>ROUND(R427 / 1.2, 2)</f>
        <v>5422.28</v>
      </c>
      <c r="Y427" s="9">
        <f t="shared" si="17"/>
        <v>126321.91</v>
      </c>
      <c r="Z427" s="9">
        <f>ROUND(T427 / 1.2, 2)</f>
        <v>226559.75</v>
      </c>
      <c r="AA427" s="9">
        <f>Y427+Z427</f>
        <v>352881.66000000003</v>
      </c>
      <c r="AD427" s="4">
        <v>334080667</v>
      </c>
      <c r="AE427" s="4">
        <v>29331074</v>
      </c>
      <c r="AG427" s="4" t="s">
        <v>1197</v>
      </c>
      <c r="AH427" s="4" t="s">
        <v>1198</v>
      </c>
      <c r="AI427" s="4" t="s">
        <v>250</v>
      </c>
    </row>
    <row r="428" spans="1:35" ht="36" x14ac:dyDescent="0.3">
      <c r="A428" s="10" t="s">
        <v>1447</v>
      </c>
      <c r="B428" s="10"/>
      <c r="C428" s="24" t="s">
        <v>1007</v>
      </c>
      <c r="D428" s="15"/>
      <c r="E428" s="15"/>
      <c r="F428" s="25" t="s">
        <v>278</v>
      </c>
      <c r="G428" s="26">
        <v>0.15</v>
      </c>
      <c r="H428" s="26"/>
      <c r="I428" s="26">
        <v>9.7620000000000005</v>
      </c>
      <c r="J428" s="27">
        <v>90.28</v>
      </c>
      <c r="M428" s="28">
        <f>ROUND(ROUND(J428, 2)*I428, 2)</f>
        <v>881.31</v>
      </c>
      <c r="P428" s="29">
        <v>90.28</v>
      </c>
      <c r="S428" s="28">
        <f>ROUND(ROUND(P428, 2)*I428, 2)</f>
        <v>881.31</v>
      </c>
      <c r="V428" s="9">
        <f>ROUND(ROUND(P428, 2)/1.2, 2)</f>
        <v>75.23</v>
      </c>
      <c r="Y428" s="9">
        <f t="shared" si="17"/>
        <v>734.43</v>
      </c>
      <c r="AD428" s="4" t="s">
        <v>1448</v>
      </c>
      <c r="AE428" s="4" t="s">
        <v>1449</v>
      </c>
      <c r="AF428" s="4" t="s">
        <v>1010</v>
      </c>
    </row>
    <row r="429" spans="1:35" ht="36" x14ac:dyDescent="0.3">
      <c r="A429" s="10" t="s">
        <v>1450</v>
      </c>
      <c r="B429" s="10"/>
      <c r="C429" s="24" t="s">
        <v>1157</v>
      </c>
      <c r="D429" s="15"/>
      <c r="E429" s="15"/>
      <c r="F429" s="25" t="s">
        <v>278</v>
      </c>
      <c r="G429" s="26">
        <v>0.25</v>
      </c>
      <c r="H429" s="31"/>
      <c r="I429" s="31">
        <v>16.27</v>
      </c>
      <c r="J429" s="27">
        <v>40.94</v>
      </c>
      <c r="M429" s="28">
        <f>ROUND(ROUND(J429, 2)*I429, 2)</f>
        <v>666.09</v>
      </c>
      <c r="P429" s="29">
        <v>40.94</v>
      </c>
      <c r="S429" s="28">
        <f>ROUND(ROUND(P429, 2)*I429, 2)</f>
        <v>666.09</v>
      </c>
      <c r="V429" s="9">
        <f>ROUND(ROUND(P429, 2)/1.2, 2)</f>
        <v>34.119999999999997</v>
      </c>
      <c r="Y429" s="9">
        <f t="shared" si="17"/>
        <v>555.08000000000004</v>
      </c>
      <c r="AD429" s="4" t="s">
        <v>1451</v>
      </c>
      <c r="AE429" s="4" t="s">
        <v>1452</v>
      </c>
      <c r="AF429" s="4" t="s">
        <v>1160</v>
      </c>
    </row>
    <row r="430" spans="1:35" ht="72" x14ac:dyDescent="0.3">
      <c r="A430" s="10" t="s">
        <v>1453</v>
      </c>
      <c r="B430" s="10"/>
      <c r="C430" s="24" t="s">
        <v>1435</v>
      </c>
      <c r="D430" s="15"/>
      <c r="E430" s="15" t="s">
        <v>1454</v>
      </c>
      <c r="F430" s="25" t="s">
        <v>62</v>
      </c>
      <c r="G430" s="26">
        <v>1.2</v>
      </c>
      <c r="H430" s="31"/>
      <c r="I430" s="31">
        <v>78.096000000000004</v>
      </c>
      <c r="J430" s="27">
        <v>1839.31</v>
      </c>
      <c r="M430" s="28">
        <f>ROUND(ROUND(J430, 2)*I430, 2)</f>
        <v>143642.75</v>
      </c>
      <c r="P430" s="29">
        <v>1839.31</v>
      </c>
      <c r="S430" s="28">
        <f>ROUND(ROUND(P430, 2)*I430, 2)</f>
        <v>143642.75</v>
      </c>
      <c r="V430" s="9">
        <f>ROUND(ROUND(P430, 2)/1.2, 2)</f>
        <v>1532.76</v>
      </c>
      <c r="Y430" s="9">
        <f t="shared" si="17"/>
        <v>119702.29</v>
      </c>
      <c r="AD430" s="4" t="s">
        <v>1455</v>
      </c>
      <c r="AE430" s="4" t="s">
        <v>1456</v>
      </c>
      <c r="AF430" s="4" t="s">
        <v>1438</v>
      </c>
    </row>
    <row r="431" spans="1:35" ht="36" x14ac:dyDescent="0.3">
      <c r="A431" s="10" t="s">
        <v>1457</v>
      </c>
      <c r="B431" s="10"/>
      <c r="C431" s="30" t="s">
        <v>1200</v>
      </c>
      <c r="D431" s="15"/>
      <c r="E431" s="15"/>
      <c r="F431" s="25" t="s">
        <v>278</v>
      </c>
      <c r="G431" s="26">
        <v>1.2</v>
      </c>
      <c r="H431" s="31"/>
      <c r="I431" s="31">
        <v>390.48</v>
      </c>
      <c r="J431" s="27">
        <v>16.38</v>
      </c>
      <c r="M431" s="28">
        <f>ROUND(ROUND(J431, 2)*I431, 2)</f>
        <v>6396.06</v>
      </c>
      <c r="P431" s="29">
        <v>16.38</v>
      </c>
      <c r="S431" s="28">
        <f>ROUND(ROUND(P431, 2)*I431, 2)</f>
        <v>6396.06</v>
      </c>
      <c r="V431" s="9">
        <f>ROUND(ROUND(P431, 2)/1.2, 2)</f>
        <v>13.65</v>
      </c>
      <c r="Y431" s="9">
        <f t="shared" si="17"/>
        <v>5330.05</v>
      </c>
      <c r="AD431" s="4" t="s">
        <v>1458</v>
      </c>
      <c r="AE431" s="4" t="s">
        <v>1459</v>
      </c>
      <c r="AF431" s="4" t="s">
        <v>1203</v>
      </c>
    </row>
    <row r="432" spans="1:35" ht="16.95" customHeight="1" x14ac:dyDescent="0.3">
      <c r="A432" s="10" t="s">
        <v>1460</v>
      </c>
      <c r="B432" s="10" t="s">
        <v>1461</v>
      </c>
      <c r="C432" s="91" t="s">
        <v>1462</v>
      </c>
      <c r="D432" s="92"/>
      <c r="E432" s="92"/>
      <c r="F432" s="92"/>
      <c r="G432" s="92"/>
      <c r="H432" s="92"/>
      <c r="I432" s="93"/>
      <c r="M432" s="6">
        <f>SUM(M433,M435,M437)</f>
        <v>719846.94</v>
      </c>
      <c r="N432" s="6">
        <f>SUM(N433,N435,N437)</f>
        <v>62784</v>
      </c>
      <c r="O432" s="6">
        <f>SUM(O433,O435,O437)</f>
        <v>782630.94</v>
      </c>
      <c r="S432" s="6">
        <f>SUM(S433,S435,S437)</f>
        <v>719846.94</v>
      </c>
      <c r="T432" s="6">
        <f>SUM(T433,T435,T437)</f>
        <v>94175.4</v>
      </c>
      <c r="U432" s="6">
        <f>SUM(U433,U435,U437)</f>
        <v>814022.34</v>
      </c>
      <c r="Y432" s="9">
        <f>SUM(Y433,Y435,Y437)</f>
        <v>599872.44999999995</v>
      </c>
      <c r="Z432" s="9">
        <f>SUM(Z433,Z435,Z437)</f>
        <v>78479.5</v>
      </c>
      <c r="AA432" s="9">
        <f>SUM(AA433,AA435,AA437)</f>
        <v>678351.95</v>
      </c>
      <c r="AD432" s="4">
        <v>334080520</v>
      </c>
      <c r="AE432" s="4">
        <v>27245717</v>
      </c>
    </row>
    <row r="433" spans="1:35" ht="18" x14ac:dyDescent="0.3">
      <c r="A433" s="10" t="s">
        <v>1463</v>
      </c>
      <c r="B433" s="10" t="s">
        <v>1464</v>
      </c>
      <c r="C433" s="14" t="s">
        <v>1465</v>
      </c>
      <c r="D433" s="15"/>
      <c r="E433" s="15"/>
      <c r="F433" s="15" t="s">
        <v>62</v>
      </c>
      <c r="G433" s="16">
        <v>1</v>
      </c>
      <c r="H433" s="16"/>
      <c r="I433" s="16">
        <v>0</v>
      </c>
      <c r="J433" s="17">
        <v>0</v>
      </c>
      <c r="K433" s="18">
        <v>836</v>
      </c>
      <c r="L433" s="17">
        <f>J433+ROUND(K433, 2)</f>
        <v>836</v>
      </c>
      <c r="M433" s="17">
        <v>0</v>
      </c>
      <c r="N433" s="17">
        <v>0</v>
      </c>
      <c r="O433" s="17">
        <f>M433+N433</f>
        <v>0</v>
      </c>
      <c r="P433" s="17">
        <v>9500</v>
      </c>
      <c r="Q433" s="18">
        <v>836</v>
      </c>
      <c r="R433" s="17">
        <f>P433+ROUND(Q433, 2)</f>
        <v>10336</v>
      </c>
      <c r="S433" s="17">
        <v>0</v>
      </c>
      <c r="T433" s="17">
        <v>0</v>
      </c>
      <c r="U433" s="17">
        <f>S433+T433</f>
        <v>0</v>
      </c>
      <c r="V433" s="9">
        <f>ROUND(P433 / 1.2, 2)</f>
        <v>7916.67</v>
      </c>
      <c r="W433" s="9">
        <f>ROUND(Q433 / 1.2, 2)</f>
        <v>696.67</v>
      </c>
      <c r="X433" s="9">
        <f>ROUND(R433 / 1.2, 2)</f>
        <v>8613.33</v>
      </c>
      <c r="Y433" s="9">
        <f>ROUND(S433 / 1.2, 2)</f>
        <v>0</v>
      </c>
      <c r="Z433" s="9">
        <f>ROUND(T433 / 1.2, 2)</f>
        <v>0</v>
      </c>
      <c r="AA433" s="9">
        <f>Y433+Z433</f>
        <v>0</v>
      </c>
      <c r="AD433" s="4">
        <v>334080522</v>
      </c>
      <c r="AE433" s="4">
        <v>27245597</v>
      </c>
      <c r="AG433" s="4" t="s">
        <v>1466</v>
      </c>
      <c r="AH433" s="4" t="s">
        <v>1467</v>
      </c>
      <c r="AI433" s="4" t="s">
        <v>250</v>
      </c>
    </row>
    <row r="434" spans="1:35" ht="18" x14ac:dyDescent="0.3">
      <c r="A434" s="10" t="s">
        <v>1468</v>
      </c>
      <c r="B434" s="10"/>
      <c r="C434" s="24" t="s">
        <v>1469</v>
      </c>
      <c r="D434" s="15"/>
      <c r="E434" s="15"/>
      <c r="F434" s="25" t="s">
        <v>62</v>
      </c>
      <c r="G434" s="26">
        <v>1</v>
      </c>
      <c r="H434" s="26"/>
      <c r="I434" s="26">
        <v>0</v>
      </c>
      <c r="J434" s="27">
        <v>9500</v>
      </c>
      <c r="M434" s="28">
        <f>ROUND(ROUND(J434, 2)*I434, 2)</f>
        <v>0</v>
      </c>
      <c r="P434" s="27">
        <v>9500</v>
      </c>
      <c r="S434" s="28">
        <f>ROUND(ROUND(P434, 2)*I434, 2)</f>
        <v>0</v>
      </c>
      <c r="V434" s="9">
        <f>ROUND(ROUND(P434, 2)/1.2, 2)</f>
        <v>7916.67</v>
      </c>
      <c r="Y434" s="9">
        <f>ROUND(S434 / 1.2, 2)</f>
        <v>0</v>
      </c>
      <c r="AD434" s="4" t="s">
        <v>1470</v>
      </c>
      <c r="AE434" s="4" t="s">
        <v>1471</v>
      </c>
      <c r="AF434" s="4" t="s">
        <v>1472</v>
      </c>
    </row>
    <row r="435" spans="1:35" ht="18" x14ac:dyDescent="0.3">
      <c r="A435" s="10" t="s">
        <v>1473</v>
      </c>
      <c r="B435" s="10" t="s">
        <v>1464</v>
      </c>
      <c r="C435" s="14" t="s">
        <v>1465</v>
      </c>
      <c r="D435" s="15"/>
      <c r="E435" s="15" t="s">
        <v>1474</v>
      </c>
      <c r="F435" s="15" t="s">
        <v>62</v>
      </c>
      <c r="G435" s="16">
        <v>1</v>
      </c>
      <c r="H435" s="16"/>
      <c r="I435" s="16">
        <v>34.700000000000003</v>
      </c>
      <c r="J435" s="17">
        <v>9500</v>
      </c>
      <c r="K435" s="18">
        <v>836</v>
      </c>
      <c r="L435" s="17">
        <f>J435+ROUND(K435, 2)</f>
        <v>10336</v>
      </c>
      <c r="M435" s="17">
        <v>329650</v>
      </c>
      <c r="N435" s="17">
        <v>29009.200000000001</v>
      </c>
      <c r="O435" s="17">
        <f>M435+N435</f>
        <v>358659.2</v>
      </c>
      <c r="P435" s="17">
        <v>9500</v>
      </c>
      <c r="Q435" s="18">
        <v>1254</v>
      </c>
      <c r="R435" s="17">
        <f>P435+ROUND(Q435, 2)</f>
        <v>10754</v>
      </c>
      <c r="S435" s="17">
        <v>329650</v>
      </c>
      <c r="T435" s="17">
        <v>43513.8</v>
      </c>
      <c r="U435" s="17">
        <f>S435+T435</f>
        <v>373163.8</v>
      </c>
      <c r="V435" s="9">
        <f>ROUND(P435 / 1.2, 2)</f>
        <v>7916.67</v>
      </c>
      <c r="W435" s="9">
        <f>ROUND(Q435 / 1.2, 2)</f>
        <v>1045</v>
      </c>
      <c r="X435" s="9">
        <f>ROUND(R435 / 1.2, 2)</f>
        <v>8961.67</v>
      </c>
      <c r="Y435" s="9">
        <f>ROUND(S435 / 1.2, 2)</f>
        <v>274708.33</v>
      </c>
      <c r="Z435" s="9">
        <f>ROUND(T435 / 1.2, 2)</f>
        <v>36261.5</v>
      </c>
      <c r="AA435" s="9">
        <f>Y435+Z435</f>
        <v>310969.83</v>
      </c>
      <c r="AD435" s="4">
        <v>334080668</v>
      </c>
      <c r="AE435" s="4">
        <v>27245728</v>
      </c>
      <c r="AG435" s="4" t="s">
        <v>1466</v>
      </c>
      <c r="AH435" s="4" t="s">
        <v>1467</v>
      </c>
      <c r="AI435" s="4" t="s">
        <v>250</v>
      </c>
    </row>
    <row r="436" spans="1:35" ht="90" x14ac:dyDescent="0.3">
      <c r="A436" s="10" t="s">
        <v>1475</v>
      </c>
      <c r="B436" s="10"/>
      <c r="C436" s="24" t="s">
        <v>1469</v>
      </c>
      <c r="D436" s="15"/>
      <c r="E436" s="15" t="s">
        <v>1476</v>
      </c>
      <c r="F436" s="25" t="s">
        <v>62</v>
      </c>
      <c r="G436" s="26">
        <v>1</v>
      </c>
      <c r="H436" s="26"/>
      <c r="I436" s="26">
        <v>34.700000000000003</v>
      </c>
      <c r="J436" s="27">
        <v>9500</v>
      </c>
      <c r="M436" s="28">
        <f>ROUND(ROUND(J436, 2)*I436, 2)</f>
        <v>329650</v>
      </c>
      <c r="P436" s="27">
        <v>9500</v>
      </c>
      <c r="S436" s="28">
        <f>ROUND(ROUND(P436, 2)*I436, 2)</f>
        <v>329650</v>
      </c>
      <c r="V436" s="9">
        <f>ROUND(ROUND(P436, 2)/1.2, 2)</f>
        <v>7916.67</v>
      </c>
      <c r="Y436" s="9">
        <f>ROUND(S436 / 1.2, 2)</f>
        <v>274708.33</v>
      </c>
      <c r="AD436" s="4" t="s">
        <v>1477</v>
      </c>
      <c r="AE436" s="4" t="s">
        <v>1478</v>
      </c>
      <c r="AF436" s="4" t="s">
        <v>1472</v>
      </c>
    </row>
    <row r="437" spans="1:35" ht="126" x14ac:dyDescent="0.3">
      <c r="A437" s="10" t="s">
        <v>1479</v>
      </c>
      <c r="B437" s="10" t="s">
        <v>1464</v>
      </c>
      <c r="C437" s="14" t="s">
        <v>1465</v>
      </c>
      <c r="D437" s="15"/>
      <c r="E437" s="15" t="s">
        <v>1480</v>
      </c>
      <c r="F437" s="15" t="s">
        <v>62</v>
      </c>
      <c r="G437" s="16">
        <v>1</v>
      </c>
      <c r="H437" s="16"/>
      <c r="I437" s="16">
        <v>40.4</v>
      </c>
      <c r="J437" s="17">
        <f>IFERROR(ROUND(SUM(M438)/I437, 2),0)</f>
        <v>9658.34</v>
      </c>
      <c r="K437" s="18">
        <v>836.01</v>
      </c>
      <c r="L437" s="17">
        <f>J437+ROUND(K437, 2)</f>
        <v>10494.35</v>
      </c>
      <c r="M437" s="17">
        <f>ROUND(J437*I437, 2)</f>
        <v>390196.94</v>
      </c>
      <c r="N437" s="17">
        <f>ROUND(I437*ROUND(K437, 2), 2)</f>
        <v>33774.800000000003</v>
      </c>
      <c r="O437" s="17">
        <f>M437+N437</f>
        <v>423971.74</v>
      </c>
      <c r="P437" s="17">
        <f>IFERROR(ROUND(SUM(S438)/I437, 2),0)</f>
        <v>9658.34</v>
      </c>
      <c r="Q437" s="19">
        <v>1254</v>
      </c>
      <c r="R437" s="17">
        <f>P437+ROUND(Q437, 2)</f>
        <v>10912.34</v>
      </c>
      <c r="S437" s="17">
        <f>ROUND(P437*I437, 2)</f>
        <v>390196.94</v>
      </c>
      <c r="T437" s="17">
        <f>ROUND(I437*ROUND(Q437, 2), 2)</f>
        <v>50661.599999999999</v>
      </c>
      <c r="U437" s="17">
        <f>S437+T437</f>
        <v>440858.54</v>
      </c>
      <c r="V437" s="9">
        <f>ROUND(P437 / 1.2, 2)</f>
        <v>8048.62</v>
      </c>
      <c r="W437" s="9">
        <f>ROUND(Q437 / 1.2, 2)</f>
        <v>1045</v>
      </c>
      <c r="X437" s="9">
        <f>ROUND(R437 / 1.2, 2)</f>
        <v>9093.6200000000008</v>
      </c>
      <c r="Y437" s="9">
        <f>ROUND(S437 / 1.2, 2)</f>
        <v>325164.12</v>
      </c>
      <c r="Z437" s="9">
        <f>ROUND(T437 / 1.2, 2)</f>
        <v>42218</v>
      </c>
      <c r="AA437" s="9">
        <f>Y437+Z437</f>
        <v>367382.12</v>
      </c>
      <c r="AD437" s="4">
        <v>334080669</v>
      </c>
      <c r="AE437" s="4">
        <v>29386785</v>
      </c>
      <c r="AG437" s="4" t="s">
        <v>1466</v>
      </c>
      <c r="AH437" s="4" t="s">
        <v>1467</v>
      </c>
      <c r="AI437" s="4" t="s">
        <v>250</v>
      </c>
    </row>
    <row r="438" spans="1:35" ht="90" x14ac:dyDescent="0.3">
      <c r="A438" s="10" t="s">
        <v>1481</v>
      </c>
      <c r="B438" s="10"/>
      <c r="C438" s="24" t="s">
        <v>1469</v>
      </c>
      <c r="D438" s="15"/>
      <c r="E438" s="15" t="s">
        <v>1482</v>
      </c>
      <c r="F438" s="25" t="s">
        <v>62</v>
      </c>
      <c r="G438" s="26">
        <v>1</v>
      </c>
      <c r="H438" s="26"/>
      <c r="I438" s="26">
        <v>40.4</v>
      </c>
      <c r="J438" s="27">
        <v>9658.34</v>
      </c>
      <c r="M438" s="28">
        <f>ROUND(ROUND(J438, 2)*I438, 2)</f>
        <v>390196.94</v>
      </c>
      <c r="P438" s="29">
        <v>9658.34</v>
      </c>
      <c r="S438" s="28">
        <f>ROUND(ROUND(P438, 2)*I438, 2)</f>
        <v>390196.94</v>
      </c>
      <c r="V438" s="9">
        <f>ROUND(ROUND(P438, 2)/1.2, 2)</f>
        <v>8048.62</v>
      </c>
      <c r="Y438" s="9">
        <f>ROUND(S438 / 1.2, 2)</f>
        <v>325164.12</v>
      </c>
      <c r="AD438" s="4" t="s">
        <v>1483</v>
      </c>
      <c r="AE438" s="4" t="s">
        <v>1484</v>
      </c>
      <c r="AF438" s="4" t="s">
        <v>1472</v>
      </c>
    </row>
    <row r="439" spans="1:35" ht="16.95" customHeight="1" x14ac:dyDescent="0.3">
      <c r="A439" s="10" t="s">
        <v>1485</v>
      </c>
      <c r="B439" s="10" t="s">
        <v>1486</v>
      </c>
      <c r="C439" s="91" t="s">
        <v>1487</v>
      </c>
      <c r="D439" s="92"/>
      <c r="E439" s="92"/>
      <c r="F439" s="92"/>
      <c r="G439" s="92"/>
      <c r="H439" s="92"/>
      <c r="I439" s="93"/>
      <c r="M439" s="6">
        <f>SUM(M440,M482,M711)</f>
        <v>11553646.57</v>
      </c>
      <c r="N439" s="6">
        <f>SUM(N440,N482,N711)</f>
        <v>35742468.780000001</v>
      </c>
      <c r="O439" s="6">
        <f>SUM(O440,O482,O711)</f>
        <v>47296115.350000001</v>
      </c>
      <c r="S439" s="6">
        <f>SUM(S440,S482,S711)</f>
        <v>10117923.120000001</v>
      </c>
      <c r="T439" s="6">
        <f>SUM(T440,T482,T711)</f>
        <v>51084143.07</v>
      </c>
      <c r="U439" s="6">
        <f>SUM(U440,U482,U711)</f>
        <v>61202066.189999998</v>
      </c>
      <c r="Y439" s="9">
        <f>SUM(Y440,Y482,Y711)</f>
        <v>8431602.6600000001</v>
      </c>
      <c r="Z439" s="9">
        <f>SUM(Z440,Z482,Z711)</f>
        <v>42570119.269999996</v>
      </c>
      <c r="AA439" s="9">
        <f>SUM(AA440,AA482,AA711)</f>
        <v>51001721.929999992</v>
      </c>
      <c r="AD439" s="4">
        <v>334080523</v>
      </c>
      <c r="AE439" s="4">
        <v>27245606</v>
      </c>
    </row>
    <row r="440" spans="1:35" ht="16.95" customHeight="1" x14ac:dyDescent="0.3">
      <c r="A440" s="10" t="s">
        <v>1488</v>
      </c>
      <c r="B440" s="10" t="s">
        <v>1489</v>
      </c>
      <c r="C440" s="91" t="s">
        <v>1490</v>
      </c>
      <c r="D440" s="92"/>
      <c r="E440" s="92"/>
      <c r="F440" s="92"/>
      <c r="G440" s="92"/>
      <c r="H440" s="92"/>
      <c r="I440" s="93"/>
      <c r="M440" s="6">
        <f>SUM(M441,M444,M447,M450,M454,M457,M461,M464,M467,M470,M474,M478)</f>
        <v>1488798.2200000002</v>
      </c>
      <c r="N440" s="6">
        <f>SUM(N441,N444,N447,N450,N454,N457,N461,N464,N467,N470,N474,N478)</f>
        <v>11815658.460000001</v>
      </c>
      <c r="O440" s="6">
        <f>SUM(O441,O444,O447,O450,O454,O457,O461,O464,O467,O470,O474,O478)</f>
        <v>13304456.680000002</v>
      </c>
      <c r="S440" s="6">
        <f>SUM(S441,S444,S447,S450,S454,S457,S461,S464,S467,S470,S474,S478)</f>
        <v>1854792.2399999998</v>
      </c>
      <c r="T440" s="6">
        <f>SUM(T441,T444,T447,T450,T454,T457,T461,T464,T467,T470,T474,T478)</f>
        <v>17723487.669999998</v>
      </c>
      <c r="U440" s="6">
        <f>SUM(U441,U444,U447,U450,U454,U457,U461,U464,U467,U470,U474,U478)</f>
        <v>19578279.91</v>
      </c>
      <c r="Y440" s="9">
        <f>SUM(Y441,Y444,Y447,Y450,Y454,Y457,Y461,Y464,Y467,Y470,Y474,Y478)</f>
        <v>1545660.2100000002</v>
      </c>
      <c r="Z440" s="9">
        <f>SUM(Z441,Z444,Z447,Z450,Z454,Z457,Z461,Z464,Z467,Z470,Z474,Z478)</f>
        <v>14769573.07</v>
      </c>
      <c r="AA440" s="9">
        <f>SUM(AA441,AA444,AA447,AA450,AA454,AA457,AA461,AA464,AA467,AA470,AA474,AA478)</f>
        <v>16315233.280000001</v>
      </c>
      <c r="AD440" s="4">
        <v>334080524</v>
      </c>
      <c r="AE440" s="4">
        <v>27245641</v>
      </c>
    </row>
    <row r="441" spans="1:35" ht="180" x14ac:dyDescent="0.3">
      <c r="A441" s="10" t="s">
        <v>1491</v>
      </c>
      <c r="B441" s="10" t="s">
        <v>1492</v>
      </c>
      <c r="C441" s="14" t="s">
        <v>1493</v>
      </c>
      <c r="D441" s="15"/>
      <c r="E441" s="15" t="s">
        <v>1494</v>
      </c>
      <c r="F441" s="15" t="s">
        <v>102</v>
      </c>
      <c r="G441" s="16">
        <v>1</v>
      </c>
      <c r="H441" s="16"/>
      <c r="I441" s="16">
        <v>2012.38</v>
      </c>
      <c r="J441" s="17">
        <f>IFERROR(ROUND(SUM(M442,M443)/I441, 2),0)</f>
        <v>19.32</v>
      </c>
      <c r="K441" s="18">
        <v>28</v>
      </c>
      <c r="L441" s="17">
        <f>J441+ROUND(K441, 2)</f>
        <v>47.32</v>
      </c>
      <c r="M441" s="17">
        <f>ROUND(J441*I441, 2)</f>
        <v>38879.18</v>
      </c>
      <c r="N441" s="17">
        <f>ROUND(I441*ROUND(K441, 2), 2)</f>
        <v>56346.64</v>
      </c>
      <c r="O441" s="17">
        <f>M441+N441</f>
        <v>95225.82</v>
      </c>
      <c r="P441" s="17">
        <f>IFERROR(ROUND(SUM(S442,S443)/I441, 2),0)</f>
        <v>19.32</v>
      </c>
      <c r="Q441" s="19">
        <v>42</v>
      </c>
      <c r="R441" s="17">
        <f>P441+ROUND(Q441, 2)</f>
        <v>61.32</v>
      </c>
      <c r="S441" s="17">
        <f>ROUND(P441*I441, 2)</f>
        <v>38879.18</v>
      </c>
      <c r="T441" s="17">
        <f>ROUND(I441*ROUND(Q441, 2), 2)</f>
        <v>84519.96</v>
      </c>
      <c r="U441" s="17">
        <f>S441+T441</f>
        <v>123399.14000000001</v>
      </c>
      <c r="V441" s="9">
        <f>ROUND(P441 / 1.2, 2)</f>
        <v>16.100000000000001</v>
      </c>
      <c r="W441" s="9">
        <f>ROUND(Q441 / 1.2, 2)</f>
        <v>35</v>
      </c>
      <c r="X441" s="9">
        <f>ROUND(R441 / 1.2, 2)</f>
        <v>51.1</v>
      </c>
      <c r="Y441" s="9">
        <f>ROUND(S441 / 1.2, 2)</f>
        <v>32399.32</v>
      </c>
      <c r="Z441" s="9">
        <f>ROUND(T441 / 1.2, 2)</f>
        <v>70433.3</v>
      </c>
      <c r="AA441" s="9">
        <f>Y441+Z441</f>
        <v>102832.62</v>
      </c>
      <c r="AD441" s="4">
        <v>334080526</v>
      </c>
      <c r="AE441" s="4">
        <v>29241738</v>
      </c>
      <c r="AG441" s="4" t="s">
        <v>1495</v>
      </c>
      <c r="AH441" s="4" t="s">
        <v>1496</v>
      </c>
      <c r="AI441" s="4" t="s">
        <v>250</v>
      </c>
    </row>
    <row r="442" spans="1:35" ht="36" x14ac:dyDescent="0.3">
      <c r="A442" s="10" t="s">
        <v>1497</v>
      </c>
      <c r="B442" s="10"/>
      <c r="C442" s="30" t="s">
        <v>1498</v>
      </c>
      <c r="D442" s="15"/>
      <c r="E442" s="15"/>
      <c r="F442" s="25" t="s">
        <v>278</v>
      </c>
      <c r="G442" s="26">
        <v>0.3</v>
      </c>
      <c r="H442" s="31"/>
      <c r="I442" s="31">
        <v>603.71400000000006</v>
      </c>
      <c r="J442" s="27">
        <v>12.26</v>
      </c>
      <c r="M442" s="28">
        <f>ROUND(ROUND(J442, 2)*I442, 2)</f>
        <v>7401.53</v>
      </c>
      <c r="P442" s="29">
        <v>12.26</v>
      </c>
      <c r="S442" s="28">
        <f>ROUND(ROUND(P442, 2)*I442, 2)</f>
        <v>7401.53</v>
      </c>
      <c r="V442" s="9">
        <f>ROUND(ROUND(P442, 2)/1.2, 2)</f>
        <v>10.220000000000001</v>
      </c>
      <c r="Y442" s="9">
        <f t="shared" ref="Y442:Y481" si="18">ROUND(S442 / 1.2, 2)</f>
        <v>6167.94</v>
      </c>
      <c r="AD442" s="4" t="s">
        <v>1499</v>
      </c>
      <c r="AE442" s="4" t="s">
        <v>1500</v>
      </c>
      <c r="AF442" s="4" t="s">
        <v>1501</v>
      </c>
    </row>
    <row r="443" spans="1:35" ht="36" x14ac:dyDescent="0.3">
      <c r="A443" s="10" t="s">
        <v>1502</v>
      </c>
      <c r="B443" s="10"/>
      <c r="C443" s="24" t="s">
        <v>1503</v>
      </c>
      <c r="D443" s="15"/>
      <c r="E443" s="15" t="s">
        <v>1504</v>
      </c>
      <c r="F443" s="25" t="s">
        <v>102</v>
      </c>
      <c r="G443" s="26">
        <v>1.1000000000000001</v>
      </c>
      <c r="H443" s="31"/>
      <c r="I443" s="31">
        <v>4427.2359999999999</v>
      </c>
      <c r="J443" s="27">
        <v>7.11</v>
      </c>
      <c r="M443" s="28">
        <f>ROUND(ROUND(J443, 2)*I443, 2)</f>
        <v>31477.65</v>
      </c>
      <c r="P443" s="29">
        <v>7.11</v>
      </c>
      <c r="S443" s="28">
        <f>ROUND(ROUND(P443, 2)*I443, 2)</f>
        <v>31477.65</v>
      </c>
      <c r="V443" s="9">
        <f>ROUND(ROUND(P443, 2)/1.2, 2)</f>
        <v>5.93</v>
      </c>
      <c r="Y443" s="9">
        <f t="shared" si="18"/>
        <v>26231.38</v>
      </c>
      <c r="AD443" s="4" t="s">
        <v>1505</v>
      </c>
      <c r="AE443" s="4" t="s">
        <v>1506</v>
      </c>
      <c r="AF443" s="4" t="s">
        <v>1507</v>
      </c>
    </row>
    <row r="444" spans="1:35" ht="36" x14ac:dyDescent="0.3">
      <c r="A444" s="10" t="s">
        <v>1508</v>
      </c>
      <c r="B444" s="10" t="s">
        <v>1509</v>
      </c>
      <c r="C444" s="14" t="s">
        <v>1510</v>
      </c>
      <c r="D444" s="15"/>
      <c r="E444" s="15"/>
      <c r="F444" s="15" t="s">
        <v>597</v>
      </c>
      <c r="G444" s="16">
        <v>1</v>
      </c>
      <c r="H444" s="16"/>
      <c r="I444" s="16">
        <v>0</v>
      </c>
      <c r="J444" s="17">
        <v>0</v>
      </c>
      <c r="K444" s="18">
        <v>226</v>
      </c>
      <c r="L444" s="17">
        <f>J444+ROUND(K444, 2)</f>
        <v>226</v>
      </c>
      <c r="M444" s="17">
        <v>0</v>
      </c>
      <c r="N444" s="17">
        <v>0</v>
      </c>
      <c r="O444" s="17">
        <f>M444+N444</f>
        <v>0</v>
      </c>
      <c r="P444" s="17">
        <v>5.33</v>
      </c>
      <c r="Q444" s="18">
        <v>226</v>
      </c>
      <c r="R444" s="17">
        <f>P444+ROUND(Q444, 2)</f>
        <v>231.33</v>
      </c>
      <c r="S444" s="17">
        <v>0</v>
      </c>
      <c r="T444" s="17">
        <v>0</v>
      </c>
      <c r="U444" s="17">
        <f>S444+T444</f>
        <v>0</v>
      </c>
      <c r="V444" s="9">
        <f>ROUND(P444 / 1.2, 2)</f>
        <v>4.4400000000000004</v>
      </c>
      <c r="W444" s="9">
        <f>ROUND(Q444 / 1.2, 2)</f>
        <v>188.33</v>
      </c>
      <c r="X444" s="9">
        <f>ROUND(R444 / 1.2, 2)</f>
        <v>192.78</v>
      </c>
      <c r="Y444" s="9">
        <f t="shared" si="18"/>
        <v>0</v>
      </c>
      <c r="Z444" s="9">
        <f>ROUND(T444 / 1.2, 2)</f>
        <v>0</v>
      </c>
      <c r="AA444" s="9">
        <f>Y444+Z444</f>
        <v>0</v>
      </c>
      <c r="AD444" s="4">
        <v>334080528</v>
      </c>
      <c r="AE444" s="4">
        <v>27245599</v>
      </c>
      <c r="AG444" s="4" t="s">
        <v>1511</v>
      </c>
      <c r="AH444" s="4" t="s">
        <v>1512</v>
      </c>
      <c r="AI444" s="4" t="s">
        <v>250</v>
      </c>
    </row>
    <row r="445" spans="1:35" ht="18" x14ac:dyDescent="0.3">
      <c r="A445" s="10" t="s">
        <v>1513</v>
      </c>
      <c r="B445" s="10"/>
      <c r="C445" s="24" t="s">
        <v>1514</v>
      </c>
      <c r="D445" s="15"/>
      <c r="E445" s="15"/>
      <c r="F445" s="25" t="s">
        <v>453</v>
      </c>
      <c r="G445" s="26">
        <v>1E-3</v>
      </c>
      <c r="H445" s="31"/>
      <c r="I445" s="31">
        <v>0</v>
      </c>
      <c r="J445" s="27">
        <v>2800</v>
      </c>
      <c r="M445" s="28">
        <f>ROUND(ROUND(J445, 2)*I445, 2)</f>
        <v>0</v>
      </c>
      <c r="P445" s="27">
        <v>2800</v>
      </c>
      <c r="S445" s="28">
        <f>ROUND(ROUND(P445, 2)*I445, 2)</f>
        <v>0</v>
      </c>
      <c r="V445" s="9">
        <f>ROUND(ROUND(P445, 2)/1.2, 2)</f>
        <v>2333.33</v>
      </c>
      <c r="Y445" s="9">
        <f t="shared" si="18"/>
        <v>0</v>
      </c>
      <c r="AD445" s="4" t="s">
        <v>1515</v>
      </c>
      <c r="AE445" s="4" t="s">
        <v>1516</v>
      </c>
      <c r="AF445" s="4" t="s">
        <v>1517</v>
      </c>
    </row>
    <row r="446" spans="1:35" ht="18" x14ac:dyDescent="0.3">
      <c r="A446" s="10" t="s">
        <v>1518</v>
      </c>
      <c r="B446" s="10"/>
      <c r="C446" s="24" t="s">
        <v>333</v>
      </c>
      <c r="D446" s="15"/>
      <c r="E446" s="15"/>
      <c r="F446" s="25" t="s">
        <v>278</v>
      </c>
      <c r="G446" s="26">
        <v>0.41</v>
      </c>
      <c r="H446" s="31"/>
      <c r="I446" s="31">
        <v>0</v>
      </c>
      <c r="J446" s="27">
        <v>6.17</v>
      </c>
      <c r="M446" s="28">
        <f>ROUND(ROUND(J446, 2)*I446, 2)</f>
        <v>0</v>
      </c>
      <c r="P446" s="27">
        <v>6.17</v>
      </c>
      <c r="S446" s="28">
        <f>ROUND(ROUND(P446, 2)*I446, 2)</f>
        <v>0</v>
      </c>
      <c r="V446" s="9">
        <f>ROUND(ROUND(P446, 2)/1.2, 2)</f>
        <v>5.14</v>
      </c>
      <c r="Y446" s="9">
        <f t="shared" si="18"/>
        <v>0</v>
      </c>
      <c r="AD446" s="4" t="s">
        <v>1519</v>
      </c>
      <c r="AE446" s="4" t="s">
        <v>1520</v>
      </c>
      <c r="AF446" s="4" t="s">
        <v>336</v>
      </c>
    </row>
    <row r="447" spans="1:35" ht="36" x14ac:dyDescent="0.3">
      <c r="A447" s="10" t="s">
        <v>1521</v>
      </c>
      <c r="B447" s="10" t="s">
        <v>1509</v>
      </c>
      <c r="C447" s="14" t="s">
        <v>1510</v>
      </c>
      <c r="D447" s="15"/>
      <c r="E447" s="15" t="s">
        <v>1522</v>
      </c>
      <c r="F447" s="15" t="s">
        <v>597</v>
      </c>
      <c r="G447" s="16">
        <v>1</v>
      </c>
      <c r="H447" s="16"/>
      <c r="I447" s="16">
        <v>357</v>
      </c>
      <c r="J447" s="17">
        <v>5.33</v>
      </c>
      <c r="K447" s="18">
        <v>226</v>
      </c>
      <c r="L447" s="17">
        <f>J447+ROUND(K447, 2)</f>
        <v>231.33</v>
      </c>
      <c r="M447" s="17">
        <v>1902.81</v>
      </c>
      <c r="N447" s="17">
        <v>80682</v>
      </c>
      <c r="O447" s="17">
        <f>M447+N447</f>
        <v>82584.81</v>
      </c>
      <c r="P447" s="17">
        <v>5.33</v>
      </c>
      <c r="Q447" s="18">
        <v>339</v>
      </c>
      <c r="R447" s="17">
        <f>P447+ROUND(Q447, 2)</f>
        <v>344.33</v>
      </c>
      <c r="S447" s="17">
        <v>1902.81</v>
      </c>
      <c r="T447" s="17">
        <v>121023</v>
      </c>
      <c r="U447" s="17">
        <f>S447+T447</f>
        <v>122925.81</v>
      </c>
      <c r="V447" s="9">
        <f>ROUND(P447 / 1.2, 2)</f>
        <v>4.4400000000000004</v>
      </c>
      <c r="W447" s="9">
        <f>ROUND(Q447 / 1.2, 2)</f>
        <v>282.5</v>
      </c>
      <c r="X447" s="9">
        <f>ROUND(R447 / 1.2, 2)</f>
        <v>286.94</v>
      </c>
      <c r="Y447" s="9">
        <f t="shared" si="18"/>
        <v>1585.68</v>
      </c>
      <c r="Z447" s="9">
        <f>ROUND(T447 / 1.2, 2)</f>
        <v>100852.5</v>
      </c>
      <c r="AA447" s="9">
        <f>Y447+Z447</f>
        <v>102438.18</v>
      </c>
      <c r="AD447" s="4">
        <v>334080670</v>
      </c>
      <c r="AE447" s="4">
        <v>27245799</v>
      </c>
      <c r="AG447" s="4" t="s">
        <v>1511</v>
      </c>
      <c r="AH447" s="4" t="s">
        <v>1512</v>
      </c>
      <c r="AI447" s="4" t="s">
        <v>250</v>
      </c>
    </row>
    <row r="448" spans="1:35" ht="18" x14ac:dyDescent="0.3">
      <c r="A448" s="10" t="s">
        <v>1523</v>
      </c>
      <c r="B448" s="10"/>
      <c r="C448" s="24" t="s">
        <v>333</v>
      </c>
      <c r="D448" s="15"/>
      <c r="E448" s="15"/>
      <c r="F448" s="25" t="s">
        <v>278</v>
      </c>
      <c r="G448" s="26">
        <v>0.41</v>
      </c>
      <c r="H448" s="31"/>
      <c r="I448" s="31">
        <v>146.37</v>
      </c>
      <c r="J448" s="27">
        <v>6.17</v>
      </c>
      <c r="M448" s="28">
        <f>ROUND(ROUND(J448, 2)*I448, 2)</f>
        <v>903.1</v>
      </c>
      <c r="P448" s="27">
        <v>6.17</v>
      </c>
      <c r="S448" s="28">
        <f>ROUND(ROUND(P448, 2)*I448, 2)</f>
        <v>903.1</v>
      </c>
      <c r="V448" s="9">
        <f>ROUND(ROUND(P448, 2)/1.2, 2)</f>
        <v>5.14</v>
      </c>
      <c r="Y448" s="9">
        <f t="shared" si="18"/>
        <v>752.58</v>
      </c>
      <c r="AD448" s="4" t="s">
        <v>1524</v>
      </c>
      <c r="AE448" s="4" t="s">
        <v>1525</v>
      </c>
      <c r="AF448" s="4" t="s">
        <v>336</v>
      </c>
    </row>
    <row r="449" spans="1:35" ht="18" x14ac:dyDescent="0.3">
      <c r="A449" s="10" t="s">
        <v>1526</v>
      </c>
      <c r="B449" s="10"/>
      <c r="C449" s="24" t="s">
        <v>1514</v>
      </c>
      <c r="D449" s="15"/>
      <c r="E449" s="15"/>
      <c r="F449" s="25" t="s">
        <v>453</v>
      </c>
      <c r="G449" s="26">
        <v>1E-3</v>
      </c>
      <c r="H449" s="31"/>
      <c r="I449" s="31">
        <v>0.35699999999999998</v>
      </c>
      <c r="J449" s="27">
        <v>2800</v>
      </c>
      <c r="M449" s="28">
        <f>ROUND(ROUND(J449, 2)*I449, 2)</f>
        <v>999.6</v>
      </c>
      <c r="P449" s="27">
        <v>2800</v>
      </c>
      <c r="S449" s="28">
        <f>ROUND(ROUND(P449, 2)*I449, 2)</f>
        <v>999.6</v>
      </c>
      <c r="V449" s="9">
        <f>ROUND(ROUND(P449, 2)/1.2, 2)</f>
        <v>2333.33</v>
      </c>
      <c r="Y449" s="9">
        <f t="shared" si="18"/>
        <v>833</v>
      </c>
      <c r="AD449" s="4" t="s">
        <v>1527</v>
      </c>
      <c r="AE449" s="4" t="s">
        <v>1528</v>
      </c>
      <c r="AF449" s="4" t="s">
        <v>1517</v>
      </c>
    </row>
    <row r="450" spans="1:35" ht="108" x14ac:dyDescent="0.3">
      <c r="A450" s="10" t="s">
        <v>1529</v>
      </c>
      <c r="B450" s="10" t="s">
        <v>1530</v>
      </c>
      <c r="C450" s="14" t="s">
        <v>1531</v>
      </c>
      <c r="D450" s="15"/>
      <c r="E450" s="15" t="s">
        <v>1532</v>
      </c>
      <c r="F450" s="15" t="s">
        <v>62</v>
      </c>
      <c r="G450" s="16">
        <v>1</v>
      </c>
      <c r="H450" s="16"/>
      <c r="I450" s="16">
        <v>195.78</v>
      </c>
      <c r="J450" s="17">
        <f>IFERROR(ROUND(SUM(M451,M452,M453)/I450, 2),0)</f>
        <v>82.62</v>
      </c>
      <c r="K450" s="18">
        <v>508</v>
      </c>
      <c r="L450" s="17">
        <f>J450+ROUND(K450, 2)</f>
        <v>590.62</v>
      </c>
      <c r="M450" s="17">
        <f>ROUND(J450*I450, 2)</f>
        <v>16175.34</v>
      </c>
      <c r="N450" s="17">
        <f>ROUND(I450*ROUND(K450, 2), 2)</f>
        <v>99456.24</v>
      </c>
      <c r="O450" s="17">
        <f>M450+N450</f>
        <v>115631.58</v>
      </c>
      <c r="P450" s="17">
        <f>IFERROR(ROUND(SUM(S451,S452,S453)/I450, 2),0)</f>
        <v>82.62</v>
      </c>
      <c r="Q450" s="19">
        <v>762</v>
      </c>
      <c r="R450" s="17">
        <f>P450+ROUND(Q450, 2)</f>
        <v>844.62</v>
      </c>
      <c r="S450" s="17">
        <f>ROUND(P450*I450, 2)</f>
        <v>16175.34</v>
      </c>
      <c r="T450" s="17">
        <f>ROUND(I450*ROUND(Q450, 2), 2)</f>
        <v>149184.35999999999</v>
      </c>
      <c r="U450" s="17">
        <f>S450+T450</f>
        <v>165359.69999999998</v>
      </c>
      <c r="V450" s="9">
        <f>ROUND(P450 / 1.2, 2)</f>
        <v>68.849999999999994</v>
      </c>
      <c r="W450" s="9">
        <f>ROUND(Q450 / 1.2, 2)</f>
        <v>635</v>
      </c>
      <c r="X450" s="9">
        <f>ROUND(R450 / 1.2, 2)</f>
        <v>703.85</v>
      </c>
      <c r="Y450" s="9">
        <f t="shared" si="18"/>
        <v>13479.45</v>
      </c>
      <c r="Z450" s="9">
        <f>ROUND(T450 / 1.2, 2)</f>
        <v>124320.3</v>
      </c>
      <c r="AA450" s="9">
        <f>Y450+Z450</f>
        <v>137799.75</v>
      </c>
      <c r="AD450" s="4">
        <v>334080530</v>
      </c>
      <c r="AE450" s="4">
        <v>29241740</v>
      </c>
      <c r="AG450" s="4" t="s">
        <v>1533</v>
      </c>
      <c r="AH450" s="4" t="s">
        <v>1534</v>
      </c>
      <c r="AI450" s="4" t="s">
        <v>250</v>
      </c>
    </row>
    <row r="451" spans="1:35" ht="18" x14ac:dyDescent="0.3">
      <c r="A451" s="10" t="s">
        <v>1535</v>
      </c>
      <c r="B451" s="10"/>
      <c r="C451" s="24" t="s">
        <v>1536</v>
      </c>
      <c r="D451" s="15"/>
      <c r="E451" s="15"/>
      <c r="F451" s="25" t="s">
        <v>278</v>
      </c>
      <c r="G451" s="26">
        <v>2</v>
      </c>
      <c r="H451" s="26"/>
      <c r="I451" s="26">
        <v>391.56</v>
      </c>
      <c r="J451" s="27">
        <v>23.39</v>
      </c>
      <c r="M451" s="28">
        <f>ROUND(ROUND(J451, 2)*I451, 2)</f>
        <v>9158.59</v>
      </c>
      <c r="P451" s="29">
        <v>23.39</v>
      </c>
      <c r="S451" s="28">
        <f>ROUND(ROUND(P451, 2)*I451, 2)</f>
        <v>9158.59</v>
      </c>
      <c r="V451" s="9">
        <f>ROUND(ROUND(P451, 2)/1.2, 2)</f>
        <v>19.489999999999998</v>
      </c>
      <c r="Y451" s="9">
        <f t="shared" si="18"/>
        <v>7632.16</v>
      </c>
      <c r="AD451" s="4" t="s">
        <v>1537</v>
      </c>
      <c r="AE451" s="4" t="s">
        <v>1538</v>
      </c>
      <c r="AF451" s="4" t="s">
        <v>1539</v>
      </c>
    </row>
    <row r="452" spans="1:35" ht="18" x14ac:dyDescent="0.3">
      <c r="A452" s="10" t="s">
        <v>1540</v>
      </c>
      <c r="B452" s="10"/>
      <c r="C452" s="24" t="s">
        <v>1541</v>
      </c>
      <c r="D452" s="15"/>
      <c r="E452" s="15"/>
      <c r="F452" s="25" t="s">
        <v>597</v>
      </c>
      <c r="G452" s="26">
        <v>0.3</v>
      </c>
      <c r="H452" s="26"/>
      <c r="I452" s="26">
        <v>58.734000000000002</v>
      </c>
      <c r="J452" s="27">
        <v>74.319999999999993</v>
      </c>
      <c r="M452" s="28">
        <f>ROUND(ROUND(J452, 2)*I452, 2)</f>
        <v>4365.1099999999997</v>
      </c>
      <c r="P452" s="29">
        <v>74.319999999999993</v>
      </c>
      <c r="S452" s="28">
        <f>ROUND(ROUND(P452, 2)*I452, 2)</f>
        <v>4365.1099999999997</v>
      </c>
      <c r="V452" s="9">
        <f>ROUND(ROUND(P452, 2)/1.2, 2)</f>
        <v>61.93</v>
      </c>
      <c r="Y452" s="9">
        <f t="shared" si="18"/>
        <v>3637.59</v>
      </c>
      <c r="AD452" s="4" t="s">
        <v>1542</v>
      </c>
      <c r="AE452" s="4" t="s">
        <v>1543</v>
      </c>
      <c r="AF452" s="4" t="s">
        <v>1544</v>
      </c>
    </row>
    <row r="453" spans="1:35" ht="36" x14ac:dyDescent="0.3">
      <c r="A453" s="10" t="s">
        <v>1545</v>
      </c>
      <c r="B453" s="10"/>
      <c r="C453" s="24" t="s">
        <v>1007</v>
      </c>
      <c r="D453" s="15"/>
      <c r="E453" s="15"/>
      <c r="F453" s="25" t="s">
        <v>278</v>
      </c>
      <c r="G453" s="26">
        <v>0.15</v>
      </c>
      <c r="H453" s="26"/>
      <c r="I453" s="26">
        <v>29.367000000000001</v>
      </c>
      <c r="J453" s="27">
        <v>90.28</v>
      </c>
      <c r="M453" s="28">
        <f>ROUND(ROUND(J453, 2)*I453, 2)</f>
        <v>2651.25</v>
      </c>
      <c r="P453" s="29">
        <v>90.28</v>
      </c>
      <c r="S453" s="28">
        <f>ROUND(ROUND(P453, 2)*I453, 2)</f>
        <v>2651.25</v>
      </c>
      <c r="V453" s="9">
        <f>ROUND(ROUND(P453, 2)/1.2, 2)</f>
        <v>75.23</v>
      </c>
      <c r="Y453" s="9">
        <f t="shared" si="18"/>
        <v>2209.38</v>
      </c>
      <c r="AD453" s="4" t="s">
        <v>1546</v>
      </c>
      <c r="AE453" s="4" t="s">
        <v>1547</v>
      </c>
      <c r="AF453" s="4" t="s">
        <v>1010</v>
      </c>
    </row>
    <row r="454" spans="1:35" ht="108" x14ac:dyDescent="0.3">
      <c r="A454" s="10" t="s">
        <v>1548</v>
      </c>
      <c r="B454" s="10" t="s">
        <v>1530</v>
      </c>
      <c r="C454" s="14" t="s">
        <v>1531</v>
      </c>
      <c r="D454" s="15"/>
      <c r="E454" s="15" t="s">
        <v>1549</v>
      </c>
      <c r="F454" s="15" t="s">
        <v>62</v>
      </c>
      <c r="G454" s="16">
        <v>1</v>
      </c>
      <c r="H454" s="16"/>
      <c r="I454" s="16">
        <v>936</v>
      </c>
      <c r="J454" s="17">
        <f>IFERROR(ROUND(SUM(M455,M456)/I454, 2),0)</f>
        <v>60.32</v>
      </c>
      <c r="K454" s="18">
        <v>508</v>
      </c>
      <c r="L454" s="17">
        <f>J454+ROUND(K454, 2)</f>
        <v>568.32000000000005</v>
      </c>
      <c r="M454" s="17">
        <f>ROUND(J454*I454, 2)</f>
        <v>56459.519999999997</v>
      </c>
      <c r="N454" s="17">
        <f>ROUND(I454*ROUND(K454, 2), 2)</f>
        <v>475488</v>
      </c>
      <c r="O454" s="17">
        <f>M454+N454</f>
        <v>531947.52000000002</v>
      </c>
      <c r="P454" s="17">
        <f>IFERROR(ROUND(SUM(S455,S456)/I454, 2),0)</f>
        <v>60.32</v>
      </c>
      <c r="Q454" s="19">
        <v>762</v>
      </c>
      <c r="R454" s="17">
        <f>P454+ROUND(Q454, 2)</f>
        <v>822.32</v>
      </c>
      <c r="S454" s="17">
        <f>ROUND(P454*I454, 2)</f>
        <v>56459.519999999997</v>
      </c>
      <c r="T454" s="17">
        <f>ROUND(I454*ROUND(Q454, 2), 2)</f>
        <v>713232</v>
      </c>
      <c r="U454" s="17">
        <f>S454+T454</f>
        <v>769691.52</v>
      </c>
      <c r="V454" s="9">
        <f>ROUND(P454 / 1.2, 2)</f>
        <v>50.27</v>
      </c>
      <c r="W454" s="9">
        <f>ROUND(Q454 / 1.2, 2)</f>
        <v>635</v>
      </c>
      <c r="X454" s="9">
        <f>ROUND(R454 / 1.2, 2)</f>
        <v>685.27</v>
      </c>
      <c r="Y454" s="9">
        <f t="shared" si="18"/>
        <v>47049.599999999999</v>
      </c>
      <c r="Z454" s="9">
        <f>ROUND(T454 / 1.2, 2)</f>
        <v>594360</v>
      </c>
      <c r="AA454" s="9">
        <f>Y454+Z454</f>
        <v>641409.6</v>
      </c>
      <c r="AD454" s="4">
        <v>334080671</v>
      </c>
      <c r="AE454" s="4">
        <v>29241741</v>
      </c>
      <c r="AG454" s="4" t="s">
        <v>1533</v>
      </c>
      <c r="AH454" s="4" t="s">
        <v>1534</v>
      </c>
      <c r="AI454" s="4" t="s">
        <v>250</v>
      </c>
    </row>
    <row r="455" spans="1:35" ht="36" x14ac:dyDescent="0.3">
      <c r="A455" s="10" t="s">
        <v>1550</v>
      </c>
      <c r="B455" s="10"/>
      <c r="C455" s="24" t="s">
        <v>1007</v>
      </c>
      <c r="D455" s="15"/>
      <c r="E455" s="15"/>
      <c r="F455" s="25" t="s">
        <v>278</v>
      </c>
      <c r="G455" s="26">
        <v>0.15</v>
      </c>
      <c r="H455" s="26"/>
      <c r="I455" s="26">
        <v>140.4</v>
      </c>
      <c r="J455" s="27">
        <v>90.28</v>
      </c>
      <c r="M455" s="28">
        <f>ROUND(ROUND(J455, 2)*I455, 2)</f>
        <v>12675.31</v>
      </c>
      <c r="P455" s="29">
        <v>90.28</v>
      </c>
      <c r="S455" s="28">
        <f>ROUND(ROUND(P455, 2)*I455, 2)</f>
        <v>12675.31</v>
      </c>
      <c r="V455" s="9">
        <f>ROUND(ROUND(P455, 2)/1.2, 2)</f>
        <v>75.23</v>
      </c>
      <c r="Y455" s="9">
        <f t="shared" si="18"/>
        <v>10562.76</v>
      </c>
      <c r="AD455" s="4" t="s">
        <v>1551</v>
      </c>
      <c r="AE455" s="4" t="s">
        <v>1552</v>
      </c>
      <c r="AF455" s="4" t="s">
        <v>1010</v>
      </c>
    </row>
    <row r="456" spans="1:35" ht="18" x14ac:dyDescent="0.3">
      <c r="A456" s="10" t="s">
        <v>1553</v>
      </c>
      <c r="B456" s="10"/>
      <c r="C456" s="24" t="s">
        <v>1536</v>
      </c>
      <c r="D456" s="15"/>
      <c r="E456" s="15"/>
      <c r="F456" s="25" t="s">
        <v>278</v>
      </c>
      <c r="G456" s="26">
        <v>2</v>
      </c>
      <c r="H456" s="26"/>
      <c r="I456" s="26">
        <v>1872</v>
      </c>
      <c r="J456" s="27">
        <v>23.39</v>
      </c>
      <c r="M456" s="28">
        <f>ROUND(ROUND(J456, 2)*I456, 2)</f>
        <v>43786.080000000002</v>
      </c>
      <c r="P456" s="29">
        <v>23.39</v>
      </c>
      <c r="S456" s="28">
        <f>ROUND(ROUND(P456, 2)*I456, 2)</f>
        <v>43786.080000000002</v>
      </c>
      <c r="V456" s="9">
        <f>ROUND(ROUND(P456, 2)/1.2, 2)</f>
        <v>19.489999999999998</v>
      </c>
      <c r="Y456" s="9">
        <f t="shared" si="18"/>
        <v>36488.400000000001</v>
      </c>
      <c r="AD456" s="4" t="s">
        <v>1554</v>
      </c>
      <c r="AE456" s="4" t="s">
        <v>1555</v>
      </c>
      <c r="AF456" s="4" t="s">
        <v>1539</v>
      </c>
    </row>
    <row r="457" spans="1:35" ht="126" x14ac:dyDescent="0.3">
      <c r="A457" s="10" t="s">
        <v>1556</v>
      </c>
      <c r="B457" s="10" t="s">
        <v>1530</v>
      </c>
      <c r="C457" s="14" t="s">
        <v>1531</v>
      </c>
      <c r="D457" s="15"/>
      <c r="E457" s="15" t="s">
        <v>1557</v>
      </c>
      <c r="F457" s="15" t="s">
        <v>62</v>
      </c>
      <c r="G457" s="16">
        <v>1</v>
      </c>
      <c r="H457" s="16"/>
      <c r="I457" s="16">
        <v>4986.62</v>
      </c>
      <c r="J457" s="17">
        <f>IFERROR(ROUND(SUM(M458,M459,M460)/I457, 2),0)</f>
        <v>57.91</v>
      </c>
      <c r="K457" s="18">
        <v>508</v>
      </c>
      <c r="L457" s="17">
        <f>J457+ROUND(K457, 2)</f>
        <v>565.91</v>
      </c>
      <c r="M457" s="17">
        <f>ROUND(J457*I457, 2)</f>
        <v>288775.15999999997</v>
      </c>
      <c r="N457" s="17">
        <f>ROUND(I457*ROUND(K457, 2), 2)</f>
        <v>2533202.96</v>
      </c>
      <c r="O457" s="17">
        <f>M457+N457</f>
        <v>2821978.12</v>
      </c>
      <c r="P457" s="17">
        <f>IFERROR(ROUND(SUM(S458,S459,S460)/I457, 2),0)</f>
        <v>57.91</v>
      </c>
      <c r="Q457" s="19">
        <v>762</v>
      </c>
      <c r="R457" s="17">
        <f>P457+ROUND(Q457, 2)</f>
        <v>819.91</v>
      </c>
      <c r="S457" s="17">
        <f>ROUND(P457*I457, 2)</f>
        <v>288775.15999999997</v>
      </c>
      <c r="T457" s="17">
        <f>ROUND(I457*ROUND(Q457, 2), 2)</f>
        <v>3799804.44</v>
      </c>
      <c r="U457" s="17">
        <f>S457+T457</f>
        <v>4088579.6</v>
      </c>
      <c r="V457" s="9">
        <f>ROUND(P457 / 1.2, 2)</f>
        <v>48.26</v>
      </c>
      <c r="W457" s="9">
        <f>ROUND(Q457 / 1.2, 2)</f>
        <v>635</v>
      </c>
      <c r="X457" s="9">
        <f>ROUND(R457 / 1.2, 2)</f>
        <v>683.26</v>
      </c>
      <c r="Y457" s="9">
        <f t="shared" si="18"/>
        <v>240645.97</v>
      </c>
      <c r="Z457" s="9">
        <f>ROUND(T457 / 1.2, 2)</f>
        <v>3166503.7</v>
      </c>
      <c r="AA457" s="9">
        <f>Y457+Z457</f>
        <v>3407149.6700000004</v>
      </c>
      <c r="AD457" s="4">
        <v>334080672</v>
      </c>
      <c r="AE457" s="4">
        <v>29241736</v>
      </c>
      <c r="AG457" s="4" t="s">
        <v>1533</v>
      </c>
      <c r="AH457" s="4" t="s">
        <v>1534</v>
      </c>
      <c r="AI457" s="4" t="s">
        <v>250</v>
      </c>
    </row>
    <row r="458" spans="1:35" ht="36" x14ac:dyDescent="0.3">
      <c r="A458" s="10" t="s">
        <v>1558</v>
      </c>
      <c r="B458" s="10"/>
      <c r="C458" s="30" t="s">
        <v>1498</v>
      </c>
      <c r="D458" s="15"/>
      <c r="E458" s="15"/>
      <c r="F458" s="25" t="s">
        <v>278</v>
      </c>
      <c r="G458" s="26">
        <v>1.8</v>
      </c>
      <c r="H458" s="26"/>
      <c r="I458" s="26">
        <v>8975.9159999999993</v>
      </c>
      <c r="J458" s="27">
        <v>12.26</v>
      </c>
      <c r="M458" s="28">
        <f>ROUND(ROUND(J458, 2)*I458, 2)</f>
        <v>110044.73</v>
      </c>
      <c r="P458" s="29">
        <v>12.26</v>
      </c>
      <c r="S458" s="28">
        <f>ROUND(ROUND(P458, 2)*I458, 2)</f>
        <v>110044.73</v>
      </c>
      <c r="V458" s="9">
        <f>ROUND(ROUND(P458, 2)/1.2, 2)</f>
        <v>10.220000000000001</v>
      </c>
      <c r="Y458" s="9">
        <f t="shared" si="18"/>
        <v>91703.94</v>
      </c>
      <c r="AD458" s="4" t="s">
        <v>1559</v>
      </c>
      <c r="AE458" s="4" t="s">
        <v>1560</v>
      </c>
      <c r="AF458" s="4" t="s">
        <v>1561</v>
      </c>
    </row>
    <row r="459" spans="1:35" ht="18" x14ac:dyDescent="0.3">
      <c r="A459" s="10" t="s">
        <v>1562</v>
      </c>
      <c r="B459" s="10"/>
      <c r="C459" s="24" t="s">
        <v>1541</v>
      </c>
      <c r="D459" s="15"/>
      <c r="E459" s="15"/>
      <c r="F459" s="25" t="s">
        <v>597</v>
      </c>
      <c r="G459" s="26">
        <v>0.3</v>
      </c>
      <c r="H459" s="26"/>
      <c r="I459" s="26">
        <v>1495.9860000000001</v>
      </c>
      <c r="J459" s="27">
        <v>74.319999999999993</v>
      </c>
      <c r="M459" s="28">
        <f>ROUND(ROUND(J459, 2)*I459, 2)</f>
        <v>111181.68</v>
      </c>
      <c r="P459" s="29">
        <v>74.319999999999993</v>
      </c>
      <c r="S459" s="28">
        <f>ROUND(ROUND(P459, 2)*I459, 2)</f>
        <v>111181.68</v>
      </c>
      <c r="V459" s="9">
        <f>ROUND(ROUND(P459, 2)/1.2, 2)</f>
        <v>61.93</v>
      </c>
      <c r="Y459" s="9">
        <f t="shared" si="18"/>
        <v>92651.4</v>
      </c>
      <c r="AD459" s="4" t="s">
        <v>1563</v>
      </c>
      <c r="AE459" s="4" t="s">
        <v>1564</v>
      </c>
      <c r="AF459" s="4" t="s">
        <v>1544</v>
      </c>
    </row>
    <row r="460" spans="1:35" ht="36" x14ac:dyDescent="0.3">
      <c r="A460" s="10" t="s">
        <v>1565</v>
      </c>
      <c r="B460" s="10"/>
      <c r="C460" s="24" t="s">
        <v>1007</v>
      </c>
      <c r="D460" s="15"/>
      <c r="E460" s="15"/>
      <c r="F460" s="25" t="s">
        <v>278</v>
      </c>
      <c r="G460" s="26">
        <v>0.15</v>
      </c>
      <c r="H460" s="26"/>
      <c r="I460" s="26">
        <v>747.99300000000005</v>
      </c>
      <c r="J460" s="27">
        <v>90.28</v>
      </c>
      <c r="M460" s="28">
        <f>ROUND(ROUND(J460, 2)*I460, 2)</f>
        <v>67528.81</v>
      </c>
      <c r="P460" s="29">
        <v>90.28</v>
      </c>
      <c r="S460" s="28">
        <f>ROUND(ROUND(P460, 2)*I460, 2)</f>
        <v>67528.81</v>
      </c>
      <c r="V460" s="9">
        <f>ROUND(ROUND(P460, 2)/1.2, 2)</f>
        <v>75.23</v>
      </c>
      <c r="Y460" s="9">
        <f t="shared" si="18"/>
        <v>56274.01</v>
      </c>
      <c r="AD460" s="4" t="s">
        <v>1566</v>
      </c>
      <c r="AE460" s="4" t="s">
        <v>1567</v>
      </c>
      <c r="AF460" s="4" t="s">
        <v>1010</v>
      </c>
    </row>
    <row r="461" spans="1:35" ht="72" x14ac:dyDescent="0.3">
      <c r="A461" s="10" t="s">
        <v>1568</v>
      </c>
      <c r="B461" s="10" t="s">
        <v>1530</v>
      </c>
      <c r="C461" s="14" t="s">
        <v>1531</v>
      </c>
      <c r="D461" s="15"/>
      <c r="E461" s="15" t="s">
        <v>1569</v>
      </c>
      <c r="F461" s="15" t="s">
        <v>62</v>
      </c>
      <c r="G461" s="16">
        <v>1</v>
      </c>
      <c r="H461" s="16"/>
      <c r="I461" s="16">
        <v>25.902000000000001</v>
      </c>
      <c r="J461" s="17">
        <f>IFERROR(ROUND(SUM(M462,M463)/I461, 2),0)</f>
        <v>35.61</v>
      </c>
      <c r="K461" s="18">
        <v>508</v>
      </c>
      <c r="L461" s="17">
        <f>J461+ROUND(K461, 2)</f>
        <v>543.61</v>
      </c>
      <c r="M461" s="17">
        <f>ROUND(J461*I461, 2)</f>
        <v>922.37</v>
      </c>
      <c r="N461" s="17">
        <f>ROUND(I461*ROUND(K461, 2), 2)</f>
        <v>13158.22</v>
      </c>
      <c r="O461" s="17">
        <f>M461+N461</f>
        <v>14080.59</v>
      </c>
      <c r="P461" s="17">
        <f>IFERROR(ROUND(SUM(S462,S463)/I461, 2),0)</f>
        <v>35.61</v>
      </c>
      <c r="Q461" s="19">
        <v>762</v>
      </c>
      <c r="R461" s="17">
        <f>P461+ROUND(Q461, 2)</f>
        <v>797.61</v>
      </c>
      <c r="S461" s="17">
        <f>ROUND(P461*I461, 2)</f>
        <v>922.37</v>
      </c>
      <c r="T461" s="17">
        <f>ROUND(I461*ROUND(Q461, 2), 2)</f>
        <v>19737.32</v>
      </c>
      <c r="U461" s="17">
        <f>S461+T461</f>
        <v>20659.689999999999</v>
      </c>
      <c r="V461" s="9">
        <f>ROUND(P461 / 1.2, 2)</f>
        <v>29.68</v>
      </c>
      <c r="W461" s="9">
        <f>ROUND(Q461 / 1.2, 2)</f>
        <v>635</v>
      </c>
      <c r="X461" s="9">
        <f>ROUND(R461 / 1.2, 2)</f>
        <v>664.68</v>
      </c>
      <c r="Y461" s="9">
        <f t="shared" si="18"/>
        <v>768.64</v>
      </c>
      <c r="Z461" s="9">
        <f>ROUND(T461 / 1.2, 2)</f>
        <v>16447.77</v>
      </c>
      <c r="AA461" s="9">
        <f>Y461+Z461</f>
        <v>17216.41</v>
      </c>
      <c r="AD461" s="4">
        <v>334080673</v>
      </c>
      <c r="AE461" s="4">
        <v>29241739</v>
      </c>
      <c r="AG461" s="4" t="s">
        <v>1533</v>
      </c>
      <c r="AH461" s="4" t="s">
        <v>1534</v>
      </c>
      <c r="AI461" s="4" t="s">
        <v>250</v>
      </c>
    </row>
    <row r="462" spans="1:35" ht="36" x14ac:dyDescent="0.3">
      <c r="A462" s="10" t="s">
        <v>1570</v>
      </c>
      <c r="B462" s="10"/>
      <c r="C462" s="24" t="s">
        <v>1007</v>
      </c>
      <c r="D462" s="15"/>
      <c r="E462" s="15"/>
      <c r="F462" s="25" t="s">
        <v>278</v>
      </c>
      <c r="G462" s="26">
        <v>0.15</v>
      </c>
      <c r="H462" s="26"/>
      <c r="I462" s="26">
        <v>3.8849999999999998</v>
      </c>
      <c r="J462" s="27">
        <v>90.28</v>
      </c>
      <c r="M462" s="28">
        <f>ROUND(ROUND(J462, 2)*I462, 2)</f>
        <v>350.74</v>
      </c>
      <c r="P462" s="29">
        <v>90.28</v>
      </c>
      <c r="S462" s="28">
        <f>ROUND(ROUND(P462, 2)*I462, 2)</f>
        <v>350.74</v>
      </c>
      <c r="V462" s="9">
        <f>ROUND(ROUND(P462, 2)/1.2, 2)</f>
        <v>75.23</v>
      </c>
      <c r="Y462" s="9">
        <f t="shared" si="18"/>
        <v>292.27999999999997</v>
      </c>
      <c r="AD462" s="4" t="s">
        <v>1571</v>
      </c>
      <c r="AE462" s="4" t="s">
        <v>1572</v>
      </c>
      <c r="AF462" s="4" t="s">
        <v>1010</v>
      </c>
    </row>
    <row r="463" spans="1:35" ht="36" x14ac:dyDescent="0.3">
      <c r="A463" s="10" t="s">
        <v>1573</v>
      </c>
      <c r="B463" s="10"/>
      <c r="C463" s="30" t="s">
        <v>1498</v>
      </c>
      <c r="D463" s="15"/>
      <c r="E463" s="15"/>
      <c r="F463" s="25" t="s">
        <v>278</v>
      </c>
      <c r="G463" s="26">
        <v>1.8</v>
      </c>
      <c r="H463" s="26"/>
      <c r="I463" s="26">
        <v>46.624000000000002</v>
      </c>
      <c r="J463" s="27">
        <v>12.26</v>
      </c>
      <c r="M463" s="28">
        <f>ROUND(ROUND(J463, 2)*I463, 2)</f>
        <v>571.61</v>
      </c>
      <c r="P463" s="29">
        <v>12.26</v>
      </c>
      <c r="S463" s="28">
        <f>ROUND(ROUND(P463, 2)*I463, 2)</f>
        <v>571.61</v>
      </c>
      <c r="V463" s="9">
        <f>ROUND(ROUND(P463, 2)/1.2, 2)</f>
        <v>10.220000000000001</v>
      </c>
      <c r="Y463" s="9">
        <f t="shared" si="18"/>
        <v>476.34</v>
      </c>
      <c r="AD463" s="4" t="s">
        <v>1574</v>
      </c>
      <c r="AE463" s="4" t="s">
        <v>1575</v>
      </c>
      <c r="AF463" s="4" t="s">
        <v>1561</v>
      </c>
    </row>
    <row r="464" spans="1:35" ht="126" x14ac:dyDescent="0.3">
      <c r="A464" s="10" t="s">
        <v>1576</v>
      </c>
      <c r="B464" s="10" t="s">
        <v>1530</v>
      </c>
      <c r="C464" s="14" t="s">
        <v>1531</v>
      </c>
      <c r="D464" s="15"/>
      <c r="E464" s="15" t="s">
        <v>1577</v>
      </c>
      <c r="F464" s="15" t="s">
        <v>62</v>
      </c>
      <c r="G464" s="16">
        <v>1</v>
      </c>
      <c r="H464" s="16"/>
      <c r="I464" s="16">
        <v>11225.91</v>
      </c>
      <c r="J464" s="17">
        <f>IFERROR(ROUND(SUM(M465,M466)/I464, 2),0)</f>
        <v>35.61</v>
      </c>
      <c r="K464" s="18">
        <v>508</v>
      </c>
      <c r="L464" s="17">
        <f>J464+ROUND(K464, 2)</f>
        <v>543.61</v>
      </c>
      <c r="M464" s="17">
        <f>ROUND(J464*I464, 2)</f>
        <v>399754.66</v>
      </c>
      <c r="N464" s="17">
        <f>ROUND(I464*ROUND(K464, 2), 2)</f>
        <v>5702762.2800000003</v>
      </c>
      <c r="O464" s="17">
        <f>M464+N464</f>
        <v>6102516.9400000004</v>
      </c>
      <c r="P464" s="17">
        <f>IFERROR(ROUND(SUM(S465,S466)/I464, 2),0)</f>
        <v>52.82</v>
      </c>
      <c r="Q464" s="19">
        <v>762</v>
      </c>
      <c r="R464" s="17">
        <f>P464+ROUND(Q464, 2)</f>
        <v>814.82</v>
      </c>
      <c r="S464" s="17">
        <f>ROUND(P464*I464, 2)</f>
        <v>592952.56999999995</v>
      </c>
      <c r="T464" s="17">
        <f>ROUND(I464*ROUND(Q464, 2), 2)</f>
        <v>8554143.4199999999</v>
      </c>
      <c r="U464" s="17">
        <f>S464+T464</f>
        <v>9147095.9900000002</v>
      </c>
      <c r="V464" s="9">
        <f>ROUND(P464 / 1.2, 2)</f>
        <v>44.02</v>
      </c>
      <c r="W464" s="9">
        <f>ROUND(Q464 / 1.2, 2)</f>
        <v>635</v>
      </c>
      <c r="X464" s="9">
        <f>ROUND(R464 / 1.2, 2)</f>
        <v>679.02</v>
      </c>
      <c r="Y464" s="9">
        <f t="shared" si="18"/>
        <v>494127.14</v>
      </c>
      <c r="Z464" s="9">
        <f>ROUND(T464 / 1.2, 2)</f>
        <v>7128452.8499999996</v>
      </c>
      <c r="AA464" s="9">
        <f>Y464+Z464</f>
        <v>7622579.9899999993</v>
      </c>
      <c r="AD464" s="4">
        <v>334080674</v>
      </c>
      <c r="AE464" s="4">
        <v>29241737</v>
      </c>
      <c r="AG464" s="4" t="s">
        <v>1533</v>
      </c>
      <c r="AH464" s="4" t="s">
        <v>1534</v>
      </c>
      <c r="AI464" s="4" t="s">
        <v>250</v>
      </c>
    </row>
    <row r="465" spans="1:35" ht="36" x14ac:dyDescent="0.3">
      <c r="A465" s="10" t="s">
        <v>1578</v>
      </c>
      <c r="B465" s="10"/>
      <c r="C465" s="30" t="s">
        <v>1498</v>
      </c>
      <c r="D465" s="15"/>
      <c r="E465" s="15" t="s">
        <v>1579</v>
      </c>
      <c r="F465" s="25" t="s">
        <v>278</v>
      </c>
      <c r="G465" s="26">
        <v>1.8</v>
      </c>
      <c r="H465" s="26"/>
      <c r="I465" s="26">
        <v>20206.637999999999</v>
      </c>
      <c r="J465" s="27">
        <v>12.26</v>
      </c>
      <c r="M465" s="28">
        <f>ROUND(ROUND(J465, 2)*I465, 2)</f>
        <v>247733.38</v>
      </c>
      <c r="P465" s="29">
        <v>21.82</v>
      </c>
      <c r="S465" s="28">
        <f>ROUND(ROUND(P465, 2)*I465, 2)</f>
        <v>440908.84</v>
      </c>
      <c r="V465" s="9">
        <f>ROUND(ROUND(P465, 2)/1.2, 2)</f>
        <v>18.18</v>
      </c>
      <c r="Y465" s="9">
        <f t="shared" si="18"/>
        <v>367424.03</v>
      </c>
      <c r="AD465" s="4" t="s">
        <v>1580</v>
      </c>
      <c r="AE465" s="4" t="s">
        <v>1581</v>
      </c>
      <c r="AF465" s="4" t="s">
        <v>1561</v>
      </c>
    </row>
    <row r="466" spans="1:35" ht="36" x14ac:dyDescent="0.3">
      <c r="A466" s="10" t="s">
        <v>1582</v>
      </c>
      <c r="B466" s="10"/>
      <c r="C466" s="24" t="s">
        <v>1007</v>
      </c>
      <c r="D466" s="15"/>
      <c r="E466" s="15"/>
      <c r="F466" s="25" t="s">
        <v>278</v>
      </c>
      <c r="G466" s="26">
        <v>0.15</v>
      </c>
      <c r="H466" s="26"/>
      <c r="I466" s="26">
        <v>1683.8869999999999</v>
      </c>
      <c r="J466" s="27">
        <v>90.28</v>
      </c>
      <c r="M466" s="28">
        <f>ROUND(ROUND(J466, 2)*I466, 2)</f>
        <v>152021.32</v>
      </c>
      <c r="P466" s="29">
        <v>90.28</v>
      </c>
      <c r="S466" s="28">
        <f>ROUND(ROUND(P466, 2)*I466, 2)</f>
        <v>152021.32</v>
      </c>
      <c r="V466" s="9">
        <f>ROUND(ROUND(P466, 2)/1.2, 2)</f>
        <v>75.23</v>
      </c>
      <c r="Y466" s="9">
        <f t="shared" si="18"/>
        <v>126684.43</v>
      </c>
      <c r="AD466" s="4" t="s">
        <v>1583</v>
      </c>
      <c r="AE466" s="4" t="s">
        <v>1584</v>
      </c>
      <c r="AF466" s="4" t="s">
        <v>1010</v>
      </c>
    </row>
    <row r="467" spans="1:35" ht="90" x14ac:dyDescent="0.3">
      <c r="A467" s="10" t="s">
        <v>1585</v>
      </c>
      <c r="B467" s="10" t="s">
        <v>1530</v>
      </c>
      <c r="C467" s="14" t="s">
        <v>1531</v>
      </c>
      <c r="D467" s="15"/>
      <c r="E467" s="15" t="s">
        <v>1586</v>
      </c>
      <c r="F467" s="15" t="s">
        <v>62</v>
      </c>
      <c r="G467" s="16">
        <v>1</v>
      </c>
      <c r="H467" s="16"/>
      <c r="I467" s="16">
        <v>25.902000000000001</v>
      </c>
      <c r="J467" s="17">
        <f>IFERROR(ROUND(SUM(M468,M469)/I467, 2),0)</f>
        <v>35.61</v>
      </c>
      <c r="K467" s="18">
        <v>508</v>
      </c>
      <c r="L467" s="17">
        <f>J467+ROUND(K467, 2)</f>
        <v>543.61</v>
      </c>
      <c r="M467" s="17">
        <f>ROUND(J467*I467, 2)</f>
        <v>922.37</v>
      </c>
      <c r="N467" s="17">
        <f>ROUND(I467*ROUND(K467, 2), 2)</f>
        <v>13158.22</v>
      </c>
      <c r="O467" s="17">
        <f>M467+N467</f>
        <v>14080.59</v>
      </c>
      <c r="P467" s="17">
        <f>IFERROR(ROUND(SUM(S468,S469)/I467, 2),0)</f>
        <v>52.82</v>
      </c>
      <c r="Q467" s="19">
        <v>762</v>
      </c>
      <c r="R467" s="17">
        <f>P467+ROUND(Q467, 2)</f>
        <v>814.82</v>
      </c>
      <c r="S467" s="17">
        <f>ROUND(P467*I467, 2)</f>
        <v>1368.14</v>
      </c>
      <c r="T467" s="17">
        <f>ROUND(I467*ROUND(Q467, 2), 2)</f>
        <v>19737.32</v>
      </c>
      <c r="U467" s="17">
        <f>S467+T467</f>
        <v>21105.46</v>
      </c>
      <c r="V467" s="9">
        <f>ROUND(P467 / 1.2, 2)</f>
        <v>44.02</v>
      </c>
      <c r="W467" s="9">
        <f>ROUND(Q467 / 1.2, 2)</f>
        <v>635</v>
      </c>
      <c r="X467" s="9">
        <f>ROUND(R467 / 1.2, 2)</f>
        <v>679.02</v>
      </c>
      <c r="Y467" s="9">
        <f t="shared" si="18"/>
        <v>1140.1199999999999</v>
      </c>
      <c r="Z467" s="9">
        <f>ROUND(T467 / 1.2, 2)</f>
        <v>16447.77</v>
      </c>
      <c r="AA467" s="9">
        <f>Y467+Z467</f>
        <v>17587.89</v>
      </c>
      <c r="AD467" s="4">
        <v>334080675</v>
      </c>
      <c r="AE467" s="4">
        <v>29242662</v>
      </c>
      <c r="AG467" s="4" t="s">
        <v>1533</v>
      </c>
      <c r="AH467" s="4" t="s">
        <v>1534</v>
      </c>
      <c r="AI467" s="4" t="s">
        <v>250</v>
      </c>
    </row>
    <row r="468" spans="1:35" ht="36" x14ac:dyDescent="0.3">
      <c r="A468" s="10" t="s">
        <v>1587</v>
      </c>
      <c r="B468" s="10"/>
      <c r="C468" s="24" t="s">
        <v>1007</v>
      </c>
      <c r="D468" s="15"/>
      <c r="E468" s="15"/>
      <c r="F468" s="25" t="s">
        <v>278</v>
      </c>
      <c r="G468" s="26">
        <v>0.15</v>
      </c>
      <c r="H468" s="26"/>
      <c r="I468" s="26">
        <v>3.8849999999999998</v>
      </c>
      <c r="J468" s="27">
        <v>90.28</v>
      </c>
      <c r="M468" s="28">
        <f>ROUND(ROUND(J468, 2)*I468, 2)</f>
        <v>350.74</v>
      </c>
      <c r="P468" s="29">
        <v>90.28</v>
      </c>
      <c r="S468" s="28">
        <f>ROUND(ROUND(P468, 2)*I468, 2)</f>
        <v>350.74</v>
      </c>
      <c r="V468" s="9">
        <f>ROUND(ROUND(P468, 2)/1.2, 2)</f>
        <v>75.23</v>
      </c>
      <c r="Y468" s="9">
        <f t="shared" si="18"/>
        <v>292.27999999999997</v>
      </c>
      <c r="AD468" s="4" t="s">
        <v>1588</v>
      </c>
      <c r="AE468" s="4" t="s">
        <v>1589</v>
      </c>
      <c r="AF468" s="4" t="s">
        <v>1010</v>
      </c>
    </row>
    <row r="469" spans="1:35" ht="36" x14ac:dyDescent="0.3">
      <c r="A469" s="10" t="s">
        <v>1590</v>
      </c>
      <c r="B469" s="10"/>
      <c r="C469" s="30" t="s">
        <v>1498</v>
      </c>
      <c r="D469" s="15"/>
      <c r="E469" s="15" t="s">
        <v>1579</v>
      </c>
      <c r="F469" s="25" t="s">
        <v>278</v>
      </c>
      <c r="G469" s="26">
        <v>1.8</v>
      </c>
      <c r="H469" s="26"/>
      <c r="I469" s="26">
        <v>46.624000000000002</v>
      </c>
      <c r="J469" s="27">
        <v>12.26</v>
      </c>
      <c r="M469" s="28">
        <f>ROUND(ROUND(J469, 2)*I469, 2)</f>
        <v>571.61</v>
      </c>
      <c r="P469" s="29">
        <v>21.82</v>
      </c>
      <c r="S469" s="28">
        <f>ROUND(ROUND(P469, 2)*I469, 2)</f>
        <v>1017.34</v>
      </c>
      <c r="V469" s="9">
        <f>ROUND(ROUND(P469, 2)/1.2, 2)</f>
        <v>18.18</v>
      </c>
      <c r="Y469" s="9">
        <f t="shared" si="18"/>
        <v>847.78</v>
      </c>
      <c r="AD469" s="4" t="s">
        <v>1591</v>
      </c>
      <c r="AE469" s="4" t="s">
        <v>1592</v>
      </c>
      <c r="AF469" s="4" t="s">
        <v>1561</v>
      </c>
    </row>
    <row r="470" spans="1:35" ht="108" x14ac:dyDescent="0.3">
      <c r="A470" s="10" t="s">
        <v>1593</v>
      </c>
      <c r="B470" s="10" t="s">
        <v>1594</v>
      </c>
      <c r="C470" s="14" t="s">
        <v>1595</v>
      </c>
      <c r="D470" s="15" t="s">
        <v>1596</v>
      </c>
      <c r="E470" s="15" t="s">
        <v>1597</v>
      </c>
      <c r="F470" s="15" t="s">
        <v>62</v>
      </c>
      <c r="G470" s="16">
        <v>1</v>
      </c>
      <c r="H470" s="16"/>
      <c r="I470" s="16">
        <v>1178.82</v>
      </c>
      <c r="J470" s="17">
        <f>IFERROR(ROUND(SUM(M471,M472,M473)/I470, 2),0)</f>
        <v>313.94</v>
      </c>
      <c r="K470" s="18">
        <v>1165</v>
      </c>
      <c r="L470" s="17">
        <f>J470+ROUND(K470, 2)</f>
        <v>1478.94</v>
      </c>
      <c r="M470" s="17">
        <f>ROUND(J470*I470, 2)</f>
        <v>370078.75</v>
      </c>
      <c r="N470" s="17">
        <f>ROUND(I470*ROUND(K470, 2), 2)</f>
        <v>1373325.3</v>
      </c>
      <c r="O470" s="17">
        <f>M470+N470</f>
        <v>1743404.05</v>
      </c>
      <c r="P470" s="17">
        <f>IFERROR(ROUND(SUM(S471,S472,S473)/I470, 2),0)</f>
        <v>378.61</v>
      </c>
      <c r="Q470" s="19">
        <v>1747.5</v>
      </c>
      <c r="R470" s="17">
        <f>P470+ROUND(Q470, 2)</f>
        <v>2126.11</v>
      </c>
      <c r="S470" s="17">
        <f>ROUND(P470*I470, 2)</f>
        <v>446313.04</v>
      </c>
      <c r="T470" s="17">
        <f>ROUND(I470*ROUND(Q470, 2), 2)</f>
        <v>2059987.95</v>
      </c>
      <c r="U470" s="17">
        <f>S470+T470</f>
        <v>2506300.9899999998</v>
      </c>
      <c r="V470" s="9">
        <f>ROUND(P470 / 1.2, 2)</f>
        <v>315.51</v>
      </c>
      <c r="W470" s="9">
        <f>ROUND(Q470 / 1.2, 2)</f>
        <v>1456.25</v>
      </c>
      <c r="X470" s="9">
        <f>ROUND(R470 / 1.2, 2)</f>
        <v>1771.76</v>
      </c>
      <c r="Y470" s="9">
        <f t="shared" si="18"/>
        <v>371927.53</v>
      </c>
      <c r="Z470" s="9">
        <f>ROUND(T470 / 1.2, 2)</f>
        <v>1716656.63</v>
      </c>
      <c r="AA470" s="9">
        <f>Y470+Z470</f>
        <v>2088584.16</v>
      </c>
      <c r="AD470" s="4">
        <v>334080532</v>
      </c>
      <c r="AE470" s="4">
        <v>29241735</v>
      </c>
      <c r="AG470" s="4" t="s">
        <v>1598</v>
      </c>
      <c r="AH470" s="4" t="s">
        <v>1599</v>
      </c>
      <c r="AI470" s="4" t="s">
        <v>250</v>
      </c>
    </row>
    <row r="471" spans="1:35" ht="36" x14ac:dyDescent="0.3">
      <c r="A471" s="10" t="s">
        <v>1600</v>
      </c>
      <c r="B471" s="10"/>
      <c r="C471" s="24" t="s">
        <v>1601</v>
      </c>
      <c r="D471" s="15"/>
      <c r="E471" s="15" t="s">
        <v>1602</v>
      </c>
      <c r="F471" s="25" t="s">
        <v>278</v>
      </c>
      <c r="G471" s="26">
        <v>1.3</v>
      </c>
      <c r="H471" s="31"/>
      <c r="I471" s="31">
        <v>38311.65</v>
      </c>
      <c r="J471" s="27">
        <v>8.75</v>
      </c>
      <c r="M471" s="28">
        <f>ROUND(ROUND(J471, 2)*I471, 2)</f>
        <v>335226.94</v>
      </c>
      <c r="P471" s="29">
        <v>10.74</v>
      </c>
      <c r="S471" s="28">
        <f>ROUND(ROUND(P471, 2)*I471, 2)</f>
        <v>411467.12</v>
      </c>
      <c r="V471" s="9">
        <f>ROUND(ROUND(P471, 2)/1.2, 2)</f>
        <v>8.9499999999999993</v>
      </c>
      <c r="Y471" s="9">
        <f t="shared" si="18"/>
        <v>342889.27</v>
      </c>
      <c r="AD471" s="4" t="s">
        <v>1603</v>
      </c>
      <c r="AE471" s="4" t="s">
        <v>1604</v>
      </c>
      <c r="AF471" s="4" t="s">
        <v>1605</v>
      </c>
    </row>
    <row r="472" spans="1:35" ht="36" x14ac:dyDescent="0.3">
      <c r="A472" s="10" t="s">
        <v>1606</v>
      </c>
      <c r="B472" s="10"/>
      <c r="C472" s="24" t="s">
        <v>1007</v>
      </c>
      <c r="D472" s="15"/>
      <c r="E472" s="15"/>
      <c r="F472" s="25" t="s">
        <v>278</v>
      </c>
      <c r="G472" s="26">
        <v>0.15</v>
      </c>
      <c r="H472" s="26"/>
      <c r="I472" s="26">
        <v>176.82300000000001</v>
      </c>
      <c r="J472" s="27">
        <v>90.28</v>
      </c>
      <c r="M472" s="28">
        <f>ROUND(ROUND(J472, 2)*I472, 2)</f>
        <v>15963.58</v>
      </c>
      <c r="P472" s="29">
        <v>90.28</v>
      </c>
      <c r="S472" s="28">
        <f>ROUND(ROUND(P472, 2)*I472, 2)</f>
        <v>15963.58</v>
      </c>
      <c r="V472" s="9">
        <f>ROUND(ROUND(P472, 2)/1.2, 2)</f>
        <v>75.23</v>
      </c>
      <c r="Y472" s="9">
        <f t="shared" si="18"/>
        <v>13302.98</v>
      </c>
      <c r="AD472" s="4" t="s">
        <v>1607</v>
      </c>
      <c r="AE472" s="4" t="s">
        <v>1608</v>
      </c>
      <c r="AF472" s="4" t="s">
        <v>1010</v>
      </c>
    </row>
    <row r="473" spans="1:35" ht="18" x14ac:dyDescent="0.3">
      <c r="A473" s="10" t="s">
        <v>1609</v>
      </c>
      <c r="B473" s="10"/>
      <c r="C473" s="24" t="s">
        <v>1610</v>
      </c>
      <c r="D473" s="15"/>
      <c r="E473" s="15"/>
      <c r="F473" s="25" t="s">
        <v>102</v>
      </c>
      <c r="G473" s="26">
        <v>1</v>
      </c>
      <c r="H473" s="31"/>
      <c r="I473" s="31">
        <v>1178.82</v>
      </c>
      <c r="J473" s="27">
        <v>16.02</v>
      </c>
      <c r="M473" s="28">
        <f>ROUND(ROUND(J473, 2)*I473, 2)</f>
        <v>18884.7</v>
      </c>
      <c r="P473" s="29">
        <v>16.02</v>
      </c>
      <c r="S473" s="28">
        <f>ROUND(ROUND(P473, 2)*I473, 2)</f>
        <v>18884.7</v>
      </c>
      <c r="V473" s="9">
        <f>ROUND(ROUND(P473, 2)/1.2, 2)</f>
        <v>13.35</v>
      </c>
      <c r="Y473" s="9">
        <f t="shared" si="18"/>
        <v>15737.25</v>
      </c>
      <c r="AD473" s="4" t="s">
        <v>1611</v>
      </c>
      <c r="AE473" s="4" t="s">
        <v>1612</v>
      </c>
      <c r="AF473" s="4" t="s">
        <v>1613</v>
      </c>
    </row>
    <row r="474" spans="1:35" ht="90" x14ac:dyDescent="0.3">
      <c r="A474" s="10" t="s">
        <v>1614</v>
      </c>
      <c r="B474" s="10" t="s">
        <v>1615</v>
      </c>
      <c r="C474" s="14" t="s">
        <v>1616</v>
      </c>
      <c r="D474" s="15"/>
      <c r="E474" s="15" t="s">
        <v>1617</v>
      </c>
      <c r="F474" s="15" t="s">
        <v>62</v>
      </c>
      <c r="G474" s="16">
        <v>1</v>
      </c>
      <c r="H474" s="16"/>
      <c r="I474" s="16">
        <v>301.64</v>
      </c>
      <c r="J474" s="17">
        <f>IFERROR(ROUND(SUM(M475,M476,M477)/I474, 2),0)</f>
        <v>239.43</v>
      </c>
      <c r="K474" s="18">
        <v>1073</v>
      </c>
      <c r="L474" s="17">
        <f>J474+ROUND(K474, 2)</f>
        <v>1312.43</v>
      </c>
      <c r="M474" s="17">
        <f>ROUND(J474*I474, 2)</f>
        <v>72221.67</v>
      </c>
      <c r="N474" s="17">
        <f>ROUND(I474*ROUND(K474, 2), 2)</f>
        <v>323659.71999999997</v>
      </c>
      <c r="O474" s="17">
        <f>M474+N474</f>
        <v>395881.38999999996</v>
      </c>
      <c r="P474" s="17">
        <f>IFERROR(ROUND(SUM(S475,S476,S477)/I474, 2),0)</f>
        <v>309.68</v>
      </c>
      <c r="Q474" s="19">
        <v>1609.5</v>
      </c>
      <c r="R474" s="17">
        <f>P474+ROUND(Q474, 2)</f>
        <v>1919.18</v>
      </c>
      <c r="S474" s="17">
        <f>ROUND(P474*I474, 2)</f>
        <v>93411.88</v>
      </c>
      <c r="T474" s="17">
        <f>ROUND(I474*ROUND(Q474, 2), 2)</f>
        <v>485489.58</v>
      </c>
      <c r="U474" s="17">
        <f>S474+T474</f>
        <v>578901.46</v>
      </c>
      <c r="V474" s="9">
        <f>ROUND(P474 / 1.2, 2)</f>
        <v>258.07</v>
      </c>
      <c r="W474" s="9">
        <f>ROUND(Q474 / 1.2, 2)</f>
        <v>1341.25</v>
      </c>
      <c r="X474" s="9">
        <f>ROUND(R474 / 1.2, 2)</f>
        <v>1599.32</v>
      </c>
      <c r="Y474" s="9">
        <f t="shared" si="18"/>
        <v>77843.23</v>
      </c>
      <c r="Z474" s="9">
        <f>ROUND(T474 / 1.2, 2)</f>
        <v>404574.65</v>
      </c>
      <c r="AA474" s="9">
        <f>Y474+Z474</f>
        <v>482417.88</v>
      </c>
      <c r="AD474" s="4">
        <v>334080534</v>
      </c>
      <c r="AE474" s="4">
        <v>29241732</v>
      </c>
      <c r="AG474" s="4" t="s">
        <v>1618</v>
      </c>
      <c r="AH474" s="4" t="s">
        <v>1619</v>
      </c>
      <c r="AI474" s="4" t="s">
        <v>250</v>
      </c>
    </row>
    <row r="475" spans="1:35" ht="36" x14ac:dyDescent="0.3">
      <c r="A475" s="10" t="s">
        <v>1620</v>
      </c>
      <c r="B475" s="10"/>
      <c r="C475" s="30" t="s">
        <v>1621</v>
      </c>
      <c r="D475" s="15"/>
      <c r="E475" s="15"/>
      <c r="F475" s="25" t="s">
        <v>278</v>
      </c>
      <c r="G475" s="26">
        <v>1</v>
      </c>
      <c r="H475" s="31"/>
      <c r="I475" s="31">
        <v>7541</v>
      </c>
      <c r="J475" s="27">
        <v>7.92</v>
      </c>
      <c r="M475" s="28">
        <f>ROUND(ROUND(J475, 2)*I475, 2)</f>
        <v>59724.72</v>
      </c>
      <c r="P475" s="29">
        <v>10.73</v>
      </c>
      <c r="S475" s="28">
        <f>ROUND(ROUND(P475, 2)*I475, 2)</f>
        <v>80914.929999999993</v>
      </c>
      <c r="V475" s="9">
        <f>ROUND(ROUND(P475, 2)/1.2, 2)</f>
        <v>8.94</v>
      </c>
      <c r="Y475" s="9">
        <f t="shared" si="18"/>
        <v>67429.11</v>
      </c>
      <c r="AD475" s="4" t="s">
        <v>1622</v>
      </c>
      <c r="AE475" s="4" t="s">
        <v>1623</v>
      </c>
      <c r="AF475" s="4" t="s">
        <v>1624</v>
      </c>
    </row>
    <row r="476" spans="1:35" ht="18" x14ac:dyDescent="0.3">
      <c r="A476" s="10" t="s">
        <v>1625</v>
      </c>
      <c r="B476" s="10"/>
      <c r="C476" s="24" t="s">
        <v>1610</v>
      </c>
      <c r="D476" s="15"/>
      <c r="E476" s="15"/>
      <c r="F476" s="25" t="s">
        <v>102</v>
      </c>
      <c r="G476" s="26">
        <v>1</v>
      </c>
      <c r="H476" s="31"/>
      <c r="I476" s="31">
        <v>301.64</v>
      </c>
      <c r="J476" s="27">
        <v>16.02</v>
      </c>
      <c r="M476" s="28">
        <f>ROUND(ROUND(J476, 2)*I476, 2)</f>
        <v>4832.2700000000004</v>
      </c>
      <c r="P476" s="29">
        <v>16.02</v>
      </c>
      <c r="S476" s="28">
        <f>ROUND(ROUND(P476, 2)*I476, 2)</f>
        <v>4832.2700000000004</v>
      </c>
      <c r="V476" s="9">
        <f>ROUND(ROUND(P476, 2)/1.2, 2)</f>
        <v>13.35</v>
      </c>
      <c r="Y476" s="9">
        <f t="shared" si="18"/>
        <v>4026.89</v>
      </c>
      <c r="AD476" s="4" t="s">
        <v>1626</v>
      </c>
      <c r="AE476" s="4" t="s">
        <v>1627</v>
      </c>
      <c r="AF476" s="4" t="s">
        <v>1613</v>
      </c>
    </row>
    <row r="477" spans="1:35" ht="18" x14ac:dyDescent="0.3">
      <c r="A477" s="10" t="s">
        <v>1628</v>
      </c>
      <c r="B477" s="10"/>
      <c r="C477" s="24" t="s">
        <v>1629</v>
      </c>
      <c r="D477" s="15"/>
      <c r="E477" s="15"/>
      <c r="F477" s="25" t="s">
        <v>278</v>
      </c>
      <c r="G477" s="26">
        <v>0.25</v>
      </c>
      <c r="H477" s="26"/>
      <c r="I477" s="26">
        <v>75.41</v>
      </c>
      <c r="J477" s="27">
        <v>101.66</v>
      </c>
      <c r="M477" s="28">
        <f>ROUND(ROUND(J477, 2)*I477, 2)</f>
        <v>7666.18</v>
      </c>
      <c r="P477" s="29">
        <v>101.66</v>
      </c>
      <c r="S477" s="28">
        <f>ROUND(ROUND(P477, 2)*I477, 2)</f>
        <v>7666.18</v>
      </c>
      <c r="V477" s="9">
        <f>ROUND(ROUND(P477, 2)/1.2, 2)</f>
        <v>84.72</v>
      </c>
      <c r="Y477" s="9">
        <f t="shared" si="18"/>
        <v>6388.48</v>
      </c>
      <c r="AD477" s="4" t="s">
        <v>1630</v>
      </c>
      <c r="AE477" s="4" t="s">
        <v>1631</v>
      </c>
      <c r="AF477" s="4" t="s">
        <v>1632</v>
      </c>
    </row>
    <row r="478" spans="1:35" ht="108" x14ac:dyDescent="0.3">
      <c r="A478" s="10" t="s">
        <v>1633</v>
      </c>
      <c r="B478" s="10" t="s">
        <v>1615</v>
      </c>
      <c r="C478" s="14" t="s">
        <v>1616</v>
      </c>
      <c r="D478" s="15"/>
      <c r="E478" s="15" t="s">
        <v>1634</v>
      </c>
      <c r="F478" s="15" t="s">
        <v>62</v>
      </c>
      <c r="G478" s="16">
        <v>1</v>
      </c>
      <c r="H478" s="16"/>
      <c r="I478" s="16">
        <v>1066.56</v>
      </c>
      <c r="J478" s="17">
        <f>IFERROR(ROUND(SUM(M479,M480,M481)/I478, 2),0)</f>
        <v>227.56</v>
      </c>
      <c r="K478" s="18">
        <v>1073</v>
      </c>
      <c r="L478" s="17">
        <f>J478+ROUND(K478, 2)</f>
        <v>1300.56</v>
      </c>
      <c r="M478" s="17">
        <f>ROUND(J478*I478, 2)</f>
        <v>242706.39</v>
      </c>
      <c r="N478" s="17">
        <f>ROUND(I478*ROUND(K478, 2), 2)</f>
        <v>1144418.8799999999</v>
      </c>
      <c r="O478" s="17">
        <f>M478+N478</f>
        <v>1387125.27</v>
      </c>
      <c r="P478" s="17">
        <f>IFERROR(ROUND(SUM(S479,S480,S481)/I478, 2),0)</f>
        <v>297.81</v>
      </c>
      <c r="Q478" s="19">
        <v>1609.5</v>
      </c>
      <c r="R478" s="17">
        <f>P478+ROUND(Q478, 2)</f>
        <v>1907.31</v>
      </c>
      <c r="S478" s="17">
        <f>ROUND(P478*I478, 2)</f>
        <v>317632.23</v>
      </c>
      <c r="T478" s="17">
        <f>ROUND(I478*ROUND(Q478, 2), 2)</f>
        <v>1716628.32</v>
      </c>
      <c r="U478" s="17">
        <f>S478+T478</f>
        <v>2034260.55</v>
      </c>
      <c r="V478" s="9">
        <f>ROUND(P478 / 1.2, 2)</f>
        <v>248.18</v>
      </c>
      <c r="W478" s="9">
        <f>ROUND(Q478 / 1.2, 2)</f>
        <v>1341.25</v>
      </c>
      <c r="X478" s="9">
        <f>ROUND(R478 / 1.2, 2)</f>
        <v>1589.43</v>
      </c>
      <c r="Y478" s="9">
        <f t="shared" si="18"/>
        <v>264693.53000000003</v>
      </c>
      <c r="Z478" s="9">
        <f>ROUND(T478 / 1.2, 2)</f>
        <v>1430523.6</v>
      </c>
      <c r="AA478" s="9">
        <f>Y478+Z478</f>
        <v>1695217.1300000001</v>
      </c>
      <c r="AD478" s="4">
        <v>334080676</v>
      </c>
      <c r="AE478" s="4">
        <v>29241733</v>
      </c>
      <c r="AG478" s="4" t="s">
        <v>1618</v>
      </c>
      <c r="AH478" s="4" t="s">
        <v>1619</v>
      </c>
      <c r="AI478" s="4" t="s">
        <v>250</v>
      </c>
    </row>
    <row r="479" spans="1:35" ht="36" x14ac:dyDescent="0.3">
      <c r="A479" s="10" t="s">
        <v>1635</v>
      </c>
      <c r="B479" s="10"/>
      <c r="C479" s="24" t="s">
        <v>1007</v>
      </c>
      <c r="D479" s="15"/>
      <c r="E479" s="15"/>
      <c r="F479" s="25" t="s">
        <v>278</v>
      </c>
      <c r="G479" s="26">
        <v>0.15</v>
      </c>
      <c r="H479" s="31"/>
      <c r="I479" s="31">
        <v>159.98400000000001</v>
      </c>
      <c r="J479" s="27">
        <v>90.28</v>
      </c>
      <c r="M479" s="28">
        <f>ROUND(ROUND(J479, 2)*I479, 2)</f>
        <v>14443.36</v>
      </c>
      <c r="P479" s="29">
        <v>90.28</v>
      </c>
      <c r="S479" s="28">
        <f>ROUND(ROUND(P479, 2)*I479, 2)</f>
        <v>14443.36</v>
      </c>
      <c r="V479" s="9">
        <f>ROUND(ROUND(P479, 2)/1.2, 2)</f>
        <v>75.23</v>
      </c>
      <c r="Y479" s="9">
        <f t="shared" si="18"/>
        <v>12036.13</v>
      </c>
      <c r="AD479" s="4" t="s">
        <v>1636</v>
      </c>
      <c r="AE479" s="4" t="s">
        <v>1637</v>
      </c>
      <c r="AF479" s="4" t="s">
        <v>1010</v>
      </c>
    </row>
    <row r="480" spans="1:35" ht="18" x14ac:dyDescent="0.3">
      <c r="A480" s="10" t="s">
        <v>1638</v>
      </c>
      <c r="B480" s="10"/>
      <c r="C480" s="24" t="s">
        <v>1610</v>
      </c>
      <c r="D480" s="15"/>
      <c r="E480" s="15"/>
      <c r="F480" s="25" t="s">
        <v>102</v>
      </c>
      <c r="G480" s="26">
        <v>1</v>
      </c>
      <c r="H480" s="31"/>
      <c r="I480" s="31">
        <v>1066.56</v>
      </c>
      <c r="J480" s="27">
        <v>16.02</v>
      </c>
      <c r="M480" s="28">
        <f>ROUND(ROUND(J480, 2)*I480, 2)</f>
        <v>17086.29</v>
      </c>
      <c r="P480" s="29">
        <v>16.02</v>
      </c>
      <c r="S480" s="28">
        <f>ROUND(ROUND(P480, 2)*I480, 2)</f>
        <v>17086.29</v>
      </c>
      <c r="V480" s="9">
        <f>ROUND(ROUND(P480, 2)/1.2, 2)</f>
        <v>13.35</v>
      </c>
      <c r="Y480" s="9">
        <f t="shared" si="18"/>
        <v>14238.58</v>
      </c>
      <c r="AD480" s="4" t="s">
        <v>1639</v>
      </c>
      <c r="AE480" s="4" t="s">
        <v>1640</v>
      </c>
      <c r="AF480" s="4" t="s">
        <v>1613</v>
      </c>
    </row>
    <row r="481" spans="1:35" ht="36" x14ac:dyDescent="0.3">
      <c r="A481" s="10" t="s">
        <v>1641</v>
      </c>
      <c r="B481" s="10"/>
      <c r="C481" s="30" t="s">
        <v>1621</v>
      </c>
      <c r="D481" s="15"/>
      <c r="E481" s="15"/>
      <c r="F481" s="25" t="s">
        <v>278</v>
      </c>
      <c r="G481" s="26">
        <v>1</v>
      </c>
      <c r="H481" s="31"/>
      <c r="I481" s="31">
        <v>26664</v>
      </c>
      <c r="J481" s="27">
        <v>7.92</v>
      </c>
      <c r="M481" s="28">
        <f>ROUND(ROUND(J481, 2)*I481, 2)</f>
        <v>211178.88</v>
      </c>
      <c r="P481" s="29">
        <v>10.73</v>
      </c>
      <c r="S481" s="28">
        <f>ROUND(ROUND(P481, 2)*I481, 2)</f>
        <v>286104.71999999997</v>
      </c>
      <c r="V481" s="9">
        <f>ROUND(ROUND(P481, 2)/1.2, 2)</f>
        <v>8.94</v>
      </c>
      <c r="Y481" s="9">
        <f t="shared" si="18"/>
        <v>238420.6</v>
      </c>
      <c r="AD481" s="4" t="s">
        <v>1642</v>
      </c>
      <c r="AE481" s="4" t="s">
        <v>1643</v>
      </c>
      <c r="AF481" s="4" t="s">
        <v>1624</v>
      </c>
    </row>
    <row r="482" spans="1:35" ht="16.95" customHeight="1" x14ac:dyDescent="0.3">
      <c r="A482" s="10" t="s">
        <v>1644</v>
      </c>
      <c r="B482" s="10" t="s">
        <v>1645</v>
      </c>
      <c r="C482" s="91" t="s">
        <v>1646</v>
      </c>
      <c r="D482" s="92"/>
      <c r="E482" s="92"/>
      <c r="F482" s="92"/>
      <c r="G482" s="92"/>
      <c r="H482" s="92"/>
      <c r="I482" s="93"/>
      <c r="M482" s="6">
        <f>SUM(M483,M485,M487,M489,M491,M493,M495,M497,M499,M501,M503,M505,M507,M509,M511,M513,M515,M517,M519,M521,M523,M526,M529,M532,M535,M538,M541,M544,M547,M550,M553,M556,M559,M562,M565,M568,M571,M574,M577,M580,M583,M586,M589,M592,M595,M598,M601,M606,M611,M616,M621,M626,M631,M636,M641,M646,M651,M656,M661,M666,M671,M676,M681,M686,M691,M696,M701,M706)</f>
        <v>9344474.879999999</v>
      </c>
      <c r="N482" s="6">
        <f>SUM(N483,N485,N487,N489,N491,N493,N495,N497,N499,N501,N503,N505,N507,N509,N511,N513,N515,N517,N519,N521,N523,N526,N529,N532,N535,N538,N541,N544,N547,N550,N553,N556,N559,N562,N565,N568,N571,N574,N577,N580,N583,N586,N589,N592,N595,N598,N601,N606,N611,N616,N621,N626,N631,N636,N641,N646,N651,N656,N661,N666,N671,N676,N681,N686,N691,N696,N701,N706)</f>
        <v>18533213.73</v>
      </c>
      <c r="O482" s="6">
        <f>SUM(O483,O485,O487,O489,O491,O493,O495,O497,O499,O501,O503,O505,O507,O509,O511,O513,O515,O517,O519,O521,O523,O526,O529,O532,O535,O538,O541,O544,O547,O550,O553,O556,O559,O562,O565,O568,O571,O574,O577,O580,O583,O586,O589,O592,O595,O598,O601,O606,O611,O616,O621,O626,O631,O636,O641,O646,O651,O656,O661,O666,O671,O676,O681,O686,O691,O696,O701,O706)</f>
        <v>27877688.609999999</v>
      </c>
      <c r="S482" s="6">
        <f>SUM(S483,S485,S487,S489,S491,S493,S495,S497,S499,S501,S503,S505,S507,S509,S511,S513,S515,S517,S519,S521,S523,S526,S529,S532,S535,S538,S541,S544,S547,S550,S553,S556,S559,S562,S565,S568,S571,S574,S577,S580,S583,S586,S589,S592,S595,S598,S601,S606,S611,S616,S621,S626,S631,S636,S641,S646,S651,S656,S661,S666,S671,S676,S681,S686,S691,S696,S701,S706)</f>
        <v>7149355.0900000008</v>
      </c>
      <c r="T482" s="6">
        <f>SUM(T483,T485,T487,T489,T491,T493,T495,T497,T499,T501,T503,T505,T507,T509,T511,T513,T515,T517,T519,T521,T523,T526,T529,T532,T535,T538,T541,T544,T547,T550,T553,T556,T559,T562,T565,T568,T571,T574,T577,T580,T583,T586,T589,T592,T595,T598,T601,T606,T611,T616,T621,T626,T631,T636,T641,T646,T651,T656,T661,T666,T671,T676,T681,T686,T691,T696,T701,T706)</f>
        <v>27799828.550000001</v>
      </c>
      <c r="U482" s="6">
        <f>SUM(U483,U485,U487,U489,U491,U493,U495,U497,U499,U501,U503,U505,U507,U509,U511,U513,U515,U517,U519,U521,U523,U526,U529,U532,U535,U538,U541,U544,U547,U550,U553,U556,U559,U562,U565,U568,U571,U574,U577,U580,U583,U586,U589,U592,U595,U598,U601,U606,U611,U616,U621,U626,U631,U636,U641,U646,U651,U656,U661,U666,U671,U676,U681,U686,U691,U696,U701,U706)</f>
        <v>34949183.640000001</v>
      </c>
      <c r="Y482" s="9">
        <f>SUM(Y483,Y485,Y487,Y489,Y491,Y493,Y495,Y497,Y499,Y501,Y503,Y505,Y507,Y509,Y511,Y513,Y515,Y517,Y519,Y521,Y523,Y526,Y529,Y532,Y535,Y538,Y541,Y544,Y547,Y550,Y553,Y556,Y559,Y562,Y565,Y568,Y571,Y574,Y577,Y580,Y583,Y586,Y589,Y592,Y595,Y598,Y601,Y606,Y611,Y616,Y621,Y626,Y631,Y636,Y641,Y646,Y651,Y656,Y661,Y666,Y671,Y676,Y681,Y686,Y691,Y696,Y701,Y706)</f>
        <v>5957795.9300000006</v>
      </c>
      <c r="Z482" s="9">
        <f>SUM(Z483,Z485,Z487,Z489,Z491,Z493,Z495,Z497,Z499,Z501,Z503,Z505,Z507,Z509,Z511,Z513,Z515,Z517,Z519,Z521,Z523,Z526,Z529,Z532,Z535,Z538,Z541,Z544,Z547,Z550,Z553,Z556,Z559,Z562,Z565,Z568,Z571,Z574,Z577,Z580,Z583,Z586,Z589,Z592,Z595,Z598,Z601,Z606,Z611,Z616,Z621,Z626,Z631,Z636,Z641,Z646,Z651,Z656,Z661,Z666,Z671,Z676,Z681,Z686,Z691,Z696,Z701,Z706)</f>
        <v>23166523.809999999</v>
      </c>
      <c r="AA482" s="9">
        <f>SUM(AA483,AA485,AA487,AA489,AA491,AA493,AA495,AA497,AA499,AA501,AA503,AA505,AA507,AA509,AA511,AA513,AA515,AA517,AA519,AA521,AA523,AA526,AA529,AA532,AA535,AA538,AA541,AA544,AA547,AA550,AA553,AA556,AA559,AA562,AA565,AA568,AA571,AA574,AA577,AA580,AA583,AA586,AA589,AA592,AA595,AA598,AA601,AA606,AA611,AA616,AA621,AA626,AA631,AA636,AA641,AA646,AA651,AA656,AA661,AA666,AA671,AA676,AA681,AA686,AA691,AA696,AA701,AA706)</f>
        <v>29124319.739999998</v>
      </c>
      <c r="AD482" s="4">
        <v>334080535</v>
      </c>
      <c r="AE482" s="4">
        <v>27245711</v>
      </c>
    </row>
    <row r="483" spans="1:35" ht="18" x14ac:dyDescent="0.3">
      <c r="A483" s="10" t="s">
        <v>1647</v>
      </c>
      <c r="B483" s="10" t="s">
        <v>1648</v>
      </c>
      <c r="C483" s="14" t="s">
        <v>1649</v>
      </c>
      <c r="D483" s="15"/>
      <c r="E483" s="15"/>
      <c r="F483" s="15" t="s">
        <v>62</v>
      </c>
      <c r="G483" s="16">
        <v>1</v>
      </c>
      <c r="H483" s="16"/>
      <c r="I483" s="16">
        <v>0</v>
      </c>
      <c r="J483" s="17">
        <v>0</v>
      </c>
      <c r="K483" s="18">
        <v>1010</v>
      </c>
      <c r="L483" s="17">
        <f>J483+ROUND(K483, 2)</f>
        <v>1010</v>
      </c>
      <c r="M483" s="17">
        <v>0</v>
      </c>
      <c r="N483" s="17">
        <v>0</v>
      </c>
      <c r="O483" s="17">
        <f>M483+N483</f>
        <v>0</v>
      </c>
      <c r="P483" s="17">
        <v>390</v>
      </c>
      <c r="Q483" s="18">
        <v>1010</v>
      </c>
      <c r="R483" s="17">
        <f>P483+ROUND(Q483, 2)</f>
        <v>1400</v>
      </c>
      <c r="S483" s="17">
        <v>0</v>
      </c>
      <c r="T483" s="17">
        <v>0</v>
      </c>
      <c r="U483" s="17">
        <f>S483+T483</f>
        <v>0</v>
      </c>
      <c r="V483" s="9">
        <f>ROUND(P483 / 1.2, 2)</f>
        <v>325</v>
      </c>
      <c r="W483" s="9">
        <f>ROUND(Q483 / 1.2, 2)</f>
        <v>841.67</v>
      </c>
      <c r="X483" s="9">
        <f>ROUND(R483 / 1.2, 2)</f>
        <v>1166.67</v>
      </c>
      <c r="Y483" s="9">
        <f>ROUND(S483 / 1.2, 2)</f>
        <v>0</v>
      </c>
      <c r="Z483" s="9">
        <f>ROUND(T483 / 1.2, 2)</f>
        <v>0</v>
      </c>
      <c r="AA483" s="9">
        <f>Y483+Z483</f>
        <v>0</v>
      </c>
      <c r="AD483" s="4">
        <v>334080537</v>
      </c>
      <c r="AE483" s="4">
        <v>27245674</v>
      </c>
      <c r="AG483" s="4" t="s">
        <v>1650</v>
      </c>
      <c r="AH483" s="4" t="s">
        <v>1651</v>
      </c>
      <c r="AI483" s="4" t="s">
        <v>250</v>
      </c>
    </row>
    <row r="484" spans="1:35" ht="36" x14ac:dyDescent="0.3">
      <c r="A484" s="10" t="s">
        <v>1652</v>
      </c>
      <c r="B484" s="10"/>
      <c r="C484" s="24" t="s">
        <v>1653</v>
      </c>
      <c r="D484" s="15"/>
      <c r="E484" s="15"/>
      <c r="F484" s="25" t="s">
        <v>597</v>
      </c>
      <c r="G484" s="26">
        <v>1.5</v>
      </c>
      <c r="H484" s="26"/>
      <c r="I484" s="26">
        <v>0</v>
      </c>
      <c r="J484" s="27">
        <v>260</v>
      </c>
      <c r="M484" s="28">
        <f>ROUND(ROUND(J484, 2)*I484, 2)</f>
        <v>0</v>
      </c>
      <c r="P484" s="27">
        <v>260</v>
      </c>
      <c r="S484" s="28">
        <f>ROUND(ROUND(P484, 2)*I484, 2)</f>
        <v>0</v>
      </c>
      <c r="V484" s="9">
        <f>ROUND(ROUND(P484, 2)/1.2, 2)</f>
        <v>216.67</v>
      </c>
      <c r="Y484" s="9">
        <f t="shared" ref="Y484:Y547" si="19">ROUND(S484 / 1.2, 2)</f>
        <v>0</v>
      </c>
      <c r="AD484" s="4" t="s">
        <v>1654</v>
      </c>
      <c r="AE484" s="4" t="s">
        <v>1655</v>
      </c>
      <c r="AF484" s="4" t="s">
        <v>1656</v>
      </c>
    </row>
    <row r="485" spans="1:35" ht="18" x14ac:dyDescent="0.3">
      <c r="A485" s="10" t="s">
        <v>1657</v>
      </c>
      <c r="B485" s="10" t="s">
        <v>1648</v>
      </c>
      <c r="C485" s="14" t="s">
        <v>1649</v>
      </c>
      <c r="D485" s="15"/>
      <c r="E485" s="15"/>
      <c r="F485" s="15" t="s">
        <v>62</v>
      </c>
      <c r="G485" s="16">
        <v>1</v>
      </c>
      <c r="H485" s="16"/>
      <c r="I485" s="16">
        <v>0</v>
      </c>
      <c r="J485" s="17">
        <v>0</v>
      </c>
      <c r="K485" s="18">
        <v>1010</v>
      </c>
      <c r="L485" s="17">
        <f>J485+ROUND(K485, 2)</f>
        <v>1010</v>
      </c>
      <c r="M485" s="17">
        <v>0</v>
      </c>
      <c r="N485" s="17">
        <v>0</v>
      </c>
      <c r="O485" s="17">
        <f>M485+N485</f>
        <v>0</v>
      </c>
      <c r="P485" s="17">
        <v>390</v>
      </c>
      <c r="Q485" s="18">
        <v>1010</v>
      </c>
      <c r="R485" s="17">
        <f>P485+ROUND(Q485, 2)</f>
        <v>1400</v>
      </c>
      <c r="S485" s="17">
        <v>0</v>
      </c>
      <c r="T485" s="17">
        <v>0</v>
      </c>
      <c r="U485" s="17">
        <f>S485+T485</f>
        <v>0</v>
      </c>
      <c r="V485" s="9">
        <f>ROUND(P485 / 1.2, 2)</f>
        <v>325</v>
      </c>
      <c r="W485" s="9">
        <f>ROUND(Q485 / 1.2, 2)</f>
        <v>841.67</v>
      </c>
      <c r="X485" s="9">
        <f>ROUND(R485 / 1.2, 2)</f>
        <v>1166.67</v>
      </c>
      <c r="Y485" s="9">
        <f t="shared" si="19"/>
        <v>0</v>
      </c>
      <c r="Z485" s="9">
        <f>ROUND(T485 / 1.2, 2)</f>
        <v>0</v>
      </c>
      <c r="AA485" s="9">
        <f>Y485+Z485</f>
        <v>0</v>
      </c>
      <c r="AD485" s="4">
        <v>334080677</v>
      </c>
      <c r="AE485" s="4">
        <v>27245675</v>
      </c>
      <c r="AG485" s="4" t="s">
        <v>1650</v>
      </c>
      <c r="AH485" s="4" t="s">
        <v>1651</v>
      </c>
      <c r="AI485" s="4" t="s">
        <v>250</v>
      </c>
    </row>
    <row r="486" spans="1:35" ht="36" x14ac:dyDescent="0.3">
      <c r="A486" s="10" t="s">
        <v>1658</v>
      </c>
      <c r="B486" s="10"/>
      <c r="C486" s="24" t="s">
        <v>1653</v>
      </c>
      <c r="D486" s="15"/>
      <c r="E486" s="15"/>
      <c r="F486" s="25" t="s">
        <v>597</v>
      </c>
      <c r="G486" s="26">
        <v>1.5</v>
      </c>
      <c r="H486" s="26"/>
      <c r="I486" s="26">
        <v>0</v>
      </c>
      <c r="J486" s="27">
        <v>260</v>
      </c>
      <c r="M486" s="28">
        <f>ROUND(ROUND(J486, 2)*I486, 2)</f>
        <v>0</v>
      </c>
      <c r="P486" s="27">
        <v>260</v>
      </c>
      <c r="S486" s="28">
        <f>ROUND(ROUND(P486, 2)*I486, 2)</f>
        <v>0</v>
      </c>
      <c r="V486" s="9">
        <f>ROUND(ROUND(P486, 2)/1.2, 2)</f>
        <v>216.67</v>
      </c>
      <c r="Y486" s="9">
        <f t="shared" si="19"/>
        <v>0</v>
      </c>
      <c r="AD486" s="4" t="s">
        <v>1659</v>
      </c>
      <c r="AE486" s="4" t="s">
        <v>1660</v>
      </c>
      <c r="AF486" s="4" t="s">
        <v>1656</v>
      </c>
    </row>
    <row r="487" spans="1:35" ht="18" x14ac:dyDescent="0.3">
      <c r="A487" s="10" t="s">
        <v>1661</v>
      </c>
      <c r="B487" s="10" t="s">
        <v>1648</v>
      </c>
      <c r="C487" s="14" t="s">
        <v>1649</v>
      </c>
      <c r="D487" s="15"/>
      <c r="E487" s="15"/>
      <c r="F487" s="15" t="s">
        <v>62</v>
      </c>
      <c r="G487" s="16">
        <v>1</v>
      </c>
      <c r="H487" s="16"/>
      <c r="I487" s="16">
        <v>0</v>
      </c>
      <c r="J487" s="17">
        <v>0</v>
      </c>
      <c r="K487" s="18">
        <v>1010</v>
      </c>
      <c r="L487" s="17">
        <f>J487+ROUND(K487, 2)</f>
        <v>1010</v>
      </c>
      <c r="M487" s="17">
        <v>0</v>
      </c>
      <c r="N487" s="17">
        <v>0</v>
      </c>
      <c r="O487" s="17">
        <f>M487+N487</f>
        <v>0</v>
      </c>
      <c r="P487" s="17">
        <v>390</v>
      </c>
      <c r="Q487" s="18">
        <v>1010</v>
      </c>
      <c r="R487" s="17">
        <f>P487+ROUND(Q487, 2)</f>
        <v>1400</v>
      </c>
      <c r="S487" s="17">
        <v>0</v>
      </c>
      <c r="T487" s="17">
        <v>0</v>
      </c>
      <c r="U487" s="17">
        <f>S487+T487</f>
        <v>0</v>
      </c>
      <c r="V487" s="9">
        <f>ROUND(P487 / 1.2, 2)</f>
        <v>325</v>
      </c>
      <c r="W487" s="9">
        <f>ROUND(Q487 / 1.2, 2)</f>
        <v>841.67</v>
      </c>
      <c r="X487" s="9">
        <f>ROUND(R487 / 1.2, 2)</f>
        <v>1166.67</v>
      </c>
      <c r="Y487" s="9">
        <f t="shared" si="19"/>
        <v>0</v>
      </c>
      <c r="Z487" s="9">
        <f>ROUND(T487 / 1.2, 2)</f>
        <v>0</v>
      </c>
      <c r="AA487" s="9">
        <f>Y487+Z487</f>
        <v>0</v>
      </c>
      <c r="AD487" s="4">
        <v>334080678</v>
      </c>
      <c r="AE487" s="4">
        <v>27245676</v>
      </c>
      <c r="AG487" s="4" t="s">
        <v>1650</v>
      </c>
      <c r="AH487" s="4" t="s">
        <v>1651</v>
      </c>
      <c r="AI487" s="4" t="s">
        <v>250</v>
      </c>
    </row>
    <row r="488" spans="1:35" ht="36" x14ac:dyDescent="0.3">
      <c r="A488" s="10" t="s">
        <v>1662</v>
      </c>
      <c r="B488" s="10"/>
      <c r="C488" s="24" t="s">
        <v>1653</v>
      </c>
      <c r="D488" s="15"/>
      <c r="E488" s="15"/>
      <c r="F488" s="25" t="s">
        <v>597</v>
      </c>
      <c r="G488" s="26">
        <v>1.5</v>
      </c>
      <c r="H488" s="26"/>
      <c r="I488" s="26">
        <v>0</v>
      </c>
      <c r="J488" s="27">
        <v>260</v>
      </c>
      <c r="M488" s="28">
        <f>ROUND(ROUND(J488, 2)*I488, 2)</f>
        <v>0</v>
      </c>
      <c r="P488" s="27">
        <v>260</v>
      </c>
      <c r="S488" s="28">
        <f>ROUND(ROUND(P488, 2)*I488, 2)</f>
        <v>0</v>
      </c>
      <c r="V488" s="9">
        <f>ROUND(ROUND(P488, 2)/1.2, 2)</f>
        <v>216.67</v>
      </c>
      <c r="Y488" s="9">
        <f t="shared" si="19"/>
        <v>0</v>
      </c>
      <c r="AD488" s="4" t="s">
        <v>1663</v>
      </c>
      <c r="AE488" s="4" t="s">
        <v>1664</v>
      </c>
      <c r="AF488" s="4" t="s">
        <v>1656</v>
      </c>
    </row>
    <row r="489" spans="1:35" ht="18" x14ac:dyDescent="0.3">
      <c r="A489" s="10" t="s">
        <v>1665</v>
      </c>
      <c r="B489" s="10" t="s">
        <v>1648</v>
      </c>
      <c r="C489" s="14" t="s">
        <v>1649</v>
      </c>
      <c r="D489" s="15"/>
      <c r="E489" s="15"/>
      <c r="F489" s="15" t="s">
        <v>62</v>
      </c>
      <c r="G489" s="16">
        <v>1</v>
      </c>
      <c r="H489" s="16"/>
      <c r="I489" s="16">
        <v>0</v>
      </c>
      <c r="J489" s="17">
        <v>0</v>
      </c>
      <c r="K489" s="18">
        <v>1010</v>
      </c>
      <c r="L489" s="17">
        <f>J489+ROUND(K489, 2)</f>
        <v>1010</v>
      </c>
      <c r="M489" s="17">
        <v>0</v>
      </c>
      <c r="N489" s="17">
        <v>0</v>
      </c>
      <c r="O489" s="17">
        <f>M489+N489</f>
        <v>0</v>
      </c>
      <c r="P489" s="17">
        <v>390</v>
      </c>
      <c r="Q489" s="18">
        <v>1010</v>
      </c>
      <c r="R489" s="17">
        <f>P489+ROUND(Q489, 2)</f>
        <v>1400</v>
      </c>
      <c r="S489" s="17">
        <v>0</v>
      </c>
      <c r="T489" s="17">
        <v>0</v>
      </c>
      <c r="U489" s="17">
        <f>S489+T489</f>
        <v>0</v>
      </c>
      <c r="V489" s="9">
        <f>ROUND(P489 / 1.2, 2)</f>
        <v>325</v>
      </c>
      <c r="W489" s="9">
        <f>ROUND(Q489 / 1.2, 2)</f>
        <v>841.67</v>
      </c>
      <c r="X489" s="9">
        <f>ROUND(R489 / 1.2, 2)</f>
        <v>1166.67</v>
      </c>
      <c r="Y489" s="9">
        <f t="shared" si="19"/>
        <v>0</v>
      </c>
      <c r="Z489" s="9">
        <f>ROUND(T489 / 1.2, 2)</f>
        <v>0</v>
      </c>
      <c r="AA489" s="9">
        <f>Y489+Z489</f>
        <v>0</v>
      </c>
      <c r="AD489" s="4">
        <v>334080679</v>
      </c>
      <c r="AE489" s="4">
        <v>27245678</v>
      </c>
      <c r="AG489" s="4" t="s">
        <v>1650</v>
      </c>
      <c r="AH489" s="4" t="s">
        <v>1651</v>
      </c>
      <c r="AI489" s="4" t="s">
        <v>250</v>
      </c>
    </row>
    <row r="490" spans="1:35" ht="36" x14ac:dyDescent="0.3">
      <c r="A490" s="10" t="s">
        <v>1666</v>
      </c>
      <c r="B490" s="10"/>
      <c r="C490" s="24" t="s">
        <v>1653</v>
      </c>
      <c r="D490" s="15"/>
      <c r="E490" s="15"/>
      <c r="F490" s="25" t="s">
        <v>597</v>
      </c>
      <c r="G490" s="26">
        <v>1.5</v>
      </c>
      <c r="H490" s="26"/>
      <c r="I490" s="26">
        <v>0</v>
      </c>
      <c r="J490" s="27">
        <v>260</v>
      </c>
      <c r="M490" s="28">
        <f>ROUND(ROUND(J490, 2)*I490, 2)</f>
        <v>0</v>
      </c>
      <c r="P490" s="27">
        <v>260</v>
      </c>
      <c r="S490" s="28">
        <f>ROUND(ROUND(P490, 2)*I490, 2)</f>
        <v>0</v>
      </c>
      <c r="V490" s="9">
        <f>ROUND(ROUND(P490, 2)/1.2, 2)</f>
        <v>216.67</v>
      </c>
      <c r="Y490" s="9">
        <f t="shared" si="19"/>
        <v>0</v>
      </c>
      <c r="AD490" s="4" t="s">
        <v>1667</v>
      </c>
      <c r="AE490" s="4" t="s">
        <v>1668</v>
      </c>
      <c r="AF490" s="4" t="s">
        <v>1656</v>
      </c>
    </row>
    <row r="491" spans="1:35" ht="18" x14ac:dyDescent="0.3">
      <c r="A491" s="10" t="s">
        <v>1669</v>
      </c>
      <c r="B491" s="10" t="s">
        <v>1648</v>
      </c>
      <c r="C491" s="14" t="s">
        <v>1649</v>
      </c>
      <c r="D491" s="15"/>
      <c r="E491" s="15"/>
      <c r="F491" s="15" t="s">
        <v>62</v>
      </c>
      <c r="G491" s="16">
        <v>1</v>
      </c>
      <c r="H491" s="16"/>
      <c r="I491" s="16">
        <v>0</v>
      </c>
      <c r="J491" s="17">
        <v>0</v>
      </c>
      <c r="K491" s="18">
        <v>1010</v>
      </c>
      <c r="L491" s="17">
        <f>J491+ROUND(K491, 2)</f>
        <v>1010</v>
      </c>
      <c r="M491" s="17">
        <v>0</v>
      </c>
      <c r="N491" s="17">
        <v>0</v>
      </c>
      <c r="O491" s="17">
        <f>M491+N491</f>
        <v>0</v>
      </c>
      <c r="P491" s="17">
        <v>390</v>
      </c>
      <c r="Q491" s="18">
        <v>1010</v>
      </c>
      <c r="R491" s="17">
        <f>P491+ROUND(Q491, 2)</f>
        <v>1400</v>
      </c>
      <c r="S491" s="17">
        <v>0</v>
      </c>
      <c r="T491" s="17">
        <v>0</v>
      </c>
      <c r="U491" s="17">
        <f>S491+T491</f>
        <v>0</v>
      </c>
      <c r="V491" s="9">
        <f>ROUND(P491 / 1.2, 2)</f>
        <v>325</v>
      </c>
      <c r="W491" s="9">
        <f>ROUND(Q491 / 1.2, 2)</f>
        <v>841.67</v>
      </c>
      <c r="X491" s="9">
        <f>ROUND(R491 / 1.2, 2)</f>
        <v>1166.67</v>
      </c>
      <c r="Y491" s="9">
        <f t="shared" si="19"/>
        <v>0</v>
      </c>
      <c r="Z491" s="9">
        <f>ROUND(T491 / 1.2, 2)</f>
        <v>0</v>
      </c>
      <c r="AA491" s="9">
        <f>Y491+Z491</f>
        <v>0</v>
      </c>
      <c r="AD491" s="4">
        <v>334080680</v>
      </c>
      <c r="AE491" s="4">
        <v>27245679</v>
      </c>
      <c r="AG491" s="4" t="s">
        <v>1650</v>
      </c>
      <c r="AH491" s="4" t="s">
        <v>1651</v>
      </c>
      <c r="AI491" s="4" t="s">
        <v>250</v>
      </c>
    </row>
    <row r="492" spans="1:35" ht="36" x14ac:dyDescent="0.3">
      <c r="A492" s="10" t="s">
        <v>1670</v>
      </c>
      <c r="B492" s="10"/>
      <c r="C492" s="24" t="s">
        <v>1653</v>
      </c>
      <c r="D492" s="15"/>
      <c r="E492" s="15"/>
      <c r="F492" s="25" t="s">
        <v>597</v>
      </c>
      <c r="G492" s="26">
        <v>1.5</v>
      </c>
      <c r="H492" s="26"/>
      <c r="I492" s="26">
        <v>0</v>
      </c>
      <c r="J492" s="27">
        <v>260</v>
      </c>
      <c r="M492" s="28">
        <f>ROUND(ROUND(J492, 2)*I492, 2)</f>
        <v>0</v>
      </c>
      <c r="P492" s="27">
        <v>260</v>
      </c>
      <c r="S492" s="28">
        <f>ROUND(ROUND(P492, 2)*I492, 2)</f>
        <v>0</v>
      </c>
      <c r="V492" s="9">
        <f>ROUND(ROUND(P492, 2)/1.2, 2)</f>
        <v>216.67</v>
      </c>
      <c r="Y492" s="9">
        <f t="shared" si="19"/>
        <v>0</v>
      </c>
      <c r="AD492" s="4" t="s">
        <v>1671</v>
      </c>
      <c r="AE492" s="4" t="s">
        <v>1672</v>
      </c>
      <c r="AF492" s="4" t="s">
        <v>1656</v>
      </c>
    </row>
    <row r="493" spans="1:35" ht="18" x14ac:dyDescent="0.3">
      <c r="A493" s="10" t="s">
        <v>1673</v>
      </c>
      <c r="B493" s="10" t="s">
        <v>1648</v>
      </c>
      <c r="C493" s="14" t="s">
        <v>1649</v>
      </c>
      <c r="D493" s="15"/>
      <c r="E493" s="15"/>
      <c r="F493" s="15" t="s">
        <v>62</v>
      </c>
      <c r="G493" s="16">
        <v>1</v>
      </c>
      <c r="H493" s="16"/>
      <c r="I493" s="16">
        <v>0</v>
      </c>
      <c r="J493" s="17">
        <v>0</v>
      </c>
      <c r="K493" s="18">
        <v>1010</v>
      </c>
      <c r="L493" s="17">
        <f>J493+ROUND(K493, 2)</f>
        <v>1010</v>
      </c>
      <c r="M493" s="17">
        <v>0</v>
      </c>
      <c r="N493" s="17">
        <v>0</v>
      </c>
      <c r="O493" s="17">
        <f>M493+N493</f>
        <v>0</v>
      </c>
      <c r="P493" s="17">
        <v>390</v>
      </c>
      <c r="Q493" s="18">
        <v>1010</v>
      </c>
      <c r="R493" s="17">
        <f>P493+ROUND(Q493, 2)</f>
        <v>1400</v>
      </c>
      <c r="S493" s="17">
        <v>0</v>
      </c>
      <c r="T493" s="17">
        <v>0</v>
      </c>
      <c r="U493" s="17">
        <f>S493+T493</f>
        <v>0</v>
      </c>
      <c r="V493" s="9">
        <f>ROUND(P493 / 1.2, 2)</f>
        <v>325</v>
      </c>
      <c r="W493" s="9">
        <f>ROUND(Q493 / 1.2, 2)</f>
        <v>841.67</v>
      </c>
      <c r="X493" s="9">
        <f>ROUND(R493 / 1.2, 2)</f>
        <v>1166.67</v>
      </c>
      <c r="Y493" s="9">
        <f t="shared" si="19"/>
        <v>0</v>
      </c>
      <c r="Z493" s="9">
        <f>ROUND(T493 / 1.2, 2)</f>
        <v>0</v>
      </c>
      <c r="AA493" s="9">
        <f>Y493+Z493</f>
        <v>0</v>
      </c>
      <c r="AD493" s="4">
        <v>334080681</v>
      </c>
      <c r="AE493" s="4">
        <v>27245681</v>
      </c>
      <c r="AG493" s="4" t="s">
        <v>1650</v>
      </c>
      <c r="AH493" s="4" t="s">
        <v>1651</v>
      </c>
      <c r="AI493" s="4" t="s">
        <v>250</v>
      </c>
    </row>
    <row r="494" spans="1:35" ht="36" x14ac:dyDescent="0.3">
      <c r="A494" s="10" t="s">
        <v>1674</v>
      </c>
      <c r="B494" s="10"/>
      <c r="C494" s="24" t="s">
        <v>1653</v>
      </c>
      <c r="D494" s="15"/>
      <c r="E494" s="15"/>
      <c r="F494" s="25" t="s">
        <v>597</v>
      </c>
      <c r="G494" s="26">
        <v>1.5</v>
      </c>
      <c r="H494" s="26"/>
      <c r="I494" s="26">
        <v>0</v>
      </c>
      <c r="J494" s="27">
        <v>260</v>
      </c>
      <c r="M494" s="28">
        <f>ROUND(ROUND(J494, 2)*I494, 2)</f>
        <v>0</v>
      </c>
      <c r="P494" s="27">
        <v>260</v>
      </c>
      <c r="S494" s="28">
        <f>ROUND(ROUND(P494, 2)*I494, 2)</f>
        <v>0</v>
      </c>
      <c r="V494" s="9">
        <f>ROUND(ROUND(P494, 2)/1.2, 2)</f>
        <v>216.67</v>
      </c>
      <c r="Y494" s="9">
        <f t="shared" si="19"/>
        <v>0</v>
      </c>
      <c r="AD494" s="4" t="s">
        <v>1675</v>
      </c>
      <c r="AE494" s="4" t="s">
        <v>1676</v>
      </c>
      <c r="AF494" s="4" t="s">
        <v>1656</v>
      </c>
    </row>
    <row r="495" spans="1:35" ht="18" x14ac:dyDescent="0.3">
      <c r="A495" s="10" t="s">
        <v>1677</v>
      </c>
      <c r="B495" s="10" t="s">
        <v>1648</v>
      </c>
      <c r="C495" s="14" t="s">
        <v>1649</v>
      </c>
      <c r="D495" s="15"/>
      <c r="E495" s="15"/>
      <c r="F495" s="15" t="s">
        <v>62</v>
      </c>
      <c r="G495" s="16">
        <v>1</v>
      </c>
      <c r="H495" s="16"/>
      <c r="I495" s="16">
        <v>0</v>
      </c>
      <c r="J495" s="17">
        <v>0</v>
      </c>
      <c r="K495" s="18">
        <v>1010</v>
      </c>
      <c r="L495" s="17">
        <f>J495+ROUND(K495, 2)</f>
        <v>1010</v>
      </c>
      <c r="M495" s="17">
        <v>0</v>
      </c>
      <c r="N495" s="17">
        <v>0</v>
      </c>
      <c r="O495" s="17">
        <f>M495+N495</f>
        <v>0</v>
      </c>
      <c r="P495" s="17">
        <v>390</v>
      </c>
      <c r="Q495" s="18">
        <v>1010</v>
      </c>
      <c r="R495" s="17">
        <f>P495+ROUND(Q495, 2)</f>
        <v>1400</v>
      </c>
      <c r="S495" s="17">
        <v>0</v>
      </c>
      <c r="T495" s="17">
        <v>0</v>
      </c>
      <c r="U495" s="17">
        <f>S495+T495</f>
        <v>0</v>
      </c>
      <c r="V495" s="9">
        <f>ROUND(P495 / 1.2, 2)</f>
        <v>325</v>
      </c>
      <c r="W495" s="9">
        <f>ROUND(Q495 / 1.2, 2)</f>
        <v>841.67</v>
      </c>
      <c r="X495" s="9">
        <f>ROUND(R495 / 1.2, 2)</f>
        <v>1166.67</v>
      </c>
      <c r="Y495" s="9">
        <f t="shared" si="19"/>
        <v>0</v>
      </c>
      <c r="Z495" s="9">
        <f>ROUND(T495 / 1.2, 2)</f>
        <v>0</v>
      </c>
      <c r="AA495" s="9">
        <f>Y495+Z495</f>
        <v>0</v>
      </c>
      <c r="AD495" s="4">
        <v>334080682</v>
      </c>
      <c r="AE495" s="4">
        <v>27245683</v>
      </c>
      <c r="AG495" s="4" t="s">
        <v>1650</v>
      </c>
      <c r="AH495" s="4" t="s">
        <v>1651</v>
      </c>
      <c r="AI495" s="4" t="s">
        <v>250</v>
      </c>
    </row>
    <row r="496" spans="1:35" ht="36" x14ac:dyDescent="0.3">
      <c r="A496" s="10" t="s">
        <v>1678</v>
      </c>
      <c r="B496" s="10"/>
      <c r="C496" s="24" t="s">
        <v>1653</v>
      </c>
      <c r="D496" s="15"/>
      <c r="E496" s="15"/>
      <c r="F496" s="25" t="s">
        <v>597</v>
      </c>
      <c r="G496" s="26">
        <v>1.5</v>
      </c>
      <c r="H496" s="26"/>
      <c r="I496" s="26">
        <v>0</v>
      </c>
      <c r="J496" s="27">
        <v>260</v>
      </c>
      <c r="M496" s="28">
        <f>ROUND(ROUND(J496, 2)*I496, 2)</f>
        <v>0</v>
      </c>
      <c r="P496" s="27">
        <v>260</v>
      </c>
      <c r="S496" s="28">
        <f>ROUND(ROUND(P496, 2)*I496, 2)</f>
        <v>0</v>
      </c>
      <c r="V496" s="9">
        <f>ROUND(ROUND(P496, 2)/1.2, 2)</f>
        <v>216.67</v>
      </c>
      <c r="Y496" s="9">
        <f t="shared" si="19"/>
        <v>0</v>
      </c>
      <c r="AD496" s="4" t="s">
        <v>1679</v>
      </c>
      <c r="AE496" s="4" t="s">
        <v>1680</v>
      </c>
      <c r="AF496" s="4" t="s">
        <v>1656</v>
      </c>
    </row>
    <row r="497" spans="1:35" ht="18" x14ac:dyDescent="0.3">
      <c r="A497" s="10" t="s">
        <v>1681</v>
      </c>
      <c r="B497" s="10" t="s">
        <v>1648</v>
      </c>
      <c r="C497" s="14" t="s">
        <v>1649</v>
      </c>
      <c r="D497" s="15"/>
      <c r="E497" s="15"/>
      <c r="F497" s="15" t="s">
        <v>62</v>
      </c>
      <c r="G497" s="16">
        <v>1</v>
      </c>
      <c r="H497" s="16"/>
      <c r="I497" s="16">
        <v>0</v>
      </c>
      <c r="J497" s="17">
        <v>0</v>
      </c>
      <c r="K497" s="18">
        <v>1010</v>
      </c>
      <c r="L497" s="17">
        <f>J497+ROUND(K497, 2)</f>
        <v>1010</v>
      </c>
      <c r="M497" s="17">
        <v>0</v>
      </c>
      <c r="N497" s="17">
        <v>0</v>
      </c>
      <c r="O497" s="17">
        <f>M497+N497</f>
        <v>0</v>
      </c>
      <c r="P497" s="17">
        <v>0</v>
      </c>
      <c r="Q497" s="18">
        <v>1515</v>
      </c>
      <c r="R497" s="17">
        <f>P497+ROUND(Q497, 2)</f>
        <v>1515</v>
      </c>
      <c r="S497" s="17">
        <v>0</v>
      </c>
      <c r="T497" s="17">
        <v>0</v>
      </c>
      <c r="U497" s="17">
        <f>S497+T497</f>
        <v>0</v>
      </c>
      <c r="V497" s="9">
        <f>ROUND(P497 / 1.2, 2)</f>
        <v>0</v>
      </c>
      <c r="W497" s="9">
        <f>ROUND(Q497 / 1.2, 2)</f>
        <v>1262.5</v>
      </c>
      <c r="X497" s="9">
        <f>ROUND(R497 / 1.2, 2)</f>
        <v>1262.5</v>
      </c>
      <c r="Y497" s="9">
        <f t="shared" si="19"/>
        <v>0</v>
      </c>
      <c r="Z497" s="9">
        <f>ROUND(T497 / 1.2, 2)</f>
        <v>0</v>
      </c>
      <c r="AA497" s="9">
        <f>Y497+Z497</f>
        <v>0</v>
      </c>
      <c r="AD497" s="4">
        <v>334080683</v>
      </c>
      <c r="AE497" s="4">
        <v>27245684</v>
      </c>
      <c r="AG497" s="4" t="s">
        <v>1650</v>
      </c>
      <c r="AH497" s="4" t="s">
        <v>1651</v>
      </c>
      <c r="AI497" s="4" t="s">
        <v>250</v>
      </c>
    </row>
    <row r="498" spans="1:35" ht="36" x14ac:dyDescent="0.3">
      <c r="A498" s="10" t="s">
        <v>1682</v>
      </c>
      <c r="B498" s="10"/>
      <c r="C498" s="24" t="s">
        <v>1653</v>
      </c>
      <c r="D498" s="15"/>
      <c r="E498" s="15"/>
      <c r="F498" s="25" t="s">
        <v>597</v>
      </c>
      <c r="G498" s="26">
        <v>1.5</v>
      </c>
      <c r="H498" s="26"/>
      <c r="I498" s="26">
        <v>0</v>
      </c>
      <c r="J498" s="27">
        <v>260</v>
      </c>
      <c r="M498" s="28">
        <f>ROUND(ROUND(J498, 2)*I498, 2)</f>
        <v>0</v>
      </c>
      <c r="P498" s="27">
        <v>260</v>
      </c>
      <c r="S498" s="28">
        <f>ROUND(ROUND(P498, 2)*I498, 2)</f>
        <v>0</v>
      </c>
      <c r="V498" s="9">
        <f>ROUND(ROUND(P498, 2)/1.2, 2)</f>
        <v>216.67</v>
      </c>
      <c r="Y498" s="9">
        <f t="shared" si="19"/>
        <v>0</v>
      </c>
      <c r="AD498" s="4" t="s">
        <v>1683</v>
      </c>
      <c r="AE498" s="4" t="s">
        <v>1684</v>
      </c>
      <c r="AF498" s="4" t="s">
        <v>1656</v>
      </c>
    </row>
    <row r="499" spans="1:35" ht="18" x14ac:dyDescent="0.3">
      <c r="A499" s="10" t="s">
        <v>1685</v>
      </c>
      <c r="B499" s="10" t="s">
        <v>1648</v>
      </c>
      <c r="C499" s="14" t="s">
        <v>1649</v>
      </c>
      <c r="D499" s="15"/>
      <c r="E499" s="15"/>
      <c r="F499" s="15" t="s">
        <v>62</v>
      </c>
      <c r="G499" s="16">
        <v>1</v>
      </c>
      <c r="H499" s="16"/>
      <c r="I499" s="16">
        <v>0</v>
      </c>
      <c r="J499" s="17">
        <v>0</v>
      </c>
      <c r="K499" s="18">
        <v>1010</v>
      </c>
      <c r="L499" s="17">
        <f>J499+ROUND(K499, 2)</f>
        <v>1010</v>
      </c>
      <c r="M499" s="17">
        <v>0</v>
      </c>
      <c r="N499" s="17">
        <v>0</v>
      </c>
      <c r="O499" s="17">
        <f>M499+N499</f>
        <v>0</v>
      </c>
      <c r="P499" s="17">
        <v>0</v>
      </c>
      <c r="Q499" s="18">
        <v>1515</v>
      </c>
      <c r="R499" s="17">
        <f>P499+ROUND(Q499, 2)</f>
        <v>1515</v>
      </c>
      <c r="S499" s="17">
        <v>0</v>
      </c>
      <c r="T499" s="17">
        <v>0</v>
      </c>
      <c r="U499" s="17">
        <f>S499+T499</f>
        <v>0</v>
      </c>
      <c r="V499" s="9">
        <f>ROUND(P499 / 1.2, 2)</f>
        <v>0</v>
      </c>
      <c r="W499" s="9">
        <f>ROUND(Q499 / 1.2, 2)</f>
        <v>1262.5</v>
      </c>
      <c r="X499" s="9">
        <f>ROUND(R499 / 1.2, 2)</f>
        <v>1262.5</v>
      </c>
      <c r="Y499" s="9">
        <f t="shared" si="19"/>
        <v>0</v>
      </c>
      <c r="Z499" s="9">
        <f>ROUND(T499 / 1.2, 2)</f>
        <v>0</v>
      </c>
      <c r="AA499" s="9">
        <f>Y499+Z499</f>
        <v>0</v>
      </c>
      <c r="AD499" s="4">
        <v>334080684</v>
      </c>
      <c r="AE499" s="4">
        <v>27245685</v>
      </c>
      <c r="AG499" s="4" t="s">
        <v>1650</v>
      </c>
      <c r="AH499" s="4" t="s">
        <v>1651</v>
      </c>
      <c r="AI499" s="4" t="s">
        <v>250</v>
      </c>
    </row>
    <row r="500" spans="1:35" ht="36" x14ac:dyDescent="0.3">
      <c r="A500" s="10" t="s">
        <v>1686</v>
      </c>
      <c r="B500" s="10"/>
      <c r="C500" s="24" t="s">
        <v>1653</v>
      </c>
      <c r="D500" s="15"/>
      <c r="E500" s="15"/>
      <c r="F500" s="25" t="s">
        <v>597</v>
      </c>
      <c r="G500" s="26">
        <v>1.5</v>
      </c>
      <c r="H500" s="26"/>
      <c r="I500" s="26">
        <v>0</v>
      </c>
      <c r="J500" s="27">
        <v>260</v>
      </c>
      <c r="M500" s="28">
        <f>ROUND(ROUND(J500, 2)*I500, 2)</f>
        <v>0</v>
      </c>
      <c r="P500" s="27">
        <v>260</v>
      </c>
      <c r="S500" s="28">
        <f>ROUND(ROUND(P500, 2)*I500, 2)</f>
        <v>0</v>
      </c>
      <c r="V500" s="9">
        <f>ROUND(ROUND(P500, 2)/1.2, 2)</f>
        <v>216.67</v>
      </c>
      <c r="Y500" s="9">
        <f t="shared" si="19"/>
        <v>0</v>
      </c>
      <c r="AD500" s="4" t="s">
        <v>1687</v>
      </c>
      <c r="AE500" s="4" t="s">
        <v>1688</v>
      </c>
      <c r="AF500" s="4" t="s">
        <v>1656</v>
      </c>
    </row>
    <row r="501" spans="1:35" ht="18" x14ac:dyDescent="0.3">
      <c r="A501" s="10" t="s">
        <v>1689</v>
      </c>
      <c r="B501" s="10" t="s">
        <v>1648</v>
      </c>
      <c r="C501" s="14" t="s">
        <v>1649</v>
      </c>
      <c r="D501" s="15"/>
      <c r="E501" s="15"/>
      <c r="F501" s="15" t="s">
        <v>62</v>
      </c>
      <c r="G501" s="16">
        <v>1</v>
      </c>
      <c r="H501" s="16"/>
      <c r="I501" s="16">
        <v>0</v>
      </c>
      <c r="J501" s="17">
        <v>0</v>
      </c>
      <c r="K501" s="18">
        <v>1010</v>
      </c>
      <c r="L501" s="17">
        <f>J501+ROUND(K501, 2)</f>
        <v>1010</v>
      </c>
      <c r="M501" s="17">
        <v>0</v>
      </c>
      <c r="N501" s="17">
        <v>0</v>
      </c>
      <c r="O501" s="17">
        <f>M501+N501</f>
        <v>0</v>
      </c>
      <c r="P501" s="17">
        <v>0</v>
      </c>
      <c r="Q501" s="18">
        <v>1515</v>
      </c>
      <c r="R501" s="17">
        <f>P501+ROUND(Q501, 2)</f>
        <v>1515</v>
      </c>
      <c r="S501" s="17">
        <v>0</v>
      </c>
      <c r="T501" s="17">
        <v>0</v>
      </c>
      <c r="U501" s="17">
        <f>S501+T501</f>
        <v>0</v>
      </c>
      <c r="V501" s="9">
        <f>ROUND(P501 / 1.2, 2)</f>
        <v>0</v>
      </c>
      <c r="W501" s="9">
        <f>ROUND(Q501 / 1.2, 2)</f>
        <v>1262.5</v>
      </c>
      <c r="X501" s="9">
        <f>ROUND(R501 / 1.2, 2)</f>
        <v>1262.5</v>
      </c>
      <c r="Y501" s="9">
        <f t="shared" si="19"/>
        <v>0</v>
      </c>
      <c r="Z501" s="9">
        <f>ROUND(T501 / 1.2, 2)</f>
        <v>0</v>
      </c>
      <c r="AA501" s="9">
        <f>Y501+Z501</f>
        <v>0</v>
      </c>
      <c r="AD501" s="4">
        <v>334080685</v>
      </c>
      <c r="AE501" s="4">
        <v>27245686</v>
      </c>
      <c r="AG501" s="4" t="s">
        <v>1650</v>
      </c>
      <c r="AH501" s="4" t="s">
        <v>1651</v>
      </c>
      <c r="AI501" s="4" t="s">
        <v>250</v>
      </c>
    </row>
    <row r="502" spans="1:35" ht="36" x14ac:dyDescent="0.3">
      <c r="A502" s="10" t="s">
        <v>1690</v>
      </c>
      <c r="B502" s="10"/>
      <c r="C502" s="24" t="s">
        <v>1653</v>
      </c>
      <c r="D502" s="15"/>
      <c r="E502" s="15"/>
      <c r="F502" s="25" t="s">
        <v>597</v>
      </c>
      <c r="G502" s="26">
        <v>1.5</v>
      </c>
      <c r="H502" s="26"/>
      <c r="I502" s="26">
        <v>0</v>
      </c>
      <c r="J502" s="27">
        <v>260</v>
      </c>
      <c r="M502" s="28">
        <f>ROUND(ROUND(J502, 2)*I502, 2)</f>
        <v>0</v>
      </c>
      <c r="P502" s="27">
        <v>260</v>
      </c>
      <c r="S502" s="28">
        <f>ROUND(ROUND(P502, 2)*I502, 2)</f>
        <v>0</v>
      </c>
      <c r="V502" s="9">
        <f>ROUND(ROUND(P502, 2)/1.2, 2)</f>
        <v>216.67</v>
      </c>
      <c r="Y502" s="9">
        <f t="shared" si="19"/>
        <v>0</v>
      </c>
      <c r="AD502" s="4" t="s">
        <v>1691</v>
      </c>
      <c r="AE502" s="4" t="s">
        <v>1692</v>
      </c>
      <c r="AF502" s="4" t="s">
        <v>1656</v>
      </c>
    </row>
    <row r="503" spans="1:35" ht="18" x14ac:dyDescent="0.3">
      <c r="A503" s="10" t="s">
        <v>1693</v>
      </c>
      <c r="B503" s="10" t="s">
        <v>1648</v>
      </c>
      <c r="C503" s="14" t="s">
        <v>1649</v>
      </c>
      <c r="D503" s="15"/>
      <c r="E503" s="15" t="s">
        <v>1694</v>
      </c>
      <c r="F503" s="15" t="s">
        <v>62</v>
      </c>
      <c r="G503" s="16">
        <v>1</v>
      </c>
      <c r="H503" s="16"/>
      <c r="I503" s="16">
        <v>195.1</v>
      </c>
      <c r="J503" s="17">
        <v>390</v>
      </c>
      <c r="K503" s="18">
        <v>1010</v>
      </c>
      <c r="L503" s="17">
        <f>J503+ROUND(K503, 2)</f>
        <v>1400</v>
      </c>
      <c r="M503" s="17">
        <v>76089</v>
      </c>
      <c r="N503" s="17">
        <v>197051</v>
      </c>
      <c r="O503" s="17">
        <f>M503+N503</f>
        <v>273140</v>
      </c>
      <c r="P503" s="17">
        <v>390</v>
      </c>
      <c r="Q503" s="18">
        <v>1515</v>
      </c>
      <c r="R503" s="17">
        <f>P503+ROUND(Q503, 2)</f>
        <v>1905</v>
      </c>
      <c r="S503" s="17">
        <v>76089</v>
      </c>
      <c r="T503" s="17">
        <v>295576.5</v>
      </c>
      <c r="U503" s="17">
        <f>S503+T503</f>
        <v>371665.5</v>
      </c>
      <c r="V503" s="9">
        <f>ROUND(P503 / 1.2, 2)</f>
        <v>325</v>
      </c>
      <c r="W503" s="9">
        <f>ROUND(Q503 / 1.2, 2)</f>
        <v>1262.5</v>
      </c>
      <c r="X503" s="9">
        <f>ROUND(R503 / 1.2, 2)</f>
        <v>1587.5</v>
      </c>
      <c r="Y503" s="9">
        <f t="shared" si="19"/>
        <v>63407.5</v>
      </c>
      <c r="Z503" s="9">
        <f>ROUND(T503 / 1.2, 2)</f>
        <v>246313.75</v>
      </c>
      <c r="AA503" s="9">
        <f>Y503+Z503</f>
        <v>309721.25</v>
      </c>
      <c r="AD503" s="4">
        <v>334080686</v>
      </c>
      <c r="AE503" s="4">
        <v>27245757</v>
      </c>
      <c r="AG503" s="4" t="s">
        <v>1650</v>
      </c>
      <c r="AH503" s="4" t="s">
        <v>1651</v>
      </c>
      <c r="AI503" s="4" t="s">
        <v>250</v>
      </c>
    </row>
    <row r="504" spans="1:35" ht="36" x14ac:dyDescent="0.3">
      <c r="A504" s="10" t="s">
        <v>1695</v>
      </c>
      <c r="B504" s="10"/>
      <c r="C504" s="24" t="s">
        <v>1653</v>
      </c>
      <c r="D504" s="15"/>
      <c r="E504" s="15"/>
      <c r="F504" s="25" t="s">
        <v>597</v>
      </c>
      <c r="G504" s="26">
        <v>1.5</v>
      </c>
      <c r="H504" s="26"/>
      <c r="I504" s="26">
        <v>292.64999999999998</v>
      </c>
      <c r="J504" s="27">
        <v>260</v>
      </c>
      <c r="M504" s="28">
        <f>ROUND(ROUND(J504, 2)*I504, 2)</f>
        <v>76089</v>
      </c>
      <c r="P504" s="27">
        <v>260</v>
      </c>
      <c r="S504" s="28">
        <f>ROUND(ROUND(P504, 2)*I504, 2)</f>
        <v>76089</v>
      </c>
      <c r="V504" s="9">
        <f>ROUND(ROUND(P504, 2)/1.2, 2)</f>
        <v>216.67</v>
      </c>
      <c r="Y504" s="9">
        <f t="shared" si="19"/>
        <v>63407.5</v>
      </c>
      <c r="AD504" s="4" t="s">
        <v>1696</v>
      </c>
      <c r="AE504" s="4" t="s">
        <v>1697</v>
      </c>
      <c r="AF504" s="4" t="s">
        <v>1656</v>
      </c>
    </row>
    <row r="505" spans="1:35" ht="18" x14ac:dyDescent="0.3">
      <c r="A505" s="10" t="s">
        <v>1698</v>
      </c>
      <c r="B505" s="10" t="s">
        <v>1648</v>
      </c>
      <c r="C505" s="14" t="s">
        <v>1649</v>
      </c>
      <c r="D505" s="15"/>
      <c r="E505" s="15" t="s">
        <v>1699</v>
      </c>
      <c r="F505" s="15" t="s">
        <v>62</v>
      </c>
      <c r="G505" s="16">
        <v>1</v>
      </c>
      <c r="H505" s="16"/>
      <c r="I505" s="16">
        <v>23.1</v>
      </c>
      <c r="J505" s="17">
        <v>390</v>
      </c>
      <c r="K505" s="18">
        <v>1010</v>
      </c>
      <c r="L505" s="17">
        <f>J505+ROUND(K505, 2)</f>
        <v>1400</v>
      </c>
      <c r="M505" s="17">
        <v>9009</v>
      </c>
      <c r="N505" s="17">
        <v>23331</v>
      </c>
      <c r="O505" s="17">
        <f>M505+N505</f>
        <v>32340</v>
      </c>
      <c r="P505" s="17">
        <v>390</v>
      </c>
      <c r="Q505" s="18">
        <v>1515</v>
      </c>
      <c r="R505" s="17">
        <f>P505+ROUND(Q505, 2)</f>
        <v>1905</v>
      </c>
      <c r="S505" s="17">
        <v>9009</v>
      </c>
      <c r="T505" s="17">
        <v>34996.5</v>
      </c>
      <c r="U505" s="17">
        <f>S505+T505</f>
        <v>44005.5</v>
      </c>
      <c r="V505" s="9">
        <f>ROUND(P505 / 1.2, 2)</f>
        <v>325</v>
      </c>
      <c r="W505" s="9">
        <f>ROUND(Q505 / 1.2, 2)</f>
        <v>1262.5</v>
      </c>
      <c r="X505" s="9">
        <f>ROUND(R505 / 1.2, 2)</f>
        <v>1587.5</v>
      </c>
      <c r="Y505" s="9">
        <f t="shared" si="19"/>
        <v>7507.5</v>
      </c>
      <c r="Z505" s="9">
        <f>ROUND(T505 / 1.2, 2)</f>
        <v>29163.75</v>
      </c>
      <c r="AA505" s="9">
        <f>Y505+Z505</f>
        <v>36671.25</v>
      </c>
      <c r="AD505" s="4">
        <v>334080687</v>
      </c>
      <c r="AE505" s="4">
        <v>27245794</v>
      </c>
      <c r="AG505" s="4" t="s">
        <v>1650</v>
      </c>
      <c r="AH505" s="4" t="s">
        <v>1651</v>
      </c>
      <c r="AI505" s="4" t="s">
        <v>250</v>
      </c>
    </row>
    <row r="506" spans="1:35" ht="36" x14ac:dyDescent="0.3">
      <c r="A506" s="10" t="s">
        <v>1700</v>
      </c>
      <c r="B506" s="10"/>
      <c r="C506" s="24" t="s">
        <v>1653</v>
      </c>
      <c r="D506" s="15"/>
      <c r="E506" s="15"/>
      <c r="F506" s="25" t="s">
        <v>597</v>
      </c>
      <c r="G506" s="26">
        <v>1.5</v>
      </c>
      <c r="H506" s="26"/>
      <c r="I506" s="26">
        <v>34.65</v>
      </c>
      <c r="J506" s="27">
        <v>260</v>
      </c>
      <c r="M506" s="28">
        <f>ROUND(ROUND(J506, 2)*I506, 2)</f>
        <v>9009</v>
      </c>
      <c r="P506" s="27">
        <v>260</v>
      </c>
      <c r="S506" s="28">
        <f>ROUND(ROUND(P506, 2)*I506, 2)</f>
        <v>9009</v>
      </c>
      <c r="V506" s="9">
        <f>ROUND(ROUND(P506, 2)/1.2, 2)</f>
        <v>216.67</v>
      </c>
      <c r="Y506" s="9">
        <f t="shared" si="19"/>
        <v>7507.5</v>
      </c>
      <c r="AD506" s="4" t="s">
        <v>1701</v>
      </c>
      <c r="AE506" s="4" t="s">
        <v>1702</v>
      </c>
      <c r="AF506" s="4" t="s">
        <v>1656</v>
      </c>
    </row>
    <row r="507" spans="1:35" ht="18" x14ac:dyDescent="0.3">
      <c r="A507" s="10" t="s">
        <v>1703</v>
      </c>
      <c r="B507" s="10" t="s">
        <v>1648</v>
      </c>
      <c r="C507" s="14" t="s">
        <v>1649</v>
      </c>
      <c r="D507" s="15"/>
      <c r="E507" s="15" t="s">
        <v>1704</v>
      </c>
      <c r="F507" s="15" t="s">
        <v>62</v>
      </c>
      <c r="G507" s="16">
        <v>1</v>
      </c>
      <c r="H507" s="16"/>
      <c r="I507" s="16">
        <v>75</v>
      </c>
      <c r="J507" s="17">
        <v>390</v>
      </c>
      <c r="K507" s="18">
        <v>1010</v>
      </c>
      <c r="L507" s="17">
        <f>J507+ROUND(K507, 2)</f>
        <v>1400</v>
      </c>
      <c r="M507" s="17">
        <v>29250</v>
      </c>
      <c r="N507" s="17">
        <v>75750</v>
      </c>
      <c r="O507" s="17">
        <f>M507+N507</f>
        <v>105000</v>
      </c>
      <c r="P507" s="17">
        <v>390</v>
      </c>
      <c r="Q507" s="18">
        <v>1515</v>
      </c>
      <c r="R507" s="17">
        <f>P507+ROUND(Q507, 2)</f>
        <v>1905</v>
      </c>
      <c r="S507" s="17">
        <v>29250</v>
      </c>
      <c r="T507" s="17">
        <v>113625</v>
      </c>
      <c r="U507" s="17">
        <f>S507+T507</f>
        <v>142875</v>
      </c>
      <c r="V507" s="9">
        <f>ROUND(P507 / 1.2, 2)</f>
        <v>325</v>
      </c>
      <c r="W507" s="9">
        <f>ROUND(Q507 / 1.2, 2)</f>
        <v>1262.5</v>
      </c>
      <c r="X507" s="9">
        <f>ROUND(R507 / 1.2, 2)</f>
        <v>1587.5</v>
      </c>
      <c r="Y507" s="9">
        <f t="shared" si="19"/>
        <v>24375</v>
      </c>
      <c r="Z507" s="9">
        <f>ROUND(T507 / 1.2, 2)</f>
        <v>94687.5</v>
      </c>
      <c r="AA507" s="9">
        <f>Y507+Z507</f>
        <v>119062.5</v>
      </c>
      <c r="AD507" s="4">
        <v>334080688</v>
      </c>
      <c r="AE507" s="4">
        <v>27245758</v>
      </c>
      <c r="AG507" s="4" t="s">
        <v>1650</v>
      </c>
      <c r="AH507" s="4" t="s">
        <v>1651</v>
      </c>
      <c r="AI507" s="4" t="s">
        <v>250</v>
      </c>
    </row>
    <row r="508" spans="1:35" ht="36" x14ac:dyDescent="0.3">
      <c r="A508" s="10" t="s">
        <v>1705</v>
      </c>
      <c r="B508" s="10"/>
      <c r="C508" s="24" t="s">
        <v>1653</v>
      </c>
      <c r="D508" s="15"/>
      <c r="E508" s="15"/>
      <c r="F508" s="25" t="s">
        <v>597</v>
      </c>
      <c r="G508" s="26">
        <v>1.5</v>
      </c>
      <c r="H508" s="26"/>
      <c r="I508" s="26">
        <v>112.5</v>
      </c>
      <c r="J508" s="27">
        <v>260</v>
      </c>
      <c r="M508" s="28">
        <f>ROUND(ROUND(J508, 2)*I508, 2)</f>
        <v>29250</v>
      </c>
      <c r="P508" s="27">
        <v>260</v>
      </c>
      <c r="S508" s="28">
        <f>ROUND(ROUND(P508, 2)*I508, 2)</f>
        <v>29250</v>
      </c>
      <c r="V508" s="9">
        <f>ROUND(ROUND(P508, 2)/1.2, 2)</f>
        <v>216.67</v>
      </c>
      <c r="Y508" s="9">
        <f t="shared" si="19"/>
        <v>24375</v>
      </c>
      <c r="AD508" s="4" t="s">
        <v>1706</v>
      </c>
      <c r="AE508" s="4" t="s">
        <v>1707</v>
      </c>
      <c r="AF508" s="4" t="s">
        <v>1656</v>
      </c>
    </row>
    <row r="509" spans="1:35" ht="18" x14ac:dyDescent="0.3">
      <c r="A509" s="10" t="s">
        <v>1708</v>
      </c>
      <c r="B509" s="10" t="s">
        <v>1648</v>
      </c>
      <c r="C509" s="14" t="s">
        <v>1649</v>
      </c>
      <c r="D509" s="15"/>
      <c r="E509" s="15" t="s">
        <v>1709</v>
      </c>
      <c r="F509" s="15" t="s">
        <v>62</v>
      </c>
      <c r="G509" s="16">
        <v>1</v>
      </c>
      <c r="H509" s="16"/>
      <c r="I509" s="16">
        <v>41.8</v>
      </c>
      <c r="J509" s="17">
        <v>390</v>
      </c>
      <c r="K509" s="18">
        <v>1010</v>
      </c>
      <c r="L509" s="17">
        <f>J509+ROUND(K509, 2)</f>
        <v>1400</v>
      </c>
      <c r="M509" s="17">
        <v>16302</v>
      </c>
      <c r="N509" s="17">
        <v>42218</v>
      </c>
      <c r="O509" s="17">
        <f>M509+N509</f>
        <v>58520</v>
      </c>
      <c r="P509" s="17">
        <v>390</v>
      </c>
      <c r="Q509" s="18">
        <v>1515</v>
      </c>
      <c r="R509" s="17">
        <f>P509+ROUND(Q509, 2)</f>
        <v>1905</v>
      </c>
      <c r="S509" s="17">
        <v>16302</v>
      </c>
      <c r="T509" s="17">
        <v>63327</v>
      </c>
      <c r="U509" s="17">
        <f>S509+T509</f>
        <v>79629</v>
      </c>
      <c r="V509" s="9">
        <f>ROUND(P509 / 1.2, 2)</f>
        <v>325</v>
      </c>
      <c r="W509" s="9">
        <f>ROUND(Q509 / 1.2, 2)</f>
        <v>1262.5</v>
      </c>
      <c r="X509" s="9">
        <f>ROUND(R509 / 1.2, 2)</f>
        <v>1587.5</v>
      </c>
      <c r="Y509" s="9">
        <f t="shared" si="19"/>
        <v>13585</v>
      </c>
      <c r="Z509" s="9">
        <f>ROUND(T509 / 1.2, 2)</f>
        <v>52772.5</v>
      </c>
      <c r="AA509" s="9">
        <f>Y509+Z509</f>
        <v>66357.5</v>
      </c>
      <c r="AD509" s="4">
        <v>334080689</v>
      </c>
      <c r="AE509" s="4">
        <v>27245795</v>
      </c>
      <c r="AG509" s="4" t="s">
        <v>1650</v>
      </c>
      <c r="AH509" s="4" t="s">
        <v>1651</v>
      </c>
      <c r="AI509" s="4" t="s">
        <v>250</v>
      </c>
    </row>
    <row r="510" spans="1:35" ht="36" x14ac:dyDescent="0.3">
      <c r="A510" s="10" t="s">
        <v>1710</v>
      </c>
      <c r="B510" s="10"/>
      <c r="C510" s="24" t="s">
        <v>1653</v>
      </c>
      <c r="D510" s="15"/>
      <c r="E510" s="15"/>
      <c r="F510" s="25" t="s">
        <v>597</v>
      </c>
      <c r="G510" s="26">
        <v>1.5</v>
      </c>
      <c r="H510" s="26"/>
      <c r="I510" s="26">
        <v>62.7</v>
      </c>
      <c r="J510" s="27">
        <v>260</v>
      </c>
      <c r="M510" s="28">
        <f>ROUND(ROUND(J510, 2)*I510, 2)</f>
        <v>16302</v>
      </c>
      <c r="P510" s="27">
        <v>260</v>
      </c>
      <c r="S510" s="28">
        <f>ROUND(ROUND(P510, 2)*I510, 2)</f>
        <v>16302</v>
      </c>
      <c r="V510" s="9">
        <f>ROUND(ROUND(P510, 2)/1.2, 2)</f>
        <v>216.67</v>
      </c>
      <c r="Y510" s="9">
        <f t="shared" si="19"/>
        <v>13585</v>
      </c>
      <c r="AD510" s="4" t="s">
        <v>1711</v>
      </c>
      <c r="AE510" s="4" t="s">
        <v>1712</v>
      </c>
      <c r="AF510" s="4" t="s">
        <v>1656</v>
      </c>
    </row>
    <row r="511" spans="1:35" ht="18" x14ac:dyDescent="0.3">
      <c r="A511" s="10" t="s">
        <v>1713</v>
      </c>
      <c r="B511" s="10" t="s">
        <v>1648</v>
      </c>
      <c r="C511" s="14" t="s">
        <v>1649</v>
      </c>
      <c r="D511" s="15"/>
      <c r="E511" s="15" t="s">
        <v>1714</v>
      </c>
      <c r="F511" s="15" t="s">
        <v>62</v>
      </c>
      <c r="G511" s="16">
        <v>1</v>
      </c>
      <c r="H511" s="16"/>
      <c r="I511" s="16">
        <v>25.2</v>
      </c>
      <c r="J511" s="17">
        <v>390</v>
      </c>
      <c r="K511" s="18">
        <v>1010</v>
      </c>
      <c r="L511" s="17">
        <f>J511+ROUND(K511, 2)</f>
        <v>1400</v>
      </c>
      <c r="M511" s="17">
        <v>9828</v>
      </c>
      <c r="N511" s="17">
        <v>25452</v>
      </c>
      <c r="O511" s="17">
        <f>M511+N511</f>
        <v>35280</v>
      </c>
      <c r="P511" s="17">
        <v>390</v>
      </c>
      <c r="Q511" s="18">
        <v>1515</v>
      </c>
      <c r="R511" s="17">
        <f>P511+ROUND(Q511, 2)</f>
        <v>1905</v>
      </c>
      <c r="S511" s="17">
        <v>9828</v>
      </c>
      <c r="T511" s="17">
        <v>38178</v>
      </c>
      <c r="U511" s="17">
        <f>S511+T511</f>
        <v>48006</v>
      </c>
      <c r="V511" s="9">
        <f>ROUND(P511 / 1.2, 2)</f>
        <v>325</v>
      </c>
      <c r="W511" s="9">
        <f>ROUND(Q511 / 1.2, 2)</f>
        <v>1262.5</v>
      </c>
      <c r="X511" s="9">
        <f>ROUND(R511 / 1.2, 2)</f>
        <v>1587.5</v>
      </c>
      <c r="Y511" s="9">
        <f t="shared" si="19"/>
        <v>8190</v>
      </c>
      <c r="Z511" s="9">
        <f>ROUND(T511 / 1.2, 2)</f>
        <v>31815</v>
      </c>
      <c r="AA511" s="9">
        <f>Y511+Z511</f>
        <v>40005</v>
      </c>
      <c r="AD511" s="4">
        <v>334080690</v>
      </c>
      <c r="AE511" s="4">
        <v>27245726</v>
      </c>
      <c r="AG511" s="4" t="s">
        <v>1650</v>
      </c>
      <c r="AH511" s="4" t="s">
        <v>1651</v>
      </c>
      <c r="AI511" s="4" t="s">
        <v>250</v>
      </c>
    </row>
    <row r="512" spans="1:35" ht="36" x14ac:dyDescent="0.3">
      <c r="A512" s="10" t="s">
        <v>1715</v>
      </c>
      <c r="B512" s="10"/>
      <c r="C512" s="24" t="s">
        <v>1653</v>
      </c>
      <c r="D512" s="15"/>
      <c r="E512" s="15"/>
      <c r="F512" s="25" t="s">
        <v>597</v>
      </c>
      <c r="G512" s="26">
        <v>1.5</v>
      </c>
      <c r="H512" s="26"/>
      <c r="I512" s="26">
        <v>37.799999999999997</v>
      </c>
      <c r="J512" s="27">
        <v>260</v>
      </c>
      <c r="M512" s="28">
        <f>ROUND(ROUND(J512, 2)*I512, 2)</f>
        <v>9828</v>
      </c>
      <c r="P512" s="27">
        <v>260</v>
      </c>
      <c r="S512" s="28">
        <f>ROUND(ROUND(P512, 2)*I512, 2)</f>
        <v>9828</v>
      </c>
      <c r="V512" s="9">
        <f>ROUND(ROUND(P512, 2)/1.2, 2)</f>
        <v>216.67</v>
      </c>
      <c r="Y512" s="9">
        <f t="shared" si="19"/>
        <v>8190</v>
      </c>
      <c r="AD512" s="4" t="s">
        <v>1716</v>
      </c>
      <c r="AE512" s="4" t="s">
        <v>1717</v>
      </c>
      <c r="AF512" s="4" t="s">
        <v>1656</v>
      </c>
    </row>
    <row r="513" spans="1:35" ht="108" x14ac:dyDescent="0.3">
      <c r="A513" s="10" t="s">
        <v>1718</v>
      </c>
      <c r="B513" s="10" t="s">
        <v>1648</v>
      </c>
      <c r="C513" s="14" t="s">
        <v>1649</v>
      </c>
      <c r="D513" s="15"/>
      <c r="E513" s="15" t="s">
        <v>1719</v>
      </c>
      <c r="F513" s="15" t="s">
        <v>62</v>
      </c>
      <c r="G513" s="16">
        <v>1</v>
      </c>
      <c r="H513" s="16"/>
      <c r="I513" s="16">
        <v>9.3000000000000007</v>
      </c>
      <c r="J513" s="17">
        <v>390</v>
      </c>
      <c r="K513" s="18">
        <v>1010</v>
      </c>
      <c r="L513" s="17">
        <f>J513+ROUND(K513, 2)</f>
        <v>1400</v>
      </c>
      <c r="M513" s="17">
        <v>3627</v>
      </c>
      <c r="N513" s="17">
        <v>9393</v>
      </c>
      <c r="O513" s="17">
        <f>M513+N513</f>
        <v>13020</v>
      </c>
      <c r="P513" s="17">
        <v>390</v>
      </c>
      <c r="Q513" s="18">
        <v>1515</v>
      </c>
      <c r="R513" s="17">
        <f>P513+ROUND(Q513, 2)</f>
        <v>1905</v>
      </c>
      <c r="S513" s="17">
        <v>3627</v>
      </c>
      <c r="T513" s="17">
        <v>14089.5</v>
      </c>
      <c r="U513" s="17">
        <f>S513+T513</f>
        <v>17716.5</v>
      </c>
      <c r="V513" s="9">
        <f>ROUND(P513 / 1.2, 2)</f>
        <v>325</v>
      </c>
      <c r="W513" s="9">
        <f>ROUND(Q513 / 1.2, 2)</f>
        <v>1262.5</v>
      </c>
      <c r="X513" s="9">
        <f>ROUND(R513 / 1.2, 2)</f>
        <v>1587.5</v>
      </c>
      <c r="Y513" s="9">
        <f t="shared" si="19"/>
        <v>3022.5</v>
      </c>
      <c r="Z513" s="9">
        <f>ROUND(T513 / 1.2, 2)</f>
        <v>11741.25</v>
      </c>
      <c r="AA513" s="9">
        <f>Y513+Z513</f>
        <v>14763.75</v>
      </c>
      <c r="AD513" s="4">
        <v>334080691</v>
      </c>
      <c r="AE513" s="4">
        <v>27245752</v>
      </c>
      <c r="AG513" s="4" t="s">
        <v>1650</v>
      </c>
      <c r="AH513" s="4" t="s">
        <v>1651</v>
      </c>
      <c r="AI513" s="4" t="s">
        <v>250</v>
      </c>
    </row>
    <row r="514" spans="1:35" ht="36" x14ac:dyDescent="0.3">
      <c r="A514" s="10" t="s">
        <v>1720</v>
      </c>
      <c r="B514" s="10"/>
      <c r="C514" s="24" t="s">
        <v>1653</v>
      </c>
      <c r="D514" s="15"/>
      <c r="E514" s="15"/>
      <c r="F514" s="25" t="s">
        <v>597</v>
      </c>
      <c r="G514" s="26">
        <v>1.5</v>
      </c>
      <c r="H514" s="26"/>
      <c r="I514" s="26">
        <v>13.95</v>
      </c>
      <c r="J514" s="27">
        <v>260</v>
      </c>
      <c r="M514" s="28">
        <f>ROUND(ROUND(J514, 2)*I514, 2)</f>
        <v>3627</v>
      </c>
      <c r="P514" s="27">
        <v>260</v>
      </c>
      <c r="S514" s="28">
        <f>ROUND(ROUND(P514, 2)*I514, 2)</f>
        <v>3627</v>
      </c>
      <c r="V514" s="9">
        <f>ROUND(ROUND(P514, 2)/1.2, 2)</f>
        <v>216.67</v>
      </c>
      <c r="Y514" s="9">
        <f t="shared" si="19"/>
        <v>3022.5</v>
      </c>
      <c r="AD514" s="4" t="s">
        <v>1721</v>
      </c>
      <c r="AE514" s="4" t="s">
        <v>1722</v>
      </c>
      <c r="AF514" s="4" t="s">
        <v>1656</v>
      </c>
    </row>
    <row r="515" spans="1:35" ht="108" x14ac:dyDescent="0.3">
      <c r="A515" s="10" t="s">
        <v>1723</v>
      </c>
      <c r="B515" s="10" t="s">
        <v>1648</v>
      </c>
      <c r="C515" s="14" t="s">
        <v>1649</v>
      </c>
      <c r="D515" s="15"/>
      <c r="E515" s="15" t="s">
        <v>1724</v>
      </c>
      <c r="F515" s="15" t="s">
        <v>62</v>
      </c>
      <c r="G515" s="16">
        <v>1</v>
      </c>
      <c r="H515" s="16"/>
      <c r="I515" s="16">
        <v>9.4</v>
      </c>
      <c r="J515" s="17">
        <v>390</v>
      </c>
      <c r="K515" s="18">
        <v>1010</v>
      </c>
      <c r="L515" s="17">
        <f>J515+ROUND(K515, 2)</f>
        <v>1400</v>
      </c>
      <c r="M515" s="17">
        <v>3666</v>
      </c>
      <c r="N515" s="17">
        <v>9494</v>
      </c>
      <c r="O515" s="17">
        <f>M515+N515</f>
        <v>13160</v>
      </c>
      <c r="P515" s="17">
        <v>390</v>
      </c>
      <c r="Q515" s="18">
        <v>1515</v>
      </c>
      <c r="R515" s="17">
        <f>P515+ROUND(Q515, 2)</f>
        <v>1905</v>
      </c>
      <c r="S515" s="17">
        <v>3666</v>
      </c>
      <c r="T515" s="17">
        <v>14241</v>
      </c>
      <c r="U515" s="17">
        <f>S515+T515</f>
        <v>17907</v>
      </c>
      <c r="V515" s="9">
        <f>ROUND(P515 / 1.2, 2)</f>
        <v>325</v>
      </c>
      <c r="W515" s="9">
        <f>ROUND(Q515 / 1.2, 2)</f>
        <v>1262.5</v>
      </c>
      <c r="X515" s="9">
        <f>ROUND(R515 / 1.2, 2)</f>
        <v>1587.5</v>
      </c>
      <c r="Y515" s="9">
        <f t="shared" si="19"/>
        <v>3055</v>
      </c>
      <c r="Z515" s="9">
        <f>ROUND(T515 / 1.2, 2)</f>
        <v>11867.5</v>
      </c>
      <c r="AA515" s="9">
        <f>Y515+Z515</f>
        <v>14922.5</v>
      </c>
      <c r="AD515" s="4">
        <v>334080692</v>
      </c>
      <c r="AE515" s="4">
        <v>27245756</v>
      </c>
      <c r="AG515" s="4" t="s">
        <v>1650</v>
      </c>
      <c r="AH515" s="4" t="s">
        <v>1651</v>
      </c>
      <c r="AI515" s="4" t="s">
        <v>250</v>
      </c>
    </row>
    <row r="516" spans="1:35" ht="36" x14ac:dyDescent="0.3">
      <c r="A516" s="10" t="s">
        <v>1725</v>
      </c>
      <c r="B516" s="10"/>
      <c r="C516" s="24" t="s">
        <v>1653</v>
      </c>
      <c r="D516" s="15"/>
      <c r="E516" s="15"/>
      <c r="F516" s="25" t="s">
        <v>597</v>
      </c>
      <c r="G516" s="26">
        <v>1.5</v>
      </c>
      <c r="H516" s="26"/>
      <c r="I516" s="26">
        <v>14.1</v>
      </c>
      <c r="J516" s="27">
        <v>260</v>
      </c>
      <c r="M516" s="28">
        <f>ROUND(ROUND(J516, 2)*I516, 2)</f>
        <v>3666</v>
      </c>
      <c r="P516" s="27">
        <v>260</v>
      </c>
      <c r="S516" s="28">
        <f>ROUND(ROUND(P516, 2)*I516, 2)</f>
        <v>3666</v>
      </c>
      <c r="V516" s="9">
        <f>ROUND(ROUND(P516, 2)/1.2, 2)</f>
        <v>216.67</v>
      </c>
      <c r="Y516" s="9">
        <f t="shared" si="19"/>
        <v>3055</v>
      </c>
      <c r="AD516" s="4" t="s">
        <v>1726</v>
      </c>
      <c r="AE516" s="4" t="s">
        <v>1727</v>
      </c>
      <c r="AF516" s="4" t="s">
        <v>1656</v>
      </c>
    </row>
    <row r="517" spans="1:35" ht="18" x14ac:dyDescent="0.3">
      <c r="A517" s="10" t="s">
        <v>1728</v>
      </c>
      <c r="B517" s="10" t="s">
        <v>1648</v>
      </c>
      <c r="C517" s="14" t="s">
        <v>1649</v>
      </c>
      <c r="D517" s="15"/>
      <c r="E517" s="15"/>
      <c r="F517" s="15" t="s">
        <v>62</v>
      </c>
      <c r="G517" s="16">
        <v>1</v>
      </c>
      <c r="H517" s="16"/>
      <c r="I517" s="16">
        <v>0</v>
      </c>
      <c r="J517" s="17">
        <v>0</v>
      </c>
      <c r="K517" s="18">
        <v>1010</v>
      </c>
      <c r="L517" s="17">
        <f>J517+ROUND(K517, 2)</f>
        <v>1010</v>
      </c>
      <c r="M517" s="17">
        <v>0</v>
      </c>
      <c r="N517" s="17">
        <v>0</v>
      </c>
      <c r="O517" s="17">
        <f>M517+N517</f>
        <v>0</v>
      </c>
      <c r="P517" s="17">
        <v>0</v>
      </c>
      <c r="Q517" s="18">
        <v>1515</v>
      </c>
      <c r="R517" s="17">
        <f>P517+ROUND(Q517, 2)</f>
        <v>1515</v>
      </c>
      <c r="S517" s="17">
        <v>0</v>
      </c>
      <c r="T517" s="17">
        <v>0</v>
      </c>
      <c r="U517" s="17">
        <f>S517+T517</f>
        <v>0</v>
      </c>
      <c r="V517" s="9">
        <f>ROUND(P517 / 1.2, 2)</f>
        <v>0</v>
      </c>
      <c r="W517" s="9">
        <f>ROUND(Q517 / 1.2, 2)</f>
        <v>1262.5</v>
      </c>
      <c r="X517" s="9">
        <f>ROUND(R517 / 1.2, 2)</f>
        <v>1262.5</v>
      </c>
      <c r="Y517" s="9">
        <f t="shared" si="19"/>
        <v>0</v>
      </c>
      <c r="Z517" s="9">
        <f>ROUND(T517 / 1.2, 2)</f>
        <v>0</v>
      </c>
      <c r="AA517" s="9">
        <f>Y517+Z517</f>
        <v>0</v>
      </c>
      <c r="AD517" s="4">
        <v>334080693</v>
      </c>
      <c r="AE517" s="4">
        <v>27245687</v>
      </c>
      <c r="AG517" s="4" t="s">
        <v>1650</v>
      </c>
      <c r="AH517" s="4" t="s">
        <v>1651</v>
      </c>
      <c r="AI517" s="4" t="s">
        <v>250</v>
      </c>
    </row>
    <row r="518" spans="1:35" ht="36" x14ac:dyDescent="0.3">
      <c r="A518" s="10" t="s">
        <v>1729</v>
      </c>
      <c r="B518" s="10"/>
      <c r="C518" s="24" t="s">
        <v>1653</v>
      </c>
      <c r="D518" s="15"/>
      <c r="E518" s="15"/>
      <c r="F518" s="25" t="s">
        <v>597</v>
      </c>
      <c r="G518" s="26">
        <v>1.5</v>
      </c>
      <c r="H518" s="26"/>
      <c r="I518" s="26">
        <v>0</v>
      </c>
      <c r="J518" s="27">
        <v>260</v>
      </c>
      <c r="M518" s="28">
        <f>ROUND(ROUND(J518, 2)*I518, 2)</f>
        <v>0</v>
      </c>
      <c r="P518" s="27">
        <v>260</v>
      </c>
      <c r="S518" s="28">
        <f>ROUND(ROUND(P518, 2)*I518, 2)</f>
        <v>0</v>
      </c>
      <c r="V518" s="9">
        <f>ROUND(ROUND(P518, 2)/1.2, 2)</f>
        <v>216.67</v>
      </c>
      <c r="Y518" s="9">
        <f t="shared" si="19"/>
        <v>0</v>
      </c>
      <c r="AD518" s="4" t="s">
        <v>1730</v>
      </c>
      <c r="AE518" s="4" t="s">
        <v>1731</v>
      </c>
      <c r="AF518" s="4" t="s">
        <v>1656</v>
      </c>
    </row>
    <row r="519" spans="1:35" ht="18" x14ac:dyDescent="0.3">
      <c r="A519" s="10" t="s">
        <v>1732</v>
      </c>
      <c r="B519" s="10" t="s">
        <v>1733</v>
      </c>
      <c r="C519" s="14" t="s">
        <v>1734</v>
      </c>
      <c r="D519" s="15"/>
      <c r="E519" s="15"/>
      <c r="F519" s="15" t="s">
        <v>62</v>
      </c>
      <c r="G519" s="16">
        <v>1</v>
      </c>
      <c r="H519" s="16"/>
      <c r="I519" s="16">
        <v>0</v>
      </c>
      <c r="J519" s="17">
        <v>0</v>
      </c>
      <c r="K519" s="18">
        <v>1010</v>
      </c>
      <c r="L519" s="17">
        <f>J519+ROUND(K519, 2)</f>
        <v>1010</v>
      </c>
      <c r="M519" s="17">
        <v>0</v>
      </c>
      <c r="N519" s="17">
        <v>0</v>
      </c>
      <c r="O519" s="17">
        <f>M519+N519</f>
        <v>0</v>
      </c>
      <c r="P519" s="17">
        <v>418</v>
      </c>
      <c r="Q519" s="18">
        <v>1010</v>
      </c>
      <c r="R519" s="17">
        <f>P519+ROUND(Q519, 2)</f>
        <v>1428</v>
      </c>
      <c r="S519" s="17">
        <v>0</v>
      </c>
      <c r="T519" s="17">
        <v>0</v>
      </c>
      <c r="U519" s="17">
        <f>S519+T519</f>
        <v>0</v>
      </c>
      <c r="V519" s="9">
        <f>ROUND(P519 / 1.2, 2)</f>
        <v>348.33</v>
      </c>
      <c r="W519" s="9">
        <f>ROUND(Q519 / 1.2, 2)</f>
        <v>841.67</v>
      </c>
      <c r="X519" s="9">
        <f>ROUND(R519 / 1.2, 2)</f>
        <v>1190</v>
      </c>
      <c r="Y519" s="9">
        <f t="shared" si="19"/>
        <v>0</v>
      </c>
      <c r="Z519" s="9">
        <f>ROUND(T519 / 1.2, 2)</f>
        <v>0</v>
      </c>
      <c r="AA519" s="9">
        <f>Y519+Z519</f>
        <v>0</v>
      </c>
      <c r="AD519" s="4">
        <v>334080538</v>
      </c>
      <c r="AE519" s="4">
        <v>27245696</v>
      </c>
      <c r="AG519" s="4" t="s">
        <v>1735</v>
      </c>
      <c r="AH519" s="4" t="s">
        <v>1736</v>
      </c>
      <c r="AI519" s="4" t="s">
        <v>250</v>
      </c>
    </row>
    <row r="520" spans="1:35" ht="18" x14ac:dyDescent="0.3">
      <c r="A520" s="10" t="s">
        <v>1737</v>
      </c>
      <c r="B520" s="10"/>
      <c r="C520" s="24" t="s">
        <v>1738</v>
      </c>
      <c r="D520" s="15"/>
      <c r="E520" s="15"/>
      <c r="F520" s="25" t="s">
        <v>597</v>
      </c>
      <c r="G520" s="26">
        <v>1</v>
      </c>
      <c r="H520" s="26"/>
      <c r="I520" s="26">
        <v>0</v>
      </c>
      <c r="J520" s="27">
        <v>418</v>
      </c>
      <c r="M520" s="28">
        <f>ROUND(ROUND(J520, 2)*I520, 2)</f>
        <v>0</v>
      </c>
      <c r="P520" s="27">
        <v>418</v>
      </c>
      <c r="S520" s="28">
        <f>ROUND(ROUND(P520, 2)*I520, 2)</f>
        <v>0</v>
      </c>
      <c r="V520" s="9">
        <f>ROUND(ROUND(P520, 2)/1.2, 2)</f>
        <v>348.33</v>
      </c>
      <c r="Y520" s="9">
        <f t="shared" si="19"/>
        <v>0</v>
      </c>
      <c r="AD520" s="4" t="s">
        <v>1739</v>
      </c>
      <c r="AE520" s="4" t="s">
        <v>1740</v>
      </c>
      <c r="AF520" s="4" t="s">
        <v>1741</v>
      </c>
    </row>
    <row r="521" spans="1:35" ht="270" x14ac:dyDescent="0.3">
      <c r="A521" s="10" t="s">
        <v>1742</v>
      </c>
      <c r="B521" s="10" t="s">
        <v>1733</v>
      </c>
      <c r="C521" s="14" t="s">
        <v>1734</v>
      </c>
      <c r="D521" s="15"/>
      <c r="E521" s="15" t="s">
        <v>1743</v>
      </c>
      <c r="F521" s="15" t="s">
        <v>62</v>
      </c>
      <c r="G521" s="16">
        <v>1</v>
      </c>
      <c r="H521" s="16"/>
      <c r="I521" s="16">
        <v>227.3</v>
      </c>
      <c r="J521" s="17">
        <v>418</v>
      </c>
      <c r="K521" s="18">
        <v>1010</v>
      </c>
      <c r="L521" s="17">
        <f>J521+ROUND(K521, 2)</f>
        <v>1428</v>
      </c>
      <c r="M521" s="17">
        <v>95011.4</v>
      </c>
      <c r="N521" s="17">
        <v>229573</v>
      </c>
      <c r="O521" s="17">
        <f>M521+N521</f>
        <v>324584.40000000002</v>
      </c>
      <c r="P521" s="17">
        <v>418</v>
      </c>
      <c r="Q521" s="18">
        <v>1515</v>
      </c>
      <c r="R521" s="17">
        <f>P521+ROUND(Q521, 2)</f>
        <v>1933</v>
      </c>
      <c r="S521" s="17">
        <v>95011.4</v>
      </c>
      <c r="T521" s="17">
        <v>344359.5</v>
      </c>
      <c r="U521" s="17">
        <f>S521+T521</f>
        <v>439370.9</v>
      </c>
      <c r="V521" s="9">
        <f>ROUND(P521 / 1.2, 2)</f>
        <v>348.33</v>
      </c>
      <c r="W521" s="9">
        <f>ROUND(Q521 / 1.2, 2)</f>
        <v>1262.5</v>
      </c>
      <c r="X521" s="9">
        <f>ROUND(R521 / 1.2, 2)</f>
        <v>1610.83</v>
      </c>
      <c r="Y521" s="9">
        <f t="shared" si="19"/>
        <v>79176.17</v>
      </c>
      <c r="Z521" s="9">
        <f>ROUND(T521 / 1.2, 2)</f>
        <v>286966.25</v>
      </c>
      <c r="AA521" s="9">
        <f>Y521+Z521</f>
        <v>366142.42</v>
      </c>
      <c r="AD521" s="4">
        <v>334080694</v>
      </c>
      <c r="AE521" s="4">
        <v>27245764</v>
      </c>
      <c r="AG521" s="4" t="s">
        <v>1735</v>
      </c>
      <c r="AH521" s="4" t="s">
        <v>1736</v>
      </c>
      <c r="AI521" s="4" t="s">
        <v>250</v>
      </c>
    </row>
    <row r="522" spans="1:35" ht="396" x14ac:dyDescent="0.3">
      <c r="A522" s="10" t="s">
        <v>1744</v>
      </c>
      <c r="B522" s="10"/>
      <c r="C522" s="24" t="s">
        <v>1738</v>
      </c>
      <c r="D522" s="15"/>
      <c r="E522" s="15" t="s">
        <v>1745</v>
      </c>
      <c r="F522" s="25" t="s">
        <v>597</v>
      </c>
      <c r="G522" s="26">
        <v>1</v>
      </c>
      <c r="H522" s="26"/>
      <c r="I522" s="26">
        <v>227.3</v>
      </c>
      <c r="J522" s="27">
        <v>418</v>
      </c>
      <c r="M522" s="28">
        <f>ROUND(ROUND(J522, 2)*I522, 2)</f>
        <v>95011.4</v>
      </c>
      <c r="P522" s="27">
        <v>418</v>
      </c>
      <c r="S522" s="28">
        <f>ROUND(ROUND(P522, 2)*I522, 2)</f>
        <v>95011.4</v>
      </c>
      <c r="V522" s="9">
        <f>ROUND(ROUND(P522, 2)/1.2, 2)</f>
        <v>348.33</v>
      </c>
      <c r="Y522" s="9">
        <f t="shared" si="19"/>
        <v>79176.17</v>
      </c>
      <c r="AD522" s="4" t="s">
        <v>1746</v>
      </c>
      <c r="AE522" s="4" t="s">
        <v>1747</v>
      </c>
      <c r="AF522" s="4" t="s">
        <v>1741</v>
      </c>
    </row>
    <row r="523" spans="1:35" ht="36" x14ac:dyDescent="0.3">
      <c r="A523" s="10" t="s">
        <v>1748</v>
      </c>
      <c r="B523" s="10" t="s">
        <v>1749</v>
      </c>
      <c r="C523" s="14" t="s">
        <v>1750</v>
      </c>
      <c r="D523" s="15"/>
      <c r="E523" s="15"/>
      <c r="F523" s="15" t="s">
        <v>62</v>
      </c>
      <c r="G523" s="16">
        <v>1</v>
      </c>
      <c r="H523" s="16"/>
      <c r="I523" s="16">
        <v>0</v>
      </c>
      <c r="J523" s="17">
        <v>0</v>
      </c>
      <c r="K523" s="18">
        <v>428</v>
      </c>
      <c r="L523" s="17">
        <f>J523+ROUND(K523, 2)</f>
        <v>428</v>
      </c>
      <c r="M523" s="17">
        <v>0</v>
      </c>
      <c r="N523" s="17">
        <v>0</v>
      </c>
      <c r="O523" s="17">
        <f>M523+N523</f>
        <v>0</v>
      </c>
      <c r="P523" s="17">
        <v>162.09</v>
      </c>
      <c r="Q523" s="18">
        <v>428</v>
      </c>
      <c r="R523" s="17">
        <f>P523+ROUND(Q523, 2)</f>
        <v>590.09</v>
      </c>
      <c r="S523" s="17">
        <v>0</v>
      </c>
      <c r="T523" s="17">
        <v>0</v>
      </c>
      <c r="U523" s="17">
        <f>S523+T523</f>
        <v>0</v>
      </c>
      <c r="V523" s="9">
        <f>ROUND(P523 / 1.2, 2)</f>
        <v>135.08000000000001</v>
      </c>
      <c r="W523" s="9">
        <f>ROUND(Q523 / 1.2, 2)</f>
        <v>356.67</v>
      </c>
      <c r="X523" s="9">
        <f>ROUND(R523 / 1.2, 2)</f>
        <v>491.74</v>
      </c>
      <c r="Y523" s="9">
        <f t="shared" si="19"/>
        <v>0</v>
      </c>
      <c r="Z523" s="9">
        <f>ROUND(T523 / 1.2, 2)</f>
        <v>0</v>
      </c>
      <c r="AA523" s="9">
        <f>Y523+Z523</f>
        <v>0</v>
      </c>
      <c r="AD523" s="4">
        <v>334080540</v>
      </c>
      <c r="AE523" s="4">
        <v>27245646</v>
      </c>
      <c r="AG523" s="4" t="s">
        <v>1751</v>
      </c>
      <c r="AH523" s="4" t="s">
        <v>1752</v>
      </c>
      <c r="AI523" s="4" t="s">
        <v>250</v>
      </c>
    </row>
    <row r="524" spans="1:35" ht="36" x14ac:dyDescent="0.3">
      <c r="A524" s="10" t="s">
        <v>1753</v>
      </c>
      <c r="B524" s="10"/>
      <c r="C524" s="24" t="s">
        <v>1007</v>
      </c>
      <c r="D524" s="15"/>
      <c r="E524" s="15"/>
      <c r="F524" s="25" t="s">
        <v>278</v>
      </c>
      <c r="G524" s="26">
        <v>0.15</v>
      </c>
      <c r="H524" s="26"/>
      <c r="I524" s="26">
        <v>0</v>
      </c>
      <c r="J524" s="27">
        <v>88.8</v>
      </c>
      <c r="M524" s="28">
        <f>ROUND(ROUND(J524, 2)*I524, 2)</f>
        <v>0</v>
      </c>
      <c r="P524" s="27">
        <v>88.8</v>
      </c>
      <c r="S524" s="28">
        <f>ROUND(ROUND(P524, 2)*I524, 2)</f>
        <v>0</v>
      </c>
      <c r="V524" s="9">
        <f>ROUND(ROUND(P524, 2)/1.2, 2)</f>
        <v>74</v>
      </c>
      <c r="Y524" s="9">
        <f t="shared" si="19"/>
        <v>0</v>
      </c>
      <c r="AD524" s="4" t="s">
        <v>1754</v>
      </c>
      <c r="AE524" s="4" t="s">
        <v>1755</v>
      </c>
      <c r="AF524" s="4" t="s">
        <v>1010</v>
      </c>
    </row>
    <row r="525" spans="1:35" ht="36" x14ac:dyDescent="0.3">
      <c r="A525" s="10" t="s">
        <v>1756</v>
      </c>
      <c r="B525" s="10"/>
      <c r="C525" s="24" t="s">
        <v>1757</v>
      </c>
      <c r="D525" s="15"/>
      <c r="E525" s="15"/>
      <c r="F525" s="25" t="s">
        <v>278</v>
      </c>
      <c r="G525" s="26">
        <v>0.3</v>
      </c>
      <c r="H525" s="26"/>
      <c r="I525" s="26">
        <v>0</v>
      </c>
      <c r="J525" s="27">
        <v>1216.56</v>
      </c>
      <c r="M525" s="28">
        <f>ROUND(ROUND(J525, 2)*I525, 2)</f>
        <v>0</v>
      </c>
      <c r="P525" s="27">
        <v>495.9</v>
      </c>
      <c r="S525" s="28">
        <f>ROUND(ROUND(P525, 2)*I525, 2)</f>
        <v>0</v>
      </c>
      <c r="V525" s="9">
        <f>ROUND(ROUND(P525, 2)/1.2, 2)</f>
        <v>413.25</v>
      </c>
      <c r="Y525" s="9">
        <f t="shared" si="19"/>
        <v>0</v>
      </c>
      <c r="AD525" s="4" t="s">
        <v>1758</v>
      </c>
      <c r="AE525" s="4" t="s">
        <v>1759</v>
      </c>
      <c r="AF525" s="4" t="s">
        <v>1760</v>
      </c>
    </row>
    <row r="526" spans="1:35" ht="36" x14ac:dyDescent="0.3">
      <c r="A526" s="10" t="s">
        <v>1761</v>
      </c>
      <c r="B526" s="10" t="s">
        <v>1749</v>
      </c>
      <c r="C526" s="14" t="s">
        <v>1750</v>
      </c>
      <c r="D526" s="15"/>
      <c r="E526" s="15"/>
      <c r="F526" s="15" t="s">
        <v>62</v>
      </c>
      <c r="G526" s="16">
        <v>1</v>
      </c>
      <c r="H526" s="16"/>
      <c r="I526" s="16">
        <v>0</v>
      </c>
      <c r="J526" s="17">
        <v>0</v>
      </c>
      <c r="K526" s="18">
        <v>428</v>
      </c>
      <c r="L526" s="17">
        <f>J526+ROUND(K526, 2)</f>
        <v>428</v>
      </c>
      <c r="M526" s="17">
        <v>0</v>
      </c>
      <c r="N526" s="17">
        <v>0</v>
      </c>
      <c r="O526" s="17">
        <f>M526+N526</f>
        <v>0</v>
      </c>
      <c r="P526" s="17">
        <v>162.09</v>
      </c>
      <c r="Q526" s="18">
        <v>428</v>
      </c>
      <c r="R526" s="17">
        <f>P526+ROUND(Q526, 2)</f>
        <v>590.09</v>
      </c>
      <c r="S526" s="17">
        <v>0</v>
      </c>
      <c r="T526" s="17">
        <v>0</v>
      </c>
      <c r="U526" s="17">
        <f>S526+T526</f>
        <v>0</v>
      </c>
      <c r="V526" s="9">
        <f>ROUND(P526 / 1.2, 2)</f>
        <v>135.08000000000001</v>
      </c>
      <c r="W526" s="9">
        <f>ROUND(Q526 / 1.2, 2)</f>
        <v>356.67</v>
      </c>
      <c r="X526" s="9">
        <f>ROUND(R526 / 1.2, 2)</f>
        <v>491.74</v>
      </c>
      <c r="Y526" s="9">
        <f t="shared" si="19"/>
        <v>0</v>
      </c>
      <c r="Z526" s="9">
        <f>ROUND(T526 / 1.2, 2)</f>
        <v>0</v>
      </c>
      <c r="AA526" s="9">
        <f>Y526+Z526</f>
        <v>0</v>
      </c>
      <c r="AD526" s="4">
        <v>334080695</v>
      </c>
      <c r="AE526" s="4">
        <v>27245647</v>
      </c>
      <c r="AG526" s="4" t="s">
        <v>1751</v>
      </c>
      <c r="AH526" s="4" t="s">
        <v>1752</v>
      </c>
      <c r="AI526" s="4" t="s">
        <v>250</v>
      </c>
    </row>
    <row r="527" spans="1:35" ht="36" x14ac:dyDescent="0.3">
      <c r="A527" s="10" t="s">
        <v>1762</v>
      </c>
      <c r="B527" s="10"/>
      <c r="C527" s="24" t="s">
        <v>1757</v>
      </c>
      <c r="D527" s="15"/>
      <c r="E527" s="15"/>
      <c r="F527" s="25" t="s">
        <v>278</v>
      </c>
      <c r="G527" s="26">
        <v>0.3</v>
      </c>
      <c r="H527" s="26"/>
      <c r="I527" s="26">
        <v>0</v>
      </c>
      <c r="J527" s="27">
        <v>1216.56</v>
      </c>
      <c r="M527" s="28">
        <f>ROUND(ROUND(J527, 2)*I527, 2)</f>
        <v>0</v>
      </c>
      <c r="P527" s="27">
        <v>495.9</v>
      </c>
      <c r="S527" s="28">
        <f>ROUND(ROUND(P527, 2)*I527, 2)</f>
        <v>0</v>
      </c>
      <c r="V527" s="9">
        <f>ROUND(ROUND(P527, 2)/1.2, 2)</f>
        <v>413.25</v>
      </c>
      <c r="Y527" s="9">
        <f t="shared" si="19"/>
        <v>0</v>
      </c>
      <c r="AD527" s="4" t="s">
        <v>1763</v>
      </c>
      <c r="AE527" s="4" t="s">
        <v>1764</v>
      </c>
      <c r="AF527" s="4" t="s">
        <v>1760</v>
      </c>
    </row>
    <row r="528" spans="1:35" ht="36" x14ac:dyDescent="0.3">
      <c r="A528" s="10" t="s">
        <v>1765</v>
      </c>
      <c r="B528" s="10"/>
      <c r="C528" s="24" t="s">
        <v>1007</v>
      </c>
      <c r="D528" s="15"/>
      <c r="E528" s="15"/>
      <c r="F528" s="25" t="s">
        <v>278</v>
      </c>
      <c r="G528" s="26">
        <v>0.15</v>
      </c>
      <c r="H528" s="26"/>
      <c r="I528" s="26">
        <v>0</v>
      </c>
      <c r="J528" s="27">
        <v>88.8</v>
      </c>
      <c r="M528" s="28">
        <f>ROUND(ROUND(J528, 2)*I528, 2)</f>
        <v>0</v>
      </c>
      <c r="P528" s="27">
        <v>88.8</v>
      </c>
      <c r="S528" s="28">
        <f>ROUND(ROUND(P528, 2)*I528, 2)</f>
        <v>0</v>
      </c>
      <c r="V528" s="9">
        <f>ROUND(ROUND(P528, 2)/1.2, 2)</f>
        <v>74</v>
      </c>
      <c r="Y528" s="9">
        <f t="shared" si="19"/>
        <v>0</v>
      </c>
      <c r="AD528" s="4" t="s">
        <v>1766</v>
      </c>
      <c r="AE528" s="4" t="s">
        <v>1767</v>
      </c>
      <c r="AF528" s="4" t="s">
        <v>1010</v>
      </c>
    </row>
    <row r="529" spans="1:35" ht="36" x14ac:dyDescent="0.3">
      <c r="A529" s="10" t="s">
        <v>1768</v>
      </c>
      <c r="B529" s="10" t="s">
        <v>1749</v>
      </c>
      <c r="C529" s="14" t="s">
        <v>1750</v>
      </c>
      <c r="D529" s="15"/>
      <c r="E529" s="15"/>
      <c r="F529" s="15" t="s">
        <v>62</v>
      </c>
      <c r="G529" s="16">
        <v>1</v>
      </c>
      <c r="H529" s="16"/>
      <c r="I529" s="16">
        <v>0</v>
      </c>
      <c r="J529" s="17">
        <v>0</v>
      </c>
      <c r="K529" s="18">
        <v>428</v>
      </c>
      <c r="L529" s="17">
        <f>J529+ROUND(K529, 2)</f>
        <v>428</v>
      </c>
      <c r="M529" s="17">
        <v>0</v>
      </c>
      <c r="N529" s="17">
        <v>0</v>
      </c>
      <c r="O529" s="17">
        <f>M529+N529</f>
        <v>0</v>
      </c>
      <c r="P529" s="17">
        <v>162.09</v>
      </c>
      <c r="Q529" s="18">
        <v>428</v>
      </c>
      <c r="R529" s="17">
        <f>P529+ROUND(Q529, 2)</f>
        <v>590.09</v>
      </c>
      <c r="S529" s="17">
        <v>0</v>
      </c>
      <c r="T529" s="17">
        <v>0</v>
      </c>
      <c r="U529" s="17">
        <f>S529+T529</f>
        <v>0</v>
      </c>
      <c r="V529" s="9">
        <f>ROUND(P529 / 1.2, 2)</f>
        <v>135.08000000000001</v>
      </c>
      <c r="W529" s="9">
        <f>ROUND(Q529 / 1.2, 2)</f>
        <v>356.67</v>
      </c>
      <c r="X529" s="9">
        <f>ROUND(R529 / 1.2, 2)</f>
        <v>491.74</v>
      </c>
      <c r="Y529" s="9">
        <f t="shared" si="19"/>
        <v>0</v>
      </c>
      <c r="Z529" s="9">
        <f>ROUND(T529 / 1.2, 2)</f>
        <v>0</v>
      </c>
      <c r="AA529" s="9">
        <f>Y529+Z529</f>
        <v>0</v>
      </c>
      <c r="AD529" s="4">
        <v>334080696</v>
      </c>
      <c r="AE529" s="4">
        <v>27245648</v>
      </c>
      <c r="AG529" s="4" t="s">
        <v>1751</v>
      </c>
      <c r="AH529" s="4" t="s">
        <v>1752</v>
      </c>
      <c r="AI529" s="4" t="s">
        <v>250</v>
      </c>
    </row>
    <row r="530" spans="1:35" ht="36" x14ac:dyDescent="0.3">
      <c r="A530" s="10" t="s">
        <v>1769</v>
      </c>
      <c r="B530" s="10"/>
      <c r="C530" s="24" t="s">
        <v>1007</v>
      </c>
      <c r="D530" s="15"/>
      <c r="E530" s="15"/>
      <c r="F530" s="25" t="s">
        <v>278</v>
      </c>
      <c r="G530" s="26">
        <v>0.15</v>
      </c>
      <c r="H530" s="26"/>
      <c r="I530" s="26">
        <v>0</v>
      </c>
      <c r="J530" s="27">
        <v>88.8</v>
      </c>
      <c r="M530" s="28">
        <f>ROUND(ROUND(J530, 2)*I530, 2)</f>
        <v>0</v>
      </c>
      <c r="P530" s="27">
        <v>88.8</v>
      </c>
      <c r="S530" s="28">
        <f>ROUND(ROUND(P530, 2)*I530, 2)</f>
        <v>0</v>
      </c>
      <c r="V530" s="9">
        <f>ROUND(ROUND(P530, 2)/1.2, 2)</f>
        <v>74</v>
      </c>
      <c r="Y530" s="9">
        <f t="shared" si="19"/>
        <v>0</v>
      </c>
      <c r="AD530" s="4" t="s">
        <v>1770</v>
      </c>
      <c r="AE530" s="4" t="s">
        <v>1771</v>
      </c>
      <c r="AF530" s="4" t="s">
        <v>1010</v>
      </c>
    </row>
    <row r="531" spans="1:35" ht="36" x14ac:dyDescent="0.3">
      <c r="A531" s="10" t="s">
        <v>1772</v>
      </c>
      <c r="B531" s="10"/>
      <c r="C531" s="24" t="s">
        <v>1757</v>
      </c>
      <c r="D531" s="15"/>
      <c r="E531" s="15"/>
      <c r="F531" s="25" t="s">
        <v>278</v>
      </c>
      <c r="G531" s="26">
        <v>0.3</v>
      </c>
      <c r="H531" s="26"/>
      <c r="I531" s="26">
        <v>0</v>
      </c>
      <c r="J531" s="27">
        <v>1216.56</v>
      </c>
      <c r="M531" s="28">
        <f>ROUND(ROUND(J531, 2)*I531, 2)</f>
        <v>0</v>
      </c>
      <c r="P531" s="27">
        <v>495.9</v>
      </c>
      <c r="S531" s="28">
        <f>ROUND(ROUND(P531, 2)*I531, 2)</f>
        <v>0</v>
      </c>
      <c r="V531" s="9">
        <f>ROUND(ROUND(P531, 2)/1.2, 2)</f>
        <v>413.25</v>
      </c>
      <c r="Y531" s="9">
        <f t="shared" si="19"/>
        <v>0</v>
      </c>
      <c r="AD531" s="4" t="s">
        <v>1773</v>
      </c>
      <c r="AE531" s="4" t="s">
        <v>1774</v>
      </c>
      <c r="AF531" s="4" t="s">
        <v>1760</v>
      </c>
    </row>
    <row r="532" spans="1:35" ht="36" x14ac:dyDescent="0.3">
      <c r="A532" s="10" t="s">
        <v>1775</v>
      </c>
      <c r="B532" s="10" t="s">
        <v>1749</v>
      </c>
      <c r="C532" s="14" t="s">
        <v>1750</v>
      </c>
      <c r="D532" s="15"/>
      <c r="E532" s="15"/>
      <c r="F532" s="15" t="s">
        <v>62</v>
      </c>
      <c r="G532" s="16">
        <v>1</v>
      </c>
      <c r="H532" s="16"/>
      <c r="I532" s="16">
        <v>0</v>
      </c>
      <c r="J532" s="17">
        <v>0</v>
      </c>
      <c r="K532" s="18">
        <v>428</v>
      </c>
      <c r="L532" s="17">
        <f>J532+ROUND(K532, 2)</f>
        <v>428</v>
      </c>
      <c r="M532" s="17">
        <v>0</v>
      </c>
      <c r="N532" s="17">
        <v>0</v>
      </c>
      <c r="O532" s="17">
        <f>M532+N532</f>
        <v>0</v>
      </c>
      <c r="P532" s="17">
        <v>162.09</v>
      </c>
      <c r="Q532" s="18">
        <v>428</v>
      </c>
      <c r="R532" s="17">
        <f>P532+ROUND(Q532, 2)</f>
        <v>590.09</v>
      </c>
      <c r="S532" s="17">
        <v>0</v>
      </c>
      <c r="T532" s="17">
        <v>0</v>
      </c>
      <c r="U532" s="17">
        <f>S532+T532</f>
        <v>0</v>
      </c>
      <c r="V532" s="9">
        <f>ROUND(P532 / 1.2, 2)</f>
        <v>135.08000000000001</v>
      </c>
      <c r="W532" s="9">
        <f>ROUND(Q532 / 1.2, 2)</f>
        <v>356.67</v>
      </c>
      <c r="X532" s="9">
        <f>ROUND(R532 / 1.2, 2)</f>
        <v>491.74</v>
      </c>
      <c r="Y532" s="9">
        <f t="shared" si="19"/>
        <v>0</v>
      </c>
      <c r="Z532" s="9">
        <f>ROUND(T532 / 1.2, 2)</f>
        <v>0</v>
      </c>
      <c r="AA532" s="9">
        <f>Y532+Z532</f>
        <v>0</v>
      </c>
      <c r="AD532" s="4">
        <v>334080697</v>
      </c>
      <c r="AE532" s="4">
        <v>27245649</v>
      </c>
      <c r="AG532" s="4" t="s">
        <v>1751</v>
      </c>
      <c r="AH532" s="4" t="s">
        <v>1752</v>
      </c>
      <c r="AI532" s="4" t="s">
        <v>250</v>
      </c>
    </row>
    <row r="533" spans="1:35" ht="36" x14ac:dyDescent="0.3">
      <c r="A533" s="10" t="s">
        <v>1776</v>
      </c>
      <c r="B533" s="10"/>
      <c r="C533" s="24" t="s">
        <v>1757</v>
      </c>
      <c r="D533" s="15"/>
      <c r="E533" s="15"/>
      <c r="F533" s="25" t="s">
        <v>278</v>
      </c>
      <c r="G533" s="26">
        <v>0.3</v>
      </c>
      <c r="H533" s="26"/>
      <c r="I533" s="26">
        <v>0</v>
      </c>
      <c r="J533" s="27">
        <v>1216.56</v>
      </c>
      <c r="M533" s="28">
        <f>ROUND(ROUND(J533, 2)*I533, 2)</f>
        <v>0</v>
      </c>
      <c r="P533" s="27">
        <v>495.9</v>
      </c>
      <c r="S533" s="28">
        <f>ROUND(ROUND(P533, 2)*I533, 2)</f>
        <v>0</v>
      </c>
      <c r="V533" s="9">
        <f>ROUND(ROUND(P533, 2)/1.2, 2)</f>
        <v>413.25</v>
      </c>
      <c r="Y533" s="9">
        <f t="shared" si="19"/>
        <v>0</v>
      </c>
      <c r="AD533" s="4" t="s">
        <v>1777</v>
      </c>
      <c r="AE533" s="4" t="s">
        <v>1778</v>
      </c>
      <c r="AF533" s="4" t="s">
        <v>1760</v>
      </c>
    </row>
    <row r="534" spans="1:35" ht="36" x14ac:dyDescent="0.3">
      <c r="A534" s="10" t="s">
        <v>1779</v>
      </c>
      <c r="B534" s="10"/>
      <c r="C534" s="24" t="s">
        <v>1007</v>
      </c>
      <c r="D534" s="15"/>
      <c r="E534" s="15"/>
      <c r="F534" s="25" t="s">
        <v>278</v>
      </c>
      <c r="G534" s="26">
        <v>0.15</v>
      </c>
      <c r="H534" s="26"/>
      <c r="I534" s="26">
        <v>0</v>
      </c>
      <c r="J534" s="27">
        <v>88.8</v>
      </c>
      <c r="M534" s="28">
        <f>ROUND(ROUND(J534, 2)*I534, 2)</f>
        <v>0</v>
      </c>
      <c r="P534" s="27">
        <v>88.8</v>
      </c>
      <c r="S534" s="28">
        <f>ROUND(ROUND(P534, 2)*I534, 2)</f>
        <v>0</v>
      </c>
      <c r="V534" s="9">
        <f>ROUND(ROUND(P534, 2)/1.2, 2)</f>
        <v>74</v>
      </c>
      <c r="Y534" s="9">
        <f t="shared" si="19"/>
        <v>0</v>
      </c>
      <c r="AD534" s="4" t="s">
        <v>1780</v>
      </c>
      <c r="AE534" s="4" t="s">
        <v>1781</v>
      </c>
      <c r="AF534" s="4" t="s">
        <v>1010</v>
      </c>
    </row>
    <row r="535" spans="1:35" ht="36" x14ac:dyDescent="0.3">
      <c r="A535" s="10" t="s">
        <v>1782</v>
      </c>
      <c r="B535" s="10" t="s">
        <v>1749</v>
      </c>
      <c r="C535" s="14" t="s">
        <v>1750</v>
      </c>
      <c r="D535" s="15"/>
      <c r="E535" s="15"/>
      <c r="F535" s="15" t="s">
        <v>62</v>
      </c>
      <c r="G535" s="16">
        <v>1</v>
      </c>
      <c r="H535" s="16"/>
      <c r="I535" s="16">
        <v>0</v>
      </c>
      <c r="J535" s="17">
        <v>0</v>
      </c>
      <c r="K535" s="18">
        <v>428</v>
      </c>
      <c r="L535" s="17">
        <f>J535+ROUND(K535, 2)</f>
        <v>428</v>
      </c>
      <c r="M535" s="17">
        <v>0</v>
      </c>
      <c r="N535" s="17">
        <v>0</v>
      </c>
      <c r="O535" s="17">
        <f>M535+N535</f>
        <v>0</v>
      </c>
      <c r="P535" s="17">
        <v>162.09</v>
      </c>
      <c r="Q535" s="18">
        <v>428</v>
      </c>
      <c r="R535" s="17">
        <f>P535+ROUND(Q535, 2)</f>
        <v>590.09</v>
      </c>
      <c r="S535" s="17">
        <v>0</v>
      </c>
      <c r="T535" s="17">
        <v>0</v>
      </c>
      <c r="U535" s="17">
        <f>S535+T535</f>
        <v>0</v>
      </c>
      <c r="V535" s="9">
        <f>ROUND(P535 / 1.2, 2)</f>
        <v>135.08000000000001</v>
      </c>
      <c r="W535" s="9">
        <f>ROUND(Q535 / 1.2, 2)</f>
        <v>356.67</v>
      </c>
      <c r="X535" s="9">
        <f>ROUND(R535 / 1.2, 2)</f>
        <v>491.74</v>
      </c>
      <c r="Y535" s="9">
        <f t="shared" si="19"/>
        <v>0</v>
      </c>
      <c r="Z535" s="9">
        <f>ROUND(T535 / 1.2, 2)</f>
        <v>0</v>
      </c>
      <c r="AA535" s="9">
        <f>Y535+Z535</f>
        <v>0</v>
      </c>
      <c r="AD535" s="4">
        <v>334080698</v>
      </c>
      <c r="AE535" s="4">
        <v>27245650</v>
      </c>
      <c r="AG535" s="4" t="s">
        <v>1751</v>
      </c>
      <c r="AH535" s="4" t="s">
        <v>1752</v>
      </c>
      <c r="AI535" s="4" t="s">
        <v>250</v>
      </c>
    </row>
    <row r="536" spans="1:35" ht="36" x14ac:dyDescent="0.3">
      <c r="A536" s="10" t="s">
        <v>1783</v>
      </c>
      <c r="B536" s="10"/>
      <c r="C536" s="24" t="s">
        <v>1007</v>
      </c>
      <c r="D536" s="15"/>
      <c r="E536" s="15"/>
      <c r="F536" s="25" t="s">
        <v>278</v>
      </c>
      <c r="G536" s="26">
        <v>0.15</v>
      </c>
      <c r="H536" s="26"/>
      <c r="I536" s="26">
        <v>0</v>
      </c>
      <c r="J536" s="27">
        <v>88.8</v>
      </c>
      <c r="M536" s="28">
        <f>ROUND(ROUND(J536, 2)*I536, 2)</f>
        <v>0</v>
      </c>
      <c r="P536" s="27">
        <v>88.8</v>
      </c>
      <c r="S536" s="28">
        <f>ROUND(ROUND(P536, 2)*I536, 2)</f>
        <v>0</v>
      </c>
      <c r="V536" s="9">
        <f>ROUND(ROUND(P536, 2)/1.2, 2)</f>
        <v>74</v>
      </c>
      <c r="Y536" s="9">
        <f t="shared" si="19"/>
        <v>0</v>
      </c>
      <c r="AD536" s="4" t="s">
        <v>1784</v>
      </c>
      <c r="AE536" s="4" t="s">
        <v>1785</v>
      </c>
      <c r="AF536" s="4" t="s">
        <v>1010</v>
      </c>
    </row>
    <row r="537" spans="1:35" ht="36" x14ac:dyDescent="0.3">
      <c r="A537" s="10" t="s">
        <v>1786</v>
      </c>
      <c r="B537" s="10"/>
      <c r="C537" s="24" t="s">
        <v>1757</v>
      </c>
      <c r="D537" s="15"/>
      <c r="E537" s="15"/>
      <c r="F537" s="25" t="s">
        <v>278</v>
      </c>
      <c r="G537" s="26">
        <v>0.3</v>
      </c>
      <c r="H537" s="26"/>
      <c r="I537" s="26">
        <v>0</v>
      </c>
      <c r="J537" s="27">
        <v>1216.56</v>
      </c>
      <c r="M537" s="28">
        <f>ROUND(ROUND(J537, 2)*I537, 2)</f>
        <v>0</v>
      </c>
      <c r="P537" s="27">
        <v>495.9</v>
      </c>
      <c r="S537" s="28">
        <f>ROUND(ROUND(P537, 2)*I537, 2)</f>
        <v>0</v>
      </c>
      <c r="V537" s="9">
        <f>ROUND(ROUND(P537, 2)/1.2, 2)</f>
        <v>413.25</v>
      </c>
      <c r="Y537" s="9">
        <f t="shared" si="19"/>
        <v>0</v>
      </c>
      <c r="AD537" s="4" t="s">
        <v>1787</v>
      </c>
      <c r="AE537" s="4" t="s">
        <v>1788</v>
      </c>
      <c r="AF537" s="4" t="s">
        <v>1760</v>
      </c>
    </row>
    <row r="538" spans="1:35" ht="36" x14ac:dyDescent="0.3">
      <c r="A538" s="10" t="s">
        <v>1789</v>
      </c>
      <c r="B538" s="10" t="s">
        <v>1749</v>
      </c>
      <c r="C538" s="14" t="s">
        <v>1750</v>
      </c>
      <c r="D538" s="15"/>
      <c r="E538" s="15"/>
      <c r="F538" s="15" t="s">
        <v>62</v>
      </c>
      <c r="G538" s="16">
        <v>1</v>
      </c>
      <c r="H538" s="16"/>
      <c r="I538" s="16">
        <v>0</v>
      </c>
      <c r="J538" s="17">
        <v>0</v>
      </c>
      <c r="K538" s="18">
        <v>428</v>
      </c>
      <c r="L538" s="17">
        <f>J538+ROUND(K538, 2)</f>
        <v>428</v>
      </c>
      <c r="M538" s="17">
        <v>0</v>
      </c>
      <c r="N538" s="17">
        <v>0</v>
      </c>
      <c r="O538" s="17">
        <f>M538+N538</f>
        <v>0</v>
      </c>
      <c r="P538" s="17">
        <v>162.09</v>
      </c>
      <c r="Q538" s="18">
        <v>428</v>
      </c>
      <c r="R538" s="17">
        <f>P538+ROUND(Q538, 2)</f>
        <v>590.09</v>
      </c>
      <c r="S538" s="17">
        <v>0</v>
      </c>
      <c r="T538" s="17">
        <v>0</v>
      </c>
      <c r="U538" s="17">
        <f>S538+T538</f>
        <v>0</v>
      </c>
      <c r="V538" s="9">
        <f>ROUND(P538 / 1.2, 2)</f>
        <v>135.08000000000001</v>
      </c>
      <c r="W538" s="9">
        <f>ROUND(Q538 / 1.2, 2)</f>
        <v>356.67</v>
      </c>
      <c r="X538" s="9">
        <f>ROUND(R538 / 1.2, 2)</f>
        <v>491.74</v>
      </c>
      <c r="Y538" s="9">
        <f t="shared" si="19"/>
        <v>0</v>
      </c>
      <c r="Z538" s="9">
        <f>ROUND(T538 / 1.2, 2)</f>
        <v>0</v>
      </c>
      <c r="AA538" s="9">
        <f>Y538+Z538</f>
        <v>0</v>
      </c>
      <c r="AD538" s="4">
        <v>334080699</v>
      </c>
      <c r="AE538" s="4">
        <v>27245651</v>
      </c>
      <c r="AG538" s="4" t="s">
        <v>1751</v>
      </c>
      <c r="AH538" s="4" t="s">
        <v>1752</v>
      </c>
      <c r="AI538" s="4" t="s">
        <v>250</v>
      </c>
    </row>
    <row r="539" spans="1:35" ht="36" x14ac:dyDescent="0.3">
      <c r="A539" s="10" t="s">
        <v>1790</v>
      </c>
      <c r="B539" s="10"/>
      <c r="C539" s="24" t="s">
        <v>1757</v>
      </c>
      <c r="D539" s="15"/>
      <c r="E539" s="15"/>
      <c r="F539" s="25" t="s">
        <v>278</v>
      </c>
      <c r="G539" s="26">
        <v>0.3</v>
      </c>
      <c r="H539" s="26"/>
      <c r="I539" s="26">
        <v>0</v>
      </c>
      <c r="J539" s="27">
        <v>1216.56</v>
      </c>
      <c r="M539" s="28">
        <f>ROUND(ROUND(J539, 2)*I539, 2)</f>
        <v>0</v>
      </c>
      <c r="P539" s="27">
        <v>495.9</v>
      </c>
      <c r="S539" s="28">
        <f>ROUND(ROUND(P539, 2)*I539, 2)</f>
        <v>0</v>
      </c>
      <c r="V539" s="9">
        <f>ROUND(ROUND(P539, 2)/1.2, 2)</f>
        <v>413.25</v>
      </c>
      <c r="Y539" s="9">
        <f t="shared" si="19"/>
        <v>0</v>
      </c>
      <c r="AD539" s="4" t="s">
        <v>1791</v>
      </c>
      <c r="AE539" s="4" t="s">
        <v>1792</v>
      </c>
      <c r="AF539" s="4" t="s">
        <v>1760</v>
      </c>
    </row>
    <row r="540" spans="1:35" ht="36" x14ac:dyDescent="0.3">
      <c r="A540" s="10" t="s">
        <v>1793</v>
      </c>
      <c r="B540" s="10"/>
      <c r="C540" s="24" t="s">
        <v>1007</v>
      </c>
      <c r="D540" s="15"/>
      <c r="E540" s="15"/>
      <c r="F540" s="25" t="s">
        <v>278</v>
      </c>
      <c r="G540" s="26">
        <v>0.15</v>
      </c>
      <c r="H540" s="26"/>
      <c r="I540" s="26">
        <v>0</v>
      </c>
      <c r="J540" s="27">
        <v>88.8</v>
      </c>
      <c r="M540" s="28">
        <f>ROUND(ROUND(J540, 2)*I540, 2)</f>
        <v>0</v>
      </c>
      <c r="P540" s="27">
        <v>88.8</v>
      </c>
      <c r="S540" s="28">
        <f>ROUND(ROUND(P540, 2)*I540, 2)</f>
        <v>0</v>
      </c>
      <c r="V540" s="9">
        <f>ROUND(ROUND(P540, 2)/1.2, 2)</f>
        <v>74</v>
      </c>
      <c r="Y540" s="9">
        <f t="shared" si="19"/>
        <v>0</v>
      </c>
      <c r="AD540" s="4" t="s">
        <v>1794</v>
      </c>
      <c r="AE540" s="4" t="s">
        <v>1795</v>
      </c>
      <c r="AF540" s="4" t="s">
        <v>1010</v>
      </c>
    </row>
    <row r="541" spans="1:35" ht="36" x14ac:dyDescent="0.3">
      <c r="A541" s="10" t="s">
        <v>1796</v>
      </c>
      <c r="B541" s="10" t="s">
        <v>1749</v>
      </c>
      <c r="C541" s="14" t="s">
        <v>1750</v>
      </c>
      <c r="D541" s="15"/>
      <c r="E541" s="15"/>
      <c r="F541" s="15" t="s">
        <v>62</v>
      </c>
      <c r="G541" s="16">
        <v>1</v>
      </c>
      <c r="H541" s="16"/>
      <c r="I541" s="16">
        <v>0</v>
      </c>
      <c r="J541" s="17">
        <v>0</v>
      </c>
      <c r="K541" s="18">
        <v>428</v>
      </c>
      <c r="L541" s="17">
        <f>J541+ROUND(K541, 2)</f>
        <v>428</v>
      </c>
      <c r="M541" s="17">
        <v>0</v>
      </c>
      <c r="N541" s="17">
        <v>0</v>
      </c>
      <c r="O541" s="17">
        <f>M541+N541</f>
        <v>0</v>
      </c>
      <c r="P541" s="17">
        <v>162.09</v>
      </c>
      <c r="Q541" s="18">
        <v>428</v>
      </c>
      <c r="R541" s="17">
        <f>P541+ROUND(Q541, 2)</f>
        <v>590.09</v>
      </c>
      <c r="S541" s="17">
        <v>0</v>
      </c>
      <c r="T541" s="17">
        <v>0</v>
      </c>
      <c r="U541" s="17">
        <f>S541+T541</f>
        <v>0</v>
      </c>
      <c r="V541" s="9">
        <f>ROUND(P541 / 1.2, 2)</f>
        <v>135.08000000000001</v>
      </c>
      <c r="W541" s="9">
        <f>ROUND(Q541 / 1.2, 2)</f>
        <v>356.67</v>
      </c>
      <c r="X541" s="9">
        <f>ROUND(R541 / 1.2, 2)</f>
        <v>491.74</v>
      </c>
      <c r="Y541" s="9">
        <f t="shared" si="19"/>
        <v>0</v>
      </c>
      <c r="Z541" s="9">
        <f>ROUND(T541 / 1.2, 2)</f>
        <v>0</v>
      </c>
      <c r="AA541" s="9">
        <f>Y541+Z541</f>
        <v>0</v>
      </c>
      <c r="AD541" s="4">
        <v>334080700</v>
      </c>
      <c r="AE541" s="4">
        <v>27245652</v>
      </c>
      <c r="AG541" s="4" t="s">
        <v>1751</v>
      </c>
      <c r="AH541" s="4" t="s">
        <v>1752</v>
      </c>
      <c r="AI541" s="4" t="s">
        <v>250</v>
      </c>
    </row>
    <row r="542" spans="1:35" ht="36" x14ac:dyDescent="0.3">
      <c r="A542" s="10" t="s">
        <v>1797</v>
      </c>
      <c r="B542" s="10"/>
      <c r="C542" s="24" t="s">
        <v>1007</v>
      </c>
      <c r="D542" s="15"/>
      <c r="E542" s="15"/>
      <c r="F542" s="25" t="s">
        <v>278</v>
      </c>
      <c r="G542" s="26">
        <v>0.15</v>
      </c>
      <c r="H542" s="26"/>
      <c r="I542" s="26">
        <v>0</v>
      </c>
      <c r="J542" s="27">
        <v>88.8</v>
      </c>
      <c r="M542" s="28">
        <f>ROUND(ROUND(J542, 2)*I542, 2)</f>
        <v>0</v>
      </c>
      <c r="P542" s="27">
        <v>88.8</v>
      </c>
      <c r="S542" s="28">
        <f>ROUND(ROUND(P542, 2)*I542, 2)</f>
        <v>0</v>
      </c>
      <c r="V542" s="9">
        <f>ROUND(ROUND(P542, 2)/1.2, 2)</f>
        <v>74</v>
      </c>
      <c r="Y542" s="9">
        <f t="shared" si="19"/>
        <v>0</v>
      </c>
      <c r="AD542" s="4" t="s">
        <v>1798</v>
      </c>
      <c r="AE542" s="4" t="s">
        <v>1799</v>
      </c>
      <c r="AF542" s="4" t="s">
        <v>1010</v>
      </c>
    </row>
    <row r="543" spans="1:35" ht="36" x14ac:dyDescent="0.3">
      <c r="A543" s="10" t="s">
        <v>1800</v>
      </c>
      <c r="B543" s="10"/>
      <c r="C543" s="24" t="s">
        <v>1757</v>
      </c>
      <c r="D543" s="15"/>
      <c r="E543" s="15"/>
      <c r="F543" s="25" t="s">
        <v>278</v>
      </c>
      <c r="G543" s="26">
        <v>0.3</v>
      </c>
      <c r="H543" s="26"/>
      <c r="I543" s="26">
        <v>0</v>
      </c>
      <c r="J543" s="27">
        <v>1216.56</v>
      </c>
      <c r="M543" s="28">
        <f>ROUND(ROUND(J543, 2)*I543, 2)</f>
        <v>0</v>
      </c>
      <c r="P543" s="27">
        <v>495.9</v>
      </c>
      <c r="S543" s="28">
        <f>ROUND(ROUND(P543, 2)*I543, 2)</f>
        <v>0</v>
      </c>
      <c r="V543" s="9">
        <f>ROUND(ROUND(P543, 2)/1.2, 2)</f>
        <v>413.25</v>
      </c>
      <c r="Y543" s="9">
        <f t="shared" si="19"/>
        <v>0</v>
      </c>
      <c r="AD543" s="4" t="s">
        <v>1801</v>
      </c>
      <c r="AE543" s="4" t="s">
        <v>1802</v>
      </c>
      <c r="AF543" s="4" t="s">
        <v>1760</v>
      </c>
    </row>
    <row r="544" spans="1:35" ht="36" x14ac:dyDescent="0.3">
      <c r="A544" s="10" t="s">
        <v>1803</v>
      </c>
      <c r="B544" s="10" t="s">
        <v>1749</v>
      </c>
      <c r="C544" s="14" t="s">
        <v>1750</v>
      </c>
      <c r="D544" s="15"/>
      <c r="E544" s="15"/>
      <c r="F544" s="15" t="s">
        <v>62</v>
      </c>
      <c r="G544" s="16">
        <v>1</v>
      </c>
      <c r="H544" s="16"/>
      <c r="I544" s="16">
        <v>0</v>
      </c>
      <c r="J544" s="17">
        <v>0</v>
      </c>
      <c r="K544" s="18">
        <v>428</v>
      </c>
      <c r="L544" s="17">
        <f>J544+ROUND(K544, 2)</f>
        <v>428</v>
      </c>
      <c r="M544" s="17">
        <v>0</v>
      </c>
      <c r="N544" s="17">
        <v>0</v>
      </c>
      <c r="O544" s="17">
        <f>M544+N544</f>
        <v>0</v>
      </c>
      <c r="P544" s="17">
        <v>162.09</v>
      </c>
      <c r="Q544" s="18">
        <v>428</v>
      </c>
      <c r="R544" s="17">
        <f>P544+ROUND(Q544, 2)</f>
        <v>590.09</v>
      </c>
      <c r="S544" s="17">
        <v>0</v>
      </c>
      <c r="T544" s="17">
        <v>0</v>
      </c>
      <c r="U544" s="17">
        <f>S544+T544</f>
        <v>0</v>
      </c>
      <c r="V544" s="9">
        <f>ROUND(P544 / 1.2, 2)</f>
        <v>135.08000000000001</v>
      </c>
      <c r="W544" s="9">
        <f>ROUND(Q544 / 1.2, 2)</f>
        <v>356.67</v>
      </c>
      <c r="X544" s="9">
        <f>ROUND(R544 / 1.2, 2)</f>
        <v>491.74</v>
      </c>
      <c r="Y544" s="9">
        <f t="shared" si="19"/>
        <v>0</v>
      </c>
      <c r="Z544" s="9">
        <f>ROUND(T544 / 1.2, 2)</f>
        <v>0</v>
      </c>
      <c r="AA544" s="9">
        <f>Y544+Z544</f>
        <v>0</v>
      </c>
      <c r="AD544" s="4">
        <v>334080701</v>
      </c>
      <c r="AE544" s="4">
        <v>27245653</v>
      </c>
      <c r="AG544" s="4" t="s">
        <v>1751</v>
      </c>
      <c r="AH544" s="4" t="s">
        <v>1752</v>
      </c>
      <c r="AI544" s="4" t="s">
        <v>250</v>
      </c>
    </row>
    <row r="545" spans="1:35" ht="36" x14ac:dyDescent="0.3">
      <c r="A545" s="10" t="s">
        <v>1804</v>
      </c>
      <c r="B545" s="10"/>
      <c r="C545" s="24" t="s">
        <v>1757</v>
      </c>
      <c r="D545" s="15"/>
      <c r="E545" s="15"/>
      <c r="F545" s="25" t="s">
        <v>278</v>
      </c>
      <c r="G545" s="26">
        <v>0.3</v>
      </c>
      <c r="H545" s="26"/>
      <c r="I545" s="26">
        <v>0</v>
      </c>
      <c r="J545" s="27">
        <v>1216.56</v>
      </c>
      <c r="M545" s="28">
        <f>ROUND(ROUND(J545, 2)*I545, 2)</f>
        <v>0</v>
      </c>
      <c r="P545" s="27">
        <v>495.9</v>
      </c>
      <c r="S545" s="28">
        <f>ROUND(ROUND(P545, 2)*I545, 2)</f>
        <v>0</v>
      </c>
      <c r="V545" s="9">
        <f>ROUND(ROUND(P545, 2)/1.2, 2)</f>
        <v>413.25</v>
      </c>
      <c r="Y545" s="9">
        <f t="shared" si="19"/>
        <v>0</v>
      </c>
      <c r="AD545" s="4" t="s">
        <v>1805</v>
      </c>
      <c r="AE545" s="4" t="s">
        <v>1806</v>
      </c>
      <c r="AF545" s="4" t="s">
        <v>1760</v>
      </c>
    </row>
    <row r="546" spans="1:35" ht="36" x14ac:dyDescent="0.3">
      <c r="A546" s="10" t="s">
        <v>1807</v>
      </c>
      <c r="B546" s="10"/>
      <c r="C546" s="24" t="s">
        <v>1007</v>
      </c>
      <c r="D546" s="15"/>
      <c r="E546" s="15"/>
      <c r="F546" s="25" t="s">
        <v>278</v>
      </c>
      <c r="G546" s="26">
        <v>0.15</v>
      </c>
      <c r="H546" s="26"/>
      <c r="I546" s="26">
        <v>0</v>
      </c>
      <c r="J546" s="27">
        <v>88.8</v>
      </c>
      <c r="M546" s="28">
        <f>ROUND(ROUND(J546, 2)*I546, 2)</f>
        <v>0</v>
      </c>
      <c r="P546" s="27">
        <v>88.8</v>
      </c>
      <c r="S546" s="28">
        <f>ROUND(ROUND(P546, 2)*I546, 2)</f>
        <v>0</v>
      </c>
      <c r="V546" s="9">
        <f>ROUND(ROUND(P546, 2)/1.2, 2)</f>
        <v>74</v>
      </c>
      <c r="Y546" s="9">
        <f t="shared" si="19"/>
        <v>0</v>
      </c>
      <c r="AD546" s="4" t="s">
        <v>1808</v>
      </c>
      <c r="AE546" s="4" t="s">
        <v>1809</v>
      </c>
      <c r="AF546" s="4" t="s">
        <v>1010</v>
      </c>
    </row>
    <row r="547" spans="1:35" ht="108" x14ac:dyDescent="0.3">
      <c r="A547" s="10" t="s">
        <v>1810</v>
      </c>
      <c r="B547" s="10" t="s">
        <v>1749</v>
      </c>
      <c r="C547" s="14" t="s">
        <v>1750</v>
      </c>
      <c r="D547" s="15"/>
      <c r="E547" s="15" t="s">
        <v>1811</v>
      </c>
      <c r="F547" s="15" t="s">
        <v>62</v>
      </c>
      <c r="G547" s="16">
        <v>1</v>
      </c>
      <c r="H547" s="16"/>
      <c r="I547" s="16">
        <v>276</v>
      </c>
      <c r="J547" s="17">
        <v>378.29</v>
      </c>
      <c r="K547" s="18">
        <v>428</v>
      </c>
      <c r="L547" s="17">
        <f>J547+ROUND(K547, 2)</f>
        <v>806.29</v>
      </c>
      <c r="M547" s="17">
        <v>104408.04</v>
      </c>
      <c r="N547" s="17">
        <v>118128</v>
      </c>
      <c r="O547" s="17">
        <f>M547+N547</f>
        <v>222536.03999999998</v>
      </c>
      <c r="P547" s="17">
        <v>162.09</v>
      </c>
      <c r="Q547" s="18">
        <v>642</v>
      </c>
      <c r="R547" s="17">
        <f>P547+ROUND(Q547, 2)</f>
        <v>804.09</v>
      </c>
      <c r="S547" s="17">
        <v>44736.84</v>
      </c>
      <c r="T547" s="17">
        <v>177192</v>
      </c>
      <c r="U547" s="17">
        <f>S547+T547</f>
        <v>221928.84</v>
      </c>
      <c r="V547" s="9">
        <f>ROUND(P547 / 1.2, 2)</f>
        <v>135.08000000000001</v>
      </c>
      <c r="W547" s="9">
        <f>ROUND(Q547 / 1.2, 2)</f>
        <v>535</v>
      </c>
      <c r="X547" s="9">
        <f>ROUND(R547 / 1.2, 2)</f>
        <v>670.08</v>
      </c>
      <c r="Y547" s="9">
        <f t="shared" si="19"/>
        <v>37280.699999999997</v>
      </c>
      <c r="Z547" s="9">
        <f>ROUND(T547 / 1.2, 2)</f>
        <v>147660</v>
      </c>
      <c r="AA547" s="9">
        <f>Y547+Z547</f>
        <v>184940.7</v>
      </c>
      <c r="AD547" s="4">
        <v>334080702</v>
      </c>
      <c r="AE547" s="4">
        <v>27245751</v>
      </c>
      <c r="AG547" s="4" t="s">
        <v>1751</v>
      </c>
      <c r="AH547" s="4" t="s">
        <v>1752</v>
      </c>
      <c r="AI547" s="4" t="s">
        <v>250</v>
      </c>
    </row>
    <row r="548" spans="1:35" ht="36" x14ac:dyDescent="0.3">
      <c r="A548" s="10" t="s">
        <v>1812</v>
      </c>
      <c r="B548" s="10"/>
      <c r="C548" s="24" t="s">
        <v>1007</v>
      </c>
      <c r="D548" s="15"/>
      <c r="E548" s="15"/>
      <c r="F548" s="25" t="s">
        <v>278</v>
      </c>
      <c r="G548" s="26">
        <v>0.15</v>
      </c>
      <c r="H548" s="26"/>
      <c r="I548" s="26">
        <v>41.4</v>
      </c>
      <c r="J548" s="27">
        <v>88.8</v>
      </c>
      <c r="M548" s="28">
        <f>ROUND(ROUND(J548, 2)*I548, 2)</f>
        <v>3676.32</v>
      </c>
      <c r="P548" s="27">
        <v>88.8</v>
      </c>
      <c r="S548" s="28">
        <f>ROUND(ROUND(P548, 2)*I548, 2)</f>
        <v>3676.32</v>
      </c>
      <c r="V548" s="9">
        <f>ROUND(ROUND(P548, 2)/1.2, 2)</f>
        <v>74</v>
      </c>
      <c r="Y548" s="9">
        <f t="shared" ref="Y548:Y611" si="20">ROUND(S548 / 1.2, 2)</f>
        <v>3063.6</v>
      </c>
      <c r="AD548" s="4" t="s">
        <v>1813</v>
      </c>
      <c r="AE548" s="4" t="s">
        <v>1814</v>
      </c>
      <c r="AF548" s="4" t="s">
        <v>1010</v>
      </c>
    </row>
    <row r="549" spans="1:35" ht="36" x14ac:dyDescent="0.3">
      <c r="A549" s="10" t="s">
        <v>1815</v>
      </c>
      <c r="B549" s="10"/>
      <c r="C549" s="24" t="s">
        <v>1757</v>
      </c>
      <c r="D549" s="15"/>
      <c r="E549" s="15"/>
      <c r="F549" s="25" t="s">
        <v>278</v>
      </c>
      <c r="G549" s="26">
        <v>0.3</v>
      </c>
      <c r="H549" s="26"/>
      <c r="I549" s="26">
        <v>82.8</v>
      </c>
      <c r="J549" s="27">
        <v>1216.56</v>
      </c>
      <c r="M549" s="28">
        <f>ROUND(ROUND(J549, 2)*I549, 2)</f>
        <v>100731.17</v>
      </c>
      <c r="P549" s="27">
        <v>495.9</v>
      </c>
      <c r="S549" s="28">
        <f>ROUND(ROUND(P549, 2)*I549, 2)</f>
        <v>41060.519999999997</v>
      </c>
      <c r="V549" s="9">
        <f>ROUND(ROUND(P549, 2)/1.2, 2)</f>
        <v>413.25</v>
      </c>
      <c r="Y549" s="9">
        <f t="shared" si="20"/>
        <v>34217.1</v>
      </c>
      <c r="AD549" s="4" t="s">
        <v>1816</v>
      </c>
      <c r="AE549" s="4" t="s">
        <v>1817</v>
      </c>
      <c r="AF549" s="4" t="s">
        <v>1760</v>
      </c>
    </row>
    <row r="550" spans="1:35" ht="108" x14ac:dyDescent="0.3">
      <c r="A550" s="10" t="s">
        <v>1818</v>
      </c>
      <c r="B550" s="10" t="s">
        <v>1749</v>
      </c>
      <c r="C550" s="14" t="s">
        <v>1750</v>
      </c>
      <c r="D550" s="15"/>
      <c r="E550" s="15" t="s">
        <v>1819</v>
      </c>
      <c r="F550" s="15" t="s">
        <v>62</v>
      </c>
      <c r="G550" s="16">
        <v>1</v>
      </c>
      <c r="H550" s="16"/>
      <c r="I550" s="16">
        <v>224.5</v>
      </c>
      <c r="J550" s="17">
        <v>378.29</v>
      </c>
      <c r="K550" s="18">
        <v>428</v>
      </c>
      <c r="L550" s="17">
        <f>J550+ROUND(K550, 2)</f>
        <v>806.29</v>
      </c>
      <c r="M550" s="17">
        <v>84926.11</v>
      </c>
      <c r="N550" s="17">
        <v>96086</v>
      </c>
      <c r="O550" s="17">
        <f>M550+N550</f>
        <v>181012.11</v>
      </c>
      <c r="P550" s="17">
        <v>162.09</v>
      </c>
      <c r="Q550" s="18">
        <v>642</v>
      </c>
      <c r="R550" s="17">
        <f>P550+ROUND(Q550, 2)</f>
        <v>804.09</v>
      </c>
      <c r="S550" s="17">
        <v>36389.21</v>
      </c>
      <c r="T550" s="17">
        <v>144129</v>
      </c>
      <c r="U550" s="17">
        <f>S550+T550</f>
        <v>180518.21</v>
      </c>
      <c r="V550" s="9">
        <f>ROUND(P550 / 1.2, 2)</f>
        <v>135.08000000000001</v>
      </c>
      <c r="W550" s="9">
        <f>ROUND(Q550 / 1.2, 2)</f>
        <v>535</v>
      </c>
      <c r="X550" s="9">
        <f>ROUND(R550 / 1.2, 2)</f>
        <v>670.08</v>
      </c>
      <c r="Y550" s="9">
        <f t="shared" si="20"/>
        <v>30324.34</v>
      </c>
      <c r="Z550" s="9">
        <f>ROUND(T550 / 1.2, 2)</f>
        <v>120107.5</v>
      </c>
      <c r="AA550" s="9">
        <f>Y550+Z550</f>
        <v>150431.84</v>
      </c>
      <c r="AD550" s="4">
        <v>334080703</v>
      </c>
      <c r="AE550" s="4">
        <v>27245754</v>
      </c>
      <c r="AG550" s="4" t="s">
        <v>1751</v>
      </c>
      <c r="AH550" s="4" t="s">
        <v>1752</v>
      </c>
      <c r="AI550" s="4" t="s">
        <v>250</v>
      </c>
    </row>
    <row r="551" spans="1:35" ht="36" x14ac:dyDescent="0.3">
      <c r="A551" s="10" t="s">
        <v>1820</v>
      </c>
      <c r="B551" s="10"/>
      <c r="C551" s="24" t="s">
        <v>1757</v>
      </c>
      <c r="D551" s="15"/>
      <c r="E551" s="15"/>
      <c r="F551" s="25" t="s">
        <v>278</v>
      </c>
      <c r="G551" s="26">
        <v>0.3</v>
      </c>
      <c r="H551" s="26"/>
      <c r="I551" s="26">
        <v>67.349999999999994</v>
      </c>
      <c r="J551" s="27">
        <v>1216.56</v>
      </c>
      <c r="M551" s="28">
        <f>ROUND(ROUND(J551, 2)*I551, 2)</f>
        <v>81935.320000000007</v>
      </c>
      <c r="P551" s="27">
        <v>495.9</v>
      </c>
      <c r="S551" s="28">
        <f>ROUND(ROUND(P551, 2)*I551, 2)</f>
        <v>33398.870000000003</v>
      </c>
      <c r="V551" s="9">
        <f>ROUND(ROUND(P551, 2)/1.2, 2)</f>
        <v>413.25</v>
      </c>
      <c r="Y551" s="9">
        <f t="shared" si="20"/>
        <v>27832.39</v>
      </c>
      <c r="AD551" s="4" t="s">
        <v>1821</v>
      </c>
      <c r="AE551" s="4" t="s">
        <v>1822</v>
      </c>
      <c r="AF551" s="4" t="s">
        <v>1760</v>
      </c>
    </row>
    <row r="552" spans="1:35" ht="36" x14ac:dyDescent="0.3">
      <c r="A552" s="10" t="s">
        <v>1823</v>
      </c>
      <c r="B552" s="10"/>
      <c r="C552" s="24" t="s">
        <v>1007</v>
      </c>
      <c r="D552" s="15"/>
      <c r="E552" s="15"/>
      <c r="F552" s="25" t="s">
        <v>278</v>
      </c>
      <c r="G552" s="26">
        <v>0.15</v>
      </c>
      <c r="H552" s="26"/>
      <c r="I552" s="26">
        <v>33.674999999999997</v>
      </c>
      <c r="J552" s="27">
        <v>88.8</v>
      </c>
      <c r="M552" s="28">
        <f>ROUND(ROUND(J552, 2)*I552, 2)</f>
        <v>2990.34</v>
      </c>
      <c r="P552" s="27">
        <v>88.8</v>
      </c>
      <c r="S552" s="28">
        <f>ROUND(ROUND(P552, 2)*I552, 2)</f>
        <v>2990.34</v>
      </c>
      <c r="V552" s="9">
        <f>ROUND(ROUND(P552, 2)/1.2, 2)</f>
        <v>74</v>
      </c>
      <c r="Y552" s="9">
        <f t="shared" si="20"/>
        <v>2491.9499999999998</v>
      </c>
      <c r="AD552" s="4" t="s">
        <v>1824</v>
      </c>
      <c r="AE552" s="4" t="s">
        <v>1825</v>
      </c>
      <c r="AF552" s="4" t="s">
        <v>1010</v>
      </c>
    </row>
    <row r="553" spans="1:35" ht="108" x14ac:dyDescent="0.3">
      <c r="A553" s="10" t="s">
        <v>1826</v>
      </c>
      <c r="B553" s="10" t="s">
        <v>1749</v>
      </c>
      <c r="C553" s="14" t="s">
        <v>1750</v>
      </c>
      <c r="D553" s="15"/>
      <c r="E553" s="15" t="s">
        <v>1827</v>
      </c>
      <c r="F553" s="15" t="s">
        <v>62</v>
      </c>
      <c r="G553" s="16">
        <v>1</v>
      </c>
      <c r="H553" s="16"/>
      <c r="I553" s="16">
        <v>180</v>
      </c>
      <c r="J553" s="17">
        <v>378.29</v>
      </c>
      <c r="K553" s="18">
        <v>428</v>
      </c>
      <c r="L553" s="17">
        <f>J553+ROUND(K553, 2)</f>
        <v>806.29</v>
      </c>
      <c r="M553" s="17">
        <v>68092.2</v>
      </c>
      <c r="N553" s="17">
        <v>77040</v>
      </c>
      <c r="O553" s="17">
        <f>M553+N553</f>
        <v>145132.20000000001</v>
      </c>
      <c r="P553" s="17">
        <v>162.09</v>
      </c>
      <c r="Q553" s="18">
        <v>642</v>
      </c>
      <c r="R553" s="17">
        <f>P553+ROUND(Q553, 2)</f>
        <v>804.09</v>
      </c>
      <c r="S553" s="17">
        <v>29176.2</v>
      </c>
      <c r="T553" s="17">
        <v>115560</v>
      </c>
      <c r="U553" s="17">
        <f>S553+T553</f>
        <v>144736.20000000001</v>
      </c>
      <c r="V553" s="9">
        <f>ROUND(P553 / 1.2, 2)</f>
        <v>135.08000000000001</v>
      </c>
      <c r="W553" s="9">
        <f>ROUND(Q553 / 1.2, 2)</f>
        <v>535</v>
      </c>
      <c r="X553" s="9">
        <f>ROUND(R553 / 1.2, 2)</f>
        <v>670.08</v>
      </c>
      <c r="Y553" s="9">
        <f t="shared" si="20"/>
        <v>24313.5</v>
      </c>
      <c r="Z553" s="9">
        <f>ROUND(T553 / 1.2, 2)</f>
        <v>96300</v>
      </c>
      <c r="AA553" s="9">
        <f>Y553+Z553</f>
        <v>120613.5</v>
      </c>
      <c r="AD553" s="4">
        <v>334080704</v>
      </c>
      <c r="AE553" s="4">
        <v>27245759</v>
      </c>
      <c r="AG553" s="4" t="s">
        <v>1751</v>
      </c>
      <c r="AH553" s="4" t="s">
        <v>1752</v>
      </c>
      <c r="AI553" s="4" t="s">
        <v>250</v>
      </c>
    </row>
    <row r="554" spans="1:35" ht="36" x14ac:dyDescent="0.3">
      <c r="A554" s="10" t="s">
        <v>1828</v>
      </c>
      <c r="B554" s="10"/>
      <c r="C554" s="24" t="s">
        <v>1007</v>
      </c>
      <c r="D554" s="15"/>
      <c r="E554" s="15"/>
      <c r="F554" s="25" t="s">
        <v>278</v>
      </c>
      <c r="G554" s="26">
        <v>0.15</v>
      </c>
      <c r="H554" s="26"/>
      <c r="I554" s="26">
        <v>27</v>
      </c>
      <c r="J554" s="27">
        <v>88.8</v>
      </c>
      <c r="M554" s="28">
        <f>ROUND(ROUND(J554, 2)*I554, 2)</f>
        <v>2397.6</v>
      </c>
      <c r="P554" s="27">
        <v>88.8</v>
      </c>
      <c r="S554" s="28">
        <f>ROUND(ROUND(P554, 2)*I554, 2)</f>
        <v>2397.6</v>
      </c>
      <c r="V554" s="9">
        <f>ROUND(ROUND(P554, 2)/1.2, 2)</f>
        <v>74</v>
      </c>
      <c r="Y554" s="9">
        <f t="shared" si="20"/>
        <v>1998</v>
      </c>
      <c r="AD554" s="4" t="s">
        <v>1829</v>
      </c>
      <c r="AE554" s="4" t="s">
        <v>1830</v>
      </c>
      <c r="AF554" s="4" t="s">
        <v>1010</v>
      </c>
    </row>
    <row r="555" spans="1:35" ht="36" x14ac:dyDescent="0.3">
      <c r="A555" s="10" t="s">
        <v>1831</v>
      </c>
      <c r="B555" s="10"/>
      <c r="C555" s="24" t="s">
        <v>1757</v>
      </c>
      <c r="D555" s="15"/>
      <c r="E555" s="15"/>
      <c r="F555" s="25" t="s">
        <v>278</v>
      </c>
      <c r="G555" s="26">
        <v>0.3</v>
      </c>
      <c r="H555" s="26"/>
      <c r="I555" s="26">
        <v>54</v>
      </c>
      <c r="J555" s="27">
        <v>1216.56</v>
      </c>
      <c r="M555" s="28">
        <f>ROUND(ROUND(J555, 2)*I555, 2)</f>
        <v>65694.240000000005</v>
      </c>
      <c r="P555" s="27">
        <v>495.9</v>
      </c>
      <c r="S555" s="28">
        <f>ROUND(ROUND(P555, 2)*I555, 2)</f>
        <v>26778.6</v>
      </c>
      <c r="V555" s="9">
        <f>ROUND(ROUND(P555, 2)/1.2, 2)</f>
        <v>413.25</v>
      </c>
      <c r="Y555" s="9">
        <f t="shared" si="20"/>
        <v>22315.5</v>
      </c>
      <c r="AD555" s="4" t="s">
        <v>1832</v>
      </c>
      <c r="AE555" s="4" t="s">
        <v>1833</v>
      </c>
      <c r="AF555" s="4" t="s">
        <v>1760</v>
      </c>
    </row>
    <row r="556" spans="1:35" ht="108" x14ac:dyDescent="0.3">
      <c r="A556" s="10" t="s">
        <v>1834</v>
      </c>
      <c r="B556" s="10" t="s">
        <v>1749</v>
      </c>
      <c r="C556" s="14" t="s">
        <v>1750</v>
      </c>
      <c r="D556" s="15"/>
      <c r="E556" s="15" t="s">
        <v>1835</v>
      </c>
      <c r="F556" s="15" t="s">
        <v>62</v>
      </c>
      <c r="G556" s="16">
        <v>1</v>
      </c>
      <c r="H556" s="16"/>
      <c r="I556" s="16">
        <v>1285.3</v>
      </c>
      <c r="J556" s="17">
        <v>378.29</v>
      </c>
      <c r="K556" s="18">
        <v>428</v>
      </c>
      <c r="L556" s="17">
        <f>J556+ROUND(K556, 2)</f>
        <v>806.29</v>
      </c>
      <c r="M556" s="17">
        <v>486216.14</v>
      </c>
      <c r="N556" s="17">
        <v>550108.4</v>
      </c>
      <c r="O556" s="17">
        <f>M556+N556</f>
        <v>1036324.54</v>
      </c>
      <c r="P556" s="17">
        <v>162.09</v>
      </c>
      <c r="Q556" s="18">
        <v>642</v>
      </c>
      <c r="R556" s="17">
        <f>P556+ROUND(Q556, 2)</f>
        <v>804.09</v>
      </c>
      <c r="S556" s="17">
        <v>208334.28</v>
      </c>
      <c r="T556" s="17">
        <v>825162.6</v>
      </c>
      <c r="U556" s="17">
        <f>S556+T556</f>
        <v>1033496.88</v>
      </c>
      <c r="V556" s="9">
        <f>ROUND(P556 / 1.2, 2)</f>
        <v>135.08000000000001</v>
      </c>
      <c r="W556" s="9">
        <f>ROUND(Q556 / 1.2, 2)</f>
        <v>535</v>
      </c>
      <c r="X556" s="9">
        <f>ROUND(R556 / 1.2, 2)</f>
        <v>670.08</v>
      </c>
      <c r="Y556" s="9">
        <f t="shared" si="20"/>
        <v>173611.9</v>
      </c>
      <c r="Z556" s="9">
        <f>ROUND(T556 / 1.2, 2)</f>
        <v>687635.5</v>
      </c>
      <c r="AA556" s="9">
        <f>Y556+Z556</f>
        <v>861247.4</v>
      </c>
      <c r="AD556" s="4">
        <v>334080705</v>
      </c>
      <c r="AE556" s="4">
        <v>27245747</v>
      </c>
      <c r="AG556" s="4" t="s">
        <v>1751</v>
      </c>
      <c r="AH556" s="4" t="s">
        <v>1752</v>
      </c>
      <c r="AI556" s="4" t="s">
        <v>250</v>
      </c>
    </row>
    <row r="557" spans="1:35" ht="36" x14ac:dyDescent="0.3">
      <c r="A557" s="10" t="s">
        <v>1836</v>
      </c>
      <c r="B557" s="10"/>
      <c r="C557" s="24" t="s">
        <v>1757</v>
      </c>
      <c r="D557" s="15"/>
      <c r="E557" s="15"/>
      <c r="F557" s="25" t="s">
        <v>278</v>
      </c>
      <c r="G557" s="26">
        <v>0.3</v>
      </c>
      <c r="H557" s="26"/>
      <c r="I557" s="26">
        <v>385.59</v>
      </c>
      <c r="J557" s="27">
        <v>1216.56</v>
      </c>
      <c r="M557" s="28">
        <f>ROUND(ROUND(J557, 2)*I557, 2)</f>
        <v>469093.37</v>
      </c>
      <c r="P557" s="27">
        <v>495.9</v>
      </c>
      <c r="S557" s="28">
        <f>ROUND(ROUND(P557, 2)*I557, 2)</f>
        <v>191214.07999999999</v>
      </c>
      <c r="V557" s="9">
        <f>ROUND(ROUND(P557, 2)/1.2, 2)</f>
        <v>413.25</v>
      </c>
      <c r="Y557" s="9">
        <f t="shared" si="20"/>
        <v>159345.07</v>
      </c>
      <c r="AD557" s="4" t="s">
        <v>1837</v>
      </c>
      <c r="AE557" s="4" t="s">
        <v>1838</v>
      </c>
      <c r="AF557" s="4" t="s">
        <v>1760</v>
      </c>
    </row>
    <row r="558" spans="1:35" ht="36" x14ac:dyDescent="0.3">
      <c r="A558" s="10" t="s">
        <v>1839</v>
      </c>
      <c r="B558" s="10"/>
      <c r="C558" s="24" t="s">
        <v>1007</v>
      </c>
      <c r="D558" s="15"/>
      <c r="E558" s="15"/>
      <c r="F558" s="25" t="s">
        <v>278</v>
      </c>
      <c r="G558" s="26">
        <v>0.15</v>
      </c>
      <c r="H558" s="26"/>
      <c r="I558" s="26">
        <v>192.79499999999999</v>
      </c>
      <c r="J558" s="27">
        <v>88.8</v>
      </c>
      <c r="M558" s="28">
        <f>ROUND(ROUND(J558, 2)*I558, 2)</f>
        <v>17120.2</v>
      </c>
      <c r="P558" s="27">
        <v>88.8</v>
      </c>
      <c r="S558" s="28">
        <f>ROUND(ROUND(P558, 2)*I558, 2)</f>
        <v>17120.2</v>
      </c>
      <c r="V558" s="9">
        <f>ROUND(ROUND(P558, 2)/1.2, 2)</f>
        <v>74</v>
      </c>
      <c r="Y558" s="9">
        <f t="shared" si="20"/>
        <v>14266.83</v>
      </c>
      <c r="AD558" s="4" t="s">
        <v>1840</v>
      </c>
      <c r="AE558" s="4" t="s">
        <v>1841</v>
      </c>
      <c r="AF558" s="4" t="s">
        <v>1010</v>
      </c>
    </row>
    <row r="559" spans="1:35" ht="108" x14ac:dyDescent="0.3">
      <c r="A559" s="10" t="s">
        <v>1842</v>
      </c>
      <c r="B559" s="10" t="s">
        <v>1749</v>
      </c>
      <c r="C559" s="14" t="s">
        <v>1750</v>
      </c>
      <c r="D559" s="15"/>
      <c r="E559" s="15" t="s">
        <v>1843</v>
      </c>
      <c r="F559" s="15" t="s">
        <v>62</v>
      </c>
      <c r="G559" s="16">
        <v>1</v>
      </c>
      <c r="H559" s="16"/>
      <c r="I559" s="16">
        <v>101.4</v>
      </c>
      <c r="J559" s="17">
        <v>378.29</v>
      </c>
      <c r="K559" s="18">
        <v>428</v>
      </c>
      <c r="L559" s="17">
        <f>J559+ROUND(K559, 2)</f>
        <v>806.29</v>
      </c>
      <c r="M559" s="17">
        <v>38358.61</v>
      </c>
      <c r="N559" s="17">
        <v>43399.199999999997</v>
      </c>
      <c r="O559" s="17">
        <f>M559+N559</f>
        <v>81757.81</v>
      </c>
      <c r="P559" s="17">
        <v>162.09</v>
      </c>
      <c r="Q559" s="18">
        <v>642</v>
      </c>
      <c r="R559" s="17">
        <f>P559+ROUND(Q559, 2)</f>
        <v>804.09</v>
      </c>
      <c r="S559" s="17">
        <v>16435.93</v>
      </c>
      <c r="T559" s="17">
        <v>65098.8</v>
      </c>
      <c r="U559" s="17">
        <f>S559+T559</f>
        <v>81534.73000000001</v>
      </c>
      <c r="V559" s="9">
        <f>ROUND(P559 / 1.2, 2)</f>
        <v>135.08000000000001</v>
      </c>
      <c r="W559" s="9">
        <f>ROUND(Q559 / 1.2, 2)</f>
        <v>535</v>
      </c>
      <c r="X559" s="9">
        <f>ROUND(R559 / 1.2, 2)</f>
        <v>670.08</v>
      </c>
      <c r="Y559" s="9">
        <f t="shared" si="20"/>
        <v>13696.61</v>
      </c>
      <c r="Z559" s="9">
        <f>ROUND(T559 / 1.2, 2)</f>
        <v>54249</v>
      </c>
      <c r="AA559" s="9">
        <f>Y559+Z559</f>
        <v>67945.61</v>
      </c>
      <c r="AD559" s="4">
        <v>334080706</v>
      </c>
      <c r="AE559" s="4">
        <v>27245749</v>
      </c>
      <c r="AG559" s="4" t="s">
        <v>1751</v>
      </c>
      <c r="AH559" s="4" t="s">
        <v>1752</v>
      </c>
      <c r="AI559" s="4" t="s">
        <v>250</v>
      </c>
    </row>
    <row r="560" spans="1:35" ht="36" x14ac:dyDescent="0.3">
      <c r="A560" s="10" t="s">
        <v>1844</v>
      </c>
      <c r="B560" s="10"/>
      <c r="C560" s="24" t="s">
        <v>1007</v>
      </c>
      <c r="D560" s="15"/>
      <c r="E560" s="15"/>
      <c r="F560" s="25" t="s">
        <v>278</v>
      </c>
      <c r="G560" s="26">
        <v>0.15</v>
      </c>
      <c r="H560" s="26"/>
      <c r="I560" s="26">
        <v>15.21</v>
      </c>
      <c r="J560" s="27">
        <v>88.8</v>
      </c>
      <c r="M560" s="28">
        <f>ROUND(ROUND(J560, 2)*I560, 2)</f>
        <v>1350.65</v>
      </c>
      <c r="P560" s="27">
        <v>88.8</v>
      </c>
      <c r="S560" s="28">
        <f>ROUND(ROUND(P560, 2)*I560, 2)</f>
        <v>1350.65</v>
      </c>
      <c r="V560" s="9">
        <f>ROUND(ROUND(P560, 2)/1.2, 2)</f>
        <v>74</v>
      </c>
      <c r="Y560" s="9">
        <f t="shared" si="20"/>
        <v>1125.54</v>
      </c>
      <c r="AD560" s="4" t="s">
        <v>1845</v>
      </c>
      <c r="AE560" s="4" t="s">
        <v>1846</v>
      </c>
      <c r="AF560" s="4" t="s">
        <v>1010</v>
      </c>
    </row>
    <row r="561" spans="1:35" ht="36" x14ac:dyDescent="0.3">
      <c r="A561" s="10" t="s">
        <v>1847</v>
      </c>
      <c r="B561" s="10"/>
      <c r="C561" s="24" t="s">
        <v>1757</v>
      </c>
      <c r="D561" s="15"/>
      <c r="E561" s="15"/>
      <c r="F561" s="25" t="s">
        <v>278</v>
      </c>
      <c r="G561" s="26">
        <v>0.3</v>
      </c>
      <c r="H561" s="26"/>
      <c r="I561" s="26">
        <v>30.42</v>
      </c>
      <c r="J561" s="27">
        <v>1216.56</v>
      </c>
      <c r="M561" s="28">
        <f>ROUND(ROUND(J561, 2)*I561, 2)</f>
        <v>37007.760000000002</v>
      </c>
      <c r="P561" s="27">
        <v>495.9</v>
      </c>
      <c r="S561" s="28">
        <f>ROUND(ROUND(P561, 2)*I561, 2)</f>
        <v>15085.28</v>
      </c>
      <c r="V561" s="9">
        <f>ROUND(ROUND(P561, 2)/1.2, 2)</f>
        <v>413.25</v>
      </c>
      <c r="Y561" s="9">
        <f t="shared" si="20"/>
        <v>12571.07</v>
      </c>
      <c r="AD561" s="4" t="s">
        <v>1848</v>
      </c>
      <c r="AE561" s="4" t="s">
        <v>1849</v>
      </c>
      <c r="AF561" s="4" t="s">
        <v>1760</v>
      </c>
    </row>
    <row r="562" spans="1:35" ht="108" x14ac:dyDescent="0.3">
      <c r="A562" s="10" t="s">
        <v>1850</v>
      </c>
      <c r="B562" s="10" t="s">
        <v>1749</v>
      </c>
      <c r="C562" s="14" t="s">
        <v>1750</v>
      </c>
      <c r="D562" s="15"/>
      <c r="E562" s="15" t="s">
        <v>1851</v>
      </c>
      <c r="F562" s="15" t="s">
        <v>62</v>
      </c>
      <c r="G562" s="16">
        <v>1</v>
      </c>
      <c r="H562" s="16"/>
      <c r="I562" s="16">
        <v>23.1</v>
      </c>
      <c r="J562" s="17">
        <v>378.29</v>
      </c>
      <c r="K562" s="18">
        <v>428</v>
      </c>
      <c r="L562" s="17">
        <f>J562+ROUND(K562, 2)</f>
        <v>806.29</v>
      </c>
      <c r="M562" s="17">
        <v>8738.5</v>
      </c>
      <c r="N562" s="17">
        <v>9886.7999999999993</v>
      </c>
      <c r="O562" s="17">
        <f>M562+N562</f>
        <v>18625.3</v>
      </c>
      <c r="P562" s="17">
        <v>162.09</v>
      </c>
      <c r="Q562" s="18">
        <v>642</v>
      </c>
      <c r="R562" s="17">
        <f>P562+ROUND(Q562, 2)</f>
        <v>804.09</v>
      </c>
      <c r="S562" s="17">
        <v>3744.28</v>
      </c>
      <c r="T562" s="17">
        <v>14830.2</v>
      </c>
      <c r="U562" s="17">
        <f>S562+T562</f>
        <v>18574.48</v>
      </c>
      <c r="V562" s="9">
        <f>ROUND(P562 / 1.2, 2)</f>
        <v>135.08000000000001</v>
      </c>
      <c r="W562" s="9">
        <f>ROUND(Q562 / 1.2, 2)</f>
        <v>535</v>
      </c>
      <c r="X562" s="9">
        <f>ROUND(R562 / 1.2, 2)</f>
        <v>670.08</v>
      </c>
      <c r="Y562" s="9">
        <f t="shared" si="20"/>
        <v>3120.23</v>
      </c>
      <c r="Z562" s="9">
        <f>ROUND(T562 / 1.2, 2)</f>
        <v>12358.5</v>
      </c>
      <c r="AA562" s="9">
        <f>Y562+Z562</f>
        <v>15478.73</v>
      </c>
      <c r="AD562" s="4">
        <v>334080707</v>
      </c>
      <c r="AE562" s="4">
        <v>27245743</v>
      </c>
      <c r="AG562" s="4" t="s">
        <v>1751</v>
      </c>
      <c r="AH562" s="4" t="s">
        <v>1752</v>
      </c>
      <c r="AI562" s="4" t="s">
        <v>250</v>
      </c>
    </row>
    <row r="563" spans="1:35" ht="36" x14ac:dyDescent="0.3">
      <c r="A563" s="10" t="s">
        <v>1852</v>
      </c>
      <c r="B563" s="10"/>
      <c r="C563" s="24" t="s">
        <v>1757</v>
      </c>
      <c r="D563" s="15"/>
      <c r="E563" s="15"/>
      <c r="F563" s="25" t="s">
        <v>278</v>
      </c>
      <c r="G563" s="26">
        <v>0.3</v>
      </c>
      <c r="H563" s="26"/>
      <c r="I563" s="26">
        <v>6.93</v>
      </c>
      <c r="J563" s="27">
        <v>1216.56</v>
      </c>
      <c r="M563" s="28">
        <f>ROUND(ROUND(J563, 2)*I563, 2)</f>
        <v>8430.76</v>
      </c>
      <c r="P563" s="27">
        <v>495.9</v>
      </c>
      <c r="S563" s="28">
        <f>ROUND(ROUND(P563, 2)*I563, 2)</f>
        <v>3436.59</v>
      </c>
      <c r="V563" s="9">
        <f>ROUND(ROUND(P563, 2)/1.2, 2)</f>
        <v>413.25</v>
      </c>
      <c r="Y563" s="9">
        <f t="shared" si="20"/>
        <v>2863.83</v>
      </c>
      <c r="AD563" s="4" t="s">
        <v>1853</v>
      </c>
      <c r="AE563" s="4" t="s">
        <v>1854</v>
      </c>
      <c r="AF563" s="4" t="s">
        <v>1760</v>
      </c>
    </row>
    <row r="564" spans="1:35" ht="36" x14ac:dyDescent="0.3">
      <c r="A564" s="10" t="s">
        <v>1855</v>
      </c>
      <c r="B564" s="10"/>
      <c r="C564" s="24" t="s">
        <v>1007</v>
      </c>
      <c r="D564" s="15"/>
      <c r="E564" s="15"/>
      <c r="F564" s="25" t="s">
        <v>278</v>
      </c>
      <c r="G564" s="26">
        <v>0.15</v>
      </c>
      <c r="H564" s="26"/>
      <c r="I564" s="26">
        <v>3.4649999999999999</v>
      </c>
      <c r="J564" s="27">
        <v>88.8</v>
      </c>
      <c r="M564" s="28">
        <f>ROUND(ROUND(J564, 2)*I564, 2)</f>
        <v>307.69</v>
      </c>
      <c r="P564" s="27">
        <v>88.8</v>
      </c>
      <c r="S564" s="28">
        <f>ROUND(ROUND(P564, 2)*I564, 2)</f>
        <v>307.69</v>
      </c>
      <c r="V564" s="9">
        <f>ROUND(ROUND(P564, 2)/1.2, 2)</f>
        <v>74</v>
      </c>
      <c r="Y564" s="9">
        <f t="shared" si="20"/>
        <v>256.41000000000003</v>
      </c>
      <c r="AD564" s="4" t="s">
        <v>1856</v>
      </c>
      <c r="AE564" s="4" t="s">
        <v>1857</v>
      </c>
      <c r="AF564" s="4" t="s">
        <v>1010</v>
      </c>
    </row>
    <row r="565" spans="1:35" ht="108" x14ac:dyDescent="0.3">
      <c r="A565" s="10" t="s">
        <v>1858</v>
      </c>
      <c r="B565" s="10" t="s">
        <v>1749</v>
      </c>
      <c r="C565" s="14" t="s">
        <v>1750</v>
      </c>
      <c r="D565" s="15"/>
      <c r="E565" s="15" t="s">
        <v>1859</v>
      </c>
      <c r="F565" s="15" t="s">
        <v>62</v>
      </c>
      <c r="G565" s="16">
        <v>1</v>
      </c>
      <c r="H565" s="16"/>
      <c r="I565" s="16">
        <v>18.5</v>
      </c>
      <c r="J565" s="17">
        <v>378.29</v>
      </c>
      <c r="K565" s="18">
        <v>428</v>
      </c>
      <c r="L565" s="17">
        <f>J565+ROUND(K565, 2)</f>
        <v>806.29</v>
      </c>
      <c r="M565" s="17">
        <v>6998.37</v>
      </c>
      <c r="N565" s="17">
        <v>7918</v>
      </c>
      <c r="O565" s="17">
        <f>M565+N565</f>
        <v>14916.369999999999</v>
      </c>
      <c r="P565" s="17">
        <v>162.09</v>
      </c>
      <c r="Q565" s="18">
        <v>642</v>
      </c>
      <c r="R565" s="17">
        <f>P565+ROUND(Q565, 2)</f>
        <v>804.09</v>
      </c>
      <c r="S565" s="17">
        <v>2998.67</v>
      </c>
      <c r="T565" s="17">
        <v>11877</v>
      </c>
      <c r="U565" s="17">
        <f>S565+T565</f>
        <v>14875.67</v>
      </c>
      <c r="V565" s="9">
        <f>ROUND(P565 / 1.2, 2)</f>
        <v>135.08000000000001</v>
      </c>
      <c r="W565" s="9">
        <f>ROUND(Q565 / 1.2, 2)</f>
        <v>535</v>
      </c>
      <c r="X565" s="9">
        <f>ROUND(R565 / 1.2, 2)</f>
        <v>670.08</v>
      </c>
      <c r="Y565" s="9">
        <f t="shared" si="20"/>
        <v>2498.89</v>
      </c>
      <c r="Z565" s="9">
        <f>ROUND(T565 / 1.2, 2)</f>
        <v>9897.5</v>
      </c>
      <c r="AA565" s="9">
        <f>Y565+Z565</f>
        <v>12396.39</v>
      </c>
      <c r="AD565" s="4">
        <v>334080708</v>
      </c>
      <c r="AE565" s="4">
        <v>27245745</v>
      </c>
      <c r="AG565" s="4" t="s">
        <v>1751</v>
      </c>
      <c r="AH565" s="4" t="s">
        <v>1752</v>
      </c>
      <c r="AI565" s="4" t="s">
        <v>250</v>
      </c>
    </row>
    <row r="566" spans="1:35" ht="36" x14ac:dyDescent="0.3">
      <c r="A566" s="10" t="s">
        <v>1860</v>
      </c>
      <c r="B566" s="10"/>
      <c r="C566" s="24" t="s">
        <v>1007</v>
      </c>
      <c r="D566" s="15"/>
      <c r="E566" s="15"/>
      <c r="F566" s="25" t="s">
        <v>278</v>
      </c>
      <c r="G566" s="26">
        <v>0.15</v>
      </c>
      <c r="H566" s="26"/>
      <c r="I566" s="26">
        <v>2.7749999999999999</v>
      </c>
      <c r="J566" s="27">
        <v>88.8</v>
      </c>
      <c r="M566" s="28">
        <f>ROUND(ROUND(J566, 2)*I566, 2)</f>
        <v>246.42</v>
      </c>
      <c r="P566" s="27">
        <v>88.8</v>
      </c>
      <c r="S566" s="28">
        <f>ROUND(ROUND(P566, 2)*I566, 2)</f>
        <v>246.42</v>
      </c>
      <c r="V566" s="9">
        <f>ROUND(ROUND(P566, 2)/1.2, 2)</f>
        <v>74</v>
      </c>
      <c r="Y566" s="9">
        <f t="shared" si="20"/>
        <v>205.35</v>
      </c>
      <c r="AD566" s="4" t="s">
        <v>1861</v>
      </c>
      <c r="AE566" s="4" t="s">
        <v>1862</v>
      </c>
      <c r="AF566" s="4" t="s">
        <v>1010</v>
      </c>
    </row>
    <row r="567" spans="1:35" ht="36" x14ac:dyDescent="0.3">
      <c r="A567" s="10" t="s">
        <v>1863</v>
      </c>
      <c r="B567" s="10"/>
      <c r="C567" s="24" t="s">
        <v>1757</v>
      </c>
      <c r="D567" s="15"/>
      <c r="E567" s="15"/>
      <c r="F567" s="25" t="s">
        <v>278</v>
      </c>
      <c r="G567" s="26">
        <v>0.3</v>
      </c>
      <c r="H567" s="26"/>
      <c r="I567" s="26">
        <v>5.55</v>
      </c>
      <c r="J567" s="27">
        <v>1216.56</v>
      </c>
      <c r="M567" s="28">
        <f>ROUND(ROUND(J567, 2)*I567, 2)</f>
        <v>6751.91</v>
      </c>
      <c r="P567" s="27">
        <v>495.9</v>
      </c>
      <c r="S567" s="28">
        <f>ROUND(ROUND(P567, 2)*I567, 2)</f>
        <v>2752.25</v>
      </c>
      <c r="V567" s="9">
        <f>ROUND(ROUND(P567, 2)/1.2, 2)</f>
        <v>413.25</v>
      </c>
      <c r="Y567" s="9">
        <f t="shared" si="20"/>
        <v>2293.54</v>
      </c>
      <c r="AD567" s="4" t="s">
        <v>1864</v>
      </c>
      <c r="AE567" s="4" t="s">
        <v>1865</v>
      </c>
      <c r="AF567" s="4" t="s">
        <v>1760</v>
      </c>
    </row>
    <row r="568" spans="1:35" ht="36" x14ac:dyDescent="0.3">
      <c r="A568" s="10" t="s">
        <v>1866</v>
      </c>
      <c r="B568" s="10" t="s">
        <v>1749</v>
      </c>
      <c r="C568" s="14" t="s">
        <v>1750</v>
      </c>
      <c r="D568" s="15"/>
      <c r="E568" s="15" t="s">
        <v>1867</v>
      </c>
      <c r="F568" s="15" t="s">
        <v>62</v>
      </c>
      <c r="G568" s="16">
        <v>1</v>
      </c>
      <c r="H568" s="16"/>
      <c r="I568" s="16">
        <v>253.5</v>
      </c>
      <c r="J568" s="17">
        <v>378.29</v>
      </c>
      <c r="K568" s="18">
        <v>428</v>
      </c>
      <c r="L568" s="17">
        <f>J568+ROUND(K568, 2)</f>
        <v>806.29</v>
      </c>
      <c r="M568" s="17">
        <v>95896.52</v>
      </c>
      <c r="N568" s="17">
        <v>108498</v>
      </c>
      <c r="O568" s="17">
        <f>M568+N568</f>
        <v>204394.52000000002</v>
      </c>
      <c r="P568" s="17">
        <v>162.09</v>
      </c>
      <c r="Q568" s="18">
        <v>642</v>
      </c>
      <c r="R568" s="17">
        <f>P568+ROUND(Q568, 2)</f>
        <v>804.09</v>
      </c>
      <c r="S568" s="17">
        <v>41089.82</v>
      </c>
      <c r="T568" s="17">
        <v>162747</v>
      </c>
      <c r="U568" s="17">
        <f>S568+T568</f>
        <v>203836.82</v>
      </c>
      <c r="V568" s="9">
        <f>ROUND(P568 / 1.2, 2)</f>
        <v>135.08000000000001</v>
      </c>
      <c r="W568" s="9">
        <f>ROUND(Q568 / 1.2, 2)</f>
        <v>535</v>
      </c>
      <c r="X568" s="9">
        <f>ROUND(R568 / 1.2, 2)</f>
        <v>670.08</v>
      </c>
      <c r="Y568" s="9">
        <f t="shared" si="20"/>
        <v>34241.519999999997</v>
      </c>
      <c r="Z568" s="9">
        <f>ROUND(T568 / 1.2, 2)</f>
        <v>135622.5</v>
      </c>
      <c r="AA568" s="9">
        <f>Y568+Z568</f>
        <v>169864.02</v>
      </c>
      <c r="AD568" s="4">
        <v>334080709</v>
      </c>
      <c r="AE568" s="4">
        <v>27245797</v>
      </c>
      <c r="AG568" s="4" t="s">
        <v>1751</v>
      </c>
      <c r="AH568" s="4" t="s">
        <v>1752</v>
      </c>
      <c r="AI568" s="4" t="s">
        <v>250</v>
      </c>
    </row>
    <row r="569" spans="1:35" ht="36" x14ac:dyDescent="0.3">
      <c r="A569" s="10" t="s">
        <v>1868</v>
      </c>
      <c r="B569" s="10"/>
      <c r="C569" s="24" t="s">
        <v>1757</v>
      </c>
      <c r="D569" s="15"/>
      <c r="E569" s="15"/>
      <c r="F569" s="25" t="s">
        <v>278</v>
      </c>
      <c r="G569" s="26">
        <v>0.3</v>
      </c>
      <c r="H569" s="26"/>
      <c r="I569" s="26">
        <v>76.05</v>
      </c>
      <c r="J569" s="27">
        <v>1216.56</v>
      </c>
      <c r="M569" s="28">
        <f>ROUND(ROUND(J569, 2)*I569, 2)</f>
        <v>92519.39</v>
      </c>
      <c r="P569" s="27">
        <v>495.9</v>
      </c>
      <c r="S569" s="28">
        <f>ROUND(ROUND(P569, 2)*I569, 2)</f>
        <v>37713.199999999997</v>
      </c>
      <c r="V569" s="9">
        <f>ROUND(ROUND(P569, 2)/1.2, 2)</f>
        <v>413.25</v>
      </c>
      <c r="Y569" s="9">
        <f t="shared" si="20"/>
        <v>31427.67</v>
      </c>
      <c r="AD569" s="4" t="s">
        <v>1869</v>
      </c>
      <c r="AE569" s="4" t="s">
        <v>1870</v>
      </c>
      <c r="AF569" s="4" t="s">
        <v>1760</v>
      </c>
    </row>
    <row r="570" spans="1:35" ht="36" x14ac:dyDescent="0.3">
      <c r="A570" s="10" t="s">
        <v>1871</v>
      </c>
      <c r="B570" s="10"/>
      <c r="C570" s="24" t="s">
        <v>1007</v>
      </c>
      <c r="D570" s="15"/>
      <c r="E570" s="15"/>
      <c r="F570" s="25" t="s">
        <v>278</v>
      </c>
      <c r="G570" s="26">
        <v>0.15</v>
      </c>
      <c r="H570" s="26"/>
      <c r="I570" s="26">
        <v>38.024999999999999</v>
      </c>
      <c r="J570" s="27">
        <v>88.8</v>
      </c>
      <c r="M570" s="28">
        <f>ROUND(ROUND(J570, 2)*I570, 2)</f>
        <v>3376.62</v>
      </c>
      <c r="P570" s="27">
        <v>88.8</v>
      </c>
      <c r="S570" s="28">
        <f>ROUND(ROUND(P570, 2)*I570, 2)</f>
        <v>3376.62</v>
      </c>
      <c r="V570" s="9">
        <f>ROUND(ROUND(P570, 2)/1.2, 2)</f>
        <v>74</v>
      </c>
      <c r="Y570" s="9">
        <f t="shared" si="20"/>
        <v>2813.85</v>
      </c>
      <c r="AD570" s="4" t="s">
        <v>1872</v>
      </c>
      <c r="AE570" s="4" t="s">
        <v>1873</v>
      </c>
      <c r="AF570" s="4" t="s">
        <v>1010</v>
      </c>
    </row>
    <row r="571" spans="1:35" ht="108" x14ac:dyDescent="0.3">
      <c r="A571" s="10" t="s">
        <v>1874</v>
      </c>
      <c r="B571" s="10" t="s">
        <v>1749</v>
      </c>
      <c r="C571" s="14" t="s">
        <v>1750</v>
      </c>
      <c r="D571" s="15"/>
      <c r="E571" s="15" t="s">
        <v>1875</v>
      </c>
      <c r="F571" s="15" t="s">
        <v>62</v>
      </c>
      <c r="G571" s="16">
        <v>1</v>
      </c>
      <c r="H571" s="16"/>
      <c r="I571" s="16">
        <v>9391.9419999999991</v>
      </c>
      <c r="J571" s="17">
        <f>IFERROR(ROUND(SUM(M572,M573)/I571, 2),0)</f>
        <v>65.56</v>
      </c>
      <c r="K571" s="18">
        <v>428</v>
      </c>
      <c r="L571" s="17">
        <f>J571+ROUND(K571, 2)</f>
        <v>493.56</v>
      </c>
      <c r="M571" s="17">
        <f>ROUND(J571*I571, 2)</f>
        <v>615735.72</v>
      </c>
      <c r="N571" s="17">
        <f>ROUND(I571*ROUND(K571, 2), 2)</f>
        <v>4019751.18</v>
      </c>
      <c r="O571" s="17">
        <f>M571+N571</f>
        <v>4635486.9000000004</v>
      </c>
      <c r="P571" s="17">
        <f>IFERROR(ROUND(SUM(S572,S573)/I571, 2),0)</f>
        <v>78.69</v>
      </c>
      <c r="Q571" s="19">
        <v>642</v>
      </c>
      <c r="R571" s="17">
        <f>P571+ROUND(Q571, 2)</f>
        <v>720.69</v>
      </c>
      <c r="S571" s="17">
        <f>ROUND(P571*I571, 2)</f>
        <v>739051.92</v>
      </c>
      <c r="T571" s="17">
        <f>ROUND(I571*ROUND(Q571, 2), 2)</f>
        <v>6029626.7599999998</v>
      </c>
      <c r="U571" s="17">
        <f>S571+T571</f>
        <v>6768678.6799999997</v>
      </c>
      <c r="V571" s="9">
        <f>ROUND(P571 / 1.2, 2)</f>
        <v>65.58</v>
      </c>
      <c r="W571" s="9">
        <f>ROUND(Q571 / 1.2, 2)</f>
        <v>535</v>
      </c>
      <c r="X571" s="9">
        <f>ROUND(R571 / 1.2, 2)</f>
        <v>600.58000000000004</v>
      </c>
      <c r="Y571" s="9">
        <f t="shared" si="20"/>
        <v>615876.6</v>
      </c>
      <c r="Z571" s="9">
        <f>ROUND(T571 / 1.2, 2)</f>
        <v>5024688.97</v>
      </c>
      <c r="AA571" s="9">
        <f>Y571+Z571</f>
        <v>5640565.5699999994</v>
      </c>
      <c r="AD571" s="4">
        <v>334080710</v>
      </c>
      <c r="AE571" s="4">
        <v>29405050</v>
      </c>
      <c r="AG571" s="4" t="s">
        <v>1751</v>
      </c>
      <c r="AH571" s="4" t="s">
        <v>1752</v>
      </c>
      <c r="AI571" s="4" t="s">
        <v>250</v>
      </c>
    </row>
    <row r="572" spans="1:35" ht="54" x14ac:dyDescent="0.3">
      <c r="A572" s="10" t="s">
        <v>1876</v>
      </c>
      <c r="B572" s="10"/>
      <c r="C572" s="24" t="s">
        <v>1877</v>
      </c>
      <c r="D572" s="15"/>
      <c r="E572" s="15" t="s">
        <v>1878</v>
      </c>
      <c r="F572" s="25" t="s">
        <v>278</v>
      </c>
      <c r="G572" s="26">
        <v>0.3</v>
      </c>
      <c r="H572" s="26"/>
      <c r="I572" s="26">
        <v>2817.5830000000001</v>
      </c>
      <c r="J572" s="27">
        <v>173.4</v>
      </c>
      <c r="M572" s="28">
        <f>ROUND(ROUND(J572, 2)*I572, 2)</f>
        <v>488568.89</v>
      </c>
      <c r="P572" s="29">
        <v>212.3</v>
      </c>
      <c r="S572" s="28">
        <f>ROUND(ROUND(P572, 2)*I572, 2)</f>
        <v>598172.87</v>
      </c>
      <c r="V572" s="9">
        <f>ROUND(ROUND(P572, 2)/1.2, 2)</f>
        <v>176.92</v>
      </c>
      <c r="Y572" s="9">
        <f t="shared" si="20"/>
        <v>498477.39</v>
      </c>
      <c r="AD572" s="4" t="s">
        <v>1879</v>
      </c>
      <c r="AE572" s="4" t="s">
        <v>1880</v>
      </c>
      <c r="AF572" s="4" t="s">
        <v>1881</v>
      </c>
    </row>
    <row r="573" spans="1:35" ht="36" x14ac:dyDescent="0.3">
      <c r="A573" s="10" t="s">
        <v>1882</v>
      </c>
      <c r="B573" s="10"/>
      <c r="C573" s="24" t="s">
        <v>1007</v>
      </c>
      <c r="D573" s="15"/>
      <c r="E573" s="15" t="s">
        <v>1883</v>
      </c>
      <c r="F573" s="25" t="s">
        <v>278</v>
      </c>
      <c r="G573" s="26">
        <v>0.15</v>
      </c>
      <c r="H573" s="26"/>
      <c r="I573" s="26">
        <v>1408.7909999999999</v>
      </c>
      <c r="J573" s="27">
        <v>90.28</v>
      </c>
      <c r="M573" s="28">
        <f>ROUND(ROUND(J573, 2)*I573, 2)</f>
        <v>127185.65</v>
      </c>
      <c r="P573" s="29">
        <v>100</v>
      </c>
      <c r="S573" s="28">
        <f>ROUND(ROUND(P573, 2)*I573, 2)</f>
        <v>140879.1</v>
      </c>
      <c r="V573" s="9">
        <f>ROUND(ROUND(P573, 2)/1.2, 2)</f>
        <v>83.33</v>
      </c>
      <c r="Y573" s="9">
        <f t="shared" si="20"/>
        <v>117399.25</v>
      </c>
      <c r="AD573" s="4" t="s">
        <v>1884</v>
      </c>
      <c r="AE573" s="4" t="s">
        <v>1885</v>
      </c>
      <c r="AF573" s="4" t="s">
        <v>1010</v>
      </c>
    </row>
    <row r="574" spans="1:35" ht="108" x14ac:dyDescent="0.3">
      <c r="A574" s="10" t="s">
        <v>1886</v>
      </c>
      <c r="B574" s="10" t="s">
        <v>1749</v>
      </c>
      <c r="C574" s="14" t="s">
        <v>1750</v>
      </c>
      <c r="D574" s="15"/>
      <c r="E574" s="15" t="s">
        <v>1887</v>
      </c>
      <c r="F574" s="15" t="s">
        <v>62</v>
      </c>
      <c r="G574" s="16">
        <v>1</v>
      </c>
      <c r="H574" s="16"/>
      <c r="I574" s="16">
        <v>227.4</v>
      </c>
      <c r="J574" s="17">
        <f>IFERROR(ROUND(SUM(M575,M576)/I574, 2),0)</f>
        <v>65.56</v>
      </c>
      <c r="K574" s="18">
        <v>428</v>
      </c>
      <c r="L574" s="17">
        <f>J574+ROUND(K574, 2)</f>
        <v>493.56</v>
      </c>
      <c r="M574" s="17">
        <f>ROUND(J574*I574, 2)</f>
        <v>14908.34</v>
      </c>
      <c r="N574" s="17">
        <f>ROUND(I574*ROUND(K574, 2), 2)</f>
        <v>97327.2</v>
      </c>
      <c r="O574" s="17">
        <f>M574+N574</f>
        <v>112235.54</v>
      </c>
      <c r="P574" s="17">
        <f>IFERROR(ROUND(SUM(S575,S576)/I574, 2),0)</f>
        <v>178.33</v>
      </c>
      <c r="Q574" s="19">
        <v>642</v>
      </c>
      <c r="R574" s="17">
        <f>P574+ROUND(Q574, 2)</f>
        <v>820.33</v>
      </c>
      <c r="S574" s="17">
        <f>ROUND(P574*I574, 2)</f>
        <v>40552.239999999998</v>
      </c>
      <c r="T574" s="17">
        <f>ROUND(I574*ROUND(Q574, 2), 2)</f>
        <v>145990.79999999999</v>
      </c>
      <c r="U574" s="17">
        <f>S574+T574</f>
        <v>186543.03999999998</v>
      </c>
      <c r="V574" s="9">
        <f>ROUND(P574 / 1.2, 2)</f>
        <v>148.61000000000001</v>
      </c>
      <c r="W574" s="9">
        <f>ROUND(Q574 / 1.2, 2)</f>
        <v>535</v>
      </c>
      <c r="X574" s="9">
        <f>ROUND(R574 / 1.2, 2)</f>
        <v>683.61</v>
      </c>
      <c r="Y574" s="9">
        <f t="shared" si="20"/>
        <v>33793.53</v>
      </c>
      <c r="Z574" s="9">
        <f>ROUND(T574 / 1.2, 2)</f>
        <v>121659</v>
      </c>
      <c r="AA574" s="9">
        <f>Y574+Z574</f>
        <v>155452.53</v>
      </c>
      <c r="AD574" s="4">
        <v>334080711</v>
      </c>
      <c r="AE574" s="4">
        <v>29410389</v>
      </c>
      <c r="AG574" s="4" t="s">
        <v>1751</v>
      </c>
      <c r="AH574" s="4" t="s">
        <v>1752</v>
      </c>
      <c r="AI574" s="4" t="s">
        <v>250</v>
      </c>
    </row>
    <row r="575" spans="1:35" ht="36" x14ac:dyDescent="0.3">
      <c r="A575" s="10" t="s">
        <v>1888</v>
      </c>
      <c r="B575" s="10"/>
      <c r="C575" s="24" t="s">
        <v>1007</v>
      </c>
      <c r="D575" s="15"/>
      <c r="E575" s="15" t="s">
        <v>1883</v>
      </c>
      <c r="F575" s="25" t="s">
        <v>278</v>
      </c>
      <c r="G575" s="26">
        <v>0.15</v>
      </c>
      <c r="H575" s="26"/>
      <c r="I575" s="26">
        <v>34.11</v>
      </c>
      <c r="J575" s="27">
        <v>90.28</v>
      </c>
      <c r="M575" s="28">
        <f>ROUND(ROUND(J575, 2)*I575, 2)</f>
        <v>3079.45</v>
      </c>
      <c r="P575" s="29">
        <v>100</v>
      </c>
      <c r="S575" s="28">
        <f>ROUND(ROUND(P575, 2)*I575, 2)</f>
        <v>3411</v>
      </c>
      <c r="V575" s="9">
        <f>ROUND(ROUND(P575, 2)/1.2, 2)</f>
        <v>83.33</v>
      </c>
      <c r="Y575" s="9">
        <f t="shared" si="20"/>
        <v>2842.5</v>
      </c>
      <c r="AD575" s="4" t="s">
        <v>1889</v>
      </c>
      <c r="AE575" s="4" t="s">
        <v>1890</v>
      </c>
      <c r="AF575" s="4" t="s">
        <v>1010</v>
      </c>
    </row>
    <row r="576" spans="1:35" ht="54" x14ac:dyDescent="0.3">
      <c r="A576" s="10" t="s">
        <v>1891</v>
      </c>
      <c r="B576" s="10"/>
      <c r="C576" s="24" t="s">
        <v>1877</v>
      </c>
      <c r="D576" s="15"/>
      <c r="E576" s="15" t="s">
        <v>1892</v>
      </c>
      <c r="F576" s="25" t="s">
        <v>278</v>
      </c>
      <c r="G576" s="26">
        <v>0.3</v>
      </c>
      <c r="H576" s="26"/>
      <c r="I576" s="26">
        <v>68.22</v>
      </c>
      <c r="J576" s="27">
        <v>173.4</v>
      </c>
      <c r="M576" s="28">
        <f>ROUND(ROUND(J576, 2)*I576, 2)</f>
        <v>11829.35</v>
      </c>
      <c r="P576" s="29">
        <v>544.44000000000005</v>
      </c>
      <c r="S576" s="28">
        <f>ROUND(ROUND(P576, 2)*I576, 2)</f>
        <v>37141.699999999997</v>
      </c>
      <c r="V576" s="9">
        <f>ROUND(ROUND(P576, 2)/1.2, 2)</f>
        <v>453.7</v>
      </c>
      <c r="Y576" s="9">
        <f t="shared" si="20"/>
        <v>30951.42</v>
      </c>
      <c r="AD576" s="4" t="s">
        <v>1893</v>
      </c>
      <c r="AE576" s="4" t="s">
        <v>1894</v>
      </c>
      <c r="AF576" s="4" t="s">
        <v>1881</v>
      </c>
    </row>
    <row r="577" spans="1:35" ht="108" x14ac:dyDescent="0.3">
      <c r="A577" s="10" t="s">
        <v>1895</v>
      </c>
      <c r="B577" s="10" t="s">
        <v>1749</v>
      </c>
      <c r="C577" s="14" t="s">
        <v>1750</v>
      </c>
      <c r="D577" s="15"/>
      <c r="E577" s="15" t="s">
        <v>1896</v>
      </c>
      <c r="F577" s="15" t="s">
        <v>62</v>
      </c>
      <c r="G577" s="16">
        <v>1</v>
      </c>
      <c r="H577" s="16"/>
      <c r="I577" s="16">
        <v>185.9</v>
      </c>
      <c r="J577" s="17">
        <f>IFERROR(ROUND(SUM(M578,M579)/I577, 2),0)</f>
        <v>65.56</v>
      </c>
      <c r="K577" s="18">
        <v>428</v>
      </c>
      <c r="L577" s="17">
        <f>J577+ROUND(K577, 2)</f>
        <v>493.56</v>
      </c>
      <c r="M577" s="17">
        <f>ROUND(J577*I577, 2)</f>
        <v>12187.6</v>
      </c>
      <c r="N577" s="17">
        <f>ROUND(I577*ROUND(K577, 2), 2)</f>
        <v>79565.2</v>
      </c>
      <c r="O577" s="17">
        <f>M577+N577</f>
        <v>91752.8</v>
      </c>
      <c r="P577" s="17">
        <f>IFERROR(ROUND(SUM(S578,S579)/I577, 2),0)</f>
        <v>90.69</v>
      </c>
      <c r="Q577" s="19">
        <v>642</v>
      </c>
      <c r="R577" s="17">
        <f>P577+ROUND(Q577, 2)</f>
        <v>732.69</v>
      </c>
      <c r="S577" s="17">
        <f>ROUND(P577*I577, 2)</f>
        <v>16859.27</v>
      </c>
      <c r="T577" s="17">
        <f>ROUND(I577*ROUND(Q577, 2), 2)</f>
        <v>119347.8</v>
      </c>
      <c r="U577" s="17">
        <f>S577+T577</f>
        <v>136207.07</v>
      </c>
      <c r="V577" s="9">
        <f>ROUND(P577 / 1.2, 2)</f>
        <v>75.58</v>
      </c>
      <c r="W577" s="9">
        <f>ROUND(Q577 / 1.2, 2)</f>
        <v>535</v>
      </c>
      <c r="X577" s="9">
        <f>ROUND(R577 / 1.2, 2)</f>
        <v>610.58000000000004</v>
      </c>
      <c r="Y577" s="9">
        <f t="shared" si="20"/>
        <v>14049.39</v>
      </c>
      <c r="Z577" s="9">
        <f>ROUND(T577 / 1.2, 2)</f>
        <v>99456.5</v>
      </c>
      <c r="AA577" s="9">
        <f>Y577+Z577</f>
        <v>113505.89</v>
      </c>
      <c r="AD577" s="4">
        <v>334080712</v>
      </c>
      <c r="AE577" s="4">
        <v>29432236</v>
      </c>
      <c r="AG577" s="4" t="s">
        <v>1751</v>
      </c>
      <c r="AH577" s="4" t="s">
        <v>1752</v>
      </c>
      <c r="AI577" s="4" t="s">
        <v>250</v>
      </c>
    </row>
    <row r="578" spans="1:35" ht="54" x14ac:dyDescent="0.3">
      <c r="A578" s="10" t="s">
        <v>1897</v>
      </c>
      <c r="B578" s="10"/>
      <c r="C578" s="24" t="s">
        <v>1877</v>
      </c>
      <c r="D578" s="15"/>
      <c r="E578" s="15" t="s">
        <v>1898</v>
      </c>
      <c r="F578" s="25" t="s">
        <v>278</v>
      </c>
      <c r="G578" s="26">
        <v>0.3</v>
      </c>
      <c r="H578" s="26"/>
      <c r="I578" s="26">
        <v>55.77</v>
      </c>
      <c r="J578" s="27">
        <v>173.4</v>
      </c>
      <c r="M578" s="28">
        <f>ROUND(ROUND(J578, 2)*I578, 2)</f>
        <v>9670.52</v>
      </c>
      <c r="P578" s="29">
        <v>252.3</v>
      </c>
      <c r="S578" s="28">
        <f>ROUND(ROUND(P578, 2)*I578, 2)</f>
        <v>14070.77</v>
      </c>
      <c r="V578" s="9">
        <f>ROUND(ROUND(P578, 2)/1.2, 2)</f>
        <v>210.25</v>
      </c>
      <c r="Y578" s="9">
        <f t="shared" si="20"/>
        <v>11725.64</v>
      </c>
      <c r="AD578" s="4" t="s">
        <v>1899</v>
      </c>
      <c r="AE578" s="4" t="s">
        <v>1900</v>
      </c>
      <c r="AF578" s="4" t="s">
        <v>1881</v>
      </c>
    </row>
    <row r="579" spans="1:35" ht="36" x14ac:dyDescent="0.3">
      <c r="A579" s="10" t="s">
        <v>1901</v>
      </c>
      <c r="B579" s="10"/>
      <c r="C579" s="24" t="s">
        <v>1007</v>
      </c>
      <c r="D579" s="15"/>
      <c r="E579" s="15" t="s">
        <v>1883</v>
      </c>
      <c r="F579" s="25" t="s">
        <v>278</v>
      </c>
      <c r="G579" s="26">
        <v>0.15</v>
      </c>
      <c r="H579" s="26"/>
      <c r="I579" s="26">
        <v>27.885000000000002</v>
      </c>
      <c r="J579" s="27">
        <v>90.28</v>
      </c>
      <c r="M579" s="28">
        <f>ROUND(ROUND(J579, 2)*I579, 2)</f>
        <v>2517.46</v>
      </c>
      <c r="P579" s="29">
        <v>100</v>
      </c>
      <c r="S579" s="28">
        <f>ROUND(ROUND(P579, 2)*I579, 2)</f>
        <v>2788.5</v>
      </c>
      <c r="V579" s="9">
        <f>ROUND(ROUND(P579, 2)/1.2, 2)</f>
        <v>83.33</v>
      </c>
      <c r="Y579" s="9">
        <f t="shared" si="20"/>
        <v>2323.75</v>
      </c>
      <c r="AD579" s="4" t="s">
        <v>1902</v>
      </c>
      <c r="AE579" s="4" t="s">
        <v>1903</v>
      </c>
      <c r="AF579" s="4" t="s">
        <v>1010</v>
      </c>
    </row>
    <row r="580" spans="1:35" ht="108" x14ac:dyDescent="0.3">
      <c r="A580" s="10" t="s">
        <v>1904</v>
      </c>
      <c r="B580" s="10" t="s">
        <v>1749</v>
      </c>
      <c r="C580" s="14" t="s">
        <v>1750</v>
      </c>
      <c r="D580" s="15"/>
      <c r="E580" s="15" t="s">
        <v>1905</v>
      </c>
      <c r="F580" s="15" t="s">
        <v>62</v>
      </c>
      <c r="G580" s="16">
        <v>1</v>
      </c>
      <c r="H580" s="16"/>
      <c r="I580" s="16">
        <v>65.7</v>
      </c>
      <c r="J580" s="17">
        <f>IFERROR(ROUND(SUM(M581,M582)/I580, 2),0)</f>
        <v>65.56</v>
      </c>
      <c r="K580" s="18">
        <v>428</v>
      </c>
      <c r="L580" s="17">
        <f>J580+ROUND(K580, 2)</f>
        <v>493.56</v>
      </c>
      <c r="M580" s="17">
        <f>ROUND(J580*I580, 2)</f>
        <v>4307.29</v>
      </c>
      <c r="N580" s="17">
        <f>ROUND(I580*ROUND(K580, 2), 2)</f>
        <v>28119.599999999999</v>
      </c>
      <c r="O580" s="17">
        <f>M580+N580</f>
        <v>32426.89</v>
      </c>
      <c r="P580" s="17">
        <f>IFERROR(ROUND(SUM(S581,S582)/I580, 2),0)</f>
        <v>113.68</v>
      </c>
      <c r="Q580" s="19">
        <v>642</v>
      </c>
      <c r="R580" s="17">
        <f>P580+ROUND(Q580, 2)</f>
        <v>755.68000000000006</v>
      </c>
      <c r="S580" s="17">
        <f>ROUND(P580*I580, 2)</f>
        <v>7468.78</v>
      </c>
      <c r="T580" s="17">
        <f>ROUND(I580*ROUND(Q580, 2), 2)</f>
        <v>42179.4</v>
      </c>
      <c r="U580" s="17">
        <f>S580+T580</f>
        <v>49648.18</v>
      </c>
      <c r="V580" s="9">
        <f>ROUND(P580 / 1.2, 2)</f>
        <v>94.73</v>
      </c>
      <c r="W580" s="9">
        <f>ROUND(Q580 / 1.2, 2)</f>
        <v>535</v>
      </c>
      <c r="X580" s="9">
        <f>ROUND(R580 / 1.2, 2)</f>
        <v>629.73</v>
      </c>
      <c r="Y580" s="9">
        <f t="shared" si="20"/>
        <v>6223.98</v>
      </c>
      <c r="Z580" s="9">
        <f>ROUND(T580 / 1.2, 2)</f>
        <v>35149.5</v>
      </c>
      <c r="AA580" s="9">
        <f>Y580+Z580</f>
        <v>41373.479999999996</v>
      </c>
      <c r="AD580" s="4">
        <v>334080713</v>
      </c>
      <c r="AE580" s="4">
        <v>29432237</v>
      </c>
      <c r="AG580" s="4" t="s">
        <v>1751</v>
      </c>
      <c r="AH580" s="4" t="s">
        <v>1752</v>
      </c>
      <c r="AI580" s="4" t="s">
        <v>250</v>
      </c>
    </row>
    <row r="581" spans="1:35" ht="36" x14ac:dyDescent="0.3">
      <c r="A581" s="10" t="s">
        <v>1906</v>
      </c>
      <c r="B581" s="10"/>
      <c r="C581" s="24" t="s">
        <v>1007</v>
      </c>
      <c r="D581" s="15"/>
      <c r="E581" s="15" t="s">
        <v>1883</v>
      </c>
      <c r="F581" s="25" t="s">
        <v>278</v>
      </c>
      <c r="G581" s="26">
        <v>0.15</v>
      </c>
      <c r="H581" s="26"/>
      <c r="I581" s="26">
        <v>9.8550000000000004</v>
      </c>
      <c r="J581" s="27">
        <v>90.28</v>
      </c>
      <c r="M581" s="28">
        <f>ROUND(ROUND(J581, 2)*I581, 2)</f>
        <v>889.71</v>
      </c>
      <c r="P581" s="29">
        <v>100</v>
      </c>
      <c r="S581" s="28">
        <f>ROUND(ROUND(P581, 2)*I581, 2)</f>
        <v>985.5</v>
      </c>
      <c r="V581" s="9">
        <f>ROUND(ROUND(P581, 2)/1.2, 2)</f>
        <v>83.33</v>
      </c>
      <c r="Y581" s="9">
        <f t="shared" si="20"/>
        <v>821.25</v>
      </c>
      <c r="AD581" s="4" t="s">
        <v>1907</v>
      </c>
      <c r="AE581" s="4" t="s">
        <v>1908</v>
      </c>
      <c r="AF581" s="4" t="s">
        <v>1010</v>
      </c>
    </row>
    <row r="582" spans="1:35" ht="54" x14ac:dyDescent="0.3">
      <c r="A582" s="10" t="s">
        <v>1909</v>
      </c>
      <c r="B582" s="10"/>
      <c r="C582" s="24" t="s">
        <v>1877</v>
      </c>
      <c r="D582" s="15"/>
      <c r="E582" s="15" t="s">
        <v>1910</v>
      </c>
      <c r="F582" s="25" t="s">
        <v>278</v>
      </c>
      <c r="G582" s="26">
        <v>0.3</v>
      </c>
      <c r="H582" s="26"/>
      <c r="I582" s="26">
        <v>19.71</v>
      </c>
      <c r="J582" s="27">
        <v>173.4</v>
      </c>
      <c r="M582" s="28">
        <f>ROUND(ROUND(J582, 2)*I582, 2)</f>
        <v>3417.71</v>
      </c>
      <c r="P582" s="29">
        <v>328.94</v>
      </c>
      <c r="S582" s="28">
        <f>ROUND(ROUND(P582, 2)*I582, 2)</f>
        <v>6483.41</v>
      </c>
      <c r="V582" s="9">
        <f>ROUND(ROUND(P582, 2)/1.2, 2)</f>
        <v>274.12</v>
      </c>
      <c r="Y582" s="9">
        <f t="shared" si="20"/>
        <v>5402.84</v>
      </c>
      <c r="AD582" s="4" t="s">
        <v>1911</v>
      </c>
      <c r="AE582" s="4" t="s">
        <v>1912</v>
      </c>
      <c r="AF582" s="4" t="s">
        <v>1881</v>
      </c>
    </row>
    <row r="583" spans="1:35" ht="108" x14ac:dyDescent="0.3">
      <c r="A583" s="10" t="s">
        <v>1913</v>
      </c>
      <c r="B583" s="10" t="s">
        <v>1749</v>
      </c>
      <c r="C583" s="14" t="s">
        <v>1750</v>
      </c>
      <c r="D583" s="15"/>
      <c r="E583" s="15" t="s">
        <v>1914</v>
      </c>
      <c r="F583" s="15" t="s">
        <v>62</v>
      </c>
      <c r="G583" s="16">
        <v>1</v>
      </c>
      <c r="H583" s="16"/>
      <c r="I583" s="16">
        <v>33</v>
      </c>
      <c r="J583" s="17">
        <f>IFERROR(ROUND(SUM(M584,M585)/I583, 2),0)</f>
        <v>65.56</v>
      </c>
      <c r="K583" s="18">
        <v>428</v>
      </c>
      <c r="L583" s="17">
        <f>J583+ROUND(K583, 2)</f>
        <v>493.56</v>
      </c>
      <c r="M583" s="17">
        <f>ROUND(J583*I583, 2)</f>
        <v>2163.48</v>
      </c>
      <c r="N583" s="17">
        <f>ROUND(I583*ROUND(K583, 2), 2)</f>
        <v>14124</v>
      </c>
      <c r="O583" s="17">
        <f>M583+N583</f>
        <v>16287.48</v>
      </c>
      <c r="P583" s="17">
        <f>IFERROR(ROUND(SUM(S584,S585)/I583, 2),0)</f>
        <v>114.69</v>
      </c>
      <c r="Q583" s="19">
        <v>642</v>
      </c>
      <c r="R583" s="17">
        <f>P583+ROUND(Q583, 2)</f>
        <v>756.69</v>
      </c>
      <c r="S583" s="17">
        <f>ROUND(P583*I583, 2)</f>
        <v>3784.77</v>
      </c>
      <c r="T583" s="17">
        <f>ROUND(I583*ROUND(Q583, 2), 2)</f>
        <v>21186</v>
      </c>
      <c r="U583" s="17">
        <f>S583+T583</f>
        <v>24970.77</v>
      </c>
      <c r="V583" s="9">
        <f>ROUND(P583 / 1.2, 2)</f>
        <v>95.58</v>
      </c>
      <c r="W583" s="9">
        <f>ROUND(Q583 / 1.2, 2)</f>
        <v>535</v>
      </c>
      <c r="X583" s="9">
        <f>ROUND(R583 / 1.2, 2)</f>
        <v>630.58000000000004</v>
      </c>
      <c r="Y583" s="9">
        <f t="shared" si="20"/>
        <v>3153.98</v>
      </c>
      <c r="Z583" s="9">
        <f>ROUND(T583 / 1.2, 2)</f>
        <v>17655</v>
      </c>
      <c r="AA583" s="9">
        <f>Y583+Z583</f>
        <v>20808.98</v>
      </c>
      <c r="AD583" s="4">
        <v>334080714</v>
      </c>
      <c r="AE583" s="4">
        <v>29432232</v>
      </c>
      <c r="AG583" s="4" t="s">
        <v>1751</v>
      </c>
      <c r="AH583" s="4" t="s">
        <v>1752</v>
      </c>
      <c r="AI583" s="4" t="s">
        <v>250</v>
      </c>
    </row>
    <row r="584" spans="1:35" ht="54" x14ac:dyDescent="0.3">
      <c r="A584" s="10" t="s">
        <v>1915</v>
      </c>
      <c r="B584" s="10"/>
      <c r="C584" s="24" t="s">
        <v>1877</v>
      </c>
      <c r="D584" s="15"/>
      <c r="E584" s="15" t="s">
        <v>1916</v>
      </c>
      <c r="F584" s="25" t="s">
        <v>278</v>
      </c>
      <c r="G584" s="26">
        <v>0.3</v>
      </c>
      <c r="H584" s="26"/>
      <c r="I584" s="26">
        <v>9.9</v>
      </c>
      <c r="J584" s="27">
        <v>173.4</v>
      </c>
      <c r="M584" s="28">
        <f>ROUND(ROUND(J584, 2)*I584, 2)</f>
        <v>1716.66</v>
      </c>
      <c r="P584" s="29">
        <v>332.3</v>
      </c>
      <c r="S584" s="28">
        <f>ROUND(ROUND(P584, 2)*I584, 2)</f>
        <v>3289.77</v>
      </c>
      <c r="V584" s="9">
        <f>ROUND(ROUND(P584, 2)/1.2, 2)</f>
        <v>276.92</v>
      </c>
      <c r="Y584" s="9">
        <f t="shared" si="20"/>
        <v>2741.48</v>
      </c>
      <c r="AD584" s="4" t="s">
        <v>1917</v>
      </c>
      <c r="AE584" s="4" t="s">
        <v>1918</v>
      </c>
      <c r="AF584" s="4" t="s">
        <v>1881</v>
      </c>
    </row>
    <row r="585" spans="1:35" ht="36" x14ac:dyDescent="0.3">
      <c r="A585" s="10" t="s">
        <v>1919</v>
      </c>
      <c r="B585" s="10"/>
      <c r="C585" s="24" t="s">
        <v>1007</v>
      </c>
      <c r="D585" s="15"/>
      <c r="E585" s="15" t="s">
        <v>1883</v>
      </c>
      <c r="F585" s="25" t="s">
        <v>278</v>
      </c>
      <c r="G585" s="26">
        <v>0.15</v>
      </c>
      <c r="H585" s="26"/>
      <c r="I585" s="26">
        <v>4.95</v>
      </c>
      <c r="J585" s="27">
        <v>90.28</v>
      </c>
      <c r="M585" s="28">
        <f>ROUND(ROUND(J585, 2)*I585, 2)</f>
        <v>446.89</v>
      </c>
      <c r="P585" s="29">
        <v>100</v>
      </c>
      <c r="S585" s="28">
        <f>ROUND(ROUND(P585, 2)*I585, 2)</f>
        <v>495</v>
      </c>
      <c r="V585" s="9">
        <f>ROUND(ROUND(P585, 2)/1.2, 2)</f>
        <v>83.33</v>
      </c>
      <c r="Y585" s="9">
        <f t="shared" si="20"/>
        <v>412.5</v>
      </c>
      <c r="AD585" s="4" t="s">
        <v>1920</v>
      </c>
      <c r="AE585" s="4" t="s">
        <v>1921</v>
      </c>
      <c r="AF585" s="4" t="s">
        <v>1010</v>
      </c>
    </row>
    <row r="586" spans="1:35" ht="108" x14ac:dyDescent="0.3">
      <c r="A586" s="10" t="s">
        <v>1922</v>
      </c>
      <c r="B586" s="10" t="s">
        <v>1749</v>
      </c>
      <c r="C586" s="14" t="s">
        <v>1750</v>
      </c>
      <c r="D586" s="15"/>
      <c r="E586" s="15" t="s">
        <v>1923</v>
      </c>
      <c r="F586" s="15" t="s">
        <v>62</v>
      </c>
      <c r="G586" s="16">
        <v>1</v>
      </c>
      <c r="H586" s="16"/>
      <c r="I586" s="16">
        <v>1203.0999999999999</v>
      </c>
      <c r="J586" s="17">
        <f>IFERROR(ROUND(SUM(M587,M588)/I586, 2),0)</f>
        <v>65.56</v>
      </c>
      <c r="K586" s="18">
        <v>428</v>
      </c>
      <c r="L586" s="17">
        <f>J586+ROUND(K586, 2)</f>
        <v>493.56</v>
      </c>
      <c r="M586" s="17">
        <f>ROUND(J586*I586, 2)</f>
        <v>78875.240000000005</v>
      </c>
      <c r="N586" s="17">
        <f>ROUND(I586*ROUND(K586, 2), 2)</f>
        <v>514926.8</v>
      </c>
      <c r="O586" s="17">
        <f>M586+N586</f>
        <v>593802.04</v>
      </c>
      <c r="P586" s="17">
        <f>IFERROR(ROUND(SUM(S587,S588)/I586, 2),0)</f>
        <v>148.01</v>
      </c>
      <c r="Q586" s="19">
        <v>642</v>
      </c>
      <c r="R586" s="17">
        <f>P586+ROUND(Q586, 2)</f>
        <v>790.01</v>
      </c>
      <c r="S586" s="17">
        <f>ROUND(P586*I586, 2)</f>
        <v>178070.83</v>
      </c>
      <c r="T586" s="17">
        <f>ROUND(I586*ROUND(Q586, 2), 2)</f>
        <v>772390.2</v>
      </c>
      <c r="U586" s="17">
        <f>S586+T586</f>
        <v>950461.02999999991</v>
      </c>
      <c r="V586" s="9">
        <f>ROUND(P586 / 1.2, 2)</f>
        <v>123.34</v>
      </c>
      <c r="W586" s="9">
        <f>ROUND(Q586 / 1.2, 2)</f>
        <v>535</v>
      </c>
      <c r="X586" s="9">
        <f>ROUND(R586 / 1.2, 2)</f>
        <v>658.34</v>
      </c>
      <c r="Y586" s="9">
        <f t="shared" si="20"/>
        <v>148392.35999999999</v>
      </c>
      <c r="Z586" s="9">
        <f>ROUND(T586 / 1.2, 2)</f>
        <v>643658.5</v>
      </c>
      <c r="AA586" s="9">
        <f>Y586+Z586</f>
        <v>792050.86</v>
      </c>
      <c r="AD586" s="4">
        <v>334080715</v>
      </c>
      <c r="AE586" s="4">
        <v>29432233</v>
      </c>
      <c r="AG586" s="4" t="s">
        <v>1751</v>
      </c>
      <c r="AH586" s="4" t="s">
        <v>1752</v>
      </c>
      <c r="AI586" s="4" t="s">
        <v>250</v>
      </c>
    </row>
    <row r="587" spans="1:35" ht="36" x14ac:dyDescent="0.3">
      <c r="A587" s="10" t="s">
        <v>1924</v>
      </c>
      <c r="B587" s="10"/>
      <c r="C587" s="24" t="s">
        <v>1007</v>
      </c>
      <c r="D587" s="15"/>
      <c r="E587" s="15" t="s">
        <v>1883</v>
      </c>
      <c r="F587" s="25" t="s">
        <v>278</v>
      </c>
      <c r="G587" s="26">
        <v>0.15</v>
      </c>
      <c r="H587" s="26"/>
      <c r="I587" s="26">
        <v>180.465</v>
      </c>
      <c r="J587" s="27">
        <v>90.28</v>
      </c>
      <c r="M587" s="28">
        <f>ROUND(ROUND(J587, 2)*I587, 2)</f>
        <v>16292.38</v>
      </c>
      <c r="P587" s="29">
        <v>100</v>
      </c>
      <c r="S587" s="28">
        <f>ROUND(ROUND(P587, 2)*I587, 2)</f>
        <v>18046.5</v>
      </c>
      <c r="V587" s="9">
        <f>ROUND(ROUND(P587, 2)/1.2, 2)</f>
        <v>83.33</v>
      </c>
      <c r="Y587" s="9">
        <f t="shared" si="20"/>
        <v>15038.75</v>
      </c>
      <c r="AD587" s="4" t="s">
        <v>1925</v>
      </c>
      <c r="AE587" s="4" t="s">
        <v>1926</v>
      </c>
      <c r="AF587" s="4" t="s">
        <v>1010</v>
      </c>
    </row>
    <row r="588" spans="1:35" ht="54" x14ac:dyDescent="0.3">
      <c r="A588" s="10" t="s">
        <v>1927</v>
      </c>
      <c r="B588" s="10"/>
      <c r="C588" s="24" t="s">
        <v>1877</v>
      </c>
      <c r="D588" s="15"/>
      <c r="E588" s="15" t="s">
        <v>1928</v>
      </c>
      <c r="F588" s="25" t="s">
        <v>278</v>
      </c>
      <c r="G588" s="26">
        <v>0.3</v>
      </c>
      <c r="H588" s="26"/>
      <c r="I588" s="26">
        <v>360.93</v>
      </c>
      <c r="J588" s="27">
        <v>173.4</v>
      </c>
      <c r="M588" s="28">
        <f>ROUND(ROUND(J588, 2)*I588, 2)</f>
        <v>62585.26</v>
      </c>
      <c r="P588" s="29">
        <v>443.37</v>
      </c>
      <c r="S588" s="28">
        <f>ROUND(ROUND(P588, 2)*I588, 2)</f>
        <v>160025.53</v>
      </c>
      <c r="V588" s="9">
        <f>ROUND(ROUND(P588, 2)/1.2, 2)</f>
        <v>369.48</v>
      </c>
      <c r="Y588" s="9">
        <f t="shared" si="20"/>
        <v>133354.60999999999</v>
      </c>
      <c r="AD588" s="4" t="s">
        <v>1929</v>
      </c>
      <c r="AE588" s="4" t="s">
        <v>1930</v>
      </c>
      <c r="AF588" s="4" t="s">
        <v>1881</v>
      </c>
    </row>
    <row r="589" spans="1:35" ht="108" x14ac:dyDescent="0.3">
      <c r="A589" s="10" t="s">
        <v>1931</v>
      </c>
      <c r="B589" s="10" t="s">
        <v>1749</v>
      </c>
      <c r="C589" s="14" t="s">
        <v>1750</v>
      </c>
      <c r="D589" s="15"/>
      <c r="E589" s="15" t="s">
        <v>1932</v>
      </c>
      <c r="F589" s="15" t="s">
        <v>62</v>
      </c>
      <c r="G589" s="16">
        <v>1</v>
      </c>
      <c r="H589" s="16"/>
      <c r="I589" s="16">
        <v>104.1</v>
      </c>
      <c r="J589" s="17">
        <f>IFERROR(ROUND(SUM(M590,M591)/I589, 2),0)</f>
        <v>65.56</v>
      </c>
      <c r="K589" s="18">
        <v>428</v>
      </c>
      <c r="L589" s="17">
        <f>J589+ROUND(K589, 2)</f>
        <v>493.56</v>
      </c>
      <c r="M589" s="17">
        <f>ROUND(J589*I589, 2)</f>
        <v>6824.8</v>
      </c>
      <c r="N589" s="17">
        <f>ROUND(I589*ROUND(K589, 2), 2)</f>
        <v>44554.8</v>
      </c>
      <c r="O589" s="17">
        <f>M589+N589</f>
        <v>51379.600000000006</v>
      </c>
      <c r="P589" s="17">
        <f>IFERROR(ROUND(SUM(S590,S591)/I589, 2),0)</f>
        <v>210.69</v>
      </c>
      <c r="Q589" s="19">
        <v>642</v>
      </c>
      <c r="R589" s="17">
        <f>P589+ROUND(Q589, 2)</f>
        <v>852.69</v>
      </c>
      <c r="S589" s="17">
        <f>ROUND(P589*I589, 2)</f>
        <v>21932.83</v>
      </c>
      <c r="T589" s="17">
        <f>ROUND(I589*ROUND(Q589, 2), 2)</f>
        <v>66832.2</v>
      </c>
      <c r="U589" s="17">
        <f>S589+T589</f>
        <v>88765.03</v>
      </c>
      <c r="V589" s="9">
        <f>ROUND(P589 / 1.2, 2)</f>
        <v>175.58</v>
      </c>
      <c r="W589" s="9">
        <f>ROUND(Q589 / 1.2, 2)</f>
        <v>535</v>
      </c>
      <c r="X589" s="9">
        <f>ROUND(R589 / 1.2, 2)</f>
        <v>710.58</v>
      </c>
      <c r="Y589" s="9">
        <f t="shared" si="20"/>
        <v>18277.36</v>
      </c>
      <c r="Z589" s="9">
        <f>ROUND(T589 / 1.2, 2)</f>
        <v>55693.5</v>
      </c>
      <c r="AA589" s="9">
        <f>Y589+Z589</f>
        <v>73970.86</v>
      </c>
      <c r="AD589" s="4">
        <v>334080716</v>
      </c>
      <c r="AE589" s="4">
        <v>29432234</v>
      </c>
      <c r="AG589" s="4" t="s">
        <v>1751</v>
      </c>
      <c r="AH589" s="4" t="s">
        <v>1752</v>
      </c>
      <c r="AI589" s="4" t="s">
        <v>250</v>
      </c>
    </row>
    <row r="590" spans="1:35" ht="54" x14ac:dyDescent="0.3">
      <c r="A590" s="10" t="s">
        <v>1933</v>
      </c>
      <c r="B590" s="10"/>
      <c r="C590" s="24" t="s">
        <v>1877</v>
      </c>
      <c r="D590" s="15"/>
      <c r="E590" s="15" t="s">
        <v>1934</v>
      </c>
      <c r="F590" s="25" t="s">
        <v>278</v>
      </c>
      <c r="G590" s="26">
        <v>0.3</v>
      </c>
      <c r="H590" s="26"/>
      <c r="I590" s="26">
        <v>31.23</v>
      </c>
      <c r="J590" s="27">
        <v>173.4</v>
      </c>
      <c r="M590" s="28">
        <f>ROUND(ROUND(J590, 2)*I590, 2)</f>
        <v>5415.28</v>
      </c>
      <c r="P590" s="29">
        <v>652.29999999999995</v>
      </c>
      <c r="S590" s="28">
        <f>ROUND(ROUND(P590, 2)*I590, 2)</f>
        <v>20371.330000000002</v>
      </c>
      <c r="V590" s="9">
        <f>ROUND(ROUND(P590, 2)/1.2, 2)</f>
        <v>543.58000000000004</v>
      </c>
      <c r="Y590" s="9">
        <f t="shared" si="20"/>
        <v>16976.11</v>
      </c>
      <c r="AD590" s="4" t="s">
        <v>1935</v>
      </c>
      <c r="AE590" s="4" t="s">
        <v>1936</v>
      </c>
      <c r="AF590" s="4" t="s">
        <v>1881</v>
      </c>
    </row>
    <row r="591" spans="1:35" ht="36" x14ac:dyDescent="0.3">
      <c r="A591" s="10" t="s">
        <v>1937</v>
      </c>
      <c r="B591" s="10"/>
      <c r="C591" s="24" t="s">
        <v>1007</v>
      </c>
      <c r="D591" s="15"/>
      <c r="E591" s="15" t="s">
        <v>1883</v>
      </c>
      <c r="F591" s="25" t="s">
        <v>278</v>
      </c>
      <c r="G591" s="26">
        <v>0.15</v>
      </c>
      <c r="H591" s="26"/>
      <c r="I591" s="26">
        <v>15.615</v>
      </c>
      <c r="J591" s="27">
        <v>90.28</v>
      </c>
      <c r="M591" s="28">
        <f>ROUND(ROUND(J591, 2)*I591, 2)</f>
        <v>1409.72</v>
      </c>
      <c r="P591" s="29">
        <v>100</v>
      </c>
      <c r="S591" s="28">
        <f>ROUND(ROUND(P591, 2)*I591, 2)</f>
        <v>1561.5</v>
      </c>
      <c r="V591" s="9">
        <f>ROUND(ROUND(P591, 2)/1.2, 2)</f>
        <v>83.33</v>
      </c>
      <c r="Y591" s="9">
        <f t="shared" si="20"/>
        <v>1301.25</v>
      </c>
      <c r="AD591" s="4" t="s">
        <v>1938</v>
      </c>
      <c r="AE591" s="4" t="s">
        <v>1939</v>
      </c>
      <c r="AF591" s="4" t="s">
        <v>1010</v>
      </c>
    </row>
    <row r="592" spans="1:35" ht="36" x14ac:dyDescent="0.3">
      <c r="A592" s="10" t="s">
        <v>1940</v>
      </c>
      <c r="B592" s="10" t="s">
        <v>1941</v>
      </c>
      <c r="C592" s="14" t="s">
        <v>1942</v>
      </c>
      <c r="D592" s="15"/>
      <c r="E592" s="15"/>
      <c r="F592" s="15" t="s">
        <v>62</v>
      </c>
      <c r="G592" s="16">
        <v>1</v>
      </c>
      <c r="H592" s="16"/>
      <c r="I592" s="16">
        <v>0</v>
      </c>
      <c r="J592" s="17">
        <v>0</v>
      </c>
      <c r="K592" s="18">
        <v>472</v>
      </c>
      <c r="L592" s="17">
        <f>J592+ROUND(K592, 2)</f>
        <v>472</v>
      </c>
      <c r="M592" s="17">
        <v>0</v>
      </c>
      <c r="N592" s="17">
        <v>0</v>
      </c>
      <c r="O592" s="17">
        <f>M592+N592</f>
        <v>0</v>
      </c>
      <c r="P592" s="17">
        <v>157.65</v>
      </c>
      <c r="Q592" s="18">
        <v>472</v>
      </c>
      <c r="R592" s="17">
        <f>P592+ROUND(Q592, 2)</f>
        <v>629.65</v>
      </c>
      <c r="S592" s="17">
        <v>0</v>
      </c>
      <c r="T592" s="17">
        <v>0</v>
      </c>
      <c r="U592" s="17">
        <f>S592+T592</f>
        <v>0</v>
      </c>
      <c r="V592" s="9">
        <f>ROUND(P592 / 1.2, 2)</f>
        <v>131.38</v>
      </c>
      <c r="W592" s="9">
        <f>ROUND(Q592 / 1.2, 2)</f>
        <v>393.33</v>
      </c>
      <c r="X592" s="9">
        <f>ROUND(R592 / 1.2, 2)</f>
        <v>524.71</v>
      </c>
      <c r="Y592" s="9">
        <f t="shared" si="20"/>
        <v>0</v>
      </c>
      <c r="Z592" s="9">
        <f>ROUND(T592 / 1.2, 2)</f>
        <v>0</v>
      </c>
      <c r="AA592" s="9">
        <f>Y592+Z592</f>
        <v>0</v>
      </c>
      <c r="AD592" s="4">
        <v>334080541</v>
      </c>
      <c r="AE592" s="4">
        <v>27245673</v>
      </c>
      <c r="AG592" s="4" t="s">
        <v>1943</v>
      </c>
      <c r="AH592" s="4" t="s">
        <v>1944</v>
      </c>
      <c r="AI592" s="4" t="s">
        <v>250</v>
      </c>
    </row>
    <row r="593" spans="1:35" ht="18" x14ac:dyDescent="0.3">
      <c r="A593" s="10" t="s">
        <v>1945</v>
      </c>
      <c r="B593" s="10"/>
      <c r="C593" s="24" t="s">
        <v>1946</v>
      </c>
      <c r="D593" s="15"/>
      <c r="E593" s="15"/>
      <c r="F593" s="25" t="s">
        <v>278</v>
      </c>
      <c r="G593" s="26">
        <v>0.3</v>
      </c>
      <c r="H593" s="26"/>
      <c r="I593" s="26">
        <v>0</v>
      </c>
      <c r="J593" s="27">
        <v>938.78</v>
      </c>
      <c r="M593" s="28">
        <f>ROUND(ROUND(J593, 2)*I593, 2)</f>
        <v>0</v>
      </c>
      <c r="P593" s="27">
        <v>495.9</v>
      </c>
      <c r="S593" s="28">
        <f>ROUND(ROUND(P593, 2)*I593, 2)</f>
        <v>0</v>
      </c>
      <c r="V593" s="9">
        <f>ROUND(ROUND(P593, 2)/1.2, 2)</f>
        <v>413.25</v>
      </c>
      <c r="Y593" s="9">
        <f t="shared" si="20"/>
        <v>0</v>
      </c>
      <c r="AD593" s="4" t="s">
        <v>1947</v>
      </c>
      <c r="AE593" s="4" t="s">
        <v>1948</v>
      </c>
      <c r="AF593" s="4" t="s">
        <v>1949</v>
      </c>
    </row>
    <row r="594" spans="1:35" ht="36" x14ac:dyDescent="0.3">
      <c r="A594" s="10" t="s">
        <v>1950</v>
      </c>
      <c r="B594" s="10"/>
      <c r="C594" s="24" t="s">
        <v>1007</v>
      </c>
      <c r="D594" s="15"/>
      <c r="E594" s="15"/>
      <c r="F594" s="25" t="s">
        <v>278</v>
      </c>
      <c r="G594" s="26">
        <v>0.1</v>
      </c>
      <c r="H594" s="26"/>
      <c r="I594" s="26">
        <v>0</v>
      </c>
      <c r="J594" s="27">
        <v>88.8</v>
      </c>
      <c r="M594" s="28">
        <f>ROUND(ROUND(J594, 2)*I594, 2)</f>
        <v>0</v>
      </c>
      <c r="P594" s="27">
        <v>88.8</v>
      </c>
      <c r="S594" s="28">
        <f>ROUND(ROUND(P594, 2)*I594, 2)</f>
        <v>0</v>
      </c>
      <c r="V594" s="9">
        <f>ROUND(ROUND(P594, 2)/1.2, 2)</f>
        <v>74</v>
      </c>
      <c r="Y594" s="9">
        <f t="shared" si="20"/>
        <v>0</v>
      </c>
      <c r="AD594" s="4" t="s">
        <v>1951</v>
      </c>
      <c r="AE594" s="4" t="s">
        <v>1952</v>
      </c>
      <c r="AF594" s="4" t="s">
        <v>1010</v>
      </c>
    </row>
    <row r="595" spans="1:35" ht="108" x14ac:dyDescent="0.3">
      <c r="A595" s="10" t="s">
        <v>1953</v>
      </c>
      <c r="B595" s="10" t="s">
        <v>1941</v>
      </c>
      <c r="C595" s="14" t="s">
        <v>1942</v>
      </c>
      <c r="D595" s="15"/>
      <c r="E595" s="15" t="s">
        <v>1954</v>
      </c>
      <c r="F595" s="15" t="s">
        <v>62</v>
      </c>
      <c r="G595" s="16">
        <v>1</v>
      </c>
      <c r="H595" s="16"/>
      <c r="I595" s="16">
        <v>170.8</v>
      </c>
      <c r="J595" s="17">
        <v>290.51</v>
      </c>
      <c r="K595" s="18">
        <v>472</v>
      </c>
      <c r="L595" s="17">
        <f>J595+ROUND(K595, 2)</f>
        <v>762.51</v>
      </c>
      <c r="M595" s="17">
        <v>49619.11</v>
      </c>
      <c r="N595" s="17">
        <v>80617.600000000006</v>
      </c>
      <c r="O595" s="17">
        <f>M595+N595</f>
        <v>130236.71</v>
      </c>
      <c r="P595" s="17">
        <v>157.65</v>
      </c>
      <c r="Q595" s="18">
        <v>708</v>
      </c>
      <c r="R595" s="17">
        <f>P595+ROUND(Q595, 2)</f>
        <v>865.65</v>
      </c>
      <c r="S595" s="17">
        <v>26926.62</v>
      </c>
      <c r="T595" s="17">
        <v>120926.39999999999</v>
      </c>
      <c r="U595" s="17">
        <f>S595+T595</f>
        <v>147853.01999999999</v>
      </c>
      <c r="V595" s="9">
        <f>ROUND(P595 / 1.2, 2)</f>
        <v>131.38</v>
      </c>
      <c r="W595" s="9">
        <f>ROUND(Q595 / 1.2, 2)</f>
        <v>590</v>
      </c>
      <c r="X595" s="9">
        <f>ROUND(R595 / 1.2, 2)</f>
        <v>721.38</v>
      </c>
      <c r="Y595" s="9">
        <f t="shared" si="20"/>
        <v>22438.85</v>
      </c>
      <c r="Z595" s="9">
        <f>ROUND(T595 / 1.2, 2)</f>
        <v>100772</v>
      </c>
      <c r="AA595" s="9">
        <f>Y595+Z595</f>
        <v>123210.85</v>
      </c>
      <c r="AD595" s="4">
        <v>334080717</v>
      </c>
      <c r="AE595" s="4">
        <v>27245748</v>
      </c>
      <c r="AG595" s="4" t="s">
        <v>1943</v>
      </c>
      <c r="AH595" s="4" t="s">
        <v>1944</v>
      </c>
      <c r="AI595" s="4" t="s">
        <v>250</v>
      </c>
    </row>
    <row r="596" spans="1:35" ht="36" x14ac:dyDescent="0.3">
      <c r="A596" s="10" t="s">
        <v>1955</v>
      </c>
      <c r="B596" s="10"/>
      <c r="C596" s="24" t="s">
        <v>1007</v>
      </c>
      <c r="D596" s="15"/>
      <c r="E596" s="15"/>
      <c r="F596" s="25" t="s">
        <v>278</v>
      </c>
      <c r="G596" s="26">
        <v>0.1</v>
      </c>
      <c r="H596" s="26"/>
      <c r="I596" s="26">
        <v>17.079999999999998</v>
      </c>
      <c r="J596" s="27">
        <v>88.8</v>
      </c>
      <c r="M596" s="28">
        <f>ROUND(ROUND(J596, 2)*I596, 2)</f>
        <v>1516.7</v>
      </c>
      <c r="P596" s="27">
        <v>88.8</v>
      </c>
      <c r="S596" s="28">
        <f>ROUND(ROUND(P596, 2)*I596, 2)</f>
        <v>1516.7</v>
      </c>
      <c r="V596" s="9">
        <f>ROUND(ROUND(P596, 2)/1.2, 2)</f>
        <v>74</v>
      </c>
      <c r="Y596" s="9">
        <f t="shared" si="20"/>
        <v>1263.92</v>
      </c>
      <c r="AD596" s="4" t="s">
        <v>1956</v>
      </c>
      <c r="AE596" s="4" t="s">
        <v>1957</v>
      </c>
      <c r="AF596" s="4" t="s">
        <v>1010</v>
      </c>
    </row>
    <row r="597" spans="1:35" ht="18" x14ac:dyDescent="0.3">
      <c r="A597" s="10" t="s">
        <v>1958</v>
      </c>
      <c r="B597" s="10"/>
      <c r="C597" s="24" t="s">
        <v>1946</v>
      </c>
      <c r="D597" s="15"/>
      <c r="E597" s="15"/>
      <c r="F597" s="25" t="s">
        <v>278</v>
      </c>
      <c r="G597" s="26">
        <v>0.3</v>
      </c>
      <c r="H597" s="26"/>
      <c r="I597" s="26">
        <v>51.24</v>
      </c>
      <c r="J597" s="27">
        <v>938.78</v>
      </c>
      <c r="M597" s="28">
        <f>ROUND(ROUND(J597, 2)*I597, 2)</f>
        <v>48103.09</v>
      </c>
      <c r="P597" s="27">
        <v>495.9</v>
      </c>
      <c r="S597" s="28">
        <f>ROUND(ROUND(P597, 2)*I597, 2)</f>
        <v>25409.919999999998</v>
      </c>
      <c r="V597" s="9">
        <f>ROUND(ROUND(P597, 2)/1.2, 2)</f>
        <v>413.25</v>
      </c>
      <c r="Y597" s="9">
        <f t="shared" si="20"/>
        <v>21174.93</v>
      </c>
      <c r="AD597" s="4" t="s">
        <v>1959</v>
      </c>
      <c r="AE597" s="4" t="s">
        <v>1960</v>
      </c>
      <c r="AF597" s="4" t="s">
        <v>1949</v>
      </c>
    </row>
    <row r="598" spans="1:35" ht="108" x14ac:dyDescent="0.3">
      <c r="A598" s="10" t="s">
        <v>1961</v>
      </c>
      <c r="B598" s="10" t="s">
        <v>1941</v>
      </c>
      <c r="C598" s="14" t="s">
        <v>1942</v>
      </c>
      <c r="D598" s="15"/>
      <c r="E598" s="15" t="s">
        <v>1962</v>
      </c>
      <c r="F598" s="15" t="s">
        <v>62</v>
      </c>
      <c r="G598" s="16">
        <v>1</v>
      </c>
      <c r="H598" s="16"/>
      <c r="I598" s="16">
        <v>282.81</v>
      </c>
      <c r="J598" s="17">
        <f>IFERROR(ROUND(SUM(M599,M600)/I598, 2),0)</f>
        <v>295.36</v>
      </c>
      <c r="K598" s="18">
        <v>472.01</v>
      </c>
      <c r="L598" s="17">
        <f>J598+ROUND(K598, 2)</f>
        <v>767.37</v>
      </c>
      <c r="M598" s="17">
        <f>ROUND(J598*I598, 2)</f>
        <v>83530.759999999995</v>
      </c>
      <c r="N598" s="17">
        <f>ROUND(I598*ROUND(K598, 2), 2)</f>
        <v>133489.15</v>
      </c>
      <c r="O598" s="17">
        <f>M598+N598</f>
        <v>217019.90999999997</v>
      </c>
      <c r="P598" s="17">
        <f>IFERROR(ROUND(SUM(S599,S600)/I598, 2),0)</f>
        <v>73.69</v>
      </c>
      <c r="Q598" s="19">
        <v>708</v>
      </c>
      <c r="R598" s="17">
        <f>P598+ROUND(Q598, 2)</f>
        <v>781.69</v>
      </c>
      <c r="S598" s="17">
        <f>ROUND(P598*I598, 2)</f>
        <v>20840.27</v>
      </c>
      <c r="T598" s="17">
        <f>ROUND(I598*ROUND(Q598, 2), 2)</f>
        <v>200229.48</v>
      </c>
      <c r="U598" s="17">
        <f>S598+T598</f>
        <v>221069.75</v>
      </c>
      <c r="V598" s="9">
        <f>ROUND(P598 / 1.2, 2)</f>
        <v>61.41</v>
      </c>
      <c r="W598" s="9">
        <f>ROUND(Q598 / 1.2, 2)</f>
        <v>590</v>
      </c>
      <c r="X598" s="9">
        <f>ROUND(R598 / 1.2, 2)</f>
        <v>651.41</v>
      </c>
      <c r="Y598" s="9">
        <f t="shared" si="20"/>
        <v>17366.89</v>
      </c>
      <c r="Z598" s="9">
        <f>ROUND(T598 / 1.2, 2)</f>
        <v>166857.9</v>
      </c>
      <c r="AA598" s="9">
        <f>Y598+Z598</f>
        <v>184224.78999999998</v>
      </c>
      <c r="AD598" s="4">
        <v>334080718</v>
      </c>
      <c r="AE598" s="4">
        <v>29434041</v>
      </c>
      <c r="AG598" s="4" t="s">
        <v>1943</v>
      </c>
      <c r="AH598" s="4" t="s">
        <v>1944</v>
      </c>
      <c r="AI598" s="4" t="s">
        <v>250</v>
      </c>
    </row>
    <row r="599" spans="1:35" ht="36" x14ac:dyDescent="0.3">
      <c r="A599" s="10" t="s">
        <v>1963</v>
      </c>
      <c r="B599" s="10"/>
      <c r="C599" s="24" t="s">
        <v>1946</v>
      </c>
      <c r="D599" s="15"/>
      <c r="E599" s="15" t="s">
        <v>1964</v>
      </c>
      <c r="F599" s="25" t="s">
        <v>278</v>
      </c>
      <c r="G599" s="26">
        <v>0.3</v>
      </c>
      <c r="H599" s="26"/>
      <c r="I599" s="26">
        <v>84.843000000000004</v>
      </c>
      <c r="J599" s="27">
        <v>954.43</v>
      </c>
      <c r="M599" s="28">
        <f>ROUND(ROUND(J599, 2)*I599, 2)</f>
        <v>80976.7</v>
      </c>
      <c r="P599" s="29">
        <v>212.3</v>
      </c>
      <c r="S599" s="28">
        <f>ROUND(ROUND(P599, 2)*I599, 2)</f>
        <v>18012.169999999998</v>
      </c>
      <c r="V599" s="9">
        <f>ROUND(ROUND(P599, 2)/1.2, 2)</f>
        <v>176.92</v>
      </c>
      <c r="Y599" s="9">
        <f t="shared" si="20"/>
        <v>15010.14</v>
      </c>
      <c r="AD599" s="4" t="s">
        <v>1965</v>
      </c>
      <c r="AE599" s="4" t="s">
        <v>1966</v>
      </c>
      <c r="AF599" s="4" t="s">
        <v>1949</v>
      </c>
    </row>
    <row r="600" spans="1:35" ht="36" x14ac:dyDescent="0.3">
      <c r="A600" s="10" t="s">
        <v>1967</v>
      </c>
      <c r="B600" s="10"/>
      <c r="C600" s="24" t="s">
        <v>1007</v>
      </c>
      <c r="D600" s="15"/>
      <c r="E600" s="15" t="s">
        <v>1883</v>
      </c>
      <c r="F600" s="25" t="s">
        <v>278</v>
      </c>
      <c r="G600" s="26">
        <v>0.1</v>
      </c>
      <c r="H600" s="26"/>
      <c r="I600" s="26">
        <v>28.280999999999999</v>
      </c>
      <c r="J600" s="27">
        <v>90.28</v>
      </c>
      <c r="M600" s="28">
        <f>ROUND(ROUND(J600, 2)*I600, 2)</f>
        <v>2553.21</v>
      </c>
      <c r="P600" s="29">
        <v>100</v>
      </c>
      <c r="S600" s="28">
        <f>ROUND(ROUND(P600, 2)*I600, 2)</f>
        <v>2828.1</v>
      </c>
      <c r="V600" s="9">
        <f>ROUND(ROUND(P600, 2)/1.2, 2)</f>
        <v>83.33</v>
      </c>
      <c r="Y600" s="9">
        <f t="shared" si="20"/>
        <v>2356.75</v>
      </c>
      <c r="AD600" s="4" t="s">
        <v>1968</v>
      </c>
      <c r="AE600" s="4" t="s">
        <v>1969</v>
      </c>
      <c r="AF600" s="4" t="s">
        <v>1010</v>
      </c>
    </row>
    <row r="601" spans="1:35" ht="54" x14ac:dyDescent="0.3">
      <c r="A601" s="10" t="s">
        <v>1970</v>
      </c>
      <c r="B601" s="10" t="s">
        <v>1971</v>
      </c>
      <c r="C601" s="14" t="s">
        <v>1972</v>
      </c>
      <c r="D601" s="15"/>
      <c r="E601" s="15"/>
      <c r="F601" s="15" t="s">
        <v>62</v>
      </c>
      <c r="G601" s="16">
        <v>1</v>
      </c>
      <c r="H601" s="16"/>
      <c r="I601" s="16">
        <v>0</v>
      </c>
      <c r="J601" s="17">
        <v>0</v>
      </c>
      <c r="K601" s="18">
        <v>2364</v>
      </c>
      <c r="L601" s="17">
        <f>J601+ROUND(K601, 2)</f>
        <v>2364</v>
      </c>
      <c r="M601" s="17">
        <v>0</v>
      </c>
      <c r="N601" s="17">
        <v>0</v>
      </c>
      <c r="O601" s="17">
        <f>M601+N601</f>
        <v>0</v>
      </c>
      <c r="P601" s="17">
        <v>624.15</v>
      </c>
      <c r="Q601" s="18">
        <v>2364</v>
      </c>
      <c r="R601" s="17">
        <f>P601+ROUND(Q601, 2)</f>
        <v>2988.15</v>
      </c>
      <c r="S601" s="17">
        <v>0</v>
      </c>
      <c r="T601" s="17">
        <v>0</v>
      </c>
      <c r="U601" s="17">
        <f>S601+T601</f>
        <v>0</v>
      </c>
      <c r="V601" s="9">
        <f>ROUND(P601 / 1.2, 2)</f>
        <v>520.13</v>
      </c>
      <c r="W601" s="9">
        <f>ROUND(Q601 / 1.2, 2)</f>
        <v>1970</v>
      </c>
      <c r="X601" s="9">
        <f>ROUND(R601 / 1.2, 2)</f>
        <v>2490.13</v>
      </c>
      <c r="Y601" s="9">
        <f t="shared" si="20"/>
        <v>0</v>
      </c>
      <c r="Z601" s="9">
        <f>ROUND(T601 / 1.2, 2)</f>
        <v>0</v>
      </c>
      <c r="AA601" s="9">
        <f>Y601+Z601</f>
        <v>0</v>
      </c>
      <c r="AD601" s="4">
        <v>334080543</v>
      </c>
      <c r="AE601" s="4">
        <v>27245661</v>
      </c>
      <c r="AG601" s="4" t="s">
        <v>1973</v>
      </c>
      <c r="AH601" s="4" t="s">
        <v>1974</v>
      </c>
      <c r="AI601" s="4" t="s">
        <v>250</v>
      </c>
    </row>
    <row r="602" spans="1:35" ht="36" x14ac:dyDescent="0.3">
      <c r="A602" s="10" t="s">
        <v>1975</v>
      </c>
      <c r="B602" s="10"/>
      <c r="C602" s="24" t="s">
        <v>1157</v>
      </c>
      <c r="D602" s="15"/>
      <c r="E602" s="15"/>
      <c r="F602" s="25" t="s">
        <v>278</v>
      </c>
      <c r="G602" s="26">
        <v>0.25</v>
      </c>
      <c r="H602" s="31"/>
      <c r="I602" s="31">
        <v>0</v>
      </c>
      <c r="J602" s="27">
        <v>40.270000000000003</v>
      </c>
      <c r="M602" s="28">
        <f>ROUND(ROUND(J602, 2)*I602, 2)</f>
        <v>0</v>
      </c>
      <c r="P602" s="27">
        <v>40.270000000000003</v>
      </c>
      <c r="S602" s="28">
        <f>ROUND(ROUND(P602, 2)*I602, 2)</f>
        <v>0</v>
      </c>
      <c r="V602" s="9">
        <f>ROUND(ROUND(P602, 2)/1.2, 2)</f>
        <v>33.56</v>
      </c>
      <c r="Y602" s="9">
        <f t="shared" si="20"/>
        <v>0</v>
      </c>
      <c r="AD602" s="4" t="s">
        <v>1976</v>
      </c>
      <c r="AE602" s="4" t="s">
        <v>1977</v>
      </c>
      <c r="AF602" s="4" t="s">
        <v>1160</v>
      </c>
    </row>
    <row r="603" spans="1:35" ht="36" x14ac:dyDescent="0.3">
      <c r="A603" s="10" t="s">
        <v>1978</v>
      </c>
      <c r="B603" s="10"/>
      <c r="C603" s="24" t="s">
        <v>543</v>
      </c>
      <c r="D603" s="15"/>
      <c r="E603" s="15"/>
      <c r="F603" s="25" t="s">
        <v>278</v>
      </c>
      <c r="G603" s="26">
        <v>0.15</v>
      </c>
      <c r="H603" s="26"/>
      <c r="I603" s="26">
        <v>0</v>
      </c>
      <c r="J603" s="27">
        <v>68.400000000000006</v>
      </c>
      <c r="M603" s="28">
        <f>ROUND(ROUND(J603, 2)*I603, 2)</f>
        <v>0</v>
      </c>
      <c r="P603" s="27">
        <v>68.400000000000006</v>
      </c>
      <c r="S603" s="28">
        <f>ROUND(ROUND(P603, 2)*I603, 2)</f>
        <v>0</v>
      </c>
      <c r="V603" s="9">
        <f>ROUND(ROUND(P603, 2)/1.2, 2)</f>
        <v>57</v>
      </c>
      <c r="Y603" s="9">
        <f t="shared" si="20"/>
        <v>0</v>
      </c>
      <c r="AD603" s="4" t="s">
        <v>1979</v>
      </c>
      <c r="AE603" s="4" t="s">
        <v>1980</v>
      </c>
      <c r="AF603" s="4" t="s">
        <v>546</v>
      </c>
    </row>
    <row r="604" spans="1:35" ht="36" x14ac:dyDescent="0.3">
      <c r="A604" s="10" t="s">
        <v>1981</v>
      </c>
      <c r="B604" s="10"/>
      <c r="C604" s="30" t="s">
        <v>1200</v>
      </c>
      <c r="D604" s="15"/>
      <c r="E604" s="15"/>
      <c r="F604" s="25" t="s">
        <v>278</v>
      </c>
      <c r="G604" s="26">
        <v>1.2</v>
      </c>
      <c r="H604" s="31"/>
      <c r="I604" s="31">
        <v>0</v>
      </c>
      <c r="J604" s="27">
        <v>16.96</v>
      </c>
      <c r="M604" s="28">
        <f>ROUND(ROUND(J604, 2)*I604, 2)</f>
        <v>0</v>
      </c>
      <c r="P604" s="27">
        <v>16.96</v>
      </c>
      <c r="S604" s="28">
        <f>ROUND(ROUND(P604, 2)*I604, 2)</f>
        <v>0</v>
      </c>
      <c r="V604" s="9">
        <f>ROUND(ROUND(P604, 2)/1.2, 2)</f>
        <v>14.13</v>
      </c>
      <c r="Y604" s="9">
        <f t="shared" si="20"/>
        <v>0</v>
      </c>
      <c r="AD604" s="4" t="s">
        <v>1982</v>
      </c>
      <c r="AE604" s="4" t="s">
        <v>1983</v>
      </c>
      <c r="AF604" s="4" t="s">
        <v>1203</v>
      </c>
    </row>
    <row r="605" spans="1:35" ht="36" x14ac:dyDescent="0.3">
      <c r="A605" s="10" t="s">
        <v>1984</v>
      </c>
      <c r="B605" s="10"/>
      <c r="C605" s="30" t="s">
        <v>1985</v>
      </c>
      <c r="D605" s="15"/>
      <c r="E605" s="15"/>
      <c r="F605" s="25" t="s">
        <v>62</v>
      </c>
      <c r="G605" s="26">
        <v>1.07</v>
      </c>
      <c r="H605" s="31"/>
      <c r="I605" s="31">
        <v>0</v>
      </c>
      <c r="J605" s="27">
        <v>1384.95</v>
      </c>
      <c r="M605" s="28">
        <f>ROUND(ROUND(J605, 2)*I605, 2)</f>
        <v>0</v>
      </c>
      <c r="P605" s="27">
        <v>545.29999999999995</v>
      </c>
      <c r="S605" s="28">
        <f>ROUND(ROUND(P605, 2)*I605, 2)</f>
        <v>0</v>
      </c>
      <c r="V605" s="9">
        <f>ROUND(ROUND(P605, 2)/1.2, 2)</f>
        <v>454.42</v>
      </c>
      <c r="Y605" s="9">
        <f t="shared" si="20"/>
        <v>0</v>
      </c>
      <c r="AD605" s="4" t="s">
        <v>1986</v>
      </c>
      <c r="AE605" s="4" t="s">
        <v>1987</v>
      </c>
      <c r="AF605" s="4" t="s">
        <v>1988</v>
      </c>
    </row>
    <row r="606" spans="1:35" ht="54" x14ac:dyDescent="0.3">
      <c r="A606" s="10" t="s">
        <v>1989</v>
      </c>
      <c r="B606" s="10" t="s">
        <v>1971</v>
      </c>
      <c r="C606" s="14" t="s">
        <v>1972</v>
      </c>
      <c r="D606" s="15"/>
      <c r="E606" s="15"/>
      <c r="F606" s="15" t="s">
        <v>62</v>
      </c>
      <c r="G606" s="16">
        <v>1</v>
      </c>
      <c r="H606" s="16"/>
      <c r="I606" s="16">
        <v>0</v>
      </c>
      <c r="J606" s="17">
        <v>0</v>
      </c>
      <c r="K606" s="18">
        <v>2364</v>
      </c>
      <c r="L606" s="17">
        <f>J606+ROUND(K606, 2)</f>
        <v>2364</v>
      </c>
      <c r="M606" s="17">
        <v>0</v>
      </c>
      <c r="N606" s="17">
        <v>0</v>
      </c>
      <c r="O606" s="17">
        <f>M606+N606</f>
        <v>0</v>
      </c>
      <c r="P606" s="17">
        <v>1051.83</v>
      </c>
      <c r="Q606" s="18">
        <v>2364</v>
      </c>
      <c r="R606" s="17">
        <f>P606+ROUND(Q606, 2)</f>
        <v>3415.83</v>
      </c>
      <c r="S606" s="17">
        <v>0</v>
      </c>
      <c r="T606" s="17">
        <v>0</v>
      </c>
      <c r="U606" s="17">
        <f>S606+T606</f>
        <v>0</v>
      </c>
      <c r="V606" s="9">
        <f>ROUND(P606 / 1.2, 2)</f>
        <v>876.53</v>
      </c>
      <c r="W606" s="9">
        <f>ROUND(Q606 / 1.2, 2)</f>
        <v>1970</v>
      </c>
      <c r="X606" s="9">
        <f>ROUND(R606 / 1.2, 2)</f>
        <v>2846.53</v>
      </c>
      <c r="Y606" s="9">
        <f t="shared" si="20"/>
        <v>0</v>
      </c>
      <c r="Z606" s="9">
        <f>ROUND(T606 / 1.2, 2)</f>
        <v>0</v>
      </c>
      <c r="AA606" s="9">
        <f>Y606+Z606</f>
        <v>0</v>
      </c>
      <c r="AD606" s="4">
        <v>334080719</v>
      </c>
      <c r="AE606" s="4">
        <v>27245662</v>
      </c>
      <c r="AG606" s="4" t="s">
        <v>1973</v>
      </c>
      <c r="AH606" s="4" t="s">
        <v>1974</v>
      </c>
      <c r="AI606" s="4" t="s">
        <v>250</v>
      </c>
    </row>
    <row r="607" spans="1:35" ht="36" x14ac:dyDescent="0.3">
      <c r="A607" s="10" t="s">
        <v>1990</v>
      </c>
      <c r="B607" s="10"/>
      <c r="C607" s="30" t="s">
        <v>1991</v>
      </c>
      <c r="D607" s="15"/>
      <c r="E607" s="15"/>
      <c r="F607" s="25" t="s">
        <v>62</v>
      </c>
      <c r="G607" s="26">
        <v>1.07</v>
      </c>
      <c r="H607" s="31"/>
      <c r="I607" s="31">
        <v>0</v>
      </c>
      <c r="J607" s="27">
        <v>945</v>
      </c>
      <c r="M607" s="28">
        <f>ROUND(ROUND(J607, 2)*I607, 2)</f>
        <v>0</v>
      </c>
      <c r="P607" s="27">
        <v>945</v>
      </c>
      <c r="S607" s="28">
        <f>ROUND(ROUND(P607, 2)*I607, 2)</f>
        <v>0</v>
      </c>
      <c r="V607" s="9">
        <f>ROUND(ROUND(P607, 2)/1.2, 2)</f>
        <v>787.5</v>
      </c>
      <c r="Y607" s="9">
        <f t="shared" si="20"/>
        <v>0</v>
      </c>
      <c r="AD607" s="4" t="s">
        <v>1992</v>
      </c>
      <c r="AE607" s="4" t="s">
        <v>1993</v>
      </c>
      <c r="AF607" s="4" t="s">
        <v>1994</v>
      </c>
    </row>
    <row r="608" spans="1:35" ht="36" x14ac:dyDescent="0.3">
      <c r="A608" s="10" t="s">
        <v>1995</v>
      </c>
      <c r="B608" s="10"/>
      <c r="C608" s="30" t="s">
        <v>1200</v>
      </c>
      <c r="D608" s="15"/>
      <c r="E608" s="15"/>
      <c r="F608" s="25" t="s">
        <v>278</v>
      </c>
      <c r="G608" s="26">
        <v>1.2</v>
      </c>
      <c r="H608" s="31"/>
      <c r="I608" s="31">
        <v>0</v>
      </c>
      <c r="J608" s="27">
        <v>16.96</v>
      </c>
      <c r="M608" s="28">
        <f>ROUND(ROUND(J608, 2)*I608, 2)</f>
        <v>0</v>
      </c>
      <c r="P608" s="27">
        <v>16.96</v>
      </c>
      <c r="S608" s="28">
        <f>ROUND(ROUND(P608, 2)*I608, 2)</f>
        <v>0</v>
      </c>
      <c r="V608" s="9">
        <f>ROUND(ROUND(P608, 2)/1.2, 2)</f>
        <v>14.13</v>
      </c>
      <c r="Y608" s="9">
        <f t="shared" si="20"/>
        <v>0</v>
      </c>
      <c r="AD608" s="4" t="s">
        <v>1996</v>
      </c>
      <c r="AE608" s="4" t="s">
        <v>1997</v>
      </c>
      <c r="AF608" s="4" t="s">
        <v>1203</v>
      </c>
    </row>
    <row r="609" spans="1:35" ht="36" x14ac:dyDescent="0.3">
      <c r="A609" s="10" t="s">
        <v>1998</v>
      </c>
      <c r="B609" s="10"/>
      <c r="C609" s="24" t="s">
        <v>543</v>
      </c>
      <c r="D609" s="15"/>
      <c r="E609" s="15"/>
      <c r="F609" s="25" t="s">
        <v>278</v>
      </c>
      <c r="G609" s="26">
        <v>0.15</v>
      </c>
      <c r="H609" s="26"/>
      <c r="I609" s="26">
        <v>0</v>
      </c>
      <c r="J609" s="27">
        <v>68.400000000000006</v>
      </c>
      <c r="M609" s="28">
        <f>ROUND(ROUND(J609, 2)*I609, 2)</f>
        <v>0</v>
      </c>
      <c r="P609" s="27">
        <v>68.400000000000006</v>
      </c>
      <c r="S609" s="28">
        <f>ROUND(ROUND(P609, 2)*I609, 2)</f>
        <v>0</v>
      </c>
      <c r="V609" s="9">
        <f>ROUND(ROUND(P609, 2)/1.2, 2)</f>
        <v>57</v>
      </c>
      <c r="Y609" s="9">
        <f t="shared" si="20"/>
        <v>0</v>
      </c>
      <c r="AD609" s="4" t="s">
        <v>1999</v>
      </c>
      <c r="AE609" s="4" t="s">
        <v>2000</v>
      </c>
      <c r="AF609" s="4" t="s">
        <v>546</v>
      </c>
    </row>
    <row r="610" spans="1:35" ht="36" x14ac:dyDescent="0.3">
      <c r="A610" s="10" t="s">
        <v>2001</v>
      </c>
      <c r="B610" s="10"/>
      <c r="C610" s="24" t="s">
        <v>1157</v>
      </c>
      <c r="D610" s="15"/>
      <c r="E610" s="15"/>
      <c r="F610" s="25" t="s">
        <v>278</v>
      </c>
      <c r="G610" s="26">
        <v>0.25</v>
      </c>
      <c r="H610" s="31"/>
      <c r="I610" s="31">
        <v>0</v>
      </c>
      <c r="J610" s="27">
        <v>40.270000000000003</v>
      </c>
      <c r="M610" s="28">
        <f>ROUND(ROUND(J610, 2)*I610, 2)</f>
        <v>0</v>
      </c>
      <c r="P610" s="27">
        <v>40.270000000000003</v>
      </c>
      <c r="S610" s="28">
        <f>ROUND(ROUND(P610, 2)*I610, 2)</f>
        <v>0</v>
      </c>
      <c r="V610" s="9">
        <f>ROUND(ROUND(P610, 2)/1.2, 2)</f>
        <v>33.56</v>
      </c>
      <c r="Y610" s="9">
        <f t="shared" si="20"/>
        <v>0</v>
      </c>
      <c r="AD610" s="4" t="s">
        <v>2002</v>
      </c>
      <c r="AE610" s="4" t="s">
        <v>2003</v>
      </c>
      <c r="AF610" s="4" t="s">
        <v>1160</v>
      </c>
    </row>
    <row r="611" spans="1:35" ht="54" x14ac:dyDescent="0.3">
      <c r="A611" s="10" t="s">
        <v>2004</v>
      </c>
      <c r="B611" s="10" t="s">
        <v>1971</v>
      </c>
      <c r="C611" s="14" t="s">
        <v>1972</v>
      </c>
      <c r="D611" s="15"/>
      <c r="E611" s="15"/>
      <c r="F611" s="15" t="s">
        <v>62</v>
      </c>
      <c r="G611" s="16">
        <v>1</v>
      </c>
      <c r="H611" s="16"/>
      <c r="I611" s="16">
        <v>0</v>
      </c>
      <c r="J611" s="17">
        <v>0</v>
      </c>
      <c r="K611" s="18">
        <v>2364</v>
      </c>
      <c r="L611" s="17">
        <f>J611+ROUND(K611, 2)</f>
        <v>2364</v>
      </c>
      <c r="M611" s="17">
        <v>0</v>
      </c>
      <c r="N611" s="17">
        <v>0</v>
      </c>
      <c r="O611" s="17">
        <f>M611+N611</f>
        <v>0</v>
      </c>
      <c r="P611" s="17">
        <v>1522.58</v>
      </c>
      <c r="Q611" s="18">
        <v>2364</v>
      </c>
      <c r="R611" s="17">
        <f>P611+ROUND(Q611, 2)</f>
        <v>3886.58</v>
      </c>
      <c r="S611" s="17">
        <v>0</v>
      </c>
      <c r="T611" s="17">
        <v>0</v>
      </c>
      <c r="U611" s="17">
        <f>S611+T611</f>
        <v>0</v>
      </c>
      <c r="V611" s="9">
        <f>ROUND(P611 / 1.2, 2)</f>
        <v>1268.82</v>
      </c>
      <c r="W611" s="9">
        <f>ROUND(Q611 / 1.2, 2)</f>
        <v>1970</v>
      </c>
      <c r="X611" s="9">
        <f>ROUND(R611 / 1.2, 2)</f>
        <v>3238.82</v>
      </c>
      <c r="Y611" s="9">
        <f t="shared" si="20"/>
        <v>0</v>
      </c>
      <c r="Z611" s="9">
        <f>ROUND(T611 / 1.2, 2)</f>
        <v>0</v>
      </c>
      <c r="AA611" s="9">
        <f>Y611+Z611</f>
        <v>0</v>
      </c>
      <c r="AD611" s="4">
        <v>334080720</v>
      </c>
      <c r="AE611" s="4">
        <v>27245663</v>
      </c>
      <c r="AG611" s="4" t="s">
        <v>1973</v>
      </c>
      <c r="AH611" s="4" t="s">
        <v>1974</v>
      </c>
      <c r="AI611" s="4" t="s">
        <v>250</v>
      </c>
    </row>
    <row r="612" spans="1:35" ht="36" x14ac:dyDescent="0.3">
      <c r="A612" s="10" t="s">
        <v>2005</v>
      </c>
      <c r="B612" s="10"/>
      <c r="C612" s="24" t="s">
        <v>1157</v>
      </c>
      <c r="D612" s="15"/>
      <c r="E612" s="15"/>
      <c r="F612" s="25" t="s">
        <v>278</v>
      </c>
      <c r="G612" s="26">
        <v>0.25</v>
      </c>
      <c r="H612" s="31"/>
      <c r="I612" s="31">
        <v>0</v>
      </c>
      <c r="J612" s="27">
        <v>40.270000000000003</v>
      </c>
      <c r="M612" s="28">
        <f>ROUND(ROUND(J612, 2)*I612, 2)</f>
        <v>0</v>
      </c>
      <c r="P612" s="27">
        <v>40.270000000000003</v>
      </c>
      <c r="S612" s="28">
        <f>ROUND(ROUND(P612, 2)*I612, 2)</f>
        <v>0</v>
      </c>
      <c r="V612" s="9">
        <f>ROUND(ROUND(P612, 2)/1.2, 2)</f>
        <v>33.56</v>
      </c>
      <c r="Y612" s="9">
        <f t="shared" ref="Y612:Y675" si="21">ROUND(S612 / 1.2, 2)</f>
        <v>0</v>
      </c>
      <c r="AD612" s="4" t="s">
        <v>2006</v>
      </c>
      <c r="AE612" s="4" t="s">
        <v>2007</v>
      </c>
      <c r="AF612" s="4" t="s">
        <v>1160</v>
      </c>
    </row>
    <row r="613" spans="1:35" ht="36" x14ac:dyDescent="0.3">
      <c r="A613" s="10" t="s">
        <v>2008</v>
      </c>
      <c r="B613" s="10"/>
      <c r="C613" s="24" t="s">
        <v>543</v>
      </c>
      <c r="D613" s="15"/>
      <c r="E613" s="15"/>
      <c r="F613" s="25" t="s">
        <v>278</v>
      </c>
      <c r="G613" s="26">
        <v>0.15</v>
      </c>
      <c r="H613" s="26"/>
      <c r="I613" s="26">
        <v>0</v>
      </c>
      <c r="J613" s="27">
        <v>68.400000000000006</v>
      </c>
      <c r="M613" s="28">
        <f>ROUND(ROUND(J613, 2)*I613, 2)</f>
        <v>0</v>
      </c>
      <c r="P613" s="27">
        <v>68.400000000000006</v>
      </c>
      <c r="S613" s="28">
        <f>ROUND(ROUND(P613, 2)*I613, 2)</f>
        <v>0</v>
      </c>
      <c r="V613" s="9">
        <f>ROUND(ROUND(P613, 2)/1.2, 2)</f>
        <v>57</v>
      </c>
      <c r="Y613" s="9">
        <f t="shared" si="21"/>
        <v>0</v>
      </c>
      <c r="AD613" s="4" t="s">
        <v>2009</v>
      </c>
      <c r="AE613" s="4" t="s">
        <v>2010</v>
      </c>
      <c r="AF613" s="4" t="s">
        <v>546</v>
      </c>
    </row>
    <row r="614" spans="1:35" ht="36" x14ac:dyDescent="0.3">
      <c r="A614" s="10" t="s">
        <v>2011</v>
      </c>
      <c r="B614" s="10"/>
      <c r="C614" s="30" t="s">
        <v>1200</v>
      </c>
      <c r="D614" s="15"/>
      <c r="E614" s="15"/>
      <c r="F614" s="25" t="s">
        <v>278</v>
      </c>
      <c r="G614" s="26">
        <v>1.2</v>
      </c>
      <c r="H614" s="31"/>
      <c r="I614" s="31">
        <v>0</v>
      </c>
      <c r="J614" s="27">
        <v>16.96</v>
      </c>
      <c r="M614" s="28">
        <f>ROUND(ROUND(J614, 2)*I614, 2)</f>
        <v>0</v>
      </c>
      <c r="P614" s="27">
        <v>16.96</v>
      </c>
      <c r="S614" s="28">
        <f>ROUND(ROUND(P614, 2)*I614, 2)</f>
        <v>0</v>
      </c>
      <c r="V614" s="9">
        <f>ROUND(ROUND(P614, 2)/1.2, 2)</f>
        <v>14.13</v>
      </c>
      <c r="Y614" s="9">
        <f t="shared" si="21"/>
        <v>0</v>
      </c>
      <c r="AD614" s="4" t="s">
        <v>2012</v>
      </c>
      <c r="AE614" s="4" t="s">
        <v>2013</v>
      </c>
      <c r="AF614" s="4" t="s">
        <v>1203</v>
      </c>
    </row>
    <row r="615" spans="1:35" ht="36" x14ac:dyDescent="0.3">
      <c r="A615" s="10" t="s">
        <v>2014</v>
      </c>
      <c r="B615" s="10"/>
      <c r="C615" s="30" t="s">
        <v>1985</v>
      </c>
      <c r="D615" s="15"/>
      <c r="E615" s="15"/>
      <c r="F615" s="25" t="s">
        <v>62</v>
      </c>
      <c r="G615" s="26">
        <v>1.07</v>
      </c>
      <c r="H615" s="31"/>
      <c r="I615" s="31">
        <v>0</v>
      </c>
      <c r="J615" s="27">
        <v>1384.95</v>
      </c>
      <c r="M615" s="28">
        <f>ROUND(ROUND(J615, 2)*I615, 2)</f>
        <v>0</v>
      </c>
      <c r="P615" s="27">
        <v>1384.95</v>
      </c>
      <c r="S615" s="28">
        <f>ROUND(ROUND(P615, 2)*I615, 2)</f>
        <v>0</v>
      </c>
      <c r="V615" s="9">
        <f>ROUND(ROUND(P615, 2)/1.2, 2)</f>
        <v>1154.1300000000001</v>
      </c>
      <c r="Y615" s="9">
        <f t="shared" si="21"/>
        <v>0</v>
      </c>
      <c r="AD615" s="4" t="s">
        <v>2015</v>
      </c>
      <c r="AE615" s="4" t="s">
        <v>2016</v>
      </c>
      <c r="AF615" s="4" t="s">
        <v>1988</v>
      </c>
    </row>
    <row r="616" spans="1:35" ht="54" x14ac:dyDescent="0.3">
      <c r="A616" s="10" t="s">
        <v>2017</v>
      </c>
      <c r="B616" s="10" t="s">
        <v>1971</v>
      </c>
      <c r="C616" s="14" t="s">
        <v>1972</v>
      </c>
      <c r="D616" s="15"/>
      <c r="E616" s="15" t="s">
        <v>2018</v>
      </c>
      <c r="F616" s="15" t="s">
        <v>62</v>
      </c>
      <c r="G616" s="16">
        <v>1</v>
      </c>
      <c r="H616" s="16"/>
      <c r="I616" s="16">
        <v>1163</v>
      </c>
      <c r="J616" s="17">
        <v>1521.58</v>
      </c>
      <c r="K616" s="18">
        <v>2364</v>
      </c>
      <c r="L616" s="17">
        <f>J616+ROUND(K616, 2)</f>
        <v>3885.58</v>
      </c>
      <c r="M616" s="17">
        <v>1769597.54</v>
      </c>
      <c r="N616" s="17">
        <v>2749332</v>
      </c>
      <c r="O616" s="17">
        <f>M616+N616</f>
        <v>4518929.54</v>
      </c>
      <c r="P616" s="17">
        <v>623.13</v>
      </c>
      <c r="Q616" s="18">
        <v>3546</v>
      </c>
      <c r="R616" s="17">
        <f>P616+ROUND(Q616, 2)</f>
        <v>4169.13</v>
      </c>
      <c r="S616" s="17">
        <v>724700.19</v>
      </c>
      <c r="T616" s="17">
        <v>4123998</v>
      </c>
      <c r="U616" s="17">
        <f>S616+T616</f>
        <v>4848698.1899999995</v>
      </c>
      <c r="V616" s="9">
        <f>ROUND(P616 / 1.2, 2)</f>
        <v>519.28</v>
      </c>
      <c r="W616" s="9">
        <f>ROUND(Q616 / 1.2, 2)</f>
        <v>2955</v>
      </c>
      <c r="X616" s="9">
        <f>ROUND(R616 / 1.2, 2)</f>
        <v>3474.28</v>
      </c>
      <c r="Y616" s="9">
        <f t="shared" si="21"/>
        <v>603916.82999999996</v>
      </c>
      <c r="Z616" s="9">
        <f>ROUND(T616 / 1.2, 2)</f>
        <v>3436665</v>
      </c>
      <c r="AA616" s="9">
        <f>Y616+Z616</f>
        <v>4040581.83</v>
      </c>
      <c r="AD616" s="4">
        <v>334080721</v>
      </c>
      <c r="AE616" s="4">
        <v>27245760</v>
      </c>
      <c r="AG616" s="4" t="s">
        <v>1973</v>
      </c>
      <c r="AH616" s="4" t="s">
        <v>1974</v>
      </c>
      <c r="AI616" s="4" t="s">
        <v>250</v>
      </c>
    </row>
    <row r="617" spans="1:35" ht="72" x14ac:dyDescent="0.3">
      <c r="A617" s="10" t="s">
        <v>2019</v>
      </c>
      <c r="B617" s="10"/>
      <c r="C617" s="30" t="s">
        <v>1985</v>
      </c>
      <c r="D617" s="15"/>
      <c r="E617" s="15" t="s">
        <v>1173</v>
      </c>
      <c r="F617" s="25" t="s">
        <v>62</v>
      </c>
      <c r="G617" s="26">
        <v>1.07</v>
      </c>
      <c r="H617" s="31"/>
      <c r="I617" s="31">
        <v>1244.4100000000001</v>
      </c>
      <c r="J617" s="27">
        <v>1384.96</v>
      </c>
      <c r="M617" s="28">
        <f>ROUND(ROUND(J617, 2)*I617, 2)</f>
        <v>1723458.07</v>
      </c>
      <c r="P617" s="27">
        <v>545.29999999999995</v>
      </c>
      <c r="S617" s="28">
        <f>ROUND(ROUND(P617, 2)*I617, 2)</f>
        <v>678576.77</v>
      </c>
      <c r="V617" s="9">
        <f>ROUND(ROUND(P617, 2)/1.2, 2)</f>
        <v>454.42</v>
      </c>
      <c r="Y617" s="9">
        <f t="shared" si="21"/>
        <v>565480.64</v>
      </c>
      <c r="AD617" s="4" t="s">
        <v>2020</v>
      </c>
      <c r="AE617" s="4" t="s">
        <v>2021</v>
      </c>
      <c r="AF617" s="4" t="s">
        <v>1988</v>
      </c>
    </row>
    <row r="618" spans="1:35" ht="36" x14ac:dyDescent="0.3">
      <c r="A618" s="10" t="s">
        <v>2022</v>
      </c>
      <c r="B618" s="10"/>
      <c r="C618" s="30" t="s">
        <v>1200</v>
      </c>
      <c r="D618" s="15"/>
      <c r="E618" s="15"/>
      <c r="F618" s="25" t="s">
        <v>278</v>
      </c>
      <c r="G618" s="26">
        <v>1.2</v>
      </c>
      <c r="H618" s="31"/>
      <c r="I618" s="31">
        <v>1395.6</v>
      </c>
      <c r="J618" s="27">
        <v>16.12</v>
      </c>
      <c r="M618" s="28">
        <f>ROUND(ROUND(J618, 2)*I618, 2)</f>
        <v>22497.07</v>
      </c>
      <c r="P618" s="27">
        <v>16.11</v>
      </c>
      <c r="S618" s="28">
        <f>ROUND(ROUND(P618, 2)*I618, 2)</f>
        <v>22483.119999999999</v>
      </c>
      <c r="V618" s="9">
        <f>ROUND(ROUND(P618, 2)/1.2, 2)</f>
        <v>13.43</v>
      </c>
      <c r="Y618" s="9">
        <f t="shared" si="21"/>
        <v>18735.93</v>
      </c>
      <c r="AD618" s="4" t="s">
        <v>2023</v>
      </c>
      <c r="AE618" s="4" t="s">
        <v>2024</v>
      </c>
      <c r="AF618" s="4" t="s">
        <v>1203</v>
      </c>
    </row>
    <row r="619" spans="1:35" ht="36" x14ac:dyDescent="0.3">
      <c r="A619" s="10" t="s">
        <v>2025</v>
      </c>
      <c r="B619" s="10"/>
      <c r="C619" s="24" t="s">
        <v>543</v>
      </c>
      <c r="D619" s="15"/>
      <c r="E619" s="15"/>
      <c r="F619" s="25" t="s">
        <v>278</v>
      </c>
      <c r="G619" s="26">
        <v>0.15</v>
      </c>
      <c r="H619" s="26"/>
      <c r="I619" s="26">
        <v>174.45</v>
      </c>
      <c r="J619" s="27">
        <v>68.400000000000006</v>
      </c>
      <c r="M619" s="28">
        <f>ROUND(ROUND(J619, 2)*I619, 2)</f>
        <v>11932.38</v>
      </c>
      <c r="P619" s="27">
        <v>68.400000000000006</v>
      </c>
      <c r="S619" s="28">
        <f>ROUND(ROUND(P619, 2)*I619, 2)</f>
        <v>11932.38</v>
      </c>
      <c r="V619" s="9">
        <f>ROUND(ROUND(P619, 2)/1.2, 2)</f>
        <v>57</v>
      </c>
      <c r="Y619" s="9">
        <f t="shared" si="21"/>
        <v>9943.65</v>
      </c>
      <c r="AD619" s="4" t="s">
        <v>2026</v>
      </c>
      <c r="AE619" s="4" t="s">
        <v>2027</v>
      </c>
      <c r="AF619" s="4" t="s">
        <v>546</v>
      </c>
    </row>
    <row r="620" spans="1:35" ht="36" x14ac:dyDescent="0.3">
      <c r="A620" s="10" t="s">
        <v>2028</v>
      </c>
      <c r="B620" s="10"/>
      <c r="C620" s="24" t="s">
        <v>1157</v>
      </c>
      <c r="D620" s="15"/>
      <c r="E620" s="15"/>
      <c r="F620" s="25" t="s">
        <v>278</v>
      </c>
      <c r="G620" s="26">
        <v>0.25</v>
      </c>
      <c r="H620" s="31"/>
      <c r="I620" s="31">
        <v>290.75</v>
      </c>
      <c r="J620" s="27">
        <v>40.270000000000003</v>
      </c>
      <c r="M620" s="28">
        <f>ROUND(ROUND(J620, 2)*I620, 2)</f>
        <v>11708.5</v>
      </c>
      <c r="P620" s="27">
        <v>40.270000000000003</v>
      </c>
      <c r="S620" s="28">
        <f>ROUND(ROUND(P620, 2)*I620, 2)</f>
        <v>11708.5</v>
      </c>
      <c r="V620" s="9">
        <f>ROUND(ROUND(P620, 2)/1.2, 2)</f>
        <v>33.56</v>
      </c>
      <c r="Y620" s="9">
        <f t="shared" si="21"/>
        <v>9757.08</v>
      </c>
      <c r="AD620" s="4" t="s">
        <v>2029</v>
      </c>
      <c r="AE620" s="4" t="s">
        <v>2030</v>
      </c>
      <c r="AF620" s="4" t="s">
        <v>1160</v>
      </c>
    </row>
    <row r="621" spans="1:35" ht="54" x14ac:dyDescent="0.3">
      <c r="A621" s="10" t="s">
        <v>2031</v>
      </c>
      <c r="B621" s="10" t="s">
        <v>1971</v>
      </c>
      <c r="C621" s="14" t="s">
        <v>1972</v>
      </c>
      <c r="D621" s="15"/>
      <c r="E621" s="15" t="s">
        <v>2032</v>
      </c>
      <c r="F621" s="15" t="s">
        <v>62</v>
      </c>
      <c r="G621" s="16">
        <v>1</v>
      </c>
      <c r="H621" s="16"/>
      <c r="I621" s="16">
        <v>593.5</v>
      </c>
      <c r="J621" s="17">
        <v>1050.82</v>
      </c>
      <c r="K621" s="18">
        <v>2364</v>
      </c>
      <c r="L621" s="17">
        <f>J621+ROUND(K621, 2)</f>
        <v>3414.8199999999997</v>
      </c>
      <c r="M621" s="17">
        <v>623661.67000000004</v>
      </c>
      <c r="N621" s="17">
        <v>1403034</v>
      </c>
      <c r="O621" s="17">
        <f>M621+N621</f>
        <v>2026695.67</v>
      </c>
      <c r="P621" s="17">
        <v>1050.81</v>
      </c>
      <c r="Q621" s="18">
        <v>3546</v>
      </c>
      <c r="R621" s="17">
        <f>P621+ROUND(Q621, 2)</f>
        <v>4596.8099999999995</v>
      </c>
      <c r="S621" s="17">
        <v>623655.74</v>
      </c>
      <c r="T621" s="17">
        <v>2104551</v>
      </c>
      <c r="U621" s="17">
        <f>S621+T621</f>
        <v>2728206.74</v>
      </c>
      <c r="V621" s="9">
        <f>ROUND(P621 / 1.2, 2)</f>
        <v>875.68</v>
      </c>
      <c r="W621" s="9">
        <f>ROUND(Q621 / 1.2, 2)</f>
        <v>2955</v>
      </c>
      <c r="X621" s="9">
        <f>ROUND(R621 / 1.2, 2)</f>
        <v>3830.68</v>
      </c>
      <c r="Y621" s="9">
        <f t="shared" si="21"/>
        <v>519713.12</v>
      </c>
      <c r="Z621" s="9">
        <f>ROUND(T621 / 1.2, 2)</f>
        <v>1753792.5</v>
      </c>
      <c r="AA621" s="9">
        <f>Y621+Z621</f>
        <v>2273505.62</v>
      </c>
      <c r="AD621" s="4">
        <v>334080722</v>
      </c>
      <c r="AE621" s="4">
        <v>27245750</v>
      </c>
      <c r="AG621" s="4" t="s">
        <v>1973</v>
      </c>
      <c r="AH621" s="4" t="s">
        <v>1974</v>
      </c>
      <c r="AI621" s="4" t="s">
        <v>250</v>
      </c>
    </row>
    <row r="622" spans="1:35" ht="36" x14ac:dyDescent="0.3">
      <c r="A622" s="10" t="s">
        <v>2033</v>
      </c>
      <c r="B622" s="10"/>
      <c r="C622" s="24" t="s">
        <v>1157</v>
      </c>
      <c r="D622" s="15"/>
      <c r="E622" s="15"/>
      <c r="F622" s="25" t="s">
        <v>278</v>
      </c>
      <c r="G622" s="26">
        <v>0.25</v>
      </c>
      <c r="H622" s="31"/>
      <c r="I622" s="31">
        <v>148.375</v>
      </c>
      <c r="J622" s="27">
        <v>40.270000000000003</v>
      </c>
      <c r="M622" s="28">
        <f>ROUND(ROUND(J622, 2)*I622, 2)</f>
        <v>5975.06</v>
      </c>
      <c r="P622" s="27">
        <v>40.270000000000003</v>
      </c>
      <c r="S622" s="28">
        <f>ROUND(ROUND(P622, 2)*I622, 2)</f>
        <v>5975.06</v>
      </c>
      <c r="V622" s="9">
        <f>ROUND(ROUND(P622, 2)/1.2, 2)</f>
        <v>33.56</v>
      </c>
      <c r="Y622" s="9">
        <f t="shared" si="21"/>
        <v>4979.22</v>
      </c>
      <c r="AD622" s="4" t="s">
        <v>2034</v>
      </c>
      <c r="AE622" s="4" t="s">
        <v>2035</v>
      </c>
      <c r="AF622" s="4" t="s">
        <v>1160</v>
      </c>
    </row>
    <row r="623" spans="1:35" ht="36" x14ac:dyDescent="0.3">
      <c r="A623" s="10" t="s">
        <v>2036</v>
      </c>
      <c r="B623" s="10"/>
      <c r="C623" s="24" t="s">
        <v>543</v>
      </c>
      <c r="D623" s="15"/>
      <c r="E623" s="15"/>
      <c r="F623" s="25" t="s">
        <v>278</v>
      </c>
      <c r="G623" s="26">
        <v>0.15</v>
      </c>
      <c r="H623" s="26"/>
      <c r="I623" s="26">
        <v>89.025000000000006</v>
      </c>
      <c r="J623" s="27">
        <v>68.400000000000006</v>
      </c>
      <c r="M623" s="28">
        <f>ROUND(ROUND(J623, 2)*I623, 2)</f>
        <v>6089.31</v>
      </c>
      <c r="P623" s="27">
        <v>68.400000000000006</v>
      </c>
      <c r="S623" s="28">
        <f>ROUND(ROUND(P623, 2)*I623, 2)</f>
        <v>6089.31</v>
      </c>
      <c r="V623" s="9">
        <f>ROUND(ROUND(P623, 2)/1.2, 2)</f>
        <v>57</v>
      </c>
      <c r="Y623" s="9">
        <f t="shared" si="21"/>
        <v>5074.43</v>
      </c>
      <c r="AD623" s="4" t="s">
        <v>2037</v>
      </c>
      <c r="AE623" s="4" t="s">
        <v>2038</v>
      </c>
      <c r="AF623" s="4" t="s">
        <v>546</v>
      </c>
    </row>
    <row r="624" spans="1:35" ht="36" x14ac:dyDescent="0.3">
      <c r="A624" s="10" t="s">
        <v>2039</v>
      </c>
      <c r="B624" s="10"/>
      <c r="C624" s="30" t="s">
        <v>1200</v>
      </c>
      <c r="D624" s="15"/>
      <c r="E624" s="15"/>
      <c r="F624" s="25" t="s">
        <v>278</v>
      </c>
      <c r="G624" s="26">
        <v>1.2</v>
      </c>
      <c r="H624" s="31"/>
      <c r="I624" s="31">
        <v>712.2</v>
      </c>
      <c r="J624" s="27">
        <v>16.12</v>
      </c>
      <c r="M624" s="28">
        <f>ROUND(ROUND(J624, 2)*I624, 2)</f>
        <v>11480.66</v>
      </c>
      <c r="P624" s="27">
        <v>16.11</v>
      </c>
      <c r="S624" s="28">
        <f>ROUND(ROUND(P624, 2)*I624, 2)</f>
        <v>11473.54</v>
      </c>
      <c r="V624" s="9">
        <f>ROUND(ROUND(P624, 2)/1.2, 2)</f>
        <v>13.43</v>
      </c>
      <c r="Y624" s="9">
        <f t="shared" si="21"/>
        <v>9561.2800000000007</v>
      </c>
      <c r="AD624" s="4" t="s">
        <v>2040</v>
      </c>
      <c r="AE624" s="4" t="s">
        <v>2041</v>
      </c>
      <c r="AF624" s="4" t="s">
        <v>1203</v>
      </c>
    </row>
    <row r="625" spans="1:35" ht="36" x14ac:dyDescent="0.3">
      <c r="A625" s="10" t="s">
        <v>2042</v>
      </c>
      <c r="B625" s="10"/>
      <c r="C625" s="30" t="s">
        <v>1991</v>
      </c>
      <c r="D625" s="15"/>
      <c r="E625" s="15"/>
      <c r="F625" s="25" t="s">
        <v>62</v>
      </c>
      <c r="G625" s="26">
        <v>1.07</v>
      </c>
      <c r="H625" s="31"/>
      <c r="I625" s="31">
        <v>635.04499999999996</v>
      </c>
      <c r="J625" s="27">
        <v>945</v>
      </c>
      <c r="M625" s="28">
        <f>ROUND(ROUND(J625, 2)*I625, 2)</f>
        <v>600117.53</v>
      </c>
      <c r="P625" s="27">
        <v>945</v>
      </c>
      <c r="S625" s="28">
        <f>ROUND(ROUND(P625, 2)*I625, 2)</f>
        <v>600117.53</v>
      </c>
      <c r="V625" s="9">
        <f>ROUND(ROUND(P625, 2)/1.2, 2)</f>
        <v>787.5</v>
      </c>
      <c r="Y625" s="9">
        <f t="shared" si="21"/>
        <v>500097.94</v>
      </c>
      <c r="AD625" s="4" t="s">
        <v>2043</v>
      </c>
      <c r="AE625" s="4" t="s">
        <v>2044</v>
      </c>
      <c r="AF625" s="4" t="s">
        <v>1994</v>
      </c>
    </row>
    <row r="626" spans="1:35" ht="54" x14ac:dyDescent="0.3">
      <c r="A626" s="10" t="s">
        <v>2045</v>
      </c>
      <c r="B626" s="10" t="s">
        <v>1971</v>
      </c>
      <c r="C626" s="14" t="s">
        <v>1972</v>
      </c>
      <c r="D626" s="15"/>
      <c r="E626" s="15" t="s">
        <v>2046</v>
      </c>
      <c r="F626" s="15" t="s">
        <v>62</v>
      </c>
      <c r="G626" s="16">
        <v>1</v>
      </c>
      <c r="H626" s="16"/>
      <c r="I626" s="16">
        <v>46</v>
      </c>
      <c r="J626" s="17">
        <v>1521.58</v>
      </c>
      <c r="K626" s="18">
        <v>2364</v>
      </c>
      <c r="L626" s="17">
        <f>J626+ROUND(K626, 2)</f>
        <v>3885.58</v>
      </c>
      <c r="M626" s="17">
        <v>69992.679999999993</v>
      </c>
      <c r="N626" s="17">
        <v>108744</v>
      </c>
      <c r="O626" s="17">
        <f>M626+N626</f>
        <v>178736.68</v>
      </c>
      <c r="P626" s="17">
        <v>1521.56</v>
      </c>
      <c r="Q626" s="18">
        <v>3546</v>
      </c>
      <c r="R626" s="17">
        <f>P626+ROUND(Q626, 2)</f>
        <v>5067.5599999999995</v>
      </c>
      <c r="S626" s="17">
        <v>69991.759999999995</v>
      </c>
      <c r="T626" s="17">
        <v>163116</v>
      </c>
      <c r="U626" s="17">
        <f>S626+T626</f>
        <v>233107.76</v>
      </c>
      <c r="V626" s="9">
        <f>ROUND(P626 / 1.2, 2)</f>
        <v>1267.97</v>
      </c>
      <c r="W626" s="9">
        <f>ROUND(Q626 / 1.2, 2)</f>
        <v>2955</v>
      </c>
      <c r="X626" s="9">
        <f>ROUND(R626 / 1.2, 2)</f>
        <v>4222.97</v>
      </c>
      <c r="Y626" s="9">
        <f t="shared" si="21"/>
        <v>58326.47</v>
      </c>
      <c r="Z626" s="9">
        <f>ROUND(T626 / 1.2, 2)</f>
        <v>135930</v>
      </c>
      <c r="AA626" s="9">
        <f>Y626+Z626</f>
        <v>194256.47</v>
      </c>
      <c r="AD626" s="4">
        <v>334080723</v>
      </c>
      <c r="AE626" s="4">
        <v>27245727</v>
      </c>
      <c r="AG626" s="4" t="s">
        <v>1973</v>
      </c>
      <c r="AH626" s="4" t="s">
        <v>1974</v>
      </c>
      <c r="AI626" s="4" t="s">
        <v>250</v>
      </c>
    </row>
    <row r="627" spans="1:35" ht="36" x14ac:dyDescent="0.3">
      <c r="A627" s="10" t="s">
        <v>2047</v>
      </c>
      <c r="B627" s="10"/>
      <c r="C627" s="30" t="s">
        <v>1985</v>
      </c>
      <c r="D627" s="15"/>
      <c r="E627" s="15"/>
      <c r="F627" s="25" t="s">
        <v>62</v>
      </c>
      <c r="G627" s="26">
        <v>1.07</v>
      </c>
      <c r="H627" s="31"/>
      <c r="I627" s="31">
        <v>49.22</v>
      </c>
      <c r="J627" s="27">
        <v>1384.96</v>
      </c>
      <c r="M627" s="28">
        <f>ROUND(ROUND(J627, 2)*I627, 2)</f>
        <v>68167.73</v>
      </c>
      <c r="P627" s="27">
        <v>1384.95</v>
      </c>
      <c r="S627" s="28">
        <f>ROUND(ROUND(P627, 2)*I627, 2)</f>
        <v>68167.240000000005</v>
      </c>
      <c r="V627" s="9">
        <f>ROUND(ROUND(P627, 2)/1.2, 2)</f>
        <v>1154.1300000000001</v>
      </c>
      <c r="Y627" s="9">
        <f t="shared" si="21"/>
        <v>56806.03</v>
      </c>
      <c r="AD627" s="4" t="s">
        <v>2048</v>
      </c>
      <c r="AE627" s="4" t="s">
        <v>2049</v>
      </c>
      <c r="AF627" s="4" t="s">
        <v>1988</v>
      </c>
    </row>
    <row r="628" spans="1:35" ht="36" x14ac:dyDescent="0.3">
      <c r="A628" s="10" t="s">
        <v>2050</v>
      </c>
      <c r="B628" s="10"/>
      <c r="C628" s="30" t="s">
        <v>1200</v>
      </c>
      <c r="D628" s="15"/>
      <c r="E628" s="15"/>
      <c r="F628" s="25" t="s">
        <v>278</v>
      </c>
      <c r="G628" s="26">
        <v>1.2</v>
      </c>
      <c r="H628" s="31"/>
      <c r="I628" s="31">
        <v>55.2</v>
      </c>
      <c r="J628" s="27">
        <v>16.12</v>
      </c>
      <c r="M628" s="28">
        <f>ROUND(ROUND(J628, 2)*I628, 2)</f>
        <v>889.82</v>
      </c>
      <c r="P628" s="27">
        <v>16.11</v>
      </c>
      <c r="S628" s="28">
        <f>ROUND(ROUND(P628, 2)*I628, 2)</f>
        <v>889.27</v>
      </c>
      <c r="V628" s="9">
        <f>ROUND(ROUND(P628, 2)/1.2, 2)</f>
        <v>13.43</v>
      </c>
      <c r="Y628" s="9">
        <f t="shared" si="21"/>
        <v>741.06</v>
      </c>
      <c r="AD628" s="4" t="s">
        <v>2051</v>
      </c>
      <c r="AE628" s="4" t="s">
        <v>2052</v>
      </c>
      <c r="AF628" s="4" t="s">
        <v>1203</v>
      </c>
    </row>
    <row r="629" spans="1:35" ht="36" x14ac:dyDescent="0.3">
      <c r="A629" s="10" t="s">
        <v>2053</v>
      </c>
      <c r="B629" s="10"/>
      <c r="C629" s="24" t="s">
        <v>543</v>
      </c>
      <c r="D629" s="15"/>
      <c r="E629" s="15"/>
      <c r="F629" s="25" t="s">
        <v>278</v>
      </c>
      <c r="G629" s="26">
        <v>0.15</v>
      </c>
      <c r="H629" s="26"/>
      <c r="I629" s="26">
        <v>6.9</v>
      </c>
      <c r="J629" s="27">
        <v>68.400000000000006</v>
      </c>
      <c r="M629" s="28">
        <f>ROUND(ROUND(J629, 2)*I629, 2)</f>
        <v>471.96</v>
      </c>
      <c r="P629" s="27">
        <v>68.400000000000006</v>
      </c>
      <c r="S629" s="28">
        <f>ROUND(ROUND(P629, 2)*I629, 2)</f>
        <v>471.96</v>
      </c>
      <c r="V629" s="9">
        <f>ROUND(ROUND(P629, 2)/1.2, 2)</f>
        <v>57</v>
      </c>
      <c r="Y629" s="9">
        <f t="shared" si="21"/>
        <v>393.3</v>
      </c>
      <c r="AD629" s="4" t="s">
        <v>2054</v>
      </c>
      <c r="AE629" s="4" t="s">
        <v>2055</v>
      </c>
      <c r="AF629" s="4" t="s">
        <v>546</v>
      </c>
    </row>
    <row r="630" spans="1:35" ht="36" x14ac:dyDescent="0.3">
      <c r="A630" s="10" t="s">
        <v>2056</v>
      </c>
      <c r="B630" s="10"/>
      <c r="C630" s="24" t="s">
        <v>1157</v>
      </c>
      <c r="D630" s="15"/>
      <c r="E630" s="15"/>
      <c r="F630" s="25" t="s">
        <v>278</v>
      </c>
      <c r="G630" s="26">
        <v>0.25</v>
      </c>
      <c r="H630" s="31"/>
      <c r="I630" s="31">
        <v>11.5</v>
      </c>
      <c r="J630" s="27">
        <v>40.270000000000003</v>
      </c>
      <c r="M630" s="28">
        <f>ROUND(ROUND(J630, 2)*I630, 2)</f>
        <v>463.11</v>
      </c>
      <c r="P630" s="27">
        <v>40.270000000000003</v>
      </c>
      <c r="S630" s="28">
        <f>ROUND(ROUND(P630, 2)*I630, 2)</f>
        <v>463.11</v>
      </c>
      <c r="V630" s="9">
        <f>ROUND(ROUND(P630, 2)/1.2, 2)</f>
        <v>33.56</v>
      </c>
      <c r="Y630" s="9">
        <f t="shared" si="21"/>
        <v>385.93</v>
      </c>
      <c r="AD630" s="4" t="s">
        <v>2057</v>
      </c>
      <c r="AE630" s="4" t="s">
        <v>2058</v>
      </c>
      <c r="AF630" s="4" t="s">
        <v>1160</v>
      </c>
    </row>
    <row r="631" spans="1:35" ht="144" x14ac:dyDescent="0.3">
      <c r="A631" s="10" t="s">
        <v>2059</v>
      </c>
      <c r="B631" s="10" t="s">
        <v>1971</v>
      </c>
      <c r="C631" s="14" t="s">
        <v>1972</v>
      </c>
      <c r="D631" s="15"/>
      <c r="E631" s="15" t="s">
        <v>2060</v>
      </c>
      <c r="F631" s="15" t="s">
        <v>62</v>
      </c>
      <c r="G631" s="16">
        <v>1</v>
      </c>
      <c r="H631" s="16"/>
      <c r="I631" s="16">
        <v>67.87</v>
      </c>
      <c r="J631" s="17">
        <f>IFERROR(ROUND(SUM(M632,M633,M634,M635)/I631, 2),0)</f>
        <v>1583.25</v>
      </c>
      <c r="K631" s="18">
        <v>2363.9899999999998</v>
      </c>
      <c r="L631" s="17">
        <f>J631+ROUND(K631, 2)</f>
        <v>3947.24</v>
      </c>
      <c r="M631" s="17">
        <f>ROUND(J631*I631, 2)</f>
        <v>107455.18</v>
      </c>
      <c r="N631" s="17">
        <f>ROUND(I631*ROUND(K631, 2), 2)</f>
        <v>160444</v>
      </c>
      <c r="O631" s="17">
        <f>M631+N631</f>
        <v>267899.18</v>
      </c>
      <c r="P631" s="17">
        <f>IFERROR(ROUND(SUM(S632,S633,S634,S635)/I631, 2),0)</f>
        <v>1583.25</v>
      </c>
      <c r="Q631" s="19">
        <v>3546</v>
      </c>
      <c r="R631" s="17">
        <f>P631+ROUND(Q631, 2)</f>
        <v>5129.25</v>
      </c>
      <c r="S631" s="17">
        <f>ROUND(P631*I631, 2)</f>
        <v>107455.18</v>
      </c>
      <c r="T631" s="17">
        <f>ROUND(I631*ROUND(Q631, 2), 2)</f>
        <v>240667.02</v>
      </c>
      <c r="U631" s="17">
        <f>S631+T631</f>
        <v>348122.19999999995</v>
      </c>
      <c r="V631" s="9">
        <f>ROUND(P631 / 1.2, 2)</f>
        <v>1319.38</v>
      </c>
      <c r="W631" s="9">
        <f>ROUND(Q631 / 1.2, 2)</f>
        <v>2955</v>
      </c>
      <c r="X631" s="9">
        <f>ROUND(R631 / 1.2, 2)</f>
        <v>4274.38</v>
      </c>
      <c r="Y631" s="9">
        <f t="shared" si="21"/>
        <v>89545.98</v>
      </c>
      <c r="Z631" s="9">
        <f>ROUND(T631 / 1.2, 2)</f>
        <v>200555.85</v>
      </c>
      <c r="AA631" s="9">
        <f>Y631+Z631</f>
        <v>290101.83</v>
      </c>
      <c r="AD631" s="4">
        <v>334080724</v>
      </c>
      <c r="AE631" s="4">
        <v>29393980</v>
      </c>
      <c r="AG631" s="4" t="s">
        <v>1973</v>
      </c>
      <c r="AH631" s="4" t="s">
        <v>1974</v>
      </c>
      <c r="AI631" s="4" t="s">
        <v>250</v>
      </c>
    </row>
    <row r="632" spans="1:35" ht="36" x14ac:dyDescent="0.3">
      <c r="A632" s="10" t="s">
        <v>2061</v>
      </c>
      <c r="B632" s="10"/>
      <c r="C632" s="24" t="s">
        <v>2062</v>
      </c>
      <c r="D632" s="15"/>
      <c r="E632" s="15" t="s">
        <v>2063</v>
      </c>
      <c r="F632" s="25" t="s">
        <v>278</v>
      </c>
      <c r="G632" s="26">
        <v>0.17699999999999999</v>
      </c>
      <c r="H632" s="31"/>
      <c r="I632" s="31">
        <v>12.013</v>
      </c>
      <c r="J632" s="27">
        <v>40.94</v>
      </c>
      <c r="M632" s="28">
        <f>ROUND(ROUND(J632, 2)*I632, 2)</f>
        <v>491.81</v>
      </c>
      <c r="P632" s="29">
        <v>40.94</v>
      </c>
      <c r="S632" s="28">
        <f>ROUND(ROUND(P632, 2)*I632, 2)</f>
        <v>491.81</v>
      </c>
      <c r="V632" s="9">
        <f>ROUND(ROUND(P632, 2)/1.2, 2)</f>
        <v>34.119999999999997</v>
      </c>
      <c r="Y632" s="9">
        <f t="shared" si="21"/>
        <v>409.84</v>
      </c>
      <c r="AD632" s="4" t="s">
        <v>2064</v>
      </c>
      <c r="AE632" s="4" t="s">
        <v>2065</v>
      </c>
      <c r="AF632" s="4" t="s">
        <v>2066</v>
      </c>
    </row>
    <row r="633" spans="1:35" ht="36" x14ac:dyDescent="0.3">
      <c r="A633" s="10" t="s">
        <v>2067</v>
      </c>
      <c r="B633" s="10"/>
      <c r="C633" s="24" t="s">
        <v>543</v>
      </c>
      <c r="D633" s="15"/>
      <c r="E633" s="15"/>
      <c r="F633" s="25" t="s">
        <v>278</v>
      </c>
      <c r="G633" s="26">
        <v>0.15</v>
      </c>
      <c r="H633" s="26"/>
      <c r="I633" s="26">
        <v>10.180999999999999</v>
      </c>
      <c r="J633" s="27">
        <v>69.540000000000006</v>
      </c>
      <c r="M633" s="28">
        <f>ROUND(ROUND(J633, 2)*I633, 2)</f>
        <v>707.99</v>
      </c>
      <c r="P633" s="29">
        <v>69.540000000000006</v>
      </c>
      <c r="S633" s="28">
        <f>ROUND(ROUND(P633, 2)*I633, 2)</f>
        <v>707.99</v>
      </c>
      <c r="V633" s="9">
        <f>ROUND(ROUND(P633, 2)/1.2, 2)</f>
        <v>57.95</v>
      </c>
      <c r="Y633" s="9">
        <f t="shared" si="21"/>
        <v>589.99</v>
      </c>
      <c r="AD633" s="4" t="s">
        <v>2068</v>
      </c>
      <c r="AE633" s="4" t="s">
        <v>2069</v>
      </c>
      <c r="AF633" s="4" t="s">
        <v>546</v>
      </c>
    </row>
    <row r="634" spans="1:35" ht="36" x14ac:dyDescent="0.3">
      <c r="A634" s="10" t="s">
        <v>2070</v>
      </c>
      <c r="B634" s="10"/>
      <c r="C634" s="30" t="s">
        <v>1200</v>
      </c>
      <c r="D634" s="15"/>
      <c r="E634" s="15"/>
      <c r="F634" s="25" t="s">
        <v>278</v>
      </c>
      <c r="G634" s="26">
        <v>1.2</v>
      </c>
      <c r="H634" s="31"/>
      <c r="I634" s="31">
        <v>244.33199999999999</v>
      </c>
      <c r="J634" s="27">
        <v>16.38</v>
      </c>
      <c r="M634" s="28">
        <f>ROUND(ROUND(J634, 2)*I634, 2)</f>
        <v>4002.16</v>
      </c>
      <c r="P634" s="29">
        <v>16.38</v>
      </c>
      <c r="S634" s="28">
        <f>ROUND(ROUND(P634, 2)*I634, 2)</f>
        <v>4002.16</v>
      </c>
      <c r="V634" s="9">
        <f>ROUND(ROUND(P634, 2)/1.2, 2)</f>
        <v>13.65</v>
      </c>
      <c r="Y634" s="9">
        <f t="shared" si="21"/>
        <v>3335.13</v>
      </c>
      <c r="AD634" s="4" t="s">
        <v>2071</v>
      </c>
      <c r="AE634" s="4" t="s">
        <v>2072</v>
      </c>
      <c r="AF634" s="4" t="s">
        <v>1203</v>
      </c>
    </row>
    <row r="635" spans="1:35" ht="54" x14ac:dyDescent="0.3">
      <c r="A635" s="10" t="s">
        <v>2073</v>
      </c>
      <c r="B635" s="10"/>
      <c r="C635" s="30" t="s">
        <v>1985</v>
      </c>
      <c r="D635" s="15"/>
      <c r="E635" s="15" t="s">
        <v>2074</v>
      </c>
      <c r="F635" s="25" t="s">
        <v>62</v>
      </c>
      <c r="G635" s="26">
        <v>1.07</v>
      </c>
      <c r="H635" s="31"/>
      <c r="I635" s="31">
        <v>72.620999999999995</v>
      </c>
      <c r="J635" s="27">
        <v>1408.04</v>
      </c>
      <c r="M635" s="28">
        <f>ROUND(ROUND(J635, 2)*I635, 2)</f>
        <v>102253.27</v>
      </c>
      <c r="P635" s="29">
        <v>1408.04</v>
      </c>
      <c r="S635" s="28">
        <f>ROUND(ROUND(P635, 2)*I635, 2)</f>
        <v>102253.27</v>
      </c>
      <c r="V635" s="9">
        <f>ROUND(ROUND(P635, 2)/1.2, 2)</f>
        <v>1173.3699999999999</v>
      </c>
      <c r="Y635" s="9">
        <f t="shared" si="21"/>
        <v>85211.06</v>
      </c>
      <c r="AD635" s="4" t="s">
        <v>2075</v>
      </c>
      <c r="AE635" s="4" t="s">
        <v>2076</v>
      </c>
      <c r="AF635" s="4" t="s">
        <v>1988</v>
      </c>
    </row>
    <row r="636" spans="1:35" ht="162" x14ac:dyDescent="0.3">
      <c r="A636" s="10" t="s">
        <v>2077</v>
      </c>
      <c r="B636" s="10" t="s">
        <v>1971</v>
      </c>
      <c r="C636" s="14" t="s">
        <v>1972</v>
      </c>
      <c r="D636" s="15"/>
      <c r="E636" s="15" t="s">
        <v>2078</v>
      </c>
      <c r="F636" s="15" t="s">
        <v>62</v>
      </c>
      <c r="G636" s="16">
        <v>1</v>
      </c>
      <c r="H636" s="16"/>
      <c r="I636" s="16">
        <v>115.5</v>
      </c>
      <c r="J636" s="17">
        <f>IFERROR(ROUND(SUM(M637,M638,M639,M640)/I636, 2),0)</f>
        <v>1586.24</v>
      </c>
      <c r="K636" s="18">
        <v>2363.9899999999998</v>
      </c>
      <c r="L636" s="17">
        <f>J636+ROUND(K636, 2)</f>
        <v>3950.2299999999996</v>
      </c>
      <c r="M636" s="17">
        <f>ROUND(J636*I636, 2)</f>
        <v>183210.72</v>
      </c>
      <c r="N636" s="17">
        <f>ROUND(I636*ROUND(K636, 2), 2)</f>
        <v>273040.84999999998</v>
      </c>
      <c r="O636" s="17">
        <f>M636+N636</f>
        <v>456251.56999999995</v>
      </c>
      <c r="P636" s="17">
        <f>IFERROR(ROUND(SUM(S637,S638,S639,S640)/I636, 2),0)</f>
        <v>1596.82</v>
      </c>
      <c r="Q636" s="19">
        <v>3546</v>
      </c>
      <c r="R636" s="17">
        <f>P636+ROUND(Q636, 2)</f>
        <v>5142.82</v>
      </c>
      <c r="S636" s="17">
        <f>ROUND(P636*I636, 2)</f>
        <v>184432.71</v>
      </c>
      <c r="T636" s="17">
        <f>ROUND(I636*ROUND(Q636, 2), 2)</f>
        <v>409563</v>
      </c>
      <c r="U636" s="17">
        <f>S636+T636</f>
        <v>593995.71</v>
      </c>
      <c r="V636" s="9">
        <f>ROUND(P636 / 1.2, 2)</f>
        <v>1330.68</v>
      </c>
      <c r="W636" s="9">
        <f>ROUND(Q636 / 1.2, 2)</f>
        <v>2955</v>
      </c>
      <c r="X636" s="9">
        <f>ROUND(R636 / 1.2, 2)</f>
        <v>4285.68</v>
      </c>
      <c r="Y636" s="9">
        <f t="shared" si="21"/>
        <v>153693.93</v>
      </c>
      <c r="Z636" s="9">
        <f>ROUND(T636 / 1.2, 2)</f>
        <v>341302.5</v>
      </c>
      <c r="AA636" s="9">
        <f>Y636+Z636</f>
        <v>494996.43</v>
      </c>
      <c r="AD636" s="4">
        <v>334080725</v>
      </c>
      <c r="AE636" s="4">
        <v>29396517</v>
      </c>
      <c r="AG636" s="4" t="s">
        <v>1973</v>
      </c>
      <c r="AH636" s="4" t="s">
        <v>1974</v>
      </c>
      <c r="AI636" s="4" t="s">
        <v>250</v>
      </c>
    </row>
    <row r="637" spans="1:35" ht="54" x14ac:dyDescent="0.3">
      <c r="A637" s="10" t="s">
        <v>2079</v>
      </c>
      <c r="B637" s="10"/>
      <c r="C637" s="30" t="s">
        <v>1985</v>
      </c>
      <c r="D637" s="15"/>
      <c r="E637" s="15" t="s">
        <v>2074</v>
      </c>
      <c r="F637" s="25" t="s">
        <v>62</v>
      </c>
      <c r="G637" s="26">
        <v>1.07</v>
      </c>
      <c r="H637" s="31"/>
      <c r="I637" s="31">
        <v>123.58499999999999</v>
      </c>
      <c r="J637" s="27">
        <v>1408.04</v>
      </c>
      <c r="M637" s="28">
        <f>ROUND(ROUND(J637, 2)*I637, 2)</f>
        <v>174012.62</v>
      </c>
      <c r="P637" s="29">
        <v>1408.04</v>
      </c>
      <c r="S637" s="28">
        <f>ROUND(ROUND(P637, 2)*I637, 2)</f>
        <v>174012.62</v>
      </c>
      <c r="V637" s="9">
        <f>ROUND(ROUND(P637, 2)/1.2, 2)</f>
        <v>1173.3699999999999</v>
      </c>
      <c r="Y637" s="9">
        <f t="shared" si="21"/>
        <v>145010.51999999999</v>
      </c>
      <c r="AD637" s="4" t="s">
        <v>2080</v>
      </c>
      <c r="AE637" s="4" t="s">
        <v>2081</v>
      </c>
      <c r="AF637" s="4" t="s">
        <v>1988</v>
      </c>
    </row>
    <row r="638" spans="1:35" ht="36" x14ac:dyDescent="0.3">
      <c r="A638" s="10" t="s">
        <v>2082</v>
      </c>
      <c r="B638" s="10"/>
      <c r="C638" s="30" t="s">
        <v>1200</v>
      </c>
      <c r="D638" s="15"/>
      <c r="E638" s="15" t="s">
        <v>2083</v>
      </c>
      <c r="F638" s="25" t="s">
        <v>278</v>
      </c>
      <c r="G638" s="26">
        <v>1.2</v>
      </c>
      <c r="H638" s="31"/>
      <c r="I638" s="31">
        <v>415.8</v>
      </c>
      <c r="J638" s="27">
        <v>16.38</v>
      </c>
      <c r="M638" s="28">
        <f>ROUND(ROUND(J638, 2)*I638, 2)</f>
        <v>6810.8</v>
      </c>
      <c r="P638" s="29">
        <v>19.32</v>
      </c>
      <c r="S638" s="28">
        <f>ROUND(ROUND(P638, 2)*I638, 2)</f>
        <v>8033.26</v>
      </c>
      <c r="V638" s="9">
        <f>ROUND(ROUND(P638, 2)/1.2, 2)</f>
        <v>16.100000000000001</v>
      </c>
      <c r="Y638" s="9">
        <f t="shared" si="21"/>
        <v>6694.38</v>
      </c>
      <c r="AD638" s="4" t="s">
        <v>2084</v>
      </c>
      <c r="AE638" s="4" t="s">
        <v>2085</v>
      </c>
      <c r="AF638" s="4" t="s">
        <v>1203</v>
      </c>
    </row>
    <row r="639" spans="1:35" ht="36" x14ac:dyDescent="0.3">
      <c r="A639" s="10" t="s">
        <v>2086</v>
      </c>
      <c r="B639" s="10"/>
      <c r="C639" s="24" t="s">
        <v>543</v>
      </c>
      <c r="D639" s="15"/>
      <c r="E639" s="15"/>
      <c r="F639" s="25" t="s">
        <v>278</v>
      </c>
      <c r="G639" s="26">
        <v>0.15</v>
      </c>
      <c r="H639" s="26"/>
      <c r="I639" s="26">
        <v>17.324999999999999</v>
      </c>
      <c r="J639" s="27">
        <v>69.540000000000006</v>
      </c>
      <c r="M639" s="28">
        <f>ROUND(ROUND(J639, 2)*I639, 2)</f>
        <v>1204.78</v>
      </c>
      <c r="P639" s="29">
        <v>69.540000000000006</v>
      </c>
      <c r="S639" s="28">
        <f>ROUND(ROUND(P639, 2)*I639, 2)</f>
        <v>1204.78</v>
      </c>
      <c r="V639" s="9">
        <f>ROUND(ROUND(P639, 2)/1.2, 2)</f>
        <v>57.95</v>
      </c>
      <c r="Y639" s="9">
        <f t="shared" si="21"/>
        <v>1003.98</v>
      </c>
      <c r="AD639" s="4" t="s">
        <v>2087</v>
      </c>
      <c r="AE639" s="4" t="s">
        <v>2088</v>
      </c>
      <c r="AF639" s="4" t="s">
        <v>546</v>
      </c>
    </row>
    <row r="640" spans="1:35" ht="36" x14ac:dyDescent="0.3">
      <c r="A640" s="10" t="s">
        <v>2089</v>
      </c>
      <c r="B640" s="10"/>
      <c r="C640" s="24" t="s">
        <v>1157</v>
      </c>
      <c r="D640" s="15"/>
      <c r="E640" s="15"/>
      <c r="F640" s="25" t="s">
        <v>278</v>
      </c>
      <c r="G640" s="26">
        <v>0.25</v>
      </c>
      <c r="H640" s="31"/>
      <c r="I640" s="31">
        <v>28.875</v>
      </c>
      <c r="J640" s="27">
        <v>40.94</v>
      </c>
      <c r="M640" s="28">
        <f>ROUND(ROUND(J640, 2)*I640, 2)</f>
        <v>1182.1400000000001</v>
      </c>
      <c r="P640" s="29">
        <v>40.94</v>
      </c>
      <c r="S640" s="28">
        <f>ROUND(ROUND(P640, 2)*I640, 2)</f>
        <v>1182.1400000000001</v>
      </c>
      <c r="V640" s="9">
        <f>ROUND(ROUND(P640, 2)/1.2, 2)</f>
        <v>34.119999999999997</v>
      </c>
      <c r="Y640" s="9">
        <f t="shared" si="21"/>
        <v>985.12</v>
      </c>
      <c r="AD640" s="4" t="s">
        <v>2090</v>
      </c>
      <c r="AE640" s="4" t="s">
        <v>2091</v>
      </c>
      <c r="AF640" s="4" t="s">
        <v>1160</v>
      </c>
    </row>
    <row r="641" spans="1:35" ht="126" x14ac:dyDescent="0.3">
      <c r="A641" s="10" t="s">
        <v>2092</v>
      </c>
      <c r="B641" s="10" t="s">
        <v>1971</v>
      </c>
      <c r="C641" s="14" t="s">
        <v>1972</v>
      </c>
      <c r="D641" s="15"/>
      <c r="E641" s="15" t="s">
        <v>2093</v>
      </c>
      <c r="F641" s="15" t="s">
        <v>62</v>
      </c>
      <c r="G641" s="16">
        <v>1</v>
      </c>
      <c r="H641" s="16"/>
      <c r="I641" s="16">
        <v>628.91</v>
      </c>
      <c r="J641" s="17">
        <f>IFERROR(ROUND(SUM(M642,M643,M644,M645)/I641, 2),0)</f>
        <v>1107.6400000000001</v>
      </c>
      <c r="K641" s="18">
        <v>2363.9899999999998</v>
      </c>
      <c r="L641" s="17">
        <f>J641+ROUND(K641, 2)</f>
        <v>3471.63</v>
      </c>
      <c r="M641" s="17">
        <f>ROUND(J641*I641, 2)</f>
        <v>696605.87</v>
      </c>
      <c r="N641" s="17">
        <f>ROUND(I641*ROUND(K641, 2), 2)</f>
        <v>1486736.95</v>
      </c>
      <c r="O641" s="17">
        <f>M641+N641</f>
        <v>2183342.8199999998</v>
      </c>
      <c r="P641" s="17">
        <f>IFERROR(ROUND(SUM(S642,S643,S644,S645)/I641, 2),0)</f>
        <v>1118.22</v>
      </c>
      <c r="Q641" s="19">
        <v>3546</v>
      </c>
      <c r="R641" s="17">
        <f>P641+ROUND(Q641, 2)</f>
        <v>4664.22</v>
      </c>
      <c r="S641" s="17">
        <f>ROUND(P641*I641, 2)</f>
        <v>703259.74</v>
      </c>
      <c r="T641" s="17">
        <f>ROUND(I641*ROUND(Q641, 2), 2)</f>
        <v>2230114.86</v>
      </c>
      <c r="U641" s="17">
        <f>S641+T641</f>
        <v>2933374.5999999996</v>
      </c>
      <c r="V641" s="9">
        <f>ROUND(P641 / 1.2, 2)</f>
        <v>931.85</v>
      </c>
      <c r="W641" s="9">
        <f>ROUND(Q641 / 1.2, 2)</f>
        <v>2955</v>
      </c>
      <c r="X641" s="9">
        <f>ROUND(R641 / 1.2, 2)</f>
        <v>3886.85</v>
      </c>
      <c r="Y641" s="9">
        <f t="shared" si="21"/>
        <v>586049.78</v>
      </c>
      <c r="Z641" s="9">
        <f>ROUND(T641 / 1.2, 2)</f>
        <v>1858429.05</v>
      </c>
      <c r="AA641" s="9">
        <f>Y641+Z641</f>
        <v>2444478.83</v>
      </c>
      <c r="AD641" s="4">
        <v>334080726</v>
      </c>
      <c r="AE641" s="4">
        <v>29399332</v>
      </c>
      <c r="AG641" s="4" t="s">
        <v>1973</v>
      </c>
      <c r="AH641" s="4" t="s">
        <v>1974</v>
      </c>
      <c r="AI641" s="4" t="s">
        <v>250</v>
      </c>
    </row>
    <row r="642" spans="1:35" ht="36" x14ac:dyDescent="0.3">
      <c r="A642" s="10" t="s">
        <v>2094</v>
      </c>
      <c r="B642" s="10"/>
      <c r="C642" s="24" t="s">
        <v>1157</v>
      </c>
      <c r="D642" s="15"/>
      <c r="E642" s="15"/>
      <c r="F642" s="25" t="s">
        <v>278</v>
      </c>
      <c r="G642" s="26">
        <v>0.25</v>
      </c>
      <c r="H642" s="31"/>
      <c r="I642" s="31">
        <v>157.22800000000001</v>
      </c>
      <c r="J642" s="27">
        <v>40.94</v>
      </c>
      <c r="M642" s="28">
        <f>ROUND(ROUND(J642, 2)*I642, 2)</f>
        <v>6436.91</v>
      </c>
      <c r="P642" s="29">
        <v>40.94</v>
      </c>
      <c r="S642" s="28">
        <f>ROUND(ROUND(P642, 2)*I642, 2)</f>
        <v>6436.91</v>
      </c>
      <c r="V642" s="9">
        <f>ROUND(ROUND(P642, 2)/1.2, 2)</f>
        <v>34.119999999999997</v>
      </c>
      <c r="Y642" s="9">
        <f t="shared" si="21"/>
        <v>5364.09</v>
      </c>
      <c r="AD642" s="4" t="s">
        <v>2095</v>
      </c>
      <c r="AE642" s="4" t="s">
        <v>2096</v>
      </c>
      <c r="AF642" s="4" t="s">
        <v>1160</v>
      </c>
    </row>
    <row r="643" spans="1:35" ht="36" x14ac:dyDescent="0.3">
      <c r="A643" s="10" t="s">
        <v>2097</v>
      </c>
      <c r="B643" s="10"/>
      <c r="C643" s="24" t="s">
        <v>543</v>
      </c>
      <c r="D643" s="15"/>
      <c r="E643" s="15"/>
      <c r="F643" s="25" t="s">
        <v>278</v>
      </c>
      <c r="G643" s="26">
        <v>0.15</v>
      </c>
      <c r="H643" s="26"/>
      <c r="I643" s="26">
        <v>94.337000000000003</v>
      </c>
      <c r="J643" s="27">
        <v>69.540000000000006</v>
      </c>
      <c r="M643" s="28">
        <f>ROUND(ROUND(J643, 2)*I643, 2)</f>
        <v>6560.19</v>
      </c>
      <c r="P643" s="29">
        <v>69.540000000000006</v>
      </c>
      <c r="S643" s="28">
        <f>ROUND(ROUND(P643, 2)*I643, 2)</f>
        <v>6560.19</v>
      </c>
      <c r="V643" s="9">
        <f>ROUND(ROUND(P643, 2)/1.2, 2)</f>
        <v>57.95</v>
      </c>
      <c r="Y643" s="9">
        <f t="shared" si="21"/>
        <v>5466.83</v>
      </c>
      <c r="AD643" s="4" t="s">
        <v>2098</v>
      </c>
      <c r="AE643" s="4" t="s">
        <v>2099</v>
      </c>
      <c r="AF643" s="4" t="s">
        <v>546</v>
      </c>
    </row>
    <row r="644" spans="1:35" ht="36" x14ac:dyDescent="0.3">
      <c r="A644" s="10" t="s">
        <v>2100</v>
      </c>
      <c r="B644" s="10"/>
      <c r="C644" s="30" t="s">
        <v>1200</v>
      </c>
      <c r="D644" s="15"/>
      <c r="E644" s="15" t="s">
        <v>2083</v>
      </c>
      <c r="F644" s="25" t="s">
        <v>278</v>
      </c>
      <c r="G644" s="26">
        <v>1.2</v>
      </c>
      <c r="H644" s="31"/>
      <c r="I644" s="31">
        <v>2264.076</v>
      </c>
      <c r="J644" s="27">
        <v>16.38</v>
      </c>
      <c r="M644" s="28">
        <f>ROUND(ROUND(J644, 2)*I644, 2)</f>
        <v>37085.56</v>
      </c>
      <c r="P644" s="29">
        <v>19.32</v>
      </c>
      <c r="S644" s="28">
        <f>ROUND(ROUND(P644, 2)*I644, 2)</f>
        <v>43741.95</v>
      </c>
      <c r="V644" s="9">
        <f>ROUND(ROUND(P644, 2)/1.2, 2)</f>
        <v>16.100000000000001</v>
      </c>
      <c r="Y644" s="9">
        <f t="shared" si="21"/>
        <v>36451.629999999997</v>
      </c>
      <c r="AD644" s="4" t="s">
        <v>2101</v>
      </c>
      <c r="AE644" s="4" t="s">
        <v>2102</v>
      </c>
      <c r="AF644" s="4" t="s">
        <v>1203</v>
      </c>
    </row>
    <row r="645" spans="1:35" ht="36" x14ac:dyDescent="0.3">
      <c r="A645" s="10" t="s">
        <v>2103</v>
      </c>
      <c r="B645" s="10"/>
      <c r="C645" s="30" t="s">
        <v>1991</v>
      </c>
      <c r="D645" s="15"/>
      <c r="E645" s="15"/>
      <c r="F645" s="25" t="s">
        <v>62</v>
      </c>
      <c r="G645" s="26">
        <v>1.07</v>
      </c>
      <c r="H645" s="31"/>
      <c r="I645" s="31">
        <v>672.93399999999997</v>
      </c>
      <c r="J645" s="27">
        <v>960.75</v>
      </c>
      <c r="M645" s="28">
        <f>ROUND(ROUND(J645, 2)*I645, 2)</f>
        <v>646521.34</v>
      </c>
      <c r="P645" s="29">
        <v>960.75</v>
      </c>
      <c r="S645" s="28">
        <f>ROUND(ROUND(P645, 2)*I645, 2)</f>
        <v>646521.34</v>
      </c>
      <c r="V645" s="9">
        <f>ROUND(ROUND(P645, 2)/1.2, 2)</f>
        <v>800.63</v>
      </c>
      <c r="Y645" s="9">
        <f t="shared" si="21"/>
        <v>538767.78</v>
      </c>
      <c r="AD645" s="4" t="s">
        <v>2104</v>
      </c>
      <c r="AE645" s="4" t="s">
        <v>2105</v>
      </c>
      <c r="AF645" s="4" t="s">
        <v>1994</v>
      </c>
    </row>
    <row r="646" spans="1:35" ht="126" x14ac:dyDescent="0.3">
      <c r="A646" s="10" t="s">
        <v>2106</v>
      </c>
      <c r="B646" s="10" t="s">
        <v>1971</v>
      </c>
      <c r="C646" s="14" t="s">
        <v>1972</v>
      </c>
      <c r="D646" s="15"/>
      <c r="E646" s="15" t="s">
        <v>2107</v>
      </c>
      <c r="F646" s="15" t="s">
        <v>62</v>
      </c>
      <c r="G646" s="16">
        <v>1</v>
      </c>
      <c r="H646" s="16"/>
      <c r="I646" s="16">
        <v>2.3199999999999998</v>
      </c>
      <c r="J646" s="17">
        <f>IFERROR(ROUND(SUM(M647,M648,M649,M650)/I646, 2),0)</f>
        <v>1586</v>
      </c>
      <c r="K646" s="18">
        <v>2363.9899999999998</v>
      </c>
      <c r="L646" s="17">
        <f>J646+ROUND(K646, 2)</f>
        <v>3949.99</v>
      </c>
      <c r="M646" s="17">
        <f>ROUND(J646*I646, 2)</f>
        <v>3679.52</v>
      </c>
      <c r="N646" s="17">
        <f>ROUND(I646*ROUND(K646, 2), 2)</f>
        <v>5484.46</v>
      </c>
      <c r="O646" s="17">
        <f>M646+N646</f>
        <v>9163.98</v>
      </c>
      <c r="P646" s="17">
        <f>IFERROR(ROUND(SUM(S647,S648,S649,S650)/I646, 2),0)</f>
        <v>1586</v>
      </c>
      <c r="Q646" s="19">
        <v>3546</v>
      </c>
      <c r="R646" s="17">
        <f>P646+ROUND(Q646, 2)</f>
        <v>5132</v>
      </c>
      <c r="S646" s="17">
        <f>ROUND(P646*I646, 2)</f>
        <v>3679.52</v>
      </c>
      <c r="T646" s="17">
        <f>ROUND(I646*ROUND(Q646, 2), 2)</f>
        <v>8226.7199999999993</v>
      </c>
      <c r="U646" s="17">
        <f>S646+T646</f>
        <v>11906.24</v>
      </c>
      <c r="V646" s="9">
        <f>ROUND(P646 / 1.2, 2)</f>
        <v>1321.67</v>
      </c>
      <c r="W646" s="9">
        <f>ROUND(Q646 / 1.2, 2)</f>
        <v>2955</v>
      </c>
      <c r="X646" s="9">
        <f>ROUND(R646 / 1.2, 2)</f>
        <v>4276.67</v>
      </c>
      <c r="Y646" s="9">
        <f t="shared" si="21"/>
        <v>3066.27</v>
      </c>
      <c r="Z646" s="9">
        <f>ROUND(T646 / 1.2, 2)</f>
        <v>6855.6</v>
      </c>
      <c r="AA646" s="9">
        <f>Y646+Z646</f>
        <v>9921.8700000000008</v>
      </c>
      <c r="AD646" s="4">
        <v>334080727</v>
      </c>
      <c r="AE646" s="4">
        <v>29399333</v>
      </c>
      <c r="AG646" s="4" t="s">
        <v>1973</v>
      </c>
      <c r="AH646" s="4" t="s">
        <v>1974</v>
      </c>
      <c r="AI646" s="4" t="s">
        <v>250</v>
      </c>
    </row>
    <row r="647" spans="1:35" ht="54" x14ac:dyDescent="0.3">
      <c r="A647" s="10" t="s">
        <v>2108</v>
      </c>
      <c r="B647" s="10"/>
      <c r="C647" s="30" t="s">
        <v>1985</v>
      </c>
      <c r="D647" s="15"/>
      <c r="E647" s="15" t="s">
        <v>2074</v>
      </c>
      <c r="F647" s="25" t="s">
        <v>62</v>
      </c>
      <c r="G647" s="26">
        <v>1.07</v>
      </c>
      <c r="H647" s="31"/>
      <c r="I647" s="31">
        <v>2.4820000000000002</v>
      </c>
      <c r="J647" s="27">
        <v>1408.04</v>
      </c>
      <c r="M647" s="28">
        <f>ROUND(ROUND(J647, 2)*I647, 2)</f>
        <v>3494.76</v>
      </c>
      <c r="P647" s="29">
        <v>1408.04</v>
      </c>
      <c r="S647" s="28">
        <f>ROUND(ROUND(P647, 2)*I647, 2)</f>
        <v>3494.76</v>
      </c>
      <c r="V647" s="9">
        <f>ROUND(ROUND(P647, 2)/1.2, 2)</f>
        <v>1173.3699999999999</v>
      </c>
      <c r="Y647" s="9">
        <f t="shared" si="21"/>
        <v>2912.3</v>
      </c>
      <c r="AD647" s="4" t="s">
        <v>2109</v>
      </c>
      <c r="AE647" s="4" t="s">
        <v>2110</v>
      </c>
      <c r="AF647" s="4" t="s">
        <v>1988</v>
      </c>
    </row>
    <row r="648" spans="1:35" ht="36" x14ac:dyDescent="0.3">
      <c r="A648" s="10" t="s">
        <v>2111</v>
      </c>
      <c r="B648" s="10"/>
      <c r="C648" s="30" t="s">
        <v>1200</v>
      </c>
      <c r="D648" s="15"/>
      <c r="E648" s="15"/>
      <c r="F648" s="25" t="s">
        <v>278</v>
      </c>
      <c r="G648" s="26">
        <v>1.2</v>
      </c>
      <c r="H648" s="31"/>
      <c r="I648" s="31">
        <v>8.3520000000000003</v>
      </c>
      <c r="J648" s="27">
        <v>16.38</v>
      </c>
      <c r="M648" s="28">
        <f>ROUND(ROUND(J648, 2)*I648, 2)</f>
        <v>136.81</v>
      </c>
      <c r="P648" s="29">
        <v>16.38</v>
      </c>
      <c r="S648" s="28">
        <f>ROUND(ROUND(P648, 2)*I648, 2)</f>
        <v>136.81</v>
      </c>
      <c r="V648" s="9">
        <f>ROUND(ROUND(P648, 2)/1.2, 2)</f>
        <v>13.65</v>
      </c>
      <c r="Y648" s="9">
        <f t="shared" si="21"/>
        <v>114.01</v>
      </c>
      <c r="AD648" s="4" t="s">
        <v>2112</v>
      </c>
      <c r="AE648" s="4" t="s">
        <v>2113</v>
      </c>
      <c r="AF648" s="4" t="s">
        <v>1203</v>
      </c>
    </row>
    <row r="649" spans="1:35" ht="36" x14ac:dyDescent="0.3">
      <c r="A649" s="10" t="s">
        <v>2114</v>
      </c>
      <c r="B649" s="10"/>
      <c r="C649" s="24" t="s">
        <v>543</v>
      </c>
      <c r="D649" s="15"/>
      <c r="E649" s="15"/>
      <c r="F649" s="25" t="s">
        <v>278</v>
      </c>
      <c r="G649" s="26">
        <v>0.15</v>
      </c>
      <c r="H649" s="26"/>
      <c r="I649" s="26">
        <v>0.34799999999999998</v>
      </c>
      <c r="J649" s="27">
        <v>69.540000000000006</v>
      </c>
      <c r="M649" s="28">
        <f>ROUND(ROUND(J649, 2)*I649, 2)</f>
        <v>24.2</v>
      </c>
      <c r="P649" s="29">
        <v>69.540000000000006</v>
      </c>
      <c r="S649" s="28">
        <f>ROUND(ROUND(P649, 2)*I649, 2)</f>
        <v>24.2</v>
      </c>
      <c r="V649" s="9">
        <f>ROUND(ROUND(P649, 2)/1.2, 2)</f>
        <v>57.95</v>
      </c>
      <c r="Y649" s="9">
        <f t="shared" si="21"/>
        <v>20.170000000000002</v>
      </c>
      <c r="AD649" s="4" t="s">
        <v>2115</v>
      </c>
      <c r="AE649" s="4" t="s">
        <v>2116</v>
      </c>
      <c r="AF649" s="4" t="s">
        <v>546</v>
      </c>
    </row>
    <row r="650" spans="1:35" ht="36" x14ac:dyDescent="0.3">
      <c r="A650" s="10" t="s">
        <v>2117</v>
      </c>
      <c r="B650" s="10"/>
      <c r="C650" s="24" t="s">
        <v>1157</v>
      </c>
      <c r="D650" s="15"/>
      <c r="E650" s="15"/>
      <c r="F650" s="25" t="s">
        <v>278</v>
      </c>
      <c r="G650" s="26">
        <v>0.25</v>
      </c>
      <c r="H650" s="31"/>
      <c r="I650" s="31">
        <v>0.57999999999999996</v>
      </c>
      <c r="J650" s="27">
        <v>40.94</v>
      </c>
      <c r="M650" s="28">
        <f>ROUND(ROUND(J650, 2)*I650, 2)</f>
        <v>23.75</v>
      </c>
      <c r="P650" s="29">
        <v>40.94</v>
      </c>
      <c r="S650" s="28">
        <f>ROUND(ROUND(P650, 2)*I650, 2)</f>
        <v>23.75</v>
      </c>
      <c r="V650" s="9">
        <f>ROUND(ROUND(P650, 2)/1.2, 2)</f>
        <v>34.119999999999997</v>
      </c>
      <c r="Y650" s="9">
        <f t="shared" si="21"/>
        <v>19.79</v>
      </c>
      <c r="AD650" s="4" t="s">
        <v>2118</v>
      </c>
      <c r="AE650" s="4" t="s">
        <v>2119</v>
      </c>
      <c r="AF650" s="4" t="s">
        <v>1160</v>
      </c>
    </row>
    <row r="651" spans="1:35" ht="54" x14ac:dyDescent="0.3">
      <c r="A651" s="10" t="s">
        <v>2120</v>
      </c>
      <c r="B651" s="10" t="s">
        <v>2121</v>
      </c>
      <c r="C651" s="14" t="s">
        <v>2122</v>
      </c>
      <c r="D651" s="15"/>
      <c r="E651" s="15"/>
      <c r="F651" s="15" t="s">
        <v>62</v>
      </c>
      <c r="G651" s="16">
        <v>1</v>
      </c>
      <c r="H651" s="16"/>
      <c r="I651" s="16">
        <v>0</v>
      </c>
      <c r="J651" s="17">
        <v>0</v>
      </c>
      <c r="K651" s="18">
        <v>2983</v>
      </c>
      <c r="L651" s="17">
        <f>J651+ROUND(K651, 2)</f>
        <v>2983</v>
      </c>
      <c r="M651" s="17">
        <v>0</v>
      </c>
      <c r="N651" s="17">
        <v>0</v>
      </c>
      <c r="O651" s="17">
        <f>M651+N651</f>
        <v>0</v>
      </c>
      <c r="P651" s="17">
        <v>1253.43</v>
      </c>
      <c r="Q651" s="18">
        <v>2983</v>
      </c>
      <c r="R651" s="17">
        <f>P651+ROUND(Q651, 2)</f>
        <v>4236.43</v>
      </c>
      <c r="S651" s="17">
        <v>0</v>
      </c>
      <c r="T651" s="17">
        <v>0</v>
      </c>
      <c r="U651" s="17">
        <f>S651+T651</f>
        <v>0</v>
      </c>
      <c r="V651" s="9">
        <f>ROUND(P651 / 1.2, 2)</f>
        <v>1044.53</v>
      </c>
      <c r="W651" s="9">
        <f>ROUND(Q651 / 1.2, 2)</f>
        <v>2485.83</v>
      </c>
      <c r="X651" s="9">
        <f>ROUND(R651 / 1.2, 2)</f>
        <v>3530.36</v>
      </c>
      <c r="Y651" s="9">
        <f t="shared" si="21"/>
        <v>0</v>
      </c>
      <c r="Z651" s="9">
        <f>ROUND(T651 / 1.2, 2)</f>
        <v>0</v>
      </c>
      <c r="AA651" s="9">
        <f>Y651+Z651</f>
        <v>0</v>
      </c>
      <c r="AD651" s="4">
        <v>334080544</v>
      </c>
      <c r="AE651" s="4">
        <v>27245627</v>
      </c>
      <c r="AG651" s="4" t="s">
        <v>2123</v>
      </c>
      <c r="AH651" s="4" t="s">
        <v>2124</v>
      </c>
      <c r="AI651" s="4" t="s">
        <v>250</v>
      </c>
    </row>
    <row r="652" spans="1:35" ht="36" x14ac:dyDescent="0.3">
      <c r="A652" s="10" t="s">
        <v>2125</v>
      </c>
      <c r="B652" s="10"/>
      <c r="C652" s="30" t="s">
        <v>2126</v>
      </c>
      <c r="D652" s="15"/>
      <c r="E652" s="15"/>
      <c r="F652" s="25" t="s">
        <v>62</v>
      </c>
      <c r="G652" s="26">
        <v>1.1000000000000001</v>
      </c>
      <c r="H652" s="31"/>
      <c r="I652" s="31">
        <v>0</v>
      </c>
      <c r="J652" s="27">
        <v>2038.05</v>
      </c>
      <c r="M652" s="28">
        <f>ROUND(ROUND(J652, 2)*I652, 2)</f>
        <v>0</v>
      </c>
      <c r="P652" s="27">
        <v>1102.5</v>
      </c>
      <c r="S652" s="28">
        <f>ROUND(ROUND(P652, 2)*I652, 2)</f>
        <v>0</v>
      </c>
      <c r="V652" s="9">
        <f>ROUND(ROUND(P652, 2)/1.2, 2)</f>
        <v>918.75</v>
      </c>
      <c r="Y652" s="9">
        <f t="shared" si="21"/>
        <v>0</v>
      </c>
      <c r="AD652" s="4" t="s">
        <v>2127</v>
      </c>
      <c r="AE652" s="4" t="s">
        <v>2128</v>
      </c>
      <c r="AF652" s="4" t="s">
        <v>2129</v>
      </c>
    </row>
    <row r="653" spans="1:35" ht="36" x14ac:dyDescent="0.3">
      <c r="A653" s="10" t="s">
        <v>2130</v>
      </c>
      <c r="B653" s="10"/>
      <c r="C653" s="30" t="s">
        <v>1200</v>
      </c>
      <c r="D653" s="15"/>
      <c r="E653" s="15"/>
      <c r="F653" s="25" t="s">
        <v>278</v>
      </c>
      <c r="G653" s="26">
        <v>1.2</v>
      </c>
      <c r="H653" s="31"/>
      <c r="I653" s="31">
        <v>0</v>
      </c>
      <c r="J653" s="27">
        <v>16.96</v>
      </c>
      <c r="M653" s="28">
        <f>ROUND(ROUND(J653, 2)*I653, 2)</f>
        <v>0</v>
      </c>
      <c r="P653" s="27">
        <v>16.96</v>
      </c>
      <c r="S653" s="28">
        <f>ROUND(ROUND(P653, 2)*I653, 2)</f>
        <v>0</v>
      </c>
      <c r="V653" s="9">
        <f>ROUND(ROUND(P653, 2)/1.2, 2)</f>
        <v>14.13</v>
      </c>
      <c r="Y653" s="9">
        <f t="shared" si="21"/>
        <v>0</v>
      </c>
      <c r="AD653" s="4" t="s">
        <v>2131</v>
      </c>
      <c r="AE653" s="4" t="s">
        <v>2132</v>
      </c>
      <c r="AF653" s="4" t="s">
        <v>1203</v>
      </c>
    </row>
    <row r="654" spans="1:35" ht="36" x14ac:dyDescent="0.3">
      <c r="A654" s="10" t="s">
        <v>2133</v>
      </c>
      <c r="B654" s="10"/>
      <c r="C654" s="24" t="s">
        <v>1157</v>
      </c>
      <c r="D654" s="15"/>
      <c r="E654" s="15"/>
      <c r="F654" s="25" t="s">
        <v>278</v>
      </c>
      <c r="G654" s="26">
        <v>0.25</v>
      </c>
      <c r="H654" s="31"/>
      <c r="I654" s="31">
        <v>0</v>
      </c>
      <c r="J654" s="27">
        <v>40.270000000000003</v>
      </c>
      <c r="M654" s="28">
        <f>ROUND(ROUND(J654, 2)*I654, 2)</f>
        <v>0</v>
      </c>
      <c r="P654" s="27">
        <v>40.270000000000003</v>
      </c>
      <c r="S654" s="28">
        <f>ROUND(ROUND(P654, 2)*I654, 2)</f>
        <v>0</v>
      </c>
      <c r="V654" s="9">
        <f>ROUND(ROUND(P654, 2)/1.2, 2)</f>
        <v>33.56</v>
      </c>
      <c r="Y654" s="9">
        <f t="shared" si="21"/>
        <v>0</v>
      </c>
      <c r="AD654" s="4" t="s">
        <v>2134</v>
      </c>
      <c r="AE654" s="4" t="s">
        <v>2135</v>
      </c>
      <c r="AF654" s="4" t="s">
        <v>1160</v>
      </c>
    </row>
    <row r="655" spans="1:35" ht="36" x14ac:dyDescent="0.3">
      <c r="A655" s="10" t="s">
        <v>2136</v>
      </c>
      <c r="B655" s="10"/>
      <c r="C655" s="24" t="s">
        <v>543</v>
      </c>
      <c r="D655" s="15"/>
      <c r="E655" s="15"/>
      <c r="F655" s="25" t="s">
        <v>278</v>
      </c>
      <c r="G655" s="26">
        <v>0.15</v>
      </c>
      <c r="H655" s="26"/>
      <c r="I655" s="26">
        <v>0</v>
      </c>
      <c r="J655" s="27">
        <v>68.400000000000006</v>
      </c>
      <c r="M655" s="28">
        <f>ROUND(ROUND(J655, 2)*I655, 2)</f>
        <v>0</v>
      </c>
      <c r="P655" s="27">
        <v>68.400000000000006</v>
      </c>
      <c r="S655" s="28">
        <f>ROUND(ROUND(P655, 2)*I655, 2)</f>
        <v>0</v>
      </c>
      <c r="V655" s="9">
        <f>ROUND(ROUND(P655, 2)/1.2, 2)</f>
        <v>57</v>
      </c>
      <c r="Y655" s="9">
        <f t="shared" si="21"/>
        <v>0</v>
      </c>
      <c r="AD655" s="4" t="s">
        <v>2137</v>
      </c>
      <c r="AE655" s="4" t="s">
        <v>2138</v>
      </c>
      <c r="AF655" s="4" t="s">
        <v>546</v>
      </c>
    </row>
    <row r="656" spans="1:35" ht="54" x14ac:dyDescent="0.3">
      <c r="A656" s="10" t="s">
        <v>2139</v>
      </c>
      <c r="B656" s="10" t="s">
        <v>2121</v>
      </c>
      <c r="C656" s="14" t="s">
        <v>2122</v>
      </c>
      <c r="D656" s="15"/>
      <c r="E656" s="15"/>
      <c r="F656" s="15" t="s">
        <v>62</v>
      </c>
      <c r="G656" s="16">
        <v>1</v>
      </c>
      <c r="H656" s="16"/>
      <c r="I656" s="16">
        <v>0</v>
      </c>
      <c r="J656" s="17">
        <v>0</v>
      </c>
      <c r="K656" s="18">
        <v>2983</v>
      </c>
      <c r="L656" s="17">
        <f>J656+ROUND(K656, 2)</f>
        <v>2983</v>
      </c>
      <c r="M656" s="17">
        <v>0</v>
      </c>
      <c r="N656" s="17">
        <v>0</v>
      </c>
      <c r="O656" s="17">
        <f>M656+N656</f>
        <v>0</v>
      </c>
      <c r="P656" s="17">
        <v>1253.43</v>
      </c>
      <c r="Q656" s="18">
        <v>2983</v>
      </c>
      <c r="R656" s="17">
        <f>P656+ROUND(Q656, 2)</f>
        <v>4236.43</v>
      </c>
      <c r="S656" s="17">
        <v>0</v>
      </c>
      <c r="T656" s="17">
        <v>0</v>
      </c>
      <c r="U656" s="17">
        <f>S656+T656</f>
        <v>0</v>
      </c>
      <c r="V656" s="9">
        <f>ROUND(P656 / 1.2, 2)</f>
        <v>1044.53</v>
      </c>
      <c r="W656" s="9">
        <f>ROUND(Q656 / 1.2, 2)</f>
        <v>2485.83</v>
      </c>
      <c r="X656" s="9">
        <f>ROUND(R656 / 1.2, 2)</f>
        <v>3530.36</v>
      </c>
      <c r="Y656" s="9">
        <f t="shared" si="21"/>
        <v>0</v>
      </c>
      <c r="Z656" s="9">
        <f>ROUND(T656 / 1.2, 2)</f>
        <v>0</v>
      </c>
      <c r="AA656" s="9">
        <f>Y656+Z656</f>
        <v>0</v>
      </c>
      <c r="AD656" s="4">
        <v>334080728</v>
      </c>
      <c r="AE656" s="4">
        <v>27245628</v>
      </c>
      <c r="AG656" s="4" t="s">
        <v>2123</v>
      </c>
      <c r="AH656" s="4" t="s">
        <v>2124</v>
      </c>
      <c r="AI656" s="4" t="s">
        <v>250</v>
      </c>
    </row>
    <row r="657" spans="1:35" ht="36" x14ac:dyDescent="0.3">
      <c r="A657" s="10" t="s">
        <v>2140</v>
      </c>
      <c r="B657" s="10"/>
      <c r="C657" s="24" t="s">
        <v>543</v>
      </c>
      <c r="D657" s="15"/>
      <c r="E657" s="15"/>
      <c r="F657" s="25" t="s">
        <v>278</v>
      </c>
      <c r="G657" s="26">
        <v>0.15</v>
      </c>
      <c r="H657" s="26"/>
      <c r="I657" s="26">
        <v>0</v>
      </c>
      <c r="J657" s="27">
        <v>68.400000000000006</v>
      </c>
      <c r="M657" s="28">
        <f>ROUND(ROUND(J657, 2)*I657, 2)</f>
        <v>0</v>
      </c>
      <c r="P657" s="27">
        <v>68.400000000000006</v>
      </c>
      <c r="S657" s="28">
        <f>ROUND(ROUND(P657, 2)*I657, 2)</f>
        <v>0</v>
      </c>
      <c r="V657" s="9">
        <f>ROUND(ROUND(P657, 2)/1.2, 2)</f>
        <v>57</v>
      </c>
      <c r="Y657" s="9">
        <f t="shared" si="21"/>
        <v>0</v>
      </c>
      <c r="AD657" s="4" t="s">
        <v>2141</v>
      </c>
      <c r="AE657" s="4" t="s">
        <v>2142</v>
      </c>
      <c r="AF657" s="4" t="s">
        <v>546</v>
      </c>
    </row>
    <row r="658" spans="1:35" ht="36" x14ac:dyDescent="0.3">
      <c r="A658" s="10" t="s">
        <v>2143</v>
      </c>
      <c r="B658" s="10"/>
      <c r="C658" s="24" t="s">
        <v>1157</v>
      </c>
      <c r="D658" s="15"/>
      <c r="E658" s="15"/>
      <c r="F658" s="25" t="s">
        <v>278</v>
      </c>
      <c r="G658" s="26">
        <v>0.25</v>
      </c>
      <c r="H658" s="31"/>
      <c r="I658" s="31">
        <v>0</v>
      </c>
      <c r="J658" s="27">
        <v>40.270000000000003</v>
      </c>
      <c r="M658" s="28">
        <f>ROUND(ROUND(J658, 2)*I658, 2)</f>
        <v>0</v>
      </c>
      <c r="P658" s="27">
        <v>40.270000000000003</v>
      </c>
      <c r="S658" s="28">
        <f>ROUND(ROUND(P658, 2)*I658, 2)</f>
        <v>0</v>
      </c>
      <c r="V658" s="9">
        <f>ROUND(ROUND(P658, 2)/1.2, 2)</f>
        <v>33.56</v>
      </c>
      <c r="Y658" s="9">
        <f t="shared" si="21"/>
        <v>0</v>
      </c>
      <c r="AD658" s="4" t="s">
        <v>2144</v>
      </c>
      <c r="AE658" s="4" t="s">
        <v>2145</v>
      </c>
      <c r="AF658" s="4" t="s">
        <v>1160</v>
      </c>
    </row>
    <row r="659" spans="1:35" ht="36" x14ac:dyDescent="0.3">
      <c r="A659" s="10" t="s">
        <v>2146</v>
      </c>
      <c r="B659" s="10"/>
      <c r="C659" s="30" t="s">
        <v>1200</v>
      </c>
      <c r="D659" s="15"/>
      <c r="E659" s="15"/>
      <c r="F659" s="25" t="s">
        <v>278</v>
      </c>
      <c r="G659" s="26">
        <v>1.2</v>
      </c>
      <c r="H659" s="31"/>
      <c r="I659" s="31">
        <v>0</v>
      </c>
      <c r="J659" s="27">
        <v>16.96</v>
      </c>
      <c r="M659" s="28">
        <f>ROUND(ROUND(J659, 2)*I659, 2)</f>
        <v>0</v>
      </c>
      <c r="P659" s="27">
        <v>16.96</v>
      </c>
      <c r="S659" s="28">
        <f>ROUND(ROUND(P659, 2)*I659, 2)</f>
        <v>0</v>
      </c>
      <c r="V659" s="9">
        <f>ROUND(ROUND(P659, 2)/1.2, 2)</f>
        <v>14.13</v>
      </c>
      <c r="Y659" s="9">
        <f t="shared" si="21"/>
        <v>0</v>
      </c>
      <c r="AD659" s="4" t="s">
        <v>2147</v>
      </c>
      <c r="AE659" s="4" t="s">
        <v>2148</v>
      </c>
      <c r="AF659" s="4" t="s">
        <v>1203</v>
      </c>
    </row>
    <row r="660" spans="1:35" ht="36" x14ac:dyDescent="0.3">
      <c r="A660" s="10" t="s">
        <v>2149</v>
      </c>
      <c r="B660" s="10"/>
      <c r="C660" s="30" t="s">
        <v>2126</v>
      </c>
      <c r="D660" s="15"/>
      <c r="E660" s="15"/>
      <c r="F660" s="25" t="s">
        <v>62</v>
      </c>
      <c r="G660" s="26">
        <v>1.1000000000000001</v>
      </c>
      <c r="H660" s="31"/>
      <c r="I660" s="31">
        <v>0</v>
      </c>
      <c r="J660" s="27">
        <v>2038.05</v>
      </c>
      <c r="M660" s="28">
        <f>ROUND(ROUND(J660, 2)*I660, 2)</f>
        <v>0</v>
      </c>
      <c r="P660" s="27">
        <v>1102.5</v>
      </c>
      <c r="S660" s="28">
        <f>ROUND(ROUND(P660, 2)*I660, 2)</f>
        <v>0</v>
      </c>
      <c r="V660" s="9">
        <f>ROUND(ROUND(P660, 2)/1.2, 2)</f>
        <v>918.75</v>
      </c>
      <c r="Y660" s="9">
        <f t="shared" si="21"/>
        <v>0</v>
      </c>
      <c r="AD660" s="4" t="s">
        <v>2150</v>
      </c>
      <c r="AE660" s="4" t="s">
        <v>2151</v>
      </c>
      <c r="AF660" s="4" t="s">
        <v>2129</v>
      </c>
    </row>
    <row r="661" spans="1:35" ht="54" x14ac:dyDescent="0.3">
      <c r="A661" s="10" t="s">
        <v>2152</v>
      </c>
      <c r="B661" s="10" t="s">
        <v>2121</v>
      </c>
      <c r="C661" s="14" t="s">
        <v>2122</v>
      </c>
      <c r="D661" s="15"/>
      <c r="E661" s="15"/>
      <c r="F661" s="15" t="s">
        <v>62</v>
      </c>
      <c r="G661" s="16">
        <v>1</v>
      </c>
      <c r="H661" s="16"/>
      <c r="I661" s="16">
        <v>0</v>
      </c>
      <c r="J661" s="17">
        <v>0</v>
      </c>
      <c r="K661" s="18">
        <v>2983</v>
      </c>
      <c r="L661" s="17">
        <f>J661+ROUND(K661, 2)</f>
        <v>2983</v>
      </c>
      <c r="M661" s="17">
        <v>0</v>
      </c>
      <c r="N661" s="17">
        <v>0</v>
      </c>
      <c r="O661" s="17">
        <f>M661+N661</f>
        <v>0</v>
      </c>
      <c r="P661" s="17">
        <v>1253.43</v>
      </c>
      <c r="Q661" s="18">
        <v>2983</v>
      </c>
      <c r="R661" s="17">
        <f>P661+ROUND(Q661, 2)</f>
        <v>4236.43</v>
      </c>
      <c r="S661" s="17">
        <v>0</v>
      </c>
      <c r="T661" s="17">
        <v>0</v>
      </c>
      <c r="U661" s="17">
        <f>S661+T661</f>
        <v>0</v>
      </c>
      <c r="V661" s="9">
        <f>ROUND(P661 / 1.2, 2)</f>
        <v>1044.53</v>
      </c>
      <c r="W661" s="9">
        <f>ROUND(Q661 / 1.2, 2)</f>
        <v>2485.83</v>
      </c>
      <c r="X661" s="9">
        <f>ROUND(R661 / 1.2, 2)</f>
        <v>3530.36</v>
      </c>
      <c r="Y661" s="9">
        <f t="shared" si="21"/>
        <v>0</v>
      </c>
      <c r="Z661" s="9">
        <f>ROUND(T661 / 1.2, 2)</f>
        <v>0</v>
      </c>
      <c r="AA661" s="9">
        <f>Y661+Z661</f>
        <v>0</v>
      </c>
      <c r="AD661" s="4">
        <v>334080729</v>
      </c>
      <c r="AE661" s="4">
        <v>27245629</v>
      </c>
      <c r="AG661" s="4" t="s">
        <v>2123</v>
      </c>
      <c r="AH661" s="4" t="s">
        <v>2124</v>
      </c>
      <c r="AI661" s="4" t="s">
        <v>250</v>
      </c>
    </row>
    <row r="662" spans="1:35" ht="36" x14ac:dyDescent="0.3">
      <c r="A662" s="10" t="s">
        <v>2153</v>
      </c>
      <c r="B662" s="10"/>
      <c r="C662" s="30" t="s">
        <v>2126</v>
      </c>
      <c r="D662" s="15"/>
      <c r="E662" s="15"/>
      <c r="F662" s="25" t="s">
        <v>62</v>
      </c>
      <c r="G662" s="26">
        <v>1.1000000000000001</v>
      </c>
      <c r="H662" s="31"/>
      <c r="I662" s="31">
        <v>0</v>
      </c>
      <c r="J662" s="27">
        <v>2038.05</v>
      </c>
      <c r="M662" s="28">
        <f>ROUND(ROUND(J662, 2)*I662, 2)</f>
        <v>0</v>
      </c>
      <c r="P662" s="27">
        <v>1102.5</v>
      </c>
      <c r="S662" s="28">
        <f>ROUND(ROUND(P662, 2)*I662, 2)</f>
        <v>0</v>
      </c>
      <c r="V662" s="9">
        <f>ROUND(ROUND(P662, 2)/1.2, 2)</f>
        <v>918.75</v>
      </c>
      <c r="Y662" s="9">
        <f t="shared" si="21"/>
        <v>0</v>
      </c>
      <c r="AD662" s="4" t="s">
        <v>2154</v>
      </c>
      <c r="AE662" s="4" t="s">
        <v>2155</v>
      </c>
      <c r="AF662" s="4" t="s">
        <v>2129</v>
      </c>
    </row>
    <row r="663" spans="1:35" ht="36" x14ac:dyDescent="0.3">
      <c r="A663" s="10" t="s">
        <v>2156</v>
      </c>
      <c r="B663" s="10"/>
      <c r="C663" s="30" t="s">
        <v>1200</v>
      </c>
      <c r="D663" s="15"/>
      <c r="E663" s="15"/>
      <c r="F663" s="25" t="s">
        <v>278</v>
      </c>
      <c r="G663" s="26">
        <v>1.2</v>
      </c>
      <c r="H663" s="31"/>
      <c r="I663" s="31">
        <v>0</v>
      </c>
      <c r="J663" s="27">
        <v>16.96</v>
      </c>
      <c r="M663" s="28">
        <f>ROUND(ROUND(J663, 2)*I663, 2)</f>
        <v>0</v>
      </c>
      <c r="P663" s="27">
        <v>16.96</v>
      </c>
      <c r="S663" s="28">
        <f>ROUND(ROUND(P663, 2)*I663, 2)</f>
        <v>0</v>
      </c>
      <c r="V663" s="9">
        <f>ROUND(ROUND(P663, 2)/1.2, 2)</f>
        <v>14.13</v>
      </c>
      <c r="Y663" s="9">
        <f t="shared" si="21"/>
        <v>0</v>
      </c>
      <c r="AD663" s="4" t="s">
        <v>2157</v>
      </c>
      <c r="AE663" s="4" t="s">
        <v>2158</v>
      </c>
      <c r="AF663" s="4" t="s">
        <v>1203</v>
      </c>
    </row>
    <row r="664" spans="1:35" ht="36" x14ac:dyDescent="0.3">
      <c r="A664" s="10" t="s">
        <v>2159</v>
      </c>
      <c r="B664" s="10"/>
      <c r="C664" s="24" t="s">
        <v>1157</v>
      </c>
      <c r="D664" s="15"/>
      <c r="E664" s="15"/>
      <c r="F664" s="25" t="s">
        <v>278</v>
      </c>
      <c r="G664" s="26">
        <v>0.25</v>
      </c>
      <c r="H664" s="31"/>
      <c r="I664" s="31">
        <v>0</v>
      </c>
      <c r="J664" s="27">
        <v>40.270000000000003</v>
      </c>
      <c r="M664" s="28">
        <f>ROUND(ROUND(J664, 2)*I664, 2)</f>
        <v>0</v>
      </c>
      <c r="P664" s="27">
        <v>40.270000000000003</v>
      </c>
      <c r="S664" s="28">
        <f>ROUND(ROUND(P664, 2)*I664, 2)</f>
        <v>0</v>
      </c>
      <c r="V664" s="9">
        <f>ROUND(ROUND(P664, 2)/1.2, 2)</f>
        <v>33.56</v>
      </c>
      <c r="Y664" s="9">
        <f t="shared" si="21"/>
        <v>0</v>
      </c>
      <c r="AD664" s="4" t="s">
        <v>2160</v>
      </c>
      <c r="AE664" s="4" t="s">
        <v>2161</v>
      </c>
      <c r="AF664" s="4" t="s">
        <v>1160</v>
      </c>
    </row>
    <row r="665" spans="1:35" ht="36" x14ac:dyDescent="0.3">
      <c r="A665" s="10" t="s">
        <v>2162</v>
      </c>
      <c r="B665" s="10"/>
      <c r="C665" s="24" t="s">
        <v>543</v>
      </c>
      <c r="D665" s="15"/>
      <c r="E665" s="15"/>
      <c r="F665" s="25" t="s">
        <v>278</v>
      </c>
      <c r="G665" s="26">
        <v>0.15</v>
      </c>
      <c r="H665" s="26"/>
      <c r="I665" s="26">
        <v>0</v>
      </c>
      <c r="J665" s="27">
        <v>68.400000000000006</v>
      </c>
      <c r="M665" s="28">
        <f>ROUND(ROUND(J665, 2)*I665, 2)</f>
        <v>0</v>
      </c>
      <c r="P665" s="27">
        <v>68.400000000000006</v>
      </c>
      <c r="S665" s="28">
        <f>ROUND(ROUND(P665, 2)*I665, 2)</f>
        <v>0</v>
      </c>
      <c r="V665" s="9">
        <f>ROUND(ROUND(P665, 2)/1.2, 2)</f>
        <v>57</v>
      </c>
      <c r="Y665" s="9">
        <f t="shared" si="21"/>
        <v>0</v>
      </c>
      <c r="AD665" s="4" t="s">
        <v>2163</v>
      </c>
      <c r="AE665" s="4" t="s">
        <v>2164</v>
      </c>
      <c r="AF665" s="4" t="s">
        <v>546</v>
      </c>
    </row>
    <row r="666" spans="1:35" ht="54" x14ac:dyDescent="0.3">
      <c r="A666" s="10" t="s">
        <v>2165</v>
      </c>
      <c r="B666" s="10" t="s">
        <v>2121</v>
      </c>
      <c r="C666" s="14" t="s">
        <v>2122</v>
      </c>
      <c r="D666" s="15"/>
      <c r="E666" s="15"/>
      <c r="F666" s="15" t="s">
        <v>62</v>
      </c>
      <c r="G666" s="16">
        <v>1</v>
      </c>
      <c r="H666" s="16"/>
      <c r="I666" s="16">
        <v>0</v>
      </c>
      <c r="J666" s="17">
        <v>0</v>
      </c>
      <c r="K666" s="18">
        <v>2983</v>
      </c>
      <c r="L666" s="17">
        <f>J666+ROUND(K666, 2)</f>
        <v>2983</v>
      </c>
      <c r="M666" s="17">
        <v>0</v>
      </c>
      <c r="N666" s="17">
        <v>0</v>
      </c>
      <c r="O666" s="17">
        <f>M666+N666</f>
        <v>0</v>
      </c>
      <c r="P666" s="17">
        <v>1253.43</v>
      </c>
      <c r="Q666" s="18">
        <v>2983</v>
      </c>
      <c r="R666" s="17">
        <f>P666+ROUND(Q666, 2)</f>
        <v>4236.43</v>
      </c>
      <c r="S666" s="17">
        <v>0</v>
      </c>
      <c r="T666" s="17">
        <v>0</v>
      </c>
      <c r="U666" s="17">
        <f>S666+T666</f>
        <v>0</v>
      </c>
      <c r="V666" s="9">
        <f>ROUND(P666 / 1.2, 2)</f>
        <v>1044.53</v>
      </c>
      <c r="W666" s="9">
        <f>ROUND(Q666 / 1.2, 2)</f>
        <v>2485.83</v>
      </c>
      <c r="X666" s="9">
        <f>ROUND(R666 / 1.2, 2)</f>
        <v>3530.36</v>
      </c>
      <c r="Y666" s="9">
        <f t="shared" si="21"/>
        <v>0</v>
      </c>
      <c r="Z666" s="9">
        <f>ROUND(T666 / 1.2, 2)</f>
        <v>0</v>
      </c>
      <c r="AA666" s="9">
        <f>Y666+Z666</f>
        <v>0</v>
      </c>
      <c r="AD666" s="4">
        <v>334080730</v>
      </c>
      <c r="AE666" s="4">
        <v>27245630</v>
      </c>
      <c r="AG666" s="4" t="s">
        <v>2123</v>
      </c>
      <c r="AH666" s="4" t="s">
        <v>2124</v>
      </c>
      <c r="AI666" s="4" t="s">
        <v>250</v>
      </c>
    </row>
    <row r="667" spans="1:35" ht="36" x14ac:dyDescent="0.3">
      <c r="A667" s="10" t="s">
        <v>2166</v>
      </c>
      <c r="B667" s="10"/>
      <c r="C667" s="24" t="s">
        <v>543</v>
      </c>
      <c r="D667" s="15"/>
      <c r="E667" s="15"/>
      <c r="F667" s="25" t="s">
        <v>278</v>
      </c>
      <c r="G667" s="26">
        <v>0.15</v>
      </c>
      <c r="H667" s="26"/>
      <c r="I667" s="26">
        <v>0</v>
      </c>
      <c r="J667" s="27">
        <v>68.400000000000006</v>
      </c>
      <c r="M667" s="28">
        <f>ROUND(ROUND(J667, 2)*I667, 2)</f>
        <v>0</v>
      </c>
      <c r="P667" s="27">
        <v>68.400000000000006</v>
      </c>
      <c r="S667" s="28">
        <f>ROUND(ROUND(P667, 2)*I667, 2)</f>
        <v>0</v>
      </c>
      <c r="V667" s="9">
        <f>ROUND(ROUND(P667, 2)/1.2, 2)</f>
        <v>57</v>
      </c>
      <c r="Y667" s="9">
        <f t="shared" si="21"/>
        <v>0</v>
      </c>
      <c r="AD667" s="4" t="s">
        <v>2167</v>
      </c>
      <c r="AE667" s="4" t="s">
        <v>2168</v>
      </c>
      <c r="AF667" s="4" t="s">
        <v>546</v>
      </c>
    </row>
    <row r="668" spans="1:35" ht="36" x14ac:dyDescent="0.3">
      <c r="A668" s="10" t="s">
        <v>2169</v>
      </c>
      <c r="B668" s="10"/>
      <c r="C668" s="24" t="s">
        <v>1157</v>
      </c>
      <c r="D668" s="15"/>
      <c r="E668" s="15"/>
      <c r="F668" s="25" t="s">
        <v>278</v>
      </c>
      <c r="G668" s="26">
        <v>0.25</v>
      </c>
      <c r="H668" s="31"/>
      <c r="I668" s="31">
        <v>0</v>
      </c>
      <c r="J668" s="27">
        <v>40.270000000000003</v>
      </c>
      <c r="M668" s="28">
        <f>ROUND(ROUND(J668, 2)*I668, 2)</f>
        <v>0</v>
      </c>
      <c r="P668" s="27">
        <v>40.270000000000003</v>
      </c>
      <c r="S668" s="28">
        <f>ROUND(ROUND(P668, 2)*I668, 2)</f>
        <v>0</v>
      </c>
      <c r="V668" s="9">
        <f>ROUND(ROUND(P668, 2)/1.2, 2)</f>
        <v>33.56</v>
      </c>
      <c r="Y668" s="9">
        <f t="shared" si="21"/>
        <v>0</v>
      </c>
      <c r="AD668" s="4" t="s">
        <v>2170</v>
      </c>
      <c r="AE668" s="4" t="s">
        <v>2171</v>
      </c>
      <c r="AF668" s="4" t="s">
        <v>1160</v>
      </c>
    </row>
    <row r="669" spans="1:35" ht="36" x14ac:dyDescent="0.3">
      <c r="A669" s="10" t="s">
        <v>2172</v>
      </c>
      <c r="B669" s="10"/>
      <c r="C669" s="30" t="s">
        <v>1200</v>
      </c>
      <c r="D669" s="15"/>
      <c r="E669" s="15"/>
      <c r="F669" s="25" t="s">
        <v>278</v>
      </c>
      <c r="G669" s="26">
        <v>1.2</v>
      </c>
      <c r="H669" s="31"/>
      <c r="I669" s="31">
        <v>0</v>
      </c>
      <c r="J669" s="27">
        <v>16.96</v>
      </c>
      <c r="M669" s="28">
        <f>ROUND(ROUND(J669, 2)*I669, 2)</f>
        <v>0</v>
      </c>
      <c r="P669" s="27">
        <v>16.96</v>
      </c>
      <c r="S669" s="28">
        <f>ROUND(ROUND(P669, 2)*I669, 2)</f>
        <v>0</v>
      </c>
      <c r="V669" s="9">
        <f>ROUND(ROUND(P669, 2)/1.2, 2)</f>
        <v>14.13</v>
      </c>
      <c r="Y669" s="9">
        <f t="shared" si="21"/>
        <v>0</v>
      </c>
      <c r="AD669" s="4" t="s">
        <v>2173</v>
      </c>
      <c r="AE669" s="4" t="s">
        <v>2174</v>
      </c>
      <c r="AF669" s="4" t="s">
        <v>1203</v>
      </c>
    </row>
    <row r="670" spans="1:35" ht="36" x14ac:dyDescent="0.3">
      <c r="A670" s="10" t="s">
        <v>2175</v>
      </c>
      <c r="B670" s="10"/>
      <c r="C670" s="30" t="s">
        <v>2126</v>
      </c>
      <c r="D670" s="15"/>
      <c r="E670" s="15"/>
      <c r="F670" s="25" t="s">
        <v>62</v>
      </c>
      <c r="G670" s="26">
        <v>1.1000000000000001</v>
      </c>
      <c r="H670" s="31"/>
      <c r="I670" s="31">
        <v>0</v>
      </c>
      <c r="J670" s="27">
        <v>2038.05</v>
      </c>
      <c r="M670" s="28">
        <f>ROUND(ROUND(J670, 2)*I670, 2)</f>
        <v>0</v>
      </c>
      <c r="P670" s="27">
        <v>1102.5</v>
      </c>
      <c r="S670" s="28">
        <f>ROUND(ROUND(P670, 2)*I670, 2)</f>
        <v>0</v>
      </c>
      <c r="V670" s="9">
        <f>ROUND(ROUND(P670, 2)/1.2, 2)</f>
        <v>918.75</v>
      </c>
      <c r="Y670" s="9">
        <f t="shared" si="21"/>
        <v>0</v>
      </c>
      <c r="AD670" s="4" t="s">
        <v>2176</v>
      </c>
      <c r="AE670" s="4" t="s">
        <v>2177</v>
      </c>
      <c r="AF670" s="4" t="s">
        <v>2129</v>
      </c>
    </row>
    <row r="671" spans="1:35" ht="54" x14ac:dyDescent="0.3">
      <c r="A671" s="10" t="s">
        <v>2178</v>
      </c>
      <c r="B671" s="10" t="s">
        <v>2121</v>
      </c>
      <c r="C671" s="14" t="s">
        <v>2122</v>
      </c>
      <c r="D671" s="15"/>
      <c r="E671" s="15" t="s">
        <v>2179</v>
      </c>
      <c r="F671" s="15" t="s">
        <v>62</v>
      </c>
      <c r="G671" s="16">
        <v>1</v>
      </c>
      <c r="H671" s="16"/>
      <c r="I671" s="16">
        <v>320.39999999999998</v>
      </c>
      <c r="J671" s="17">
        <v>2281.54</v>
      </c>
      <c r="K671" s="18">
        <v>2983</v>
      </c>
      <c r="L671" s="17">
        <f>J671+ROUND(K671, 2)</f>
        <v>5264.54</v>
      </c>
      <c r="M671" s="17">
        <v>731005.42</v>
      </c>
      <c r="N671" s="17">
        <v>955753.2</v>
      </c>
      <c r="O671" s="17">
        <f>M671+N671</f>
        <v>1686758.62</v>
      </c>
      <c r="P671" s="17">
        <v>1252.4100000000001</v>
      </c>
      <c r="Q671" s="18">
        <v>4474.5</v>
      </c>
      <c r="R671" s="17">
        <f>P671+ROUND(Q671, 2)</f>
        <v>5726.91</v>
      </c>
      <c r="S671" s="17">
        <v>401272.16</v>
      </c>
      <c r="T671" s="17">
        <v>1433629.8</v>
      </c>
      <c r="U671" s="17">
        <f>S671+T671</f>
        <v>1834901.96</v>
      </c>
      <c r="V671" s="9">
        <f>ROUND(P671 / 1.2, 2)</f>
        <v>1043.68</v>
      </c>
      <c r="W671" s="9">
        <f>ROUND(Q671 / 1.2, 2)</f>
        <v>3728.75</v>
      </c>
      <c r="X671" s="9">
        <f>ROUND(R671 / 1.2, 2)</f>
        <v>4772.43</v>
      </c>
      <c r="Y671" s="9">
        <f t="shared" si="21"/>
        <v>334393.46999999997</v>
      </c>
      <c r="Z671" s="9">
        <f>ROUND(T671 / 1.2, 2)</f>
        <v>1194691.5</v>
      </c>
      <c r="AA671" s="9">
        <f>Y671+Z671</f>
        <v>1529084.97</v>
      </c>
      <c r="AD671" s="4">
        <v>334080731</v>
      </c>
      <c r="AE671" s="4">
        <v>27245755</v>
      </c>
      <c r="AG671" s="4" t="s">
        <v>2123</v>
      </c>
      <c r="AH671" s="4" t="s">
        <v>2124</v>
      </c>
      <c r="AI671" s="4" t="s">
        <v>250</v>
      </c>
    </row>
    <row r="672" spans="1:35" ht="72" x14ac:dyDescent="0.3">
      <c r="A672" s="10" t="s">
        <v>2180</v>
      </c>
      <c r="B672" s="10"/>
      <c r="C672" s="30" t="s">
        <v>2126</v>
      </c>
      <c r="D672" s="15"/>
      <c r="E672" s="15" t="s">
        <v>2181</v>
      </c>
      <c r="F672" s="25" t="s">
        <v>62</v>
      </c>
      <c r="G672" s="26">
        <v>1.1000000000000001</v>
      </c>
      <c r="H672" s="31"/>
      <c r="I672" s="31">
        <v>352.44</v>
      </c>
      <c r="J672" s="27">
        <v>2038.06</v>
      </c>
      <c r="M672" s="28">
        <f>ROUND(ROUND(J672, 2)*I672, 2)</f>
        <v>718293.87</v>
      </c>
      <c r="P672" s="27">
        <v>1102.5</v>
      </c>
      <c r="S672" s="28">
        <f>ROUND(ROUND(P672, 2)*I672, 2)</f>
        <v>388565.1</v>
      </c>
      <c r="V672" s="9">
        <f>ROUND(ROUND(P672, 2)/1.2, 2)</f>
        <v>918.75</v>
      </c>
      <c r="Y672" s="9">
        <f t="shared" si="21"/>
        <v>323804.25</v>
      </c>
      <c r="AD672" s="4" t="s">
        <v>2182</v>
      </c>
      <c r="AE672" s="4" t="s">
        <v>2183</v>
      </c>
      <c r="AF672" s="4" t="s">
        <v>2129</v>
      </c>
    </row>
    <row r="673" spans="1:35" ht="36" x14ac:dyDescent="0.3">
      <c r="A673" s="10" t="s">
        <v>2184</v>
      </c>
      <c r="B673" s="10"/>
      <c r="C673" s="30" t="s">
        <v>1200</v>
      </c>
      <c r="D673" s="15"/>
      <c r="E673" s="15"/>
      <c r="F673" s="25" t="s">
        <v>278</v>
      </c>
      <c r="G673" s="26">
        <v>1.2</v>
      </c>
      <c r="H673" s="31"/>
      <c r="I673" s="31">
        <v>384.48</v>
      </c>
      <c r="J673" s="27">
        <v>16.12</v>
      </c>
      <c r="M673" s="28">
        <f>ROUND(ROUND(J673, 2)*I673, 2)</f>
        <v>6197.82</v>
      </c>
      <c r="P673" s="27">
        <v>16.11</v>
      </c>
      <c r="S673" s="28">
        <f>ROUND(ROUND(P673, 2)*I673, 2)</f>
        <v>6193.97</v>
      </c>
      <c r="V673" s="9">
        <f>ROUND(ROUND(P673, 2)/1.2, 2)</f>
        <v>13.43</v>
      </c>
      <c r="Y673" s="9">
        <f t="shared" si="21"/>
        <v>5161.6400000000003</v>
      </c>
      <c r="AD673" s="4" t="s">
        <v>2185</v>
      </c>
      <c r="AE673" s="4" t="s">
        <v>2186</v>
      </c>
      <c r="AF673" s="4" t="s">
        <v>1203</v>
      </c>
    </row>
    <row r="674" spans="1:35" ht="36" x14ac:dyDescent="0.3">
      <c r="A674" s="10" t="s">
        <v>2187</v>
      </c>
      <c r="B674" s="10"/>
      <c r="C674" s="24" t="s">
        <v>1157</v>
      </c>
      <c r="D674" s="15"/>
      <c r="E674" s="15"/>
      <c r="F674" s="25" t="s">
        <v>278</v>
      </c>
      <c r="G674" s="26">
        <v>0.25</v>
      </c>
      <c r="H674" s="31"/>
      <c r="I674" s="31">
        <v>80.099999999999994</v>
      </c>
      <c r="J674" s="27">
        <v>40.270000000000003</v>
      </c>
      <c r="M674" s="28">
        <f>ROUND(ROUND(J674, 2)*I674, 2)</f>
        <v>3225.63</v>
      </c>
      <c r="P674" s="27">
        <v>40.270000000000003</v>
      </c>
      <c r="S674" s="28">
        <f>ROUND(ROUND(P674, 2)*I674, 2)</f>
        <v>3225.63</v>
      </c>
      <c r="V674" s="9">
        <f>ROUND(ROUND(P674, 2)/1.2, 2)</f>
        <v>33.56</v>
      </c>
      <c r="Y674" s="9">
        <f t="shared" si="21"/>
        <v>2688.03</v>
      </c>
      <c r="AD674" s="4" t="s">
        <v>2188</v>
      </c>
      <c r="AE674" s="4" t="s">
        <v>2189</v>
      </c>
      <c r="AF674" s="4" t="s">
        <v>1160</v>
      </c>
    </row>
    <row r="675" spans="1:35" ht="36" x14ac:dyDescent="0.3">
      <c r="A675" s="10" t="s">
        <v>2190</v>
      </c>
      <c r="B675" s="10"/>
      <c r="C675" s="24" t="s">
        <v>543</v>
      </c>
      <c r="D675" s="15"/>
      <c r="E675" s="15"/>
      <c r="F675" s="25" t="s">
        <v>278</v>
      </c>
      <c r="G675" s="26">
        <v>0.15</v>
      </c>
      <c r="H675" s="26"/>
      <c r="I675" s="26">
        <v>48.06</v>
      </c>
      <c r="J675" s="27">
        <v>68.400000000000006</v>
      </c>
      <c r="M675" s="28">
        <f>ROUND(ROUND(J675, 2)*I675, 2)</f>
        <v>3287.3</v>
      </c>
      <c r="P675" s="27">
        <v>68.400000000000006</v>
      </c>
      <c r="S675" s="28">
        <f>ROUND(ROUND(P675, 2)*I675, 2)</f>
        <v>3287.3</v>
      </c>
      <c r="V675" s="9">
        <f>ROUND(ROUND(P675, 2)/1.2, 2)</f>
        <v>57</v>
      </c>
      <c r="Y675" s="9">
        <f t="shared" si="21"/>
        <v>2739.42</v>
      </c>
      <c r="AD675" s="4" t="s">
        <v>2191</v>
      </c>
      <c r="AE675" s="4" t="s">
        <v>2192</v>
      </c>
      <c r="AF675" s="4" t="s">
        <v>546</v>
      </c>
    </row>
    <row r="676" spans="1:35" ht="54" x14ac:dyDescent="0.3">
      <c r="A676" s="10" t="s">
        <v>2193</v>
      </c>
      <c r="B676" s="10" t="s">
        <v>2121</v>
      </c>
      <c r="C676" s="14" t="s">
        <v>2122</v>
      </c>
      <c r="D676" s="15"/>
      <c r="E676" s="15" t="s">
        <v>2194</v>
      </c>
      <c r="F676" s="15" t="s">
        <v>62</v>
      </c>
      <c r="G676" s="16">
        <v>1</v>
      </c>
      <c r="H676" s="16"/>
      <c r="I676" s="16">
        <v>249.1</v>
      </c>
      <c r="J676" s="17">
        <v>2281.54</v>
      </c>
      <c r="K676" s="18">
        <v>2983</v>
      </c>
      <c r="L676" s="17">
        <f>J676+ROUND(K676, 2)</f>
        <v>5264.54</v>
      </c>
      <c r="M676" s="17">
        <v>568331.61</v>
      </c>
      <c r="N676" s="17">
        <v>743065.3</v>
      </c>
      <c r="O676" s="17">
        <f>M676+N676</f>
        <v>1311396.9100000001</v>
      </c>
      <c r="P676" s="17">
        <v>1252.4100000000001</v>
      </c>
      <c r="Q676" s="18">
        <v>4474.5</v>
      </c>
      <c r="R676" s="17">
        <f>P676+ROUND(Q676, 2)</f>
        <v>5726.91</v>
      </c>
      <c r="S676" s="17">
        <v>311975.33</v>
      </c>
      <c r="T676" s="17">
        <v>1114597.95</v>
      </c>
      <c r="U676" s="17">
        <f>S676+T676</f>
        <v>1426573.28</v>
      </c>
      <c r="V676" s="9">
        <f>ROUND(P676 / 1.2, 2)</f>
        <v>1043.68</v>
      </c>
      <c r="W676" s="9">
        <f>ROUND(Q676 / 1.2, 2)</f>
        <v>3728.75</v>
      </c>
      <c r="X676" s="9">
        <f>ROUND(R676 / 1.2, 2)</f>
        <v>4772.43</v>
      </c>
      <c r="Y676" s="9">
        <f t="shared" ref="Y676:Y710" si="22">ROUND(S676 / 1.2, 2)</f>
        <v>259979.44</v>
      </c>
      <c r="Z676" s="9">
        <f>ROUND(T676 / 1.2, 2)</f>
        <v>928831.63</v>
      </c>
      <c r="AA676" s="9">
        <f>Y676+Z676</f>
        <v>1188811.07</v>
      </c>
      <c r="AD676" s="4">
        <v>334080732</v>
      </c>
      <c r="AE676" s="4">
        <v>27245744</v>
      </c>
      <c r="AG676" s="4" t="s">
        <v>2123</v>
      </c>
      <c r="AH676" s="4" t="s">
        <v>2124</v>
      </c>
      <c r="AI676" s="4" t="s">
        <v>250</v>
      </c>
    </row>
    <row r="677" spans="1:35" ht="36" x14ac:dyDescent="0.3">
      <c r="A677" s="10" t="s">
        <v>2195</v>
      </c>
      <c r="B677" s="10"/>
      <c r="C677" s="24" t="s">
        <v>543</v>
      </c>
      <c r="D677" s="15"/>
      <c r="E677" s="15"/>
      <c r="F677" s="25" t="s">
        <v>278</v>
      </c>
      <c r="G677" s="26">
        <v>0.15</v>
      </c>
      <c r="H677" s="26"/>
      <c r="I677" s="26">
        <v>37.365000000000002</v>
      </c>
      <c r="J677" s="27">
        <v>68.400000000000006</v>
      </c>
      <c r="M677" s="28">
        <f>ROUND(ROUND(J677, 2)*I677, 2)</f>
        <v>2555.77</v>
      </c>
      <c r="P677" s="27">
        <v>68.400000000000006</v>
      </c>
      <c r="S677" s="28">
        <f>ROUND(ROUND(P677, 2)*I677, 2)</f>
        <v>2555.77</v>
      </c>
      <c r="V677" s="9">
        <f>ROUND(ROUND(P677, 2)/1.2, 2)</f>
        <v>57</v>
      </c>
      <c r="Y677" s="9">
        <f t="shared" si="22"/>
        <v>2129.81</v>
      </c>
      <c r="AD677" s="4" t="s">
        <v>2196</v>
      </c>
      <c r="AE677" s="4" t="s">
        <v>2197</v>
      </c>
      <c r="AF677" s="4" t="s">
        <v>546</v>
      </c>
    </row>
    <row r="678" spans="1:35" ht="36" x14ac:dyDescent="0.3">
      <c r="A678" s="10" t="s">
        <v>2198</v>
      </c>
      <c r="B678" s="10"/>
      <c r="C678" s="24" t="s">
        <v>1157</v>
      </c>
      <c r="D678" s="15"/>
      <c r="E678" s="15"/>
      <c r="F678" s="25" t="s">
        <v>278</v>
      </c>
      <c r="G678" s="26">
        <v>0.25</v>
      </c>
      <c r="H678" s="31"/>
      <c r="I678" s="31">
        <v>62.274999999999999</v>
      </c>
      <c r="J678" s="27">
        <v>40.270000000000003</v>
      </c>
      <c r="M678" s="28">
        <f>ROUND(ROUND(J678, 2)*I678, 2)</f>
        <v>2507.81</v>
      </c>
      <c r="P678" s="27">
        <v>40.270000000000003</v>
      </c>
      <c r="S678" s="28">
        <f>ROUND(ROUND(P678, 2)*I678, 2)</f>
        <v>2507.81</v>
      </c>
      <c r="V678" s="9">
        <f>ROUND(ROUND(P678, 2)/1.2, 2)</f>
        <v>33.56</v>
      </c>
      <c r="Y678" s="9">
        <f t="shared" si="22"/>
        <v>2089.84</v>
      </c>
      <c r="AD678" s="4" t="s">
        <v>2199</v>
      </c>
      <c r="AE678" s="4" t="s">
        <v>2200</v>
      </c>
      <c r="AF678" s="4" t="s">
        <v>1160</v>
      </c>
    </row>
    <row r="679" spans="1:35" ht="36" x14ac:dyDescent="0.3">
      <c r="A679" s="10" t="s">
        <v>2201</v>
      </c>
      <c r="B679" s="10"/>
      <c r="C679" s="30" t="s">
        <v>1200</v>
      </c>
      <c r="D679" s="15"/>
      <c r="E679" s="15"/>
      <c r="F679" s="25" t="s">
        <v>278</v>
      </c>
      <c r="G679" s="26">
        <v>1.2</v>
      </c>
      <c r="H679" s="31"/>
      <c r="I679" s="31">
        <v>298.92</v>
      </c>
      <c r="J679" s="27">
        <v>16.12</v>
      </c>
      <c r="M679" s="28">
        <f>ROUND(ROUND(J679, 2)*I679, 2)</f>
        <v>4818.59</v>
      </c>
      <c r="P679" s="27">
        <v>16.11</v>
      </c>
      <c r="S679" s="28">
        <f>ROUND(ROUND(P679, 2)*I679, 2)</f>
        <v>4815.6000000000004</v>
      </c>
      <c r="V679" s="9">
        <f>ROUND(ROUND(P679, 2)/1.2, 2)</f>
        <v>13.43</v>
      </c>
      <c r="Y679" s="9">
        <f t="shared" si="22"/>
        <v>4013</v>
      </c>
      <c r="AD679" s="4" t="s">
        <v>2202</v>
      </c>
      <c r="AE679" s="4" t="s">
        <v>2203</v>
      </c>
      <c r="AF679" s="4" t="s">
        <v>1203</v>
      </c>
    </row>
    <row r="680" spans="1:35" ht="72" x14ac:dyDescent="0.3">
      <c r="A680" s="10" t="s">
        <v>2204</v>
      </c>
      <c r="B680" s="10"/>
      <c r="C680" s="30" t="s">
        <v>2126</v>
      </c>
      <c r="D680" s="15"/>
      <c r="E680" s="15" t="s">
        <v>2205</v>
      </c>
      <c r="F680" s="25" t="s">
        <v>62</v>
      </c>
      <c r="G680" s="26">
        <v>1.1000000000000001</v>
      </c>
      <c r="H680" s="31"/>
      <c r="I680" s="31">
        <v>274.01</v>
      </c>
      <c r="J680" s="27">
        <v>2038.06</v>
      </c>
      <c r="M680" s="28">
        <f>ROUND(ROUND(J680, 2)*I680, 2)</f>
        <v>558448.81999999995</v>
      </c>
      <c r="P680" s="27">
        <v>1102.5</v>
      </c>
      <c r="S680" s="28">
        <f>ROUND(ROUND(P680, 2)*I680, 2)</f>
        <v>302096.03000000003</v>
      </c>
      <c r="V680" s="9">
        <f>ROUND(ROUND(P680, 2)/1.2, 2)</f>
        <v>918.75</v>
      </c>
      <c r="Y680" s="9">
        <f t="shared" si="22"/>
        <v>251746.69</v>
      </c>
      <c r="AD680" s="4" t="s">
        <v>2206</v>
      </c>
      <c r="AE680" s="4" t="s">
        <v>2207</v>
      </c>
      <c r="AF680" s="4" t="s">
        <v>2129</v>
      </c>
    </row>
    <row r="681" spans="1:35" ht="54" x14ac:dyDescent="0.3">
      <c r="A681" s="10" t="s">
        <v>2208</v>
      </c>
      <c r="B681" s="10" t="s">
        <v>2121</v>
      </c>
      <c r="C681" s="14" t="s">
        <v>2122</v>
      </c>
      <c r="D681" s="15"/>
      <c r="E681" s="15" t="s">
        <v>2209</v>
      </c>
      <c r="F681" s="15" t="s">
        <v>62</v>
      </c>
      <c r="G681" s="16">
        <v>1</v>
      </c>
      <c r="H681" s="16"/>
      <c r="I681" s="16">
        <v>238.4</v>
      </c>
      <c r="J681" s="17">
        <v>2281.54</v>
      </c>
      <c r="K681" s="18">
        <v>2983</v>
      </c>
      <c r="L681" s="17">
        <f>J681+ROUND(K681, 2)</f>
        <v>5264.54</v>
      </c>
      <c r="M681" s="17">
        <v>543919.14</v>
      </c>
      <c r="N681" s="17">
        <v>711147.2</v>
      </c>
      <c r="O681" s="17">
        <f>M681+N681</f>
        <v>1255066.3399999999</v>
      </c>
      <c r="P681" s="17">
        <v>1252.4100000000001</v>
      </c>
      <c r="Q681" s="18">
        <v>4474.5</v>
      </c>
      <c r="R681" s="17">
        <f>P681+ROUND(Q681, 2)</f>
        <v>5726.91</v>
      </c>
      <c r="S681" s="17">
        <v>298574.53999999998</v>
      </c>
      <c r="T681" s="17">
        <v>1066720.8</v>
      </c>
      <c r="U681" s="17">
        <f>S681+T681</f>
        <v>1365295.34</v>
      </c>
      <c r="V681" s="9">
        <f>ROUND(P681 / 1.2, 2)</f>
        <v>1043.68</v>
      </c>
      <c r="W681" s="9">
        <f>ROUND(Q681 / 1.2, 2)</f>
        <v>3728.75</v>
      </c>
      <c r="X681" s="9">
        <f>ROUND(R681 / 1.2, 2)</f>
        <v>4772.43</v>
      </c>
      <c r="Y681" s="9">
        <f t="shared" si="22"/>
        <v>248812.12</v>
      </c>
      <c r="Z681" s="9">
        <f>ROUND(T681 / 1.2, 2)</f>
        <v>888934</v>
      </c>
      <c r="AA681" s="9">
        <f>Y681+Z681</f>
        <v>1137746.1200000001</v>
      </c>
      <c r="AD681" s="4">
        <v>334080733</v>
      </c>
      <c r="AE681" s="4">
        <v>27245746</v>
      </c>
      <c r="AG681" s="4" t="s">
        <v>2123</v>
      </c>
      <c r="AH681" s="4" t="s">
        <v>2124</v>
      </c>
      <c r="AI681" s="4" t="s">
        <v>250</v>
      </c>
    </row>
    <row r="682" spans="1:35" ht="72" x14ac:dyDescent="0.3">
      <c r="A682" s="10" t="s">
        <v>2210</v>
      </c>
      <c r="B682" s="10"/>
      <c r="C682" s="30" t="s">
        <v>2126</v>
      </c>
      <c r="D682" s="15"/>
      <c r="E682" s="15" t="s">
        <v>1334</v>
      </c>
      <c r="F682" s="25" t="s">
        <v>62</v>
      </c>
      <c r="G682" s="26">
        <v>1.1000000000000001</v>
      </c>
      <c r="H682" s="31"/>
      <c r="I682" s="31">
        <v>262.24</v>
      </c>
      <c r="J682" s="27">
        <v>2038.06</v>
      </c>
      <c r="M682" s="28">
        <f>ROUND(ROUND(J682, 2)*I682, 2)</f>
        <v>534460.85</v>
      </c>
      <c r="P682" s="27">
        <v>1102.5</v>
      </c>
      <c r="S682" s="28">
        <f>ROUND(ROUND(P682, 2)*I682, 2)</f>
        <v>289119.59999999998</v>
      </c>
      <c r="V682" s="9">
        <f>ROUND(ROUND(P682, 2)/1.2, 2)</f>
        <v>918.75</v>
      </c>
      <c r="Y682" s="9">
        <f t="shared" si="22"/>
        <v>240933</v>
      </c>
      <c r="AD682" s="4" t="s">
        <v>2211</v>
      </c>
      <c r="AE682" s="4" t="s">
        <v>2212</v>
      </c>
      <c r="AF682" s="4" t="s">
        <v>2129</v>
      </c>
    </row>
    <row r="683" spans="1:35" ht="36" x14ac:dyDescent="0.3">
      <c r="A683" s="10" t="s">
        <v>2213</v>
      </c>
      <c r="B683" s="10"/>
      <c r="C683" s="30" t="s">
        <v>1200</v>
      </c>
      <c r="D683" s="15"/>
      <c r="E683" s="15"/>
      <c r="F683" s="25" t="s">
        <v>278</v>
      </c>
      <c r="G683" s="26">
        <v>1.2</v>
      </c>
      <c r="H683" s="31"/>
      <c r="I683" s="31">
        <v>286.08</v>
      </c>
      <c r="J683" s="27">
        <v>16.12</v>
      </c>
      <c r="M683" s="28">
        <f>ROUND(ROUND(J683, 2)*I683, 2)</f>
        <v>4611.6099999999997</v>
      </c>
      <c r="P683" s="27">
        <v>16.11</v>
      </c>
      <c r="S683" s="28">
        <f>ROUND(ROUND(P683, 2)*I683, 2)</f>
        <v>4608.75</v>
      </c>
      <c r="V683" s="9">
        <f>ROUND(ROUND(P683, 2)/1.2, 2)</f>
        <v>13.43</v>
      </c>
      <c r="Y683" s="9">
        <f t="shared" si="22"/>
        <v>3840.63</v>
      </c>
      <c r="AD683" s="4" t="s">
        <v>2214</v>
      </c>
      <c r="AE683" s="4" t="s">
        <v>2215</v>
      </c>
      <c r="AF683" s="4" t="s">
        <v>1203</v>
      </c>
    </row>
    <row r="684" spans="1:35" ht="36" x14ac:dyDescent="0.3">
      <c r="A684" s="10" t="s">
        <v>2216</v>
      </c>
      <c r="B684" s="10"/>
      <c r="C684" s="24" t="s">
        <v>1157</v>
      </c>
      <c r="D684" s="15"/>
      <c r="E684" s="15"/>
      <c r="F684" s="25" t="s">
        <v>278</v>
      </c>
      <c r="G684" s="26">
        <v>0.25</v>
      </c>
      <c r="H684" s="31"/>
      <c r="I684" s="31">
        <v>59.6</v>
      </c>
      <c r="J684" s="27">
        <v>40.270000000000003</v>
      </c>
      <c r="M684" s="28">
        <f>ROUND(ROUND(J684, 2)*I684, 2)</f>
        <v>2400.09</v>
      </c>
      <c r="P684" s="27">
        <v>40.270000000000003</v>
      </c>
      <c r="S684" s="28">
        <f>ROUND(ROUND(P684, 2)*I684, 2)</f>
        <v>2400.09</v>
      </c>
      <c r="V684" s="9">
        <f>ROUND(ROUND(P684, 2)/1.2, 2)</f>
        <v>33.56</v>
      </c>
      <c r="Y684" s="9">
        <f t="shared" si="22"/>
        <v>2000.08</v>
      </c>
      <c r="AD684" s="4" t="s">
        <v>2217</v>
      </c>
      <c r="AE684" s="4" t="s">
        <v>2218</v>
      </c>
      <c r="AF684" s="4" t="s">
        <v>1160</v>
      </c>
    </row>
    <row r="685" spans="1:35" ht="36" x14ac:dyDescent="0.3">
      <c r="A685" s="10" t="s">
        <v>2219</v>
      </c>
      <c r="B685" s="10"/>
      <c r="C685" s="24" t="s">
        <v>543</v>
      </c>
      <c r="D685" s="15"/>
      <c r="E685" s="15"/>
      <c r="F685" s="25" t="s">
        <v>278</v>
      </c>
      <c r="G685" s="26">
        <v>0.15</v>
      </c>
      <c r="H685" s="26"/>
      <c r="I685" s="26">
        <v>35.76</v>
      </c>
      <c r="J685" s="27">
        <v>68.400000000000006</v>
      </c>
      <c r="M685" s="28">
        <f>ROUND(ROUND(J685, 2)*I685, 2)</f>
        <v>2445.98</v>
      </c>
      <c r="P685" s="27">
        <v>68.400000000000006</v>
      </c>
      <c r="S685" s="28">
        <f>ROUND(ROUND(P685, 2)*I685, 2)</f>
        <v>2445.98</v>
      </c>
      <c r="V685" s="9">
        <f>ROUND(ROUND(P685, 2)/1.2, 2)</f>
        <v>57</v>
      </c>
      <c r="Y685" s="9">
        <f t="shared" si="22"/>
        <v>2038.32</v>
      </c>
      <c r="AD685" s="4" t="s">
        <v>2220</v>
      </c>
      <c r="AE685" s="4" t="s">
        <v>2221</v>
      </c>
      <c r="AF685" s="4" t="s">
        <v>546</v>
      </c>
    </row>
    <row r="686" spans="1:35" ht="54" x14ac:dyDescent="0.3">
      <c r="A686" s="10" t="s">
        <v>2222</v>
      </c>
      <c r="B686" s="10" t="s">
        <v>2121</v>
      </c>
      <c r="C686" s="14" t="s">
        <v>2122</v>
      </c>
      <c r="D686" s="15"/>
      <c r="E686" s="15" t="s">
        <v>2223</v>
      </c>
      <c r="F686" s="15" t="s">
        <v>62</v>
      </c>
      <c r="G686" s="16">
        <v>1</v>
      </c>
      <c r="H686" s="16"/>
      <c r="I686" s="16">
        <v>6.1</v>
      </c>
      <c r="J686" s="17">
        <v>2281.54</v>
      </c>
      <c r="K686" s="18">
        <v>2983</v>
      </c>
      <c r="L686" s="17">
        <f>J686+ROUND(K686, 2)</f>
        <v>5264.54</v>
      </c>
      <c r="M686" s="17">
        <v>13917.39</v>
      </c>
      <c r="N686" s="17">
        <v>18196.3</v>
      </c>
      <c r="O686" s="17">
        <f>M686+N686</f>
        <v>32113.69</v>
      </c>
      <c r="P686" s="17">
        <v>1252.4100000000001</v>
      </c>
      <c r="Q686" s="18">
        <v>4474.5</v>
      </c>
      <c r="R686" s="17">
        <f>P686+ROUND(Q686, 2)</f>
        <v>5726.91</v>
      </c>
      <c r="S686" s="17">
        <v>7639.7</v>
      </c>
      <c r="T686" s="17">
        <v>27294.45</v>
      </c>
      <c r="U686" s="17">
        <f>S686+T686</f>
        <v>34934.15</v>
      </c>
      <c r="V686" s="9">
        <f>ROUND(P686 / 1.2, 2)</f>
        <v>1043.68</v>
      </c>
      <c r="W686" s="9">
        <f>ROUND(Q686 / 1.2, 2)</f>
        <v>3728.75</v>
      </c>
      <c r="X686" s="9">
        <f>ROUND(R686 / 1.2, 2)</f>
        <v>4772.43</v>
      </c>
      <c r="Y686" s="9">
        <f t="shared" si="22"/>
        <v>6366.42</v>
      </c>
      <c r="Z686" s="9">
        <f>ROUND(T686 / 1.2, 2)</f>
        <v>22745.38</v>
      </c>
      <c r="AA686" s="9">
        <f>Y686+Z686</f>
        <v>29111.800000000003</v>
      </c>
      <c r="AD686" s="4">
        <v>334080734</v>
      </c>
      <c r="AE686" s="4">
        <v>27245753</v>
      </c>
      <c r="AG686" s="4" t="s">
        <v>2123</v>
      </c>
      <c r="AH686" s="4" t="s">
        <v>2124</v>
      </c>
      <c r="AI686" s="4" t="s">
        <v>250</v>
      </c>
    </row>
    <row r="687" spans="1:35" ht="36" x14ac:dyDescent="0.3">
      <c r="A687" s="10" t="s">
        <v>2224</v>
      </c>
      <c r="B687" s="10"/>
      <c r="C687" s="24" t="s">
        <v>543</v>
      </c>
      <c r="D687" s="15"/>
      <c r="E687" s="15"/>
      <c r="F687" s="25" t="s">
        <v>278</v>
      </c>
      <c r="G687" s="26">
        <v>0.15</v>
      </c>
      <c r="H687" s="26"/>
      <c r="I687" s="26">
        <v>0.91500000000000004</v>
      </c>
      <c r="J687" s="27">
        <v>68.400000000000006</v>
      </c>
      <c r="M687" s="28">
        <f>ROUND(ROUND(J687, 2)*I687, 2)</f>
        <v>62.59</v>
      </c>
      <c r="P687" s="27">
        <v>68.400000000000006</v>
      </c>
      <c r="S687" s="28">
        <f>ROUND(ROUND(P687, 2)*I687, 2)</f>
        <v>62.59</v>
      </c>
      <c r="V687" s="9">
        <f>ROUND(ROUND(P687, 2)/1.2, 2)</f>
        <v>57</v>
      </c>
      <c r="Y687" s="9">
        <f t="shared" si="22"/>
        <v>52.16</v>
      </c>
      <c r="AD687" s="4" t="s">
        <v>2225</v>
      </c>
      <c r="AE687" s="4" t="s">
        <v>2226</v>
      </c>
      <c r="AF687" s="4" t="s">
        <v>546</v>
      </c>
    </row>
    <row r="688" spans="1:35" ht="36" x14ac:dyDescent="0.3">
      <c r="A688" s="10" t="s">
        <v>2227</v>
      </c>
      <c r="B688" s="10"/>
      <c r="C688" s="24" t="s">
        <v>1157</v>
      </c>
      <c r="D688" s="15"/>
      <c r="E688" s="15"/>
      <c r="F688" s="25" t="s">
        <v>278</v>
      </c>
      <c r="G688" s="26">
        <v>0.25</v>
      </c>
      <c r="H688" s="31"/>
      <c r="I688" s="31">
        <v>1.5249999999999999</v>
      </c>
      <c r="J688" s="27">
        <v>40.270000000000003</v>
      </c>
      <c r="M688" s="28">
        <f>ROUND(ROUND(J688, 2)*I688, 2)</f>
        <v>61.41</v>
      </c>
      <c r="P688" s="27">
        <v>40.270000000000003</v>
      </c>
      <c r="S688" s="28">
        <f>ROUND(ROUND(P688, 2)*I688, 2)</f>
        <v>61.41</v>
      </c>
      <c r="V688" s="9">
        <f>ROUND(ROUND(P688, 2)/1.2, 2)</f>
        <v>33.56</v>
      </c>
      <c r="Y688" s="9">
        <f t="shared" si="22"/>
        <v>51.18</v>
      </c>
      <c r="AD688" s="4" t="s">
        <v>2228</v>
      </c>
      <c r="AE688" s="4" t="s">
        <v>2229</v>
      </c>
      <c r="AF688" s="4" t="s">
        <v>1160</v>
      </c>
    </row>
    <row r="689" spans="1:35" ht="36" x14ac:dyDescent="0.3">
      <c r="A689" s="10" t="s">
        <v>2230</v>
      </c>
      <c r="B689" s="10"/>
      <c r="C689" s="30" t="s">
        <v>1200</v>
      </c>
      <c r="D689" s="15"/>
      <c r="E689" s="15"/>
      <c r="F689" s="25" t="s">
        <v>278</v>
      </c>
      <c r="G689" s="26">
        <v>1.2</v>
      </c>
      <c r="H689" s="31"/>
      <c r="I689" s="31">
        <v>7.32</v>
      </c>
      <c r="J689" s="27">
        <v>16.12</v>
      </c>
      <c r="M689" s="28">
        <f>ROUND(ROUND(J689, 2)*I689, 2)</f>
        <v>118</v>
      </c>
      <c r="P689" s="27">
        <v>16.11</v>
      </c>
      <c r="S689" s="28">
        <f>ROUND(ROUND(P689, 2)*I689, 2)</f>
        <v>117.93</v>
      </c>
      <c r="V689" s="9">
        <f>ROUND(ROUND(P689, 2)/1.2, 2)</f>
        <v>13.43</v>
      </c>
      <c r="Y689" s="9">
        <f t="shared" si="22"/>
        <v>98.28</v>
      </c>
      <c r="AD689" s="4" t="s">
        <v>2231</v>
      </c>
      <c r="AE689" s="4" t="s">
        <v>2232</v>
      </c>
      <c r="AF689" s="4" t="s">
        <v>1203</v>
      </c>
    </row>
    <row r="690" spans="1:35" ht="36" x14ac:dyDescent="0.3">
      <c r="A690" s="10" t="s">
        <v>2233</v>
      </c>
      <c r="B690" s="10"/>
      <c r="C690" s="30" t="s">
        <v>2126</v>
      </c>
      <c r="D690" s="15"/>
      <c r="E690" s="15"/>
      <c r="F690" s="25" t="s">
        <v>62</v>
      </c>
      <c r="G690" s="26">
        <v>1.1000000000000001</v>
      </c>
      <c r="H690" s="31"/>
      <c r="I690" s="31">
        <v>6.71</v>
      </c>
      <c r="J690" s="27">
        <v>2038.06</v>
      </c>
      <c r="M690" s="28">
        <f>ROUND(ROUND(J690, 2)*I690, 2)</f>
        <v>13675.38</v>
      </c>
      <c r="P690" s="27">
        <v>1102.5</v>
      </c>
      <c r="S690" s="28">
        <f>ROUND(ROUND(P690, 2)*I690, 2)</f>
        <v>7397.78</v>
      </c>
      <c r="V690" s="9">
        <f>ROUND(ROUND(P690, 2)/1.2, 2)</f>
        <v>918.75</v>
      </c>
      <c r="Y690" s="9">
        <f t="shared" si="22"/>
        <v>6164.82</v>
      </c>
      <c r="AD690" s="4" t="s">
        <v>2234</v>
      </c>
      <c r="AE690" s="4" t="s">
        <v>2235</v>
      </c>
      <c r="AF690" s="4" t="s">
        <v>2129</v>
      </c>
    </row>
    <row r="691" spans="1:35" ht="144" x14ac:dyDescent="0.3">
      <c r="A691" s="10" t="s">
        <v>2236</v>
      </c>
      <c r="B691" s="10" t="s">
        <v>2121</v>
      </c>
      <c r="C691" s="14" t="s">
        <v>2122</v>
      </c>
      <c r="D691" s="15"/>
      <c r="E691" s="15" t="s">
        <v>2237</v>
      </c>
      <c r="F691" s="15" t="s">
        <v>62</v>
      </c>
      <c r="G691" s="16">
        <v>1</v>
      </c>
      <c r="H691" s="16"/>
      <c r="I691" s="16">
        <v>454.34</v>
      </c>
      <c r="J691" s="17">
        <f>IFERROR(ROUND(SUM(M692,M693,M694,M695)/I691, 2),0)</f>
        <v>2358.86</v>
      </c>
      <c r="K691" s="18">
        <v>2983</v>
      </c>
      <c r="L691" s="17">
        <f>J691+ROUND(K691, 2)</f>
        <v>5341.8600000000006</v>
      </c>
      <c r="M691" s="17">
        <f>ROUND(J691*I691, 2)</f>
        <v>1071724.45</v>
      </c>
      <c r="N691" s="17">
        <f>ROUND(I691*ROUND(K691, 2), 2)</f>
        <v>1355296.22</v>
      </c>
      <c r="O691" s="17">
        <f>M691+N691</f>
        <v>2427020.67</v>
      </c>
      <c r="P691" s="17">
        <f>IFERROR(ROUND(SUM(S692,S693,S694,S695)/I691, 2),0)</f>
        <v>2358.86</v>
      </c>
      <c r="Q691" s="19">
        <v>4474.5</v>
      </c>
      <c r="R691" s="17">
        <f>P691+ROUND(Q691, 2)</f>
        <v>6833.3600000000006</v>
      </c>
      <c r="S691" s="17">
        <f>ROUND(P691*I691, 2)</f>
        <v>1071724.45</v>
      </c>
      <c r="T691" s="17">
        <f>ROUND(I691*ROUND(Q691, 2), 2)</f>
        <v>2032944.33</v>
      </c>
      <c r="U691" s="17">
        <f>S691+T691</f>
        <v>3104668.7800000003</v>
      </c>
      <c r="V691" s="9">
        <f>ROUND(P691 / 1.2, 2)</f>
        <v>1965.72</v>
      </c>
      <c r="W691" s="9">
        <f>ROUND(Q691 / 1.2, 2)</f>
        <v>3728.75</v>
      </c>
      <c r="X691" s="9">
        <f>ROUND(R691 / 1.2, 2)</f>
        <v>5694.47</v>
      </c>
      <c r="Y691" s="9">
        <f t="shared" si="22"/>
        <v>893103.71</v>
      </c>
      <c r="Z691" s="9">
        <f>ROUND(T691 / 1.2, 2)</f>
        <v>1694120.28</v>
      </c>
      <c r="AA691" s="9">
        <f>Y691+Z691</f>
        <v>2587223.9900000002</v>
      </c>
      <c r="AD691" s="4">
        <v>334080735</v>
      </c>
      <c r="AE691" s="4">
        <v>29393979</v>
      </c>
      <c r="AG691" s="4" t="s">
        <v>2123</v>
      </c>
      <c r="AH691" s="4" t="s">
        <v>2124</v>
      </c>
      <c r="AI691" s="4" t="s">
        <v>250</v>
      </c>
    </row>
    <row r="692" spans="1:35" ht="72" x14ac:dyDescent="0.3">
      <c r="A692" s="10" t="s">
        <v>2238</v>
      </c>
      <c r="B692" s="10"/>
      <c r="C692" s="30" t="s">
        <v>2126</v>
      </c>
      <c r="D692" s="15"/>
      <c r="E692" s="15" t="s">
        <v>2181</v>
      </c>
      <c r="F692" s="25" t="s">
        <v>62</v>
      </c>
      <c r="G692" s="26">
        <v>1.1000000000000001</v>
      </c>
      <c r="H692" s="31"/>
      <c r="I692" s="31">
        <v>499.774</v>
      </c>
      <c r="J692" s="27">
        <v>2072.02</v>
      </c>
      <c r="M692" s="28">
        <f>ROUND(ROUND(J692, 2)*I692, 2)</f>
        <v>1035541.72</v>
      </c>
      <c r="P692" s="29">
        <v>2072.02</v>
      </c>
      <c r="S692" s="28">
        <f>ROUND(ROUND(P692, 2)*I692, 2)</f>
        <v>1035541.72</v>
      </c>
      <c r="V692" s="9">
        <f>ROUND(ROUND(P692, 2)/1.2, 2)</f>
        <v>1726.68</v>
      </c>
      <c r="Y692" s="9">
        <f t="shared" si="22"/>
        <v>862951.43</v>
      </c>
      <c r="AD692" s="4" t="s">
        <v>2239</v>
      </c>
      <c r="AE692" s="4" t="s">
        <v>2240</v>
      </c>
      <c r="AF692" s="4" t="s">
        <v>2129</v>
      </c>
    </row>
    <row r="693" spans="1:35" ht="36" x14ac:dyDescent="0.3">
      <c r="A693" s="10" t="s">
        <v>2241</v>
      </c>
      <c r="B693" s="10"/>
      <c r="C693" s="30" t="s">
        <v>1200</v>
      </c>
      <c r="D693" s="15"/>
      <c r="E693" s="15"/>
      <c r="F693" s="25" t="s">
        <v>278</v>
      </c>
      <c r="G693" s="26">
        <v>1.2</v>
      </c>
      <c r="H693" s="31"/>
      <c r="I693" s="31">
        <v>1635.624</v>
      </c>
      <c r="J693" s="27">
        <v>16.38</v>
      </c>
      <c r="M693" s="28">
        <f>ROUND(ROUND(J693, 2)*I693, 2)</f>
        <v>26791.52</v>
      </c>
      <c r="P693" s="29">
        <v>16.38</v>
      </c>
      <c r="S693" s="28">
        <f>ROUND(ROUND(P693, 2)*I693, 2)</f>
        <v>26791.52</v>
      </c>
      <c r="V693" s="9">
        <f>ROUND(ROUND(P693, 2)/1.2, 2)</f>
        <v>13.65</v>
      </c>
      <c r="Y693" s="9">
        <f t="shared" si="22"/>
        <v>22326.27</v>
      </c>
      <c r="AD693" s="4" t="s">
        <v>2242</v>
      </c>
      <c r="AE693" s="4" t="s">
        <v>2243</v>
      </c>
      <c r="AF693" s="4" t="s">
        <v>1203</v>
      </c>
    </row>
    <row r="694" spans="1:35" ht="36" x14ac:dyDescent="0.3">
      <c r="A694" s="10" t="s">
        <v>2244</v>
      </c>
      <c r="B694" s="10"/>
      <c r="C694" s="24" t="s">
        <v>1157</v>
      </c>
      <c r="D694" s="15"/>
      <c r="E694" s="15"/>
      <c r="F694" s="25" t="s">
        <v>278</v>
      </c>
      <c r="G694" s="26">
        <v>0.25</v>
      </c>
      <c r="H694" s="31"/>
      <c r="I694" s="31">
        <v>113.58499999999999</v>
      </c>
      <c r="J694" s="27">
        <v>40.94</v>
      </c>
      <c r="M694" s="28">
        <f>ROUND(ROUND(J694, 2)*I694, 2)</f>
        <v>4650.17</v>
      </c>
      <c r="P694" s="29">
        <v>40.94</v>
      </c>
      <c r="S694" s="28">
        <f>ROUND(ROUND(P694, 2)*I694, 2)</f>
        <v>4650.17</v>
      </c>
      <c r="V694" s="9">
        <f>ROUND(ROUND(P694, 2)/1.2, 2)</f>
        <v>34.119999999999997</v>
      </c>
      <c r="Y694" s="9">
        <f t="shared" si="22"/>
        <v>3875.14</v>
      </c>
      <c r="AD694" s="4" t="s">
        <v>2245</v>
      </c>
      <c r="AE694" s="4" t="s">
        <v>2246</v>
      </c>
      <c r="AF694" s="4" t="s">
        <v>1160</v>
      </c>
    </row>
    <row r="695" spans="1:35" ht="36" x14ac:dyDescent="0.3">
      <c r="A695" s="10" t="s">
        <v>2247</v>
      </c>
      <c r="B695" s="10"/>
      <c r="C695" s="24" t="s">
        <v>543</v>
      </c>
      <c r="D695" s="15"/>
      <c r="E695" s="15"/>
      <c r="F695" s="25" t="s">
        <v>278</v>
      </c>
      <c r="G695" s="26">
        <v>0.15</v>
      </c>
      <c r="H695" s="26"/>
      <c r="I695" s="26">
        <v>68.150999999999996</v>
      </c>
      <c r="J695" s="27">
        <v>69.540000000000006</v>
      </c>
      <c r="M695" s="28">
        <f>ROUND(ROUND(J695, 2)*I695, 2)</f>
        <v>4739.22</v>
      </c>
      <c r="P695" s="29">
        <v>69.540000000000006</v>
      </c>
      <c r="S695" s="28">
        <f>ROUND(ROUND(P695, 2)*I695, 2)</f>
        <v>4739.22</v>
      </c>
      <c r="V695" s="9">
        <f>ROUND(ROUND(P695, 2)/1.2, 2)</f>
        <v>57.95</v>
      </c>
      <c r="Y695" s="9">
        <f t="shared" si="22"/>
        <v>3949.35</v>
      </c>
      <c r="AD695" s="4" t="s">
        <v>2248</v>
      </c>
      <c r="AE695" s="4" t="s">
        <v>2249</v>
      </c>
      <c r="AF695" s="4" t="s">
        <v>546</v>
      </c>
    </row>
    <row r="696" spans="1:35" ht="144" x14ac:dyDescent="0.3">
      <c r="A696" s="10" t="s">
        <v>2250</v>
      </c>
      <c r="B696" s="10" t="s">
        <v>2121</v>
      </c>
      <c r="C696" s="14" t="s">
        <v>2122</v>
      </c>
      <c r="D696" s="15"/>
      <c r="E696" s="15" t="s">
        <v>2251</v>
      </c>
      <c r="F696" s="15" t="s">
        <v>62</v>
      </c>
      <c r="G696" s="16">
        <v>1</v>
      </c>
      <c r="H696" s="16"/>
      <c r="I696" s="16">
        <v>274.39999999999998</v>
      </c>
      <c r="J696" s="17">
        <f>IFERROR(ROUND(SUM(M697,M698,M699,M700)/I696, 2),0)</f>
        <v>292.12</v>
      </c>
      <c r="K696" s="18">
        <v>2983</v>
      </c>
      <c r="L696" s="17">
        <f>J696+ROUND(K696, 2)</f>
        <v>3275.12</v>
      </c>
      <c r="M696" s="17">
        <f>ROUND(J696*I696, 2)</f>
        <v>80157.73</v>
      </c>
      <c r="N696" s="17">
        <f>ROUND(I696*ROUND(K696, 2), 2)</f>
        <v>818535.2</v>
      </c>
      <c r="O696" s="17">
        <f>M696+N696</f>
        <v>898692.92999999993</v>
      </c>
      <c r="P696" s="17">
        <f>IFERROR(ROUND(SUM(S697,S698,S699,S700)/I696, 2),0)</f>
        <v>292.12</v>
      </c>
      <c r="Q696" s="19">
        <v>4474.5</v>
      </c>
      <c r="R696" s="17">
        <f>P696+ROUND(Q696, 2)</f>
        <v>4766.62</v>
      </c>
      <c r="S696" s="17">
        <f>ROUND(P696*I696, 2)</f>
        <v>80157.73</v>
      </c>
      <c r="T696" s="17">
        <f>ROUND(I696*ROUND(Q696, 2), 2)</f>
        <v>1227802.8</v>
      </c>
      <c r="U696" s="17">
        <f>S696+T696</f>
        <v>1307960.53</v>
      </c>
      <c r="V696" s="9">
        <f>ROUND(P696 / 1.2, 2)</f>
        <v>243.43</v>
      </c>
      <c r="W696" s="9">
        <f>ROUND(Q696 / 1.2, 2)</f>
        <v>3728.75</v>
      </c>
      <c r="X696" s="9">
        <f>ROUND(R696 / 1.2, 2)</f>
        <v>3972.18</v>
      </c>
      <c r="Y696" s="9">
        <f t="shared" si="22"/>
        <v>66798.11</v>
      </c>
      <c r="Z696" s="9">
        <f>ROUND(T696 / 1.2, 2)</f>
        <v>1023169</v>
      </c>
      <c r="AA696" s="9">
        <f>Y696+Z696</f>
        <v>1089967.1100000001</v>
      </c>
      <c r="AD696" s="4">
        <v>334080736</v>
      </c>
      <c r="AE696" s="4">
        <v>29396514</v>
      </c>
      <c r="AG696" s="4" t="s">
        <v>2123</v>
      </c>
      <c r="AH696" s="4" t="s">
        <v>2124</v>
      </c>
      <c r="AI696" s="4" t="s">
        <v>250</v>
      </c>
    </row>
    <row r="697" spans="1:35" ht="36" x14ac:dyDescent="0.3">
      <c r="A697" s="10" t="s">
        <v>2252</v>
      </c>
      <c r="B697" s="10"/>
      <c r="C697" s="24" t="s">
        <v>543</v>
      </c>
      <c r="D697" s="15"/>
      <c r="E697" s="15"/>
      <c r="F697" s="25" t="s">
        <v>278</v>
      </c>
      <c r="G697" s="26">
        <v>0.15</v>
      </c>
      <c r="H697" s="26"/>
      <c r="I697" s="26">
        <v>41.16</v>
      </c>
      <c r="J697" s="27">
        <v>69.540000000000006</v>
      </c>
      <c r="M697" s="28">
        <f>ROUND(ROUND(J697, 2)*I697, 2)</f>
        <v>2862.27</v>
      </c>
      <c r="P697" s="29">
        <v>69.540000000000006</v>
      </c>
      <c r="S697" s="28">
        <f>ROUND(ROUND(P697, 2)*I697, 2)</f>
        <v>2862.27</v>
      </c>
      <c r="V697" s="9">
        <f>ROUND(ROUND(P697, 2)/1.2, 2)</f>
        <v>57.95</v>
      </c>
      <c r="Y697" s="9">
        <f t="shared" si="22"/>
        <v>2385.23</v>
      </c>
      <c r="AD697" s="4" t="s">
        <v>2253</v>
      </c>
      <c r="AE697" s="4" t="s">
        <v>2254</v>
      </c>
      <c r="AF697" s="4" t="s">
        <v>546</v>
      </c>
    </row>
    <row r="698" spans="1:35" ht="36" x14ac:dyDescent="0.3">
      <c r="A698" s="10" t="s">
        <v>2255</v>
      </c>
      <c r="B698" s="10"/>
      <c r="C698" s="24" t="s">
        <v>1157</v>
      </c>
      <c r="D698" s="15"/>
      <c r="E698" s="15"/>
      <c r="F698" s="25" t="s">
        <v>278</v>
      </c>
      <c r="G698" s="26">
        <v>0.25</v>
      </c>
      <c r="H698" s="31"/>
      <c r="I698" s="31">
        <v>68.599999999999994</v>
      </c>
      <c r="J698" s="27">
        <v>40.94</v>
      </c>
      <c r="M698" s="28">
        <f>ROUND(ROUND(J698, 2)*I698, 2)</f>
        <v>2808.48</v>
      </c>
      <c r="P698" s="29">
        <v>40.94</v>
      </c>
      <c r="S698" s="28">
        <f>ROUND(ROUND(P698, 2)*I698, 2)</f>
        <v>2808.48</v>
      </c>
      <c r="V698" s="9">
        <f>ROUND(ROUND(P698, 2)/1.2, 2)</f>
        <v>34.119999999999997</v>
      </c>
      <c r="Y698" s="9">
        <f t="shared" si="22"/>
        <v>2340.4</v>
      </c>
      <c r="AD698" s="4" t="s">
        <v>2256</v>
      </c>
      <c r="AE698" s="4" t="s">
        <v>2257</v>
      </c>
      <c r="AF698" s="4" t="s">
        <v>1160</v>
      </c>
    </row>
    <row r="699" spans="1:35" ht="36" x14ac:dyDescent="0.3">
      <c r="A699" s="10" t="s">
        <v>2258</v>
      </c>
      <c r="B699" s="10"/>
      <c r="C699" s="30" t="s">
        <v>1200</v>
      </c>
      <c r="D699" s="15"/>
      <c r="E699" s="15"/>
      <c r="F699" s="25" t="s">
        <v>278</v>
      </c>
      <c r="G699" s="26">
        <v>1.2</v>
      </c>
      <c r="H699" s="31"/>
      <c r="I699" s="31">
        <v>987.84</v>
      </c>
      <c r="J699" s="27">
        <v>16.38</v>
      </c>
      <c r="M699" s="28">
        <f>ROUND(ROUND(J699, 2)*I699, 2)</f>
        <v>16180.82</v>
      </c>
      <c r="P699" s="29">
        <v>16.38</v>
      </c>
      <c r="S699" s="28">
        <f>ROUND(ROUND(P699, 2)*I699, 2)</f>
        <v>16180.82</v>
      </c>
      <c r="V699" s="9">
        <f>ROUND(ROUND(P699, 2)/1.2, 2)</f>
        <v>13.65</v>
      </c>
      <c r="Y699" s="9">
        <f t="shared" si="22"/>
        <v>13484.02</v>
      </c>
      <c r="AD699" s="4" t="s">
        <v>2259</v>
      </c>
      <c r="AE699" s="4" t="s">
        <v>2260</v>
      </c>
      <c r="AF699" s="4" t="s">
        <v>1203</v>
      </c>
    </row>
    <row r="700" spans="1:35" ht="72" x14ac:dyDescent="0.3">
      <c r="A700" s="10" t="s">
        <v>2261</v>
      </c>
      <c r="B700" s="10"/>
      <c r="C700" s="30" t="s">
        <v>2262</v>
      </c>
      <c r="D700" s="15"/>
      <c r="E700" s="15" t="s">
        <v>2205</v>
      </c>
      <c r="F700" s="25" t="s">
        <v>62</v>
      </c>
      <c r="G700" s="26">
        <v>0.1</v>
      </c>
      <c r="H700" s="31"/>
      <c r="I700" s="31">
        <v>27.44</v>
      </c>
      <c r="J700" s="27">
        <v>2124.84</v>
      </c>
      <c r="M700" s="28">
        <f>ROUND(ROUND(J700, 2)*I700, 2)</f>
        <v>58305.61</v>
      </c>
      <c r="P700" s="29">
        <v>2124.84</v>
      </c>
      <c r="S700" s="28">
        <f>ROUND(ROUND(P700, 2)*I700, 2)</f>
        <v>58305.61</v>
      </c>
      <c r="V700" s="9">
        <f>ROUND(ROUND(P700, 2)/1.2, 2)</f>
        <v>1770.7</v>
      </c>
      <c r="Y700" s="9">
        <f t="shared" si="22"/>
        <v>48588.01</v>
      </c>
      <c r="AD700" s="4" t="s">
        <v>2263</v>
      </c>
      <c r="AE700" s="4" t="s">
        <v>2264</v>
      </c>
      <c r="AF700" s="4" t="s">
        <v>2265</v>
      </c>
    </row>
    <row r="701" spans="1:35" ht="162" x14ac:dyDescent="0.3">
      <c r="A701" s="10" t="s">
        <v>2266</v>
      </c>
      <c r="B701" s="10" t="s">
        <v>2121</v>
      </c>
      <c r="C701" s="14" t="s">
        <v>2122</v>
      </c>
      <c r="D701" s="15"/>
      <c r="E701" s="15" t="s">
        <v>2267</v>
      </c>
      <c r="F701" s="15" t="s">
        <v>62</v>
      </c>
      <c r="G701" s="16">
        <v>1</v>
      </c>
      <c r="H701" s="16"/>
      <c r="I701" s="16">
        <v>86.72</v>
      </c>
      <c r="J701" s="17">
        <f>IFERROR(ROUND(SUM(M702,M703,M704,M705)/I701, 2),0)</f>
        <v>2358.86</v>
      </c>
      <c r="K701" s="18">
        <v>2983</v>
      </c>
      <c r="L701" s="17">
        <f>J701+ROUND(K701, 2)</f>
        <v>5341.8600000000006</v>
      </c>
      <c r="M701" s="17">
        <f>ROUND(J701*I701, 2)</f>
        <v>204560.34</v>
      </c>
      <c r="N701" s="17">
        <f>ROUND(I701*ROUND(K701, 2), 2)</f>
        <v>258685.76</v>
      </c>
      <c r="O701" s="17">
        <f>M701+N701</f>
        <v>463246.1</v>
      </c>
      <c r="P701" s="17">
        <f>IFERROR(ROUND(SUM(S702,S703,S704,S705)/I701, 2),0)</f>
        <v>2358.86</v>
      </c>
      <c r="Q701" s="19">
        <v>4474.5</v>
      </c>
      <c r="R701" s="17">
        <f>P701+ROUND(Q701, 2)</f>
        <v>6833.3600000000006</v>
      </c>
      <c r="S701" s="17">
        <f>ROUND(P701*I701, 2)</f>
        <v>204560.34</v>
      </c>
      <c r="T701" s="17">
        <f>ROUND(I701*ROUND(Q701, 2), 2)</f>
        <v>388028.64</v>
      </c>
      <c r="U701" s="17">
        <f>S701+T701</f>
        <v>592588.98</v>
      </c>
      <c r="V701" s="9">
        <f>ROUND(P701 / 1.2, 2)</f>
        <v>1965.72</v>
      </c>
      <c r="W701" s="9">
        <f>ROUND(Q701 / 1.2, 2)</f>
        <v>3728.75</v>
      </c>
      <c r="X701" s="9">
        <f>ROUND(R701 / 1.2, 2)</f>
        <v>5694.47</v>
      </c>
      <c r="Y701" s="9">
        <f t="shared" si="22"/>
        <v>170466.95</v>
      </c>
      <c r="Z701" s="9">
        <f>ROUND(T701 / 1.2, 2)</f>
        <v>323357.2</v>
      </c>
      <c r="AA701" s="9">
        <f>Y701+Z701</f>
        <v>493824.15</v>
      </c>
      <c r="AD701" s="4">
        <v>334080737</v>
      </c>
      <c r="AE701" s="4">
        <v>29396516</v>
      </c>
      <c r="AG701" s="4" t="s">
        <v>2123</v>
      </c>
      <c r="AH701" s="4" t="s">
        <v>2124</v>
      </c>
      <c r="AI701" s="4" t="s">
        <v>250</v>
      </c>
    </row>
    <row r="702" spans="1:35" ht="72" x14ac:dyDescent="0.3">
      <c r="A702" s="10" t="s">
        <v>2268</v>
      </c>
      <c r="B702" s="10"/>
      <c r="C702" s="30" t="s">
        <v>2126</v>
      </c>
      <c r="D702" s="15"/>
      <c r="E702" s="15" t="s">
        <v>1334</v>
      </c>
      <c r="F702" s="25" t="s">
        <v>62</v>
      </c>
      <c r="G702" s="26">
        <v>1.1000000000000001</v>
      </c>
      <c r="H702" s="31"/>
      <c r="I702" s="31">
        <v>95.391999999999996</v>
      </c>
      <c r="J702" s="27">
        <v>2072.02</v>
      </c>
      <c r="M702" s="28">
        <f>ROUND(ROUND(J702, 2)*I702, 2)</f>
        <v>197654.13</v>
      </c>
      <c r="P702" s="29">
        <v>2072.02</v>
      </c>
      <c r="S702" s="28">
        <f>ROUND(ROUND(P702, 2)*I702, 2)</f>
        <v>197654.13</v>
      </c>
      <c r="V702" s="9">
        <f>ROUND(ROUND(P702, 2)/1.2, 2)</f>
        <v>1726.68</v>
      </c>
      <c r="Y702" s="9">
        <f t="shared" si="22"/>
        <v>164711.78</v>
      </c>
      <c r="AD702" s="4" t="s">
        <v>2269</v>
      </c>
      <c r="AE702" s="4" t="s">
        <v>2270</v>
      </c>
      <c r="AF702" s="4" t="s">
        <v>2129</v>
      </c>
    </row>
    <row r="703" spans="1:35" ht="36" x14ac:dyDescent="0.3">
      <c r="A703" s="10" t="s">
        <v>2271</v>
      </c>
      <c r="B703" s="10"/>
      <c r="C703" s="30" t="s">
        <v>1200</v>
      </c>
      <c r="D703" s="15"/>
      <c r="E703" s="15"/>
      <c r="F703" s="25" t="s">
        <v>278</v>
      </c>
      <c r="G703" s="26">
        <v>1.2</v>
      </c>
      <c r="H703" s="31"/>
      <c r="I703" s="31">
        <v>312.19200000000001</v>
      </c>
      <c r="J703" s="27">
        <v>16.38</v>
      </c>
      <c r="M703" s="28">
        <f>ROUND(ROUND(J703, 2)*I703, 2)</f>
        <v>5113.7</v>
      </c>
      <c r="P703" s="29">
        <v>16.38</v>
      </c>
      <c r="S703" s="28">
        <f>ROUND(ROUND(P703, 2)*I703, 2)</f>
        <v>5113.7</v>
      </c>
      <c r="V703" s="9">
        <f>ROUND(ROUND(P703, 2)/1.2, 2)</f>
        <v>13.65</v>
      </c>
      <c r="Y703" s="9">
        <f t="shared" si="22"/>
        <v>4261.42</v>
      </c>
      <c r="AD703" s="4" t="s">
        <v>2272</v>
      </c>
      <c r="AE703" s="4" t="s">
        <v>2273</v>
      </c>
      <c r="AF703" s="4" t="s">
        <v>1203</v>
      </c>
    </row>
    <row r="704" spans="1:35" ht="36" x14ac:dyDescent="0.3">
      <c r="A704" s="10" t="s">
        <v>2274</v>
      </c>
      <c r="B704" s="10"/>
      <c r="C704" s="24" t="s">
        <v>1157</v>
      </c>
      <c r="D704" s="15"/>
      <c r="E704" s="15"/>
      <c r="F704" s="25" t="s">
        <v>278</v>
      </c>
      <c r="G704" s="26">
        <v>0.25</v>
      </c>
      <c r="H704" s="31"/>
      <c r="I704" s="31">
        <v>21.68</v>
      </c>
      <c r="J704" s="27">
        <v>40.94</v>
      </c>
      <c r="M704" s="28">
        <f>ROUND(ROUND(J704, 2)*I704, 2)</f>
        <v>887.58</v>
      </c>
      <c r="P704" s="29">
        <v>40.94</v>
      </c>
      <c r="S704" s="28">
        <f>ROUND(ROUND(P704, 2)*I704, 2)</f>
        <v>887.58</v>
      </c>
      <c r="V704" s="9">
        <f>ROUND(ROUND(P704, 2)/1.2, 2)</f>
        <v>34.119999999999997</v>
      </c>
      <c r="Y704" s="9">
        <f t="shared" si="22"/>
        <v>739.65</v>
      </c>
      <c r="AD704" s="4" t="s">
        <v>2275</v>
      </c>
      <c r="AE704" s="4" t="s">
        <v>2276</v>
      </c>
      <c r="AF704" s="4" t="s">
        <v>1160</v>
      </c>
    </row>
    <row r="705" spans="1:35" ht="36" x14ac:dyDescent="0.3">
      <c r="A705" s="10" t="s">
        <v>2277</v>
      </c>
      <c r="B705" s="10"/>
      <c r="C705" s="24" t="s">
        <v>543</v>
      </c>
      <c r="D705" s="15"/>
      <c r="E705" s="15"/>
      <c r="F705" s="25" t="s">
        <v>278</v>
      </c>
      <c r="G705" s="26">
        <v>0.15</v>
      </c>
      <c r="H705" s="26"/>
      <c r="I705" s="26">
        <v>13.007999999999999</v>
      </c>
      <c r="J705" s="27">
        <v>69.540000000000006</v>
      </c>
      <c r="M705" s="28">
        <f>ROUND(ROUND(J705, 2)*I705, 2)</f>
        <v>904.58</v>
      </c>
      <c r="P705" s="29">
        <v>69.540000000000006</v>
      </c>
      <c r="S705" s="28">
        <f>ROUND(ROUND(P705, 2)*I705, 2)</f>
        <v>904.58</v>
      </c>
      <c r="V705" s="9">
        <f>ROUND(ROUND(P705, 2)/1.2, 2)</f>
        <v>57.95</v>
      </c>
      <c r="Y705" s="9">
        <f t="shared" si="22"/>
        <v>753.82</v>
      </c>
      <c r="AD705" s="4" t="s">
        <v>2278</v>
      </c>
      <c r="AE705" s="4" t="s">
        <v>2279</v>
      </c>
      <c r="AF705" s="4" t="s">
        <v>546</v>
      </c>
    </row>
    <row r="706" spans="1:35" ht="162" x14ac:dyDescent="0.3">
      <c r="A706" s="10" t="s">
        <v>2280</v>
      </c>
      <c r="B706" s="10" t="s">
        <v>2121</v>
      </c>
      <c r="C706" s="14" t="s">
        <v>2122</v>
      </c>
      <c r="D706" s="15"/>
      <c r="E706" s="15" t="s">
        <v>2281</v>
      </c>
      <c r="F706" s="15" t="s">
        <v>62</v>
      </c>
      <c r="G706" s="16">
        <v>1</v>
      </c>
      <c r="H706" s="16"/>
      <c r="I706" s="16">
        <v>284.92</v>
      </c>
      <c r="J706" s="17">
        <f>IFERROR(ROUND(SUM(M707,M708,M709,M710)/I706, 2),0)</f>
        <v>2358.86</v>
      </c>
      <c r="K706" s="18">
        <v>2983</v>
      </c>
      <c r="L706" s="17">
        <f>J706+ROUND(K706, 2)</f>
        <v>5341.8600000000006</v>
      </c>
      <c r="M706" s="17">
        <f>ROUND(J706*I706, 2)</f>
        <v>672086.39</v>
      </c>
      <c r="N706" s="17">
        <f>ROUND(I706*ROUND(K706, 2), 2)</f>
        <v>849916.36</v>
      </c>
      <c r="O706" s="17">
        <f>M706+N706</f>
        <v>1522002.75</v>
      </c>
      <c r="P706" s="17">
        <f>IFERROR(ROUND(SUM(S707,S708,S709,S710)/I706, 2),0)</f>
        <v>2369.44</v>
      </c>
      <c r="Q706" s="19">
        <v>4474.5</v>
      </c>
      <c r="R706" s="17">
        <f>P706+ROUND(Q706, 2)</f>
        <v>6843.9400000000005</v>
      </c>
      <c r="S706" s="17">
        <f>ROUND(P706*I706, 2)</f>
        <v>675100.84</v>
      </c>
      <c r="T706" s="17">
        <f>ROUND(I706*ROUND(Q706, 2), 2)</f>
        <v>1274874.54</v>
      </c>
      <c r="U706" s="17">
        <f>S706+T706</f>
        <v>1949975.38</v>
      </c>
      <c r="V706" s="9">
        <f>ROUND(P706 / 1.2, 2)</f>
        <v>1974.53</v>
      </c>
      <c r="W706" s="9">
        <f>ROUND(Q706 / 1.2, 2)</f>
        <v>3728.75</v>
      </c>
      <c r="X706" s="9">
        <f>ROUND(R706 / 1.2, 2)</f>
        <v>5703.28</v>
      </c>
      <c r="Y706" s="9">
        <f t="shared" si="22"/>
        <v>562584.03</v>
      </c>
      <c r="Z706" s="9">
        <f>ROUND(T706 / 1.2, 2)</f>
        <v>1062395.45</v>
      </c>
      <c r="AA706" s="9">
        <f>Y706+Z706</f>
        <v>1624979.48</v>
      </c>
      <c r="AD706" s="4">
        <v>334080738</v>
      </c>
      <c r="AE706" s="4">
        <v>29396515</v>
      </c>
      <c r="AG706" s="4" t="s">
        <v>2123</v>
      </c>
      <c r="AH706" s="4" t="s">
        <v>2124</v>
      </c>
      <c r="AI706" s="4" t="s">
        <v>250</v>
      </c>
    </row>
    <row r="707" spans="1:35" ht="36" x14ac:dyDescent="0.3">
      <c r="A707" s="10" t="s">
        <v>2282</v>
      </c>
      <c r="B707" s="10"/>
      <c r="C707" s="24" t="s">
        <v>543</v>
      </c>
      <c r="D707" s="15"/>
      <c r="E707" s="15"/>
      <c r="F707" s="25" t="s">
        <v>278</v>
      </c>
      <c r="G707" s="26">
        <v>0.15</v>
      </c>
      <c r="H707" s="26"/>
      <c r="I707" s="26">
        <v>42.738</v>
      </c>
      <c r="J707" s="27">
        <v>69.540000000000006</v>
      </c>
      <c r="M707" s="28">
        <f>ROUND(ROUND(J707, 2)*I707, 2)</f>
        <v>2972</v>
      </c>
      <c r="P707" s="29">
        <v>69.540000000000006</v>
      </c>
      <c r="S707" s="28">
        <f>ROUND(ROUND(P707, 2)*I707, 2)</f>
        <v>2972</v>
      </c>
      <c r="V707" s="9">
        <f>ROUND(ROUND(P707, 2)/1.2, 2)</f>
        <v>57.95</v>
      </c>
      <c r="Y707" s="9">
        <f t="shared" si="22"/>
        <v>2476.67</v>
      </c>
      <c r="AD707" s="4" t="s">
        <v>2283</v>
      </c>
      <c r="AE707" s="4" t="s">
        <v>2284</v>
      </c>
      <c r="AF707" s="4" t="s">
        <v>546</v>
      </c>
    </row>
    <row r="708" spans="1:35" ht="36" x14ac:dyDescent="0.3">
      <c r="A708" s="10" t="s">
        <v>2285</v>
      </c>
      <c r="B708" s="10"/>
      <c r="C708" s="24" t="s">
        <v>1157</v>
      </c>
      <c r="D708" s="15"/>
      <c r="E708" s="15"/>
      <c r="F708" s="25" t="s">
        <v>278</v>
      </c>
      <c r="G708" s="26">
        <v>0.25</v>
      </c>
      <c r="H708" s="31"/>
      <c r="I708" s="31">
        <v>71.23</v>
      </c>
      <c r="J708" s="27">
        <v>40.94</v>
      </c>
      <c r="M708" s="28">
        <f>ROUND(ROUND(J708, 2)*I708, 2)</f>
        <v>2916.16</v>
      </c>
      <c r="P708" s="29">
        <v>40.94</v>
      </c>
      <c r="S708" s="28">
        <f>ROUND(ROUND(P708, 2)*I708, 2)</f>
        <v>2916.16</v>
      </c>
      <c r="V708" s="9">
        <f>ROUND(ROUND(P708, 2)/1.2, 2)</f>
        <v>34.119999999999997</v>
      </c>
      <c r="Y708" s="9">
        <f t="shared" si="22"/>
        <v>2430.13</v>
      </c>
      <c r="AD708" s="4" t="s">
        <v>2286</v>
      </c>
      <c r="AE708" s="4" t="s">
        <v>2287</v>
      </c>
      <c r="AF708" s="4" t="s">
        <v>1160</v>
      </c>
    </row>
    <row r="709" spans="1:35" ht="36" x14ac:dyDescent="0.3">
      <c r="A709" s="10" t="s">
        <v>2288</v>
      </c>
      <c r="B709" s="10"/>
      <c r="C709" s="30" t="s">
        <v>1200</v>
      </c>
      <c r="D709" s="15"/>
      <c r="E709" s="15" t="s">
        <v>2083</v>
      </c>
      <c r="F709" s="25" t="s">
        <v>278</v>
      </c>
      <c r="G709" s="26">
        <v>1.2</v>
      </c>
      <c r="H709" s="31"/>
      <c r="I709" s="31">
        <v>1025.712</v>
      </c>
      <c r="J709" s="27">
        <v>16.38</v>
      </c>
      <c r="M709" s="28">
        <f>ROUND(ROUND(J709, 2)*I709, 2)</f>
        <v>16801.16</v>
      </c>
      <c r="P709" s="29">
        <v>19.32</v>
      </c>
      <c r="S709" s="28">
        <f>ROUND(ROUND(P709, 2)*I709, 2)</f>
        <v>19816.759999999998</v>
      </c>
      <c r="V709" s="9">
        <f>ROUND(ROUND(P709, 2)/1.2, 2)</f>
        <v>16.100000000000001</v>
      </c>
      <c r="Y709" s="9">
        <f t="shared" si="22"/>
        <v>16513.97</v>
      </c>
      <c r="AD709" s="4" t="s">
        <v>2289</v>
      </c>
      <c r="AE709" s="4" t="s">
        <v>2290</v>
      </c>
      <c r="AF709" s="4" t="s">
        <v>1203</v>
      </c>
    </row>
    <row r="710" spans="1:35" ht="72" x14ac:dyDescent="0.3">
      <c r="A710" s="10" t="s">
        <v>2291</v>
      </c>
      <c r="B710" s="10"/>
      <c r="C710" s="30" t="s">
        <v>2126</v>
      </c>
      <c r="D710" s="15"/>
      <c r="E710" s="15" t="s">
        <v>1334</v>
      </c>
      <c r="F710" s="25" t="s">
        <v>62</v>
      </c>
      <c r="G710" s="26">
        <v>1.1000000000000001</v>
      </c>
      <c r="H710" s="31"/>
      <c r="I710" s="31">
        <v>313.41199999999998</v>
      </c>
      <c r="J710" s="27">
        <v>2072.02</v>
      </c>
      <c r="M710" s="28">
        <f>ROUND(ROUND(J710, 2)*I710, 2)</f>
        <v>649395.93000000005</v>
      </c>
      <c r="P710" s="29">
        <v>2072.02</v>
      </c>
      <c r="S710" s="28">
        <f>ROUND(ROUND(P710, 2)*I710, 2)</f>
        <v>649395.93000000005</v>
      </c>
      <c r="V710" s="9">
        <f>ROUND(ROUND(P710, 2)/1.2, 2)</f>
        <v>1726.68</v>
      </c>
      <c r="Y710" s="9">
        <f t="shared" si="22"/>
        <v>541163.28</v>
      </c>
      <c r="AD710" s="4" t="s">
        <v>2292</v>
      </c>
      <c r="AE710" s="4" t="s">
        <v>2293</v>
      </c>
      <c r="AF710" s="4" t="s">
        <v>2129</v>
      </c>
    </row>
    <row r="711" spans="1:35" ht="16.95" customHeight="1" x14ac:dyDescent="0.3">
      <c r="A711" s="10" t="s">
        <v>2294</v>
      </c>
      <c r="B711" s="10" t="s">
        <v>2295</v>
      </c>
      <c r="C711" s="91" t="s">
        <v>2296</v>
      </c>
      <c r="D711" s="92"/>
      <c r="E711" s="92"/>
      <c r="F711" s="92"/>
      <c r="G711" s="92"/>
      <c r="H711" s="92"/>
      <c r="I711" s="93"/>
      <c r="M711" s="6">
        <f>SUM(M712,M717,M722,M727,M732,M737,M742,M745,M750,M754,M757,M759,M761,M766,M771,M776)</f>
        <v>720373.47</v>
      </c>
      <c r="N711" s="6">
        <f>SUM(N712,N717,N722,N727,N732,N737,N742,N745,N750,N754,N757,N759,N761,N766,N771,N776)</f>
        <v>5393596.5900000008</v>
      </c>
      <c r="O711" s="6">
        <f>SUM(O712,O717,O722,O727,O732,O737,O742,O745,O750,O754,O757,O759,O761,O766,O771,O776)</f>
        <v>6113970.0600000005</v>
      </c>
      <c r="S711" s="6">
        <f>SUM(S712,S717,S722,S727,S732,S737,S742,S745,S750,S754,S757,S759,S761,S766,S771,S776)</f>
        <v>1113775.79</v>
      </c>
      <c r="T711" s="6">
        <f>SUM(T712,T717,T722,T727,T732,T737,T742,T745,T750,T754,T757,T759,T761,T766,T771,T776)</f>
        <v>5560826.8499999996</v>
      </c>
      <c r="U711" s="6">
        <f>SUM(U712,U717,U722,U727,U732,U737,U742,U745,U750,U754,U757,U759,U761,U766,U771,U776)</f>
        <v>6674602.6399999997</v>
      </c>
      <c r="Y711" s="9">
        <f>SUM(Y712,Y717,Y722,Y727,Y732,Y737,Y742,Y745,Y750,Y754,Y757,Y759,Y761,Y766,Y771,Y776)</f>
        <v>928146.52</v>
      </c>
      <c r="Z711" s="9">
        <f>SUM(Z712,Z717,Z722,Z727,Z732,Z737,Z742,Z745,Z750,Z754,Z757,Z759,Z761,Z766,Z771,Z776)</f>
        <v>4634022.3900000006</v>
      </c>
      <c r="AA711" s="9">
        <f>SUM(AA712,AA717,AA722,AA727,AA732,AA737,AA742,AA745,AA750,AA754,AA757,AA759,AA761,AA766,AA771,AA776)</f>
        <v>5562168.9100000001</v>
      </c>
      <c r="AD711" s="4">
        <v>334080545</v>
      </c>
      <c r="AE711" s="4">
        <v>27245639</v>
      </c>
    </row>
    <row r="712" spans="1:35" ht="108" x14ac:dyDescent="0.3">
      <c r="A712" s="10" t="s">
        <v>2297</v>
      </c>
      <c r="B712" s="10" t="s">
        <v>2298</v>
      </c>
      <c r="C712" s="14" t="s">
        <v>2299</v>
      </c>
      <c r="D712" s="15"/>
      <c r="E712" s="15" t="s">
        <v>2300</v>
      </c>
      <c r="F712" s="15" t="s">
        <v>62</v>
      </c>
      <c r="G712" s="16">
        <v>1</v>
      </c>
      <c r="H712" s="16"/>
      <c r="I712" s="16">
        <v>409.83</v>
      </c>
      <c r="J712" s="17">
        <f>IFERROR(ROUND(SUM(M713,M714,M715,M716)/I712, 2),0)</f>
        <v>284.23</v>
      </c>
      <c r="K712" s="18">
        <v>2956</v>
      </c>
      <c r="L712" s="17">
        <f>J712+ROUND(K712, 2)</f>
        <v>3240.23</v>
      </c>
      <c r="M712" s="17">
        <f>ROUND(J712*I712, 2)</f>
        <v>116485.98</v>
      </c>
      <c r="N712" s="17">
        <f>ROUND(I712*ROUND(K712, 2), 2)</f>
        <v>1211457.48</v>
      </c>
      <c r="O712" s="17">
        <f>M712+N712</f>
        <v>1327943.46</v>
      </c>
      <c r="P712" s="17">
        <f>IFERROR(ROUND(SUM(S713,S714,S715,S716)/I712, 2),0)</f>
        <v>361.5</v>
      </c>
      <c r="Q712" s="19">
        <v>4434</v>
      </c>
      <c r="R712" s="17">
        <f>P712+ROUND(Q712, 2)</f>
        <v>4795.5</v>
      </c>
      <c r="S712" s="17">
        <f>ROUND(P712*I712, 2)</f>
        <v>148153.54999999999</v>
      </c>
      <c r="T712" s="17">
        <f>ROUND(I712*ROUND(Q712, 2), 2)</f>
        <v>1817186.22</v>
      </c>
      <c r="U712" s="17">
        <f>S712+T712</f>
        <v>1965339.77</v>
      </c>
      <c r="V712" s="9">
        <f>ROUND(P712 / 1.2, 2)</f>
        <v>301.25</v>
      </c>
      <c r="W712" s="9">
        <f>ROUND(Q712 / 1.2, 2)</f>
        <v>3695</v>
      </c>
      <c r="X712" s="9">
        <f>ROUND(R712 / 1.2, 2)</f>
        <v>3996.25</v>
      </c>
      <c r="Y712" s="9">
        <f>ROUND(S712 / 1.2, 2)</f>
        <v>123461.29</v>
      </c>
      <c r="Z712" s="9">
        <f>ROUND(T712 / 1.2, 2)</f>
        <v>1514321.85</v>
      </c>
      <c r="AA712" s="9">
        <f>Y712+Z712</f>
        <v>1637783.1400000001</v>
      </c>
      <c r="AD712" s="4">
        <v>334080547</v>
      </c>
      <c r="AE712" s="4">
        <v>29277320</v>
      </c>
      <c r="AG712" s="4" t="s">
        <v>2301</v>
      </c>
      <c r="AH712" s="4" t="s">
        <v>2302</v>
      </c>
      <c r="AI712" s="4" t="s">
        <v>250</v>
      </c>
    </row>
    <row r="713" spans="1:35" ht="36" x14ac:dyDescent="0.3">
      <c r="A713" s="10" t="s">
        <v>2303</v>
      </c>
      <c r="B713" s="10"/>
      <c r="C713" s="30" t="s">
        <v>2304</v>
      </c>
      <c r="D713" s="15"/>
      <c r="E713" s="15"/>
      <c r="F713" s="25" t="s">
        <v>278</v>
      </c>
      <c r="G713" s="26">
        <v>1.1000000000000001</v>
      </c>
      <c r="H713" s="31"/>
      <c r="I713" s="31">
        <v>11270.325000000001</v>
      </c>
      <c r="J713" s="27">
        <v>7.92</v>
      </c>
      <c r="M713" s="28">
        <f>ROUND(ROUND(J713, 2)*I713, 2)</f>
        <v>89260.97</v>
      </c>
      <c r="P713" s="29">
        <v>10.73</v>
      </c>
      <c r="S713" s="28">
        <f>ROUND(ROUND(P713, 2)*I713, 2)</f>
        <v>120930.59</v>
      </c>
      <c r="V713" s="9">
        <f>ROUND(ROUND(P713, 2)/1.2, 2)</f>
        <v>8.94</v>
      </c>
      <c r="Y713" s="9">
        <f t="shared" ref="Y713:Y744" si="23">ROUND(S713 / 1.2, 2)</f>
        <v>100775.49</v>
      </c>
      <c r="AD713" s="4" t="s">
        <v>2305</v>
      </c>
      <c r="AE713" s="4" t="s">
        <v>2306</v>
      </c>
      <c r="AF713" s="4" t="s">
        <v>2307</v>
      </c>
    </row>
    <row r="714" spans="1:35" ht="18" x14ac:dyDescent="0.3">
      <c r="A714" s="10" t="s">
        <v>2308</v>
      </c>
      <c r="B714" s="10"/>
      <c r="C714" s="24" t="s">
        <v>2309</v>
      </c>
      <c r="D714" s="15"/>
      <c r="E714" s="15"/>
      <c r="F714" s="25" t="s">
        <v>62</v>
      </c>
      <c r="G714" s="26">
        <v>1.1000000000000001</v>
      </c>
      <c r="H714" s="26"/>
      <c r="I714" s="26">
        <v>450.81299999999999</v>
      </c>
      <c r="J714" s="27">
        <v>20.34</v>
      </c>
      <c r="M714" s="28">
        <f>ROUND(ROUND(J714, 2)*I714, 2)</f>
        <v>9169.5400000000009</v>
      </c>
      <c r="P714" s="29">
        <v>20.34</v>
      </c>
      <c r="S714" s="28">
        <f>ROUND(ROUND(P714, 2)*I714, 2)</f>
        <v>9169.5400000000009</v>
      </c>
      <c r="V714" s="9">
        <f>ROUND(ROUND(P714, 2)/1.2, 2)</f>
        <v>16.95</v>
      </c>
      <c r="Y714" s="9">
        <f t="shared" si="23"/>
        <v>7641.28</v>
      </c>
      <c r="AD714" s="4" t="s">
        <v>2310</v>
      </c>
      <c r="AE714" s="4" t="s">
        <v>2311</v>
      </c>
      <c r="AF714" s="4" t="s">
        <v>2312</v>
      </c>
    </row>
    <row r="715" spans="1:35" ht="18" x14ac:dyDescent="0.3">
      <c r="A715" s="10" t="s">
        <v>2313</v>
      </c>
      <c r="B715" s="10"/>
      <c r="C715" s="24" t="s">
        <v>2314</v>
      </c>
      <c r="D715" s="15"/>
      <c r="E715" s="15"/>
      <c r="F715" s="25" t="s">
        <v>102</v>
      </c>
      <c r="G715" s="26">
        <v>1</v>
      </c>
      <c r="H715" s="26"/>
      <c r="I715" s="26">
        <v>409.83</v>
      </c>
      <c r="J715" s="27">
        <v>18.64</v>
      </c>
      <c r="M715" s="28">
        <f>ROUND(ROUND(J715, 2)*I715, 2)</f>
        <v>7639.23</v>
      </c>
      <c r="P715" s="29">
        <v>18.64</v>
      </c>
      <c r="S715" s="28">
        <f>ROUND(ROUND(P715, 2)*I715, 2)</f>
        <v>7639.23</v>
      </c>
      <c r="V715" s="9">
        <f>ROUND(ROUND(P715, 2)/1.2, 2)</f>
        <v>15.53</v>
      </c>
      <c r="Y715" s="9">
        <f t="shared" si="23"/>
        <v>6366.03</v>
      </c>
      <c r="AD715" s="4" t="s">
        <v>2315</v>
      </c>
      <c r="AE715" s="4" t="s">
        <v>2316</v>
      </c>
      <c r="AF715" s="4" t="s">
        <v>2317</v>
      </c>
    </row>
    <row r="716" spans="1:35" ht="18" x14ac:dyDescent="0.3">
      <c r="A716" s="10" t="s">
        <v>2318</v>
      </c>
      <c r="B716" s="10"/>
      <c r="C716" s="24" t="s">
        <v>1629</v>
      </c>
      <c r="D716" s="15"/>
      <c r="E716" s="15"/>
      <c r="F716" s="25" t="s">
        <v>278</v>
      </c>
      <c r="G716" s="26">
        <v>0.25</v>
      </c>
      <c r="H716" s="26"/>
      <c r="I716" s="26">
        <v>102.458</v>
      </c>
      <c r="J716" s="27">
        <v>101.66</v>
      </c>
      <c r="M716" s="28">
        <f>ROUND(ROUND(J716, 2)*I716, 2)</f>
        <v>10415.879999999999</v>
      </c>
      <c r="P716" s="29">
        <v>101.66</v>
      </c>
      <c r="S716" s="28">
        <f>ROUND(ROUND(P716, 2)*I716, 2)</f>
        <v>10415.879999999999</v>
      </c>
      <c r="V716" s="9">
        <f>ROUND(ROUND(P716, 2)/1.2, 2)</f>
        <v>84.72</v>
      </c>
      <c r="Y716" s="9">
        <f t="shared" si="23"/>
        <v>8679.9</v>
      </c>
      <c r="AD716" s="4" t="s">
        <v>2319</v>
      </c>
      <c r="AE716" s="4" t="s">
        <v>2320</v>
      </c>
      <c r="AF716" s="4" t="s">
        <v>1632</v>
      </c>
    </row>
    <row r="717" spans="1:35" ht="108" x14ac:dyDescent="0.3">
      <c r="A717" s="10" t="s">
        <v>2321</v>
      </c>
      <c r="B717" s="10" t="s">
        <v>2298</v>
      </c>
      <c r="C717" s="14" t="s">
        <v>2299</v>
      </c>
      <c r="D717" s="15"/>
      <c r="E717" s="15" t="s">
        <v>2322</v>
      </c>
      <c r="F717" s="15" t="s">
        <v>62</v>
      </c>
      <c r="G717" s="16">
        <v>1</v>
      </c>
      <c r="H717" s="16"/>
      <c r="I717" s="16">
        <v>44.15</v>
      </c>
      <c r="J717" s="17">
        <f>IFERROR(ROUND(SUM(M718,M719,M720,M721)/I717, 2),0)</f>
        <v>272.36</v>
      </c>
      <c r="K717" s="18">
        <v>2956</v>
      </c>
      <c r="L717" s="17">
        <f>J717+ROUND(K717, 2)</f>
        <v>3228.36</v>
      </c>
      <c r="M717" s="17">
        <f>ROUND(J717*I717, 2)</f>
        <v>12024.69</v>
      </c>
      <c r="N717" s="17">
        <f>ROUND(I717*ROUND(K717, 2), 2)</f>
        <v>130507.4</v>
      </c>
      <c r="O717" s="17">
        <f>M717+N717</f>
        <v>142532.09</v>
      </c>
      <c r="P717" s="17">
        <f>IFERROR(ROUND(SUM(S718,S719,S720,S721)/I717, 2),0)</f>
        <v>349.63</v>
      </c>
      <c r="Q717" s="19">
        <v>4434</v>
      </c>
      <c r="R717" s="17">
        <f>P717+ROUND(Q717, 2)</f>
        <v>4783.63</v>
      </c>
      <c r="S717" s="17">
        <f>ROUND(P717*I717, 2)</f>
        <v>15436.16</v>
      </c>
      <c r="T717" s="17">
        <f>ROUND(I717*ROUND(Q717, 2), 2)</f>
        <v>195761.1</v>
      </c>
      <c r="U717" s="17">
        <f>S717+T717</f>
        <v>211197.26</v>
      </c>
      <c r="V717" s="9">
        <f>ROUND(P717 / 1.2, 2)</f>
        <v>291.36</v>
      </c>
      <c r="W717" s="9">
        <f>ROUND(Q717 / 1.2, 2)</f>
        <v>3695</v>
      </c>
      <c r="X717" s="9">
        <f>ROUND(R717 / 1.2, 2)</f>
        <v>3986.36</v>
      </c>
      <c r="Y717" s="9">
        <f t="shared" si="23"/>
        <v>12863.47</v>
      </c>
      <c r="Z717" s="9">
        <f>ROUND(T717 / 1.2, 2)</f>
        <v>163134.25</v>
      </c>
      <c r="AA717" s="9">
        <f>Y717+Z717</f>
        <v>175997.72</v>
      </c>
      <c r="AD717" s="4">
        <v>334080739</v>
      </c>
      <c r="AE717" s="4">
        <v>29277321</v>
      </c>
      <c r="AG717" s="4" t="s">
        <v>2301</v>
      </c>
      <c r="AH717" s="4" t="s">
        <v>2302</v>
      </c>
      <c r="AI717" s="4" t="s">
        <v>250</v>
      </c>
    </row>
    <row r="718" spans="1:35" ht="36" x14ac:dyDescent="0.3">
      <c r="A718" s="10" t="s">
        <v>2323</v>
      </c>
      <c r="B718" s="10"/>
      <c r="C718" s="24" t="s">
        <v>1007</v>
      </c>
      <c r="D718" s="15"/>
      <c r="E718" s="15"/>
      <c r="F718" s="25" t="s">
        <v>278</v>
      </c>
      <c r="G718" s="26">
        <v>0.15</v>
      </c>
      <c r="H718" s="26"/>
      <c r="I718" s="26">
        <v>6.6230000000000002</v>
      </c>
      <c r="J718" s="27">
        <v>90.28</v>
      </c>
      <c r="M718" s="28">
        <f>ROUND(ROUND(J718, 2)*I718, 2)</f>
        <v>597.91999999999996</v>
      </c>
      <c r="P718" s="29">
        <v>90.28</v>
      </c>
      <c r="S718" s="28">
        <f>ROUND(ROUND(P718, 2)*I718, 2)</f>
        <v>597.91999999999996</v>
      </c>
      <c r="V718" s="9">
        <f>ROUND(ROUND(P718, 2)/1.2, 2)</f>
        <v>75.23</v>
      </c>
      <c r="Y718" s="9">
        <f t="shared" si="23"/>
        <v>498.27</v>
      </c>
      <c r="AD718" s="4" t="s">
        <v>2324</v>
      </c>
      <c r="AE718" s="4" t="s">
        <v>2325</v>
      </c>
      <c r="AF718" s="4" t="s">
        <v>1010</v>
      </c>
    </row>
    <row r="719" spans="1:35" ht="18" x14ac:dyDescent="0.3">
      <c r="A719" s="10" t="s">
        <v>2326</v>
      </c>
      <c r="B719" s="10"/>
      <c r="C719" s="24" t="s">
        <v>2314</v>
      </c>
      <c r="D719" s="15"/>
      <c r="E719" s="15"/>
      <c r="F719" s="25" t="s">
        <v>102</v>
      </c>
      <c r="G719" s="26">
        <v>1</v>
      </c>
      <c r="H719" s="26"/>
      <c r="I719" s="26">
        <v>44.15</v>
      </c>
      <c r="J719" s="27">
        <v>18.64</v>
      </c>
      <c r="M719" s="28">
        <f>ROUND(ROUND(J719, 2)*I719, 2)</f>
        <v>822.96</v>
      </c>
      <c r="P719" s="29">
        <v>18.64</v>
      </c>
      <c r="S719" s="28">
        <f>ROUND(ROUND(P719, 2)*I719, 2)</f>
        <v>822.96</v>
      </c>
      <c r="V719" s="9">
        <f>ROUND(ROUND(P719, 2)/1.2, 2)</f>
        <v>15.53</v>
      </c>
      <c r="Y719" s="9">
        <f t="shared" si="23"/>
        <v>685.8</v>
      </c>
      <c r="AD719" s="4" t="s">
        <v>2327</v>
      </c>
      <c r="AE719" s="4" t="s">
        <v>2328</v>
      </c>
      <c r="AF719" s="4" t="s">
        <v>2317</v>
      </c>
    </row>
    <row r="720" spans="1:35" ht="18" x14ac:dyDescent="0.3">
      <c r="A720" s="10" t="s">
        <v>2329</v>
      </c>
      <c r="B720" s="10"/>
      <c r="C720" s="24" t="s">
        <v>2309</v>
      </c>
      <c r="D720" s="15"/>
      <c r="E720" s="15"/>
      <c r="F720" s="25" t="s">
        <v>62</v>
      </c>
      <c r="G720" s="26">
        <v>1.1000000000000001</v>
      </c>
      <c r="H720" s="26"/>
      <c r="I720" s="26">
        <v>48.564999999999998</v>
      </c>
      <c r="J720" s="27">
        <v>20.34</v>
      </c>
      <c r="M720" s="28">
        <f>ROUND(ROUND(J720, 2)*I720, 2)</f>
        <v>987.81</v>
      </c>
      <c r="P720" s="29">
        <v>20.34</v>
      </c>
      <c r="S720" s="28">
        <f>ROUND(ROUND(P720, 2)*I720, 2)</f>
        <v>987.81</v>
      </c>
      <c r="V720" s="9">
        <f>ROUND(ROUND(P720, 2)/1.2, 2)</f>
        <v>16.95</v>
      </c>
      <c r="Y720" s="9">
        <f t="shared" si="23"/>
        <v>823.18</v>
      </c>
      <c r="AD720" s="4" t="s">
        <v>2330</v>
      </c>
      <c r="AE720" s="4" t="s">
        <v>2331</v>
      </c>
      <c r="AF720" s="4" t="s">
        <v>2312</v>
      </c>
    </row>
    <row r="721" spans="1:35" ht="36" x14ac:dyDescent="0.3">
      <c r="A721" s="10" t="s">
        <v>2332</v>
      </c>
      <c r="B721" s="10"/>
      <c r="C721" s="30" t="s">
        <v>2304</v>
      </c>
      <c r="D721" s="15"/>
      <c r="E721" s="15"/>
      <c r="F721" s="25" t="s">
        <v>278</v>
      </c>
      <c r="G721" s="26">
        <v>1.1000000000000001</v>
      </c>
      <c r="H721" s="31"/>
      <c r="I721" s="31">
        <v>1214.125</v>
      </c>
      <c r="J721" s="27">
        <v>7.92</v>
      </c>
      <c r="M721" s="28">
        <f>ROUND(ROUND(J721, 2)*I721, 2)</f>
        <v>9615.8700000000008</v>
      </c>
      <c r="P721" s="29">
        <v>10.73</v>
      </c>
      <c r="S721" s="28">
        <f>ROUND(ROUND(P721, 2)*I721, 2)</f>
        <v>13027.56</v>
      </c>
      <c r="V721" s="9">
        <f>ROUND(ROUND(P721, 2)/1.2, 2)</f>
        <v>8.94</v>
      </c>
      <c r="Y721" s="9">
        <f t="shared" si="23"/>
        <v>10856.3</v>
      </c>
      <c r="AD721" s="4" t="s">
        <v>2333</v>
      </c>
      <c r="AE721" s="4" t="s">
        <v>2334</v>
      </c>
      <c r="AF721" s="4" t="s">
        <v>2307</v>
      </c>
    </row>
    <row r="722" spans="1:35" ht="144" x14ac:dyDescent="0.3">
      <c r="A722" s="10" t="s">
        <v>2335</v>
      </c>
      <c r="B722" s="10" t="s">
        <v>2298</v>
      </c>
      <c r="C722" s="14" t="s">
        <v>2299</v>
      </c>
      <c r="D722" s="15"/>
      <c r="E722" s="15" t="s">
        <v>2336</v>
      </c>
      <c r="F722" s="15" t="s">
        <v>62</v>
      </c>
      <c r="G722" s="16">
        <v>1</v>
      </c>
      <c r="H722" s="16"/>
      <c r="I722" s="16">
        <v>43.47</v>
      </c>
      <c r="J722" s="17">
        <f>IFERROR(ROUND(SUM(M723,M724,M725,M726)/I722, 2),0)</f>
        <v>365.96</v>
      </c>
      <c r="K722" s="18">
        <v>2956</v>
      </c>
      <c r="L722" s="17">
        <f>J722+ROUND(K722, 2)</f>
        <v>3321.96</v>
      </c>
      <c r="M722" s="17">
        <f>ROUND(J722*I722, 2)</f>
        <v>15908.28</v>
      </c>
      <c r="N722" s="17">
        <f>ROUND(I722*ROUND(K722, 2), 2)</f>
        <v>128497.32</v>
      </c>
      <c r="O722" s="17">
        <f>M722+N722</f>
        <v>144405.6</v>
      </c>
      <c r="P722" s="17">
        <f>IFERROR(ROUND(SUM(S723,S724,S725,S726)/I722, 2),0)</f>
        <v>537.86</v>
      </c>
      <c r="Q722" s="19">
        <v>4434</v>
      </c>
      <c r="R722" s="17">
        <f>P722+ROUND(Q722, 2)</f>
        <v>4971.8599999999997</v>
      </c>
      <c r="S722" s="17">
        <f>ROUND(P722*I722, 2)</f>
        <v>23380.77</v>
      </c>
      <c r="T722" s="17">
        <f>ROUND(I722*ROUND(Q722, 2), 2)</f>
        <v>192745.98</v>
      </c>
      <c r="U722" s="17">
        <f>S722+T722</f>
        <v>216126.75</v>
      </c>
      <c r="V722" s="9">
        <f>ROUND(P722 / 1.2, 2)</f>
        <v>448.22</v>
      </c>
      <c r="W722" s="9">
        <f>ROUND(Q722 / 1.2, 2)</f>
        <v>3695</v>
      </c>
      <c r="X722" s="9">
        <f>ROUND(R722 / 1.2, 2)</f>
        <v>4143.22</v>
      </c>
      <c r="Y722" s="9">
        <f t="shared" si="23"/>
        <v>19483.98</v>
      </c>
      <c r="Z722" s="9">
        <f>ROUND(T722 / 1.2, 2)</f>
        <v>160621.65</v>
      </c>
      <c r="AA722" s="9">
        <f>Y722+Z722</f>
        <v>180105.63</v>
      </c>
      <c r="AD722" s="4">
        <v>334080740</v>
      </c>
      <c r="AE722" s="4">
        <v>29285268</v>
      </c>
      <c r="AG722" s="4" t="s">
        <v>2301</v>
      </c>
      <c r="AH722" s="4" t="s">
        <v>2302</v>
      </c>
      <c r="AI722" s="4" t="s">
        <v>250</v>
      </c>
    </row>
    <row r="723" spans="1:35" ht="36" x14ac:dyDescent="0.3">
      <c r="A723" s="10" t="s">
        <v>2337</v>
      </c>
      <c r="B723" s="10"/>
      <c r="C723" s="24" t="s">
        <v>2338</v>
      </c>
      <c r="D723" s="15"/>
      <c r="E723" s="15" t="s">
        <v>1602</v>
      </c>
      <c r="F723" s="25" t="s">
        <v>278</v>
      </c>
      <c r="G723" s="26">
        <v>1.8</v>
      </c>
      <c r="H723" s="31"/>
      <c r="I723" s="31">
        <v>1956.15</v>
      </c>
      <c r="J723" s="27">
        <v>6.92</v>
      </c>
      <c r="M723" s="28">
        <f>ROUND(ROUND(J723, 2)*I723, 2)</f>
        <v>13536.56</v>
      </c>
      <c r="P723" s="29">
        <v>10.74</v>
      </c>
      <c r="S723" s="28">
        <f>ROUND(ROUND(P723, 2)*I723, 2)</f>
        <v>21009.05</v>
      </c>
      <c r="V723" s="9">
        <f>ROUND(ROUND(P723, 2)/1.2, 2)</f>
        <v>8.9499999999999993</v>
      </c>
      <c r="Y723" s="9">
        <f t="shared" si="23"/>
        <v>17507.54</v>
      </c>
      <c r="AD723" s="4" t="s">
        <v>2339</v>
      </c>
      <c r="AE723" s="4" t="s">
        <v>2340</v>
      </c>
      <c r="AF723" s="4" t="s">
        <v>2341</v>
      </c>
    </row>
    <row r="724" spans="1:35" ht="18" x14ac:dyDescent="0.3">
      <c r="A724" s="10" t="s">
        <v>2342</v>
      </c>
      <c r="B724" s="10"/>
      <c r="C724" s="24" t="s">
        <v>2309</v>
      </c>
      <c r="D724" s="15"/>
      <c r="E724" s="15"/>
      <c r="F724" s="25" t="s">
        <v>62</v>
      </c>
      <c r="G724" s="26">
        <v>1.1000000000000001</v>
      </c>
      <c r="H724" s="26"/>
      <c r="I724" s="26">
        <v>47.817</v>
      </c>
      <c r="J724" s="27">
        <v>20.34</v>
      </c>
      <c r="M724" s="28">
        <f>ROUND(ROUND(J724, 2)*I724, 2)</f>
        <v>972.6</v>
      </c>
      <c r="P724" s="29">
        <v>20.34</v>
      </c>
      <c r="S724" s="28">
        <f>ROUND(ROUND(P724, 2)*I724, 2)</f>
        <v>972.6</v>
      </c>
      <c r="V724" s="9">
        <f>ROUND(ROUND(P724, 2)/1.2, 2)</f>
        <v>16.95</v>
      </c>
      <c r="Y724" s="9">
        <f t="shared" si="23"/>
        <v>810.5</v>
      </c>
      <c r="AD724" s="4" t="s">
        <v>2343</v>
      </c>
      <c r="AE724" s="4" t="s">
        <v>2344</v>
      </c>
      <c r="AF724" s="4" t="s">
        <v>2312</v>
      </c>
    </row>
    <row r="725" spans="1:35" ht="18" x14ac:dyDescent="0.3">
      <c r="A725" s="10" t="s">
        <v>2345</v>
      </c>
      <c r="B725" s="10"/>
      <c r="C725" s="24" t="s">
        <v>2314</v>
      </c>
      <c r="D725" s="15"/>
      <c r="E725" s="15"/>
      <c r="F725" s="25" t="s">
        <v>102</v>
      </c>
      <c r="G725" s="26">
        <v>1</v>
      </c>
      <c r="H725" s="26"/>
      <c r="I725" s="26">
        <v>43.47</v>
      </c>
      <c r="J725" s="27">
        <v>18.64</v>
      </c>
      <c r="M725" s="28">
        <f>ROUND(ROUND(J725, 2)*I725, 2)</f>
        <v>810.28</v>
      </c>
      <c r="P725" s="29">
        <v>18.64</v>
      </c>
      <c r="S725" s="28">
        <f>ROUND(ROUND(P725, 2)*I725, 2)</f>
        <v>810.28</v>
      </c>
      <c r="V725" s="9">
        <f>ROUND(ROUND(P725, 2)/1.2, 2)</f>
        <v>15.53</v>
      </c>
      <c r="Y725" s="9">
        <f t="shared" si="23"/>
        <v>675.23</v>
      </c>
      <c r="AD725" s="4" t="s">
        <v>2346</v>
      </c>
      <c r="AE725" s="4" t="s">
        <v>2347</v>
      </c>
      <c r="AF725" s="4" t="s">
        <v>2317</v>
      </c>
    </row>
    <row r="726" spans="1:35" ht="36" x14ac:dyDescent="0.3">
      <c r="A726" s="10" t="s">
        <v>2348</v>
      </c>
      <c r="B726" s="10"/>
      <c r="C726" s="24" t="s">
        <v>1007</v>
      </c>
      <c r="D726" s="15"/>
      <c r="E726" s="15"/>
      <c r="F726" s="25" t="s">
        <v>278</v>
      </c>
      <c r="G726" s="26">
        <v>0.15</v>
      </c>
      <c r="H726" s="26"/>
      <c r="I726" s="26">
        <v>6.5209999999999999</v>
      </c>
      <c r="J726" s="27">
        <v>90.28</v>
      </c>
      <c r="M726" s="28">
        <f>ROUND(ROUND(J726, 2)*I726, 2)</f>
        <v>588.72</v>
      </c>
      <c r="P726" s="29">
        <v>90.28</v>
      </c>
      <c r="S726" s="28">
        <f>ROUND(ROUND(P726, 2)*I726, 2)</f>
        <v>588.72</v>
      </c>
      <c r="V726" s="9">
        <f>ROUND(ROUND(P726, 2)/1.2, 2)</f>
        <v>75.23</v>
      </c>
      <c r="Y726" s="9">
        <f t="shared" si="23"/>
        <v>490.6</v>
      </c>
      <c r="AD726" s="4" t="s">
        <v>2349</v>
      </c>
      <c r="AE726" s="4" t="s">
        <v>2350</v>
      </c>
      <c r="AF726" s="4" t="s">
        <v>1010</v>
      </c>
    </row>
    <row r="727" spans="1:35" ht="162" x14ac:dyDescent="0.3">
      <c r="A727" s="10" t="s">
        <v>2351</v>
      </c>
      <c r="B727" s="10" t="s">
        <v>2298</v>
      </c>
      <c r="C727" s="14" t="s">
        <v>2299</v>
      </c>
      <c r="D727" s="15"/>
      <c r="E727" s="15" t="s">
        <v>2352</v>
      </c>
      <c r="F727" s="15" t="s">
        <v>62</v>
      </c>
      <c r="G727" s="16">
        <v>1</v>
      </c>
      <c r="H727" s="16"/>
      <c r="I727" s="16">
        <v>53.76</v>
      </c>
      <c r="J727" s="17">
        <f>IFERROR(ROUND(SUM(M728,M729,M730,M731)/I727, 2),0)</f>
        <v>365.96</v>
      </c>
      <c r="K727" s="18">
        <v>2956</v>
      </c>
      <c r="L727" s="17">
        <f>J727+ROUND(K727, 2)</f>
        <v>3321.96</v>
      </c>
      <c r="M727" s="17">
        <f>ROUND(J727*I727, 2)</f>
        <v>19674.009999999998</v>
      </c>
      <c r="N727" s="17">
        <f>ROUND(I727*ROUND(K727, 2), 2)</f>
        <v>158914.56</v>
      </c>
      <c r="O727" s="17">
        <f>M727+N727</f>
        <v>178588.57</v>
      </c>
      <c r="P727" s="17">
        <f>IFERROR(ROUND(SUM(S728,S729,S730,S731)/I727, 2),0)</f>
        <v>537.86</v>
      </c>
      <c r="Q727" s="19">
        <v>4434</v>
      </c>
      <c r="R727" s="17">
        <f>P727+ROUND(Q727, 2)</f>
        <v>4971.8599999999997</v>
      </c>
      <c r="S727" s="17">
        <f>ROUND(P727*I727, 2)</f>
        <v>28915.35</v>
      </c>
      <c r="T727" s="17">
        <f>ROUND(I727*ROUND(Q727, 2), 2)</f>
        <v>238371.84</v>
      </c>
      <c r="U727" s="17">
        <f>S727+T727</f>
        <v>267287.19</v>
      </c>
      <c r="V727" s="9">
        <f>ROUND(P727 / 1.2, 2)</f>
        <v>448.22</v>
      </c>
      <c r="W727" s="9">
        <f>ROUND(Q727 / 1.2, 2)</f>
        <v>3695</v>
      </c>
      <c r="X727" s="9">
        <f>ROUND(R727 / 1.2, 2)</f>
        <v>4143.22</v>
      </c>
      <c r="Y727" s="9">
        <f t="shared" si="23"/>
        <v>24096.13</v>
      </c>
      <c r="Z727" s="9">
        <f>ROUND(T727 / 1.2, 2)</f>
        <v>198643.20000000001</v>
      </c>
      <c r="AA727" s="9">
        <f>Y727+Z727</f>
        <v>222739.33000000002</v>
      </c>
      <c r="AD727" s="4">
        <v>334080741</v>
      </c>
      <c r="AE727" s="4">
        <v>29285267</v>
      </c>
      <c r="AG727" s="4" t="s">
        <v>2301</v>
      </c>
      <c r="AH727" s="4" t="s">
        <v>2302</v>
      </c>
      <c r="AI727" s="4" t="s">
        <v>250</v>
      </c>
    </row>
    <row r="728" spans="1:35" ht="36" x14ac:dyDescent="0.3">
      <c r="A728" s="10" t="s">
        <v>2353</v>
      </c>
      <c r="B728" s="10"/>
      <c r="C728" s="24" t="s">
        <v>1007</v>
      </c>
      <c r="D728" s="15"/>
      <c r="E728" s="15"/>
      <c r="F728" s="25" t="s">
        <v>278</v>
      </c>
      <c r="G728" s="26">
        <v>0.15</v>
      </c>
      <c r="H728" s="26"/>
      <c r="I728" s="26">
        <v>8.0640000000000001</v>
      </c>
      <c r="J728" s="27">
        <v>90.28</v>
      </c>
      <c r="M728" s="28">
        <f>ROUND(ROUND(J728, 2)*I728, 2)</f>
        <v>728.02</v>
      </c>
      <c r="P728" s="29">
        <v>90.28</v>
      </c>
      <c r="S728" s="28">
        <f>ROUND(ROUND(P728, 2)*I728, 2)</f>
        <v>728.02</v>
      </c>
      <c r="V728" s="9">
        <f>ROUND(ROUND(P728, 2)/1.2, 2)</f>
        <v>75.23</v>
      </c>
      <c r="Y728" s="9">
        <f t="shared" si="23"/>
        <v>606.67999999999995</v>
      </c>
      <c r="AD728" s="4" t="s">
        <v>2354</v>
      </c>
      <c r="AE728" s="4" t="s">
        <v>2355</v>
      </c>
      <c r="AF728" s="4" t="s">
        <v>1010</v>
      </c>
    </row>
    <row r="729" spans="1:35" ht="18" x14ac:dyDescent="0.3">
      <c r="A729" s="10" t="s">
        <v>2356</v>
      </c>
      <c r="B729" s="10"/>
      <c r="C729" s="24" t="s">
        <v>2314</v>
      </c>
      <c r="D729" s="15"/>
      <c r="E729" s="15"/>
      <c r="F729" s="25" t="s">
        <v>102</v>
      </c>
      <c r="G729" s="26">
        <v>1</v>
      </c>
      <c r="H729" s="26"/>
      <c r="I729" s="26">
        <v>53.76</v>
      </c>
      <c r="J729" s="27">
        <v>18.64</v>
      </c>
      <c r="M729" s="28">
        <f>ROUND(ROUND(J729, 2)*I729, 2)</f>
        <v>1002.09</v>
      </c>
      <c r="P729" s="29">
        <v>18.64</v>
      </c>
      <c r="S729" s="28">
        <f>ROUND(ROUND(P729, 2)*I729, 2)</f>
        <v>1002.09</v>
      </c>
      <c r="V729" s="9">
        <f>ROUND(ROUND(P729, 2)/1.2, 2)</f>
        <v>15.53</v>
      </c>
      <c r="Y729" s="9">
        <f t="shared" si="23"/>
        <v>835.08</v>
      </c>
      <c r="AD729" s="4" t="s">
        <v>2357</v>
      </c>
      <c r="AE729" s="4" t="s">
        <v>2358</v>
      </c>
      <c r="AF729" s="4" t="s">
        <v>2317</v>
      </c>
    </row>
    <row r="730" spans="1:35" ht="18" x14ac:dyDescent="0.3">
      <c r="A730" s="10" t="s">
        <v>2359</v>
      </c>
      <c r="B730" s="10"/>
      <c r="C730" s="24" t="s">
        <v>2309</v>
      </c>
      <c r="D730" s="15"/>
      <c r="E730" s="15"/>
      <c r="F730" s="25" t="s">
        <v>62</v>
      </c>
      <c r="G730" s="26">
        <v>1.1000000000000001</v>
      </c>
      <c r="H730" s="26"/>
      <c r="I730" s="26">
        <v>59.136000000000003</v>
      </c>
      <c r="J730" s="27">
        <v>20.34</v>
      </c>
      <c r="M730" s="28">
        <f>ROUND(ROUND(J730, 2)*I730, 2)</f>
        <v>1202.83</v>
      </c>
      <c r="P730" s="29">
        <v>20.34</v>
      </c>
      <c r="S730" s="28">
        <f>ROUND(ROUND(P730, 2)*I730, 2)</f>
        <v>1202.83</v>
      </c>
      <c r="V730" s="9">
        <f>ROUND(ROUND(P730, 2)/1.2, 2)</f>
        <v>16.95</v>
      </c>
      <c r="Y730" s="9">
        <f t="shared" si="23"/>
        <v>1002.36</v>
      </c>
      <c r="AD730" s="4" t="s">
        <v>2360</v>
      </c>
      <c r="AE730" s="4" t="s">
        <v>2361</v>
      </c>
      <c r="AF730" s="4" t="s">
        <v>2312</v>
      </c>
    </row>
    <row r="731" spans="1:35" ht="36" x14ac:dyDescent="0.3">
      <c r="A731" s="10" t="s">
        <v>2362</v>
      </c>
      <c r="B731" s="10"/>
      <c r="C731" s="24" t="s">
        <v>2338</v>
      </c>
      <c r="D731" s="15"/>
      <c r="E731" s="15" t="s">
        <v>1602</v>
      </c>
      <c r="F731" s="25" t="s">
        <v>278</v>
      </c>
      <c r="G731" s="26">
        <v>1.8</v>
      </c>
      <c r="H731" s="31"/>
      <c r="I731" s="31">
        <v>2419.1999999999998</v>
      </c>
      <c r="J731" s="27">
        <v>6.92</v>
      </c>
      <c r="M731" s="28">
        <f>ROUND(ROUND(J731, 2)*I731, 2)</f>
        <v>16740.86</v>
      </c>
      <c r="P731" s="29">
        <v>10.74</v>
      </c>
      <c r="S731" s="28">
        <f>ROUND(ROUND(P731, 2)*I731, 2)</f>
        <v>25982.21</v>
      </c>
      <c r="V731" s="9">
        <f>ROUND(ROUND(P731, 2)/1.2, 2)</f>
        <v>8.9499999999999993</v>
      </c>
      <c r="Y731" s="9">
        <f t="shared" si="23"/>
        <v>21651.84</v>
      </c>
      <c r="AD731" s="4" t="s">
        <v>2363</v>
      </c>
      <c r="AE731" s="4" t="s">
        <v>2364</v>
      </c>
      <c r="AF731" s="4" t="s">
        <v>2341</v>
      </c>
    </row>
    <row r="732" spans="1:35" ht="144" x14ac:dyDescent="0.3">
      <c r="A732" s="10" t="s">
        <v>2365</v>
      </c>
      <c r="B732" s="10" t="s">
        <v>2298</v>
      </c>
      <c r="C732" s="14" t="s">
        <v>2299</v>
      </c>
      <c r="D732" s="15"/>
      <c r="E732" s="15" t="s">
        <v>2366</v>
      </c>
      <c r="F732" s="15" t="s">
        <v>62</v>
      </c>
      <c r="G732" s="16">
        <v>1</v>
      </c>
      <c r="H732" s="16"/>
      <c r="I732" s="16">
        <v>181.82</v>
      </c>
      <c r="J732" s="17">
        <f>IFERROR(ROUND(SUM(M733,M734,M735,M736)/I732, 2),0)</f>
        <v>284.23</v>
      </c>
      <c r="K732" s="18">
        <v>2956</v>
      </c>
      <c r="L732" s="17">
        <f>J732+ROUND(K732, 2)</f>
        <v>3240.23</v>
      </c>
      <c r="M732" s="17">
        <f>ROUND(J732*I732, 2)</f>
        <v>51678.7</v>
      </c>
      <c r="N732" s="17">
        <f>ROUND(I732*ROUND(K732, 2), 2)</f>
        <v>537459.92000000004</v>
      </c>
      <c r="O732" s="17">
        <f>M732+N732</f>
        <v>589138.62</v>
      </c>
      <c r="P732" s="17">
        <f>IFERROR(ROUND(SUM(S733,S734,S735,S736)/I732, 2),0)</f>
        <v>361.5</v>
      </c>
      <c r="Q732" s="19">
        <v>4434</v>
      </c>
      <c r="R732" s="17">
        <f>P732+ROUND(Q732, 2)</f>
        <v>4795.5</v>
      </c>
      <c r="S732" s="17">
        <f>ROUND(P732*I732, 2)</f>
        <v>65727.929999999993</v>
      </c>
      <c r="T732" s="17">
        <f>ROUND(I732*ROUND(Q732, 2), 2)</f>
        <v>806189.88</v>
      </c>
      <c r="U732" s="17">
        <f>S732+T732</f>
        <v>871917.81</v>
      </c>
      <c r="V732" s="9">
        <f>ROUND(P732 / 1.2, 2)</f>
        <v>301.25</v>
      </c>
      <c r="W732" s="9">
        <f>ROUND(Q732 / 1.2, 2)</f>
        <v>3695</v>
      </c>
      <c r="X732" s="9">
        <f>ROUND(R732 / 1.2, 2)</f>
        <v>3996.25</v>
      </c>
      <c r="Y732" s="9">
        <f t="shared" si="23"/>
        <v>54773.279999999999</v>
      </c>
      <c r="Z732" s="9">
        <f>ROUND(T732 / 1.2, 2)</f>
        <v>671824.9</v>
      </c>
      <c r="AA732" s="9">
        <f>Y732+Z732</f>
        <v>726598.18</v>
      </c>
      <c r="AD732" s="4">
        <v>334080742</v>
      </c>
      <c r="AE732" s="4">
        <v>29289989</v>
      </c>
      <c r="AG732" s="4" t="s">
        <v>2301</v>
      </c>
      <c r="AH732" s="4" t="s">
        <v>2302</v>
      </c>
      <c r="AI732" s="4" t="s">
        <v>250</v>
      </c>
    </row>
    <row r="733" spans="1:35" ht="36" x14ac:dyDescent="0.3">
      <c r="A733" s="10" t="s">
        <v>2367</v>
      </c>
      <c r="B733" s="10"/>
      <c r="C733" s="30" t="s">
        <v>2304</v>
      </c>
      <c r="D733" s="15"/>
      <c r="E733" s="15"/>
      <c r="F733" s="25" t="s">
        <v>278</v>
      </c>
      <c r="G733" s="26">
        <v>1.1000000000000001</v>
      </c>
      <c r="H733" s="31"/>
      <c r="I733" s="31">
        <v>5000.05</v>
      </c>
      <c r="J733" s="27">
        <v>7.92</v>
      </c>
      <c r="M733" s="28">
        <f>ROUND(ROUND(J733, 2)*I733, 2)</f>
        <v>39600.400000000001</v>
      </c>
      <c r="P733" s="29">
        <v>10.73</v>
      </c>
      <c r="S733" s="28">
        <f>ROUND(ROUND(P733, 2)*I733, 2)</f>
        <v>53650.54</v>
      </c>
      <c r="V733" s="9">
        <f>ROUND(ROUND(P733, 2)/1.2, 2)</f>
        <v>8.94</v>
      </c>
      <c r="Y733" s="9">
        <f t="shared" si="23"/>
        <v>44708.78</v>
      </c>
      <c r="AD733" s="4" t="s">
        <v>2368</v>
      </c>
      <c r="AE733" s="4" t="s">
        <v>2369</v>
      </c>
      <c r="AF733" s="4" t="s">
        <v>2307</v>
      </c>
    </row>
    <row r="734" spans="1:35" ht="18" x14ac:dyDescent="0.3">
      <c r="A734" s="10" t="s">
        <v>2370</v>
      </c>
      <c r="B734" s="10"/>
      <c r="C734" s="24" t="s">
        <v>2309</v>
      </c>
      <c r="D734" s="15"/>
      <c r="E734" s="15"/>
      <c r="F734" s="25" t="s">
        <v>62</v>
      </c>
      <c r="G734" s="26">
        <v>1.1000000000000001</v>
      </c>
      <c r="H734" s="26"/>
      <c r="I734" s="26">
        <v>200.00200000000001</v>
      </c>
      <c r="J734" s="27">
        <v>20.34</v>
      </c>
      <c r="M734" s="28">
        <f>ROUND(ROUND(J734, 2)*I734, 2)</f>
        <v>4068.04</v>
      </c>
      <c r="P734" s="29">
        <v>20.34</v>
      </c>
      <c r="S734" s="28">
        <f>ROUND(ROUND(P734, 2)*I734, 2)</f>
        <v>4068.04</v>
      </c>
      <c r="V734" s="9">
        <f>ROUND(ROUND(P734, 2)/1.2, 2)</f>
        <v>16.95</v>
      </c>
      <c r="Y734" s="9">
        <f t="shared" si="23"/>
        <v>3390.03</v>
      </c>
      <c r="AD734" s="4" t="s">
        <v>2371</v>
      </c>
      <c r="AE734" s="4" t="s">
        <v>2372</v>
      </c>
      <c r="AF734" s="4" t="s">
        <v>2312</v>
      </c>
    </row>
    <row r="735" spans="1:35" ht="18" x14ac:dyDescent="0.3">
      <c r="A735" s="10" t="s">
        <v>2373</v>
      </c>
      <c r="B735" s="10"/>
      <c r="C735" s="24" t="s">
        <v>2314</v>
      </c>
      <c r="D735" s="15"/>
      <c r="E735" s="15"/>
      <c r="F735" s="25" t="s">
        <v>102</v>
      </c>
      <c r="G735" s="26">
        <v>1</v>
      </c>
      <c r="H735" s="26"/>
      <c r="I735" s="26">
        <v>181.82</v>
      </c>
      <c r="J735" s="27">
        <v>18.64</v>
      </c>
      <c r="M735" s="28">
        <f>ROUND(ROUND(J735, 2)*I735, 2)</f>
        <v>3389.12</v>
      </c>
      <c r="P735" s="29">
        <v>18.64</v>
      </c>
      <c r="S735" s="28">
        <f>ROUND(ROUND(P735, 2)*I735, 2)</f>
        <v>3389.12</v>
      </c>
      <c r="V735" s="9">
        <f>ROUND(ROUND(P735, 2)/1.2, 2)</f>
        <v>15.53</v>
      </c>
      <c r="Y735" s="9">
        <f t="shared" si="23"/>
        <v>2824.27</v>
      </c>
      <c r="AD735" s="4" t="s">
        <v>2374</v>
      </c>
      <c r="AE735" s="4" t="s">
        <v>2375</v>
      </c>
      <c r="AF735" s="4" t="s">
        <v>2317</v>
      </c>
    </row>
    <row r="736" spans="1:35" ht="18" x14ac:dyDescent="0.3">
      <c r="A736" s="10" t="s">
        <v>2376</v>
      </c>
      <c r="B736" s="10"/>
      <c r="C736" s="24" t="s">
        <v>1629</v>
      </c>
      <c r="D736" s="15"/>
      <c r="E736" s="15"/>
      <c r="F736" s="25" t="s">
        <v>278</v>
      </c>
      <c r="G736" s="26">
        <v>0.25</v>
      </c>
      <c r="H736" s="26"/>
      <c r="I736" s="26">
        <v>45.454999999999998</v>
      </c>
      <c r="J736" s="27">
        <v>101.66</v>
      </c>
      <c r="M736" s="28">
        <f>ROUND(ROUND(J736, 2)*I736, 2)</f>
        <v>4620.96</v>
      </c>
      <c r="P736" s="29">
        <v>101.66</v>
      </c>
      <c r="S736" s="28">
        <f>ROUND(ROUND(P736, 2)*I736, 2)</f>
        <v>4620.96</v>
      </c>
      <c r="V736" s="9">
        <f>ROUND(ROUND(P736, 2)/1.2, 2)</f>
        <v>84.72</v>
      </c>
      <c r="Y736" s="9">
        <f t="shared" si="23"/>
        <v>3850.8</v>
      </c>
      <c r="AD736" s="4" t="s">
        <v>2377</v>
      </c>
      <c r="AE736" s="4" t="s">
        <v>2378</v>
      </c>
      <c r="AF736" s="4" t="s">
        <v>1632</v>
      </c>
    </row>
    <row r="737" spans="1:35" ht="90" x14ac:dyDescent="0.3">
      <c r="A737" s="10" t="s">
        <v>2379</v>
      </c>
      <c r="B737" s="10" t="s">
        <v>2298</v>
      </c>
      <c r="C737" s="14" t="s">
        <v>2299</v>
      </c>
      <c r="D737" s="15"/>
      <c r="E737" s="15" t="s">
        <v>2380</v>
      </c>
      <c r="F737" s="15" t="s">
        <v>62</v>
      </c>
      <c r="G737" s="16">
        <v>1</v>
      </c>
      <c r="H737" s="16"/>
      <c r="I737" s="16">
        <v>1.03</v>
      </c>
      <c r="J737" s="17">
        <f>IFERROR(ROUND(SUM(M738,M739,M740,M741)/I737, 2),0)</f>
        <v>377.88</v>
      </c>
      <c r="K737" s="18">
        <v>2956</v>
      </c>
      <c r="L737" s="17">
        <f>J737+ROUND(K737, 2)</f>
        <v>3333.88</v>
      </c>
      <c r="M737" s="17">
        <f>ROUND(J737*I737, 2)</f>
        <v>389.22</v>
      </c>
      <c r="N737" s="17">
        <f>ROUND(I737*ROUND(K737, 2), 2)</f>
        <v>3044.68</v>
      </c>
      <c r="O737" s="17">
        <f>M737+N737</f>
        <v>3433.8999999999996</v>
      </c>
      <c r="P737" s="17">
        <f>IFERROR(ROUND(SUM(S738,S739,S740,S741)/I737, 2),0)</f>
        <v>549.79</v>
      </c>
      <c r="Q737" s="19">
        <v>4434</v>
      </c>
      <c r="R737" s="17">
        <f>P737+ROUND(Q737, 2)</f>
        <v>4983.79</v>
      </c>
      <c r="S737" s="17">
        <f>ROUND(P737*I737, 2)</f>
        <v>566.28</v>
      </c>
      <c r="T737" s="17">
        <f>ROUND(I737*ROUND(Q737, 2), 2)</f>
        <v>4567.0200000000004</v>
      </c>
      <c r="U737" s="17">
        <f>S737+T737</f>
        <v>5133.3</v>
      </c>
      <c r="V737" s="9">
        <f>ROUND(P737 / 1.2, 2)</f>
        <v>458.16</v>
      </c>
      <c r="W737" s="9">
        <f>ROUND(Q737 / 1.2, 2)</f>
        <v>3695</v>
      </c>
      <c r="X737" s="9">
        <f>ROUND(R737 / 1.2, 2)</f>
        <v>4153.16</v>
      </c>
      <c r="Y737" s="9">
        <f t="shared" si="23"/>
        <v>471.9</v>
      </c>
      <c r="Z737" s="9">
        <f>ROUND(T737 / 1.2, 2)</f>
        <v>3805.85</v>
      </c>
      <c r="AA737" s="9">
        <f>Y737+Z737</f>
        <v>4277.75</v>
      </c>
      <c r="AD737" s="4">
        <v>334080743</v>
      </c>
      <c r="AE737" s="4">
        <v>29289991</v>
      </c>
      <c r="AG737" s="4" t="s">
        <v>2301</v>
      </c>
      <c r="AH737" s="4" t="s">
        <v>2302</v>
      </c>
      <c r="AI737" s="4" t="s">
        <v>250</v>
      </c>
    </row>
    <row r="738" spans="1:35" ht="18" x14ac:dyDescent="0.3">
      <c r="A738" s="10" t="s">
        <v>2381</v>
      </c>
      <c r="B738" s="10"/>
      <c r="C738" s="24" t="s">
        <v>1629</v>
      </c>
      <c r="D738" s="15"/>
      <c r="E738" s="15"/>
      <c r="F738" s="25" t="s">
        <v>278</v>
      </c>
      <c r="G738" s="26">
        <v>0.25</v>
      </c>
      <c r="H738" s="26"/>
      <c r="I738" s="26">
        <v>0.25800000000000001</v>
      </c>
      <c r="J738" s="27">
        <v>101.66</v>
      </c>
      <c r="M738" s="28">
        <f>ROUND(ROUND(J738, 2)*I738, 2)</f>
        <v>26.23</v>
      </c>
      <c r="P738" s="29">
        <v>101.66</v>
      </c>
      <c r="S738" s="28">
        <f>ROUND(ROUND(P738, 2)*I738, 2)</f>
        <v>26.23</v>
      </c>
      <c r="V738" s="9">
        <f>ROUND(ROUND(P738, 2)/1.2, 2)</f>
        <v>84.72</v>
      </c>
      <c r="Y738" s="9">
        <f t="shared" si="23"/>
        <v>21.86</v>
      </c>
      <c r="AD738" s="4" t="s">
        <v>2382</v>
      </c>
      <c r="AE738" s="4" t="s">
        <v>2383</v>
      </c>
      <c r="AF738" s="4" t="s">
        <v>1632</v>
      </c>
    </row>
    <row r="739" spans="1:35" ht="18" x14ac:dyDescent="0.3">
      <c r="A739" s="10" t="s">
        <v>2384</v>
      </c>
      <c r="B739" s="10"/>
      <c r="C739" s="24" t="s">
        <v>2314</v>
      </c>
      <c r="D739" s="15"/>
      <c r="E739" s="15"/>
      <c r="F739" s="25" t="s">
        <v>102</v>
      </c>
      <c r="G739" s="26">
        <v>1</v>
      </c>
      <c r="H739" s="26"/>
      <c r="I739" s="26">
        <v>1.03</v>
      </c>
      <c r="J739" s="27">
        <v>18.64</v>
      </c>
      <c r="M739" s="28">
        <f>ROUND(ROUND(J739, 2)*I739, 2)</f>
        <v>19.2</v>
      </c>
      <c r="P739" s="29">
        <v>18.64</v>
      </c>
      <c r="S739" s="28">
        <f>ROUND(ROUND(P739, 2)*I739, 2)</f>
        <v>19.2</v>
      </c>
      <c r="V739" s="9">
        <f>ROUND(ROUND(P739, 2)/1.2, 2)</f>
        <v>15.53</v>
      </c>
      <c r="Y739" s="9">
        <f t="shared" si="23"/>
        <v>16</v>
      </c>
      <c r="AD739" s="4" t="s">
        <v>2385</v>
      </c>
      <c r="AE739" s="4" t="s">
        <v>2386</v>
      </c>
      <c r="AF739" s="4" t="s">
        <v>2317</v>
      </c>
    </row>
    <row r="740" spans="1:35" ht="18" x14ac:dyDescent="0.3">
      <c r="A740" s="10" t="s">
        <v>2387</v>
      </c>
      <c r="B740" s="10"/>
      <c r="C740" s="24" t="s">
        <v>2309</v>
      </c>
      <c r="D740" s="15"/>
      <c r="E740" s="15"/>
      <c r="F740" s="25" t="s">
        <v>62</v>
      </c>
      <c r="G740" s="26">
        <v>1.1000000000000001</v>
      </c>
      <c r="H740" s="26"/>
      <c r="I740" s="26">
        <v>1.133</v>
      </c>
      <c r="J740" s="27">
        <v>20.34</v>
      </c>
      <c r="M740" s="28">
        <f>ROUND(ROUND(J740, 2)*I740, 2)</f>
        <v>23.05</v>
      </c>
      <c r="P740" s="29">
        <v>20.34</v>
      </c>
      <c r="S740" s="28">
        <f>ROUND(ROUND(P740, 2)*I740, 2)</f>
        <v>23.05</v>
      </c>
      <c r="V740" s="9">
        <f>ROUND(ROUND(P740, 2)/1.2, 2)</f>
        <v>16.95</v>
      </c>
      <c r="Y740" s="9">
        <f t="shared" si="23"/>
        <v>19.21</v>
      </c>
      <c r="AD740" s="4" t="s">
        <v>2388</v>
      </c>
      <c r="AE740" s="4" t="s">
        <v>2389</v>
      </c>
      <c r="AF740" s="4" t="s">
        <v>2312</v>
      </c>
    </row>
    <row r="741" spans="1:35" ht="36" x14ac:dyDescent="0.3">
      <c r="A741" s="10" t="s">
        <v>2390</v>
      </c>
      <c r="B741" s="10"/>
      <c r="C741" s="24" t="s">
        <v>2338</v>
      </c>
      <c r="D741" s="15"/>
      <c r="E741" s="15" t="s">
        <v>1602</v>
      </c>
      <c r="F741" s="25" t="s">
        <v>278</v>
      </c>
      <c r="G741" s="26">
        <v>1.8</v>
      </c>
      <c r="H741" s="31"/>
      <c r="I741" s="31">
        <v>46.35</v>
      </c>
      <c r="J741" s="27">
        <v>6.92</v>
      </c>
      <c r="M741" s="28">
        <f>ROUND(ROUND(J741, 2)*I741, 2)</f>
        <v>320.74</v>
      </c>
      <c r="P741" s="29">
        <v>10.74</v>
      </c>
      <c r="S741" s="28">
        <f>ROUND(ROUND(P741, 2)*I741, 2)</f>
        <v>497.8</v>
      </c>
      <c r="V741" s="9">
        <f>ROUND(ROUND(P741, 2)/1.2, 2)</f>
        <v>8.9499999999999993</v>
      </c>
      <c r="Y741" s="9">
        <f t="shared" si="23"/>
        <v>414.83</v>
      </c>
      <c r="AD741" s="4" t="s">
        <v>2391</v>
      </c>
      <c r="AE741" s="4" t="s">
        <v>2392</v>
      </c>
      <c r="AF741" s="4" t="s">
        <v>2341</v>
      </c>
    </row>
    <row r="742" spans="1:35" ht="90" x14ac:dyDescent="0.3">
      <c r="A742" s="10" t="s">
        <v>2393</v>
      </c>
      <c r="B742" s="10" t="s">
        <v>2298</v>
      </c>
      <c r="C742" s="14" t="s">
        <v>2299</v>
      </c>
      <c r="D742" s="15"/>
      <c r="E742" s="15" t="s">
        <v>2394</v>
      </c>
      <c r="F742" s="15" t="s">
        <v>62</v>
      </c>
      <c r="G742" s="16">
        <v>1</v>
      </c>
      <c r="H742" s="16"/>
      <c r="I742" s="16">
        <v>6.22</v>
      </c>
      <c r="J742" s="17">
        <f>IFERROR(ROUND(SUM(M743,M744)/I742, 2),0)</f>
        <v>149.97</v>
      </c>
      <c r="K742" s="18">
        <v>2956</v>
      </c>
      <c r="L742" s="17">
        <f>J742+ROUND(K742, 2)</f>
        <v>3105.97</v>
      </c>
      <c r="M742" s="17">
        <f>ROUND(J742*I742, 2)</f>
        <v>932.81</v>
      </c>
      <c r="N742" s="17">
        <f>ROUND(I742*ROUND(K742, 2), 2)</f>
        <v>18386.32</v>
      </c>
      <c r="O742" s="17">
        <f>M742+N742</f>
        <v>19319.13</v>
      </c>
      <c r="P742" s="17">
        <f>IFERROR(ROUND(SUM(S743,S744)/I742, 2),0)</f>
        <v>184</v>
      </c>
      <c r="Q742" s="19">
        <v>4434</v>
      </c>
      <c r="R742" s="17">
        <f>P742+ROUND(Q742, 2)</f>
        <v>4618</v>
      </c>
      <c r="S742" s="17">
        <f>ROUND(P742*I742, 2)</f>
        <v>1144.48</v>
      </c>
      <c r="T742" s="17">
        <f>ROUND(I742*ROUND(Q742, 2), 2)</f>
        <v>27579.48</v>
      </c>
      <c r="U742" s="17">
        <f>S742+T742</f>
        <v>28723.96</v>
      </c>
      <c r="V742" s="9">
        <f>ROUND(P742 / 1.2, 2)</f>
        <v>153.33000000000001</v>
      </c>
      <c r="W742" s="9">
        <f>ROUND(Q742 / 1.2, 2)</f>
        <v>3695</v>
      </c>
      <c r="X742" s="9">
        <f>ROUND(R742 / 1.2, 2)</f>
        <v>3848.33</v>
      </c>
      <c r="Y742" s="9">
        <f t="shared" si="23"/>
        <v>953.73</v>
      </c>
      <c r="Z742" s="9">
        <f>ROUND(T742 / 1.2, 2)</f>
        <v>22982.9</v>
      </c>
      <c r="AA742" s="9">
        <f>Y742+Z742</f>
        <v>23936.63</v>
      </c>
      <c r="AD742" s="4">
        <v>334080744</v>
      </c>
      <c r="AE742" s="4">
        <v>29289990</v>
      </c>
      <c r="AG742" s="4" t="s">
        <v>2301</v>
      </c>
      <c r="AH742" s="4" t="s">
        <v>2302</v>
      </c>
      <c r="AI742" s="4" t="s">
        <v>250</v>
      </c>
    </row>
    <row r="743" spans="1:35" ht="36" x14ac:dyDescent="0.3">
      <c r="A743" s="10" t="s">
        <v>2395</v>
      </c>
      <c r="B743" s="10"/>
      <c r="C743" s="24" t="s">
        <v>2338</v>
      </c>
      <c r="D743" s="15"/>
      <c r="E743" s="15" t="s">
        <v>2396</v>
      </c>
      <c r="F743" s="25" t="s">
        <v>278</v>
      </c>
      <c r="G743" s="26">
        <v>1.8</v>
      </c>
      <c r="H743" s="31"/>
      <c r="I743" s="31">
        <v>111.96</v>
      </c>
      <c r="J743" s="27">
        <v>6.92</v>
      </c>
      <c r="M743" s="28">
        <f>ROUND(ROUND(J743, 2)*I743, 2)</f>
        <v>774.76</v>
      </c>
      <c r="P743" s="29">
        <v>8.81</v>
      </c>
      <c r="S743" s="28">
        <f>ROUND(ROUND(P743, 2)*I743, 2)</f>
        <v>986.37</v>
      </c>
      <c r="V743" s="9">
        <f>ROUND(ROUND(P743, 2)/1.2, 2)</f>
        <v>7.34</v>
      </c>
      <c r="Y743" s="9">
        <f t="shared" si="23"/>
        <v>821.98</v>
      </c>
      <c r="AD743" s="4" t="s">
        <v>2397</v>
      </c>
      <c r="AE743" s="4" t="s">
        <v>2398</v>
      </c>
      <c r="AF743" s="4" t="s">
        <v>2341</v>
      </c>
    </row>
    <row r="744" spans="1:35" ht="18" x14ac:dyDescent="0.3">
      <c r="A744" s="10" t="s">
        <v>2399</v>
      </c>
      <c r="B744" s="10"/>
      <c r="C744" s="24" t="s">
        <v>1629</v>
      </c>
      <c r="D744" s="15"/>
      <c r="E744" s="15"/>
      <c r="F744" s="25" t="s">
        <v>278</v>
      </c>
      <c r="G744" s="26">
        <v>0.25</v>
      </c>
      <c r="H744" s="26"/>
      <c r="I744" s="26">
        <v>1.5549999999999999</v>
      </c>
      <c r="J744" s="27">
        <v>101.66</v>
      </c>
      <c r="M744" s="28">
        <f>ROUND(ROUND(J744, 2)*I744, 2)</f>
        <v>158.08000000000001</v>
      </c>
      <c r="P744" s="29">
        <v>101.66</v>
      </c>
      <c r="S744" s="28">
        <f>ROUND(ROUND(P744, 2)*I744, 2)</f>
        <v>158.08000000000001</v>
      </c>
      <c r="V744" s="9">
        <f>ROUND(ROUND(P744, 2)/1.2, 2)</f>
        <v>84.72</v>
      </c>
      <c r="Y744" s="9">
        <f t="shared" si="23"/>
        <v>131.72999999999999</v>
      </c>
      <c r="AD744" s="4" t="s">
        <v>2400</v>
      </c>
      <c r="AE744" s="4" t="s">
        <v>2401</v>
      </c>
      <c r="AF744" s="4" t="s">
        <v>1632</v>
      </c>
    </row>
    <row r="745" spans="1:35" ht="90" x14ac:dyDescent="0.3">
      <c r="A745" s="10" t="s">
        <v>2402</v>
      </c>
      <c r="B745" s="10" t="s">
        <v>2298</v>
      </c>
      <c r="C745" s="14" t="s">
        <v>2299</v>
      </c>
      <c r="D745" s="15"/>
      <c r="E745" s="15" t="s">
        <v>2403</v>
      </c>
      <c r="F745" s="15" t="s">
        <v>62</v>
      </c>
      <c r="G745" s="16">
        <v>1</v>
      </c>
      <c r="H745" s="16"/>
      <c r="I745" s="16">
        <v>77.31</v>
      </c>
      <c r="J745" s="17">
        <f>IFERROR(ROUND(SUM(M746,M747,M748,M749)/I745, 2),0)</f>
        <v>284.23</v>
      </c>
      <c r="K745" s="18">
        <v>2956</v>
      </c>
      <c r="L745" s="17">
        <f>J745+ROUND(K745, 2)</f>
        <v>3240.23</v>
      </c>
      <c r="M745" s="17">
        <f>ROUND(J745*I745, 2)</f>
        <v>21973.82</v>
      </c>
      <c r="N745" s="17">
        <f>ROUND(I745*ROUND(K745, 2), 2)</f>
        <v>228528.36</v>
      </c>
      <c r="O745" s="17">
        <f>M745+N745</f>
        <v>250502.18</v>
      </c>
      <c r="P745" s="17">
        <f>IFERROR(ROUND(SUM(S746,S747,S748,S749)/I745, 2),0)</f>
        <v>361.5</v>
      </c>
      <c r="Q745" s="19">
        <v>4434</v>
      </c>
      <c r="R745" s="17">
        <f>P745+ROUND(Q745, 2)</f>
        <v>4795.5</v>
      </c>
      <c r="S745" s="17">
        <f>ROUND(P745*I745, 2)</f>
        <v>27947.57</v>
      </c>
      <c r="T745" s="17">
        <f>ROUND(I745*ROUND(Q745, 2), 2)</f>
        <v>342792.54</v>
      </c>
      <c r="U745" s="17">
        <f>S745+T745</f>
        <v>370740.11</v>
      </c>
      <c r="V745" s="9">
        <f>ROUND(P745 / 1.2, 2)</f>
        <v>301.25</v>
      </c>
      <c r="W745" s="9">
        <f>ROUND(Q745 / 1.2, 2)</f>
        <v>3695</v>
      </c>
      <c r="X745" s="9">
        <f>ROUND(R745 / 1.2, 2)</f>
        <v>3996.25</v>
      </c>
      <c r="Y745" s="9">
        <f t="shared" ref="Y745:Y780" si="24">ROUND(S745 / 1.2, 2)</f>
        <v>23289.64</v>
      </c>
      <c r="Z745" s="9">
        <f>ROUND(T745 / 1.2, 2)</f>
        <v>285660.45</v>
      </c>
      <c r="AA745" s="9">
        <f>Y745+Z745</f>
        <v>308950.09000000003</v>
      </c>
      <c r="AD745" s="4">
        <v>334080745</v>
      </c>
      <c r="AE745" s="4">
        <v>29295733</v>
      </c>
      <c r="AG745" s="4" t="s">
        <v>2301</v>
      </c>
      <c r="AH745" s="4" t="s">
        <v>2302</v>
      </c>
      <c r="AI745" s="4" t="s">
        <v>250</v>
      </c>
    </row>
    <row r="746" spans="1:35" ht="18" x14ac:dyDescent="0.3">
      <c r="A746" s="10" t="s">
        <v>2404</v>
      </c>
      <c r="B746" s="10"/>
      <c r="C746" s="24" t="s">
        <v>1629</v>
      </c>
      <c r="D746" s="15"/>
      <c r="E746" s="15"/>
      <c r="F746" s="25" t="s">
        <v>278</v>
      </c>
      <c r="G746" s="26">
        <v>0.25</v>
      </c>
      <c r="H746" s="26"/>
      <c r="I746" s="26">
        <v>19.327999999999999</v>
      </c>
      <c r="J746" s="27">
        <v>101.66</v>
      </c>
      <c r="M746" s="28">
        <f>ROUND(ROUND(J746, 2)*I746, 2)</f>
        <v>1964.88</v>
      </c>
      <c r="P746" s="29">
        <v>101.66</v>
      </c>
      <c r="S746" s="28">
        <f>ROUND(ROUND(P746, 2)*I746, 2)</f>
        <v>1964.88</v>
      </c>
      <c r="V746" s="9">
        <f>ROUND(ROUND(P746, 2)/1.2, 2)</f>
        <v>84.72</v>
      </c>
      <c r="Y746" s="9">
        <f t="shared" si="24"/>
        <v>1637.4</v>
      </c>
      <c r="AD746" s="4" t="s">
        <v>2405</v>
      </c>
      <c r="AE746" s="4" t="s">
        <v>2406</v>
      </c>
      <c r="AF746" s="4" t="s">
        <v>1632</v>
      </c>
    </row>
    <row r="747" spans="1:35" ht="18" x14ac:dyDescent="0.3">
      <c r="A747" s="10" t="s">
        <v>2407</v>
      </c>
      <c r="B747" s="10"/>
      <c r="C747" s="24" t="s">
        <v>2314</v>
      </c>
      <c r="D747" s="15"/>
      <c r="E747" s="15"/>
      <c r="F747" s="25" t="s">
        <v>102</v>
      </c>
      <c r="G747" s="26">
        <v>1</v>
      </c>
      <c r="H747" s="26"/>
      <c r="I747" s="26">
        <v>77.31</v>
      </c>
      <c r="J747" s="27">
        <v>18.64</v>
      </c>
      <c r="M747" s="28">
        <f>ROUND(ROUND(J747, 2)*I747, 2)</f>
        <v>1441.06</v>
      </c>
      <c r="P747" s="29">
        <v>18.64</v>
      </c>
      <c r="S747" s="28">
        <f>ROUND(ROUND(P747, 2)*I747, 2)</f>
        <v>1441.06</v>
      </c>
      <c r="V747" s="9">
        <f>ROUND(ROUND(P747, 2)/1.2, 2)</f>
        <v>15.53</v>
      </c>
      <c r="Y747" s="9">
        <f t="shared" si="24"/>
        <v>1200.8800000000001</v>
      </c>
      <c r="AD747" s="4" t="s">
        <v>2408</v>
      </c>
      <c r="AE747" s="4" t="s">
        <v>2409</v>
      </c>
      <c r="AF747" s="4" t="s">
        <v>2317</v>
      </c>
    </row>
    <row r="748" spans="1:35" ht="18" x14ac:dyDescent="0.3">
      <c r="A748" s="10" t="s">
        <v>2410</v>
      </c>
      <c r="B748" s="10"/>
      <c r="C748" s="24" t="s">
        <v>2309</v>
      </c>
      <c r="D748" s="15"/>
      <c r="E748" s="15"/>
      <c r="F748" s="25" t="s">
        <v>62</v>
      </c>
      <c r="G748" s="26">
        <v>1.1000000000000001</v>
      </c>
      <c r="H748" s="26"/>
      <c r="I748" s="26">
        <v>85.040999999999997</v>
      </c>
      <c r="J748" s="27">
        <v>20.34</v>
      </c>
      <c r="M748" s="28">
        <f>ROUND(ROUND(J748, 2)*I748, 2)</f>
        <v>1729.73</v>
      </c>
      <c r="P748" s="29">
        <v>20.34</v>
      </c>
      <c r="S748" s="28">
        <f>ROUND(ROUND(P748, 2)*I748, 2)</f>
        <v>1729.73</v>
      </c>
      <c r="V748" s="9">
        <f>ROUND(ROUND(P748, 2)/1.2, 2)</f>
        <v>16.95</v>
      </c>
      <c r="Y748" s="9">
        <f t="shared" si="24"/>
        <v>1441.44</v>
      </c>
      <c r="AD748" s="4" t="s">
        <v>2411</v>
      </c>
      <c r="AE748" s="4" t="s">
        <v>2412</v>
      </c>
      <c r="AF748" s="4" t="s">
        <v>2312</v>
      </c>
    </row>
    <row r="749" spans="1:35" ht="36" x14ac:dyDescent="0.3">
      <c r="A749" s="10" t="s">
        <v>2413</v>
      </c>
      <c r="B749" s="10"/>
      <c r="C749" s="30" t="s">
        <v>2304</v>
      </c>
      <c r="D749" s="15"/>
      <c r="E749" s="15"/>
      <c r="F749" s="25" t="s">
        <v>278</v>
      </c>
      <c r="G749" s="26">
        <v>1.1000000000000001</v>
      </c>
      <c r="H749" s="31"/>
      <c r="I749" s="31">
        <v>2126.0250000000001</v>
      </c>
      <c r="J749" s="27">
        <v>7.92</v>
      </c>
      <c r="M749" s="28">
        <f>ROUND(ROUND(J749, 2)*I749, 2)</f>
        <v>16838.12</v>
      </c>
      <c r="P749" s="29">
        <v>10.73</v>
      </c>
      <c r="S749" s="28">
        <f>ROUND(ROUND(P749, 2)*I749, 2)</f>
        <v>22812.25</v>
      </c>
      <c r="V749" s="9">
        <f>ROUND(ROUND(P749, 2)/1.2, 2)</f>
        <v>8.94</v>
      </c>
      <c r="Y749" s="9">
        <f t="shared" si="24"/>
        <v>19010.21</v>
      </c>
      <c r="AD749" s="4" t="s">
        <v>2414</v>
      </c>
      <c r="AE749" s="4" t="s">
        <v>2415</v>
      </c>
      <c r="AF749" s="4" t="s">
        <v>2307</v>
      </c>
    </row>
    <row r="750" spans="1:35" ht="90" x14ac:dyDescent="0.3">
      <c r="A750" s="10" t="s">
        <v>2416</v>
      </c>
      <c r="B750" s="10" t="s">
        <v>2417</v>
      </c>
      <c r="C750" s="14" t="s">
        <v>2418</v>
      </c>
      <c r="D750" s="15"/>
      <c r="E750" s="15" t="s">
        <v>2419</v>
      </c>
      <c r="F750" s="15" t="s">
        <v>62</v>
      </c>
      <c r="G750" s="16">
        <v>1</v>
      </c>
      <c r="H750" s="16"/>
      <c r="I750" s="16">
        <v>279.94</v>
      </c>
      <c r="J750" s="17">
        <f>IFERROR(ROUND(SUM(M751,M752,M753)/I750, 2),0)</f>
        <v>91.01</v>
      </c>
      <c r="K750" s="18">
        <v>1001</v>
      </c>
      <c r="L750" s="17">
        <f>J750+ROUND(K750, 2)</f>
        <v>1092.01</v>
      </c>
      <c r="M750" s="17">
        <f>ROUND(J750*I750, 2)</f>
        <v>25477.34</v>
      </c>
      <c r="N750" s="17">
        <f>ROUND(I750*ROUND(K750, 2), 2)</f>
        <v>280219.94</v>
      </c>
      <c r="O750" s="17">
        <f>M750+N750</f>
        <v>305697.28000000003</v>
      </c>
      <c r="P750" s="17">
        <f>IFERROR(ROUND(SUM(S751,S752,S753)/I750, 2),0)</f>
        <v>91.01</v>
      </c>
      <c r="Q750" s="19">
        <v>1501.5</v>
      </c>
      <c r="R750" s="17">
        <f>P750+ROUND(Q750, 2)</f>
        <v>1592.51</v>
      </c>
      <c r="S750" s="17">
        <f>ROUND(P750*I750, 2)</f>
        <v>25477.34</v>
      </c>
      <c r="T750" s="17">
        <f>ROUND(I750*ROUND(Q750, 2), 2)</f>
        <v>420329.91</v>
      </c>
      <c r="U750" s="17">
        <f>S750+T750</f>
        <v>445807.25</v>
      </c>
      <c r="V750" s="9">
        <f>ROUND(P750 / 1.2, 2)</f>
        <v>75.84</v>
      </c>
      <c r="W750" s="9">
        <f>ROUND(Q750 / 1.2, 2)</f>
        <v>1251.25</v>
      </c>
      <c r="X750" s="9">
        <f>ROUND(R750 / 1.2, 2)</f>
        <v>1327.09</v>
      </c>
      <c r="Y750" s="9">
        <f t="shared" si="24"/>
        <v>21231.119999999999</v>
      </c>
      <c r="Z750" s="9">
        <f>ROUND(T750 / 1.2, 2)</f>
        <v>350274.93</v>
      </c>
      <c r="AA750" s="9">
        <f>Y750+Z750</f>
        <v>371506.05</v>
      </c>
      <c r="AD750" s="4">
        <v>334080549</v>
      </c>
      <c r="AE750" s="4">
        <v>29241734</v>
      </c>
      <c r="AG750" s="4" t="s">
        <v>2420</v>
      </c>
      <c r="AH750" s="4" t="s">
        <v>2421</v>
      </c>
      <c r="AI750" s="4" t="s">
        <v>250</v>
      </c>
    </row>
    <row r="751" spans="1:35" ht="18" x14ac:dyDescent="0.3">
      <c r="A751" s="10" t="s">
        <v>2422</v>
      </c>
      <c r="B751" s="10"/>
      <c r="C751" s="24" t="s">
        <v>1541</v>
      </c>
      <c r="D751" s="15"/>
      <c r="E751" s="15"/>
      <c r="F751" s="25" t="s">
        <v>597</v>
      </c>
      <c r="G751" s="26">
        <v>0.3</v>
      </c>
      <c r="H751" s="26"/>
      <c r="I751" s="26">
        <v>83.981999999999999</v>
      </c>
      <c r="J751" s="27">
        <v>74.319999999999993</v>
      </c>
      <c r="M751" s="28">
        <f>ROUND(ROUND(J751, 2)*I751, 2)</f>
        <v>6241.54</v>
      </c>
      <c r="P751" s="29">
        <v>74.319999999999993</v>
      </c>
      <c r="S751" s="28">
        <f>ROUND(ROUND(P751, 2)*I751, 2)</f>
        <v>6241.54</v>
      </c>
      <c r="V751" s="9">
        <f>ROUND(ROUND(P751, 2)/1.2, 2)</f>
        <v>61.93</v>
      </c>
      <c r="Y751" s="9">
        <f t="shared" si="24"/>
        <v>5201.28</v>
      </c>
      <c r="AD751" s="4" t="s">
        <v>2423</v>
      </c>
      <c r="AE751" s="4" t="s">
        <v>2424</v>
      </c>
      <c r="AF751" s="4" t="s">
        <v>1544</v>
      </c>
    </row>
    <row r="752" spans="1:35" ht="36" x14ac:dyDescent="0.3">
      <c r="A752" s="10" t="s">
        <v>2425</v>
      </c>
      <c r="B752" s="10"/>
      <c r="C752" s="30" t="s">
        <v>1498</v>
      </c>
      <c r="D752" s="15"/>
      <c r="E752" s="15"/>
      <c r="F752" s="25" t="s">
        <v>278</v>
      </c>
      <c r="G752" s="26">
        <v>4.5</v>
      </c>
      <c r="H752" s="26"/>
      <c r="I752" s="26">
        <v>1259.73</v>
      </c>
      <c r="J752" s="27">
        <v>12.26</v>
      </c>
      <c r="M752" s="28">
        <f>ROUND(ROUND(J752, 2)*I752, 2)</f>
        <v>15444.29</v>
      </c>
      <c r="P752" s="29">
        <v>12.26</v>
      </c>
      <c r="S752" s="28">
        <f>ROUND(ROUND(P752, 2)*I752, 2)</f>
        <v>15444.29</v>
      </c>
      <c r="V752" s="9">
        <f>ROUND(ROUND(P752, 2)/1.2, 2)</f>
        <v>10.220000000000001</v>
      </c>
      <c r="Y752" s="9">
        <f t="shared" si="24"/>
        <v>12870.24</v>
      </c>
      <c r="AD752" s="4" t="s">
        <v>2426</v>
      </c>
      <c r="AE752" s="4" t="s">
        <v>2427</v>
      </c>
      <c r="AF752" s="4" t="s">
        <v>1501</v>
      </c>
    </row>
    <row r="753" spans="1:35" ht="36" x14ac:dyDescent="0.3">
      <c r="A753" s="10" t="s">
        <v>2428</v>
      </c>
      <c r="B753" s="10"/>
      <c r="C753" s="24" t="s">
        <v>1007</v>
      </c>
      <c r="D753" s="15"/>
      <c r="E753" s="15"/>
      <c r="F753" s="25" t="s">
        <v>278</v>
      </c>
      <c r="G753" s="26">
        <v>0.15</v>
      </c>
      <c r="H753" s="26"/>
      <c r="I753" s="26">
        <v>41.991</v>
      </c>
      <c r="J753" s="27">
        <v>90.28</v>
      </c>
      <c r="M753" s="28">
        <f>ROUND(ROUND(J753, 2)*I753, 2)</f>
        <v>3790.95</v>
      </c>
      <c r="P753" s="29">
        <v>90.28</v>
      </c>
      <c r="S753" s="28">
        <f>ROUND(ROUND(P753, 2)*I753, 2)</f>
        <v>3790.95</v>
      </c>
      <c r="V753" s="9">
        <f>ROUND(ROUND(P753, 2)/1.2, 2)</f>
        <v>75.23</v>
      </c>
      <c r="Y753" s="9">
        <f t="shared" si="24"/>
        <v>3159.13</v>
      </c>
      <c r="AD753" s="4" t="s">
        <v>2429</v>
      </c>
      <c r="AE753" s="4" t="s">
        <v>2430</v>
      </c>
      <c r="AF753" s="4" t="s">
        <v>1010</v>
      </c>
    </row>
    <row r="754" spans="1:35" ht="90" x14ac:dyDescent="0.3">
      <c r="A754" s="10" t="s">
        <v>2431</v>
      </c>
      <c r="B754" s="10" t="s">
        <v>2417</v>
      </c>
      <c r="C754" s="14" t="s">
        <v>2418</v>
      </c>
      <c r="D754" s="15"/>
      <c r="E754" s="15" t="s">
        <v>2432</v>
      </c>
      <c r="F754" s="15" t="s">
        <v>62</v>
      </c>
      <c r="G754" s="16">
        <v>1</v>
      </c>
      <c r="H754" s="16"/>
      <c r="I754" s="16">
        <v>305.22000000000003</v>
      </c>
      <c r="J754" s="17">
        <f>IFERROR(ROUND(SUM(M755,M756)/I754, 2),0)</f>
        <v>68.709999999999994</v>
      </c>
      <c r="K754" s="18">
        <v>1001</v>
      </c>
      <c r="L754" s="17">
        <f>J754+ROUND(K754, 2)</f>
        <v>1069.71</v>
      </c>
      <c r="M754" s="17">
        <f>ROUND(J754*I754, 2)</f>
        <v>20971.67</v>
      </c>
      <c r="N754" s="17">
        <f>ROUND(I754*ROUND(K754, 2), 2)</f>
        <v>305525.21999999997</v>
      </c>
      <c r="O754" s="17">
        <f>M754+N754</f>
        <v>326496.88999999996</v>
      </c>
      <c r="P754" s="17">
        <f>IFERROR(ROUND(SUM(S755,S756)/I754, 2),0)</f>
        <v>111.73</v>
      </c>
      <c r="Q754" s="19">
        <v>1501.5</v>
      </c>
      <c r="R754" s="17">
        <f>P754+ROUND(Q754, 2)</f>
        <v>1613.23</v>
      </c>
      <c r="S754" s="17">
        <f>ROUND(P754*I754, 2)</f>
        <v>34102.230000000003</v>
      </c>
      <c r="T754" s="17">
        <f>ROUND(I754*ROUND(Q754, 2), 2)</f>
        <v>458287.83</v>
      </c>
      <c r="U754" s="17">
        <f>S754+T754</f>
        <v>492390.06</v>
      </c>
      <c r="V754" s="9">
        <f>ROUND(P754 / 1.2, 2)</f>
        <v>93.11</v>
      </c>
      <c r="W754" s="9">
        <f>ROUND(Q754 / 1.2, 2)</f>
        <v>1251.25</v>
      </c>
      <c r="X754" s="9">
        <f>ROUND(R754 / 1.2, 2)</f>
        <v>1344.36</v>
      </c>
      <c r="Y754" s="9">
        <f t="shared" si="24"/>
        <v>28418.53</v>
      </c>
      <c r="Z754" s="9">
        <f>ROUND(T754 / 1.2, 2)</f>
        <v>381906.53</v>
      </c>
      <c r="AA754" s="9">
        <f>Y754+Z754</f>
        <v>410325.06000000006</v>
      </c>
      <c r="AD754" s="4">
        <v>334080746</v>
      </c>
      <c r="AE754" s="4">
        <v>29242660</v>
      </c>
      <c r="AG754" s="4" t="s">
        <v>2420</v>
      </c>
      <c r="AH754" s="4" t="s">
        <v>2421</v>
      </c>
      <c r="AI754" s="4" t="s">
        <v>250</v>
      </c>
    </row>
    <row r="755" spans="1:35" ht="36" x14ac:dyDescent="0.3">
      <c r="A755" s="10" t="s">
        <v>2433</v>
      </c>
      <c r="B755" s="10"/>
      <c r="C755" s="24" t="s">
        <v>1007</v>
      </c>
      <c r="D755" s="15"/>
      <c r="E755" s="15"/>
      <c r="F755" s="25" t="s">
        <v>278</v>
      </c>
      <c r="G755" s="26">
        <v>0.15</v>
      </c>
      <c r="H755" s="26"/>
      <c r="I755" s="26">
        <v>45.783000000000001</v>
      </c>
      <c r="J755" s="27">
        <v>90.28</v>
      </c>
      <c r="M755" s="28">
        <f>ROUND(ROUND(J755, 2)*I755, 2)</f>
        <v>4133.29</v>
      </c>
      <c r="P755" s="29">
        <v>90.28</v>
      </c>
      <c r="S755" s="28">
        <f>ROUND(ROUND(P755, 2)*I755, 2)</f>
        <v>4133.29</v>
      </c>
      <c r="V755" s="9">
        <f>ROUND(ROUND(P755, 2)/1.2, 2)</f>
        <v>75.23</v>
      </c>
      <c r="Y755" s="9">
        <f t="shared" si="24"/>
        <v>3444.41</v>
      </c>
      <c r="AD755" s="4" t="s">
        <v>2434</v>
      </c>
      <c r="AE755" s="4" t="s">
        <v>2435</v>
      </c>
      <c r="AF755" s="4" t="s">
        <v>1010</v>
      </c>
    </row>
    <row r="756" spans="1:35" ht="36" x14ac:dyDescent="0.3">
      <c r="A756" s="10" t="s">
        <v>2436</v>
      </c>
      <c r="B756" s="10"/>
      <c r="C756" s="30" t="s">
        <v>1498</v>
      </c>
      <c r="D756" s="15"/>
      <c r="E756" s="15" t="s">
        <v>1579</v>
      </c>
      <c r="F756" s="25" t="s">
        <v>278</v>
      </c>
      <c r="G756" s="26">
        <v>4.5</v>
      </c>
      <c r="H756" s="26"/>
      <c r="I756" s="26">
        <v>1373.49</v>
      </c>
      <c r="J756" s="27">
        <v>12.26</v>
      </c>
      <c r="M756" s="28">
        <f>ROUND(ROUND(J756, 2)*I756, 2)</f>
        <v>16838.990000000002</v>
      </c>
      <c r="P756" s="29">
        <v>21.82</v>
      </c>
      <c r="S756" s="28">
        <f>ROUND(ROUND(P756, 2)*I756, 2)</f>
        <v>29969.55</v>
      </c>
      <c r="V756" s="9">
        <f>ROUND(ROUND(P756, 2)/1.2, 2)</f>
        <v>18.18</v>
      </c>
      <c r="Y756" s="9">
        <f t="shared" si="24"/>
        <v>24974.63</v>
      </c>
      <c r="AD756" s="4" t="s">
        <v>2437</v>
      </c>
      <c r="AE756" s="4" t="s">
        <v>2438</v>
      </c>
      <c r="AF756" s="4" t="s">
        <v>1501</v>
      </c>
    </row>
    <row r="757" spans="1:35" ht="180" x14ac:dyDescent="0.3">
      <c r="A757" s="10" t="s">
        <v>2439</v>
      </c>
      <c r="B757" s="10" t="s">
        <v>2417</v>
      </c>
      <c r="C757" s="14" t="s">
        <v>2418</v>
      </c>
      <c r="D757" s="15"/>
      <c r="E757" s="15" t="s">
        <v>2440</v>
      </c>
      <c r="F757" s="15" t="s">
        <v>62</v>
      </c>
      <c r="G757" s="16">
        <v>1</v>
      </c>
      <c r="H757" s="16"/>
      <c r="I757" s="16">
        <v>895.56100000000004</v>
      </c>
      <c r="J757" s="17">
        <f>IFERROR(ROUND(SUM(M758)/I757, 2),0)</f>
        <v>49.05</v>
      </c>
      <c r="K757" s="18">
        <v>1001</v>
      </c>
      <c r="L757" s="17">
        <f>J757+ROUND(K757, 2)</f>
        <v>1050.05</v>
      </c>
      <c r="M757" s="17">
        <f>ROUND(J757*I757, 2)</f>
        <v>43927.27</v>
      </c>
      <c r="N757" s="17">
        <f>ROUND(I757*ROUND(K757, 2), 2)</f>
        <v>896456.56</v>
      </c>
      <c r="O757" s="17">
        <f>M757+N757</f>
        <v>940383.83000000007</v>
      </c>
      <c r="P757" s="17">
        <f>IFERROR(ROUND(SUM(S758)/I757, 2),0)</f>
        <v>82.37</v>
      </c>
      <c r="Q757" s="19">
        <v>0</v>
      </c>
      <c r="R757" s="17">
        <f>P757+ROUND(Q757, 2)</f>
        <v>82.37</v>
      </c>
      <c r="S757" s="17">
        <f>ROUND(P757*I757, 2)</f>
        <v>73767.360000000001</v>
      </c>
      <c r="T757" s="17">
        <f>ROUND(I757*ROUND(Q757, 2), 2)</f>
        <v>0</v>
      </c>
      <c r="U757" s="17">
        <f>S757+T757</f>
        <v>73767.360000000001</v>
      </c>
      <c r="V757" s="9">
        <f>ROUND(P757 / 1.2, 2)</f>
        <v>68.64</v>
      </c>
      <c r="W757" s="9">
        <f>ROUND(Q757 / 1.2, 2)</f>
        <v>0</v>
      </c>
      <c r="X757" s="9">
        <f>ROUND(R757 / 1.2, 2)</f>
        <v>68.64</v>
      </c>
      <c r="Y757" s="9">
        <f t="shared" si="24"/>
        <v>61472.800000000003</v>
      </c>
      <c r="Z757" s="9">
        <f>ROUND(T757 / 1.2, 2)</f>
        <v>0</v>
      </c>
      <c r="AA757" s="9">
        <f>Y757+Z757</f>
        <v>61472.800000000003</v>
      </c>
      <c r="AD757" s="4">
        <v>334080747</v>
      </c>
      <c r="AE757" s="4">
        <v>29295730</v>
      </c>
      <c r="AG757" s="4" t="s">
        <v>2420</v>
      </c>
      <c r="AH757" s="4" t="s">
        <v>2421</v>
      </c>
      <c r="AI757" s="4" t="s">
        <v>250</v>
      </c>
    </row>
    <row r="758" spans="1:35" ht="36" x14ac:dyDescent="0.3">
      <c r="A758" s="10" t="s">
        <v>2441</v>
      </c>
      <c r="B758" s="10"/>
      <c r="C758" s="24" t="s">
        <v>2442</v>
      </c>
      <c r="D758" s="15"/>
      <c r="E758" s="15"/>
      <c r="F758" s="25" t="s">
        <v>597</v>
      </c>
      <c r="G758" s="26">
        <v>0.3</v>
      </c>
      <c r="H758" s="31"/>
      <c r="I758" s="31">
        <v>591.07000000000005</v>
      </c>
      <c r="J758" s="27">
        <v>74.319999999999993</v>
      </c>
      <c r="M758" s="28">
        <f>ROUND(ROUND(J758, 2)*I758, 2)</f>
        <v>43928.32</v>
      </c>
      <c r="P758" s="29">
        <v>124.8</v>
      </c>
      <c r="S758" s="28">
        <f>ROUND(ROUND(P758, 2)*I758, 2)</f>
        <v>73765.539999999994</v>
      </c>
      <c r="V758" s="9">
        <f>ROUND(ROUND(P758, 2)/1.2, 2)</f>
        <v>104</v>
      </c>
      <c r="Y758" s="9">
        <f t="shared" si="24"/>
        <v>61471.28</v>
      </c>
      <c r="AD758" s="4" t="s">
        <v>2443</v>
      </c>
      <c r="AE758" s="4" t="s">
        <v>2444</v>
      </c>
      <c r="AF758" s="4" t="s">
        <v>2445</v>
      </c>
    </row>
    <row r="759" spans="1:35" ht="216" x14ac:dyDescent="0.3">
      <c r="A759" s="10" t="s">
        <v>2446</v>
      </c>
      <c r="B759" s="10" t="s">
        <v>2417</v>
      </c>
      <c r="C759" s="14" t="s">
        <v>2418</v>
      </c>
      <c r="D759" s="15"/>
      <c r="E759" s="15" t="s">
        <v>2447</v>
      </c>
      <c r="F759" s="15" t="s">
        <v>62</v>
      </c>
      <c r="G759" s="16">
        <v>1</v>
      </c>
      <c r="H759" s="16"/>
      <c r="I759" s="16">
        <v>789.13300000000004</v>
      </c>
      <c r="J759" s="17">
        <f>IFERROR(ROUND(SUM(M760)/I759, 2),0)</f>
        <v>122.63</v>
      </c>
      <c r="K759" s="18">
        <v>1001</v>
      </c>
      <c r="L759" s="17">
        <f>J759+ROUND(K759, 2)</f>
        <v>1123.6300000000001</v>
      </c>
      <c r="M759" s="17">
        <f>ROUND(J759*I759, 2)</f>
        <v>96771.38</v>
      </c>
      <c r="N759" s="17">
        <f>ROUND(I759*ROUND(K759, 2), 2)</f>
        <v>789922.13</v>
      </c>
      <c r="O759" s="17">
        <f>M759+N759</f>
        <v>886693.51</v>
      </c>
      <c r="P759" s="17">
        <f>IFERROR(ROUND(SUM(S760)/I759, 2),0)</f>
        <v>326.7</v>
      </c>
      <c r="Q759" s="19">
        <v>0</v>
      </c>
      <c r="R759" s="17">
        <f>P759+ROUND(Q759, 2)</f>
        <v>326.7</v>
      </c>
      <c r="S759" s="17">
        <f>ROUND(P759*I759, 2)</f>
        <v>257809.75</v>
      </c>
      <c r="T759" s="17">
        <f>ROUND(I759*ROUND(Q759, 2), 2)</f>
        <v>0</v>
      </c>
      <c r="U759" s="17">
        <f>S759+T759</f>
        <v>257809.75</v>
      </c>
      <c r="V759" s="9">
        <f>ROUND(P759 / 1.2, 2)</f>
        <v>272.25</v>
      </c>
      <c r="W759" s="9">
        <f>ROUND(Q759 / 1.2, 2)</f>
        <v>0</v>
      </c>
      <c r="X759" s="9">
        <f>ROUND(R759 / 1.2, 2)</f>
        <v>272.25</v>
      </c>
      <c r="Y759" s="9">
        <f t="shared" si="24"/>
        <v>214841.46</v>
      </c>
      <c r="Z759" s="9">
        <f>ROUND(T759 / 1.2, 2)</f>
        <v>0</v>
      </c>
      <c r="AA759" s="9">
        <f>Y759+Z759</f>
        <v>214841.46</v>
      </c>
      <c r="AD759" s="4">
        <v>334080748</v>
      </c>
      <c r="AE759" s="4">
        <v>29295731</v>
      </c>
      <c r="AG759" s="4" t="s">
        <v>2420</v>
      </c>
      <c r="AH759" s="4" t="s">
        <v>2421</v>
      </c>
      <c r="AI759" s="4" t="s">
        <v>250</v>
      </c>
    </row>
    <row r="760" spans="1:35" ht="36" x14ac:dyDescent="0.3">
      <c r="A760" s="10" t="s">
        <v>2448</v>
      </c>
      <c r="B760" s="10"/>
      <c r="C760" s="24" t="s">
        <v>2442</v>
      </c>
      <c r="D760" s="15"/>
      <c r="E760" s="15"/>
      <c r="F760" s="25" t="s">
        <v>597</v>
      </c>
      <c r="G760" s="26">
        <v>0.3</v>
      </c>
      <c r="H760" s="31"/>
      <c r="I760" s="31">
        <v>1302.069</v>
      </c>
      <c r="J760" s="27">
        <v>74.319999999999993</v>
      </c>
      <c r="M760" s="28">
        <f>ROUND(ROUND(J760, 2)*I760, 2)</f>
        <v>96769.77</v>
      </c>
      <c r="P760" s="29">
        <v>198</v>
      </c>
      <c r="S760" s="28">
        <f>ROUND(ROUND(P760, 2)*I760, 2)</f>
        <v>257809.66</v>
      </c>
      <c r="V760" s="9">
        <f>ROUND(ROUND(P760, 2)/1.2, 2)</f>
        <v>165</v>
      </c>
      <c r="Y760" s="9">
        <f t="shared" si="24"/>
        <v>214841.38</v>
      </c>
      <c r="AD760" s="4" t="s">
        <v>2449</v>
      </c>
      <c r="AE760" s="4" t="s">
        <v>2450</v>
      </c>
      <c r="AF760" s="4" t="s">
        <v>2445</v>
      </c>
    </row>
    <row r="761" spans="1:35" ht="36" x14ac:dyDescent="0.3">
      <c r="A761" s="10" t="s">
        <v>2451</v>
      </c>
      <c r="B761" s="10" t="s">
        <v>2452</v>
      </c>
      <c r="C761" s="14" t="s">
        <v>2453</v>
      </c>
      <c r="D761" s="15"/>
      <c r="E761" s="15"/>
      <c r="F761" s="15" t="s">
        <v>62</v>
      </c>
      <c r="G761" s="16">
        <v>1</v>
      </c>
      <c r="H761" s="16"/>
      <c r="I761" s="16">
        <v>0</v>
      </c>
      <c r="J761" s="17">
        <v>0</v>
      </c>
      <c r="K761" s="18">
        <v>1477</v>
      </c>
      <c r="L761" s="17">
        <f>J761+ROUND(K761, 2)</f>
        <v>1477</v>
      </c>
      <c r="M761" s="17">
        <v>0</v>
      </c>
      <c r="N761" s="17">
        <v>0</v>
      </c>
      <c r="O761" s="17">
        <f>M761+N761</f>
        <v>0</v>
      </c>
      <c r="P761" s="17">
        <v>2032.78</v>
      </c>
      <c r="Q761" s="18">
        <v>1477</v>
      </c>
      <c r="R761" s="17">
        <f>P761+ROUND(Q761, 2)</f>
        <v>3509.7799999999997</v>
      </c>
      <c r="S761" s="17">
        <v>0</v>
      </c>
      <c r="T761" s="17">
        <v>0</v>
      </c>
      <c r="U761" s="17">
        <f>S761+T761</f>
        <v>0</v>
      </c>
      <c r="V761" s="9">
        <f>ROUND(P761 / 1.2, 2)</f>
        <v>1693.98</v>
      </c>
      <c r="W761" s="9">
        <f>ROUND(Q761 / 1.2, 2)</f>
        <v>1230.83</v>
      </c>
      <c r="X761" s="9">
        <f>ROUND(R761 / 1.2, 2)</f>
        <v>2924.82</v>
      </c>
      <c r="Y761" s="9">
        <f t="shared" si="24"/>
        <v>0</v>
      </c>
      <c r="Z761" s="9">
        <f>ROUND(T761 / 1.2, 2)</f>
        <v>0</v>
      </c>
      <c r="AA761" s="9">
        <f>Y761+Z761</f>
        <v>0</v>
      </c>
      <c r="AD761" s="4">
        <v>334080551</v>
      </c>
      <c r="AE761" s="4">
        <v>27245600</v>
      </c>
      <c r="AG761" s="4" t="s">
        <v>2454</v>
      </c>
      <c r="AH761" s="4" t="s">
        <v>2455</v>
      </c>
      <c r="AI761" s="4" t="s">
        <v>250</v>
      </c>
    </row>
    <row r="762" spans="1:35" ht="18" x14ac:dyDescent="0.3">
      <c r="A762" s="10" t="s">
        <v>2456</v>
      </c>
      <c r="B762" s="10"/>
      <c r="C762" s="24" t="s">
        <v>2457</v>
      </c>
      <c r="D762" s="15"/>
      <c r="E762" s="15"/>
      <c r="F762" s="25" t="s">
        <v>597</v>
      </c>
      <c r="G762" s="26">
        <v>1</v>
      </c>
      <c r="H762" s="31"/>
      <c r="I762" s="31">
        <v>0</v>
      </c>
      <c r="J762" s="27">
        <v>80</v>
      </c>
      <c r="M762" s="28">
        <f>ROUND(ROUND(J762, 2)*I762, 2)</f>
        <v>0</v>
      </c>
      <c r="P762" s="27">
        <v>80</v>
      </c>
      <c r="S762" s="28">
        <f>ROUND(ROUND(P762, 2)*I762, 2)</f>
        <v>0</v>
      </c>
      <c r="V762" s="9">
        <f>ROUND(ROUND(P762, 2)/1.2, 2)</f>
        <v>66.67</v>
      </c>
      <c r="Y762" s="9">
        <f t="shared" si="24"/>
        <v>0</v>
      </c>
      <c r="AD762" s="4" t="s">
        <v>2458</v>
      </c>
      <c r="AE762" s="4" t="s">
        <v>2459</v>
      </c>
      <c r="AF762" s="4" t="s">
        <v>2460</v>
      </c>
    </row>
    <row r="763" spans="1:35" ht="18" x14ac:dyDescent="0.3">
      <c r="A763" s="10" t="s">
        <v>2461</v>
      </c>
      <c r="B763" s="10"/>
      <c r="C763" s="24" t="s">
        <v>2462</v>
      </c>
      <c r="D763" s="15"/>
      <c r="E763" s="15"/>
      <c r="F763" s="25" t="s">
        <v>102</v>
      </c>
      <c r="G763" s="26">
        <v>1</v>
      </c>
      <c r="H763" s="31"/>
      <c r="I763" s="31">
        <v>0</v>
      </c>
      <c r="J763" s="27">
        <v>44.71</v>
      </c>
      <c r="M763" s="28">
        <f>ROUND(ROUND(J763, 2)*I763, 2)</f>
        <v>0</v>
      </c>
      <c r="P763" s="27">
        <v>44.71</v>
      </c>
      <c r="S763" s="28">
        <f>ROUND(ROUND(P763, 2)*I763, 2)</f>
        <v>0</v>
      </c>
      <c r="V763" s="9">
        <f>ROUND(ROUND(P763, 2)/1.2, 2)</f>
        <v>37.26</v>
      </c>
      <c r="Y763" s="9">
        <f t="shared" si="24"/>
        <v>0</v>
      </c>
      <c r="AD763" s="4" t="s">
        <v>2463</v>
      </c>
      <c r="AE763" s="4" t="s">
        <v>2464</v>
      </c>
      <c r="AF763" s="4" t="s">
        <v>2465</v>
      </c>
    </row>
    <row r="764" spans="1:35" ht="18" x14ac:dyDescent="0.3">
      <c r="A764" s="10" t="s">
        <v>2466</v>
      </c>
      <c r="B764" s="10"/>
      <c r="C764" s="24" t="s">
        <v>175</v>
      </c>
      <c r="D764" s="15"/>
      <c r="E764" s="15"/>
      <c r="F764" s="25" t="s">
        <v>102</v>
      </c>
      <c r="G764" s="26">
        <v>1</v>
      </c>
      <c r="H764" s="31"/>
      <c r="I764" s="31">
        <v>0</v>
      </c>
      <c r="J764" s="27">
        <v>35.76</v>
      </c>
      <c r="M764" s="28">
        <f>ROUND(ROUND(J764, 2)*I764, 2)</f>
        <v>0</v>
      </c>
      <c r="P764" s="27">
        <v>35.76</v>
      </c>
      <c r="S764" s="28">
        <f>ROUND(ROUND(P764, 2)*I764, 2)</f>
        <v>0</v>
      </c>
      <c r="V764" s="9">
        <f>ROUND(ROUND(P764, 2)/1.2, 2)</f>
        <v>29.8</v>
      </c>
      <c r="Y764" s="9">
        <f t="shared" si="24"/>
        <v>0</v>
      </c>
      <c r="AD764" s="4" t="s">
        <v>2467</v>
      </c>
      <c r="AE764" s="4" t="s">
        <v>2468</v>
      </c>
      <c r="AF764" s="4" t="s">
        <v>178</v>
      </c>
    </row>
    <row r="765" spans="1:35" ht="18" x14ac:dyDescent="0.3">
      <c r="A765" s="10" t="s">
        <v>2469</v>
      </c>
      <c r="B765" s="10"/>
      <c r="C765" s="24" t="s">
        <v>2470</v>
      </c>
      <c r="D765" s="15"/>
      <c r="E765" s="15"/>
      <c r="F765" s="25" t="s">
        <v>62</v>
      </c>
      <c r="G765" s="26">
        <v>1.1000000000000001</v>
      </c>
      <c r="H765" s="31"/>
      <c r="I765" s="31">
        <v>0</v>
      </c>
      <c r="J765" s="27">
        <v>0</v>
      </c>
      <c r="M765" s="28">
        <f>ROUND(ROUND(J765, 2)*I765, 2)</f>
        <v>0</v>
      </c>
      <c r="P765" s="27">
        <v>1520.33</v>
      </c>
      <c r="S765" s="28">
        <f>ROUND(ROUND(P765, 2)*I765, 2)</f>
        <v>0</v>
      </c>
      <c r="V765" s="9">
        <f>ROUND(ROUND(P765, 2)/1.2, 2)</f>
        <v>1266.94</v>
      </c>
      <c r="Y765" s="9">
        <f t="shared" si="24"/>
        <v>0</v>
      </c>
      <c r="AD765" s="4" t="s">
        <v>2471</v>
      </c>
      <c r="AE765" s="4" t="s">
        <v>2472</v>
      </c>
      <c r="AF765" s="4" t="s">
        <v>2473</v>
      </c>
    </row>
    <row r="766" spans="1:35" ht="36" x14ac:dyDescent="0.3">
      <c r="A766" s="10" t="s">
        <v>2474</v>
      </c>
      <c r="B766" s="10" t="s">
        <v>2452</v>
      </c>
      <c r="C766" s="14" t="s">
        <v>2453</v>
      </c>
      <c r="D766" s="15"/>
      <c r="E766" s="15"/>
      <c r="F766" s="15" t="s">
        <v>62</v>
      </c>
      <c r="G766" s="16">
        <v>1</v>
      </c>
      <c r="H766" s="16"/>
      <c r="I766" s="16">
        <v>0</v>
      </c>
      <c r="J766" s="17">
        <v>0</v>
      </c>
      <c r="K766" s="18">
        <v>1477</v>
      </c>
      <c r="L766" s="17">
        <f>J766+ROUND(K766, 2)</f>
        <v>1477</v>
      </c>
      <c r="M766" s="17">
        <v>0</v>
      </c>
      <c r="N766" s="17">
        <v>0</v>
      </c>
      <c r="O766" s="17">
        <f>M766+N766</f>
        <v>0</v>
      </c>
      <c r="P766" s="17">
        <v>475.79</v>
      </c>
      <c r="Q766" s="18">
        <v>1477</v>
      </c>
      <c r="R766" s="17">
        <f>P766+ROUND(Q766, 2)</f>
        <v>1952.79</v>
      </c>
      <c r="S766" s="17">
        <v>0</v>
      </c>
      <c r="T766" s="17">
        <v>0</v>
      </c>
      <c r="U766" s="17">
        <f>S766+T766</f>
        <v>0</v>
      </c>
      <c r="V766" s="9">
        <f>ROUND(P766 / 1.2, 2)</f>
        <v>396.49</v>
      </c>
      <c r="W766" s="9">
        <f>ROUND(Q766 / 1.2, 2)</f>
        <v>1230.83</v>
      </c>
      <c r="X766" s="9">
        <f>ROUND(R766 / 1.2, 2)</f>
        <v>1627.33</v>
      </c>
      <c r="Y766" s="9">
        <f t="shared" si="24"/>
        <v>0</v>
      </c>
      <c r="Z766" s="9">
        <f>ROUND(T766 / 1.2, 2)</f>
        <v>0</v>
      </c>
      <c r="AA766" s="9">
        <f>Y766+Z766</f>
        <v>0</v>
      </c>
      <c r="AD766" s="4">
        <v>334080749</v>
      </c>
      <c r="AE766" s="4">
        <v>27245601</v>
      </c>
      <c r="AG766" s="4" t="s">
        <v>2454</v>
      </c>
      <c r="AH766" s="4" t="s">
        <v>2455</v>
      </c>
      <c r="AI766" s="4" t="s">
        <v>250</v>
      </c>
    </row>
    <row r="767" spans="1:35" ht="18" x14ac:dyDescent="0.3">
      <c r="A767" s="10" t="s">
        <v>2475</v>
      </c>
      <c r="B767" s="10"/>
      <c r="C767" s="30" t="s">
        <v>188</v>
      </c>
      <c r="D767" s="15"/>
      <c r="E767" s="15"/>
      <c r="F767" s="25" t="s">
        <v>62</v>
      </c>
      <c r="G767" s="26">
        <v>1.1000000000000001</v>
      </c>
      <c r="H767" s="31"/>
      <c r="I767" s="31">
        <v>0</v>
      </c>
      <c r="J767" s="27">
        <v>309.39999999999998</v>
      </c>
      <c r="M767" s="28">
        <f>ROUND(ROUND(J767, 2)*I767, 2)</f>
        <v>0</v>
      </c>
      <c r="P767" s="27">
        <v>104.57</v>
      </c>
      <c r="S767" s="28">
        <f>ROUND(ROUND(P767, 2)*I767, 2)</f>
        <v>0</v>
      </c>
      <c r="V767" s="9">
        <f>ROUND(ROUND(P767, 2)/1.2, 2)</f>
        <v>87.14</v>
      </c>
      <c r="Y767" s="9">
        <f t="shared" si="24"/>
        <v>0</v>
      </c>
      <c r="AD767" s="4" t="s">
        <v>2476</v>
      </c>
      <c r="AE767" s="4" t="s">
        <v>2477</v>
      </c>
      <c r="AF767" s="4" t="s">
        <v>191</v>
      </c>
    </row>
    <row r="768" spans="1:35" ht="18" x14ac:dyDescent="0.3">
      <c r="A768" s="10" t="s">
        <v>2478</v>
      </c>
      <c r="B768" s="10"/>
      <c r="C768" s="24" t="s">
        <v>2462</v>
      </c>
      <c r="D768" s="15"/>
      <c r="E768" s="15"/>
      <c r="F768" s="25" t="s">
        <v>102</v>
      </c>
      <c r="G768" s="26">
        <v>1</v>
      </c>
      <c r="H768" s="31"/>
      <c r="I768" s="31">
        <v>0</v>
      </c>
      <c r="J768" s="27">
        <v>44.71</v>
      </c>
      <c r="M768" s="28">
        <f>ROUND(ROUND(J768, 2)*I768, 2)</f>
        <v>0</v>
      </c>
      <c r="P768" s="27">
        <v>44.71</v>
      </c>
      <c r="S768" s="28">
        <f>ROUND(ROUND(P768, 2)*I768, 2)</f>
        <v>0</v>
      </c>
      <c r="V768" s="9">
        <f>ROUND(ROUND(P768, 2)/1.2, 2)</f>
        <v>37.26</v>
      </c>
      <c r="Y768" s="9">
        <f t="shared" si="24"/>
        <v>0</v>
      </c>
      <c r="AD768" s="4" t="s">
        <v>2479</v>
      </c>
      <c r="AE768" s="4" t="s">
        <v>2480</v>
      </c>
      <c r="AF768" s="4" t="s">
        <v>2465</v>
      </c>
    </row>
    <row r="769" spans="1:35" ht="18" x14ac:dyDescent="0.3">
      <c r="A769" s="10" t="s">
        <v>2481</v>
      </c>
      <c r="B769" s="10"/>
      <c r="C769" s="24" t="s">
        <v>175</v>
      </c>
      <c r="D769" s="15"/>
      <c r="E769" s="15"/>
      <c r="F769" s="25" t="s">
        <v>102</v>
      </c>
      <c r="G769" s="26">
        <v>1</v>
      </c>
      <c r="H769" s="31"/>
      <c r="I769" s="31">
        <v>0</v>
      </c>
      <c r="J769" s="27">
        <v>35.76</v>
      </c>
      <c r="M769" s="28">
        <f>ROUND(ROUND(J769, 2)*I769, 2)</f>
        <v>0</v>
      </c>
      <c r="P769" s="27">
        <v>35.76</v>
      </c>
      <c r="S769" s="28">
        <f>ROUND(ROUND(P769, 2)*I769, 2)</f>
        <v>0</v>
      </c>
      <c r="V769" s="9">
        <f>ROUND(ROUND(P769, 2)/1.2, 2)</f>
        <v>29.8</v>
      </c>
      <c r="Y769" s="9">
        <f t="shared" si="24"/>
        <v>0</v>
      </c>
      <c r="AD769" s="4" t="s">
        <v>2482</v>
      </c>
      <c r="AE769" s="4" t="s">
        <v>2483</v>
      </c>
      <c r="AF769" s="4" t="s">
        <v>178</v>
      </c>
    </row>
    <row r="770" spans="1:35" ht="18" x14ac:dyDescent="0.3">
      <c r="A770" s="10" t="s">
        <v>2484</v>
      </c>
      <c r="B770" s="10"/>
      <c r="C770" s="24" t="s">
        <v>2457</v>
      </c>
      <c r="D770" s="15"/>
      <c r="E770" s="15"/>
      <c r="F770" s="25" t="s">
        <v>597</v>
      </c>
      <c r="G770" s="26">
        <v>1</v>
      </c>
      <c r="H770" s="31"/>
      <c r="I770" s="31">
        <v>0</v>
      </c>
      <c r="J770" s="27">
        <v>80</v>
      </c>
      <c r="M770" s="28">
        <f>ROUND(ROUND(J770, 2)*I770, 2)</f>
        <v>0</v>
      </c>
      <c r="P770" s="27">
        <v>80</v>
      </c>
      <c r="S770" s="28">
        <f>ROUND(ROUND(P770, 2)*I770, 2)</f>
        <v>0</v>
      </c>
      <c r="V770" s="9">
        <f>ROUND(ROUND(P770, 2)/1.2, 2)</f>
        <v>66.67</v>
      </c>
      <c r="Y770" s="9">
        <f t="shared" si="24"/>
        <v>0</v>
      </c>
      <c r="AD770" s="4" t="s">
        <v>2485</v>
      </c>
      <c r="AE770" s="4" t="s">
        <v>2486</v>
      </c>
      <c r="AF770" s="4" t="s">
        <v>2460</v>
      </c>
    </row>
    <row r="771" spans="1:35" ht="90" x14ac:dyDescent="0.3">
      <c r="A771" s="10" t="s">
        <v>2487</v>
      </c>
      <c r="B771" s="10" t="s">
        <v>2452</v>
      </c>
      <c r="C771" s="14" t="s">
        <v>2453</v>
      </c>
      <c r="D771" s="15"/>
      <c r="E771" s="15" t="s">
        <v>2488</v>
      </c>
      <c r="F771" s="15" t="s">
        <v>62</v>
      </c>
      <c r="G771" s="16">
        <v>1</v>
      </c>
      <c r="H771" s="16"/>
      <c r="I771" s="16">
        <v>118.4</v>
      </c>
      <c r="J771" s="17">
        <v>360.42</v>
      </c>
      <c r="K771" s="18">
        <v>1477</v>
      </c>
      <c r="L771" s="17">
        <f>J771+ROUND(K771, 2)</f>
        <v>1837.42</v>
      </c>
      <c r="M771" s="17">
        <v>42673.73</v>
      </c>
      <c r="N771" s="17">
        <v>174876.79999999999</v>
      </c>
      <c r="O771" s="17">
        <f>M771+N771</f>
        <v>217550.53</v>
      </c>
      <c r="P771" s="17">
        <v>2032.78</v>
      </c>
      <c r="Q771" s="18">
        <v>2215.5</v>
      </c>
      <c r="R771" s="17">
        <f>P771+ROUND(Q771, 2)</f>
        <v>4248.28</v>
      </c>
      <c r="S771" s="17">
        <v>240681.15</v>
      </c>
      <c r="T771" s="17">
        <v>262315.2</v>
      </c>
      <c r="U771" s="17">
        <f>S771+T771</f>
        <v>502996.35</v>
      </c>
      <c r="V771" s="9">
        <f>ROUND(P771 / 1.2, 2)</f>
        <v>1693.98</v>
      </c>
      <c r="W771" s="9">
        <f>ROUND(Q771 / 1.2, 2)</f>
        <v>1846.25</v>
      </c>
      <c r="X771" s="9">
        <f>ROUND(R771 / 1.2, 2)</f>
        <v>3540.23</v>
      </c>
      <c r="Y771" s="9">
        <f t="shared" si="24"/>
        <v>200567.63</v>
      </c>
      <c r="Z771" s="9">
        <f>ROUND(T771 / 1.2, 2)</f>
        <v>218596</v>
      </c>
      <c r="AA771" s="9">
        <f>Y771+Z771</f>
        <v>419163.63</v>
      </c>
      <c r="AD771" s="4">
        <v>334080750</v>
      </c>
      <c r="AE771" s="4">
        <v>27245791</v>
      </c>
      <c r="AG771" s="4" t="s">
        <v>2454</v>
      </c>
      <c r="AH771" s="4" t="s">
        <v>2455</v>
      </c>
      <c r="AI771" s="4" t="s">
        <v>250</v>
      </c>
    </row>
    <row r="772" spans="1:35" ht="18" x14ac:dyDescent="0.3">
      <c r="A772" s="10" t="s">
        <v>2489</v>
      </c>
      <c r="B772" s="10"/>
      <c r="C772" s="24" t="s">
        <v>2457</v>
      </c>
      <c r="D772" s="15"/>
      <c r="E772" s="15"/>
      <c r="F772" s="25" t="s">
        <v>597</v>
      </c>
      <c r="G772" s="26">
        <v>1</v>
      </c>
      <c r="H772" s="31"/>
      <c r="I772" s="31">
        <v>123</v>
      </c>
      <c r="J772" s="27">
        <v>80</v>
      </c>
      <c r="M772" s="28">
        <f>ROUND(ROUND(J772, 2)*I772, 2)</f>
        <v>9840</v>
      </c>
      <c r="P772" s="27">
        <v>80</v>
      </c>
      <c r="S772" s="28">
        <f>ROUND(ROUND(P772, 2)*I772, 2)</f>
        <v>9840</v>
      </c>
      <c r="V772" s="9">
        <f>ROUND(ROUND(P772, 2)/1.2, 2)</f>
        <v>66.67</v>
      </c>
      <c r="Y772" s="9">
        <f t="shared" si="24"/>
        <v>8200</v>
      </c>
      <c r="AD772" s="4" t="s">
        <v>2490</v>
      </c>
      <c r="AE772" s="4" t="s">
        <v>2491</v>
      </c>
      <c r="AF772" s="4" t="s">
        <v>2460</v>
      </c>
    </row>
    <row r="773" spans="1:35" ht="18" x14ac:dyDescent="0.3">
      <c r="A773" s="10" t="s">
        <v>2492</v>
      </c>
      <c r="B773" s="10"/>
      <c r="C773" s="24" t="s">
        <v>2462</v>
      </c>
      <c r="D773" s="15"/>
      <c r="E773" s="15"/>
      <c r="F773" s="25" t="s">
        <v>102</v>
      </c>
      <c r="G773" s="26">
        <v>1</v>
      </c>
      <c r="H773" s="31"/>
      <c r="I773" s="31">
        <v>592</v>
      </c>
      <c r="J773" s="27">
        <v>44.71</v>
      </c>
      <c r="M773" s="28">
        <f>ROUND(ROUND(J773, 2)*I773, 2)</f>
        <v>26468.32</v>
      </c>
      <c r="P773" s="27">
        <v>44.71</v>
      </c>
      <c r="S773" s="28">
        <f>ROUND(ROUND(P773, 2)*I773, 2)</f>
        <v>26468.32</v>
      </c>
      <c r="V773" s="9">
        <f>ROUND(ROUND(P773, 2)/1.2, 2)</f>
        <v>37.26</v>
      </c>
      <c r="Y773" s="9">
        <f t="shared" si="24"/>
        <v>22056.93</v>
      </c>
      <c r="AD773" s="4" t="s">
        <v>2493</v>
      </c>
      <c r="AE773" s="4" t="s">
        <v>2494</v>
      </c>
      <c r="AF773" s="4" t="s">
        <v>2465</v>
      </c>
    </row>
    <row r="774" spans="1:35" ht="18" x14ac:dyDescent="0.3">
      <c r="A774" s="10" t="s">
        <v>2495</v>
      </c>
      <c r="B774" s="10"/>
      <c r="C774" s="24" t="s">
        <v>175</v>
      </c>
      <c r="D774" s="15"/>
      <c r="E774" s="15"/>
      <c r="F774" s="25" t="s">
        <v>102</v>
      </c>
      <c r="G774" s="26">
        <v>1</v>
      </c>
      <c r="H774" s="31"/>
      <c r="I774" s="31">
        <v>178</v>
      </c>
      <c r="J774" s="27">
        <v>35.76</v>
      </c>
      <c r="M774" s="28">
        <f>ROUND(ROUND(J774, 2)*I774, 2)</f>
        <v>6365.28</v>
      </c>
      <c r="P774" s="27">
        <v>35.76</v>
      </c>
      <c r="S774" s="28">
        <f>ROUND(ROUND(P774, 2)*I774, 2)</f>
        <v>6365.28</v>
      </c>
      <c r="V774" s="9">
        <f>ROUND(ROUND(P774, 2)/1.2, 2)</f>
        <v>29.8</v>
      </c>
      <c r="Y774" s="9">
        <f t="shared" si="24"/>
        <v>5304.4</v>
      </c>
      <c r="AD774" s="4" t="s">
        <v>2496</v>
      </c>
      <c r="AE774" s="4" t="s">
        <v>2497</v>
      </c>
      <c r="AF774" s="4" t="s">
        <v>178</v>
      </c>
    </row>
    <row r="775" spans="1:35" ht="18" x14ac:dyDescent="0.3">
      <c r="A775" s="10" t="s">
        <v>2498</v>
      </c>
      <c r="B775" s="10"/>
      <c r="C775" s="24" t="s">
        <v>2470</v>
      </c>
      <c r="D775" s="15"/>
      <c r="E775" s="15"/>
      <c r="F775" s="25" t="s">
        <v>62</v>
      </c>
      <c r="G775" s="26">
        <v>1.1000000000000001</v>
      </c>
      <c r="H775" s="31"/>
      <c r="I775" s="31">
        <v>130.24</v>
      </c>
      <c r="J775" s="27">
        <v>0</v>
      </c>
      <c r="M775" s="28">
        <f>ROUND(ROUND(J775, 2)*I775, 2)</f>
        <v>0</v>
      </c>
      <c r="P775" s="27">
        <v>1520.33</v>
      </c>
      <c r="S775" s="28">
        <f>ROUND(ROUND(P775, 2)*I775, 2)</f>
        <v>198007.78</v>
      </c>
      <c r="V775" s="9">
        <f>ROUND(ROUND(P775, 2)/1.2, 2)</f>
        <v>1266.94</v>
      </c>
      <c r="Y775" s="9">
        <f t="shared" si="24"/>
        <v>165006.48000000001</v>
      </c>
      <c r="AD775" s="4" t="s">
        <v>2499</v>
      </c>
      <c r="AE775" s="4" t="s">
        <v>2500</v>
      </c>
      <c r="AF775" s="4" t="s">
        <v>2473</v>
      </c>
    </row>
    <row r="776" spans="1:35" ht="162" x14ac:dyDescent="0.3">
      <c r="A776" s="10" t="s">
        <v>2501</v>
      </c>
      <c r="B776" s="10" t="s">
        <v>2452</v>
      </c>
      <c r="C776" s="14" t="s">
        <v>2453</v>
      </c>
      <c r="D776" s="15"/>
      <c r="E776" s="15" t="s">
        <v>2502</v>
      </c>
      <c r="F776" s="15" t="s">
        <v>62</v>
      </c>
      <c r="G776" s="16">
        <v>1</v>
      </c>
      <c r="H776" s="16"/>
      <c r="I776" s="16">
        <v>358.7</v>
      </c>
      <c r="J776" s="17">
        <v>701.1</v>
      </c>
      <c r="K776" s="18">
        <v>1477</v>
      </c>
      <c r="L776" s="17">
        <f>J776+ROUND(K776, 2)</f>
        <v>2178.1</v>
      </c>
      <c r="M776" s="17">
        <v>251484.57</v>
      </c>
      <c r="N776" s="17">
        <v>529799.9</v>
      </c>
      <c r="O776" s="17">
        <f>M776+N776</f>
        <v>781284.47</v>
      </c>
      <c r="P776" s="17">
        <v>475.79</v>
      </c>
      <c r="Q776" s="18">
        <v>2215.5</v>
      </c>
      <c r="R776" s="17">
        <f>P776+ROUND(Q776, 2)</f>
        <v>2691.29</v>
      </c>
      <c r="S776" s="17">
        <v>170665.87</v>
      </c>
      <c r="T776" s="17">
        <v>794699.85</v>
      </c>
      <c r="U776" s="17">
        <f>S776+T776</f>
        <v>965365.72</v>
      </c>
      <c r="V776" s="9">
        <f>ROUND(P776 / 1.2, 2)</f>
        <v>396.49</v>
      </c>
      <c r="W776" s="9">
        <f>ROUND(Q776 / 1.2, 2)</f>
        <v>1846.25</v>
      </c>
      <c r="X776" s="9">
        <f>ROUND(R776 / 1.2, 2)</f>
        <v>2242.7399999999998</v>
      </c>
      <c r="Y776" s="9">
        <f t="shared" si="24"/>
        <v>142221.56</v>
      </c>
      <c r="Z776" s="9">
        <f>ROUND(T776 / 1.2, 2)</f>
        <v>662249.88</v>
      </c>
      <c r="AA776" s="9">
        <f>Y776+Z776</f>
        <v>804471.44</v>
      </c>
      <c r="AD776" s="4">
        <v>334080751</v>
      </c>
      <c r="AE776" s="4">
        <v>27245790</v>
      </c>
      <c r="AG776" s="4" t="s">
        <v>2454</v>
      </c>
      <c r="AH776" s="4" t="s">
        <v>2455</v>
      </c>
      <c r="AI776" s="4" t="s">
        <v>250</v>
      </c>
    </row>
    <row r="777" spans="1:35" ht="18" x14ac:dyDescent="0.3">
      <c r="A777" s="10" t="s">
        <v>2503</v>
      </c>
      <c r="B777" s="10"/>
      <c r="C777" s="30" t="s">
        <v>188</v>
      </c>
      <c r="D777" s="15"/>
      <c r="E777" s="15"/>
      <c r="F777" s="25" t="s">
        <v>62</v>
      </c>
      <c r="G777" s="26">
        <v>1.1000000000000001</v>
      </c>
      <c r="H777" s="31"/>
      <c r="I777" s="31">
        <v>394.57</v>
      </c>
      <c r="J777" s="27">
        <v>309.39999999999998</v>
      </c>
      <c r="M777" s="28">
        <f>ROUND(ROUND(J777, 2)*I777, 2)</f>
        <v>122079.96</v>
      </c>
      <c r="P777" s="27">
        <v>104.57</v>
      </c>
      <c r="S777" s="28">
        <f>ROUND(ROUND(P777, 2)*I777, 2)</f>
        <v>41260.18</v>
      </c>
      <c r="V777" s="9">
        <f>ROUND(ROUND(P777, 2)/1.2, 2)</f>
        <v>87.14</v>
      </c>
      <c r="Y777" s="9">
        <f t="shared" si="24"/>
        <v>34383.480000000003</v>
      </c>
      <c r="AD777" s="4" t="s">
        <v>2504</v>
      </c>
      <c r="AE777" s="4" t="s">
        <v>2505</v>
      </c>
      <c r="AF777" s="4" t="s">
        <v>191</v>
      </c>
    </row>
    <row r="778" spans="1:35" ht="18" x14ac:dyDescent="0.3">
      <c r="A778" s="10" t="s">
        <v>2506</v>
      </c>
      <c r="B778" s="10"/>
      <c r="C778" s="24" t="s">
        <v>2462</v>
      </c>
      <c r="D778" s="15"/>
      <c r="E778" s="15"/>
      <c r="F778" s="25" t="s">
        <v>102</v>
      </c>
      <c r="G778" s="26">
        <v>1</v>
      </c>
      <c r="H778" s="31"/>
      <c r="I778" s="31">
        <v>1794</v>
      </c>
      <c r="J778" s="27">
        <v>44.71</v>
      </c>
      <c r="M778" s="28">
        <f>ROUND(ROUND(J778, 2)*I778, 2)</f>
        <v>80209.740000000005</v>
      </c>
      <c r="P778" s="27">
        <v>44.71</v>
      </c>
      <c r="S778" s="28">
        <f>ROUND(ROUND(P778, 2)*I778, 2)</f>
        <v>80209.740000000005</v>
      </c>
      <c r="V778" s="9">
        <f>ROUND(ROUND(P778, 2)/1.2, 2)</f>
        <v>37.26</v>
      </c>
      <c r="Y778" s="9">
        <f t="shared" si="24"/>
        <v>66841.45</v>
      </c>
      <c r="AD778" s="4" t="s">
        <v>2507</v>
      </c>
      <c r="AE778" s="4" t="s">
        <v>2508</v>
      </c>
      <c r="AF778" s="4" t="s">
        <v>2465</v>
      </c>
    </row>
    <row r="779" spans="1:35" ht="18" x14ac:dyDescent="0.3">
      <c r="A779" s="10" t="s">
        <v>2509</v>
      </c>
      <c r="B779" s="10"/>
      <c r="C779" s="24" t="s">
        <v>175</v>
      </c>
      <c r="D779" s="15"/>
      <c r="E779" s="15"/>
      <c r="F779" s="25" t="s">
        <v>102</v>
      </c>
      <c r="G779" s="26">
        <v>1</v>
      </c>
      <c r="H779" s="31"/>
      <c r="I779" s="31">
        <v>539</v>
      </c>
      <c r="J779" s="27">
        <v>35.76</v>
      </c>
      <c r="M779" s="28">
        <f>ROUND(ROUND(J779, 2)*I779, 2)</f>
        <v>19274.64</v>
      </c>
      <c r="P779" s="27">
        <v>35.76</v>
      </c>
      <c r="S779" s="28">
        <f>ROUND(ROUND(P779, 2)*I779, 2)</f>
        <v>19274.64</v>
      </c>
      <c r="V779" s="9">
        <f>ROUND(ROUND(P779, 2)/1.2, 2)</f>
        <v>29.8</v>
      </c>
      <c r="Y779" s="9">
        <f t="shared" si="24"/>
        <v>16062.2</v>
      </c>
      <c r="AD779" s="4" t="s">
        <v>2510</v>
      </c>
      <c r="AE779" s="4" t="s">
        <v>2511</v>
      </c>
      <c r="AF779" s="4" t="s">
        <v>178</v>
      </c>
    </row>
    <row r="780" spans="1:35" ht="18" x14ac:dyDescent="0.3">
      <c r="A780" s="10" t="s">
        <v>2512</v>
      </c>
      <c r="B780" s="10"/>
      <c r="C780" s="24" t="s">
        <v>2457</v>
      </c>
      <c r="D780" s="15"/>
      <c r="E780" s="15"/>
      <c r="F780" s="25" t="s">
        <v>597</v>
      </c>
      <c r="G780" s="26">
        <v>1</v>
      </c>
      <c r="H780" s="31"/>
      <c r="I780" s="31">
        <v>374</v>
      </c>
      <c r="J780" s="27">
        <v>80</v>
      </c>
      <c r="M780" s="28">
        <f>ROUND(ROUND(J780, 2)*I780, 2)</f>
        <v>29920</v>
      </c>
      <c r="P780" s="27">
        <v>80</v>
      </c>
      <c r="S780" s="28">
        <f>ROUND(ROUND(P780, 2)*I780, 2)</f>
        <v>29920</v>
      </c>
      <c r="V780" s="9">
        <f>ROUND(ROUND(P780, 2)/1.2, 2)</f>
        <v>66.67</v>
      </c>
      <c r="Y780" s="9">
        <f t="shared" si="24"/>
        <v>24933.33</v>
      </c>
      <c r="AD780" s="4" t="s">
        <v>2513</v>
      </c>
      <c r="AE780" s="4" t="s">
        <v>2514</v>
      </c>
      <c r="AF780" s="4" t="s">
        <v>2460</v>
      </c>
    </row>
    <row r="781" spans="1:35" ht="16.95" customHeight="1" x14ac:dyDescent="0.3">
      <c r="A781" s="10" t="s">
        <v>2515</v>
      </c>
      <c r="B781" s="10" t="s">
        <v>2516</v>
      </c>
      <c r="C781" s="91" t="s">
        <v>2517</v>
      </c>
      <c r="D781" s="92"/>
      <c r="E781" s="92"/>
      <c r="F781" s="92"/>
      <c r="G781" s="92"/>
      <c r="H781" s="92"/>
      <c r="I781" s="93"/>
      <c r="M781" s="6">
        <f>SUM(M782,M828)</f>
        <v>2485896.87</v>
      </c>
      <c r="N781" s="6">
        <f>SUM(N782,N828)</f>
        <v>9894489.959999999</v>
      </c>
      <c r="O781" s="6">
        <f>SUM(O782,O828)</f>
        <v>12380386.830000002</v>
      </c>
      <c r="S781" s="6">
        <f>SUM(S782,S828)</f>
        <v>1619935.7000000002</v>
      </c>
      <c r="T781" s="6">
        <f>SUM(T782,T828)</f>
        <v>14841734.940000001</v>
      </c>
      <c r="U781" s="6">
        <f>SUM(U782,U828)</f>
        <v>16461670.640000001</v>
      </c>
      <c r="Y781" s="9">
        <f>SUM(Y782,Y828)</f>
        <v>1349946.4300000002</v>
      </c>
      <c r="Z781" s="9">
        <f>SUM(Z782,Z828)</f>
        <v>12368112.469999999</v>
      </c>
      <c r="AA781" s="9">
        <f>SUM(AA782,AA828)</f>
        <v>13718058.899999999</v>
      </c>
      <c r="AD781" s="4">
        <v>334080552</v>
      </c>
      <c r="AE781" s="4">
        <v>27245631</v>
      </c>
    </row>
    <row r="782" spans="1:35" ht="16.95" customHeight="1" x14ac:dyDescent="0.3">
      <c r="A782" s="10" t="s">
        <v>2518</v>
      </c>
      <c r="B782" s="10" t="s">
        <v>2519</v>
      </c>
      <c r="C782" s="91" t="s">
        <v>2520</v>
      </c>
      <c r="D782" s="92"/>
      <c r="E782" s="92"/>
      <c r="F782" s="92"/>
      <c r="G782" s="92"/>
      <c r="H782" s="92"/>
      <c r="I782" s="93"/>
      <c r="M782" s="6">
        <f>SUM(M783,M786,M789,M792,M795,M798,M801,M804,M807,M810,M813,M816,M819,M822,M825)</f>
        <v>407687.72</v>
      </c>
      <c r="N782" s="6">
        <f>SUM(N783,N786,N789,N792,N795,N798,N801,N804,N807,N810,N813,N816,N819,N822,N825)</f>
        <v>5619314.5999999996</v>
      </c>
      <c r="O782" s="6">
        <f>SUM(O783,O786,O789,O792,O795,O798,O801,O804,O807,O810,O813,O816,O819,O822,O825)</f>
        <v>6027002.3200000003</v>
      </c>
      <c r="S782" s="6">
        <f>SUM(S783,S786,S789,S792,S795,S798,S801,S804,S807,S810,S813,S816,S819,S822,S825)</f>
        <v>438059.67000000004</v>
      </c>
      <c r="T782" s="6">
        <f>SUM(T783,T786,T789,T792,T795,T798,T801,T804,T807,T810,T813,T816,T819,T822,T825)</f>
        <v>8428971.9000000004</v>
      </c>
      <c r="U782" s="6">
        <f>SUM(U783,U786,U789,U792,U795,U798,U801,U804,U807,U810,U813,U816,U819,U822,U825)</f>
        <v>8867031.5700000003</v>
      </c>
      <c r="Y782" s="9">
        <f>SUM(Y783,Y786,Y789,Y792,Y795,Y798,Y801,Y804,Y807,Y810,Y813,Y816,Y819,Y822,Y825)</f>
        <v>365049.7300000001</v>
      </c>
      <c r="Z782" s="9">
        <f>SUM(Z783,Z786,Z789,Z792,Z795,Z798,Z801,Z804,Z807,Z810,Z813,Z816,Z819,Z822,Z825)</f>
        <v>7024143.2699999996</v>
      </c>
      <c r="AA782" s="9">
        <f>SUM(AA783,AA786,AA789,AA792,AA795,AA798,AA801,AA804,AA807,AA810,AA813,AA816,AA819,AA822,AA825)</f>
        <v>7389193</v>
      </c>
      <c r="AD782" s="4">
        <v>334080553</v>
      </c>
      <c r="AE782" s="4">
        <v>27245690</v>
      </c>
    </row>
    <row r="783" spans="1:35" ht="36" x14ac:dyDescent="0.3">
      <c r="A783" s="10" t="s">
        <v>2521</v>
      </c>
      <c r="B783" s="10" t="s">
        <v>2522</v>
      </c>
      <c r="C783" s="14" t="s">
        <v>2523</v>
      </c>
      <c r="D783" s="15"/>
      <c r="E783" s="15"/>
      <c r="F783" s="15" t="s">
        <v>62</v>
      </c>
      <c r="G783" s="16">
        <v>1</v>
      </c>
      <c r="H783" s="16"/>
      <c r="I783" s="16">
        <v>0</v>
      </c>
      <c r="J783" s="17">
        <v>0</v>
      </c>
      <c r="K783" s="18">
        <v>790</v>
      </c>
      <c r="L783" s="17">
        <f>J783+ROUND(K783, 2)</f>
        <v>790</v>
      </c>
      <c r="M783" s="17">
        <v>0</v>
      </c>
      <c r="N783" s="17">
        <v>0</v>
      </c>
      <c r="O783" s="17">
        <f>M783+N783</f>
        <v>0</v>
      </c>
      <c r="P783" s="17">
        <v>70.47</v>
      </c>
      <c r="Q783" s="18">
        <v>790</v>
      </c>
      <c r="R783" s="17">
        <f>P783+ROUND(Q783, 2)</f>
        <v>860.47</v>
      </c>
      <c r="S783" s="17">
        <v>0</v>
      </c>
      <c r="T783" s="17">
        <v>0</v>
      </c>
      <c r="U783" s="17">
        <f>S783+T783</f>
        <v>0</v>
      </c>
      <c r="V783" s="9">
        <f>ROUND(P783 / 1.2, 2)</f>
        <v>58.73</v>
      </c>
      <c r="W783" s="9">
        <f>ROUND(Q783 / 1.2, 2)</f>
        <v>658.33</v>
      </c>
      <c r="X783" s="9">
        <f>ROUND(R783 / 1.2, 2)</f>
        <v>717.06</v>
      </c>
      <c r="Y783" s="9">
        <f>ROUND(S783 / 1.2, 2)</f>
        <v>0</v>
      </c>
      <c r="Z783" s="9">
        <f>ROUND(T783 / 1.2, 2)</f>
        <v>0</v>
      </c>
      <c r="AA783" s="9">
        <f>Y783+Z783</f>
        <v>0</v>
      </c>
      <c r="AD783" s="4">
        <v>334080555</v>
      </c>
      <c r="AE783" s="4">
        <v>27245705</v>
      </c>
      <c r="AG783" s="4" t="s">
        <v>2524</v>
      </c>
      <c r="AH783" s="4" t="s">
        <v>2525</v>
      </c>
      <c r="AI783" s="4" t="s">
        <v>250</v>
      </c>
    </row>
    <row r="784" spans="1:35" ht="36" x14ac:dyDescent="0.3">
      <c r="A784" s="10" t="s">
        <v>2526</v>
      </c>
      <c r="B784" s="10"/>
      <c r="C784" s="30" t="s">
        <v>1498</v>
      </c>
      <c r="D784" s="15"/>
      <c r="E784" s="15"/>
      <c r="F784" s="25" t="s">
        <v>278</v>
      </c>
      <c r="G784" s="26">
        <v>4.5</v>
      </c>
      <c r="H784" s="26"/>
      <c r="I784" s="26">
        <v>0</v>
      </c>
      <c r="J784" s="27">
        <v>12.7</v>
      </c>
      <c r="M784" s="28">
        <f>ROUND(ROUND(J784, 2)*I784, 2)</f>
        <v>0</v>
      </c>
      <c r="P784" s="27">
        <v>12.7</v>
      </c>
      <c r="S784" s="28">
        <f>ROUND(ROUND(P784, 2)*I784, 2)</f>
        <v>0</v>
      </c>
      <c r="V784" s="9">
        <f>ROUND(ROUND(P784, 2)/1.2, 2)</f>
        <v>10.58</v>
      </c>
      <c r="Y784" s="9">
        <f t="shared" ref="Y784:Y827" si="25">ROUND(S784 / 1.2, 2)</f>
        <v>0</v>
      </c>
      <c r="AD784" s="4" t="s">
        <v>2527</v>
      </c>
      <c r="AE784" s="4" t="s">
        <v>2528</v>
      </c>
      <c r="AF784" s="4" t="s">
        <v>1501</v>
      </c>
    </row>
    <row r="785" spans="1:35" ht="36" x14ac:dyDescent="0.3">
      <c r="A785" s="10" t="s">
        <v>2529</v>
      </c>
      <c r="B785" s="10"/>
      <c r="C785" s="24" t="s">
        <v>1007</v>
      </c>
      <c r="D785" s="15"/>
      <c r="E785" s="15"/>
      <c r="F785" s="25" t="s">
        <v>278</v>
      </c>
      <c r="G785" s="26">
        <v>0.15</v>
      </c>
      <c r="H785" s="26"/>
      <c r="I785" s="26">
        <v>0</v>
      </c>
      <c r="J785" s="27">
        <v>88.8</v>
      </c>
      <c r="M785" s="28">
        <f>ROUND(ROUND(J785, 2)*I785, 2)</f>
        <v>0</v>
      </c>
      <c r="P785" s="27">
        <v>88.8</v>
      </c>
      <c r="S785" s="28">
        <f>ROUND(ROUND(P785, 2)*I785, 2)</f>
        <v>0</v>
      </c>
      <c r="V785" s="9">
        <f>ROUND(ROUND(P785, 2)/1.2, 2)</f>
        <v>74</v>
      </c>
      <c r="Y785" s="9">
        <f t="shared" si="25"/>
        <v>0</v>
      </c>
      <c r="AD785" s="4" t="s">
        <v>2530</v>
      </c>
      <c r="AE785" s="4" t="s">
        <v>2531</v>
      </c>
      <c r="AF785" s="4" t="s">
        <v>1010</v>
      </c>
    </row>
    <row r="786" spans="1:35" ht="54" x14ac:dyDescent="0.3">
      <c r="A786" s="10" t="s">
        <v>2532</v>
      </c>
      <c r="B786" s="10" t="s">
        <v>2522</v>
      </c>
      <c r="C786" s="14" t="s">
        <v>2523</v>
      </c>
      <c r="D786" s="15"/>
      <c r="E786" s="15" t="s">
        <v>2533</v>
      </c>
      <c r="F786" s="15" t="s">
        <v>62</v>
      </c>
      <c r="G786" s="16">
        <v>1</v>
      </c>
      <c r="H786" s="16"/>
      <c r="I786" s="16">
        <v>3898.4</v>
      </c>
      <c r="J786" s="17">
        <v>67.59</v>
      </c>
      <c r="K786" s="18">
        <v>790</v>
      </c>
      <c r="L786" s="17">
        <f>J786+ROUND(K786, 2)</f>
        <v>857.59</v>
      </c>
      <c r="M786" s="17">
        <v>263492.86</v>
      </c>
      <c r="N786" s="17">
        <v>3079736</v>
      </c>
      <c r="O786" s="17">
        <f>M786+N786</f>
        <v>3343228.86</v>
      </c>
      <c r="P786" s="17">
        <v>67.64</v>
      </c>
      <c r="Q786" s="18">
        <v>1185</v>
      </c>
      <c r="R786" s="17">
        <f>P786+ROUND(Q786, 2)</f>
        <v>1252.6400000000001</v>
      </c>
      <c r="S786" s="17">
        <v>263687.78000000003</v>
      </c>
      <c r="T786" s="17">
        <v>4619604</v>
      </c>
      <c r="U786" s="17">
        <f>S786+T786</f>
        <v>4883291.78</v>
      </c>
      <c r="V786" s="9">
        <f>ROUND(P786 / 1.2, 2)</f>
        <v>56.37</v>
      </c>
      <c r="W786" s="9">
        <f>ROUND(Q786 / 1.2, 2)</f>
        <v>987.5</v>
      </c>
      <c r="X786" s="9">
        <f>ROUND(R786 / 1.2, 2)</f>
        <v>1043.8699999999999</v>
      </c>
      <c r="Y786" s="9">
        <f t="shared" si="25"/>
        <v>219739.82</v>
      </c>
      <c r="Z786" s="9">
        <f>ROUND(T786 / 1.2, 2)</f>
        <v>3849670</v>
      </c>
      <c r="AA786" s="9">
        <f>Y786+Z786</f>
        <v>4069409.82</v>
      </c>
      <c r="AD786" s="4">
        <v>334080752</v>
      </c>
      <c r="AE786" s="4">
        <v>27245792</v>
      </c>
      <c r="AG786" s="4" t="s">
        <v>2524</v>
      </c>
      <c r="AH786" s="4" t="s">
        <v>2525</v>
      </c>
      <c r="AI786" s="4" t="s">
        <v>250</v>
      </c>
    </row>
    <row r="787" spans="1:35" ht="36" x14ac:dyDescent="0.3">
      <c r="A787" s="10" t="s">
        <v>2534</v>
      </c>
      <c r="B787" s="10"/>
      <c r="C787" s="24" t="s">
        <v>1007</v>
      </c>
      <c r="D787" s="15"/>
      <c r="E787" s="15"/>
      <c r="F787" s="25" t="s">
        <v>278</v>
      </c>
      <c r="G787" s="26">
        <v>0.15</v>
      </c>
      <c r="H787" s="26"/>
      <c r="I787" s="26">
        <v>584.76</v>
      </c>
      <c r="J787" s="27">
        <v>88.8</v>
      </c>
      <c r="M787" s="28">
        <f>ROUND(ROUND(J787, 2)*I787, 2)</f>
        <v>51926.69</v>
      </c>
      <c r="P787" s="27">
        <v>88.8</v>
      </c>
      <c r="S787" s="28">
        <f>ROUND(ROUND(P787, 2)*I787, 2)</f>
        <v>51926.69</v>
      </c>
      <c r="V787" s="9">
        <f>ROUND(ROUND(P787, 2)/1.2, 2)</f>
        <v>74</v>
      </c>
      <c r="Y787" s="9">
        <f t="shared" si="25"/>
        <v>43272.24</v>
      </c>
      <c r="AD787" s="4" t="s">
        <v>2535</v>
      </c>
      <c r="AE787" s="4" t="s">
        <v>2536</v>
      </c>
      <c r="AF787" s="4" t="s">
        <v>1010</v>
      </c>
    </row>
    <row r="788" spans="1:35" ht="36" x14ac:dyDescent="0.3">
      <c r="A788" s="10" t="s">
        <v>2537</v>
      </c>
      <c r="B788" s="10"/>
      <c r="C788" s="30" t="s">
        <v>1498</v>
      </c>
      <c r="D788" s="15"/>
      <c r="E788" s="15"/>
      <c r="F788" s="25" t="s">
        <v>278</v>
      </c>
      <c r="G788" s="26">
        <v>4.5</v>
      </c>
      <c r="H788" s="26"/>
      <c r="I788" s="26">
        <v>17542.8</v>
      </c>
      <c r="J788" s="27">
        <v>12.06</v>
      </c>
      <c r="M788" s="28">
        <f>ROUND(ROUND(J788, 2)*I788, 2)</f>
        <v>211566.17</v>
      </c>
      <c r="P788" s="27">
        <v>12.07</v>
      </c>
      <c r="S788" s="28">
        <f>ROUND(ROUND(P788, 2)*I788, 2)</f>
        <v>211741.6</v>
      </c>
      <c r="V788" s="9">
        <f>ROUND(ROUND(P788, 2)/1.2, 2)</f>
        <v>10.06</v>
      </c>
      <c r="Y788" s="9">
        <f t="shared" si="25"/>
        <v>176451.33</v>
      </c>
      <c r="AD788" s="4" t="s">
        <v>2538</v>
      </c>
      <c r="AE788" s="4" t="s">
        <v>2539</v>
      </c>
      <c r="AF788" s="4" t="s">
        <v>1501</v>
      </c>
    </row>
    <row r="789" spans="1:35" ht="126" x14ac:dyDescent="0.3">
      <c r="A789" s="10" t="s">
        <v>2540</v>
      </c>
      <c r="B789" s="10" t="s">
        <v>2522</v>
      </c>
      <c r="C789" s="14" t="s">
        <v>2523</v>
      </c>
      <c r="D789" s="15"/>
      <c r="E789" s="15" t="s">
        <v>2541</v>
      </c>
      <c r="F789" s="15" t="s">
        <v>62</v>
      </c>
      <c r="G789" s="16">
        <v>1</v>
      </c>
      <c r="H789" s="16"/>
      <c r="I789" s="16">
        <v>95.84</v>
      </c>
      <c r="J789" s="17">
        <f>IFERROR(ROUND(SUM(M790,M791)/I789, 2),0)</f>
        <v>33.130000000000003</v>
      </c>
      <c r="K789" s="18">
        <v>790</v>
      </c>
      <c r="L789" s="17">
        <f>J789+ROUND(K789, 2)</f>
        <v>823.13</v>
      </c>
      <c r="M789" s="17">
        <f>ROUND(J789*I789, 2)</f>
        <v>3175.18</v>
      </c>
      <c r="N789" s="17">
        <f>ROUND(I789*ROUND(K789, 2), 2)</f>
        <v>75713.600000000006</v>
      </c>
      <c r="O789" s="17">
        <f>M789+N789</f>
        <v>78888.78</v>
      </c>
      <c r="P789" s="17">
        <f>IFERROR(ROUND(SUM(S790,S791)/I789, 2),0)</f>
        <v>36.71</v>
      </c>
      <c r="Q789" s="19">
        <v>1185</v>
      </c>
      <c r="R789" s="17">
        <f>P789+ROUND(Q789, 2)</f>
        <v>1221.71</v>
      </c>
      <c r="S789" s="17">
        <f>ROUND(P789*I789, 2)</f>
        <v>3518.29</v>
      </c>
      <c r="T789" s="17">
        <f>ROUND(I789*ROUND(Q789, 2), 2)</f>
        <v>113570.4</v>
      </c>
      <c r="U789" s="17">
        <f>S789+T789</f>
        <v>117088.68999999999</v>
      </c>
      <c r="V789" s="9">
        <f>ROUND(P789 / 1.2, 2)</f>
        <v>30.59</v>
      </c>
      <c r="W789" s="9">
        <f>ROUND(Q789 / 1.2, 2)</f>
        <v>987.5</v>
      </c>
      <c r="X789" s="9">
        <f>ROUND(R789 / 1.2, 2)</f>
        <v>1018.09</v>
      </c>
      <c r="Y789" s="9">
        <f t="shared" si="25"/>
        <v>2931.91</v>
      </c>
      <c r="Z789" s="9">
        <f>ROUND(T789 / 1.2, 2)</f>
        <v>94642</v>
      </c>
      <c r="AA789" s="9">
        <f>Y789+Z789</f>
        <v>97573.91</v>
      </c>
      <c r="AD789" s="4">
        <v>334080753</v>
      </c>
      <c r="AE789" s="4">
        <v>29299410</v>
      </c>
      <c r="AG789" s="4" t="s">
        <v>2524</v>
      </c>
      <c r="AH789" s="4" t="s">
        <v>2525</v>
      </c>
      <c r="AI789" s="4" t="s">
        <v>250</v>
      </c>
    </row>
    <row r="790" spans="1:35" ht="54" x14ac:dyDescent="0.3">
      <c r="A790" s="10" t="s">
        <v>2542</v>
      </c>
      <c r="B790" s="10"/>
      <c r="C790" s="24" t="s">
        <v>2543</v>
      </c>
      <c r="D790" s="15"/>
      <c r="E790" s="15" t="s">
        <v>2544</v>
      </c>
      <c r="F790" s="25" t="s">
        <v>278</v>
      </c>
      <c r="G790" s="26">
        <v>2</v>
      </c>
      <c r="H790" s="26"/>
      <c r="I790" s="26">
        <v>191.68</v>
      </c>
      <c r="J790" s="27">
        <v>8.94</v>
      </c>
      <c r="M790" s="28">
        <f>ROUND(ROUND(J790, 2)*I790, 2)</f>
        <v>1713.62</v>
      </c>
      <c r="P790" s="29">
        <v>10.73</v>
      </c>
      <c r="S790" s="28">
        <f>ROUND(ROUND(P790, 2)*I790, 2)</f>
        <v>2056.73</v>
      </c>
      <c r="V790" s="9">
        <f>ROUND(ROUND(P790, 2)/1.2, 2)</f>
        <v>8.94</v>
      </c>
      <c r="Y790" s="9">
        <f t="shared" si="25"/>
        <v>1713.94</v>
      </c>
      <c r="AD790" s="4" t="s">
        <v>2545</v>
      </c>
      <c r="AE790" s="4" t="s">
        <v>2546</v>
      </c>
      <c r="AF790" s="4" t="s">
        <v>2547</v>
      </c>
    </row>
    <row r="791" spans="1:35" ht="18" x14ac:dyDescent="0.3">
      <c r="A791" s="10" t="s">
        <v>2548</v>
      </c>
      <c r="B791" s="10"/>
      <c r="C791" s="24" t="s">
        <v>1629</v>
      </c>
      <c r="D791" s="15"/>
      <c r="E791" s="15"/>
      <c r="F791" s="25" t="s">
        <v>278</v>
      </c>
      <c r="G791" s="26">
        <v>0.15</v>
      </c>
      <c r="H791" s="26"/>
      <c r="I791" s="26">
        <v>14.375999999999999</v>
      </c>
      <c r="J791" s="27">
        <v>101.66</v>
      </c>
      <c r="M791" s="28">
        <f>ROUND(ROUND(J791, 2)*I791, 2)</f>
        <v>1461.46</v>
      </c>
      <c r="P791" s="29">
        <v>101.66</v>
      </c>
      <c r="S791" s="28">
        <f>ROUND(ROUND(P791, 2)*I791, 2)</f>
        <v>1461.46</v>
      </c>
      <c r="V791" s="9">
        <f>ROUND(ROUND(P791, 2)/1.2, 2)</f>
        <v>84.72</v>
      </c>
      <c r="Y791" s="9">
        <f t="shared" si="25"/>
        <v>1217.8800000000001</v>
      </c>
      <c r="AD791" s="4" t="s">
        <v>2549</v>
      </c>
      <c r="AE791" s="4" t="s">
        <v>2550</v>
      </c>
      <c r="AF791" s="4" t="s">
        <v>1632</v>
      </c>
    </row>
    <row r="792" spans="1:35" ht="108" x14ac:dyDescent="0.3">
      <c r="A792" s="10" t="s">
        <v>2551</v>
      </c>
      <c r="B792" s="10" t="s">
        <v>2522</v>
      </c>
      <c r="C792" s="14" t="s">
        <v>2523</v>
      </c>
      <c r="D792" s="15"/>
      <c r="E792" s="15" t="s">
        <v>2552</v>
      </c>
      <c r="F792" s="15" t="s">
        <v>62</v>
      </c>
      <c r="G792" s="16">
        <v>1</v>
      </c>
      <c r="H792" s="16"/>
      <c r="I792" s="16">
        <v>36.17</v>
      </c>
      <c r="J792" s="17">
        <f>IFERROR(ROUND(SUM(M793,M794)/I792, 2),0)</f>
        <v>29.09</v>
      </c>
      <c r="K792" s="18">
        <v>790</v>
      </c>
      <c r="L792" s="17">
        <f>J792+ROUND(K792, 2)</f>
        <v>819.09</v>
      </c>
      <c r="M792" s="17">
        <f>ROUND(J792*I792, 2)</f>
        <v>1052.19</v>
      </c>
      <c r="N792" s="17">
        <f>ROUND(I792*ROUND(K792, 2), 2)</f>
        <v>28574.3</v>
      </c>
      <c r="O792" s="17">
        <f>M792+N792</f>
        <v>29626.489999999998</v>
      </c>
      <c r="P792" s="17">
        <f>IFERROR(ROUND(SUM(S793,S794)/I792, 2),0)</f>
        <v>36.729999999999997</v>
      </c>
      <c r="Q792" s="19">
        <v>1185</v>
      </c>
      <c r="R792" s="17">
        <f>P792+ROUND(Q792, 2)</f>
        <v>1221.73</v>
      </c>
      <c r="S792" s="17">
        <f>ROUND(P792*I792, 2)</f>
        <v>1328.52</v>
      </c>
      <c r="T792" s="17">
        <f>ROUND(I792*ROUND(Q792, 2), 2)</f>
        <v>42861.45</v>
      </c>
      <c r="U792" s="17">
        <f>S792+T792</f>
        <v>44189.969999999994</v>
      </c>
      <c r="V792" s="9">
        <f>ROUND(P792 / 1.2, 2)</f>
        <v>30.61</v>
      </c>
      <c r="W792" s="9">
        <f>ROUND(Q792 / 1.2, 2)</f>
        <v>987.5</v>
      </c>
      <c r="X792" s="9">
        <f>ROUND(R792 / 1.2, 2)</f>
        <v>1018.11</v>
      </c>
      <c r="Y792" s="9">
        <f t="shared" si="25"/>
        <v>1107.0999999999999</v>
      </c>
      <c r="Z792" s="9">
        <f>ROUND(T792 / 1.2, 2)</f>
        <v>35717.879999999997</v>
      </c>
      <c r="AA792" s="9">
        <f>Y792+Z792</f>
        <v>36824.979999999996</v>
      </c>
      <c r="AD792" s="4">
        <v>334080754</v>
      </c>
      <c r="AE792" s="4">
        <v>29299411</v>
      </c>
      <c r="AG792" s="4" t="s">
        <v>2524</v>
      </c>
      <c r="AH792" s="4" t="s">
        <v>2525</v>
      </c>
      <c r="AI792" s="4" t="s">
        <v>250</v>
      </c>
    </row>
    <row r="793" spans="1:35" ht="18" x14ac:dyDescent="0.3">
      <c r="A793" s="10" t="s">
        <v>2553</v>
      </c>
      <c r="B793" s="10"/>
      <c r="C793" s="24" t="s">
        <v>1629</v>
      </c>
      <c r="D793" s="15"/>
      <c r="E793" s="15"/>
      <c r="F793" s="25" t="s">
        <v>278</v>
      </c>
      <c r="G793" s="26">
        <v>0.15</v>
      </c>
      <c r="H793" s="26"/>
      <c r="I793" s="26">
        <v>5.4260000000000002</v>
      </c>
      <c r="J793" s="27">
        <v>101.66</v>
      </c>
      <c r="M793" s="28">
        <f>ROUND(ROUND(J793, 2)*I793, 2)</f>
        <v>551.61</v>
      </c>
      <c r="P793" s="29">
        <v>101.66</v>
      </c>
      <c r="S793" s="28">
        <f>ROUND(ROUND(P793, 2)*I793, 2)</f>
        <v>551.61</v>
      </c>
      <c r="V793" s="9">
        <f>ROUND(ROUND(P793, 2)/1.2, 2)</f>
        <v>84.72</v>
      </c>
      <c r="Y793" s="9">
        <f t="shared" si="25"/>
        <v>459.68</v>
      </c>
      <c r="AD793" s="4" t="s">
        <v>2554</v>
      </c>
      <c r="AE793" s="4" t="s">
        <v>2555</v>
      </c>
      <c r="AF793" s="4" t="s">
        <v>1632</v>
      </c>
    </row>
    <row r="794" spans="1:35" ht="36" x14ac:dyDescent="0.3">
      <c r="A794" s="10" t="s">
        <v>2556</v>
      </c>
      <c r="B794" s="10"/>
      <c r="C794" s="24" t="s">
        <v>2557</v>
      </c>
      <c r="D794" s="15"/>
      <c r="E794" s="15" t="s">
        <v>1602</v>
      </c>
      <c r="F794" s="25" t="s">
        <v>278</v>
      </c>
      <c r="G794" s="26">
        <v>2</v>
      </c>
      <c r="H794" s="26"/>
      <c r="I794" s="26">
        <v>72.34</v>
      </c>
      <c r="J794" s="27">
        <v>6.92</v>
      </c>
      <c r="M794" s="28">
        <f>ROUND(ROUND(J794, 2)*I794, 2)</f>
        <v>500.59</v>
      </c>
      <c r="P794" s="29">
        <v>10.74</v>
      </c>
      <c r="S794" s="28">
        <f>ROUND(ROUND(P794, 2)*I794, 2)</f>
        <v>776.93</v>
      </c>
      <c r="V794" s="9">
        <f>ROUND(ROUND(P794, 2)/1.2, 2)</f>
        <v>8.9499999999999993</v>
      </c>
      <c r="Y794" s="9">
        <f t="shared" si="25"/>
        <v>647.44000000000005</v>
      </c>
      <c r="AD794" s="4" t="s">
        <v>2558</v>
      </c>
      <c r="AE794" s="4" t="s">
        <v>2559</v>
      </c>
      <c r="AF794" s="4" t="s">
        <v>2560</v>
      </c>
    </row>
    <row r="795" spans="1:35" ht="108" x14ac:dyDescent="0.3">
      <c r="A795" s="10" t="s">
        <v>2561</v>
      </c>
      <c r="B795" s="10" t="s">
        <v>2522</v>
      </c>
      <c r="C795" s="14" t="s">
        <v>2523</v>
      </c>
      <c r="D795" s="15"/>
      <c r="E795" s="15" t="s">
        <v>2562</v>
      </c>
      <c r="F795" s="15" t="s">
        <v>62</v>
      </c>
      <c r="G795" s="16">
        <v>1</v>
      </c>
      <c r="H795" s="16"/>
      <c r="I795" s="16">
        <v>474.68</v>
      </c>
      <c r="J795" s="17">
        <f>IFERROR(ROUND(SUM(M796,M797)/I795, 2),0)</f>
        <v>33.130000000000003</v>
      </c>
      <c r="K795" s="18">
        <v>790</v>
      </c>
      <c r="L795" s="17">
        <f>J795+ROUND(K795, 2)</f>
        <v>823.13</v>
      </c>
      <c r="M795" s="17">
        <f>ROUND(J795*I795, 2)</f>
        <v>15726.15</v>
      </c>
      <c r="N795" s="17">
        <f>ROUND(I795*ROUND(K795, 2), 2)</f>
        <v>374997.2</v>
      </c>
      <c r="O795" s="17">
        <f>M795+N795</f>
        <v>390723.35000000003</v>
      </c>
      <c r="P795" s="17">
        <f>IFERROR(ROUND(SUM(S796,S797)/I795, 2),0)</f>
        <v>36.71</v>
      </c>
      <c r="Q795" s="19">
        <v>1185</v>
      </c>
      <c r="R795" s="17">
        <f>P795+ROUND(Q795, 2)</f>
        <v>1221.71</v>
      </c>
      <c r="S795" s="17">
        <f>ROUND(P795*I795, 2)</f>
        <v>17425.5</v>
      </c>
      <c r="T795" s="17">
        <f>ROUND(I795*ROUND(Q795, 2), 2)</f>
        <v>562495.80000000005</v>
      </c>
      <c r="U795" s="17">
        <f>S795+T795</f>
        <v>579921.30000000005</v>
      </c>
      <c r="V795" s="9">
        <f>ROUND(P795 / 1.2, 2)</f>
        <v>30.59</v>
      </c>
      <c r="W795" s="9">
        <f>ROUND(Q795 / 1.2, 2)</f>
        <v>987.5</v>
      </c>
      <c r="X795" s="9">
        <f>ROUND(R795 / 1.2, 2)</f>
        <v>1018.09</v>
      </c>
      <c r="Y795" s="9">
        <f t="shared" si="25"/>
        <v>14521.25</v>
      </c>
      <c r="Z795" s="9">
        <f>ROUND(T795 / 1.2, 2)</f>
        <v>468746.5</v>
      </c>
      <c r="AA795" s="9">
        <f>Y795+Z795</f>
        <v>483267.75</v>
      </c>
      <c r="AD795" s="4">
        <v>334080755</v>
      </c>
      <c r="AE795" s="4">
        <v>29299408</v>
      </c>
      <c r="AG795" s="4" t="s">
        <v>2524</v>
      </c>
      <c r="AH795" s="4" t="s">
        <v>2525</v>
      </c>
      <c r="AI795" s="4" t="s">
        <v>250</v>
      </c>
    </row>
    <row r="796" spans="1:35" ht="54" x14ac:dyDescent="0.3">
      <c r="A796" s="10" t="s">
        <v>2563</v>
      </c>
      <c r="B796" s="10"/>
      <c r="C796" s="24" t="s">
        <v>2543</v>
      </c>
      <c r="D796" s="15"/>
      <c r="E796" s="15" t="s">
        <v>2544</v>
      </c>
      <c r="F796" s="25" t="s">
        <v>278</v>
      </c>
      <c r="G796" s="26">
        <v>2</v>
      </c>
      <c r="H796" s="26"/>
      <c r="I796" s="26">
        <v>949.36</v>
      </c>
      <c r="J796" s="27">
        <v>8.94</v>
      </c>
      <c r="M796" s="28">
        <f>ROUND(ROUND(J796, 2)*I796, 2)</f>
        <v>8487.2800000000007</v>
      </c>
      <c r="P796" s="29">
        <v>10.73</v>
      </c>
      <c r="S796" s="28">
        <f>ROUND(ROUND(P796, 2)*I796, 2)</f>
        <v>10186.629999999999</v>
      </c>
      <c r="V796" s="9">
        <f>ROUND(ROUND(P796, 2)/1.2, 2)</f>
        <v>8.94</v>
      </c>
      <c r="Y796" s="9">
        <f t="shared" si="25"/>
        <v>8488.86</v>
      </c>
      <c r="AD796" s="4" t="s">
        <v>2564</v>
      </c>
      <c r="AE796" s="4" t="s">
        <v>2565</v>
      </c>
      <c r="AF796" s="4" t="s">
        <v>2547</v>
      </c>
    </row>
    <row r="797" spans="1:35" ht="18" x14ac:dyDescent="0.3">
      <c r="A797" s="10" t="s">
        <v>2566</v>
      </c>
      <c r="B797" s="10"/>
      <c r="C797" s="24" t="s">
        <v>1629</v>
      </c>
      <c r="D797" s="15"/>
      <c r="E797" s="15"/>
      <c r="F797" s="25" t="s">
        <v>278</v>
      </c>
      <c r="G797" s="26">
        <v>0.15</v>
      </c>
      <c r="H797" s="26"/>
      <c r="I797" s="26">
        <v>71.201999999999998</v>
      </c>
      <c r="J797" s="27">
        <v>101.66</v>
      </c>
      <c r="M797" s="28">
        <f>ROUND(ROUND(J797, 2)*I797, 2)</f>
        <v>7238.4</v>
      </c>
      <c r="P797" s="29">
        <v>101.66</v>
      </c>
      <c r="S797" s="28">
        <f>ROUND(ROUND(P797, 2)*I797, 2)</f>
        <v>7238.4</v>
      </c>
      <c r="V797" s="9">
        <f>ROUND(ROUND(P797, 2)/1.2, 2)</f>
        <v>84.72</v>
      </c>
      <c r="Y797" s="9">
        <f t="shared" si="25"/>
        <v>6032</v>
      </c>
      <c r="AD797" s="4" t="s">
        <v>2567</v>
      </c>
      <c r="AE797" s="4" t="s">
        <v>2568</v>
      </c>
      <c r="AF797" s="4" t="s">
        <v>1632</v>
      </c>
    </row>
    <row r="798" spans="1:35" ht="90" x14ac:dyDescent="0.3">
      <c r="A798" s="10" t="s">
        <v>2569</v>
      </c>
      <c r="B798" s="10" t="s">
        <v>2522</v>
      </c>
      <c r="C798" s="14" t="s">
        <v>2523</v>
      </c>
      <c r="D798" s="15"/>
      <c r="E798" s="15" t="s">
        <v>2570</v>
      </c>
      <c r="F798" s="15" t="s">
        <v>62</v>
      </c>
      <c r="G798" s="16">
        <v>1</v>
      </c>
      <c r="H798" s="16"/>
      <c r="I798" s="16">
        <v>30</v>
      </c>
      <c r="J798" s="17">
        <f>IFERROR(ROUND(SUM(M799,M800)/I798, 2),0)</f>
        <v>29.09</v>
      </c>
      <c r="K798" s="18">
        <v>790</v>
      </c>
      <c r="L798" s="17">
        <f>J798+ROUND(K798, 2)</f>
        <v>819.09</v>
      </c>
      <c r="M798" s="17">
        <f>ROUND(J798*I798, 2)</f>
        <v>872.7</v>
      </c>
      <c r="N798" s="17">
        <f>ROUND(I798*ROUND(K798, 2), 2)</f>
        <v>23700</v>
      </c>
      <c r="O798" s="17">
        <f>M798+N798</f>
        <v>24572.7</v>
      </c>
      <c r="P798" s="17">
        <f>IFERROR(ROUND(SUM(S799,S800)/I798, 2),0)</f>
        <v>36.729999999999997</v>
      </c>
      <c r="Q798" s="19">
        <v>1185</v>
      </c>
      <c r="R798" s="17">
        <f>P798+ROUND(Q798, 2)</f>
        <v>1221.73</v>
      </c>
      <c r="S798" s="17">
        <f>ROUND(P798*I798, 2)</f>
        <v>1101.9000000000001</v>
      </c>
      <c r="T798" s="17">
        <f>ROUND(I798*ROUND(Q798, 2), 2)</f>
        <v>35550</v>
      </c>
      <c r="U798" s="17">
        <f>S798+T798</f>
        <v>36651.9</v>
      </c>
      <c r="V798" s="9">
        <f>ROUND(P798 / 1.2, 2)</f>
        <v>30.61</v>
      </c>
      <c r="W798" s="9">
        <f>ROUND(Q798 / 1.2, 2)</f>
        <v>987.5</v>
      </c>
      <c r="X798" s="9">
        <f>ROUND(R798 / 1.2, 2)</f>
        <v>1018.11</v>
      </c>
      <c r="Y798" s="9">
        <f t="shared" si="25"/>
        <v>918.25</v>
      </c>
      <c r="Z798" s="9">
        <f>ROUND(T798 / 1.2, 2)</f>
        <v>29625</v>
      </c>
      <c r="AA798" s="9">
        <f>Y798+Z798</f>
        <v>30543.25</v>
      </c>
      <c r="AD798" s="4">
        <v>334080756</v>
      </c>
      <c r="AE798" s="4">
        <v>29299412</v>
      </c>
      <c r="AG798" s="4" t="s">
        <v>2524</v>
      </c>
      <c r="AH798" s="4" t="s">
        <v>2525</v>
      </c>
      <c r="AI798" s="4" t="s">
        <v>250</v>
      </c>
    </row>
    <row r="799" spans="1:35" ht="18" x14ac:dyDescent="0.3">
      <c r="A799" s="10" t="s">
        <v>2571</v>
      </c>
      <c r="B799" s="10"/>
      <c r="C799" s="24" t="s">
        <v>1629</v>
      </c>
      <c r="D799" s="15"/>
      <c r="E799" s="15"/>
      <c r="F799" s="25" t="s">
        <v>278</v>
      </c>
      <c r="G799" s="26">
        <v>0.15</v>
      </c>
      <c r="H799" s="26"/>
      <c r="I799" s="26">
        <v>4.5</v>
      </c>
      <c r="J799" s="27">
        <v>101.66</v>
      </c>
      <c r="M799" s="28">
        <f>ROUND(ROUND(J799, 2)*I799, 2)</f>
        <v>457.47</v>
      </c>
      <c r="P799" s="29">
        <v>101.66</v>
      </c>
      <c r="S799" s="28">
        <f>ROUND(ROUND(P799, 2)*I799, 2)</f>
        <v>457.47</v>
      </c>
      <c r="V799" s="9">
        <f>ROUND(ROUND(P799, 2)/1.2, 2)</f>
        <v>84.72</v>
      </c>
      <c r="Y799" s="9">
        <f t="shared" si="25"/>
        <v>381.23</v>
      </c>
      <c r="AD799" s="4" t="s">
        <v>2572</v>
      </c>
      <c r="AE799" s="4" t="s">
        <v>2573</v>
      </c>
      <c r="AF799" s="4" t="s">
        <v>1632</v>
      </c>
    </row>
    <row r="800" spans="1:35" ht="36" x14ac:dyDescent="0.3">
      <c r="A800" s="10" t="s">
        <v>2574</v>
      </c>
      <c r="B800" s="10"/>
      <c r="C800" s="24" t="s">
        <v>2557</v>
      </c>
      <c r="D800" s="15"/>
      <c r="E800" s="15" t="s">
        <v>1602</v>
      </c>
      <c r="F800" s="25" t="s">
        <v>278</v>
      </c>
      <c r="G800" s="26">
        <v>2</v>
      </c>
      <c r="H800" s="26"/>
      <c r="I800" s="26">
        <v>60</v>
      </c>
      <c r="J800" s="27">
        <v>6.92</v>
      </c>
      <c r="M800" s="28">
        <f>ROUND(ROUND(J800, 2)*I800, 2)</f>
        <v>415.2</v>
      </c>
      <c r="P800" s="29">
        <v>10.74</v>
      </c>
      <c r="S800" s="28">
        <f>ROUND(ROUND(P800, 2)*I800, 2)</f>
        <v>644.4</v>
      </c>
      <c r="V800" s="9">
        <f>ROUND(ROUND(P800, 2)/1.2, 2)</f>
        <v>8.9499999999999993</v>
      </c>
      <c r="Y800" s="9">
        <f t="shared" si="25"/>
        <v>537</v>
      </c>
      <c r="AD800" s="4" t="s">
        <v>2575</v>
      </c>
      <c r="AE800" s="4" t="s">
        <v>2576</v>
      </c>
      <c r="AF800" s="4" t="s">
        <v>2560</v>
      </c>
    </row>
    <row r="801" spans="1:35" ht="36" x14ac:dyDescent="0.3">
      <c r="A801" s="10" t="s">
        <v>2577</v>
      </c>
      <c r="B801" s="10" t="s">
        <v>2578</v>
      </c>
      <c r="C801" s="14" t="s">
        <v>2579</v>
      </c>
      <c r="D801" s="15"/>
      <c r="E801" s="15"/>
      <c r="F801" s="15" t="s">
        <v>62</v>
      </c>
      <c r="G801" s="16">
        <v>1</v>
      </c>
      <c r="H801" s="16"/>
      <c r="I801" s="16">
        <v>0</v>
      </c>
      <c r="J801" s="17">
        <v>0</v>
      </c>
      <c r="K801" s="18">
        <v>639</v>
      </c>
      <c r="L801" s="17">
        <f>J801+ROUND(K801, 2)</f>
        <v>639</v>
      </c>
      <c r="M801" s="17">
        <v>0</v>
      </c>
      <c r="N801" s="17">
        <v>0</v>
      </c>
      <c r="O801" s="17">
        <f>M801+N801</f>
        <v>0</v>
      </c>
      <c r="P801" s="17">
        <v>32.369999999999997</v>
      </c>
      <c r="Q801" s="18">
        <v>639</v>
      </c>
      <c r="R801" s="17">
        <f>P801+ROUND(Q801, 2)</f>
        <v>671.37</v>
      </c>
      <c r="S801" s="17">
        <v>0</v>
      </c>
      <c r="T801" s="17">
        <v>0</v>
      </c>
      <c r="U801" s="17">
        <f>S801+T801</f>
        <v>0</v>
      </c>
      <c r="V801" s="9">
        <f>ROUND(P801 / 1.2, 2)</f>
        <v>26.98</v>
      </c>
      <c r="W801" s="9">
        <f>ROUND(Q801 / 1.2, 2)</f>
        <v>532.5</v>
      </c>
      <c r="X801" s="9">
        <f>ROUND(R801 / 1.2, 2)</f>
        <v>559.48</v>
      </c>
      <c r="Y801" s="9">
        <f t="shared" si="25"/>
        <v>0</v>
      </c>
      <c r="Z801" s="9">
        <f>ROUND(T801 / 1.2, 2)</f>
        <v>0</v>
      </c>
      <c r="AA801" s="9">
        <f>Y801+Z801</f>
        <v>0</v>
      </c>
      <c r="AD801" s="4">
        <v>334080556</v>
      </c>
      <c r="AE801" s="4">
        <v>27245657</v>
      </c>
      <c r="AG801" s="4" t="s">
        <v>2580</v>
      </c>
      <c r="AH801" s="4" t="s">
        <v>2581</v>
      </c>
      <c r="AI801" s="4" t="s">
        <v>250</v>
      </c>
    </row>
    <row r="802" spans="1:35" ht="36" x14ac:dyDescent="0.3">
      <c r="A802" s="10" t="s">
        <v>2582</v>
      </c>
      <c r="B802" s="10"/>
      <c r="C802" s="30" t="s">
        <v>1498</v>
      </c>
      <c r="D802" s="15"/>
      <c r="E802" s="15"/>
      <c r="F802" s="25" t="s">
        <v>278</v>
      </c>
      <c r="G802" s="26">
        <v>1.5</v>
      </c>
      <c r="H802" s="26"/>
      <c r="I802" s="26">
        <v>0</v>
      </c>
      <c r="J802" s="27">
        <v>12.7</v>
      </c>
      <c r="M802" s="28">
        <f>ROUND(ROUND(J802, 2)*I802, 2)</f>
        <v>0</v>
      </c>
      <c r="P802" s="27">
        <v>12.7</v>
      </c>
      <c r="S802" s="28">
        <f>ROUND(ROUND(P802, 2)*I802, 2)</f>
        <v>0</v>
      </c>
      <c r="V802" s="9">
        <f>ROUND(ROUND(P802, 2)/1.2, 2)</f>
        <v>10.58</v>
      </c>
      <c r="Y802" s="9">
        <f t="shared" si="25"/>
        <v>0</v>
      </c>
      <c r="AD802" s="4" t="s">
        <v>2583</v>
      </c>
      <c r="AE802" s="4" t="s">
        <v>2584</v>
      </c>
      <c r="AF802" s="4" t="s">
        <v>1501</v>
      </c>
    </row>
    <row r="803" spans="1:35" ht="36" x14ac:dyDescent="0.3">
      <c r="A803" s="10" t="s">
        <v>2585</v>
      </c>
      <c r="B803" s="10"/>
      <c r="C803" s="24" t="s">
        <v>1007</v>
      </c>
      <c r="D803" s="15"/>
      <c r="E803" s="15"/>
      <c r="F803" s="25" t="s">
        <v>278</v>
      </c>
      <c r="G803" s="26">
        <v>0.15</v>
      </c>
      <c r="H803" s="26"/>
      <c r="I803" s="26">
        <v>0</v>
      </c>
      <c r="J803" s="27">
        <v>88.8</v>
      </c>
      <c r="M803" s="28">
        <f>ROUND(ROUND(J803, 2)*I803, 2)</f>
        <v>0</v>
      </c>
      <c r="P803" s="27">
        <v>88.8</v>
      </c>
      <c r="S803" s="28">
        <f>ROUND(ROUND(P803, 2)*I803, 2)</f>
        <v>0</v>
      </c>
      <c r="V803" s="9">
        <f>ROUND(ROUND(P803, 2)/1.2, 2)</f>
        <v>74</v>
      </c>
      <c r="Y803" s="9">
        <f t="shared" si="25"/>
        <v>0</v>
      </c>
      <c r="AD803" s="4" t="s">
        <v>2586</v>
      </c>
      <c r="AE803" s="4" t="s">
        <v>2587</v>
      </c>
      <c r="AF803" s="4" t="s">
        <v>1010</v>
      </c>
    </row>
    <row r="804" spans="1:35" ht="36" x14ac:dyDescent="0.3">
      <c r="A804" s="10" t="s">
        <v>2588</v>
      </c>
      <c r="B804" s="10" t="s">
        <v>2578</v>
      </c>
      <c r="C804" s="14" t="s">
        <v>2579</v>
      </c>
      <c r="D804" s="15"/>
      <c r="E804" s="15" t="s">
        <v>2589</v>
      </c>
      <c r="F804" s="15" t="s">
        <v>62</v>
      </c>
      <c r="G804" s="16">
        <v>1</v>
      </c>
      <c r="H804" s="16"/>
      <c r="I804" s="16">
        <v>921.3</v>
      </c>
      <c r="J804" s="17">
        <v>31.41</v>
      </c>
      <c r="K804" s="18">
        <v>639</v>
      </c>
      <c r="L804" s="17">
        <f>J804+ROUND(K804, 2)</f>
        <v>670.41</v>
      </c>
      <c r="M804" s="17">
        <v>28938.03</v>
      </c>
      <c r="N804" s="17">
        <v>588710.69999999995</v>
      </c>
      <c r="O804" s="17">
        <f>M804+N804</f>
        <v>617648.73</v>
      </c>
      <c r="P804" s="17">
        <v>31.43</v>
      </c>
      <c r="Q804" s="18">
        <v>958.5</v>
      </c>
      <c r="R804" s="17">
        <f>P804+ROUND(Q804, 2)</f>
        <v>989.93</v>
      </c>
      <c r="S804" s="17">
        <v>28956.46</v>
      </c>
      <c r="T804" s="17">
        <v>883066.05</v>
      </c>
      <c r="U804" s="17">
        <f>S804+T804</f>
        <v>912022.51</v>
      </c>
      <c r="V804" s="9">
        <f>ROUND(P804 / 1.2, 2)</f>
        <v>26.19</v>
      </c>
      <c r="W804" s="9">
        <f>ROUND(Q804 / 1.2, 2)</f>
        <v>798.75</v>
      </c>
      <c r="X804" s="9">
        <f>ROUND(R804 / 1.2, 2)</f>
        <v>824.94</v>
      </c>
      <c r="Y804" s="9">
        <f t="shared" si="25"/>
        <v>24130.38</v>
      </c>
      <c r="Z804" s="9">
        <f>ROUND(T804 / 1.2, 2)</f>
        <v>735888.38</v>
      </c>
      <c r="AA804" s="9">
        <f>Y804+Z804</f>
        <v>760018.76</v>
      </c>
      <c r="AD804" s="4">
        <v>334080757</v>
      </c>
      <c r="AE804" s="4">
        <v>27245793</v>
      </c>
      <c r="AG804" s="4" t="s">
        <v>2580</v>
      </c>
      <c r="AH804" s="4" t="s">
        <v>2581</v>
      </c>
      <c r="AI804" s="4" t="s">
        <v>250</v>
      </c>
    </row>
    <row r="805" spans="1:35" ht="36" x14ac:dyDescent="0.3">
      <c r="A805" s="10" t="s">
        <v>2590</v>
      </c>
      <c r="B805" s="10"/>
      <c r="C805" s="24" t="s">
        <v>1007</v>
      </c>
      <c r="D805" s="15"/>
      <c r="E805" s="15"/>
      <c r="F805" s="25" t="s">
        <v>278</v>
      </c>
      <c r="G805" s="26">
        <v>0.15</v>
      </c>
      <c r="H805" s="26"/>
      <c r="I805" s="26">
        <v>138.19499999999999</v>
      </c>
      <c r="J805" s="27">
        <v>88.8</v>
      </c>
      <c r="M805" s="28">
        <f>ROUND(ROUND(J805, 2)*I805, 2)</f>
        <v>12271.72</v>
      </c>
      <c r="P805" s="27">
        <v>88.8</v>
      </c>
      <c r="S805" s="28">
        <f>ROUND(ROUND(P805, 2)*I805, 2)</f>
        <v>12271.72</v>
      </c>
      <c r="V805" s="9">
        <f>ROUND(ROUND(P805, 2)/1.2, 2)</f>
        <v>74</v>
      </c>
      <c r="Y805" s="9">
        <f t="shared" si="25"/>
        <v>10226.43</v>
      </c>
      <c r="AD805" s="4" t="s">
        <v>2591</v>
      </c>
      <c r="AE805" s="4" t="s">
        <v>2592</v>
      </c>
      <c r="AF805" s="4" t="s">
        <v>1010</v>
      </c>
    </row>
    <row r="806" spans="1:35" ht="36" x14ac:dyDescent="0.3">
      <c r="A806" s="10" t="s">
        <v>2593</v>
      </c>
      <c r="B806" s="10"/>
      <c r="C806" s="30" t="s">
        <v>1498</v>
      </c>
      <c r="D806" s="15"/>
      <c r="E806" s="15"/>
      <c r="F806" s="25" t="s">
        <v>278</v>
      </c>
      <c r="G806" s="26">
        <v>1.5</v>
      </c>
      <c r="H806" s="26"/>
      <c r="I806" s="26">
        <v>1381.95</v>
      </c>
      <c r="J806" s="27">
        <v>12.06</v>
      </c>
      <c r="M806" s="28">
        <f>ROUND(ROUND(J806, 2)*I806, 2)</f>
        <v>16666.32</v>
      </c>
      <c r="P806" s="27">
        <v>12.07</v>
      </c>
      <c r="S806" s="28">
        <f>ROUND(ROUND(P806, 2)*I806, 2)</f>
        <v>16680.14</v>
      </c>
      <c r="V806" s="9">
        <f>ROUND(ROUND(P806, 2)/1.2, 2)</f>
        <v>10.06</v>
      </c>
      <c r="Y806" s="9">
        <f t="shared" si="25"/>
        <v>13900.12</v>
      </c>
      <c r="AD806" s="4" t="s">
        <v>2594</v>
      </c>
      <c r="AE806" s="4" t="s">
        <v>2595</v>
      </c>
      <c r="AF806" s="4" t="s">
        <v>1501</v>
      </c>
    </row>
    <row r="807" spans="1:35" ht="90" x14ac:dyDescent="0.3">
      <c r="A807" s="10" t="s">
        <v>2596</v>
      </c>
      <c r="B807" s="10" t="s">
        <v>2597</v>
      </c>
      <c r="C807" s="14" t="s">
        <v>2598</v>
      </c>
      <c r="D807" s="15"/>
      <c r="E807" s="15" t="s">
        <v>2599</v>
      </c>
      <c r="F807" s="15" t="s">
        <v>62</v>
      </c>
      <c r="G807" s="16">
        <v>1</v>
      </c>
      <c r="H807" s="16"/>
      <c r="I807" s="16">
        <v>30</v>
      </c>
      <c r="J807" s="17">
        <f>IFERROR(ROUND(SUM(M808,M809)/I807, 2),0)</f>
        <v>35.61</v>
      </c>
      <c r="K807" s="18">
        <v>546</v>
      </c>
      <c r="L807" s="17">
        <f>J807+ROUND(K807, 2)</f>
        <v>581.61</v>
      </c>
      <c r="M807" s="17">
        <f>ROUND(J807*I807, 2)</f>
        <v>1068.3</v>
      </c>
      <c r="N807" s="17">
        <f>ROUND(I807*ROUND(K807, 2), 2)</f>
        <v>16380</v>
      </c>
      <c r="O807" s="17">
        <f>M807+N807</f>
        <v>17448.3</v>
      </c>
      <c r="P807" s="17">
        <f>IFERROR(ROUND(SUM(S808,S809)/I807, 2),0)</f>
        <v>63.67</v>
      </c>
      <c r="Q807" s="19">
        <v>819</v>
      </c>
      <c r="R807" s="17">
        <f>P807+ROUND(Q807, 2)</f>
        <v>882.67</v>
      </c>
      <c r="S807" s="17">
        <f>ROUND(P807*I807, 2)</f>
        <v>1910.1</v>
      </c>
      <c r="T807" s="17">
        <f>ROUND(I807*ROUND(Q807, 2), 2)</f>
        <v>24570</v>
      </c>
      <c r="U807" s="17">
        <f>S807+T807</f>
        <v>26480.1</v>
      </c>
      <c r="V807" s="9">
        <f>ROUND(P807 / 1.2, 2)</f>
        <v>53.06</v>
      </c>
      <c r="W807" s="9">
        <f>ROUND(Q807 / 1.2, 2)</f>
        <v>682.5</v>
      </c>
      <c r="X807" s="9">
        <f>ROUND(R807 / 1.2, 2)</f>
        <v>735.56</v>
      </c>
      <c r="Y807" s="9">
        <f t="shared" si="25"/>
        <v>1591.75</v>
      </c>
      <c r="Z807" s="9">
        <f>ROUND(T807 / 1.2, 2)</f>
        <v>20475</v>
      </c>
      <c r="AA807" s="9">
        <f>Y807+Z807</f>
        <v>22066.75</v>
      </c>
      <c r="AD807" s="4">
        <v>334080557</v>
      </c>
      <c r="AE807" s="4">
        <v>29299416</v>
      </c>
      <c r="AG807" s="4" t="s">
        <v>2600</v>
      </c>
      <c r="AH807" s="4" t="s">
        <v>2601</v>
      </c>
      <c r="AI807" s="4" t="s">
        <v>250</v>
      </c>
    </row>
    <row r="808" spans="1:35" ht="54" x14ac:dyDescent="0.3">
      <c r="A808" s="10" t="s">
        <v>2602</v>
      </c>
      <c r="B808" s="10"/>
      <c r="C808" s="30" t="s">
        <v>2603</v>
      </c>
      <c r="D808" s="15"/>
      <c r="E808" s="15" t="s">
        <v>2604</v>
      </c>
      <c r="F808" s="25" t="s">
        <v>278</v>
      </c>
      <c r="G808" s="26">
        <v>1.8</v>
      </c>
      <c r="H808" s="26"/>
      <c r="I808" s="26">
        <v>54</v>
      </c>
      <c r="J808" s="27">
        <v>12.26</v>
      </c>
      <c r="M808" s="28">
        <f>ROUND(ROUND(J808, 2)*I808, 2)</f>
        <v>662.04</v>
      </c>
      <c r="P808" s="29">
        <v>27.85</v>
      </c>
      <c r="S808" s="28">
        <f>ROUND(ROUND(P808, 2)*I808, 2)</f>
        <v>1503.9</v>
      </c>
      <c r="V808" s="9">
        <f>ROUND(ROUND(P808, 2)/1.2, 2)</f>
        <v>23.21</v>
      </c>
      <c r="Y808" s="9">
        <f t="shared" si="25"/>
        <v>1253.25</v>
      </c>
      <c r="AD808" s="4" t="s">
        <v>2605</v>
      </c>
      <c r="AE808" s="4" t="s">
        <v>2606</v>
      </c>
      <c r="AF808" s="4" t="s">
        <v>2607</v>
      </c>
    </row>
    <row r="809" spans="1:35" ht="36" x14ac:dyDescent="0.3">
      <c r="A809" s="10" t="s">
        <v>2608</v>
      </c>
      <c r="B809" s="10"/>
      <c r="C809" s="24" t="s">
        <v>304</v>
      </c>
      <c r="D809" s="15"/>
      <c r="E809" s="15"/>
      <c r="F809" s="25" t="s">
        <v>278</v>
      </c>
      <c r="G809" s="26">
        <v>0.15</v>
      </c>
      <c r="H809" s="26"/>
      <c r="I809" s="26">
        <v>4.5</v>
      </c>
      <c r="J809" s="27">
        <v>90.28</v>
      </c>
      <c r="M809" s="28">
        <f>ROUND(ROUND(J809, 2)*I809, 2)</f>
        <v>406.26</v>
      </c>
      <c r="P809" s="29">
        <v>90.28</v>
      </c>
      <c r="S809" s="28">
        <f>ROUND(ROUND(P809, 2)*I809, 2)</f>
        <v>406.26</v>
      </c>
      <c r="V809" s="9">
        <f>ROUND(ROUND(P809, 2)/1.2, 2)</f>
        <v>75.23</v>
      </c>
      <c r="Y809" s="9">
        <f t="shared" si="25"/>
        <v>338.55</v>
      </c>
      <c r="AD809" s="4" t="s">
        <v>2609</v>
      </c>
      <c r="AE809" s="4" t="s">
        <v>2610</v>
      </c>
      <c r="AF809" s="4" t="s">
        <v>307</v>
      </c>
    </row>
    <row r="810" spans="1:35" ht="90" x14ac:dyDescent="0.3">
      <c r="A810" s="10" t="s">
        <v>2611</v>
      </c>
      <c r="B810" s="10" t="s">
        <v>2597</v>
      </c>
      <c r="C810" s="14" t="s">
        <v>2598</v>
      </c>
      <c r="D810" s="15"/>
      <c r="E810" s="15" t="s">
        <v>2612</v>
      </c>
      <c r="F810" s="15" t="s">
        <v>62</v>
      </c>
      <c r="G810" s="16">
        <v>1</v>
      </c>
      <c r="H810" s="16"/>
      <c r="I810" s="16">
        <v>40.700000000000003</v>
      </c>
      <c r="J810" s="17">
        <f>IFERROR(ROUND(SUM(M811,M812)/I810, 2),0)</f>
        <v>35.61</v>
      </c>
      <c r="K810" s="18">
        <v>546</v>
      </c>
      <c r="L810" s="17">
        <f>J810+ROUND(K810, 2)</f>
        <v>581.61</v>
      </c>
      <c r="M810" s="17">
        <f>ROUND(J810*I810, 2)</f>
        <v>1449.33</v>
      </c>
      <c r="N810" s="17">
        <f>ROUND(I810*ROUND(K810, 2), 2)</f>
        <v>22222.2</v>
      </c>
      <c r="O810" s="17">
        <f>M810+N810</f>
        <v>23671.53</v>
      </c>
      <c r="P810" s="17">
        <f>IFERROR(ROUND(SUM(S811,S812)/I810, 2),0)</f>
        <v>71.7</v>
      </c>
      <c r="Q810" s="19">
        <v>819</v>
      </c>
      <c r="R810" s="17">
        <f>P810+ROUND(Q810, 2)</f>
        <v>890.7</v>
      </c>
      <c r="S810" s="17">
        <f>ROUND(P810*I810, 2)</f>
        <v>2918.19</v>
      </c>
      <c r="T810" s="17">
        <f>ROUND(I810*ROUND(Q810, 2), 2)</f>
        <v>33333.300000000003</v>
      </c>
      <c r="U810" s="17">
        <f>S810+T810</f>
        <v>36251.490000000005</v>
      </c>
      <c r="V810" s="9">
        <f>ROUND(P810 / 1.2, 2)</f>
        <v>59.75</v>
      </c>
      <c r="W810" s="9">
        <f>ROUND(Q810 / 1.2, 2)</f>
        <v>682.5</v>
      </c>
      <c r="X810" s="9">
        <f>ROUND(R810 / 1.2, 2)</f>
        <v>742.25</v>
      </c>
      <c r="Y810" s="9">
        <f t="shared" si="25"/>
        <v>2431.83</v>
      </c>
      <c r="Z810" s="9">
        <f>ROUND(T810 / 1.2, 2)</f>
        <v>27777.75</v>
      </c>
      <c r="AA810" s="9">
        <f>Y810+Z810</f>
        <v>30209.58</v>
      </c>
      <c r="AD810" s="4">
        <v>334080758</v>
      </c>
      <c r="AE810" s="4">
        <v>29299417</v>
      </c>
      <c r="AG810" s="4" t="s">
        <v>2600</v>
      </c>
      <c r="AH810" s="4" t="s">
        <v>2601</v>
      </c>
      <c r="AI810" s="4" t="s">
        <v>250</v>
      </c>
    </row>
    <row r="811" spans="1:35" ht="36" x14ac:dyDescent="0.3">
      <c r="A811" s="10" t="s">
        <v>2613</v>
      </c>
      <c r="B811" s="10"/>
      <c r="C811" s="24" t="s">
        <v>304</v>
      </c>
      <c r="D811" s="15"/>
      <c r="E811" s="15"/>
      <c r="F811" s="25" t="s">
        <v>278</v>
      </c>
      <c r="G811" s="26">
        <v>0.15</v>
      </c>
      <c r="H811" s="26"/>
      <c r="I811" s="26">
        <v>6.1050000000000004</v>
      </c>
      <c r="J811" s="27">
        <v>90.28</v>
      </c>
      <c r="M811" s="28">
        <f>ROUND(ROUND(J811, 2)*I811, 2)</f>
        <v>551.16</v>
      </c>
      <c r="P811" s="29">
        <v>90.28</v>
      </c>
      <c r="S811" s="28">
        <f>ROUND(ROUND(P811, 2)*I811, 2)</f>
        <v>551.16</v>
      </c>
      <c r="V811" s="9">
        <f>ROUND(ROUND(P811, 2)/1.2, 2)</f>
        <v>75.23</v>
      </c>
      <c r="Y811" s="9">
        <f t="shared" si="25"/>
        <v>459.3</v>
      </c>
      <c r="AD811" s="4" t="s">
        <v>2614</v>
      </c>
      <c r="AE811" s="4" t="s">
        <v>2615</v>
      </c>
      <c r="AF811" s="4" t="s">
        <v>307</v>
      </c>
    </row>
    <row r="812" spans="1:35" ht="54" x14ac:dyDescent="0.3">
      <c r="A812" s="10" t="s">
        <v>2616</v>
      </c>
      <c r="B812" s="10"/>
      <c r="C812" s="30" t="s">
        <v>2603</v>
      </c>
      <c r="D812" s="15"/>
      <c r="E812" s="15" t="s">
        <v>2617</v>
      </c>
      <c r="F812" s="25" t="s">
        <v>278</v>
      </c>
      <c r="G812" s="26">
        <v>1.8</v>
      </c>
      <c r="H812" s="26"/>
      <c r="I812" s="26">
        <v>73.260000000000005</v>
      </c>
      <c r="J812" s="27">
        <v>12.26</v>
      </c>
      <c r="M812" s="28">
        <f>ROUND(ROUND(J812, 2)*I812, 2)</f>
        <v>898.17</v>
      </c>
      <c r="P812" s="29">
        <v>32.31</v>
      </c>
      <c r="S812" s="28">
        <f>ROUND(ROUND(P812, 2)*I812, 2)</f>
        <v>2367.0300000000002</v>
      </c>
      <c r="V812" s="9">
        <f>ROUND(ROUND(P812, 2)/1.2, 2)</f>
        <v>26.93</v>
      </c>
      <c r="Y812" s="9">
        <f t="shared" si="25"/>
        <v>1972.53</v>
      </c>
      <c r="AD812" s="4" t="s">
        <v>2618</v>
      </c>
      <c r="AE812" s="4" t="s">
        <v>2619</v>
      </c>
      <c r="AF812" s="4" t="s">
        <v>2607</v>
      </c>
    </row>
    <row r="813" spans="1:35" ht="108" x14ac:dyDescent="0.3">
      <c r="A813" s="10" t="s">
        <v>2620</v>
      </c>
      <c r="B813" s="10" t="s">
        <v>2597</v>
      </c>
      <c r="C813" s="14" t="s">
        <v>2598</v>
      </c>
      <c r="D813" s="15"/>
      <c r="E813" s="15" t="s">
        <v>2621</v>
      </c>
      <c r="F813" s="15" t="s">
        <v>62</v>
      </c>
      <c r="G813" s="16">
        <v>1</v>
      </c>
      <c r="H813" s="16"/>
      <c r="I813" s="16">
        <v>36.17</v>
      </c>
      <c r="J813" s="17">
        <f>IFERROR(ROUND(SUM(M814,M815)/I813, 2),0)</f>
        <v>35.61</v>
      </c>
      <c r="K813" s="18">
        <v>546</v>
      </c>
      <c r="L813" s="17">
        <f>J813+ROUND(K813, 2)</f>
        <v>581.61</v>
      </c>
      <c r="M813" s="17">
        <f>ROUND(J813*I813, 2)</f>
        <v>1288.01</v>
      </c>
      <c r="N813" s="17">
        <f>ROUND(I813*ROUND(K813, 2), 2)</f>
        <v>19748.82</v>
      </c>
      <c r="O813" s="17">
        <f>M813+N813</f>
        <v>21036.829999999998</v>
      </c>
      <c r="P813" s="17">
        <f>IFERROR(ROUND(SUM(S814,S815)/I813, 2),0)</f>
        <v>63.67</v>
      </c>
      <c r="Q813" s="19">
        <v>819</v>
      </c>
      <c r="R813" s="17">
        <f>P813+ROUND(Q813, 2)</f>
        <v>882.67</v>
      </c>
      <c r="S813" s="17">
        <f>ROUND(P813*I813, 2)</f>
        <v>2302.94</v>
      </c>
      <c r="T813" s="17">
        <f>ROUND(I813*ROUND(Q813, 2), 2)</f>
        <v>29623.23</v>
      </c>
      <c r="U813" s="17">
        <f>S813+T813</f>
        <v>31926.17</v>
      </c>
      <c r="V813" s="9">
        <f>ROUND(P813 / 1.2, 2)</f>
        <v>53.06</v>
      </c>
      <c r="W813" s="9">
        <f>ROUND(Q813 / 1.2, 2)</f>
        <v>682.5</v>
      </c>
      <c r="X813" s="9">
        <f>ROUND(R813 / 1.2, 2)</f>
        <v>735.56</v>
      </c>
      <c r="Y813" s="9">
        <f t="shared" si="25"/>
        <v>1919.12</v>
      </c>
      <c r="Z813" s="9">
        <f>ROUND(T813 / 1.2, 2)</f>
        <v>24686.03</v>
      </c>
      <c r="AA813" s="9">
        <f>Y813+Z813</f>
        <v>26605.149999999998</v>
      </c>
      <c r="AD813" s="4">
        <v>334080759</v>
      </c>
      <c r="AE813" s="4">
        <v>29299413</v>
      </c>
      <c r="AG813" s="4" t="s">
        <v>2600</v>
      </c>
      <c r="AH813" s="4" t="s">
        <v>2601</v>
      </c>
      <c r="AI813" s="4" t="s">
        <v>250</v>
      </c>
    </row>
    <row r="814" spans="1:35" ht="54" x14ac:dyDescent="0.3">
      <c r="A814" s="10" t="s">
        <v>2622</v>
      </c>
      <c r="B814" s="10"/>
      <c r="C814" s="30" t="s">
        <v>2603</v>
      </c>
      <c r="D814" s="15"/>
      <c r="E814" s="15" t="s">
        <v>2604</v>
      </c>
      <c r="F814" s="25" t="s">
        <v>278</v>
      </c>
      <c r="G814" s="26">
        <v>1.8</v>
      </c>
      <c r="H814" s="26"/>
      <c r="I814" s="26">
        <v>65.105999999999995</v>
      </c>
      <c r="J814" s="27">
        <v>12.26</v>
      </c>
      <c r="M814" s="28">
        <f>ROUND(ROUND(J814, 2)*I814, 2)</f>
        <v>798.2</v>
      </c>
      <c r="P814" s="29">
        <v>27.85</v>
      </c>
      <c r="S814" s="28">
        <f>ROUND(ROUND(P814, 2)*I814, 2)</f>
        <v>1813.2</v>
      </c>
      <c r="V814" s="9">
        <f>ROUND(ROUND(P814, 2)/1.2, 2)</f>
        <v>23.21</v>
      </c>
      <c r="Y814" s="9">
        <f t="shared" si="25"/>
        <v>1511</v>
      </c>
      <c r="AD814" s="4" t="s">
        <v>2623</v>
      </c>
      <c r="AE814" s="4" t="s">
        <v>2624</v>
      </c>
      <c r="AF814" s="4" t="s">
        <v>2607</v>
      </c>
    </row>
    <row r="815" spans="1:35" ht="36" x14ac:dyDescent="0.3">
      <c r="A815" s="10" t="s">
        <v>2625</v>
      </c>
      <c r="B815" s="10"/>
      <c r="C815" s="24" t="s">
        <v>304</v>
      </c>
      <c r="D815" s="15"/>
      <c r="E815" s="15"/>
      <c r="F815" s="25" t="s">
        <v>278</v>
      </c>
      <c r="G815" s="26">
        <v>0.15</v>
      </c>
      <c r="H815" s="26"/>
      <c r="I815" s="26">
        <v>5.4260000000000002</v>
      </c>
      <c r="J815" s="27">
        <v>90.28</v>
      </c>
      <c r="M815" s="28">
        <f>ROUND(ROUND(J815, 2)*I815, 2)</f>
        <v>489.86</v>
      </c>
      <c r="P815" s="29">
        <v>90.28</v>
      </c>
      <c r="S815" s="28">
        <f>ROUND(ROUND(P815, 2)*I815, 2)</f>
        <v>489.86</v>
      </c>
      <c r="V815" s="9">
        <f>ROUND(ROUND(P815, 2)/1.2, 2)</f>
        <v>75.23</v>
      </c>
      <c r="Y815" s="9">
        <f t="shared" si="25"/>
        <v>408.22</v>
      </c>
      <c r="AD815" s="4" t="s">
        <v>2626</v>
      </c>
      <c r="AE815" s="4" t="s">
        <v>2627</v>
      </c>
      <c r="AF815" s="4" t="s">
        <v>307</v>
      </c>
    </row>
    <row r="816" spans="1:35" ht="108" x14ac:dyDescent="0.3">
      <c r="A816" s="10" t="s">
        <v>2628</v>
      </c>
      <c r="B816" s="10" t="s">
        <v>2597</v>
      </c>
      <c r="C816" s="14" t="s">
        <v>2598</v>
      </c>
      <c r="D816" s="15"/>
      <c r="E816" s="15" t="s">
        <v>2629</v>
      </c>
      <c r="F816" s="15" t="s">
        <v>62</v>
      </c>
      <c r="G816" s="16">
        <v>1</v>
      </c>
      <c r="H816" s="16"/>
      <c r="I816" s="16">
        <v>137.6</v>
      </c>
      <c r="J816" s="17">
        <f>IFERROR(ROUND(SUM(M817,M818)/I816, 2),0)</f>
        <v>35.61</v>
      </c>
      <c r="K816" s="18">
        <v>546</v>
      </c>
      <c r="L816" s="17">
        <f>J816+ROUND(K816, 2)</f>
        <v>581.61</v>
      </c>
      <c r="M816" s="17">
        <f>ROUND(J816*I816, 2)</f>
        <v>4899.9399999999996</v>
      </c>
      <c r="N816" s="17">
        <f>ROUND(I816*ROUND(K816, 2), 2)</f>
        <v>75129.600000000006</v>
      </c>
      <c r="O816" s="17">
        <f>M816+N816</f>
        <v>80029.540000000008</v>
      </c>
      <c r="P816" s="17">
        <f>IFERROR(ROUND(SUM(S817,S818)/I816, 2),0)</f>
        <v>35.61</v>
      </c>
      <c r="Q816" s="19">
        <v>819</v>
      </c>
      <c r="R816" s="17">
        <f>P816+ROUND(Q816, 2)</f>
        <v>854.61</v>
      </c>
      <c r="S816" s="17">
        <f>ROUND(P816*I816, 2)</f>
        <v>4899.9399999999996</v>
      </c>
      <c r="T816" s="17">
        <f>ROUND(I816*ROUND(Q816, 2), 2)</f>
        <v>112694.39999999999</v>
      </c>
      <c r="U816" s="17">
        <f>S816+T816</f>
        <v>117594.34</v>
      </c>
      <c r="V816" s="9">
        <f>ROUND(P816 / 1.2, 2)</f>
        <v>29.68</v>
      </c>
      <c r="W816" s="9">
        <f>ROUND(Q816 / 1.2, 2)</f>
        <v>682.5</v>
      </c>
      <c r="X816" s="9">
        <f>ROUND(R816 / 1.2, 2)</f>
        <v>712.18</v>
      </c>
      <c r="Y816" s="9">
        <f t="shared" si="25"/>
        <v>4083.28</v>
      </c>
      <c r="Z816" s="9">
        <f>ROUND(T816 / 1.2, 2)</f>
        <v>93912</v>
      </c>
      <c r="AA816" s="9">
        <f>Y816+Z816</f>
        <v>97995.28</v>
      </c>
      <c r="AD816" s="4">
        <v>334080760</v>
      </c>
      <c r="AE816" s="4">
        <v>29299418</v>
      </c>
      <c r="AG816" s="4" t="s">
        <v>2600</v>
      </c>
      <c r="AH816" s="4" t="s">
        <v>2601</v>
      </c>
      <c r="AI816" s="4" t="s">
        <v>250</v>
      </c>
    </row>
    <row r="817" spans="1:35" ht="36" x14ac:dyDescent="0.3">
      <c r="A817" s="10" t="s">
        <v>2630</v>
      </c>
      <c r="B817" s="10"/>
      <c r="C817" s="24" t="s">
        <v>304</v>
      </c>
      <c r="D817" s="15"/>
      <c r="E817" s="15"/>
      <c r="F817" s="25" t="s">
        <v>278</v>
      </c>
      <c r="G817" s="26">
        <v>0.15</v>
      </c>
      <c r="H817" s="26"/>
      <c r="I817" s="26">
        <v>20.64</v>
      </c>
      <c r="J817" s="27">
        <v>90.28</v>
      </c>
      <c r="M817" s="28">
        <f>ROUND(ROUND(J817, 2)*I817, 2)</f>
        <v>1863.38</v>
      </c>
      <c r="P817" s="29">
        <v>90.28</v>
      </c>
      <c r="S817" s="28">
        <f>ROUND(ROUND(P817, 2)*I817, 2)</f>
        <v>1863.38</v>
      </c>
      <c r="V817" s="9">
        <f>ROUND(ROUND(P817, 2)/1.2, 2)</f>
        <v>75.23</v>
      </c>
      <c r="Y817" s="9">
        <f t="shared" si="25"/>
        <v>1552.82</v>
      </c>
      <c r="AD817" s="4" t="s">
        <v>2631</v>
      </c>
      <c r="AE817" s="4" t="s">
        <v>2632</v>
      </c>
      <c r="AF817" s="4" t="s">
        <v>307</v>
      </c>
    </row>
    <row r="818" spans="1:35" ht="54" x14ac:dyDescent="0.3">
      <c r="A818" s="10" t="s">
        <v>2633</v>
      </c>
      <c r="B818" s="10"/>
      <c r="C818" s="30" t="s">
        <v>2603</v>
      </c>
      <c r="D818" s="15"/>
      <c r="E818" s="15"/>
      <c r="F818" s="25" t="s">
        <v>278</v>
      </c>
      <c r="G818" s="26">
        <v>1.8</v>
      </c>
      <c r="H818" s="26"/>
      <c r="I818" s="26">
        <v>247.68</v>
      </c>
      <c r="J818" s="27">
        <v>12.26</v>
      </c>
      <c r="M818" s="28">
        <f>ROUND(ROUND(J818, 2)*I818, 2)</f>
        <v>3036.56</v>
      </c>
      <c r="P818" s="29">
        <v>12.26</v>
      </c>
      <c r="S818" s="28">
        <f>ROUND(ROUND(P818, 2)*I818, 2)</f>
        <v>3036.56</v>
      </c>
      <c r="V818" s="9">
        <f>ROUND(ROUND(P818, 2)/1.2, 2)</f>
        <v>10.220000000000001</v>
      </c>
      <c r="Y818" s="9">
        <f t="shared" si="25"/>
        <v>2530.4699999999998</v>
      </c>
      <c r="AD818" s="4" t="s">
        <v>2634</v>
      </c>
      <c r="AE818" s="4" t="s">
        <v>2635</v>
      </c>
      <c r="AF818" s="4" t="s">
        <v>2607</v>
      </c>
    </row>
    <row r="819" spans="1:35" ht="108" x14ac:dyDescent="0.3">
      <c r="A819" s="10" t="s">
        <v>2636</v>
      </c>
      <c r="B819" s="10" t="s">
        <v>2597</v>
      </c>
      <c r="C819" s="14" t="s">
        <v>2598</v>
      </c>
      <c r="D819" s="15"/>
      <c r="E819" s="15" t="s">
        <v>2637</v>
      </c>
      <c r="F819" s="15" t="s">
        <v>62</v>
      </c>
      <c r="G819" s="16">
        <v>1</v>
      </c>
      <c r="H819" s="16"/>
      <c r="I819" s="16">
        <v>237.32</v>
      </c>
      <c r="J819" s="17">
        <f>IFERROR(ROUND(SUM(M820,M821)/I819, 2),0)</f>
        <v>35.61</v>
      </c>
      <c r="K819" s="18">
        <v>546</v>
      </c>
      <c r="L819" s="17">
        <f>J819+ROUND(K819, 2)</f>
        <v>581.61</v>
      </c>
      <c r="M819" s="17">
        <f>ROUND(J819*I819, 2)</f>
        <v>8450.9699999999993</v>
      </c>
      <c r="N819" s="17">
        <f>ROUND(I819*ROUND(K819, 2), 2)</f>
        <v>129576.72</v>
      </c>
      <c r="O819" s="17">
        <f>M819+N819</f>
        <v>138027.69</v>
      </c>
      <c r="P819" s="17">
        <f>IFERROR(ROUND(SUM(S820,S821)/I819, 2),0)</f>
        <v>52.82</v>
      </c>
      <c r="Q819" s="19">
        <v>819</v>
      </c>
      <c r="R819" s="17">
        <f>P819+ROUND(Q819, 2)</f>
        <v>871.82</v>
      </c>
      <c r="S819" s="17">
        <f>ROUND(P819*I819, 2)</f>
        <v>12535.24</v>
      </c>
      <c r="T819" s="17">
        <f>ROUND(I819*ROUND(Q819, 2), 2)</f>
        <v>194365.08</v>
      </c>
      <c r="U819" s="17">
        <f>S819+T819</f>
        <v>206900.31999999998</v>
      </c>
      <c r="V819" s="9">
        <f>ROUND(P819 / 1.2, 2)</f>
        <v>44.02</v>
      </c>
      <c r="W819" s="9">
        <f>ROUND(Q819 / 1.2, 2)</f>
        <v>682.5</v>
      </c>
      <c r="X819" s="9">
        <f>ROUND(R819 / 1.2, 2)</f>
        <v>726.52</v>
      </c>
      <c r="Y819" s="9">
        <f t="shared" si="25"/>
        <v>10446.030000000001</v>
      </c>
      <c r="Z819" s="9">
        <f>ROUND(T819 / 1.2, 2)</f>
        <v>161970.9</v>
      </c>
      <c r="AA819" s="9">
        <f>Y819+Z819</f>
        <v>172416.93</v>
      </c>
      <c r="AD819" s="4">
        <v>334080761</v>
      </c>
      <c r="AE819" s="4">
        <v>29299419</v>
      </c>
      <c r="AG819" s="4" t="s">
        <v>2600</v>
      </c>
      <c r="AH819" s="4" t="s">
        <v>2601</v>
      </c>
      <c r="AI819" s="4" t="s">
        <v>250</v>
      </c>
    </row>
    <row r="820" spans="1:35" ht="54" x14ac:dyDescent="0.3">
      <c r="A820" s="10" t="s">
        <v>2638</v>
      </c>
      <c r="B820" s="10"/>
      <c r="C820" s="30" t="s">
        <v>2603</v>
      </c>
      <c r="D820" s="15"/>
      <c r="E820" s="15" t="s">
        <v>2639</v>
      </c>
      <c r="F820" s="25" t="s">
        <v>278</v>
      </c>
      <c r="G820" s="26">
        <v>1.8</v>
      </c>
      <c r="H820" s="26"/>
      <c r="I820" s="26">
        <v>427.17599999999999</v>
      </c>
      <c r="J820" s="27">
        <v>12.26</v>
      </c>
      <c r="M820" s="28">
        <f>ROUND(ROUND(J820, 2)*I820, 2)</f>
        <v>5237.18</v>
      </c>
      <c r="P820" s="29">
        <v>21.82</v>
      </c>
      <c r="S820" s="28">
        <f>ROUND(ROUND(P820, 2)*I820, 2)</f>
        <v>9320.98</v>
      </c>
      <c r="V820" s="9">
        <f>ROUND(ROUND(P820, 2)/1.2, 2)</f>
        <v>18.18</v>
      </c>
      <c r="Y820" s="9">
        <f t="shared" si="25"/>
        <v>7767.48</v>
      </c>
      <c r="AD820" s="4" t="s">
        <v>2640</v>
      </c>
      <c r="AE820" s="4" t="s">
        <v>2641</v>
      </c>
      <c r="AF820" s="4" t="s">
        <v>2607</v>
      </c>
    </row>
    <row r="821" spans="1:35" ht="36" x14ac:dyDescent="0.3">
      <c r="A821" s="10" t="s">
        <v>2642</v>
      </c>
      <c r="B821" s="10"/>
      <c r="C821" s="24" t="s">
        <v>304</v>
      </c>
      <c r="D821" s="15"/>
      <c r="E821" s="15"/>
      <c r="F821" s="25" t="s">
        <v>278</v>
      </c>
      <c r="G821" s="26">
        <v>0.15</v>
      </c>
      <c r="H821" s="26"/>
      <c r="I821" s="26">
        <v>35.597999999999999</v>
      </c>
      <c r="J821" s="27">
        <v>90.28</v>
      </c>
      <c r="M821" s="28">
        <f>ROUND(ROUND(J821, 2)*I821, 2)</f>
        <v>3213.79</v>
      </c>
      <c r="P821" s="29">
        <v>90.28</v>
      </c>
      <c r="S821" s="28">
        <f>ROUND(ROUND(P821, 2)*I821, 2)</f>
        <v>3213.79</v>
      </c>
      <c r="V821" s="9">
        <f>ROUND(ROUND(P821, 2)/1.2, 2)</f>
        <v>75.23</v>
      </c>
      <c r="Y821" s="9">
        <f t="shared" si="25"/>
        <v>2678.16</v>
      </c>
      <c r="AD821" s="4" t="s">
        <v>2643</v>
      </c>
      <c r="AE821" s="4" t="s">
        <v>2644</v>
      </c>
      <c r="AF821" s="4" t="s">
        <v>307</v>
      </c>
    </row>
    <row r="822" spans="1:35" ht="90" x14ac:dyDescent="0.3">
      <c r="A822" s="10" t="s">
        <v>2645</v>
      </c>
      <c r="B822" s="10" t="s">
        <v>2597</v>
      </c>
      <c r="C822" s="14" t="s">
        <v>2598</v>
      </c>
      <c r="D822" s="15"/>
      <c r="E822" s="15" t="s">
        <v>2646</v>
      </c>
      <c r="F822" s="15" t="s">
        <v>62</v>
      </c>
      <c r="G822" s="16">
        <v>1</v>
      </c>
      <c r="H822" s="16"/>
      <c r="I822" s="16">
        <v>996.23</v>
      </c>
      <c r="J822" s="17">
        <f>IFERROR(ROUND(SUM(M823,M824)/I822, 2),0)</f>
        <v>35.61</v>
      </c>
      <c r="K822" s="18">
        <v>546</v>
      </c>
      <c r="L822" s="17">
        <f>J822+ROUND(K822, 2)</f>
        <v>581.61</v>
      </c>
      <c r="M822" s="17">
        <f>ROUND(J822*I822, 2)</f>
        <v>35475.75</v>
      </c>
      <c r="N822" s="17">
        <f>ROUND(I822*ROUND(K822, 2), 2)</f>
        <v>543941.57999999996</v>
      </c>
      <c r="O822" s="17">
        <f>M822+N822</f>
        <v>579417.32999999996</v>
      </c>
      <c r="P822" s="17">
        <f>IFERROR(ROUND(SUM(S823,S824)/I822, 2),0)</f>
        <v>35.61</v>
      </c>
      <c r="Q822" s="19">
        <v>819</v>
      </c>
      <c r="R822" s="17">
        <f>P822+ROUND(Q822, 2)</f>
        <v>854.61</v>
      </c>
      <c r="S822" s="17">
        <f>ROUND(P822*I822, 2)</f>
        <v>35475.75</v>
      </c>
      <c r="T822" s="17">
        <f>ROUND(I822*ROUND(Q822, 2), 2)</f>
        <v>815912.37</v>
      </c>
      <c r="U822" s="17">
        <f>S822+T822</f>
        <v>851388.12</v>
      </c>
      <c r="V822" s="9">
        <f>ROUND(P822 / 1.2, 2)</f>
        <v>29.68</v>
      </c>
      <c r="W822" s="9">
        <f>ROUND(Q822 / 1.2, 2)</f>
        <v>682.5</v>
      </c>
      <c r="X822" s="9">
        <f>ROUND(R822 / 1.2, 2)</f>
        <v>712.18</v>
      </c>
      <c r="Y822" s="9">
        <f t="shared" si="25"/>
        <v>29563.13</v>
      </c>
      <c r="Z822" s="9">
        <f>ROUND(T822 / 1.2, 2)</f>
        <v>679926.98</v>
      </c>
      <c r="AA822" s="9">
        <f>Y822+Z822</f>
        <v>709490.11</v>
      </c>
      <c r="AD822" s="4">
        <v>334080762</v>
      </c>
      <c r="AE822" s="4">
        <v>29299414</v>
      </c>
      <c r="AG822" s="4" t="s">
        <v>2600</v>
      </c>
      <c r="AH822" s="4" t="s">
        <v>2601</v>
      </c>
      <c r="AI822" s="4" t="s">
        <v>250</v>
      </c>
    </row>
    <row r="823" spans="1:35" ht="36" x14ac:dyDescent="0.3">
      <c r="A823" s="10" t="s">
        <v>2647</v>
      </c>
      <c r="B823" s="10"/>
      <c r="C823" s="24" t="s">
        <v>304</v>
      </c>
      <c r="D823" s="15"/>
      <c r="E823" s="15"/>
      <c r="F823" s="25" t="s">
        <v>278</v>
      </c>
      <c r="G823" s="26">
        <v>0.15</v>
      </c>
      <c r="H823" s="26"/>
      <c r="I823" s="26">
        <v>149.435</v>
      </c>
      <c r="J823" s="27">
        <v>90.28</v>
      </c>
      <c r="M823" s="28">
        <f>ROUND(ROUND(J823, 2)*I823, 2)</f>
        <v>13490.99</v>
      </c>
      <c r="P823" s="29">
        <v>90.28</v>
      </c>
      <c r="S823" s="28">
        <f>ROUND(ROUND(P823, 2)*I823, 2)</f>
        <v>13490.99</v>
      </c>
      <c r="V823" s="9">
        <f>ROUND(ROUND(P823, 2)/1.2, 2)</f>
        <v>75.23</v>
      </c>
      <c r="Y823" s="9">
        <f t="shared" si="25"/>
        <v>11242.49</v>
      </c>
      <c r="AD823" s="4" t="s">
        <v>2648</v>
      </c>
      <c r="AE823" s="4" t="s">
        <v>2649</v>
      </c>
      <c r="AF823" s="4" t="s">
        <v>307</v>
      </c>
    </row>
    <row r="824" spans="1:35" ht="54" x14ac:dyDescent="0.3">
      <c r="A824" s="10" t="s">
        <v>2650</v>
      </c>
      <c r="B824" s="10"/>
      <c r="C824" s="30" t="s">
        <v>2603</v>
      </c>
      <c r="D824" s="15"/>
      <c r="E824" s="15"/>
      <c r="F824" s="25" t="s">
        <v>278</v>
      </c>
      <c r="G824" s="26">
        <v>1.8</v>
      </c>
      <c r="H824" s="26"/>
      <c r="I824" s="26">
        <v>1793.2139999999999</v>
      </c>
      <c r="J824" s="27">
        <v>12.26</v>
      </c>
      <c r="M824" s="28">
        <f>ROUND(ROUND(J824, 2)*I824, 2)</f>
        <v>21984.799999999999</v>
      </c>
      <c r="P824" s="29">
        <v>12.26</v>
      </c>
      <c r="S824" s="28">
        <f>ROUND(ROUND(P824, 2)*I824, 2)</f>
        <v>21984.799999999999</v>
      </c>
      <c r="V824" s="9">
        <f>ROUND(ROUND(P824, 2)/1.2, 2)</f>
        <v>10.220000000000001</v>
      </c>
      <c r="Y824" s="9">
        <f t="shared" si="25"/>
        <v>18320.669999999998</v>
      </c>
      <c r="AD824" s="4" t="s">
        <v>2651</v>
      </c>
      <c r="AE824" s="4" t="s">
        <v>2652</v>
      </c>
      <c r="AF824" s="4" t="s">
        <v>2607</v>
      </c>
    </row>
    <row r="825" spans="1:35" ht="90" x14ac:dyDescent="0.3">
      <c r="A825" s="10" t="s">
        <v>2653</v>
      </c>
      <c r="B825" s="10" t="s">
        <v>2597</v>
      </c>
      <c r="C825" s="14" t="s">
        <v>2598</v>
      </c>
      <c r="D825" s="15"/>
      <c r="E825" s="15" t="s">
        <v>2654</v>
      </c>
      <c r="F825" s="15" t="s">
        <v>62</v>
      </c>
      <c r="G825" s="16">
        <v>1</v>
      </c>
      <c r="H825" s="16"/>
      <c r="I825" s="16">
        <v>1173.78</v>
      </c>
      <c r="J825" s="17">
        <f>IFERROR(ROUND(SUM(M826,M827)/I825, 2),0)</f>
        <v>35.61</v>
      </c>
      <c r="K825" s="18">
        <v>546</v>
      </c>
      <c r="L825" s="17">
        <f>J825+ROUND(K825, 2)</f>
        <v>581.61</v>
      </c>
      <c r="M825" s="17">
        <f>ROUND(J825*I825, 2)</f>
        <v>41798.31</v>
      </c>
      <c r="N825" s="17">
        <f>ROUND(I825*ROUND(K825, 2), 2)</f>
        <v>640883.88</v>
      </c>
      <c r="O825" s="17">
        <f>M825+N825</f>
        <v>682682.19</v>
      </c>
      <c r="P825" s="17">
        <f>IFERROR(ROUND(SUM(S826,S827)/I825, 2),0)</f>
        <v>52.82</v>
      </c>
      <c r="Q825" s="19">
        <v>819</v>
      </c>
      <c r="R825" s="17">
        <f>P825+ROUND(Q825, 2)</f>
        <v>871.82</v>
      </c>
      <c r="S825" s="17">
        <f>ROUND(P825*I825, 2)</f>
        <v>61999.06</v>
      </c>
      <c r="T825" s="17">
        <f>ROUND(I825*ROUND(Q825, 2), 2)</f>
        <v>961325.82</v>
      </c>
      <c r="U825" s="17">
        <f>S825+T825</f>
        <v>1023324.8799999999</v>
      </c>
      <c r="V825" s="9">
        <f>ROUND(P825 / 1.2, 2)</f>
        <v>44.02</v>
      </c>
      <c r="W825" s="9">
        <f>ROUND(Q825 / 1.2, 2)</f>
        <v>682.5</v>
      </c>
      <c r="X825" s="9">
        <f>ROUND(R825 / 1.2, 2)</f>
        <v>726.52</v>
      </c>
      <c r="Y825" s="9">
        <f t="shared" si="25"/>
        <v>51665.88</v>
      </c>
      <c r="Z825" s="9">
        <f>ROUND(T825 / 1.2, 2)</f>
        <v>801104.85</v>
      </c>
      <c r="AA825" s="9">
        <f>Y825+Z825</f>
        <v>852770.73</v>
      </c>
      <c r="AD825" s="4">
        <v>334080763</v>
      </c>
      <c r="AE825" s="4">
        <v>29299415</v>
      </c>
      <c r="AG825" s="4" t="s">
        <v>2600</v>
      </c>
      <c r="AH825" s="4" t="s">
        <v>2601</v>
      </c>
      <c r="AI825" s="4" t="s">
        <v>250</v>
      </c>
    </row>
    <row r="826" spans="1:35" ht="54" x14ac:dyDescent="0.3">
      <c r="A826" s="10" t="s">
        <v>2655</v>
      </c>
      <c r="B826" s="10"/>
      <c r="C826" s="30" t="s">
        <v>2603</v>
      </c>
      <c r="D826" s="15"/>
      <c r="E826" s="15" t="s">
        <v>2639</v>
      </c>
      <c r="F826" s="25" t="s">
        <v>278</v>
      </c>
      <c r="G826" s="26">
        <v>1.8</v>
      </c>
      <c r="H826" s="26"/>
      <c r="I826" s="26">
        <v>2112.8040000000001</v>
      </c>
      <c r="J826" s="27">
        <v>12.26</v>
      </c>
      <c r="M826" s="28">
        <f>ROUND(ROUND(J826, 2)*I826, 2)</f>
        <v>25902.98</v>
      </c>
      <c r="P826" s="29">
        <v>21.82</v>
      </c>
      <c r="S826" s="28">
        <f>ROUND(ROUND(P826, 2)*I826, 2)</f>
        <v>46101.38</v>
      </c>
      <c r="V826" s="9">
        <f>ROUND(ROUND(P826, 2)/1.2, 2)</f>
        <v>18.18</v>
      </c>
      <c r="Y826" s="9">
        <f t="shared" si="25"/>
        <v>38417.82</v>
      </c>
      <c r="AD826" s="4" t="s">
        <v>2656</v>
      </c>
      <c r="AE826" s="4" t="s">
        <v>2657</v>
      </c>
      <c r="AF826" s="4" t="s">
        <v>2607</v>
      </c>
    </row>
    <row r="827" spans="1:35" ht="36" x14ac:dyDescent="0.3">
      <c r="A827" s="10" t="s">
        <v>2658</v>
      </c>
      <c r="B827" s="10"/>
      <c r="C827" s="24" t="s">
        <v>304</v>
      </c>
      <c r="D827" s="15"/>
      <c r="E827" s="15"/>
      <c r="F827" s="25" t="s">
        <v>278</v>
      </c>
      <c r="G827" s="26">
        <v>0.15</v>
      </c>
      <c r="H827" s="26"/>
      <c r="I827" s="26">
        <v>176.06700000000001</v>
      </c>
      <c r="J827" s="27">
        <v>90.28</v>
      </c>
      <c r="M827" s="28">
        <f>ROUND(ROUND(J827, 2)*I827, 2)</f>
        <v>15895.33</v>
      </c>
      <c r="P827" s="29">
        <v>90.28</v>
      </c>
      <c r="S827" s="28">
        <f>ROUND(ROUND(P827, 2)*I827, 2)</f>
        <v>15895.33</v>
      </c>
      <c r="V827" s="9">
        <f>ROUND(ROUND(P827, 2)/1.2, 2)</f>
        <v>75.23</v>
      </c>
      <c r="Y827" s="9">
        <f t="shared" si="25"/>
        <v>13246.11</v>
      </c>
      <c r="AD827" s="4" t="s">
        <v>2659</v>
      </c>
      <c r="AE827" s="4" t="s">
        <v>2660</v>
      </c>
      <c r="AF827" s="4" t="s">
        <v>307</v>
      </c>
    </row>
    <row r="828" spans="1:35" ht="16.95" customHeight="1" x14ac:dyDescent="0.3">
      <c r="A828" s="10" t="s">
        <v>2661</v>
      </c>
      <c r="B828" s="10" t="s">
        <v>2662</v>
      </c>
      <c r="C828" s="91" t="s">
        <v>2663</v>
      </c>
      <c r="D828" s="92"/>
      <c r="E828" s="92"/>
      <c r="F828" s="92"/>
      <c r="G828" s="92"/>
      <c r="H828" s="92"/>
      <c r="I828" s="93"/>
      <c r="M828" s="6">
        <f>SUM(M829,M832,M835,M838,M841,M844,M847,M850,M853,M856,M859)</f>
        <v>2078209.1500000004</v>
      </c>
      <c r="N828" s="6">
        <f>SUM(N829,N832,N835,N838,N841,N844,N847,N850,N853,N856,N859)</f>
        <v>4275175.3599999994</v>
      </c>
      <c r="O828" s="6">
        <f>SUM(O829,O832,O835,O838,O841,O844,O847,O850,O853,O856,O859)</f>
        <v>6353384.5100000007</v>
      </c>
      <c r="S828" s="6">
        <f>SUM(S829,S832,S835,S838,S841,S844,S847,S850,S853,S856,S859)</f>
        <v>1181876.03</v>
      </c>
      <c r="T828" s="6">
        <f>SUM(T829,T832,T835,T838,T841,T844,T847,T850,T853,T856,T859)</f>
        <v>6412763.04</v>
      </c>
      <c r="U828" s="6">
        <f>SUM(U829,U832,U835,U838,U841,U844,U847,U850,U853,U856,U859)</f>
        <v>7594639.0699999994</v>
      </c>
      <c r="Y828" s="9">
        <f>SUM(Y829,Y832,Y835,Y838,Y841,Y844,Y847,Y850,Y853,Y856,Y859)</f>
        <v>984896.70000000007</v>
      </c>
      <c r="Z828" s="9">
        <f>SUM(Z829,Z832,Z835,Z838,Z841,Z844,Z847,Z850,Z853,Z856,Z859)</f>
        <v>5343969.1999999993</v>
      </c>
      <c r="AA828" s="9">
        <f>SUM(AA829,AA832,AA835,AA838,AA841,AA844,AA847,AA850,AA853,AA856,AA859)</f>
        <v>6328865.8999999994</v>
      </c>
      <c r="AD828" s="4">
        <v>334080558</v>
      </c>
      <c r="AE828" s="4">
        <v>27245700</v>
      </c>
    </row>
    <row r="829" spans="1:35" ht="36" x14ac:dyDescent="0.3">
      <c r="A829" s="10" t="s">
        <v>2664</v>
      </c>
      <c r="B829" s="10" t="s">
        <v>2665</v>
      </c>
      <c r="C829" s="14" t="s">
        <v>2666</v>
      </c>
      <c r="D829" s="15"/>
      <c r="E829" s="15"/>
      <c r="F829" s="15" t="s">
        <v>62</v>
      </c>
      <c r="G829" s="16">
        <v>1</v>
      </c>
      <c r="H829" s="16"/>
      <c r="I829" s="16">
        <v>0</v>
      </c>
      <c r="J829" s="17">
        <v>0</v>
      </c>
      <c r="K829" s="18">
        <v>464</v>
      </c>
      <c r="L829" s="17">
        <f>J829+ROUND(K829, 2)</f>
        <v>464</v>
      </c>
      <c r="M829" s="17">
        <v>0</v>
      </c>
      <c r="N829" s="17">
        <v>0</v>
      </c>
      <c r="O829" s="17">
        <f>M829+N829</f>
        <v>0</v>
      </c>
      <c r="P829" s="17">
        <v>162.09</v>
      </c>
      <c r="Q829" s="18">
        <v>464</v>
      </c>
      <c r="R829" s="17">
        <f>P829+ROUND(Q829, 2)</f>
        <v>626.09</v>
      </c>
      <c r="S829" s="17">
        <v>0</v>
      </c>
      <c r="T829" s="17">
        <v>0</v>
      </c>
      <c r="U829" s="17">
        <f>S829+T829</f>
        <v>0</v>
      </c>
      <c r="V829" s="9">
        <f>ROUND(P829 / 1.2, 2)</f>
        <v>135.08000000000001</v>
      </c>
      <c r="W829" s="9">
        <f>ROUND(Q829 / 1.2, 2)</f>
        <v>386.67</v>
      </c>
      <c r="X829" s="9">
        <f>ROUND(R829 / 1.2, 2)</f>
        <v>521.74</v>
      </c>
      <c r="Y829" s="9">
        <f>ROUND(S829 / 1.2, 2)</f>
        <v>0</v>
      </c>
      <c r="Z829" s="9">
        <f>ROUND(T829 / 1.2, 2)</f>
        <v>0</v>
      </c>
      <c r="AA829" s="9">
        <f>Y829+Z829</f>
        <v>0</v>
      </c>
      <c r="AD829" s="4">
        <v>334080560</v>
      </c>
      <c r="AE829" s="4">
        <v>27245613</v>
      </c>
      <c r="AG829" s="4" t="s">
        <v>2667</v>
      </c>
      <c r="AH829" s="4" t="s">
        <v>2668</v>
      </c>
      <c r="AI829" s="4" t="s">
        <v>250</v>
      </c>
    </row>
    <row r="830" spans="1:35" ht="72" x14ac:dyDescent="0.3">
      <c r="A830" s="10" t="s">
        <v>2669</v>
      </c>
      <c r="B830" s="10"/>
      <c r="C830" s="24" t="s">
        <v>1757</v>
      </c>
      <c r="D830" s="15"/>
      <c r="E830" s="15" t="s">
        <v>2670</v>
      </c>
      <c r="F830" s="25" t="s">
        <v>278</v>
      </c>
      <c r="G830" s="26">
        <v>0.3</v>
      </c>
      <c r="H830" s="26"/>
      <c r="I830" s="26">
        <v>0</v>
      </c>
      <c r="J830" s="27">
        <v>1216.56</v>
      </c>
      <c r="M830" s="28">
        <f>ROUND(ROUND(J830, 2)*I830, 2)</f>
        <v>0</v>
      </c>
      <c r="P830" s="27">
        <v>495.9</v>
      </c>
      <c r="S830" s="28">
        <f>ROUND(ROUND(P830, 2)*I830, 2)</f>
        <v>0</v>
      </c>
      <c r="V830" s="9">
        <f>ROUND(ROUND(P830, 2)/1.2, 2)</f>
        <v>413.25</v>
      </c>
      <c r="Y830" s="9">
        <f t="shared" ref="Y830:Y861" si="26">ROUND(S830 / 1.2, 2)</f>
        <v>0</v>
      </c>
      <c r="AD830" s="4" t="s">
        <v>2671</v>
      </c>
      <c r="AE830" s="4" t="s">
        <v>2672</v>
      </c>
      <c r="AF830" s="4" t="s">
        <v>1760</v>
      </c>
    </row>
    <row r="831" spans="1:35" ht="36" x14ac:dyDescent="0.3">
      <c r="A831" s="10" t="s">
        <v>2673</v>
      </c>
      <c r="B831" s="10"/>
      <c r="C831" s="24" t="s">
        <v>1007</v>
      </c>
      <c r="D831" s="15"/>
      <c r="E831" s="15"/>
      <c r="F831" s="25" t="s">
        <v>278</v>
      </c>
      <c r="G831" s="26">
        <v>0.15</v>
      </c>
      <c r="H831" s="26"/>
      <c r="I831" s="26">
        <v>0</v>
      </c>
      <c r="J831" s="27">
        <v>88.8</v>
      </c>
      <c r="M831" s="28">
        <f>ROUND(ROUND(J831, 2)*I831, 2)</f>
        <v>0</v>
      </c>
      <c r="P831" s="27">
        <v>88.8</v>
      </c>
      <c r="S831" s="28">
        <f>ROUND(ROUND(P831, 2)*I831, 2)</f>
        <v>0</v>
      </c>
      <c r="V831" s="9">
        <f>ROUND(ROUND(P831, 2)/1.2, 2)</f>
        <v>74</v>
      </c>
      <c r="Y831" s="9">
        <f t="shared" si="26"/>
        <v>0</v>
      </c>
      <c r="AD831" s="4" t="s">
        <v>2674</v>
      </c>
      <c r="AE831" s="4" t="s">
        <v>2675</v>
      </c>
      <c r="AF831" s="4" t="s">
        <v>1010</v>
      </c>
    </row>
    <row r="832" spans="1:35" ht="36" x14ac:dyDescent="0.3">
      <c r="A832" s="10" t="s">
        <v>2676</v>
      </c>
      <c r="B832" s="10" t="s">
        <v>2665</v>
      </c>
      <c r="C832" s="14" t="s">
        <v>2666</v>
      </c>
      <c r="D832" s="15"/>
      <c r="E832" s="15"/>
      <c r="F832" s="15" t="s">
        <v>62</v>
      </c>
      <c r="G832" s="16">
        <v>1</v>
      </c>
      <c r="H832" s="16"/>
      <c r="I832" s="16">
        <v>0</v>
      </c>
      <c r="J832" s="17">
        <v>0</v>
      </c>
      <c r="K832" s="18">
        <v>464</v>
      </c>
      <c r="L832" s="17">
        <f>J832+ROUND(K832, 2)</f>
        <v>464</v>
      </c>
      <c r="M832" s="17">
        <v>0</v>
      </c>
      <c r="N832" s="17">
        <v>0</v>
      </c>
      <c r="O832" s="17">
        <f>M832+N832</f>
        <v>0</v>
      </c>
      <c r="P832" s="17">
        <v>162.09</v>
      </c>
      <c r="Q832" s="18">
        <v>464</v>
      </c>
      <c r="R832" s="17">
        <f>P832+ROUND(Q832, 2)</f>
        <v>626.09</v>
      </c>
      <c r="S832" s="17">
        <v>0</v>
      </c>
      <c r="T832" s="17">
        <v>0</v>
      </c>
      <c r="U832" s="17">
        <f>S832+T832</f>
        <v>0</v>
      </c>
      <c r="V832" s="9">
        <f>ROUND(P832 / 1.2, 2)</f>
        <v>135.08000000000001</v>
      </c>
      <c r="W832" s="9">
        <f>ROUND(Q832 / 1.2, 2)</f>
        <v>386.67</v>
      </c>
      <c r="X832" s="9">
        <f>ROUND(R832 / 1.2, 2)</f>
        <v>521.74</v>
      </c>
      <c r="Y832" s="9">
        <f t="shared" si="26"/>
        <v>0</v>
      </c>
      <c r="Z832" s="9">
        <f>ROUND(T832 / 1.2, 2)</f>
        <v>0</v>
      </c>
      <c r="AA832" s="9">
        <f>Y832+Z832</f>
        <v>0</v>
      </c>
      <c r="AD832" s="4">
        <v>334080764</v>
      </c>
      <c r="AE832" s="4">
        <v>27245614</v>
      </c>
      <c r="AG832" s="4" t="s">
        <v>2667</v>
      </c>
      <c r="AH832" s="4" t="s">
        <v>2668</v>
      </c>
      <c r="AI832" s="4" t="s">
        <v>250</v>
      </c>
    </row>
    <row r="833" spans="1:35" ht="36" x14ac:dyDescent="0.3">
      <c r="A833" s="10" t="s">
        <v>2677</v>
      </c>
      <c r="B833" s="10"/>
      <c r="C833" s="24" t="s">
        <v>1007</v>
      </c>
      <c r="D833" s="15"/>
      <c r="E833" s="15"/>
      <c r="F833" s="25" t="s">
        <v>278</v>
      </c>
      <c r="G833" s="26">
        <v>0.15</v>
      </c>
      <c r="H833" s="26"/>
      <c r="I833" s="26">
        <v>0</v>
      </c>
      <c r="J833" s="27">
        <v>88.8</v>
      </c>
      <c r="M833" s="28">
        <f>ROUND(ROUND(J833, 2)*I833, 2)</f>
        <v>0</v>
      </c>
      <c r="P833" s="27">
        <v>88.8</v>
      </c>
      <c r="S833" s="28">
        <f>ROUND(ROUND(P833, 2)*I833, 2)</f>
        <v>0</v>
      </c>
      <c r="V833" s="9">
        <f>ROUND(ROUND(P833, 2)/1.2, 2)</f>
        <v>74</v>
      </c>
      <c r="Y833" s="9">
        <f t="shared" si="26"/>
        <v>0</v>
      </c>
      <c r="AD833" s="4" t="s">
        <v>2678</v>
      </c>
      <c r="AE833" s="4" t="s">
        <v>2679</v>
      </c>
      <c r="AF833" s="4" t="s">
        <v>1010</v>
      </c>
    </row>
    <row r="834" spans="1:35" ht="36" x14ac:dyDescent="0.3">
      <c r="A834" s="10" t="s">
        <v>2680</v>
      </c>
      <c r="B834" s="10"/>
      <c r="C834" s="24" t="s">
        <v>1757</v>
      </c>
      <c r="D834" s="15"/>
      <c r="E834" s="15"/>
      <c r="F834" s="25" t="s">
        <v>278</v>
      </c>
      <c r="G834" s="26">
        <v>0.3</v>
      </c>
      <c r="H834" s="26"/>
      <c r="I834" s="26">
        <v>0</v>
      </c>
      <c r="J834" s="27">
        <v>1216.56</v>
      </c>
      <c r="M834" s="28">
        <f>ROUND(ROUND(J834, 2)*I834, 2)</f>
        <v>0</v>
      </c>
      <c r="P834" s="27">
        <v>495.9</v>
      </c>
      <c r="S834" s="28">
        <f>ROUND(ROUND(P834, 2)*I834, 2)</f>
        <v>0</v>
      </c>
      <c r="V834" s="9">
        <f>ROUND(ROUND(P834, 2)/1.2, 2)</f>
        <v>413.25</v>
      </c>
      <c r="Y834" s="9">
        <f t="shared" si="26"/>
        <v>0</v>
      </c>
      <c r="AD834" s="4" t="s">
        <v>2681</v>
      </c>
      <c r="AE834" s="4" t="s">
        <v>2682</v>
      </c>
      <c r="AF834" s="4" t="s">
        <v>1760</v>
      </c>
    </row>
    <row r="835" spans="1:35" ht="36" x14ac:dyDescent="0.3">
      <c r="A835" s="10" t="s">
        <v>2683</v>
      </c>
      <c r="B835" s="10" t="s">
        <v>2665</v>
      </c>
      <c r="C835" s="14" t="s">
        <v>2666</v>
      </c>
      <c r="D835" s="15"/>
      <c r="E835" s="15"/>
      <c r="F835" s="15" t="s">
        <v>62</v>
      </c>
      <c r="G835" s="16">
        <v>1</v>
      </c>
      <c r="H835" s="16"/>
      <c r="I835" s="16">
        <v>0</v>
      </c>
      <c r="J835" s="17">
        <v>0</v>
      </c>
      <c r="K835" s="18">
        <v>464</v>
      </c>
      <c r="L835" s="17">
        <f>J835+ROUND(K835, 2)</f>
        <v>464</v>
      </c>
      <c r="M835" s="17">
        <v>0</v>
      </c>
      <c r="N835" s="17">
        <v>0</v>
      </c>
      <c r="O835" s="17">
        <f>M835+N835</f>
        <v>0</v>
      </c>
      <c r="P835" s="17">
        <v>162.09</v>
      </c>
      <c r="Q835" s="18">
        <v>464</v>
      </c>
      <c r="R835" s="17">
        <f>P835+ROUND(Q835, 2)</f>
        <v>626.09</v>
      </c>
      <c r="S835" s="17">
        <v>0</v>
      </c>
      <c r="T835" s="17">
        <v>0</v>
      </c>
      <c r="U835" s="17">
        <f>S835+T835</f>
        <v>0</v>
      </c>
      <c r="V835" s="9">
        <f>ROUND(P835 / 1.2, 2)</f>
        <v>135.08000000000001</v>
      </c>
      <c r="W835" s="9">
        <f>ROUND(Q835 / 1.2, 2)</f>
        <v>386.67</v>
      </c>
      <c r="X835" s="9">
        <f>ROUND(R835 / 1.2, 2)</f>
        <v>521.74</v>
      </c>
      <c r="Y835" s="9">
        <f t="shared" si="26"/>
        <v>0</v>
      </c>
      <c r="Z835" s="9">
        <f>ROUND(T835 / 1.2, 2)</f>
        <v>0</v>
      </c>
      <c r="AA835" s="9">
        <f>Y835+Z835</f>
        <v>0</v>
      </c>
      <c r="AD835" s="4">
        <v>334080765</v>
      </c>
      <c r="AE835" s="4">
        <v>27245615</v>
      </c>
      <c r="AG835" s="4" t="s">
        <v>2667</v>
      </c>
      <c r="AH835" s="4" t="s">
        <v>2668</v>
      </c>
      <c r="AI835" s="4" t="s">
        <v>250</v>
      </c>
    </row>
    <row r="836" spans="1:35" ht="36" x14ac:dyDescent="0.3">
      <c r="A836" s="10" t="s">
        <v>2684</v>
      </c>
      <c r="B836" s="10"/>
      <c r="C836" s="24" t="s">
        <v>1757</v>
      </c>
      <c r="D836" s="15"/>
      <c r="E836" s="15"/>
      <c r="F836" s="25" t="s">
        <v>278</v>
      </c>
      <c r="G836" s="26">
        <v>0.3</v>
      </c>
      <c r="H836" s="26"/>
      <c r="I836" s="26">
        <v>0</v>
      </c>
      <c r="J836" s="27">
        <v>1216.56</v>
      </c>
      <c r="M836" s="28">
        <f>ROUND(ROUND(J836, 2)*I836, 2)</f>
        <v>0</v>
      </c>
      <c r="P836" s="27">
        <v>495.9</v>
      </c>
      <c r="S836" s="28">
        <f>ROUND(ROUND(P836, 2)*I836, 2)</f>
        <v>0</v>
      </c>
      <c r="V836" s="9">
        <f>ROUND(ROUND(P836, 2)/1.2, 2)</f>
        <v>413.25</v>
      </c>
      <c r="Y836" s="9">
        <f t="shared" si="26"/>
        <v>0</v>
      </c>
      <c r="AD836" s="4" t="s">
        <v>2685</v>
      </c>
      <c r="AE836" s="4" t="s">
        <v>2686</v>
      </c>
      <c r="AF836" s="4" t="s">
        <v>1760</v>
      </c>
    </row>
    <row r="837" spans="1:35" ht="36" x14ac:dyDescent="0.3">
      <c r="A837" s="10" t="s">
        <v>2687</v>
      </c>
      <c r="B837" s="10"/>
      <c r="C837" s="24" t="s">
        <v>1007</v>
      </c>
      <c r="D837" s="15"/>
      <c r="E837" s="15"/>
      <c r="F837" s="25" t="s">
        <v>278</v>
      </c>
      <c r="G837" s="26">
        <v>0.15</v>
      </c>
      <c r="H837" s="26"/>
      <c r="I837" s="26">
        <v>0</v>
      </c>
      <c r="J837" s="27">
        <v>88.8</v>
      </c>
      <c r="M837" s="28">
        <f>ROUND(ROUND(J837, 2)*I837, 2)</f>
        <v>0</v>
      </c>
      <c r="P837" s="27">
        <v>88.8</v>
      </c>
      <c r="S837" s="28">
        <f>ROUND(ROUND(P837, 2)*I837, 2)</f>
        <v>0</v>
      </c>
      <c r="V837" s="9">
        <f>ROUND(ROUND(P837, 2)/1.2, 2)</f>
        <v>74</v>
      </c>
      <c r="Y837" s="9">
        <f t="shared" si="26"/>
        <v>0</v>
      </c>
      <c r="AD837" s="4" t="s">
        <v>2688</v>
      </c>
      <c r="AE837" s="4" t="s">
        <v>2689</v>
      </c>
      <c r="AF837" s="4" t="s">
        <v>1010</v>
      </c>
    </row>
    <row r="838" spans="1:35" ht="36" x14ac:dyDescent="0.3">
      <c r="A838" s="10" t="s">
        <v>2690</v>
      </c>
      <c r="B838" s="10" t="s">
        <v>2665</v>
      </c>
      <c r="C838" s="14" t="s">
        <v>2666</v>
      </c>
      <c r="D838" s="15"/>
      <c r="E838" s="15"/>
      <c r="F838" s="15" t="s">
        <v>62</v>
      </c>
      <c r="G838" s="16">
        <v>1</v>
      </c>
      <c r="H838" s="16"/>
      <c r="I838" s="16">
        <v>0</v>
      </c>
      <c r="J838" s="17">
        <v>0</v>
      </c>
      <c r="K838" s="18">
        <v>464</v>
      </c>
      <c r="L838" s="17">
        <f>J838+ROUND(K838, 2)</f>
        <v>464</v>
      </c>
      <c r="M838" s="17">
        <v>0</v>
      </c>
      <c r="N838" s="17">
        <v>0</v>
      </c>
      <c r="O838" s="17">
        <f>M838+N838</f>
        <v>0</v>
      </c>
      <c r="P838" s="17">
        <v>162.09</v>
      </c>
      <c r="Q838" s="18">
        <v>464</v>
      </c>
      <c r="R838" s="17">
        <f>P838+ROUND(Q838, 2)</f>
        <v>626.09</v>
      </c>
      <c r="S838" s="17">
        <v>0</v>
      </c>
      <c r="T838" s="17">
        <v>0</v>
      </c>
      <c r="U838" s="17">
        <f>S838+T838</f>
        <v>0</v>
      </c>
      <c r="V838" s="9">
        <f>ROUND(P838 / 1.2, 2)</f>
        <v>135.08000000000001</v>
      </c>
      <c r="W838" s="9">
        <f>ROUND(Q838 / 1.2, 2)</f>
        <v>386.67</v>
      </c>
      <c r="X838" s="9">
        <f>ROUND(R838 / 1.2, 2)</f>
        <v>521.74</v>
      </c>
      <c r="Y838" s="9">
        <f t="shared" si="26"/>
        <v>0</v>
      </c>
      <c r="Z838" s="9">
        <f>ROUND(T838 / 1.2, 2)</f>
        <v>0</v>
      </c>
      <c r="AA838" s="9">
        <f>Y838+Z838</f>
        <v>0</v>
      </c>
      <c r="AD838" s="4">
        <v>334080766</v>
      </c>
      <c r="AE838" s="4">
        <v>27245616</v>
      </c>
      <c r="AG838" s="4" t="s">
        <v>2667</v>
      </c>
      <c r="AH838" s="4" t="s">
        <v>2668</v>
      </c>
      <c r="AI838" s="4" t="s">
        <v>250</v>
      </c>
    </row>
    <row r="839" spans="1:35" ht="36" x14ac:dyDescent="0.3">
      <c r="A839" s="10" t="s">
        <v>2691</v>
      </c>
      <c r="B839" s="10"/>
      <c r="C839" s="24" t="s">
        <v>1007</v>
      </c>
      <c r="D839" s="15"/>
      <c r="E839" s="15"/>
      <c r="F839" s="25" t="s">
        <v>278</v>
      </c>
      <c r="G839" s="26">
        <v>0.15</v>
      </c>
      <c r="H839" s="26"/>
      <c r="I839" s="26">
        <v>0</v>
      </c>
      <c r="J839" s="27">
        <v>88.8</v>
      </c>
      <c r="M839" s="28">
        <f>ROUND(ROUND(J839, 2)*I839, 2)</f>
        <v>0</v>
      </c>
      <c r="P839" s="27">
        <v>88.8</v>
      </c>
      <c r="S839" s="28">
        <f>ROUND(ROUND(P839, 2)*I839, 2)</f>
        <v>0</v>
      </c>
      <c r="V839" s="9">
        <f>ROUND(ROUND(P839, 2)/1.2, 2)</f>
        <v>74</v>
      </c>
      <c r="Y839" s="9">
        <f t="shared" si="26"/>
        <v>0</v>
      </c>
      <c r="AD839" s="4" t="s">
        <v>2692</v>
      </c>
      <c r="AE839" s="4" t="s">
        <v>2693</v>
      </c>
      <c r="AF839" s="4" t="s">
        <v>1010</v>
      </c>
    </row>
    <row r="840" spans="1:35" ht="36" x14ac:dyDescent="0.3">
      <c r="A840" s="10" t="s">
        <v>2694</v>
      </c>
      <c r="B840" s="10"/>
      <c r="C840" s="24" t="s">
        <v>1757</v>
      </c>
      <c r="D840" s="15"/>
      <c r="E840" s="15"/>
      <c r="F840" s="25" t="s">
        <v>278</v>
      </c>
      <c r="G840" s="26">
        <v>0.3</v>
      </c>
      <c r="H840" s="26"/>
      <c r="I840" s="26">
        <v>0</v>
      </c>
      <c r="J840" s="27">
        <v>1216.56</v>
      </c>
      <c r="M840" s="28">
        <f>ROUND(ROUND(J840, 2)*I840, 2)</f>
        <v>0</v>
      </c>
      <c r="P840" s="27">
        <v>495.9</v>
      </c>
      <c r="S840" s="28">
        <f>ROUND(ROUND(P840, 2)*I840, 2)</f>
        <v>0</v>
      </c>
      <c r="V840" s="9">
        <f>ROUND(ROUND(P840, 2)/1.2, 2)</f>
        <v>413.25</v>
      </c>
      <c r="Y840" s="9">
        <f t="shared" si="26"/>
        <v>0</v>
      </c>
      <c r="AD840" s="4" t="s">
        <v>2695</v>
      </c>
      <c r="AE840" s="4" t="s">
        <v>2696</v>
      </c>
      <c r="AF840" s="4" t="s">
        <v>1760</v>
      </c>
    </row>
    <row r="841" spans="1:35" ht="162" x14ac:dyDescent="0.3">
      <c r="A841" s="10" t="s">
        <v>2697</v>
      </c>
      <c r="B841" s="10" t="s">
        <v>2665</v>
      </c>
      <c r="C841" s="14" t="s">
        <v>2666</v>
      </c>
      <c r="D841" s="15"/>
      <c r="E841" s="15" t="s">
        <v>2698</v>
      </c>
      <c r="F841" s="15" t="s">
        <v>62</v>
      </c>
      <c r="G841" s="16">
        <v>1</v>
      </c>
      <c r="H841" s="16"/>
      <c r="I841" s="16">
        <v>3898.4</v>
      </c>
      <c r="J841" s="17">
        <v>378.29</v>
      </c>
      <c r="K841" s="18">
        <v>464</v>
      </c>
      <c r="L841" s="17">
        <f>J841+ROUND(K841, 2)</f>
        <v>842.29</v>
      </c>
      <c r="M841" s="17">
        <v>1474725.74</v>
      </c>
      <c r="N841" s="17">
        <v>1808857.6</v>
      </c>
      <c r="O841" s="17">
        <f>M841+N841</f>
        <v>3283583.34</v>
      </c>
      <c r="P841" s="17">
        <v>162.09</v>
      </c>
      <c r="Q841" s="18">
        <v>696</v>
      </c>
      <c r="R841" s="17">
        <f>P841+ROUND(Q841, 2)</f>
        <v>858.09</v>
      </c>
      <c r="S841" s="17">
        <v>631891.66</v>
      </c>
      <c r="T841" s="17">
        <v>2713286.4</v>
      </c>
      <c r="U841" s="17">
        <f>S841+T841</f>
        <v>3345178.06</v>
      </c>
      <c r="V841" s="9">
        <f>ROUND(P841 / 1.2, 2)</f>
        <v>135.08000000000001</v>
      </c>
      <c r="W841" s="9">
        <f>ROUND(Q841 / 1.2, 2)</f>
        <v>580</v>
      </c>
      <c r="X841" s="9">
        <f>ROUND(R841 / 1.2, 2)</f>
        <v>715.08</v>
      </c>
      <c r="Y841" s="9">
        <f t="shared" si="26"/>
        <v>526576.38</v>
      </c>
      <c r="Z841" s="9">
        <f>ROUND(T841 / 1.2, 2)</f>
        <v>2261072</v>
      </c>
      <c r="AA841" s="9">
        <f>Y841+Z841</f>
        <v>2787648.38</v>
      </c>
      <c r="AD841" s="4">
        <v>334080767</v>
      </c>
      <c r="AE841" s="4">
        <v>27245729</v>
      </c>
      <c r="AG841" s="4" t="s">
        <v>2667</v>
      </c>
      <c r="AH841" s="4" t="s">
        <v>2668</v>
      </c>
      <c r="AI841" s="4" t="s">
        <v>250</v>
      </c>
    </row>
    <row r="842" spans="1:35" ht="36" x14ac:dyDescent="0.3">
      <c r="A842" s="10" t="s">
        <v>2699</v>
      </c>
      <c r="B842" s="10"/>
      <c r="C842" s="24" t="s">
        <v>1757</v>
      </c>
      <c r="D842" s="15"/>
      <c r="E842" s="15"/>
      <c r="F842" s="25" t="s">
        <v>278</v>
      </c>
      <c r="G842" s="26">
        <v>0.3</v>
      </c>
      <c r="H842" s="26"/>
      <c r="I842" s="26">
        <v>1169.52</v>
      </c>
      <c r="J842" s="27">
        <v>1216.56</v>
      </c>
      <c r="M842" s="28">
        <f>ROUND(ROUND(J842, 2)*I842, 2)</f>
        <v>1422791.25</v>
      </c>
      <c r="P842" s="27">
        <v>495.9</v>
      </c>
      <c r="S842" s="28">
        <f>ROUND(ROUND(P842, 2)*I842, 2)</f>
        <v>579964.97</v>
      </c>
      <c r="V842" s="9">
        <f>ROUND(ROUND(P842, 2)/1.2, 2)</f>
        <v>413.25</v>
      </c>
      <c r="Y842" s="9">
        <f t="shared" si="26"/>
        <v>483304.14</v>
      </c>
      <c r="AD842" s="4" t="s">
        <v>2700</v>
      </c>
      <c r="AE842" s="4" t="s">
        <v>2701</v>
      </c>
      <c r="AF842" s="4" t="s">
        <v>1760</v>
      </c>
    </row>
    <row r="843" spans="1:35" ht="36" x14ac:dyDescent="0.3">
      <c r="A843" s="10" t="s">
        <v>2702</v>
      </c>
      <c r="B843" s="10"/>
      <c r="C843" s="24" t="s">
        <v>1007</v>
      </c>
      <c r="D843" s="15"/>
      <c r="E843" s="15"/>
      <c r="F843" s="25" t="s">
        <v>278</v>
      </c>
      <c r="G843" s="26">
        <v>0.15</v>
      </c>
      <c r="H843" s="26"/>
      <c r="I843" s="26">
        <v>584.76</v>
      </c>
      <c r="J843" s="27">
        <v>88.8</v>
      </c>
      <c r="M843" s="28">
        <f>ROUND(ROUND(J843, 2)*I843, 2)</f>
        <v>51926.69</v>
      </c>
      <c r="P843" s="27">
        <v>88.8</v>
      </c>
      <c r="S843" s="28">
        <f>ROUND(ROUND(P843, 2)*I843, 2)</f>
        <v>51926.69</v>
      </c>
      <c r="V843" s="9">
        <f>ROUND(ROUND(P843, 2)/1.2, 2)</f>
        <v>74</v>
      </c>
      <c r="Y843" s="9">
        <f t="shared" si="26"/>
        <v>43272.24</v>
      </c>
      <c r="AD843" s="4" t="s">
        <v>2703</v>
      </c>
      <c r="AE843" s="4" t="s">
        <v>2704</v>
      </c>
      <c r="AF843" s="4" t="s">
        <v>1010</v>
      </c>
    </row>
    <row r="844" spans="1:35" ht="36" x14ac:dyDescent="0.3">
      <c r="A844" s="10" t="s">
        <v>2705</v>
      </c>
      <c r="B844" s="10" t="s">
        <v>2665</v>
      </c>
      <c r="C844" s="14" t="s">
        <v>2666</v>
      </c>
      <c r="D844" s="15"/>
      <c r="E844" s="15" t="s">
        <v>2706</v>
      </c>
      <c r="F844" s="15" t="s">
        <v>62</v>
      </c>
      <c r="G844" s="16">
        <v>1</v>
      </c>
      <c r="H844" s="16"/>
      <c r="I844" s="16">
        <v>921.3</v>
      </c>
      <c r="J844" s="17">
        <v>378.29</v>
      </c>
      <c r="K844" s="18">
        <v>464</v>
      </c>
      <c r="L844" s="17">
        <f>J844+ROUND(K844, 2)</f>
        <v>842.29</v>
      </c>
      <c r="M844" s="17">
        <v>348518.58</v>
      </c>
      <c r="N844" s="17">
        <v>427483.2</v>
      </c>
      <c r="O844" s="17">
        <f>M844+N844</f>
        <v>776001.78</v>
      </c>
      <c r="P844" s="17">
        <v>162.09</v>
      </c>
      <c r="Q844" s="18">
        <v>696</v>
      </c>
      <c r="R844" s="17">
        <f>P844+ROUND(Q844, 2)</f>
        <v>858.09</v>
      </c>
      <c r="S844" s="17">
        <v>149333.51999999999</v>
      </c>
      <c r="T844" s="17">
        <v>641224.80000000005</v>
      </c>
      <c r="U844" s="17">
        <f>S844+T844</f>
        <v>790558.32000000007</v>
      </c>
      <c r="V844" s="9">
        <f>ROUND(P844 / 1.2, 2)</f>
        <v>135.08000000000001</v>
      </c>
      <c r="W844" s="9">
        <f>ROUND(Q844 / 1.2, 2)</f>
        <v>580</v>
      </c>
      <c r="X844" s="9">
        <f>ROUND(R844 / 1.2, 2)</f>
        <v>715.08</v>
      </c>
      <c r="Y844" s="9">
        <f t="shared" si="26"/>
        <v>124444.6</v>
      </c>
      <c r="Z844" s="9">
        <f>ROUND(T844 / 1.2, 2)</f>
        <v>534354</v>
      </c>
      <c r="AA844" s="9">
        <f>Y844+Z844</f>
        <v>658798.6</v>
      </c>
      <c r="AD844" s="4">
        <v>334080768</v>
      </c>
      <c r="AE844" s="4">
        <v>27245736</v>
      </c>
      <c r="AG844" s="4" t="s">
        <v>2667</v>
      </c>
      <c r="AH844" s="4" t="s">
        <v>2668</v>
      </c>
      <c r="AI844" s="4" t="s">
        <v>250</v>
      </c>
    </row>
    <row r="845" spans="1:35" ht="36" x14ac:dyDescent="0.3">
      <c r="A845" s="10" t="s">
        <v>2707</v>
      </c>
      <c r="B845" s="10"/>
      <c r="C845" s="24" t="s">
        <v>1007</v>
      </c>
      <c r="D845" s="15"/>
      <c r="E845" s="15"/>
      <c r="F845" s="25" t="s">
        <v>278</v>
      </c>
      <c r="G845" s="26">
        <v>0.15</v>
      </c>
      <c r="H845" s="26"/>
      <c r="I845" s="26">
        <v>138.19499999999999</v>
      </c>
      <c r="J845" s="27">
        <v>88.8</v>
      </c>
      <c r="M845" s="28">
        <f>ROUND(ROUND(J845, 2)*I845, 2)</f>
        <v>12271.72</v>
      </c>
      <c r="P845" s="27">
        <v>88.8</v>
      </c>
      <c r="S845" s="28">
        <f>ROUND(ROUND(P845, 2)*I845, 2)</f>
        <v>12271.72</v>
      </c>
      <c r="V845" s="9">
        <f>ROUND(ROUND(P845, 2)/1.2, 2)</f>
        <v>74</v>
      </c>
      <c r="Y845" s="9">
        <f t="shared" si="26"/>
        <v>10226.43</v>
      </c>
      <c r="AD845" s="4" t="s">
        <v>2708</v>
      </c>
      <c r="AE845" s="4" t="s">
        <v>2709</v>
      </c>
      <c r="AF845" s="4" t="s">
        <v>1010</v>
      </c>
    </row>
    <row r="846" spans="1:35" ht="36" x14ac:dyDescent="0.3">
      <c r="A846" s="10" t="s">
        <v>2710</v>
      </c>
      <c r="B846" s="10"/>
      <c r="C846" s="24" t="s">
        <v>1757</v>
      </c>
      <c r="D846" s="15"/>
      <c r="E846" s="15"/>
      <c r="F846" s="25" t="s">
        <v>278</v>
      </c>
      <c r="G846" s="26">
        <v>0.3</v>
      </c>
      <c r="H846" s="26"/>
      <c r="I846" s="26">
        <v>276.39</v>
      </c>
      <c r="J846" s="27">
        <v>1216.56</v>
      </c>
      <c r="M846" s="28">
        <f>ROUND(ROUND(J846, 2)*I846, 2)</f>
        <v>336245.02</v>
      </c>
      <c r="P846" s="27">
        <v>495.9</v>
      </c>
      <c r="S846" s="28">
        <f>ROUND(ROUND(P846, 2)*I846, 2)</f>
        <v>137061.79999999999</v>
      </c>
      <c r="V846" s="9">
        <f>ROUND(ROUND(P846, 2)/1.2, 2)</f>
        <v>413.25</v>
      </c>
      <c r="Y846" s="9">
        <f t="shared" si="26"/>
        <v>114218.17</v>
      </c>
      <c r="AD846" s="4" t="s">
        <v>2711</v>
      </c>
      <c r="AE846" s="4" t="s">
        <v>2712</v>
      </c>
      <c r="AF846" s="4" t="s">
        <v>1760</v>
      </c>
    </row>
    <row r="847" spans="1:35" ht="36" x14ac:dyDescent="0.3">
      <c r="A847" s="10" t="s">
        <v>2713</v>
      </c>
      <c r="B847" s="10" t="s">
        <v>2665</v>
      </c>
      <c r="C847" s="14" t="s">
        <v>2666</v>
      </c>
      <c r="D847" s="15"/>
      <c r="E847" s="15"/>
      <c r="F847" s="15" t="s">
        <v>62</v>
      </c>
      <c r="G847" s="16">
        <v>1</v>
      </c>
      <c r="H847" s="16"/>
      <c r="I847" s="16">
        <v>0</v>
      </c>
      <c r="J847" s="17">
        <v>0</v>
      </c>
      <c r="K847" s="18">
        <v>464</v>
      </c>
      <c r="L847" s="17">
        <f>J847+ROUND(K847, 2)</f>
        <v>464</v>
      </c>
      <c r="M847" s="17">
        <v>0</v>
      </c>
      <c r="N847" s="17">
        <v>0</v>
      </c>
      <c r="O847" s="17">
        <f>M847+N847</f>
        <v>0</v>
      </c>
      <c r="P847" s="17">
        <v>0</v>
      </c>
      <c r="Q847" s="18">
        <v>696</v>
      </c>
      <c r="R847" s="17">
        <f>P847+ROUND(Q847, 2)</f>
        <v>696</v>
      </c>
      <c r="S847" s="17">
        <v>0</v>
      </c>
      <c r="T847" s="17">
        <v>0</v>
      </c>
      <c r="U847" s="17">
        <f>S847+T847</f>
        <v>0</v>
      </c>
      <c r="V847" s="9">
        <f>ROUND(P847 / 1.2, 2)</f>
        <v>0</v>
      </c>
      <c r="W847" s="9">
        <f>ROUND(Q847 / 1.2, 2)</f>
        <v>580</v>
      </c>
      <c r="X847" s="9">
        <f>ROUND(R847 / 1.2, 2)</f>
        <v>580</v>
      </c>
      <c r="Y847" s="9">
        <f t="shared" si="26"/>
        <v>0</v>
      </c>
      <c r="Z847" s="9">
        <f>ROUND(T847 / 1.2, 2)</f>
        <v>0</v>
      </c>
      <c r="AA847" s="9">
        <f>Y847+Z847</f>
        <v>0</v>
      </c>
      <c r="AD847" s="4">
        <v>334080769</v>
      </c>
      <c r="AE847" s="4">
        <v>27245617</v>
      </c>
      <c r="AG847" s="4" t="s">
        <v>2667</v>
      </c>
      <c r="AH847" s="4" t="s">
        <v>2668</v>
      </c>
      <c r="AI847" s="4" t="s">
        <v>250</v>
      </c>
    </row>
    <row r="848" spans="1:35" ht="36" x14ac:dyDescent="0.3">
      <c r="A848" s="10" t="s">
        <v>2714</v>
      </c>
      <c r="B848" s="10"/>
      <c r="C848" s="24" t="s">
        <v>1757</v>
      </c>
      <c r="D848" s="15"/>
      <c r="E848" s="15"/>
      <c r="F848" s="25" t="s">
        <v>278</v>
      </c>
      <c r="G848" s="26">
        <v>0.3</v>
      </c>
      <c r="H848" s="26"/>
      <c r="I848" s="26">
        <v>0</v>
      </c>
      <c r="J848" s="27">
        <v>1216.56</v>
      </c>
      <c r="M848" s="28">
        <f>ROUND(ROUND(J848, 2)*I848, 2)</f>
        <v>0</v>
      </c>
      <c r="P848" s="27">
        <v>495.9</v>
      </c>
      <c r="S848" s="28">
        <f>ROUND(ROUND(P848, 2)*I848, 2)</f>
        <v>0</v>
      </c>
      <c r="V848" s="9">
        <f>ROUND(ROUND(P848, 2)/1.2, 2)</f>
        <v>413.25</v>
      </c>
      <c r="Y848" s="9">
        <f t="shared" si="26"/>
        <v>0</v>
      </c>
      <c r="AD848" s="4" t="s">
        <v>2715</v>
      </c>
      <c r="AE848" s="4" t="s">
        <v>2716</v>
      </c>
      <c r="AF848" s="4" t="s">
        <v>1760</v>
      </c>
    </row>
    <row r="849" spans="1:35" ht="36" x14ac:dyDescent="0.3">
      <c r="A849" s="10" t="s">
        <v>2717</v>
      </c>
      <c r="B849" s="10"/>
      <c r="C849" s="24" t="s">
        <v>1007</v>
      </c>
      <c r="D849" s="15"/>
      <c r="E849" s="15"/>
      <c r="F849" s="25" t="s">
        <v>278</v>
      </c>
      <c r="G849" s="26">
        <v>0.15</v>
      </c>
      <c r="H849" s="26"/>
      <c r="I849" s="26">
        <v>0</v>
      </c>
      <c r="J849" s="27">
        <v>88.8</v>
      </c>
      <c r="M849" s="28">
        <f>ROUND(ROUND(J849, 2)*I849, 2)</f>
        <v>0</v>
      </c>
      <c r="P849" s="27">
        <v>88.8</v>
      </c>
      <c r="S849" s="28">
        <f>ROUND(ROUND(P849, 2)*I849, 2)</f>
        <v>0</v>
      </c>
      <c r="V849" s="9">
        <f>ROUND(ROUND(P849, 2)/1.2, 2)</f>
        <v>74</v>
      </c>
      <c r="Y849" s="9">
        <f t="shared" si="26"/>
        <v>0</v>
      </c>
      <c r="AD849" s="4" t="s">
        <v>2718</v>
      </c>
      <c r="AE849" s="4" t="s">
        <v>2719</v>
      </c>
      <c r="AF849" s="4" t="s">
        <v>1010</v>
      </c>
    </row>
    <row r="850" spans="1:35" ht="162" x14ac:dyDescent="0.3">
      <c r="A850" s="10" t="s">
        <v>2720</v>
      </c>
      <c r="B850" s="10" t="s">
        <v>2665</v>
      </c>
      <c r="C850" s="14" t="s">
        <v>2666</v>
      </c>
      <c r="D850" s="15"/>
      <c r="E850" s="15" t="s">
        <v>2721</v>
      </c>
      <c r="F850" s="15" t="s">
        <v>62</v>
      </c>
      <c r="G850" s="16">
        <v>1</v>
      </c>
      <c r="H850" s="16"/>
      <c r="I850" s="16">
        <v>272.2</v>
      </c>
      <c r="J850" s="17">
        <v>378.29</v>
      </c>
      <c r="K850" s="18">
        <v>464</v>
      </c>
      <c r="L850" s="17">
        <f>J850+ROUND(K850, 2)</f>
        <v>842.29</v>
      </c>
      <c r="M850" s="17">
        <v>102970.54</v>
      </c>
      <c r="N850" s="17">
        <v>126300.8</v>
      </c>
      <c r="O850" s="17">
        <f>M850+N850</f>
        <v>229271.34</v>
      </c>
      <c r="P850" s="17">
        <v>162.09</v>
      </c>
      <c r="Q850" s="18">
        <v>696</v>
      </c>
      <c r="R850" s="17">
        <f>P850+ROUND(Q850, 2)</f>
        <v>858.09</v>
      </c>
      <c r="S850" s="17">
        <v>44120.9</v>
      </c>
      <c r="T850" s="17">
        <v>189451.2</v>
      </c>
      <c r="U850" s="17">
        <f>S850+T850</f>
        <v>233572.1</v>
      </c>
      <c r="V850" s="9">
        <f>ROUND(P850 / 1.2, 2)</f>
        <v>135.08000000000001</v>
      </c>
      <c r="W850" s="9">
        <f>ROUND(Q850 / 1.2, 2)</f>
        <v>580</v>
      </c>
      <c r="X850" s="9">
        <f>ROUND(R850 / 1.2, 2)</f>
        <v>715.08</v>
      </c>
      <c r="Y850" s="9">
        <f t="shared" si="26"/>
        <v>36767.42</v>
      </c>
      <c r="Z850" s="9">
        <f>ROUND(T850 / 1.2, 2)</f>
        <v>157876</v>
      </c>
      <c r="AA850" s="9">
        <f>Y850+Z850</f>
        <v>194643.41999999998</v>
      </c>
      <c r="AD850" s="4">
        <v>334080770</v>
      </c>
      <c r="AE850" s="4">
        <v>27245731</v>
      </c>
      <c r="AG850" s="4" t="s">
        <v>2667</v>
      </c>
      <c r="AH850" s="4" t="s">
        <v>2668</v>
      </c>
      <c r="AI850" s="4" t="s">
        <v>250</v>
      </c>
    </row>
    <row r="851" spans="1:35" ht="36" x14ac:dyDescent="0.3">
      <c r="A851" s="10" t="s">
        <v>2722</v>
      </c>
      <c r="B851" s="10"/>
      <c r="C851" s="24" t="s">
        <v>1007</v>
      </c>
      <c r="D851" s="15"/>
      <c r="E851" s="15"/>
      <c r="F851" s="25" t="s">
        <v>278</v>
      </c>
      <c r="G851" s="26">
        <v>0.15</v>
      </c>
      <c r="H851" s="26"/>
      <c r="I851" s="26">
        <v>40.83</v>
      </c>
      <c r="J851" s="27">
        <v>88.8</v>
      </c>
      <c r="M851" s="28">
        <f>ROUND(ROUND(J851, 2)*I851, 2)</f>
        <v>3625.7</v>
      </c>
      <c r="P851" s="27">
        <v>88.8</v>
      </c>
      <c r="S851" s="28">
        <f>ROUND(ROUND(P851, 2)*I851, 2)</f>
        <v>3625.7</v>
      </c>
      <c r="V851" s="9">
        <f>ROUND(ROUND(P851, 2)/1.2, 2)</f>
        <v>74</v>
      </c>
      <c r="Y851" s="9">
        <f t="shared" si="26"/>
        <v>3021.42</v>
      </c>
      <c r="AD851" s="4" t="s">
        <v>2723</v>
      </c>
      <c r="AE851" s="4" t="s">
        <v>2724</v>
      </c>
      <c r="AF851" s="4" t="s">
        <v>1010</v>
      </c>
    </row>
    <row r="852" spans="1:35" ht="54" x14ac:dyDescent="0.3">
      <c r="A852" s="10" t="s">
        <v>2725</v>
      </c>
      <c r="B852" s="10"/>
      <c r="C852" s="24" t="s">
        <v>1757</v>
      </c>
      <c r="D852" s="15"/>
      <c r="E852" s="15" t="s">
        <v>2726</v>
      </c>
      <c r="F852" s="25" t="s">
        <v>278</v>
      </c>
      <c r="G852" s="26">
        <v>0.3</v>
      </c>
      <c r="H852" s="26"/>
      <c r="I852" s="26">
        <v>81.66</v>
      </c>
      <c r="J852" s="27">
        <v>1216.56</v>
      </c>
      <c r="M852" s="28">
        <f>ROUND(ROUND(J852, 2)*I852, 2)</f>
        <v>99344.29</v>
      </c>
      <c r="P852" s="27">
        <v>495.9</v>
      </c>
      <c r="S852" s="28">
        <f>ROUND(ROUND(P852, 2)*I852, 2)</f>
        <v>40495.19</v>
      </c>
      <c r="V852" s="9">
        <f>ROUND(ROUND(P852, 2)/1.2, 2)</f>
        <v>413.25</v>
      </c>
      <c r="Y852" s="9">
        <f t="shared" si="26"/>
        <v>33745.99</v>
      </c>
      <c r="AD852" s="4" t="s">
        <v>2727</v>
      </c>
      <c r="AE852" s="4" t="s">
        <v>2728</v>
      </c>
      <c r="AF852" s="4" t="s">
        <v>1760</v>
      </c>
    </row>
    <row r="853" spans="1:35" ht="162" x14ac:dyDescent="0.3">
      <c r="A853" s="10" t="s">
        <v>2729</v>
      </c>
      <c r="B853" s="10" t="s">
        <v>2665</v>
      </c>
      <c r="C853" s="14" t="s">
        <v>2666</v>
      </c>
      <c r="D853" s="15"/>
      <c r="E853" s="15" t="s">
        <v>2730</v>
      </c>
      <c r="F853" s="15" t="s">
        <v>62</v>
      </c>
      <c r="G853" s="16">
        <v>1</v>
      </c>
      <c r="H853" s="16"/>
      <c r="I853" s="16">
        <v>263.7</v>
      </c>
      <c r="J853" s="17">
        <v>378.29</v>
      </c>
      <c r="K853" s="18">
        <v>464</v>
      </c>
      <c r="L853" s="17">
        <f>J853+ROUND(K853, 2)</f>
        <v>842.29</v>
      </c>
      <c r="M853" s="17">
        <v>99755.07</v>
      </c>
      <c r="N853" s="17">
        <v>122356.8</v>
      </c>
      <c r="O853" s="17">
        <f>M853+N853</f>
        <v>222111.87</v>
      </c>
      <c r="P853" s="17">
        <v>162.09</v>
      </c>
      <c r="Q853" s="18">
        <v>696</v>
      </c>
      <c r="R853" s="17">
        <f>P853+ROUND(Q853, 2)</f>
        <v>858.09</v>
      </c>
      <c r="S853" s="17">
        <v>42743.13</v>
      </c>
      <c r="T853" s="17">
        <v>183535.2</v>
      </c>
      <c r="U853" s="17">
        <f>S853+T853</f>
        <v>226278.33000000002</v>
      </c>
      <c r="V853" s="9">
        <f>ROUND(P853 / 1.2, 2)</f>
        <v>135.08000000000001</v>
      </c>
      <c r="W853" s="9">
        <f>ROUND(Q853 / 1.2, 2)</f>
        <v>580</v>
      </c>
      <c r="X853" s="9">
        <f>ROUND(R853 / 1.2, 2)</f>
        <v>715.08</v>
      </c>
      <c r="Y853" s="9">
        <f t="shared" si="26"/>
        <v>35619.279999999999</v>
      </c>
      <c r="Z853" s="9">
        <f>ROUND(T853 / 1.2, 2)</f>
        <v>152946</v>
      </c>
      <c r="AA853" s="9">
        <f>Y853+Z853</f>
        <v>188565.28</v>
      </c>
      <c r="AD853" s="4">
        <v>334080771</v>
      </c>
      <c r="AE853" s="4">
        <v>27245732</v>
      </c>
      <c r="AG853" s="4" t="s">
        <v>2667</v>
      </c>
      <c r="AH853" s="4" t="s">
        <v>2668</v>
      </c>
      <c r="AI853" s="4" t="s">
        <v>250</v>
      </c>
    </row>
    <row r="854" spans="1:35" ht="72" x14ac:dyDescent="0.3">
      <c r="A854" s="10" t="s">
        <v>2731</v>
      </c>
      <c r="B854" s="10"/>
      <c r="C854" s="24" t="s">
        <v>1757</v>
      </c>
      <c r="D854" s="15"/>
      <c r="E854" s="15" t="s">
        <v>2732</v>
      </c>
      <c r="F854" s="25" t="s">
        <v>278</v>
      </c>
      <c r="G854" s="26">
        <v>0.3</v>
      </c>
      <c r="H854" s="26"/>
      <c r="I854" s="26">
        <v>79.11</v>
      </c>
      <c r="J854" s="27">
        <v>1216.56</v>
      </c>
      <c r="M854" s="28">
        <f>ROUND(ROUND(J854, 2)*I854, 2)</f>
        <v>96242.06</v>
      </c>
      <c r="P854" s="27">
        <v>495.9</v>
      </c>
      <c r="S854" s="28">
        <f>ROUND(ROUND(P854, 2)*I854, 2)</f>
        <v>39230.65</v>
      </c>
      <c r="V854" s="9">
        <f>ROUND(ROUND(P854, 2)/1.2, 2)</f>
        <v>413.25</v>
      </c>
      <c r="Y854" s="9">
        <f t="shared" si="26"/>
        <v>32692.21</v>
      </c>
      <c r="AD854" s="4" t="s">
        <v>2733</v>
      </c>
      <c r="AE854" s="4" t="s">
        <v>2734</v>
      </c>
      <c r="AF854" s="4" t="s">
        <v>1760</v>
      </c>
    </row>
    <row r="855" spans="1:35" ht="36" x14ac:dyDescent="0.3">
      <c r="A855" s="10" t="s">
        <v>2735</v>
      </c>
      <c r="B855" s="10"/>
      <c r="C855" s="24" t="s">
        <v>1007</v>
      </c>
      <c r="D855" s="15"/>
      <c r="E855" s="15"/>
      <c r="F855" s="25" t="s">
        <v>278</v>
      </c>
      <c r="G855" s="26">
        <v>0.15</v>
      </c>
      <c r="H855" s="26"/>
      <c r="I855" s="26">
        <v>39.555</v>
      </c>
      <c r="J855" s="27">
        <v>88.8</v>
      </c>
      <c r="M855" s="28">
        <f>ROUND(ROUND(J855, 2)*I855, 2)</f>
        <v>3512.48</v>
      </c>
      <c r="P855" s="27">
        <v>88.8</v>
      </c>
      <c r="S855" s="28">
        <f>ROUND(ROUND(P855, 2)*I855, 2)</f>
        <v>3512.48</v>
      </c>
      <c r="V855" s="9">
        <f>ROUND(ROUND(P855, 2)/1.2, 2)</f>
        <v>74</v>
      </c>
      <c r="Y855" s="9">
        <f t="shared" si="26"/>
        <v>2927.07</v>
      </c>
      <c r="AD855" s="4" t="s">
        <v>2736</v>
      </c>
      <c r="AE855" s="4" t="s">
        <v>2737</v>
      </c>
      <c r="AF855" s="4" t="s">
        <v>1010</v>
      </c>
    </row>
    <row r="856" spans="1:35" ht="108" x14ac:dyDescent="0.3">
      <c r="A856" s="10" t="s">
        <v>2738</v>
      </c>
      <c r="B856" s="10" t="s">
        <v>2665</v>
      </c>
      <c r="C856" s="14" t="s">
        <v>2666</v>
      </c>
      <c r="D856" s="15"/>
      <c r="E856" s="15" t="s">
        <v>2739</v>
      </c>
      <c r="F856" s="15" t="s">
        <v>62</v>
      </c>
      <c r="G856" s="16">
        <v>1</v>
      </c>
      <c r="H856" s="16"/>
      <c r="I856" s="16">
        <v>3566.92</v>
      </c>
      <c r="J856" s="17">
        <f>IFERROR(ROUND(SUM(M857,M858)/I856, 2),0)</f>
        <v>13.54</v>
      </c>
      <c r="K856" s="18">
        <v>464</v>
      </c>
      <c r="L856" s="17">
        <f>J856+ROUND(K856, 2)</f>
        <v>477.54</v>
      </c>
      <c r="M856" s="17">
        <f>ROUND(J856*I856, 2)</f>
        <v>48296.1</v>
      </c>
      <c r="N856" s="17">
        <f>ROUND(I856*ROUND(K856, 2), 2)</f>
        <v>1655050.88</v>
      </c>
      <c r="O856" s="17">
        <f>M856+N856</f>
        <v>1703346.98</v>
      </c>
      <c r="P856" s="17">
        <f>IFERROR(ROUND(SUM(S857,S858)/I856, 2),0)</f>
        <v>78.69</v>
      </c>
      <c r="Q856" s="19">
        <v>696</v>
      </c>
      <c r="R856" s="17">
        <f>P856+ROUND(Q856, 2)</f>
        <v>774.69</v>
      </c>
      <c r="S856" s="17">
        <f>ROUND(P856*I856, 2)</f>
        <v>280680.93</v>
      </c>
      <c r="T856" s="17">
        <f>ROUND(I856*ROUND(Q856, 2), 2)</f>
        <v>2482576.3199999998</v>
      </c>
      <c r="U856" s="17">
        <f>S856+T856</f>
        <v>2763257.25</v>
      </c>
      <c r="V856" s="9">
        <f>ROUND(P856 / 1.2, 2)</f>
        <v>65.58</v>
      </c>
      <c r="W856" s="9">
        <f>ROUND(Q856 / 1.2, 2)</f>
        <v>580</v>
      </c>
      <c r="X856" s="9">
        <f>ROUND(R856 / 1.2, 2)</f>
        <v>645.58000000000004</v>
      </c>
      <c r="Y856" s="9">
        <f t="shared" si="26"/>
        <v>233900.78</v>
      </c>
      <c r="Z856" s="9">
        <f>ROUND(T856 / 1.2, 2)</f>
        <v>2068813.6</v>
      </c>
      <c r="AA856" s="9">
        <f>Y856+Z856</f>
        <v>2302714.38</v>
      </c>
      <c r="AD856" s="4">
        <v>334080772</v>
      </c>
      <c r="AE856" s="4">
        <v>29436604</v>
      </c>
      <c r="AG856" s="4" t="s">
        <v>2667</v>
      </c>
      <c r="AH856" s="4" t="s">
        <v>2668</v>
      </c>
      <c r="AI856" s="4" t="s">
        <v>250</v>
      </c>
    </row>
    <row r="857" spans="1:35" ht="36" x14ac:dyDescent="0.3">
      <c r="A857" s="10" t="s">
        <v>2740</v>
      </c>
      <c r="B857" s="10"/>
      <c r="C857" s="24" t="s">
        <v>1007</v>
      </c>
      <c r="D857" s="15"/>
      <c r="E857" s="15" t="s">
        <v>1883</v>
      </c>
      <c r="F857" s="25" t="s">
        <v>278</v>
      </c>
      <c r="G857" s="26">
        <v>0.15</v>
      </c>
      <c r="H857" s="26"/>
      <c r="I857" s="26">
        <v>535.03800000000001</v>
      </c>
      <c r="J857" s="27">
        <v>90.28</v>
      </c>
      <c r="M857" s="28">
        <f>ROUND(ROUND(J857, 2)*I857, 2)</f>
        <v>48303.23</v>
      </c>
      <c r="P857" s="29">
        <v>100</v>
      </c>
      <c r="S857" s="28">
        <f>ROUND(ROUND(P857, 2)*I857, 2)</f>
        <v>53503.8</v>
      </c>
      <c r="V857" s="9">
        <f>ROUND(ROUND(P857, 2)/1.2, 2)</f>
        <v>83.33</v>
      </c>
      <c r="Y857" s="9">
        <f t="shared" si="26"/>
        <v>44586.5</v>
      </c>
      <c r="AD857" s="4" t="s">
        <v>2741</v>
      </c>
      <c r="AE857" s="4" t="s">
        <v>2742</v>
      </c>
      <c r="AF857" s="4" t="s">
        <v>1010</v>
      </c>
    </row>
    <row r="858" spans="1:35" ht="54" x14ac:dyDescent="0.3">
      <c r="A858" s="10" t="s">
        <v>2743</v>
      </c>
      <c r="B858" s="10"/>
      <c r="C858" s="24" t="s">
        <v>2744</v>
      </c>
      <c r="D858" s="15"/>
      <c r="E858" s="15" t="s">
        <v>1878</v>
      </c>
      <c r="F858" s="25" t="s">
        <v>278</v>
      </c>
      <c r="G858" s="26">
        <v>0.3</v>
      </c>
      <c r="H858" s="26"/>
      <c r="I858" s="26">
        <v>1070.076</v>
      </c>
      <c r="J858" s="27">
        <v>0</v>
      </c>
      <c r="M858" s="28">
        <f>ROUND(ROUND(J858, 2)*I858, 2)</f>
        <v>0</v>
      </c>
      <c r="P858" s="29">
        <v>212.3</v>
      </c>
      <c r="S858" s="28">
        <f>ROUND(ROUND(P858, 2)*I858, 2)</f>
        <v>227177.13</v>
      </c>
      <c r="V858" s="9">
        <f>ROUND(ROUND(P858, 2)/1.2, 2)</f>
        <v>176.92</v>
      </c>
      <c r="Y858" s="9">
        <f t="shared" si="26"/>
        <v>189314.28</v>
      </c>
      <c r="AD858" s="4" t="s">
        <v>2745</v>
      </c>
      <c r="AE858" s="4" t="s">
        <v>2746</v>
      </c>
      <c r="AF858" s="4" t="s">
        <v>2747</v>
      </c>
    </row>
    <row r="859" spans="1:35" ht="180" x14ac:dyDescent="0.3">
      <c r="A859" s="10" t="s">
        <v>2748</v>
      </c>
      <c r="B859" s="10" t="s">
        <v>2665</v>
      </c>
      <c r="C859" s="14" t="s">
        <v>2666</v>
      </c>
      <c r="D859" s="15"/>
      <c r="E859" s="15" t="s">
        <v>2749</v>
      </c>
      <c r="F859" s="15" t="s">
        <v>62</v>
      </c>
      <c r="G859" s="16">
        <v>1</v>
      </c>
      <c r="H859" s="16"/>
      <c r="I859" s="16">
        <v>291.22000000000003</v>
      </c>
      <c r="J859" s="17">
        <f>IFERROR(ROUND(SUM(M860,M861)/I859, 2),0)</f>
        <v>13.54</v>
      </c>
      <c r="K859" s="18">
        <v>464</v>
      </c>
      <c r="L859" s="17">
        <f>J859+ROUND(K859, 2)</f>
        <v>477.54</v>
      </c>
      <c r="M859" s="17">
        <f>ROUND(J859*I859, 2)</f>
        <v>3943.12</v>
      </c>
      <c r="N859" s="17">
        <f>ROUND(I859*ROUND(K859, 2), 2)</f>
        <v>135126.07999999999</v>
      </c>
      <c r="O859" s="17">
        <f>M859+N859</f>
        <v>139069.19999999998</v>
      </c>
      <c r="P859" s="17">
        <f>IFERROR(ROUND(SUM(S860,S861)/I859, 2),0)</f>
        <v>113.68</v>
      </c>
      <c r="Q859" s="19">
        <v>696</v>
      </c>
      <c r="R859" s="17">
        <f>P859+ROUND(Q859, 2)</f>
        <v>809.68000000000006</v>
      </c>
      <c r="S859" s="17">
        <f>ROUND(P859*I859, 2)</f>
        <v>33105.89</v>
      </c>
      <c r="T859" s="17">
        <f>ROUND(I859*ROUND(Q859, 2), 2)</f>
        <v>202689.12</v>
      </c>
      <c r="U859" s="17">
        <f>S859+T859</f>
        <v>235795.01</v>
      </c>
      <c r="V859" s="9">
        <f>ROUND(P859 / 1.2, 2)</f>
        <v>94.73</v>
      </c>
      <c r="W859" s="9">
        <f>ROUND(Q859 / 1.2, 2)</f>
        <v>580</v>
      </c>
      <c r="X859" s="9">
        <f>ROUND(R859 / 1.2, 2)</f>
        <v>674.73</v>
      </c>
      <c r="Y859" s="9">
        <f t="shared" si="26"/>
        <v>27588.240000000002</v>
      </c>
      <c r="Z859" s="9">
        <f>ROUND(T859 / 1.2, 2)</f>
        <v>168907.6</v>
      </c>
      <c r="AA859" s="9">
        <f>Y859+Z859</f>
        <v>196495.84</v>
      </c>
      <c r="AD859" s="4">
        <v>334080773</v>
      </c>
      <c r="AE859" s="4">
        <v>29436605</v>
      </c>
      <c r="AG859" s="4" t="s">
        <v>2667</v>
      </c>
      <c r="AH859" s="4" t="s">
        <v>2668</v>
      </c>
      <c r="AI859" s="4" t="s">
        <v>250</v>
      </c>
    </row>
    <row r="860" spans="1:35" ht="54" x14ac:dyDescent="0.3">
      <c r="A860" s="10" t="s">
        <v>2750</v>
      </c>
      <c r="B860" s="10"/>
      <c r="C860" s="24" t="s">
        <v>2744</v>
      </c>
      <c r="D860" s="15"/>
      <c r="E860" s="15" t="s">
        <v>1910</v>
      </c>
      <c r="F860" s="25" t="s">
        <v>278</v>
      </c>
      <c r="G860" s="26">
        <v>0.3</v>
      </c>
      <c r="H860" s="26"/>
      <c r="I860" s="26">
        <v>87.366</v>
      </c>
      <c r="J860" s="27">
        <v>0</v>
      </c>
      <c r="M860" s="28">
        <f>ROUND(ROUND(J860, 2)*I860, 2)</f>
        <v>0</v>
      </c>
      <c r="P860" s="29">
        <v>328.94</v>
      </c>
      <c r="S860" s="28">
        <f>ROUND(ROUND(P860, 2)*I860, 2)</f>
        <v>28738.17</v>
      </c>
      <c r="V860" s="9">
        <f>ROUND(ROUND(P860, 2)/1.2, 2)</f>
        <v>274.12</v>
      </c>
      <c r="Y860" s="9">
        <f t="shared" si="26"/>
        <v>23948.48</v>
      </c>
      <c r="AD860" s="4" t="s">
        <v>2751</v>
      </c>
      <c r="AE860" s="4" t="s">
        <v>2752</v>
      </c>
      <c r="AF860" s="4" t="s">
        <v>2747</v>
      </c>
    </row>
    <row r="861" spans="1:35" ht="36" x14ac:dyDescent="0.3">
      <c r="A861" s="10" t="s">
        <v>2753</v>
      </c>
      <c r="B861" s="10"/>
      <c r="C861" s="24" t="s">
        <v>1007</v>
      </c>
      <c r="D861" s="15"/>
      <c r="E861" s="15" t="s">
        <v>1883</v>
      </c>
      <c r="F861" s="25" t="s">
        <v>278</v>
      </c>
      <c r="G861" s="26">
        <v>0.15</v>
      </c>
      <c r="H861" s="26"/>
      <c r="I861" s="26">
        <v>43.683</v>
      </c>
      <c r="J861" s="27">
        <v>90.28</v>
      </c>
      <c r="M861" s="28">
        <f>ROUND(ROUND(J861, 2)*I861, 2)</f>
        <v>3943.7</v>
      </c>
      <c r="P861" s="29">
        <v>100</v>
      </c>
      <c r="S861" s="28">
        <f>ROUND(ROUND(P861, 2)*I861, 2)</f>
        <v>4368.3</v>
      </c>
      <c r="V861" s="9">
        <f>ROUND(ROUND(P861, 2)/1.2, 2)</f>
        <v>83.33</v>
      </c>
      <c r="Y861" s="9">
        <f t="shared" si="26"/>
        <v>3640.25</v>
      </c>
      <c r="AD861" s="4" t="s">
        <v>2754</v>
      </c>
      <c r="AE861" s="4" t="s">
        <v>2755</v>
      </c>
      <c r="AF861" s="4" t="s">
        <v>1010</v>
      </c>
    </row>
    <row r="862" spans="1:35" ht="16.95" customHeight="1" x14ac:dyDescent="0.3">
      <c r="A862" s="10" t="s">
        <v>2756</v>
      </c>
      <c r="B862" s="10" t="s">
        <v>2757</v>
      </c>
      <c r="C862" s="91" t="s">
        <v>2758</v>
      </c>
      <c r="D862" s="92"/>
      <c r="E862" s="92"/>
      <c r="F862" s="92"/>
      <c r="G862" s="92"/>
      <c r="H862" s="92"/>
      <c r="I862" s="93"/>
      <c r="M862" s="6">
        <f>SUM(M863,M867,M870,M874,M876,M878,M880,M882,M884,M886,M888,M890,M892,M904,M905,M906,M907,M909,M911,M913,M915,M929,M943,M945,M947,M949,M951,M953,M955,M957,M959,M961)</f>
        <v>9195963.9299999978</v>
      </c>
      <c r="N862" s="6">
        <f>SUM(N863,N867,N870,N874,N876,N878,N880,N882,N884,N886,N888,N890,N892,N904,N905,N906,N907,N909,N911,N913,N915,N929,N943,N945,N947,N949,N951,N953,N955,N957,N959,N961)</f>
        <v>12063210.26</v>
      </c>
      <c r="O862" s="6">
        <f>SUM(O863,O867,O870,O874,O876,O878,O880,O882,O884,O886,O888,O890,O892,O904,O905,O906,O907,O909,O911,O913,O915,O929,O943,O945,O947,O949,O951,O953,O955,O957,O959,O961)</f>
        <v>21259174.190000001</v>
      </c>
      <c r="S862" s="6">
        <f>SUM(S863,S867,S870,S874,S876,S878,S880,S882,S884,S886,S888,S890,S892,S904,S905,S906,S907,S909,S911,S913,S915,S929,S943,S945,S947,S949,S951,S953,S955,S957,S959,S961)</f>
        <v>16112996.760000004</v>
      </c>
      <c r="T862" s="6">
        <f>SUM(T863,T867,T870,T874,T876,T878,T880,T882,T884,T886,T888,T890,T892,T904,T905,T906,T907,T909,T911,T913,T915,T929,T943,T945,T947,T949,T951,T953,T955,T957,T959,T961)</f>
        <v>18094826.339999996</v>
      </c>
      <c r="U862" s="6">
        <f>SUM(U863,U867,U870,U874,U876,U878,U880,U882,U884,U886,U888,U890,U892,U904,U905,U906,U907,U909,U911,U913,U915,U929,U943,U945,U947,U949,U951,U953,U955,U957,U959,U961)</f>
        <v>34207823.100000001</v>
      </c>
      <c r="Y862" s="9">
        <f>SUM(Y863,Y867,Y870,Y874,Y876,Y878,Y880,Y882,Y884,Y886,Y888,Y890,Y892,Y904,Y905,Y906,Y907,Y909,Y911,Y913,Y915,Y929,Y943,Y945,Y947,Y949,Y951,Y953,Y955,Y957,Y959,Y961)</f>
        <v>13427497.319999997</v>
      </c>
      <c r="Z862" s="9">
        <f>SUM(Z863,Z867,Z870,Z874,Z876,Z878,Z880,Z882,Z884,Z886,Z888,Z890,Z892,Z904,Z905,Z906,Z907,Z909,Z911,Z913,Z915,Z929,Z943,Z945,Z947,Z949,Z951,Z953,Z955,Z957,Z959,Z961)</f>
        <v>15079021.98</v>
      </c>
      <c r="AA862" s="9">
        <f>SUM(AA863,AA867,AA870,AA874,AA876,AA878,AA880,AA882,AA884,AA886,AA888,AA890,AA892,AA904,AA905,AA906,AA907,AA909,AA911,AA913,AA915,AA929,AA943,AA945,AA947,AA949,AA951,AA953,AA955,AA957,AA959,AA961)</f>
        <v>28506519.299999997</v>
      </c>
      <c r="AD862" s="4">
        <v>334080561</v>
      </c>
      <c r="AE862" s="4">
        <v>27245701</v>
      </c>
    </row>
    <row r="863" spans="1:35" ht="18" x14ac:dyDescent="0.3">
      <c r="A863" s="10" t="s">
        <v>2759</v>
      </c>
      <c r="B863" s="10" t="s">
        <v>2760</v>
      </c>
      <c r="C863" s="14" t="s">
        <v>2761</v>
      </c>
      <c r="D863" s="15"/>
      <c r="E863" s="15"/>
      <c r="F863" s="15" t="s">
        <v>62</v>
      </c>
      <c r="G863" s="16">
        <v>1</v>
      </c>
      <c r="H863" s="16"/>
      <c r="I863" s="16">
        <v>0</v>
      </c>
      <c r="J863" s="17">
        <v>0</v>
      </c>
      <c r="K863" s="18">
        <v>1359</v>
      </c>
      <c r="L863" s="17">
        <f>J863+ROUND(K863, 2)</f>
        <v>1359</v>
      </c>
      <c r="M863" s="17">
        <v>0</v>
      </c>
      <c r="N863" s="17">
        <v>0</v>
      </c>
      <c r="O863" s="17">
        <f>M863+N863</f>
        <v>0</v>
      </c>
      <c r="P863" s="17">
        <v>1231.99</v>
      </c>
      <c r="Q863" s="18">
        <v>1359</v>
      </c>
      <c r="R863" s="17">
        <f>P863+ROUND(Q863, 2)</f>
        <v>2590.9899999999998</v>
      </c>
      <c r="S863" s="17">
        <v>0</v>
      </c>
      <c r="T863" s="17">
        <v>0</v>
      </c>
      <c r="U863" s="17">
        <f>S863+T863</f>
        <v>0</v>
      </c>
      <c r="V863" s="9">
        <f>ROUND(P863 / 1.2, 2)</f>
        <v>1026.6600000000001</v>
      </c>
      <c r="W863" s="9">
        <f>ROUND(Q863 / 1.2, 2)</f>
        <v>1132.5</v>
      </c>
      <c r="X863" s="9">
        <f>ROUND(R863 / 1.2, 2)</f>
        <v>2159.16</v>
      </c>
      <c r="Y863" s="9">
        <f>ROUND(S863 / 1.2, 2)</f>
        <v>0</v>
      </c>
      <c r="Z863" s="9">
        <f>ROUND(T863 / 1.2, 2)</f>
        <v>0</v>
      </c>
      <c r="AA863" s="9">
        <f>Y863+Z863</f>
        <v>0</v>
      </c>
      <c r="AD863" s="4">
        <v>334080563</v>
      </c>
      <c r="AE863" s="4">
        <v>27245636</v>
      </c>
      <c r="AG863" s="4" t="s">
        <v>2762</v>
      </c>
      <c r="AH863" s="4" t="s">
        <v>2763</v>
      </c>
      <c r="AI863" s="4" t="s">
        <v>250</v>
      </c>
    </row>
    <row r="864" spans="1:35" ht="18" x14ac:dyDescent="0.3">
      <c r="A864" s="10" t="s">
        <v>2764</v>
      </c>
      <c r="B864" s="10"/>
      <c r="C864" s="24" t="s">
        <v>2765</v>
      </c>
      <c r="D864" s="15"/>
      <c r="E864" s="15"/>
      <c r="F864" s="25" t="s">
        <v>91</v>
      </c>
      <c r="G864" s="26">
        <v>1</v>
      </c>
      <c r="H864" s="26"/>
      <c r="I864" s="26">
        <v>0</v>
      </c>
      <c r="J864" s="27">
        <v>109</v>
      </c>
      <c r="M864" s="28">
        <f>ROUND(ROUND(J864, 2)*I864, 2)</f>
        <v>0</v>
      </c>
      <c r="P864" s="27">
        <v>109</v>
      </c>
      <c r="S864" s="28">
        <f>ROUND(ROUND(P864, 2)*I864, 2)</f>
        <v>0</v>
      </c>
      <c r="V864" s="9">
        <f>ROUND(ROUND(P864, 2)/1.2, 2)</f>
        <v>90.83</v>
      </c>
      <c r="Y864" s="9">
        <f t="shared" ref="Y864:Y903" si="27">ROUND(S864 / 1.2, 2)</f>
        <v>0</v>
      </c>
      <c r="AD864" s="4" t="s">
        <v>2766</v>
      </c>
      <c r="AE864" s="4" t="s">
        <v>2767</v>
      </c>
      <c r="AF864" s="4" t="s">
        <v>2768</v>
      </c>
    </row>
    <row r="865" spans="1:35" ht="18" x14ac:dyDescent="0.3">
      <c r="A865" s="10" t="s">
        <v>2769</v>
      </c>
      <c r="B865" s="10"/>
      <c r="C865" s="24" t="s">
        <v>2770</v>
      </c>
      <c r="D865" s="15"/>
      <c r="E865" s="15"/>
      <c r="F865" s="25" t="s">
        <v>62</v>
      </c>
      <c r="G865" s="26">
        <v>1.05</v>
      </c>
      <c r="H865" s="26"/>
      <c r="I865" s="26">
        <v>0</v>
      </c>
      <c r="J865" s="27">
        <v>838.09</v>
      </c>
      <c r="M865" s="28">
        <f>ROUND(ROUND(J865, 2)*I865, 2)</f>
        <v>0</v>
      </c>
      <c r="P865" s="27">
        <v>838.09</v>
      </c>
      <c r="S865" s="28">
        <f>ROUND(ROUND(P865, 2)*I865, 2)</f>
        <v>0</v>
      </c>
      <c r="V865" s="9">
        <f>ROUND(ROUND(P865, 2)/1.2, 2)</f>
        <v>698.41</v>
      </c>
      <c r="Y865" s="9">
        <f t="shared" si="27"/>
        <v>0</v>
      </c>
      <c r="AD865" s="4" t="s">
        <v>2771</v>
      </c>
      <c r="AE865" s="4" t="s">
        <v>2772</v>
      </c>
      <c r="AF865" s="4" t="s">
        <v>2773</v>
      </c>
    </row>
    <row r="866" spans="1:35" ht="18" x14ac:dyDescent="0.3">
      <c r="A866" s="10" t="s">
        <v>2774</v>
      </c>
      <c r="B866" s="10"/>
      <c r="C866" s="24" t="s">
        <v>2775</v>
      </c>
      <c r="D866" s="15"/>
      <c r="E866" s="15"/>
      <c r="F866" s="25" t="s">
        <v>91</v>
      </c>
      <c r="G866" s="26">
        <v>1</v>
      </c>
      <c r="H866" s="26"/>
      <c r="I866" s="26">
        <v>0</v>
      </c>
      <c r="J866" s="27">
        <v>0</v>
      </c>
      <c r="M866" s="28">
        <f>ROUND(ROUND(J866, 2)*I866, 2)</f>
        <v>0</v>
      </c>
      <c r="P866" s="27">
        <v>243</v>
      </c>
      <c r="S866" s="28">
        <f>ROUND(ROUND(P866, 2)*I866, 2)</f>
        <v>0</v>
      </c>
      <c r="V866" s="9">
        <f>ROUND(ROUND(P866, 2)/1.2, 2)</f>
        <v>202.5</v>
      </c>
      <c r="Y866" s="9">
        <f t="shared" si="27"/>
        <v>0</v>
      </c>
      <c r="AD866" s="4" t="s">
        <v>2776</v>
      </c>
      <c r="AE866" s="4" t="s">
        <v>2777</v>
      </c>
      <c r="AF866" s="4" t="s">
        <v>2778</v>
      </c>
    </row>
    <row r="867" spans="1:35" ht="198" x14ac:dyDescent="0.3">
      <c r="A867" s="10" t="s">
        <v>2779</v>
      </c>
      <c r="B867" s="10" t="s">
        <v>2760</v>
      </c>
      <c r="C867" s="14" t="s">
        <v>2761</v>
      </c>
      <c r="D867" s="15"/>
      <c r="E867" s="15" t="s">
        <v>2780</v>
      </c>
      <c r="F867" s="15" t="s">
        <v>62</v>
      </c>
      <c r="G867" s="16">
        <v>1</v>
      </c>
      <c r="H867" s="16"/>
      <c r="I867" s="16">
        <v>34.200000000000003</v>
      </c>
      <c r="J867" s="17">
        <v>879.99</v>
      </c>
      <c r="K867" s="18">
        <v>1359</v>
      </c>
      <c r="L867" s="17">
        <f>J867+ROUND(K867, 2)</f>
        <v>2238.9899999999998</v>
      </c>
      <c r="M867" s="17">
        <v>30095.66</v>
      </c>
      <c r="N867" s="17">
        <v>46477.8</v>
      </c>
      <c r="O867" s="17">
        <f>M867+N867</f>
        <v>76573.460000000006</v>
      </c>
      <c r="P867" s="17">
        <v>1122.99</v>
      </c>
      <c r="Q867" s="18">
        <v>2038.5</v>
      </c>
      <c r="R867" s="17">
        <f>P867+ROUND(Q867, 2)</f>
        <v>3161.49</v>
      </c>
      <c r="S867" s="17">
        <v>38406.26</v>
      </c>
      <c r="T867" s="17">
        <v>69716.7</v>
      </c>
      <c r="U867" s="17">
        <f>S867+T867</f>
        <v>108122.95999999999</v>
      </c>
      <c r="V867" s="9">
        <f>ROUND(P867 / 1.2, 2)</f>
        <v>935.83</v>
      </c>
      <c r="W867" s="9">
        <f>ROUND(Q867 / 1.2, 2)</f>
        <v>1698.75</v>
      </c>
      <c r="X867" s="9">
        <f>ROUND(R867 / 1.2, 2)</f>
        <v>2634.58</v>
      </c>
      <c r="Y867" s="9">
        <f t="shared" si="27"/>
        <v>32005.22</v>
      </c>
      <c r="Z867" s="9">
        <f>ROUND(T867 / 1.2, 2)</f>
        <v>58097.25</v>
      </c>
      <c r="AA867" s="9">
        <f>Y867+Z867</f>
        <v>90102.47</v>
      </c>
      <c r="AD867" s="4">
        <v>334080774</v>
      </c>
      <c r="AE867" s="4">
        <v>27245742</v>
      </c>
      <c r="AG867" s="4" t="s">
        <v>2762</v>
      </c>
      <c r="AH867" s="4" t="s">
        <v>2763</v>
      </c>
      <c r="AI867" s="4" t="s">
        <v>250</v>
      </c>
    </row>
    <row r="868" spans="1:35" ht="18" x14ac:dyDescent="0.3">
      <c r="A868" s="10" t="s">
        <v>2781</v>
      </c>
      <c r="B868" s="10"/>
      <c r="C868" s="24" t="s">
        <v>2775</v>
      </c>
      <c r="D868" s="15"/>
      <c r="E868" s="15"/>
      <c r="F868" s="25" t="s">
        <v>91</v>
      </c>
      <c r="G868" s="26">
        <v>1</v>
      </c>
      <c r="H868" s="26"/>
      <c r="I868" s="26">
        <v>34.200000000000003</v>
      </c>
      <c r="J868" s="27">
        <v>0</v>
      </c>
      <c r="M868" s="28">
        <f>ROUND(ROUND(J868, 2)*I868, 2)</f>
        <v>0</v>
      </c>
      <c r="P868" s="27">
        <v>243</v>
      </c>
      <c r="S868" s="28">
        <f>ROUND(ROUND(P868, 2)*I868, 2)</f>
        <v>8310.6</v>
      </c>
      <c r="V868" s="9">
        <f>ROUND(ROUND(P868, 2)/1.2, 2)</f>
        <v>202.5</v>
      </c>
      <c r="Y868" s="9">
        <f t="shared" si="27"/>
        <v>6925.5</v>
      </c>
      <c r="AD868" s="4" t="s">
        <v>2782</v>
      </c>
      <c r="AE868" s="4" t="s">
        <v>2783</v>
      </c>
      <c r="AF868" s="4" t="s">
        <v>2778</v>
      </c>
    </row>
    <row r="869" spans="1:35" ht="18" x14ac:dyDescent="0.3">
      <c r="A869" s="10" t="s">
        <v>2784</v>
      </c>
      <c r="B869" s="10"/>
      <c r="C869" s="24" t="s">
        <v>2770</v>
      </c>
      <c r="D869" s="15"/>
      <c r="E869" s="15"/>
      <c r="F869" s="25" t="s">
        <v>62</v>
      </c>
      <c r="G869" s="26">
        <v>1.05</v>
      </c>
      <c r="H869" s="26"/>
      <c r="I869" s="26">
        <v>35.909999999999997</v>
      </c>
      <c r="J869" s="27">
        <v>838.09</v>
      </c>
      <c r="M869" s="28">
        <f>ROUND(ROUND(J869, 2)*I869, 2)</f>
        <v>30095.81</v>
      </c>
      <c r="P869" s="27">
        <v>838.09</v>
      </c>
      <c r="S869" s="28">
        <f>ROUND(ROUND(P869, 2)*I869, 2)</f>
        <v>30095.81</v>
      </c>
      <c r="V869" s="9">
        <f>ROUND(ROUND(P869, 2)/1.2, 2)</f>
        <v>698.41</v>
      </c>
      <c r="Y869" s="9">
        <f t="shared" si="27"/>
        <v>25079.84</v>
      </c>
      <c r="AD869" s="4" t="s">
        <v>2785</v>
      </c>
      <c r="AE869" s="4" t="s">
        <v>2786</v>
      </c>
      <c r="AF869" s="4" t="s">
        <v>2773</v>
      </c>
    </row>
    <row r="870" spans="1:35" ht="126" x14ac:dyDescent="0.3">
      <c r="A870" s="10" t="s">
        <v>2787</v>
      </c>
      <c r="B870" s="10" t="s">
        <v>2760</v>
      </c>
      <c r="C870" s="14" t="s">
        <v>2761</v>
      </c>
      <c r="D870" s="15"/>
      <c r="E870" s="15" t="s">
        <v>2788</v>
      </c>
      <c r="F870" s="15" t="s">
        <v>62</v>
      </c>
      <c r="G870" s="16">
        <v>1</v>
      </c>
      <c r="H870" s="16"/>
      <c r="I870" s="16">
        <v>40.200000000000003</v>
      </c>
      <c r="J870" s="17">
        <f>IFERROR(ROUND(SUM(M871,M872,M873)/I870, 2),0)</f>
        <v>1005.47</v>
      </c>
      <c r="K870" s="18">
        <v>1358.99</v>
      </c>
      <c r="L870" s="17">
        <f>J870+ROUND(K870, 2)</f>
        <v>2364.46</v>
      </c>
      <c r="M870" s="17">
        <f>ROUND(J870*I870, 2)</f>
        <v>40419.89</v>
      </c>
      <c r="N870" s="17">
        <f>ROUND(I870*ROUND(K870, 2), 2)</f>
        <v>54631.4</v>
      </c>
      <c r="O870" s="17">
        <f>M870+N870</f>
        <v>95051.290000000008</v>
      </c>
      <c r="P870" s="17">
        <f>IFERROR(ROUND(SUM(S871,S872,S873)/I870, 2),0)</f>
        <v>1363.15</v>
      </c>
      <c r="Q870" s="19">
        <v>2038.48</v>
      </c>
      <c r="R870" s="17">
        <f>P870+ROUND(Q870, 2)</f>
        <v>3401.63</v>
      </c>
      <c r="S870" s="17">
        <f>ROUND(P870*I870, 2)</f>
        <v>54798.63</v>
      </c>
      <c r="T870" s="17">
        <f>ROUND(I870*ROUND(Q870, 2), 2)</f>
        <v>81946.899999999994</v>
      </c>
      <c r="U870" s="17">
        <f>S870+T870</f>
        <v>136745.53</v>
      </c>
      <c r="V870" s="9">
        <f>ROUND(P870 / 1.2, 2)</f>
        <v>1135.96</v>
      </c>
      <c r="W870" s="9">
        <f>ROUND(Q870 / 1.2, 2)</f>
        <v>1698.73</v>
      </c>
      <c r="X870" s="9">
        <f>ROUND(R870 / 1.2, 2)</f>
        <v>2834.69</v>
      </c>
      <c r="Y870" s="9">
        <f t="shared" si="27"/>
        <v>45665.53</v>
      </c>
      <c r="Z870" s="9">
        <f>ROUND(T870 / 1.2, 2)</f>
        <v>68289.08</v>
      </c>
      <c r="AA870" s="9">
        <f>Y870+Z870</f>
        <v>113954.61</v>
      </c>
      <c r="AD870" s="4">
        <v>334080775</v>
      </c>
      <c r="AE870" s="4">
        <v>29438309</v>
      </c>
      <c r="AG870" s="4" t="s">
        <v>2762</v>
      </c>
      <c r="AH870" s="4" t="s">
        <v>2763</v>
      </c>
      <c r="AI870" s="4" t="s">
        <v>250</v>
      </c>
    </row>
    <row r="871" spans="1:35" ht="18" x14ac:dyDescent="0.3">
      <c r="A871" s="10" t="s">
        <v>2789</v>
      </c>
      <c r="B871" s="10"/>
      <c r="C871" s="24" t="s">
        <v>2765</v>
      </c>
      <c r="D871" s="15"/>
      <c r="E871" s="15"/>
      <c r="F871" s="25" t="s">
        <v>91</v>
      </c>
      <c r="G871" s="26">
        <v>1</v>
      </c>
      <c r="H871" s="26"/>
      <c r="I871" s="26">
        <v>40.200000000000003</v>
      </c>
      <c r="J871" s="27">
        <v>110.81</v>
      </c>
      <c r="M871" s="28">
        <f>ROUND(ROUND(J871, 2)*I871, 2)</f>
        <v>4454.5600000000004</v>
      </c>
      <c r="P871" s="29">
        <v>110.81</v>
      </c>
      <c r="S871" s="28">
        <f>ROUND(ROUND(P871, 2)*I871, 2)</f>
        <v>4454.5600000000004</v>
      </c>
      <c r="V871" s="9">
        <f>ROUND(ROUND(P871, 2)/1.2, 2)</f>
        <v>92.34</v>
      </c>
      <c r="Y871" s="9">
        <f t="shared" si="27"/>
        <v>3712.13</v>
      </c>
      <c r="AD871" s="4" t="s">
        <v>2790</v>
      </c>
      <c r="AE871" s="4" t="s">
        <v>2791</v>
      </c>
      <c r="AF871" s="4" t="s">
        <v>2768</v>
      </c>
    </row>
    <row r="872" spans="1:35" ht="18" x14ac:dyDescent="0.3">
      <c r="A872" s="10" t="s">
        <v>2792</v>
      </c>
      <c r="B872" s="10"/>
      <c r="C872" s="24" t="s">
        <v>2770</v>
      </c>
      <c r="D872" s="15"/>
      <c r="E872" s="15"/>
      <c r="F872" s="25" t="s">
        <v>62</v>
      </c>
      <c r="G872" s="26">
        <v>1.05</v>
      </c>
      <c r="H872" s="26"/>
      <c r="I872" s="26">
        <v>42.21</v>
      </c>
      <c r="J872" s="27">
        <v>852.06</v>
      </c>
      <c r="M872" s="28">
        <f>ROUND(ROUND(J872, 2)*I872, 2)</f>
        <v>35965.449999999997</v>
      </c>
      <c r="P872" s="29">
        <v>852.06</v>
      </c>
      <c r="S872" s="28">
        <f>ROUND(ROUND(P872, 2)*I872, 2)</f>
        <v>35965.449999999997</v>
      </c>
      <c r="V872" s="9">
        <f>ROUND(ROUND(P872, 2)/1.2, 2)</f>
        <v>710.05</v>
      </c>
      <c r="Y872" s="9">
        <f t="shared" si="27"/>
        <v>29971.21</v>
      </c>
      <c r="AD872" s="4" t="s">
        <v>2793</v>
      </c>
      <c r="AE872" s="4" t="s">
        <v>2794</v>
      </c>
      <c r="AF872" s="4" t="s">
        <v>2773</v>
      </c>
    </row>
    <row r="873" spans="1:35" ht="18" x14ac:dyDescent="0.3">
      <c r="A873" s="10" t="s">
        <v>2795</v>
      </c>
      <c r="B873" s="10"/>
      <c r="C873" s="24" t="s">
        <v>2775</v>
      </c>
      <c r="D873" s="15"/>
      <c r="E873" s="15"/>
      <c r="F873" s="25" t="s">
        <v>91</v>
      </c>
      <c r="G873" s="26">
        <v>1</v>
      </c>
      <c r="H873" s="26"/>
      <c r="I873" s="26">
        <v>40.200000000000003</v>
      </c>
      <c r="J873" s="27">
        <v>0</v>
      </c>
      <c r="M873" s="28">
        <f>ROUND(ROUND(J873, 2)*I873, 2)</f>
        <v>0</v>
      </c>
      <c r="P873" s="29">
        <v>357.68</v>
      </c>
      <c r="S873" s="28">
        <f>ROUND(ROUND(P873, 2)*I873, 2)</f>
        <v>14378.74</v>
      </c>
      <c r="V873" s="9">
        <f>ROUND(ROUND(P873, 2)/1.2, 2)</f>
        <v>298.07</v>
      </c>
      <c r="Y873" s="9">
        <f t="shared" si="27"/>
        <v>11982.28</v>
      </c>
      <c r="AD873" s="4" t="s">
        <v>2796</v>
      </c>
      <c r="AE873" s="4" t="s">
        <v>2797</v>
      </c>
      <c r="AF873" s="4" t="s">
        <v>2778</v>
      </c>
    </row>
    <row r="874" spans="1:35" ht="36" x14ac:dyDescent="0.3">
      <c r="A874" s="10" t="s">
        <v>2798</v>
      </c>
      <c r="B874" s="10" t="s">
        <v>2799</v>
      </c>
      <c r="C874" s="14" t="s">
        <v>2800</v>
      </c>
      <c r="D874" s="15"/>
      <c r="E874" s="15"/>
      <c r="F874" s="15" t="s">
        <v>62</v>
      </c>
      <c r="G874" s="16">
        <v>1</v>
      </c>
      <c r="H874" s="16"/>
      <c r="I874" s="16">
        <v>0</v>
      </c>
      <c r="J874" s="17">
        <v>0</v>
      </c>
      <c r="K874" s="18">
        <v>837</v>
      </c>
      <c r="L874" s="17">
        <f>J874+ROUND(K874, 2)</f>
        <v>837</v>
      </c>
      <c r="M874" s="17">
        <v>0</v>
      </c>
      <c r="N874" s="17">
        <v>0</v>
      </c>
      <c r="O874" s="17">
        <f>M874+N874</f>
        <v>0</v>
      </c>
      <c r="P874" s="17">
        <v>1280.4000000000001</v>
      </c>
      <c r="Q874" s="18">
        <v>837</v>
      </c>
      <c r="R874" s="17">
        <f>P874+ROUND(Q874, 2)</f>
        <v>2117.4</v>
      </c>
      <c r="S874" s="17">
        <v>0</v>
      </c>
      <c r="T874" s="17">
        <v>0</v>
      </c>
      <c r="U874" s="17">
        <f>S874+T874</f>
        <v>0</v>
      </c>
      <c r="V874" s="9">
        <f>ROUND(P874 / 1.2, 2)</f>
        <v>1067</v>
      </c>
      <c r="W874" s="9">
        <f>ROUND(Q874 / 1.2, 2)</f>
        <v>697.5</v>
      </c>
      <c r="X874" s="9">
        <f>ROUND(R874 / 1.2, 2)</f>
        <v>1764.5</v>
      </c>
      <c r="Y874" s="9">
        <f t="shared" si="27"/>
        <v>0</v>
      </c>
      <c r="Z874" s="9">
        <f>ROUND(T874 / 1.2, 2)</f>
        <v>0</v>
      </c>
      <c r="AA874" s="9">
        <f>Y874+Z874</f>
        <v>0</v>
      </c>
      <c r="AD874" s="4">
        <v>334080564</v>
      </c>
      <c r="AE874" s="4">
        <v>27245723</v>
      </c>
      <c r="AG874" s="4" t="s">
        <v>2801</v>
      </c>
      <c r="AH874" s="4" t="s">
        <v>2802</v>
      </c>
      <c r="AI874" s="4" t="s">
        <v>250</v>
      </c>
    </row>
    <row r="875" spans="1:35" ht="18" x14ac:dyDescent="0.3">
      <c r="A875" s="10" t="s">
        <v>2803</v>
      </c>
      <c r="B875" s="10"/>
      <c r="C875" s="24" t="s">
        <v>2804</v>
      </c>
      <c r="D875" s="15"/>
      <c r="E875" s="15"/>
      <c r="F875" s="25" t="s">
        <v>62</v>
      </c>
      <c r="G875" s="26">
        <v>1.1000000000000001</v>
      </c>
      <c r="H875" s="31"/>
      <c r="I875" s="31">
        <v>0</v>
      </c>
      <c r="J875" s="27">
        <v>1164</v>
      </c>
      <c r="M875" s="28">
        <f>ROUND(ROUND(J875, 2)*I875, 2)</f>
        <v>0</v>
      </c>
      <c r="P875" s="27">
        <v>1164</v>
      </c>
      <c r="S875" s="28">
        <f>ROUND(ROUND(P875, 2)*I875, 2)</f>
        <v>0</v>
      </c>
      <c r="V875" s="9">
        <f>ROUND(ROUND(P875, 2)/1.2, 2)</f>
        <v>970</v>
      </c>
      <c r="Y875" s="9">
        <f t="shared" si="27"/>
        <v>0</v>
      </c>
      <c r="AD875" s="4" t="s">
        <v>2805</v>
      </c>
      <c r="AE875" s="4" t="s">
        <v>2806</v>
      </c>
      <c r="AF875" s="4" t="s">
        <v>2807</v>
      </c>
    </row>
    <row r="876" spans="1:35" ht="36" x14ac:dyDescent="0.3">
      <c r="A876" s="10" t="s">
        <v>2808</v>
      </c>
      <c r="B876" s="10" t="s">
        <v>2799</v>
      </c>
      <c r="C876" s="14" t="s">
        <v>2800</v>
      </c>
      <c r="D876" s="15"/>
      <c r="E876" s="15"/>
      <c r="F876" s="15" t="s">
        <v>62</v>
      </c>
      <c r="G876" s="16">
        <v>1</v>
      </c>
      <c r="H876" s="16"/>
      <c r="I876" s="16">
        <v>0</v>
      </c>
      <c r="J876" s="17">
        <v>0</v>
      </c>
      <c r="K876" s="18">
        <v>837</v>
      </c>
      <c r="L876" s="17">
        <f>J876+ROUND(K876, 2)</f>
        <v>837</v>
      </c>
      <c r="M876" s="17">
        <v>0</v>
      </c>
      <c r="N876" s="17">
        <v>0</v>
      </c>
      <c r="O876" s="17">
        <f>M876+N876</f>
        <v>0</v>
      </c>
      <c r="P876" s="17">
        <v>1280.4000000000001</v>
      </c>
      <c r="Q876" s="18">
        <v>837</v>
      </c>
      <c r="R876" s="17">
        <f>P876+ROUND(Q876, 2)</f>
        <v>2117.4</v>
      </c>
      <c r="S876" s="17">
        <v>0</v>
      </c>
      <c r="T876" s="17">
        <v>0</v>
      </c>
      <c r="U876" s="17">
        <f>S876+T876</f>
        <v>0</v>
      </c>
      <c r="V876" s="9">
        <f>ROUND(P876 / 1.2, 2)</f>
        <v>1067</v>
      </c>
      <c r="W876" s="9">
        <f>ROUND(Q876 / 1.2, 2)</f>
        <v>697.5</v>
      </c>
      <c r="X876" s="9">
        <f>ROUND(R876 / 1.2, 2)</f>
        <v>1764.5</v>
      </c>
      <c r="Y876" s="9">
        <f t="shared" si="27"/>
        <v>0</v>
      </c>
      <c r="Z876" s="9">
        <f>ROUND(T876 / 1.2, 2)</f>
        <v>0</v>
      </c>
      <c r="AA876" s="9">
        <f>Y876+Z876</f>
        <v>0</v>
      </c>
      <c r="AD876" s="4">
        <v>334080776</v>
      </c>
      <c r="AE876" s="4">
        <v>27245724</v>
      </c>
      <c r="AG876" s="4" t="s">
        <v>2801</v>
      </c>
      <c r="AH876" s="4" t="s">
        <v>2802</v>
      </c>
      <c r="AI876" s="4" t="s">
        <v>250</v>
      </c>
    </row>
    <row r="877" spans="1:35" ht="18" x14ac:dyDescent="0.3">
      <c r="A877" s="10" t="s">
        <v>2809</v>
      </c>
      <c r="B877" s="10"/>
      <c r="C877" s="24" t="s">
        <v>2804</v>
      </c>
      <c r="D877" s="15"/>
      <c r="E877" s="15"/>
      <c r="F877" s="25" t="s">
        <v>62</v>
      </c>
      <c r="G877" s="26">
        <v>1.1000000000000001</v>
      </c>
      <c r="H877" s="31"/>
      <c r="I877" s="31">
        <v>0</v>
      </c>
      <c r="J877" s="27">
        <v>1164</v>
      </c>
      <c r="M877" s="28">
        <f>ROUND(ROUND(J877, 2)*I877, 2)</f>
        <v>0</v>
      </c>
      <c r="P877" s="27">
        <v>1164</v>
      </c>
      <c r="S877" s="28">
        <f>ROUND(ROUND(P877, 2)*I877, 2)</f>
        <v>0</v>
      </c>
      <c r="V877" s="9">
        <f>ROUND(ROUND(P877, 2)/1.2, 2)</f>
        <v>970</v>
      </c>
      <c r="Y877" s="9">
        <f t="shared" si="27"/>
        <v>0</v>
      </c>
      <c r="AD877" s="4" t="s">
        <v>2810</v>
      </c>
      <c r="AE877" s="4" t="s">
        <v>2811</v>
      </c>
      <c r="AF877" s="4" t="s">
        <v>2807</v>
      </c>
    </row>
    <row r="878" spans="1:35" ht="36" x14ac:dyDescent="0.3">
      <c r="A878" s="10" t="s">
        <v>2812</v>
      </c>
      <c r="B878" s="10" t="s">
        <v>2799</v>
      </c>
      <c r="C878" s="14" t="s">
        <v>2800</v>
      </c>
      <c r="D878" s="15"/>
      <c r="E878" s="15"/>
      <c r="F878" s="15" t="s">
        <v>62</v>
      </c>
      <c r="G878" s="16">
        <v>1</v>
      </c>
      <c r="H878" s="16"/>
      <c r="I878" s="16">
        <v>0</v>
      </c>
      <c r="J878" s="17">
        <v>0</v>
      </c>
      <c r="K878" s="18">
        <v>837</v>
      </c>
      <c r="L878" s="17">
        <f>J878+ROUND(K878, 2)</f>
        <v>837</v>
      </c>
      <c r="M878" s="17">
        <v>0</v>
      </c>
      <c r="N878" s="17">
        <v>0</v>
      </c>
      <c r="O878" s="17">
        <f>M878+N878</f>
        <v>0</v>
      </c>
      <c r="P878" s="17">
        <v>1280.4000000000001</v>
      </c>
      <c r="Q878" s="18">
        <v>837</v>
      </c>
      <c r="R878" s="17">
        <f>P878+ROUND(Q878, 2)</f>
        <v>2117.4</v>
      </c>
      <c r="S878" s="17">
        <v>0</v>
      </c>
      <c r="T878" s="17">
        <v>0</v>
      </c>
      <c r="U878" s="17">
        <f>S878+T878</f>
        <v>0</v>
      </c>
      <c r="V878" s="9">
        <f>ROUND(P878 / 1.2, 2)</f>
        <v>1067</v>
      </c>
      <c r="W878" s="9">
        <f>ROUND(Q878 / 1.2, 2)</f>
        <v>697.5</v>
      </c>
      <c r="X878" s="9">
        <f>ROUND(R878 / 1.2, 2)</f>
        <v>1764.5</v>
      </c>
      <c r="Y878" s="9">
        <f t="shared" si="27"/>
        <v>0</v>
      </c>
      <c r="Z878" s="9">
        <f>ROUND(T878 / 1.2, 2)</f>
        <v>0</v>
      </c>
      <c r="AA878" s="9">
        <f>Y878+Z878</f>
        <v>0</v>
      </c>
      <c r="AD878" s="4">
        <v>334080777</v>
      </c>
      <c r="AE878" s="4">
        <v>27245725</v>
      </c>
      <c r="AG878" s="4" t="s">
        <v>2801</v>
      </c>
      <c r="AH878" s="4" t="s">
        <v>2802</v>
      </c>
      <c r="AI878" s="4" t="s">
        <v>250</v>
      </c>
    </row>
    <row r="879" spans="1:35" ht="18" x14ac:dyDescent="0.3">
      <c r="A879" s="10" t="s">
        <v>2813</v>
      </c>
      <c r="B879" s="10"/>
      <c r="C879" s="24" t="s">
        <v>2804</v>
      </c>
      <c r="D879" s="15"/>
      <c r="E879" s="15"/>
      <c r="F879" s="25" t="s">
        <v>62</v>
      </c>
      <c r="G879" s="26">
        <v>1.1000000000000001</v>
      </c>
      <c r="H879" s="31"/>
      <c r="I879" s="31">
        <v>0</v>
      </c>
      <c r="J879" s="27">
        <v>1164</v>
      </c>
      <c r="M879" s="28">
        <f>ROUND(ROUND(J879, 2)*I879, 2)</f>
        <v>0</v>
      </c>
      <c r="P879" s="27">
        <v>1164</v>
      </c>
      <c r="S879" s="28">
        <f>ROUND(ROUND(P879, 2)*I879, 2)</f>
        <v>0</v>
      </c>
      <c r="V879" s="9">
        <f>ROUND(ROUND(P879, 2)/1.2, 2)</f>
        <v>970</v>
      </c>
      <c r="Y879" s="9">
        <f t="shared" si="27"/>
        <v>0</v>
      </c>
      <c r="AD879" s="4" t="s">
        <v>2814</v>
      </c>
      <c r="AE879" s="4" t="s">
        <v>2815</v>
      </c>
      <c r="AF879" s="4" t="s">
        <v>2807</v>
      </c>
    </row>
    <row r="880" spans="1:35" ht="90" x14ac:dyDescent="0.3">
      <c r="A880" s="10" t="s">
        <v>2816</v>
      </c>
      <c r="B880" s="10" t="s">
        <v>2799</v>
      </c>
      <c r="C880" s="14" t="s">
        <v>2800</v>
      </c>
      <c r="D880" s="15"/>
      <c r="E880" s="15" t="s">
        <v>2817</v>
      </c>
      <c r="F880" s="15" t="s">
        <v>62</v>
      </c>
      <c r="G880" s="16">
        <v>1</v>
      </c>
      <c r="H880" s="16"/>
      <c r="I880" s="16">
        <v>6</v>
      </c>
      <c r="J880" s="17">
        <v>1280.4000000000001</v>
      </c>
      <c r="K880" s="18">
        <v>837</v>
      </c>
      <c r="L880" s="17">
        <f>J880+ROUND(K880, 2)</f>
        <v>2117.4</v>
      </c>
      <c r="M880" s="17">
        <v>7682.4</v>
      </c>
      <c r="N880" s="17">
        <v>5022</v>
      </c>
      <c r="O880" s="17">
        <f>M880+N880</f>
        <v>12704.4</v>
      </c>
      <c r="P880" s="17">
        <v>1280.4000000000001</v>
      </c>
      <c r="Q880" s="18">
        <v>1255.5</v>
      </c>
      <c r="R880" s="17">
        <f>P880+ROUND(Q880, 2)</f>
        <v>2535.9</v>
      </c>
      <c r="S880" s="17">
        <v>7682.4</v>
      </c>
      <c r="T880" s="17">
        <v>7533</v>
      </c>
      <c r="U880" s="17">
        <f>S880+T880</f>
        <v>15215.4</v>
      </c>
      <c r="V880" s="9">
        <f>ROUND(P880 / 1.2, 2)</f>
        <v>1067</v>
      </c>
      <c r="W880" s="9">
        <f>ROUND(Q880 / 1.2, 2)</f>
        <v>1046.25</v>
      </c>
      <c r="X880" s="9">
        <f>ROUND(R880 / 1.2, 2)</f>
        <v>2113.25</v>
      </c>
      <c r="Y880" s="9">
        <f t="shared" si="27"/>
        <v>6402</v>
      </c>
      <c r="Z880" s="9">
        <f>ROUND(T880 / 1.2, 2)</f>
        <v>6277.5</v>
      </c>
      <c r="AA880" s="9">
        <f>Y880+Z880</f>
        <v>12679.5</v>
      </c>
      <c r="AD880" s="4">
        <v>334080778</v>
      </c>
      <c r="AE880" s="4">
        <v>27245740</v>
      </c>
      <c r="AG880" s="4" t="s">
        <v>2801</v>
      </c>
      <c r="AH880" s="4" t="s">
        <v>2802</v>
      </c>
      <c r="AI880" s="4" t="s">
        <v>250</v>
      </c>
    </row>
    <row r="881" spans="1:35" ht="18" x14ac:dyDescent="0.3">
      <c r="A881" s="10" t="s">
        <v>2818</v>
      </c>
      <c r="B881" s="10"/>
      <c r="C881" s="24" t="s">
        <v>2804</v>
      </c>
      <c r="D881" s="15"/>
      <c r="E881" s="15"/>
      <c r="F881" s="25" t="s">
        <v>62</v>
      </c>
      <c r="G881" s="26">
        <v>1.1000000000000001</v>
      </c>
      <c r="H881" s="31"/>
      <c r="I881" s="31">
        <v>6.6</v>
      </c>
      <c r="J881" s="27">
        <v>1164</v>
      </c>
      <c r="M881" s="28">
        <f>ROUND(ROUND(J881, 2)*I881, 2)</f>
        <v>7682.4</v>
      </c>
      <c r="P881" s="27">
        <v>1164</v>
      </c>
      <c r="S881" s="28">
        <f>ROUND(ROUND(P881, 2)*I881, 2)</f>
        <v>7682.4</v>
      </c>
      <c r="V881" s="9">
        <f>ROUND(ROUND(P881, 2)/1.2, 2)</f>
        <v>970</v>
      </c>
      <c r="Y881" s="9">
        <f t="shared" si="27"/>
        <v>6402</v>
      </c>
      <c r="AD881" s="4" t="s">
        <v>2819</v>
      </c>
      <c r="AE881" s="4" t="s">
        <v>2820</v>
      </c>
      <c r="AF881" s="4" t="s">
        <v>2807</v>
      </c>
    </row>
    <row r="882" spans="1:35" ht="90" x14ac:dyDescent="0.3">
      <c r="A882" s="10" t="s">
        <v>2821</v>
      </c>
      <c r="B882" s="10" t="s">
        <v>2799</v>
      </c>
      <c r="C882" s="14" t="s">
        <v>2800</v>
      </c>
      <c r="D882" s="15"/>
      <c r="E882" s="15" t="s">
        <v>2822</v>
      </c>
      <c r="F882" s="15" t="s">
        <v>62</v>
      </c>
      <c r="G882" s="16">
        <v>1</v>
      </c>
      <c r="H882" s="16"/>
      <c r="I882" s="16">
        <v>1549.1</v>
      </c>
      <c r="J882" s="17">
        <v>1280.4000000000001</v>
      </c>
      <c r="K882" s="18">
        <v>837</v>
      </c>
      <c r="L882" s="17">
        <f>J882+ROUND(K882, 2)</f>
        <v>2117.4</v>
      </c>
      <c r="M882" s="17">
        <v>1983467.64</v>
      </c>
      <c r="N882" s="17">
        <v>1296596.7</v>
      </c>
      <c r="O882" s="17">
        <f>M882+N882</f>
        <v>3280064.34</v>
      </c>
      <c r="P882" s="17">
        <v>1280.4000000000001</v>
      </c>
      <c r="Q882" s="18">
        <v>1255.5</v>
      </c>
      <c r="R882" s="17">
        <f>P882+ROUND(Q882, 2)</f>
        <v>2535.9</v>
      </c>
      <c r="S882" s="17">
        <v>1983467.64</v>
      </c>
      <c r="T882" s="17">
        <v>1944895.05</v>
      </c>
      <c r="U882" s="17">
        <f>S882+T882</f>
        <v>3928362.69</v>
      </c>
      <c r="V882" s="9">
        <f>ROUND(P882 / 1.2, 2)</f>
        <v>1067</v>
      </c>
      <c r="W882" s="9">
        <f>ROUND(Q882 / 1.2, 2)</f>
        <v>1046.25</v>
      </c>
      <c r="X882" s="9">
        <f>ROUND(R882 / 1.2, 2)</f>
        <v>2113.25</v>
      </c>
      <c r="Y882" s="9">
        <f t="shared" si="27"/>
        <v>1652889.7</v>
      </c>
      <c r="Z882" s="9">
        <f>ROUND(T882 / 1.2, 2)</f>
        <v>1620745.88</v>
      </c>
      <c r="AA882" s="9">
        <f>Y882+Z882</f>
        <v>3273635.58</v>
      </c>
      <c r="AD882" s="4">
        <v>334080779</v>
      </c>
      <c r="AE882" s="4">
        <v>27245741</v>
      </c>
      <c r="AG882" s="4" t="s">
        <v>2801</v>
      </c>
      <c r="AH882" s="4" t="s">
        <v>2802</v>
      </c>
      <c r="AI882" s="4" t="s">
        <v>250</v>
      </c>
    </row>
    <row r="883" spans="1:35" ht="18" x14ac:dyDescent="0.3">
      <c r="A883" s="10" t="s">
        <v>2823</v>
      </c>
      <c r="B883" s="10"/>
      <c r="C883" s="24" t="s">
        <v>2804</v>
      </c>
      <c r="D883" s="15"/>
      <c r="E883" s="15" t="s">
        <v>2824</v>
      </c>
      <c r="F883" s="25" t="s">
        <v>62</v>
      </c>
      <c r="G883" s="26">
        <v>1.1000000000000001</v>
      </c>
      <c r="H883" s="31"/>
      <c r="I883" s="31">
        <v>1704.01</v>
      </c>
      <c r="J883" s="27">
        <v>1164</v>
      </c>
      <c r="M883" s="28">
        <f>ROUND(ROUND(J883, 2)*I883, 2)</f>
        <v>1983467.64</v>
      </c>
      <c r="P883" s="27">
        <v>1164</v>
      </c>
      <c r="S883" s="28">
        <f>ROUND(ROUND(P883, 2)*I883, 2)</f>
        <v>1983467.64</v>
      </c>
      <c r="V883" s="9">
        <f>ROUND(ROUND(P883, 2)/1.2, 2)</f>
        <v>970</v>
      </c>
      <c r="Y883" s="9">
        <f t="shared" si="27"/>
        <v>1652889.7</v>
      </c>
      <c r="AD883" s="4" t="s">
        <v>2825</v>
      </c>
      <c r="AE883" s="4" t="s">
        <v>2826</v>
      </c>
      <c r="AF883" s="4" t="s">
        <v>2807</v>
      </c>
    </row>
    <row r="884" spans="1:35" ht="90" x14ac:dyDescent="0.3">
      <c r="A884" s="10" t="s">
        <v>2827</v>
      </c>
      <c r="B884" s="10" t="s">
        <v>2799</v>
      </c>
      <c r="C884" s="14" t="s">
        <v>2800</v>
      </c>
      <c r="D884" s="15"/>
      <c r="E884" s="15" t="s">
        <v>2828</v>
      </c>
      <c r="F884" s="15" t="s">
        <v>62</v>
      </c>
      <c r="G884" s="16">
        <v>1</v>
      </c>
      <c r="H884" s="16"/>
      <c r="I884" s="16">
        <v>242</v>
      </c>
      <c r="J884" s="17">
        <v>1280.4000000000001</v>
      </c>
      <c r="K884" s="18">
        <v>837</v>
      </c>
      <c r="L884" s="17">
        <f>J884+ROUND(K884, 2)</f>
        <v>2117.4</v>
      </c>
      <c r="M884" s="17">
        <v>309856.8</v>
      </c>
      <c r="N884" s="17">
        <v>202554</v>
      </c>
      <c r="O884" s="17">
        <f>M884+N884</f>
        <v>512410.8</v>
      </c>
      <c r="P884" s="17">
        <v>1280.4000000000001</v>
      </c>
      <c r="Q884" s="18">
        <v>1255.5</v>
      </c>
      <c r="R884" s="17">
        <f>P884+ROUND(Q884, 2)</f>
        <v>2535.9</v>
      </c>
      <c r="S884" s="17">
        <v>309856.8</v>
      </c>
      <c r="T884" s="17">
        <v>303831</v>
      </c>
      <c r="U884" s="17">
        <f>S884+T884</f>
        <v>613687.80000000005</v>
      </c>
      <c r="V884" s="9">
        <f>ROUND(P884 / 1.2, 2)</f>
        <v>1067</v>
      </c>
      <c r="W884" s="9">
        <f>ROUND(Q884 / 1.2, 2)</f>
        <v>1046.25</v>
      </c>
      <c r="X884" s="9">
        <f>ROUND(R884 / 1.2, 2)</f>
        <v>2113.25</v>
      </c>
      <c r="Y884" s="9">
        <f t="shared" si="27"/>
        <v>258214</v>
      </c>
      <c r="Z884" s="9">
        <f>ROUND(T884 / 1.2, 2)</f>
        <v>253192.5</v>
      </c>
      <c r="AA884" s="9">
        <f>Y884+Z884</f>
        <v>511406.5</v>
      </c>
      <c r="AD884" s="4">
        <v>334080780</v>
      </c>
      <c r="AE884" s="4">
        <v>27245733</v>
      </c>
      <c r="AG884" s="4" t="s">
        <v>2801</v>
      </c>
      <c r="AH884" s="4" t="s">
        <v>2802</v>
      </c>
      <c r="AI884" s="4" t="s">
        <v>250</v>
      </c>
    </row>
    <row r="885" spans="1:35" ht="18" x14ac:dyDescent="0.3">
      <c r="A885" s="10" t="s">
        <v>2829</v>
      </c>
      <c r="B885" s="10"/>
      <c r="C885" s="24" t="s">
        <v>2804</v>
      </c>
      <c r="D885" s="15"/>
      <c r="E885" s="15"/>
      <c r="F885" s="25" t="s">
        <v>62</v>
      </c>
      <c r="G885" s="26">
        <v>1.1000000000000001</v>
      </c>
      <c r="H885" s="31"/>
      <c r="I885" s="31">
        <v>266.2</v>
      </c>
      <c r="J885" s="27">
        <v>1164</v>
      </c>
      <c r="M885" s="28">
        <f>ROUND(ROUND(J885, 2)*I885, 2)</f>
        <v>309856.8</v>
      </c>
      <c r="P885" s="27">
        <v>1164</v>
      </c>
      <c r="S885" s="28">
        <f>ROUND(ROUND(P885, 2)*I885, 2)</f>
        <v>309856.8</v>
      </c>
      <c r="V885" s="9">
        <f>ROUND(ROUND(P885, 2)/1.2, 2)</f>
        <v>970</v>
      </c>
      <c r="Y885" s="9">
        <f t="shared" si="27"/>
        <v>258214</v>
      </c>
      <c r="AD885" s="4" t="s">
        <v>2830</v>
      </c>
      <c r="AE885" s="4" t="s">
        <v>2831</v>
      </c>
      <c r="AF885" s="4" t="s">
        <v>2807</v>
      </c>
    </row>
    <row r="886" spans="1:35" ht="108" x14ac:dyDescent="0.3">
      <c r="A886" s="10" t="s">
        <v>2832</v>
      </c>
      <c r="B886" s="10" t="s">
        <v>2799</v>
      </c>
      <c r="C886" s="14" t="s">
        <v>2800</v>
      </c>
      <c r="D886" s="15"/>
      <c r="E886" s="15" t="s">
        <v>2833</v>
      </c>
      <c r="F886" s="15" t="s">
        <v>62</v>
      </c>
      <c r="G886" s="16">
        <v>1</v>
      </c>
      <c r="H886" s="16"/>
      <c r="I886" s="16">
        <v>1714.16</v>
      </c>
      <c r="J886" s="17">
        <f>IFERROR(ROUND(SUM(M887)/I886, 2),0)</f>
        <v>1301.74</v>
      </c>
      <c r="K886" s="18">
        <v>837.01</v>
      </c>
      <c r="L886" s="17">
        <f>J886+ROUND(K886, 2)</f>
        <v>2138.75</v>
      </c>
      <c r="M886" s="17">
        <f>ROUND(J886*I886, 2)</f>
        <v>2231390.64</v>
      </c>
      <c r="N886" s="17">
        <f>ROUND(I886*ROUND(K886, 2), 2)</f>
        <v>1434769.06</v>
      </c>
      <c r="O886" s="17">
        <f>M886+N886</f>
        <v>3666159.7</v>
      </c>
      <c r="P886" s="17">
        <f>IFERROR(ROUND(SUM(S887)/I886, 2),0)</f>
        <v>1301.74</v>
      </c>
      <c r="Q886" s="19">
        <v>1255.5</v>
      </c>
      <c r="R886" s="17">
        <f>P886+ROUND(Q886, 2)</f>
        <v>2557.2399999999998</v>
      </c>
      <c r="S886" s="17">
        <f>ROUND(P886*I886, 2)</f>
        <v>2231390.64</v>
      </c>
      <c r="T886" s="17">
        <f>ROUND(I886*ROUND(Q886, 2), 2)</f>
        <v>2152127.88</v>
      </c>
      <c r="U886" s="17">
        <f>S886+T886</f>
        <v>4383518.5199999996</v>
      </c>
      <c r="V886" s="9">
        <f>ROUND(P886 / 1.2, 2)</f>
        <v>1084.78</v>
      </c>
      <c r="W886" s="9">
        <f>ROUND(Q886 / 1.2, 2)</f>
        <v>1046.25</v>
      </c>
      <c r="X886" s="9">
        <f>ROUND(R886 / 1.2, 2)</f>
        <v>2131.0300000000002</v>
      </c>
      <c r="Y886" s="9">
        <f t="shared" si="27"/>
        <v>1859492.2</v>
      </c>
      <c r="Z886" s="9">
        <f>ROUND(T886 / 1.2, 2)</f>
        <v>1793439.9</v>
      </c>
      <c r="AA886" s="9">
        <f>Y886+Z886</f>
        <v>3652932.0999999996</v>
      </c>
      <c r="AD886" s="4">
        <v>334080793</v>
      </c>
      <c r="AE886" s="4">
        <v>29438308</v>
      </c>
      <c r="AG886" s="4" t="s">
        <v>2801</v>
      </c>
      <c r="AH886" s="4" t="s">
        <v>2802</v>
      </c>
      <c r="AI886" s="4" t="s">
        <v>250</v>
      </c>
    </row>
    <row r="887" spans="1:35" ht="18" x14ac:dyDescent="0.3">
      <c r="A887" s="10" t="s">
        <v>2834</v>
      </c>
      <c r="B887" s="10"/>
      <c r="C887" s="24" t="s">
        <v>2804</v>
      </c>
      <c r="D887" s="15"/>
      <c r="E887" s="15"/>
      <c r="F887" s="25" t="s">
        <v>62</v>
      </c>
      <c r="G887" s="26">
        <v>1.1000000000000001</v>
      </c>
      <c r="H887" s="31"/>
      <c r="I887" s="31">
        <v>1885.576</v>
      </c>
      <c r="J887" s="27">
        <v>1183.4000000000001</v>
      </c>
      <c r="M887" s="28">
        <f>ROUND(ROUND(J887, 2)*I887, 2)</f>
        <v>2231390.64</v>
      </c>
      <c r="P887" s="29">
        <v>1183.4000000000001</v>
      </c>
      <c r="S887" s="28">
        <f>ROUND(ROUND(P887, 2)*I887, 2)</f>
        <v>2231390.64</v>
      </c>
      <c r="V887" s="9">
        <f>ROUND(ROUND(P887, 2)/1.2, 2)</f>
        <v>986.17</v>
      </c>
      <c r="Y887" s="9">
        <f t="shared" si="27"/>
        <v>1859492.2</v>
      </c>
      <c r="AD887" s="4" t="s">
        <v>2835</v>
      </c>
      <c r="AE887" s="4" t="s">
        <v>2836</v>
      </c>
      <c r="AF887" s="4" t="s">
        <v>2807</v>
      </c>
    </row>
    <row r="888" spans="1:35" ht="126" x14ac:dyDescent="0.3">
      <c r="A888" s="10" t="s">
        <v>2837</v>
      </c>
      <c r="B888" s="10" t="s">
        <v>2799</v>
      </c>
      <c r="C888" s="14" t="s">
        <v>2800</v>
      </c>
      <c r="D888" s="15"/>
      <c r="E888" s="15" t="s">
        <v>2838</v>
      </c>
      <c r="F888" s="15" t="s">
        <v>62</v>
      </c>
      <c r="G888" s="16">
        <v>1</v>
      </c>
      <c r="H888" s="16"/>
      <c r="I888" s="16">
        <v>242</v>
      </c>
      <c r="J888" s="17">
        <f>IFERROR(ROUND(SUM(M889)/I888, 2),0)</f>
        <v>1301.74</v>
      </c>
      <c r="K888" s="18">
        <v>837.01</v>
      </c>
      <c r="L888" s="17">
        <f>J888+ROUND(K888, 2)</f>
        <v>2138.75</v>
      </c>
      <c r="M888" s="17">
        <f>ROUND(J888*I888, 2)</f>
        <v>315021.08</v>
      </c>
      <c r="N888" s="17">
        <f>ROUND(I888*ROUND(K888, 2), 2)</f>
        <v>202556.42</v>
      </c>
      <c r="O888" s="17">
        <f>M888+N888</f>
        <v>517577.5</v>
      </c>
      <c r="P888" s="17">
        <f>IFERROR(ROUND(SUM(S889)/I888, 2),0)</f>
        <v>1301.74</v>
      </c>
      <c r="Q888" s="19">
        <v>1255.5</v>
      </c>
      <c r="R888" s="17">
        <f>P888+ROUND(Q888, 2)</f>
        <v>2557.2399999999998</v>
      </c>
      <c r="S888" s="17">
        <f>ROUND(P888*I888, 2)</f>
        <v>315021.08</v>
      </c>
      <c r="T888" s="17">
        <f>ROUND(I888*ROUND(Q888, 2), 2)</f>
        <v>303831</v>
      </c>
      <c r="U888" s="17">
        <f>S888+T888</f>
        <v>618852.08000000007</v>
      </c>
      <c r="V888" s="9">
        <f>ROUND(P888 / 1.2, 2)</f>
        <v>1084.78</v>
      </c>
      <c r="W888" s="9">
        <f>ROUND(Q888 / 1.2, 2)</f>
        <v>1046.25</v>
      </c>
      <c r="X888" s="9">
        <f>ROUND(R888 / 1.2, 2)</f>
        <v>2131.0300000000002</v>
      </c>
      <c r="Y888" s="9">
        <f t="shared" si="27"/>
        <v>262517.57</v>
      </c>
      <c r="Z888" s="9">
        <f>ROUND(T888 / 1.2, 2)</f>
        <v>253192.5</v>
      </c>
      <c r="AA888" s="9">
        <f>Y888+Z888</f>
        <v>515710.07</v>
      </c>
      <c r="AD888" s="4">
        <v>334080795</v>
      </c>
      <c r="AE888" s="4">
        <v>29442620</v>
      </c>
      <c r="AG888" s="4" t="s">
        <v>2801</v>
      </c>
      <c r="AH888" s="4" t="s">
        <v>2802</v>
      </c>
      <c r="AI888" s="4" t="s">
        <v>250</v>
      </c>
    </row>
    <row r="889" spans="1:35" ht="18" x14ac:dyDescent="0.3">
      <c r="A889" s="10" t="s">
        <v>2839</v>
      </c>
      <c r="B889" s="10"/>
      <c r="C889" s="24" t="s">
        <v>2804</v>
      </c>
      <c r="D889" s="15"/>
      <c r="E889" s="15"/>
      <c r="F889" s="25" t="s">
        <v>62</v>
      </c>
      <c r="G889" s="26">
        <v>1.1000000000000001</v>
      </c>
      <c r="H889" s="31"/>
      <c r="I889" s="31">
        <v>266.2</v>
      </c>
      <c r="J889" s="27">
        <v>1183.4000000000001</v>
      </c>
      <c r="M889" s="28">
        <f>ROUND(ROUND(J889, 2)*I889, 2)</f>
        <v>315021.08</v>
      </c>
      <c r="P889" s="29">
        <v>1183.4000000000001</v>
      </c>
      <c r="S889" s="28">
        <f>ROUND(ROUND(P889, 2)*I889, 2)</f>
        <v>315021.08</v>
      </c>
      <c r="V889" s="9">
        <f>ROUND(ROUND(P889, 2)/1.2, 2)</f>
        <v>986.17</v>
      </c>
      <c r="Y889" s="9">
        <f t="shared" si="27"/>
        <v>262517.57</v>
      </c>
      <c r="AD889" s="4" t="s">
        <v>2840</v>
      </c>
      <c r="AE889" s="4" t="s">
        <v>2841</v>
      </c>
      <c r="AF889" s="4" t="s">
        <v>2807</v>
      </c>
    </row>
    <row r="890" spans="1:35" ht="108" x14ac:dyDescent="0.3">
      <c r="A890" s="10" t="s">
        <v>2842</v>
      </c>
      <c r="B890" s="10" t="s">
        <v>2799</v>
      </c>
      <c r="C890" s="14" t="s">
        <v>2800</v>
      </c>
      <c r="D890" s="15"/>
      <c r="E890" s="15" t="s">
        <v>2843</v>
      </c>
      <c r="F890" s="15" t="s">
        <v>62</v>
      </c>
      <c r="G890" s="16">
        <v>1</v>
      </c>
      <c r="H890" s="16"/>
      <c r="I890" s="16">
        <v>3</v>
      </c>
      <c r="J890" s="17">
        <f>IFERROR(ROUND(SUM(M891)/I890, 2),0)</f>
        <v>1301.74</v>
      </c>
      <c r="K890" s="18">
        <v>837.01</v>
      </c>
      <c r="L890" s="17">
        <f>J890+ROUND(K890, 2)</f>
        <v>2138.75</v>
      </c>
      <c r="M890" s="17">
        <f>ROUND(J890*I890, 2)</f>
        <v>3905.22</v>
      </c>
      <c r="N890" s="17">
        <f>ROUND(I890*ROUND(K890, 2), 2)</f>
        <v>2511.0300000000002</v>
      </c>
      <c r="O890" s="17">
        <f>M890+N890</f>
        <v>6416.25</v>
      </c>
      <c r="P890" s="17">
        <f>IFERROR(ROUND(SUM(S891)/I890, 2),0)</f>
        <v>1301.74</v>
      </c>
      <c r="Q890" s="19">
        <v>1255.5</v>
      </c>
      <c r="R890" s="17">
        <f>P890+ROUND(Q890, 2)</f>
        <v>2557.2399999999998</v>
      </c>
      <c r="S890" s="17">
        <f>ROUND(P890*I890, 2)</f>
        <v>3905.22</v>
      </c>
      <c r="T890" s="17">
        <f>ROUND(I890*ROUND(Q890, 2), 2)</f>
        <v>3766.5</v>
      </c>
      <c r="U890" s="17">
        <f>S890+T890</f>
        <v>7671.7199999999993</v>
      </c>
      <c r="V890" s="9">
        <f>ROUND(P890 / 1.2, 2)</f>
        <v>1084.78</v>
      </c>
      <c r="W890" s="9">
        <f>ROUND(Q890 / 1.2, 2)</f>
        <v>1046.25</v>
      </c>
      <c r="X890" s="9">
        <f>ROUND(R890 / 1.2, 2)</f>
        <v>2131.0300000000002</v>
      </c>
      <c r="Y890" s="9">
        <f t="shared" si="27"/>
        <v>3254.35</v>
      </c>
      <c r="Z890" s="9">
        <f>ROUND(T890 / 1.2, 2)</f>
        <v>3138.75</v>
      </c>
      <c r="AA890" s="9">
        <f>Y890+Z890</f>
        <v>6393.1</v>
      </c>
      <c r="AD890" s="4">
        <v>334080799</v>
      </c>
      <c r="AE890" s="4">
        <v>29452406</v>
      </c>
      <c r="AG890" s="4" t="s">
        <v>2801</v>
      </c>
      <c r="AH890" s="4" t="s">
        <v>2802</v>
      </c>
      <c r="AI890" s="4" t="s">
        <v>250</v>
      </c>
    </row>
    <row r="891" spans="1:35" ht="18" x14ac:dyDescent="0.3">
      <c r="A891" s="10" t="s">
        <v>2844</v>
      </c>
      <c r="B891" s="10"/>
      <c r="C891" s="24" t="s">
        <v>2804</v>
      </c>
      <c r="D891" s="15"/>
      <c r="E891" s="15"/>
      <c r="F891" s="25" t="s">
        <v>62</v>
      </c>
      <c r="G891" s="26">
        <v>1.1000000000000001</v>
      </c>
      <c r="H891" s="31"/>
      <c r="I891" s="31">
        <v>3.3</v>
      </c>
      <c r="J891" s="27">
        <v>1183.4000000000001</v>
      </c>
      <c r="M891" s="28">
        <f>ROUND(ROUND(J891, 2)*I891, 2)</f>
        <v>3905.22</v>
      </c>
      <c r="P891" s="29">
        <v>1183.4000000000001</v>
      </c>
      <c r="S891" s="28">
        <f>ROUND(ROUND(P891, 2)*I891, 2)</f>
        <v>3905.22</v>
      </c>
      <c r="V891" s="9">
        <f>ROUND(ROUND(P891, 2)/1.2, 2)</f>
        <v>986.17</v>
      </c>
      <c r="Y891" s="9">
        <f t="shared" si="27"/>
        <v>3254.35</v>
      </c>
      <c r="AD891" s="4" t="s">
        <v>2845</v>
      </c>
      <c r="AE891" s="4" t="s">
        <v>2846</v>
      </c>
      <c r="AF891" s="4" t="s">
        <v>2807</v>
      </c>
    </row>
    <row r="892" spans="1:35" ht="216" x14ac:dyDescent="0.3">
      <c r="A892" s="10" t="s">
        <v>2847</v>
      </c>
      <c r="B892" s="10" t="s">
        <v>2848</v>
      </c>
      <c r="C892" s="14" t="s">
        <v>2849</v>
      </c>
      <c r="D892" s="15"/>
      <c r="E892" s="15" t="s">
        <v>2850</v>
      </c>
      <c r="F892" s="15" t="s">
        <v>62</v>
      </c>
      <c r="G892" s="16">
        <v>1</v>
      </c>
      <c r="H892" s="16"/>
      <c r="I892" s="16">
        <v>1087.19</v>
      </c>
      <c r="J892" s="17">
        <f>IFERROR(ROUND(SUM(M893,M894,M895,M896,M897,M898,M899,M900,M901,M902,M903)/I892, 2),0)</f>
        <v>294.97000000000003</v>
      </c>
      <c r="K892" s="18">
        <v>1422</v>
      </c>
      <c r="L892" s="17">
        <f>J892+ROUND(K892, 2)</f>
        <v>1716.97</v>
      </c>
      <c r="M892" s="17">
        <f>ROUND(J892*I892, 2)</f>
        <v>320688.43</v>
      </c>
      <c r="N892" s="17">
        <f>ROUND(I892*ROUND(K892, 2), 2)</f>
        <v>1545984.18</v>
      </c>
      <c r="O892" s="17">
        <f>M892+N892</f>
        <v>1866672.6099999999</v>
      </c>
      <c r="P892" s="17">
        <f>IFERROR(ROUND(SUM(S893,S894,S895,S896,S897,S898,S899,S900,S901,S902,S903)/I892, 2),0)</f>
        <v>2194.83</v>
      </c>
      <c r="Q892" s="19">
        <v>2133</v>
      </c>
      <c r="R892" s="17">
        <f>P892+ROUND(Q892, 2)</f>
        <v>4327.83</v>
      </c>
      <c r="S892" s="17">
        <f>ROUND(P892*I892, 2)</f>
        <v>2386197.23</v>
      </c>
      <c r="T892" s="17">
        <f>ROUND(I892*ROUND(Q892, 2), 2)</f>
        <v>2318976.27</v>
      </c>
      <c r="U892" s="17">
        <f>S892+T892</f>
        <v>4705173.5</v>
      </c>
      <c r="V892" s="9">
        <f>ROUND(P892 / 1.2, 2)</f>
        <v>1829.03</v>
      </c>
      <c r="W892" s="9">
        <f>ROUND(Q892 / 1.2, 2)</f>
        <v>1777.5</v>
      </c>
      <c r="X892" s="9">
        <f>ROUND(R892 / 1.2, 2)</f>
        <v>3606.53</v>
      </c>
      <c r="Y892" s="9">
        <f t="shared" si="27"/>
        <v>1988497.69</v>
      </c>
      <c r="Z892" s="9">
        <f>ROUND(T892 / 1.2, 2)</f>
        <v>1932480.23</v>
      </c>
      <c r="AA892" s="9">
        <f>Y892+Z892</f>
        <v>3920977.9199999999</v>
      </c>
      <c r="AD892" s="4">
        <v>334080565</v>
      </c>
      <c r="AE892" s="4">
        <v>29444726</v>
      </c>
      <c r="AG892" s="4" t="s">
        <v>2851</v>
      </c>
      <c r="AH892" s="4" t="s">
        <v>2852</v>
      </c>
      <c r="AI892" s="4" t="s">
        <v>250</v>
      </c>
    </row>
    <row r="893" spans="1:35" ht="18" x14ac:dyDescent="0.3">
      <c r="A893" s="10" t="s">
        <v>2853</v>
      </c>
      <c r="B893" s="10"/>
      <c r="C893" s="24" t="s">
        <v>2854</v>
      </c>
      <c r="D893" s="15"/>
      <c r="E893" s="15"/>
      <c r="F893" s="25" t="s">
        <v>597</v>
      </c>
      <c r="G893" s="26">
        <v>2.6</v>
      </c>
      <c r="H893" s="31"/>
      <c r="I893" s="31">
        <v>2826.694</v>
      </c>
      <c r="J893" s="27">
        <v>0.96</v>
      </c>
      <c r="M893" s="28">
        <f t="shared" ref="M893:M903" si="28">ROUND(ROUND(J893, 2)*I893, 2)</f>
        <v>2713.63</v>
      </c>
      <c r="P893" s="29">
        <v>0.96</v>
      </c>
      <c r="S893" s="28">
        <f t="shared" ref="S893:S903" si="29">ROUND(ROUND(P893, 2)*I893, 2)</f>
        <v>2713.63</v>
      </c>
      <c r="V893" s="9">
        <f t="shared" ref="V893:V903" si="30">ROUND(ROUND(P893, 2)/1.2, 2)</f>
        <v>0.8</v>
      </c>
      <c r="Y893" s="9">
        <f t="shared" si="27"/>
        <v>2261.36</v>
      </c>
      <c r="AD893" s="4" t="s">
        <v>2855</v>
      </c>
      <c r="AE893" s="4" t="s">
        <v>2856</v>
      </c>
      <c r="AF893" s="4" t="s">
        <v>2857</v>
      </c>
    </row>
    <row r="894" spans="1:35" ht="18" x14ac:dyDescent="0.3">
      <c r="A894" s="10" t="s">
        <v>2858</v>
      </c>
      <c r="B894" s="10"/>
      <c r="C894" s="24" t="s">
        <v>2859</v>
      </c>
      <c r="D894" s="15"/>
      <c r="E894" s="15"/>
      <c r="F894" s="25" t="s">
        <v>597</v>
      </c>
      <c r="G894" s="26">
        <v>17</v>
      </c>
      <c r="H894" s="31"/>
      <c r="I894" s="31">
        <v>18482.23</v>
      </c>
      <c r="J894" s="27">
        <v>0.28000000000000003</v>
      </c>
      <c r="M894" s="28">
        <f t="shared" si="28"/>
        <v>5175.0200000000004</v>
      </c>
      <c r="P894" s="29">
        <v>0.28000000000000003</v>
      </c>
      <c r="S894" s="28">
        <f t="shared" si="29"/>
        <v>5175.0200000000004</v>
      </c>
      <c r="V894" s="9">
        <f t="shared" si="30"/>
        <v>0.23</v>
      </c>
      <c r="Y894" s="9">
        <f t="shared" si="27"/>
        <v>4312.5200000000004</v>
      </c>
      <c r="AD894" s="4" t="s">
        <v>2860</v>
      </c>
      <c r="AE894" s="4" t="s">
        <v>2861</v>
      </c>
      <c r="AF894" s="4" t="s">
        <v>2862</v>
      </c>
    </row>
    <row r="895" spans="1:35" ht="18" x14ac:dyDescent="0.3">
      <c r="A895" s="10" t="s">
        <v>2863</v>
      </c>
      <c r="B895" s="10"/>
      <c r="C895" s="24" t="s">
        <v>2864</v>
      </c>
      <c r="D895" s="15"/>
      <c r="E895" s="15"/>
      <c r="F895" s="25" t="s">
        <v>597</v>
      </c>
      <c r="G895" s="26">
        <v>0.6</v>
      </c>
      <c r="H895" s="31"/>
      <c r="I895" s="31">
        <v>652.31399999999996</v>
      </c>
      <c r="J895" s="27">
        <v>5.7</v>
      </c>
      <c r="M895" s="28">
        <f t="shared" si="28"/>
        <v>3718.19</v>
      </c>
      <c r="P895" s="29">
        <v>5.7</v>
      </c>
      <c r="S895" s="28">
        <f t="shared" si="29"/>
        <v>3718.19</v>
      </c>
      <c r="V895" s="9">
        <f t="shared" si="30"/>
        <v>4.75</v>
      </c>
      <c r="Y895" s="9">
        <f t="shared" si="27"/>
        <v>3098.49</v>
      </c>
      <c r="AD895" s="4" t="s">
        <v>2865</v>
      </c>
      <c r="AE895" s="4" t="s">
        <v>2866</v>
      </c>
      <c r="AF895" s="4" t="s">
        <v>2867</v>
      </c>
    </row>
    <row r="896" spans="1:35" ht="36" x14ac:dyDescent="0.3">
      <c r="A896" s="10" t="s">
        <v>2868</v>
      </c>
      <c r="B896" s="10"/>
      <c r="C896" s="24" t="s">
        <v>2869</v>
      </c>
      <c r="D896" s="15"/>
      <c r="E896" s="15"/>
      <c r="F896" s="25" t="s">
        <v>597</v>
      </c>
      <c r="G896" s="26">
        <v>2.2999999999999998</v>
      </c>
      <c r="H896" s="26"/>
      <c r="I896" s="26">
        <v>2500.5369999999998</v>
      </c>
      <c r="J896" s="27">
        <v>7.32</v>
      </c>
      <c r="M896" s="28">
        <f t="shared" si="28"/>
        <v>18303.93</v>
      </c>
      <c r="P896" s="29">
        <v>7.32</v>
      </c>
      <c r="S896" s="28">
        <f t="shared" si="29"/>
        <v>18303.93</v>
      </c>
      <c r="V896" s="9">
        <f t="shared" si="30"/>
        <v>6.1</v>
      </c>
      <c r="Y896" s="9">
        <f t="shared" si="27"/>
        <v>15253.28</v>
      </c>
      <c r="AD896" s="4" t="s">
        <v>2870</v>
      </c>
      <c r="AE896" s="4" t="s">
        <v>2871</v>
      </c>
      <c r="AF896" s="4" t="s">
        <v>2872</v>
      </c>
    </row>
    <row r="897" spans="1:35" ht="18" x14ac:dyDescent="0.3">
      <c r="A897" s="10" t="s">
        <v>2873</v>
      </c>
      <c r="B897" s="10"/>
      <c r="C897" s="30" t="s">
        <v>2874</v>
      </c>
      <c r="D897" s="15"/>
      <c r="E897" s="15"/>
      <c r="F897" s="25" t="s">
        <v>102</v>
      </c>
      <c r="G897" s="26">
        <v>1.2</v>
      </c>
      <c r="H897" s="26"/>
      <c r="I897" s="26">
        <v>1304.6279999999999</v>
      </c>
      <c r="J897" s="27">
        <v>34.119999999999997</v>
      </c>
      <c r="M897" s="28">
        <f t="shared" si="28"/>
        <v>44513.91</v>
      </c>
      <c r="P897" s="29">
        <v>34.119999999999997</v>
      </c>
      <c r="S897" s="28">
        <f t="shared" si="29"/>
        <v>44513.91</v>
      </c>
      <c r="V897" s="9">
        <f t="shared" si="30"/>
        <v>28.43</v>
      </c>
      <c r="Y897" s="9">
        <f t="shared" si="27"/>
        <v>37094.93</v>
      </c>
      <c r="AD897" s="4" t="s">
        <v>2875</v>
      </c>
      <c r="AE897" s="4" t="s">
        <v>2876</v>
      </c>
      <c r="AF897" s="4" t="s">
        <v>2877</v>
      </c>
    </row>
    <row r="898" spans="1:35" ht="18" x14ac:dyDescent="0.3">
      <c r="A898" s="10" t="s">
        <v>2878</v>
      </c>
      <c r="B898" s="10"/>
      <c r="C898" s="24" t="s">
        <v>2879</v>
      </c>
      <c r="D898" s="15"/>
      <c r="E898" s="15"/>
      <c r="F898" s="25" t="s">
        <v>102</v>
      </c>
      <c r="G898" s="26">
        <v>3.2</v>
      </c>
      <c r="H898" s="26"/>
      <c r="I898" s="26">
        <v>3479.0079999999998</v>
      </c>
      <c r="J898" s="27">
        <v>68.099999999999994</v>
      </c>
      <c r="M898" s="28">
        <f t="shared" si="28"/>
        <v>236920.44</v>
      </c>
      <c r="P898" s="29">
        <v>68.099999999999994</v>
      </c>
      <c r="S898" s="28">
        <f t="shared" si="29"/>
        <v>236920.44</v>
      </c>
      <c r="V898" s="9">
        <f t="shared" si="30"/>
        <v>56.75</v>
      </c>
      <c r="Y898" s="9">
        <f t="shared" si="27"/>
        <v>197433.7</v>
      </c>
      <c r="AD898" s="4" t="s">
        <v>2880</v>
      </c>
      <c r="AE898" s="4" t="s">
        <v>2881</v>
      </c>
      <c r="AF898" s="4" t="s">
        <v>2882</v>
      </c>
    </row>
    <row r="899" spans="1:35" ht="18" x14ac:dyDescent="0.3">
      <c r="A899" s="10" t="s">
        <v>2883</v>
      </c>
      <c r="B899" s="10"/>
      <c r="C899" s="24" t="s">
        <v>2470</v>
      </c>
      <c r="D899" s="15"/>
      <c r="E899" s="15"/>
      <c r="F899" s="25" t="s">
        <v>62</v>
      </c>
      <c r="G899" s="26">
        <v>1.1000000000000001</v>
      </c>
      <c r="H899" s="26"/>
      <c r="I899" s="26">
        <v>1195.9090000000001</v>
      </c>
      <c r="J899" s="27">
        <v>0</v>
      </c>
      <c r="M899" s="28">
        <f t="shared" si="28"/>
        <v>0</v>
      </c>
      <c r="P899" s="29">
        <v>1656</v>
      </c>
      <c r="S899" s="28">
        <f t="shared" si="29"/>
        <v>1980425.3</v>
      </c>
      <c r="V899" s="9">
        <f t="shared" si="30"/>
        <v>1380</v>
      </c>
      <c r="Y899" s="9">
        <f t="shared" si="27"/>
        <v>1650354.42</v>
      </c>
      <c r="AD899" s="4" t="s">
        <v>2884</v>
      </c>
      <c r="AE899" s="4" t="s">
        <v>2885</v>
      </c>
      <c r="AF899" s="4" t="s">
        <v>2473</v>
      </c>
    </row>
    <row r="900" spans="1:35" ht="18" x14ac:dyDescent="0.3">
      <c r="A900" s="10" t="s">
        <v>2886</v>
      </c>
      <c r="B900" s="10"/>
      <c r="C900" s="24" t="s">
        <v>2887</v>
      </c>
      <c r="D900" s="15"/>
      <c r="E900" s="15"/>
      <c r="F900" s="25" t="s">
        <v>102</v>
      </c>
      <c r="G900" s="26">
        <v>1.05</v>
      </c>
      <c r="H900" s="26"/>
      <c r="I900" s="26">
        <v>1141.55</v>
      </c>
      <c r="J900" s="27">
        <v>4.67</v>
      </c>
      <c r="M900" s="28">
        <f t="shared" si="28"/>
        <v>5331.04</v>
      </c>
      <c r="P900" s="29">
        <v>4.67</v>
      </c>
      <c r="S900" s="28">
        <f t="shared" si="29"/>
        <v>5331.04</v>
      </c>
      <c r="V900" s="9">
        <f t="shared" si="30"/>
        <v>3.89</v>
      </c>
      <c r="Y900" s="9">
        <f t="shared" si="27"/>
        <v>4442.53</v>
      </c>
      <c r="AD900" s="4" t="s">
        <v>2888</v>
      </c>
      <c r="AE900" s="4" t="s">
        <v>2889</v>
      </c>
      <c r="AF900" s="4" t="s">
        <v>2890</v>
      </c>
    </row>
    <row r="901" spans="1:35" ht="18" x14ac:dyDescent="0.3">
      <c r="A901" s="10" t="s">
        <v>2891</v>
      </c>
      <c r="B901" s="10"/>
      <c r="C901" s="24" t="s">
        <v>2892</v>
      </c>
      <c r="D901" s="15"/>
      <c r="E901" s="15"/>
      <c r="F901" s="25" t="s">
        <v>597</v>
      </c>
      <c r="G901" s="26">
        <v>1.3</v>
      </c>
      <c r="H901" s="26"/>
      <c r="I901" s="26">
        <v>1413.347</v>
      </c>
      <c r="J901" s="27">
        <v>2.84</v>
      </c>
      <c r="M901" s="28">
        <f t="shared" si="28"/>
        <v>4013.91</v>
      </c>
      <c r="P901" s="29">
        <v>2.84</v>
      </c>
      <c r="S901" s="28">
        <f t="shared" si="29"/>
        <v>4013.91</v>
      </c>
      <c r="V901" s="9">
        <f t="shared" si="30"/>
        <v>2.37</v>
      </c>
      <c r="Y901" s="9">
        <f t="shared" si="27"/>
        <v>3344.93</v>
      </c>
      <c r="AD901" s="4" t="s">
        <v>2893</v>
      </c>
      <c r="AE901" s="4" t="s">
        <v>2894</v>
      </c>
      <c r="AF901" s="4" t="s">
        <v>2895</v>
      </c>
    </row>
    <row r="902" spans="1:35" ht="18" x14ac:dyDescent="0.3">
      <c r="A902" s="10" t="s">
        <v>2896</v>
      </c>
      <c r="B902" s="10"/>
      <c r="C902" s="24" t="s">
        <v>2897</v>
      </c>
      <c r="D902" s="15"/>
      <c r="E902" s="15"/>
      <c r="F902" s="25" t="s">
        <v>597</v>
      </c>
      <c r="G902" s="26">
        <v>1.3</v>
      </c>
      <c r="H902" s="26"/>
      <c r="I902" s="26">
        <v>1413.347</v>
      </c>
      <c r="J902" s="27">
        <v>0</v>
      </c>
      <c r="M902" s="28">
        <f t="shared" si="28"/>
        <v>0</v>
      </c>
      <c r="P902" s="29">
        <v>32.4</v>
      </c>
      <c r="S902" s="28">
        <f t="shared" si="29"/>
        <v>45792.44</v>
      </c>
      <c r="V902" s="9">
        <f t="shared" si="30"/>
        <v>27</v>
      </c>
      <c r="Y902" s="9">
        <f t="shared" si="27"/>
        <v>38160.370000000003</v>
      </c>
      <c r="AD902" s="4" t="s">
        <v>2898</v>
      </c>
      <c r="AE902" s="4" t="s">
        <v>2899</v>
      </c>
      <c r="AF902" s="4" t="s">
        <v>2900</v>
      </c>
    </row>
    <row r="903" spans="1:35" ht="18" x14ac:dyDescent="0.3">
      <c r="A903" s="10" t="s">
        <v>2901</v>
      </c>
      <c r="B903" s="10"/>
      <c r="C903" s="24" t="s">
        <v>2902</v>
      </c>
      <c r="D903" s="15"/>
      <c r="E903" s="15"/>
      <c r="F903" s="25" t="s">
        <v>597</v>
      </c>
      <c r="G903" s="26">
        <v>1.3</v>
      </c>
      <c r="H903" s="26"/>
      <c r="I903" s="26">
        <v>1413.347</v>
      </c>
      <c r="J903" s="27">
        <v>0</v>
      </c>
      <c r="M903" s="28">
        <f t="shared" si="28"/>
        <v>0</v>
      </c>
      <c r="P903" s="29">
        <v>27.8</v>
      </c>
      <c r="S903" s="28">
        <f t="shared" si="29"/>
        <v>39291.050000000003</v>
      </c>
      <c r="V903" s="9">
        <f t="shared" si="30"/>
        <v>23.17</v>
      </c>
      <c r="Y903" s="9">
        <f t="shared" si="27"/>
        <v>32742.54</v>
      </c>
      <c r="AD903" s="4" t="s">
        <v>2903</v>
      </c>
      <c r="AE903" s="4" t="s">
        <v>2904</v>
      </c>
      <c r="AF903" s="4" t="s">
        <v>2905</v>
      </c>
    </row>
    <row r="904" spans="1:35" ht="54" x14ac:dyDescent="0.3">
      <c r="A904" s="10" t="s">
        <v>2906</v>
      </c>
      <c r="B904" s="10" t="s">
        <v>2907</v>
      </c>
      <c r="C904" s="14" t="s">
        <v>2908</v>
      </c>
      <c r="D904" s="15"/>
      <c r="E904" s="15"/>
      <c r="F904" s="15" t="s">
        <v>62</v>
      </c>
      <c r="G904" s="16">
        <v>1</v>
      </c>
      <c r="H904" s="16"/>
      <c r="I904" s="16">
        <v>0</v>
      </c>
      <c r="J904" s="17">
        <v>0</v>
      </c>
      <c r="K904" s="18">
        <v>121</v>
      </c>
      <c r="L904" s="17">
        <f>J904+ROUND(K904, 2)</f>
        <v>121</v>
      </c>
      <c r="M904" s="17">
        <v>0</v>
      </c>
      <c r="N904" s="17">
        <v>0</v>
      </c>
      <c r="O904" s="17">
        <f>M904+N904</f>
        <v>0</v>
      </c>
      <c r="P904" s="17">
        <v>0</v>
      </c>
      <c r="Q904" s="18">
        <v>121</v>
      </c>
      <c r="R904" s="17">
        <f>P904+ROUND(Q904, 2)</f>
        <v>121</v>
      </c>
      <c r="S904" s="17">
        <v>0</v>
      </c>
      <c r="T904" s="17">
        <v>0</v>
      </c>
      <c r="U904" s="17">
        <f>S904+T904</f>
        <v>0</v>
      </c>
      <c r="V904" s="9"/>
      <c r="W904" s="9">
        <f t="shared" ref="W904:X907" si="31">ROUND(Q904 / 1.2, 2)</f>
        <v>100.83</v>
      </c>
      <c r="X904" s="9">
        <f t="shared" si="31"/>
        <v>100.83</v>
      </c>
      <c r="Y904" s="9"/>
      <c r="Z904" s="9">
        <f>ROUND(T904 / 1.2, 2)</f>
        <v>0</v>
      </c>
      <c r="AA904" s="9">
        <f>Y904+Z904</f>
        <v>0</v>
      </c>
      <c r="AD904" s="4">
        <v>334080567</v>
      </c>
      <c r="AE904" s="4">
        <v>27245659</v>
      </c>
      <c r="AG904" s="4" t="s">
        <v>2909</v>
      </c>
      <c r="AH904" s="4" t="s">
        <v>2910</v>
      </c>
      <c r="AI904" s="4" t="s">
        <v>250</v>
      </c>
    </row>
    <row r="905" spans="1:35" ht="54" x14ac:dyDescent="0.3">
      <c r="A905" s="10" t="s">
        <v>2911</v>
      </c>
      <c r="B905" s="10" t="s">
        <v>2907</v>
      </c>
      <c r="C905" s="14" t="s">
        <v>2908</v>
      </c>
      <c r="D905" s="15"/>
      <c r="E905" s="15"/>
      <c r="F905" s="15" t="s">
        <v>62</v>
      </c>
      <c r="G905" s="16">
        <v>1</v>
      </c>
      <c r="H905" s="16"/>
      <c r="I905" s="16">
        <v>2000</v>
      </c>
      <c r="J905" s="17">
        <v>0</v>
      </c>
      <c r="K905" s="18">
        <v>121</v>
      </c>
      <c r="L905" s="17">
        <f>J905+ROUND(K905, 2)</f>
        <v>121</v>
      </c>
      <c r="M905" s="17">
        <v>0</v>
      </c>
      <c r="N905" s="17">
        <v>242000</v>
      </c>
      <c r="O905" s="17">
        <f>M905+N905</f>
        <v>242000</v>
      </c>
      <c r="P905" s="17">
        <v>0</v>
      </c>
      <c r="Q905" s="18">
        <v>181.5</v>
      </c>
      <c r="R905" s="17">
        <f>P905+ROUND(Q905, 2)</f>
        <v>181.5</v>
      </c>
      <c r="S905" s="17">
        <v>0</v>
      </c>
      <c r="T905" s="17">
        <v>363000</v>
      </c>
      <c r="U905" s="17">
        <f>S905+T905</f>
        <v>363000</v>
      </c>
      <c r="V905" s="9"/>
      <c r="W905" s="9">
        <f t="shared" si="31"/>
        <v>151.25</v>
      </c>
      <c r="X905" s="9">
        <f t="shared" si="31"/>
        <v>151.25</v>
      </c>
      <c r="Y905" s="9"/>
      <c r="Z905" s="9">
        <f>ROUND(T905 / 1.2, 2)</f>
        <v>302500</v>
      </c>
      <c r="AA905" s="9">
        <f>Y905+Z905</f>
        <v>302500</v>
      </c>
      <c r="AD905" s="4">
        <v>334080781</v>
      </c>
      <c r="AE905" s="4">
        <v>27245660</v>
      </c>
      <c r="AG905" s="4" t="s">
        <v>2909</v>
      </c>
      <c r="AH905" s="4" t="s">
        <v>2910</v>
      </c>
      <c r="AI905" s="4" t="s">
        <v>250</v>
      </c>
    </row>
    <row r="906" spans="1:35" ht="54" x14ac:dyDescent="0.3">
      <c r="A906" s="10" t="s">
        <v>2912</v>
      </c>
      <c r="B906" s="10" t="s">
        <v>2907</v>
      </c>
      <c r="C906" s="14" t="s">
        <v>2908</v>
      </c>
      <c r="D906" s="15"/>
      <c r="E906" s="15" t="s">
        <v>2913</v>
      </c>
      <c r="F906" s="15" t="s">
        <v>62</v>
      </c>
      <c r="G906" s="16">
        <v>1</v>
      </c>
      <c r="H906" s="16"/>
      <c r="I906" s="16">
        <v>5974.62</v>
      </c>
      <c r="J906" s="17">
        <v>0</v>
      </c>
      <c r="K906" s="18">
        <v>121</v>
      </c>
      <c r="L906" s="17">
        <f>J906+ROUND(K906, 2)</f>
        <v>121</v>
      </c>
      <c r="M906" s="17">
        <v>0</v>
      </c>
      <c r="N906" s="17">
        <f>ROUND(I906*ROUND(K906, 2), 2)</f>
        <v>722929.02</v>
      </c>
      <c r="O906" s="17">
        <f>M906+N906</f>
        <v>722929.02</v>
      </c>
      <c r="P906" s="17">
        <v>0</v>
      </c>
      <c r="Q906" s="19">
        <v>181.5</v>
      </c>
      <c r="R906" s="17">
        <f>P906+ROUND(Q906, 2)</f>
        <v>181.5</v>
      </c>
      <c r="S906" s="17">
        <v>0</v>
      </c>
      <c r="T906" s="17">
        <f>ROUND(I906*ROUND(Q906, 2), 2)</f>
        <v>1084393.53</v>
      </c>
      <c r="U906" s="17">
        <f>S906+T906</f>
        <v>1084393.53</v>
      </c>
      <c r="V906" s="9"/>
      <c r="W906" s="9">
        <f t="shared" si="31"/>
        <v>151.25</v>
      </c>
      <c r="X906" s="9">
        <f t="shared" si="31"/>
        <v>151.25</v>
      </c>
      <c r="Y906" s="9"/>
      <c r="Z906" s="9">
        <f>ROUND(T906 / 1.2, 2)</f>
        <v>903661.28</v>
      </c>
      <c r="AA906" s="9">
        <f>Y906+Z906</f>
        <v>903661.28</v>
      </c>
      <c r="AD906" s="4">
        <v>334080797</v>
      </c>
      <c r="AE906" s="4">
        <v>29448380</v>
      </c>
      <c r="AG906" s="4" t="s">
        <v>2909</v>
      </c>
      <c r="AH906" s="4" t="s">
        <v>2910</v>
      </c>
      <c r="AI906" s="4" t="s">
        <v>250</v>
      </c>
    </row>
    <row r="907" spans="1:35" ht="36" x14ac:dyDescent="0.3">
      <c r="A907" s="10" t="s">
        <v>2914</v>
      </c>
      <c r="B907" s="10" t="s">
        <v>2915</v>
      </c>
      <c r="C907" s="14" t="s">
        <v>2916</v>
      </c>
      <c r="D907" s="15"/>
      <c r="E907" s="15"/>
      <c r="F907" s="15" t="s">
        <v>62</v>
      </c>
      <c r="G907" s="16">
        <v>1</v>
      </c>
      <c r="H907" s="16"/>
      <c r="I907" s="16">
        <v>0</v>
      </c>
      <c r="J907" s="17">
        <v>0</v>
      </c>
      <c r="K907" s="18">
        <v>1724</v>
      </c>
      <c r="L907" s="17">
        <f>J907+ROUND(K907, 2)</f>
        <v>1724</v>
      </c>
      <c r="M907" s="17">
        <v>0</v>
      </c>
      <c r="N907" s="17">
        <v>0</v>
      </c>
      <c r="O907" s="17">
        <f>M907+N907</f>
        <v>0</v>
      </c>
      <c r="P907" s="17">
        <v>1310</v>
      </c>
      <c r="Q907" s="18">
        <v>1724</v>
      </c>
      <c r="R907" s="17">
        <f>P907+ROUND(Q907, 2)</f>
        <v>3034</v>
      </c>
      <c r="S907" s="17">
        <v>0</v>
      </c>
      <c r="T907" s="17">
        <v>0</v>
      </c>
      <c r="U907" s="17">
        <f>S907+T907</f>
        <v>0</v>
      </c>
      <c r="V907" s="9">
        <f>ROUND(P907 / 1.2, 2)</f>
        <v>1091.67</v>
      </c>
      <c r="W907" s="9">
        <f t="shared" si="31"/>
        <v>1436.67</v>
      </c>
      <c r="X907" s="9">
        <f t="shared" si="31"/>
        <v>2528.33</v>
      </c>
      <c r="Y907" s="9">
        <f t="shared" ref="Y907:Y938" si="32">ROUND(S907 / 1.2, 2)</f>
        <v>0</v>
      </c>
      <c r="Z907" s="9">
        <f>ROUND(T907 / 1.2, 2)</f>
        <v>0</v>
      </c>
      <c r="AA907" s="9">
        <f>Y907+Z907</f>
        <v>0</v>
      </c>
      <c r="AD907" s="4">
        <v>334080569</v>
      </c>
      <c r="AE907" s="4">
        <v>27245626</v>
      </c>
      <c r="AG907" s="4" t="s">
        <v>2917</v>
      </c>
      <c r="AH907" s="4" t="s">
        <v>2918</v>
      </c>
      <c r="AI907" s="4" t="s">
        <v>250</v>
      </c>
    </row>
    <row r="908" spans="1:35" ht="36" x14ac:dyDescent="0.3">
      <c r="A908" s="10" t="s">
        <v>2919</v>
      </c>
      <c r="B908" s="10"/>
      <c r="C908" s="24" t="s">
        <v>2920</v>
      </c>
      <c r="D908" s="15"/>
      <c r="E908" s="15"/>
      <c r="F908" s="25" t="s">
        <v>62</v>
      </c>
      <c r="G908" s="26">
        <v>1</v>
      </c>
      <c r="H908" s="26"/>
      <c r="I908" s="26">
        <v>0</v>
      </c>
      <c r="J908" s="27">
        <v>0</v>
      </c>
      <c r="M908" s="28">
        <f>ROUND(ROUND(J908, 2)*I908, 2)</f>
        <v>0</v>
      </c>
      <c r="P908" s="27">
        <v>1310</v>
      </c>
      <c r="S908" s="28">
        <f>ROUND(ROUND(P908, 2)*I908, 2)</f>
        <v>0</v>
      </c>
      <c r="V908" s="9">
        <f>ROUND(ROUND(P908, 2)/1.2, 2)</f>
        <v>1091.67</v>
      </c>
      <c r="Y908" s="9">
        <f t="shared" si="32"/>
        <v>0</v>
      </c>
      <c r="AD908" s="4" t="s">
        <v>2921</v>
      </c>
      <c r="AE908" s="4" t="s">
        <v>2922</v>
      </c>
      <c r="AF908" s="4" t="s">
        <v>2923</v>
      </c>
    </row>
    <row r="909" spans="1:35" ht="108" x14ac:dyDescent="0.3">
      <c r="A909" s="10" t="s">
        <v>2924</v>
      </c>
      <c r="B909" s="10" t="s">
        <v>2915</v>
      </c>
      <c r="C909" s="14" t="s">
        <v>2916</v>
      </c>
      <c r="D909" s="15"/>
      <c r="E909" s="15" t="s">
        <v>2925</v>
      </c>
      <c r="F909" s="15" t="s">
        <v>62</v>
      </c>
      <c r="G909" s="16">
        <v>1</v>
      </c>
      <c r="H909" s="16"/>
      <c r="I909" s="16">
        <v>13.5</v>
      </c>
      <c r="J909" s="17">
        <v>0</v>
      </c>
      <c r="K909" s="18">
        <v>1724</v>
      </c>
      <c r="L909" s="17">
        <f>J909+ROUND(K909, 2)</f>
        <v>1724</v>
      </c>
      <c r="M909" s="17">
        <v>0</v>
      </c>
      <c r="N909" s="17">
        <v>23274</v>
      </c>
      <c r="O909" s="17">
        <f>M909+N909</f>
        <v>23274</v>
      </c>
      <c r="P909" s="17">
        <v>1310</v>
      </c>
      <c r="Q909" s="18">
        <v>2586</v>
      </c>
      <c r="R909" s="17">
        <f>P909+ROUND(Q909, 2)</f>
        <v>3896</v>
      </c>
      <c r="S909" s="17">
        <v>17685</v>
      </c>
      <c r="T909" s="17">
        <v>34911</v>
      </c>
      <c r="U909" s="17">
        <f>S909+T909</f>
        <v>52596</v>
      </c>
      <c r="V909" s="9">
        <f>ROUND(P909 / 1.2, 2)</f>
        <v>1091.67</v>
      </c>
      <c r="W909" s="9">
        <f>ROUND(Q909 / 1.2, 2)</f>
        <v>2155</v>
      </c>
      <c r="X909" s="9">
        <f>ROUND(R909 / 1.2, 2)</f>
        <v>3246.67</v>
      </c>
      <c r="Y909" s="9">
        <f t="shared" si="32"/>
        <v>14737.5</v>
      </c>
      <c r="Z909" s="9">
        <f>ROUND(T909 / 1.2, 2)</f>
        <v>29092.5</v>
      </c>
      <c r="AA909" s="9">
        <f>Y909+Z909</f>
        <v>43830</v>
      </c>
      <c r="AD909" s="4">
        <v>334080782</v>
      </c>
      <c r="AE909" s="4">
        <v>27245735</v>
      </c>
      <c r="AG909" s="4" t="s">
        <v>2917</v>
      </c>
      <c r="AH909" s="4" t="s">
        <v>2918</v>
      </c>
      <c r="AI909" s="4" t="s">
        <v>250</v>
      </c>
    </row>
    <row r="910" spans="1:35" ht="36" x14ac:dyDescent="0.3">
      <c r="A910" s="10" t="s">
        <v>2926</v>
      </c>
      <c r="B910" s="10"/>
      <c r="C910" s="24" t="s">
        <v>2920</v>
      </c>
      <c r="D910" s="15"/>
      <c r="E910" s="15"/>
      <c r="F910" s="25" t="s">
        <v>62</v>
      </c>
      <c r="G910" s="26">
        <v>1</v>
      </c>
      <c r="H910" s="26"/>
      <c r="I910" s="26">
        <v>13.5</v>
      </c>
      <c r="J910" s="27">
        <v>0</v>
      </c>
      <c r="M910" s="28">
        <f>ROUND(ROUND(J910, 2)*I910, 2)</f>
        <v>0</v>
      </c>
      <c r="P910" s="27">
        <v>1310</v>
      </c>
      <c r="S910" s="28">
        <f>ROUND(ROUND(P910, 2)*I910, 2)</f>
        <v>17685</v>
      </c>
      <c r="V910" s="9">
        <f>ROUND(ROUND(P910, 2)/1.2, 2)</f>
        <v>1091.67</v>
      </c>
      <c r="Y910" s="9">
        <f t="shared" si="32"/>
        <v>14737.5</v>
      </c>
      <c r="AD910" s="4" t="s">
        <v>2927</v>
      </c>
      <c r="AE910" s="4" t="s">
        <v>2928</v>
      </c>
      <c r="AF910" s="4" t="s">
        <v>2923</v>
      </c>
    </row>
    <row r="911" spans="1:35" ht="72" x14ac:dyDescent="0.3">
      <c r="A911" s="10" t="s">
        <v>2929</v>
      </c>
      <c r="B911" s="10" t="s">
        <v>2915</v>
      </c>
      <c r="C911" s="14" t="s">
        <v>2916</v>
      </c>
      <c r="D911" s="15"/>
      <c r="E911" s="15" t="s">
        <v>2930</v>
      </c>
      <c r="F911" s="15" t="s">
        <v>62</v>
      </c>
      <c r="G911" s="16">
        <v>1</v>
      </c>
      <c r="H911" s="16"/>
      <c r="I911" s="16">
        <v>179.95</v>
      </c>
      <c r="J911" s="17">
        <f>IFERROR(ROUND(SUM(M912)/I911, 2),0)</f>
        <v>0</v>
      </c>
      <c r="K911" s="18">
        <v>1723.99</v>
      </c>
      <c r="L911" s="17">
        <f>J911+ROUND(K911, 2)</f>
        <v>1723.99</v>
      </c>
      <c r="M911" s="17">
        <f>ROUND(J911*I911, 2)</f>
        <v>0</v>
      </c>
      <c r="N911" s="17">
        <f>ROUND(I911*ROUND(K911, 2), 2)</f>
        <v>310232</v>
      </c>
      <c r="O911" s="17">
        <f>M911+N911</f>
        <v>310232</v>
      </c>
      <c r="P911" s="17">
        <f>IFERROR(ROUND(SUM(S912)/I911, 2),0)</f>
        <v>6830</v>
      </c>
      <c r="Q911" s="19">
        <v>2586</v>
      </c>
      <c r="R911" s="17">
        <f>P911+ROUND(Q911, 2)</f>
        <v>9416</v>
      </c>
      <c r="S911" s="17">
        <f>ROUND(P911*I911, 2)</f>
        <v>1229058.5</v>
      </c>
      <c r="T911" s="17">
        <f>ROUND(I911*ROUND(Q911, 2), 2)</f>
        <v>465350.7</v>
      </c>
      <c r="U911" s="17">
        <f>S911+T911</f>
        <v>1694409.2</v>
      </c>
      <c r="V911" s="9">
        <f>ROUND(P911 / 1.2, 2)</f>
        <v>5691.67</v>
      </c>
      <c r="W911" s="9">
        <f>ROUND(Q911 / 1.2, 2)</f>
        <v>2155</v>
      </c>
      <c r="X911" s="9">
        <f>ROUND(R911 / 1.2, 2)</f>
        <v>7846.67</v>
      </c>
      <c r="Y911" s="9">
        <f t="shared" si="32"/>
        <v>1024215.42</v>
      </c>
      <c r="Z911" s="9">
        <f>ROUND(T911 / 1.2, 2)</f>
        <v>387792.25</v>
      </c>
      <c r="AA911" s="9">
        <f>Y911+Z911</f>
        <v>1412007.67</v>
      </c>
      <c r="AD911" s="4">
        <v>334080794</v>
      </c>
      <c r="AE911" s="4">
        <v>29442621</v>
      </c>
      <c r="AG911" s="4" t="s">
        <v>2917</v>
      </c>
      <c r="AH911" s="4" t="s">
        <v>2918</v>
      </c>
      <c r="AI911" s="4" t="s">
        <v>250</v>
      </c>
    </row>
    <row r="912" spans="1:35" ht="36" x14ac:dyDescent="0.3">
      <c r="A912" s="10" t="s">
        <v>2931</v>
      </c>
      <c r="B912" s="10"/>
      <c r="C912" s="24" t="s">
        <v>2920</v>
      </c>
      <c r="D912" s="15"/>
      <c r="E912" s="15"/>
      <c r="F912" s="25" t="s">
        <v>62</v>
      </c>
      <c r="G912" s="26">
        <v>1</v>
      </c>
      <c r="H912" s="26"/>
      <c r="I912" s="26">
        <v>179.95</v>
      </c>
      <c r="J912" s="27">
        <v>0</v>
      </c>
      <c r="M912" s="28">
        <f>ROUND(ROUND(J912, 2)*I912, 2)</f>
        <v>0</v>
      </c>
      <c r="P912" s="29">
        <v>6830</v>
      </c>
      <c r="S912" s="28">
        <f>ROUND(ROUND(P912, 2)*I912, 2)</f>
        <v>1229058.5</v>
      </c>
      <c r="V912" s="9">
        <f>ROUND(ROUND(P912, 2)/1.2, 2)</f>
        <v>5691.67</v>
      </c>
      <c r="Y912" s="9">
        <f t="shared" si="32"/>
        <v>1024215.42</v>
      </c>
      <c r="AD912" s="4" t="s">
        <v>2932</v>
      </c>
      <c r="AE912" s="4" t="s">
        <v>2933</v>
      </c>
      <c r="AF912" s="4" t="s">
        <v>2923</v>
      </c>
    </row>
    <row r="913" spans="1:35" ht="180" x14ac:dyDescent="0.3">
      <c r="A913" s="10" t="s">
        <v>2934</v>
      </c>
      <c r="B913" s="10" t="s">
        <v>2915</v>
      </c>
      <c r="C913" s="14" t="s">
        <v>2916</v>
      </c>
      <c r="D913" s="15"/>
      <c r="E913" s="15" t="s">
        <v>2935</v>
      </c>
      <c r="F913" s="15" t="s">
        <v>62</v>
      </c>
      <c r="G913" s="16">
        <v>1</v>
      </c>
      <c r="H913" s="16"/>
      <c r="I913" s="16">
        <v>487.79</v>
      </c>
      <c r="J913" s="17">
        <f>IFERROR(ROUND(SUM(M914)/I913, 2),0)</f>
        <v>0</v>
      </c>
      <c r="K913" s="18">
        <v>1723.99</v>
      </c>
      <c r="L913" s="17">
        <f>J913+ROUND(K913, 2)</f>
        <v>1723.99</v>
      </c>
      <c r="M913" s="17">
        <f>ROUND(J913*I913, 2)</f>
        <v>0</v>
      </c>
      <c r="N913" s="17">
        <f>ROUND(I913*ROUND(K913, 2), 2)</f>
        <v>840945.08</v>
      </c>
      <c r="O913" s="17">
        <f>M913+N913</f>
        <v>840945.08</v>
      </c>
      <c r="P913" s="17">
        <f>IFERROR(ROUND(SUM(S914)/I913, 2),0)</f>
        <v>1601.19</v>
      </c>
      <c r="Q913" s="19">
        <v>2586</v>
      </c>
      <c r="R913" s="17">
        <f>P913+ROUND(Q913, 2)</f>
        <v>4187.1900000000005</v>
      </c>
      <c r="S913" s="17">
        <f>ROUND(P913*I913, 2)</f>
        <v>781044.47</v>
      </c>
      <c r="T913" s="17">
        <f>ROUND(I913*ROUND(Q913, 2), 2)</f>
        <v>1261424.94</v>
      </c>
      <c r="U913" s="17">
        <f>S913+T913</f>
        <v>2042469.41</v>
      </c>
      <c r="V913" s="9">
        <f>ROUND(P913 / 1.2, 2)</f>
        <v>1334.33</v>
      </c>
      <c r="W913" s="9">
        <f>ROUND(Q913 / 1.2, 2)</f>
        <v>2155</v>
      </c>
      <c r="X913" s="9">
        <f>ROUND(R913 / 1.2, 2)</f>
        <v>3489.33</v>
      </c>
      <c r="Y913" s="9">
        <f t="shared" si="32"/>
        <v>650870.39</v>
      </c>
      <c r="Z913" s="9">
        <f>ROUND(T913 / 1.2, 2)</f>
        <v>1051187.45</v>
      </c>
      <c r="AA913" s="9">
        <f>Y913+Z913</f>
        <v>1702057.8399999999</v>
      </c>
      <c r="AD913" s="4">
        <v>334080796</v>
      </c>
      <c r="AE913" s="4">
        <v>29448381</v>
      </c>
      <c r="AG913" s="4" t="s">
        <v>2917</v>
      </c>
      <c r="AH913" s="4" t="s">
        <v>2918</v>
      </c>
      <c r="AI913" s="4" t="s">
        <v>250</v>
      </c>
    </row>
    <row r="914" spans="1:35" ht="36" x14ac:dyDescent="0.3">
      <c r="A914" s="10" t="s">
        <v>2936</v>
      </c>
      <c r="B914" s="10"/>
      <c r="C914" s="24" t="s">
        <v>2920</v>
      </c>
      <c r="D914" s="15"/>
      <c r="E914" s="15"/>
      <c r="F914" s="25" t="s">
        <v>62</v>
      </c>
      <c r="G914" s="26">
        <v>1</v>
      </c>
      <c r="H914" s="26"/>
      <c r="I914" s="26">
        <v>487.79</v>
      </c>
      <c r="J914" s="27">
        <v>0</v>
      </c>
      <c r="M914" s="28">
        <f>ROUND(ROUND(J914, 2)*I914, 2)</f>
        <v>0</v>
      </c>
      <c r="P914" s="29">
        <v>1601.19</v>
      </c>
      <c r="S914" s="28">
        <f>ROUND(ROUND(P914, 2)*I914, 2)</f>
        <v>781044.47</v>
      </c>
      <c r="V914" s="9">
        <f>ROUND(ROUND(P914, 2)/1.2, 2)</f>
        <v>1334.33</v>
      </c>
      <c r="Y914" s="9">
        <f t="shared" si="32"/>
        <v>650870.39</v>
      </c>
      <c r="AD914" s="4" t="s">
        <v>2937</v>
      </c>
      <c r="AE914" s="4" t="s">
        <v>2938</v>
      </c>
      <c r="AF914" s="4" t="s">
        <v>2923</v>
      </c>
    </row>
    <row r="915" spans="1:35" ht="36" x14ac:dyDescent="0.3">
      <c r="A915" s="10" t="s">
        <v>2939</v>
      </c>
      <c r="B915" s="10" t="s">
        <v>2940</v>
      </c>
      <c r="C915" s="14" t="s">
        <v>2941</v>
      </c>
      <c r="D915" s="15"/>
      <c r="E915" s="15"/>
      <c r="F915" s="15" t="s">
        <v>62</v>
      </c>
      <c r="G915" s="16">
        <v>1</v>
      </c>
      <c r="H915" s="16"/>
      <c r="I915" s="16">
        <v>0</v>
      </c>
      <c r="J915" s="17">
        <v>0</v>
      </c>
      <c r="K915" s="18">
        <v>1379</v>
      </c>
      <c r="L915" s="17">
        <f>J915+ROUND(K915, 2)</f>
        <v>1379</v>
      </c>
      <c r="M915" s="17">
        <v>0</v>
      </c>
      <c r="N915" s="17">
        <v>0</v>
      </c>
      <c r="O915" s="17">
        <f>M915+N915</f>
        <v>0</v>
      </c>
      <c r="P915" s="17">
        <v>2076.5300000000002</v>
      </c>
      <c r="Q915" s="18">
        <v>1379</v>
      </c>
      <c r="R915" s="17">
        <f>P915+ROUND(Q915, 2)</f>
        <v>3455.53</v>
      </c>
      <c r="S915" s="17">
        <v>0</v>
      </c>
      <c r="T915" s="17">
        <v>0</v>
      </c>
      <c r="U915" s="17">
        <f>S915+T915</f>
        <v>0</v>
      </c>
      <c r="V915" s="9">
        <f>ROUND(P915 / 1.2, 2)</f>
        <v>1730.44</v>
      </c>
      <c r="W915" s="9">
        <f>ROUND(Q915 / 1.2, 2)</f>
        <v>1149.17</v>
      </c>
      <c r="X915" s="9">
        <f>ROUND(R915 / 1.2, 2)</f>
        <v>2879.61</v>
      </c>
      <c r="Y915" s="9">
        <f t="shared" si="32"/>
        <v>0</v>
      </c>
      <c r="Z915" s="9">
        <f>ROUND(T915 / 1.2, 2)</f>
        <v>0</v>
      </c>
      <c r="AA915" s="9">
        <f>Y915+Z915</f>
        <v>0</v>
      </c>
      <c r="AD915" s="4">
        <v>334080570</v>
      </c>
      <c r="AE915" s="4">
        <v>27245620</v>
      </c>
      <c r="AG915" s="4" t="s">
        <v>2942</v>
      </c>
      <c r="AH915" s="4" t="s">
        <v>2943</v>
      </c>
      <c r="AI915" s="4" t="s">
        <v>250</v>
      </c>
    </row>
    <row r="916" spans="1:35" ht="18" x14ac:dyDescent="0.3">
      <c r="A916" s="10" t="s">
        <v>2944</v>
      </c>
      <c r="B916" s="10"/>
      <c r="C916" s="24" t="s">
        <v>2854</v>
      </c>
      <c r="D916" s="15"/>
      <c r="E916" s="15"/>
      <c r="F916" s="25" t="s">
        <v>597</v>
      </c>
      <c r="G916" s="26">
        <v>15</v>
      </c>
      <c r="H916" s="26"/>
      <c r="I916" s="26">
        <v>0</v>
      </c>
      <c r="J916" s="27">
        <v>0.95</v>
      </c>
      <c r="M916" s="28">
        <f t="shared" ref="M916:M928" si="33">ROUND(ROUND(J916, 2)*I916, 2)</f>
        <v>0</v>
      </c>
      <c r="P916" s="27">
        <v>0.95</v>
      </c>
      <c r="S916" s="28">
        <f t="shared" ref="S916:S928" si="34">ROUND(ROUND(P916, 2)*I916, 2)</f>
        <v>0</v>
      </c>
      <c r="V916" s="9">
        <f t="shared" ref="V916:V928" si="35">ROUND(ROUND(P916, 2)/1.2, 2)</f>
        <v>0.79</v>
      </c>
      <c r="Y916" s="9">
        <f t="shared" si="32"/>
        <v>0</v>
      </c>
      <c r="AD916" s="4" t="s">
        <v>2945</v>
      </c>
      <c r="AE916" s="4" t="s">
        <v>2946</v>
      </c>
      <c r="AF916" s="4" t="s">
        <v>2857</v>
      </c>
    </row>
    <row r="917" spans="1:35" ht="18" x14ac:dyDescent="0.3">
      <c r="A917" s="10" t="s">
        <v>2947</v>
      </c>
      <c r="B917" s="10"/>
      <c r="C917" s="24" t="s">
        <v>2859</v>
      </c>
      <c r="D917" s="15"/>
      <c r="E917" s="15"/>
      <c r="F917" s="25" t="s">
        <v>597</v>
      </c>
      <c r="G917" s="26">
        <v>30</v>
      </c>
      <c r="H917" s="26"/>
      <c r="I917" s="26">
        <v>0</v>
      </c>
      <c r="J917" s="27">
        <v>0.28000000000000003</v>
      </c>
      <c r="M917" s="28">
        <f t="shared" si="33"/>
        <v>0</v>
      </c>
      <c r="P917" s="27">
        <v>0.28000000000000003</v>
      </c>
      <c r="S917" s="28">
        <f t="shared" si="34"/>
        <v>0</v>
      </c>
      <c r="V917" s="9">
        <f t="shared" si="35"/>
        <v>0.23</v>
      </c>
      <c r="Y917" s="9">
        <f t="shared" si="32"/>
        <v>0</v>
      </c>
      <c r="AD917" s="4" t="s">
        <v>2948</v>
      </c>
      <c r="AE917" s="4" t="s">
        <v>2949</v>
      </c>
      <c r="AF917" s="4" t="s">
        <v>2862</v>
      </c>
    </row>
    <row r="918" spans="1:35" ht="18" x14ac:dyDescent="0.3">
      <c r="A918" s="10" t="s">
        <v>2950</v>
      </c>
      <c r="B918" s="10"/>
      <c r="C918" s="24" t="s">
        <v>2951</v>
      </c>
      <c r="D918" s="15"/>
      <c r="E918" s="15"/>
      <c r="F918" s="25" t="s">
        <v>278</v>
      </c>
      <c r="G918" s="26">
        <v>0.35</v>
      </c>
      <c r="H918" s="26"/>
      <c r="I918" s="26">
        <v>0</v>
      </c>
      <c r="J918" s="27">
        <v>55</v>
      </c>
      <c r="M918" s="28">
        <f t="shared" si="33"/>
        <v>0</v>
      </c>
      <c r="P918" s="27">
        <v>55</v>
      </c>
      <c r="S918" s="28">
        <f t="shared" si="34"/>
        <v>0</v>
      </c>
      <c r="V918" s="9">
        <f t="shared" si="35"/>
        <v>45.83</v>
      </c>
      <c r="Y918" s="9">
        <f t="shared" si="32"/>
        <v>0</v>
      </c>
      <c r="AD918" s="4" t="s">
        <v>2952</v>
      </c>
      <c r="AE918" s="4" t="s">
        <v>2953</v>
      </c>
      <c r="AF918" s="4" t="s">
        <v>2954</v>
      </c>
    </row>
    <row r="919" spans="1:35" ht="18" x14ac:dyDescent="0.3">
      <c r="A919" s="10" t="s">
        <v>2955</v>
      </c>
      <c r="B919" s="10"/>
      <c r="C919" s="24" t="s">
        <v>2864</v>
      </c>
      <c r="D919" s="15"/>
      <c r="E919" s="15"/>
      <c r="F919" s="25" t="s">
        <v>597</v>
      </c>
      <c r="G919" s="26">
        <v>0.3</v>
      </c>
      <c r="H919" s="26"/>
      <c r="I919" s="26">
        <v>0</v>
      </c>
      <c r="J919" s="27">
        <v>5.6</v>
      </c>
      <c r="M919" s="28">
        <f t="shared" si="33"/>
        <v>0</v>
      </c>
      <c r="P919" s="27">
        <v>5.6</v>
      </c>
      <c r="S919" s="28">
        <f t="shared" si="34"/>
        <v>0</v>
      </c>
      <c r="V919" s="9">
        <f t="shared" si="35"/>
        <v>4.67</v>
      </c>
      <c r="Y919" s="9">
        <f t="shared" si="32"/>
        <v>0</v>
      </c>
      <c r="AD919" s="4" t="s">
        <v>2956</v>
      </c>
      <c r="AE919" s="4" t="s">
        <v>2957</v>
      </c>
      <c r="AF919" s="4" t="s">
        <v>2867</v>
      </c>
    </row>
    <row r="920" spans="1:35" ht="36" x14ac:dyDescent="0.3">
      <c r="A920" s="10" t="s">
        <v>2958</v>
      </c>
      <c r="B920" s="10"/>
      <c r="C920" s="30" t="s">
        <v>2959</v>
      </c>
      <c r="D920" s="15"/>
      <c r="E920" s="15"/>
      <c r="F920" s="25" t="s">
        <v>597</v>
      </c>
      <c r="G920" s="26">
        <v>3.6</v>
      </c>
      <c r="H920" s="26"/>
      <c r="I920" s="26">
        <v>0</v>
      </c>
      <c r="J920" s="27">
        <v>15.9</v>
      </c>
      <c r="M920" s="28">
        <f t="shared" si="33"/>
        <v>0</v>
      </c>
      <c r="P920" s="27">
        <v>15.9</v>
      </c>
      <c r="S920" s="28">
        <f t="shared" si="34"/>
        <v>0</v>
      </c>
      <c r="V920" s="9">
        <f t="shared" si="35"/>
        <v>13.25</v>
      </c>
      <c r="Y920" s="9">
        <f t="shared" si="32"/>
        <v>0</v>
      </c>
      <c r="AD920" s="4" t="s">
        <v>2960</v>
      </c>
      <c r="AE920" s="4" t="s">
        <v>2961</v>
      </c>
      <c r="AF920" s="4" t="s">
        <v>2962</v>
      </c>
    </row>
    <row r="921" spans="1:35" ht="18" x14ac:dyDescent="0.3">
      <c r="A921" s="10" t="s">
        <v>2963</v>
      </c>
      <c r="B921" s="10"/>
      <c r="C921" s="24" t="s">
        <v>2964</v>
      </c>
      <c r="D921" s="15"/>
      <c r="E921" s="15"/>
      <c r="F921" s="25" t="s">
        <v>102</v>
      </c>
      <c r="G921" s="26">
        <v>1.2</v>
      </c>
      <c r="H921" s="26"/>
      <c r="I921" s="26">
        <v>0</v>
      </c>
      <c r="J921" s="27">
        <v>22.82</v>
      </c>
      <c r="M921" s="28">
        <f t="shared" si="33"/>
        <v>0</v>
      </c>
      <c r="P921" s="27">
        <v>22.82</v>
      </c>
      <c r="S921" s="28">
        <f t="shared" si="34"/>
        <v>0</v>
      </c>
      <c r="V921" s="9">
        <f t="shared" si="35"/>
        <v>19.02</v>
      </c>
      <c r="Y921" s="9">
        <f t="shared" si="32"/>
        <v>0</v>
      </c>
      <c r="AD921" s="4" t="s">
        <v>2965</v>
      </c>
      <c r="AE921" s="4" t="s">
        <v>2966</v>
      </c>
      <c r="AF921" s="4" t="s">
        <v>2967</v>
      </c>
    </row>
    <row r="922" spans="1:35" ht="18" x14ac:dyDescent="0.3">
      <c r="A922" s="10" t="s">
        <v>2968</v>
      </c>
      <c r="B922" s="10"/>
      <c r="C922" s="24" t="s">
        <v>2879</v>
      </c>
      <c r="D922" s="15"/>
      <c r="E922" s="15"/>
      <c r="F922" s="25" t="s">
        <v>102</v>
      </c>
      <c r="G922" s="26">
        <v>4.7</v>
      </c>
      <c r="H922" s="26"/>
      <c r="I922" s="26">
        <v>0</v>
      </c>
      <c r="J922" s="27">
        <v>66.98</v>
      </c>
      <c r="M922" s="28">
        <f t="shared" si="33"/>
        <v>0</v>
      </c>
      <c r="P922" s="27">
        <v>66.98</v>
      </c>
      <c r="S922" s="28">
        <f t="shared" si="34"/>
        <v>0</v>
      </c>
      <c r="V922" s="9">
        <f t="shared" si="35"/>
        <v>55.82</v>
      </c>
      <c r="Y922" s="9">
        <f t="shared" si="32"/>
        <v>0</v>
      </c>
      <c r="AD922" s="4" t="s">
        <v>2969</v>
      </c>
      <c r="AE922" s="4" t="s">
        <v>2970</v>
      </c>
      <c r="AF922" s="4" t="s">
        <v>2882</v>
      </c>
    </row>
    <row r="923" spans="1:35" ht="18" x14ac:dyDescent="0.3">
      <c r="A923" s="10" t="s">
        <v>2971</v>
      </c>
      <c r="B923" s="10"/>
      <c r="C923" s="30" t="s">
        <v>2972</v>
      </c>
      <c r="D923" s="15"/>
      <c r="E923" s="15"/>
      <c r="F923" s="25" t="s">
        <v>597</v>
      </c>
      <c r="G923" s="26">
        <v>4.2</v>
      </c>
      <c r="H923" s="26"/>
      <c r="I923" s="26">
        <v>0</v>
      </c>
      <c r="J923" s="27">
        <v>4.92</v>
      </c>
      <c r="M923" s="28">
        <f t="shared" si="33"/>
        <v>0</v>
      </c>
      <c r="P923" s="27">
        <v>4.92</v>
      </c>
      <c r="S923" s="28">
        <f t="shared" si="34"/>
        <v>0</v>
      </c>
      <c r="V923" s="9">
        <f t="shared" si="35"/>
        <v>4.0999999999999996</v>
      </c>
      <c r="Y923" s="9">
        <f t="shared" si="32"/>
        <v>0</v>
      </c>
      <c r="AD923" s="4" t="s">
        <v>2973</v>
      </c>
      <c r="AE923" s="4" t="s">
        <v>2974</v>
      </c>
      <c r="AF923" s="4" t="s">
        <v>2975</v>
      </c>
    </row>
    <row r="924" spans="1:35" ht="18" x14ac:dyDescent="0.3">
      <c r="A924" s="10" t="s">
        <v>2976</v>
      </c>
      <c r="B924" s="10"/>
      <c r="C924" s="24" t="s">
        <v>2470</v>
      </c>
      <c r="D924" s="15"/>
      <c r="E924" s="15"/>
      <c r="F924" s="25" t="s">
        <v>62</v>
      </c>
      <c r="G924" s="26">
        <v>1.05</v>
      </c>
      <c r="H924" s="26"/>
      <c r="I924" s="26">
        <v>0</v>
      </c>
      <c r="J924" s="27">
        <v>0</v>
      </c>
      <c r="M924" s="28">
        <f t="shared" si="33"/>
        <v>0</v>
      </c>
      <c r="P924" s="27">
        <v>1520.33</v>
      </c>
      <c r="S924" s="28">
        <f t="shared" si="34"/>
        <v>0</v>
      </c>
      <c r="V924" s="9">
        <f t="shared" si="35"/>
        <v>1266.94</v>
      </c>
      <c r="Y924" s="9">
        <f t="shared" si="32"/>
        <v>0</v>
      </c>
      <c r="AD924" s="4" t="s">
        <v>2977</v>
      </c>
      <c r="AE924" s="4" t="s">
        <v>2978</v>
      </c>
      <c r="AF924" s="4" t="s">
        <v>2473</v>
      </c>
    </row>
    <row r="925" spans="1:35" ht="18" x14ac:dyDescent="0.3">
      <c r="A925" s="10" t="s">
        <v>2979</v>
      </c>
      <c r="B925" s="10"/>
      <c r="C925" s="24" t="s">
        <v>2887</v>
      </c>
      <c r="D925" s="15"/>
      <c r="E925" s="15"/>
      <c r="F925" s="25" t="s">
        <v>102</v>
      </c>
      <c r="G925" s="26">
        <v>1.05</v>
      </c>
      <c r="H925" s="26"/>
      <c r="I925" s="26">
        <v>0</v>
      </c>
      <c r="J925" s="27">
        <v>4.5999999999999996</v>
      </c>
      <c r="M925" s="28">
        <f t="shared" si="33"/>
        <v>0</v>
      </c>
      <c r="P925" s="27">
        <v>4.5999999999999996</v>
      </c>
      <c r="S925" s="28">
        <f t="shared" si="34"/>
        <v>0</v>
      </c>
      <c r="V925" s="9">
        <f t="shared" si="35"/>
        <v>3.83</v>
      </c>
      <c r="Y925" s="9">
        <f t="shared" si="32"/>
        <v>0</v>
      </c>
      <c r="AD925" s="4" t="s">
        <v>2980</v>
      </c>
      <c r="AE925" s="4" t="s">
        <v>2981</v>
      </c>
      <c r="AF925" s="4" t="s">
        <v>2890</v>
      </c>
    </row>
    <row r="926" spans="1:35" ht="18" x14ac:dyDescent="0.3">
      <c r="A926" s="10" t="s">
        <v>2982</v>
      </c>
      <c r="B926" s="10"/>
      <c r="C926" s="24" t="s">
        <v>2983</v>
      </c>
      <c r="D926" s="15"/>
      <c r="E926" s="15"/>
      <c r="F926" s="25" t="s">
        <v>102</v>
      </c>
      <c r="G926" s="26">
        <v>0.25</v>
      </c>
      <c r="H926" s="26"/>
      <c r="I926" s="26">
        <v>0</v>
      </c>
      <c r="J926" s="27">
        <v>2.8</v>
      </c>
      <c r="M926" s="28">
        <f t="shared" si="33"/>
        <v>0</v>
      </c>
      <c r="P926" s="27">
        <v>2.8</v>
      </c>
      <c r="S926" s="28">
        <f t="shared" si="34"/>
        <v>0</v>
      </c>
      <c r="V926" s="9">
        <f t="shared" si="35"/>
        <v>2.33</v>
      </c>
      <c r="Y926" s="9">
        <f t="shared" si="32"/>
        <v>0</v>
      </c>
      <c r="AD926" s="4" t="s">
        <v>2984</v>
      </c>
      <c r="AE926" s="4" t="s">
        <v>2985</v>
      </c>
      <c r="AF926" s="4" t="s">
        <v>2986</v>
      </c>
    </row>
    <row r="927" spans="1:35" ht="36" x14ac:dyDescent="0.3">
      <c r="A927" s="10" t="s">
        <v>2987</v>
      </c>
      <c r="B927" s="10"/>
      <c r="C927" s="24" t="s">
        <v>304</v>
      </c>
      <c r="D927" s="15"/>
      <c r="E927" s="15"/>
      <c r="F927" s="25" t="s">
        <v>278</v>
      </c>
      <c r="G927" s="26">
        <v>0.1</v>
      </c>
      <c r="H927" s="26"/>
      <c r="I927" s="26">
        <v>0</v>
      </c>
      <c r="J927" s="27">
        <v>88.8</v>
      </c>
      <c r="M927" s="28">
        <f t="shared" si="33"/>
        <v>0</v>
      </c>
      <c r="P927" s="27">
        <v>88.8</v>
      </c>
      <c r="S927" s="28">
        <f t="shared" si="34"/>
        <v>0</v>
      </c>
      <c r="V927" s="9">
        <f t="shared" si="35"/>
        <v>74</v>
      </c>
      <c r="Y927" s="9">
        <f t="shared" si="32"/>
        <v>0</v>
      </c>
      <c r="AD927" s="4" t="s">
        <v>2988</v>
      </c>
      <c r="AE927" s="4" t="s">
        <v>2989</v>
      </c>
      <c r="AF927" s="4" t="s">
        <v>307</v>
      </c>
    </row>
    <row r="928" spans="1:35" ht="18" x14ac:dyDescent="0.3">
      <c r="A928" s="10" t="s">
        <v>2990</v>
      </c>
      <c r="B928" s="10"/>
      <c r="C928" s="24" t="s">
        <v>2892</v>
      </c>
      <c r="D928" s="15"/>
      <c r="E928" s="15"/>
      <c r="F928" s="25" t="s">
        <v>597</v>
      </c>
      <c r="G928" s="26">
        <v>0.75</v>
      </c>
      <c r="H928" s="26"/>
      <c r="I928" s="26">
        <v>0</v>
      </c>
      <c r="J928" s="27">
        <v>2.8</v>
      </c>
      <c r="M928" s="28">
        <f t="shared" si="33"/>
        <v>0</v>
      </c>
      <c r="P928" s="27">
        <v>2.8</v>
      </c>
      <c r="S928" s="28">
        <f t="shared" si="34"/>
        <v>0</v>
      </c>
      <c r="V928" s="9">
        <f t="shared" si="35"/>
        <v>2.33</v>
      </c>
      <c r="Y928" s="9">
        <f t="shared" si="32"/>
        <v>0</v>
      </c>
      <c r="AD928" s="4" t="s">
        <v>2991</v>
      </c>
      <c r="AE928" s="4" t="s">
        <v>2992</v>
      </c>
      <c r="AF928" s="4" t="s">
        <v>2895</v>
      </c>
    </row>
    <row r="929" spans="1:35" ht="234" x14ac:dyDescent="0.3">
      <c r="A929" s="10" t="s">
        <v>2993</v>
      </c>
      <c r="B929" s="10" t="s">
        <v>2940</v>
      </c>
      <c r="C929" s="14" t="s">
        <v>2941</v>
      </c>
      <c r="D929" s="15"/>
      <c r="E929" s="15" t="s">
        <v>2994</v>
      </c>
      <c r="F929" s="15" t="s">
        <v>62</v>
      </c>
      <c r="G929" s="16">
        <v>1</v>
      </c>
      <c r="H929" s="16"/>
      <c r="I929" s="16">
        <v>921.3</v>
      </c>
      <c r="J929" s="17">
        <v>480.18</v>
      </c>
      <c r="K929" s="18">
        <v>1379</v>
      </c>
      <c r="L929" s="17">
        <f>J929+ROUND(K929, 2)</f>
        <v>1859.18</v>
      </c>
      <c r="M929" s="17">
        <v>442389.83</v>
      </c>
      <c r="N929" s="17">
        <v>1270472.7</v>
      </c>
      <c r="O929" s="17">
        <f>M929+N929</f>
        <v>1712862.53</v>
      </c>
      <c r="P929" s="17">
        <v>2076.5300000000002</v>
      </c>
      <c r="Q929" s="18">
        <v>2068.5</v>
      </c>
      <c r="R929" s="17">
        <f>P929+ROUND(Q929, 2)</f>
        <v>4145.0300000000007</v>
      </c>
      <c r="S929" s="17">
        <v>1913107.09</v>
      </c>
      <c r="T929" s="17">
        <v>1905709.05</v>
      </c>
      <c r="U929" s="17">
        <f>S929+T929</f>
        <v>3818816.14</v>
      </c>
      <c r="V929" s="9">
        <f>ROUND(P929 / 1.2, 2)</f>
        <v>1730.44</v>
      </c>
      <c r="W929" s="9">
        <f>ROUND(Q929 / 1.2, 2)</f>
        <v>1723.75</v>
      </c>
      <c r="X929" s="9">
        <f>ROUND(R929 / 1.2, 2)</f>
        <v>3454.19</v>
      </c>
      <c r="Y929" s="9">
        <f t="shared" si="32"/>
        <v>1594255.91</v>
      </c>
      <c r="Z929" s="9">
        <f>ROUND(T929 / 1.2, 2)</f>
        <v>1588090.8799999999</v>
      </c>
      <c r="AA929" s="9">
        <f>Y929+Z929</f>
        <v>3182346.79</v>
      </c>
      <c r="AD929" s="4">
        <v>334080783</v>
      </c>
      <c r="AE929" s="4">
        <v>27245737</v>
      </c>
      <c r="AG929" s="4" t="s">
        <v>2942</v>
      </c>
      <c r="AH929" s="4" t="s">
        <v>2943</v>
      </c>
      <c r="AI929" s="4" t="s">
        <v>250</v>
      </c>
    </row>
    <row r="930" spans="1:35" ht="18" x14ac:dyDescent="0.3">
      <c r="A930" s="10" t="s">
        <v>2995</v>
      </c>
      <c r="B930" s="10"/>
      <c r="C930" s="24" t="s">
        <v>2892</v>
      </c>
      <c r="D930" s="15"/>
      <c r="E930" s="15"/>
      <c r="F930" s="25" t="s">
        <v>597</v>
      </c>
      <c r="G930" s="26">
        <v>0.75</v>
      </c>
      <c r="H930" s="26"/>
      <c r="I930" s="26">
        <v>690.97500000000002</v>
      </c>
      <c r="J930" s="27">
        <v>2.8</v>
      </c>
      <c r="M930" s="28">
        <f t="shared" ref="M930:M942" si="36">ROUND(ROUND(J930, 2)*I930, 2)</f>
        <v>1934.73</v>
      </c>
      <c r="P930" s="27">
        <v>2.8</v>
      </c>
      <c r="S930" s="28">
        <f t="shared" ref="S930:S942" si="37">ROUND(ROUND(P930, 2)*I930, 2)</f>
        <v>1934.73</v>
      </c>
      <c r="V930" s="9">
        <f t="shared" ref="V930:V942" si="38">ROUND(ROUND(P930, 2)/1.2, 2)</f>
        <v>2.33</v>
      </c>
      <c r="Y930" s="9">
        <f t="shared" si="32"/>
        <v>1612.28</v>
      </c>
      <c r="AD930" s="4" t="s">
        <v>2996</v>
      </c>
      <c r="AE930" s="4" t="s">
        <v>2997</v>
      </c>
      <c r="AF930" s="4" t="s">
        <v>2895</v>
      </c>
    </row>
    <row r="931" spans="1:35" ht="36" x14ac:dyDescent="0.3">
      <c r="A931" s="10" t="s">
        <v>2998</v>
      </c>
      <c r="B931" s="10"/>
      <c r="C931" s="24" t="s">
        <v>304</v>
      </c>
      <c r="D931" s="15"/>
      <c r="E931" s="15"/>
      <c r="F931" s="25" t="s">
        <v>278</v>
      </c>
      <c r="G931" s="26">
        <v>0.1</v>
      </c>
      <c r="H931" s="26"/>
      <c r="I931" s="26">
        <v>92.13</v>
      </c>
      <c r="J931" s="27">
        <v>88.8</v>
      </c>
      <c r="M931" s="28">
        <f t="shared" si="36"/>
        <v>8181.14</v>
      </c>
      <c r="P931" s="27">
        <v>88.8</v>
      </c>
      <c r="S931" s="28">
        <f t="shared" si="37"/>
        <v>8181.14</v>
      </c>
      <c r="V931" s="9">
        <f t="shared" si="38"/>
        <v>74</v>
      </c>
      <c r="Y931" s="9">
        <f t="shared" si="32"/>
        <v>6817.62</v>
      </c>
      <c r="AD931" s="4" t="s">
        <v>2999</v>
      </c>
      <c r="AE931" s="4" t="s">
        <v>3000</v>
      </c>
      <c r="AF931" s="4" t="s">
        <v>307</v>
      </c>
    </row>
    <row r="932" spans="1:35" ht="18" x14ac:dyDescent="0.3">
      <c r="A932" s="10" t="s">
        <v>3001</v>
      </c>
      <c r="B932" s="10"/>
      <c r="C932" s="24" t="s">
        <v>2983</v>
      </c>
      <c r="D932" s="15"/>
      <c r="E932" s="15"/>
      <c r="F932" s="25" t="s">
        <v>102</v>
      </c>
      <c r="G932" s="26">
        <v>0.25</v>
      </c>
      <c r="H932" s="26"/>
      <c r="I932" s="26">
        <v>230.32499999999999</v>
      </c>
      <c r="J932" s="27">
        <v>2.8</v>
      </c>
      <c r="M932" s="28">
        <f t="shared" si="36"/>
        <v>644.91</v>
      </c>
      <c r="P932" s="27">
        <v>2.8</v>
      </c>
      <c r="S932" s="28">
        <f t="shared" si="37"/>
        <v>644.91</v>
      </c>
      <c r="V932" s="9">
        <f t="shared" si="38"/>
        <v>2.33</v>
      </c>
      <c r="Y932" s="9">
        <f t="shared" si="32"/>
        <v>537.42999999999995</v>
      </c>
      <c r="AD932" s="4" t="s">
        <v>3002</v>
      </c>
      <c r="AE932" s="4" t="s">
        <v>3003</v>
      </c>
      <c r="AF932" s="4" t="s">
        <v>2986</v>
      </c>
    </row>
    <row r="933" spans="1:35" ht="18" x14ac:dyDescent="0.3">
      <c r="A933" s="10" t="s">
        <v>3004</v>
      </c>
      <c r="B933" s="10"/>
      <c r="C933" s="24" t="s">
        <v>2887</v>
      </c>
      <c r="D933" s="15"/>
      <c r="E933" s="15"/>
      <c r="F933" s="25" t="s">
        <v>102</v>
      </c>
      <c r="G933" s="26">
        <v>1.05</v>
      </c>
      <c r="H933" s="26"/>
      <c r="I933" s="26">
        <v>967.36500000000001</v>
      </c>
      <c r="J933" s="27">
        <v>4.5999999999999996</v>
      </c>
      <c r="M933" s="28">
        <f t="shared" si="36"/>
        <v>4449.88</v>
      </c>
      <c r="P933" s="27">
        <v>4.5999999999999996</v>
      </c>
      <c r="S933" s="28">
        <f t="shared" si="37"/>
        <v>4449.88</v>
      </c>
      <c r="V933" s="9">
        <f t="shared" si="38"/>
        <v>3.83</v>
      </c>
      <c r="Y933" s="9">
        <f t="shared" si="32"/>
        <v>3708.23</v>
      </c>
      <c r="AD933" s="4" t="s">
        <v>3005</v>
      </c>
      <c r="AE933" s="4" t="s">
        <v>3006</v>
      </c>
      <c r="AF933" s="4" t="s">
        <v>2890</v>
      </c>
    </row>
    <row r="934" spans="1:35" ht="18" x14ac:dyDescent="0.3">
      <c r="A934" s="10" t="s">
        <v>3007</v>
      </c>
      <c r="B934" s="10"/>
      <c r="C934" s="24" t="s">
        <v>2470</v>
      </c>
      <c r="D934" s="15"/>
      <c r="E934" s="15"/>
      <c r="F934" s="25" t="s">
        <v>62</v>
      </c>
      <c r="G934" s="26">
        <v>1.05</v>
      </c>
      <c r="H934" s="26"/>
      <c r="I934" s="26">
        <v>967.36500000000001</v>
      </c>
      <c r="J934" s="27">
        <v>0</v>
      </c>
      <c r="M934" s="28">
        <f t="shared" si="36"/>
        <v>0</v>
      </c>
      <c r="P934" s="27">
        <v>1520.33</v>
      </c>
      <c r="S934" s="28">
        <f t="shared" si="37"/>
        <v>1470714.03</v>
      </c>
      <c r="V934" s="9">
        <f t="shared" si="38"/>
        <v>1266.94</v>
      </c>
      <c r="Y934" s="9">
        <f t="shared" si="32"/>
        <v>1225595.03</v>
      </c>
      <c r="AD934" s="4" t="s">
        <v>3008</v>
      </c>
      <c r="AE934" s="4" t="s">
        <v>3009</v>
      </c>
      <c r="AF934" s="4" t="s">
        <v>2473</v>
      </c>
    </row>
    <row r="935" spans="1:35" ht="18" x14ac:dyDescent="0.3">
      <c r="A935" s="10" t="s">
        <v>3010</v>
      </c>
      <c r="B935" s="10"/>
      <c r="C935" s="30" t="s">
        <v>2972</v>
      </c>
      <c r="D935" s="15"/>
      <c r="E935" s="15"/>
      <c r="F935" s="25" t="s">
        <v>597</v>
      </c>
      <c r="G935" s="26">
        <v>4.2</v>
      </c>
      <c r="H935" s="26"/>
      <c r="I935" s="26">
        <v>3869.46</v>
      </c>
      <c r="J935" s="27">
        <v>4.92</v>
      </c>
      <c r="M935" s="28">
        <f t="shared" si="36"/>
        <v>19037.740000000002</v>
      </c>
      <c r="P935" s="27">
        <v>4.92</v>
      </c>
      <c r="S935" s="28">
        <f t="shared" si="37"/>
        <v>19037.740000000002</v>
      </c>
      <c r="V935" s="9">
        <f t="shared" si="38"/>
        <v>4.0999999999999996</v>
      </c>
      <c r="Y935" s="9">
        <f t="shared" si="32"/>
        <v>15864.78</v>
      </c>
      <c r="AD935" s="4" t="s">
        <v>3011</v>
      </c>
      <c r="AE935" s="4" t="s">
        <v>3012</v>
      </c>
      <c r="AF935" s="4" t="s">
        <v>2975</v>
      </c>
    </row>
    <row r="936" spans="1:35" ht="18" x14ac:dyDescent="0.3">
      <c r="A936" s="10" t="s">
        <v>3013</v>
      </c>
      <c r="B936" s="10"/>
      <c r="C936" s="24" t="s">
        <v>2964</v>
      </c>
      <c r="D936" s="15"/>
      <c r="E936" s="15"/>
      <c r="F936" s="25" t="s">
        <v>102</v>
      </c>
      <c r="G936" s="26">
        <v>1.2</v>
      </c>
      <c r="H936" s="26"/>
      <c r="I936" s="26">
        <v>1105.56</v>
      </c>
      <c r="J936" s="27">
        <v>22.82</v>
      </c>
      <c r="M936" s="28">
        <f t="shared" si="36"/>
        <v>25228.880000000001</v>
      </c>
      <c r="P936" s="27">
        <v>22.82</v>
      </c>
      <c r="S936" s="28">
        <f t="shared" si="37"/>
        <v>25228.880000000001</v>
      </c>
      <c r="V936" s="9">
        <f t="shared" si="38"/>
        <v>19.02</v>
      </c>
      <c r="Y936" s="9">
        <f t="shared" si="32"/>
        <v>21024.07</v>
      </c>
      <c r="AD936" s="4" t="s">
        <v>3014</v>
      </c>
      <c r="AE936" s="4" t="s">
        <v>3015</v>
      </c>
      <c r="AF936" s="4" t="s">
        <v>2967</v>
      </c>
    </row>
    <row r="937" spans="1:35" ht="18" x14ac:dyDescent="0.3">
      <c r="A937" s="10" t="s">
        <v>3016</v>
      </c>
      <c r="B937" s="10"/>
      <c r="C937" s="24" t="s">
        <v>2879</v>
      </c>
      <c r="D937" s="15"/>
      <c r="E937" s="15"/>
      <c r="F937" s="25" t="s">
        <v>102</v>
      </c>
      <c r="G937" s="26">
        <v>4.7</v>
      </c>
      <c r="H937" s="26"/>
      <c r="I937" s="26">
        <v>4330.1099999999997</v>
      </c>
      <c r="J937" s="27">
        <v>66.98</v>
      </c>
      <c r="M937" s="28">
        <f t="shared" si="36"/>
        <v>290030.77</v>
      </c>
      <c r="P937" s="27">
        <v>66.98</v>
      </c>
      <c r="S937" s="28">
        <f t="shared" si="37"/>
        <v>290030.77</v>
      </c>
      <c r="V937" s="9">
        <f t="shared" si="38"/>
        <v>55.82</v>
      </c>
      <c r="Y937" s="9">
        <f t="shared" si="32"/>
        <v>241692.31</v>
      </c>
      <c r="AD937" s="4" t="s">
        <v>3017</v>
      </c>
      <c r="AE937" s="4" t="s">
        <v>3018</v>
      </c>
      <c r="AF937" s="4" t="s">
        <v>2882</v>
      </c>
    </row>
    <row r="938" spans="1:35" ht="36" x14ac:dyDescent="0.3">
      <c r="A938" s="10" t="s">
        <v>3019</v>
      </c>
      <c r="B938" s="10"/>
      <c r="C938" s="30" t="s">
        <v>2959</v>
      </c>
      <c r="D938" s="15"/>
      <c r="E938" s="15"/>
      <c r="F938" s="25" t="s">
        <v>597</v>
      </c>
      <c r="G938" s="26">
        <v>3.6</v>
      </c>
      <c r="H938" s="26"/>
      <c r="I938" s="26">
        <v>3316.68</v>
      </c>
      <c r="J938" s="27">
        <v>15.9</v>
      </c>
      <c r="M938" s="28">
        <f t="shared" si="36"/>
        <v>52735.21</v>
      </c>
      <c r="P938" s="27">
        <v>15.9</v>
      </c>
      <c r="S938" s="28">
        <f t="shared" si="37"/>
        <v>52735.21</v>
      </c>
      <c r="V938" s="9">
        <f t="shared" si="38"/>
        <v>13.25</v>
      </c>
      <c r="Y938" s="9">
        <f t="shared" si="32"/>
        <v>43946.01</v>
      </c>
      <c r="AD938" s="4" t="s">
        <v>3020</v>
      </c>
      <c r="AE938" s="4" t="s">
        <v>3021</v>
      </c>
      <c r="AF938" s="4" t="s">
        <v>2962</v>
      </c>
    </row>
    <row r="939" spans="1:35" ht="18" x14ac:dyDescent="0.3">
      <c r="A939" s="10" t="s">
        <v>3022</v>
      </c>
      <c r="B939" s="10"/>
      <c r="C939" s="24" t="s">
        <v>2864</v>
      </c>
      <c r="D939" s="15"/>
      <c r="E939" s="15"/>
      <c r="F939" s="25" t="s">
        <v>597</v>
      </c>
      <c r="G939" s="26">
        <v>0.3</v>
      </c>
      <c r="H939" s="26"/>
      <c r="I939" s="26">
        <v>276.39</v>
      </c>
      <c r="J939" s="27">
        <v>5.6</v>
      </c>
      <c r="M939" s="28">
        <f t="shared" si="36"/>
        <v>1547.78</v>
      </c>
      <c r="P939" s="27">
        <v>5.6</v>
      </c>
      <c r="S939" s="28">
        <f t="shared" si="37"/>
        <v>1547.78</v>
      </c>
      <c r="V939" s="9">
        <f t="shared" si="38"/>
        <v>4.67</v>
      </c>
      <c r="Y939" s="9">
        <f t="shared" ref="Y939:Y962" si="39">ROUND(S939 / 1.2, 2)</f>
        <v>1289.82</v>
      </c>
      <c r="AD939" s="4" t="s">
        <v>3023</v>
      </c>
      <c r="AE939" s="4" t="s">
        <v>3024</v>
      </c>
      <c r="AF939" s="4" t="s">
        <v>2867</v>
      </c>
    </row>
    <row r="940" spans="1:35" ht="18" x14ac:dyDescent="0.3">
      <c r="A940" s="10" t="s">
        <v>3025</v>
      </c>
      <c r="B940" s="10"/>
      <c r="C940" s="24" t="s">
        <v>2951</v>
      </c>
      <c r="D940" s="15"/>
      <c r="E940" s="15"/>
      <c r="F940" s="25" t="s">
        <v>278</v>
      </c>
      <c r="G940" s="26">
        <v>0.35</v>
      </c>
      <c r="H940" s="26"/>
      <c r="I940" s="26">
        <v>322.45499999999998</v>
      </c>
      <c r="J940" s="27">
        <v>55</v>
      </c>
      <c r="M940" s="28">
        <f t="shared" si="36"/>
        <v>17735.03</v>
      </c>
      <c r="P940" s="27">
        <v>55</v>
      </c>
      <c r="S940" s="28">
        <f t="shared" si="37"/>
        <v>17735.03</v>
      </c>
      <c r="V940" s="9">
        <f t="shared" si="38"/>
        <v>45.83</v>
      </c>
      <c r="Y940" s="9">
        <f t="shared" si="39"/>
        <v>14779.19</v>
      </c>
      <c r="AD940" s="4" t="s">
        <v>3026</v>
      </c>
      <c r="AE940" s="4" t="s">
        <v>3027</v>
      </c>
      <c r="AF940" s="4" t="s">
        <v>2954</v>
      </c>
    </row>
    <row r="941" spans="1:35" ht="18" x14ac:dyDescent="0.3">
      <c r="A941" s="10" t="s">
        <v>3028</v>
      </c>
      <c r="B941" s="10"/>
      <c r="C941" s="24" t="s">
        <v>2859</v>
      </c>
      <c r="D941" s="15"/>
      <c r="E941" s="15"/>
      <c r="F941" s="25" t="s">
        <v>597</v>
      </c>
      <c r="G941" s="26">
        <v>30</v>
      </c>
      <c r="H941" s="26"/>
      <c r="I941" s="26">
        <v>27639</v>
      </c>
      <c r="J941" s="27">
        <v>0.28000000000000003</v>
      </c>
      <c r="M941" s="28">
        <f t="shared" si="36"/>
        <v>7738.92</v>
      </c>
      <c r="P941" s="27">
        <v>0.28000000000000003</v>
      </c>
      <c r="S941" s="28">
        <f t="shared" si="37"/>
        <v>7738.92</v>
      </c>
      <c r="V941" s="9">
        <f t="shared" si="38"/>
        <v>0.23</v>
      </c>
      <c r="Y941" s="9">
        <f t="shared" si="39"/>
        <v>6449.1</v>
      </c>
      <c r="AD941" s="4" t="s">
        <v>3029</v>
      </c>
      <c r="AE941" s="4" t="s">
        <v>3030</v>
      </c>
      <c r="AF941" s="4" t="s">
        <v>2862</v>
      </c>
    </row>
    <row r="942" spans="1:35" ht="18" x14ac:dyDescent="0.3">
      <c r="A942" s="10" t="s">
        <v>3031</v>
      </c>
      <c r="B942" s="10"/>
      <c r="C942" s="24" t="s">
        <v>2854</v>
      </c>
      <c r="D942" s="15"/>
      <c r="E942" s="15"/>
      <c r="F942" s="25" t="s">
        <v>597</v>
      </c>
      <c r="G942" s="26">
        <v>15</v>
      </c>
      <c r="H942" s="26"/>
      <c r="I942" s="26">
        <v>13819.5</v>
      </c>
      <c r="J942" s="27">
        <v>0.95</v>
      </c>
      <c r="M942" s="28">
        <f t="shared" si="36"/>
        <v>13128.53</v>
      </c>
      <c r="P942" s="27">
        <v>0.95</v>
      </c>
      <c r="S942" s="28">
        <f t="shared" si="37"/>
        <v>13128.53</v>
      </c>
      <c r="V942" s="9">
        <f t="shared" si="38"/>
        <v>0.79</v>
      </c>
      <c r="Y942" s="9">
        <f t="shared" si="39"/>
        <v>10940.44</v>
      </c>
      <c r="AD942" s="4" t="s">
        <v>3032</v>
      </c>
      <c r="AE942" s="4" t="s">
        <v>3033</v>
      </c>
      <c r="AF942" s="4" t="s">
        <v>2857</v>
      </c>
    </row>
    <row r="943" spans="1:35" ht="36" x14ac:dyDescent="0.3">
      <c r="A943" s="10" t="s">
        <v>3034</v>
      </c>
      <c r="B943" s="10" t="s">
        <v>3035</v>
      </c>
      <c r="C943" s="14" t="s">
        <v>3036</v>
      </c>
      <c r="D943" s="15"/>
      <c r="E943" s="15"/>
      <c r="F943" s="15" t="s">
        <v>62</v>
      </c>
      <c r="G943" s="16">
        <v>1</v>
      </c>
      <c r="H943" s="16"/>
      <c r="I943" s="16">
        <v>0</v>
      </c>
      <c r="J943" s="17">
        <v>0</v>
      </c>
      <c r="K943" s="18">
        <v>963</v>
      </c>
      <c r="L943" s="17">
        <f>J943+ROUND(K943, 2)</f>
        <v>963</v>
      </c>
      <c r="M943" s="17">
        <v>0</v>
      </c>
      <c r="N943" s="17">
        <v>0</v>
      </c>
      <c r="O943" s="17">
        <f>M943+N943</f>
        <v>0</v>
      </c>
      <c r="P943" s="17">
        <v>902.98</v>
      </c>
      <c r="Q943" s="18">
        <v>963</v>
      </c>
      <c r="R943" s="17">
        <f>P943+ROUND(Q943, 2)</f>
        <v>1865.98</v>
      </c>
      <c r="S943" s="17">
        <v>0</v>
      </c>
      <c r="T943" s="17">
        <v>0</v>
      </c>
      <c r="U943" s="17">
        <f>S943+T943</f>
        <v>0</v>
      </c>
      <c r="V943" s="9">
        <f>ROUND(P943 / 1.2, 2)</f>
        <v>752.48</v>
      </c>
      <c r="W943" s="9">
        <f>ROUND(Q943 / 1.2, 2)</f>
        <v>802.5</v>
      </c>
      <c r="X943" s="9">
        <f>ROUND(R943 / 1.2, 2)</f>
        <v>1554.98</v>
      </c>
      <c r="Y943" s="9">
        <f t="shared" si="39"/>
        <v>0</v>
      </c>
      <c r="Z943" s="9">
        <f>ROUND(T943 / 1.2, 2)</f>
        <v>0</v>
      </c>
      <c r="AA943" s="9">
        <f>Y943+Z943</f>
        <v>0</v>
      </c>
      <c r="AD943" s="4">
        <v>334080571</v>
      </c>
      <c r="AE943" s="4">
        <v>27245621</v>
      </c>
      <c r="AG943" s="4" t="s">
        <v>3037</v>
      </c>
      <c r="AH943" s="4" t="s">
        <v>3038</v>
      </c>
      <c r="AI943" s="4" t="s">
        <v>250</v>
      </c>
    </row>
    <row r="944" spans="1:35" ht="36" x14ac:dyDescent="0.3">
      <c r="A944" s="10" t="s">
        <v>3039</v>
      </c>
      <c r="B944" s="10"/>
      <c r="C944" s="30" t="s">
        <v>3040</v>
      </c>
      <c r="D944" s="15"/>
      <c r="E944" s="15"/>
      <c r="F944" s="25" t="s">
        <v>62</v>
      </c>
      <c r="G944" s="26">
        <v>1.1000000000000001</v>
      </c>
      <c r="H944" s="31"/>
      <c r="I944" s="31">
        <v>0</v>
      </c>
      <c r="J944" s="27">
        <v>820.89</v>
      </c>
      <c r="M944" s="28">
        <f>ROUND(ROUND(J944, 2)*I944, 2)</f>
        <v>0</v>
      </c>
      <c r="P944" s="27">
        <v>820.89</v>
      </c>
      <c r="S944" s="28">
        <f>ROUND(ROUND(P944, 2)*I944, 2)</f>
        <v>0</v>
      </c>
      <c r="V944" s="9">
        <f>ROUND(ROUND(P944, 2)/1.2, 2)</f>
        <v>684.08</v>
      </c>
      <c r="Y944" s="9">
        <f t="shared" si="39"/>
        <v>0</v>
      </c>
      <c r="AD944" s="4" t="s">
        <v>3041</v>
      </c>
      <c r="AE944" s="4" t="s">
        <v>3042</v>
      </c>
      <c r="AF944" s="4" t="s">
        <v>3043</v>
      </c>
    </row>
    <row r="945" spans="1:35" ht="36" x14ac:dyDescent="0.3">
      <c r="A945" s="10" t="s">
        <v>3044</v>
      </c>
      <c r="B945" s="10" t="s">
        <v>3035</v>
      </c>
      <c r="C945" s="14" t="s">
        <v>3036</v>
      </c>
      <c r="D945" s="15"/>
      <c r="E945" s="15"/>
      <c r="F945" s="15" t="s">
        <v>62</v>
      </c>
      <c r="G945" s="16">
        <v>1</v>
      </c>
      <c r="H945" s="16"/>
      <c r="I945" s="16">
        <v>0</v>
      </c>
      <c r="J945" s="17">
        <v>0</v>
      </c>
      <c r="K945" s="18">
        <v>963</v>
      </c>
      <c r="L945" s="17">
        <f>J945+ROUND(K945, 2)</f>
        <v>963</v>
      </c>
      <c r="M945" s="17">
        <v>0</v>
      </c>
      <c r="N945" s="17">
        <v>0</v>
      </c>
      <c r="O945" s="17">
        <f>M945+N945</f>
        <v>0</v>
      </c>
      <c r="P945" s="17">
        <v>855.89</v>
      </c>
      <c r="Q945" s="18">
        <v>963</v>
      </c>
      <c r="R945" s="17">
        <f>P945+ROUND(Q945, 2)</f>
        <v>1818.8899999999999</v>
      </c>
      <c r="S945" s="17">
        <v>0</v>
      </c>
      <c r="T945" s="17">
        <v>0</v>
      </c>
      <c r="U945" s="17">
        <f>S945+T945</f>
        <v>0</v>
      </c>
      <c r="V945" s="9">
        <f>ROUND(P945 / 1.2, 2)</f>
        <v>713.24</v>
      </c>
      <c r="W945" s="9">
        <f>ROUND(Q945 / 1.2, 2)</f>
        <v>802.5</v>
      </c>
      <c r="X945" s="9">
        <f>ROUND(R945 / 1.2, 2)</f>
        <v>1515.74</v>
      </c>
      <c r="Y945" s="9">
        <f t="shared" si="39"/>
        <v>0</v>
      </c>
      <c r="Z945" s="9">
        <f>ROUND(T945 / 1.2, 2)</f>
        <v>0</v>
      </c>
      <c r="AA945" s="9">
        <f>Y945+Z945</f>
        <v>0</v>
      </c>
      <c r="AD945" s="4">
        <v>334080784</v>
      </c>
      <c r="AE945" s="4">
        <v>27245622</v>
      </c>
      <c r="AG945" s="4" t="s">
        <v>3037</v>
      </c>
      <c r="AH945" s="4" t="s">
        <v>3038</v>
      </c>
      <c r="AI945" s="4" t="s">
        <v>250</v>
      </c>
    </row>
    <row r="946" spans="1:35" ht="18" x14ac:dyDescent="0.3">
      <c r="A946" s="10" t="s">
        <v>3045</v>
      </c>
      <c r="B946" s="10"/>
      <c r="C946" s="30" t="s">
        <v>3046</v>
      </c>
      <c r="D946" s="15"/>
      <c r="E946" s="15"/>
      <c r="F946" s="25" t="s">
        <v>62</v>
      </c>
      <c r="G946" s="26">
        <v>1.1000000000000001</v>
      </c>
      <c r="H946" s="31"/>
      <c r="I946" s="31">
        <v>0</v>
      </c>
      <c r="J946" s="27">
        <v>778.08</v>
      </c>
      <c r="M946" s="28">
        <f>ROUND(ROUND(J946, 2)*I946, 2)</f>
        <v>0</v>
      </c>
      <c r="P946" s="27">
        <v>778.08</v>
      </c>
      <c r="S946" s="28">
        <f>ROUND(ROUND(P946, 2)*I946, 2)</f>
        <v>0</v>
      </c>
      <c r="V946" s="9">
        <f>ROUND(ROUND(P946, 2)/1.2, 2)</f>
        <v>648.4</v>
      </c>
      <c r="Y946" s="9">
        <f t="shared" si="39"/>
        <v>0</v>
      </c>
      <c r="AD946" s="4" t="s">
        <v>3047</v>
      </c>
      <c r="AE946" s="4" t="s">
        <v>3048</v>
      </c>
      <c r="AF946" s="4" t="s">
        <v>3049</v>
      </c>
    </row>
    <row r="947" spans="1:35" ht="36" x14ac:dyDescent="0.3">
      <c r="A947" s="10" t="s">
        <v>3050</v>
      </c>
      <c r="B947" s="10" t="s">
        <v>3035</v>
      </c>
      <c r="C947" s="14" t="s">
        <v>3036</v>
      </c>
      <c r="D947" s="15"/>
      <c r="E947" s="15"/>
      <c r="F947" s="15" t="s">
        <v>62</v>
      </c>
      <c r="G947" s="16">
        <v>1</v>
      </c>
      <c r="H947" s="16"/>
      <c r="I947" s="16">
        <v>0</v>
      </c>
      <c r="J947" s="17">
        <v>0</v>
      </c>
      <c r="K947" s="18">
        <v>963</v>
      </c>
      <c r="L947" s="17">
        <f>J947+ROUND(K947, 2)</f>
        <v>963</v>
      </c>
      <c r="M947" s="17">
        <v>0</v>
      </c>
      <c r="N947" s="17">
        <v>0</v>
      </c>
      <c r="O947" s="17">
        <f>M947+N947</f>
        <v>0</v>
      </c>
      <c r="P947" s="17">
        <v>855.89</v>
      </c>
      <c r="Q947" s="18">
        <v>963</v>
      </c>
      <c r="R947" s="17">
        <f>P947+ROUND(Q947, 2)</f>
        <v>1818.8899999999999</v>
      </c>
      <c r="S947" s="17">
        <v>0</v>
      </c>
      <c r="T947" s="17">
        <v>0</v>
      </c>
      <c r="U947" s="17">
        <f>S947+T947</f>
        <v>0</v>
      </c>
      <c r="V947" s="9">
        <f>ROUND(P947 / 1.2, 2)</f>
        <v>713.24</v>
      </c>
      <c r="W947" s="9">
        <f>ROUND(Q947 / 1.2, 2)</f>
        <v>802.5</v>
      </c>
      <c r="X947" s="9">
        <f>ROUND(R947 / 1.2, 2)</f>
        <v>1515.74</v>
      </c>
      <c r="Y947" s="9">
        <f t="shared" si="39"/>
        <v>0</v>
      </c>
      <c r="Z947" s="9">
        <f>ROUND(T947 / 1.2, 2)</f>
        <v>0</v>
      </c>
      <c r="AA947" s="9">
        <f>Y947+Z947</f>
        <v>0</v>
      </c>
      <c r="AD947" s="4">
        <v>334080785</v>
      </c>
      <c r="AE947" s="4">
        <v>27245623</v>
      </c>
      <c r="AG947" s="4" t="s">
        <v>3037</v>
      </c>
      <c r="AH947" s="4" t="s">
        <v>3038</v>
      </c>
      <c r="AI947" s="4" t="s">
        <v>250</v>
      </c>
    </row>
    <row r="948" spans="1:35" ht="18" x14ac:dyDescent="0.3">
      <c r="A948" s="10" t="s">
        <v>3051</v>
      </c>
      <c r="B948" s="10"/>
      <c r="C948" s="30" t="s">
        <v>3046</v>
      </c>
      <c r="D948" s="15"/>
      <c r="E948" s="15"/>
      <c r="F948" s="25" t="s">
        <v>62</v>
      </c>
      <c r="G948" s="26">
        <v>1.1000000000000001</v>
      </c>
      <c r="H948" s="31"/>
      <c r="I948" s="31">
        <v>0</v>
      </c>
      <c r="J948" s="27">
        <v>778.08</v>
      </c>
      <c r="M948" s="28">
        <f>ROUND(ROUND(J948, 2)*I948, 2)</f>
        <v>0</v>
      </c>
      <c r="P948" s="27">
        <v>778.08</v>
      </c>
      <c r="S948" s="28">
        <f>ROUND(ROUND(P948, 2)*I948, 2)</f>
        <v>0</v>
      </c>
      <c r="V948" s="9">
        <f>ROUND(ROUND(P948, 2)/1.2, 2)</f>
        <v>648.4</v>
      </c>
      <c r="Y948" s="9">
        <f t="shared" si="39"/>
        <v>0</v>
      </c>
      <c r="AD948" s="4" t="s">
        <v>3052</v>
      </c>
      <c r="AE948" s="4" t="s">
        <v>3053</v>
      </c>
      <c r="AF948" s="4" t="s">
        <v>3049</v>
      </c>
    </row>
    <row r="949" spans="1:35" ht="36" x14ac:dyDescent="0.3">
      <c r="A949" s="10" t="s">
        <v>3054</v>
      </c>
      <c r="B949" s="10" t="s">
        <v>3035</v>
      </c>
      <c r="C949" s="14" t="s">
        <v>3036</v>
      </c>
      <c r="D949" s="15"/>
      <c r="E949" s="15"/>
      <c r="F949" s="15" t="s">
        <v>62</v>
      </c>
      <c r="G949" s="16">
        <v>1</v>
      </c>
      <c r="H949" s="16"/>
      <c r="I949" s="16">
        <v>0</v>
      </c>
      <c r="J949" s="17">
        <v>0</v>
      </c>
      <c r="K949" s="18">
        <v>963</v>
      </c>
      <c r="L949" s="17">
        <f>J949+ROUND(K949, 2)</f>
        <v>963</v>
      </c>
      <c r="M949" s="17">
        <v>0</v>
      </c>
      <c r="N949" s="17">
        <v>0</v>
      </c>
      <c r="O949" s="17">
        <f>M949+N949</f>
        <v>0</v>
      </c>
      <c r="P949" s="17">
        <v>855</v>
      </c>
      <c r="Q949" s="18">
        <v>963</v>
      </c>
      <c r="R949" s="17">
        <f>P949+ROUND(Q949, 2)</f>
        <v>1818</v>
      </c>
      <c r="S949" s="17">
        <v>0</v>
      </c>
      <c r="T949" s="17">
        <v>0</v>
      </c>
      <c r="U949" s="17">
        <f>S949+T949</f>
        <v>0</v>
      </c>
      <c r="V949" s="9">
        <f>ROUND(P949 / 1.2, 2)</f>
        <v>712.5</v>
      </c>
      <c r="W949" s="9">
        <f>ROUND(Q949 / 1.2, 2)</f>
        <v>802.5</v>
      </c>
      <c r="X949" s="9">
        <f>ROUND(R949 / 1.2, 2)</f>
        <v>1515</v>
      </c>
      <c r="Y949" s="9">
        <f t="shared" si="39"/>
        <v>0</v>
      </c>
      <c r="Z949" s="9">
        <f>ROUND(T949 / 1.2, 2)</f>
        <v>0</v>
      </c>
      <c r="AA949" s="9">
        <f>Y949+Z949</f>
        <v>0</v>
      </c>
      <c r="AD949" s="4">
        <v>334080786</v>
      </c>
      <c r="AE949" s="4">
        <v>27245624</v>
      </c>
      <c r="AG949" s="4" t="s">
        <v>3037</v>
      </c>
      <c r="AH949" s="4" t="s">
        <v>3038</v>
      </c>
      <c r="AI949" s="4" t="s">
        <v>250</v>
      </c>
    </row>
    <row r="950" spans="1:35" ht="18" x14ac:dyDescent="0.3">
      <c r="A950" s="10" t="s">
        <v>3055</v>
      </c>
      <c r="B950" s="10"/>
      <c r="C950" s="24" t="s">
        <v>3056</v>
      </c>
      <c r="D950" s="15"/>
      <c r="E950" s="15"/>
      <c r="F950" s="25" t="s">
        <v>62</v>
      </c>
      <c r="G950" s="26">
        <v>1</v>
      </c>
      <c r="H950" s="31"/>
      <c r="I950" s="31">
        <v>0</v>
      </c>
      <c r="J950" s="27">
        <v>0</v>
      </c>
      <c r="M950" s="28">
        <f>ROUND(ROUND(J950, 2)*I950, 2)</f>
        <v>0</v>
      </c>
      <c r="P950" s="27">
        <v>855</v>
      </c>
      <c r="S950" s="28">
        <f>ROUND(ROUND(P950, 2)*I950, 2)</f>
        <v>0</v>
      </c>
      <c r="V950" s="9">
        <f>ROUND(ROUND(P950, 2)/1.2, 2)</f>
        <v>712.5</v>
      </c>
      <c r="Y950" s="9">
        <f t="shared" si="39"/>
        <v>0</v>
      </c>
      <c r="AD950" s="4" t="s">
        <v>3057</v>
      </c>
      <c r="AE950" s="4" t="s">
        <v>3058</v>
      </c>
      <c r="AF950" s="4" t="s">
        <v>3059</v>
      </c>
    </row>
    <row r="951" spans="1:35" ht="54" x14ac:dyDescent="0.3">
      <c r="A951" s="10" t="s">
        <v>3060</v>
      </c>
      <c r="B951" s="10" t="s">
        <v>3035</v>
      </c>
      <c r="C951" s="14" t="s">
        <v>3036</v>
      </c>
      <c r="D951" s="15"/>
      <c r="E951" s="15" t="s">
        <v>3061</v>
      </c>
      <c r="F951" s="15" t="s">
        <v>62</v>
      </c>
      <c r="G951" s="16">
        <v>1</v>
      </c>
      <c r="H951" s="16"/>
      <c r="I951" s="16">
        <v>716.1</v>
      </c>
      <c r="J951" s="17">
        <v>902.99</v>
      </c>
      <c r="K951" s="18">
        <v>963</v>
      </c>
      <c r="L951" s="17">
        <f>J951+ROUND(K951, 2)</f>
        <v>1865.99</v>
      </c>
      <c r="M951" s="17">
        <v>646631.14</v>
      </c>
      <c r="N951" s="17">
        <v>689604.3</v>
      </c>
      <c r="O951" s="17">
        <f>M951+N951</f>
        <v>1336235.44</v>
      </c>
      <c r="P951" s="17">
        <v>902.98</v>
      </c>
      <c r="Q951" s="18">
        <v>1444.5</v>
      </c>
      <c r="R951" s="17">
        <f>P951+ROUND(Q951, 2)</f>
        <v>2347.48</v>
      </c>
      <c r="S951" s="17">
        <v>646623.98</v>
      </c>
      <c r="T951" s="17">
        <v>1034406.45</v>
      </c>
      <c r="U951" s="17">
        <f>S951+T951</f>
        <v>1681030.43</v>
      </c>
      <c r="V951" s="9">
        <f>ROUND(P951 / 1.2, 2)</f>
        <v>752.48</v>
      </c>
      <c r="W951" s="9">
        <f>ROUND(Q951 / 1.2, 2)</f>
        <v>1203.75</v>
      </c>
      <c r="X951" s="9">
        <f>ROUND(R951 / 1.2, 2)</f>
        <v>1956.23</v>
      </c>
      <c r="Y951" s="9">
        <f t="shared" si="39"/>
        <v>538853.31999999995</v>
      </c>
      <c r="Z951" s="9">
        <f>ROUND(T951 / 1.2, 2)</f>
        <v>862005.38</v>
      </c>
      <c r="AA951" s="9">
        <f>Y951+Z951</f>
        <v>1400858.7</v>
      </c>
      <c r="AD951" s="4">
        <v>334080787</v>
      </c>
      <c r="AE951" s="4">
        <v>27245738</v>
      </c>
      <c r="AG951" s="4" t="s">
        <v>3037</v>
      </c>
      <c r="AH951" s="4" t="s">
        <v>3038</v>
      </c>
      <c r="AI951" s="4" t="s">
        <v>250</v>
      </c>
    </row>
    <row r="952" spans="1:35" ht="36" x14ac:dyDescent="0.3">
      <c r="A952" s="10" t="s">
        <v>3062</v>
      </c>
      <c r="B952" s="10"/>
      <c r="C952" s="30" t="s">
        <v>3040</v>
      </c>
      <c r="D952" s="15"/>
      <c r="E952" s="15"/>
      <c r="F952" s="25" t="s">
        <v>62</v>
      </c>
      <c r="G952" s="26">
        <v>1.1000000000000001</v>
      </c>
      <c r="H952" s="31"/>
      <c r="I952" s="31">
        <v>787.71</v>
      </c>
      <c r="J952" s="27">
        <v>820.9</v>
      </c>
      <c r="M952" s="28">
        <f>ROUND(ROUND(J952, 2)*I952, 2)</f>
        <v>646631.14</v>
      </c>
      <c r="P952" s="27">
        <v>820.89</v>
      </c>
      <c r="S952" s="28">
        <f>ROUND(ROUND(P952, 2)*I952, 2)</f>
        <v>646623.26</v>
      </c>
      <c r="V952" s="9">
        <f>ROUND(ROUND(P952, 2)/1.2, 2)</f>
        <v>684.08</v>
      </c>
      <c r="Y952" s="9">
        <f t="shared" si="39"/>
        <v>538852.72</v>
      </c>
      <c r="AD952" s="4" t="s">
        <v>3063</v>
      </c>
      <c r="AE952" s="4" t="s">
        <v>3064</v>
      </c>
      <c r="AF952" s="4" t="s">
        <v>3043</v>
      </c>
    </row>
    <row r="953" spans="1:35" ht="72" x14ac:dyDescent="0.3">
      <c r="A953" s="10" t="s">
        <v>3065</v>
      </c>
      <c r="B953" s="10" t="s">
        <v>3035</v>
      </c>
      <c r="C953" s="14" t="s">
        <v>3036</v>
      </c>
      <c r="D953" s="15"/>
      <c r="E953" s="15" t="s">
        <v>3066</v>
      </c>
      <c r="F953" s="15" t="s">
        <v>62</v>
      </c>
      <c r="G953" s="16">
        <v>1</v>
      </c>
      <c r="H953" s="16"/>
      <c r="I953" s="16">
        <v>1176</v>
      </c>
      <c r="J953" s="17">
        <v>855.89</v>
      </c>
      <c r="K953" s="18">
        <v>963</v>
      </c>
      <c r="L953" s="17">
        <f>J953+ROUND(K953, 2)</f>
        <v>1818.8899999999999</v>
      </c>
      <c r="M953" s="17">
        <v>1006526.64</v>
      </c>
      <c r="N953" s="17">
        <v>1132488</v>
      </c>
      <c r="O953" s="17">
        <f>M953+N953</f>
        <v>2139014.64</v>
      </c>
      <c r="P953" s="17">
        <v>855.89</v>
      </c>
      <c r="Q953" s="18">
        <v>1444.5</v>
      </c>
      <c r="R953" s="17">
        <f>P953+ROUND(Q953, 2)</f>
        <v>2300.39</v>
      </c>
      <c r="S953" s="17">
        <v>1006526.64</v>
      </c>
      <c r="T953" s="17">
        <v>1698732</v>
      </c>
      <c r="U953" s="17">
        <f>S953+T953</f>
        <v>2705258.64</v>
      </c>
      <c r="V953" s="9">
        <f>ROUND(P953 / 1.2, 2)</f>
        <v>713.24</v>
      </c>
      <c r="W953" s="9">
        <f>ROUND(Q953 / 1.2, 2)</f>
        <v>1203.75</v>
      </c>
      <c r="X953" s="9">
        <f>ROUND(R953 / 1.2, 2)</f>
        <v>1916.99</v>
      </c>
      <c r="Y953" s="9">
        <f t="shared" si="39"/>
        <v>838772.2</v>
      </c>
      <c r="Z953" s="9">
        <f>ROUND(T953 / 1.2, 2)</f>
        <v>1415610</v>
      </c>
      <c r="AA953" s="9">
        <f>Y953+Z953</f>
        <v>2254382.2000000002</v>
      </c>
      <c r="AD953" s="4">
        <v>334080788</v>
      </c>
      <c r="AE953" s="4">
        <v>27245739</v>
      </c>
      <c r="AG953" s="4" t="s">
        <v>3037</v>
      </c>
      <c r="AH953" s="4" t="s">
        <v>3038</v>
      </c>
      <c r="AI953" s="4" t="s">
        <v>250</v>
      </c>
    </row>
    <row r="954" spans="1:35" ht="18" x14ac:dyDescent="0.3">
      <c r="A954" s="10" t="s">
        <v>3067</v>
      </c>
      <c r="B954" s="10"/>
      <c r="C954" s="30" t="s">
        <v>3046</v>
      </c>
      <c r="D954" s="15"/>
      <c r="E954" s="15"/>
      <c r="F954" s="25" t="s">
        <v>62</v>
      </c>
      <c r="G954" s="26">
        <v>1.1000000000000001</v>
      </c>
      <c r="H954" s="31"/>
      <c r="I954" s="31">
        <v>1293.5999999999999</v>
      </c>
      <c r="J954" s="27">
        <v>778.08</v>
      </c>
      <c r="M954" s="28">
        <f>ROUND(ROUND(J954, 2)*I954, 2)</f>
        <v>1006524.29</v>
      </c>
      <c r="P954" s="27">
        <v>778.08</v>
      </c>
      <c r="S954" s="28">
        <f>ROUND(ROUND(P954, 2)*I954, 2)</f>
        <v>1006524.29</v>
      </c>
      <c r="V954" s="9">
        <f>ROUND(ROUND(P954, 2)/1.2, 2)</f>
        <v>648.4</v>
      </c>
      <c r="Y954" s="9">
        <f t="shared" si="39"/>
        <v>838770.24</v>
      </c>
      <c r="AD954" s="4" t="s">
        <v>3068</v>
      </c>
      <c r="AE954" s="4" t="s">
        <v>3069</v>
      </c>
      <c r="AF954" s="4" t="s">
        <v>3049</v>
      </c>
    </row>
    <row r="955" spans="1:35" ht="90" x14ac:dyDescent="0.3">
      <c r="A955" s="10" t="s">
        <v>3070</v>
      </c>
      <c r="B955" s="10" t="s">
        <v>3035</v>
      </c>
      <c r="C955" s="14" t="s">
        <v>3036</v>
      </c>
      <c r="D955" s="15"/>
      <c r="E955" s="15" t="s">
        <v>3071</v>
      </c>
      <c r="F955" s="15" t="s">
        <v>62</v>
      </c>
      <c r="G955" s="16">
        <v>1</v>
      </c>
      <c r="H955" s="16"/>
      <c r="I955" s="16">
        <v>21.5</v>
      </c>
      <c r="J955" s="17">
        <v>855.89</v>
      </c>
      <c r="K955" s="18">
        <v>963</v>
      </c>
      <c r="L955" s="17">
        <f>J955+ROUND(K955, 2)</f>
        <v>1818.8899999999999</v>
      </c>
      <c r="M955" s="17">
        <v>18401.64</v>
      </c>
      <c r="N955" s="17">
        <v>20704.5</v>
      </c>
      <c r="O955" s="17">
        <f>M955+N955</f>
        <v>39106.14</v>
      </c>
      <c r="P955" s="17">
        <v>855.89</v>
      </c>
      <c r="Q955" s="18">
        <v>1444.5</v>
      </c>
      <c r="R955" s="17">
        <f>P955+ROUND(Q955, 2)</f>
        <v>2300.39</v>
      </c>
      <c r="S955" s="17">
        <v>18401.64</v>
      </c>
      <c r="T955" s="17">
        <v>31056.75</v>
      </c>
      <c r="U955" s="17">
        <f>S955+T955</f>
        <v>49458.39</v>
      </c>
      <c r="V955" s="9">
        <f>ROUND(P955 / 1.2, 2)</f>
        <v>713.24</v>
      </c>
      <c r="W955" s="9">
        <f>ROUND(Q955 / 1.2, 2)</f>
        <v>1203.75</v>
      </c>
      <c r="X955" s="9">
        <f>ROUND(R955 / 1.2, 2)</f>
        <v>1916.99</v>
      </c>
      <c r="Y955" s="9">
        <f t="shared" si="39"/>
        <v>15334.7</v>
      </c>
      <c r="Z955" s="9">
        <f>ROUND(T955 / 1.2, 2)</f>
        <v>25880.63</v>
      </c>
      <c r="AA955" s="9">
        <f>Y955+Z955</f>
        <v>41215.33</v>
      </c>
      <c r="AD955" s="4">
        <v>334080789</v>
      </c>
      <c r="AE955" s="4">
        <v>27245734</v>
      </c>
      <c r="AG955" s="4" t="s">
        <v>3037</v>
      </c>
      <c r="AH955" s="4" t="s">
        <v>3038</v>
      </c>
      <c r="AI955" s="4" t="s">
        <v>250</v>
      </c>
    </row>
    <row r="956" spans="1:35" ht="18" x14ac:dyDescent="0.3">
      <c r="A956" s="10" t="s">
        <v>3072</v>
      </c>
      <c r="B956" s="10"/>
      <c r="C956" s="30" t="s">
        <v>3046</v>
      </c>
      <c r="D956" s="15"/>
      <c r="E956" s="15"/>
      <c r="F956" s="25" t="s">
        <v>62</v>
      </c>
      <c r="G956" s="26">
        <v>1.1000000000000001</v>
      </c>
      <c r="H956" s="31"/>
      <c r="I956" s="31">
        <v>23.65</v>
      </c>
      <c r="J956" s="27">
        <v>778.08</v>
      </c>
      <c r="M956" s="28">
        <f>ROUND(ROUND(J956, 2)*I956, 2)</f>
        <v>18401.59</v>
      </c>
      <c r="P956" s="27">
        <v>778.08</v>
      </c>
      <c r="S956" s="28">
        <f>ROUND(ROUND(P956, 2)*I956, 2)</f>
        <v>18401.59</v>
      </c>
      <c r="V956" s="9">
        <f>ROUND(ROUND(P956, 2)/1.2, 2)</f>
        <v>648.4</v>
      </c>
      <c r="Y956" s="9">
        <f t="shared" si="39"/>
        <v>15334.66</v>
      </c>
      <c r="AD956" s="4" t="s">
        <v>3073</v>
      </c>
      <c r="AE956" s="4" t="s">
        <v>3074</v>
      </c>
      <c r="AF956" s="4" t="s">
        <v>3049</v>
      </c>
    </row>
    <row r="957" spans="1:35" ht="198" x14ac:dyDescent="0.3">
      <c r="A957" s="10" t="s">
        <v>3075</v>
      </c>
      <c r="B957" s="10" t="s">
        <v>3035</v>
      </c>
      <c r="C957" s="14" t="s">
        <v>3036</v>
      </c>
      <c r="D957" s="15"/>
      <c r="E957" s="15" t="s">
        <v>3076</v>
      </c>
      <c r="F957" s="15" t="s">
        <v>62</v>
      </c>
      <c r="G957" s="16">
        <v>1</v>
      </c>
      <c r="H957" s="16"/>
      <c r="I957" s="16">
        <v>63.6</v>
      </c>
      <c r="J957" s="17">
        <v>0</v>
      </c>
      <c r="K957" s="18">
        <v>963</v>
      </c>
      <c r="L957" s="17">
        <f>J957+ROUND(K957, 2)</f>
        <v>963</v>
      </c>
      <c r="M957" s="17">
        <v>0</v>
      </c>
      <c r="N957" s="17">
        <v>61246.8</v>
      </c>
      <c r="O957" s="17">
        <f>M957+N957</f>
        <v>61246.8</v>
      </c>
      <c r="P957" s="17">
        <v>855</v>
      </c>
      <c r="Q957" s="18">
        <v>1444.5</v>
      </c>
      <c r="R957" s="17">
        <f>P957+ROUND(Q957, 2)</f>
        <v>2299.5</v>
      </c>
      <c r="S957" s="17">
        <v>54378</v>
      </c>
      <c r="T957" s="17">
        <v>91870.2</v>
      </c>
      <c r="U957" s="17">
        <f>S957+T957</f>
        <v>146248.20000000001</v>
      </c>
      <c r="V957" s="9">
        <f>ROUND(P957 / 1.2, 2)</f>
        <v>712.5</v>
      </c>
      <c r="W957" s="9">
        <f>ROUND(Q957 / 1.2, 2)</f>
        <v>1203.75</v>
      </c>
      <c r="X957" s="9">
        <f>ROUND(R957 / 1.2, 2)</f>
        <v>1916.25</v>
      </c>
      <c r="Y957" s="9">
        <f t="shared" si="39"/>
        <v>45315</v>
      </c>
      <c r="Z957" s="9">
        <f>ROUND(T957 / 1.2, 2)</f>
        <v>76558.5</v>
      </c>
      <c r="AA957" s="9">
        <f>Y957+Z957</f>
        <v>121873.5</v>
      </c>
      <c r="AD957" s="4">
        <v>334080790</v>
      </c>
      <c r="AE957" s="4">
        <v>27245730</v>
      </c>
      <c r="AG957" s="4" t="s">
        <v>3037</v>
      </c>
      <c r="AH957" s="4" t="s">
        <v>3038</v>
      </c>
      <c r="AI957" s="4" t="s">
        <v>250</v>
      </c>
    </row>
    <row r="958" spans="1:35" ht="18" x14ac:dyDescent="0.3">
      <c r="A958" s="10" t="s">
        <v>3077</v>
      </c>
      <c r="B958" s="10"/>
      <c r="C958" s="24" t="s">
        <v>3056</v>
      </c>
      <c r="D958" s="15"/>
      <c r="E958" s="15"/>
      <c r="F958" s="25" t="s">
        <v>62</v>
      </c>
      <c r="G958" s="26">
        <v>1</v>
      </c>
      <c r="H958" s="31"/>
      <c r="I958" s="31">
        <v>63.6</v>
      </c>
      <c r="J958" s="27">
        <v>0</v>
      </c>
      <c r="M958" s="28">
        <f>ROUND(ROUND(J958, 2)*I958, 2)</f>
        <v>0</v>
      </c>
      <c r="P958" s="27">
        <v>855</v>
      </c>
      <c r="S958" s="28">
        <f>ROUND(ROUND(P958, 2)*I958, 2)</f>
        <v>54378</v>
      </c>
      <c r="V958" s="9">
        <f>ROUND(ROUND(P958, 2)/1.2, 2)</f>
        <v>712.5</v>
      </c>
      <c r="Y958" s="9">
        <f t="shared" si="39"/>
        <v>45315</v>
      </c>
      <c r="AD958" s="4" t="s">
        <v>3078</v>
      </c>
      <c r="AE958" s="4" t="s">
        <v>3079</v>
      </c>
      <c r="AF958" s="4" t="s">
        <v>3059</v>
      </c>
    </row>
    <row r="959" spans="1:35" ht="144" x14ac:dyDescent="0.3">
      <c r="A959" s="10" t="s">
        <v>3080</v>
      </c>
      <c r="B959" s="10" t="s">
        <v>3035</v>
      </c>
      <c r="C959" s="14" t="s">
        <v>3036</v>
      </c>
      <c r="D959" s="15"/>
      <c r="E959" s="15" t="s">
        <v>3081</v>
      </c>
      <c r="F959" s="15" t="s">
        <v>62</v>
      </c>
      <c r="G959" s="16">
        <v>1</v>
      </c>
      <c r="H959" s="16"/>
      <c r="I959" s="16">
        <v>709.67</v>
      </c>
      <c r="J959" s="17">
        <f>IFERROR(ROUND(SUM(M960)/I959, 2),0)</f>
        <v>936.4</v>
      </c>
      <c r="K959" s="18">
        <v>962.99</v>
      </c>
      <c r="L959" s="17">
        <f>J959+ROUND(K959, 2)</f>
        <v>1899.3899999999999</v>
      </c>
      <c r="M959" s="17">
        <f>ROUND(J959*I959, 2)</f>
        <v>664534.99</v>
      </c>
      <c r="N959" s="17">
        <f>ROUND(I959*ROUND(K959, 2), 2)</f>
        <v>683405.11</v>
      </c>
      <c r="O959" s="17">
        <f>M959+N959</f>
        <v>1347940.1</v>
      </c>
      <c r="P959" s="17">
        <f>IFERROR(ROUND(SUM(S960)/I959, 2),0)</f>
        <v>1700.85</v>
      </c>
      <c r="Q959" s="19">
        <v>1444.5</v>
      </c>
      <c r="R959" s="17">
        <f>P959+ROUND(Q959, 2)</f>
        <v>3145.35</v>
      </c>
      <c r="S959" s="17">
        <f>ROUND(P959*I959, 2)</f>
        <v>1207042.22</v>
      </c>
      <c r="T959" s="17">
        <f>ROUND(I959*ROUND(Q959, 2), 2)</f>
        <v>1025118.32</v>
      </c>
      <c r="U959" s="17">
        <f>S959+T959</f>
        <v>2232160.54</v>
      </c>
      <c r="V959" s="9">
        <f>ROUND(P959 / 1.2, 2)</f>
        <v>1417.38</v>
      </c>
      <c r="W959" s="9">
        <f>ROUND(Q959 / 1.2, 2)</f>
        <v>1203.75</v>
      </c>
      <c r="X959" s="9">
        <f>ROUND(R959 / 1.2, 2)</f>
        <v>2621.13</v>
      </c>
      <c r="Y959" s="9">
        <f t="shared" si="39"/>
        <v>1005868.52</v>
      </c>
      <c r="Z959" s="9">
        <f>ROUND(T959 / 1.2, 2)</f>
        <v>854265.27</v>
      </c>
      <c r="AA959" s="9">
        <f>Y959+Z959</f>
        <v>1860133.79</v>
      </c>
      <c r="AD959" s="4">
        <v>334080791</v>
      </c>
      <c r="AE959" s="4">
        <v>29442622</v>
      </c>
      <c r="AG959" s="4" t="s">
        <v>3037</v>
      </c>
      <c r="AH959" s="4" t="s">
        <v>3038</v>
      </c>
      <c r="AI959" s="4" t="s">
        <v>250</v>
      </c>
    </row>
    <row r="960" spans="1:35" ht="36" x14ac:dyDescent="0.3">
      <c r="A960" s="10" t="s">
        <v>3082</v>
      </c>
      <c r="B960" s="10"/>
      <c r="C960" s="30" t="s">
        <v>3040</v>
      </c>
      <c r="D960" s="15"/>
      <c r="E960" s="15"/>
      <c r="F960" s="25" t="s">
        <v>62</v>
      </c>
      <c r="G960" s="26">
        <v>1.1000000000000001</v>
      </c>
      <c r="H960" s="31"/>
      <c r="I960" s="31">
        <v>780.63699999999994</v>
      </c>
      <c r="J960" s="27">
        <v>851.27</v>
      </c>
      <c r="M960" s="28">
        <f>ROUND(ROUND(J960, 2)*I960, 2)</f>
        <v>664532.86</v>
      </c>
      <c r="P960" s="29">
        <v>1546.23</v>
      </c>
      <c r="S960" s="28">
        <f>ROUND(ROUND(P960, 2)*I960, 2)</f>
        <v>1207044.3500000001</v>
      </c>
      <c r="V960" s="9">
        <f>ROUND(ROUND(P960, 2)/1.2, 2)</f>
        <v>1288.53</v>
      </c>
      <c r="Y960" s="9">
        <f t="shared" si="39"/>
        <v>1005870.29</v>
      </c>
      <c r="AD960" s="4" t="s">
        <v>3083</v>
      </c>
      <c r="AE960" s="4" t="s">
        <v>3084</v>
      </c>
      <c r="AF960" s="4" t="s">
        <v>3043</v>
      </c>
    </row>
    <row r="961" spans="1:35" ht="144" x14ac:dyDescent="0.3">
      <c r="A961" s="10" t="s">
        <v>3085</v>
      </c>
      <c r="B961" s="10" t="s">
        <v>3035</v>
      </c>
      <c r="C961" s="14" t="s">
        <v>3036</v>
      </c>
      <c r="D961" s="15"/>
      <c r="E961" s="15" t="s">
        <v>3086</v>
      </c>
      <c r="F961" s="15" t="s">
        <v>62</v>
      </c>
      <c r="G961" s="16">
        <v>1</v>
      </c>
      <c r="H961" s="16"/>
      <c r="I961" s="16">
        <v>1323.8</v>
      </c>
      <c r="J961" s="17">
        <f>IFERROR(ROUND(SUM(M962)/I961, 2),0)</f>
        <v>887.56</v>
      </c>
      <c r="K961" s="18">
        <v>962.99</v>
      </c>
      <c r="L961" s="17">
        <f>J961+ROUND(K961, 2)</f>
        <v>1850.55</v>
      </c>
      <c r="M961" s="17">
        <f>ROUND(J961*I961, 2)</f>
        <v>1174951.93</v>
      </c>
      <c r="N961" s="17">
        <f>ROUND(I961*ROUND(K961, 2), 2)</f>
        <v>1274806.1599999999</v>
      </c>
      <c r="O961" s="17">
        <f>M961+N961</f>
        <v>2449758.09</v>
      </c>
      <c r="P961" s="17">
        <f>IFERROR(ROUND(SUM(S962)/I961, 2),0)</f>
        <v>1441.61</v>
      </c>
      <c r="Q961" s="19">
        <v>1444.5</v>
      </c>
      <c r="R961" s="17">
        <f>P961+ROUND(Q961, 2)</f>
        <v>2886.1099999999997</v>
      </c>
      <c r="S961" s="17">
        <f>ROUND(P961*I961, 2)</f>
        <v>1908403.32</v>
      </c>
      <c r="T961" s="17">
        <f>ROUND(I961*ROUND(Q961, 2), 2)</f>
        <v>1912229.1</v>
      </c>
      <c r="U961" s="17">
        <f>S961+T961</f>
        <v>3820632.42</v>
      </c>
      <c r="V961" s="9">
        <f>ROUND(P961 / 1.2, 2)</f>
        <v>1201.3399999999999</v>
      </c>
      <c r="W961" s="9">
        <f>ROUND(Q961 / 1.2, 2)</f>
        <v>1203.75</v>
      </c>
      <c r="X961" s="9">
        <f>ROUND(R961 / 1.2, 2)</f>
        <v>2405.09</v>
      </c>
      <c r="Y961" s="9">
        <f t="shared" si="39"/>
        <v>1590336.1</v>
      </c>
      <c r="Z961" s="9">
        <f>ROUND(T961 / 1.2, 2)</f>
        <v>1593524.25</v>
      </c>
      <c r="AA961" s="9">
        <f>Y961+Z961</f>
        <v>3183860.35</v>
      </c>
      <c r="AD961" s="4">
        <v>334080792</v>
      </c>
      <c r="AE961" s="4">
        <v>29442623</v>
      </c>
      <c r="AG961" s="4" t="s">
        <v>3037</v>
      </c>
      <c r="AH961" s="4" t="s">
        <v>3038</v>
      </c>
      <c r="AI961" s="4" t="s">
        <v>250</v>
      </c>
    </row>
    <row r="962" spans="1:35" ht="72" x14ac:dyDescent="0.3">
      <c r="A962" s="10" t="s">
        <v>3087</v>
      </c>
      <c r="B962" s="10"/>
      <c r="C962" s="30" t="s">
        <v>3046</v>
      </c>
      <c r="D962" s="15"/>
      <c r="E962" s="15" t="s">
        <v>3088</v>
      </c>
      <c r="F962" s="25" t="s">
        <v>62</v>
      </c>
      <c r="G962" s="26">
        <v>1.1000000000000001</v>
      </c>
      <c r="H962" s="31"/>
      <c r="I962" s="31">
        <v>1456.18</v>
      </c>
      <c r="J962" s="27">
        <v>806.87</v>
      </c>
      <c r="M962" s="28">
        <f>ROUND(ROUND(J962, 2)*I962, 2)</f>
        <v>1174947.96</v>
      </c>
      <c r="P962" s="29">
        <v>1310.55</v>
      </c>
      <c r="S962" s="28">
        <f>ROUND(ROUND(P962, 2)*I962, 2)</f>
        <v>1908396.7</v>
      </c>
      <c r="V962" s="9">
        <f>ROUND(ROUND(P962, 2)/1.2, 2)</f>
        <v>1092.1300000000001</v>
      </c>
      <c r="Y962" s="9">
        <f t="shared" si="39"/>
        <v>1590330.58</v>
      </c>
      <c r="AD962" s="4" t="s">
        <v>3089</v>
      </c>
      <c r="AE962" s="4" t="s">
        <v>3090</v>
      </c>
      <c r="AF962" s="4" t="s">
        <v>3049</v>
      </c>
    </row>
    <row r="963" spans="1:35" ht="16.95" customHeight="1" x14ac:dyDescent="0.3">
      <c r="A963" s="10" t="s">
        <v>3091</v>
      </c>
      <c r="B963" s="10" t="s">
        <v>3092</v>
      </c>
      <c r="C963" s="91" t="s">
        <v>3093</v>
      </c>
      <c r="D963" s="92"/>
      <c r="E963" s="92"/>
      <c r="F963" s="92"/>
      <c r="G963" s="92"/>
      <c r="H963" s="92"/>
      <c r="I963" s="93"/>
      <c r="M963" s="6">
        <f>SUM(M964,M966)</f>
        <v>1242163</v>
      </c>
      <c r="N963" s="6">
        <f>SUM(N964,N966)</f>
        <v>183600.54</v>
      </c>
      <c r="O963" s="6">
        <f>SUM(O964,O966)</f>
        <v>1425763.54</v>
      </c>
      <c r="S963" s="6">
        <f>SUM(S964,S966)</f>
        <v>1617000</v>
      </c>
      <c r="T963" s="6">
        <f>SUM(T964,T966)</f>
        <v>275400.53999999998</v>
      </c>
      <c r="U963" s="6">
        <f>SUM(U964,U966)</f>
        <v>1892400.54</v>
      </c>
      <c r="Y963" s="9">
        <f>SUM(Y964,Y966)</f>
        <v>1347500</v>
      </c>
      <c r="Z963" s="9">
        <f>SUM(Z964,Z966)</f>
        <v>229500.45</v>
      </c>
      <c r="AA963" s="9">
        <f>SUM(AA964,AA966)</f>
        <v>1577000.4500000002</v>
      </c>
      <c r="AD963" s="4">
        <v>334080572</v>
      </c>
      <c r="AE963" s="4">
        <v>29448371</v>
      </c>
    </row>
    <row r="964" spans="1:35" ht="108" x14ac:dyDescent="0.3">
      <c r="A964" s="10" t="s">
        <v>3094</v>
      </c>
      <c r="B964" s="10" t="s">
        <v>3095</v>
      </c>
      <c r="C964" s="14" t="s">
        <v>3096</v>
      </c>
      <c r="D964" s="15"/>
      <c r="E964" s="15" t="s">
        <v>3097</v>
      </c>
      <c r="F964" s="15" t="s">
        <v>597</v>
      </c>
      <c r="G964" s="16">
        <v>1</v>
      </c>
      <c r="H964" s="16"/>
      <c r="I964" s="16">
        <v>10</v>
      </c>
      <c r="J964" s="17">
        <f>IFERROR(ROUND(SUM(M965)/I964, 2),0)</f>
        <v>22851.3</v>
      </c>
      <c r="K964" s="18">
        <v>3400.01</v>
      </c>
      <c r="L964" s="17">
        <f>J964+ROUND(K964, 2)</f>
        <v>26251.309999999998</v>
      </c>
      <c r="M964" s="17">
        <f>ROUND(J964*I964, 2)</f>
        <v>228513</v>
      </c>
      <c r="N964" s="17">
        <f>ROUND(I964*ROUND(K964, 2), 2)</f>
        <v>34000.1</v>
      </c>
      <c r="O964" s="17">
        <f>M964+N964</f>
        <v>262513.09999999998</v>
      </c>
      <c r="P964" s="17">
        <f>IFERROR(ROUND(SUM(S965)/I964, 2),0)</f>
        <v>31570</v>
      </c>
      <c r="Q964" s="19">
        <v>5100.01</v>
      </c>
      <c r="R964" s="17">
        <f>P964+ROUND(Q964, 2)</f>
        <v>36670.01</v>
      </c>
      <c r="S964" s="17">
        <f>ROUND(P964*I964, 2)</f>
        <v>315700</v>
      </c>
      <c r="T964" s="17">
        <f>ROUND(I964*ROUND(Q964, 2), 2)</f>
        <v>51000.1</v>
      </c>
      <c r="U964" s="17">
        <f>S964+T964</f>
        <v>366700.1</v>
      </c>
      <c r="V964" s="9">
        <f>ROUND(P964 / 1.2, 2)</f>
        <v>26308.33</v>
      </c>
      <c r="W964" s="9">
        <f>ROUND(Q964 / 1.2, 2)</f>
        <v>4250.01</v>
      </c>
      <c r="X964" s="9">
        <f>ROUND(R964 / 1.2, 2)</f>
        <v>30558.34</v>
      </c>
      <c r="Y964" s="9">
        <f>ROUND(S964 / 1.2, 2)</f>
        <v>263083.33</v>
      </c>
      <c r="Z964" s="9">
        <f>ROUND(T964 / 1.2, 2)</f>
        <v>42500.08</v>
      </c>
      <c r="AA964" s="9">
        <f>Y964+Z964</f>
        <v>305583.41000000003</v>
      </c>
      <c r="AD964" s="4">
        <v>334080574</v>
      </c>
      <c r="AE964" s="4">
        <v>29448379</v>
      </c>
      <c r="AG964" s="4" t="s">
        <v>3098</v>
      </c>
      <c r="AH964" s="4" t="s">
        <v>3099</v>
      </c>
      <c r="AI964" s="4" t="s">
        <v>250</v>
      </c>
    </row>
    <row r="965" spans="1:35" ht="36" x14ac:dyDescent="0.3">
      <c r="A965" s="10" t="s">
        <v>3100</v>
      </c>
      <c r="B965" s="10"/>
      <c r="C965" s="24" t="s">
        <v>3101</v>
      </c>
      <c r="D965" s="15"/>
      <c r="E965" s="15" t="s">
        <v>3102</v>
      </c>
      <c r="F965" s="25" t="s">
        <v>597</v>
      </c>
      <c r="G965" s="26">
        <v>1</v>
      </c>
      <c r="H965" s="31"/>
      <c r="I965" s="31">
        <v>10</v>
      </c>
      <c r="J965" s="27">
        <v>22851.3</v>
      </c>
      <c r="M965" s="28">
        <f>ROUND(ROUND(J965, 2)*I965, 2)</f>
        <v>228513</v>
      </c>
      <c r="P965" s="29">
        <v>31570</v>
      </c>
      <c r="S965" s="28">
        <f>ROUND(ROUND(P965, 2)*I965, 2)</f>
        <v>315700</v>
      </c>
      <c r="V965" s="9">
        <f>ROUND(ROUND(P965, 2)/1.2, 2)</f>
        <v>26308.33</v>
      </c>
      <c r="Y965" s="9">
        <f>ROUND(S965 / 1.2, 2)</f>
        <v>263083.33</v>
      </c>
      <c r="AD965" s="4" t="s">
        <v>3103</v>
      </c>
      <c r="AE965" s="4" t="s">
        <v>3104</v>
      </c>
      <c r="AF965" s="4" t="s">
        <v>3105</v>
      </c>
    </row>
    <row r="966" spans="1:35" ht="108" x14ac:dyDescent="0.3">
      <c r="A966" s="10" t="s">
        <v>3106</v>
      </c>
      <c r="B966" s="10" t="s">
        <v>3095</v>
      </c>
      <c r="C966" s="14" t="s">
        <v>3096</v>
      </c>
      <c r="D966" s="15"/>
      <c r="E966" s="15" t="s">
        <v>3107</v>
      </c>
      <c r="F966" s="15" t="s">
        <v>597</v>
      </c>
      <c r="G966" s="16">
        <v>1</v>
      </c>
      <c r="H966" s="16"/>
      <c r="I966" s="16">
        <v>44</v>
      </c>
      <c r="J966" s="17">
        <f>IFERROR(ROUND(SUM(M967)/I966, 2),0)</f>
        <v>23037.5</v>
      </c>
      <c r="K966" s="18">
        <v>3400.01</v>
      </c>
      <c r="L966" s="17">
        <f>J966+ROUND(K966, 2)</f>
        <v>26437.510000000002</v>
      </c>
      <c r="M966" s="17">
        <f>ROUND(J966*I966, 2)</f>
        <v>1013650</v>
      </c>
      <c r="N966" s="17">
        <f>ROUND(I966*ROUND(K966, 2), 2)</f>
        <v>149600.44</v>
      </c>
      <c r="O966" s="17">
        <f>M966+N966</f>
        <v>1163250.44</v>
      </c>
      <c r="P966" s="17">
        <f>IFERROR(ROUND(SUM(S967)/I966, 2),0)</f>
        <v>29575</v>
      </c>
      <c r="Q966" s="19">
        <v>5100.01</v>
      </c>
      <c r="R966" s="17">
        <f>P966+ROUND(Q966, 2)</f>
        <v>34675.01</v>
      </c>
      <c r="S966" s="17">
        <f>ROUND(P966*I966, 2)</f>
        <v>1301300</v>
      </c>
      <c r="T966" s="17">
        <f>ROUND(I966*ROUND(Q966, 2), 2)</f>
        <v>224400.44</v>
      </c>
      <c r="U966" s="17">
        <f>S966+T966</f>
        <v>1525700.44</v>
      </c>
      <c r="V966" s="9">
        <f>ROUND(P966 / 1.2, 2)</f>
        <v>24645.83</v>
      </c>
      <c r="W966" s="9">
        <f>ROUND(Q966 / 1.2, 2)</f>
        <v>4250.01</v>
      </c>
      <c r="X966" s="9">
        <f>ROUND(R966 / 1.2, 2)</f>
        <v>28895.84</v>
      </c>
      <c r="Y966" s="9">
        <f>ROUND(S966 / 1.2, 2)</f>
        <v>1084416.67</v>
      </c>
      <c r="Z966" s="9">
        <f>ROUND(T966 / 1.2, 2)</f>
        <v>187000.37</v>
      </c>
      <c r="AA966" s="9">
        <f>Y966+Z966</f>
        <v>1271417.04</v>
      </c>
      <c r="AD966" s="4">
        <v>334080798</v>
      </c>
      <c r="AE966" s="4">
        <v>29448378</v>
      </c>
      <c r="AG966" s="4" t="s">
        <v>3098</v>
      </c>
      <c r="AH966" s="4" t="s">
        <v>3099</v>
      </c>
      <c r="AI966" s="4" t="s">
        <v>250</v>
      </c>
    </row>
    <row r="967" spans="1:35" ht="36" x14ac:dyDescent="0.3">
      <c r="A967" s="10" t="s">
        <v>3108</v>
      </c>
      <c r="B967" s="10"/>
      <c r="C967" s="30" t="s">
        <v>3109</v>
      </c>
      <c r="D967" s="15"/>
      <c r="E967" s="15" t="s">
        <v>3110</v>
      </c>
      <c r="F967" s="25" t="s">
        <v>597</v>
      </c>
      <c r="G967" s="26">
        <v>1</v>
      </c>
      <c r="H967" s="31"/>
      <c r="I967" s="31">
        <v>44</v>
      </c>
      <c r="J967" s="27">
        <v>23037.5</v>
      </c>
      <c r="M967" s="28">
        <f>ROUND(ROUND(J967, 2)*I967, 2)</f>
        <v>1013650</v>
      </c>
      <c r="P967" s="29">
        <v>29575</v>
      </c>
      <c r="S967" s="28">
        <f>ROUND(ROUND(P967, 2)*I967, 2)</f>
        <v>1301300</v>
      </c>
      <c r="V967" s="9">
        <f>ROUND(ROUND(P967, 2)/1.2, 2)</f>
        <v>24645.83</v>
      </c>
      <c r="Y967" s="9">
        <f>ROUND(S967 / 1.2, 2)</f>
        <v>1084416.67</v>
      </c>
      <c r="AD967" s="4" t="s">
        <v>3111</v>
      </c>
      <c r="AE967" s="4" t="s">
        <v>3112</v>
      </c>
      <c r="AF967" s="4" t="s">
        <v>3113</v>
      </c>
    </row>
    <row r="968" spans="1:35" ht="16.95" customHeight="1" x14ac:dyDescent="0.3">
      <c r="A968" s="10" t="s">
        <v>3114</v>
      </c>
      <c r="B968" s="10" t="s">
        <v>3115</v>
      </c>
      <c r="C968" s="91" t="s">
        <v>3116</v>
      </c>
      <c r="D968" s="92"/>
      <c r="E968" s="92"/>
      <c r="F968" s="92"/>
      <c r="G968" s="92"/>
      <c r="H968" s="92"/>
      <c r="I968" s="93"/>
      <c r="M968" s="6">
        <f>SUM(M969)</f>
        <v>0</v>
      </c>
      <c r="N968" s="6">
        <f>SUM(N969)</f>
        <v>1298932.8</v>
      </c>
      <c r="O968" s="6">
        <f>SUM(O969)</f>
        <v>1298932.8</v>
      </c>
      <c r="S968" s="6">
        <f>SUM(S969)</f>
        <v>0</v>
      </c>
      <c r="T968" s="6">
        <f>SUM(T969)</f>
        <v>1948399.2</v>
      </c>
      <c r="U968" s="6">
        <f>SUM(U969)</f>
        <v>1948399.2</v>
      </c>
      <c r="Y968" s="9">
        <f>SUM(Y969)</f>
        <v>0</v>
      </c>
      <c r="Z968" s="9">
        <f>SUM(Z969)</f>
        <v>1623666</v>
      </c>
      <c r="AA968" s="9">
        <f>SUM(AA969)</f>
        <v>1623666</v>
      </c>
      <c r="AD968" s="4">
        <v>334080575</v>
      </c>
      <c r="AE968" s="4">
        <v>29299399</v>
      </c>
    </row>
    <row r="969" spans="1:35" ht="126" x14ac:dyDescent="0.3">
      <c r="A969" s="10" t="s">
        <v>3117</v>
      </c>
      <c r="B969" s="10" t="s">
        <v>3118</v>
      </c>
      <c r="C969" s="14" t="s">
        <v>3119</v>
      </c>
      <c r="D969" s="15"/>
      <c r="E969" s="15" t="s">
        <v>3120</v>
      </c>
      <c r="F969" s="15" t="s">
        <v>62</v>
      </c>
      <c r="G969" s="16">
        <v>1</v>
      </c>
      <c r="H969" s="16"/>
      <c r="I969" s="16">
        <v>9840.4</v>
      </c>
      <c r="J969" s="17">
        <v>0</v>
      </c>
      <c r="K969" s="18">
        <v>132</v>
      </c>
      <c r="L969" s="17">
        <f>J969+ROUND(K969, 2)</f>
        <v>132</v>
      </c>
      <c r="M969" s="17">
        <v>0</v>
      </c>
      <c r="N969" s="17">
        <f>ROUND(I969*ROUND(K969, 2), 2)</f>
        <v>1298932.8</v>
      </c>
      <c r="O969" s="17">
        <f>M969+N969</f>
        <v>1298932.8</v>
      </c>
      <c r="P969" s="17">
        <v>0</v>
      </c>
      <c r="Q969" s="19">
        <v>198</v>
      </c>
      <c r="R969" s="17">
        <f>P969+ROUND(Q969, 2)</f>
        <v>198</v>
      </c>
      <c r="S969" s="17">
        <v>0</v>
      </c>
      <c r="T969" s="17">
        <f>ROUND(I969*ROUND(Q969, 2), 2)</f>
        <v>1948399.2</v>
      </c>
      <c r="U969" s="17">
        <f>S969+T969</f>
        <v>1948399.2</v>
      </c>
      <c r="V969" s="9"/>
      <c r="W969" s="9">
        <f>ROUND(Q969 / 1.2, 2)</f>
        <v>165</v>
      </c>
      <c r="X969" s="9">
        <f>ROUND(R969 / 1.2, 2)</f>
        <v>165</v>
      </c>
      <c r="Y969" s="9"/>
      <c r="Z969" s="9">
        <f>ROUND(T969 / 1.2, 2)</f>
        <v>1623666</v>
      </c>
      <c r="AA969" s="9">
        <f>Y969+Z969</f>
        <v>1623666</v>
      </c>
      <c r="AD969" s="4">
        <v>334080577</v>
      </c>
      <c r="AE969" s="4">
        <v>29299409</v>
      </c>
      <c r="AG969" s="4" t="s">
        <v>3121</v>
      </c>
      <c r="AH969" s="4" t="s">
        <v>3122</v>
      </c>
      <c r="AI969" s="4" t="s">
        <v>250</v>
      </c>
    </row>
    <row r="970" spans="1:35" ht="16.95" customHeight="1" x14ac:dyDescent="0.3">
      <c r="A970" s="10" t="s">
        <v>3123</v>
      </c>
      <c r="B970" s="10" t="s">
        <v>3124</v>
      </c>
      <c r="C970" s="91" t="s">
        <v>3125</v>
      </c>
      <c r="D970" s="92"/>
      <c r="E970" s="92"/>
      <c r="F970" s="92"/>
      <c r="G970" s="92"/>
      <c r="H970" s="92"/>
      <c r="I970" s="93"/>
      <c r="M970" s="6">
        <f t="shared" ref="M970:O973" si="40">SUM(M971)</f>
        <v>263316.14</v>
      </c>
      <c r="N970" s="6">
        <f t="shared" si="40"/>
        <v>272584</v>
      </c>
      <c r="O970" s="6">
        <f t="shared" si="40"/>
        <v>535900.14</v>
      </c>
      <c r="S970" s="6">
        <f t="shared" ref="S970:U973" si="41">SUM(S971)</f>
        <v>486373.73</v>
      </c>
      <c r="T970" s="6">
        <f t="shared" si="41"/>
        <v>408876</v>
      </c>
      <c r="U970" s="6">
        <f t="shared" si="41"/>
        <v>895249.73</v>
      </c>
      <c r="Y970" s="9">
        <f t="shared" ref="Y970:AA973" si="42">SUM(Y971)</f>
        <v>405311.44</v>
      </c>
      <c r="Z970" s="9">
        <f t="shared" si="42"/>
        <v>340730</v>
      </c>
      <c r="AA970" s="9">
        <f t="shared" si="42"/>
        <v>746041.44</v>
      </c>
      <c r="AD970" s="4">
        <v>334080578</v>
      </c>
      <c r="AE970" s="4">
        <v>29316856</v>
      </c>
    </row>
    <row r="971" spans="1:35" ht="16.95" customHeight="1" x14ac:dyDescent="0.3">
      <c r="A971" s="10" t="s">
        <v>3126</v>
      </c>
      <c r="B971" s="10" t="s">
        <v>3127</v>
      </c>
      <c r="C971" s="91" t="s">
        <v>3128</v>
      </c>
      <c r="D971" s="92"/>
      <c r="E971" s="92"/>
      <c r="F971" s="92"/>
      <c r="G971" s="92"/>
      <c r="H971" s="92"/>
      <c r="I971" s="93"/>
      <c r="M971" s="6">
        <f t="shared" si="40"/>
        <v>263316.14</v>
      </c>
      <c r="N971" s="6">
        <f t="shared" si="40"/>
        <v>272584</v>
      </c>
      <c r="O971" s="6">
        <f t="shared" si="40"/>
        <v>535900.14</v>
      </c>
      <c r="S971" s="6">
        <f t="shared" si="41"/>
        <v>486373.73</v>
      </c>
      <c r="T971" s="6">
        <f t="shared" si="41"/>
        <v>408876</v>
      </c>
      <c r="U971" s="6">
        <f t="shared" si="41"/>
        <v>895249.73</v>
      </c>
      <c r="Y971" s="9">
        <f t="shared" si="42"/>
        <v>405311.44</v>
      </c>
      <c r="Z971" s="9">
        <f t="shared" si="42"/>
        <v>340730</v>
      </c>
      <c r="AA971" s="9">
        <f t="shared" si="42"/>
        <v>746041.44</v>
      </c>
      <c r="AD971" s="4">
        <v>334080579</v>
      </c>
      <c r="AE971" s="4">
        <v>29316858</v>
      </c>
    </row>
    <row r="972" spans="1:35" ht="16.95" customHeight="1" x14ac:dyDescent="0.3">
      <c r="A972" s="10" t="s">
        <v>3129</v>
      </c>
      <c r="B972" s="10" t="s">
        <v>3130</v>
      </c>
      <c r="C972" s="91" t="s">
        <v>3131</v>
      </c>
      <c r="D972" s="92"/>
      <c r="E972" s="92"/>
      <c r="F972" s="92"/>
      <c r="G972" s="92"/>
      <c r="H972" s="92"/>
      <c r="I972" s="93"/>
      <c r="M972" s="6">
        <f t="shared" si="40"/>
        <v>263316.14</v>
      </c>
      <c r="N972" s="6">
        <f t="shared" si="40"/>
        <v>272584</v>
      </c>
      <c r="O972" s="6">
        <f t="shared" si="40"/>
        <v>535900.14</v>
      </c>
      <c r="S972" s="6">
        <f t="shared" si="41"/>
        <v>486373.73</v>
      </c>
      <c r="T972" s="6">
        <f t="shared" si="41"/>
        <v>408876</v>
      </c>
      <c r="U972" s="6">
        <f t="shared" si="41"/>
        <v>895249.73</v>
      </c>
      <c r="Y972" s="9">
        <f t="shared" si="42"/>
        <v>405311.44</v>
      </c>
      <c r="Z972" s="9">
        <f t="shared" si="42"/>
        <v>340730</v>
      </c>
      <c r="AA972" s="9">
        <f t="shared" si="42"/>
        <v>746041.44</v>
      </c>
      <c r="AD972" s="4">
        <v>334080580</v>
      </c>
      <c r="AE972" s="4">
        <v>29316859</v>
      </c>
    </row>
    <row r="973" spans="1:35" ht="16.95" customHeight="1" x14ac:dyDescent="0.3">
      <c r="A973" s="10" t="s">
        <v>3132</v>
      </c>
      <c r="B973" s="10" t="s">
        <v>3133</v>
      </c>
      <c r="C973" s="91" t="s">
        <v>3116</v>
      </c>
      <c r="D973" s="92"/>
      <c r="E973" s="92"/>
      <c r="F973" s="92"/>
      <c r="G973" s="92"/>
      <c r="H973" s="92"/>
      <c r="I973" s="93"/>
      <c r="M973" s="6">
        <f t="shared" si="40"/>
        <v>263316.14</v>
      </c>
      <c r="N973" s="6">
        <f t="shared" si="40"/>
        <v>272584</v>
      </c>
      <c r="O973" s="6">
        <f t="shared" si="40"/>
        <v>535900.14</v>
      </c>
      <c r="S973" s="6">
        <f t="shared" si="41"/>
        <v>486373.73</v>
      </c>
      <c r="T973" s="6">
        <f t="shared" si="41"/>
        <v>408876</v>
      </c>
      <c r="U973" s="6">
        <f t="shared" si="41"/>
        <v>895249.73</v>
      </c>
      <c r="Y973" s="9">
        <f t="shared" si="42"/>
        <v>405311.44</v>
      </c>
      <c r="Z973" s="9">
        <f t="shared" si="42"/>
        <v>340730</v>
      </c>
      <c r="AA973" s="9">
        <f t="shared" si="42"/>
        <v>746041.44</v>
      </c>
      <c r="AD973" s="4">
        <v>334080581</v>
      </c>
      <c r="AE973" s="4">
        <v>29316860</v>
      </c>
    </row>
    <row r="974" spans="1:35" ht="36" x14ac:dyDescent="0.3">
      <c r="A974" s="10" t="s">
        <v>3134</v>
      </c>
      <c r="B974" s="10" t="s">
        <v>3135</v>
      </c>
      <c r="C974" s="14" t="s">
        <v>3136</v>
      </c>
      <c r="D974" s="15"/>
      <c r="E974" s="15" t="s">
        <v>3137</v>
      </c>
      <c r="F974" s="15" t="s">
        <v>62</v>
      </c>
      <c r="G974" s="16">
        <v>1</v>
      </c>
      <c r="H974" s="16"/>
      <c r="I974" s="16">
        <v>4193.6000000000004</v>
      </c>
      <c r="J974" s="17">
        <f>IFERROR(ROUND(SUM(M975,M976)/I974, 2),0)</f>
        <v>62.79</v>
      </c>
      <c r="K974" s="18">
        <v>65</v>
      </c>
      <c r="L974" s="17">
        <f>J974+ROUND(K974, 2)</f>
        <v>127.78999999999999</v>
      </c>
      <c r="M974" s="17">
        <f>ROUND(J974*I974, 2)</f>
        <v>263316.14</v>
      </c>
      <c r="N974" s="17">
        <f>ROUND(I974*ROUND(K974, 2), 2)</f>
        <v>272584</v>
      </c>
      <c r="O974" s="17">
        <f>M974+N974</f>
        <v>535900.14</v>
      </c>
      <c r="P974" s="17">
        <f>IFERROR(ROUND(SUM(S975,S976)/I974, 2),0)</f>
        <v>115.98</v>
      </c>
      <c r="Q974" s="19">
        <v>97.5</v>
      </c>
      <c r="R974" s="17">
        <f>P974+ROUND(Q974, 2)</f>
        <v>213.48000000000002</v>
      </c>
      <c r="S974" s="17">
        <f>ROUND(P974*I974, 2)</f>
        <v>486373.73</v>
      </c>
      <c r="T974" s="17">
        <f>ROUND(I974*ROUND(Q974, 2), 2)</f>
        <v>408876</v>
      </c>
      <c r="U974" s="17">
        <f>S974+T974</f>
        <v>895249.73</v>
      </c>
      <c r="V974" s="9">
        <f>ROUND(P974 / 1.2, 2)</f>
        <v>96.65</v>
      </c>
      <c r="W974" s="9">
        <f>ROUND(Q974 / 1.2, 2)</f>
        <v>81.25</v>
      </c>
      <c r="X974" s="9">
        <f>ROUND(R974 / 1.2, 2)</f>
        <v>177.9</v>
      </c>
      <c r="Y974" s="9">
        <f>ROUND(S974 / 1.2, 2)</f>
        <v>405311.44</v>
      </c>
      <c r="Z974" s="9">
        <f>ROUND(T974 / 1.2, 2)</f>
        <v>340730</v>
      </c>
      <c r="AA974" s="9">
        <f>Y974+Z974</f>
        <v>746041.44</v>
      </c>
      <c r="AD974" s="4">
        <v>334080583</v>
      </c>
      <c r="AE974" s="4">
        <v>29316869</v>
      </c>
      <c r="AG974" s="4" t="s">
        <v>3138</v>
      </c>
      <c r="AH974" s="4" t="s">
        <v>3139</v>
      </c>
      <c r="AI974" s="4" t="s">
        <v>3140</v>
      </c>
    </row>
    <row r="975" spans="1:35" ht="36" x14ac:dyDescent="0.3">
      <c r="A975" s="10" t="s">
        <v>3141</v>
      </c>
      <c r="B975" s="10"/>
      <c r="C975" s="24" t="s">
        <v>3142</v>
      </c>
      <c r="D975" s="15"/>
      <c r="E975" s="15" t="s">
        <v>3143</v>
      </c>
      <c r="F975" s="25" t="s">
        <v>597</v>
      </c>
      <c r="G975" s="26">
        <v>1</v>
      </c>
      <c r="H975" s="31"/>
      <c r="I975" s="31">
        <v>1606.25</v>
      </c>
      <c r="J975" s="27">
        <v>160.13</v>
      </c>
      <c r="M975" s="28">
        <f>ROUND(ROUND(J975, 2)*I975, 2)</f>
        <v>257208.81</v>
      </c>
      <c r="P975" s="29">
        <v>299</v>
      </c>
      <c r="S975" s="28">
        <f>ROUND(ROUND(P975, 2)*I975, 2)</f>
        <v>480268.75</v>
      </c>
      <c r="V975" s="9">
        <f>ROUND(ROUND(P975, 2)/1.2, 2)</f>
        <v>249.17</v>
      </c>
      <c r="Y975" s="9">
        <f>ROUND(S975 / 1.2, 2)</f>
        <v>400223.96</v>
      </c>
      <c r="AD975" s="4" t="s">
        <v>3144</v>
      </c>
      <c r="AE975" s="4" t="s">
        <v>3145</v>
      </c>
      <c r="AF975" s="4" t="s">
        <v>3146</v>
      </c>
    </row>
    <row r="976" spans="1:35" ht="18" x14ac:dyDescent="0.3">
      <c r="A976" s="10" t="s">
        <v>3147</v>
      </c>
      <c r="B976" s="10"/>
      <c r="C976" s="24" t="s">
        <v>3148</v>
      </c>
      <c r="D976" s="15"/>
      <c r="E976" s="15"/>
      <c r="F976" s="25" t="s">
        <v>102</v>
      </c>
      <c r="G976" s="26">
        <v>1</v>
      </c>
      <c r="H976" s="31"/>
      <c r="I976" s="31">
        <v>5396</v>
      </c>
      <c r="J976" s="27">
        <v>1.1299999999999999</v>
      </c>
      <c r="M976" s="28">
        <f>ROUND(ROUND(J976, 2)*I976, 2)</f>
        <v>6097.48</v>
      </c>
      <c r="P976" s="29">
        <v>1.1299999999999999</v>
      </c>
      <c r="S976" s="28">
        <f>ROUND(ROUND(P976, 2)*I976, 2)</f>
        <v>6097.48</v>
      </c>
      <c r="V976" s="9">
        <f>ROUND(ROUND(P976, 2)/1.2, 2)</f>
        <v>0.94</v>
      </c>
      <c r="Y976" s="9">
        <f>ROUND(S976 / 1.2, 2)</f>
        <v>5081.2299999999996</v>
      </c>
      <c r="AD976" s="4" t="s">
        <v>3149</v>
      </c>
      <c r="AE976" s="4" t="s">
        <v>3150</v>
      </c>
      <c r="AF976" s="4" t="s">
        <v>3151</v>
      </c>
    </row>
    <row r="977" spans="1:35" ht="30" customHeight="1" x14ac:dyDescent="0.3">
      <c r="A977" s="88" t="s">
        <v>3152</v>
      </c>
      <c r="B977" s="89"/>
      <c r="C977" s="89"/>
      <c r="D977" s="89"/>
      <c r="E977" s="89"/>
      <c r="F977" s="89"/>
      <c r="G977" s="89"/>
      <c r="H977" s="89"/>
      <c r="I977" s="90"/>
      <c r="J977" s="7"/>
      <c r="K977" s="7"/>
      <c r="L977" s="7"/>
      <c r="M977" s="8">
        <f t="shared" ref="M977:O981" si="43">SUM(M978)</f>
        <v>0</v>
      </c>
      <c r="N977" s="8">
        <f t="shared" si="43"/>
        <v>930636</v>
      </c>
      <c r="O977" s="8">
        <f t="shared" si="43"/>
        <v>930636</v>
      </c>
      <c r="P977" s="7"/>
      <c r="Q977" s="7"/>
      <c r="R977" s="7"/>
      <c r="S977" s="8">
        <f t="shared" ref="S977:U981" si="44">SUM(S978)</f>
        <v>0</v>
      </c>
      <c r="T977" s="8">
        <f t="shared" si="44"/>
        <v>1395954</v>
      </c>
      <c r="U977" s="8">
        <f t="shared" si="44"/>
        <v>1395954</v>
      </c>
      <c r="Y977" s="9">
        <f t="shared" ref="Y977:AA981" si="45">SUM(Y978)</f>
        <v>0</v>
      </c>
      <c r="Z977" s="9">
        <f t="shared" si="45"/>
        <v>1163295</v>
      </c>
      <c r="AA977" s="9">
        <f t="shared" si="45"/>
        <v>1163295</v>
      </c>
      <c r="AC977" s="4" t="s">
        <v>3153</v>
      </c>
    </row>
    <row r="978" spans="1:35" ht="16.95" customHeight="1" x14ac:dyDescent="0.3">
      <c r="A978" s="10" t="s">
        <v>3154</v>
      </c>
      <c r="B978" s="10" t="s">
        <v>44</v>
      </c>
      <c r="C978" s="91" t="s">
        <v>45</v>
      </c>
      <c r="D978" s="92"/>
      <c r="E978" s="92"/>
      <c r="F978" s="92"/>
      <c r="G978" s="92"/>
      <c r="H978" s="92"/>
      <c r="I978" s="93"/>
      <c r="M978" s="6">
        <f t="shared" si="43"/>
        <v>0</v>
      </c>
      <c r="N978" s="6">
        <f t="shared" si="43"/>
        <v>930636</v>
      </c>
      <c r="O978" s="6">
        <f t="shared" si="43"/>
        <v>930636</v>
      </c>
      <c r="S978" s="6">
        <f t="shared" si="44"/>
        <v>0</v>
      </c>
      <c r="T978" s="6">
        <f t="shared" si="44"/>
        <v>1395954</v>
      </c>
      <c r="U978" s="6">
        <f t="shared" si="44"/>
        <v>1395954</v>
      </c>
      <c r="Y978" s="9">
        <f t="shared" si="45"/>
        <v>0</v>
      </c>
      <c r="Z978" s="9">
        <f t="shared" si="45"/>
        <v>1163295</v>
      </c>
      <c r="AA978" s="9">
        <f t="shared" si="45"/>
        <v>1163295</v>
      </c>
      <c r="AD978" s="4">
        <v>332528777</v>
      </c>
      <c r="AE978" s="4">
        <v>29304607</v>
      </c>
    </row>
    <row r="979" spans="1:35" ht="16.95" customHeight="1" x14ac:dyDescent="0.3">
      <c r="A979" s="10" t="s">
        <v>3155</v>
      </c>
      <c r="B979" s="10" t="s">
        <v>3156</v>
      </c>
      <c r="C979" s="91" t="s">
        <v>3157</v>
      </c>
      <c r="D979" s="92"/>
      <c r="E979" s="92"/>
      <c r="F979" s="92"/>
      <c r="G979" s="92"/>
      <c r="H979" s="92"/>
      <c r="I979" s="93"/>
      <c r="M979" s="6">
        <f t="shared" si="43"/>
        <v>0</v>
      </c>
      <c r="N979" s="6">
        <f t="shared" si="43"/>
        <v>930636</v>
      </c>
      <c r="O979" s="6">
        <f t="shared" si="43"/>
        <v>930636</v>
      </c>
      <c r="S979" s="6">
        <f t="shared" si="44"/>
        <v>0</v>
      </c>
      <c r="T979" s="6">
        <f t="shared" si="44"/>
        <v>1395954</v>
      </c>
      <c r="U979" s="6">
        <f t="shared" si="44"/>
        <v>1395954</v>
      </c>
      <c r="Y979" s="9">
        <f t="shared" si="45"/>
        <v>0</v>
      </c>
      <c r="Z979" s="9">
        <f t="shared" si="45"/>
        <v>1163295</v>
      </c>
      <c r="AA979" s="9">
        <f t="shared" si="45"/>
        <v>1163295</v>
      </c>
      <c r="AD979" s="4">
        <v>332528778</v>
      </c>
      <c r="AE979" s="4">
        <v>29304609</v>
      </c>
    </row>
    <row r="980" spans="1:35" ht="16.95" customHeight="1" x14ac:dyDescent="0.3">
      <c r="A980" s="10" t="s">
        <v>3158</v>
      </c>
      <c r="B980" s="10" t="s">
        <v>3159</v>
      </c>
      <c r="C980" s="91" t="s">
        <v>3160</v>
      </c>
      <c r="D980" s="92"/>
      <c r="E980" s="92"/>
      <c r="F980" s="92"/>
      <c r="G980" s="92"/>
      <c r="H980" s="92"/>
      <c r="I980" s="93"/>
      <c r="M980" s="6">
        <f t="shared" si="43"/>
        <v>0</v>
      </c>
      <c r="N980" s="6">
        <f t="shared" si="43"/>
        <v>930636</v>
      </c>
      <c r="O980" s="6">
        <f t="shared" si="43"/>
        <v>930636</v>
      </c>
      <c r="S980" s="6">
        <f t="shared" si="44"/>
        <v>0</v>
      </c>
      <c r="T980" s="6">
        <f t="shared" si="44"/>
        <v>1395954</v>
      </c>
      <c r="U980" s="6">
        <f t="shared" si="44"/>
        <v>1395954</v>
      </c>
      <c r="Y980" s="9">
        <f t="shared" si="45"/>
        <v>0</v>
      </c>
      <c r="Z980" s="9">
        <f t="shared" si="45"/>
        <v>1163295</v>
      </c>
      <c r="AA980" s="9">
        <f t="shared" si="45"/>
        <v>1163295</v>
      </c>
      <c r="AD980" s="4">
        <v>332528779</v>
      </c>
      <c r="AE980" s="4">
        <v>29304610</v>
      </c>
    </row>
    <row r="981" spans="1:35" ht="16.95" customHeight="1" x14ac:dyDescent="0.3">
      <c r="A981" s="10" t="s">
        <v>3161</v>
      </c>
      <c r="B981" s="10" t="s">
        <v>3162</v>
      </c>
      <c r="C981" s="91" t="s">
        <v>3116</v>
      </c>
      <c r="D981" s="92"/>
      <c r="E981" s="92"/>
      <c r="F981" s="92"/>
      <c r="G981" s="92"/>
      <c r="H981" s="92"/>
      <c r="I981" s="93"/>
      <c r="M981" s="6">
        <f t="shared" si="43"/>
        <v>0</v>
      </c>
      <c r="N981" s="6">
        <f t="shared" si="43"/>
        <v>930636</v>
      </c>
      <c r="O981" s="6">
        <f t="shared" si="43"/>
        <v>930636</v>
      </c>
      <c r="S981" s="6">
        <f t="shared" si="44"/>
        <v>0</v>
      </c>
      <c r="T981" s="6">
        <f t="shared" si="44"/>
        <v>1395954</v>
      </c>
      <c r="U981" s="6">
        <f t="shared" si="44"/>
        <v>1395954</v>
      </c>
      <c r="Y981" s="9">
        <f t="shared" si="45"/>
        <v>0</v>
      </c>
      <c r="Z981" s="9">
        <f t="shared" si="45"/>
        <v>1163295</v>
      </c>
      <c r="AA981" s="9">
        <f t="shared" si="45"/>
        <v>1163295</v>
      </c>
      <c r="AD981" s="4">
        <v>332528780</v>
      </c>
      <c r="AE981" s="4">
        <v>29304608</v>
      </c>
    </row>
    <row r="982" spans="1:35" ht="54" x14ac:dyDescent="0.3">
      <c r="A982" s="10" t="s">
        <v>3163</v>
      </c>
      <c r="B982" s="10" t="s">
        <v>3164</v>
      </c>
      <c r="C982" s="14" t="s">
        <v>3165</v>
      </c>
      <c r="D982" s="15"/>
      <c r="E982" s="15" t="s">
        <v>3166</v>
      </c>
      <c r="F982" s="15" t="s">
        <v>3167</v>
      </c>
      <c r="G982" s="16">
        <v>1</v>
      </c>
      <c r="H982" s="16"/>
      <c r="I982" s="16">
        <v>4</v>
      </c>
      <c r="J982" s="17">
        <v>0</v>
      </c>
      <c r="K982" s="18">
        <v>232659</v>
      </c>
      <c r="L982" s="17">
        <f>J982+ROUND(K982, 2)</f>
        <v>232659</v>
      </c>
      <c r="M982" s="17">
        <v>0</v>
      </c>
      <c r="N982" s="17">
        <f>ROUND(I982*ROUND(K982, 2), 2)</f>
        <v>930636</v>
      </c>
      <c r="O982" s="17">
        <f>M982+N982</f>
        <v>930636</v>
      </c>
      <c r="P982" s="17">
        <v>0</v>
      </c>
      <c r="Q982" s="19">
        <v>348988.5</v>
      </c>
      <c r="R982" s="17">
        <f>P982+ROUND(Q982, 2)</f>
        <v>348988.5</v>
      </c>
      <c r="S982" s="17">
        <v>0</v>
      </c>
      <c r="T982" s="17">
        <f>ROUND(I982*ROUND(Q982, 2), 2)</f>
        <v>1395954</v>
      </c>
      <c r="U982" s="17">
        <f>S982+T982</f>
        <v>1395954</v>
      </c>
      <c r="V982" s="9"/>
      <c r="W982" s="9">
        <f>ROUND(Q982 / 1.2, 2)</f>
        <v>290823.75</v>
      </c>
      <c r="X982" s="9">
        <f>ROUND(R982 / 1.2, 2)</f>
        <v>290823.75</v>
      </c>
      <c r="Y982" s="9"/>
      <c r="Z982" s="9">
        <f>ROUND(T982 / 1.2, 2)</f>
        <v>1163295</v>
      </c>
      <c r="AA982" s="9">
        <f>Y982+Z982</f>
        <v>1163295</v>
      </c>
      <c r="AD982" s="4">
        <v>332528782</v>
      </c>
      <c r="AE982" s="4">
        <v>29304612</v>
      </c>
      <c r="AG982" s="4" t="s">
        <v>3168</v>
      </c>
      <c r="AH982" s="4" t="s">
        <v>3169</v>
      </c>
      <c r="AI982" s="4" t="s">
        <v>3170</v>
      </c>
    </row>
    <row r="983" spans="1:35" ht="24" customHeight="1" x14ac:dyDescent="0.3">
      <c r="A983" s="68"/>
      <c r="B983" s="68"/>
      <c r="C983" s="68"/>
      <c r="D983" s="69" t="s">
        <v>3171</v>
      </c>
      <c r="E983" s="68"/>
      <c r="F983" s="68"/>
      <c r="G983" s="68"/>
      <c r="H983" s="68"/>
      <c r="I983" s="68"/>
      <c r="J983" s="68"/>
      <c r="K983" s="68"/>
      <c r="L983" s="68"/>
      <c r="M983" s="70">
        <f>SUM(M8,M977)</f>
        <v>48779467.810000002</v>
      </c>
      <c r="N983" s="70">
        <f>SUM(N8,N977)</f>
        <v>88104391.99000001</v>
      </c>
      <c r="O983" s="70">
        <f>M983+N983</f>
        <v>136883859.80000001</v>
      </c>
      <c r="P983" s="68"/>
      <c r="Q983" s="68"/>
      <c r="R983" s="68"/>
      <c r="S983" s="70">
        <f>SUM(S8,S977)</f>
        <v>61057592.320000008</v>
      </c>
      <c r="T983" s="70">
        <f>SUM(T8,T977)</f>
        <v>129618425.82000002</v>
      </c>
      <c r="U983" s="70">
        <f>S983+T983</f>
        <v>190676018.14000005</v>
      </c>
      <c r="Y983" s="9">
        <f>SUM(Y8,Y977)</f>
        <v>50881327.060000002</v>
      </c>
      <c r="Z983" s="9">
        <f>SUM(Z8,Z977)</f>
        <v>108015355.06</v>
      </c>
      <c r="AA983" s="9">
        <f>Y983+Z983</f>
        <v>158896682.12</v>
      </c>
    </row>
    <row r="984" spans="1:35" ht="22.8" x14ac:dyDescent="0.3">
      <c r="A984" s="88" t="s">
        <v>3182</v>
      </c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90"/>
    </row>
    <row r="985" spans="1:35" ht="15.6" x14ac:dyDescent="0.3">
      <c r="A985" s="72"/>
      <c r="B985" s="5" t="s">
        <v>3183</v>
      </c>
      <c r="C985" s="71" t="s">
        <v>3184</v>
      </c>
      <c r="D985" s="71" t="s">
        <v>3185</v>
      </c>
      <c r="E985" s="73"/>
      <c r="F985" s="73"/>
      <c r="G985" s="73"/>
      <c r="H985" s="86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87"/>
    </row>
    <row r="986" spans="1:35" ht="15.6" x14ac:dyDescent="0.3">
      <c r="A986" s="72"/>
      <c r="B986" s="5" t="s">
        <v>3186</v>
      </c>
      <c r="C986" s="71" t="s">
        <v>3187</v>
      </c>
      <c r="D986" s="71" t="s">
        <v>3188</v>
      </c>
      <c r="E986" s="73"/>
      <c r="F986" s="73"/>
      <c r="G986" s="73"/>
      <c r="H986" s="86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87"/>
    </row>
    <row r="987" spans="1:35" ht="31.2" x14ac:dyDescent="0.3">
      <c r="A987" s="72"/>
      <c r="B987" s="5" t="s">
        <v>3189</v>
      </c>
      <c r="C987" s="71" t="s">
        <v>3190</v>
      </c>
      <c r="D987" s="71" t="s">
        <v>3191</v>
      </c>
      <c r="E987" s="73"/>
      <c r="F987" s="73"/>
      <c r="G987" s="73"/>
      <c r="H987" s="86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87"/>
    </row>
    <row r="988" spans="1:35" ht="15.6" x14ac:dyDescent="0.3">
      <c r="A988" s="72"/>
      <c r="B988" s="5" t="s">
        <v>3192</v>
      </c>
      <c r="C988" s="71" t="s">
        <v>3193</v>
      </c>
      <c r="D988" s="71" t="s">
        <v>3194</v>
      </c>
      <c r="E988" s="73"/>
      <c r="F988" s="73"/>
      <c r="G988" s="73"/>
      <c r="H988" s="86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87"/>
    </row>
    <row r="989" spans="1:35" ht="15.6" x14ac:dyDescent="0.3">
      <c r="A989" s="72"/>
      <c r="B989" s="5" t="s">
        <v>3195</v>
      </c>
      <c r="C989" s="71" t="s">
        <v>3196</v>
      </c>
      <c r="D989" s="71" t="s">
        <v>3188</v>
      </c>
      <c r="E989" s="73"/>
      <c r="F989" s="73"/>
      <c r="G989" s="73"/>
      <c r="H989" s="86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87"/>
    </row>
    <row r="990" spans="1:35" ht="31.2" x14ac:dyDescent="0.3">
      <c r="A990" s="72"/>
      <c r="B990" s="5" t="s">
        <v>3197</v>
      </c>
      <c r="C990" s="71" t="s">
        <v>3198</v>
      </c>
      <c r="D990" s="71" t="s">
        <v>3199</v>
      </c>
      <c r="E990" s="73"/>
      <c r="F990" s="73"/>
      <c r="G990" s="73"/>
      <c r="H990" s="86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87"/>
    </row>
    <row r="991" spans="1:35" ht="31.2" x14ac:dyDescent="0.3">
      <c r="A991" s="72"/>
      <c r="B991" s="5" t="s">
        <v>3200</v>
      </c>
      <c r="C991" s="71" t="s">
        <v>3201</v>
      </c>
      <c r="D991" s="71" t="s">
        <v>3202</v>
      </c>
      <c r="E991" s="73"/>
      <c r="F991" s="73"/>
      <c r="G991" s="73"/>
      <c r="H991" s="86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87"/>
    </row>
    <row r="992" spans="1:35" ht="15.6" x14ac:dyDescent="0.3">
      <c r="A992" s="72"/>
      <c r="B992" s="5" t="s">
        <v>3203</v>
      </c>
      <c r="C992" s="71" t="s">
        <v>3204</v>
      </c>
      <c r="D992" s="71" t="s">
        <v>3205</v>
      </c>
      <c r="E992" s="73"/>
      <c r="F992" s="73"/>
      <c r="G992" s="73"/>
      <c r="H992" s="86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87"/>
    </row>
    <row r="993" spans="1:21" ht="15.6" x14ac:dyDescent="0.3">
      <c r="A993" s="72"/>
      <c r="B993" s="5" t="s">
        <v>3206</v>
      </c>
      <c r="C993" s="71" t="s">
        <v>3207</v>
      </c>
      <c r="D993" s="71" t="s">
        <v>3208</v>
      </c>
      <c r="E993" s="73"/>
      <c r="F993" s="73"/>
      <c r="G993" s="73"/>
      <c r="H993" s="86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87"/>
    </row>
    <row r="994" spans="1:21" ht="31.2" x14ac:dyDescent="0.3">
      <c r="A994" s="72"/>
      <c r="B994" s="5" t="s">
        <v>3209</v>
      </c>
      <c r="C994" s="71" t="s">
        <v>3210</v>
      </c>
      <c r="D994" s="71" t="s">
        <v>3211</v>
      </c>
      <c r="E994" s="73"/>
      <c r="F994" s="73"/>
      <c r="G994" s="73"/>
      <c r="H994" s="86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87"/>
    </row>
    <row r="995" spans="1:21" ht="46.8" x14ac:dyDescent="0.3">
      <c r="A995" s="72"/>
      <c r="B995" s="5" t="s">
        <v>3212</v>
      </c>
      <c r="C995" s="71" t="s">
        <v>3213</v>
      </c>
      <c r="D995" s="71" t="s">
        <v>3214</v>
      </c>
      <c r="E995" s="73"/>
      <c r="F995" s="73"/>
      <c r="G995" s="73"/>
      <c r="H995" s="86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87"/>
    </row>
    <row r="996" spans="1:21" ht="31.2" x14ac:dyDescent="0.3">
      <c r="A996" s="72"/>
      <c r="B996" s="5" t="s">
        <v>3215</v>
      </c>
      <c r="C996" s="71" t="s">
        <v>3216</v>
      </c>
      <c r="D996" s="71" t="s">
        <v>3217</v>
      </c>
      <c r="E996" s="73"/>
      <c r="F996" s="73"/>
      <c r="G996" s="73"/>
      <c r="H996" s="86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87"/>
    </row>
    <row r="997" spans="1:21" ht="15.6" x14ac:dyDescent="0.3">
      <c r="A997" s="72"/>
      <c r="B997" s="5" t="s">
        <v>3218</v>
      </c>
      <c r="C997" s="71" t="s">
        <v>3219</v>
      </c>
      <c r="D997" s="71" t="s">
        <v>3220</v>
      </c>
      <c r="E997" s="73"/>
      <c r="F997" s="73"/>
      <c r="G997" s="73"/>
      <c r="H997" s="86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87"/>
    </row>
    <row r="998" spans="1:21" ht="48" customHeight="1" x14ac:dyDescent="0.3">
      <c r="A998" s="72"/>
      <c r="B998" s="5" t="s">
        <v>3221</v>
      </c>
      <c r="C998" s="71" t="s">
        <v>3222</v>
      </c>
      <c r="D998" s="71" t="s">
        <v>3223</v>
      </c>
      <c r="E998" s="73"/>
      <c r="F998" s="73"/>
      <c r="G998" s="73"/>
      <c r="H998" s="86" t="s">
        <v>3224</v>
      </c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87"/>
    </row>
    <row r="999" spans="1:21" ht="15.6" x14ac:dyDescent="0.3">
      <c r="A999" s="72"/>
      <c r="B999" s="5" t="s">
        <v>3225</v>
      </c>
      <c r="C999" s="71" t="s">
        <v>3226</v>
      </c>
      <c r="D999" s="71" t="s">
        <v>3227</v>
      </c>
      <c r="E999" s="73"/>
      <c r="F999" s="73"/>
      <c r="G999" s="73"/>
      <c r="H999" s="86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87"/>
    </row>
    <row r="1000" spans="1:21" ht="31.2" x14ac:dyDescent="0.3">
      <c r="A1000" s="72"/>
      <c r="B1000" s="5" t="s">
        <v>3228</v>
      </c>
      <c r="C1000" s="71" t="s">
        <v>3229</v>
      </c>
      <c r="D1000" s="73"/>
      <c r="E1000" s="73"/>
      <c r="F1000" s="73"/>
      <c r="G1000" s="73"/>
      <c r="H1000" s="86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87"/>
    </row>
    <row r="1001" spans="1:21" ht="15.6" x14ac:dyDescent="0.3">
      <c r="A1001" s="72"/>
      <c r="B1001" s="5" t="s">
        <v>3230</v>
      </c>
      <c r="C1001" s="71" t="s">
        <v>3231</v>
      </c>
      <c r="D1001" s="73"/>
      <c r="E1001" s="73"/>
      <c r="F1001" s="73"/>
      <c r="G1001" s="73"/>
      <c r="H1001" s="86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87"/>
    </row>
    <row r="1002" spans="1:21" ht="15.6" x14ac:dyDescent="0.3">
      <c r="A1002" s="72"/>
      <c r="B1002" s="5" t="s">
        <v>3232</v>
      </c>
      <c r="C1002" s="71" t="s">
        <v>3233</v>
      </c>
      <c r="D1002" s="73"/>
      <c r="E1002" s="73"/>
      <c r="F1002" s="73"/>
      <c r="G1002" s="73"/>
      <c r="H1002" s="86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87"/>
    </row>
  </sheetData>
  <sheetProtection password="C644" sheet="1" formatColumns="0" autoFilter="0"/>
  <autoFilter ref="A7:U7"/>
  <mergeCells count="80">
    <mergeCell ref="H999:U999"/>
    <mergeCell ref="H1000:U1000"/>
    <mergeCell ref="H1001:U1001"/>
    <mergeCell ref="H1002:U1002"/>
    <mergeCell ref="H994:U994"/>
    <mergeCell ref="H995:U995"/>
    <mergeCell ref="H996:U996"/>
    <mergeCell ref="H997:U997"/>
    <mergeCell ref="H998:U998"/>
    <mergeCell ref="H989:U989"/>
    <mergeCell ref="H990:U990"/>
    <mergeCell ref="H991:U991"/>
    <mergeCell ref="H992:U992"/>
    <mergeCell ref="H993:U993"/>
    <mergeCell ref="A984:U984"/>
    <mergeCell ref="H985:U985"/>
    <mergeCell ref="H986:U986"/>
    <mergeCell ref="H987:U987"/>
    <mergeCell ref="H988:U988"/>
    <mergeCell ref="A977:I977"/>
    <mergeCell ref="C978:I978"/>
    <mergeCell ref="C979:I979"/>
    <mergeCell ref="C980:I980"/>
    <mergeCell ref="C981:I981"/>
    <mergeCell ref="C968:I968"/>
    <mergeCell ref="C970:I970"/>
    <mergeCell ref="C971:I971"/>
    <mergeCell ref="C972:I972"/>
    <mergeCell ref="C973:I973"/>
    <mergeCell ref="C781:I781"/>
    <mergeCell ref="C782:I782"/>
    <mergeCell ref="C828:I828"/>
    <mergeCell ref="C862:I862"/>
    <mergeCell ref="C963:I963"/>
    <mergeCell ref="C432:I432"/>
    <mergeCell ref="C439:I439"/>
    <mergeCell ref="C440:I440"/>
    <mergeCell ref="C482:I482"/>
    <mergeCell ref="C711:I711"/>
    <mergeCell ref="C63:I63"/>
    <mergeCell ref="C64:I64"/>
    <mergeCell ref="C65:I65"/>
    <mergeCell ref="C96:I96"/>
    <mergeCell ref="C117:I117"/>
    <mergeCell ref="C18:I18"/>
    <mergeCell ref="C19:I19"/>
    <mergeCell ref="C20:I20"/>
    <mergeCell ref="C61:I61"/>
    <mergeCell ref="C62:I62"/>
    <mergeCell ref="C11:I11"/>
    <mergeCell ref="C12:I12"/>
    <mergeCell ref="C13:I13"/>
    <mergeCell ref="C16:I16"/>
    <mergeCell ref="C17:I17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FF"/>
  </sheetPr>
  <dimension ref="A1:U1002"/>
  <sheetViews>
    <sheetView tabSelected="1" view="pageBreakPreview" topLeftCell="A443" zoomScale="50" zoomScaleNormal="52" zoomScaleSheetLayoutView="50" workbookViewId="0">
      <selection activeCell="E461" sqref="E461"/>
    </sheetView>
  </sheetViews>
  <sheetFormatPr defaultRowHeight="14.4" x14ac:dyDescent="0.3"/>
  <cols>
    <col min="1" max="1" width="20" customWidth="1"/>
    <col min="2" max="2" width="21.77734375" bestFit="1" customWidth="1"/>
    <col min="3" max="3" width="79.8867187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</cols>
  <sheetData>
    <row r="1" spans="1:21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3172</v>
      </c>
      <c r="H1" s="2" t="s">
        <v>3173</v>
      </c>
      <c r="I1" s="2" t="s">
        <v>3174</v>
      </c>
      <c r="J1" s="2" t="s">
        <v>3175</v>
      </c>
      <c r="K1" s="2" t="s">
        <v>3176</v>
      </c>
      <c r="L1" s="2" t="s">
        <v>3177</v>
      </c>
      <c r="M1" s="2" t="s">
        <v>3178</v>
      </c>
      <c r="N1" s="2" t="s">
        <v>3179</v>
      </c>
      <c r="O1" s="2" t="s">
        <v>3180</v>
      </c>
      <c r="P1" s="2" t="s">
        <v>3181</v>
      </c>
      <c r="Q1" s="3"/>
      <c r="R1" s="3"/>
      <c r="S1" s="3"/>
      <c r="T1" s="3"/>
      <c r="U1" s="3"/>
    </row>
    <row r="2" spans="1:21" ht="30.75" customHeight="1" x14ac:dyDescent="0.3">
      <c r="A2" s="74" t="s">
        <v>4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</row>
    <row r="3" spans="1:21" ht="15" customHeight="1" x14ac:dyDescent="0.3">
      <c r="A3" s="75" t="s">
        <v>5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21" ht="15" customHeight="1" x14ac:dyDescent="0.3">
      <c r="A4" s="76" t="s">
        <v>6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</row>
    <row r="5" spans="1:21" ht="40.799999999999997" customHeight="1" x14ac:dyDescent="0.3">
      <c r="A5" s="83" t="s">
        <v>27</v>
      </c>
      <c r="B5" s="83" t="s">
        <v>28</v>
      </c>
      <c r="C5" s="83" t="s">
        <v>29</v>
      </c>
      <c r="D5" s="83" t="s">
        <v>30</v>
      </c>
      <c r="E5" s="83" t="s">
        <v>31</v>
      </c>
      <c r="F5" s="83" t="s">
        <v>32</v>
      </c>
      <c r="G5" s="83" t="s">
        <v>33</v>
      </c>
      <c r="H5" s="83" t="s">
        <v>34</v>
      </c>
      <c r="I5" s="83" t="s">
        <v>35</v>
      </c>
      <c r="J5" s="77" t="s">
        <v>7</v>
      </c>
      <c r="K5" s="78"/>
      <c r="L5" s="78"/>
      <c r="M5" s="78"/>
      <c r="N5" s="78"/>
      <c r="O5" s="79"/>
      <c r="P5" s="80" t="s">
        <v>8</v>
      </c>
      <c r="Q5" s="81"/>
      <c r="R5" s="82"/>
      <c r="S5" s="80" t="s">
        <v>9</v>
      </c>
      <c r="T5" s="81"/>
      <c r="U5" s="82"/>
    </row>
    <row r="6" spans="1:21" ht="15.75" customHeight="1" x14ac:dyDescent="0.3">
      <c r="A6" s="84"/>
      <c r="B6" s="84"/>
      <c r="C6" s="84"/>
      <c r="D6" s="84"/>
      <c r="E6" s="84"/>
      <c r="F6" s="84"/>
      <c r="G6" s="84"/>
      <c r="H6" s="84"/>
      <c r="I6" s="84"/>
      <c r="J6" s="86" t="s">
        <v>36</v>
      </c>
      <c r="K6" s="87"/>
      <c r="L6" s="83" t="s">
        <v>36</v>
      </c>
      <c r="M6" s="86" t="s">
        <v>39</v>
      </c>
      <c r="N6" s="87"/>
      <c r="O6" s="83" t="s">
        <v>40</v>
      </c>
      <c r="P6" s="86" t="s">
        <v>36</v>
      </c>
      <c r="Q6" s="87"/>
      <c r="R6" s="83" t="s">
        <v>36</v>
      </c>
      <c r="S6" s="86" t="s">
        <v>39</v>
      </c>
      <c r="T6" s="87"/>
      <c r="U6" s="83" t="s">
        <v>40</v>
      </c>
    </row>
    <row r="7" spans="1:21" ht="31.2" customHeight="1" x14ac:dyDescent="0.3">
      <c r="A7" s="85"/>
      <c r="B7" s="85"/>
      <c r="C7" s="85"/>
      <c r="D7" s="85"/>
      <c r="E7" s="85"/>
      <c r="F7" s="85"/>
      <c r="G7" s="85"/>
      <c r="H7" s="85"/>
      <c r="I7" s="85"/>
      <c r="J7" s="5" t="s">
        <v>37</v>
      </c>
      <c r="K7" s="5" t="s">
        <v>38</v>
      </c>
      <c r="L7" s="85"/>
      <c r="M7" s="5" t="s">
        <v>37</v>
      </c>
      <c r="N7" s="5" t="s">
        <v>38</v>
      </c>
      <c r="O7" s="85"/>
      <c r="P7" s="5" t="s">
        <v>37</v>
      </c>
      <c r="Q7" s="5" t="s">
        <v>38</v>
      </c>
      <c r="R7" s="85"/>
      <c r="S7" s="5" t="s">
        <v>37</v>
      </c>
      <c r="T7" s="5" t="s">
        <v>38</v>
      </c>
      <c r="U7" s="85"/>
    </row>
    <row r="8" spans="1:21" ht="30" customHeight="1" x14ac:dyDescent="0.3">
      <c r="A8" s="88" t="s">
        <v>41</v>
      </c>
      <c r="B8" s="89"/>
      <c r="C8" s="89"/>
      <c r="D8" s="89"/>
      <c r="E8" s="89"/>
      <c r="F8" s="89"/>
      <c r="G8" s="89"/>
      <c r="H8" s="89"/>
      <c r="I8" s="90"/>
      <c r="J8" s="7"/>
      <c r="K8" s="7"/>
      <c r="L8" s="7"/>
      <c r="M8" s="8">
        <f>SUM(M9,M970)</f>
        <v>48779467.810000002</v>
      </c>
      <c r="N8" s="8">
        <f>SUM(N9,N970)</f>
        <v>87173755.99000001</v>
      </c>
      <c r="O8" s="8">
        <f>SUM(O9,O970)</f>
        <v>135953223.79999998</v>
      </c>
      <c r="P8" s="7"/>
      <c r="Q8" s="7"/>
      <c r="R8" s="7"/>
      <c r="S8" s="8">
        <f>SUM(S9,S970)</f>
        <v>61057592.320000008</v>
      </c>
      <c r="T8" s="8">
        <f>SUM(T9,T970)</f>
        <v>128222471.82000002</v>
      </c>
      <c r="U8" s="8">
        <f>SUM(U9,U970)</f>
        <v>189280064.13999996</v>
      </c>
    </row>
    <row r="9" spans="1:21" ht="16.95" customHeight="1" x14ac:dyDescent="0.3">
      <c r="A9" s="10" t="s">
        <v>43</v>
      </c>
      <c r="B9" s="10" t="s">
        <v>44</v>
      </c>
      <c r="C9" s="91" t="s">
        <v>45</v>
      </c>
      <c r="D9" s="92"/>
      <c r="E9" s="92"/>
      <c r="F9" s="92"/>
      <c r="G9" s="92"/>
      <c r="H9" s="92"/>
      <c r="I9" s="93"/>
      <c r="M9" s="6">
        <f>SUM(M10,M16,M61)</f>
        <v>48516151.670000002</v>
      </c>
      <c r="N9" s="6">
        <f>SUM(N10,N16,N61)</f>
        <v>86901171.99000001</v>
      </c>
      <c r="O9" s="6">
        <f>SUM(O10,O16,O61)</f>
        <v>135417323.66</v>
      </c>
      <c r="S9" s="6">
        <f>SUM(S10,S16,S61)</f>
        <v>60571218.590000011</v>
      </c>
      <c r="T9" s="6">
        <f>SUM(T10,T16,T61)</f>
        <v>127813595.82000002</v>
      </c>
      <c r="U9" s="6">
        <f>SUM(U10,U16,U61)</f>
        <v>188384814.40999997</v>
      </c>
    </row>
    <row r="10" spans="1:21" ht="16.95" customHeight="1" x14ac:dyDescent="0.3">
      <c r="A10" s="10" t="s">
        <v>46</v>
      </c>
      <c r="B10" s="10" t="s">
        <v>47</v>
      </c>
      <c r="C10" s="91" t="s">
        <v>48</v>
      </c>
      <c r="D10" s="92"/>
      <c r="E10" s="92"/>
      <c r="F10" s="92"/>
      <c r="G10" s="92"/>
      <c r="H10" s="92"/>
      <c r="I10" s="93"/>
      <c r="M10" s="6">
        <f t="shared" ref="M10:O12" si="0">SUM(M11)</f>
        <v>0</v>
      </c>
      <c r="N10" s="6">
        <f t="shared" si="0"/>
        <v>1524423.75</v>
      </c>
      <c r="O10" s="6">
        <f t="shared" si="0"/>
        <v>1524423.75</v>
      </c>
      <c r="S10" s="6">
        <f t="shared" ref="S10:U12" si="1">SUM(S11)</f>
        <v>0</v>
      </c>
      <c r="T10" s="6">
        <f t="shared" si="1"/>
        <v>2286635.63</v>
      </c>
      <c r="U10" s="6">
        <f t="shared" si="1"/>
        <v>2286635.63</v>
      </c>
    </row>
    <row r="11" spans="1:21" ht="16.95" customHeight="1" x14ac:dyDescent="0.3">
      <c r="A11" s="10" t="s">
        <v>49</v>
      </c>
      <c r="B11" s="10" t="s">
        <v>50</v>
      </c>
      <c r="C11" s="91" t="s">
        <v>51</v>
      </c>
      <c r="D11" s="92"/>
      <c r="E11" s="92"/>
      <c r="F11" s="92"/>
      <c r="G11" s="92"/>
      <c r="H11" s="92"/>
      <c r="I11" s="93"/>
      <c r="M11" s="6">
        <f t="shared" si="0"/>
        <v>0</v>
      </c>
      <c r="N11" s="6">
        <f t="shared" si="0"/>
        <v>1524423.75</v>
      </c>
      <c r="O11" s="6">
        <f t="shared" si="0"/>
        <v>1524423.75</v>
      </c>
      <c r="S11" s="6">
        <f t="shared" si="1"/>
        <v>0</v>
      </c>
      <c r="T11" s="6">
        <f t="shared" si="1"/>
        <v>2286635.63</v>
      </c>
      <c r="U11" s="6">
        <f t="shared" si="1"/>
        <v>2286635.63</v>
      </c>
    </row>
    <row r="12" spans="1:21" ht="16.95" customHeight="1" x14ac:dyDescent="0.3">
      <c r="A12" s="10" t="s">
        <v>52</v>
      </c>
      <c r="B12" s="10" t="s">
        <v>53</v>
      </c>
      <c r="C12" s="91" t="s">
        <v>54</v>
      </c>
      <c r="D12" s="92"/>
      <c r="E12" s="92"/>
      <c r="F12" s="92"/>
      <c r="G12" s="92"/>
      <c r="H12" s="92"/>
      <c r="I12" s="93"/>
      <c r="M12" s="6">
        <f t="shared" si="0"/>
        <v>0</v>
      </c>
      <c r="N12" s="6">
        <f t="shared" si="0"/>
        <v>1524423.75</v>
      </c>
      <c r="O12" s="6">
        <f t="shared" si="0"/>
        <v>1524423.75</v>
      </c>
      <c r="S12" s="6">
        <f t="shared" si="1"/>
        <v>0</v>
      </c>
      <c r="T12" s="6">
        <f t="shared" si="1"/>
        <v>2286635.63</v>
      </c>
      <c r="U12" s="6">
        <f t="shared" si="1"/>
        <v>2286635.63</v>
      </c>
    </row>
    <row r="13" spans="1:21" ht="16.95" customHeight="1" x14ac:dyDescent="0.3">
      <c r="A13" s="10" t="s">
        <v>55</v>
      </c>
      <c r="B13" s="10" t="s">
        <v>56</v>
      </c>
      <c r="C13" s="91" t="s">
        <v>57</v>
      </c>
      <c r="D13" s="92"/>
      <c r="E13" s="92"/>
      <c r="F13" s="92"/>
      <c r="G13" s="92"/>
      <c r="H13" s="92"/>
      <c r="I13" s="93"/>
      <c r="M13" s="6">
        <f>SUM(M14,M15)</f>
        <v>0</v>
      </c>
      <c r="N13" s="6">
        <f>SUM(N14,N15)</f>
        <v>1524423.75</v>
      </c>
      <c r="O13" s="6">
        <f>SUM(O14,O15)</f>
        <v>1524423.75</v>
      </c>
      <c r="S13" s="6">
        <f>SUM(S14,S15)</f>
        <v>0</v>
      </c>
      <c r="T13" s="6">
        <f>SUM(T14,T15)</f>
        <v>2286635.63</v>
      </c>
      <c r="U13" s="6">
        <f>SUM(U14,U15)</f>
        <v>2286635.63</v>
      </c>
    </row>
    <row r="14" spans="1:21" ht="91.05" customHeight="1" x14ac:dyDescent="0.3">
      <c r="A14" s="10" t="s">
        <v>58</v>
      </c>
      <c r="B14" s="10" t="s">
        <v>59</v>
      </c>
      <c r="C14" s="14" t="s">
        <v>60</v>
      </c>
      <c r="D14" s="15"/>
      <c r="E14" s="15" t="s">
        <v>61</v>
      </c>
      <c r="F14" s="15" t="s">
        <v>62</v>
      </c>
      <c r="G14" s="16">
        <v>1</v>
      </c>
      <c r="H14" s="16"/>
      <c r="I14" s="16">
        <v>1707.54</v>
      </c>
      <c r="J14" s="17">
        <v>0</v>
      </c>
      <c r="K14" s="18">
        <v>375</v>
      </c>
      <c r="L14" s="17">
        <f>J14+ROUND(K14, 2)</f>
        <v>375</v>
      </c>
      <c r="M14" s="17">
        <v>0</v>
      </c>
      <c r="N14" s="17">
        <f>ROUND(I14*ROUND(K14, 2), 2)</f>
        <v>640327.5</v>
      </c>
      <c r="O14" s="17">
        <f>M14+N14</f>
        <v>640327.5</v>
      </c>
      <c r="P14" s="17">
        <v>0</v>
      </c>
      <c r="Q14" s="19">
        <v>562.5</v>
      </c>
      <c r="R14" s="17">
        <f>P14+ROUND(Q14, 2)</f>
        <v>562.5</v>
      </c>
      <c r="S14" s="17">
        <v>0</v>
      </c>
      <c r="T14" s="17">
        <f>ROUND(I14*ROUND(Q14, 2), 2)</f>
        <v>960491.25</v>
      </c>
      <c r="U14" s="17">
        <f>S14+T14</f>
        <v>960491.25</v>
      </c>
    </row>
    <row r="15" spans="1:21" ht="87.45" customHeight="1" x14ac:dyDescent="0.3">
      <c r="A15" s="10" t="s">
        <v>66</v>
      </c>
      <c r="B15" s="10" t="s">
        <v>59</v>
      </c>
      <c r="C15" s="14" t="s">
        <v>60</v>
      </c>
      <c r="D15" s="15"/>
      <c r="E15" s="15" t="s">
        <v>67</v>
      </c>
      <c r="F15" s="15" t="s">
        <v>62</v>
      </c>
      <c r="G15" s="16">
        <v>1</v>
      </c>
      <c r="H15" s="16"/>
      <c r="I15" s="16">
        <v>2357.59</v>
      </c>
      <c r="J15" s="17">
        <v>0</v>
      </c>
      <c r="K15" s="18">
        <v>375</v>
      </c>
      <c r="L15" s="17">
        <f>J15+ROUND(K15, 2)</f>
        <v>375</v>
      </c>
      <c r="M15" s="17">
        <v>0</v>
      </c>
      <c r="N15" s="17">
        <f>ROUND(I15*ROUND(K15, 2), 2)</f>
        <v>884096.25</v>
      </c>
      <c r="O15" s="17">
        <f>M15+N15</f>
        <v>884096.25</v>
      </c>
      <c r="P15" s="17">
        <v>0</v>
      </c>
      <c r="Q15" s="19">
        <v>562.5</v>
      </c>
      <c r="R15" s="17">
        <f>P15+ROUND(Q15, 2)</f>
        <v>562.5</v>
      </c>
      <c r="S15" s="17">
        <v>0</v>
      </c>
      <c r="T15" s="17">
        <f>ROUND(I15*ROUND(Q15, 2), 2)</f>
        <v>1326144.3799999999</v>
      </c>
      <c r="U15" s="17">
        <f>S15+T15</f>
        <v>1326144.3799999999</v>
      </c>
    </row>
    <row r="16" spans="1:21" ht="16.95" customHeight="1" x14ac:dyDescent="0.3">
      <c r="A16" s="10" t="s">
        <v>68</v>
      </c>
      <c r="B16" s="10" t="s">
        <v>69</v>
      </c>
      <c r="C16" s="91" t="s">
        <v>70</v>
      </c>
      <c r="D16" s="92"/>
      <c r="E16" s="92"/>
      <c r="F16" s="92"/>
      <c r="G16" s="92"/>
      <c r="H16" s="92"/>
      <c r="I16" s="93"/>
      <c r="M16" s="6">
        <f t="shared" ref="M16:O19" si="2">SUM(M17)</f>
        <v>49224.53</v>
      </c>
      <c r="N16" s="6">
        <f t="shared" si="2"/>
        <v>128833.69999999998</v>
      </c>
      <c r="O16" s="6">
        <f t="shared" si="2"/>
        <v>178058.23</v>
      </c>
      <c r="S16" s="6">
        <f t="shared" ref="S16:U19" si="3">SUM(S17)</f>
        <v>123088.61</v>
      </c>
      <c r="T16" s="6">
        <f t="shared" si="3"/>
        <v>193250.55</v>
      </c>
      <c r="U16" s="6">
        <f t="shared" si="3"/>
        <v>316339.16000000003</v>
      </c>
    </row>
    <row r="17" spans="1:21" ht="16.95" customHeight="1" x14ac:dyDescent="0.3">
      <c r="A17" s="10" t="s">
        <v>71</v>
      </c>
      <c r="B17" s="10" t="s">
        <v>72</v>
      </c>
      <c r="C17" s="91" t="s">
        <v>73</v>
      </c>
      <c r="D17" s="92"/>
      <c r="E17" s="92"/>
      <c r="F17" s="92"/>
      <c r="G17" s="92"/>
      <c r="H17" s="92"/>
      <c r="I17" s="93"/>
      <c r="M17" s="6">
        <f t="shared" si="2"/>
        <v>49224.53</v>
      </c>
      <c r="N17" s="6">
        <f t="shared" si="2"/>
        <v>128833.69999999998</v>
      </c>
      <c r="O17" s="6">
        <f t="shared" si="2"/>
        <v>178058.23</v>
      </c>
      <c r="S17" s="6">
        <f t="shared" si="3"/>
        <v>123088.61</v>
      </c>
      <c r="T17" s="6">
        <f t="shared" si="3"/>
        <v>193250.55</v>
      </c>
      <c r="U17" s="6">
        <f t="shared" si="3"/>
        <v>316339.16000000003</v>
      </c>
    </row>
    <row r="18" spans="1:21" ht="16.95" customHeight="1" x14ac:dyDescent="0.3">
      <c r="A18" s="10" t="s">
        <v>74</v>
      </c>
      <c r="B18" s="10" t="s">
        <v>75</v>
      </c>
      <c r="C18" s="91" t="s">
        <v>76</v>
      </c>
      <c r="D18" s="92"/>
      <c r="E18" s="92"/>
      <c r="F18" s="92"/>
      <c r="G18" s="92"/>
      <c r="H18" s="92"/>
      <c r="I18" s="93"/>
      <c r="M18" s="6">
        <f t="shared" si="2"/>
        <v>49224.53</v>
      </c>
      <c r="N18" s="6">
        <f t="shared" si="2"/>
        <v>128833.69999999998</v>
      </c>
      <c r="O18" s="6">
        <f t="shared" si="2"/>
        <v>178058.23</v>
      </c>
      <c r="S18" s="6">
        <f t="shared" si="3"/>
        <v>123088.61</v>
      </c>
      <c r="T18" s="6">
        <f t="shared" si="3"/>
        <v>193250.55</v>
      </c>
      <c r="U18" s="6">
        <f t="shared" si="3"/>
        <v>316339.16000000003</v>
      </c>
    </row>
    <row r="19" spans="1:21" ht="16.95" customHeight="1" x14ac:dyDescent="0.3">
      <c r="A19" s="10" t="s">
        <v>77</v>
      </c>
      <c r="B19" s="10" t="s">
        <v>78</v>
      </c>
      <c r="C19" s="91" t="s">
        <v>79</v>
      </c>
      <c r="D19" s="92"/>
      <c r="E19" s="92"/>
      <c r="F19" s="92"/>
      <c r="G19" s="92"/>
      <c r="H19" s="92"/>
      <c r="I19" s="93"/>
      <c r="M19" s="6">
        <f t="shared" si="2"/>
        <v>49224.53</v>
      </c>
      <c r="N19" s="6">
        <f t="shared" si="2"/>
        <v>128833.69999999998</v>
      </c>
      <c r="O19" s="6">
        <f t="shared" si="2"/>
        <v>178058.23</v>
      </c>
      <c r="S19" s="6">
        <f t="shared" si="3"/>
        <v>123088.61</v>
      </c>
      <c r="T19" s="6">
        <f t="shared" si="3"/>
        <v>193250.55</v>
      </c>
      <c r="U19" s="6">
        <f t="shared" si="3"/>
        <v>316339.16000000003</v>
      </c>
    </row>
    <row r="20" spans="1:21" ht="16.95" customHeight="1" x14ac:dyDescent="0.3">
      <c r="A20" s="10" t="s">
        <v>80</v>
      </c>
      <c r="B20" s="10" t="s">
        <v>81</v>
      </c>
      <c r="C20" s="91" t="s">
        <v>82</v>
      </c>
      <c r="D20" s="92"/>
      <c r="E20" s="92"/>
      <c r="F20" s="92"/>
      <c r="G20" s="92"/>
      <c r="H20" s="92"/>
      <c r="I20" s="93"/>
      <c r="M20" s="6">
        <f>SUM(M21,M26,M31,M36,M41,M46,M51,M56)</f>
        <v>49224.53</v>
      </c>
      <c r="N20" s="6">
        <f>SUM(N21,N26,N31,N36,N41,N46,N51,N56)</f>
        <v>128833.69999999998</v>
      </c>
      <c r="O20" s="6">
        <f>SUM(O21,O26,O31,O36,O41,O46,O51,O56)</f>
        <v>178058.23</v>
      </c>
      <c r="S20" s="6">
        <f>SUM(S21,S26,S31,S36,S41,S46,S51,S56)</f>
        <v>123088.61</v>
      </c>
      <c r="T20" s="6">
        <f>SUM(T21,T26,T31,T36,T41,T46,T51,T56)</f>
        <v>193250.55</v>
      </c>
      <c r="U20" s="6">
        <f>SUM(U21,U26,U31,U36,U41,U46,U51,U56)</f>
        <v>316339.16000000003</v>
      </c>
    </row>
    <row r="21" spans="1:21" ht="36" x14ac:dyDescent="0.3">
      <c r="A21" s="10" t="s">
        <v>83</v>
      </c>
      <c r="B21" s="10" t="s">
        <v>84</v>
      </c>
      <c r="C21" s="14" t="s">
        <v>85</v>
      </c>
      <c r="D21" s="15"/>
      <c r="E21" s="15"/>
      <c r="F21" s="15" t="s">
        <v>62</v>
      </c>
      <c r="G21" s="16">
        <v>1</v>
      </c>
      <c r="H21" s="16"/>
      <c r="I21" s="16">
        <v>0</v>
      </c>
      <c r="J21" s="17">
        <v>0</v>
      </c>
      <c r="K21" s="18">
        <v>2293</v>
      </c>
      <c r="L21" s="17">
        <f>J21+ROUND(K21, 2)</f>
        <v>2293</v>
      </c>
      <c r="M21" s="17">
        <v>0</v>
      </c>
      <c r="N21" s="17">
        <v>0</v>
      </c>
      <c r="O21" s="17">
        <f>M21+N21</f>
        <v>0</v>
      </c>
      <c r="P21" s="17">
        <v>877.6</v>
      </c>
      <c r="Q21" s="18">
        <v>2293</v>
      </c>
      <c r="R21" s="17">
        <f>P21+ROUND(Q21, 2)</f>
        <v>3170.6</v>
      </c>
      <c r="S21" s="17">
        <v>0</v>
      </c>
      <c r="T21" s="17">
        <v>0</v>
      </c>
      <c r="U21" s="17">
        <f>S21+T21</f>
        <v>0</v>
      </c>
    </row>
    <row r="22" spans="1:21" ht="54" x14ac:dyDescent="0.3">
      <c r="A22" s="10" t="s">
        <v>89</v>
      </c>
      <c r="B22" s="10"/>
      <c r="C22" s="24" t="s">
        <v>90</v>
      </c>
      <c r="D22" s="15"/>
      <c r="E22" s="15"/>
      <c r="F22" s="25" t="s">
        <v>91</v>
      </c>
      <c r="G22" s="26">
        <v>1</v>
      </c>
      <c r="H22" s="26"/>
      <c r="I22" s="26">
        <v>0</v>
      </c>
      <c r="J22" s="27">
        <v>102.33</v>
      </c>
      <c r="M22" s="28">
        <f>ROUND(ROUND(J22, 2)*I22, 2)</f>
        <v>0</v>
      </c>
      <c r="P22" s="27">
        <v>102.33</v>
      </c>
      <c r="S22" s="28">
        <f>ROUND(ROUND(P22, 2)*I22, 2)</f>
        <v>0</v>
      </c>
    </row>
    <row r="23" spans="1:21" ht="18" x14ac:dyDescent="0.3">
      <c r="A23" s="10" t="s">
        <v>95</v>
      </c>
      <c r="B23" s="10"/>
      <c r="C23" s="30" t="s">
        <v>96</v>
      </c>
      <c r="D23" s="15"/>
      <c r="E23" s="15"/>
      <c r="F23" s="25" t="s">
        <v>62</v>
      </c>
      <c r="G23" s="26">
        <v>4.2</v>
      </c>
      <c r="H23" s="26"/>
      <c r="I23" s="26">
        <v>0</v>
      </c>
      <c r="J23" s="27">
        <v>104.57</v>
      </c>
      <c r="M23" s="28">
        <f>ROUND(ROUND(J23, 2)*I23, 2)</f>
        <v>0</v>
      </c>
      <c r="P23" s="27">
        <v>104.57</v>
      </c>
      <c r="S23" s="28">
        <f>ROUND(ROUND(P23, 2)*I23, 2)</f>
        <v>0</v>
      </c>
    </row>
    <row r="24" spans="1:21" ht="18" x14ac:dyDescent="0.3">
      <c r="A24" s="10" t="s">
        <v>100</v>
      </c>
      <c r="B24" s="10"/>
      <c r="C24" s="30" t="s">
        <v>101</v>
      </c>
      <c r="D24" s="15"/>
      <c r="E24" s="15"/>
      <c r="F24" s="25" t="s">
        <v>102</v>
      </c>
      <c r="G24" s="26">
        <v>4.07</v>
      </c>
      <c r="H24" s="31"/>
      <c r="I24" s="31">
        <v>0</v>
      </c>
      <c r="J24" s="27">
        <v>64.56</v>
      </c>
      <c r="M24" s="28">
        <f>ROUND(ROUND(J24, 2)*I24, 2)</f>
        <v>0</v>
      </c>
      <c r="P24" s="27">
        <v>64.56</v>
      </c>
      <c r="S24" s="28">
        <f>ROUND(ROUND(P24, 2)*I24, 2)</f>
        <v>0</v>
      </c>
    </row>
    <row r="25" spans="1:21" ht="18" x14ac:dyDescent="0.3">
      <c r="A25" s="10" t="s">
        <v>106</v>
      </c>
      <c r="B25" s="10"/>
      <c r="C25" s="30" t="s">
        <v>107</v>
      </c>
      <c r="D25" s="15"/>
      <c r="E25" s="15"/>
      <c r="F25" s="25" t="s">
        <v>102</v>
      </c>
      <c r="G25" s="26">
        <v>1.42</v>
      </c>
      <c r="H25" s="31"/>
      <c r="I25" s="31">
        <v>0</v>
      </c>
      <c r="J25" s="27">
        <v>51.63</v>
      </c>
      <c r="M25" s="28">
        <f>ROUND(ROUND(J25, 2)*I25, 2)</f>
        <v>0</v>
      </c>
      <c r="P25" s="27">
        <v>51.63</v>
      </c>
      <c r="S25" s="28">
        <f>ROUND(ROUND(P25, 2)*I25, 2)</f>
        <v>0</v>
      </c>
    </row>
    <row r="26" spans="1:21" ht="36" x14ac:dyDescent="0.3">
      <c r="A26" s="10" t="s">
        <v>111</v>
      </c>
      <c r="B26" s="10" t="s">
        <v>84</v>
      </c>
      <c r="C26" s="14" t="s">
        <v>85</v>
      </c>
      <c r="D26" s="15"/>
      <c r="E26" s="15"/>
      <c r="F26" s="15" t="s">
        <v>62</v>
      </c>
      <c r="G26" s="16">
        <v>1</v>
      </c>
      <c r="H26" s="16"/>
      <c r="I26" s="16">
        <v>0</v>
      </c>
      <c r="J26" s="17">
        <v>0</v>
      </c>
      <c r="K26" s="18">
        <v>2293</v>
      </c>
      <c r="L26" s="17">
        <f>J26+ROUND(K26, 2)</f>
        <v>2293</v>
      </c>
      <c r="M26" s="17">
        <v>0</v>
      </c>
      <c r="N26" s="17">
        <v>0</v>
      </c>
      <c r="O26" s="17">
        <f>M26+N26</f>
        <v>0</v>
      </c>
      <c r="P26" s="17">
        <v>3631.1</v>
      </c>
      <c r="Q26" s="18">
        <v>2293</v>
      </c>
      <c r="R26" s="17">
        <f>P26+ROUND(Q26, 2)</f>
        <v>5924.1</v>
      </c>
      <c r="S26" s="17">
        <v>0</v>
      </c>
      <c r="T26" s="17">
        <v>0</v>
      </c>
      <c r="U26" s="17">
        <f>S26+T26</f>
        <v>0</v>
      </c>
    </row>
    <row r="27" spans="1:21" ht="18" x14ac:dyDescent="0.3">
      <c r="A27" s="10" t="s">
        <v>112</v>
      </c>
      <c r="B27" s="10"/>
      <c r="C27" s="30" t="s">
        <v>101</v>
      </c>
      <c r="D27" s="15"/>
      <c r="E27" s="15"/>
      <c r="F27" s="25" t="s">
        <v>102</v>
      </c>
      <c r="G27" s="26">
        <v>4.07</v>
      </c>
      <c r="H27" s="31"/>
      <c r="I27" s="31">
        <v>0</v>
      </c>
      <c r="J27" s="27">
        <v>64.56</v>
      </c>
      <c r="M27" s="28">
        <f>ROUND(ROUND(J27, 2)*I27, 2)</f>
        <v>0</v>
      </c>
      <c r="P27" s="27">
        <v>64.56</v>
      </c>
      <c r="S27" s="28">
        <f>ROUND(ROUND(P27, 2)*I27, 2)</f>
        <v>0</v>
      </c>
    </row>
    <row r="28" spans="1:21" ht="18" x14ac:dyDescent="0.3">
      <c r="A28" s="10" t="s">
        <v>115</v>
      </c>
      <c r="B28" s="10"/>
      <c r="C28" s="30" t="s">
        <v>107</v>
      </c>
      <c r="D28" s="15"/>
      <c r="E28" s="15"/>
      <c r="F28" s="25" t="s">
        <v>102</v>
      </c>
      <c r="G28" s="26">
        <v>1.42</v>
      </c>
      <c r="H28" s="31"/>
      <c r="I28" s="31">
        <v>0</v>
      </c>
      <c r="J28" s="27">
        <v>51.63</v>
      </c>
      <c r="M28" s="28">
        <f>ROUND(ROUND(J28, 2)*I28, 2)</f>
        <v>0</v>
      </c>
      <c r="P28" s="27">
        <v>51.63</v>
      </c>
      <c r="S28" s="28">
        <f>ROUND(ROUND(P28, 2)*I28, 2)</f>
        <v>0</v>
      </c>
    </row>
    <row r="29" spans="1:21" ht="18" x14ac:dyDescent="0.3">
      <c r="A29" s="10" t="s">
        <v>118</v>
      </c>
      <c r="B29" s="10"/>
      <c r="C29" s="24" t="s">
        <v>119</v>
      </c>
      <c r="D29" s="15"/>
      <c r="E29" s="15"/>
      <c r="F29" s="25" t="s">
        <v>62</v>
      </c>
      <c r="G29" s="26">
        <v>2.1</v>
      </c>
      <c r="H29" s="26"/>
      <c r="I29" s="26">
        <v>0</v>
      </c>
      <c r="J29" s="27">
        <v>135.53</v>
      </c>
      <c r="M29" s="28">
        <f>ROUND(ROUND(J29, 2)*I29, 2)</f>
        <v>0</v>
      </c>
      <c r="P29" s="27">
        <v>1520.33</v>
      </c>
      <c r="S29" s="28">
        <f>ROUND(ROUND(P29, 2)*I29, 2)</f>
        <v>0</v>
      </c>
    </row>
    <row r="30" spans="1:21" ht="54" x14ac:dyDescent="0.3">
      <c r="A30" s="10" t="s">
        <v>123</v>
      </c>
      <c r="B30" s="10"/>
      <c r="C30" s="24" t="s">
        <v>90</v>
      </c>
      <c r="D30" s="15"/>
      <c r="E30" s="15"/>
      <c r="F30" s="25" t="s">
        <v>91</v>
      </c>
      <c r="G30" s="26">
        <v>1</v>
      </c>
      <c r="H30" s="26"/>
      <c r="I30" s="26">
        <v>0</v>
      </c>
      <c r="J30" s="27">
        <v>102.33</v>
      </c>
      <c r="M30" s="28">
        <f>ROUND(ROUND(J30, 2)*I30, 2)</f>
        <v>0</v>
      </c>
      <c r="P30" s="27">
        <v>102.33</v>
      </c>
      <c r="S30" s="28">
        <f>ROUND(ROUND(P30, 2)*I30, 2)</f>
        <v>0</v>
      </c>
    </row>
    <row r="31" spans="1:21" ht="108" customHeight="1" x14ac:dyDescent="0.3">
      <c r="A31" s="10" t="s">
        <v>126</v>
      </c>
      <c r="B31" s="10" t="s">
        <v>84</v>
      </c>
      <c r="C31" s="14" t="s">
        <v>85</v>
      </c>
      <c r="D31" s="15"/>
      <c r="E31" s="15" t="s">
        <v>127</v>
      </c>
      <c r="F31" s="15" t="s">
        <v>62</v>
      </c>
      <c r="G31" s="16">
        <v>1</v>
      </c>
      <c r="H31" s="16"/>
      <c r="I31" s="16">
        <v>6.3</v>
      </c>
      <c r="J31" s="17">
        <v>877.62</v>
      </c>
      <c r="K31" s="18">
        <v>2293</v>
      </c>
      <c r="L31" s="17">
        <f>J31+ROUND(K31, 2)</f>
        <v>3170.62</v>
      </c>
      <c r="M31" s="17">
        <v>5529.01</v>
      </c>
      <c r="N31" s="17">
        <v>14445.9</v>
      </c>
      <c r="O31" s="17">
        <f>M31+N31</f>
        <v>19974.91</v>
      </c>
      <c r="P31" s="17">
        <v>877.6</v>
      </c>
      <c r="Q31" s="18">
        <v>3439.5</v>
      </c>
      <c r="R31" s="17">
        <f>P31+ROUND(Q31, 2)</f>
        <v>4317.1000000000004</v>
      </c>
      <c r="S31" s="17">
        <v>5528.88</v>
      </c>
      <c r="T31" s="17">
        <v>21668.85</v>
      </c>
      <c r="U31" s="17">
        <f>S31+T31</f>
        <v>27197.73</v>
      </c>
    </row>
    <row r="32" spans="1:21" ht="54" x14ac:dyDescent="0.3">
      <c r="A32" s="10" t="s">
        <v>128</v>
      </c>
      <c r="B32" s="10"/>
      <c r="C32" s="24" t="s">
        <v>90</v>
      </c>
      <c r="D32" s="15"/>
      <c r="E32" s="15"/>
      <c r="F32" s="25" t="s">
        <v>91</v>
      </c>
      <c r="G32" s="26">
        <v>1</v>
      </c>
      <c r="H32" s="26"/>
      <c r="I32" s="26">
        <v>6.3</v>
      </c>
      <c r="J32" s="27">
        <v>102.34</v>
      </c>
      <c r="M32" s="28">
        <f>ROUND(ROUND(J32, 2)*I32, 2)</f>
        <v>644.74</v>
      </c>
      <c r="P32" s="27">
        <v>102.33</v>
      </c>
      <c r="S32" s="28">
        <f>ROUND(ROUND(P32, 2)*I32, 2)</f>
        <v>644.67999999999995</v>
      </c>
    </row>
    <row r="33" spans="1:21" ht="18" x14ac:dyDescent="0.3">
      <c r="A33" s="10" t="s">
        <v>131</v>
      </c>
      <c r="B33" s="10"/>
      <c r="C33" s="30" t="s">
        <v>96</v>
      </c>
      <c r="D33" s="15"/>
      <c r="E33" s="15"/>
      <c r="F33" s="25" t="s">
        <v>62</v>
      </c>
      <c r="G33" s="26">
        <v>4.2</v>
      </c>
      <c r="H33" s="26"/>
      <c r="I33" s="26">
        <v>26.46</v>
      </c>
      <c r="J33" s="27">
        <v>104.57</v>
      </c>
      <c r="M33" s="28">
        <f>ROUND(ROUND(J33, 2)*I33, 2)</f>
        <v>2766.92</v>
      </c>
      <c r="P33" s="27">
        <v>104.57</v>
      </c>
      <c r="S33" s="28">
        <f>ROUND(ROUND(P33, 2)*I33, 2)</f>
        <v>2766.92</v>
      </c>
    </row>
    <row r="34" spans="1:21" ht="18" x14ac:dyDescent="0.3">
      <c r="A34" s="10" t="s">
        <v>134</v>
      </c>
      <c r="B34" s="10"/>
      <c r="C34" s="30" t="s">
        <v>101</v>
      </c>
      <c r="D34" s="15"/>
      <c r="E34" s="15"/>
      <c r="F34" s="25" t="s">
        <v>102</v>
      </c>
      <c r="G34" s="26">
        <v>4.07</v>
      </c>
      <c r="H34" s="31"/>
      <c r="I34" s="31">
        <v>25.640999999999998</v>
      </c>
      <c r="J34" s="27">
        <v>64.56</v>
      </c>
      <c r="M34" s="28">
        <f>ROUND(ROUND(J34, 2)*I34, 2)</f>
        <v>1655.38</v>
      </c>
      <c r="P34" s="27">
        <v>64.56</v>
      </c>
      <c r="S34" s="28">
        <f>ROUND(ROUND(P34, 2)*I34, 2)</f>
        <v>1655.38</v>
      </c>
    </row>
    <row r="35" spans="1:21" ht="18" x14ac:dyDescent="0.3">
      <c r="A35" s="10" t="s">
        <v>137</v>
      </c>
      <c r="B35" s="10"/>
      <c r="C35" s="30" t="s">
        <v>107</v>
      </c>
      <c r="D35" s="15"/>
      <c r="E35" s="15"/>
      <c r="F35" s="25" t="s">
        <v>102</v>
      </c>
      <c r="G35" s="26">
        <v>1.42</v>
      </c>
      <c r="H35" s="31"/>
      <c r="I35" s="31">
        <v>8.9459999999999997</v>
      </c>
      <c r="J35" s="27">
        <v>51.64</v>
      </c>
      <c r="M35" s="28">
        <f>ROUND(ROUND(J35, 2)*I35, 2)</f>
        <v>461.97</v>
      </c>
      <c r="P35" s="27">
        <v>51.63</v>
      </c>
      <c r="S35" s="28">
        <f>ROUND(ROUND(P35, 2)*I35, 2)</f>
        <v>461.88</v>
      </c>
    </row>
    <row r="36" spans="1:21" ht="118.05" customHeight="1" x14ac:dyDescent="0.3">
      <c r="A36" s="10" t="s">
        <v>140</v>
      </c>
      <c r="B36" s="10" t="s">
        <v>84</v>
      </c>
      <c r="C36" s="14" t="s">
        <v>85</v>
      </c>
      <c r="D36" s="15"/>
      <c r="E36" s="15" t="s">
        <v>141</v>
      </c>
      <c r="F36" s="15" t="s">
        <v>62</v>
      </c>
      <c r="G36" s="16">
        <v>1</v>
      </c>
      <c r="H36" s="16"/>
      <c r="I36" s="16">
        <v>25.4</v>
      </c>
      <c r="J36" s="17">
        <v>723.04</v>
      </c>
      <c r="K36" s="18">
        <v>2293</v>
      </c>
      <c r="L36" s="17">
        <f>J36+ROUND(K36, 2)</f>
        <v>3016.04</v>
      </c>
      <c r="M36" s="17">
        <v>18365.22</v>
      </c>
      <c r="N36" s="17">
        <v>58242.2</v>
      </c>
      <c r="O36" s="17">
        <f>M36+N36</f>
        <v>76607.42</v>
      </c>
      <c r="P36" s="17">
        <v>3631.1</v>
      </c>
      <c r="Q36" s="18">
        <v>3439.5</v>
      </c>
      <c r="R36" s="17">
        <f>P36+ROUND(Q36, 2)</f>
        <v>7070.6</v>
      </c>
      <c r="S36" s="17">
        <v>92229.94</v>
      </c>
      <c r="T36" s="17">
        <v>87363.3</v>
      </c>
      <c r="U36" s="17">
        <f>S36+T36</f>
        <v>179593.24</v>
      </c>
    </row>
    <row r="37" spans="1:21" ht="18" x14ac:dyDescent="0.3">
      <c r="A37" s="10" t="s">
        <v>142</v>
      </c>
      <c r="B37" s="10"/>
      <c r="C37" s="30" t="s">
        <v>101</v>
      </c>
      <c r="D37" s="15"/>
      <c r="E37" s="15"/>
      <c r="F37" s="25" t="s">
        <v>102</v>
      </c>
      <c r="G37" s="26">
        <v>4.07</v>
      </c>
      <c r="H37" s="31"/>
      <c r="I37" s="31">
        <v>103.378</v>
      </c>
      <c r="J37" s="27">
        <v>64.56</v>
      </c>
      <c r="M37" s="28">
        <f>ROUND(ROUND(J37, 2)*I37, 2)</f>
        <v>6674.08</v>
      </c>
      <c r="P37" s="27">
        <v>64.56</v>
      </c>
      <c r="S37" s="28">
        <f>ROUND(ROUND(P37, 2)*I37, 2)</f>
        <v>6674.08</v>
      </c>
    </row>
    <row r="38" spans="1:21" ht="18" x14ac:dyDescent="0.3">
      <c r="A38" s="10" t="s">
        <v>145</v>
      </c>
      <c r="B38" s="10"/>
      <c r="C38" s="30" t="s">
        <v>107</v>
      </c>
      <c r="D38" s="15"/>
      <c r="E38" s="15"/>
      <c r="F38" s="25" t="s">
        <v>102</v>
      </c>
      <c r="G38" s="26">
        <v>1.42</v>
      </c>
      <c r="H38" s="31"/>
      <c r="I38" s="31">
        <v>36.067999999999998</v>
      </c>
      <c r="J38" s="27">
        <v>51.64</v>
      </c>
      <c r="M38" s="28">
        <f>ROUND(ROUND(J38, 2)*I38, 2)</f>
        <v>1862.55</v>
      </c>
      <c r="P38" s="27">
        <v>51.63</v>
      </c>
      <c r="S38" s="28">
        <f>ROUND(ROUND(P38, 2)*I38, 2)</f>
        <v>1862.19</v>
      </c>
    </row>
    <row r="39" spans="1:21" ht="18" x14ac:dyDescent="0.3">
      <c r="A39" s="10" t="s">
        <v>148</v>
      </c>
      <c r="B39" s="10"/>
      <c r="C39" s="24" t="s">
        <v>119</v>
      </c>
      <c r="D39" s="15"/>
      <c r="E39" s="15" t="s">
        <v>149</v>
      </c>
      <c r="F39" s="25" t="s">
        <v>62</v>
      </c>
      <c r="G39" s="26">
        <v>2.1</v>
      </c>
      <c r="H39" s="26"/>
      <c r="I39" s="26">
        <v>53.34</v>
      </c>
      <c r="J39" s="27">
        <v>135.53</v>
      </c>
      <c r="M39" s="28">
        <f>ROUND(ROUND(J39, 2)*I39, 2)</f>
        <v>7229.17</v>
      </c>
      <c r="P39" s="27">
        <v>1520.33</v>
      </c>
      <c r="S39" s="28">
        <f>ROUND(ROUND(P39, 2)*I39, 2)</f>
        <v>81094.399999999994</v>
      </c>
    </row>
    <row r="40" spans="1:21" ht="54" x14ac:dyDescent="0.3">
      <c r="A40" s="10" t="s">
        <v>152</v>
      </c>
      <c r="B40" s="10"/>
      <c r="C40" s="24" t="s">
        <v>90</v>
      </c>
      <c r="D40" s="15"/>
      <c r="E40" s="15"/>
      <c r="F40" s="25" t="s">
        <v>91</v>
      </c>
      <c r="G40" s="26">
        <v>1</v>
      </c>
      <c r="H40" s="26"/>
      <c r="I40" s="26">
        <v>25.4</v>
      </c>
      <c r="J40" s="27">
        <v>102.34</v>
      </c>
      <c r="M40" s="28">
        <f>ROUND(ROUND(J40, 2)*I40, 2)</f>
        <v>2599.44</v>
      </c>
      <c r="P40" s="27">
        <v>102.33</v>
      </c>
      <c r="S40" s="28">
        <f>ROUND(ROUND(P40, 2)*I40, 2)</f>
        <v>2599.1799999999998</v>
      </c>
    </row>
    <row r="41" spans="1:21" ht="36" x14ac:dyDescent="0.3">
      <c r="A41" s="10" t="s">
        <v>155</v>
      </c>
      <c r="B41" s="10" t="s">
        <v>156</v>
      </c>
      <c r="C41" s="14" t="s">
        <v>157</v>
      </c>
      <c r="D41" s="15" t="s">
        <v>158</v>
      </c>
      <c r="E41" s="15"/>
      <c r="F41" s="15" t="s">
        <v>62</v>
      </c>
      <c r="G41" s="16">
        <v>1</v>
      </c>
      <c r="H41" s="16"/>
      <c r="I41" s="16">
        <v>0</v>
      </c>
      <c r="J41" s="17">
        <v>0</v>
      </c>
      <c r="K41" s="18">
        <v>1064</v>
      </c>
      <c r="L41" s="17">
        <f>J41+ROUND(K41, 2)</f>
        <v>1064</v>
      </c>
      <c r="M41" s="17">
        <v>0</v>
      </c>
      <c r="N41" s="17">
        <v>0</v>
      </c>
      <c r="O41" s="17">
        <f>M41+N41</f>
        <v>0</v>
      </c>
      <c r="P41" s="17">
        <v>333.37</v>
      </c>
      <c r="Q41" s="18">
        <v>1064</v>
      </c>
      <c r="R41" s="17">
        <f>P41+ROUND(Q41, 2)</f>
        <v>1397.37</v>
      </c>
      <c r="S41" s="17">
        <v>0</v>
      </c>
      <c r="T41" s="17">
        <v>0</v>
      </c>
      <c r="U41" s="17">
        <f>S41+T41</f>
        <v>0</v>
      </c>
    </row>
    <row r="42" spans="1:21" ht="54" x14ac:dyDescent="0.3">
      <c r="A42" s="10" t="s">
        <v>161</v>
      </c>
      <c r="B42" s="10"/>
      <c r="C42" s="24" t="s">
        <v>162</v>
      </c>
      <c r="D42" s="15"/>
      <c r="E42" s="15"/>
      <c r="F42" s="25" t="s">
        <v>91</v>
      </c>
      <c r="G42" s="26">
        <v>1</v>
      </c>
      <c r="H42" s="26"/>
      <c r="I42" s="26">
        <v>0</v>
      </c>
      <c r="J42" s="27">
        <v>43.7</v>
      </c>
      <c r="M42" s="28">
        <f>ROUND(ROUND(J42, 2)*I42, 2)</f>
        <v>0</v>
      </c>
      <c r="P42" s="27">
        <v>43.7</v>
      </c>
      <c r="S42" s="28">
        <f>ROUND(ROUND(P42, 2)*I42, 2)</f>
        <v>0</v>
      </c>
    </row>
    <row r="43" spans="1:21" ht="18" x14ac:dyDescent="0.3">
      <c r="A43" s="10" t="s">
        <v>166</v>
      </c>
      <c r="B43" s="10"/>
      <c r="C43" s="30" t="s">
        <v>167</v>
      </c>
      <c r="D43" s="15"/>
      <c r="E43" s="15"/>
      <c r="F43" s="25" t="s">
        <v>62</v>
      </c>
      <c r="G43" s="26">
        <v>1.2</v>
      </c>
      <c r="H43" s="26"/>
      <c r="I43" s="26">
        <v>0</v>
      </c>
      <c r="J43" s="27">
        <v>104.57</v>
      </c>
      <c r="M43" s="28">
        <f>ROUND(ROUND(J43, 2)*I43, 2)</f>
        <v>0</v>
      </c>
      <c r="P43" s="27">
        <v>104.57</v>
      </c>
      <c r="S43" s="28">
        <f>ROUND(ROUND(P43, 2)*I43, 2)</f>
        <v>0</v>
      </c>
    </row>
    <row r="44" spans="1:21" ht="18" x14ac:dyDescent="0.3">
      <c r="A44" s="10" t="s">
        <v>171</v>
      </c>
      <c r="B44" s="10"/>
      <c r="C44" s="30" t="s">
        <v>101</v>
      </c>
      <c r="D44" s="15"/>
      <c r="E44" s="15"/>
      <c r="F44" s="25" t="s">
        <v>102</v>
      </c>
      <c r="G44" s="26">
        <v>2.1</v>
      </c>
      <c r="H44" s="26"/>
      <c r="I44" s="26">
        <v>0</v>
      </c>
      <c r="J44" s="27">
        <v>64.56</v>
      </c>
      <c r="M44" s="28">
        <f>ROUND(ROUND(J44, 2)*I44, 2)</f>
        <v>0</v>
      </c>
      <c r="P44" s="27">
        <v>64.56</v>
      </c>
      <c r="S44" s="28">
        <f>ROUND(ROUND(P44, 2)*I44, 2)</f>
        <v>0</v>
      </c>
    </row>
    <row r="45" spans="1:21" ht="18" x14ac:dyDescent="0.3">
      <c r="A45" s="10" t="s">
        <v>174</v>
      </c>
      <c r="B45" s="10"/>
      <c r="C45" s="24" t="s">
        <v>175</v>
      </c>
      <c r="D45" s="15"/>
      <c r="E45" s="15"/>
      <c r="F45" s="25" t="s">
        <v>102</v>
      </c>
      <c r="G45" s="26">
        <v>0.8</v>
      </c>
      <c r="H45" s="26"/>
      <c r="I45" s="26">
        <v>0</v>
      </c>
      <c r="J45" s="27">
        <v>35.76</v>
      </c>
      <c r="M45" s="28">
        <f>ROUND(ROUND(J45, 2)*I45, 2)</f>
        <v>0</v>
      </c>
      <c r="P45" s="27">
        <v>35.76</v>
      </c>
      <c r="S45" s="28">
        <f>ROUND(ROUND(P45, 2)*I45, 2)</f>
        <v>0</v>
      </c>
    </row>
    <row r="46" spans="1:21" ht="82.5" customHeight="1" x14ac:dyDescent="0.3">
      <c r="A46" s="10" t="s">
        <v>179</v>
      </c>
      <c r="B46" s="10" t="s">
        <v>156</v>
      </c>
      <c r="C46" s="14" t="s">
        <v>157</v>
      </c>
      <c r="D46" s="15" t="s">
        <v>158</v>
      </c>
      <c r="E46" s="15" t="s">
        <v>180</v>
      </c>
      <c r="F46" s="15" t="s">
        <v>62</v>
      </c>
      <c r="G46" s="16">
        <v>1</v>
      </c>
      <c r="H46" s="16"/>
      <c r="I46" s="16">
        <v>45.4</v>
      </c>
      <c r="J46" s="17">
        <v>484.9</v>
      </c>
      <c r="K46" s="18">
        <v>1064</v>
      </c>
      <c r="L46" s="17">
        <f>J46+ROUND(K46, 2)</f>
        <v>1548.9</v>
      </c>
      <c r="M46" s="17">
        <v>22014.46</v>
      </c>
      <c r="N46" s="17">
        <v>48305.599999999999</v>
      </c>
      <c r="O46" s="17">
        <f>M46+N46</f>
        <v>70320.06</v>
      </c>
      <c r="P46" s="17">
        <v>484.89</v>
      </c>
      <c r="Q46" s="18">
        <v>1596</v>
      </c>
      <c r="R46" s="17">
        <f>P46+ROUND(Q46, 2)</f>
        <v>2080.89</v>
      </c>
      <c r="S46" s="17">
        <v>22014.01</v>
      </c>
      <c r="T46" s="17">
        <v>72458.399999999994</v>
      </c>
      <c r="U46" s="17">
        <f>S46+T46</f>
        <v>94472.409999999989</v>
      </c>
    </row>
    <row r="47" spans="1:21" ht="18" x14ac:dyDescent="0.3">
      <c r="A47" s="10" t="s">
        <v>181</v>
      </c>
      <c r="B47" s="10"/>
      <c r="C47" s="24" t="s">
        <v>175</v>
      </c>
      <c r="D47" s="15"/>
      <c r="E47" s="15"/>
      <c r="F47" s="25" t="s">
        <v>102</v>
      </c>
      <c r="G47" s="26">
        <v>0.8</v>
      </c>
      <c r="H47" s="26"/>
      <c r="I47" s="26">
        <v>36.32</v>
      </c>
      <c r="J47" s="27">
        <v>35.76</v>
      </c>
      <c r="M47" s="28">
        <f>ROUND(ROUND(J47, 2)*I47, 2)</f>
        <v>1298.8</v>
      </c>
      <c r="P47" s="27">
        <v>35.76</v>
      </c>
      <c r="S47" s="28">
        <f>ROUND(ROUND(P47, 2)*I47, 2)</f>
        <v>1298.8</v>
      </c>
    </row>
    <row r="48" spans="1:21" ht="18" x14ac:dyDescent="0.3">
      <c r="A48" s="10" t="s">
        <v>184</v>
      </c>
      <c r="B48" s="10"/>
      <c r="C48" s="30" t="s">
        <v>107</v>
      </c>
      <c r="D48" s="15"/>
      <c r="E48" s="15"/>
      <c r="F48" s="25" t="s">
        <v>102</v>
      </c>
      <c r="G48" s="26">
        <v>0.8</v>
      </c>
      <c r="H48" s="26"/>
      <c r="I48" s="26">
        <v>36.32</v>
      </c>
      <c r="J48" s="27">
        <v>51.64</v>
      </c>
      <c r="M48" s="28">
        <f>ROUND(ROUND(J48, 2)*I48, 2)</f>
        <v>1875.56</v>
      </c>
      <c r="P48" s="27">
        <v>51.63</v>
      </c>
      <c r="S48" s="28">
        <f>ROUND(ROUND(P48, 2)*I48, 2)</f>
        <v>1875.2</v>
      </c>
    </row>
    <row r="49" spans="1:21" ht="18" x14ac:dyDescent="0.3">
      <c r="A49" s="10" t="s">
        <v>187</v>
      </c>
      <c r="B49" s="10"/>
      <c r="C49" s="30" t="s">
        <v>188</v>
      </c>
      <c r="D49" s="15"/>
      <c r="E49" s="15"/>
      <c r="F49" s="25" t="s">
        <v>62</v>
      </c>
      <c r="G49" s="26">
        <v>1.2</v>
      </c>
      <c r="H49" s="26"/>
      <c r="I49" s="26">
        <v>54.48</v>
      </c>
      <c r="J49" s="27">
        <v>309.39999999999998</v>
      </c>
      <c r="M49" s="28">
        <f>ROUND(ROUND(J49, 2)*I49, 2)</f>
        <v>16856.11</v>
      </c>
      <c r="P49" s="27">
        <v>309.39999999999998</v>
      </c>
      <c r="S49" s="28">
        <f>ROUND(ROUND(P49, 2)*I49, 2)</f>
        <v>16856.11</v>
      </c>
    </row>
    <row r="50" spans="1:21" ht="54" x14ac:dyDescent="0.3">
      <c r="A50" s="10" t="s">
        <v>192</v>
      </c>
      <c r="B50" s="10"/>
      <c r="C50" s="24" t="s">
        <v>162</v>
      </c>
      <c r="D50" s="15"/>
      <c r="E50" s="15"/>
      <c r="F50" s="25" t="s">
        <v>91</v>
      </c>
      <c r="G50" s="26">
        <v>1</v>
      </c>
      <c r="H50" s="26"/>
      <c r="I50" s="26">
        <v>45.4</v>
      </c>
      <c r="J50" s="27">
        <v>43.7</v>
      </c>
      <c r="M50" s="28">
        <f>ROUND(ROUND(J50, 2)*I50, 2)</f>
        <v>1983.98</v>
      </c>
      <c r="P50" s="27">
        <v>43.7</v>
      </c>
      <c r="S50" s="28">
        <f>ROUND(ROUND(P50, 2)*I50, 2)</f>
        <v>1983.98</v>
      </c>
    </row>
    <row r="51" spans="1:21" ht="36" x14ac:dyDescent="0.3">
      <c r="A51" s="10" t="s">
        <v>195</v>
      </c>
      <c r="B51" s="10" t="s">
        <v>196</v>
      </c>
      <c r="C51" s="14" t="s">
        <v>197</v>
      </c>
      <c r="D51" s="15" t="s">
        <v>158</v>
      </c>
      <c r="E51" s="15"/>
      <c r="F51" s="15" t="s">
        <v>62</v>
      </c>
      <c r="G51" s="16">
        <v>1</v>
      </c>
      <c r="H51" s="16"/>
      <c r="I51" s="16">
        <v>0</v>
      </c>
      <c r="J51" s="17">
        <v>0</v>
      </c>
      <c r="K51" s="18">
        <v>1225</v>
      </c>
      <c r="L51" s="17">
        <f>J51+ROUND(K51, 2)</f>
        <v>1225</v>
      </c>
      <c r="M51" s="17">
        <v>0</v>
      </c>
      <c r="N51" s="17">
        <v>0</v>
      </c>
      <c r="O51" s="17">
        <f>M51+N51</f>
        <v>0</v>
      </c>
      <c r="P51" s="17">
        <v>518.09</v>
      </c>
      <c r="Q51" s="18">
        <v>1225</v>
      </c>
      <c r="R51" s="17">
        <f>P51+ROUND(Q51, 2)</f>
        <v>1743.0900000000001</v>
      </c>
      <c r="S51" s="17">
        <v>0</v>
      </c>
      <c r="T51" s="17">
        <v>0</v>
      </c>
      <c r="U51" s="17">
        <f>S51+T51</f>
        <v>0</v>
      </c>
    </row>
    <row r="52" spans="1:21" ht="54" x14ac:dyDescent="0.3">
      <c r="A52" s="10" t="s">
        <v>200</v>
      </c>
      <c r="B52" s="10"/>
      <c r="C52" s="24" t="s">
        <v>201</v>
      </c>
      <c r="D52" s="15"/>
      <c r="E52" s="15"/>
      <c r="F52" s="25" t="s">
        <v>91</v>
      </c>
      <c r="G52" s="26">
        <v>1</v>
      </c>
      <c r="H52" s="26"/>
      <c r="I52" s="26">
        <v>0</v>
      </c>
      <c r="J52" s="27">
        <v>111.15</v>
      </c>
      <c r="M52" s="28">
        <f>ROUND(ROUND(J52, 2)*I52, 2)</f>
        <v>0</v>
      </c>
      <c r="P52" s="27">
        <v>111.15</v>
      </c>
      <c r="S52" s="28">
        <f>ROUND(ROUND(P52, 2)*I52, 2)</f>
        <v>0</v>
      </c>
    </row>
    <row r="53" spans="1:21" ht="18" x14ac:dyDescent="0.3">
      <c r="A53" s="10" t="s">
        <v>205</v>
      </c>
      <c r="B53" s="10"/>
      <c r="C53" s="30" t="s">
        <v>96</v>
      </c>
      <c r="D53" s="15"/>
      <c r="E53" s="15"/>
      <c r="F53" s="25" t="s">
        <v>62</v>
      </c>
      <c r="G53" s="26">
        <v>2.2000000000000002</v>
      </c>
      <c r="H53" s="26"/>
      <c r="I53" s="26">
        <v>0</v>
      </c>
      <c r="J53" s="27">
        <v>104.57</v>
      </c>
      <c r="M53" s="28">
        <f>ROUND(ROUND(J53, 2)*I53, 2)</f>
        <v>0</v>
      </c>
      <c r="P53" s="27">
        <v>104.57</v>
      </c>
      <c r="S53" s="28">
        <f>ROUND(ROUND(P53, 2)*I53, 2)</f>
        <v>0</v>
      </c>
    </row>
    <row r="54" spans="1:21" ht="18" x14ac:dyDescent="0.3">
      <c r="A54" s="10" t="s">
        <v>209</v>
      </c>
      <c r="B54" s="10"/>
      <c r="C54" s="30" t="s">
        <v>101</v>
      </c>
      <c r="D54" s="15"/>
      <c r="E54" s="15"/>
      <c r="F54" s="25" t="s">
        <v>102</v>
      </c>
      <c r="G54" s="26">
        <v>2.1</v>
      </c>
      <c r="H54" s="26"/>
      <c r="I54" s="26">
        <v>0</v>
      </c>
      <c r="J54" s="27">
        <v>64.56</v>
      </c>
      <c r="M54" s="28">
        <f>ROUND(ROUND(J54, 2)*I54, 2)</f>
        <v>0</v>
      </c>
      <c r="P54" s="27">
        <v>64.56</v>
      </c>
      <c r="S54" s="28">
        <f>ROUND(ROUND(P54, 2)*I54, 2)</f>
        <v>0</v>
      </c>
    </row>
    <row r="55" spans="1:21" ht="18" x14ac:dyDescent="0.3">
      <c r="A55" s="10" t="s">
        <v>212</v>
      </c>
      <c r="B55" s="10"/>
      <c r="C55" s="30" t="s">
        <v>107</v>
      </c>
      <c r="D55" s="15"/>
      <c r="E55" s="15"/>
      <c r="F55" s="25" t="s">
        <v>102</v>
      </c>
      <c r="G55" s="26">
        <v>0.8</v>
      </c>
      <c r="H55" s="26"/>
      <c r="I55" s="26">
        <v>0</v>
      </c>
      <c r="J55" s="27">
        <v>51.63</v>
      </c>
      <c r="M55" s="28">
        <f>ROUND(ROUND(J55, 2)*I55, 2)</f>
        <v>0</v>
      </c>
      <c r="P55" s="27">
        <v>51.63</v>
      </c>
      <c r="S55" s="28">
        <f>ROUND(ROUND(P55, 2)*I55, 2)</f>
        <v>0</v>
      </c>
    </row>
    <row r="56" spans="1:21" ht="72" customHeight="1" x14ac:dyDescent="0.3">
      <c r="A56" s="10" t="s">
        <v>215</v>
      </c>
      <c r="B56" s="10" t="s">
        <v>196</v>
      </c>
      <c r="C56" s="14" t="s">
        <v>197</v>
      </c>
      <c r="D56" s="15" t="s">
        <v>158</v>
      </c>
      <c r="E56" s="15" t="s">
        <v>216</v>
      </c>
      <c r="F56" s="15" t="s">
        <v>62</v>
      </c>
      <c r="G56" s="16">
        <v>1</v>
      </c>
      <c r="H56" s="16"/>
      <c r="I56" s="16">
        <v>6.4</v>
      </c>
      <c r="J56" s="17">
        <v>518.1</v>
      </c>
      <c r="K56" s="18">
        <v>1225</v>
      </c>
      <c r="L56" s="17">
        <f>J56+ROUND(K56, 2)</f>
        <v>1743.1</v>
      </c>
      <c r="M56" s="17">
        <v>3315.84</v>
      </c>
      <c r="N56" s="17">
        <v>7840</v>
      </c>
      <c r="O56" s="17">
        <f>M56+N56</f>
        <v>11155.84</v>
      </c>
      <c r="P56" s="17">
        <v>518.09</v>
      </c>
      <c r="Q56" s="18">
        <v>1837.5</v>
      </c>
      <c r="R56" s="17">
        <f>P56+ROUND(Q56, 2)</f>
        <v>2355.59</v>
      </c>
      <c r="S56" s="17">
        <v>3315.78</v>
      </c>
      <c r="T56" s="17">
        <v>11760</v>
      </c>
      <c r="U56" s="17">
        <f>S56+T56</f>
        <v>15075.78</v>
      </c>
    </row>
    <row r="57" spans="1:21" ht="18" x14ac:dyDescent="0.3">
      <c r="A57" s="10" t="s">
        <v>217</v>
      </c>
      <c r="B57" s="10"/>
      <c r="C57" s="30" t="s">
        <v>101</v>
      </c>
      <c r="D57" s="15"/>
      <c r="E57" s="15"/>
      <c r="F57" s="25" t="s">
        <v>102</v>
      </c>
      <c r="G57" s="26">
        <v>2.1</v>
      </c>
      <c r="H57" s="26"/>
      <c r="I57" s="26">
        <v>13.44</v>
      </c>
      <c r="J57" s="27">
        <v>64.56</v>
      </c>
      <c r="M57" s="28">
        <f>ROUND(ROUND(J57, 2)*I57, 2)</f>
        <v>867.69</v>
      </c>
      <c r="P57" s="27">
        <v>64.56</v>
      </c>
      <c r="S57" s="28">
        <f>ROUND(ROUND(P57, 2)*I57, 2)</f>
        <v>867.69</v>
      </c>
    </row>
    <row r="58" spans="1:21" ht="18" x14ac:dyDescent="0.3">
      <c r="A58" s="10" t="s">
        <v>220</v>
      </c>
      <c r="B58" s="10"/>
      <c r="C58" s="30" t="s">
        <v>107</v>
      </c>
      <c r="D58" s="15"/>
      <c r="E58" s="15"/>
      <c r="F58" s="25" t="s">
        <v>102</v>
      </c>
      <c r="G58" s="26">
        <v>0.8</v>
      </c>
      <c r="H58" s="26"/>
      <c r="I58" s="26">
        <v>5.12</v>
      </c>
      <c r="J58" s="27">
        <v>51.64</v>
      </c>
      <c r="M58" s="28">
        <f>ROUND(ROUND(J58, 2)*I58, 2)</f>
        <v>264.39999999999998</v>
      </c>
      <c r="P58" s="27">
        <v>51.63</v>
      </c>
      <c r="S58" s="28">
        <f>ROUND(ROUND(P58, 2)*I58, 2)</f>
        <v>264.35000000000002</v>
      </c>
    </row>
    <row r="59" spans="1:21" ht="18" x14ac:dyDescent="0.3">
      <c r="A59" s="10" t="s">
        <v>223</v>
      </c>
      <c r="B59" s="10"/>
      <c r="C59" s="30" t="s">
        <v>96</v>
      </c>
      <c r="D59" s="15"/>
      <c r="E59" s="15"/>
      <c r="F59" s="25" t="s">
        <v>62</v>
      </c>
      <c r="G59" s="26">
        <v>2.2000000000000002</v>
      </c>
      <c r="H59" s="26"/>
      <c r="I59" s="26">
        <v>14.08</v>
      </c>
      <c r="J59" s="27">
        <v>104.57</v>
      </c>
      <c r="M59" s="28">
        <f>ROUND(ROUND(J59, 2)*I59, 2)</f>
        <v>1472.35</v>
      </c>
      <c r="P59" s="27">
        <v>104.57</v>
      </c>
      <c r="S59" s="28">
        <f>ROUND(ROUND(P59, 2)*I59, 2)</f>
        <v>1472.35</v>
      </c>
    </row>
    <row r="60" spans="1:21" ht="54" x14ac:dyDescent="0.3">
      <c r="A60" s="10" t="s">
        <v>226</v>
      </c>
      <c r="B60" s="10"/>
      <c r="C60" s="24" t="s">
        <v>201</v>
      </c>
      <c r="D60" s="15"/>
      <c r="E60" s="15"/>
      <c r="F60" s="25" t="s">
        <v>91</v>
      </c>
      <c r="G60" s="26">
        <v>1</v>
      </c>
      <c r="H60" s="26"/>
      <c r="I60" s="26">
        <v>6.4</v>
      </c>
      <c r="J60" s="27">
        <v>111.16</v>
      </c>
      <c r="M60" s="28">
        <f>ROUND(ROUND(J60, 2)*I60, 2)</f>
        <v>711.42</v>
      </c>
      <c r="P60" s="27">
        <v>111.15</v>
      </c>
      <c r="S60" s="28">
        <f>ROUND(ROUND(P60, 2)*I60, 2)</f>
        <v>711.36</v>
      </c>
    </row>
    <row r="61" spans="1:21" ht="16.95" customHeight="1" x14ac:dyDescent="0.3">
      <c r="A61" s="10" t="s">
        <v>229</v>
      </c>
      <c r="B61" s="10" t="s">
        <v>230</v>
      </c>
      <c r="C61" s="91" t="s">
        <v>231</v>
      </c>
      <c r="D61" s="92"/>
      <c r="E61" s="92"/>
      <c r="F61" s="92"/>
      <c r="G61" s="92"/>
      <c r="H61" s="92"/>
      <c r="I61" s="93"/>
      <c r="M61" s="6">
        <f t="shared" ref="M61:O62" si="4">SUM(M62)</f>
        <v>48466927.140000001</v>
      </c>
      <c r="N61" s="6">
        <f t="shared" si="4"/>
        <v>85247914.540000007</v>
      </c>
      <c r="O61" s="6">
        <f t="shared" si="4"/>
        <v>133714841.67999999</v>
      </c>
      <c r="S61" s="6">
        <f t="shared" ref="S61:U62" si="5">SUM(S62)</f>
        <v>60448129.980000012</v>
      </c>
      <c r="T61" s="6">
        <f t="shared" si="5"/>
        <v>125333709.64000002</v>
      </c>
      <c r="U61" s="6">
        <f t="shared" si="5"/>
        <v>185781839.61999997</v>
      </c>
    </row>
    <row r="62" spans="1:21" ht="16.95" customHeight="1" x14ac:dyDescent="0.3">
      <c r="A62" s="10" t="s">
        <v>232</v>
      </c>
      <c r="B62" s="10" t="s">
        <v>233</v>
      </c>
      <c r="C62" s="91" t="s">
        <v>234</v>
      </c>
      <c r="D62" s="92"/>
      <c r="E62" s="92"/>
      <c r="F62" s="92"/>
      <c r="G62" s="92"/>
      <c r="H62" s="92"/>
      <c r="I62" s="93"/>
      <c r="M62" s="6">
        <f t="shared" si="4"/>
        <v>48466927.140000001</v>
      </c>
      <c r="N62" s="6">
        <f t="shared" si="4"/>
        <v>85247914.540000007</v>
      </c>
      <c r="O62" s="6">
        <f t="shared" si="4"/>
        <v>133714841.67999999</v>
      </c>
      <c r="S62" s="6">
        <f t="shared" si="5"/>
        <v>60448129.980000012</v>
      </c>
      <c r="T62" s="6">
        <f t="shared" si="5"/>
        <v>125333709.64000002</v>
      </c>
      <c r="U62" s="6">
        <f t="shared" si="5"/>
        <v>185781839.61999997</v>
      </c>
    </row>
    <row r="63" spans="1:21" ht="16.95" customHeight="1" x14ac:dyDescent="0.3">
      <c r="A63" s="10" t="s">
        <v>235</v>
      </c>
      <c r="B63" s="10" t="s">
        <v>236</v>
      </c>
      <c r="C63" s="91" t="s">
        <v>237</v>
      </c>
      <c r="D63" s="92"/>
      <c r="E63" s="92"/>
      <c r="F63" s="92"/>
      <c r="G63" s="92"/>
      <c r="H63" s="92"/>
      <c r="I63" s="93"/>
      <c r="M63" s="6">
        <f>SUM(M64,M439,M781,M862,M963,M968)</f>
        <v>48466927.140000001</v>
      </c>
      <c r="N63" s="6">
        <f>SUM(N64,N439,N781,N862,N963,N968)</f>
        <v>85247914.540000007</v>
      </c>
      <c r="O63" s="6">
        <f>SUM(O64,O439,O781,O862,O963,O968)</f>
        <v>133714841.67999999</v>
      </c>
      <c r="S63" s="6">
        <f>SUM(S64,S439,S781,S862,S963,S968)</f>
        <v>60448129.980000012</v>
      </c>
      <c r="T63" s="6">
        <f>SUM(T64,T439,T781,T862,T963,T968)</f>
        <v>125333709.64000002</v>
      </c>
      <c r="U63" s="6">
        <f>SUM(U64,U439,U781,U862,U963,U968)</f>
        <v>185781839.61999997</v>
      </c>
    </row>
    <row r="64" spans="1:21" ht="16.95" customHeight="1" x14ac:dyDescent="0.3">
      <c r="A64" s="10" t="s">
        <v>238</v>
      </c>
      <c r="B64" s="10" t="s">
        <v>239</v>
      </c>
      <c r="C64" s="91" t="s">
        <v>240</v>
      </c>
      <c r="D64" s="92"/>
      <c r="E64" s="92"/>
      <c r="F64" s="92"/>
      <c r="G64" s="92"/>
      <c r="H64" s="92"/>
      <c r="I64" s="93"/>
      <c r="M64" s="6">
        <f>SUM(M65,M96,M117,M432)</f>
        <v>23989256.77</v>
      </c>
      <c r="N64" s="6">
        <f>SUM(N65,N96,N117,N432)</f>
        <v>26065212.199999996</v>
      </c>
      <c r="O64" s="6">
        <f>SUM(O65,O96,O117,O432)</f>
        <v>50054468.969999999</v>
      </c>
      <c r="S64" s="6">
        <f>SUM(S65,S96,S117,S432)</f>
        <v>30980274.400000002</v>
      </c>
      <c r="T64" s="6">
        <f>SUM(T65,T96,T117,T432)</f>
        <v>39089205.550000004</v>
      </c>
      <c r="U64" s="6">
        <f>SUM(U65,U96,U117,U432)</f>
        <v>70069479.950000003</v>
      </c>
    </row>
    <row r="65" spans="1:21" ht="16.95" customHeight="1" x14ac:dyDescent="0.3">
      <c r="A65" s="10" t="s">
        <v>241</v>
      </c>
      <c r="B65" s="10" t="s">
        <v>242</v>
      </c>
      <c r="C65" s="91" t="s">
        <v>243</v>
      </c>
      <c r="D65" s="92"/>
      <c r="E65" s="92"/>
      <c r="F65" s="92"/>
      <c r="G65" s="92"/>
      <c r="H65" s="92"/>
      <c r="I65" s="93"/>
      <c r="M65" s="6">
        <f>SUM(M66,M67,M68,M70,M72,M74,M79,M84,M88,M92)</f>
        <v>884634.92999999993</v>
      </c>
      <c r="N65" s="6">
        <f>SUM(N66,N67,N68,N70,N72,N74,N79,N84,N88,N92)</f>
        <v>4411583.08</v>
      </c>
      <c r="O65" s="6">
        <f>SUM(O66,O67,O68,O70,O72,O74,O79,O84,O88,O92)</f>
        <v>5296218.01</v>
      </c>
      <c r="S65" s="6">
        <f>SUM(S66,S67,S68,S70,S72,S74,S79,S84,S88,S92)</f>
        <v>909375.22</v>
      </c>
      <c r="T65" s="6">
        <f>SUM(T66,T67,T68,T70,T72,T74,T79,T84,T88,T92)</f>
        <v>6617374.620000001</v>
      </c>
      <c r="U65" s="6">
        <f>SUM(U66,U67,U68,U70,U72,U74,U79,U84,U88,U92)</f>
        <v>7526749.8399999999</v>
      </c>
    </row>
    <row r="66" spans="1:21" ht="54" x14ac:dyDescent="0.3">
      <c r="A66" s="10" t="s">
        <v>244</v>
      </c>
      <c r="B66" s="10" t="s">
        <v>245</v>
      </c>
      <c r="C66" s="14" t="s">
        <v>246</v>
      </c>
      <c r="D66" s="15"/>
      <c r="E66" s="15" t="s">
        <v>247</v>
      </c>
      <c r="F66" s="15" t="s">
        <v>62</v>
      </c>
      <c r="G66" s="16">
        <v>1</v>
      </c>
      <c r="H66" s="16"/>
      <c r="I66" s="16">
        <v>1827.2</v>
      </c>
      <c r="J66" s="17">
        <v>0</v>
      </c>
      <c r="K66" s="18">
        <v>270</v>
      </c>
      <c r="L66" s="17">
        <f>J66+ROUND(K66, 2)</f>
        <v>270</v>
      </c>
      <c r="M66" s="17">
        <v>0</v>
      </c>
      <c r="N66" s="17">
        <f>ROUND(I66*ROUND(K66, 2), 2)</f>
        <v>493344</v>
      </c>
      <c r="O66" s="17">
        <f>M66+N66</f>
        <v>493344</v>
      </c>
      <c r="P66" s="17">
        <v>0</v>
      </c>
      <c r="Q66" s="19">
        <v>405</v>
      </c>
      <c r="R66" s="17">
        <f>P66+ROUND(Q66, 2)</f>
        <v>405</v>
      </c>
      <c r="S66" s="17">
        <v>0</v>
      </c>
      <c r="T66" s="17">
        <f>ROUND(I66*ROUND(Q66, 2), 2)</f>
        <v>740016</v>
      </c>
      <c r="U66" s="17">
        <f>S66+T66</f>
        <v>740016</v>
      </c>
    </row>
    <row r="67" spans="1:21" ht="18" x14ac:dyDescent="0.3">
      <c r="A67" s="10" t="s">
        <v>251</v>
      </c>
      <c r="B67" s="10" t="s">
        <v>245</v>
      </c>
      <c r="C67" s="14" t="s">
        <v>246</v>
      </c>
      <c r="D67" s="15"/>
      <c r="E67" s="15" t="s">
        <v>252</v>
      </c>
      <c r="F67" s="15" t="s">
        <v>62</v>
      </c>
      <c r="G67" s="16">
        <v>1</v>
      </c>
      <c r="H67" s="16"/>
      <c r="I67" s="16">
        <v>4193.6000000000004</v>
      </c>
      <c r="J67" s="17">
        <v>0</v>
      </c>
      <c r="K67" s="18">
        <v>270</v>
      </c>
      <c r="L67" s="17">
        <f>J67+ROUND(K67, 2)</f>
        <v>270</v>
      </c>
      <c r="M67" s="17">
        <v>0</v>
      </c>
      <c r="N67" s="17">
        <f>ROUND(I67*ROUND(K67, 2), 2)</f>
        <v>1132272</v>
      </c>
      <c r="O67" s="17">
        <f>M67+N67</f>
        <v>1132272</v>
      </c>
      <c r="P67" s="17">
        <v>0</v>
      </c>
      <c r="Q67" s="19">
        <v>405</v>
      </c>
      <c r="R67" s="17">
        <f>P67+ROUND(Q67, 2)</f>
        <v>405</v>
      </c>
      <c r="S67" s="17">
        <v>0</v>
      </c>
      <c r="T67" s="17">
        <f>ROUND(I67*ROUND(Q67, 2), 2)</f>
        <v>1698408</v>
      </c>
      <c r="U67" s="17">
        <f>S67+T67</f>
        <v>1698408</v>
      </c>
    </row>
    <row r="68" spans="1:21" ht="72" x14ac:dyDescent="0.3">
      <c r="A68" s="10" t="s">
        <v>253</v>
      </c>
      <c r="B68" s="10" t="s">
        <v>254</v>
      </c>
      <c r="C68" s="14" t="s">
        <v>255</v>
      </c>
      <c r="D68" s="15"/>
      <c r="E68" s="15" t="s">
        <v>256</v>
      </c>
      <c r="F68" s="15" t="s">
        <v>62</v>
      </c>
      <c r="G68" s="16">
        <v>1</v>
      </c>
      <c r="H68" s="16"/>
      <c r="I68" s="16">
        <v>39.270000000000003</v>
      </c>
      <c r="J68" s="17">
        <f>IFERROR(ROUND(SUM(M69)/I68, 2),0)</f>
        <v>52.29</v>
      </c>
      <c r="K68" s="18">
        <v>40</v>
      </c>
      <c r="L68" s="17">
        <f>J68+ROUND(K68, 2)</f>
        <v>92.289999999999992</v>
      </c>
      <c r="M68" s="17">
        <f>ROUND(J68*I68, 2)</f>
        <v>2053.4299999999998</v>
      </c>
      <c r="N68" s="17">
        <f>ROUND(I68*ROUND(K68, 2), 2)</f>
        <v>1570.8</v>
      </c>
      <c r="O68" s="17">
        <f>M68+N68</f>
        <v>3624.2299999999996</v>
      </c>
      <c r="P68" s="17">
        <f>IFERROR(ROUND(SUM(S69)/I68, 2),0)</f>
        <v>52.29</v>
      </c>
      <c r="Q68" s="19">
        <v>60</v>
      </c>
      <c r="R68" s="17">
        <f>P68+ROUND(Q68, 2)</f>
        <v>112.28999999999999</v>
      </c>
      <c r="S68" s="17">
        <f>ROUND(P68*I68, 2)</f>
        <v>2053.4299999999998</v>
      </c>
      <c r="T68" s="17">
        <f>ROUND(I68*ROUND(Q68, 2), 2)</f>
        <v>2356.1999999999998</v>
      </c>
      <c r="U68" s="17">
        <f>S68+T68</f>
        <v>4409.6299999999992</v>
      </c>
    </row>
    <row r="69" spans="1:21" ht="18" x14ac:dyDescent="0.3">
      <c r="A69" s="10" t="s">
        <v>259</v>
      </c>
      <c r="B69" s="10"/>
      <c r="C69" s="24" t="s">
        <v>260</v>
      </c>
      <c r="D69" s="15"/>
      <c r="E69" s="15"/>
      <c r="F69" s="25" t="s">
        <v>62</v>
      </c>
      <c r="G69" s="26">
        <v>1.1000000000000001</v>
      </c>
      <c r="H69" s="26"/>
      <c r="I69" s="26">
        <v>43.197000000000003</v>
      </c>
      <c r="J69" s="27">
        <v>47.54</v>
      </c>
      <c r="M69" s="28">
        <f>ROUND(ROUND(J69, 2)*I69, 2)</f>
        <v>2053.59</v>
      </c>
      <c r="P69" s="29">
        <v>47.54</v>
      </c>
      <c r="S69" s="28">
        <f>ROUND(ROUND(P69, 2)*I69, 2)</f>
        <v>2053.59</v>
      </c>
    </row>
    <row r="70" spans="1:21" ht="76.5" customHeight="1" x14ac:dyDescent="0.3">
      <c r="A70" s="10" t="s">
        <v>264</v>
      </c>
      <c r="B70" s="10" t="s">
        <v>254</v>
      </c>
      <c r="C70" s="14" t="s">
        <v>255</v>
      </c>
      <c r="D70" s="15"/>
      <c r="E70" s="15" t="s">
        <v>265</v>
      </c>
      <c r="F70" s="15" t="s">
        <v>62</v>
      </c>
      <c r="G70" s="16">
        <v>1</v>
      </c>
      <c r="H70" s="16"/>
      <c r="I70" s="16">
        <v>88.47</v>
      </c>
      <c r="J70" s="17">
        <f>IFERROR(ROUND(SUM(M71)/I70, 2),0)</f>
        <v>52.29</v>
      </c>
      <c r="K70" s="18">
        <v>40</v>
      </c>
      <c r="L70" s="17">
        <f>J70+ROUND(K70, 2)</f>
        <v>92.289999999999992</v>
      </c>
      <c r="M70" s="17">
        <f>ROUND(J70*I70, 2)</f>
        <v>4626.1000000000004</v>
      </c>
      <c r="N70" s="17">
        <f>ROUND(I70*ROUND(K70, 2), 2)</f>
        <v>3538.8</v>
      </c>
      <c r="O70" s="17">
        <f>M70+N70</f>
        <v>8164.9000000000005</v>
      </c>
      <c r="P70" s="17">
        <f>IFERROR(ROUND(SUM(S71)/I70, 2),0)</f>
        <v>52.29</v>
      </c>
      <c r="Q70" s="19">
        <v>60</v>
      </c>
      <c r="R70" s="17">
        <f>P70+ROUND(Q70, 2)</f>
        <v>112.28999999999999</v>
      </c>
      <c r="S70" s="17">
        <f>ROUND(P70*I70, 2)</f>
        <v>4626.1000000000004</v>
      </c>
      <c r="T70" s="17">
        <f>ROUND(I70*ROUND(Q70, 2), 2)</f>
        <v>5308.2</v>
      </c>
      <c r="U70" s="17">
        <f>S70+T70</f>
        <v>9934.2999999999993</v>
      </c>
    </row>
    <row r="71" spans="1:21" ht="18" x14ac:dyDescent="0.3">
      <c r="A71" s="10" t="s">
        <v>266</v>
      </c>
      <c r="B71" s="10"/>
      <c r="C71" s="24" t="s">
        <v>260</v>
      </c>
      <c r="D71" s="15"/>
      <c r="E71" s="15"/>
      <c r="F71" s="25" t="s">
        <v>62</v>
      </c>
      <c r="G71" s="26">
        <v>1.1000000000000001</v>
      </c>
      <c r="H71" s="26"/>
      <c r="I71" s="26">
        <v>97.316999999999993</v>
      </c>
      <c r="J71" s="27">
        <v>47.54</v>
      </c>
      <c r="M71" s="28">
        <f>ROUND(ROUND(J71, 2)*I71, 2)</f>
        <v>4626.45</v>
      </c>
      <c r="P71" s="29">
        <v>47.54</v>
      </c>
      <c r="S71" s="28">
        <f>ROUND(ROUND(P71, 2)*I71, 2)</f>
        <v>4626.45</v>
      </c>
    </row>
    <row r="72" spans="1:21" ht="90" x14ac:dyDescent="0.3">
      <c r="A72" s="10" t="s">
        <v>269</v>
      </c>
      <c r="B72" s="10" t="s">
        <v>270</v>
      </c>
      <c r="C72" s="14" t="s">
        <v>271</v>
      </c>
      <c r="D72" s="15"/>
      <c r="E72" s="15" t="s">
        <v>272</v>
      </c>
      <c r="F72" s="15" t="s">
        <v>62</v>
      </c>
      <c r="G72" s="16">
        <v>1</v>
      </c>
      <c r="H72" s="16"/>
      <c r="I72" s="16">
        <v>1827.2</v>
      </c>
      <c r="J72" s="17">
        <f>IFERROR(ROUND(SUM(M73)/I72, 2),0)</f>
        <v>0</v>
      </c>
      <c r="K72" s="18">
        <v>117</v>
      </c>
      <c r="L72" s="17">
        <f>J72+ROUND(K72, 2)</f>
        <v>117</v>
      </c>
      <c r="M72" s="17">
        <f>ROUND(J72*I72, 2)</f>
        <v>0</v>
      </c>
      <c r="N72" s="17">
        <f>ROUND(I72*ROUND(K72, 2), 2)</f>
        <v>213782.39999999999</v>
      </c>
      <c r="O72" s="17">
        <f>M72+N72</f>
        <v>213782.39999999999</v>
      </c>
      <c r="P72" s="17">
        <f>IFERROR(ROUND(SUM(S73)/I72, 2),0)</f>
        <v>13.54</v>
      </c>
      <c r="Q72" s="19">
        <v>175.5</v>
      </c>
      <c r="R72" s="17">
        <f>P72+ROUND(Q72, 2)</f>
        <v>189.04</v>
      </c>
      <c r="S72" s="17">
        <f>ROUND(P72*I72, 2)</f>
        <v>24740.29</v>
      </c>
      <c r="T72" s="17">
        <f>ROUND(I72*ROUND(Q72, 2), 2)</f>
        <v>320673.59999999998</v>
      </c>
      <c r="U72" s="17">
        <f>S72+T72</f>
        <v>345413.88999999996</v>
      </c>
    </row>
    <row r="73" spans="1:21" ht="36" x14ac:dyDescent="0.3">
      <c r="A73" s="10" t="s">
        <v>275</v>
      </c>
      <c r="B73" s="10"/>
      <c r="C73" s="24" t="s">
        <v>276</v>
      </c>
      <c r="D73" s="15"/>
      <c r="E73" s="15" t="s">
        <v>277</v>
      </c>
      <c r="F73" s="25" t="s">
        <v>278</v>
      </c>
      <c r="G73" s="26">
        <v>0.15</v>
      </c>
      <c r="H73" s="26"/>
      <c r="I73" s="26">
        <v>274.08</v>
      </c>
      <c r="J73" s="27">
        <v>0</v>
      </c>
      <c r="M73" s="28">
        <f>ROUND(ROUND(J73, 2)*I73, 2)</f>
        <v>0</v>
      </c>
      <c r="P73" s="29">
        <v>90.28</v>
      </c>
      <c r="S73" s="28">
        <f>ROUND(ROUND(P73, 2)*I73, 2)</f>
        <v>24743.94</v>
      </c>
    </row>
    <row r="74" spans="1:21" ht="90" customHeight="1" x14ac:dyDescent="0.3">
      <c r="A74" s="10" t="s">
        <v>282</v>
      </c>
      <c r="B74" s="10" t="s">
        <v>283</v>
      </c>
      <c r="C74" s="14" t="s">
        <v>284</v>
      </c>
      <c r="D74" s="15"/>
      <c r="E74" s="15" t="s">
        <v>285</v>
      </c>
      <c r="F74" s="15" t="s">
        <v>62</v>
      </c>
      <c r="G74" s="16">
        <v>1</v>
      </c>
      <c r="H74" s="16"/>
      <c r="I74" s="16">
        <v>13.8</v>
      </c>
      <c r="J74" s="17">
        <f>IFERROR(ROUND(SUM(M75,M76,M77,M78)/I74, 2),0)</f>
        <v>880.6</v>
      </c>
      <c r="K74" s="18">
        <v>941</v>
      </c>
      <c r="L74" s="17">
        <f>J74+ROUND(K74, 2)</f>
        <v>1821.6</v>
      </c>
      <c r="M74" s="17">
        <f>ROUND(J74*I74, 2)</f>
        <v>12152.28</v>
      </c>
      <c r="N74" s="17">
        <f>ROUND(I74*ROUND(K74, 2), 2)</f>
        <v>12985.8</v>
      </c>
      <c r="O74" s="17">
        <f>M74+N74</f>
        <v>25138.080000000002</v>
      </c>
      <c r="P74" s="17">
        <f>IFERROR(ROUND(SUM(S75,S76,S77,S78)/I74, 2),0)</f>
        <v>880.6</v>
      </c>
      <c r="Q74" s="19">
        <v>1411.5</v>
      </c>
      <c r="R74" s="17">
        <f>P74+ROUND(Q74, 2)</f>
        <v>2292.1</v>
      </c>
      <c r="S74" s="17">
        <f>ROUND(P74*I74, 2)</f>
        <v>12152.28</v>
      </c>
      <c r="T74" s="17">
        <f>ROUND(I74*ROUND(Q74, 2), 2)</f>
        <v>19478.7</v>
      </c>
      <c r="U74" s="17">
        <f>S74+T74</f>
        <v>31630.980000000003</v>
      </c>
    </row>
    <row r="75" spans="1:21" ht="18" x14ac:dyDescent="0.3">
      <c r="A75" s="10" t="s">
        <v>288</v>
      </c>
      <c r="B75" s="10"/>
      <c r="C75" s="24" t="s">
        <v>289</v>
      </c>
      <c r="D75" s="15"/>
      <c r="E75" s="15"/>
      <c r="F75" s="25" t="s">
        <v>278</v>
      </c>
      <c r="G75" s="26">
        <v>1.8</v>
      </c>
      <c r="H75" s="31"/>
      <c r="I75" s="31">
        <v>1242</v>
      </c>
      <c r="J75" s="27">
        <v>7.54</v>
      </c>
      <c r="M75" s="28">
        <f>ROUND(ROUND(J75, 2)*I75, 2)</f>
        <v>9364.68</v>
      </c>
      <c r="P75" s="29">
        <v>7.54</v>
      </c>
      <c r="S75" s="28">
        <f>ROUND(ROUND(P75, 2)*I75, 2)</f>
        <v>9364.68</v>
      </c>
    </row>
    <row r="76" spans="1:21" ht="18" x14ac:dyDescent="0.3">
      <c r="A76" s="10" t="s">
        <v>293</v>
      </c>
      <c r="B76" s="10"/>
      <c r="C76" s="24" t="s">
        <v>294</v>
      </c>
      <c r="D76" s="15"/>
      <c r="E76" s="15"/>
      <c r="F76" s="25" t="s">
        <v>62</v>
      </c>
      <c r="G76" s="26">
        <v>1.1000000000000001</v>
      </c>
      <c r="H76" s="31"/>
      <c r="I76" s="31">
        <v>15.18</v>
      </c>
      <c r="J76" s="27">
        <v>157.6</v>
      </c>
      <c r="M76" s="28">
        <f>ROUND(ROUND(J76, 2)*I76, 2)</f>
        <v>2392.37</v>
      </c>
      <c r="P76" s="29">
        <v>157.6</v>
      </c>
      <c r="S76" s="28">
        <f>ROUND(ROUND(P76, 2)*I76, 2)</f>
        <v>2392.37</v>
      </c>
    </row>
    <row r="77" spans="1:21" ht="18" x14ac:dyDescent="0.3">
      <c r="A77" s="10" t="s">
        <v>298</v>
      </c>
      <c r="B77" s="10"/>
      <c r="C77" s="24" t="s">
        <v>299</v>
      </c>
      <c r="D77" s="15"/>
      <c r="E77" s="15"/>
      <c r="F77" s="25" t="s">
        <v>102</v>
      </c>
      <c r="G77" s="26">
        <v>1</v>
      </c>
      <c r="H77" s="31"/>
      <c r="I77" s="31">
        <v>13.8</v>
      </c>
      <c r="J77" s="27">
        <v>10.58</v>
      </c>
      <c r="M77" s="28">
        <f>ROUND(ROUND(J77, 2)*I77, 2)</f>
        <v>146</v>
      </c>
      <c r="P77" s="29">
        <v>10.58</v>
      </c>
      <c r="S77" s="28">
        <f>ROUND(ROUND(P77, 2)*I77, 2)</f>
        <v>146</v>
      </c>
    </row>
    <row r="78" spans="1:21" ht="18" x14ac:dyDescent="0.3">
      <c r="A78" s="10" t="s">
        <v>303</v>
      </c>
      <c r="B78" s="10"/>
      <c r="C78" s="24" t="s">
        <v>304</v>
      </c>
      <c r="D78" s="15"/>
      <c r="E78" s="15"/>
      <c r="F78" s="25" t="s">
        <v>278</v>
      </c>
      <c r="G78" s="26">
        <v>0.2</v>
      </c>
      <c r="H78" s="26"/>
      <c r="I78" s="26">
        <v>2.76</v>
      </c>
      <c r="J78" s="27">
        <v>90.28</v>
      </c>
      <c r="M78" s="28">
        <f>ROUND(ROUND(J78, 2)*I78, 2)</f>
        <v>249.17</v>
      </c>
      <c r="P78" s="29">
        <v>90.28</v>
      </c>
      <c r="S78" s="28">
        <f>ROUND(ROUND(P78, 2)*I78, 2)</f>
        <v>249.17</v>
      </c>
    </row>
    <row r="79" spans="1:21" ht="79.95" customHeight="1" x14ac:dyDescent="0.3">
      <c r="A79" s="10" t="s">
        <v>308</v>
      </c>
      <c r="B79" s="10" t="s">
        <v>309</v>
      </c>
      <c r="C79" s="14" t="s">
        <v>310</v>
      </c>
      <c r="D79" s="15"/>
      <c r="E79" s="15" t="s">
        <v>311</v>
      </c>
      <c r="F79" s="15" t="s">
        <v>62</v>
      </c>
      <c r="G79" s="16">
        <v>1</v>
      </c>
      <c r="H79" s="16"/>
      <c r="I79" s="16">
        <v>25.47</v>
      </c>
      <c r="J79" s="17">
        <f>IFERROR(ROUND(SUM(M80,M81,M82,M83)/I79, 2),0)</f>
        <v>1084.18</v>
      </c>
      <c r="K79" s="18">
        <v>1014</v>
      </c>
      <c r="L79" s="17">
        <f>J79+ROUND(K79, 2)</f>
        <v>2098.1800000000003</v>
      </c>
      <c r="M79" s="17">
        <f>ROUND(J79*I79, 2)</f>
        <v>27614.06</v>
      </c>
      <c r="N79" s="17">
        <f>ROUND(I79*ROUND(K79, 2), 2)</f>
        <v>25826.58</v>
      </c>
      <c r="O79" s="17">
        <f>M79+N79</f>
        <v>53440.639999999999</v>
      </c>
      <c r="P79" s="17">
        <f>IFERROR(ROUND(SUM(S80,S81,S82,S83)/I79, 2),0)</f>
        <v>1084.18</v>
      </c>
      <c r="Q79" s="19">
        <v>1521</v>
      </c>
      <c r="R79" s="17">
        <f>P79+ROUND(Q79, 2)</f>
        <v>2605.1800000000003</v>
      </c>
      <c r="S79" s="17">
        <f>ROUND(P79*I79, 2)</f>
        <v>27614.06</v>
      </c>
      <c r="T79" s="17">
        <f>ROUND(I79*ROUND(Q79, 2), 2)</f>
        <v>38739.870000000003</v>
      </c>
      <c r="U79" s="17">
        <f>S79+T79</f>
        <v>66353.930000000008</v>
      </c>
    </row>
    <row r="80" spans="1:21" ht="18" x14ac:dyDescent="0.3">
      <c r="A80" s="10" t="s">
        <v>314</v>
      </c>
      <c r="B80" s="10"/>
      <c r="C80" s="24" t="s">
        <v>289</v>
      </c>
      <c r="D80" s="15"/>
      <c r="E80" s="15"/>
      <c r="F80" s="25" t="s">
        <v>278</v>
      </c>
      <c r="G80" s="26">
        <v>1.8</v>
      </c>
      <c r="H80" s="31"/>
      <c r="I80" s="31">
        <v>2979.99</v>
      </c>
      <c r="J80" s="27">
        <v>7.54</v>
      </c>
      <c r="M80" s="28">
        <f>ROUND(ROUND(J80, 2)*I80, 2)</f>
        <v>22469.119999999999</v>
      </c>
      <c r="P80" s="29">
        <v>7.54</v>
      </c>
      <c r="S80" s="28">
        <f>ROUND(ROUND(P80, 2)*I80, 2)</f>
        <v>22469.119999999999</v>
      </c>
    </row>
    <row r="81" spans="1:21" ht="18" x14ac:dyDescent="0.3">
      <c r="A81" s="10" t="s">
        <v>317</v>
      </c>
      <c r="B81" s="10"/>
      <c r="C81" s="24" t="s">
        <v>294</v>
      </c>
      <c r="D81" s="15"/>
      <c r="E81" s="15"/>
      <c r="F81" s="25" t="s">
        <v>62</v>
      </c>
      <c r="G81" s="26">
        <v>1.1000000000000001</v>
      </c>
      <c r="H81" s="31"/>
      <c r="I81" s="31">
        <v>28.016999999999999</v>
      </c>
      <c r="J81" s="27">
        <v>157.6</v>
      </c>
      <c r="M81" s="28">
        <f>ROUND(ROUND(J81, 2)*I81, 2)</f>
        <v>4415.4799999999996</v>
      </c>
      <c r="P81" s="29">
        <v>157.6</v>
      </c>
      <c r="S81" s="28">
        <f>ROUND(ROUND(P81, 2)*I81, 2)</f>
        <v>4415.4799999999996</v>
      </c>
    </row>
    <row r="82" spans="1:21" ht="18" x14ac:dyDescent="0.3">
      <c r="A82" s="10" t="s">
        <v>320</v>
      </c>
      <c r="B82" s="10"/>
      <c r="C82" s="24" t="s">
        <v>299</v>
      </c>
      <c r="D82" s="15"/>
      <c r="E82" s="15"/>
      <c r="F82" s="25" t="s">
        <v>102</v>
      </c>
      <c r="G82" s="26">
        <v>1</v>
      </c>
      <c r="H82" s="31"/>
      <c r="I82" s="31">
        <v>25.47</v>
      </c>
      <c r="J82" s="27">
        <v>10.58</v>
      </c>
      <c r="M82" s="28">
        <f>ROUND(ROUND(J82, 2)*I82, 2)</f>
        <v>269.47000000000003</v>
      </c>
      <c r="P82" s="29">
        <v>10.58</v>
      </c>
      <c r="S82" s="28">
        <f>ROUND(ROUND(P82, 2)*I82, 2)</f>
        <v>269.47000000000003</v>
      </c>
    </row>
    <row r="83" spans="1:21" ht="18" x14ac:dyDescent="0.3">
      <c r="A83" s="10" t="s">
        <v>323</v>
      </c>
      <c r="B83" s="10"/>
      <c r="C83" s="24" t="s">
        <v>304</v>
      </c>
      <c r="D83" s="15"/>
      <c r="E83" s="15"/>
      <c r="F83" s="25" t="s">
        <v>278</v>
      </c>
      <c r="G83" s="26">
        <v>0.2</v>
      </c>
      <c r="H83" s="26"/>
      <c r="I83" s="26">
        <v>5.0940000000000003</v>
      </c>
      <c r="J83" s="27">
        <v>90.28</v>
      </c>
      <c r="M83" s="28">
        <f>ROUND(ROUND(J83, 2)*I83, 2)</f>
        <v>459.89</v>
      </c>
      <c r="P83" s="29">
        <v>90.28</v>
      </c>
      <c r="S83" s="28">
        <f>ROUND(ROUND(P83, 2)*I83, 2)</f>
        <v>459.89</v>
      </c>
    </row>
    <row r="84" spans="1:21" ht="76.5" customHeight="1" x14ac:dyDescent="0.3">
      <c r="A84" s="10" t="s">
        <v>326</v>
      </c>
      <c r="B84" s="10" t="s">
        <v>327</v>
      </c>
      <c r="C84" s="14" t="s">
        <v>328</v>
      </c>
      <c r="D84" s="15"/>
      <c r="E84" s="15" t="s">
        <v>329</v>
      </c>
      <c r="F84" s="15" t="s">
        <v>62</v>
      </c>
      <c r="G84" s="16">
        <v>1</v>
      </c>
      <c r="H84" s="16"/>
      <c r="I84" s="16">
        <v>197.1</v>
      </c>
      <c r="J84" s="17">
        <f>IFERROR(ROUND(SUM(M85,M86,M87)/I84, 2),0)</f>
        <v>310.79000000000002</v>
      </c>
      <c r="K84" s="18">
        <v>705</v>
      </c>
      <c r="L84" s="17">
        <f>J84+ROUND(K84, 2)</f>
        <v>1015.79</v>
      </c>
      <c r="M84" s="17">
        <f>ROUND(J84*I84, 2)</f>
        <v>61256.71</v>
      </c>
      <c r="N84" s="17">
        <f>ROUND(I84*ROUND(K84, 2), 2)</f>
        <v>138955.5</v>
      </c>
      <c r="O84" s="17">
        <f>M84+N84</f>
        <v>200212.21</v>
      </c>
      <c r="P84" s="17">
        <f>IFERROR(ROUND(SUM(S85,S86,S87)/I84, 2),0)</f>
        <v>310.79000000000002</v>
      </c>
      <c r="Q84" s="19">
        <v>1057.5</v>
      </c>
      <c r="R84" s="17">
        <f>P84+ROUND(Q84, 2)</f>
        <v>1368.29</v>
      </c>
      <c r="S84" s="17">
        <f>ROUND(P84*I84, 2)</f>
        <v>61256.71</v>
      </c>
      <c r="T84" s="17">
        <f>ROUND(I84*ROUND(Q84, 2), 2)</f>
        <v>208433.25</v>
      </c>
      <c r="U84" s="17">
        <f>S84+T84</f>
        <v>269689.96000000002</v>
      </c>
    </row>
    <row r="85" spans="1:21" ht="18" x14ac:dyDescent="0.3">
      <c r="A85" s="10" t="s">
        <v>332</v>
      </c>
      <c r="B85" s="10"/>
      <c r="C85" s="24" t="s">
        <v>333</v>
      </c>
      <c r="D85" s="15"/>
      <c r="E85" s="15"/>
      <c r="F85" s="25" t="s">
        <v>278</v>
      </c>
      <c r="G85" s="26">
        <v>1.8</v>
      </c>
      <c r="H85" s="31"/>
      <c r="I85" s="31">
        <v>8869.5</v>
      </c>
      <c r="J85" s="27">
        <v>6.27</v>
      </c>
      <c r="M85" s="28">
        <f>ROUND(ROUND(J85, 2)*I85, 2)</f>
        <v>55611.77</v>
      </c>
      <c r="P85" s="29">
        <v>6.27</v>
      </c>
      <c r="S85" s="28">
        <f>ROUND(ROUND(P85, 2)*I85, 2)</f>
        <v>55611.77</v>
      </c>
    </row>
    <row r="86" spans="1:21" ht="18" x14ac:dyDescent="0.3">
      <c r="A86" s="10" t="s">
        <v>337</v>
      </c>
      <c r="B86" s="10"/>
      <c r="C86" s="24" t="s">
        <v>299</v>
      </c>
      <c r="D86" s="15"/>
      <c r="E86" s="15"/>
      <c r="F86" s="25" t="s">
        <v>102</v>
      </c>
      <c r="G86" s="26">
        <v>1</v>
      </c>
      <c r="H86" s="31"/>
      <c r="I86" s="31">
        <v>197.1</v>
      </c>
      <c r="J86" s="27">
        <v>10.58</v>
      </c>
      <c r="M86" s="28">
        <f>ROUND(ROUND(J86, 2)*I86, 2)</f>
        <v>2085.3200000000002</v>
      </c>
      <c r="P86" s="29">
        <v>10.58</v>
      </c>
      <c r="S86" s="28">
        <f>ROUND(ROUND(P86, 2)*I86, 2)</f>
        <v>2085.3200000000002</v>
      </c>
    </row>
    <row r="87" spans="1:21" ht="18" x14ac:dyDescent="0.3">
      <c r="A87" s="10" t="s">
        <v>340</v>
      </c>
      <c r="B87" s="10"/>
      <c r="C87" s="24" t="s">
        <v>304</v>
      </c>
      <c r="D87" s="15"/>
      <c r="E87" s="15"/>
      <c r="F87" s="25" t="s">
        <v>278</v>
      </c>
      <c r="G87" s="26">
        <v>0.2</v>
      </c>
      <c r="H87" s="26"/>
      <c r="I87" s="26">
        <v>39.42</v>
      </c>
      <c r="J87" s="27">
        <v>90.28</v>
      </c>
      <c r="M87" s="28">
        <f>ROUND(ROUND(J87, 2)*I87, 2)</f>
        <v>3558.84</v>
      </c>
      <c r="P87" s="29">
        <v>90.28</v>
      </c>
      <c r="S87" s="28">
        <f>ROUND(ROUND(P87, 2)*I87, 2)</f>
        <v>3558.84</v>
      </c>
    </row>
    <row r="88" spans="1:21" ht="54" x14ac:dyDescent="0.3">
      <c r="A88" s="10" t="s">
        <v>343</v>
      </c>
      <c r="B88" s="10" t="s">
        <v>344</v>
      </c>
      <c r="C88" s="14" t="s">
        <v>345</v>
      </c>
      <c r="D88" s="15"/>
      <c r="E88" s="15" t="s">
        <v>346</v>
      </c>
      <c r="F88" s="15" t="s">
        <v>62</v>
      </c>
      <c r="G88" s="16">
        <v>1</v>
      </c>
      <c r="H88" s="16"/>
      <c r="I88" s="16">
        <v>793.1</v>
      </c>
      <c r="J88" s="17">
        <f>IFERROR(ROUND(SUM(M89,M90,M91)/I88, 2),0)</f>
        <v>181.12</v>
      </c>
      <c r="K88" s="18">
        <v>557</v>
      </c>
      <c r="L88" s="17">
        <f>J88+ROUND(K88, 2)</f>
        <v>738.12</v>
      </c>
      <c r="M88" s="17">
        <f>ROUND(J88*I88, 2)</f>
        <v>143646.26999999999</v>
      </c>
      <c r="N88" s="17">
        <f>ROUND(I88*ROUND(K88, 2), 2)</f>
        <v>441756.7</v>
      </c>
      <c r="O88" s="17">
        <f>M88+N88</f>
        <v>585402.97</v>
      </c>
      <c r="P88" s="17">
        <f>IFERROR(ROUND(SUM(S89,S90,S91)/I88, 2),0)</f>
        <v>181.12</v>
      </c>
      <c r="Q88" s="19">
        <v>835.5</v>
      </c>
      <c r="R88" s="17">
        <f>P88+ROUND(Q88, 2)</f>
        <v>1016.62</v>
      </c>
      <c r="S88" s="17">
        <f>ROUND(P88*I88, 2)</f>
        <v>143646.26999999999</v>
      </c>
      <c r="T88" s="17">
        <f>ROUND(I88*ROUND(Q88, 2), 2)</f>
        <v>662635.05000000005</v>
      </c>
      <c r="U88" s="17">
        <f>S88+T88</f>
        <v>806281.32000000007</v>
      </c>
    </row>
    <row r="89" spans="1:21" ht="18" x14ac:dyDescent="0.3">
      <c r="A89" s="10" t="s">
        <v>349</v>
      </c>
      <c r="B89" s="10"/>
      <c r="C89" s="24" t="s">
        <v>299</v>
      </c>
      <c r="D89" s="15"/>
      <c r="E89" s="15"/>
      <c r="F89" s="25" t="s">
        <v>102</v>
      </c>
      <c r="G89" s="26">
        <v>1</v>
      </c>
      <c r="H89" s="31"/>
      <c r="I89" s="31">
        <v>793.1</v>
      </c>
      <c r="J89" s="27">
        <v>10.58</v>
      </c>
      <c r="M89" s="28">
        <f>ROUND(ROUND(J89, 2)*I89, 2)</f>
        <v>8391</v>
      </c>
      <c r="P89" s="29">
        <v>10.58</v>
      </c>
      <c r="S89" s="28">
        <f>ROUND(ROUND(P89, 2)*I89, 2)</f>
        <v>8391</v>
      </c>
    </row>
    <row r="90" spans="1:21" ht="18" x14ac:dyDescent="0.3">
      <c r="A90" s="10" t="s">
        <v>352</v>
      </c>
      <c r="B90" s="10"/>
      <c r="C90" s="24" t="s">
        <v>304</v>
      </c>
      <c r="D90" s="15"/>
      <c r="E90" s="15"/>
      <c r="F90" s="25" t="s">
        <v>278</v>
      </c>
      <c r="G90" s="26">
        <v>0.255</v>
      </c>
      <c r="H90" s="26"/>
      <c r="I90" s="26">
        <v>202.24100000000001</v>
      </c>
      <c r="J90" s="27">
        <v>90.28</v>
      </c>
      <c r="M90" s="28">
        <f>ROUND(ROUND(J90, 2)*I90, 2)</f>
        <v>18258.32</v>
      </c>
      <c r="P90" s="29">
        <v>90.28</v>
      </c>
      <c r="S90" s="28">
        <f>ROUND(ROUND(P90, 2)*I90, 2)</f>
        <v>18258.32</v>
      </c>
    </row>
    <row r="91" spans="1:21" ht="18" x14ac:dyDescent="0.3">
      <c r="A91" s="10" t="s">
        <v>355</v>
      </c>
      <c r="B91" s="10"/>
      <c r="C91" s="30" t="s">
        <v>356</v>
      </c>
      <c r="D91" s="15"/>
      <c r="E91" s="15"/>
      <c r="F91" s="25" t="s">
        <v>278</v>
      </c>
      <c r="G91" s="26">
        <v>1.6</v>
      </c>
      <c r="H91" s="31"/>
      <c r="I91" s="31">
        <v>12689.6</v>
      </c>
      <c r="J91" s="27">
        <v>9.2200000000000006</v>
      </c>
      <c r="M91" s="28">
        <f>ROUND(ROUND(J91, 2)*I91, 2)</f>
        <v>116998.11</v>
      </c>
      <c r="P91" s="29">
        <v>9.2200000000000006</v>
      </c>
      <c r="S91" s="28">
        <f>ROUND(ROUND(P91, 2)*I91, 2)</f>
        <v>116998.11</v>
      </c>
    </row>
    <row r="92" spans="1:21" ht="72" x14ac:dyDescent="0.3">
      <c r="A92" s="10" t="s">
        <v>360</v>
      </c>
      <c r="B92" s="10" t="s">
        <v>344</v>
      </c>
      <c r="C92" s="14" t="s">
        <v>345</v>
      </c>
      <c r="D92" s="15"/>
      <c r="E92" s="15" t="s">
        <v>361</v>
      </c>
      <c r="F92" s="15" t="s">
        <v>62</v>
      </c>
      <c r="G92" s="16">
        <v>1</v>
      </c>
      <c r="H92" s="16"/>
      <c r="I92" s="16">
        <v>3496.5</v>
      </c>
      <c r="J92" s="17">
        <f>IFERROR(ROUND(SUM(M93,M94,M95)/I92, 2),0)</f>
        <v>181.12</v>
      </c>
      <c r="K92" s="18">
        <v>557</v>
      </c>
      <c r="L92" s="17">
        <f>J92+ROUND(K92, 2)</f>
        <v>738.12</v>
      </c>
      <c r="M92" s="17">
        <f>ROUND(J92*I92, 2)</f>
        <v>633286.07999999996</v>
      </c>
      <c r="N92" s="17">
        <f>ROUND(I92*ROUND(K92, 2), 2)</f>
        <v>1947550.5</v>
      </c>
      <c r="O92" s="17">
        <f>M92+N92</f>
        <v>2580836.58</v>
      </c>
      <c r="P92" s="17">
        <f>IFERROR(ROUND(SUM(S93,S94,S95)/I92, 2),0)</f>
        <v>181.12</v>
      </c>
      <c r="Q92" s="19">
        <v>835.5</v>
      </c>
      <c r="R92" s="17">
        <f>P92+ROUND(Q92, 2)</f>
        <v>1016.62</v>
      </c>
      <c r="S92" s="17">
        <f>ROUND(P92*I92, 2)</f>
        <v>633286.07999999996</v>
      </c>
      <c r="T92" s="17">
        <f>ROUND(I92*ROUND(Q92, 2), 2)</f>
        <v>2921325.75</v>
      </c>
      <c r="U92" s="17">
        <f>S92+T92</f>
        <v>3554611.83</v>
      </c>
    </row>
    <row r="93" spans="1:21" ht="18" x14ac:dyDescent="0.3">
      <c r="A93" s="10" t="s">
        <v>362</v>
      </c>
      <c r="B93" s="10"/>
      <c r="C93" s="30" t="s">
        <v>356</v>
      </c>
      <c r="D93" s="15"/>
      <c r="E93" s="15"/>
      <c r="F93" s="25" t="s">
        <v>278</v>
      </c>
      <c r="G93" s="26">
        <v>1.6</v>
      </c>
      <c r="H93" s="31"/>
      <c r="I93" s="31">
        <v>55944</v>
      </c>
      <c r="J93" s="27">
        <v>9.2200000000000006</v>
      </c>
      <c r="M93" s="28">
        <f>ROUND(ROUND(J93, 2)*I93, 2)</f>
        <v>515803.68</v>
      </c>
      <c r="P93" s="29">
        <v>9.2200000000000006</v>
      </c>
      <c r="S93" s="28">
        <f>ROUND(ROUND(P93, 2)*I93, 2)</f>
        <v>515803.68</v>
      </c>
    </row>
    <row r="94" spans="1:21" ht="18" x14ac:dyDescent="0.3">
      <c r="A94" s="10" t="s">
        <v>365</v>
      </c>
      <c r="B94" s="10"/>
      <c r="C94" s="24" t="s">
        <v>304</v>
      </c>
      <c r="D94" s="15"/>
      <c r="E94" s="15"/>
      <c r="F94" s="25" t="s">
        <v>278</v>
      </c>
      <c r="G94" s="26">
        <v>0.255</v>
      </c>
      <c r="H94" s="26"/>
      <c r="I94" s="26">
        <v>891.60799999999995</v>
      </c>
      <c r="J94" s="27">
        <v>90.28</v>
      </c>
      <c r="M94" s="28">
        <f>ROUND(ROUND(J94, 2)*I94, 2)</f>
        <v>80494.37</v>
      </c>
      <c r="P94" s="29">
        <v>90.28</v>
      </c>
      <c r="S94" s="28">
        <f>ROUND(ROUND(P94, 2)*I94, 2)</f>
        <v>80494.37</v>
      </c>
    </row>
    <row r="95" spans="1:21" ht="18" x14ac:dyDescent="0.3">
      <c r="A95" s="10" t="s">
        <v>368</v>
      </c>
      <c r="B95" s="10"/>
      <c r="C95" s="24" t="s">
        <v>299</v>
      </c>
      <c r="D95" s="15"/>
      <c r="E95" s="15"/>
      <c r="F95" s="25" t="s">
        <v>102</v>
      </c>
      <c r="G95" s="26">
        <v>1</v>
      </c>
      <c r="H95" s="31"/>
      <c r="I95" s="31">
        <v>3496.5</v>
      </c>
      <c r="J95" s="27">
        <v>10.58</v>
      </c>
      <c r="M95" s="28">
        <f>ROUND(ROUND(J95, 2)*I95, 2)</f>
        <v>36992.97</v>
      </c>
      <c r="P95" s="29">
        <v>10.58</v>
      </c>
      <c r="S95" s="28">
        <f>ROUND(ROUND(P95, 2)*I95, 2)</f>
        <v>36992.97</v>
      </c>
    </row>
    <row r="96" spans="1:21" ht="16.95" customHeight="1" x14ac:dyDescent="0.3">
      <c r="A96" s="10" t="s">
        <v>371</v>
      </c>
      <c r="B96" s="10" t="s">
        <v>372</v>
      </c>
      <c r="C96" s="91" t="s">
        <v>373</v>
      </c>
      <c r="D96" s="92"/>
      <c r="E96" s="92"/>
      <c r="F96" s="92"/>
      <c r="G96" s="92"/>
      <c r="H96" s="92"/>
      <c r="I96" s="93"/>
      <c r="M96" s="6">
        <f>SUM(M97,M101,M105,M108,M111,M113,M115)</f>
        <v>759677.49000000011</v>
      </c>
      <c r="N96" s="6">
        <f>SUM(N97,N101,N105,N108,N111,N113,N115)</f>
        <v>500328.01</v>
      </c>
      <c r="O96" s="6">
        <f>SUM(O97,O101,O105,O108,O111,O113,O115)</f>
        <v>1260005.5</v>
      </c>
      <c r="S96" s="6">
        <f>SUM(S97,S101,S105,S108,S111,S113,S115)</f>
        <v>763725.44000000006</v>
      </c>
      <c r="T96" s="6">
        <f>SUM(T97,T101,T105,T108,T111,T113,T115)</f>
        <v>741872.25</v>
      </c>
      <c r="U96" s="6">
        <f>SUM(U97,U101,U105,U108,U111,U113,U115)</f>
        <v>1505597.69</v>
      </c>
    </row>
    <row r="97" spans="1:21" ht="78" customHeight="1" x14ac:dyDescent="0.3">
      <c r="A97" s="10" t="s">
        <v>374</v>
      </c>
      <c r="B97" s="10" t="s">
        <v>375</v>
      </c>
      <c r="C97" s="14" t="s">
        <v>376</v>
      </c>
      <c r="D97" s="15"/>
      <c r="E97" s="15" t="s">
        <v>377</v>
      </c>
      <c r="F97" s="15" t="s">
        <v>62</v>
      </c>
      <c r="G97" s="16">
        <v>1</v>
      </c>
      <c r="H97" s="16"/>
      <c r="I97" s="16">
        <v>54.4</v>
      </c>
      <c r="J97" s="17">
        <f>IFERROR(ROUND(SUM(M98,M99,M100)/I97, 2),0)</f>
        <v>420.29</v>
      </c>
      <c r="K97" s="18">
        <v>324</v>
      </c>
      <c r="L97" s="17">
        <f>J97+ROUND(K97, 2)</f>
        <v>744.29</v>
      </c>
      <c r="M97" s="17">
        <f>ROUND(J97*I97, 2)</f>
        <v>22863.78</v>
      </c>
      <c r="N97" s="17">
        <f>ROUND(I97*ROUND(K97, 2), 2)</f>
        <v>17625.599999999999</v>
      </c>
      <c r="O97" s="17">
        <f>M97+N97</f>
        <v>40489.379999999997</v>
      </c>
      <c r="P97" s="17">
        <f>IFERROR(ROUND(SUM(S98,S99,S100)/I97, 2),0)</f>
        <v>420.29</v>
      </c>
      <c r="Q97" s="19">
        <v>486</v>
      </c>
      <c r="R97" s="17">
        <f>P97+ROUND(Q97, 2)</f>
        <v>906.29</v>
      </c>
      <c r="S97" s="17">
        <f>ROUND(P97*I97, 2)</f>
        <v>22863.78</v>
      </c>
      <c r="T97" s="17">
        <f>ROUND(I97*ROUND(Q97, 2), 2)</f>
        <v>26438.400000000001</v>
      </c>
      <c r="U97" s="17">
        <f>S97+T97</f>
        <v>49302.18</v>
      </c>
    </row>
    <row r="98" spans="1:21" ht="18" x14ac:dyDescent="0.3">
      <c r="A98" s="10" t="s">
        <v>380</v>
      </c>
      <c r="B98" s="10"/>
      <c r="C98" s="24" t="s">
        <v>381</v>
      </c>
      <c r="D98" s="15"/>
      <c r="E98" s="15"/>
      <c r="F98" s="25" t="s">
        <v>278</v>
      </c>
      <c r="G98" s="26">
        <v>0.25</v>
      </c>
      <c r="H98" s="26"/>
      <c r="I98" s="26">
        <v>13.6</v>
      </c>
      <c r="J98" s="27">
        <v>213.81</v>
      </c>
      <c r="M98" s="28">
        <f>ROUND(ROUND(J98, 2)*I98, 2)</f>
        <v>2907.82</v>
      </c>
      <c r="P98" s="29">
        <v>213.81</v>
      </c>
      <c r="S98" s="28">
        <f>ROUND(ROUND(P98, 2)*I98, 2)</f>
        <v>2907.82</v>
      </c>
    </row>
    <row r="99" spans="1:21" ht="36" x14ac:dyDescent="0.3">
      <c r="A99" s="10" t="s">
        <v>385</v>
      </c>
      <c r="B99" s="10"/>
      <c r="C99" s="24" t="s">
        <v>386</v>
      </c>
      <c r="D99" s="15"/>
      <c r="E99" s="15" t="s">
        <v>387</v>
      </c>
      <c r="F99" s="25" t="s">
        <v>102</v>
      </c>
      <c r="G99" s="26">
        <v>1.05</v>
      </c>
      <c r="H99" s="31"/>
      <c r="I99" s="31">
        <v>57.12</v>
      </c>
      <c r="J99" s="27">
        <v>7.11</v>
      </c>
      <c r="M99" s="28">
        <f>ROUND(ROUND(J99, 2)*I99, 2)</f>
        <v>406.12</v>
      </c>
      <c r="P99" s="29">
        <v>7.11</v>
      </c>
      <c r="S99" s="28">
        <f>ROUND(ROUND(P99, 2)*I99, 2)</f>
        <v>406.12</v>
      </c>
    </row>
    <row r="100" spans="1:21" ht="18" x14ac:dyDescent="0.3">
      <c r="A100" s="10" t="s">
        <v>391</v>
      </c>
      <c r="B100" s="10"/>
      <c r="C100" s="24" t="s">
        <v>392</v>
      </c>
      <c r="D100" s="15"/>
      <c r="E100" s="15"/>
      <c r="F100" s="25" t="s">
        <v>278</v>
      </c>
      <c r="G100" s="26">
        <v>2.5</v>
      </c>
      <c r="H100" s="26"/>
      <c r="I100" s="26">
        <v>136</v>
      </c>
      <c r="J100" s="27">
        <v>143.75</v>
      </c>
      <c r="M100" s="28">
        <f>ROUND(ROUND(J100, 2)*I100, 2)</f>
        <v>19550</v>
      </c>
      <c r="P100" s="29">
        <v>143.75</v>
      </c>
      <c r="S100" s="28">
        <f>ROUND(ROUND(P100, 2)*I100, 2)</f>
        <v>19550</v>
      </c>
    </row>
    <row r="101" spans="1:21" ht="63" customHeight="1" x14ac:dyDescent="0.3">
      <c r="A101" s="10" t="s">
        <v>396</v>
      </c>
      <c r="B101" s="10" t="s">
        <v>375</v>
      </c>
      <c r="C101" s="14" t="s">
        <v>376</v>
      </c>
      <c r="D101" s="15"/>
      <c r="E101" s="15" t="s">
        <v>397</v>
      </c>
      <c r="F101" s="15" t="s">
        <v>62</v>
      </c>
      <c r="G101" s="16">
        <v>1</v>
      </c>
      <c r="H101" s="16"/>
      <c r="I101" s="16">
        <v>118.66</v>
      </c>
      <c r="J101" s="17">
        <f>IFERROR(ROUND(SUM(M102,M103,M104)/I101, 2),0)</f>
        <v>420.29</v>
      </c>
      <c r="K101" s="18">
        <v>324</v>
      </c>
      <c r="L101" s="17">
        <f>J101+ROUND(K101, 2)</f>
        <v>744.29</v>
      </c>
      <c r="M101" s="17">
        <f>ROUND(J101*I101, 2)</f>
        <v>49871.61</v>
      </c>
      <c r="N101" s="17">
        <f>ROUND(I101*ROUND(K101, 2), 2)</f>
        <v>38445.839999999997</v>
      </c>
      <c r="O101" s="17">
        <f>M101+N101</f>
        <v>88317.45</v>
      </c>
      <c r="P101" s="17">
        <f>IFERROR(ROUND(SUM(S102,S103,S104)/I101, 2),0)</f>
        <v>420.29</v>
      </c>
      <c r="Q101" s="19">
        <v>486</v>
      </c>
      <c r="R101" s="17">
        <f>P101+ROUND(Q101, 2)</f>
        <v>906.29</v>
      </c>
      <c r="S101" s="17">
        <f>ROUND(P101*I101, 2)</f>
        <v>49871.61</v>
      </c>
      <c r="T101" s="17">
        <f>ROUND(I101*ROUND(Q101, 2), 2)</f>
        <v>57668.76</v>
      </c>
      <c r="U101" s="17">
        <f>S101+T101</f>
        <v>107540.37</v>
      </c>
    </row>
    <row r="102" spans="1:21" ht="18" x14ac:dyDescent="0.3">
      <c r="A102" s="10" t="s">
        <v>398</v>
      </c>
      <c r="B102" s="10"/>
      <c r="C102" s="24" t="s">
        <v>392</v>
      </c>
      <c r="D102" s="15"/>
      <c r="E102" s="15"/>
      <c r="F102" s="25" t="s">
        <v>278</v>
      </c>
      <c r="G102" s="26">
        <v>2.5</v>
      </c>
      <c r="H102" s="26"/>
      <c r="I102" s="26">
        <v>296.64999999999998</v>
      </c>
      <c r="J102" s="27">
        <v>143.75</v>
      </c>
      <c r="M102" s="28">
        <f>ROUND(ROUND(J102, 2)*I102, 2)</f>
        <v>42643.44</v>
      </c>
      <c r="P102" s="29">
        <v>143.75</v>
      </c>
      <c r="S102" s="28">
        <f>ROUND(ROUND(P102, 2)*I102, 2)</f>
        <v>42643.44</v>
      </c>
    </row>
    <row r="103" spans="1:21" ht="18" x14ac:dyDescent="0.3">
      <c r="A103" s="10" t="s">
        <v>401</v>
      </c>
      <c r="B103" s="10"/>
      <c r="C103" s="24" t="s">
        <v>386</v>
      </c>
      <c r="D103" s="15"/>
      <c r="E103" s="15"/>
      <c r="F103" s="25" t="s">
        <v>102</v>
      </c>
      <c r="G103" s="26">
        <v>1.05</v>
      </c>
      <c r="H103" s="31"/>
      <c r="I103" s="31">
        <v>124.593</v>
      </c>
      <c r="J103" s="27">
        <v>7.11</v>
      </c>
      <c r="M103" s="28">
        <f>ROUND(ROUND(J103, 2)*I103, 2)</f>
        <v>885.86</v>
      </c>
      <c r="P103" s="29">
        <v>7.11</v>
      </c>
      <c r="S103" s="28">
        <f>ROUND(ROUND(P103, 2)*I103, 2)</f>
        <v>885.86</v>
      </c>
    </row>
    <row r="104" spans="1:21" ht="18" x14ac:dyDescent="0.3">
      <c r="A104" s="10" t="s">
        <v>404</v>
      </c>
      <c r="B104" s="10"/>
      <c r="C104" s="24" t="s">
        <v>381</v>
      </c>
      <c r="D104" s="15"/>
      <c r="E104" s="15"/>
      <c r="F104" s="25" t="s">
        <v>278</v>
      </c>
      <c r="G104" s="26">
        <v>0.25</v>
      </c>
      <c r="H104" s="26"/>
      <c r="I104" s="26">
        <v>29.664999999999999</v>
      </c>
      <c r="J104" s="27">
        <v>213.81</v>
      </c>
      <c r="M104" s="28">
        <f>ROUND(ROUND(J104, 2)*I104, 2)</f>
        <v>6342.67</v>
      </c>
      <c r="P104" s="29">
        <v>213.81</v>
      </c>
      <c r="S104" s="28">
        <f>ROUND(ROUND(P104, 2)*I104, 2)</f>
        <v>6342.67</v>
      </c>
    </row>
    <row r="105" spans="1:21" ht="93" customHeight="1" x14ac:dyDescent="0.3">
      <c r="A105" s="10" t="s">
        <v>407</v>
      </c>
      <c r="B105" s="10" t="s">
        <v>375</v>
      </c>
      <c r="C105" s="14" t="s">
        <v>376</v>
      </c>
      <c r="D105" s="15"/>
      <c r="E105" s="15" t="s">
        <v>408</v>
      </c>
      <c r="F105" s="15" t="s">
        <v>62</v>
      </c>
      <c r="G105" s="16">
        <v>1</v>
      </c>
      <c r="H105" s="16"/>
      <c r="I105" s="16">
        <v>536.16999999999996</v>
      </c>
      <c r="J105" s="17">
        <f>IFERROR(ROUND(SUM(M106,M107)/I105, 2),0)</f>
        <v>996.76</v>
      </c>
      <c r="K105" s="18">
        <v>324</v>
      </c>
      <c r="L105" s="17">
        <f>J105+ROUND(K105, 2)</f>
        <v>1320.76</v>
      </c>
      <c r="M105" s="17">
        <f>ROUND(J105*I105, 2)</f>
        <v>534432.81000000006</v>
      </c>
      <c r="N105" s="17">
        <f>ROUND(I105*ROUND(K105, 2), 2)</f>
        <v>173719.08</v>
      </c>
      <c r="O105" s="17">
        <f>M105+N105</f>
        <v>708151.89</v>
      </c>
      <c r="P105" s="17">
        <f>IFERROR(ROUND(SUM(S106,S107)/I105, 2),0)</f>
        <v>996.76</v>
      </c>
      <c r="Q105" s="19">
        <v>486</v>
      </c>
      <c r="R105" s="17">
        <f>P105+ROUND(Q105, 2)</f>
        <v>1482.76</v>
      </c>
      <c r="S105" s="17">
        <f>ROUND(P105*I105, 2)</f>
        <v>534432.81000000006</v>
      </c>
      <c r="T105" s="17">
        <f>ROUND(I105*ROUND(Q105, 2), 2)</f>
        <v>260578.62</v>
      </c>
      <c r="U105" s="17">
        <f>S105+T105</f>
        <v>795011.43</v>
      </c>
    </row>
    <row r="106" spans="1:21" ht="36" x14ac:dyDescent="0.3">
      <c r="A106" s="10" t="s">
        <v>409</v>
      </c>
      <c r="B106" s="10"/>
      <c r="C106" s="24" t="s">
        <v>410</v>
      </c>
      <c r="D106" s="15"/>
      <c r="E106" s="15" t="s">
        <v>411</v>
      </c>
      <c r="F106" s="25" t="s">
        <v>278</v>
      </c>
      <c r="G106" s="26">
        <v>1.4</v>
      </c>
      <c r="H106" s="26"/>
      <c r="I106" s="26">
        <v>750.63800000000003</v>
      </c>
      <c r="J106" s="27">
        <v>528.97</v>
      </c>
      <c r="M106" s="28">
        <f>ROUND(ROUND(J106, 2)*I106, 2)</f>
        <v>397064.98</v>
      </c>
      <c r="P106" s="29">
        <v>528.97</v>
      </c>
      <c r="S106" s="28">
        <f>ROUND(ROUND(P106, 2)*I106, 2)</f>
        <v>397064.98</v>
      </c>
    </row>
    <row r="107" spans="1:21" ht="36" x14ac:dyDescent="0.3">
      <c r="A107" s="10" t="s">
        <v>415</v>
      </c>
      <c r="B107" s="10"/>
      <c r="C107" s="24" t="s">
        <v>416</v>
      </c>
      <c r="D107" s="15"/>
      <c r="E107" s="15" t="s">
        <v>417</v>
      </c>
      <c r="F107" s="25" t="s">
        <v>102</v>
      </c>
      <c r="G107" s="26">
        <v>1.05</v>
      </c>
      <c r="H107" s="31"/>
      <c r="I107" s="31">
        <v>562.97900000000004</v>
      </c>
      <c r="J107" s="27">
        <v>244</v>
      </c>
      <c r="M107" s="28">
        <f>ROUND(ROUND(J107, 2)*I107, 2)</f>
        <v>137366.88</v>
      </c>
      <c r="P107" s="29">
        <v>244</v>
      </c>
      <c r="S107" s="28">
        <f>ROUND(ROUND(P107, 2)*I107, 2)</f>
        <v>137366.88</v>
      </c>
    </row>
    <row r="108" spans="1:21" ht="58.95" customHeight="1" x14ac:dyDescent="0.3">
      <c r="A108" s="10" t="s">
        <v>421</v>
      </c>
      <c r="B108" s="10" t="s">
        <v>375</v>
      </c>
      <c r="C108" s="14" t="s">
        <v>376</v>
      </c>
      <c r="D108" s="15"/>
      <c r="E108" s="15" t="s">
        <v>422</v>
      </c>
      <c r="F108" s="15" t="s">
        <v>62</v>
      </c>
      <c r="G108" s="16">
        <v>1</v>
      </c>
      <c r="H108" s="16"/>
      <c r="I108" s="16">
        <v>105.69</v>
      </c>
      <c r="J108" s="17">
        <f>IFERROR(ROUND(SUM(M109,M110)/I108, 2),0)</f>
        <v>996.76</v>
      </c>
      <c r="K108" s="18">
        <v>324</v>
      </c>
      <c r="L108" s="17">
        <f>J108+ROUND(K108, 2)</f>
        <v>1320.76</v>
      </c>
      <c r="M108" s="17">
        <f>ROUND(J108*I108, 2)</f>
        <v>105347.56</v>
      </c>
      <c r="N108" s="17">
        <f>ROUND(I108*ROUND(K108, 2), 2)</f>
        <v>34243.56</v>
      </c>
      <c r="O108" s="17">
        <f>M108+N108</f>
        <v>139591.12</v>
      </c>
      <c r="P108" s="17">
        <f>IFERROR(ROUND(SUM(S109,S110)/I108, 2),0)</f>
        <v>996.76</v>
      </c>
      <c r="Q108" s="19">
        <v>486</v>
      </c>
      <c r="R108" s="17">
        <f>P108+ROUND(Q108, 2)</f>
        <v>1482.76</v>
      </c>
      <c r="S108" s="17">
        <f>ROUND(P108*I108, 2)</f>
        <v>105347.56</v>
      </c>
      <c r="T108" s="17">
        <f>ROUND(I108*ROUND(Q108, 2), 2)</f>
        <v>51365.34</v>
      </c>
      <c r="U108" s="17">
        <f>S108+T108</f>
        <v>156712.9</v>
      </c>
    </row>
    <row r="109" spans="1:21" ht="36" x14ac:dyDescent="0.3">
      <c r="A109" s="10" t="s">
        <v>423</v>
      </c>
      <c r="B109" s="10"/>
      <c r="C109" s="24" t="s">
        <v>416</v>
      </c>
      <c r="D109" s="15"/>
      <c r="E109" s="15" t="s">
        <v>417</v>
      </c>
      <c r="F109" s="25" t="s">
        <v>102</v>
      </c>
      <c r="G109" s="26">
        <v>1.05</v>
      </c>
      <c r="H109" s="31"/>
      <c r="I109" s="31">
        <v>110.97499999999999</v>
      </c>
      <c r="J109" s="27">
        <v>244</v>
      </c>
      <c r="M109" s="28">
        <f>ROUND(ROUND(J109, 2)*I109, 2)</f>
        <v>27077.9</v>
      </c>
      <c r="P109" s="29">
        <v>244</v>
      </c>
      <c r="S109" s="28">
        <f>ROUND(ROUND(P109, 2)*I109, 2)</f>
        <v>27077.9</v>
      </c>
    </row>
    <row r="110" spans="1:21" ht="36" x14ac:dyDescent="0.3">
      <c r="A110" s="10" t="s">
        <v>426</v>
      </c>
      <c r="B110" s="10"/>
      <c r="C110" s="24" t="s">
        <v>410</v>
      </c>
      <c r="D110" s="15"/>
      <c r="E110" s="15" t="s">
        <v>411</v>
      </c>
      <c r="F110" s="25" t="s">
        <v>278</v>
      </c>
      <c r="G110" s="26">
        <v>1.4</v>
      </c>
      <c r="H110" s="26"/>
      <c r="I110" s="26">
        <v>147.96600000000001</v>
      </c>
      <c r="J110" s="27">
        <v>528.97</v>
      </c>
      <c r="M110" s="28">
        <f>ROUND(ROUND(J110, 2)*I110, 2)</f>
        <v>78269.58</v>
      </c>
      <c r="P110" s="29">
        <v>528.97</v>
      </c>
      <c r="S110" s="28">
        <f>ROUND(ROUND(P110, 2)*I110, 2)</f>
        <v>78269.58</v>
      </c>
    </row>
    <row r="111" spans="1:21" ht="69.45" customHeight="1" x14ac:dyDescent="0.3">
      <c r="A111" s="10" t="s">
        <v>429</v>
      </c>
      <c r="B111" s="10" t="s">
        <v>430</v>
      </c>
      <c r="C111" s="14" t="s">
        <v>431</v>
      </c>
      <c r="D111" s="15"/>
      <c r="E111" s="15" t="s">
        <v>432</v>
      </c>
      <c r="F111" s="15" t="s">
        <v>62</v>
      </c>
      <c r="G111" s="16">
        <v>1</v>
      </c>
      <c r="H111" s="16"/>
      <c r="I111" s="16">
        <v>316.39999999999998</v>
      </c>
      <c r="J111" s="17">
        <f>IFERROR(ROUND(SUM(M112)/I111, 2),0)</f>
        <v>86.12</v>
      </c>
      <c r="K111" s="18">
        <v>580</v>
      </c>
      <c r="L111" s="17">
        <f>J111+ROUND(K111, 2)</f>
        <v>666.12</v>
      </c>
      <c r="M111" s="17">
        <f>ROUND(J111*I111, 2)</f>
        <v>27248.37</v>
      </c>
      <c r="N111" s="17">
        <f>ROUND(I111*ROUND(K111, 2), 2)</f>
        <v>183512</v>
      </c>
      <c r="O111" s="17">
        <f>M111+N111</f>
        <v>210760.37</v>
      </c>
      <c r="P111" s="17">
        <f>IFERROR(ROUND(SUM(S112)/I111, 2),0)</f>
        <v>86.12</v>
      </c>
      <c r="Q111" s="19">
        <v>870</v>
      </c>
      <c r="R111" s="17">
        <f>P111+ROUND(Q111, 2)</f>
        <v>956.12</v>
      </c>
      <c r="S111" s="17">
        <f>ROUND(P111*I111, 2)</f>
        <v>27248.37</v>
      </c>
      <c r="T111" s="17">
        <f>ROUND(I111*ROUND(Q111, 2), 2)</f>
        <v>275268</v>
      </c>
      <c r="U111" s="17">
        <f>S111+T111</f>
        <v>302516.37</v>
      </c>
    </row>
    <row r="112" spans="1:21" ht="18" x14ac:dyDescent="0.3">
      <c r="A112" s="10" t="s">
        <v>435</v>
      </c>
      <c r="B112" s="10"/>
      <c r="C112" s="24" t="s">
        <v>436</v>
      </c>
      <c r="D112" s="15"/>
      <c r="E112" s="15"/>
      <c r="F112" s="25" t="s">
        <v>62</v>
      </c>
      <c r="G112" s="26">
        <v>1.1000000000000001</v>
      </c>
      <c r="H112" s="31"/>
      <c r="I112" s="31">
        <v>348.04</v>
      </c>
      <c r="J112" s="27">
        <v>78.290000000000006</v>
      </c>
      <c r="M112" s="28">
        <f>ROUND(ROUND(J112, 2)*I112, 2)</f>
        <v>27248.05</v>
      </c>
      <c r="P112" s="29">
        <v>78.290000000000006</v>
      </c>
      <c r="S112" s="28">
        <f>ROUND(ROUND(P112, 2)*I112, 2)</f>
        <v>27248.05</v>
      </c>
    </row>
    <row r="113" spans="1:21" ht="108.45" customHeight="1" x14ac:dyDescent="0.3">
      <c r="A113" s="10" t="s">
        <v>440</v>
      </c>
      <c r="B113" s="10" t="s">
        <v>430</v>
      </c>
      <c r="C113" s="14" t="s">
        <v>431</v>
      </c>
      <c r="D113" s="15"/>
      <c r="E113" s="15" t="s">
        <v>441</v>
      </c>
      <c r="F113" s="15" t="s">
        <v>62</v>
      </c>
      <c r="G113" s="16">
        <v>1</v>
      </c>
      <c r="H113" s="16"/>
      <c r="I113" s="16">
        <v>61.28</v>
      </c>
      <c r="J113" s="17">
        <f>IFERROR(ROUND(SUM(M114)/I113, 2),0)</f>
        <v>86.12</v>
      </c>
      <c r="K113" s="18">
        <v>580</v>
      </c>
      <c r="L113" s="17">
        <f>J113+ROUND(K113, 2)</f>
        <v>666.12</v>
      </c>
      <c r="M113" s="17">
        <f>ROUND(J113*I113, 2)</f>
        <v>5277.43</v>
      </c>
      <c r="N113" s="17">
        <f>ROUND(I113*ROUND(K113, 2), 2)</f>
        <v>35542.400000000001</v>
      </c>
      <c r="O113" s="17">
        <f>M113+N113</f>
        <v>40819.83</v>
      </c>
      <c r="P113" s="17">
        <f>IFERROR(ROUND(SUM(S114)/I113, 2),0)</f>
        <v>86.12</v>
      </c>
      <c r="Q113" s="19">
        <v>870</v>
      </c>
      <c r="R113" s="17">
        <f>P113+ROUND(Q113, 2)</f>
        <v>956.12</v>
      </c>
      <c r="S113" s="17">
        <f>ROUND(P113*I113, 2)</f>
        <v>5277.43</v>
      </c>
      <c r="T113" s="17">
        <f>ROUND(I113*ROUND(Q113, 2), 2)</f>
        <v>53313.599999999999</v>
      </c>
      <c r="U113" s="17">
        <f>S113+T113</f>
        <v>58591.03</v>
      </c>
    </row>
    <row r="114" spans="1:21" ht="18" x14ac:dyDescent="0.3">
      <c r="A114" s="10" t="s">
        <v>442</v>
      </c>
      <c r="B114" s="10"/>
      <c r="C114" s="24" t="s">
        <v>436</v>
      </c>
      <c r="D114" s="15"/>
      <c r="E114" s="15"/>
      <c r="F114" s="25" t="s">
        <v>62</v>
      </c>
      <c r="G114" s="26">
        <v>1.1000000000000001</v>
      </c>
      <c r="H114" s="31"/>
      <c r="I114" s="31">
        <v>67.408000000000001</v>
      </c>
      <c r="J114" s="27">
        <v>78.290000000000006</v>
      </c>
      <c r="M114" s="28">
        <f>ROUND(ROUND(J114, 2)*I114, 2)</f>
        <v>5277.37</v>
      </c>
      <c r="P114" s="29">
        <v>78.290000000000006</v>
      </c>
      <c r="S114" s="28">
        <f>ROUND(ROUND(P114, 2)*I114, 2)</f>
        <v>5277.37</v>
      </c>
    </row>
    <row r="115" spans="1:21" ht="93" customHeight="1" x14ac:dyDescent="0.3">
      <c r="A115" s="10" t="s">
        <v>445</v>
      </c>
      <c r="B115" s="10" t="s">
        <v>446</v>
      </c>
      <c r="C115" s="14" t="s">
        <v>447</v>
      </c>
      <c r="D115" s="15"/>
      <c r="E115" s="15" t="s">
        <v>448</v>
      </c>
      <c r="F115" s="15" t="s">
        <v>62</v>
      </c>
      <c r="G115" s="16">
        <v>1</v>
      </c>
      <c r="H115" s="16"/>
      <c r="I115" s="16">
        <v>39.270000000000003</v>
      </c>
      <c r="J115" s="17">
        <f>IFERROR(ROUND(SUM(M116)/I115, 2),0)</f>
        <v>372.7</v>
      </c>
      <c r="K115" s="18">
        <v>439</v>
      </c>
      <c r="L115" s="17">
        <f>J115+ROUND(K115, 2)</f>
        <v>811.7</v>
      </c>
      <c r="M115" s="17">
        <f>ROUND(J115*I115, 2)</f>
        <v>14635.93</v>
      </c>
      <c r="N115" s="17">
        <f>ROUND(I115*ROUND(K115, 2), 2)</f>
        <v>17239.53</v>
      </c>
      <c r="O115" s="17">
        <f>M115+N115</f>
        <v>31875.46</v>
      </c>
      <c r="P115" s="17">
        <f>IFERROR(ROUND(SUM(S116)/I115, 2),0)</f>
        <v>475.78</v>
      </c>
      <c r="Q115" s="19">
        <v>439</v>
      </c>
      <c r="R115" s="17">
        <f>P115+ROUND(Q115, 2)</f>
        <v>914.78</v>
      </c>
      <c r="S115" s="17">
        <f>ROUND(P115*I115, 2)</f>
        <v>18683.88</v>
      </c>
      <c r="T115" s="17">
        <f>ROUND(I115*ROUND(Q115, 2), 2)</f>
        <v>17239.53</v>
      </c>
      <c r="U115" s="17">
        <f>S115+T115</f>
        <v>35923.410000000003</v>
      </c>
    </row>
    <row r="116" spans="1:21" ht="36" x14ac:dyDescent="0.3">
      <c r="A116" s="10" t="s">
        <v>451</v>
      </c>
      <c r="B116" s="10"/>
      <c r="C116" s="30" t="s">
        <v>452</v>
      </c>
      <c r="D116" s="15"/>
      <c r="E116" s="15"/>
      <c r="F116" s="25" t="s">
        <v>453</v>
      </c>
      <c r="G116" s="26">
        <v>1.03</v>
      </c>
      <c r="H116" s="31"/>
      <c r="I116" s="31">
        <v>2.0219999999999998</v>
      </c>
      <c r="J116" s="27">
        <v>7238.3</v>
      </c>
      <c r="M116" s="28">
        <f>ROUND(ROUND(J116, 2)*I116, 2)</f>
        <v>14635.84</v>
      </c>
      <c r="P116" s="29">
        <v>9240.33</v>
      </c>
      <c r="S116" s="28">
        <f>ROUND(ROUND(P116, 2)*I116, 2)</f>
        <v>18683.95</v>
      </c>
    </row>
    <row r="117" spans="1:21" ht="16.95" customHeight="1" x14ac:dyDescent="0.3">
      <c r="A117" s="10" t="s">
        <v>457</v>
      </c>
      <c r="B117" s="10" t="s">
        <v>458</v>
      </c>
      <c r="C117" s="91" t="s">
        <v>459</v>
      </c>
      <c r="D117" s="92"/>
      <c r="E117" s="92"/>
      <c r="F117" s="92"/>
      <c r="G117" s="92"/>
      <c r="H117" s="92"/>
      <c r="I117" s="93"/>
      <c r="M117" s="6">
        <f>SUM(M118,M122,M126,M130,M134,M138,M141,M146,M150,M155,M158,M161,M164,M167,M170,M173,M176,M179,M182,M184,M186,M188,M190,M192,M194,M197,M200,M203,M206,M210,M214,M218,M220,M222,M224,M226,M228,M230,M232,M234,M239,M244,M249,M254,M259,M264,M269,M274,M279,M284,M289,M293,M297,M302,M307,M312,M317,M322,M327,M332,M337,M342,M347,M352,M357,M362,M367,M372,M377,M382,M387,M392,M397,M402,M407,M412,M417,M422,M427)</f>
        <v>21625097.409999996</v>
      </c>
      <c r="N117" s="6">
        <f>SUM(N118,N122,N126,N130,N134,N138,N141,N146,N150,N155,N158,N161,N164,N167,N170,N173,N176,N179,N182,N184,N186,N188,N190,N192,N194,N197,N200,N203,N206,N210,N214,N218,N220,N222,N224,N226,N228,N230,N232,N234,N239,N244,N249,N254,N259,N264,N269,N274,N279,N284,N289,N293,N297,N302,N307,N312,N317,N322,N327,N332,N337,N342,N347,N352,N357,N362,N367,N372,N377,N382,N387,N392,N397,N402,N407,N412,N417,N422,N427)</f>
        <v>21090517.109999996</v>
      </c>
      <c r="O117" s="6">
        <f>SUM(O118,O122,O126,O130,O134,O138,O141,O146,O150,O155,O158,O161,O164,O167,O170,O173,O176,O179,O182,O184,O186,O188,O190,O192,O194,O197,O200,O203,O206,O210,O214,O218,O220,O222,O224,O226,O228,O230,O232,O234,O239,O244,O249,O254,O259,O264,O269,O274,O279,O284,O289,O293,O297,O302,O307,O312,O317,O322,O327,O332,O337,O342,O347,O352,O357,O362,O367,O372,O377,O382,O387,O392,O397,O402,O407,O412,O417,O422,O427)</f>
        <v>42715614.520000003</v>
      </c>
      <c r="S117" s="6">
        <f>SUM(S118,S122,S126,S130,S134,S138,S141,S146,S150,S155,S158,S161,S164,S167,S170,S173,S176,S179,S182,S184,S186,S188,S190,S192,S194,S197,S200,S203,S206,S210,S214,S218,S220,S222,S224,S226,S228,S230,S232,S234,S239,S244,S249,S254,S259,S264,S269,S274,S279,S284,S289,S293,S297,S302,S307,S312,S317,S322,S327,S332,S337,S342,S347,S352,S357,S362,S367,S372,S377,S382,S387,S392,S397,S402,S407,S412,S417,S422,S427)</f>
        <v>28587326.800000001</v>
      </c>
      <c r="T117" s="6">
        <f>SUM(T118,T122,T126,T130,T134,T138,T141,T146,T150,T155,T158,T161,T164,T167,T170,T173,T176,T179,T182,T184,T186,T188,T190,T192,T194,T197,T200,T203,T206,T210,T214,T218,T220,T222,T224,T226,T228,T230,T232,T234,T239,T244,T249,T254,T259,T264,T269,T274,T279,T284,T289,T293,T297,T302,T307,T312,T317,T322,T327,T332,T337,T342,T347,T352,T357,T362,T367,T372,T377,T382,T387,T392,T397,T402,T407,T412,T417,T422,T427)</f>
        <v>31635783.280000005</v>
      </c>
      <c r="U117" s="6">
        <f>SUM(U118,U122,U126,U130,U134,U138,U141,U146,U150,U155,U158,U161,U164,U167,U170,U173,U176,U179,U182,U184,U186,U188,U190,U192,U194,U197,U200,U203,U206,U210,U214,U218,U220,U222,U224,U226,U228,U230,U232,U234,U239,U244,U249,U254,U259,U264,U269,U274,U279,U284,U289,U293,U297,U302,U307,U312,U317,U322,U327,U332,U337,U342,U347,U352,U357,U362,U367,U372,U377,U382,U387,U392,U397,U402,U407,U412,U417,U422,U427)</f>
        <v>60223110.080000006</v>
      </c>
    </row>
    <row r="118" spans="1:21" ht="18" x14ac:dyDescent="0.3">
      <c r="A118" s="10" t="s">
        <v>460</v>
      </c>
      <c r="B118" s="10" t="s">
        <v>461</v>
      </c>
      <c r="C118" s="14" t="s">
        <v>462</v>
      </c>
      <c r="D118" s="15" t="s">
        <v>463</v>
      </c>
      <c r="E118" s="15"/>
      <c r="F118" s="15" t="s">
        <v>62</v>
      </c>
      <c r="G118" s="16">
        <v>1</v>
      </c>
      <c r="H118" s="16"/>
      <c r="I118" s="16">
        <v>0</v>
      </c>
      <c r="J118" s="17">
        <v>0</v>
      </c>
      <c r="K118" s="18">
        <v>556</v>
      </c>
      <c r="L118" s="17">
        <f>J118+ROUND(K118, 2)</f>
        <v>556</v>
      </c>
      <c r="M118" s="17">
        <v>0</v>
      </c>
      <c r="N118" s="17">
        <v>0</v>
      </c>
      <c r="O118" s="17">
        <f>M118+N118</f>
        <v>0</v>
      </c>
      <c r="P118" s="17">
        <v>1580.6</v>
      </c>
      <c r="Q118" s="18">
        <v>556</v>
      </c>
      <c r="R118" s="17">
        <f>P118+ROUND(Q118, 2)</f>
        <v>2136.6</v>
      </c>
      <c r="S118" s="17">
        <v>0</v>
      </c>
      <c r="T118" s="17">
        <v>0</v>
      </c>
      <c r="U118" s="17">
        <f>S118+T118</f>
        <v>0</v>
      </c>
    </row>
    <row r="119" spans="1:21" ht="18" x14ac:dyDescent="0.3">
      <c r="A119" s="10" t="s">
        <v>466</v>
      </c>
      <c r="B119" s="10"/>
      <c r="C119" s="24" t="s">
        <v>467</v>
      </c>
      <c r="D119" s="15"/>
      <c r="E119" s="15"/>
      <c r="F119" s="25" t="s">
        <v>278</v>
      </c>
      <c r="G119" s="26">
        <v>0.3</v>
      </c>
      <c r="H119" s="26"/>
      <c r="I119" s="26">
        <v>0</v>
      </c>
      <c r="J119" s="27">
        <v>220</v>
      </c>
      <c r="M119" s="28">
        <f>ROUND(ROUND(J119, 2)*I119, 2)</f>
        <v>0</v>
      </c>
      <c r="P119" s="27">
        <v>220</v>
      </c>
      <c r="S119" s="28">
        <f>ROUND(ROUND(P119, 2)*I119, 2)</f>
        <v>0</v>
      </c>
    </row>
    <row r="120" spans="1:21" ht="54" x14ac:dyDescent="0.3">
      <c r="A120" s="10" t="s">
        <v>471</v>
      </c>
      <c r="B120" s="10"/>
      <c r="C120" s="30" t="s">
        <v>472</v>
      </c>
      <c r="D120" s="15"/>
      <c r="E120" s="15"/>
      <c r="F120" s="25" t="s">
        <v>102</v>
      </c>
      <c r="G120" s="26">
        <v>1</v>
      </c>
      <c r="H120" s="31"/>
      <c r="I120" s="31">
        <v>0</v>
      </c>
      <c r="J120" s="27">
        <v>51</v>
      </c>
      <c r="M120" s="28">
        <f>ROUND(ROUND(J120, 2)*I120, 2)</f>
        <v>0</v>
      </c>
      <c r="P120" s="27">
        <v>51</v>
      </c>
      <c r="S120" s="28">
        <f>ROUND(ROUND(P120, 2)*I120, 2)</f>
        <v>0</v>
      </c>
    </row>
    <row r="121" spans="1:21" ht="54" x14ac:dyDescent="0.3">
      <c r="A121" s="10" t="s">
        <v>476</v>
      </c>
      <c r="B121" s="10"/>
      <c r="C121" s="30" t="s">
        <v>477</v>
      </c>
      <c r="D121" s="15"/>
      <c r="E121" s="15"/>
      <c r="F121" s="25" t="s">
        <v>62</v>
      </c>
      <c r="G121" s="26">
        <v>1.1000000000000001</v>
      </c>
      <c r="H121" s="31"/>
      <c r="I121" s="31">
        <v>0</v>
      </c>
      <c r="J121" s="27">
        <v>1339</v>
      </c>
      <c r="M121" s="28">
        <f>ROUND(ROUND(J121, 2)*I121, 2)</f>
        <v>0</v>
      </c>
      <c r="P121" s="27">
        <v>1339</v>
      </c>
      <c r="S121" s="28">
        <f>ROUND(ROUND(P121, 2)*I121, 2)</f>
        <v>0</v>
      </c>
    </row>
    <row r="122" spans="1:21" ht="18" x14ac:dyDescent="0.3">
      <c r="A122" s="10" t="s">
        <v>481</v>
      </c>
      <c r="B122" s="10" t="s">
        <v>461</v>
      </c>
      <c r="C122" s="14" t="s">
        <v>462</v>
      </c>
      <c r="D122" s="15" t="s">
        <v>463</v>
      </c>
      <c r="E122" s="15"/>
      <c r="F122" s="15" t="s">
        <v>62</v>
      </c>
      <c r="G122" s="16">
        <v>1</v>
      </c>
      <c r="H122" s="16"/>
      <c r="I122" s="16">
        <v>0</v>
      </c>
      <c r="J122" s="17">
        <v>0</v>
      </c>
      <c r="K122" s="18">
        <v>556</v>
      </c>
      <c r="L122" s="17">
        <f>J122+ROUND(K122, 2)</f>
        <v>556</v>
      </c>
      <c r="M122" s="17">
        <v>0</v>
      </c>
      <c r="N122" s="17">
        <v>0</v>
      </c>
      <c r="O122" s="17">
        <f>M122+N122</f>
        <v>0</v>
      </c>
      <c r="P122" s="17">
        <v>1562.05</v>
      </c>
      <c r="Q122" s="18">
        <v>556</v>
      </c>
      <c r="R122" s="17">
        <f>P122+ROUND(Q122, 2)</f>
        <v>2118.0500000000002</v>
      </c>
      <c r="S122" s="17">
        <v>0</v>
      </c>
      <c r="T122" s="17">
        <v>0</v>
      </c>
      <c r="U122" s="17">
        <f>S122+T122</f>
        <v>0</v>
      </c>
    </row>
    <row r="123" spans="1:21" ht="36" x14ac:dyDescent="0.3">
      <c r="A123" s="10" t="s">
        <v>482</v>
      </c>
      <c r="B123" s="10"/>
      <c r="C123" s="30" t="s">
        <v>483</v>
      </c>
      <c r="D123" s="15"/>
      <c r="E123" s="15"/>
      <c r="F123" s="25" t="s">
        <v>62</v>
      </c>
      <c r="G123" s="26">
        <v>1.1000000000000001</v>
      </c>
      <c r="H123" s="31"/>
      <c r="I123" s="31">
        <v>0</v>
      </c>
      <c r="J123" s="27">
        <v>1339</v>
      </c>
      <c r="M123" s="28">
        <f>ROUND(ROUND(J123, 2)*I123, 2)</f>
        <v>0</v>
      </c>
      <c r="P123" s="27">
        <v>1339</v>
      </c>
      <c r="S123" s="28">
        <f>ROUND(ROUND(P123, 2)*I123, 2)</f>
        <v>0</v>
      </c>
    </row>
    <row r="124" spans="1:21" ht="54" x14ac:dyDescent="0.3">
      <c r="A124" s="10" t="s">
        <v>487</v>
      </c>
      <c r="B124" s="10"/>
      <c r="C124" s="30" t="s">
        <v>488</v>
      </c>
      <c r="D124" s="15"/>
      <c r="E124" s="15"/>
      <c r="F124" s="25" t="s">
        <v>102</v>
      </c>
      <c r="G124" s="26">
        <v>1</v>
      </c>
      <c r="H124" s="31"/>
      <c r="I124" s="31">
        <v>0</v>
      </c>
      <c r="J124" s="27">
        <v>51</v>
      </c>
      <c r="M124" s="28">
        <f>ROUND(ROUND(J124, 2)*I124, 2)</f>
        <v>0</v>
      </c>
      <c r="P124" s="27">
        <v>51</v>
      </c>
      <c r="S124" s="28">
        <f>ROUND(ROUND(P124, 2)*I124, 2)</f>
        <v>0</v>
      </c>
    </row>
    <row r="125" spans="1:21" ht="18" x14ac:dyDescent="0.3">
      <c r="A125" s="10" t="s">
        <v>492</v>
      </c>
      <c r="B125" s="10"/>
      <c r="C125" s="24" t="s">
        <v>467</v>
      </c>
      <c r="D125" s="15"/>
      <c r="E125" s="15"/>
      <c r="F125" s="25" t="s">
        <v>278</v>
      </c>
      <c r="G125" s="26">
        <v>0.3</v>
      </c>
      <c r="H125" s="26"/>
      <c r="I125" s="26">
        <v>0</v>
      </c>
      <c r="J125" s="27">
        <v>220</v>
      </c>
      <c r="M125" s="28">
        <f>ROUND(ROUND(J125, 2)*I125, 2)</f>
        <v>0</v>
      </c>
      <c r="P125" s="27">
        <v>220</v>
      </c>
      <c r="S125" s="28">
        <f>ROUND(ROUND(P125, 2)*I125, 2)</f>
        <v>0</v>
      </c>
    </row>
    <row r="126" spans="1:21" ht="18" x14ac:dyDescent="0.3">
      <c r="A126" s="10" t="s">
        <v>495</v>
      </c>
      <c r="B126" s="10" t="s">
        <v>461</v>
      </c>
      <c r="C126" s="14" t="s">
        <v>462</v>
      </c>
      <c r="D126" s="15" t="s">
        <v>463</v>
      </c>
      <c r="E126" s="15" t="s">
        <v>496</v>
      </c>
      <c r="F126" s="15" t="s">
        <v>62</v>
      </c>
      <c r="G126" s="16">
        <v>1</v>
      </c>
      <c r="H126" s="16"/>
      <c r="I126" s="16">
        <v>0</v>
      </c>
      <c r="J126" s="17">
        <v>0</v>
      </c>
      <c r="K126" s="18">
        <v>556</v>
      </c>
      <c r="L126" s="17">
        <f>J126+ROUND(K126, 2)</f>
        <v>556</v>
      </c>
      <c r="M126" s="17">
        <v>0</v>
      </c>
      <c r="N126" s="17">
        <v>0</v>
      </c>
      <c r="O126" s="17">
        <f>M126+N126</f>
        <v>0</v>
      </c>
      <c r="P126" s="17">
        <v>1562.05</v>
      </c>
      <c r="Q126" s="18">
        <v>556</v>
      </c>
      <c r="R126" s="17">
        <f>P126+ROUND(Q126, 2)</f>
        <v>2118.0500000000002</v>
      </c>
      <c r="S126" s="17">
        <v>0</v>
      </c>
      <c r="T126" s="17">
        <v>0</v>
      </c>
      <c r="U126" s="17">
        <f>S126+T126</f>
        <v>0</v>
      </c>
    </row>
    <row r="127" spans="1:21" ht="18" x14ac:dyDescent="0.3">
      <c r="A127" s="10" t="s">
        <v>497</v>
      </c>
      <c r="B127" s="10"/>
      <c r="C127" s="24" t="s">
        <v>467</v>
      </c>
      <c r="D127" s="15"/>
      <c r="E127" s="15"/>
      <c r="F127" s="25" t="s">
        <v>278</v>
      </c>
      <c r="G127" s="26">
        <v>0.3</v>
      </c>
      <c r="H127" s="26"/>
      <c r="I127" s="26">
        <v>0</v>
      </c>
      <c r="J127" s="27">
        <v>220</v>
      </c>
      <c r="M127" s="28">
        <f>ROUND(ROUND(J127, 2)*I127, 2)</f>
        <v>0</v>
      </c>
      <c r="P127" s="27">
        <v>220</v>
      </c>
      <c r="S127" s="28">
        <f>ROUND(ROUND(P127, 2)*I127, 2)</f>
        <v>0</v>
      </c>
    </row>
    <row r="128" spans="1:21" ht="54" x14ac:dyDescent="0.3">
      <c r="A128" s="10" t="s">
        <v>500</v>
      </c>
      <c r="B128" s="10"/>
      <c r="C128" s="30" t="s">
        <v>488</v>
      </c>
      <c r="D128" s="15"/>
      <c r="E128" s="15"/>
      <c r="F128" s="25" t="s">
        <v>102</v>
      </c>
      <c r="G128" s="26">
        <v>1</v>
      </c>
      <c r="H128" s="31"/>
      <c r="I128" s="31">
        <v>0</v>
      </c>
      <c r="J128" s="27">
        <v>51</v>
      </c>
      <c r="M128" s="28">
        <f>ROUND(ROUND(J128, 2)*I128, 2)</f>
        <v>0</v>
      </c>
      <c r="P128" s="27">
        <v>51</v>
      </c>
      <c r="S128" s="28">
        <f>ROUND(ROUND(P128, 2)*I128, 2)</f>
        <v>0</v>
      </c>
    </row>
    <row r="129" spans="1:21" ht="36" x14ac:dyDescent="0.3">
      <c r="A129" s="10" t="s">
        <v>503</v>
      </c>
      <c r="B129" s="10"/>
      <c r="C129" s="30" t="s">
        <v>483</v>
      </c>
      <c r="D129" s="15"/>
      <c r="E129" s="15"/>
      <c r="F129" s="25" t="s">
        <v>62</v>
      </c>
      <c r="G129" s="26">
        <v>1.1000000000000001</v>
      </c>
      <c r="H129" s="31"/>
      <c r="I129" s="31">
        <v>0</v>
      </c>
      <c r="J129" s="27">
        <v>1339</v>
      </c>
      <c r="M129" s="28">
        <f>ROUND(ROUND(J129, 2)*I129, 2)</f>
        <v>0</v>
      </c>
      <c r="P129" s="27">
        <v>1339</v>
      </c>
      <c r="S129" s="28">
        <f>ROUND(ROUND(P129, 2)*I129, 2)</f>
        <v>0</v>
      </c>
    </row>
    <row r="130" spans="1:21" ht="18" x14ac:dyDescent="0.3">
      <c r="A130" s="10" t="s">
        <v>506</v>
      </c>
      <c r="B130" s="10" t="s">
        <v>461</v>
      </c>
      <c r="C130" s="14" t="s">
        <v>462</v>
      </c>
      <c r="D130" s="15" t="s">
        <v>463</v>
      </c>
      <c r="E130" s="15" t="s">
        <v>507</v>
      </c>
      <c r="F130" s="15" t="s">
        <v>62</v>
      </c>
      <c r="G130" s="16">
        <v>1</v>
      </c>
      <c r="H130" s="16"/>
      <c r="I130" s="16">
        <v>435.4</v>
      </c>
      <c r="J130" s="17">
        <v>1580.6</v>
      </c>
      <c r="K130" s="18">
        <v>556</v>
      </c>
      <c r="L130" s="17">
        <f>J130+ROUND(K130, 2)</f>
        <v>2136.6</v>
      </c>
      <c r="M130" s="17">
        <v>688193.24</v>
      </c>
      <c r="N130" s="17">
        <v>242082.4</v>
      </c>
      <c r="O130" s="17">
        <f>M130+N130</f>
        <v>930275.64</v>
      </c>
      <c r="P130" s="17">
        <v>1580.6</v>
      </c>
      <c r="Q130" s="18">
        <v>834</v>
      </c>
      <c r="R130" s="17">
        <f>P130+ROUND(Q130, 2)</f>
        <v>2414.6</v>
      </c>
      <c r="S130" s="17">
        <v>688193.24</v>
      </c>
      <c r="T130" s="17">
        <v>363123.6</v>
      </c>
      <c r="U130" s="17">
        <f>S130+T130</f>
        <v>1051316.8399999999</v>
      </c>
    </row>
    <row r="131" spans="1:21" ht="54" x14ac:dyDescent="0.3">
      <c r="A131" s="10" t="s">
        <v>508</v>
      </c>
      <c r="B131" s="10"/>
      <c r="C131" s="30" t="s">
        <v>477</v>
      </c>
      <c r="D131" s="15"/>
      <c r="E131" s="15" t="s">
        <v>509</v>
      </c>
      <c r="F131" s="25" t="s">
        <v>62</v>
      </c>
      <c r="G131" s="26">
        <v>1.1000000000000001</v>
      </c>
      <c r="H131" s="31"/>
      <c r="I131" s="31">
        <v>478.94</v>
      </c>
      <c r="J131" s="27">
        <v>1339</v>
      </c>
      <c r="M131" s="28">
        <f>ROUND(ROUND(J131, 2)*I131, 2)</f>
        <v>641300.66</v>
      </c>
      <c r="P131" s="27">
        <v>1339</v>
      </c>
      <c r="S131" s="28">
        <f>ROUND(ROUND(P131, 2)*I131, 2)</f>
        <v>641300.66</v>
      </c>
    </row>
    <row r="132" spans="1:21" ht="54" x14ac:dyDescent="0.3">
      <c r="A132" s="10" t="s">
        <v>512</v>
      </c>
      <c r="B132" s="10"/>
      <c r="C132" s="30" t="s">
        <v>472</v>
      </c>
      <c r="D132" s="15"/>
      <c r="E132" s="15"/>
      <c r="F132" s="25" t="s">
        <v>102</v>
      </c>
      <c r="G132" s="26">
        <v>1</v>
      </c>
      <c r="H132" s="31"/>
      <c r="I132" s="31">
        <v>356</v>
      </c>
      <c r="J132" s="27">
        <v>51</v>
      </c>
      <c r="M132" s="28">
        <f>ROUND(ROUND(J132, 2)*I132, 2)</f>
        <v>18156</v>
      </c>
      <c r="P132" s="27">
        <v>51</v>
      </c>
      <c r="S132" s="28">
        <f>ROUND(ROUND(P132, 2)*I132, 2)</f>
        <v>18156</v>
      </c>
    </row>
    <row r="133" spans="1:21" ht="18" x14ac:dyDescent="0.3">
      <c r="A133" s="10" t="s">
        <v>515</v>
      </c>
      <c r="B133" s="10"/>
      <c r="C133" s="24" t="s">
        <v>467</v>
      </c>
      <c r="D133" s="15"/>
      <c r="E133" s="15"/>
      <c r="F133" s="25" t="s">
        <v>278</v>
      </c>
      <c r="G133" s="26">
        <v>0.3</v>
      </c>
      <c r="H133" s="26"/>
      <c r="I133" s="26">
        <v>130.62</v>
      </c>
      <c r="J133" s="27">
        <v>220</v>
      </c>
      <c r="M133" s="28">
        <f>ROUND(ROUND(J133, 2)*I133, 2)</f>
        <v>28736.400000000001</v>
      </c>
      <c r="P133" s="27">
        <v>220</v>
      </c>
      <c r="S133" s="28">
        <f>ROUND(ROUND(P133, 2)*I133, 2)</f>
        <v>28736.400000000001</v>
      </c>
    </row>
    <row r="134" spans="1:21" ht="18" x14ac:dyDescent="0.3">
      <c r="A134" s="10" t="s">
        <v>518</v>
      </c>
      <c r="B134" s="10" t="s">
        <v>461</v>
      </c>
      <c r="C134" s="14" t="s">
        <v>462</v>
      </c>
      <c r="D134" s="15" t="s">
        <v>463</v>
      </c>
      <c r="E134" s="15" t="s">
        <v>519</v>
      </c>
      <c r="F134" s="15" t="s">
        <v>62</v>
      </c>
      <c r="G134" s="16">
        <v>1</v>
      </c>
      <c r="H134" s="16"/>
      <c r="I134" s="16">
        <v>1236</v>
      </c>
      <c r="J134" s="17">
        <v>1562.05</v>
      </c>
      <c r="K134" s="18">
        <v>556</v>
      </c>
      <c r="L134" s="17">
        <f>J134+ROUND(K134, 2)</f>
        <v>2118.0500000000002</v>
      </c>
      <c r="M134" s="17">
        <v>1930693.8</v>
      </c>
      <c r="N134" s="17">
        <v>687216</v>
      </c>
      <c r="O134" s="17">
        <f>M134+N134</f>
        <v>2617909.7999999998</v>
      </c>
      <c r="P134" s="17">
        <v>1562.05</v>
      </c>
      <c r="Q134" s="18">
        <v>834</v>
      </c>
      <c r="R134" s="17">
        <f>P134+ROUND(Q134, 2)</f>
        <v>2396.0500000000002</v>
      </c>
      <c r="S134" s="17">
        <v>1930693.8</v>
      </c>
      <c r="T134" s="17">
        <v>1030824</v>
      </c>
      <c r="U134" s="17">
        <f>S134+T134</f>
        <v>2961517.8</v>
      </c>
    </row>
    <row r="135" spans="1:21" ht="18" x14ac:dyDescent="0.3">
      <c r="A135" s="10" t="s">
        <v>520</v>
      </c>
      <c r="B135" s="10"/>
      <c r="C135" s="24" t="s">
        <v>467</v>
      </c>
      <c r="D135" s="15"/>
      <c r="E135" s="15"/>
      <c r="F135" s="25" t="s">
        <v>278</v>
      </c>
      <c r="G135" s="26">
        <v>0.3</v>
      </c>
      <c r="H135" s="26"/>
      <c r="I135" s="26">
        <v>370.8</v>
      </c>
      <c r="J135" s="27">
        <v>220</v>
      </c>
      <c r="M135" s="28">
        <f>ROUND(ROUND(J135, 2)*I135, 2)</f>
        <v>81576</v>
      </c>
      <c r="P135" s="27">
        <v>220</v>
      </c>
      <c r="S135" s="28">
        <f>ROUND(ROUND(P135, 2)*I135, 2)</f>
        <v>81576</v>
      </c>
    </row>
    <row r="136" spans="1:21" ht="54" x14ac:dyDescent="0.3">
      <c r="A136" s="10" t="s">
        <v>523</v>
      </c>
      <c r="B136" s="10"/>
      <c r="C136" s="30" t="s">
        <v>488</v>
      </c>
      <c r="D136" s="15"/>
      <c r="E136" s="15"/>
      <c r="F136" s="25" t="s">
        <v>102</v>
      </c>
      <c r="G136" s="26">
        <v>1</v>
      </c>
      <c r="H136" s="31"/>
      <c r="I136" s="31">
        <v>561</v>
      </c>
      <c r="J136" s="27">
        <v>51</v>
      </c>
      <c r="M136" s="28">
        <f>ROUND(ROUND(J136, 2)*I136, 2)</f>
        <v>28611</v>
      </c>
      <c r="P136" s="27">
        <v>51</v>
      </c>
      <c r="S136" s="28">
        <f>ROUND(ROUND(P136, 2)*I136, 2)</f>
        <v>28611</v>
      </c>
    </row>
    <row r="137" spans="1:21" ht="36" x14ac:dyDescent="0.3">
      <c r="A137" s="10" t="s">
        <v>526</v>
      </c>
      <c r="B137" s="10"/>
      <c r="C137" s="30" t="s">
        <v>483</v>
      </c>
      <c r="D137" s="15"/>
      <c r="E137" s="15"/>
      <c r="F137" s="25" t="s">
        <v>62</v>
      </c>
      <c r="G137" s="26">
        <v>1.1000000000000001</v>
      </c>
      <c r="H137" s="31"/>
      <c r="I137" s="31">
        <v>1359.6</v>
      </c>
      <c r="J137" s="27">
        <v>1339</v>
      </c>
      <c r="M137" s="28">
        <f>ROUND(ROUND(J137, 2)*I137, 2)</f>
        <v>1820504.4</v>
      </c>
      <c r="P137" s="27">
        <v>1339</v>
      </c>
      <c r="S137" s="28">
        <f>ROUND(ROUND(P137, 2)*I137, 2)</f>
        <v>1820504.4</v>
      </c>
    </row>
    <row r="138" spans="1:21" ht="18" x14ac:dyDescent="0.3">
      <c r="A138" s="10" t="s">
        <v>529</v>
      </c>
      <c r="B138" s="10" t="s">
        <v>461</v>
      </c>
      <c r="C138" s="14" t="s">
        <v>462</v>
      </c>
      <c r="D138" s="15" t="s">
        <v>463</v>
      </c>
      <c r="E138" s="15" t="s">
        <v>496</v>
      </c>
      <c r="F138" s="15" t="s">
        <v>62</v>
      </c>
      <c r="G138" s="16">
        <v>1</v>
      </c>
      <c r="H138" s="16"/>
      <c r="I138" s="16">
        <v>2276</v>
      </c>
      <c r="J138" s="17">
        <v>89.15</v>
      </c>
      <c r="K138" s="18">
        <v>556</v>
      </c>
      <c r="L138" s="17">
        <f>J138+ROUND(K138, 2)</f>
        <v>645.15</v>
      </c>
      <c r="M138" s="17">
        <v>202905.4</v>
      </c>
      <c r="N138" s="17">
        <v>1265456</v>
      </c>
      <c r="O138" s="17">
        <f>M138+N138</f>
        <v>1468361.4</v>
      </c>
      <c r="P138" s="17">
        <v>89.15</v>
      </c>
      <c r="Q138" s="18">
        <v>834</v>
      </c>
      <c r="R138" s="17">
        <f>P138+ROUND(Q138, 2)</f>
        <v>923.15</v>
      </c>
      <c r="S138" s="17">
        <v>202905.4</v>
      </c>
      <c r="T138" s="17">
        <v>1898184</v>
      </c>
      <c r="U138" s="17">
        <f>S138+T138</f>
        <v>2101089.4</v>
      </c>
    </row>
    <row r="139" spans="1:21" ht="54" x14ac:dyDescent="0.3">
      <c r="A139" s="10" t="s">
        <v>530</v>
      </c>
      <c r="B139" s="10"/>
      <c r="C139" s="30" t="s">
        <v>488</v>
      </c>
      <c r="D139" s="15"/>
      <c r="E139" s="15"/>
      <c r="F139" s="25" t="s">
        <v>102</v>
      </c>
      <c r="G139" s="26">
        <v>1</v>
      </c>
      <c r="H139" s="31"/>
      <c r="I139" s="31">
        <v>1033</v>
      </c>
      <c r="J139" s="27">
        <v>51</v>
      </c>
      <c r="M139" s="28">
        <f>ROUND(ROUND(J139, 2)*I139, 2)</f>
        <v>52683</v>
      </c>
      <c r="P139" s="27">
        <v>51</v>
      </c>
      <c r="S139" s="28">
        <f>ROUND(ROUND(P139, 2)*I139, 2)</f>
        <v>52683</v>
      </c>
    </row>
    <row r="140" spans="1:21" ht="18" x14ac:dyDescent="0.3">
      <c r="A140" s="10" t="s">
        <v>533</v>
      </c>
      <c r="B140" s="10"/>
      <c r="C140" s="24" t="s">
        <v>467</v>
      </c>
      <c r="D140" s="15"/>
      <c r="E140" s="15"/>
      <c r="F140" s="25" t="s">
        <v>278</v>
      </c>
      <c r="G140" s="26">
        <v>0.3</v>
      </c>
      <c r="H140" s="26"/>
      <c r="I140" s="26">
        <v>682.8</v>
      </c>
      <c r="J140" s="27">
        <v>220</v>
      </c>
      <c r="M140" s="28">
        <f>ROUND(ROUND(J140, 2)*I140, 2)</f>
        <v>150216</v>
      </c>
      <c r="P140" s="27">
        <v>220</v>
      </c>
      <c r="S140" s="28">
        <f>ROUND(ROUND(P140, 2)*I140, 2)</f>
        <v>150216</v>
      </c>
    </row>
    <row r="141" spans="1:21" ht="72" x14ac:dyDescent="0.3">
      <c r="A141" s="10" t="s">
        <v>536</v>
      </c>
      <c r="B141" s="10" t="s">
        <v>461</v>
      </c>
      <c r="C141" s="14" t="s">
        <v>462</v>
      </c>
      <c r="D141" s="15" t="s">
        <v>463</v>
      </c>
      <c r="E141" s="15" t="s">
        <v>537</v>
      </c>
      <c r="F141" s="15" t="s">
        <v>62</v>
      </c>
      <c r="G141" s="16">
        <v>1</v>
      </c>
      <c r="H141" s="16"/>
      <c r="I141" s="16">
        <v>1347.2</v>
      </c>
      <c r="J141" s="17">
        <f>IFERROR(ROUND(SUM(M142,M143,M144,M145)/I141, 2),0)</f>
        <v>1298.03</v>
      </c>
      <c r="K141" s="18">
        <v>556</v>
      </c>
      <c r="L141" s="17">
        <f>J141+ROUND(K141, 2)</f>
        <v>1854.03</v>
      </c>
      <c r="M141" s="17">
        <f>ROUND(J141*I141, 2)</f>
        <v>1748706.02</v>
      </c>
      <c r="N141" s="17">
        <f>ROUND(I141*ROUND(K141, 2), 2)</f>
        <v>749043.19999999995</v>
      </c>
      <c r="O141" s="17">
        <f>M141+N141</f>
        <v>2497749.2199999997</v>
      </c>
      <c r="P141" s="17">
        <f>IFERROR(ROUND(SUM(S142,S143,S144,S145)/I141, 2),0)</f>
        <v>1417.68</v>
      </c>
      <c r="Q141" s="19">
        <v>834</v>
      </c>
      <c r="R141" s="17">
        <f>P141+ROUND(Q141, 2)</f>
        <v>2251.6800000000003</v>
      </c>
      <c r="S141" s="17">
        <f>ROUND(P141*I141, 2)</f>
        <v>1909898.5</v>
      </c>
      <c r="T141" s="17">
        <f>ROUND(I141*ROUND(Q141, 2), 2)</f>
        <v>1123564.8</v>
      </c>
      <c r="U141" s="17">
        <f>S141+T141</f>
        <v>3033463.3</v>
      </c>
    </row>
    <row r="142" spans="1:21" ht="36" x14ac:dyDescent="0.3">
      <c r="A142" s="10" t="s">
        <v>538</v>
      </c>
      <c r="B142" s="10"/>
      <c r="C142" s="24" t="s">
        <v>467</v>
      </c>
      <c r="D142" s="15"/>
      <c r="E142" s="15" t="s">
        <v>539</v>
      </c>
      <c r="F142" s="25" t="s">
        <v>278</v>
      </c>
      <c r="G142" s="26">
        <v>0.3</v>
      </c>
      <c r="H142" s="26"/>
      <c r="I142" s="26">
        <v>404.16</v>
      </c>
      <c r="J142" s="27">
        <v>223.66</v>
      </c>
      <c r="M142" s="28">
        <f>ROUND(ROUND(J142, 2)*I142, 2)</f>
        <v>90394.43</v>
      </c>
      <c r="P142" s="29">
        <v>622.5</v>
      </c>
      <c r="S142" s="28">
        <f>ROUND(ROUND(P142, 2)*I142, 2)</f>
        <v>251589.6</v>
      </c>
    </row>
    <row r="143" spans="1:21" ht="18" x14ac:dyDescent="0.3">
      <c r="A143" s="10" t="s">
        <v>542</v>
      </c>
      <c r="B143" s="10"/>
      <c r="C143" s="24" t="s">
        <v>543</v>
      </c>
      <c r="D143" s="15"/>
      <c r="E143" s="15"/>
      <c r="F143" s="25" t="s">
        <v>278</v>
      </c>
      <c r="G143" s="26">
        <v>0.15</v>
      </c>
      <c r="H143" s="26"/>
      <c r="I143" s="26">
        <v>202.08</v>
      </c>
      <c r="J143" s="27">
        <v>69.540000000000006</v>
      </c>
      <c r="M143" s="28">
        <f>ROUND(ROUND(J143, 2)*I143, 2)</f>
        <v>14052.64</v>
      </c>
      <c r="P143" s="29">
        <v>69.540000000000006</v>
      </c>
      <c r="S143" s="28">
        <f>ROUND(ROUND(P143, 2)*I143, 2)</f>
        <v>14052.64</v>
      </c>
    </row>
    <row r="144" spans="1:21" ht="54" x14ac:dyDescent="0.3">
      <c r="A144" s="10" t="s">
        <v>547</v>
      </c>
      <c r="B144" s="10"/>
      <c r="C144" s="30" t="s">
        <v>548</v>
      </c>
      <c r="D144" s="15"/>
      <c r="E144" s="15"/>
      <c r="F144" s="25" t="s">
        <v>102</v>
      </c>
      <c r="G144" s="26">
        <v>1</v>
      </c>
      <c r="H144" s="31"/>
      <c r="I144" s="31">
        <v>1347.2</v>
      </c>
      <c r="J144" s="27">
        <v>51.85</v>
      </c>
      <c r="M144" s="28">
        <f>ROUND(ROUND(J144, 2)*I144, 2)</f>
        <v>69852.320000000007</v>
      </c>
      <c r="P144" s="29">
        <v>51.85</v>
      </c>
      <c r="S144" s="28">
        <f>ROUND(ROUND(P144, 2)*I144, 2)</f>
        <v>69852.320000000007</v>
      </c>
    </row>
    <row r="145" spans="1:21" ht="54" x14ac:dyDescent="0.3">
      <c r="A145" s="10" t="s">
        <v>552</v>
      </c>
      <c r="B145" s="10"/>
      <c r="C145" s="30" t="s">
        <v>553</v>
      </c>
      <c r="D145" s="15"/>
      <c r="E145" s="15" t="s">
        <v>554</v>
      </c>
      <c r="F145" s="25" t="s">
        <v>62</v>
      </c>
      <c r="G145" s="26">
        <v>1.1000000000000001</v>
      </c>
      <c r="H145" s="31"/>
      <c r="I145" s="31">
        <v>1481.92</v>
      </c>
      <c r="J145" s="27">
        <v>1062.4100000000001</v>
      </c>
      <c r="M145" s="28">
        <f>ROUND(ROUND(J145, 2)*I145, 2)</f>
        <v>1574406.63</v>
      </c>
      <c r="P145" s="29">
        <v>1062.4100000000001</v>
      </c>
      <c r="S145" s="28">
        <f>ROUND(ROUND(P145, 2)*I145, 2)</f>
        <v>1574406.63</v>
      </c>
    </row>
    <row r="146" spans="1:21" ht="90" x14ac:dyDescent="0.3">
      <c r="A146" s="10" t="s">
        <v>558</v>
      </c>
      <c r="B146" s="10" t="s">
        <v>461</v>
      </c>
      <c r="C146" s="14" t="s">
        <v>462</v>
      </c>
      <c r="D146" s="15" t="s">
        <v>463</v>
      </c>
      <c r="E146" s="15" t="s">
        <v>559</v>
      </c>
      <c r="F146" s="15" t="s">
        <v>62</v>
      </c>
      <c r="G146" s="16">
        <v>1</v>
      </c>
      <c r="H146" s="16"/>
      <c r="I146" s="16">
        <v>75.599999999999994</v>
      </c>
      <c r="J146" s="17">
        <f>IFERROR(ROUND(SUM(M147,M148,M149)/I146, 2),0)</f>
        <v>1616.39</v>
      </c>
      <c r="K146" s="18">
        <v>556</v>
      </c>
      <c r="L146" s="17">
        <f>J146+ROUND(K146, 2)</f>
        <v>2172.3900000000003</v>
      </c>
      <c r="M146" s="17">
        <f>ROUND(J146*I146, 2)</f>
        <v>122199.08</v>
      </c>
      <c r="N146" s="17">
        <f>ROUND(I146*ROUND(K146, 2), 2)</f>
        <v>42033.599999999999</v>
      </c>
      <c r="O146" s="17">
        <f>M146+N146</f>
        <v>164232.68</v>
      </c>
      <c r="P146" s="17">
        <f>IFERROR(ROUND(SUM(S147,S148,S149)/I146, 2),0)</f>
        <v>1736.04</v>
      </c>
      <c r="Q146" s="19">
        <v>834</v>
      </c>
      <c r="R146" s="17">
        <f>P146+ROUND(Q146, 2)</f>
        <v>2570.04</v>
      </c>
      <c r="S146" s="17">
        <f>ROUND(P146*I146, 2)</f>
        <v>131244.62</v>
      </c>
      <c r="T146" s="17">
        <f>ROUND(I146*ROUND(Q146, 2), 2)</f>
        <v>63050.400000000001</v>
      </c>
      <c r="U146" s="17">
        <f>S146+T146</f>
        <v>194295.02</v>
      </c>
    </row>
    <row r="147" spans="1:21" ht="36" x14ac:dyDescent="0.3">
      <c r="A147" s="10" t="s">
        <v>560</v>
      </c>
      <c r="B147" s="10"/>
      <c r="C147" s="30" t="s">
        <v>483</v>
      </c>
      <c r="D147" s="15"/>
      <c r="E147" s="15"/>
      <c r="F147" s="25" t="s">
        <v>62</v>
      </c>
      <c r="G147" s="26">
        <v>1.1000000000000001</v>
      </c>
      <c r="H147" s="31"/>
      <c r="I147" s="31">
        <v>83.16</v>
      </c>
      <c r="J147" s="27">
        <v>1361.31</v>
      </c>
      <c r="M147" s="28">
        <f>ROUND(ROUND(J147, 2)*I147, 2)</f>
        <v>113206.54</v>
      </c>
      <c r="P147" s="29">
        <v>1361.31</v>
      </c>
      <c r="S147" s="28">
        <f>ROUND(ROUND(P147, 2)*I147, 2)</f>
        <v>113206.54</v>
      </c>
    </row>
    <row r="148" spans="1:21" ht="54" x14ac:dyDescent="0.3">
      <c r="A148" s="10" t="s">
        <v>563</v>
      </c>
      <c r="B148" s="10"/>
      <c r="C148" s="30" t="s">
        <v>548</v>
      </c>
      <c r="D148" s="15"/>
      <c r="E148" s="15"/>
      <c r="F148" s="25" t="s">
        <v>102</v>
      </c>
      <c r="G148" s="26">
        <v>1</v>
      </c>
      <c r="H148" s="31"/>
      <c r="I148" s="31">
        <v>75.599999999999994</v>
      </c>
      <c r="J148" s="27">
        <v>51.85</v>
      </c>
      <c r="M148" s="28">
        <f>ROUND(ROUND(J148, 2)*I148, 2)</f>
        <v>3919.86</v>
      </c>
      <c r="P148" s="29">
        <v>51.85</v>
      </c>
      <c r="S148" s="28">
        <f>ROUND(ROUND(P148, 2)*I148, 2)</f>
        <v>3919.86</v>
      </c>
    </row>
    <row r="149" spans="1:21" ht="36" x14ac:dyDescent="0.3">
      <c r="A149" s="10" t="s">
        <v>566</v>
      </c>
      <c r="B149" s="10"/>
      <c r="C149" s="24" t="s">
        <v>467</v>
      </c>
      <c r="D149" s="15"/>
      <c r="E149" s="15" t="s">
        <v>539</v>
      </c>
      <c r="F149" s="25" t="s">
        <v>278</v>
      </c>
      <c r="G149" s="26">
        <v>0.3</v>
      </c>
      <c r="H149" s="26"/>
      <c r="I149" s="26">
        <v>22.68</v>
      </c>
      <c r="J149" s="27">
        <v>223.66</v>
      </c>
      <c r="M149" s="28">
        <f>ROUND(ROUND(J149, 2)*I149, 2)</f>
        <v>5072.6099999999997</v>
      </c>
      <c r="P149" s="29">
        <v>622.5</v>
      </c>
      <c r="S149" s="28">
        <f>ROUND(ROUND(P149, 2)*I149, 2)</f>
        <v>14118.3</v>
      </c>
    </row>
    <row r="150" spans="1:21" ht="71.55" customHeight="1" x14ac:dyDescent="0.3">
      <c r="A150" s="10" t="s">
        <v>569</v>
      </c>
      <c r="B150" s="10" t="s">
        <v>461</v>
      </c>
      <c r="C150" s="14" t="s">
        <v>462</v>
      </c>
      <c r="D150" s="15" t="s">
        <v>463</v>
      </c>
      <c r="E150" s="15" t="s">
        <v>570</v>
      </c>
      <c r="F150" s="15" t="s">
        <v>62</v>
      </c>
      <c r="G150" s="16">
        <v>1</v>
      </c>
      <c r="H150" s="16"/>
      <c r="I150" s="16">
        <v>359.3</v>
      </c>
      <c r="J150" s="17">
        <f>IFERROR(ROUND(SUM(M151,M152,M153,M154)/I150, 2),0)</f>
        <v>1632.01</v>
      </c>
      <c r="K150" s="18">
        <v>556</v>
      </c>
      <c r="L150" s="17">
        <f>J150+ROUND(K150, 2)</f>
        <v>2188.0100000000002</v>
      </c>
      <c r="M150" s="17">
        <f>ROUND(J150*I150, 2)</f>
        <v>586381.18999999994</v>
      </c>
      <c r="N150" s="17">
        <f>ROUND(I150*ROUND(K150, 2), 2)</f>
        <v>199770.8</v>
      </c>
      <c r="O150" s="17">
        <f>M150+N150</f>
        <v>786151.99</v>
      </c>
      <c r="P150" s="17">
        <f>IFERROR(ROUND(SUM(S151,S152,S153,S154)/I150, 2),0)</f>
        <v>1751.66</v>
      </c>
      <c r="Q150" s="19">
        <v>834</v>
      </c>
      <c r="R150" s="17">
        <f>P150+ROUND(Q150, 2)</f>
        <v>2585.66</v>
      </c>
      <c r="S150" s="17">
        <f>ROUND(P150*I150, 2)</f>
        <v>629371.43999999994</v>
      </c>
      <c r="T150" s="17">
        <f>ROUND(I150*ROUND(Q150, 2), 2)</f>
        <v>299656.2</v>
      </c>
      <c r="U150" s="17">
        <f>S150+T150</f>
        <v>929027.6399999999</v>
      </c>
    </row>
    <row r="151" spans="1:21" ht="36" x14ac:dyDescent="0.3">
      <c r="A151" s="10" t="s">
        <v>571</v>
      </c>
      <c r="B151" s="10"/>
      <c r="C151" s="24" t="s">
        <v>467</v>
      </c>
      <c r="D151" s="15"/>
      <c r="E151" s="15" t="s">
        <v>539</v>
      </c>
      <c r="F151" s="25" t="s">
        <v>278</v>
      </c>
      <c r="G151" s="26">
        <v>0.3</v>
      </c>
      <c r="H151" s="26"/>
      <c r="I151" s="26">
        <v>107.79</v>
      </c>
      <c r="J151" s="27">
        <v>223.66</v>
      </c>
      <c r="M151" s="28">
        <f>ROUND(ROUND(J151, 2)*I151, 2)</f>
        <v>24108.31</v>
      </c>
      <c r="P151" s="29">
        <v>622.5</v>
      </c>
      <c r="S151" s="28">
        <f>ROUND(ROUND(P151, 2)*I151, 2)</f>
        <v>67099.28</v>
      </c>
    </row>
    <row r="152" spans="1:21" ht="18" x14ac:dyDescent="0.3">
      <c r="A152" s="10" t="s">
        <v>574</v>
      </c>
      <c r="B152" s="10"/>
      <c r="C152" s="24" t="s">
        <v>543</v>
      </c>
      <c r="D152" s="15"/>
      <c r="E152" s="15"/>
      <c r="F152" s="25" t="s">
        <v>278</v>
      </c>
      <c r="G152" s="26">
        <v>0.15</v>
      </c>
      <c r="H152" s="26"/>
      <c r="I152" s="26">
        <v>53.895000000000003</v>
      </c>
      <c r="J152" s="27">
        <v>69.540000000000006</v>
      </c>
      <c r="M152" s="28">
        <f>ROUND(ROUND(J152, 2)*I152, 2)</f>
        <v>3747.86</v>
      </c>
      <c r="P152" s="29">
        <v>69.540000000000006</v>
      </c>
      <c r="S152" s="28">
        <f>ROUND(ROUND(P152, 2)*I152, 2)</f>
        <v>3747.86</v>
      </c>
    </row>
    <row r="153" spans="1:21" ht="54" x14ac:dyDescent="0.3">
      <c r="A153" s="10" t="s">
        <v>577</v>
      </c>
      <c r="B153" s="10"/>
      <c r="C153" s="30" t="s">
        <v>548</v>
      </c>
      <c r="D153" s="15"/>
      <c r="E153" s="15"/>
      <c r="F153" s="25" t="s">
        <v>102</v>
      </c>
      <c r="G153" s="26">
        <v>1</v>
      </c>
      <c r="H153" s="31"/>
      <c r="I153" s="31">
        <v>395.23</v>
      </c>
      <c r="J153" s="27">
        <v>51.85</v>
      </c>
      <c r="M153" s="28">
        <f>ROUND(ROUND(J153, 2)*I153, 2)</f>
        <v>20492.68</v>
      </c>
      <c r="P153" s="29">
        <v>51.85</v>
      </c>
      <c r="S153" s="28">
        <f>ROUND(ROUND(P153, 2)*I153, 2)</f>
        <v>20492.68</v>
      </c>
    </row>
    <row r="154" spans="1:21" ht="36" x14ac:dyDescent="0.3">
      <c r="A154" s="10" t="s">
        <v>580</v>
      </c>
      <c r="B154" s="10"/>
      <c r="C154" s="30" t="s">
        <v>581</v>
      </c>
      <c r="D154" s="15"/>
      <c r="E154" s="15"/>
      <c r="F154" s="25" t="s">
        <v>62</v>
      </c>
      <c r="G154" s="26">
        <v>1.1000000000000001</v>
      </c>
      <c r="H154" s="31"/>
      <c r="I154" s="31">
        <v>395.23</v>
      </c>
      <c r="J154" s="27">
        <v>1361.31</v>
      </c>
      <c r="M154" s="28">
        <f>ROUND(ROUND(J154, 2)*I154, 2)</f>
        <v>538030.55000000005</v>
      </c>
      <c r="P154" s="29">
        <v>1361.31</v>
      </c>
      <c r="S154" s="28">
        <f>ROUND(ROUND(P154, 2)*I154, 2)</f>
        <v>538030.55000000005</v>
      </c>
    </row>
    <row r="155" spans="1:21" ht="18" x14ac:dyDescent="0.3">
      <c r="A155" s="10" t="s">
        <v>585</v>
      </c>
      <c r="B155" s="10" t="s">
        <v>586</v>
      </c>
      <c r="C155" s="14" t="s">
        <v>587</v>
      </c>
      <c r="D155" s="15"/>
      <c r="E155" s="15"/>
      <c r="F155" s="15" t="s">
        <v>102</v>
      </c>
      <c r="G155" s="16">
        <v>1</v>
      </c>
      <c r="H155" s="16"/>
      <c r="I155" s="16">
        <v>0</v>
      </c>
      <c r="J155" s="17">
        <v>0</v>
      </c>
      <c r="K155" s="18">
        <v>200</v>
      </c>
      <c r="L155" s="17">
        <f>J155+ROUND(K155, 2)</f>
        <v>200</v>
      </c>
      <c r="M155" s="17">
        <v>0</v>
      </c>
      <c r="N155" s="17">
        <v>0</v>
      </c>
      <c r="O155" s="17">
        <f>M155+N155</f>
        <v>0</v>
      </c>
      <c r="P155" s="17">
        <v>577.48</v>
      </c>
      <c r="Q155" s="18">
        <v>200</v>
      </c>
      <c r="R155" s="17">
        <f>P155+ROUND(Q155, 2)</f>
        <v>777.48</v>
      </c>
      <c r="S155" s="17">
        <v>0</v>
      </c>
      <c r="T155" s="17">
        <v>0</v>
      </c>
      <c r="U155" s="17">
        <f>S155+T155</f>
        <v>0</v>
      </c>
    </row>
    <row r="156" spans="1:21" ht="18" x14ac:dyDescent="0.3">
      <c r="A156" s="10" t="s">
        <v>590</v>
      </c>
      <c r="B156" s="10"/>
      <c r="C156" s="24" t="s">
        <v>591</v>
      </c>
      <c r="D156" s="15"/>
      <c r="E156" s="15"/>
      <c r="F156" s="25" t="s">
        <v>102</v>
      </c>
      <c r="G156" s="26">
        <v>1.1000000000000001</v>
      </c>
      <c r="H156" s="31"/>
      <c r="I156" s="31">
        <v>0</v>
      </c>
      <c r="J156" s="27">
        <v>0</v>
      </c>
      <c r="M156" s="28">
        <f>ROUND(ROUND(J156, 2)*I156, 2)</f>
        <v>0</v>
      </c>
      <c r="P156" s="27">
        <v>516.79999999999995</v>
      </c>
      <c r="S156" s="28">
        <f>ROUND(ROUND(P156, 2)*I156, 2)</f>
        <v>0</v>
      </c>
    </row>
    <row r="157" spans="1:21" ht="18" x14ac:dyDescent="0.3">
      <c r="A157" s="10" t="s">
        <v>595</v>
      </c>
      <c r="B157" s="10"/>
      <c r="C157" s="24" t="s">
        <v>596</v>
      </c>
      <c r="D157" s="15"/>
      <c r="E157" s="15"/>
      <c r="F157" s="25" t="s">
        <v>597</v>
      </c>
      <c r="G157" s="38">
        <v>0.09</v>
      </c>
      <c r="H157" s="26"/>
      <c r="I157" s="26">
        <v>0</v>
      </c>
      <c r="J157" s="27">
        <v>100</v>
      </c>
      <c r="M157" s="28">
        <f>ROUND(ROUND(J157, 2)*I157, 2)</f>
        <v>0</v>
      </c>
      <c r="P157" s="27">
        <v>100</v>
      </c>
      <c r="S157" s="28">
        <f>ROUND(ROUND(P157, 2)*I157, 2)</f>
        <v>0</v>
      </c>
    </row>
    <row r="158" spans="1:21" ht="18" x14ac:dyDescent="0.3">
      <c r="A158" s="10" t="s">
        <v>601</v>
      </c>
      <c r="B158" s="10" t="s">
        <v>586</v>
      </c>
      <c r="C158" s="14" t="s">
        <v>587</v>
      </c>
      <c r="D158" s="15"/>
      <c r="E158" s="15"/>
      <c r="F158" s="15" t="s">
        <v>102</v>
      </c>
      <c r="G158" s="16">
        <v>1</v>
      </c>
      <c r="H158" s="16"/>
      <c r="I158" s="16">
        <v>0</v>
      </c>
      <c r="J158" s="17">
        <v>0</v>
      </c>
      <c r="K158" s="18">
        <v>200</v>
      </c>
      <c r="L158" s="17">
        <f>J158+ROUND(K158, 2)</f>
        <v>200</v>
      </c>
      <c r="M158" s="17">
        <v>0</v>
      </c>
      <c r="N158" s="17">
        <v>0</v>
      </c>
      <c r="O158" s="17">
        <f>M158+N158</f>
        <v>0</v>
      </c>
      <c r="P158" s="17">
        <v>577.48</v>
      </c>
      <c r="Q158" s="18">
        <v>200</v>
      </c>
      <c r="R158" s="17">
        <f>P158+ROUND(Q158, 2)</f>
        <v>777.48</v>
      </c>
      <c r="S158" s="17">
        <v>0</v>
      </c>
      <c r="T158" s="17">
        <v>0</v>
      </c>
      <c r="U158" s="17">
        <f>S158+T158</f>
        <v>0</v>
      </c>
    </row>
    <row r="159" spans="1:21" ht="18" x14ac:dyDescent="0.3">
      <c r="A159" s="10" t="s">
        <v>602</v>
      </c>
      <c r="B159" s="10"/>
      <c r="C159" s="24" t="s">
        <v>596</v>
      </c>
      <c r="D159" s="15"/>
      <c r="E159" s="15"/>
      <c r="F159" s="25" t="s">
        <v>597</v>
      </c>
      <c r="G159" s="38">
        <v>0.09</v>
      </c>
      <c r="H159" s="26"/>
      <c r="I159" s="26">
        <v>0</v>
      </c>
      <c r="J159" s="27">
        <v>100</v>
      </c>
      <c r="M159" s="28">
        <f>ROUND(ROUND(J159, 2)*I159, 2)</f>
        <v>0</v>
      </c>
      <c r="P159" s="27">
        <v>100</v>
      </c>
      <c r="S159" s="28">
        <f>ROUND(ROUND(P159, 2)*I159, 2)</f>
        <v>0</v>
      </c>
    </row>
    <row r="160" spans="1:21" ht="18" x14ac:dyDescent="0.3">
      <c r="A160" s="10" t="s">
        <v>605</v>
      </c>
      <c r="B160" s="10"/>
      <c r="C160" s="24" t="s">
        <v>591</v>
      </c>
      <c r="D160" s="15"/>
      <c r="E160" s="15"/>
      <c r="F160" s="25" t="s">
        <v>102</v>
      </c>
      <c r="G160" s="26">
        <v>1.1000000000000001</v>
      </c>
      <c r="H160" s="31"/>
      <c r="I160" s="31">
        <v>0</v>
      </c>
      <c r="J160" s="27">
        <v>0</v>
      </c>
      <c r="M160" s="28">
        <f>ROUND(ROUND(J160, 2)*I160, 2)</f>
        <v>0</v>
      </c>
      <c r="P160" s="27">
        <v>516.79999999999995</v>
      </c>
      <c r="S160" s="28">
        <f>ROUND(ROUND(P160, 2)*I160, 2)</f>
        <v>0</v>
      </c>
    </row>
    <row r="161" spans="1:21" ht="18" x14ac:dyDescent="0.3">
      <c r="A161" s="10" t="s">
        <v>608</v>
      </c>
      <c r="B161" s="10" t="s">
        <v>586</v>
      </c>
      <c r="C161" s="14" t="s">
        <v>587</v>
      </c>
      <c r="D161" s="15"/>
      <c r="E161" s="15"/>
      <c r="F161" s="15" t="s">
        <v>102</v>
      </c>
      <c r="G161" s="16">
        <v>1</v>
      </c>
      <c r="H161" s="16"/>
      <c r="I161" s="16">
        <v>0</v>
      </c>
      <c r="J161" s="17">
        <v>0</v>
      </c>
      <c r="K161" s="18">
        <v>200</v>
      </c>
      <c r="L161" s="17">
        <f>J161+ROUND(K161, 2)</f>
        <v>200</v>
      </c>
      <c r="M161" s="17">
        <v>0</v>
      </c>
      <c r="N161" s="17">
        <v>0</v>
      </c>
      <c r="O161" s="17">
        <f>M161+N161</f>
        <v>0</v>
      </c>
      <c r="P161" s="17">
        <v>577.48</v>
      </c>
      <c r="Q161" s="18">
        <v>200</v>
      </c>
      <c r="R161" s="17">
        <f>P161+ROUND(Q161, 2)</f>
        <v>777.48</v>
      </c>
      <c r="S161" s="17">
        <v>0</v>
      </c>
      <c r="T161" s="17">
        <v>0</v>
      </c>
      <c r="U161" s="17">
        <f>S161+T161</f>
        <v>0</v>
      </c>
    </row>
    <row r="162" spans="1:21" ht="18" x14ac:dyDescent="0.3">
      <c r="A162" s="10" t="s">
        <v>609</v>
      </c>
      <c r="B162" s="10"/>
      <c r="C162" s="24" t="s">
        <v>591</v>
      </c>
      <c r="D162" s="15"/>
      <c r="E162" s="15"/>
      <c r="F162" s="25" t="s">
        <v>102</v>
      </c>
      <c r="G162" s="26">
        <v>1.1000000000000001</v>
      </c>
      <c r="H162" s="31"/>
      <c r="I162" s="31">
        <v>0</v>
      </c>
      <c r="J162" s="27">
        <v>0</v>
      </c>
      <c r="M162" s="28">
        <f>ROUND(ROUND(J162, 2)*I162, 2)</f>
        <v>0</v>
      </c>
      <c r="P162" s="27">
        <v>516.79999999999995</v>
      </c>
      <c r="S162" s="28">
        <f>ROUND(ROUND(P162, 2)*I162, 2)</f>
        <v>0</v>
      </c>
    </row>
    <row r="163" spans="1:21" ht="18" x14ac:dyDescent="0.3">
      <c r="A163" s="10" t="s">
        <v>612</v>
      </c>
      <c r="B163" s="10"/>
      <c r="C163" s="24" t="s">
        <v>596</v>
      </c>
      <c r="D163" s="15"/>
      <c r="E163" s="15"/>
      <c r="F163" s="25" t="s">
        <v>597</v>
      </c>
      <c r="G163" s="38">
        <v>0.09</v>
      </c>
      <c r="H163" s="26"/>
      <c r="I163" s="26">
        <v>0</v>
      </c>
      <c r="J163" s="27">
        <v>100</v>
      </c>
      <c r="M163" s="28">
        <f>ROUND(ROUND(J163, 2)*I163, 2)</f>
        <v>0</v>
      </c>
      <c r="P163" s="27">
        <v>100</v>
      </c>
      <c r="S163" s="28">
        <f>ROUND(ROUND(P163, 2)*I163, 2)</f>
        <v>0</v>
      </c>
    </row>
    <row r="164" spans="1:21" ht="18" x14ac:dyDescent="0.3">
      <c r="A164" s="10" t="s">
        <v>615</v>
      </c>
      <c r="B164" s="10" t="s">
        <v>586</v>
      </c>
      <c r="C164" s="14" t="s">
        <v>587</v>
      </c>
      <c r="D164" s="15"/>
      <c r="E164" s="15"/>
      <c r="F164" s="15" t="s">
        <v>102</v>
      </c>
      <c r="G164" s="16">
        <v>1</v>
      </c>
      <c r="H164" s="16"/>
      <c r="I164" s="16">
        <v>0</v>
      </c>
      <c r="J164" s="17">
        <v>0</v>
      </c>
      <c r="K164" s="18">
        <v>200</v>
      </c>
      <c r="L164" s="17">
        <f>J164+ROUND(K164, 2)</f>
        <v>200</v>
      </c>
      <c r="M164" s="17">
        <v>0</v>
      </c>
      <c r="N164" s="17">
        <v>0</v>
      </c>
      <c r="O164" s="17">
        <f>M164+N164</f>
        <v>0</v>
      </c>
      <c r="P164" s="17">
        <v>99.86</v>
      </c>
      <c r="Q164" s="18">
        <v>200</v>
      </c>
      <c r="R164" s="17">
        <f>P164+ROUND(Q164, 2)</f>
        <v>299.86</v>
      </c>
      <c r="S164" s="17">
        <v>0</v>
      </c>
      <c r="T164" s="17">
        <v>0</v>
      </c>
      <c r="U164" s="17">
        <f>S164+T164</f>
        <v>0</v>
      </c>
    </row>
    <row r="165" spans="1:21" ht="18" x14ac:dyDescent="0.3">
      <c r="A165" s="10" t="s">
        <v>616</v>
      </c>
      <c r="B165" s="10"/>
      <c r="C165" s="30" t="s">
        <v>617</v>
      </c>
      <c r="D165" s="15"/>
      <c r="E165" s="15"/>
      <c r="F165" s="25" t="s">
        <v>102</v>
      </c>
      <c r="G165" s="26">
        <v>1.05</v>
      </c>
      <c r="H165" s="31"/>
      <c r="I165" s="31">
        <v>0</v>
      </c>
      <c r="J165" s="27">
        <v>140.54</v>
      </c>
      <c r="M165" s="28">
        <f>ROUND(ROUND(J165, 2)*I165, 2)</f>
        <v>0</v>
      </c>
      <c r="P165" s="27">
        <v>140.54</v>
      </c>
      <c r="S165" s="28">
        <f>ROUND(ROUND(P165, 2)*I165, 2)</f>
        <v>0</v>
      </c>
    </row>
    <row r="166" spans="1:21" ht="18" x14ac:dyDescent="0.3">
      <c r="A166" s="10" t="s">
        <v>621</v>
      </c>
      <c r="B166" s="10"/>
      <c r="C166" s="24" t="s">
        <v>596</v>
      </c>
      <c r="D166" s="15"/>
      <c r="E166" s="15"/>
      <c r="F166" s="25" t="s">
        <v>597</v>
      </c>
      <c r="G166" s="38">
        <v>0.09</v>
      </c>
      <c r="H166" s="26"/>
      <c r="I166" s="26">
        <v>0</v>
      </c>
      <c r="J166" s="27">
        <v>100</v>
      </c>
      <c r="M166" s="28">
        <f>ROUND(ROUND(J166, 2)*I166, 2)</f>
        <v>0</v>
      </c>
      <c r="P166" s="27">
        <v>100</v>
      </c>
      <c r="S166" s="28">
        <f>ROUND(ROUND(P166, 2)*I166, 2)</f>
        <v>0</v>
      </c>
    </row>
    <row r="167" spans="1:21" ht="72" x14ac:dyDescent="0.3">
      <c r="A167" s="10" t="s">
        <v>624</v>
      </c>
      <c r="B167" s="10" t="s">
        <v>586</v>
      </c>
      <c r="C167" s="14" t="s">
        <v>587</v>
      </c>
      <c r="D167" s="15"/>
      <c r="E167" s="15" t="s">
        <v>625</v>
      </c>
      <c r="F167" s="15" t="s">
        <v>102</v>
      </c>
      <c r="G167" s="16">
        <v>1</v>
      </c>
      <c r="H167" s="16"/>
      <c r="I167" s="16">
        <v>0</v>
      </c>
      <c r="J167" s="17">
        <v>9</v>
      </c>
      <c r="K167" s="18">
        <v>200</v>
      </c>
      <c r="L167" s="17">
        <f>J167+ROUND(K167, 2)</f>
        <v>209</v>
      </c>
      <c r="M167" s="17">
        <v>0</v>
      </c>
      <c r="N167" s="17">
        <v>0</v>
      </c>
      <c r="O167" s="17">
        <f>M167+N167</f>
        <v>0</v>
      </c>
      <c r="P167" s="17">
        <v>9</v>
      </c>
      <c r="Q167" s="18">
        <v>300</v>
      </c>
      <c r="R167" s="17">
        <f>P167+ROUND(Q167, 2)</f>
        <v>309</v>
      </c>
      <c r="S167" s="17">
        <v>0</v>
      </c>
      <c r="T167" s="17">
        <v>0</v>
      </c>
      <c r="U167" s="17">
        <f>S167+T167</f>
        <v>0</v>
      </c>
    </row>
    <row r="168" spans="1:21" ht="18" x14ac:dyDescent="0.3">
      <c r="A168" s="10" t="s">
        <v>627</v>
      </c>
      <c r="B168" s="10"/>
      <c r="C168" s="24" t="s">
        <v>591</v>
      </c>
      <c r="D168" s="15"/>
      <c r="E168" s="15"/>
      <c r="F168" s="25" t="s">
        <v>102</v>
      </c>
      <c r="G168" s="26">
        <v>1.1000000000000001</v>
      </c>
      <c r="H168" s="31"/>
      <c r="I168" s="31">
        <v>0</v>
      </c>
      <c r="J168" s="27">
        <v>0</v>
      </c>
      <c r="M168" s="28">
        <f>ROUND(ROUND(J168, 2)*I168, 2)</f>
        <v>0</v>
      </c>
      <c r="P168" s="27">
        <v>0</v>
      </c>
      <c r="S168" s="28">
        <f>ROUND(ROUND(P168, 2)*I168, 2)</f>
        <v>0</v>
      </c>
    </row>
    <row r="169" spans="1:21" ht="18" x14ac:dyDescent="0.3">
      <c r="A169" s="10" t="s">
        <v>632</v>
      </c>
      <c r="B169" s="10"/>
      <c r="C169" s="24" t="s">
        <v>596</v>
      </c>
      <c r="D169" s="15"/>
      <c r="E169" s="15"/>
      <c r="F169" s="25" t="s">
        <v>597</v>
      </c>
      <c r="G169" s="38">
        <v>0.09</v>
      </c>
      <c r="H169" s="26"/>
      <c r="I169" s="26">
        <v>0</v>
      </c>
      <c r="J169" s="27">
        <v>100</v>
      </c>
      <c r="M169" s="28">
        <f>ROUND(ROUND(J169, 2)*I169, 2)</f>
        <v>0</v>
      </c>
      <c r="P169" s="27">
        <v>100</v>
      </c>
      <c r="S169" s="28">
        <f>ROUND(ROUND(P169, 2)*I169, 2)</f>
        <v>0</v>
      </c>
    </row>
    <row r="170" spans="1:21" ht="72" x14ac:dyDescent="0.3">
      <c r="A170" s="10" t="s">
        <v>637</v>
      </c>
      <c r="B170" s="10" t="s">
        <v>586</v>
      </c>
      <c r="C170" s="14" t="s">
        <v>587</v>
      </c>
      <c r="D170" s="15"/>
      <c r="E170" s="15" t="s">
        <v>638</v>
      </c>
      <c r="F170" s="15" t="s">
        <v>102</v>
      </c>
      <c r="G170" s="16">
        <v>1</v>
      </c>
      <c r="H170" s="16"/>
      <c r="I170" s="16">
        <v>0</v>
      </c>
      <c r="J170" s="17">
        <v>9</v>
      </c>
      <c r="K170" s="18">
        <v>200</v>
      </c>
      <c r="L170" s="17">
        <f>J170+ROUND(K170, 2)</f>
        <v>209</v>
      </c>
      <c r="M170" s="17">
        <v>0</v>
      </c>
      <c r="N170" s="17">
        <v>0</v>
      </c>
      <c r="O170" s="17">
        <f>M170+N170</f>
        <v>0</v>
      </c>
      <c r="P170" s="17">
        <v>9</v>
      </c>
      <c r="Q170" s="18">
        <v>300</v>
      </c>
      <c r="R170" s="17">
        <f>P170+ROUND(Q170, 2)</f>
        <v>309</v>
      </c>
      <c r="S170" s="17">
        <v>0</v>
      </c>
      <c r="T170" s="17">
        <v>0</v>
      </c>
      <c r="U170" s="17">
        <f>S170+T170</f>
        <v>0</v>
      </c>
    </row>
    <row r="171" spans="1:21" ht="18" x14ac:dyDescent="0.3">
      <c r="A171" s="10" t="s">
        <v>640</v>
      </c>
      <c r="B171" s="10"/>
      <c r="C171" s="24" t="s">
        <v>596</v>
      </c>
      <c r="D171" s="15"/>
      <c r="E171" s="15"/>
      <c r="F171" s="25" t="s">
        <v>597</v>
      </c>
      <c r="G171" s="38">
        <v>0.09</v>
      </c>
      <c r="H171" s="26"/>
      <c r="I171" s="26">
        <v>0</v>
      </c>
      <c r="J171" s="27">
        <v>100</v>
      </c>
      <c r="M171" s="28">
        <f>ROUND(ROUND(J171, 2)*I171, 2)</f>
        <v>0</v>
      </c>
      <c r="P171" s="27">
        <v>100</v>
      </c>
      <c r="S171" s="28">
        <f>ROUND(ROUND(P171, 2)*I171, 2)</f>
        <v>0</v>
      </c>
    </row>
    <row r="172" spans="1:21" ht="18" x14ac:dyDescent="0.3">
      <c r="A172" s="10" t="s">
        <v>645</v>
      </c>
      <c r="B172" s="10"/>
      <c r="C172" s="24" t="s">
        <v>591</v>
      </c>
      <c r="D172" s="15"/>
      <c r="E172" s="15"/>
      <c r="F172" s="25" t="s">
        <v>102</v>
      </c>
      <c r="G172" s="26">
        <v>1.1000000000000001</v>
      </c>
      <c r="H172" s="31"/>
      <c r="I172" s="31">
        <v>0</v>
      </c>
      <c r="J172" s="27">
        <v>0</v>
      </c>
      <c r="M172" s="28">
        <f>ROUND(ROUND(J172, 2)*I172, 2)</f>
        <v>0</v>
      </c>
      <c r="P172" s="27">
        <v>0</v>
      </c>
      <c r="S172" s="28">
        <f>ROUND(ROUND(P172, 2)*I172, 2)</f>
        <v>0</v>
      </c>
    </row>
    <row r="173" spans="1:21" ht="72" x14ac:dyDescent="0.3">
      <c r="A173" s="10" t="s">
        <v>650</v>
      </c>
      <c r="B173" s="10" t="s">
        <v>586</v>
      </c>
      <c r="C173" s="14" t="s">
        <v>587</v>
      </c>
      <c r="D173" s="15"/>
      <c r="E173" s="15" t="s">
        <v>651</v>
      </c>
      <c r="F173" s="15" t="s">
        <v>102</v>
      </c>
      <c r="G173" s="16">
        <v>1</v>
      </c>
      <c r="H173" s="16"/>
      <c r="I173" s="16">
        <v>0</v>
      </c>
      <c r="J173" s="17">
        <v>9</v>
      </c>
      <c r="K173" s="18">
        <v>200</v>
      </c>
      <c r="L173" s="17">
        <f>J173+ROUND(K173, 2)</f>
        <v>209</v>
      </c>
      <c r="M173" s="17">
        <v>0</v>
      </c>
      <c r="N173" s="17">
        <v>0</v>
      </c>
      <c r="O173" s="17">
        <f>M173+N173</f>
        <v>0</v>
      </c>
      <c r="P173" s="17">
        <v>9</v>
      </c>
      <c r="Q173" s="18">
        <v>300</v>
      </c>
      <c r="R173" s="17">
        <f>P173+ROUND(Q173, 2)</f>
        <v>309</v>
      </c>
      <c r="S173" s="17">
        <v>0</v>
      </c>
      <c r="T173" s="17">
        <v>0</v>
      </c>
      <c r="U173" s="17">
        <f>S173+T173</f>
        <v>0</v>
      </c>
    </row>
    <row r="174" spans="1:21" ht="18" x14ac:dyDescent="0.3">
      <c r="A174" s="10" t="s">
        <v>653</v>
      </c>
      <c r="B174" s="10"/>
      <c r="C174" s="24" t="s">
        <v>591</v>
      </c>
      <c r="D174" s="15"/>
      <c r="E174" s="15"/>
      <c r="F174" s="25" t="s">
        <v>102</v>
      </c>
      <c r="G174" s="26">
        <v>1.1000000000000001</v>
      </c>
      <c r="H174" s="31"/>
      <c r="I174" s="31">
        <v>0</v>
      </c>
      <c r="J174" s="27">
        <v>0</v>
      </c>
      <c r="M174" s="28">
        <f>ROUND(ROUND(J174, 2)*I174, 2)</f>
        <v>0</v>
      </c>
      <c r="P174" s="27">
        <v>0</v>
      </c>
      <c r="S174" s="28">
        <f>ROUND(ROUND(P174, 2)*I174, 2)</f>
        <v>0</v>
      </c>
    </row>
    <row r="175" spans="1:21" ht="18" x14ac:dyDescent="0.3">
      <c r="A175" s="10" t="s">
        <v>658</v>
      </c>
      <c r="B175" s="10"/>
      <c r="C175" s="24" t="s">
        <v>596</v>
      </c>
      <c r="D175" s="15"/>
      <c r="E175" s="15"/>
      <c r="F175" s="25" t="s">
        <v>597</v>
      </c>
      <c r="G175" s="38">
        <v>0.09</v>
      </c>
      <c r="H175" s="26"/>
      <c r="I175" s="26">
        <v>0</v>
      </c>
      <c r="J175" s="27">
        <v>100</v>
      </c>
      <c r="M175" s="28">
        <f>ROUND(ROUND(J175, 2)*I175, 2)</f>
        <v>0</v>
      </c>
      <c r="P175" s="27">
        <v>100</v>
      </c>
      <c r="S175" s="28">
        <f>ROUND(ROUND(P175, 2)*I175, 2)</f>
        <v>0</v>
      </c>
    </row>
    <row r="176" spans="1:21" ht="18" x14ac:dyDescent="0.3">
      <c r="A176" s="10" t="s">
        <v>663</v>
      </c>
      <c r="B176" s="10" t="s">
        <v>586</v>
      </c>
      <c r="C176" s="14" t="s">
        <v>587</v>
      </c>
      <c r="D176" s="15"/>
      <c r="E176" s="15" t="s">
        <v>664</v>
      </c>
      <c r="F176" s="15" t="s">
        <v>102</v>
      </c>
      <c r="G176" s="16">
        <v>1</v>
      </c>
      <c r="H176" s="16"/>
      <c r="I176" s="16">
        <v>106.7</v>
      </c>
      <c r="J176" s="17">
        <v>99.86</v>
      </c>
      <c r="K176" s="18">
        <v>200</v>
      </c>
      <c r="L176" s="17">
        <f>J176+ROUND(K176, 2)</f>
        <v>299.86</v>
      </c>
      <c r="M176" s="17">
        <v>10655.06</v>
      </c>
      <c r="N176" s="17">
        <v>21340</v>
      </c>
      <c r="O176" s="17">
        <f>M176+N176</f>
        <v>31995.059999999998</v>
      </c>
      <c r="P176" s="17">
        <v>99.86</v>
      </c>
      <c r="Q176" s="18">
        <v>300</v>
      </c>
      <c r="R176" s="17">
        <f>P176+ROUND(Q176, 2)</f>
        <v>399.86</v>
      </c>
      <c r="S176" s="17">
        <v>10655.06</v>
      </c>
      <c r="T176" s="17">
        <v>32010</v>
      </c>
      <c r="U176" s="17">
        <f>S176+T176</f>
        <v>42665.06</v>
      </c>
    </row>
    <row r="177" spans="1:21" ht="18" x14ac:dyDescent="0.3">
      <c r="A177" s="10" t="s">
        <v>665</v>
      </c>
      <c r="B177" s="10"/>
      <c r="C177" s="30" t="s">
        <v>617</v>
      </c>
      <c r="D177" s="15"/>
      <c r="E177" s="15"/>
      <c r="F177" s="25" t="s">
        <v>102</v>
      </c>
      <c r="G177" s="26">
        <v>1.05</v>
      </c>
      <c r="H177" s="31"/>
      <c r="I177" s="31">
        <v>68.984999999999999</v>
      </c>
      <c r="J177" s="27">
        <v>140.54</v>
      </c>
      <c r="M177" s="28">
        <f>ROUND(ROUND(J177, 2)*I177, 2)</f>
        <v>9695.15</v>
      </c>
      <c r="P177" s="27">
        <v>140.54</v>
      </c>
      <c r="S177" s="28">
        <f>ROUND(ROUND(P177, 2)*I177, 2)</f>
        <v>9695.15</v>
      </c>
    </row>
    <row r="178" spans="1:21" ht="18" x14ac:dyDescent="0.3">
      <c r="A178" s="10" t="s">
        <v>668</v>
      </c>
      <c r="B178" s="10"/>
      <c r="C178" s="24" t="s">
        <v>596</v>
      </c>
      <c r="D178" s="15"/>
      <c r="E178" s="15"/>
      <c r="F178" s="25" t="s">
        <v>597</v>
      </c>
      <c r="G178" s="38">
        <v>0.09</v>
      </c>
      <c r="H178" s="26"/>
      <c r="I178" s="26">
        <v>9.6029999999999998</v>
      </c>
      <c r="J178" s="27">
        <v>100</v>
      </c>
      <c r="M178" s="28">
        <f>ROUND(ROUND(J178, 2)*I178, 2)</f>
        <v>960.3</v>
      </c>
      <c r="P178" s="27">
        <v>100</v>
      </c>
      <c r="S178" s="28">
        <f>ROUND(ROUND(P178, 2)*I178, 2)</f>
        <v>960.3</v>
      </c>
    </row>
    <row r="179" spans="1:21" ht="69.45" customHeight="1" x14ac:dyDescent="0.3">
      <c r="A179" s="10" t="s">
        <v>671</v>
      </c>
      <c r="B179" s="10" t="s">
        <v>586</v>
      </c>
      <c r="C179" s="14" t="s">
        <v>587</v>
      </c>
      <c r="D179" s="15"/>
      <c r="E179" s="15" t="s">
        <v>672</v>
      </c>
      <c r="F179" s="15" t="s">
        <v>102</v>
      </c>
      <c r="G179" s="16">
        <v>1</v>
      </c>
      <c r="H179" s="16"/>
      <c r="I179" s="16">
        <v>142.5</v>
      </c>
      <c r="J179" s="17">
        <f>IFERROR(ROUND(SUM(M180,M181)/I179, 2),0)</f>
        <v>112.16</v>
      </c>
      <c r="K179" s="18">
        <v>199.99</v>
      </c>
      <c r="L179" s="17">
        <f>J179+ROUND(K179, 2)</f>
        <v>312.14999999999998</v>
      </c>
      <c r="M179" s="17">
        <f>ROUND(J179*I179, 2)</f>
        <v>15982.8</v>
      </c>
      <c r="N179" s="17">
        <f>ROUND(I179*ROUND(K179, 2), 2)</f>
        <v>28498.58</v>
      </c>
      <c r="O179" s="17">
        <f>M179+N179</f>
        <v>44481.380000000005</v>
      </c>
      <c r="P179" s="17">
        <f>IFERROR(ROUND(SUM(S180,S181)/I179, 2),0)</f>
        <v>129.21</v>
      </c>
      <c r="Q179" s="19">
        <v>299.99</v>
      </c>
      <c r="R179" s="17">
        <f>P179+ROUND(Q179, 2)</f>
        <v>429.20000000000005</v>
      </c>
      <c r="S179" s="17">
        <f>ROUND(P179*I179, 2)</f>
        <v>18412.43</v>
      </c>
      <c r="T179" s="17">
        <f>ROUND(I179*ROUND(Q179, 2), 2)</f>
        <v>42748.58</v>
      </c>
      <c r="U179" s="17">
        <f>S179+T179</f>
        <v>61161.01</v>
      </c>
    </row>
    <row r="180" spans="1:21" ht="18" x14ac:dyDescent="0.3">
      <c r="A180" s="10" t="s">
        <v>673</v>
      </c>
      <c r="B180" s="10"/>
      <c r="C180" s="30" t="s">
        <v>674</v>
      </c>
      <c r="D180" s="15"/>
      <c r="E180" s="15"/>
      <c r="F180" s="25" t="s">
        <v>102</v>
      </c>
      <c r="G180" s="26">
        <v>1.05</v>
      </c>
      <c r="H180" s="31"/>
      <c r="I180" s="31">
        <v>149.625</v>
      </c>
      <c r="J180" s="27">
        <v>98.11</v>
      </c>
      <c r="M180" s="28">
        <f>ROUND(ROUND(J180, 2)*I180, 2)</f>
        <v>14679.71</v>
      </c>
      <c r="P180" s="29">
        <v>98.11</v>
      </c>
      <c r="S180" s="28">
        <f>ROUND(ROUND(P180, 2)*I180, 2)</f>
        <v>14679.71</v>
      </c>
    </row>
    <row r="181" spans="1:21" ht="48.45" customHeight="1" x14ac:dyDescent="0.3">
      <c r="A181" s="10" t="s">
        <v>678</v>
      </c>
      <c r="B181" s="10"/>
      <c r="C181" s="24" t="s">
        <v>596</v>
      </c>
      <c r="D181" s="15"/>
      <c r="E181" s="15" t="s">
        <v>679</v>
      </c>
      <c r="F181" s="25" t="s">
        <v>597</v>
      </c>
      <c r="G181" s="38">
        <v>0.09</v>
      </c>
      <c r="H181" s="26"/>
      <c r="I181" s="26">
        <v>12.824999999999999</v>
      </c>
      <c r="J181" s="27">
        <v>101.66</v>
      </c>
      <c r="M181" s="28">
        <f>ROUND(ROUND(J181, 2)*I181, 2)</f>
        <v>1303.79</v>
      </c>
      <c r="P181" s="29">
        <v>291</v>
      </c>
      <c r="S181" s="28">
        <f>ROUND(ROUND(P181, 2)*I181, 2)</f>
        <v>3732.08</v>
      </c>
    </row>
    <row r="182" spans="1:21" ht="58.5" customHeight="1" x14ac:dyDescent="0.3">
      <c r="A182" s="10" t="s">
        <v>682</v>
      </c>
      <c r="B182" s="10" t="s">
        <v>586</v>
      </c>
      <c r="C182" s="14" t="s">
        <v>587</v>
      </c>
      <c r="D182" s="15"/>
      <c r="E182" s="15" t="s">
        <v>683</v>
      </c>
      <c r="F182" s="15" t="s">
        <v>102</v>
      </c>
      <c r="G182" s="16">
        <v>1</v>
      </c>
      <c r="H182" s="16"/>
      <c r="I182" s="16">
        <v>25.1</v>
      </c>
      <c r="J182" s="17">
        <f>IFERROR(ROUND(SUM(M183)/I182, 2),0)</f>
        <v>0</v>
      </c>
      <c r="K182" s="18">
        <v>199.99</v>
      </c>
      <c r="L182" s="17">
        <f>J182+ROUND(K182, 2)</f>
        <v>199.99</v>
      </c>
      <c r="M182" s="17">
        <f>ROUND(J182*I182, 2)</f>
        <v>0</v>
      </c>
      <c r="N182" s="17">
        <f>ROUND(I182*ROUND(K182, 2), 2)</f>
        <v>5019.75</v>
      </c>
      <c r="O182" s="17">
        <f>M182+N182</f>
        <v>5019.75</v>
      </c>
      <c r="P182" s="17">
        <f>IFERROR(ROUND(SUM(S183)/I182, 2),0)</f>
        <v>3790.09</v>
      </c>
      <c r="Q182" s="19">
        <v>299.99</v>
      </c>
      <c r="R182" s="17">
        <f>P182+ROUND(Q182, 2)</f>
        <v>4090.08</v>
      </c>
      <c r="S182" s="17">
        <f>ROUND(P182*I182, 2)</f>
        <v>95131.26</v>
      </c>
      <c r="T182" s="17">
        <f>ROUND(I182*ROUND(Q182, 2), 2)</f>
        <v>7529.75</v>
      </c>
      <c r="U182" s="17">
        <f>S182+T182</f>
        <v>102661.01</v>
      </c>
    </row>
    <row r="183" spans="1:21" ht="78" customHeight="1" x14ac:dyDescent="0.3">
      <c r="A183" s="10" t="s">
        <v>684</v>
      </c>
      <c r="B183" s="10"/>
      <c r="C183" s="24" t="s">
        <v>685</v>
      </c>
      <c r="D183" s="15"/>
      <c r="E183" s="15" t="s">
        <v>686</v>
      </c>
      <c r="F183" s="25" t="s">
        <v>102</v>
      </c>
      <c r="G183" s="26">
        <v>1.1000000000000001</v>
      </c>
      <c r="H183" s="31"/>
      <c r="I183" s="31">
        <v>27.61</v>
      </c>
      <c r="J183" s="27">
        <v>0</v>
      </c>
      <c r="M183" s="28">
        <f>ROUND(ROUND(J183, 2)*I183, 2)</f>
        <v>0</v>
      </c>
      <c r="P183" s="29">
        <v>3445.54</v>
      </c>
      <c r="S183" s="28">
        <f>ROUND(ROUND(P183, 2)*I183, 2)</f>
        <v>95131.36</v>
      </c>
    </row>
    <row r="184" spans="1:21" ht="90" x14ac:dyDescent="0.3">
      <c r="A184" s="10" t="s">
        <v>690</v>
      </c>
      <c r="B184" s="10" t="s">
        <v>586</v>
      </c>
      <c r="C184" s="14" t="s">
        <v>587</v>
      </c>
      <c r="D184" s="15"/>
      <c r="E184" s="15" t="s">
        <v>691</v>
      </c>
      <c r="F184" s="15" t="s">
        <v>102</v>
      </c>
      <c r="G184" s="16">
        <v>1</v>
      </c>
      <c r="H184" s="16"/>
      <c r="I184" s="16">
        <v>81.08</v>
      </c>
      <c r="J184" s="17">
        <f>IFERROR(ROUND(SUM(M185)/I184, 2),0)</f>
        <v>0</v>
      </c>
      <c r="K184" s="18">
        <v>199.99</v>
      </c>
      <c r="L184" s="17">
        <f>J184+ROUND(K184, 2)</f>
        <v>199.99</v>
      </c>
      <c r="M184" s="17">
        <f>ROUND(J184*I184, 2)</f>
        <v>0</v>
      </c>
      <c r="N184" s="17">
        <f>ROUND(I184*ROUND(K184, 2), 2)</f>
        <v>16215.19</v>
      </c>
      <c r="O184" s="17">
        <f>M184+N184</f>
        <v>16215.19</v>
      </c>
      <c r="P184" s="17">
        <f>IFERROR(ROUND(SUM(S185)/I184, 2),0)</f>
        <v>1129.99</v>
      </c>
      <c r="Q184" s="19">
        <v>299.99</v>
      </c>
      <c r="R184" s="17">
        <f>P184+ROUND(Q184, 2)</f>
        <v>1429.98</v>
      </c>
      <c r="S184" s="17">
        <f>ROUND(P184*I184, 2)</f>
        <v>91619.59</v>
      </c>
      <c r="T184" s="17">
        <f>ROUND(I184*ROUND(Q184, 2), 2)</f>
        <v>24323.19</v>
      </c>
      <c r="U184" s="17">
        <f>S184+T184</f>
        <v>115942.78</v>
      </c>
    </row>
    <row r="185" spans="1:21" ht="68.55" customHeight="1" x14ac:dyDescent="0.3">
      <c r="A185" s="10" t="s">
        <v>692</v>
      </c>
      <c r="B185" s="10"/>
      <c r="C185" s="24" t="s">
        <v>591</v>
      </c>
      <c r="D185" s="15"/>
      <c r="E185" s="15" t="s">
        <v>693</v>
      </c>
      <c r="F185" s="25" t="s">
        <v>102</v>
      </c>
      <c r="G185" s="26">
        <v>1.1000000000000001</v>
      </c>
      <c r="H185" s="31"/>
      <c r="I185" s="31">
        <v>89.188000000000002</v>
      </c>
      <c r="J185" s="27">
        <v>0</v>
      </c>
      <c r="M185" s="28">
        <f>ROUND(ROUND(J185, 2)*I185, 2)</f>
        <v>0</v>
      </c>
      <c r="P185" s="29">
        <v>1027.26</v>
      </c>
      <c r="S185" s="28">
        <f>ROUND(ROUND(P185, 2)*I185, 2)</f>
        <v>91619.26</v>
      </c>
    </row>
    <row r="186" spans="1:21" ht="70.95" customHeight="1" x14ac:dyDescent="0.3">
      <c r="A186" s="10" t="s">
        <v>696</v>
      </c>
      <c r="B186" s="10" t="s">
        <v>586</v>
      </c>
      <c r="C186" s="14" t="s">
        <v>587</v>
      </c>
      <c r="D186" s="15"/>
      <c r="E186" s="15" t="s">
        <v>697</v>
      </c>
      <c r="F186" s="15" t="s">
        <v>102</v>
      </c>
      <c r="G186" s="16">
        <v>1</v>
      </c>
      <c r="H186" s="16"/>
      <c r="I186" s="16">
        <v>25.1</v>
      </c>
      <c r="J186" s="17">
        <f>IFERROR(ROUND(SUM(M187)/I186, 2),0)</f>
        <v>0</v>
      </c>
      <c r="K186" s="18">
        <v>199.99</v>
      </c>
      <c r="L186" s="17">
        <f>J186+ROUND(K186, 2)</f>
        <v>199.99</v>
      </c>
      <c r="M186" s="17">
        <f>ROUND(J186*I186, 2)</f>
        <v>0</v>
      </c>
      <c r="N186" s="17">
        <f>ROUND(I186*ROUND(K186, 2), 2)</f>
        <v>5019.75</v>
      </c>
      <c r="O186" s="17">
        <f>M186+N186</f>
        <v>5019.75</v>
      </c>
      <c r="P186" s="17">
        <f>IFERROR(ROUND(SUM(S187)/I186, 2),0)</f>
        <v>1129.99</v>
      </c>
      <c r="Q186" s="19">
        <v>299.99</v>
      </c>
      <c r="R186" s="17">
        <f>P186+ROUND(Q186, 2)</f>
        <v>1429.98</v>
      </c>
      <c r="S186" s="17">
        <f>ROUND(P186*I186, 2)</f>
        <v>28362.75</v>
      </c>
      <c r="T186" s="17">
        <f>ROUND(I186*ROUND(Q186, 2), 2)</f>
        <v>7529.75</v>
      </c>
      <c r="U186" s="17">
        <f>S186+T186</f>
        <v>35892.5</v>
      </c>
    </row>
    <row r="187" spans="1:21" ht="72" customHeight="1" x14ac:dyDescent="0.3">
      <c r="A187" s="10" t="s">
        <v>698</v>
      </c>
      <c r="B187" s="10"/>
      <c r="C187" s="24" t="s">
        <v>591</v>
      </c>
      <c r="D187" s="15"/>
      <c r="E187" s="15" t="s">
        <v>693</v>
      </c>
      <c r="F187" s="25" t="s">
        <v>102</v>
      </c>
      <c r="G187" s="26">
        <v>1.1000000000000001</v>
      </c>
      <c r="H187" s="31"/>
      <c r="I187" s="31">
        <v>27.61</v>
      </c>
      <c r="J187" s="27">
        <v>0</v>
      </c>
      <c r="M187" s="28">
        <f>ROUND(ROUND(J187, 2)*I187, 2)</f>
        <v>0</v>
      </c>
      <c r="P187" s="29">
        <v>1027.26</v>
      </c>
      <c r="S187" s="28">
        <f>ROUND(ROUND(P187, 2)*I187, 2)</f>
        <v>28362.65</v>
      </c>
    </row>
    <row r="188" spans="1:21" ht="72" x14ac:dyDescent="0.3">
      <c r="A188" s="10" t="s">
        <v>701</v>
      </c>
      <c r="B188" s="10" t="s">
        <v>586</v>
      </c>
      <c r="C188" s="14" t="s">
        <v>587</v>
      </c>
      <c r="D188" s="15"/>
      <c r="E188" s="15" t="s">
        <v>625</v>
      </c>
      <c r="F188" s="15" t="s">
        <v>102</v>
      </c>
      <c r="G188" s="16">
        <v>1</v>
      </c>
      <c r="H188" s="16"/>
      <c r="I188" s="16">
        <v>25</v>
      </c>
      <c r="J188" s="17">
        <f>IFERROR(ROUND(SUM(M189)/I188, 2),0)</f>
        <v>0</v>
      </c>
      <c r="K188" s="18">
        <v>199.99</v>
      </c>
      <c r="L188" s="17">
        <f>J188+ROUND(K188, 2)</f>
        <v>199.99</v>
      </c>
      <c r="M188" s="17">
        <f>ROUND(J188*I188, 2)</f>
        <v>0</v>
      </c>
      <c r="N188" s="17">
        <f>ROUND(I188*ROUND(K188, 2), 2)</f>
        <v>4999.75</v>
      </c>
      <c r="O188" s="17">
        <f>M188+N188</f>
        <v>4999.75</v>
      </c>
      <c r="P188" s="17">
        <f>IFERROR(ROUND(SUM(S189)/I188, 2),0)</f>
        <v>3790.09</v>
      </c>
      <c r="Q188" s="19">
        <v>299.99</v>
      </c>
      <c r="R188" s="17">
        <f>P188+ROUND(Q188, 2)</f>
        <v>4090.08</v>
      </c>
      <c r="S188" s="17">
        <f>ROUND(P188*I188, 2)</f>
        <v>94752.25</v>
      </c>
      <c r="T188" s="17">
        <f>ROUND(I188*ROUND(Q188, 2), 2)</f>
        <v>7499.75</v>
      </c>
      <c r="U188" s="17">
        <f>S188+T188</f>
        <v>102252</v>
      </c>
    </row>
    <row r="189" spans="1:21" ht="70.5" customHeight="1" x14ac:dyDescent="0.3">
      <c r="A189" s="10" t="s">
        <v>702</v>
      </c>
      <c r="B189" s="10"/>
      <c r="C189" s="24" t="s">
        <v>685</v>
      </c>
      <c r="D189" s="15"/>
      <c r="E189" s="15" t="s">
        <v>686</v>
      </c>
      <c r="F189" s="25" t="s">
        <v>102</v>
      </c>
      <c r="G189" s="26">
        <v>1.1000000000000001</v>
      </c>
      <c r="H189" s="31"/>
      <c r="I189" s="31">
        <v>27.5</v>
      </c>
      <c r="J189" s="27">
        <v>0</v>
      </c>
      <c r="M189" s="28">
        <f>ROUND(ROUND(J189, 2)*I189, 2)</f>
        <v>0</v>
      </c>
      <c r="P189" s="29">
        <v>3445.54</v>
      </c>
      <c r="S189" s="28">
        <f>ROUND(ROUND(P189, 2)*I189, 2)</f>
        <v>94752.35</v>
      </c>
    </row>
    <row r="190" spans="1:21" ht="72" x14ac:dyDescent="0.3">
      <c r="A190" s="10" t="s">
        <v>705</v>
      </c>
      <c r="B190" s="10" t="s">
        <v>586</v>
      </c>
      <c r="C190" s="14" t="s">
        <v>587</v>
      </c>
      <c r="D190" s="15"/>
      <c r="E190" s="15" t="s">
        <v>638</v>
      </c>
      <c r="F190" s="15" t="s">
        <v>102</v>
      </c>
      <c r="G190" s="16">
        <v>1</v>
      </c>
      <c r="H190" s="16"/>
      <c r="I190" s="16">
        <v>8.1</v>
      </c>
      <c r="J190" s="17">
        <f>IFERROR(ROUND(SUM(M191)/I190, 2),0)</f>
        <v>0</v>
      </c>
      <c r="K190" s="18">
        <v>199.99</v>
      </c>
      <c r="L190" s="17">
        <f>J190+ROUND(K190, 2)</f>
        <v>199.99</v>
      </c>
      <c r="M190" s="17">
        <f>ROUND(J190*I190, 2)</f>
        <v>0</v>
      </c>
      <c r="N190" s="17">
        <f>ROUND(I190*ROUND(K190, 2), 2)</f>
        <v>1619.92</v>
      </c>
      <c r="O190" s="17">
        <f>M190+N190</f>
        <v>1619.92</v>
      </c>
      <c r="P190" s="17">
        <f>IFERROR(ROUND(SUM(S191)/I190, 2),0)</f>
        <v>1129.99</v>
      </c>
      <c r="Q190" s="19">
        <v>299.99</v>
      </c>
      <c r="R190" s="17">
        <f>P190+ROUND(Q190, 2)</f>
        <v>1429.98</v>
      </c>
      <c r="S190" s="17">
        <f>ROUND(P190*I190, 2)</f>
        <v>9152.92</v>
      </c>
      <c r="T190" s="17">
        <f>ROUND(I190*ROUND(Q190, 2), 2)</f>
        <v>2429.92</v>
      </c>
      <c r="U190" s="17">
        <f>S190+T190</f>
        <v>11582.84</v>
      </c>
    </row>
    <row r="191" spans="1:21" ht="75" customHeight="1" x14ac:dyDescent="0.3">
      <c r="A191" s="10" t="s">
        <v>706</v>
      </c>
      <c r="B191" s="10"/>
      <c r="C191" s="24" t="s">
        <v>591</v>
      </c>
      <c r="D191" s="15"/>
      <c r="E191" s="15" t="s">
        <v>693</v>
      </c>
      <c r="F191" s="25" t="s">
        <v>102</v>
      </c>
      <c r="G191" s="26">
        <v>1.1000000000000001</v>
      </c>
      <c r="H191" s="31"/>
      <c r="I191" s="31">
        <v>8.91</v>
      </c>
      <c r="J191" s="27">
        <v>0</v>
      </c>
      <c r="M191" s="28">
        <f>ROUND(ROUND(J191, 2)*I191, 2)</f>
        <v>0</v>
      </c>
      <c r="P191" s="29">
        <v>1027.26</v>
      </c>
      <c r="S191" s="28">
        <f>ROUND(ROUND(P191, 2)*I191, 2)</f>
        <v>9152.89</v>
      </c>
    </row>
    <row r="192" spans="1:21" ht="72" x14ac:dyDescent="0.3">
      <c r="A192" s="10" t="s">
        <v>709</v>
      </c>
      <c r="B192" s="10" t="s">
        <v>586</v>
      </c>
      <c r="C192" s="14" t="s">
        <v>587</v>
      </c>
      <c r="D192" s="15"/>
      <c r="E192" s="15" t="s">
        <v>651</v>
      </c>
      <c r="F192" s="15" t="s">
        <v>102</v>
      </c>
      <c r="G192" s="16">
        <v>1</v>
      </c>
      <c r="H192" s="16"/>
      <c r="I192" s="16">
        <v>11</v>
      </c>
      <c r="J192" s="17">
        <f>IFERROR(ROUND(SUM(M193)/I192, 2),0)</f>
        <v>0</v>
      </c>
      <c r="K192" s="18">
        <v>199.99</v>
      </c>
      <c r="L192" s="17">
        <f>J192+ROUND(K192, 2)</f>
        <v>199.99</v>
      </c>
      <c r="M192" s="17">
        <f>ROUND(J192*I192, 2)</f>
        <v>0</v>
      </c>
      <c r="N192" s="17">
        <f>ROUND(I192*ROUND(K192, 2), 2)</f>
        <v>2199.89</v>
      </c>
      <c r="O192" s="17">
        <f>M192+N192</f>
        <v>2199.89</v>
      </c>
      <c r="P192" s="17">
        <f>IFERROR(ROUND(SUM(S193)/I192, 2),0)</f>
        <v>1129.99</v>
      </c>
      <c r="Q192" s="19">
        <v>299.99</v>
      </c>
      <c r="R192" s="17">
        <f>P192+ROUND(Q192, 2)</f>
        <v>1429.98</v>
      </c>
      <c r="S192" s="17">
        <f>ROUND(P192*I192, 2)</f>
        <v>12429.89</v>
      </c>
      <c r="T192" s="17">
        <f>ROUND(I192*ROUND(Q192, 2), 2)</f>
        <v>3299.89</v>
      </c>
      <c r="U192" s="17">
        <f>S192+T192</f>
        <v>15729.779999999999</v>
      </c>
    </row>
    <row r="193" spans="1:21" ht="55.95" customHeight="1" x14ac:dyDescent="0.3">
      <c r="A193" s="10" t="s">
        <v>710</v>
      </c>
      <c r="B193" s="10"/>
      <c r="C193" s="24" t="s">
        <v>591</v>
      </c>
      <c r="D193" s="15"/>
      <c r="E193" s="15" t="s">
        <v>693</v>
      </c>
      <c r="F193" s="25" t="s">
        <v>102</v>
      </c>
      <c r="G193" s="26">
        <v>1.1000000000000001</v>
      </c>
      <c r="H193" s="31"/>
      <c r="I193" s="31">
        <v>12.1</v>
      </c>
      <c r="J193" s="27">
        <v>0</v>
      </c>
      <c r="M193" s="28">
        <f>ROUND(ROUND(J193, 2)*I193, 2)</f>
        <v>0</v>
      </c>
      <c r="P193" s="29">
        <v>1027.26</v>
      </c>
      <c r="S193" s="28">
        <f>ROUND(ROUND(P193, 2)*I193, 2)</f>
        <v>12429.85</v>
      </c>
    </row>
    <row r="194" spans="1:21" ht="18" x14ac:dyDescent="0.3">
      <c r="A194" s="10" t="s">
        <v>713</v>
      </c>
      <c r="B194" s="10" t="s">
        <v>714</v>
      </c>
      <c r="C194" s="14" t="s">
        <v>715</v>
      </c>
      <c r="D194" s="15"/>
      <c r="E194" s="15"/>
      <c r="F194" s="15" t="s">
        <v>62</v>
      </c>
      <c r="G194" s="16">
        <v>1</v>
      </c>
      <c r="H194" s="16"/>
      <c r="I194" s="16">
        <v>0</v>
      </c>
      <c r="J194" s="17">
        <v>0</v>
      </c>
      <c r="K194" s="18">
        <v>661</v>
      </c>
      <c r="L194" s="17">
        <f>J194+ROUND(K194, 2)</f>
        <v>661</v>
      </c>
      <c r="M194" s="17">
        <v>0</v>
      </c>
      <c r="N194" s="17">
        <v>0</v>
      </c>
      <c r="O194" s="17">
        <f>M194+N194</f>
        <v>0</v>
      </c>
      <c r="P194" s="17">
        <v>2510.19</v>
      </c>
      <c r="Q194" s="18">
        <v>661</v>
      </c>
      <c r="R194" s="17">
        <f>P194+ROUND(Q194, 2)</f>
        <v>3171.19</v>
      </c>
      <c r="S194" s="17">
        <v>0</v>
      </c>
      <c r="T194" s="17">
        <v>0</v>
      </c>
      <c r="U194" s="17">
        <f>S194+T194</f>
        <v>0</v>
      </c>
    </row>
    <row r="195" spans="1:21" ht="54" x14ac:dyDescent="0.3">
      <c r="A195" s="10" t="s">
        <v>718</v>
      </c>
      <c r="B195" s="10"/>
      <c r="C195" s="24" t="s">
        <v>719</v>
      </c>
      <c r="D195" s="15"/>
      <c r="E195" s="15"/>
      <c r="F195" s="25" t="s">
        <v>597</v>
      </c>
      <c r="G195" s="26">
        <v>1</v>
      </c>
      <c r="H195" s="31"/>
      <c r="I195" s="31">
        <v>0</v>
      </c>
      <c r="J195" s="27">
        <v>0</v>
      </c>
      <c r="M195" s="28">
        <f>ROUND(ROUND(J195, 2)*I195, 2)</f>
        <v>0</v>
      </c>
      <c r="P195" s="27">
        <v>3880</v>
      </c>
      <c r="S195" s="28">
        <f>ROUND(ROUND(P195, 2)*I195, 2)</f>
        <v>0</v>
      </c>
    </row>
    <row r="196" spans="1:21" ht="36" x14ac:dyDescent="0.3">
      <c r="A196" s="10" t="s">
        <v>723</v>
      </c>
      <c r="B196" s="10"/>
      <c r="C196" s="24" t="s">
        <v>724</v>
      </c>
      <c r="D196" s="15"/>
      <c r="E196" s="15"/>
      <c r="F196" s="25" t="s">
        <v>62</v>
      </c>
      <c r="G196" s="26">
        <v>1.03</v>
      </c>
      <c r="H196" s="31"/>
      <c r="I196" s="31">
        <v>0</v>
      </c>
      <c r="J196" s="27">
        <v>0</v>
      </c>
      <c r="M196" s="28">
        <f>ROUND(ROUND(J196, 2)*I196, 2)</f>
        <v>0</v>
      </c>
      <c r="P196" s="27">
        <v>2000</v>
      </c>
      <c r="S196" s="28">
        <f>ROUND(ROUND(P196, 2)*I196, 2)</f>
        <v>0</v>
      </c>
    </row>
    <row r="197" spans="1:21" ht="18" x14ac:dyDescent="0.3">
      <c r="A197" s="10" t="s">
        <v>728</v>
      </c>
      <c r="B197" s="10" t="s">
        <v>714</v>
      </c>
      <c r="C197" s="14" t="s">
        <v>715</v>
      </c>
      <c r="D197" s="15"/>
      <c r="E197" s="15"/>
      <c r="F197" s="15" t="s">
        <v>62</v>
      </c>
      <c r="G197" s="16">
        <v>1</v>
      </c>
      <c r="H197" s="16"/>
      <c r="I197" s="16">
        <v>0</v>
      </c>
      <c r="J197" s="17">
        <v>0</v>
      </c>
      <c r="K197" s="18">
        <v>661</v>
      </c>
      <c r="L197" s="17">
        <f>J197+ROUND(K197, 2)</f>
        <v>661</v>
      </c>
      <c r="M197" s="17">
        <v>0</v>
      </c>
      <c r="N197" s="17">
        <v>0</v>
      </c>
      <c r="O197" s="17">
        <f>M197+N197</f>
        <v>0</v>
      </c>
      <c r="P197" s="17">
        <v>2509.98</v>
      </c>
      <c r="Q197" s="18">
        <v>661</v>
      </c>
      <c r="R197" s="17">
        <f>P197+ROUND(Q197, 2)</f>
        <v>3170.98</v>
      </c>
      <c r="S197" s="17">
        <v>0</v>
      </c>
      <c r="T197" s="17">
        <v>0</v>
      </c>
      <c r="U197" s="17">
        <f>S197+T197</f>
        <v>0</v>
      </c>
    </row>
    <row r="198" spans="1:21" ht="36" x14ac:dyDescent="0.3">
      <c r="A198" s="10" t="s">
        <v>729</v>
      </c>
      <c r="B198" s="10"/>
      <c r="C198" s="24" t="s">
        <v>724</v>
      </c>
      <c r="D198" s="15"/>
      <c r="E198" s="15"/>
      <c r="F198" s="25" t="s">
        <v>62</v>
      </c>
      <c r="G198" s="26">
        <v>1.03</v>
      </c>
      <c r="H198" s="31"/>
      <c r="I198" s="31">
        <v>0</v>
      </c>
      <c r="J198" s="27">
        <v>0</v>
      </c>
      <c r="M198" s="28">
        <f>ROUND(ROUND(J198, 2)*I198, 2)</f>
        <v>0</v>
      </c>
      <c r="P198" s="27">
        <v>2000</v>
      </c>
      <c r="S198" s="28">
        <f>ROUND(ROUND(P198, 2)*I198, 2)</f>
        <v>0</v>
      </c>
    </row>
    <row r="199" spans="1:21" ht="54" x14ac:dyDescent="0.3">
      <c r="A199" s="10" t="s">
        <v>732</v>
      </c>
      <c r="B199" s="10"/>
      <c r="C199" s="24" t="s">
        <v>719</v>
      </c>
      <c r="D199" s="15"/>
      <c r="E199" s="15"/>
      <c r="F199" s="25" t="s">
        <v>597</v>
      </c>
      <c r="G199" s="26">
        <v>1</v>
      </c>
      <c r="H199" s="31"/>
      <c r="I199" s="31">
        <v>0</v>
      </c>
      <c r="J199" s="27">
        <v>0</v>
      </c>
      <c r="M199" s="28">
        <f>ROUND(ROUND(J199, 2)*I199, 2)</f>
        <v>0</v>
      </c>
      <c r="P199" s="27">
        <v>3880</v>
      </c>
      <c r="S199" s="28">
        <f>ROUND(ROUND(P199, 2)*I199, 2)</f>
        <v>0</v>
      </c>
    </row>
    <row r="200" spans="1:21" ht="90" x14ac:dyDescent="0.3">
      <c r="A200" s="10" t="s">
        <v>735</v>
      </c>
      <c r="B200" s="10" t="s">
        <v>714</v>
      </c>
      <c r="C200" s="14" t="s">
        <v>715</v>
      </c>
      <c r="D200" s="15"/>
      <c r="E200" s="15" t="s">
        <v>736</v>
      </c>
      <c r="F200" s="15" t="s">
        <v>62</v>
      </c>
      <c r="G200" s="16">
        <v>1</v>
      </c>
      <c r="H200" s="16"/>
      <c r="I200" s="16">
        <v>245.2</v>
      </c>
      <c r="J200" s="17">
        <v>0</v>
      </c>
      <c r="K200" s="18">
        <v>661</v>
      </c>
      <c r="L200" s="17">
        <f>J200+ROUND(K200, 2)</f>
        <v>661</v>
      </c>
      <c r="M200" s="17">
        <v>0</v>
      </c>
      <c r="N200" s="17">
        <v>162077.20000000001</v>
      </c>
      <c r="O200" s="17">
        <f>M200+N200</f>
        <v>162077.20000000001</v>
      </c>
      <c r="P200" s="17">
        <v>4146.0600000000004</v>
      </c>
      <c r="Q200" s="18">
        <v>991.5</v>
      </c>
      <c r="R200" s="17">
        <f>P200+ROUND(Q200, 2)</f>
        <v>5137.5600000000004</v>
      </c>
      <c r="S200" s="17">
        <v>1016613.91</v>
      </c>
      <c r="T200" s="17">
        <v>243115.8</v>
      </c>
      <c r="U200" s="17">
        <f>S200+T200</f>
        <v>1259729.71</v>
      </c>
    </row>
    <row r="201" spans="1:21" ht="54" x14ac:dyDescent="0.3">
      <c r="A201" s="10" t="s">
        <v>737</v>
      </c>
      <c r="B201" s="10"/>
      <c r="C201" s="24" t="s">
        <v>719</v>
      </c>
      <c r="D201" s="15"/>
      <c r="E201" s="15" t="s">
        <v>738</v>
      </c>
      <c r="F201" s="25" t="s">
        <v>597</v>
      </c>
      <c r="G201" s="26">
        <v>1</v>
      </c>
      <c r="H201" s="31"/>
      <c r="I201" s="31">
        <v>28.45</v>
      </c>
      <c r="J201" s="27">
        <v>0</v>
      </c>
      <c r="M201" s="28">
        <f>ROUND(ROUND(J201, 2)*I201, 2)</f>
        <v>0</v>
      </c>
      <c r="P201" s="27">
        <v>2000</v>
      </c>
      <c r="S201" s="28">
        <f>ROUND(ROUND(P201, 2)*I201, 2)</f>
        <v>56900</v>
      </c>
    </row>
    <row r="202" spans="1:21" ht="36" x14ac:dyDescent="0.3">
      <c r="A202" s="10" t="s">
        <v>741</v>
      </c>
      <c r="B202" s="10"/>
      <c r="C202" s="24" t="s">
        <v>724</v>
      </c>
      <c r="D202" s="15"/>
      <c r="E202" s="15" t="s">
        <v>742</v>
      </c>
      <c r="F202" s="25" t="s">
        <v>62</v>
      </c>
      <c r="G202" s="26">
        <v>1.03</v>
      </c>
      <c r="H202" s="31"/>
      <c r="I202" s="31">
        <v>252.55600000000001</v>
      </c>
      <c r="J202" s="27">
        <v>0</v>
      </c>
      <c r="M202" s="28">
        <f>ROUND(ROUND(J202, 2)*I202, 2)</f>
        <v>0</v>
      </c>
      <c r="P202" s="27">
        <v>3800</v>
      </c>
      <c r="S202" s="28">
        <f>ROUND(ROUND(P202, 2)*I202, 2)</f>
        <v>959712.8</v>
      </c>
    </row>
    <row r="203" spans="1:21" ht="90" x14ac:dyDescent="0.3">
      <c r="A203" s="10" t="s">
        <v>745</v>
      </c>
      <c r="B203" s="10" t="s">
        <v>714</v>
      </c>
      <c r="C203" s="14" t="s">
        <v>715</v>
      </c>
      <c r="D203" s="15"/>
      <c r="E203" s="15" t="s">
        <v>746</v>
      </c>
      <c r="F203" s="15" t="s">
        <v>62</v>
      </c>
      <c r="G203" s="16">
        <v>1</v>
      </c>
      <c r="H203" s="16"/>
      <c r="I203" s="16">
        <v>45.7</v>
      </c>
      <c r="J203" s="17">
        <v>0</v>
      </c>
      <c r="K203" s="18">
        <v>661</v>
      </c>
      <c r="L203" s="17">
        <f>J203+ROUND(K203, 2)</f>
        <v>661</v>
      </c>
      <c r="M203" s="17">
        <v>0</v>
      </c>
      <c r="N203" s="17">
        <v>30207.7</v>
      </c>
      <c r="O203" s="17">
        <f>M203+N203</f>
        <v>30207.7</v>
      </c>
      <c r="P203" s="17">
        <v>2509.98</v>
      </c>
      <c r="Q203" s="18">
        <v>991.5</v>
      </c>
      <c r="R203" s="17">
        <f>P203+ROUND(Q203, 2)</f>
        <v>3501.48</v>
      </c>
      <c r="S203" s="17">
        <v>114706.09</v>
      </c>
      <c r="T203" s="17">
        <v>45311.55</v>
      </c>
      <c r="U203" s="17">
        <f>S203+T203</f>
        <v>160017.64000000001</v>
      </c>
    </row>
    <row r="204" spans="1:21" ht="36" x14ac:dyDescent="0.3">
      <c r="A204" s="10" t="s">
        <v>747</v>
      </c>
      <c r="B204" s="10"/>
      <c r="C204" s="24" t="s">
        <v>724</v>
      </c>
      <c r="D204" s="15"/>
      <c r="E204" s="15"/>
      <c r="F204" s="25" t="s">
        <v>62</v>
      </c>
      <c r="G204" s="26">
        <v>1.03</v>
      </c>
      <c r="H204" s="31"/>
      <c r="I204" s="31">
        <v>47.070999999999998</v>
      </c>
      <c r="J204" s="27">
        <v>0</v>
      </c>
      <c r="M204" s="28">
        <f>ROUND(ROUND(J204, 2)*I204, 2)</f>
        <v>0</v>
      </c>
      <c r="P204" s="27">
        <v>2000</v>
      </c>
      <c r="S204" s="28">
        <f>ROUND(ROUND(P204, 2)*I204, 2)</f>
        <v>94142</v>
      </c>
    </row>
    <row r="205" spans="1:21" ht="54" x14ac:dyDescent="0.3">
      <c r="A205" s="10" t="s">
        <v>750</v>
      </c>
      <c r="B205" s="10"/>
      <c r="C205" s="24" t="s">
        <v>719</v>
      </c>
      <c r="D205" s="15"/>
      <c r="E205" s="15"/>
      <c r="F205" s="25" t="s">
        <v>597</v>
      </c>
      <c r="G205" s="26">
        <v>1</v>
      </c>
      <c r="H205" s="31"/>
      <c r="I205" s="31">
        <v>5.3</v>
      </c>
      <c r="J205" s="27">
        <v>0</v>
      </c>
      <c r="M205" s="28">
        <f>ROUND(ROUND(J205, 2)*I205, 2)</f>
        <v>0</v>
      </c>
      <c r="P205" s="27">
        <v>3880</v>
      </c>
      <c r="S205" s="28">
        <f>ROUND(ROUND(P205, 2)*I205, 2)</f>
        <v>20564</v>
      </c>
    </row>
    <row r="206" spans="1:21" ht="52.95" customHeight="1" x14ac:dyDescent="0.3">
      <c r="A206" s="10" t="s">
        <v>753</v>
      </c>
      <c r="B206" s="10" t="s">
        <v>714</v>
      </c>
      <c r="C206" s="14" t="s">
        <v>715</v>
      </c>
      <c r="D206" s="15"/>
      <c r="E206" s="15" t="s">
        <v>754</v>
      </c>
      <c r="F206" s="15" t="s">
        <v>62</v>
      </c>
      <c r="G206" s="16">
        <v>1</v>
      </c>
      <c r="H206" s="16"/>
      <c r="I206" s="16">
        <v>2253.9</v>
      </c>
      <c r="J206" s="17">
        <f>IFERROR(ROUND(SUM(M207,M208,M209)/I206, 2),0)</f>
        <v>10.43</v>
      </c>
      <c r="K206" s="18">
        <v>661</v>
      </c>
      <c r="L206" s="17">
        <f>J206+ROUND(K206, 2)</f>
        <v>671.43</v>
      </c>
      <c r="M206" s="17">
        <f>ROUND(J206*I206, 2)</f>
        <v>23508.18</v>
      </c>
      <c r="N206" s="17">
        <f>ROUND(I206*ROUND(K206, 2), 2)</f>
        <v>1489827.9</v>
      </c>
      <c r="O206" s="17">
        <f>M206+N206</f>
        <v>1513336.0799999998</v>
      </c>
      <c r="P206" s="17">
        <f>IFERROR(ROUND(SUM(S207,S208,S209)/I206, 2),0)</f>
        <v>2251.54</v>
      </c>
      <c r="Q206" s="19">
        <v>991.5</v>
      </c>
      <c r="R206" s="17">
        <f>P206+ROUND(Q206, 2)</f>
        <v>3243.04</v>
      </c>
      <c r="S206" s="17">
        <f>ROUND(P206*I206, 2)</f>
        <v>5074746.01</v>
      </c>
      <c r="T206" s="17">
        <f>ROUND(I206*ROUND(Q206, 2), 2)</f>
        <v>2234741.85</v>
      </c>
      <c r="U206" s="17">
        <f>S206+T206</f>
        <v>7309487.8599999994</v>
      </c>
    </row>
    <row r="207" spans="1:21" ht="18" x14ac:dyDescent="0.3">
      <c r="A207" s="10" t="s">
        <v>755</v>
      </c>
      <c r="B207" s="10"/>
      <c r="C207" s="24" t="s">
        <v>543</v>
      </c>
      <c r="D207" s="15"/>
      <c r="E207" s="15"/>
      <c r="F207" s="25" t="s">
        <v>278</v>
      </c>
      <c r="G207" s="26">
        <v>0.15</v>
      </c>
      <c r="H207" s="26"/>
      <c r="I207" s="26">
        <v>338.08499999999998</v>
      </c>
      <c r="J207" s="27">
        <v>69.540000000000006</v>
      </c>
      <c r="M207" s="28">
        <f>ROUND(ROUND(J207, 2)*I207, 2)</f>
        <v>23510.43</v>
      </c>
      <c r="P207" s="29">
        <v>69.540000000000006</v>
      </c>
      <c r="S207" s="28">
        <f>ROUND(ROUND(P207, 2)*I207, 2)</f>
        <v>23510.43</v>
      </c>
    </row>
    <row r="208" spans="1:21" ht="54" x14ac:dyDescent="0.3">
      <c r="A208" s="10" t="s">
        <v>758</v>
      </c>
      <c r="B208" s="10"/>
      <c r="C208" s="24" t="s">
        <v>719</v>
      </c>
      <c r="D208" s="15"/>
      <c r="E208" s="15" t="s">
        <v>759</v>
      </c>
      <c r="F208" s="25" t="s">
        <v>597</v>
      </c>
      <c r="G208" s="26">
        <v>1</v>
      </c>
      <c r="H208" s="31"/>
      <c r="I208" s="31">
        <v>40</v>
      </c>
      <c r="J208" s="27">
        <v>0</v>
      </c>
      <c r="M208" s="28">
        <f>ROUND(ROUND(J208, 2)*I208, 2)</f>
        <v>0</v>
      </c>
      <c r="P208" s="29">
        <v>10205</v>
      </c>
      <c r="S208" s="28">
        <f>ROUND(ROUND(P208, 2)*I208, 2)</f>
        <v>408200</v>
      </c>
    </row>
    <row r="209" spans="1:21" ht="72" x14ac:dyDescent="0.3">
      <c r="A209" s="10" t="s">
        <v>762</v>
      </c>
      <c r="B209" s="10"/>
      <c r="C209" s="24" t="s">
        <v>724</v>
      </c>
      <c r="D209" s="15"/>
      <c r="E209" s="15" t="s">
        <v>763</v>
      </c>
      <c r="F209" s="25" t="s">
        <v>62</v>
      </c>
      <c r="G209" s="26">
        <v>1.03</v>
      </c>
      <c r="H209" s="31"/>
      <c r="I209" s="31">
        <v>2321.5169999999998</v>
      </c>
      <c r="J209" s="27">
        <v>0</v>
      </c>
      <c r="M209" s="28">
        <f>ROUND(ROUND(J209, 2)*I209, 2)</f>
        <v>0</v>
      </c>
      <c r="P209" s="29">
        <v>2000</v>
      </c>
      <c r="S209" s="28">
        <f>ROUND(ROUND(P209, 2)*I209, 2)</f>
        <v>4643034</v>
      </c>
    </row>
    <row r="210" spans="1:21" ht="58.5" customHeight="1" x14ac:dyDescent="0.3">
      <c r="A210" s="10" t="s">
        <v>766</v>
      </c>
      <c r="B210" s="10" t="s">
        <v>714</v>
      </c>
      <c r="C210" s="14" t="s">
        <v>715</v>
      </c>
      <c r="D210" s="15"/>
      <c r="E210" s="15" t="s">
        <v>767</v>
      </c>
      <c r="F210" s="15" t="s">
        <v>62</v>
      </c>
      <c r="G210" s="16">
        <v>1</v>
      </c>
      <c r="H210" s="16"/>
      <c r="I210" s="16">
        <v>245.2</v>
      </c>
      <c r="J210" s="17">
        <f>IFERROR(ROUND(SUM(M211,M212,M213)/I210, 2),0)</f>
        <v>10.43</v>
      </c>
      <c r="K210" s="18">
        <v>661</v>
      </c>
      <c r="L210" s="17">
        <f>J210+ROUND(K210, 2)</f>
        <v>671.43</v>
      </c>
      <c r="M210" s="17">
        <f>ROUND(J210*I210, 2)</f>
        <v>2557.44</v>
      </c>
      <c r="N210" s="17">
        <f>ROUND(I210*ROUND(K210, 2), 2)</f>
        <v>162077.20000000001</v>
      </c>
      <c r="O210" s="17">
        <f>M210+N210</f>
        <v>164634.64000000001</v>
      </c>
      <c r="P210" s="17">
        <f>IFERROR(ROUND(SUM(S211,S212,S213)/I210, 2),0)</f>
        <v>2249.39</v>
      </c>
      <c r="Q210" s="19">
        <v>991.5</v>
      </c>
      <c r="R210" s="17">
        <f>P210+ROUND(Q210, 2)</f>
        <v>3240.89</v>
      </c>
      <c r="S210" s="17">
        <f>ROUND(P210*I210, 2)</f>
        <v>551550.43000000005</v>
      </c>
      <c r="T210" s="17">
        <f>ROUND(I210*ROUND(Q210, 2), 2)</f>
        <v>243115.8</v>
      </c>
      <c r="U210" s="17">
        <f>S210+T210</f>
        <v>794666.23</v>
      </c>
    </row>
    <row r="211" spans="1:21" ht="72" x14ac:dyDescent="0.3">
      <c r="A211" s="10" t="s">
        <v>768</v>
      </c>
      <c r="B211" s="10"/>
      <c r="C211" s="24" t="s">
        <v>724</v>
      </c>
      <c r="D211" s="15"/>
      <c r="E211" s="15" t="s">
        <v>769</v>
      </c>
      <c r="F211" s="25" t="s">
        <v>62</v>
      </c>
      <c r="G211" s="26">
        <v>1.03</v>
      </c>
      <c r="H211" s="31"/>
      <c r="I211" s="31">
        <v>252.55600000000001</v>
      </c>
      <c r="J211" s="27">
        <v>0</v>
      </c>
      <c r="M211" s="28">
        <f>ROUND(ROUND(J211, 2)*I211, 2)</f>
        <v>0</v>
      </c>
      <c r="P211" s="29">
        <v>2000</v>
      </c>
      <c r="S211" s="28">
        <f>ROUND(ROUND(P211, 2)*I211, 2)</f>
        <v>505112</v>
      </c>
    </row>
    <row r="212" spans="1:21" ht="54" x14ac:dyDescent="0.3">
      <c r="A212" s="10" t="s">
        <v>772</v>
      </c>
      <c r="B212" s="10"/>
      <c r="C212" s="24" t="s">
        <v>719</v>
      </c>
      <c r="D212" s="15"/>
      <c r="E212" s="15" t="s">
        <v>759</v>
      </c>
      <c r="F212" s="25" t="s">
        <v>597</v>
      </c>
      <c r="G212" s="26">
        <v>1</v>
      </c>
      <c r="H212" s="31"/>
      <c r="I212" s="31">
        <v>4.3</v>
      </c>
      <c r="J212" s="27">
        <v>0</v>
      </c>
      <c r="M212" s="28">
        <f>ROUND(ROUND(J212, 2)*I212, 2)</f>
        <v>0</v>
      </c>
      <c r="P212" s="29">
        <v>10205</v>
      </c>
      <c r="S212" s="28">
        <f>ROUND(ROUND(P212, 2)*I212, 2)</f>
        <v>43881.5</v>
      </c>
    </row>
    <row r="213" spans="1:21" ht="18" x14ac:dyDescent="0.3">
      <c r="A213" s="10" t="s">
        <v>775</v>
      </c>
      <c r="B213" s="10"/>
      <c r="C213" s="24" t="s">
        <v>543</v>
      </c>
      <c r="D213" s="15"/>
      <c r="E213" s="15"/>
      <c r="F213" s="25" t="s">
        <v>278</v>
      </c>
      <c r="G213" s="26">
        <v>0.15</v>
      </c>
      <c r="H213" s="26"/>
      <c r="I213" s="26">
        <v>36.78</v>
      </c>
      <c r="J213" s="27">
        <v>69.540000000000006</v>
      </c>
      <c r="M213" s="28">
        <f>ROUND(ROUND(J213, 2)*I213, 2)</f>
        <v>2557.6799999999998</v>
      </c>
      <c r="P213" s="29">
        <v>69.540000000000006</v>
      </c>
      <c r="S213" s="28">
        <f>ROUND(ROUND(P213, 2)*I213, 2)</f>
        <v>2557.6799999999998</v>
      </c>
    </row>
    <row r="214" spans="1:21" ht="57" customHeight="1" x14ac:dyDescent="0.3">
      <c r="A214" s="10" t="s">
        <v>778</v>
      </c>
      <c r="B214" s="10" t="s">
        <v>714</v>
      </c>
      <c r="C214" s="14" t="s">
        <v>715</v>
      </c>
      <c r="D214" s="15"/>
      <c r="E214" s="15" t="s">
        <v>779</v>
      </c>
      <c r="F214" s="15" t="s">
        <v>62</v>
      </c>
      <c r="G214" s="16">
        <v>1</v>
      </c>
      <c r="H214" s="16"/>
      <c r="I214" s="16">
        <v>20.25</v>
      </c>
      <c r="J214" s="17">
        <f>IFERROR(ROUND(SUM(M215,M216,M217)/I214, 2),0)</f>
        <v>10.43</v>
      </c>
      <c r="K214" s="18">
        <v>661</v>
      </c>
      <c r="L214" s="17">
        <f>J214+ROUND(K214, 2)</f>
        <v>671.43</v>
      </c>
      <c r="M214" s="17">
        <f>ROUND(J214*I214, 2)</f>
        <v>211.21</v>
      </c>
      <c r="N214" s="17">
        <f>ROUND(I214*ROUND(K214, 2), 2)</f>
        <v>13385.25</v>
      </c>
      <c r="O214" s="17">
        <f>M214+N214</f>
        <v>13596.46</v>
      </c>
      <c r="P214" s="17">
        <f>IFERROR(ROUND(SUM(S215,S216,S217)/I214, 2),0)</f>
        <v>2246.86</v>
      </c>
      <c r="Q214" s="19">
        <v>991.5</v>
      </c>
      <c r="R214" s="17">
        <f>P214+ROUND(Q214, 2)</f>
        <v>3238.36</v>
      </c>
      <c r="S214" s="17">
        <f>ROUND(P214*I214, 2)</f>
        <v>45498.92</v>
      </c>
      <c r="T214" s="17">
        <f>ROUND(I214*ROUND(Q214, 2), 2)</f>
        <v>20077.88</v>
      </c>
      <c r="U214" s="17">
        <f>S214+T214</f>
        <v>65576.800000000003</v>
      </c>
    </row>
    <row r="215" spans="1:21" ht="18" x14ac:dyDescent="0.3">
      <c r="A215" s="10" t="s">
        <v>780</v>
      </c>
      <c r="B215" s="10"/>
      <c r="C215" s="24" t="s">
        <v>543</v>
      </c>
      <c r="D215" s="15"/>
      <c r="E215" s="15"/>
      <c r="F215" s="25" t="s">
        <v>278</v>
      </c>
      <c r="G215" s="26">
        <v>0.15</v>
      </c>
      <c r="H215" s="26"/>
      <c r="I215" s="26">
        <v>3.0379999999999998</v>
      </c>
      <c r="J215" s="27">
        <v>69.540000000000006</v>
      </c>
      <c r="M215" s="28">
        <f>ROUND(ROUND(J215, 2)*I215, 2)</f>
        <v>211.26</v>
      </c>
      <c r="P215" s="29">
        <v>69.540000000000006</v>
      </c>
      <c r="S215" s="28">
        <f>ROUND(ROUND(P215, 2)*I215, 2)</f>
        <v>211.26</v>
      </c>
    </row>
    <row r="216" spans="1:21" ht="54" x14ac:dyDescent="0.3">
      <c r="A216" s="10" t="s">
        <v>783</v>
      </c>
      <c r="B216" s="10"/>
      <c r="C216" s="24" t="s">
        <v>719</v>
      </c>
      <c r="D216" s="15"/>
      <c r="E216" s="15" t="s">
        <v>759</v>
      </c>
      <c r="F216" s="25" t="s">
        <v>597</v>
      </c>
      <c r="G216" s="26">
        <v>1</v>
      </c>
      <c r="H216" s="31"/>
      <c r="I216" s="31">
        <v>0.35</v>
      </c>
      <c r="J216" s="27">
        <v>0</v>
      </c>
      <c r="M216" s="28">
        <f>ROUND(ROUND(J216, 2)*I216, 2)</f>
        <v>0</v>
      </c>
      <c r="P216" s="29">
        <v>10205</v>
      </c>
      <c r="S216" s="28">
        <f>ROUND(ROUND(P216, 2)*I216, 2)</f>
        <v>3571.75</v>
      </c>
    </row>
    <row r="217" spans="1:21" ht="36" x14ac:dyDescent="0.3">
      <c r="A217" s="10" t="s">
        <v>786</v>
      </c>
      <c r="B217" s="10"/>
      <c r="C217" s="24" t="s">
        <v>724</v>
      </c>
      <c r="D217" s="15"/>
      <c r="E217" s="15" t="s">
        <v>787</v>
      </c>
      <c r="F217" s="25" t="s">
        <v>62</v>
      </c>
      <c r="G217" s="26">
        <v>1.03</v>
      </c>
      <c r="H217" s="31"/>
      <c r="I217" s="31">
        <v>20.858000000000001</v>
      </c>
      <c r="J217" s="27">
        <v>0</v>
      </c>
      <c r="M217" s="28">
        <f>ROUND(ROUND(J217, 2)*I217, 2)</f>
        <v>0</v>
      </c>
      <c r="P217" s="29">
        <v>2000</v>
      </c>
      <c r="S217" s="28">
        <f>ROUND(ROUND(P217, 2)*I217, 2)</f>
        <v>41716</v>
      </c>
    </row>
    <row r="218" spans="1:21" ht="18" x14ac:dyDescent="0.3">
      <c r="A218" s="10" t="s">
        <v>790</v>
      </c>
      <c r="B218" s="10" t="s">
        <v>791</v>
      </c>
      <c r="C218" s="14" t="s">
        <v>792</v>
      </c>
      <c r="D218" s="15"/>
      <c r="E218" s="15"/>
      <c r="F218" s="15" t="s">
        <v>102</v>
      </c>
      <c r="G218" s="16">
        <v>1</v>
      </c>
      <c r="H218" s="16"/>
      <c r="I218" s="16">
        <v>0</v>
      </c>
      <c r="J218" s="17">
        <v>0</v>
      </c>
      <c r="K218" s="18">
        <v>210</v>
      </c>
      <c r="L218" s="17">
        <f>J218+ROUND(K218, 2)</f>
        <v>210</v>
      </c>
      <c r="M218" s="17">
        <v>0</v>
      </c>
      <c r="N218" s="17">
        <v>0</v>
      </c>
      <c r="O218" s="17">
        <f>M218+N218</f>
        <v>0</v>
      </c>
      <c r="P218" s="17">
        <v>409.64</v>
      </c>
      <c r="Q218" s="18">
        <v>210</v>
      </c>
      <c r="R218" s="17">
        <f>P218+ROUND(Q218, 2)</f>
        <v>619.64</v>
      </c>
      <c r="S218" s="17">
        <v>0</v>
      </c>
      <c r="T218" s="17">
        <v>0</v>
      </c>
      <c r="U218" s="17">
        <f>S218+T218</f>
        <v>0</v>
      </c>
    </row>
    <row r="219" spans="1:21" ht="54" x14ac:dyDescent="0.3">
      <c r="A219" s="10" t="s">
        <v>795</v>
      </c>
      <c r="B219" s="10"/>
      <c r="C219" s="24" t="s">
        <v>796</v>
      </c>
      <c r="D219" s="15"/>
      <c r="E219" s="15"/>
      <c r="F219" s="25" t="s">
        <v>102</v>
      </c>
      <c r="G219" s="26">
        <v>1.1000000000000001</v>
      </c>
      <c r="H219" s="31"/>
      <c r="I219" s="31">
        <v>0</v>
      </c>
      <c r="J219" s="27">
        <v>0</v>
      </c>
      <c r="M219" s="28">
        <f>ROUND(ROUND(J219, 2)*I219, 2)</f>
        <v>0</v>
      </c>
      <c r="P219" s="27">
        <v>372.4</v>
      </c>
      <c r="S219" s="28">
        <f>ROUND(ROUND(P219, 2)*I219, 2)</f>
        <v>0</v>
      </c>
    </row>
    <row r="220" spans="1:21" ht="18" x14ac:dyDescent="0.3">
      <c r="A220" s="10" t="s">
        <v>800</v>
      </c>
      <c r="B220" s="10" t="s">
        <v>791</v>
      </c>
      <c r="C220" s="14" t="s">
        <v>792</v>
      </c>
      <c r="D220" s="15"/>
      <c r="E220" s="15"/>
      <c r="F220" s="15" t="s">
        <v>102</v>
      </c>
      <c r="G220" s="16">
        <v>1</v>
      </c>
      <c r="H220" s="16"/>
      <c r="I220" s="16">
        <v>0</v>
      </c>
      <c r="J220" s="17">
        <v>0</v>
      </c>
      <c r="K220" s="18">
        <v>210</v>
      </c>
      <c r="L220" s="17">
        <f>J220+ROUND(K220, 2)</f>
        <v>210</v>
      </c>
      <c r="M220" s="17">
        <v>0</v>
      </c>
      <c r="N220" s="17">
        <v>0</v>
      </c>
      <c r="O220" s="17">
        <f>M220+N220</f>
        <v>0</v>
      </c>
      <c r="P220" s="17">
        <v>409.64</v>
      </c>
      <c r="Q220" s="18">
        <v>210</v>
      </c>
      <c r="R220" s="17">
        <f>P220+ROUND(Q220, 2)</f>
        <v>619.64</v>
      </c>
      <c r="S220" s="17">
        <v>0</v>
      </c>
      <c r="T220" s="17">
        <v>0</v>
      </c>
      <c r="U220" s="17">
        <f>S220+T220</f>
        <v>0</v>
      </c>
    </row>
    <row r="221" spans="1:21" ht="54" x14ac:dyDescent="0.3">
      <c r="A221" s="10" t="s">
        <v>801</v>
      </c>
      <c r="B221" s="10"/>
      <c r="C221" s="24" t="s">
        <v>796</v>
      </c>
      <c r="D221" s="15"/>
      <c r="E221" s="15"/>
      <c r="F221" s="25" t="s">
        <v>102</v>
      </c>
      <c r="G221" s="26">
        <v>1.1000000000000001</v>
      </c>
      <c r="H221" s="31"/>
      <c r="I221" s="31">
        <v>0</v>
      </c>
      <c r="J221" s="27">
        <v>0</v>
      </c>
      <c r="M221" s="28">
        <f>ROUND(ROUND(J221, 2)*I221, 2)</f>
        <v>0</v>
      </c>
      <c r="P221" s="27">
        <v>372.4</v>
      </c>
      <c r="S221" s="28">
        <f>ROUND(ROUND(P221, 2)*I221, 2)</f>
        <v>0</v>
      </c>
    </row>
    <row r="222" spans="1:21" ht="18" x14ac:dyDescent="0.3">
      <c r="A222" s="10" t="s">
        <v>804</v>
      </c>
      <c r="B222" s="10" t="s">
        <v>791</v>
      </c>
      <c r="C222" s="14" t="s">
        <v>792</v>
      </c>
      <c r="D222" s="15"/>
      <c r="E222" s="15" t="s">
        <v>805</v>
      </c>
      <c r="F222" s="15" t="s">
        <v>102</v>
      </c>
      <c r="G222" s="16">
        <v>1</v>
      </c>
      <c r="H222" s="16"/>
      <c r="I222" s="16">
        <v>1012.89</v>
      </c>
      <c r="J222" s="17">
        <v>0</v>
      </c>
      <c r="K222" s="18">
        <v>210</v>
      </c>
      <c r="L222" s="17">
        <f>J222+ROUND(K222, 2)</f>
        <v>210</v>
      </c>
      <c r="M222" s="17">
        <v>0</v>
      </c>
      <c r="N222" s="17">
        <v>212706.9</v>
      </c>
      <c r="O222" s="17">
        <f>M222+N222</f>
        <v>212706.9</v>
      </c>
      <c r="P222" s="17">
        <v>409.64</v>
      </c>
      <c r="Q222" s="18">
        <v>315</v>
      </c>
      <c r="R222" s="17">
        <f>P222+ROUND(Q222, 2)</f>
        <v>724.64</v>
      </c>
      <c r="S222" s="17">
        <v>414920.26</v>
      </c>
      <c r="T222" s="17">
        <v>319060.34999999998</v>
      </c>
      <c r="U222" s="17">
        <f>S222+T222</f>
        <v>733980.61</v>
      </c>
    </row>
    <row r="223" spans="1:21" ht="54" x14ac:dyDescent="0.3">
      <c r="A223" s="10" t="s">
        <v>806</v>
      </c>
      <c r="B223" s="10"/>
      <c r="C223" s="24" t="s">
        <v>796</v>
      </c>
      <c r="D223" s="15"/>
      <c r="E223" s="15" t="s">
        <v>807</v>
      </c>
      <c r="F223" s="25" t="s">
        <v>102</v>
      </c>
      <c r="G223" s="26">
        <v>1.1000000000000001</v>
      </c>
      <c r="H223" s="31"/>
      <c r="I223" s="31">
        <v>1114.1790000000001</v>
      </c>
      <c r="J223" s="27">
        <v>0</v>
      </c>
      <c r="M223" s="28">
        <f>ROUND(ROUND(J223, 2)*I223, 2)</f>
        <v>0</v>
      </c>
      <c r="P223" s="27">
        <v>372.4</v>
      </c>
      <c r="S223" s="28">
        <f>ROUND(ROUND(P223, 2)*I223, 2)</f>
        <v>414920.26</v>
      </c>
    </row>
    <row r="224" spans="1:21" ht="18" x14ac:dyDescent="0.3">
      <c r="A224" s="10" t="s">
        <v>810</v>
      </c>
      <c r="B224" s="10" t="s">
        <v>791</v>
      </c>
      <c r="C224" s="14" t="s">
        <v>792</v>
      </c>
      <c r="D224" s="15"/>
      <c r="E224" s="15" t="s">
        <v>811</v>
      </c>
      <c r="F224" s="15" t="s">
        <v>102</v>
      </c>
      <c r="G224" s="16">
        <v>1</v>
      </c>
      <c r="H224" s="16"/>
      <c r="I224" s="16">
        <v>409.31</v>
      </c>
      <c r="J224" s="17">
        <v>0</v>
      </c>
      <c r="K224" s="18">
        <v>210</v>
      </c>
      <c r="L224" s="17">
        <f>J224+ROUND(K224, 2)</f>
        <v>210</v>
      </c>
      <c r="M224" s="17">
        <v>0</v>
      </c>
      <c r="N224" s="17">
        <v>85955.1</v>
      </c>
      <c r="O224" s="17">
        <f>M224+N224</f>
        <v>85955.1</v>
      </c>
      <c r="P224" s="17">
        <v>409.64</v>
      </c>
      <c r="Q224" s="18">
        <v>315</v>
      </c>
      <c r="R224" s="17">
        <f>P224+ROUND(Q224, 2)</f>
        <v>724.64</v>
      </c>
      <c r="S224" s="17">
        <v>167669.75</v>
      </c>
      <c r="T224" s="17">
        <v>128932.65</v>
      </c>
      <c r="U224" s="17">
        <f>S224+T224</f>
        <v>296602.40000000002</v>
      </c>
    </row>
    <row r="225" spans="1:21" ht="54" x14ac:dyDescent="0.3">
      <c r="A225" s="10" t="s">
        <v>812</v>
      </c>
      <c r="B225" s="10"/>
      <c r="C225" s="24" t="s">
        <v>796</v>
      </c>
      <c r="D225" s="15"/>
      <c r="E225" s="15" t="s">
        <v>813</v>
      </c>
      <c r="F225" s="25" t="s">
        <v>102</v>
      </c>
      <c r="G225" s="26">
        <v>1.1000000000000001</v>
      </c>
      <c r="H225" s="31"/>
      <c r="I225" s="31">
        <v>450.24099999999999</v>
      </c>
      <c r="J225" s="27">
        <v>0</v>
      </c>
      <c r="M225" s="28">
        <f>ROUND(ROUND(J225, 2)*I225, 2)</f>
        <v>0</v>
      </c>
      <c r="P225" s="27">
        <v>372.4</v>
      </c>
      <c r="S225" s="28">
        <f>ROUND(ROUND(P225, 2)*I225, 2)</f>
        <v>167669.75</v>
      </c>
    </row>
    <row r="226" spans="1:21" ht="72" x14ac:dyDescent="0.3">
      <c r="A226" s="10" t="s">
        <v>816</v>
      </c>
      <c r="B226" s="10" t="s">
        <v>791</v>
      </c>
      <c r="C226" s="14" t="s">
        <v>792</v>
      </c>
      <c r="D226" s="15"/>
      <c r="E226" s="15" t="s">
        <v>817</v>
      </c>
      <c r="F226" s="15" t="s">
        <v>102</v>
      </c>
      <c r="G226" s="16">
        <v>1</v>
      </c>
      <c r="H226" s="16"/>
      <c r="I226" s="16">
        <v>1099.2</v>
      </c>
      <c r="J226" s="17">
        <f>IFERROR(ROUND(SUM(M227)/I226, 2),0)</f>
        <v>385.54</v>
      </c>
      <c r="K226" s="18">
        <v>210</v>
      </c>
      <c r="L226" s="17">
        <f>J226+ROUND(K226, 2)</f>
        <v>595.54</v>
      </c>
      <c r="M226" s="17">
        <f>ROUND(J226*I226, 2)</f>
        <v>423785.57</v>
      </c>
      <c r="N226" s="17">
        <f>ROUND(I226*ROUND(K226, 2), 2)</f>
        <v>230832</v>
      </c>
      <c r="O226" s="17">
        <f>M226+N226</f>
        <v>654617.57000000007</v>
      </c>
      <c r="P226" s="17">
        <f>IFERROR(ROUND(SUM(S227)/I226, 2),0)</f>
        <v>385.54</v>
      </c>
      <c r="Q226" s="19">
        <v>315</v>
      </c>
      <c r="R226" s="17">
        <f>P226+ROUND(Q226, 2)</f>
        <v>700.54</v>
      </c>
      <c r="S226" s="17">
        <f>ROUND(P226*I226, 2)</f>
        <v>423785.57</v>
      </c>
      <c r="T226" s="17">
        <f>ROUND(I226*ROUND(Q226, 2), 2)</f>
        <v>346248</v>
      </c>
      <c r="U226" s="17">
        <f>S226+T226</f>
        <v>770033.57000000007</v>
      </c>
    </row>
    <row r="227" spans="1:21" ht="54" x14ac:dyDescent="0.3">
      <c r="A227" s="10" t="s">
        <v>818</v>
      </c>
      <c r="B227" s="10"/>
      <c r="C227" s="24" t="s">
        <v>819</v>
      </c>
      <c r="D227" s="15"/>
      <c r="E227" s="15"/>
      <c r="F227" s="25" t="s">
        <v>102</v>
      </c>
      <c r="G227" s="26">
        <v>1.1000000000000001</v>
      </c>
      <c r="H227" s="31"/>
      <c r="I227" s="31">
        <v>1209.1199999999999</v>
      </c>
      <c r="J227" s="27">
        <v>350.49</v>
      </c>
      <c r="M227" s="28">
        <f>ROUND(ROUND(J227, 2)*I227, 2)</f>
        <v>423784.47</v>
      </c>
      <c r="P227" s="29">
        <v>350.49</v>
      </c>
      <c r="S227" s="28">
        <f>ROUND(ROUND(P227, 2)*I227, 2)</f>
        <v>423784.47</v>
      </c>
    </row>
    <row r="228" spans="1:21" ht="72" x14ac:dyDescent="0.3">
      <c r="A228" s="10" t="s">
        <v>823</v>
      </c>
      <c r="B228" s="10" t="s">
        <v>791</v>
      </c>
      <c r="C228" s="14" t="s">
        <v>792</v>
      </c>
      <c r="D228" s="15"/>
      <c r="E228" s="15" t="s">
        <v>824</v>
      </c>
      <c r="F228" s="15" t="s">
        <v>102</v>
      </c>
      <c r="G228" s="16">
        <v>1</v>
      </c>
      <c r="H228" s="16"/>
      <c r="I228" s="16">
        <v>797.3</v>
      </c>
      <c r="J228" s="17">
        <f>IFERROR(ROUND(SUM(M229)/I228, 2),0)</f>
        <v>385.54</v>
      </c>
      <c r="K228" s="18">
        <v>210</v>
      </c>
      <c r="L228" s="17">
        <f>J228+ROUND(K228, 2)</f>
        <v>595.54</v>
      </c>
      <c r="M228" s="17">
        <f>ROUND(J228*I228, 2)</f>
        <v>307391.03999999998</v>
      </c>
      <c r="N228" s="17">
        <f>ROUND(I228*ROUND(K228, 2), 2)</f>
        <v>167433</v>
      </c>
      <c r="O228" s="17">
        <f>M228+N228</f>
        <v>474824.04</v>
      </c>
      <c r="P228" s="17">
        <f>IFERROR(ROUND(SUM(S229)/I228, 2),0)</f>
        <v>385.54</v>
      </c>
      <c r="Q228" s="19">
        <v>315</v>
      </c>
      <c r="R228" s="17">
        <f>P228+ROUND(Q228, 2)</f>
        <v>700.54</v>
      </c>
      <c r="S228" s="17">
        <f>ROUND(P228*I228, 2)</f>
        <v>307391.03999999998</v>
      </c>
      <c r="T228" s="17">
        <f>ROUND(I228*ROUND(Q228, 2), 2)</f>
        <v>251149.5</v>
      </c>
      <c r="U228" s="17">
        <f>S228+T228</f>
        <v>558540.54</v>
      </c>
    </row>
    <row r="229" spans="1:21" ht="54" x14ac:dyDescent="0.3">
      <c r="A229" s="10" t="s">
        <v>825</v>
      </c>
      <c r="B229" s="10"/>
      <c r="C229" s="24" t="s">
        <v>819</v>
      </c>
      <c r="D229" s="15"/>
      <c r="E229" s="15" t="s">
        <v>826</v>
      </c>
      <c r="F229" s="25" t="s">
        <v>102</v>
      </c>
      <c r="G229" s="26">
        <v>1.1000000000000001</v>
      </c>
      <c r="H229" s="31"/>
      <c r="I229" s="31">
        <v>877.03</v>
      </c>
      <c r="J229" s="27">
        <v>350.49</v>
      </c>
      <c r="M229" s="28">
        <f>ROUND(ROUND(J229, 2)*I229, 2)</f>
        <v>307390.24</v>
      </c>
      <c r="P229" s="29">
        <v>350.49</v>
      </c>
      <c r="S229" s="28">
        <f>ROUND(ROUND(P229, 2)*I229, 2)</f>
        <v>307390.24</v>
      </c>
    </row>
    <row r="230" spans="1:21" ht="71.55" customHeight="1" x14ac:dyDescent="0.3">
      <c r="A230" s="10" t="s">
        <v>829</v>
      </c>
      <c r="B230" s="10" t="s">
        <v>791</v>
      </c>
      <c r="C230" s="14" t="s">
        <v>792</v>
      </c>
      <c r="D230" s="15"/>
      <c r="E230" s="15" t="s">
        <v>830</v>
      </c>
      <c r="F230" s="15" t="s">
        <v>102</v>
      </c>
      <c r="G230" s="16">
        <v>1</v>
      </c>
      <c r="H230" s="16"/>
      <c r="I230" s="16">
        <v>20.7</v>
      </c>
      <c r="J230" s="17">
        <f>IFERROR(ROUND(SUM(M231)/I230, 2),0)</f>
        <v>139.80000000000001</v>
      </c>
      <c r="K230" s="18">
        <v>210</v>
      </c>
      <c r="L230" s="17">
        <f>J230+ROUND(K230, 2)</f>
        <v>349.8</v>
      </c>
      <c r="M230" s="17">
        <f>ROUND(J230*I230, 2)</f>
        <v>2893.86</v>
      </c>
      <c r="N230" s="17">
        <f>ROUND(I230*ROUND(K230, 2), 2)</f>
        <v>4347</v>
      </c>
      <c r="O230" s="17">
        <f>M230+N230</f>
        <v>7240.8600000000006</v>
      </c>
      <c r="P230" s="17">
        <f>IFERROR(ROUND(SUM(S231)/I230, 2),0)</f>
        <v>139.80000000000001</v>
      </c>
      <c r="Q230" s="19">
        <v>315</v>
      </c>
      <c r="R230" s="17">
        <f>P230+ROUND(Q230, 2)</f>
        <v>454.8</v>
      </c>
      <c r="S230" s="17">
        <f>ROUND(P230*I230, 2)</f>
        <v>2893.86</v>
      </c>
      <c r="T230" s="17">
        <f>ROUND(I230*ROUND(Q230, 2), 2)</f>
        <v>6520.5</v>
      </c>
      <c r="U230" s="17">
        <f>S230+T230</f>
        <v>9414.36</v>
      </c>
    </row>
    <row r="231" spans="1:21" ht="54" x14ac:dyDescent="0.3">
      <c r="A231" s="10" t="s">
        <v>831</v>
      </c>
      <c r="B231" s="10"/>
      <c r="C231" s="24" t="s">
        <v>832</v>
      </c>
      <c r="D231" s="15"/>
      <c r="E231" s="15"/>
      <c r="F231" s="25" t="s">
        <v>102</v>
      </c>
      <c r="G231" s="26">
        <v>1.1000000000000001</v>
      </c>
      <c r="H231" s="31"/>
      <c r="I231" s="31">
        <v>22.77</v>
      </c>
      <c r="J231" s="27">
        <v>127.09</v>
      </c>
      <c r="M231" s="28">
        <f>ROUND(ROUND(J231, 2)*I231, 2)</f>
        <v>2893.84</v>
      </c>
      <c r="P231" s="29">
        <v>127.09</v>
      </c>
      <c r="S231" s="28">
        <f>ROUND(ROUND(P231, 2)*I231, 2)</f>
        <v>2893.84</v>
      </c>
    </row>
    <row r="232" spans="1:21" ht="64.95" customHeight="1" x14ac:dyDescent="0.3">
      <c r="A232" s="10" t="s">
        <v>836</v>
      </c>
      <c r="B232" s="10" t="s">
        <v>791</v>
      </c>
      <c r="C232" s="14" t="s">
        <v>792</v>
      </c>
      <c r="D232" s="15"/>
      <c r="E232" s="15" t="s">
        <v>837</v>
      </c>
      <c r="F232" s="15" t="s">
        <v>102</v>
      </c>
      <c r="G232" s="16">
        <v>1</v>
      </c>
      <c r="H232" s="16"/>
      <c r="I232" s="16">
        <v>85.61</v>
      </c>
      <c r="J232" s="17">
        <f>IFERROR(ROUND(SUM(M233)/I232, 2),0)</f>
        <v>385.54</v>
      </c>
      <c r="K232" s="18">
        <v>210</v>
      </c>
      <c r="L232" s="17">
        <f>J232+ROUND(K232, 2)</f>
        <v>595.54</v>
      </c>
      <c r="M232" s="17">
        <f>ROUND(J232*I232, 2)</f>
        <v>33006.080000000002</v>
      </c>
      <c r="N232" s="17">
        <f>ROUND(I232*ROUND(K232, 2), 2)</f>
        <v>17978.099999999999</v>
      </c>
      <c r="O232" s="17">
        <f>M232+N232</f>
        <v>50984.18</v>
      </c>
      <c r="P232" s="17">
        <f>IFERROR(ROUND(SUM(S233)/I232, 2),0)</f>
        <v>385.54</v>
      </c>
      <c r="Q232" s="19">
        <v>315</v>
      </c>
      <c r="R232" s="17">
        <f>P232+ROUND(Q232, 2)</f>
        <v>700.54</v>
      </c>
      <c r="S232" s="17">
        <f>ROUND(P232*I232, 2)</f>
        <v>33006.080000000002</v>
      </c>
      <c r="T232" s="17">
        <f>ROUND(I232*ROUND(Q232, 2), 2)</f>
        <v>26967.15</v>
      </c>
      <c r="U232" s="17">
        <f>S232+T232</f>
        <v>59973.23</v>
      </c>
    </row>
    <row r="233" spans="1:21" ht="54" x14ac:dyDescent="0.3">
      <c r="A233" s="10" t="s">
        <v>838</v>
      </c>
      <c r="B233" s="10"/>
      <c r="C233" s="24" t="s">
        <v>819</v>
      </c>
      <c r="D233" s="15"/>
      <c r="E233" s="15" t="s">
        <v>839</v>
      </c>
      <c r="F233" s="25" t="s">
        <v>102</v>
      </c>
      <c r="G233" s="26">
        <v>1.1000000000000001</v>
      </c>
      <c r="H233" s="31"/>
      <c r="I233" s="31">
        <v>94.171000000000006</v>
      </c>
      <c r="J233" s="27">
        <v>350.49</v>
      </c>
      <c r="M233" s="28">
        <f>ROUND(ROUND(J233, 2)*I233, 2)</f>
        <v>33005.99</v>
      </c>
      <c r="P233" s="29">
        <v>350.49</v>
      </c>
      <c r="S233" s="28">
        <f>ROUND(ROUND(P233, 2)*I233, 2)</f>
        <v>33005.99</v>
      </c>
    </row>
    <row r="234" spans="1:21" ht="36" x14ac:dyDescent="0.3">
      <c r="A234" s="10" t="s">
        <v>842</v>
      </c>
      <c r="B234" s="10" t="s">
        <v>843</v>
      </c>
      <c r="C234" s="14" t="s">
        <v>844</v>
      </c>
      <c r="D234" s="15"/>
      <c r="E234" s="15"/>
      <c r="F234" s="15" t="s">
        <v>62</v>
      </c>
      <c r="G234" s="16">
        <v>1</v>
      </c>
      <c r="H234" s="16"/>
      <c r="I234" s="16">
        <v>0</v>
      </c>
      <c r="J234" s="17">
        <v>0</v>
      </c>
      <c r="K234" s="18">
        <v>2310</v>
      </c>
      <c r="L234" s="17">
        <f>J234+ROUND(K234, 2)</f>
        <v>2310</v>
      </c>
      <c r="M234" s="17">
        <v>0</v>
      </c>
      <c r="N234" s="17">
        <v>0</v>
      </c>
      <c r="O234" s="17">
        <f>M234+N234</f>
        <v>0</v>
      </c>
      <c r="P234" s="17">
        <v>1629.53</v>
      </c>
      <c r="Q234" s="18">
        <v>2310</v>
      </c>
      <c r="R234" s="17">
        <f>P234+ROUND(Q234, 2)</f>
        <v>3939.5299999999997</v>
      </c>
      <c r="S234" s="17">
        <v>0</v>
      </c>
      <c r="T234" s="17">
        <v>0</v>
      </c>
      <c r="U234" s="17">
        <f>S234+T234</f>
        <v>0</v>
      </c>
    </row>
    <row r="235" spans="1:21" ht="36" x14ac:dyDescent="0.3">
      <c r="A235" s="10" t="s">
        <v>847</v>
      </c>
      <c r="B235" s="10"/>
      <c r="C235" s="30" t="s">
        <v>848</v>
      </c>
      <c r="D235" s="15"/>
      <c r="E235" s="15"/>
      <c r="F235" s="25" t="s">
        <v>597</v>
      </c>
      <c r="G235" s="26">
        <v>4</v>
      </c>
      <c r="H235" s="26"/>
      <c r="I235" s="26">
        <v>0</v>
      </c>
      <c r="J235" s="27">
        <v>396</v>
      </c>
      <c r="M235" s="28">
        <f>ROUND(ROUND(J235, 2)*I235, 2)</f>
        <v>0</v>
      </c>
      <c r="P235" s="27">
        <v>396</v>
      </c>
      <c r="S235" s="28">
        <f>ROUND(ROUND(P235, 2)*I235, 2)</f>
        <v>0</v>
      </c>
    </row>
    <row r="236" spans="1:21" ht="18" x14ac:dyDescent="0.3">
      <c r="A236" s="10" t="s">
        <v>852</v>
      </c>
      <c r="B236" s="10"/>
      <c r="C236" s="30" t="s">
        <v>853</v>
      </c>
      <c r="D236" s="15"/>
      <c r="E236" s="15"/>
      <c r="F236" s="25" t="s">
        <v>278</v>
      </c>
      <c r="G236" s="26">
        <v>1.2</v>
      </c>
      <c r="H236" s="31"/>
      <c r="I236" s="31">
        <v>0</v>
      </c>
      <c r="J236" s="27">
        <v>16.96</v>
      </c>
      <c r="M236" s="28">
        <f>ROUND(ROUND(J236, 2)*I236, 2)</f>
        <v>0</v>
      </c>
      <c r="P236" s="27">
        <v>16.96</v>
      </c>
      <c r="S236" s="28">
        <f>ROUND(ROUND(P236, 2)*I236, 2)</f>
        <v>0</v>
      </c>
    </row>
    <row r="237" spans="1:21" ht="18" x14ac:dyDescent="0.3">
      <c r="A237" s="10" t="s">
        <v>857</v>
      </c>
      <c r="B237" s="10"/>
      <c r="C237" s="24" t="s">
        <v>858</v>
      </c>
      <c r="D237" s="15"/>
      <c r="E237" s="15"/>
      <c r="F237" s="25" t="s">
        <v>278</v>
      </c>
      <c r="G237" s="26">
        <v>0.25</v>
      </c>
      <c r="H237" s="26"/>
      <c r="I237" s="26">
        <v>0</v>
      </c>
      <c r="J237" s="27">
        <v>47.44</v>
      </c>
      <c r="M237" s="28">
        <f>ROUND(ROUND(J237, 2)*I237, 2)</f>
        <v>0</v>
      </c>
      <c r="P237" s="27">
        <v>47.44</v>
      </c>
      <c r="S237" s="28">
        <f>ROUND(ROUND(P237, 2)*I237, 2)</f>
        <v>0</v>
      </c>
    </row>
    <row r="238" spans="1:21" ht="18" x14ac:dyDescent="0.3">
      <c r="A238" s="10" t="s">
        <v>862</v>
      </c>
      <c r="B238" s="10"/>
      <c r="C238" s="24" t="s">
        <v>304</v>
      </c>
      <c r="D238" s="15"/>
      <c r="E238" s="15"/>
      <c r="F238" s="25" t="s">
        <v>278</v>
      </c>
      <c r="G238" s="26">
        <v>0.15</v>
      </c>
      <c r="H238" s="26"/>
      <c r="I238" s="26">
        <v>0</v>
      </c>
      <c r="J238" s="27">
        <v>88.8</v>
      </c>
      <c r="M238" s="28">
        <f>ROUND(ROUND(J238, 2)*I238, 2)</f>
        <v>0</v>
      </c>
      <c r="P238" s="27">
        <v>88.8</v>
      </c>
      <c r="S238" s="28">
        <f>ROUND(ROUND(P238, 2)*I238, 2)</f>
        <v>0</v>
      </c>
    </row>
    <row r="239" spans="1:21" ht="36" x14ac:dyDescent="0.3">
      <c r="A239" s="10" t="s">
        <v>865</v>
      </c>
      <c r="B239" s="10" t="s">
        <v>843</v>
      </c>
      <c r="C239" s="14" t="s">
        <v>844</v>
      </c>
      <c r="D239" s="15"/>
      <c r="E239" s="15"/>
      <c r="F239" s="15" t="s">
        <v>62</v>
      </c>
      <c r="G239" s="16">
        <v>1</v>
      </c>
      <c r="H239" s="16"/>
      <c r="I239" s="16">
        <v>0</v>
      </c>
      <c r="J239" s="17">
        <v>0</v>
      </c>
      <c r="K239" s="18">
        <v>2310</v>
      </c>
      <c r="L239" s="17">
        <f>J239+ROUND(K239, 2)</f>
        <v>2310</v>
      </c>
      <c r="M239" s="17">
        <v>0</v>
      </c>
      <c r="N239" s="17">
        <v>0</v>
      </c>
      <c r="O239" s="17">
        <f>M239+N239</f>
        <v>0</v>
      </c>
      <c r="P239" s="17">
        <v>1469.97</v>
      </c>
      <c r="Q239" s="18">
        <v>2310</v>
      </c>
      <c r="R239" s="17">
        <f>P239+ROUND(Q239, 2)</f>
        <v>3779.9700000000003</v>
      </c>
      <c r="S239" s="17">
        <v>0</v>
      </c>
      <c r="T239" s="17">
        <v>0</v>
      </c>
      <c r="U239" s="17">
        <f>S239+T239</f>
        <v>0</v>
      </c>
    </row>
    <row r="240" spans="1:21" ht="18" x14ac:dyDescent="0.3">
      <c r="A240" s="10" t="s">
        <v>866</v>
      </c>
      <c r="B240" s="10"/>
      <c r="C240" s="24" t="s">
        <v>304</v>
      </c>
      <c r="D240" s="15"/>
      <c r="E240" s="15"/>
      <c r="F240" s="25" t="s">
        <v>278</v>
      </c>
      <c r="G240" s="26">
        <v>0.15</v>
      </c>
      <c r="H240" s="26"/>
      <c r="I240" s="26">
        <v>0</v>
      </c>
      <c r="J240" s="27">
        <v>88.8</v>
      </c>
      <c r="M240" s="28">
        <f>ROUND(ROUND(J240, 2)*I240, 2)</f>
        <v>0</v>
      </c>
      <c r="P240" s="27">
        <v>88.8</v>
      </c>
      <c r="S240" s="28">
        <f>ROUND(ROUND(P240, 2)*I240, 2)</f>
        <v>0</v>
      </c>
    </row>
    <row r="241" spans="1:21" ht="18" x14ac:dyDescent="0.3">
      <c r="A241" s="10" t="s">
        <v>869</v>
      </c>
      <c r="B241" s="10"/>
      <c r="C241" s="24" t="s">
        <v>858</v>
      </c>
      <c r="D241" s="15"/>
      <c r="E241" s="15"/>
      <c r="F241" s="25" t="s">
        <v>278</v>
      </c>
      <c r="G241" s="26">
        <v>0.25</v>
      </c>
      <c r="H241" s="26"/>
      <c r="I241" s="26">
        <v>0</v>
      </c>
      <c r="J241" s="27">
        <v>47.44</v>
      </c>
      <c r="M241" s="28">
        <f>ROUND(ROUND(J241, 2)*I241, 2)</f>
        <v>0</v>
      </c>
      <c r="P241" s="27">
        <v>47.44</v>
      </c>
      <c r="S241" s="28">
        <f>ROUND(ROUND(P241, 2)*I241, 2)</f>
        <v>0</v>
      </c>
    </row>
    <row r="242" spans="1:21" ht="18" x14ac:dyDescent="0.3">
      <c r="A242" s="10" t="s">
        <v>872</v>
      </c>
      <c r="B242" s="10"/>
      <c r="C242" s="30" t="s">
        <v>853</v>
      </c>
      <c r="D242" s="15"/>
      <c r="E242" s="15"/>
      <c r="F242" s="25" t="s">
        <v>278</v>
      </c>
      <c r="G242" s="26">
        <v>1.2</v>
      </c>
      <c r="H242" s="31"/>
      <c r="I242" s="31">
        <v>0</v>
      </c>
      <c r="J242" s="27">
        <v>16.96</v>
      </c>
      <c r="M242" s="28">
        <f>ROUND(ROUND(J242, 2)*I242, 2)</f>
        <v>0</v>
      </c>
      <c r="P242" s="27">
        <v>16.96</v>
      </c>
      <c r="S242" s="28">
        <f>ROUND(ROUND(P242, 2)*I242, 2)</f>
        <v>0</v>
      </c>
    </row>
    <row r="243" spans="1:21" ht="36" x14ac:dyDescent="0.3">
      <c r="A243" s="10" t="s">
        <v>875</v>
      </c>
      <c r="B243" s="10"/>
      <c r="C243" s="24" t="s">
        <v>876</v>
      </c>
      <c r="D243" s="15"/>
      <c r="E243" s="15"/>
      <c r="F243" s="25" t="s">
        <v>597</v>
      </c>
      <c r="G243" s="26">
        <v>4</v>
      </c>
      <c r="H243" s="26"/>
      <c r="I243" s="26">
        <v>0</v>
      </c>
      <c r="J243" s="27">
        <v>356.11</v>
      </c>
      <c r="M243" s="28">
        <f>ROUND(ROUND(J243, 2)*I243, 2)</f>
        <v>0</v>
      </c>
      <c r="P243" s="27">
        <v>356.11</v>
      </c>
      <c r="S243" s="28">
        <f>ROUND(ROUND(P243, 2)*I243, 2)</f>
        <v>0</v>
      </c>
    </row>
    <row r="244" spans="1:21" ht="36" x14ac:dyDescent="0.3">
      <c r="A244" s="10" t="s">
        <v>880</v>
      </c>
      <c r="B244" s="10" t="s">
        <v>843</v>
      </c>
      <c r="C244" s="14" t="s">
        <v>844</v>
      </c>
      <c r="D244" s="15"/>
      <c r="E244" s="15"/>
      <c r="F244" s="15" t="s">
        <v>62</v>
      </c>
      <c r="G244" s="16">
        <v>1</v>
      </c>
      <c r="H244" s="16"/>
      <c r="I244" s="16">
        <v>0</v>
      </c>
      <c r="J244" s="17">
        <v>0</v>
      </c>
      <c r="K244" s="18">
        <v>2310</v>
      </c>
      <c r="L244" s="17">
        <f>J244+ROUND(K244, 2)</f>
        <v>2310</v>
      </c>
      <c r="M244" s="17">
        <v>0</v>
      </c>
      <c r="N244" s="17">
        <v>0</v>
      </c>
      <c r="O244" s="17">
        <f>M244+N244</f>
        <v>0</v>
      </c>
      <c r="P244" s="17">
        <v>4447.13</v>
      </c>
      <c r="Q244" s="18">
        <v>2310</v>
      </c>
      <c r="R244" s="17">
        <f>P244+ROUND(Q244, 2)</f>
        <v>6757.13</v>
      </c>
      <c r="S244" s="17">
        <v>0</v>
      </c>
      <c r="T244" s="17">
        <v>0</v>
      </c>
      <c r="U244" s="17">
        <f>S244+T244</f>
        <v>0</v>
      </c>
    </row>
    <row r="245" spans="1:21" ht="36" x14ac:dyDescent="0.3">
      <c r="A245" s="10" t="s">
        <v>881</v>
      </c>
      <c r="B245" s="10"/>
      <c r="C245" s="30" t="s">
        <v>882</v>
      </c>
      <c r="D245" s="15"/>
      <c r="E245" s="15"/>
      <c r="F245" s="25" t="s">
        <v>597</v>
      </c>
      <c r="G245" s="26">
        <v>4</v>
      </c>
      <c r="H245" s="26"/>
      <c r="I245" s="26">
        <v>0</v>
      </c>
      <c r="J245" s="27">
        <v>1100.4000000000001</v>
      </c>
      <c r="M245" s="28">
        <f>ROUND(ROUND(J245, 2)*I245, 2)</f>
        <v>0</v>
      </c>
      <c r="P245" s="27">
        <v>1100.4000000000001</v>
      </c>
      <c r="S245" s="28">
        <f>ROUND(ROUND(P245, 2)*I245, 2)</f>
        <v>0</v>
      </c>
    </row>
    <row r="246" spans="1:21" ht="18" x14ac:dyDescent="0.3">
      <c r="A246" s="10" t="s">
        <v>886</v>
      </c>
      <c r="B246" s="10"/>
      <c r="C246" s="30" t="s">
        <v>853</v>
      </c>
      <c r="D246" s="15"/>
      <c r="E246" s="15"/>
      <c r="F246" s="25" t="s">
        <v>278</v>
      </c>
      <c r="G246" s="26">
        <v>1.2</v>
      </c>
      <c r="H246" s="31"/>
      <c r="I246" s="31">
        <v>0</v>
      </c>
      <c r="J246" s="27">
        <v>16.96</v>
      </c>
      <c r="M246" s="28">
        <f>ROUND(ROUND(J246, 2)*I246, 2)</f>
        <v>0</v>
      </c>
      <c r="P246" s="27">
        <v>16.96</v>
      </c>
      <c r="S246" s="28">
        <f>ROUND(ROUND(P246, 2)*I246, 2)</f>
        <v>0</v>
      </c>
    </row>
    <row r="247" spans="1:21" ht="18" x14ac:dyDescent="0.3">
      <c r="A247" s="10" t="s">
        <v>889</v>
      </c>
      <c r="B247" s="10"/>
      <c r="C247" s="24" t="s">
        <v>858</v>
      </c>
      <c r="D247" s="15"/>
      <c r="E247" s="15"/>
      <c r="F247" s="25" t="s">
        <v>278</v>
      </c>
      <c r="G247" s="26">
        <v>0.25</v>
      </c>
      <c r="H247" s="26"/>
      <c r="I247" s="26">
        <v>0</v>
      </c>
      <c r="J247" s="27">
        <v>47.44</v>
      </c>
      <c r="M247" s="28">
        <f>ROUND(ROUND(J247, 2)*I247, 2)</f>
        <v>0</v>
      </c>
      <c r="P247" s="27">
        <v>47.44</v>
      </c>
      <c r="S247" s="28">
        <f>ROUND(ROUND(P247, 2)*I247, 2)</f>
        <v>0</v>
      </c>
    </row>
    <row r="248" spans="1:21" ht="18" x14ac:dyDescent="0.3">
      <c r="A248" s="10" t="s">
        <v>892</v>
      </c>
      <c r="B248" s="10"/>
      <c r="C248" s="24" t="s">
        <v>304</v>
      </c>
      <c r="D248" s="15"/>
      <c r="E248" s="15"/>
      <c r="F248" s="25" t="s">
        <v>278</v>
      </c>
      <c r="G248" s="26">
        <v>0.15</v>
      </c>
      <c r="H248" s="26"/>
      <c r="I248" s="26">
        <v>0</v>
      </c>
      <c r="J248" s="27">
        <v>88.8</v>
      </c>
      <c r="M248" s="28">
        <f>ROUND(ROUND(J248, 2)*I248, 2)</f>
        <v>0</v>
      </c>
      <c r="P248" s="27">
        <v>88.8</v>
      </c>
      <c r="S248" s="28">
        <f>ROUND(ROUND(P248, 2)*I248, 2)</f>
        <v>0</v>
      </c>
    </row>
    <row r="249" spans="1:21" ht="36" x14ac:dyDescent="0.3">
      <c r="A249" s="10" t="s">
        <v>895</v>
      </c>
      <c r="B249" s="10" t="s">
        <v>843</v>
      </c>
      <c r="C249" s="14" t="s">
        <v>844</v>
      </c>
      <c r="D249" s="15"/>
      <c r="E249" s="15" t="s">
        <v>896</v>
      </c>
      <c r="F249" s="15" t="s">
        <v>62</v>
      </c>
      <c r="G249" s="16">
        <v>1</v>
      </c>
      <c r="H249" s="16"/>
      <c r="I249" s="16">
        <v>338.3</v>
      </c>
      <c r="J249" s="17">
        <v>1628.52</v>
      </c>
      <c r="K249" s="18">
        <v>2310</v>
      </c>
      <c r="L249" s="17">
        <f>J249+ROUND(K249, 2)</f>
        <v>3938.52</v>
      </c>
      <c r="M249" s="17">
        <v>550928.31999999995</v>
      </c>
      <c r="N249" s="17">
        <v>781473</v>
      </c>
      <c r="O249" s="17">
        <f>M249+N249</f>
        <v>1332401.3199999998</v>
      </c>
      <c r="P249" s="17">
        <v>1628.51</v>
      </c>
      <c r="Q249" s="18">
        <v>3465</v>
      </c>
      <c r="R249" s="17">
        <f>P249+ROUND(Q249, 2)</f>
        <v>5093.51</v>
      </c>
      <c r="S249" s="17">
        <v>550924.93000000005</v>
      </c>
      <c r="T249" s="17">
        <v>1172209.5</v>
      </c>
      <c r="U249" s="17">
        <f>S249+T249</f>
        <v>1723134.4300000002</v>
      </c>
    </row>
    <row r="250" spans="1:21" ht="18" x14ac:dyDescent="0.3">
      <c r="A250" s="10" t="s">
        <v>897</v>
      </c>
      <c r="B250" s="10"/>
      <c r="C250" s="24" t="s">
        <v>304</v>
      </c>
      <c r="D250" s="15"/>
      <c r="E250" s="15"/>
      <c r="F250" s="25" t="s">
        <v>278</v>
      </c>
      <c r="G250" s="26">
        <v>0.15</v>
      </c>
      <c r="H250" s="26"/>
      <c r="I250" s="26">
        <v>50.744999999999997</v>
      </c>
      <c r="J250" s="27">
        <v>88.8</v>
      </c>
      <c r="M250" s="28">
        <f>ROUND(ROUND(J250, 2)*I250, 2)</f>
        <v>4506.16</v>
      </c>
      <c r="P250" s="27">
        <v>88.8</v>
      </c>
      <c r="S250" s="28">
        <f>ROUND(ROUND(P250, 2)*I250, 2)</f>
        <v>4506.16</v>
      </c>
    </row>
    <row r="251" spans="1:21" ht="18" x14ac:dyDescent="0.3">
      <c r="A251" s="10" t="s">
        <v>900</v>
      </c>
      <c r="B251" s="10"/>
      <c r="C251" s="24" t="s">
        <v>858</v>
      </c>
      <c r="D251" s="15"/>
      <c r="E251" s="15"/>
      <c r="F251" s="25" t="s">
        <v>278</v>
      </c>
      <c r="G251" s="26">
        <v>0.25</v>
      </c>
      <c r="H251" s="26"/>
      <c r="I251" s="26">
        <v>84.575000000000003</v>
      </c>
      <c r="J251" s="27">
        <v>47.44</v>
      </c>
      <c r="M251" s="28">
        <f>ROUND(ROUND(J251, 2)*I251, 2)</f>
        <v>4012.24</v>
      </c>
      <c r="P251" s="27">
        <v>47.44</v>
      </c>
      <c r="S251" s="28">
        <f>ROUND(ROUND(P251, 2)*I251, 2)</f>
        <v>4012.24</v>
      </c>
    </row>
    <row r="252" spans="1:21" ht="18" x14ac:dyDescent="0.3">
      <c r="A252" s="10" t="s">
        <v>903</v>
      </c>
      <c r="B252" s="10"/>
      <c r="C252" s="30" t="s">
        <v>853</v>
      </c>
      <c r="D252" s="15"/>
      <c r="E252" s="15"/>
      <c r="F252" s="25" t="s">
        <v>278</v>
      </c>
      <c r="G252" s="26">
        <v>1.2</v>
      </c>
      <c r="H252" s="31"/>
      <c r="I252" s="31">
        <v>405.96</v>
      </c>
      <c r="J252" s="27">
        <v>16.12</v>
      </c>
      <c r="M252" s="28">
        <f>ROUND(ROUND(J252, 2)*I252, 2)</f>
        <v>6544.08</v>
      </c>
      <c r="P252" s="27">
        <v>16.11</v>
      </c>
      <c r="S252" s="28">
        <f>ROUND(ROUND(P252, 2)*I252, 2)</f>
        <v>6540.02</v>
      </c>
    </row>
    <row r="253" spans="1:21" ht="28.5" customHeight="1" x14ac:dyDescent="0.3">
      <c r="A253" s="10" t="s">
        <v>906</v>
      </c>
      <c r="B253" s="10"/>
      <c r="C253" s="30" t="s">
        <v>848</v>
      </c>
      <c r="D253" s="15"/>
      <c r="E253" s="15" t="s">
        <v>907</v>
      </c>
      <c r="F253" s="25" t="s">
        <v>597</v>
      </c>
      <c r="G253" s="26">
        <v>4</v>
      </c>
      <c r="H253" s="26"/>
      <c r="I253" s="26">
        <v>1353.2</v>
      </c>
      <c r="J253" s="27">
        <v>396</v>
      </c>
      <c r="M253" s="28">
        <f>ROUND(ROUND(J253, 2)*I253, 2)</f>
        <v>535867.19999999995</v>
      </c>
      <c r="P253" s="27">
        <v>396</v>
      </c>
      <c r="S253" s="28">
        <f>ROUND(ROUND(P253, 2)*I253, 2)</f>
        <v>535867.19999999995</v>
      </c>
    </row>
    <row r="254" spans="1:21" ht="36" x14ac:dyDescent="0.3">
      <c r="A254" s="10" t="s">
        <v>910</v>
      </c>
      <c r="B254" s="10" t="s">
        <v>843</v>
      </c>
      <c r="C254" s="14" t="s">
        <v>844</v>
      </c>
      <c r="D254" s="15"/>
      <c r="E254" s="15" t="s">
        <v>911</v>
      </c>
      <c r="F254" s="15" t="s">
        <v>62</v>
      </c>
      <c r="G254" s="16">
        <v>1</v>
      </c>
      <c r="H254" s="16"/>
      <c r="I254" s="16">
        <v>190.6</v>
      </c>
      <c r="J254" s="17">
        <v>4446.12</v>
      </c>
      <c r="K254" s="18">
        <v>2310</v>
      </c>
      <c r="L254" s="17">
        <f>J254+ROUND(K254, 2)</f>
        <v>6756.12</v>
      </c>
      <c r="M254" s="17">
        <v>847430.47</v>
      </c>
      <c r="N254" s="17">
        <v>440286</v>
      </c>
      <c r="O254" s="17">
        <f>M254+N254</f>
        <v>1287716.47</v>
      </c>
      <c r="P254" s="17">
        <v>4446.1099999999997</v>
      </c>
      <c r="Q254" s="18">
        <v>3465</v>
      </c>
      <c r="R254" s="17">
        <f>P254+ROUND(Q254, 2)</f>
        <v>7911.11</v>
      </c>
      <c r="S254" s="17">
        <v>847428.57</v>
      </c>
      <c r="T254" s="17">
        <v>660429</v>
      </c>
      <c r="U254" s="17">
        <f>S254+T254</f>
        <v>1507857.5699999998</v>
      </c>
    </row>
    <row r="255" spans="1:21" ht="58.5" customHeight="1" x14ac:dyDescent="0.3">
      <c r="A255" s="10" t="s">
        <v>912</v>
      </c>
      <c r="B255" s="10"/>
      <c r="C255" s="30" t="s">
        <v>882</v>
      </c>
      <c r="D255" s="15"/>
      <c r="E255" s="15" t="s">
        <v>913</v>
      </c>
      <c r="F255" s="25" t="s">
        <v>597</v>
      </c>
      <c r="G255" s="26">
        <v>4</v>
      </c>
      <c r="H255" s="26"/>
      <c r="I255" s="26">
        <v>762.4</v>
      </c>
      <c r="J255" s="27">
        <v>1100.4000000000001</v>
      </c>
      <c r="M255" s="28">
        <f>ROUND(ROUND(J255, 2)*I255, 2)</f>
        <v>838944.96</v>
      </c>
      <c r="P255" s="27">
        <v>1100.4000000000001</v>
      </c>
      <c r="S255" s="28">
        <f>ROUND(ROUND(P255, 2)*I255, 2)</f>
        <v>838944.96</v>
      </c>
    </row>
    <row r="256" spans="1:21" ht="18" x14ac:dyDescent="0.3">
      <c r="A256" s="10" t="s">
        <v>916</v>
      </c>
      <c r="B256" s="10"/>
      <c r="C256" s="30" t="s">
        <v>853</v>
      </c>
      <c r="D256" s="15"/>
      <c r="E256" s="15"/>
      <c r="F256" s="25" t="s">
        <v>278</v>
      </c>
      <c r="G256" s="26">
        <v>1.2</v>
      </c>
      <c r="H256" s="31"/>
      <c r="I256" s="31">
        <v>228.72</v>
      </c>
      <c r="J256" s="27">
        <v>16.12</v>
      </c>
      <c r="M256" s="28">
        <f>ROUND(ROUND(J256, 2)*I256, 2)</f>
        <v>3686.97</v>
      </c>
      <c r="P256" s="27">
        <v>16.11</v>
      </c>
      <c r="S256" s="28">
        <f>ROUND(ROUND(P256, 2)*I256, 2)</f>
        <v>3684.68</v>
      </c>
    </row>
    <row r="257" spans="1:21" ht="18" x14ac:dyDescent="0.3">
      <c r="A257" s="10" t="s">
        <v>919</v>
      </c>
      <c r="B257" s="10"/>
      <c r="C257" s="24" t="s">
        <v>858</v>
      </c>
      <c r="D257" s="15"/>
      <c r="E257" s="15"/>
      <c r="F257" s="25" t="s">
        <v>278</v>
      </c>
      <c r="G257" s="26">
        <v>0.25</v>
      </c>
      <c r="H257" s="26"/>
      <c r="I257" s="26">
        <v>47.65</v>
      </c>
      <c r="J257" s="27">
        <v>47.44</v>
      </c>
      <c r="M257" s="28">
        <f>ROUND(ROUND(J257, 2)*I257, 2)</f>
        <v>2260.52</v>
      </c>
      <c r="P257" s="27">
        <v>47.44</v>
      </c>
      <c r="S257" s="28">
        <f>ROUND(ROUND(P257, 2)*I257, 2)</f>
        <v>2260.52</v>
      </c>
    </row>
    <row r="258" spans="1:21" ht="18" x14ac:dyDescent="0.3">
      <c r="A258" s="10" t="s">
        <v>922</v>
      </c>
      <c r="B258" s="10"/>
      <c r="C258" s="24" t="s">
        <v>304</v>
      </c>
      <c r="D258" s="15"/>
      <c r="E258" s="15"/>
      <c r="F258" s="25" t="s">
        <v>278</v>
      </c>
      <c r="G258" s="26">
        <v>0.15</v>
      </c>
      <c r="H258" s="26"/>
      <c r="I258" s="26">
        <v>28.59</v>
      </c>
      <c r="J258" s="27">
        <v>88.8</v>
      </c>
      <c r="M258" s="28">
        <f>ROUND(ROUND(J258, 2)*I258, 2)</f>
        <v>2538.79</v>
      </c>
      <c r="P258" s="27">
        <v>88.8</v>
      </c>
      <c r="S258" s="28">
        <f>ROUND(ROUND(P258, 2)*I258, 2)</f>
        <v>2538.79</v>
      </c>
    </row>
    <row r="259" spans="1:21" ht="36" x14ac:dyDescent="0.3">
      <c r="A259" s="10" t="s">
        <v>925</v>
      </c>
      <c r="B259" s="10" t="s">
        <v>843</v>
      </c>
      <c r="C259" s="14" t="s">
        <v>844</v>
      </c>
      <c r="D259" s="15"/>
      <c r="E259" s="15" t="s">
        <v>926</v>
      </c>
      <c r="F259" s="15" t="s">
        <v>62</v>
      </c>
      <c r="G259" s="16">
        <v>1</v>
      </c>
      <c r="H259" s="16"/>
      <c r="I259" s="16">
        <v>129.4</v>
      </c>
      <c r="J259" s="17">
        <v>4446.12</v>
      </c>
      <c r="K259" s="18">
        <v>2310</v>
      </c>
      <c r="L259" s="17">
        <f>J259+ROUND(K259, 2)</f>
        <v>6756.12</v>
      </c>
      <c r="M259" s="17">
        <v>575327.93000000005</v>
      </c>
      <c r="N259" s="17">
        <v>298914</v>
      </c>
      <c r="O259" s="17">
        <f>M259+N259</f>
        <v>874241.93</v>
      </c>
      <c r="P259" s="17">
        <v>4446.1099999999997</v>
      </c>
      <c r="Q259" s="18">
        <v>3465</v>
      </c>
      <c r="R259" s="17">
        <f>P259+ROUND(Q259, 2)</f>
        <v>7911.11</v>
      </c>
      <c r="S259" s="17">
        <v>575326.63</v>
      </c>
      <c r="T259" s="17">
        <v>448371</v>
      </c>
      <c r="U259" s="17">
        <f>S259+T259</f>
        <v>1023697.63</v>
      </c>
    </row>
    <row r="260" spans="1:21" ht="18" x14ac:dyDescent="0.3">
      <c r="A260" s="10" t="s">
        <v>927</v>
      </c>
      <c r="B260" s="10"/>
      <c r="C260" s="24" t="s">
        <v>304</v>
      </c>
      <c r="D260" s="15"/>
      <c r="E260" s="15"/>
      <c r="F260" s="25" t="s">
        <v>278</v>
      </c>
      <c r="G260" s="26">
        <v>0.15</v>
      </c>
      <c r="H260" s="26"/>
      <c r="I260" s="26">
        <v>19.41</v>
      </c>
      <c r="J260" s="27">
        <v>88.8</v>
      </c>
      <c r="M260" s="28">
        <f>ROUND(ROUND(J260, 2)*I260, 2)</f>
        <v>1723.61</v>
      </c>
      <c r="P260" s="27">
        <v>88.8</v>
      </c>
      <c r="S260" s="28">
        <f>ROUND(ROUND(P260, 2)*I260, 2)</f>
        <v>1723.61</v>
      </c>
    </row>
    <row r="261" spans="1:21" ht="18" x14ac:dyDescent="0.3">
      <c r="A261" s="10" t="s">
        <v>930</v>
      </c>
      <c r="B261" s="10"/>
      <c r="C261" s="24" t="s">
        <v>858</v>
      </c>
      <c r="D261" s="15"/>
      <c r="E261" s="15"/>
      <c r="F261" s="25" t="s">
        <v>278</v>
      </c>
      <c r="G261" s="26">
        <v>0.25</v>
      </c>
      <c r="H261" s="26"/>
      <c r="I261" s="26">
        <v>32.35</v>
      </c>
      <c r="J261" s="27">
        <v>47.44</v>
      </c>
      <c r="M261" s="28">
        <f>ROUND(ROUND(J261, 2)*I261, 2)</f>
        <v>1534.68</v>
      </c>
      <c r="P261" s="27">
        <v>47.44</v>
      </c>
      <c r="S261" s="28">
        <f>ROUND(ROUND(P261, 2)*I261, 2)</f>
        <v>1534.68</v>
      </c>
    </row>
    <row r="262" spans="1:21" ht="18" x14ac:dyDescent="0.3">
      <c r="A262" s="10" t="s">
        <v>933</v>
      </c>
      <c r="B262" s="10"/>
      <c r="C262" s="30" t="s">
        <v>853</v>
      </c>
      <c r="D262" s="15"/>
      <c r="E262" s="15"/>
      <c r="F262" s="25" t="s">
        <v>278</v>
      </c>
      <c r="G262" s="26">
        <v>1.2</v>
      </c>
      <c r="H262" s="31"/>
      <c r="I262" s="31">
        <v>155.28</v>
      </c>
      <c r="J262" s="27">
        <v>16.12</v>
      </c>
      <c r="M262" s="28">
        <f>ROUND(ROUND(J262, 2)*I262, 2)</f>
        <v>2503.11</v>
      </c>
      <c r="P262" s="27">
        <v>16.11</v>
      </c>
      <c r="S262" s="28">
        <f>ROUND(ROUND(P262, 2)*I262, 2)</f>
        <v>2501.56</v>
      </c>
    </row>
    <row r="263" spans="1:21" ht="72" x14ac:dyDescent="0.3">
      <c r="A263" s="10" t="s">
        <v>936</v>
      </c>
      <c r="B263" s="10"/>
      <c r="C263" s="30" t="s">
        <v>882</v>
      </c>
      <c r="D263" s="15"/>
      <c r="E263" s="15" t="s">
        <v>937</v>
      </c>
      <c r="F263" s="25" t="s">
        <v>597</v>
      </c>
      <c r="G263" s="26">
        <v>4</v>
      </c>
      <c r="H263" s="26"/>
      <c r="I263" s="26">
        <v>517.6</v>
      </c>
      <c r="J263" s="27">
        <v>1100.4000000000001</v>
      </c>
      <c r="M263" s="28">
        <f>ROUND(ROUND(J263, 2)*I263, 2)</f>
        <v>569567.04</v>
      </c>
      <c r="P263" s="27">
        <v>1100.4000000000001</v>
      </c>
      <c r="S263" s="28">
        <f>ROUND(ROUND(P263, 2)*I263, 2)</f>
        <v>569567.04</v>
      </c>
    </row>
    <row r="264" spans="1:21" ht="76.05" customHeight="1" x14ac:dyDescent="0.3">
      <c r="A264" s="10" t="s">
        <v>940</v>
      </c>
      <c r="B264" s="10" t="s">
        <v>843</v>
      </c>
      <c r="C264" s="14" t="s">
        <v>844</v>
      </c>
      <c r="D264" s="15"/>
      <c r="E264" s="15" t="s">
        <v>941</v>
      </c>
      <c r="F264" s="15" t="s">
        <v>62</v>
      </c>
      <c r="G264" s="16">
        <v>1</v>
      </c>
      <c r="H264" s="16"/>
      <c r="I264" s="16">
        <v>178.24</v>
      </c>
      <c r="J264" s="17">
        <f>IFERROR(ROUND(SUM(M265,M266,M267,M268)/I264, 2),0)</f>
        <v>4597.0200000000004</v>
      </c>
      <c r="K264" s="18">
        <v>2310</v>
      </c>
      <c r="L264" s="17">
        <f>J264+ROUND(K264, 2)</f>
        <v>6907.02</v>
      </c>
      <c r="M264" s="17">
        <f>ROUND(J264*I264, 2)</f>
        <v>819372.84</v>
      </c>
      <c r="N264" s="17">
        <f>ROUND(I264*ROUND(K264, 2), 2)</f>
        <v>411734.4</v>
      </c>
      <c r="O264" s="17">
        <f>M264+N264</f>
        <v>1231107.24</v>
      </c>
      <c r="P264" s="17">
        <f>IFERROR(ROUND(SUM(S265,S266,S267,S268)/I264, 2),0)</f>
        <v>4597.0200000000004</v>
      </c>
      <c r="Q264" s="19">
        <v>3465</v>
      </c>
      <c r="R264" s="17">
        <f>P264+ROUND(Q264, 2)</f>
        <v>8062.02</v>
      </c>
      <c r="S264" s="17">
        <f>ROUND(P264*I264, 2)</f>
        <v>819372.84</v>
      </c>
      <c r="T264" s="17">
        <f>ROUND(I264*ROUND(Q264, 2), 2)</f>
        <v>617601.6</v>
      </c>
      <c r="U264" s="17">
        <f>S264+T264</f>
        <v>1436974.44</v>
      </c>
    </row>
    <row r="265" spans="1:21" ht="72" x14ac:dyDescent="0.3">
      <c r="A265" s="10" t="s">
        <v>942</v>
      </c>
      <c r="B265" s="10"/>
      <c r="C265" s="30" t="s">
        <v>882</v>
      </c>
      <c r="D265" s="15"/>
      <c r="E265" s="15" t="s">
        <v>943</v>
      </c>
      <c r="F265" s="25" t="s">
        <v>597</v>
      </c>
      <c r="G265" s="26">
        <v>4</v>
      </c>
      <c r="H265" s="26"/>
      <c r="I265" s="26">
        <v>712.96</v>
      </c>
      <c r="J265" s="27">
        <v>1118.74</v>
      </c>
      <c r="M265" s="28">
        <f>ROUND(ROUND(J265, 2)*I265, 2)</f>
        <v>797616.87</v>
      </c>
      <c r="P265" s="29">
        <v>1118.74</v>
      </c>
      <c r="S265" s="28">
        <f>ROUND(ROUND(P265, 2)*I265, 2)</f>
        <v>797616.87</v>
      </c>
    </row>
    <row r="266" spans="1:21" ht="18" x14ac:dyDescent="0.3">
      <c r="A266" s="10" t="s">
        <v>946</v>
      </c>
      <c r="B266" s="10"/>
      <c r="C266" s="30" t="s">
        <v>853</v>
      </c>
      <c r="D266" s="15"/>
      <c r="E266" s="15"/>
      <c r="F266" s="25" t="s">
        <v>278</v>
      </c>
      <c r="G266" s="26">
        <v>1.2</v>
      </c>
      <c r="H266" s="31"/>
      <c r="I266" s="31">
        <v>1069.44</v>
      </c>
      <c r="J266" s="27">
        <v>16.38</v>
      </c>
      <c r="M266" s="28">
        <f>ROUND(ROUND(J266, 2)*I266, 2)</f>
        <v>17517.43</v>
      </c>
      <c r="P266" s="29">
        <v>16.38</v>
      </c>
      <c r="S266" s="28">
        <f>ROUND(ROUND(P266, 2)*I266, 2)</f>
        <v>17517.43</v>
      </c>
    </row>
    <row r="267" spans="1:21" ht="36" x14ac:dyDescent="0.3">
      <c r="A267" s="10" t="s">
        <v>949</v>
      </c>
      <c r="B267" s="10"/>
      <c r="C267" s="24" t="s">
        <v>950</v>
      </c>
      <c r="D267" s="15"/>
      <c r="E267" s="15" t="s">
        <v>951</v>
      </c>
      <c r="F267" s="25" t="s">
        <v>278</v>
      </c>
      <c r="G267" s="26">
        <v>0.25</v>
      </c>
      <c r="H267" s="26"/>
      <c r="I267" s="26">
        <v>44.56</v>
      </c>
      <c r="J267" s="27">
        <v>40.94</v>
      </c>
      <c r="M267" s="28">
        <f>ROUND(ROUND(J267, 2)*I267, 2)</f>
        <v>1824.29</v>
      </c>
      <c r="P267" s="29">
        <v>40.94</v>
      </c>
      <c r="S267" s="28">
        <f>ROUND(ROUND(P267, 2)*I267, 2)</f>
        <v>1824.29</v>
      </c>
    </row>
    <row r="268" spans="1:21" ht="18" x14ac:dyDescent="0.3">
      <c r="A268" s="10" t="s">
        <v>955</v>
      </c>
      <c r="B268" s="10"/>
      <c r="C268" s="24" t="s">
        <v>304</v>
      </c>
      <c r="D268" s="15"/>
      <c r="E268" s="15"/>
      <c r="F268" s="25" t="s">
        <v>278</v>
      </c>
      <c r="G268" s="26">
        <v>0.15</v>
      </c>
      <c r="H268" s="26"/>
      <c r="I268" s="26">
        <v>26.736000000000001</v>
      </c>
      <c r="J268" s="27">
        <v>90.28</v>
      </c>
      <c r="M268" s="28">
        <f>ROUND(ROUND(J268, 2)*I268, 2)</f>
        <v>2413.73</v>
      </c>
      <c r="P268" s="29">
        <v>90.28</v>
      </c>
      <c r="S268" s="28">
        <f>ROUND(ROUND(P268, 2)*I268, 2)</f>
        <v>2413.73</v>
      </c>
    </row>
    <row r="269" spans="1:21" ht="88.95" customHeight="1" x14ac:dyDescent="0.3">
      <c r="A269" s="10" t="s">
        <v>958</v>
      </c>
      <c r="B269" s="10" t="s">
        <v>843</v>
      </c>
      <c r="C269" s="14" t="s">
        <v>844</v>
      </c>
      <c r="D269" s="15"/>
      <c r="E269" s="15" t="s">
        <v>959</v>
      </c>
      <c r="F269" s="15" t="s">
        <v>62</v>
      </c>
      <c r="G269" s="16">
        <v>1</v>
      </c>
      <c r="H269" s="16"/>
      <c r="I269" s="16">
        <v>89.01</v>
      </c>
      <c r="J269" s="17">
        <f>IFERROR(ROUND(SUM(M270,M271,M272,M273)/I269, 2),0)</f>
        <v>1570.26</v>
      </c>
      <c r="K269" s="18">
        <v>2310</v>
      </c>
      <c r="L269" s="17">
        <f>J269+ROUND(K269, 2)</f>
        <v>3880.26</v>
      </c>
      <c r="M269" s="17">
        <f>ROUND(J269*I269, 2)</f>
        <v>139768.84</v>
      </c>
      <c r="N269" s="17">
        <f>ROUND(I269*ROUND(K269, 2), 2)</f>
        <v>205613.1</v>
      </c>
      <c r="O269" s="17">
        <f>M269+N269</f>
        <v>345381.94</v>
      </c>
      <c r="P269" s="17">
        <f>IFERROR(ROUND(SUM(S270,S271,S272,S273)/I269, 2),0)</f>
        <v>1570.26</v>
      </c>
      <c r="Q269" s="19">
        <v>3465</v>
      </c>
      <c r="R269" s="17">
        <f>P269+ROUND(Q269, 2)</f>
        <v>5035.26</v>
      </c>
      <c r="S269" s="17">
        <f>ROUND(P269*I269, 2)</f>
        <v>139768.84</v>
      </c>
      <c r="T269" s="17">
        <f>ROUND(I269*ROUND(Q269, 2), 2)</f>
        <v>308419.65000000002</v>
      </c>
      <c r="U269" s="17">
        <f>S269+T269</f>
        <v>448188.49</v>
      </c>
    </row>
    <row r="270" spans="1:21" ht="18" x14ac:dyDescent="0.3">
      <c r="A270" s="10" t="s">
        <v>960</v>
      </c>
      <c r="B270" s="10"/>
      <c r="C270" s="24" t="s">
        <v>304</v>
      </c>
      <c r="D270" s="15"/>
      <c r="E270" s="15"/>
      <c r="F270" s="25" t="s">
        <v>278</v>
      </c>
      <c r="G270" s="26">
        <v>0.15</v>
      </c>
      <c r="H270" s="26"/>
      <c r="I270" s="26">
        <v>13.352</v>
      </c>
      <c r="J270" s="27">
        <v>90.28</v>
      </c>
      <c r="M270" s="28">
        <f>ROUND(ROUND(J270, 2)*I270, 2)</f>
        <v>1205.42</v>
      </c>
      <c r="P270" s="29">
        <v>90.28</v>
      </c>
      <c r="S270" s="28">
        <f>ROUND(ROUND(P270, 2)*I270, 2)</f>
        <v>1205.42</v>
      </c>
    </row>
    <row r="271" spans="1:21" ht="18" x14ac:dyDescent="0.3">
      <c r="A271" s="10" t="s">
        <v>963</v>
      </c>
      <c r="B271" s="10"/>
      <c r="C271" s="24" t="s">
        <v>950</v>
      </c>
      <c r="D271" s="15"/>
      <c r="E271" s="15"/>
      <c r="F271" s="25" t="s">
        <v>278</v>
      </c>
      <c r="G271" s="26">
        <v>0.25</v>
      </c>
      <c r="H271" s="26"/>
      <c r="I271" s="26">
        <v>22.253</v>
      </c>
      <c r="J271" s="27">
        <v>40.94</v>
      </c>
      <c r="M271" s="28">
        <f>ROUND(ROUND(J271, 2)*I271, 2)</f>
        <v>911.04</v>
      </c>
      <c r="P271" s="29">
        <v>40.94</v>
      </c>
      <c r="S271" s="28">
        <f>ROUND(ROUND(P271, 2)*I271, 2)</f>
        <v>911.04</v>
      </c>
    </row>
    <row r="272" spans="1:21" ht="18" x14ac:dyDescent="0.3">
      <c r="A272" s="10" t="s">
        <v>966</v>
      </c>
      <c r="B272" s="10"/>
      <c r="C272" s="30" t="s">
        <v>853</v>
      </c>
      <c r="D272" s="15"/>
      <c r="E272" s="15"/>
      <c r="F272" s="25" t="s">
        <v>278</v>
      </c>
      <c r="G272" s="26">
        <v>1.2</v>
      </c>
      <c r="H272" s="31"/>
      <c r="I272" s="31">
        <v>534.05999999999995</v>
      </c>
      <c r="J272" s="27">
        <v>16.38</v>
      </c>
      <c r="M272" s="28">
        <f>ROUND(ROUND(J272, 2)*I272, 2)</f>
        <v>8747.9</v>
      </c>
      <c r="P272" s="29">
        <v>16.38</v>
      </c>
      <c r="S272" s="28">
        <f>ROUND(ROUND(P272, 2)*I272, 2)</f>
        <v>8747.9</v>
      </c>
    </row>
    <row r="273" spans="1:21" ht="72" x14ac:dyDescent="0.3">
      <c r="A273" s="10" t="s">
        <v>969</v>
      </c>
      <c r="B273" s="10"/>
      <c r="C273" s="24" t="s">
        <v>876</v>
      </c>
      <c r="D273" s="15"/>
      <c r="E273" s="15" t="s">
        <v>970</v>
      </c>
      <c r="F273" s="25" t="s">
        <v>597</v>
      </c>
      <c r="G273" s="26">
        <v>4</v>
      </c>
      <c r="H273" s="26"/>
      <c r="I273" s="26">
        <v>356.04</v>
      </c>
      <c r="J273" s="27">
        <v>362.05</v>
      </c>
      <c r="M273" s="28">
        <f>ROUND(ROUND(J273, 2)*I273, 2)</f>
        <v>128904.28</v>
      </c>
      <c r="P273" s="29">
        <v>362.05</v>
      </c>
      <c r="S273" s="28">
        <f>ROUND(ROUND(P273, 2)*I273, 2)</f>
        <v>128904.28</v>
      </c>
    </row>
    <row r="274" spans="1:21" ht="85.05" customHeight="1" x14ac:dyDescent="0.3">
      <c r="A274" s="10" t="s">
        <v>973</v>
      </c>
      <c r="B274" s="10" t="s">
        <v>843</v>
      </c>
      <c r="C274" s="14" t="s">
        <v>844</v>
      </c>
      <c r="D274" s="15"/>
      <c r="E274" s="15" t="s">
        <v>974</v>
      </c>
      <c r="F274" s="15" t="s">
        <v>62</v>
      </c>
      <c r="G274" s="16">
        <v>1</v>
      </c>
      <c r="H274" s="16"/>
      <c r="I274" s="16">
        <v>129.19</v>
      </c>
      <c r="J274" s="17">
        <f>IFERROR(ROUND(SUM(M275,M276,M277,M278)/I274, 2),0)</f>
        <v>4597.0200000000004</v>
      </c>
      <c r="K274" s="18">
        <v>2310</v>
      </c>
      <c r="L274" s="17">
        <f>J274+ROUND(K274, 2)</f>
        <v>6907.02</v>
      </c>
      <c r="M274" s="17">
        <f>ROUND(J274*I274, 2)</f>
        <v>593889.01</v>
      </c>
      <c r="N274" s="17">
        <f>ROUND(I274*ROUND(K274, 2), 2)</f>
        <v>298428.90000000002</v>
      </c>
      <c r="O274" s="17">
        <f>M274+N274</f>
        <v>892317.91</v>
      </c>
      <c r="P274" s="17">
        <f>IFERROR(ROUND(SUM(S275,S276,S277,S278)/I274, 2),0)</f>
        <v>4597.0200000000004</v>
      </c>
      <c r="Q274" s="19">
        <v>3465</v>
      </c>
      <c r="R274" s="17">
        <f>P274+ROUND(Q274, 2)</f>
        <v>8062.02</v>
      </c>
      <c r="S274" s="17">
        <f>ROUND(P274*I274, 2)</f>
        <v>593889.01</v>
      </c>
      <c r="T274" s="17">
        <f>ROUND(I274*ROUND(Q274, 2), 2)</f>
        <v>447643.35</v>
      </c>
      <c r="U274" s="17">
        <f>S274+T274</f>
        <v>1041532.36</v>
      </c>
    </row>
    <row r="275" spans="1:21" ht="54" x14ac:dyDescent="0.3">
      <c r="A275" s="10" t="s">
        <v>975</v>
      </c>
      <c r="B275" s="10"/>
      <c r="C275" s="30" t="s">
        <v>882</v>
      </c>
      <c r="D275" s="15"/>
      <c r="E275" s="15" t="s">
        <v>976</v>
      </c>
      <c r="F275" s="25" t="s">
        <v>597</v>
      </c>
      <c r="G275" s="26">
        <v>4</v>
      </c>
      <c r="H275" s="26"/>
      <c r="I275" s="26">
        <v>516.76</v>
      </c>
      <c r="J275" s="27">
        <v>1118.74</v>
      </c>
      <c r="M275" s="28">
        <f>ROUND(ROUND(J275, 2)*I275, 2)</f>
        <v>578120.07999999996</v>
      </c>
      <c r="P275" s="29">
        <v>1118.74</v>
      </c>
      <c r="S275" s="28">
        <f>ROUND(ROUND(P275, 2)*I275, 2)</f>
        <v>578120.07999999996</v>
      </c>
    </row>
    <row r="276" spans="1:21" ht="18" x14ac:dyDescent="0.3">
      <c r="A276" s="10" t="s">
        <v>979</v>
      </c>
      <c r="B276" s="10"/>
      <c r="C276" s="30" t="s">
        <v>853</v>
      </c>
      <c r="D276" s="15"/>
      <c r="E276" s="15"/>
      <c r="F276" s="25" t="s">
        <v>278</v>
      </c>
      <c r="G276" s="26">
        <v>1.2</v>
      </c>
      <c r="H276" s="31"/>
      <c r="I276" s="31">
        <v>775.14</v>
      </c>
      <c r="J276" s="27">
        <v>16.38</v>
      </c>
      <c r="M276" s="28">
        <f>ROUND(ROUND(J276, 2)*I276, 2)</f>
        <v>12696.79</v>
      </c>
      <c r="P276" s="29">
        <v>16.38</v>
      </c>
      <c r="S276" s="28">
        <f>ROUND(ROUND(P276, 2)*I276, 2)</f>
        <v>12696.79</v>
      </c>
    </row>
    <row r="277" spans="1:21" ht="36" x14ac:dyDescent="0.3">
      <c r="A277" s="10" t="s">
        <v>982</v>
      </c>
      <c r="B277" s="10"/>
      <c r="C277" s="24" t="s">
        <v>950</v>
      </c>
      <c r="D277" s="15"/>
      <c r="E277" s="15" t="s">
        <v>951</v>
      </c>
      <c r="F277" s="25" t="s">
        <v>278</v>
      </c>
      <c r="G277" s="26">
        <v>0.25</v>
      </c>
      <c r="H277" s="26"/>
      <c r="I277" s="26">
        <v>32.298000000000002</v>
      </c>
      <c r="J277" s="27">
        <v>40.94</v>
      </c>
      <c r="M277" s="28">
        <f>ROUND(ROUND(J277, 2)*I277, 2)</f>
        <v>1322.28</v>
      </c>
      <c r="P277" s="29">
        <v>40.94</v>
      </c>
      <c r="S277" s="28">
        <f>ROUND(ROUND(P277, 2)*I277, 2)</f>
        <v>1322.28</v>
      </c>
    </row>
    <row r="278" spans="1:21" ht="18" x14ac:dyDescent="0.3">
      <c r="A278" s="10" t="s">
        <v>985</v>
      </c>
      <c r="B278" s="10"/>
      <c r="C278" s="24" t="s">
        <v>304</v>
      </c>
      <c r="D278" s="15"/>
      <c r="E278" s="15"/>
      <c r="F278" s="25" t="s">
        <v>278</v>
      </c>
      <c r="G278" s="26">
        <v>0.15</v>
      </c>
      <c r="H278" s="26"/>
      <c r="I278" s="26">
        <v>19.379000000000001</v>
      </c>
      <c r="J278" s="27">
        <v>90.28</v>
      </c>
      <c r="M278" s="28">
        <f>ROUND(ROUND(J278, 2)*I278, 2)</f>
        <v>1749.54</v>
      </c>
      <c r="P278" s="29">
        <v>90.28</v>
      </c>
      <c r="S278" s="28">
        <f>ROUND(ROUND(P278, 2)*I278, 2)</f>
        <v>1749.54</v>
      </c>
    </row>
    <row r="279" spans="1:21" ht="18" x14ac:dyDescent="0.3">
      <c r="A279" s="10" t="s">
        <v>988</v>
      </c>
      <c r="B279" s="10" t="s">
        <v>989</v>
      </c>
      <c r="C279" s="14" t="s">
        <v>990</v>
      </c>
      <c r="D279" s="15"/>
      <c r="E279" s="15"/>
      <c r="F279" s="15" t="s">
        <v>102</v>
      </c>
      <c r="G279" s="16">
        <v>1</v>
      </c>
      <c r="H279" s="16"/>
      <c r="I279" s="16">
        <v>0</v>
      </c>
      <c r="J279" s="17">
        <v>0</v>
      </c>
      <c r="K279" s="18">
        <v>473</v>
      </c>
      <c r="L279" s="17">
        <f>J279+ROUND(K279, 2)</f>
        <v>473</v>
      </c>
      <c r="M279" s="17">
        <v>0</v>
      </c>
      <c r="N279" s="17">
        <v>0</v>
      </c>
      <c r="O279" s="17">
        <f>M279+N279</f>
        <v>0</v>
      </c>
      <c r="P279" s="17">
        <v>844.85</v>
      </c>
      <c r="Q279" s="18">
        <v>473</v>
      </c>
      <c r="R279" s="17">
        <f>P279+ROUND(Q279, 2)</f>
        <v>1317.85</v>
      </c>
      <c r="S279" s="17">
        <v>0</v>
      </c>
      <c r="T279" s="17">
        <v>0</v>
      </c>
      <c r="U279" s="17">
        <f>S279+T279</f>
        <v>0</v>
      </c>
    </row>
    <row r="280" spans="1:21" ht="18" x14ac:dyDescent="0.3">
      <c r="A280" s="10" t="s">
        <v>993</v>
      </c>
      <c r="B280" s="10"/>
      <c r="C280" s="30" t="s">
        <v>994</v>
      </c>
      <c r="D280" s="15"/>
      <c r="E280" s="15"/>
      <c r="F280" s="25" t="s">
        <v>278</v>
      </c>
      <c r="G280" s="26">
        <v>0.7</v>
      </c>
      <c r="H280" s="31"/>
      <c r="I280" s="31">
        <v>0</v>
      </c>
      <c r="J280" s="27">
        <v>16.96</v>
      </c>
      <c r="M280" s="28">
        <f>ROUND(ROUND(J280, 2)*I280, 2)</f>
        <v>0</v>
      </c>
      <c r="P280" s="27">
        <v>16.96</v>
      </c>
      <c r="S280" s="28">
        <f>ROUND(ROUND(P280, 2)*I280, 2)</f>
        <v>0</v>
      </c>
    </row>
    <row r="281" spans="1:21" ht="36" x14ac:dyDescent="0.3">
      <c r="A281" s="10" t="s">
        <v>998</v>
      </c>
      <c r="B281" s="10"/>
      <c r="C281" s="24" t="s">
        <v>999</v>
      </c>
      <c r="D281" s="15"/>
      <c r="E281" s="15"/>
      <c r="F281" s="25" t="s">
        <v>597</v>
      </c>
      <c r="G281" s="26">
        <v>1.84</v>
      </c>
      <c r="H281" s="31"/>
      <c r="I281" s="31">
        <v>0</v>
      </c>
      <c r="J281" s="27">
        <v>450.95</v>
      </c>
      <c r="M281" s="28">
        <f>ROUND(ROUND(J281, 2)*I281, 2)</f>
        <v>0</v>
      </c>
      <c r="P281" s="27">
        <v>450.95</v>
      </c>
      <c r="S281" s="28">
        <f>ROUND(ROUND(P281, 2)*I281, 2)</f>
        <v>0</v>
      </c>
    </row>
    <row r="282" spans="1:21" ht="18" x14ac:dyDescent="0.3">
      <c r="A282" s="10" t="s">
        <v>1003</v>
      </c>
      <c r="B282" s="10"/>
      <c r="C282" s="24" t="s">
        <v>858</v>
      </c>
      <c r="D282" s="15"/>
      <c r="E282" s="15"/>
      <c r="F282" s="25" t="s">
        <v>278</v>
      </c>
      <c r="G282" s="26">
        <v>0.04</v>
      </c>
      <c r="H282" s="26"/>
      <c r="I282" s="26">
        <v>0</v>
      </c>
      <c r="J282" s="27">
        <v>47.44</v>
      </c>
      <c r="M282" s="28">
        <f>ROUND(ROUND(J282, 2)*I282, 2)</f>
        <v>0</v>
      </c>
      <c r="P282" s="27">
        <v>47.44</v>
      </c>
      <c r="S282" s="28">
        <f>ROUND(ROUND(P282, 2)*I282, 2)</f>
        <v>0</v>
      </c>
    </row>
    <row r="283" spans="1:21" ht="18" x14ac:dyDescent="0.3">
      <c r="A283" s="10" t="s">
        <v>1006</v>
      </c>
      <c r="B283" s="10"/>
      <c r="C283" s="24" t="s">
        <v>1007</v>
      </c>
      <c r="D283" s="15"/>
      <c r="E283" s="15"/>
      <c r="F283" s="25" t="s">
        <v>278</v>
      </c>
      <c r="G283" s="26">
        <v>1.4999999999999999E-2</v>
      </c>
      <c r="H283" s="26"/>
      <c r="I283" s="26">
        <v>0</v>
      </c>
      <c r="J283" s="27">
        <v>88.8</v>
      </c>
      <c r="M283" s="28">
        <f>ROUND(ROUND(J283, 2)*I283, 2)</f>
        <v>0</v>
      </c>
      <c r="P283" s="27">
        <v>88.8</v>
      </c>
      <c r="S283" s="28">
        <f>ROUND(ROUND(P283, 2)*I283, 2)</f>
        <v>0</v>
      </c>
    </row>
    <row r="284" spans="1:21" ht="18" x14ac:dyDescent="0.3">
      <c r="A284" s="10" t="s">
        <v>1011</v>
      </c>
      <c r="B284" s="10" t="s">
        <v>989</v>
      </c>
      <c r="C284" s="14" t="s">
        <v>990</v>
      </c>
      <c r="D284" s="15"/>
      <c r="E284" s="15"/>
      <c r="F284" s="15" t="s">
        <v>102</v>
      </c>
      <c r="G284" s="16">
        <v>1</v>
      </c>
      <c r="H284" s="16"/>
      <c r="I284" s="16">
        <v>0</v>
      </c>
      <c r="J284" s="17">
        <v>0</v>
      </c>
      <c r="K284" s="18">
        <v>473</v>
      </c>
      <c r="L284" s="17">
        <f>J284+ROUND(K284, 2)</f>
        <v>473</v>
      </c>
      <c r="M284" s="17">
        <v>0</v>
      </c>
      <c r="N284" s="17">
        <v>0</v>
      </c>
      <c r="O284" s="17">
        <f>M284+N284</f>
        <v>0</v>
      </c>
      <c r="P284" s="17">
        <v>844.85</v>
      </c>
      <c r="Q284" s="18">
        <v>473</v>
      </c>
      <c r="R284" s="17">
        <f>P284+ROUND(Q284, 2)</f>
        <v>1317.85</v>
      </c>
      <c r="S284" s="17">
        <v>0</v>
      </c>
      <c r="T284" s="17">
        <v>0</v>
      </c>
      <c r="U284" s="17">
        <f>S284+T284</f>
        <v>0</v>
      </c>
    </row>
    <row r="285" spans="1:21" ht="18" x14ac:dyDescent="0.3">
      <c r="A285" s="10" t="s">
        <v>1012</v>
      </c>
      <c r="B285" s="10"/>
      <c r="C285" s="24" t="s">
        <v>1007</v>
      </c>
      <c r="D285" s="15"/>
      <c r="E285" s="15"/>
      <c r="F285" s="25" t="s">
        <v>278</v>
      </c>
      <c r="G285" s="26">
        <v>1.4999999999999999E-2</v>
      </c>
      <c r="H285" s="26"/>
      <c r="I285" s="26">
        <v>0</v>
      </c>
      <c r="J285" s="27">
        <v>88.8</v>
      </c>
      <c r="M285" s="28">
        <f>ROUND(ROUND(J285, 2)*I285, 2)</f>
        <v>0</v>
      </c>
      <c r="P285" s="27">
        <v>88.8</v>
      </c>
      <c r="S285" s="28">
        <f>ROUND(ROUND(P285, 2)*I285, 2)</f>
        <v>0</v>
      </c>
    </row>
    <row r="286" spans="1:21" ht="18" x14ac:dyDescent="0.3">
      <c r="A286" s="10" t="s">
        <v>1015</v>
      </c>
      <c r="B286" s="10"/>
      <c r="C286" s="24" t="s">
        <v>858</v>
      </c>
      <c r="D286" s="15"/>
      <c r="E286" s="15"/>
      <c r="F286" s="25" t="s">
        <v>278</v>
      </c>
      <c r="G286" s="26">
        <v>0.04</v>
      </c>
      <c r="H286" s="26"/>
      <c r="I286" s="26">
        <v>0</v>
      </c>
      <c r="J286" s="27">
        <v>47.44</v>
      </c>
      <c r="M286" s="28">
        <f>ROUND(ROUND(J286, 2)*I286, 2)</f>
        <v>0</v>
      </c>
      <c r="P286" s="27">
        <v>47.44</v>
      </c>
      <c r="S286" s="28">
        <f>ROUND(ROUND(P286, 2)*I286, 2)</f>
        <v>0</v>
      </c>
    </row>
    <row r="287" spans="1:21" ht="36" x14ac:dyDescent="0.3">
      <c r="A287" s="10" t="s">
        <v>1018</v>
      </c>
      <c r="B287" s="10"/>
      <c r="C287" s="24" t="s">
        <v>999</v>
      </c>
      <c r="D287" s="15"/>
      <c r="E287" s="15"/>
      <c r="F287" s="25" t="s">
        <v>597</v>
      </c>
      <c r="G287" s="26">
        <v>1.84</v>
      </c>
      <c r="H287" s="31"/>
      <c r="I287" s="31">
        <v>0</v>
      </c>
      <c r="J287" s="27">
        <v>450.95</v>
      </c>
      <c r="M287" s="28">
        <f>ROUND(ROUND(J287, 2)*I287, 2)</f>
        <v>0</v>
      </c>
      <c r="P287" s="27">
        <v>450.95</v>
      </c>
      <c r="S287" s="28">
        <f>ROUND(ROUND(P287, 2)*I287, 2)</f>
        <v>0</v>
      </c>
    </row>
    <row r="288" spans="1:21" ht="18" x14ac:dyDescent="0.3">
      <c r="A288" s="10" t="s">
        <v>1021</v>
      </c>
      <c r="B288" s="10"/>
      <c r="C288" s="30" t="s">
        <v>994</v>
      </c>
      <c r="D288" s="15"/>
      <c r="E288" s="15"/>
      <c r="F288" s="25" t="s">
        <v>278</v>
      </c>
      <c r="G288" s="26">
        <v>0.7</v>
      </c>
      <c r="H288" s="31"/>
      <c r="I288" s="31">
        <v>0</v>
      </c>
      <c r="J288" s="27">
        <v>16.96</v>
      </c>
      <c r="M288" s="28">
        <f>ROUND(ROUND(J288, 2)*I288, 2)</f>
        <v>0</v>
      </c>
      <c r="P288" s="27">
        <v>16.96</v>
      </c>
      <c r="S288" s="28">
        <f>ROUND(ROUND(P288, 2)*I288, 2)</f>
        <v>0</v>
      </c>
    </row>
    <row r="289" spans="1:21" ht="36" x14ac:dyDescent="0.3">
      <c r="A289" s="10" t="s">
        <v>1024</v>
      </c>
      <c r="B289" s="10" t="s">
        <v>989</v>
      </c>
      <c r="C289" s="14" t="s">
        <v>990</v>
      </c>
      <c r="D289" s="15"/>
      <c r="E289" s="15" t="s">
        <v>1025</v>
      </c>
      <c r="F289" s="15" t="s">
        <v>102</v>
      </c>
      <c r="G289" s="16">
        <v>1</v>
      </c>
      <c r="H289" s="16"/>
      <c r="I289" s="16">
        <v>0</v>
      </c>
      <c r="J289" s="17">
        <v>0</v>
      </c>
      <c r="K289" s="18">
        <v>473</v>
      </c>
      <c r="L289" s="17">
        <f>J289+ROUND(K289, 2)</f>
        <v>473</v>
      </c>
      <c r="M289" s="17">
        <v>0</v>
      </c>
      <c r="N289" s="17">
        <v>0</v>
      </c>
      <c r="O289" s="17">
        <f>M289+N289</f>
        <v>0</v>
      </c>
      <c r="P289" s="17">
        <v>842.95</v>
      </c>
      <c r="Q289" s="18">
        <v>473</v>
      </c>
      <c r="R289" s="17">
        <f>P289+ROUND(Q289, 2)</f>
        <v>1315.95</v>
      </c>
      <c r="S289" s="17">
        <v>0</v>
      </c>
      <c r="T289" s="17">
        <v>0</v>
      </c>
      <c r="U289" s="17">
        <f>S289+T289</f>
        <v>0</v>
      </c>
    </row>
    <row r="290" spans="1:21" ht="18" x14ac:dyDescent="0.3">
      <c r="A290" s="10" t="s">
        <v>1026</v>
      </c>
      <c r="B290" s="10"/>
      <c r="C290" s="30" t="s">
        <v>994</v>
      </c>
      <c r="D290" s="15"/>
      <c r="E290" s="15"/>
      <c r="F290" s="25" t="s">
        <v>278</v>
      </c>
      <c r="G290" s="26">
        <v>0.7</v>
      </c>
      <c r="H290" s="31"/>
      <c r="I290" s="31">
        <v>0</v>
      </c>
      <c r="J290" s="27">
        <v>16.96</v>
      </c>
      <c r="M290" s="28">
        <f>ROUND(ROUND(J290, 2)*I290, 2)</f>
        <v>0</v>
      </c>
      <c r="P290" s="27">
        <v>16.96</v>
      </c>
      <c r="S290" s="28">
        <f>ROUND(ROUND(P290, 2)*I290, 2)</f>
        <v>0</v>
      </c>
    </row>
    <row r="291" spans="1:21" ht="36" x14ac:dyDescent="0.3">
      <c r="A291" s="10" t="s">
        <v>1029</v>
      </c>
      <c r="B291" s="10"/>
      <c r="C291" s="24" t="s">
        <v>999</v>
      </c>
      <c r="D291" s="15"/>
      <c r="E291" s="15"/>
      <c r="F291" s="25" t="s">
        <v>597</v>
      </c>
      <c r="G291" s="26">
        <v>1.84</v>
      </c>
      <c r="H291" s="31"/>
      <c r="I291" s="31">
        <v>0</v>
      </c>
      <c r="J291" s="27">
        <v>450.95</v>
      </c>
      <c r="M291" s="28">
        <f>ROUND(ROUND(J291, 2)*I291, 2)</f>
        <v>0</v>
      </c>
      <c r="P291" s="27">
        <v>450.95</v>
      </c>
      <c r="S291" s="28">
        <f>ROUND(ROUND(P291, 2)*I291, 2)</f>
        <v>0</v>
      </c>
    </row>
    <row r="292" spans="1:21" ht="18" x14ac:dyDescent="0.3">
      <c r="A292" s="10" t="s">
        <v>1032</v>
      </c>
      <c r="B292" s="10"/>
      <c r="C292" s="24" t="s">
        <v>1007</v>
      </c>
      <c r="D292" s="15"/>
      <c r="E292" s="15"/>
      <c r="F292" s="25" t="s">
        <v>278</v>
      </c>
      <c r="G292" s="26">
        <v>1.4999999999999999E-2</v>
      </c>
      <c r="H292" s="26"/>
      <c r="I292" s="26">
        <v>0</v>
      </c>
      <c r="J292" s="27">
        <v>88.8</v>
      </c>
      <c r="M292" s="28">
        <f>ROUND(ROUND(J292, 2)*I292, 2)</f>
        <v>0</v>
      </c>
      <c r="P292" s="27">
        <v>88.8</v>
      </c>
      <c r="S292" s="28">
        <f>ROUND(ROUND(P292, 2)*I292, 2)</f>
        <v>0</v>
      </c>
    </row>
    <row r="293" spans="1:21" ht="18" x14ac:dyDescent="0.3">
      <c r="A293" s="10" t="s">
        <v>1035</v>
      </c>
      <c r="B293" s="10" t="s">
        <v>989</v>
      </c>
      <c r="C293" s="14" t="s">
        <v>990</v>
      </c>
      <c r="D293" s="15"/>
      <c r="E293" s="15" t="s">
        <v>1036</v>
      </c>
      <c r="F293" s="15" t="s">
        <v>102</v>
      </c>
      <c r="G293" s="16">
        <v>1</v>
      </c>
      <c r="H293" s="16"/>
      <c r="I293" s="16">
        <v>103.54</v>
      </c>
      <c r="J293" s="17">
        <v>832.98</v>
      </c>
      <c r="K293" s="18">
        <v>473</v>
      </c>
      <c r="L293" s="17">
        <f>J293+ROUND(K293, 2)</f>
        <v>1305.98</v>
      </c>
      <c r="M293" s="17">
        <v>86246.75</v>
      </c>
      <c r="N293" s="17">
        <v>48974.42</v>
      </c>
      <c r="O293" s="17">
        <f>M293+N293</f>
        <v>135221.16999999998</v>
      </c>
      <c r="P293" s="17">
        <v>832.98</v>
      </c>
      <c r="Q293" s="18">
        <v>709.5</v>
      </c>
      <c r="R293" s="17">
        <f>P293+ROUND(Q293, 2)</f>
        <v>1542.48</v>
      </c>
      <c r="S293" s="17">
        <v>86246.75</v>
      </c>
      <c r="T293" s="17">
        <v>73461.63</v>
      </c>
      <c r="U293" s="17">
        <f>S293+T293</f>
        <v>159708.38</v>
      </c>
    </row>
    <row r="294" spans="1:21" ht="18" x14ac:dyDescent="0.3">
      <c r="A294" s="10" t="s">
        <v>1037</v>
      </c>
      <c r="B294" s="10"/>
      <c r="C294" s="24" t="s">
        <v>1007</v>
      </c>
      <c r="D294" s="15"/>
      <c r="E294" s="15"/>
      <c r="F294" s="25" t="s">
        <v>278</v>
      </c>
      <c r="G294" s="26">
        <v>1.4999999999999999E-2</v>
      </c>
      <c r="H294" s="26"/>
      <c r="I294" s="26">
        <v>1.5529999999999999</v>
      </c>
      <c r="J294" s="27">
        <v>88.8</v>
      </c>
      <c r="M294" s="28">
        <f>ROUND(ROUND(J294, 2)*I294, 2)</f>
        <v>137.91</v>
      </c>
      <c r="P294" s="27">
        <v>88.8</v>
      </c>
      <c r="S294" s="28">
        <f>ROUND(ROUND(P294, 2)*I294, 2)</f>
        <v>137.91</v>
      </c>
    </row>
    <row r="295" spans="1:21" ht="18" x14ac:dyDescent="0.3">
      <c r="A295" s="10" t="s">
        <v>1040</v>
      </c>
      <c r="B295" s="10"/>
      <c r="C295" s="24" t="s">
        <v>858</v>
      </c>
      <c r="D295" s="15"/>
      <c r="E295" s="15"/>
      <c r="F295" s="25" t="s">
        <v>278</v>
      </c>
      <c r="G295" s="26">
        <v>0.04</v>
      </c>
      <c r="H295" s="26"/>
      <c r="I295" s="26">
        <v>4.1420000000000003</v>
      </c>
      <c r="J295" s="27">
        <v>47.44</v>
      </c>
      <c r="M295" s="28">
        <f>ROUND(ROUND(J295, 2)*I295, 2)</f>
        <v>196.5</v>
      </c>
      <c r="P295" s="27">
        <v>47.44</v>
      </c>
      <c r="S295" s="28">
        <f>ROUND(ROUND(P295, 2)*I295, 2)</f>
        <v>196.5</v>
      </c>
    </row>
    <row r="296" spans="1:21" ht="51" customHeight="1" x14ac:dyDescent="0.3">
      <c r="A296" s="10" t="s">
        <v>1043</v>
      </c>
      <c r="B296" s="10"/>
      <c r="C296" s="24" t="s">
        <v>999</v>
      </c>
      <c r="D296" s="15"/>
      <c r="E296" s="15" t="s">
        <v>1044</v>
      </c>
      <c r="F296" s="25" t="s">
        <v>597</v>
      </c>
      <c r="G296" s="26">
        <v>1.84</v>
      </c>
      <c r="H296" s="31"/>
      <c r="I296" s="31">
        <v>190.51400000000001</v>
      </c>
      <c r="J296" s="27">
        <v>450.95</v>
      </c>
      <c r="M296" s="28">
        <f>ROUND(ROUND(J296, 2)*I296, 2)</f>
        <v>85912.29</v>
      </c>
      <c r="P296" s="27">
        <v>450.95</v>
      </c>
      <c r="S296" s="28">
        <f>ROUND(ROUND(P296, 2)*I296, 2)</f>
        <v>85912.29</v>
      </c>
    </row>
    <row r="297" spans="1:21" ht="18" x14ac:dyDescent="0.3">
      <c r="A297" s="10" t="s">
        <v>1047</v>
      </c>
      <c r="B297" s="10" t="s">
        <v>989</v>
      </c>
      <c r="C297" s="14" t="s">
        <v>990</v>
      </c>
      <c r="D297" s="15"/>
      <c r="E297" s="15" t="s">
        <v>1048</v>
      </c>
      <c r="F297" s="15" t="s">
        <v>102</v>
      </c>
      <c r="G297" s="16">
        <v>1</v>
      </c>
      <c r="H297" s="16"/>
      <c r="I297" s="16">
        <v>379.83</v>
      </c>
      <c r="J297" s="17">
        <v>844.26</v>
      </c>
      <c r="K297" s="18">
        <v>473</v>
      </c>
      <c r="L297" s="17">
        <f>J297+ROUND(K297, 2)</f>
        <v>1317.26</v>
      </c>
      <c r="M297" s="17">
        <v>320675.28000000003</v>
      </c>
      <c r="N297" s="17">
        <v>179659.59</v>
      </c>
      <c r="O297" s="17">
        <f>M297+N297</f>
        <v>500334.87</v>
      </c>
      <c r="P297" s="17">
        <v>844.25</v>
      </c>
      <c r="Q297" s="18">
        <v>709.5</v>
      </c>
      <c r="R297" s="17">
        <f>P297+ROUND(Q297, 2)</f>
        <v>1553.75</v>
      </c>
      <c r="S297" s="17">
        <v>320671.48</v>
      </c>
      <c r="T297" s="17">
        <v>269489.39</v>
      </c>
      <c r="U297" s="17">
        <f>S297+T297</f>
        <v>590160.87</v>
      </c>
    </row>
    <row r="298" spans="1:21" ht="18" x14ac:dyDescent="0.3">
      <c r="A298" s="10" t="s">
        <v>1049</v>
      </c>
      <c r="B298" s="10"/>
      <c r="C298" s="30" t="s">
        <v>994</v>
      </c>
      <c r="D298" s="15"/>
      <c r="E298" s="15"/>
      <c r="F298" s="25" t="s">
        <v>278</v>
      </c>
      <c r="G298" s="26">
        <v>0.7</v>
      </c>
      <c r="H298" s="31"/>
      <c r="I298" s="31">
        <v>265.88099999999997</v>
      </c>
      <c r="J298" s="27">
        <v>16.12</v>
      </c>
      <c r="M298" s="28">
        <f>ROUND(ROUND(J298, 2)*I298, 2)</f>
        <v>4286</v>
      </c>
      <c r="P298" s="27">
        <v>16.11</v>
      </c>
      <c r="S298" s="28">
        <f>ROUND(ROUND(P298, 2)*I298, 2)</f>
        <v>4283.34</v>
      </c>
    </row>
    <row r="299" spans="1:21" ht="72" x14ac:dyDescent="0.3">
      <c r="A299" s="10" t="s">
        <v>1052</v>
      </c>
      <c r="B299" s="10"/>
      <c r="C299" s="24" t="s">
        <v>999</v>
      </c>
      <c r="D299" s="15"/>
      <c r="E299" s="15" t="s">
        <v>1053</v>
      </c>
      <c r="F299" s="25" t="s">
        <v>597</v>
      </c>
      <c r="G299" s="26">
        <v>1.84</v>
      </c>
      <c r="H299" s="31"/>
      <c r="I299" s="31">
        <v>698.88699999999994</v>
      </c>
      <c r="J299" s="27">
        <v>450.95</v>
      </c>
      <c r="M299" s="28">
        <f>ROUND(ROUND(J299, 2)*I299, 2)</f>
        <v>315163.09000000003</v>
      </c>
      <c r="P299" s="27">
        <v>450.95</v>
      </c>
      <c r="S299" s="28">
        <f>ROUND(ROUND(P299, 2)*I299, 2)</f>
        <v>315163.09000000003</v>
      </c>
    </row>
    <row r="300" spans="1:21" ht="18" x14ac:dyDescent="0.3">
      <c r="A300" s="10" t="s">
        <v>1056</v>
      </c>
      <c r="B300" s="10"/>
      <c r="C300" s="24" t="s">
        <v>858</v>
      </c>
      <c r="D300" s="15"/>
      <c r="E300" s="15"/>
      <c r="F300" s="25" t="s">
        <v>278</v>
      </c>
      <c r="G300" s="26">
        <v>0.04</v>
      </c>
      <c r="H300" s="26"/>
      <c r="I300" s="26">
        <v>15.193</v>
      </c>
      <c r="J300" s="27">
        <v>47.44</v>
      </c>
      <c r="M300" s="28">
        <f>ROUND(ROUND(J300, 2)*I300, 2)</f>
        <v>720.76</v>
      </c>
      <c r="P300" s="27">
        <v>47.44</v>
      </c>
      <c r="S300" s="28">
        <f>ROUND(ROUND(P300, 2)*I300, 2)</f>
        <v>720.76</v>
      </c>
    </row>
    <row r="301" spans="1:21" ht="18" x14ac:dyDescent="0.3">
      <c r="A301" s="10" t="s">
        <v>1059</v>
      </c>
      <c r="B301" s="10"/>
      <c r="C301" s="24" t="s">
        <v>1007</v>
      </c>
      <c r="D301" s="15"/>
      <c r="E301" s="15"/>
      <c r="F301" s="25" t="s">
        <v>278</v>
      </c>
      <c r="G301" s="26">
        <v>1.4999999999999999E-2</v>
      </c>
      <c r="H301" s="26"/>
      <c r="I301" s="26">
        <v>5.6970000000000001</v>
      </c>
      <c r="J301" s="27">
        <v>88.8</v>
      </c>
      <c r="M301" s="28">
        <f>ROUND(ROUND(J301, 2)*I301, 2)</f>
        <v>505.89</v>
      </c>
      <c r="P301" s="27">
        <v>88.8</v>
      </c>
      <c r="S301" s="28">
        <f>ROUND(ROUND(P301, 2)*I301, 2)</f>
        <v>505.89</v>
      </c>
    </row>
    <row r="302" spans="1:21" ht="36" x14ac:dyDescent="0.3">
      <c r="A302" s="10" t="s">
        <v>1062</v>
      </c>
      <c r="B302" s="10" t="s">
        <v>989</v>
      </c>
      <c r="C302" s="14" t="s">
        <v>990</v>
      </c>
      <c r="D302" s="15"/>
      <c r="E302" s="15" t="s">
        <v>1025</v>
      </c>
      <c r="F302" s="15" t="s">
        <v>102</v>
      </c>
      <c r="G302" s="16">
        <v>1</v>
      </c>
      <c r="H302" s="16"/>
      <c r="I302" s="16">
        <v>78</v>
      </c>
      <c r="J302" s="17">
        <v>844.26</v>
      </c>
      <c r="K302" s="18">
        <v>473</v>
      </c>
      <c r="L302" s="17">
        <f>J302+ROUND(K302, 2)</f>
        <v>1317.26</v>
      </c>
      <c r="M302" s="17">
        <v>65852.28</v>
      </c>
      <c r="N302" s="17">
        <v>36894</v>
      </c>
      <c r="O302" s="17">
        <f>M302+N302</f>
        <v>102746.28</v>
      </c>
      <c r="P302" s="17">
        <v>844.25</v>
      </c>
      <c r="Q302" s="18">
        <v>709.5</v>
      </c>
      <c r="R302" s="17">
        <f>P302+ROUND(Q302, 2)</f>
        <v>1553.75</v>
      </c>
      <c r="S302" s="17">
        <v>65851.5</v>
      </c>
      <c r="T302" s="17">
        <v>55341</v>
      </c>
      <c r="U302" s="17">
        <f>S302+T302</f>
        <v>121192.5</v>
      </c>
    </row>
    <row r="303" spans="1:21" ht="18" x14ac:dyDescent="0.3">
      <c r="A303" s="10" t="s">
        <v>1063</v>
      </c>
      <c r="B303" s="10"/>
      <c r="C303" s="24" t="s">
        <v>1007</v>
      </c>
      <c r="D303" s="15"/>
      <c r="E303" s="15"/>
      <c r="F303" s="25" t="s">
        <v>278</v>
      </c>
      <c r="G303" s="26">
        <v>1.4999999999999999E-2</v>
      </c>
      <c r="H303" s="26"/>
      <c r="I303" s="26">
        <v>1.17</v>
      </c>
      <c r="J303" s="27">
        <v>88.8</v>
      </c>
      <c r="M303" s="28">
        <f>ROUND(ROUND(J303, 2)*I303, 2)</f>
        <v>103.9</v>
      </c>
      <c r="P303" s="27">
        <v>88.8</v>
      </c>
      <c r="S303" s="28">
        <f>ROUND(ROUND(P303, 2)*I303, 2)</f>
        <v>103.9</v>
      </c>
    </row>
    <row r="304" spans="1:21" ht="18" x14ac:dyDescent="0.3">
      <c r="A304" s="10" t="s">
        <v>1066</v>
      </c>
      <c r="B304" s="10"/>
      <c r="C304" s="24" t="s">
        <v>858</v>
      </c>
      <c r="D304" s="15"/>
      <c r="E304" s="15"/>
      <c r="F304" s="25" t="s">
        <v>278</v>
      </c>
      <c r="G304" s="26">
        <v>0.04</v>
      </c>
      <c r="H304" s="26"/>
      <c r="I304" s="26">
        <v>3.12</v>
      </c>
      <c r="J304" s="27">
        <v>47.44</v>
      </c>
      <c r="M304" s="28">
        <f>ROUND(ROUND(J304, 2)*I304, 2)</f>
        <v>148.01</v>
      </c>
      <c r="P304" s="27">
        <v>47.44</v>
      </c>
      <c r="S304" s="28">
        <f>ROUND(ROUND(P304, 2)*I304, 2)</f>
        <v>148.01</v>
      </c>
    </row>
    <row r="305" spans="1:21" ht="54" x14ac:dyDescent="0.3">
      <c r="A305" s="10" t="s">
        <v>1069</v>
      </c>
      <c r="B305" s="10"/>
      <c r="C305" s="24" t="s">
        <v>999</v>
      </c>
      <c r="D305" s="15"/>
      <c r="E305" s="15" t="s">
        <v>1070</v>
      </c>
      <c r="F305" s="25" t="s">
        <v>597</v>
      </c>
      <c r="G305" s="26">
        <v>1.84</v>
      </c>
      <c r="H305" s="31"/>
      <c r="I305" s="31">
        <v>143.52000000000001</v>
      </c>
      <c r="J305" s="27">
        <v>450.95</v>
      </c>
      <c r="M305" s="28">
        <f>ROUND(ROUND(J305, 2)*I305, 2)</f>
        <v>64720.34</v>
      </c>
      <c r="P305" s="27">
        <v>450.95</v>
      </c>
      <c r="S305" s="28">
        <f>ROUND(ROUND(P305, 2)*I305, 2)</f>
        <v>64720.34</v>
      </c>
    </row>
    <row r="306" spans="1:21" ht="18" x14ac:dyDescent="0.3">
      <c r="A306" s="10" t="s">
        <v>1073</v>
      </c>
      <c r="B306" s="10"/>
      <c r="C306" s="30" t="s">
        <v>994</v>
      </c>
      <c r="D306" s="15"/>
      <c r="E306" s="15"/>
      <c r="F306" s="25" t="s">
        <v>278</v>
      </c>
      <c r="G306" s="26">
        <v>0.7</v>
      </c>
      <c r="H306" s="31"/>
      <c r="I306" s="31">
        <v>54.6</v>
      </c>
      <c r="J306" s="27">
        <v>16.12</v>
      </c>
      <c r="M306" s="28">
        <f>ROUND(ROUND(J306, 2)*I306, 2)</f>
        <v>880.15</v>
      </c>
      <c r="P306" s="27">
        <v>16.11</v>
      </c>
      <c r="S306" s="28">
        <f>ROUND(ROUND(P306, 2)*I306, 2)</f>
        <v>879.61</v>
      </c>
    </row>
    <row r="307" spans="1:21" ht="118.05" customHeight="1" x14ac:dyDescent="0.3">
      <c r="A307" s="10" t="s">
        <v>1076</v>
      </c>
      <c r="B307" s="10" t="s">
        <v>989</v>
      </c>
      <c r="C307" s="14" t="s">
        <v>990</v>
      </c>
      <c r="D307" s="15"/>
      <c r="E307" s="15" t="s">
        <v>1077</v>
      </c>
      <c r="F307" s="15" t="s">
        <v>102</v>
      </c>
      <c r="G307" s="16">
        <v>1</v>
      </c>
      <c r="H307" s="16"/>
      <c r="I307" s="16">
        <v>102.1</v>
      </c>
      <c r="J307" s="17">
        <f>IFERROR(ROUND(SUM(M308,M309,M310,M311)/I307, 2),0)</f>
        <v>858.02</v>
      </c>
      <c r="K307" s="18">
        <v>472.99</v>
      </c>
      <c r="L307" s="17">
        <f>J307+ROUND(K307, 2)</f>
        <v>1331.01</v>
      </c>
      <c r="M307" s="17">
        <f>ROUND(J307*I307, 2)</f>
        <v>87603.839999999997</v>
      </c>
      <c r="N307" s="17">
        <f>ROUND(I307*ROUND(K307, 2), 2)</f>
        <v>48292.28</v>
      </c>
      <c r="O307" s="17">
        <f>M307+N307</f>
        <v>135896.12</v>
      </c>
      <c r="P307" s="17">
        <f>IFERROR(ROUND(SUM(S308,S309,S310,S311)/I307, 2),0)</f>
        <v>858.02</v>
      </c>
      <c r="Q307" s="19">
        <v>709.49</v>
      </c>
      <c r="R307" s="17">
        <f>P307+ROUND(Q307, 2)</f>
        <v>1567.51</v>
      </c>
      <c r="S307" s="17">
        <f>ROUND(P307*I307, 2)</f>
        <v>87603.839999999997</v>
      </c>
      <c r="T307" s="17">
        <f>ROUND(I307*ROUND(Q307, 2), 2)</f>
        <v>72438.929999999993</v>
      </c>
      <c r="U307" s="17">
        <f>S307+T307</f>
        <v>160042.76999999999</v>
      </c>
    </row>
    <row r="308" spans="1:21" ht="18" x14ac:dyDescent="0.3">
      <c r="A308" s="10" t="s">
        <v>1078</v>
      </c>
      <c r="B308" s="10"/>
      <c r="C308" s="30" t="s">
        <v>994</v>
      </c>
      <c r="D308" s="15"/>
      <c r="E308" s="15"/>
      <c r="F308" s="25" t="s">
        <v>278</v>
      </c>
      <c r="G308" s="26">
        <v>0.7</v>
      </c>
      <c r="H308" s="31"/>
      <c r="I308" s="31">
        <v>71.47</v>
      </c>
      <c r="J308" s="27">
        <v>16.38</v>
      </c>
      <c r="M308" s="28">
        <f>ROUND(ROUND(J308, 2)*I308, 2)</f>
        <v>1170.68</v>
      </c>
      <c r="P308" s="29">
        <v>16.38</v>
      </c>
      <c r="S308" s="28">
        <f>ROUND(ROUND(P308, 2)*I308, 2)</f>
        <v>1170.68</v>
      </c>
    </row>
    <row r="309" spans="1:21" ht="90" x14ac:dyDescent="0.3">
      <c r="A309" s="10" t="s">
        <v>1081</v>
      </c>
      <c r="B309" s="10"/>
      <c r="C309" s="24" t="s">
        <v>999</v>
      </c>
      <c r="D309" s="15"/>
      <c r="E309" s="15" t="s">
        <v>1082</v>
      </c>
      <c r="F309" s="25" t="s">
        <v>597</v>
      </c>
      <c r="G309" s="26">
        <v>1.84</v>
      </c>
      <c r="H309" s="31"/>
      <c r="I309" s="31">
        <v>187.864</v>
      </c>
      <c r="J309" s="27">
        <v>458.46</v>
      </c>
      <c r="M309" s="28">
        <f>ROUND(ROUND(J309, 2)*I309, 2)</f>
        <v>86128.13</v>
      </c>
      <c r="P309" s="29">
        <v>458.46</v>
      </c>
      <c r="S309" s="28">
        <f>ROUND(ROUND(P309, 2)*I309, 2)</f>
        <v>86128.13</v>
      </c>
    </row>
    <row r="310" spans="1:21" ht="36" x14ac:dyDescent="0.3">
      <c r="A310" s="10" t="s">
        <v>1085</v>
      </c>
      <c r="B310" s="10"/>
      <c r="C310" s="24" t="s">
        <v>950</v>
      </c>
      <c r="D310" s="15"/>
      <c r="E310" s="15" t="s">
        <v>1086</v>
      </c>
      <c r="F310" s="25" t="s">
        <v>278</v>
      </c>
      <c r="G310" s="26">
        <v>0.04</v>
      </c>
      <c r="H310" s="26"/>
      <c r="I310" s="26">
        <v>4.0839999999999996</v>
      </c>
      <c r="J310" s="27">
        <v>40.94</v>
      </c>
      <c r="M310" s="28">
        <f>ROUND(ROUND(J310, 2)*I310, 2)</f>
        <v>167.2</v>
      </c>
      <c r="P310" s="29">
        <v>40.94</v>
      </c>
      <c r="S310" s="28">
        <f>ROUND(ROUND(P310, 2)*I310, 2)</f>
        <v>167.2</v>
      </c>
    </row>
    <row r="311" spans="1:21" ht="18" x14ac:dyDescent="0.3">
      <c r="A311" s="10" t="s">
        <v>1089</v>
      </c>
      <c r="B311" s="10"/>
      <c r="C311" s="24" t="s">
        <v>1007</v>
      </c>
      <c r="D311" s="15"/>
      <c r="E311" s="15"/>
      <c r="F311" s="25" t="s">
        <v>278</v>
      </c>
      <c r="G311" s="26">
        <v>1.4999999999999999E-2</v>
      </c>
      <c r="H311" s="26"/>
      <c r="I311" s="26">
        <v>1.532</v>
      </c>
      <c r="J311" s="27">
        <v>90.28</v>
      </c>
      <c r="M311" s="28">
        <f>ROUND(ROUND(J311, 2)*I311, 2)</f>
        <v>138.31</v>
      </c>
      <c r="P311" s="29">
        <v>90.28</v>
      </c>
      <c r="S311" s="28">
        <f>ROUND(ROUND(P311, 2)*I311, 2)</f>
        <v>138.31</v>
      </c>
    </row>
    <row r="312" spans="1:21" ht="105" customHeight="1" x14ac:dyDescent="0.3">
      <c r="A312" s="10" t="s">
        <v>1092</v>
      </c>
      <c r="B312" s="10" t="s">
        <v>989</v>
      </c>
      <c r="C312" s="14" t="s">
        <v>990</v>
      </c>
      <c r="D312" s="15"/>
      <c r="E312" s="15" t="s">
        <v>1093</v>
      </c>
      <c r="F312" s="15" t="s">
        <v>102</v>
      </c>
      <c r="G312" s="16">
        <v>1</v>
      </c>
      <c r="H312" s="16"/>
      <c r="I312" s="16">
        <v>462.7</v>
      </c>
      <c r="J312" s="17">
        <f>IFERROR(ROUND(SUM(M313,M314,M315,M316)/I312, 2),0)</f>
        <v>858.02</v>
      </c>
      <c r="K312" s="18">
        <v>472.99</v>
      </c>
      <c r="L312" s="17">
        <f>J312+ROUND(K312, 2)</f>
        <v>1331.01</v>
      </c>
      <c r="M312" s="17">
        <f>ROUND(J312*I312, 2)</f>
        <v>397005.85</v>
      </c>
      <c r="N312" s="17">
        <f>ROUND(I312*ROUND(K312, 2), 2)</f>
        <v>218852.47</v>
      </c>
      <c r="O312" s="17">
        <f>M312+N312</f>
        <v>615858.31999999995</v>
      </c>
      <c r="P312" s="17">
        <f>IFERROR(ROUND(SUM(S313,S314,S315,S316)/I312, 2),0)</f>
        <v>858.02</v>
      </c>
      <c r="Q312" s="19">
        <v>709.49</v>
      </c>
      <c r="R312" s="17">
        <f>P312+ROUND(Q312, 2)</f>
        <v>1567.51</v>
      </c>
      <c r="S312" s="17">
        <f>ROUND(P312*I312, 2)</f>
        <v>397005.85</v>
      </c>
      <c r="T312" s="17">
        <f>ROUND(I312*ROUND(Q312, 2), 2)</f>
        <v>328281.02</v>
      </c>
      <c r="U312" s="17">
        <f>S312+T312</f>
        <v>725286.87</v>
      </c>
    </row>
    <row r="313" spans="1:21" ht="18" x14ac:dyDescent="0.3">
      <c r="A313" s="10" t="s">
        <v>1094</v>
      </c>
      <c r="B313" s="10"/>
      <c r="C313" s="24" t="s">
        <v>1007</v>
      </c>
      <c r="D313" s="15"/>
      <c r="E313" s="15"/>
      <c r="F313" s="25" t="s">
        <v>278</v>
      </c>
      <c r="G313" s="26">
        <v>1.4999999999999999E-2</v>
      </c>
      <c r="H313" s="26"/>
      <c r="I313" s="26">
        <v>6.9409999999999998</v>
      </c>
      <c r="J313" s="27">
        <v>90.28</v>
      </c>
      <c r="M313" s="28">
        <f>ROUND(ROUND(J313, 2)*I313, 2)</f>
        <v>626.63</v>
      </c>
      <c r="P313" s="29">
        <v>90.28</v>
      </c>
      <c r="S313" s="28">
        <f>ROUND(ROUND(P313, 2)*I313, 2)</f>
        <v>626.63</v>
      </c>
    </row>
    <row r="314" spans="1:21" ht="36" x14ac:dyDescent="0.3">
      <c r="A314" s="10" t="s">
        <v>1097</v>
      </c>
      <c r="B314" s="10"/>
      <c r="C314" s="24" t="s">
        <v>950</v>
      </c>
      <c r="D314" s="15"/>
      <c r="E314" s="15" t="s">
        <v>1098</v>
      </c>
      <c r="F314" s="25" t="s">
        <v>278</v>
      </c>
      <c r="G314" s="26">
        <v>0.04</v>
      </c>
      <c r="H314" s="26"/>
      <c r="I314" s="26">
        <v>18.507999999999999</v>
      </c>
      <c r="J314" s="27">
        <v>40.94</v>
      </c>
      <c r="M314" s="28">
        <f>ROUND(ROUND(J314, 2)*I314, 2)</f>
        <v>757.72</v>
      </c>
      <c r="P314" s="29">
        <v>40.94</v>
      </c>
      <c r="S314" s="28">
        <f>ROUND(ROUND(P314, 2)*I314, 2)</f>
        <v>757.72</v>
      </c>
    </row>
    <row r="315" spans="1:21" ht="72" x14ac:dyDescent="0.3">
      <c r="A315" s="10" t="s">
        <v>1101</v>
      </c>
      <c r="B315" s="10"/>
      <c r="C315" s="24" t="s">
        <v>999</v>
      </c>
      <c r="D315" s="15"/>
      <c r="E315" s="15" t="s">
        <v>1102</v>
      </c>
      <c r="F315" s="25" t="s">
        <v>597</v>
      </c>
      <c r="G315" s="26">
        <v>1.84</v>
      </c>
      <c r="H315" s="31"/>
      <c r="I315" s="31">
        <v>851.36800000000005</v>
      </c>
      <c r="J315" s="27">
        <v>458.46</v>
      </c>
      <c r="M315" s="28">
        <f>ROUND(ROUND(J315, 2)*I315, 2)</f>
        <v>390318.17</v>
      </c>
      <c r="P315" s="29">
        <v>458.46</v>
      </c>
      <c r="S315" s="28">
        <f>ROUND(ROUND(P315, 2)*I315, 2)</f>
        <v>390318.17</v>
      </c>
    </row>
    <row r="316" spans="1:21" ht="18" x14ac:dyDescent="0.3">
      <c r="A316" s="10" t="s">
        <v>1105</v>
      </c>
      <c r="B316" s="10"/>
      <c r="C316" s="30" t="s">
        <v>994</v>
      </c>
      <c r="D316" s="15"/>
      <c r="E316" s="15"/>
      <c r="F316" s="25" t="s">
        <v>278</v>
      </c>
      <c r="G316" s="26">
        <v>0.7</v>
      </c>
      <c r="H316" s="31"/>
      <c r="I316" s="31">
        <v>323.89</v>
      </c>
      <c r="J316" s="27">
        <v>16.38</v>
      </c>
      <c r="M316" s="28">
        <f>ROUND(ROUND(J316, 2)*I316, 2)</f>
        <v>5305.32</v>
      </c>
      <c r="P316" s="29">
        <v>16.38</v>
      </c>
      <c r="S316" s="28">
        <f>ROUND(ROUND(P316, 2)*I316, 2)</f>
        <v>5305.32</v>
      </c>
    </row>
    <row r="317" spans="1:21" ht="92.55" customHeight="1" x14ac:dyDescent="0.3">
      <c r="A317" s="10" t="s">
        <v>1108</v>
      </c>
      <c r="B317" s="10" t="s">
        <v>989</v>
      </c>
      <c r="C317" s="14" t="s">
        <v>990</v>
      </c>
      <c r="D317" s="15"/>
      <c r="E317" s="15" t="s">
        <v>1109</v>
      </c>
      <c r="F317" s="15" t="s">
        <v>102</v>
      </c>
      <c r="G317" s="16">
        <v>1</v>
      </c>
      <c r="H317" s="16"/>
      <c r="I317" s="16">
        <v>496.18</v>
      </c>
      <c r="J317" s="17">
        <f>IFERROR(ROUND(SUM(M318,M319,M320,M321)/I317, 2),0)</f>
        <v>858.02</v>
      </c>
      <c r="K317" s="18">
        <v>472.99</v>
      </c>
      <c r="L317" s="17">
        <f>J317+ROUND(K317, 2)</f>
        <v>1331.01</v>
      </c>
      <c r="M317" s="17">
        <f>ROUND(J317*I317, 2)</f>
        <v>425732.36</v>
      </c>
      <c r="N317" s="17">
        <f>ROUND(I317*ROUND(K317, 2), 2)</f>
        <v>234688.18</v>
      </c>
      <c r="O317" s="17">
        <f>M317+N317</f>
        <v>660420.54</v>
      </c>
      <c r="P317" s="17">
        <f>IFERROR(ROUND(SUM(S318,S319,S320,S321)/I317, 2),0)</f>
        <v>858.02</v>
      </c>
      <c r="Q317" s="19">
        <v>709.49</v>
      </c>
      <c r="R317" s="17">
        <f>P317+ROUND(Q317, 2)</f>
        <v>1567.51</v>
      </c>
      <c r="S317" s="17">
        <f>ROUND(P317*I317, 2)</f>
        <v>425732.36</v>
      </c>
      <c r="T317" s="17">
        <f>ROUND(I317*ROUND(Q317, 2), 2)</f>
        <v>352034.75</v>
      </c>
      <c r="U317" s="17">
        <f>S317+T317</f>
        <v>777767.11</v>
      </c>
    </row>
    <row r="318" spans="1:21" ht="18" x14ac:dyDescent="0.3">
      <c r="A318" s="10" t="s">
        <v>1110</v>
      </c>
      <c r="B318" s="10"/>
      <c r="C318" s="30" t="s">
        <v>994</v>
      </c>
      <c r="D318" s="15"/>
      <c r="E318" s="15"/>
      <c r="F318" s="25" t="s">
        <v>278</v>
      </c>
      <c r="G318" s="26">
        <v>0.7</v>
      </c>
      <c r="H318" s="31"/>
      <c r="I318" s="31">
        <v>347.32600000000002</v>
      </c>
      <c r="J318" s="27">
        <v>16.38</v>
      </c>
      <c r="M318" s="28">
        <f>ROUND(ROUND(J318, 2)*I318, 2)</f>
        <v>5689.2</v>
      </c>
      <c r="P318" s="29">
        <v>16.38</v>
      </c>
      <c r="S318" s="28">
        <f>ROUND(ROUND(P318, 2)*I318, 2)</f>
        <v>5689.2</v>
      </c>
    </row>
    <row r="319" spans="1:21" ht="54" x14ac:dyDescent="0.3">
      <c r="A319" s="10" t="s">
        <v>1113</v>
      </c>
      <c r="B319" s="10"/>
      <c r="C319" s="24" t="s">
        <v>999</v>
      </c>
      <c r="D319" s="15"/>
      <c r="E319" s="15" t="s">
        <v>1114</v>
      </c>
      <c r="F319" s="25" t="s">
        <v>597</v>
      </c>
      <c r="G319" s="26">
        <v>1.84</v>
      </c>
      <c r="H319" s="31"/>
      <c r="I319" s="31">
        <v>912.971</v>
      </c>
      <c r="J319" s="27">
        <v>458.46</v>
      </c>
      <c r="M319" s="28">
        <f>ROUND(ROUND(J319, 2)*I319, 2)</f>
        <v>418560.68</v>
      </c>
      <c r="P319" s="29">
        <v>458.46</v>
      </c>
      <c r="S319" s="28">
        <f>ROUND(ROUND(P319, 2)*I319, 2)</f>
        <v>418560.68</v>
      </c>
    </row>
    <row r="320" spans="1:21" ht="36" x14ac:dyDescent="0.3">
      <c r="A320" s="10" t="s">
        <v>1117</v>
      </c>
      <c r="B320" s="10"/>
      <c r="C320" s="24" t="s">
        <v>950</v>
      </c>
      <c r="D320" s="15"/>
      <c r="E320" s="15" t="s">
        <v>1118</v>
      </c>
      <c r="F320" s="25" t="s">
        <v>278</v>
      </c>
      <c r="G320" s="26">
        <v>0.04</v>
      </c>
      <c r="H320" s="26"/>
      <c r="I320" s="26">
        <v>19.847000000000001</v>
      </c>
      <c r="J320" s="27">
        <v>40.94</v>
      </c>
      <c r="M320" s="28">
        <f>ROUND(ROUND(J320, 2)*I320, 2)</f>
        <v>812.54</v>
      </c>
      <c r="P320" s="29">
        <v>40.94</v>
      </c>
      <c r="S320" s="28">
        <f>ROUND(ROUND(P320, 2)*I320, 2)</f>
        <v>812.54</v>
      </c>
    </row>
    <row r="321" spans="1:21" ht="18" x14ac:dyDescent="0.3">
      <c r="A321" s="10" t="s">
        <v>1121</v>
      </c>
      <c r="B321" s="10"/>
      <c r="C321" s="24" t="s">
        <v>1007</v>
      </c>
      <c r="D321" s="15"/>
      <c r="E321" s="15"/>
      <c r="F321" s="25" t="s">
        <v>278</v>
      </c>
      <c r="G321" s="26">
        <v>1.4999999999999999E-2</v>
      </c>
      <c r="H321" s="26"/>
      <c r="I321" s="26">
        <v>7.4429999999999996</v>
      </c>
      <c r="J321" s="27">
        <v>90.28</v>
      </c>
      <c r="M321" s="28">
        <f>ROUND(ROUND(J321, 2)*I321, 2)</f>
        <v>671.95</v>
      </c>
      <c r="P321" s="29">
        <v>90.28</v>
      </c>
      <c r="S321" s="28">
        <f>ROUND(ROUND(P321, 2)*I321, 2)</f>
        <v>671.95</v>
      </c>
    </row>
    <row r="322" spans="1:21" ht="65.55" customHeight="1" x14ac:dyDescent="0.3">
      <c r="A322" s="10" t="s">
        <v>1124</v>
      </c>
      <c r="B322" s="10" t="s">
        <v>989</v>
      </c>
      <c r="C322" s="14" t="s">
        <v>990</v>
      </c>
      <c r="D322" s="15"/>
      <c r="E322" s="15" t="s">
        <v>1125</v>
      </c>
      <c r="F322" s="15" t="s">
        <v>102</v>
      </c>
      <c r="G322" s="16">
        <v>1</v>
      </c>
      <c r="H322" s="16"/>
      <c r="I322" s="16">
        <v>139.68</v>
      </c>
      <c r="J322" s="17">
        <f>IFERROR(ROUND(SUM(M323,M324,M325,M326)/I322, 2),0)</f>
        <v>381.39</v>
      </c>
      <c r="K322" s="18">
        <v>472.99</v>
      </c>
      <c r="L322" s="17">
        <f>J322+ROUND(K322, 2)</f>
        <v>854.38</v>
      </c>
      <c r="M322" s="17">
        <f>ROUND(J322*I322, 2)</f>
        <v>53272.56</v>
      </c>
      <c r="N322" s="17">
        <f>ROUND(I322*ROUND(K322, 2), 2)</f>
        <v>66067.240000000005</v>
      </c>
      <c r="O322" s="17">
        <f>M322+N322</f>
        <v>119339.8</v>
      </c>
      <c r="P322" s="17">
        <f>IFERROR(ROUND(SUM(S323,S324,S325,S326)/I322, 2),0)</f>
        <v>381.39</v>
      </c>
      <c r="Q322" s="19">
        <v>709.49</v>
      </c>
      <c r="R322" s="17">
        <f>P322+ROUND(Q322, 2)</f>
        <v>1090.8800000000001</v>
      </c>
      <c r="S322" s="17">
        <f>ROUND(P322*I322, 2)</f>
        <v>53272.56</v>
      </c>
      <c r="T322" s="17">
        <f>ROUND(I322*ROUND(Q322, 2), 2)</f>
        <v>99101.56</v>
      </c>
      <c r="U322" s="17">
        <f>S322+T322</f>
        <v>152374.12</v>
      </c>
    </row>
    <row r="323" spans="1:21" ht="18" x14ac:dyDescent="0.3">
      <c r="A323" s="10" t="s">
        <v>1126</v>
      </c>
      <c r="B323" s="10"/>
      <c r="C323" s="24" t="s">
        <v>1007</v>
      </c>
      <c r="D323" s="15"/>
      <c r="E323" s="15"/>
      <c r="F323" s="25" t="s">
        <v>278</v>
      </c>
      <c r="G323" s="26">
        <v>1.4999999999999999E-2</v>
      </c>
      <c r="H323" s="26"/>
      <c r="I323" s="26">
        <v>2.0950000000000002</v>
      </c>
      <c r="J323" s="27">
        <v>90.28</v>
      </c>
      <c r="M323" s="28">
        <f>ROUND(ROUND(J323, 2)*I323, 2)</f>
        <v>189.14</v>
      </c>
      <c r="P323" s="29">
        <v>90.28</v>
      </c>
      <c r="S323" s="28">
        <f>ROUND(ROUND(P323, 2)*I323, 2)</f>
        <v>189.14</v>
      </c>
    </row>
    <row r="324" spans="1:21" ht="18" x14ac:dyDescent="0.3">
      <c r="A324" s="10" t="s">
        <v>1129</v>
      </c>
      <c r="B324" s="10"/>
      <c r="C324" s="24" t="s">
        <v>858</v>
      </c>
      <c r="D324" s="15"/>
      <c r="E324" s="15"/>
      <c r="F324" s="25" t="s">
        <v>278</v>
      </c>
      <c r="G324" s="26">
        <v>0.04</v>
      </c>
      <c r="H324" s="26"/>
      <c r="I324" s="26">
        <v>5.5869999999999997</v>
      </c>
      <c r="J324" s="27">
        <v>48.23</v>
      </c>
      <c r="M324" s="28">
        <f>ROUND(ROUND(J324, 2)*I324, 2)</f>
        <v>269.45999999999998</v>
      </c>
      <c r="P324" s="29">
        <v>48.23</v>
      </c>
      <c r="S324" s="28">
        <f>ROUND(ROUND(P324, 2)*I324, 2)</f>
        <v>269.45999999999998</v>
      </c>
    </row>
    <row r="325" spans="1:21" ht="72" x14ac:dyDescent="0.3">
      <c r="A325" s="10" t="s">
        <v>1132</v>
      </c>
      <c r="B325" s="10"/>
      <c r="C325" s="24" t="s">
        <v>1133</v>
      </c>
      <c r="D325" s="15"/>
      <c r="E325" s="15" t="s">
        <v>1134</v>
      </c>
      <c r="F325" s="25" t="s">
        <v>597</v>
      </c>
      <c r="G325" s="26">
        <v>1.84</v>
      </c>
      <c r="H325" s="31"/>
      <c r="I325" s="31">
        <v>257.01100000000002</v>
      </c>
      <c r="J325" s="27">
        <v>199.26</v>
      </c>
      <c r="M325" s="28">
        <f>ROUND(ROUND(J325, 2)*I325, 2)</f>
        <v>51212.01</v>
      </c>
      <c r="P325" s="29">
        <v>199.26</v>
      </c>
      <c r="S325" s="28">
        <f>ROUND(ROUND(P325, 2)*I325, 2)</f>
        <v>51212.01</v>
      </c>
    </row>
    <row r="326" spans="1:21" ht="18" x14ac:dyDescent="0.3">
      <c r="A326" s="10" t="s">
        <v>1138</v>
      </c>
      <c r="B326" s="10"/>
      <c r="C326" s="30" t="s">
        <v>994</v>
      </c>
      <c r="D326" s="15"/>
      <c r="E326" s="15"/>
      <c r="F326" s="25" t="s">
        <v>278</v>
      </c>
      <c r="G326" s="26">
        <v>0.7</v>
      </c>
      <c r="H326" s="31"/>
      <c r="I326" s="31">
        <v>97.775999999999996</v>
      </c>
      <c r="J326" s="27">
        <v>16.38</v>
      </c>
      <c r="M326" s="28">
        <f>ROUND(ROUND(J326, 2)*I326, 2)</f>
        <v>1601.57</v>
      </c>
      <c r="P326" s="29">
        <v>16.38</v>
      </c>
      <c r="S326" s="28">
        <f>ROUND(ROUND(P326, 2)*I326, 2)</f>
        <v>1601.57</v>
      </c>
    </row>
    <row r="327" spans="1:21" ht="36" x14ac:dyDescent="0.3">
      <c r="A327" s="10" t="s">
        <v>1141</v>
      </c>
      <c r="B327" s="10" t="s">
        <v>1142</v>
      </c>
      <c r="C327" s="14" t="s">
        <v>1143</v>
      </c>
      <c r="D327" s="15"/>
      <c r="E327" s="15"/>
      <c r="F327" s="15" t="s">
        <v>62</v>
      </c>
      <c r="G327" s="16">
        <v>1</v>
      </c>
      <c r="H327" s="16"/>
      <c r="I327" s="16">
        <v>0</v>
      </c>
      <c r="J327" s="17">
        <v>0</v>
      </c>
      <c r="K327" s="18">
        <v>1655</v>
      </c>
      <c r="L327" s="17">
        <f>J327+ROUND(K327, 2)</f>
        <v>1655</v>
      </c>
      <c r="M327" s="17">
        <v>0</v>
      </c>
      <c r="N327" s="17">
        <v>0</v>
      </c>
      <c r="O327" s="17">
        <f>M327+N327</f>
        <v>0</v>
      </c>
      <c r="P327" s="17">
        <v>1046.53</v>
      </c>
      <c r="Q327" s="18">
        <v>1655</v>
      </c>
      <c r="R327" s="17">
        <f>P327+ROUND(Q327, 2)</f>
        <v>2701.5299999999997</v>
      </c>
      <c r="S327" s="17">
        <v>0</v>
      </c>
      <c r="T327" s="17">
        <v>0</v>
      </c>
      <c r="U327" s="17">
        <f>S327+T327</f>
        <v>0</v>
      </c>
    </row>
    <row r="328" spans="1:21" ht="18" x14ac:dyDescent="0.3">
      <c r="A328" s="10" t="s">
        <v>1146</v>
      </c>
      <c r="B328" s="10"/>
      <c r="C328" s="30" t="s">
        <v>1147</v>
      </c>
      <c r="D328" s="15"/>
      <c r="E328" s="15"/>
      <c r="F328" s="25" t="s">
        <v>278</v>
      </c>
      <c r="G328" s="26">
        <v>7</v>
      </c>
      <c r="H328" s="26"/>
      <c r="I328" s="26">
        <v>0</v>
      </c>
      <c r="J328" s="27">
        <v>16.96</v>
      </c>
      <c r="M328" s="28">
        <f>ROUND(ROUND(J328, 2)*I328, 2)</f>
        <v>0</v>
      </c>
      <c r="P328" s="27">
        <v>16.96</v>
      </c>
      <c r="S328" s="28">
        <f>ROUND(ROUND(P328, 2)*I328, 2)</f>
        <v>0</v>
      </c>
    </row>
    <row r="329" spans="1:21" ht="36" x14ac:dyDescent="0.3">
      <c r="A329" s="10" t="s">
        <v>1151</v>
      </c>
      <c r="B329" s="10"/>
      <c r="C329" s="24" t="s">
        <v>1152</v>
      </c>
      <c r="D329" s="15"/>
      <c r="E329" s="15"/>
      <c r="F329" s="25" t="s">
        <v>62</v>
      </c>
      <c r="G329" s="26">
        <v>1.07</v>
      </c>
      <c r="H329" s="31"/>
      <c r="I329" s="31">
        <v>0</v>
      </c>
      <c r="J329" s="27">
        <v>845.25</v>
      </c>
      <c r="M329" s="28">
        <f>ROUND(ROUND(J329, 2)*I329, 2)</f>
        <v>0</v>
      </c>
      <c r="P329" s="27">
        <v>845.25</v>
      </c>
      <c r="S329" s="28">
        <f>ROUND(ROUND(P329, 2)*I329, 2)</f>
        <v>0</v>
      </c>
    </row>
    <row r="330" spans="1:21" ht="18" x14ac:dyDescent="0.3">
      <c r="A330" s="10" t="s">
        <v>1156</v>
      </c>
      <c r="B330" s="10"/>
      <c r="C330" s="24" t="s">
        <v>1157</v>
      </c>
      <c r="D330" s="15"/>
      <c r="E330" s="15"/>
      <c r="F330" s="25" t="s">
        <v>278</v>
      </c>
      <c r="G330" s="26">
        <v>0.25</v>
      </c>
      <c r="H330" s="31"/>
      <c r="I330" s="31">
        <v>0</v>
      </c>
      <c r="J330" s="27">
        <v>40.270000000000003</v>
      </c>
      <c r="M330" s="28">
        <f>ROUND(ROUND(J330, 2)*I330, 2)</f>
        <v>0</v>
      </c>
      <c r="P330" s="27">
        <v>40.270000000000003</v>
      </c>
      <c r="S330" s="28">
        <f>ROUND(ROUND(P330, 2)*I330, 2)</f>
        <v>0</v>
      </c>
    </row>
    <row r="331" spans="1:21" ht="18" x14ac:dyDescent="0.3">
      <c r="A331" s="10" t="s">
        <v>1161</v>
      </c>
      <c r="B331" s="10"/>
      <c r="C331" s="24" t="s">
        <v>1007</v>
      </c>
      <c r="D331" s="15"/>
      <c r="E331" s="15"/>
      <c r="F331" s="25" t="s">
        <v>278</v>
      </c>
      <c r="G331" s="26">
        <v>0.15</v>
      </c>
      <c r="H331" s="26"/>
      <c r="I331" s="26">
        <v>0</v>
      </c>
      <c r="J331" s="27">
        <v>88.8</v>
      </c>
      <c r="M331" s="28">
        <f>ROUND(ROUND(J331, 2)*I331, 2)</f>
        <v>0</v>
      </c>
      <c r="P331" s="27">
        <v>88.8</v>
      </c>
      <c r="S331" s="28">
        <f>ROUND(ROUND(P331, 2)*I331, 2)</f>
        <v>0</v>
      </c>
    </row>
    <row r="332" spans="1:21" ht="36" x14ac:dyDescent="0.3">
      <c r="A332" s="10" t="s">
        <v>1164</v>
      </c>
      <c r="B332" s="10" t="s">
        <v>1142</v>
      </c>
      <c r="C332" s="14" t="s">
        <v>1143</v>
      </c>
      <c r="D332" s="15"/>
      <c r="E332" s="15" t="s">
        <v>1165</v>
      </c>
      <c r="F332" s="15" t="s">
        <v>62</v>
      </c>
      <c r="G332" s="16">
        <v>1</v>
      </c>
      <c r="H332" s="16"/>
      <c r="I332" s="16">
        <v>370.9</v>
      </c>
      <c r="J332" s="17">
        <v>1040.6600000000001</v>
      </c>
      <c r="K332" s="18">
        <v>1655</v>
      </c>
      <c r="L332" s="17">
        <f>J332+ROUND(K332, 2)</f>
        <v>2695.66</v>
      </c>
      <c r="M332" s="17">
        <v>385980.79</v>
      </c>
      <c r="N332" s="17">
        <v>613839.5</v>
      </c>
      <c r="O332" s="17">
        <f>M332+N332</f>
        <v>999820.29</v>
      </c>
      <c r="P332" s="17">
        <v>1040.58</v>
      </c>
      <c r="Q332" s="18">
        <v>2482.5</v>
      </c>
      <c r="R332" s="17">
        <f>P332+ROUND(Q332, 2)</f>
        <v>3523.08</v>
      </c>
      <c r="S332" s="17">
        <v>385951.12</v>
      </c>
      <c r="T332" s="17">
        <v>920759.25</v>
      </c>
      <c r="U332" s="17">
        <f>S332+T332</f>
        <v>1306710.3700000001</v>
      </c>
    </row>
    <row r="333" spans="1:21" ht="18" x14ac:dyDescent="0.3">
      <c r="A333" s="10" t="s">
        <v>1166</v>
      </c>
      <c r="B333" s="10"/>
      <c r="C333" s="24" t="s">
        <v>1007</v>
      </c>
      <c r="D333" s="15"/>
      <c r="E333" s="15"/>
      <c r="F333" s="25" t="s">
        <v>278</v>
      </c>
      <c r="G333" s="26">
        <v>0.15</v>
      </c>
      <c r="H333" s="26"/>
      <c r="I333" s="26">
        <v>55.634999999999998</v>
      </c>
      <c r="J333" s="27">
        <v>88.8</v>
      </c>
      <c r="M333" s="28">
        <f>ROUND(ROUND(J333, 2)*I333, 2)</f>
        <v>4940.3900000000003</v>
      </c>
      <c r="P333" s="27">
        <v>88.8</v>
      </c>
      <c r="S333" s="28">
        <f>ROUND(ROUND(P333, 2)*I333, 2)</f>
        <v>4940.3900000000003</v>
      </c>
    </row>
    <row r="334" spans="1:21" ht="18" x14ac:dyDescent="0.3">
      <c r="A334" s="10" t="s">
        <v>1169</v>
      </c>
      <c r="B334" s="10"/>
      <c r="C334" s="24" t="s">
        <v>1157</v>
      </c>
      <c r="D334" s="15"/>
      <c r="E334" s="15"/>
      <c r="F334" s="25" t="s">
        <v>278</v>
      </c>
      <c r="G334" s="26">
        <v>0.25</v>
      </c>
      <c r="H334" s="31"/>
      <c r="I334" s="31">
        <v>92.724999999999994</v>
      </c>
      <c r="J334" s="27">
        <v>40.270000000000003</v>
      </c>
      <c r="M334" s="28">
        <f>ROUND(ROUND(J334, 2)*I334, 2)</f>
        <v>3734.04</v>
      </c>
      <c r="P334" s="27">
        <v>40.270000000000003</v>
      </c>
      <c r="S334" s="28">
        <f>ROUND(ROUND(P334, 2)*I334, 2)</f>
        <v>3734.04</v>
      </c>
    </row>
    <row r="335" spans="1:21" ht="72" x14ac:dyDescent="0.3">
      <c r="A335" s="10" t="s">
        <v>1172</v>
      </c>
      <c r="B335" s="10"/>
      <c r="C335" s="24" t="s">
        <v>1152</v>
      </c>
      <c r="D335" s="15"/>
      <c r="E335" s="15" t="s">
        <v>1173</v>
      </c>
      <c r="F335" s="25" t="s">
        <v>62</v>
      </c>
      <c r="G335" s="26">
        <v>1.07</v>
      </c>
      <c r="H335" s="31"/>
      <c r="I335" s="31">
        <v>396.863</v>
      </c>
      <c r="J335" s="27">
        <v>845.26</v>
      </c>
      <c r="M335" s="28">
        <f>ROUND(ROUND(J335, 2)*I335, 2)</f>
        <v>335452.42</v>
      </c>
      <c r="P335" s="27">
        <v>845.25</v>
      </c>
      <c r="S335" s="28">
        <f>ROUND(ROUND(P335, 2)*I335, 2)</f>
        <v>335448.45</v>
      </c>
    </row>
    <row r="336" spans="1:21" ht="18" x14ac:dyDescent="0.3">
      <c r="A336" s="10" t="s">
        <v>1176</v>
      </c>
      <c r="B336" s="10"/>
      <c r="C336" s="30" t="s">
        <v>1147</v>
      </c>
      <c r="D336" s="15"/>
      <c r="E336" s="15"/>
      <c r="F336" s="25" t="s">
        <v>278</v>
      </c>
      <c r="G336" s="26">
        <v>7</v>
      </c>
      <c r="H336" s="26"/>
      <c r="I336" s="26">
        <v>2596.3000000000002</v>
      </c>
      <c r="J336" s="27">
        <v>16.12</v>
      </c>
      <c r="M336" s="28">
        <f>ROUND(ROUND(J336, 2)*I336, 2)</f>
        <v>41852.36</v>
      </c>
      <c r="P336" s="27">
        <v>16.11</v>
      </c>
      <c r="S336" s="28">
        <f>ROUND(ROUND(P336, 2)*I336, 2)</f>
        <v>41826.39</v>
      </c>
    </row>
    <row r="337" spans="1:21" ht="75.45" customHeight="1" x14ac:dyDescent="0.3">
      <c r="A337" s="10" t="s">
        <v>1179</v>
      </c>
      <c r="B337" s="10" t="s">
        <v>1142</v>
      </c>
      <c r="C337" s="14" t="s">
        <v>1143</v>
      </c>
      <c r="D337" s="15"/>
      <c r="E337" s="15" t="s">
        <v>1180</v>
      </c>
      <c r="F337" s="15" t="s">
        <v>62</v>
      </c>
      <c r="G337" s="16">
        <v>1</v>
      </c>
      <c r="H337" s="16"/>
      <c r="I337" s="16">
        <v>90.87</v>
      </c>
      <c r="J337" s="17">
        <f>IFERROR(ROUND(SUM(M338,M339,M340,M341)/I337, 2),0)</f>
        <v>1057.93</v>
      </c>
      <c r="K337" s="18">
        <v>1655</v>
      </c>
      <c r="L337" s="17">
        <f>J337+ROUND(K337, 2)</f>
        <v>2712.9300000000003</v>
      </c>
      <c r="M337" s="17">
        <f>ROUND(J337*I337, 2)</f>
        <v>96134.1</v>
      </c>
      <c r="N337" s="17">
        <f>ROUND(I337*ROUND(K337, 2), 2)</f>
        <v>150389.85</v>
      </c>
      <c r="O337" s="17">
        <f>M337+N337</f>
        <v>246523.95</v>
      </c>
      <c r="P337" s="17">
        <f>IFERROR(ROUND(SUM(S338,S339,S340,S341)/I337, 2),0)</f>
        <v>1057.93</v>
      </c>
      <c r="Q337" s="19">
        <v>2482.5</v>
      </c>
      <c r="R337" s="17">
        <f>P337+ROUND(Q337, 2)</f>
        <v>3540.4300000000003</v>
      </c>
      <c r="S337" s="17">
        <f>ROUND(P337*I337, 2)</f>
        <v>96134.1</v>
      </c>
      <c r="T337" s="17">
        <f>ROUND(I337*ROUND(Q337, 2), 2)</f>
        <v>225584.78</v>
      </c>
      <c r="U337" s="17">
        <f>S337+T337</f>
        <v>321718.88</v>
      </c>
    </row>
    <row r="338" spans="1:21" ht="18" x14ac:dyDescent="0.3">
      <c r="A338" s="10" t="s">
        <v>1181</v>
      </c>
      <c r="B338" s="10"/>
      <c r="C338" s="30" t="s">
        <v>1147</v>
      </c>
      <c r="D338" s="15"/>
      <c r="E338" s="15"/>
      <c r="F338" s="25" t="s">
        <v>278</v>
      </c>
      <c r="G338" s="26">
        <v>7</v>
      </c>
      <c r="H338" s="26"/>
      <c r="I338" s="26">
        <v>636.09</v>
      </c>
      <c r="J338" s="27">
        <v>16.38</v>
      </c>
      <c r="M338" s="28">
        <f>ROUND(ROUND(J338, 2)*I338, 2)</f>
        <v>10419.15</v>
      </c>
      <c r="P338" s="29">
        <v>16.38</v>
      </c>
      <c r="S338" s="28">
        <f>ROUND(ROUND(P338, 2)*I338, 2)</f>
        <v>10419.15</v>
      </c>
    </row>
    <row r="339" spans="1:21" ht="72" x14ac:dyDescent="0.3">
      <c r="A339" s="10" t="s">
        <v>1184</v>
      </c>
      <c r="B339" s="10"/>
      <c r="C339" s="24" t="s">
        <v>1152</v>
      </c>
      <c r="D339" s="15"/>
      <c r="E339" s="15" t="s">
        <v>1185</v>
      </c>
      <c r="F339" s="25" t="s">
        <v>62</v>
      </c>
      <c r="G339" s="26">
        <v>1.07</v>
      </c>
      <c r="H339" s="31"/>
      <c r="I339" s="31">
        <v>97.230999999999995</v>
      </c>
      <c r="J339" s="27">
        <v>859.34</v>
      </c>
      <c r="M339" s="28">
        <f>ROUND(ROUND(J339, 2)*I339, 2)</f>
        <v>83554.490000000005</v>
      </c>
      <c r="P339" s="29">
        <v>859.34</v>
      </c>
      <c r="S339" s="28">
        <f>ROUND(ROUND(P339, 2)*I339, 2)</f>
        <v>83554.490000000005</v>
      </c>
    </row>
    <row r="340" spans="1:21" ht="18" x14ac:dyDescent="0.3">
      <c r="A340" s="10" t="s">
        <v>1188</v>
      </c>
      <c r="B340" s="10"/>
      <c r="C340" s="24" t="s">
        <v>1157</v>
      </c>
      <c r="D340" s="15"/>
      <c r="E340" s="15"/>
      <c r="F340" s="25" t="s">
        <v>278</v>
      </c>
      <c r="G340" s="26">
        <v>0.25</v>
      </c>
      <c r="H340" s="31"/>
      <c r="I340" s="31">
        <v>22.718</v>
      </c>
      <c r="J340" s="27">
        <v>40.94</v>
      </c>
      <c r="M340" s="28">
        <f>ROUND(ROUND(J340, 2)*I340, 2)</f>
        <v>930.07</v>
      </c>
      <c r="P340" s="29">
        <v>40.94</v>
      </c>
      <c r="S340" s="28">
        <f>ROUND(ROUND(P340, 2)*I340, 2)</f>
        <v>930.07</v>
      </c>
    </row>
    <row r="341" spans="1:21" ht="18" x14ac:dyDescent="0.3">
      <c r="A341" s="10" t="s">
        <v>1191</v>
      </c>
      <c r="B341" s="10"/>
      <c r="C341" s="24" t="s">
        <v>1007</v>
      </c>
      <c r="D341" s="15"/>
      <c r="E341" s="15"/>
      <c r="F341" s="25" t="s">
        <v>278</v>
      </c>
      <c r="G341" s="26">
        <v>0.15</v>
      </c>
      <c r="H341" s="26"/>
      <c r="I341" s="26">
        <v>13.631</v>
      </c>
      <c r="J341" s="27">
        <v>90.28</v>
      </c>
      <c r="M341" s="28">
        <f>ROUND(ROUND(J341, 2)*I341, 2)</f>
        <v>1230.6099999999999</v>
      </c>
      <c r="P341" s="29">
        <v>90.28</v>
      </c>
      <c r="S341" s="28">
        <f>ROUND(ROUND(P341, 2)*I341, 2)</f>
        <v>1230.6099999999999</v>
      </c>
    </row>
    <row r="342" spans="1:21" ht="36" x14ac:dyDescent="0.3">
      <c r="A342" s="10" t="s">
        <v>1194</v>
      </c>
      <c r="B342" s="10" t="s">
        <v>1195</v>
      </c>
      <c r="C342" s="14" t="s">
        <v>1196</v>
      </c>
      <c r="D342" s="15"/>
      <c r="E342" s="15"/>
      <c r="F342" s="15" t="s">
        <v>62</v>
      </c>
      <c r="G342" s="16">
        <v>1</v>
      </c>
      <c r="H342" s="16"/>
      <c r="I342" s="16">
        <v>0</v>
      </c>
      <c r="J342" s="17">
        <v>0</v>
      </c>
      <c r="K342" s="18">
        <v>2785</v>
      </c>
      <c r="L342" s="17">
        <f>J342+ROUND(K342, 2)</f>
        <v>2785</v>
      </c>
      <c r="M342" s="17">
        <v>0</v>
      </c>
      <c r="N342" s="17">
        <v>0</v>
      </c>
      <c r="O342" s="17">
        <f>M342+N342</f>
        <v>0</v>
      </c>
      <c r="P342" s="17">
        <v>2064.9</v>
      </c>
      <c r="Q342" s="18">
        <v>2785</v>
      </c>
      <c r="R342" s="17">
        <f>P342+ROUND(Q342, 2)</f>
        <v>4849.8999999999996</v>
      </c>
      <c r="S342" s="17">
        <v>0</v>
      </c>
      <c r="T342" s="17">
        <v>0</v>
      </c>
      <c r="U342" s="17">
        <f>S342+T342</f>
        <v>0</v>
      </c>
    </row>
    <row r="343" spans="1:21" ht="18" x14ac:dyDescent="0.3">
      <c r="A343" s="10" t="s">
        <v>1199</v>
      </c>
      <c r="B343" s="10"/>
      <c r="C343" s="30" t="s">
        <v>1200</v>
      </c>
      <c r="D343" s="15"/>
      <c r="E343" s="15"/>
      <c r="F343" s="25" t="s">
        <v>278</v>
      </c>
      <c r="G343" s="26">
        <v>1.2</v>
      </c>
      <c r="H343" s="31"/>
      <c r="I343" s="31">
        <v>0</v>
      </c>
      <c r="J343" s="27">
        <v>16.96</v>
      </c>
      <c r="M343" s="28">
        <f>ROUND(ROUND(J343, 2)*I343, 2)</f>
        <v>0</v>
      </c>
      <c r="P343" s="27">
        <v>16.96</v>
      </c>
      <c r="S343" s="28">
        <f>ROUND(ROUND(P343, 2)*I343, 2)</f>
        <v>0</v>
      </c>
    </row>
    <row r="344" spans="1:21" ht="36" x14ac:dyDescent="0.3">
      <c r="A344" s="10" t="s">
        <v>1204</v>
      </c>
      <c r="B344" s="10"/>
      <c r="C344" s="24" t="s">
        <v>1205</v>
      </c>
      <c r="D344" s="15"/>
      <c r="E344" s="15"/>
      <c r="F344" s="25" t="s">
        <v>62</v>
      </c>
      <c r="G344" s="26">
        <v>1.2</v>
      </c>
      <c r="H344" s="31"/>
      <c r="I344" s="31">
        <v>0</v>
      </c>
      <c r="J344" s="27">
        <v>2021.25</v>
      </c>
      <c r="M344" s="28">
        <f>ROUND(ROUND(J344, 2)*I344, 2)</f>
        <v>0</v>
      </c>
      <c r="P344" s="27">
        <v>1684.3</v>
      </c>
      <c r="S344" s="28">
        <f>ROUND(ROUND(P344, 2)*I344, 2)</f>
        <v>0</v>
      </c>
    </row>
    <row r="345" spans="1:21" ht="18" x14ac:dyDescent="0.3">
      <c r="A345" s="10" t="s">
        <v>1209</v>
      </c>
      <c r="B345" s="10"/>
      <c r="C345" s="24" t="s">
        <v>1157</v>
      </c>
      <c r="D345" s="15"/>
      <c r="E345" s="15"/>
      <c r="F345" s="25" t="s">
        <v>278</v>
      </c>
      <c r="G345" s="26">
        <v>0.25</v>
      </c>
      <c r="H345" s="31"/>
      <c r="I345" s="31">
        <v>0</v>
      </c>
      <c r="J345" s="27">
        <v>40.270000000000003</v>
      </c>
      <c r="M345" s="28">
        <f>ROUND(ROUND(J345, 2)*I345, 2)</f>
        <v>0</v>
      </c>
      <c r="P345" s="27">
        <v>40.270000000000003</v>
      </c>
      <c r="S345" s="28">
        <f>ROUND(ROUND(P345, 2)*I345, 2)</f>
        <v>0</v>
      </c>
    </row>
    <row r="346" spans="1:21" ht="18" x14ac:dyDescent="0.3">
      <c r="A346" s="10" t="s">
        <v>1212</v>
      </c>
      <c r="B346" s="10"/>
      <c r="C346" s="24" t="s">
        <v>1007</v>
      </c>
      <c r="D346" s="15"/>
      <c r="E346" s="15"/>
      <c r="F346" s="25" t="s">
        <v>278</v>
      </c>
      <c r="G346" s="26">
        <v>0.15</v>
      </c>
      <c r="H346" s="26"/>
      <c r="I346" s="26">
        <v>0</v>
      </c>
      <c r="J346" s="27">
        <v>88.8</v>
      </c>
      <c r="M346" s="28">
        <f>ROUND(ROUND(J346, 2)*I346, 2)</f>
        <v>0</v>
      </c>
      <c r="P346" s="27">
        <v>88.8</v>
      </c>
      <c r="S346" s="28">
        <f>ROUND(ROUND(P346, 2)*I346, 2)</f>
        <v>0</v>
      </c>
    </row>
    <row r="347" spans="1:21" ht="36" x14ac:dyDescent="0.3">
      <c r="A347" s="10" t="s">
        <v>1215</v>
      </c>
      <c r="B347" s="10" t="s">
        <v>1195</v>
      </c>
      <c r="C347" s="14" t="s">
        <v>1196</v>
      </c>
      <c r="D347" s="15"/>
      <c r="E347" s="15"/>
      <c r="F347" s="15" t="s">
        <v>62</v>
      </c>
      <c r="G347" s="16">
        <v>1</v>
      </c>
      <c r="H347" s="16"/>
      <c r="I347" s="16">
        <v>0</v>
      </c>
      <c r="J347" s="17">
        <v>0</v>
      </c>
      <c r="K347" s="18">
        <v>2785</v>
      </c>
      <c r="L347" s="17">
        <f>J347+ROUND(K347, 2)</f>
        <v>2785</v>
      </c>
      <c r="M347" s="17">
        <v>0</v>
      </c>
      <c r="N347" s="17">
        <v>0</v>
      </c>
      <c r="O347" s="17">
        <f>M347+N347</f>
        <v>0</v>
      </c>
      <c r="P347" s="17">
        <v>2054.6999999999998</v>
      </c>
      <c r="Q347" s="18">
        <v>2785</v>
      </c>
      <c r="R347" s="17">
        <f>P347+ROUND(Q347, 2)</f>
        <v>4839.7</v>
      </c>
      <c r="S347" s="17">
        <v>0</v>
      </c>
      <c r="T347" s="17">
        <v>0</v>
      </c>
      <c r="U347" s="17">
        <f>S347+T347</f>
        <v>0</v>
      </c>
    </row>
    <row r="348" spans="1:21" ht="18" x14ac:dyDescent="0.3">
      <c r="A348" s="10" t="s">
        <v>1216</v>
      </c>
      <c r="B348" s="10"/>
      <c r="C348" s="24" t="s">
        <v>1007</v>
      </c>
      <c r="D348" s="15"/>
      <c r="E348" s="15"/>
      <c r="F348" s="25" t="s">
        <v>278</v>
      </c>
      <c r="G348" s="26">
        <v>0.15</v>
      </c>
      <c r="H348" s="26"/>
      <c r="I348" s="26">
        <v>0</v>
      </c>
      <c r="J348" s="27">
        <v>88.8</v>
      </c>
      <c r="M348" s="28">
        <f>ROUND(ROUND(J348, 2)*I348, 2)</f>
        <v>0</v>
      </c>
      <c r="P348" s="27">
        <v>88.8</v>
      </c>
      <c r="S348" s="28">
        <f>ROUND(ROUND(P348, 2)*I348, 2)</f>
        <v>0</v>
      </c>
    </row>
    <row r="349" spans="1:21" ht="18" x14ac:dyDescent="0.3">
      <c r="A349" s="10" t="s">
        <v>1219</v>
      </c>
      <c r="B349" s="10"/>
      <c r="C349" s="24" t="s">
        <v>1157</v>
      </c>
      <c r="D349" s="15"/>
      <c r="E349" s="15"/>
      <c r="F349" s="25" t="s">
        <v>278</v>
      </c>
      <c r="G349" s="26">
        <v>0.25</v>
      </c>
      <c r="H349" s="31"/>
      <c r="I349" s="31">
        <v>0</v>
      </c>
      <c r="J349" s="27">
        <v>40.270000000000003</v>
      </c>
      <c r="M349" s="28">
        <f>ROUND(ROUND(J349, 2)*I349, 2)</f>
        <v>0</v>
      </c>
      <c r="P349" s="27">
        <v>40.270000000000003</v>
      </c>
      <c r="S349" s="28">
        <f>ROUND(ROUND(P349, 2)*I349, 2)</f>
        <v>0</v>
      </c>
    </row>
    <row r="350" spans="1:21" ht="36" x14ac:dyDescent="0.3">
      <c r="A350" s="10" t="s">
        <v>1222</v>
      </c>
      <c r="B350" s="10"/>
      <c r="C350" s="24" t="s">
        <v>1205</v>
      </c>
      <c r="D350" s="15"/>
      <c r="E350" s="15"/>
      <c r="F350" s="25" t="s">
        <v>62</v>
      </c>
      <c r="G350" s="26">
        <v>1.2</v>
      </c>
      <c r="H350" s="31"/>
      <c r="I350" s="31">
        <v>0</v>
      </c>
      <c r="J350" s="27">
        <v>2021.25</v>
      </c>
      <c r="M350" s="28">
        <f>ROUND(ROUND(J350, 2)*I350, 2)</f>
        <v>0</v>
      </c>
      <c r="P350" s="27">
        <v>1675.8</v>
      </c>
      <c r="S350" s="28">
        <f>ROUND(ROUND(P350, 2)*I350, 2)</f>
        <v>0</v>
      </c>
    </row>
    <row r="351" spans="1:21" ht="18" x14ac:dyDescent="0.3">
      <c r="A351" s="10" t="s">
        <v>1225</v>
      </c>
      <c r="B351" s="10"/>
      <c r="C351" s="30" t="s">
        <v>1200</v>
      </c>
      <c r="D351" s="15"/>
      <c r="E351" s="15"/>
      <c r="F351" s="25" t="s">
        <v>278</v>
      </c>
      <c r="G351" s="26">
        <v>1.2</v>
      </c>
      <c r="H351" s="31"/>
      <c r="I351" s="31">
        <v>0</v>
      </c>
      <c r="J351" s="27">
        <v>16.96</v>
      </c>
      <c r="M351" s="28">
        <f>ROUND(ROUND(J351, 2)*I351, 2)</f>
        <v>0</v>
      </c>
      <c r="P351" s="27">
        <v>16.96</v>
      </c>
      <c r="S351" s="28">
        <f>ROUND(ROUND(P351, 2)*I351, 2)</f>
        <v>0</v>
      </c>
    </row>
    <row r="352" spans="1:21" ht="36" x14ac:dyDescent="0.3">
      <c r="A352" s="10" t="s">
        <v>1228</v>
      </c>
      <c r="B352" s="10" t="s">
        <v>1195</v>
      </c>
      <c r="C352" s="14" t="s">
        <v>1196</v>
      </c>
      <c r="D352" s="15"/>
      <c r="E352" s="15"/>
      <c r="F352" s="15" t="s">
        <v>62</v>
      </c>
      <c r="G352" s="16">
        <v>1</v>
      </c>
      <c r="H352" s="16"/>
      <c r="I352" s="16">
        <v>0</v>
      </c>
      <c r="J352" s="17">
        <v>0</v>
      </c>
      <c r="K352" s="18">
        <v>2785</v>
      </c>
      <c r="L352" s="17">
        <f>J352+ROUND(K352, 2)</f>
        <v>2785</v>
      </c>
      <c r="M352" s="17">
        <v>0</v>
      </c>
      <c r="N352" s="17">
        <v>0</v>
      </c>
      <c r="O352" s="17">
        <f>M352+N352</f>
        <v>0</v>
      </c>
      <c r="P352" s="17">
        <v>1990.74</v>
      </c>
      <c r="Q352" s="18">
        <v>2785</v>
      </c>
      <c r="R352" s="17">
        <f>P352+ROUND(Q352, 2)</f>
        <v>4775.74</v>
      </c>
      <c r="S352" s="17">
        <v>0</v>
      </c>
      <c r="T352" s="17">
        <v>0</v>
      </c>
      <c r="U352" s="17">
        <f>S352+T352</f>
        <v>0</v>
      </c>
    </row>
    <row r="353" spans="1:21" ht="18" x14ac:dyDescent="0.3">
      <c r="A353" s="10" t="s">
        <v>1229</v>
      </c>
      <c r="B353" s="10"/>
      <c r="C353" s="30" t="s">
        <v>1200</v>
      </c>
      <c r="D353" s="15"/>
      <c r="E353" s="15"/>
      <c r="F353" s="25" t="s">
        <v>278</v>
      </c>
      <c r="G353" s="26">
        <v>1.2</v>
      </c>
      <c r="H353" s="31"/>
      <c r="I353" s="31">
        <v>0</v>
      </c>
      <c r="J353" s="27">
        <v>16.96</v>
      </c>
      <c r="M353" s="28">
        <f>ROUND(ROUND(J353, 2)*I353, 2)</f>
        <v>0</v>
      </c>
      <c r="P353" s="27">
        <v>16.96</v>
      </c>
      <c r="S353" s="28">
        <f>ROUND(ROUND(P353, 2)*I353, 2)</f>
        <v>0</v>
      </c>
    </row>
    <row r="354" spans="1:21" ht="36" x14ac:dyDescent="0.3">
      <c r="A354" s="10" t="s">
        <v>1232</v>
      </c>
      <c r="B354" s="10"/>
      <c r="C354" s="24" t="s">
        <v>1205</v>
      </c>
      <c r="D354" s="15"/>
      <c r="E354" s="15"/>
      <c r="F354" s="25" t="s">
        <v>62</v>
      </c>
      <c r="G354" s="26">
        <v>1.2</v>
      </c>
      <c r="H354" s="31"/>
      <c r="I354" s="31">
        <v>0</v>
      </c>
      <c r="J354" s="27">
        <v>2021.25</v>
      </c>
      <c r="M354" s="28">
        <f>ROUND(ROUND(J354, 2)*I354, 2)</f>
        <v>0</v>
      </c>
      <c r="P354" s="27">
        <v>1622.5</v>
      </c>
      <c r="S354" s="28">
        <f>ROUND(ROUND(P354, 2)*I354, 2)</f>
        <v>0</v>
      </c>
    </row>
    <row r="355" spans="1:21" ht="18" x14ac:dyDescent="0.3">
      <c r="A355" s="10" t="s">
        <v>1235</v>
      </c>
      <c r="B355" s="10"/>
      <c r="C355" s="24" t="s">
        <v>1157</v>
      </c>
      <c r="D355" s="15"/>
      <c r="E355" s="15"/>
      <c r="F355" s="25" t="s">
        <v>278</v>
      </c>
      <c r="G355" s="26">
        <v>0.25</v>
      </c>
      <c r="H355" s="31"/>
      <c r="I355" s="31">
        <v>0</v>
      </c>
      <c r="J355" s="27">
        <v>40.270000000000003</v>
      </c>
      <c r="M355" s="28">
        <f>ROUND(ROUND(J355, 2)*I355, 2)</f>
        <v>0</v>
      </c>
      <c r="P355" s="27">
        <v>40.270000000000003</v>
      </c>
      <c r="S355" s="28">
        <f>ROUND(ROUND(P355, 2)*I355, 2)</f>
        <v>0</v>
      </c>
    </row>
    <row r="356" spans="1:21" ht="18" x14ac:dyDescent="0.3">
      <c r="A356" s="10" t="s">
        <v>1238</v>
      </c>
      <c r="B356" s="10"/>
      <c r="C356" s="24" t="s">
        <v>1007</v>
      </c>
      <c r="D356" s="15"/>
      <c r="E356" s="15"/>
      <c r="F356" s="25" t="s">
        <v>278</v>
      </c>
      <c r="G356" s="26">
        <v>0.15</v>
      </c>
      <c r="H356" s="26"/>
      <c r="I356" s="26">
        <v>0</v>
      </c>
      <c r="J356" s="27">
        <v>88.8</v>
      </c>
      <c r="M356" s="28">
        <f>ROUND(ROUND(J356, 2)*I356, 2)</f>
        <v>0</v>
      </c>
      <c r="P356" s="27">
        <v>88.8</v>
      </c>
      <c r="S356" s="28">
        <f>ROUND(ROUND(P356, 2)*I356, 2)</f>
        <v>0</v>
      </c>
    </row>
    <row r="357" spans="1:21" ht="36" x14ac:dyDescent="0.3">
      <c r="A357" s="10" t="s">
        <v>1241</v>
      </c>
      <c r="B357" s="10" t="s">
        <v>1195</v>
      </c>
      <c r="C357" s="14" t="s">
        <v>1196</v>
      </c>
      <c r="D357" s="15"/>
      <c r="E357" s="15"/>
      <c r="F357" s="15" t="s">
        <v>62</v>
      </c>
      <c r="G357" s="16">
        <v>1</v>
      </c>
      <c r="H357" s="16"/>
      <c r="I357" s="16">
        <v>0</v>
      </c>
      <c r="J357" s="17">
        <v>0</v>
      </c>
      <c r="K357" s="18">
        <v>2785</v>
      </c>
      <c r="L357" s="17">
        <f>J357+ROUND(K357, 2)</f>
        <v>2785</v>
      </c>
      <c r="M357" s="17">
        <v>0</v>
      </c>
      <c r="N357" s="17">
        <v>0</v>
      </c>
      <c r="O357" s="17">
        <f>M357+N357</f>
        <v>0</v>
      </c>
      <c r="P357" s="17">
        <v>2075.46</v>
      </c>
      <c r="Q357" s="18">
        <v>2785</v>
      </c>
      <c r="R357" s="17">
        <f>P357+ROUND(Q357, 2)</f>
        <v>4860.46</v>
      </c>
      <c r="S357" s="17">
        <v>0</v>
      </c>
      <c r="T357" s="17">
        <v>0</v>
      </c>
      <c r="U357" s="17">
        <f>S357+T357</f>
        <v>0</v>
      </c>
    </row>
    <row r="358" spans="1:21" ht="18" x14ac:dyDescent="0.3">
      <c r="A358" s="10" t="s">
        <v>1242</v>
      </c>
      <c r="B358" s="10"/>
      <c r="C358" s="24" t="s">
        <v>1007</v>
      </c>
      <c r="D358" s="15"/>
      <c r="E358" s="15"/>
      <c r="F358" s="25" t="s">
        <v>278</v>
      </c>
      <c r="G358" s="26">
        <v>0.15</v>
      </c>
      <c r="H358" s="26"/>
      <c r="I358" s="26">
        <v>0</v>
      </c>
      <c r="J358" s="27">
        <v>88.8</v>
      </c>
      <c r="M358" s="28">
        <f>ROUND(ROUND(J358, 2)*I358, 2)</f>
        <v>0</v>
      </c>
      <c r="P358" s="27">
        <v>88.8</v>
      </c>
      <c r="S358" s="28">
        <f>ROUND(ROUND(P358, 2)*I358, 2)</f>
        <v>0</v>
      </c>
    </row>
    <row r="359" spans="1:21" ht="18" x14ac:dyDescent="0.3">
      <c r="A359" s="10" t="s">
        <v>1245</v>
      </c>
      <c r="B359" s="10"/>
      <c r="C359" s="24" t="s">
        <v>1157</v>
      </c>
      <c r="D359" s="15"/>
      <c r="E359" s="15"/>
      <c r="F359" s="25" t="s">
        <v>278</v>
      </c>
      <c r="G359" s="26">
        <v>0.25</v>
      </c>
      <c r="H359" s="31"/>
      <c r="I359" s="31">
        <v>0</v>
      </c>
      <c r="J359" s="27">
        <v>40.270000000000003</v>
      </c>
      <c r="M359" s="28">
        <f>ROUND(ROUND(J359, 2)*I359, 2)</f>
        <v>0</v>
      </c>
      <c r="P359" s="27">
        <v>40.270000000000003</v>
      </c>
      <c r="S359" s="28">
        <f>ROUND(ROUND(P359, 2)*I359, 2)</f>
        <v>0</v>
      </c>
    </row>
    <row r="360" spans="1:21" ht="36" x14ac:dyDescent="0.3">
      <c r="A360" s="10" t="s">
        <v>1248</v>
      </c>
      <c r="B360" s="10"/>
      <c r="C360" s="24" t="s">
        <v>1205</v>
      </c>
      <c r="D360" s="15"/>
      <c r="E360" s="15"/>
      <c r="F360" s="25" t="s">
        <v>62</v>
      </c>
      <c r="G360" s="26">
        <v>1.2</v>
      </c>
      <c r="H360" s="31"/>
      <c r="I360" s="31">
        <v>0</v>
      </c>
      <c r="J360" s="27">
        <v>2021.25</v>
      </c>
      <c r="M360" s="28">
        <f>ROUND(ROUND(J360, 2)*I360, 2)</f>
        <v>0</v>
      </c>
      <c r="P360" s="27">
        <v>1693.1</v>
      </c>
      <c r="S360" s="28">
        <f>ROUND(ROUND(P360, 2)*I360, 2)</f>
        <v>0</v>
      </c>
    </row>
    <row r="361" spans="1:21" ht="18" x14ac:dyDescent="0.3">
      <c r="A361" s="10" t="s">
        <v>1251</v>
      </c>
      <c r="B361" s="10"/>
      <c r="C361" s="30" t="s">
        <v>1200</v>
      </c>
      <c r="D361" s="15"/>
      <c r="E361" s="15"/>
      <c r="F361" s="25" t="s">
        <v>278</v>
      </c>
      <c r="G361" s="26">
        <v>1.2</v>
      </c>
      <c r="H361" s="31"/>
      <c r="I361" s="31">
        <v>0</v>
      </c>
      <c r="J361" s="27">
        <v>16.96</v>
      </c>
      <c r="M361" s="28">
        <f>ROUND(ROUND(J361, 2)*I361, 2)</f>
        <v>0</v>
      </c>
      <c r="P361" s="27">
        <v>16.96</v>
      </c>
      <c r="S361" s="28">
        <f>ROUND(ROUND(P361, 2)*I361, 2)</f>
        <v>0</v>
      </c>
    </row>
    <row r="362" spans="1:21" ht="36" x14ac:dyDescent="0.3">
      <c r="A362" s="10" t="s">
        <v>1254</v>
      </c>
      <c r="B362" s="10" t="s">
        <v>1195</v>
      </c>
      <c r="C362" s="14" t="s">
        <v>1196</v>
      </c>
      <c r="D362" s="15"/>
      <c r="E362" s="15"/>
      <c r="F362" s="15" t="s">
        <v>62</v>
      </c>
      <c r="G362" s="16">
        <v>1</v>
      </c>
      <c r="H362" s="16"/>
      <c r="I362" s="16">
        <v>0</v>
      </c>
      <c r="J362" s="17">
        <v>0</v>
      </c>
      <c r="K362" s="18">
        <v>2785</v>
      </c>
      <c r="L362" s="17">
        <f>J362+ROUND(K362, 2)</f>
        <v>2785</v>
      </c>
      <c r="M362" s="17">
        <v>0</v>
      </c>
      <c r="N362" s="17">
        <v>0</v>
      </c>
      <c r="O362" s="17">
        <f>M362+N362</f>
        <v>0</v>
      </c>
      <c r="P362" s="17">
        <v>2000.82</v>
      </c>
      <c r="Q362" s="18">
        <v>2785</v>
      </c>
      <c r="R362" s="17">
        <f>P362+ROUND(Q362, 2)</f>
        <v>4785.82</v>
      </c>
      <c r="S362" s="17">
        <v>0</v>
      </c>
      <c r="T362" s="17">
        <v>0</v>
      </c>
      <c r="U362" s="17">
        <f>S362+T362</f>
        <v>0</v>
      </c>
    </row>
    <row r="363" spans="1:21" ht="18" x14ac:dyDescent="0.3">
      <c r="A363" s="10" t="s">
        <v>1255</v>
      </c>
      <c r="B363" s="10"/>
      <c r="C363" s="30" t="s">
        <v>1200</v>
      </c>
      <c r="D363" s="15"/>
      <c r="E363" s="15"/>
      <c r="F363" s="25" t="s">
        <v>278</v>
      </c>
      <c r="G363" s="26">
        <v>1.2</v>
      </c>
      <c r="H363" s="31"/>
      <c r="I363" s="31">
        <v>0</v>
      </c>
      <c r="J363" s="27">
        <v>16.96</v>
      </c>
      <c r="M363" s="28">
        <f>ROUND(ROUND(J363, 2)*I363, 2)</f>
        <v>0</v>
      </c>
      <c r="P363" s="27">
        <v>16.96</v>
      </c>
      <c r="S363" s="28">
        <f>ROUND(ROUND(P363, 2)*I363, 2)</f>
        <v>0</v>
      </c>
    </row>
    <row r="364" spans="1:21" ht="36" x14ac:dyDescent="0.3">
      <c r="A364" s="10" t="s">
        <v>1258</v>
      </c>
      <c r="B364" s="10"/>
      <c r="C364" s="24" t="s">
        <v>1205</v>
      </c>
      <c r="D364" s="15"/>
      <c r="E364" s="15"/>
      <c r="F364" s="25" t="s">
        <v>62</v>
      </c>
      <c r="G364" s="26">
        <v>1.2</v>
      </c>
      <c r="H364" s="31"/>
      <c r="I364" s="31">
        <v>0</v>
      </c>
      <c r="J364" s="27">
        <v>2021.25</v>
      </c>
      <c r="M364" s="28">
        <f>ROUND(ROUND(J364, 2)*I364, 2)</f>
        <v>0</v>
      </c>
      <c r="P364" s="27">
        <v>1630.9</v>
      </c>
      <c r="S364" s="28">
        <f>ROUND(ROUND(P364, 2)*I364, 2)</f>
        <v>0</v>
      </c>
    </row>
    <row r="365" spans="1:21" ht="18" x14ac:dyDescent="0.3">
      <c r="A365" s="10" t="s">
        <v>1261</v>
      </c>
      <c r="B365" s="10"/>
      <c r="C365" s="24" t="s">
        <v>1157</v>
      </c>
      <c r="D365" s="15"/>
      <c r="E365" s="15"/>
      <c r="F365" s="25" t="s">
        <v>278</v>
      </c>
      <c r="G365" s="26">
        <v>0.25</v>
      </c>
      <c r="H365" s="31"/>
      <c r="I365" s="31">
        <v>0</v>
      </c>
      <c r="J365" s="27">
        <v>40.270000000000003</v>
      </c>
      <c r="M365" s="28">
        <f>ROUND(ROUND(J365, 2)*I365, 2)</f>
        <v>0</v>
      </c>
      <c r="P365" s="27">
        <v>40.270000000000003</v>
      </c>
      <c r="S365" s="28">
        <f>ROUND(ROUND(P365, 2)*I365, 2)</f>
        <v>0</v>
      </c>
    </row>
    <row r="366" spans="1:21" ht="18" x14ac:dyDescent="0.3">
      <c r="A366" s="10" t="s">
        <v>1264</v>
      </c>
      <c r="B366" s="10"/>
      <c r="C366" s="24" t="s">
        <v>1007</v>
      </c>
      <c r="D366" s="15"/>
      <c r="E366" s="15"/>
      <c r="F366" s="25" t="s">
        <v>278</v>
      </c>
      <c r="G366" s="26">
        <v>0.15</v>
      </c>
      <c r="H366" s="26"/>
      <c r="I366" s="26">
        <v>0</v>
      </c>
      <c r="J366" s="27">
        <v>88.8</v>
      </c>
      <c r="M366" s="28">
        <f>ROUND(ROUND(J366, 2)*I366, 2)</f>
        <v>0</v>
      </c>
      <c r="P366" s="27">
        <v>88.8</v>
      </c>
      <c r="S366" s="28">
        <f>ROUND(ROUND(P366, 2)*I366, 2)</f>
        <v>0</v>
      </c>
    </row>
    <row r="367" spans="1:21" ht="36" x14ac:dyDescent="0.3">
      <c r="A367" s="10" t="s">
        <v>1267</v>
      </c>
      <c r="B367" s="10" t="s">
        <v>1195</v>
      </c>
      <c r="C367" s="14" t="s">
        <v>1196</v>
      </c>
      <c r="D367" s="15"/>
      <c r="E367" s="15"/>
      <c r="F367" s="15" t="s">
        <v>62</v>
      </c>
      <c r="G367" s="16">
        <v>1</v>
      </c>
      <c r="H367" s="16"/>
      <c r="I367" s="16">
        <v>0</v>
      </c>
      <c r="J367" s="17">
        <v>0</v>
      </c>
      <c r="K367" s="18">
        <v>2785</v>
      </c>
      <c r="L367" s="17">
        <f>J367+ROUND(K367, 2)</f>
        <v>2785</v>
      </c>
      <c r="M367" s="17">
        <v>0</v>
      </c>
      <c r="N367" s="17">
        <v>0</v>
      </c>
      <c r="O367" s="17">
        <f>M367+N367</f>
        <v>0</v>
      </c>
      <c r="P367" s="17">
        <v>2000.82</v>
      </c>
      <c r="Q367" s="18">
        <v>2785</v>
      </c>
      <c r="R367" s="17">
        <f>P367+ROUND(Q367, 2)</f>
        <v>4785.82</v>
      </c>
      <c r="S367" s="17">
        <v>0</v>
      </c>
      <c r="T367" s="17">
        <v>0</v>
      </c>
      <c r="U367" s="17">
        <f>S367+T367</f>
        <v>0</v>
      </c>
    </row>
    <row r="368" spans="1:21" ht="18" x14ac:dyDescent="0.3">
      <c r="A368" s="10" t="s">
        <v>1268</v>
      </c>
      <c r="B368" s="10"/>
      <c r="C368" s="24" t="s">
        <v>1007</v>
      </c>
      <c r="D368" s="15"/>
      <c r="E368" s="15"/>
      <c r="F368" s="25" t="s">
        <v>278</v>
      </c>
      <c r="G368" s="26">
        <v>0.15</v>
      </c>
      <c r="H368" s="26"/>
      <c r="I368" s="26">
        <v>0</v>
      </c>
      <c r="J368" s="27">
        <v>88.8</v>
      </c>
      <c r="M368" s="28">
        <f>ROUND(ROUND(J368, 2)*I368, 2)</f>
        <v>0</v>
      </c>
      <c r="P368" s="27">
        <v>88.8</v>
      </c>
      <c r="S368" s="28">
        <f>ROUND(ROUND(P368, 2)*I368, 2)</f>
        <v>0</v>
      </c>
    </row>
    <row r="369" spans="1:21" ht="18" x14ac:dyDescent="0.3">
      <c r="A369" s="10" t="s">
        <v>1271</v>
      </c>
      <c r="B369" s="10"/>
      <c r="C369" s="24" t="s">
        <v>1157</v>
      </c>
      <c r="D369" s="15"/>
      <c r="E369" s="15"/>
      <c r="F369" s="25" t="s">
        <v>278</v>
      </c>
      <c r="G369" s="26">
        <v>0.25</v>
      </c>
      <c r="H369" s="31"/>
      <c r="I369" s="31">
        <v>0</v>
      </c>
      <c r="J369" s="27">
        <v>40.270000000000003</v>
      </c>
      <c r="M369" s="28">
        <f>ROUND(ROUND(J369, 2)*I369, 2)</f>
        <v>0</v>
      </c>
      <c r="P369" s="27">
        <v>40.270000000000003</v>
      </c>
      <c r="S369" s="28">
        <f>ROUND(ROUND(P369, 2)*I369, 2)</f>
        <v>0</v>
      </c>
    </row>
    <row r="370" spans="1:21" ht="36" x14ac:dyDescent="0.3">
      <c r="A370" s="10" t="s">
        <v>1274</v>
      </c>
      <c r="B370" s="10"/>
      <c r="C370" s="24" t="s">
        <v>1205</v>
      </c>
      <c r="D370" s="15"/>
      <c r="E370" s="15"/>
      <c r="F370" s="25" t="s">
        <v>62</v>
      </c>
      <c r="G370" s="26">
        <v>1.2</v>
      </c>
      <c r="H370" s="31"/>
      <c r="I370" s="31">
        <v>0</v>
      </c>
      <c r="J370" s="27">
        <v>2021.25</v>
      </c>
      <c r="M370" s="28">
        <f>ROUND(ROUND(J370, 2)*I370, 2)</f>
        <v>0</v>
      </c>
      <c r="P370" s="27">
        <v>1630.9</v>
      </c>
      <c r="S370" s="28">
        <f>ROUND(ROUND(P370, 2)*I370, 2)</f>
        <v>0</v>
      </c>
    </row>
    <row r="371" spans="1:21" ht="18" x14ac:dyDescent="0.3">
      <c r="A371" s="10" t="s">
        <v>1277</v>
      </c>
      <c r="B371" s="10"/>
      <c r="C371" s="30" t="s">
        <v>1200</v>
      </c>
      <c r="D371" s="15"/>
      <c r="E371" s="15"/>
      <c r="F371" s="25" t="s">
        <v>278</v>
      </c>
      <c r="G371" s="26">
        <v>1.2</v>
      </c>
      <c r="H371" s="31"/>
      <c r="I371" s="31">
        <v>0</v>
      </c>
      <c r="J371" s="27">
        <v>16.96</v>
      </c>
      <c r="M371" s="28">
        <f>ROUND(ROUND(J371, 2)*I371, 2)</f>
        <v>0</v>
      </c>
      <c r="P371" s="27">
        <v>16.96</v>
      </c>
      <c r="S371" s="28">
        <f>ROUND(ROUND(P371, 2)*I371, 2)</f>
        <v>0</v>
      </c>
    </row>
    <row r="372" spans="1:21" ht="36" x14ac:dyDescent="0.3">
      <c r="A372" s="10" t="s">
        <v>1280</v>
      </c>
      <c r="B372" s="10" t="s">
        <v>1195</v>
      </c>
      <c r="C372" s="14" t="s">
        <v>1196</v>
      </c>
      <c r="D372" s="15"/>
      <c r="E372" s="15" t="s">
        <v>1281</v>
      </c>
      <c r="F372" s="15" t="s">
        <v>62</v>
      </c>
      <c r="G372" s="16">
        <v>1</v>
      </c>
      <c r="H372" s="16"/>
      <c r="I372" s="16">
        <v>1132.5</v>
      </c>
      <c r="J372" s="17">
        <v>2468.2399999999998</v>
      </c>
      <c r="K372" s="18">
        <v>2785</v>
      </c>
      <c r="L372" s="17">
        <f>J372+ROUND(K372, 2)</f>
        <v>5253.24</v>
      </c>
      <c r="M372" s="17">
        <v>2795281.8</v>
      </c>
      <c r="N372" s="17">
        <v>3154012.5</v>
      </c>
      <c r="O372" s="17">
        <f>M372+N372</f>
        <v>5949294.2999999998</v>
      </c>
      <c r="P372" s="17">
        <v>2063.89</v>
      </c>
      <c r="Q372" s="18">
        <v>4177.5</v>
      </c>
      <c r="R372" s="17">
        <f>P372+ROUND(Q372, 2)</f>
        <v>6241.3899999999994</v>
      </c>
      <c r="S372" s="17">
        <v>2337355.4300000002</v>
      </c>
      <c r="T372" s="17">
        <v>4731018.75</v>
      </c>
      <c r="U372" s="17">
        <f>S372+T372</f>
        <v>7068374.1799999997</v>
      </c>
    </row>
    <row r="373" spans="1:21" ht="18" x14ac:dyDescent="0.3">
      <c r="A373" s="10" t="s">
        <v>1282</v>
      </c>
      <c r="B373" s="10"/>
      <c r="C373" s="30" t="s">
        <v>1200</v>
      </c>
      <c r="D373" s="15"/>
      <c r="E373" s="15"/>
      <c r="F373" s="25" t="s">
        <v>278</v>
      </c>
      <c r="G373" s="26">
        <v>1.2</v>
      </c>
      <c r="H373" s="31"/>
      <c r="I373" s="31">
        <v>1359</v>
      </c>
      <c r="J373" s="27">
        <v>16.12</v>
      </c>
      <c r="M373" s="28">
        <f>ROUND(ROUND(J373, 2)*I373, 2)</f>
        <v>21907.08</v>
      </c>
      <c r="P373" s="27">
        <v>16.12</v>
      </c>
      <c r="S373" s="28">
        <f>ROUND(ROUND(P373, 2)*I373, 2)</f>
        <v>21907.08</v>
      </c>
    </row>
    <row r="374" spans="1:21" ht="72" x14ac:dyDescent="0.3">
      <c r="A374" s="10" t="s">
        <v>1285</v>
      </c>
      <c r="B374" s="10"/>
      <c r="C374" s="24" t="s">
        <v>1205</v>
      </c>
      <c r="D374" s="15"/>
      <c r="E374" s="15" t="s">
        <v>1286</v>
      </c>
      <c r="F374" s="25" t="s">
        <v>62</v>
      </c>
      <c r="G374" s="26">
        <v>1.2</v>
      </c>
      <c r="H374" s="31"/>
      <c r="I374" s="31">
        <v>1359</v>
      </c>
      <c r="J374" s="27">
        <v>2021.26</v>
      </c>
      <c r="M374" s="28">
        <f>ROUND(ROUND(J374, 2)*I374, 2)</f>
        <v>2746892.34</v>
      </c>
      <c r="P374" s="27">
        <v>1684.3</v>
      </c>
      <c r="S374" s="28">
        <f>ROUND(ROUND(P374, 2)*I374, 2)</f>
        <v>2288963.7000000002</v>
      </c>
    </row>
    <row r="375" spans="1:21" ht="18" x14ac:dyDescent="0.3">
      <c r="A375" s="10" t="s">
        <v>1289</v>
      </c>
      <c r="B375" s="10"/>
      <c r="C375" s="24" t="s">
        <v>1157</v>
      </c>
      <c r="D375" s="15"/>
      <c r="E375" s="15"/>
      <c r="F375" s="25" t="s">
        <v>278</v>
      </c>
      <c r="G375" s="26">
        <v>0.25</v>
      </c>
      <c r="H375" s="31"/>
      <c r="I375" s="31">
        <v>283.125</v>
      </c>
      <c r="J375" s="27">
        <v>40.270000000000003</v>
      </c>
      <c r="M375" s="28">
        <f>ROUND(ROUND(J375, 2)*I375, 2)</f>
        <v>11401.44</v>
      </c>
      <c r="P375" s="27">
        <v>40.270000000000003</v>
      </c>
      <c r="S375" s="28">
        <f>ROUND(ROUND(P375, 2)*I375, 2)</f>
        <v>11401.44</v>
      </c>
    </row>
    <row r="376" spans="1:21" ht="18" x14ac:dyDescent="0.3">
      <c r="A376" s="10" t="s">
        <v>1292</v>
      </c>
      <c r="B376" s="10"/>
      <c r="C376" s="24" t="s">
        <v>1007</v>
      </c>
      <c r="D376" s="15"/>
      <c r="E376" s="15"/>
      <c r="F376" s="25" t="s">
        <v>278</v>
      </c>
      <c r="G376" s="26">
        <v>0.15</v>
      </c>
      <c r="H376" s="26"/>
      <c r="I376" s="26">
        <v>169.875</v>
      </c>
      <c r="J376" s="27">
        <v>88.8</v>
      </c>
      <c r="M376" s="28">
        <f>ROUND(ROUND(J376, 2)*I376, 2)</f>
        <v>15084.9</v>
      </c>
      <c r="P376" s="27">
        <v>88.8</v>
      </c>
      <c r="S376" s="28">
        <f>ROUND(ROUND(P376, 2)*I376, 2)</f>
        <v>15084.9</v>
      </c>
    </row>
    <row r="377" spans="1:21" ht="36" x14ac:dyDescent="0.3">
      <c r="A377" s="10" t="s">
        <v>1295</v>
      </c>
      <c r="B377" s="10" t="s">
        <v>1195</v>
      </c>
      <c r="C377" s="14" t="s">
        <v>1196</v>
      </c>
      <c r="D377" s="15"/>
      <c r="E377" s="15" t="s">
        <v>1296</v>
      </c>
      <c r="F377" s="15" t="s">
        <v>62</v>
      </c>
      <c r="G377" s="16">
        <v>1</v>
      </c>
      <c r="H377" s="16"/>
      <c r="I377" s="16">
        <v>31.2</v>
      </c>
      <c r="J377" s="17">
        <v>2468.2399999999998</v>
      </c>
      <c r="K377" s="18">
        <v>2785</v>
      </c>
      <c r="L377" s="17">
        <f>J377+ROUND(K377, 2)</f>
        <v>5253.24</v>
      </c>
      <c r="M377" s="17">
        <v>77009.09</v>
      </c>
      <c r="N377" s="17">
        <v>86892</v>
      </c>
      <c r="O377" s="17">
        <f>M377+N377</f>
        <v>163901.09</v>
      </c>
      <c r="P377" s="17">
        <v>2053.6799999999998</v>
      </c>
      <c r="Q377" s="18">
        <v>4177.5</v>
      </c>
      <c r="R377" s="17">
        <f>P377+ROUND(Q377, 2)</f>
        <v>6231.18</v>
      </c>
      <c r="S377" s="17">
        <v>64074.82</v>
      </c>
      <c r="T377" s="17">
        <v>130338</v>
      </c>
      <c r="U377" s="17">
        <f>S377+T377</f>
        <v>194412.82</v>
      </c>
    </row>
    <row r="378" spans="1:21" ht="18" x14ac:dyDescent="0.3">
      <c r="A378" s="10" t="s">
        <v>1297</v>
      </c>
      <c r="B378" s="10"/>
      <c r="C378" s="24" t="s">
        <v>1007</v>
      </c>
      <c r="D378" s="15"/>
      <c r="E378" s="15"/>
      <c r="F378" s="25" t="s">
        <v>278</v>
      </c>
      <c r="G378" s="26">
        <v>0.15</v>
      </c>
      <c r="H378" s="26"/>
      <c r="I378" s="26">
        <v>4.68</v>
      </c>
      <c r="J378" s="27">
        <v>88.8</v>
      </c>
      <c r="M378" s="28">
        <f>ROUND(ROUND(J378, 2)*I378, 2)</f>
        <v>415.58</v>
      </c>
      <c r="P378" s="27">
        <v>88.8</v>
      </c>
      <c r="S378" s="28">
        <f>ROUND(ROUND(P378, 2)*I378, 2)</f>
        <v>415.58</v>
      </c>
    </row>
    <row r="379" spans="1:21" ht="18" x14ac:dyDescent="0.3">
      <c r="A379" s="10" t="s">
        <v>1300</v>
      </c>
      <c r="B379" s="10"/>
      <c r="C379" s="24" t="s">
        <v>1157</v>
      </c>
      <c r="D379" s="15"/>
      <c r="E379" s="15"/>
      <c r="F379" s="25" t="s">
        <v>278</v>
      </c>
      <c r="G379" s="26">
        <v>0.25</v>
      </c>
      <c r="H379" s="31"/>
      <c r="I379" s="31">
        <v>7.8</v>
      </c>
      <c r="J379" s="27">
        <v>40.270000000000003</v>
      </c>
      <c r="M379" s="28">
        <f>ROUND(ROUND(J379, 2)*I379, 2)</f>
        <v>314.11</v>
      </c>
      <c r="P379" s="27">
        <v>40.270000000000003</v>
      </c>
      <c r="S379" s="28">
        <f>ROUND(ROUND(P379, 2)*I379, 2)</f>
        <v>314.11</v>
      </c>
    </row>
    <row r="380" spans="1:21" ht="72" x14ac:dyDescent="0.3">
      <c r="A380" s="10" t="s">
        <v>1303</v>
      </c>
      <c r="B380" s="10"/>
      <c r="C380" s="24" t="s">
        <v>1205</v>
      </c>
      <c r="D380" s="15"/>
      <c r="E380" s="15" t="s">
        <v>1304</v>
      </c>
      <c r="F380" s="25" t="s">
        <v>62</v>
      </c>
      <c r="G380" s="26">
        <v>1.2</v>
      </c>
      <c r="H380" s="31"/>
      <c r="I380" s="31">
        <v>37.44</v>
      </c>
      <c r="J380" s="27">
        <v>2021.26</v>
      </c>
      <c r="M380" s="28">
        <f>ROUND(ROUND(J380, 2)*I380, 2)</f>
        <v>75675.97</v>
      </c>
      <c r="P380" s="27">
        <v>1675.8</v>
      </c>
      <c r="S380" s="28">
        <f>ROUND(ROUND(P380, 2)*I380, 2)</f>
        <v>62741.95</v>
      </c>
    </row>
    <row r="381" spans="1:21" ht="18" x14ac:dyDescent="0.3">
      <c r="A381" s="10" t="s">
        <v>1307</v>
      </c>
      <c r="B381" s="10"/>
      <c r="C381" s="30" t="s">
        <v>1200</v>
      </c>
      <c r="D381" s="15"/>
      <c r="E381" s="15"/>
      <c r="F381" s="25" t="s">
        <v>278</v>
      </c>
      <c r="G381" s="26">
        <v>1.2</v>
      </c>
      <c r="H381" s="31"/>
      <c r="I381" s="31">
        <v>37.44</v>
      </c>
      <c r="J381" s="27">
        <v>16.12</v>
      </c>
      <c r="M381" s="28">
        <f>ROUND(ROUND(J381, 2)*I381, 2)</f>
        <v>603.53</v>
      </c>
      <c r="P381" s="27">
        <v>16.11</v>
      </c>
      <c r="S381" s="28">
        <f>ROUND(ROUND(P381, 2)*I381, 2)</f>
        <v>603.16</v>
      </c>
    </row>
    <row r="382" spans="1:21" ht="36" x14ac:dyDescent="0.3">
      <c r="A382" s="10" t="s">
        <v>1310</v>
      </c>
      <c r="B382" s="10" t="s">
        <v>1195</v>
      </c>
      <c r="C382" s="14" t="s">
        <v>1196</v>
      </c>
      <c r="D382" s="15"/>
      <c r="E382" s="15" t="s">
        <v>1311</v>
      </c>
      <c r="F382" s="15" t="s">
        <v>62</v>
      </c>
      <c r="G382" s="16">
        <v>1</v>
      </c>
      <c r="H382" s="16"/>
      <c r="I382" s="16">
        <v>560.4</v>
      </c>
      <c r="J382" s="17">
        <v>2468.2399999999998</v>
      </c>
      <c r="K382" s="18">
        <v>2785</v>
      </c>
      <c r="L382" s="17">
        <f>J382+ROUND(K382, 2)</f>
        <v>5253.24</v>
      </c>
      <c r="M382" s="17">
        <v>1383201.7</v>
      </c>
      <c r="N382" s="17">
        <v>1560714</v>
      </c>
      <c r="O382" s="17">
        <f>M382+N382</f>
        <v>2943915.7</v>
      </c>
      <c r="P382" s="17">
        <v>1989.72</v>
      </c>
      <c r="Q382" s="18">
        <v>4177.5</v>
      </c>
      <c r="R382" s="17">
        <f>P382+ROUND(Q382, 2)</f>
        <v>6167.22</v>
      </c>
      <c r="S382" s="17">
        <v>1115039.0900000001</v>
      </c>
      <c r="T382" s="17">
        <v>2341071</v>
      </c>
      <c r="U382" s="17">
        <f>S382+T382</f>
        <v>3456110.09</v>
      </c>
    </row>
    <row r="383" spans="1:21" ht="18" x14ac:dyDescent="0.3">
      <c r="A383" s="10" t="s">
        <v>1312</v>
      </c>
      <c r="B383" s="10"/>
      <c r="C383" s="30" t="s">
        <v>1200</v>
      </c>
      <c r="D383" s="15"/>
      <c r="E383" s="15"/>
      <c r="F383" s="25" t="s">
        <v>278</v>
      </c>
      <c r="G383" s="26">
        <v>1.2</v>
      </c>
      <c r="H383" s="31"/>
      <c r="I383" s="31">
        <v>672.48</v>
      </c>
      <c r="J383" s="27">
        <v>16.12</v>
      </c>
      <c r="M383" s="28">
        <f>ROUND(ROUND(J383, 2)*I383, 2)</f>
        <v>10840.38</v>
      </c>
      <c r="P383" s="27">
        <v>16.11</v>
      </c>
      <c r="S383" s="28">
        <f>ROUND(ROUND(P383, 2)*I383, 2)</f>
        <v>10833.65</v>
      </c>
    </row>
    <row r="384" spans="1:21" ht="90" x14ac:dyDescent="0.3">
      <c r="A384" s="10" t="s">
        <v>1315</v>
      </c>
      <c r="B384" s="10"/>
      <c r="C384" s="24" t="s">
        <v>1205</v>
      </c>
      <c r="D384" s="15"/>
      <c r="E384" s="15" t="s">
        <v>1316</v>
      </c>
      <c r="F384" s="25" t="s">
        <v>62</v>
      </c>
      <c r="G384" s="26">
        <v>1.2</v>
      </c>
      <c r="H384" s="31"/>
      <c r="I384" s="31">
        <v>672.48</v>
      </c>
      <c r="J384" s="27">
        <v>2021.26</v>
      </c>
      <c r="M384" s="28">
        <f>ROUND(ROUND(J384, 2)*I384, 2)</f>
        <v>1359256.92</v>
      </c>
      <c r="P384" s="27">
        <v>1622.5</v>
      </c>
      <c r="S384" s="28">
        <f>ROUND(ROUND(P384, 2)*I384, 2)</f>
        <v>1091098.8</v>
      </c>
    </row>
    <row r="385" spans="1:21" ht="18" x14ac:dyDescent="0.3">
      <c r="A385" s="10" t="s">
        <v>1319</v>
      </c>
      <c r="B385" s="10"/>
      <c r="C385" s="24" t="s">
        <v>1157</v>
      </c>
      <c r="D385" s="15"/>
      <c r="E385" s="15"/>
      <c r="F385" s="25" t="s">
        <v>278</v>
      </c>
      <c r="G385" s="26">
        <v>0.25</v>
      </c>
      <c r="H385" s="31"/>
      <c r="I385" s="31">
        <v>140.1</v>
      </c>
      <c r="J385" s="27">
        <v>40.270000000000003</v>
      </c>
      <c r="M385" s="28">
        <f>ROUND(ROUND(J385, 2)*I385, 2)</f>
        <v>5641.83</v>
      </c>
      <c r="P385" s="27">
        <v>40.270000000000003</v>
      </c>
      <c r="S385" s="28">
        <f>ROUND(ROUND(P385, 2)*I385, 2)</f>
        <v>5641.83</v>
      </c>
    </row>
    <row r="386" spans="1:21" ht="18" x14ac:dyDescent="0.3">
      <c r="A386" s="10" t="s">
        <v>1322</v>
      </c>
      <c r="B386" s="10"/>
      <c r="C386" s="24" t="s">
        <v>1007</v>
      </c>
      <c r="D386" s="15"/>
      <c r="E386" s="15"/>
      <c r="F386" s="25" t="s">
        <v>278</v>
      </c>
      <c r="G386" s="26">
        <v>0.15</v>
      </c>
      <c r="H386" s="26"/>
      <c r="I386" s="26">
        <v>84.06</v>
      </c>
      <c r="J386" s="27">
        <v>88.8</v>
      </c>
      <c r="M386" s="28">
        <f>ROUND(ROUND(J386, 2)*I386, 2)</f>
        <v>7464.53</v>
      </c>
      <c r="P386" s="27">
        <v>88.8</v>
      </c>
      <c r="S386" s="28">
        <f>ROUND(ROUND(P386, 2)*I386, 2)</f>
        <v>7464.53</v>
      </c>
    </row>
    <row r="387" spans="1:21" ht="36" x14ac:dyDescent="0.3">
      <c r="A387" s="10" t="s">
        <v>1325</v>
      </c>
      <c r="B387" s="10" t="s">
        <v>1195</v>
      </c>
      <c r="C387" s="14" t="s">
        <v>1196</v>
      </c>
      <c r="D387" s="15"/>
      <c r="E387" s="15" t="s">
        <v>1326</v>
      </c>
      <c r="F387" s="15" t="s">
        <v>62</v>
      </c>
      <c r="G387" s="16">
        <v>1</v>
      </c>
      <c r="H387" s="16"/>
      <c r="I387" s="16">
        <v>28</v>
      </c>
      <c r="J387" s="17">
        <v>2468.2399999999998</v>
      </c>
      <c r="K387" s="18">
        <v>2785</v>
      </c>
      <c r="L387" s="17">
        <f>J387+ROUND(K387, 2)</f>
        <v>5253.24</v>
      </c>
      <c r="M387" s="17">
        <v>69110.720000000001</v>
      </c>
      <c r="N387" s="17">
        <v>77980</v>
      </c>
      <c r="O387" s="17">
        <f>M387+N387</f>
        <v>147090.72</v>
      </c>
      <c r="P387" s="17">
        <v>2074.44</v>
      </c>
      <c r="Q387" s="18">
        <v>4177.5</v>
      </c>
      <c r="R387" s="17">
        <f>P387+ROUND(Q387, 2)</f>
        <v>6251.9400000000005</v>
      </c>
      <c r="S387" s="17">
        <v>58084.32</v>
      </c>
      <c r="T387" s="17">
        <v>116970</v>
      </c>
      <c r="U387" s="17">
        <f>S387+T387</f>
        <v>175054.32</v>
      </c>
    </row>
    <row r="388" spans="1:21" ht="18" x14ac:dyDescent="0.3">
      <c r="A388" s="10" t="s">
        <v>1327</v>
      </c>
      <c r="B388" s="10"/>
      <c r="C388" s="24" t="s">
        <v>1007</v>
      </c>
      <c r="D388" s="15"/>
      <c r="E388" s="15"/>
      <c r="F388" s="25" t="s">
        <v>278</v>
      </c>
      <c r="G388" s="26">
        <v>0.15</v>
      </c>
      <c r="H388" s="26"/>
      <c r="I388" s="26">
        <v>4.2</v>
      </c>
      <c r="J388" s="27">
        <v>88.8</v>
      </c>
      <c r="M388" s="28">
        <f>ROUND(ROUND(J388, 2)*I388, 2)</f>
        <v>372.96</v>
      </c>
      <c r="P388" s="27">
        <v>88.8</v>
      </c>
      <c r="S388" s="28">
        <f>ROUND(ROUND(P388, 2)*I388, 2)</f>
        <v>372.96</v>
      </c>
    </row>
    <row r="389" spans="1:21" ht="18" x14ac:dyDescent="0.3">
      <c r="A389" s="10" t="s">
        <v>1330</v>
      </c>
      <c r="B389" s="10"/>
      <c r="C389" s="24" t="s">
        <v>1157</v>
      </c>
      <c r="D389" s="15"/>
      <c r="E389" s="15"/>
      <c r="F389" s="25" t="s">
        <v>278</v>
      </c>
      <c r="G389" s="26">
        <v>0.25</v>
      </c>
      <c r="H389" s="31"/>
      <c r="I389" s="31">
        <v>7</v>
      </c>
      <c r="J389" s="27">
        <v>40.270000000000003</v>
      </c>
      <c r="M389" s="28">
        <f>ROUND(ROUND(J389, 2)*I389, 2)</f>
        <v>281.89</v>
      </c>
      <c r="P389" s="27">
        <v>40.270000000000003</v>
      </c>
      <c r="S389" s="28">
        <f>ROUND(ROUND(P389, 2)*I389, 2)</f>
        <v>281.89</v>
      </c>
    </row>
    <row r="390" spans="1:21" ht="72" x14ac:dyDescent="0.3">
      <c r="A390" s="10" t="s">
        <v>1333</v>
      </c>
      <c r="B390" s="10"/>
      <c r="C390" s="24" t="s">
        <v>1205</v>
      </c>
      <c r="D390" s="15"/>
      <c r="E390" s="15" t="s">
        <v>1334</v>
      </c>
      <c r="F390" s="25" t="s">
        <v>62</v>
      </c>
      <c r="G390" s="26">
        <v>1.2</v>
      </c>
      <c r="H390" s="31"/>
      <c r="I390" s="31">
        <v>33.6</v>
      </c>
      <c r="J390" s="27">
        <v>2021.26</v>
      </c>
      <c r="M390" s="28">
        <f>ROUND(ROUND(J390, 2)*I390, 2)</f>
        <v>67914.34</v>
      </c>
      <c r="P390" s="27">
        <v>1693.1</v>
      </c>
      <c r="S390" s="28">
        <f>ROUND(ROUND(P390, 2)*I390, 2)</f>
        <v>56888.160000000003</v>
      </c>
    </row>
    <row r="391" spans="1:21" ht="18" x14ac:dyDescent="0.3">
      <c r="A391" s="10" t="s">
        <v>1337</v>
      </c>
      <c r="B391" s="10"/>
      <c r="C391" s="30" t="s">
        <v>1200</v>
      </c>
      <c r="D391" s="15"/>
      <c r="E391" s="15"/>
      <c r="F391" s="25" t="s">
        <v>278</v>
      </c>
      <c r="G391" s="26">
        <v>1.2</v>
      </c>
      <c r="H391" s="31"/>
      <c r="I391" s="31">
        <v>33.6</v>
      </c>
      <c r="J391" s="27">
        <v>16.12</v>
      </c>
      <c r="M391" s="28">
        <f>ROUND(ROUND(J391, 2)*I391, 2)</f>
        <v>541.63</v>
      </c>
      <c r="P391" s="27">
        <v>16.11</v>
      </c>
      <c r="S391" s="28">
        <f>ROUND(ROUND(P391, 2)*I391, 2)</f>
        <v>541.29999999999995</v>
      </c>
    </row>
    <row r="392" spans="1:21" ht="36" x14ac:dyDescent="0.3">
      <c r="A392" s="10" t="s">
        <v>1340</v>
      </c>
      <c r="B392" s="10" t="s">
        <v>1195</v>
      </c>
      <c r="C392" s="14" t="s">
        <v>1196</v>
      </c>
      <c r="D392" s="15"/>
      <c r="E392" s="15" t="s">
        <v>1341</v>
      </c>
      <c r="F392" s="15" t="s">
        <v>62</v>
      </c>
      <c r="G392" s="16">
        <v>1</v>
      </c>
      <c r="H392" s="16"/>
      <c r="I392" s="16">
        <v>207.1</v>
      </c>
      <c r="J392" s="17">
        <v>2468.2399999999998</v>
      </c>
      <c r="K392" s="18">
        <v>2785</v>
      </c>
      <c r="L392" s="17">
        <f>J392+ROUND(K392, 2)</f>
        <v>5253.24</v>
      </c>
      <c r="M392" s="17">
        <v>511172.5</v>
      </c>
      <c r="N392" s="17">
        <v>576773.5</v>
      </c>
      <c r="O392" s="17">
        <f>M392+N392</f>
        <v>1087946</v>
      </c>
      <c r="P392" s="17">
        <v>1999.8</v>
      </c>
      <c r="Q392" s="18">
        <v>4177.5</v>
      </c>
      <c r="R392" s="17">
        <f>P392+ROUND(Q392, 2)</f>
        <v>6177.3</v>
      </c>
      <c r="S392" s="17">
        <v>414158.58</v>
      </c>
      <c r="T392" s="17">
        <v>865160.25</v>
      </c>
      <c r="U392" s="17">
        <f>S392+T392</f>
        <v>1279318.83</v>
      </c>
    </row>
    <row r="393" spans="1:21" ht="18" x14ac:dyDescent="0.3">
      <c r="A393" s="10" t="s">
        <v>1342</v>
      </c>
      <c r="B393" s="10"/>
      <c r="C393" s="30" t="s">
        <v>1200</v>
      </c>
      <c r="D393" s="15"/>
      <c r="E393" s="15"/>
      <c r="F393" s="25" t="s">
        <v>278</v>
      </c>
      <c r="G393" s="26">
        <v>1.2</v>
      </c>
      <c r="H393" s="31"/>
      <c r="I393" s="31">
        <v>248.52</v>
      </c>
      <c r="J393" s="27">
        <v>16.12</v>
      </c>
      <c r="M393" s="28">
        <f>ROUND(ROUND(J393, 2)*I393, 2)</f>
        <v>4006.14</v>
      </c>
      <c r="P393" s="27">
        <v>16.11</v>
      </c>
      <c r="S393" s="28">
        <f>ROUND(ROUND(P393, 2)*I393, 2)</f>
        <v>4003.66</v>
      </c>
    </row>
    <row r="394" spans="1:21" ht="72" x14ac:dyDescent="0.3">
      <c r="A394" s="10" t="s">
        <v>1345</v>
      </c>
      <c r="B394" s="10"/>
      <c r="C394" s="24" t="s">
        <v>1205</v>
      </c>
      <c r="D394" s="15"/>
      <c r="E394" s="15" t="s">
        <v>1346</v>
      </c>
      <c r="F394" s="25" t="s">
        <v>62</v>
      </c>
      <c r="G394" s="26">
        <v>1.2</v>
      </c>
      <c r="H394" s="31"/>
      <c r="I394" s="31">
        <v>248.52</v>
      </c>
      <c r="J394" s="27">
        <v>2021.26</v>
      </c>
      <c r="M394" s="28">
        <f>ROUND(ROUND(J394, 2)*I394, 2)</f>
        <v>502323.54</v>
      </c>
      <c r="P394" s="27">
        <v>1630.9</v>
      </c>
      <c r="S394" s="28">
        <f>ROUND(ROUND(P394, 2)*I394, 2)</f>
        <v>405311.27</v>
      </c>
    </row>
    <row r="395" spans="1:21" ht="18" x14ac:dyDescent="0.3">
      <c r="A395" s="10" t="s">
        <v>1349</v>
      </c>
      <c r="B395" s="10"/>
      <c r="C395" s="24" t="s">
        <v>1157</v>
      </c>
      <c r="D395" s="15"/>
      <c r="E395" s="15"/>
      <c r="F395" s="25" t="s">
        <v>278</v>
      </c>
      <c r="G395" s="26">
        <v>0.25</v>
      </c>
      <c r="H395" s="31"/>
      <c r="I395" s="31">
        <v>51.774999999999999</v>
      </c>
      <c r="J395" s="27">
        <v>40.270000000000003</v>
      </c>
      <c r="M395" s="28">
        <f>ROUND(ROUND(J395, 2)*I395, 2)</f>
        <v>2084.98</v>
      </c>
      <c r="P395" s="27">
        <v>40.270000000000003</v>
      </c>
      <c r="S395" s="28">
        <f>ROUND(ROUND(P395, 2)*I395, 2)</f>
        <v>2084.98</v>
      </c>
    </row>
    <row r="396" spans="1:21" ht="18" x14ac:dyDescent="0.3">
      <c r="A396" s="10" t="s">
        <v>1352</v>
      </c>
      <c r="B396" s="10"/>
      <c r="C396" s="24" t="s">
        <v>1007</v>
      </c>
      <c r="D396" s="15"/>
      <c r="E396" s="15"/>
      <c r="F396" s="25" t="s">
        <v>278</v>
      </c>
      <c r="G396" s="26">
        <v>0.15</v>
      </c>
      <c r="H396" s="26"/>
      <c r="I396" s="26">
        <v>31.065000000000001</v>
      </c>
      <c r="J396" s="27">
        <v>88.8</v>
      </c>
      <c r="M396" s="28">
        <f>ROUND(ROUND(J396, 2)*I396, 2)</f>
        <v>2758.57</v>
      </c>
      <c r="P396" s="27">
        <v>88.8</v>
      </c>
      <c r="S396" s="28">
        <f>ROUND(ROUND(P396, 2)*I396, 2)</f>
        <v>2758.57</v>
      </c>
    </row>
    <row r="397" spans="1:21" ht="36" x14ac:dyDescent="0.3">
      <c r="A397" s="10" t="s">
        <v>1355</v>
      </c>
      <c r="B397" s="10" t="s">
        <v>1195</v>
      </c>
      <c r="C397" s="14" t="s">
        <v>1196</v>
      </c>
      <c r="D397" s="15"/>
      <c r="E397" s="15" t="s">
        <v>1356</v>
      </c>
      <c r="F397" s="15" t="s">
        <v>62</v>
      </c>
      <c r="G397" s="16">
        <v>1</v>
      </c>
      <c r="H397" s="16"/>
      <c r="I397" s="16">
        <v>207.5</v>
      </c>
      <c r="J397" s="17">
        <v>2468.2399999999998</v>
      </c>
      <c r="K397" s="18">
        <v>2785</v>
      </c>
      <c r="L397" s="17">
        <f>J397+ROUND(K397, 2)</f>
        <v>5253.24</v>
      </c>
      <c r="M397" s="17">
        <v>512159.8</v>
      </c>
      <c r="N397" s="17">
        <v>577887.5</v>
      </c>
      <c r="O397" s="17">
        <f>M397+N397</f>
        <v>1090047.3</v>
      </c>
      <c r="P397" s="17">
        <v>1999.8</v>
      </c>
      <c r="Q397" s="18">
        <v>4177.5</v>
      </c>
      <c r="R397" s="17">
        <f>P397+ROUND(Q397, 2)</f>
        <v>6177.3</v>
      </c>
      <c r="S397" s="17">
        <v>414958.5</v>
      </c>
      <c r="T397" s="17">
        <v>866831.25</v>
      </c>
      <c r="U397" s="17">
        <f>S397+T397</f>
        <v>1281789.75</v>
      </c>
    </row>
    <row r="398" spans="1:21" ht="18" x14ac:dyDescent="0.3">
      <c r="A398" s="10" t="s">
        <v>1357</v>
      </c>
      <c r="B398" s="10"/>
      <c r="C398" s="24" t="s">
        <v>1007</v>
      </c>
      <c r="D398" s="15"/>
      <c r="E398" s="15"/>
      <c r="F398" s="25" t="s">
        <v>278</v>
      </c>
      <c r="G398" s="26">
        <v>0.15</v>
      </c>
      <c r="H398" s="26"/>
      <c r="I398" s="26">
        <v>31.125</v>
      </c>
      <c r="J398" s="27">
        <v>88.8</v>
      </c>
      <c r="M398" s="28">
        <f>ROUND(ROUND(J398, 2)*I398, 2)</f>
        <v>2763.9</v>
      </c>
      <c r="P398" s="27">
        <v>88.8</v>
      </c>
      <c r="S398" s="28">
        <f>ROUND(ROUND(P398, 2)*I398, 2)</f>
        <v>2763.9</v>
      </c>
    </row>
    <row r="399" spans="1:21" ht="18" x14ac:dyDescent="0.3">
      <c r="A399" s="10" t="s">
        <v>1360</v>
      </c>
      <c r="B399" s="10"/>
      <c r="C399" s="24" t="s">
        <v>1157</v>
      </c>
      <c r="D399" s="15"/>
      <c r="E399" s="15"/>
      <c r="F399" s="25" t="s">
        <v>278</v>
      </c>
      <c r="G399" s="26">
        <v>0.25</v>
      </c>
      <c r="H399" s="31"/>
      <c r="I399" s="31">
        <v>51.875</v>
      </c>
      <c r="J399" s="27">
        <v>40.270000000000003</v>
      </c>
      <c r="M399" s="28">
        <f>ROUND(ROUND(J399, 2)*I399, 2)</f>
        <v>2089.0100000000002</v>
      </c>
      <c r="P399" s="27">
        <v>40.270000000000003</v>
      </c>
      <c r="S399" s="28">
        <f>ROUND(ROUND(P399, 2)*I399, 2)</f>
        <v>2089.0100000000002</v>
      </c>
    </row>
    <row r="400" spans="1:21" ht="90" x14ac:dyDescent="0.3">
      <c r="A400" s="10" t="s">
        <v>1363</v>
      </c>
      <c r="B400" s="10"/>
      <c r="C400" s="24" t="s">
        <v>1205</v>
      </c>
      <c r="D400" s="15"/>
      <c r="E400" s="15" t="s">
        <v>1364</v>
      </c>
      <c r="F400" s="25" t="s">
        <v>62</v>
      </c>
      <c r="G400" s="26">
        <v>1.2</v>
      </c>
      <c r="H400" s="31"/>
      <c r="I400" s="31">
        <v>249</v>
      </c>
      <c r="J400" s="27">
        <v>2021.26</v>
      </c>
      <c r="M400" s="28">
        <f>ROUND(ROUND(J400, 2)*I400, 2)</f>
        <v>503293.74</v>
      </c>
      <c r="P400" s="27">
        <v>1630.9</v>
      </c>
      <c r="S400" s="28">
        <f>ROUND(ROUND(P400, 2)*I400, 2)</f>
        <v>406094.1</v>
      </c>
    </row>
    <row r="401" spans="1:21" ht="18" x14ac:dyDescent="0.3">
      <c r="A401" s="10" t="s">
        <v>1367</v>
      </c>
      <c r="B401" s="10"/>
      <c r="C401" s="30" t="s">
        <v>1200</v>
      </c>
      <c r="D401" s="15"/>
      <c r="E401" s="15"/>
      <c r="F401" s="25" t="s">
        <v>278</v>
      </c>
      <c r="G401" s="26">
        <v>1.2</v>
      </c>
      <c r="H401" s="31"/>
      <c r="I401" s="31">
        <v>249</v>
      </c>
      <c r="J401" s="27">
        <v>16.12</v>
      </c>
      <c r="M401" s="28">
        <f>ROUND(ROUND(J401, 2)*I401, 2)</f>
        <v>4013.88</v>
      </c>
      <c r="P401" s="27">
        <v>16.11</v>
      </c>
      <c r="S401" s="28">
        <f>ROUND(ROUND(P401, 2)*I401, 2)</f>
        <v>4011.39</v>
      </c>
    </row>
    <row r="402" spans="1:21" ht="80.55" customHeight="1" x14ac:dyDescent="0.3">
      <c r="A402" s="10" t="s">
        <v>1370</v>
      </c>
      <c r="B402" s="10" t="s">
        <v>1195</v>
      </c>
      <c r="C402" s="14" t="s">
        <v>1196</v>
      </c>
      <c r="D402" s="15"/>
      <c r="E402" s="15" t="s">
        <v>1371</v>
      </c>
      <c r="F402" s="15" t="s">
        <v>62</v>
      </c>
      <c r="G402" s="16">
        <v>1</v>
      </c>
      <c r="H402" s="16"/>
      <c r="I402" s="16">
        <v>1028.5899999999999</v>
      </c>
      <c r="J402" s="17">
        <f>IFERROR(ROUND(SUM(M403,M404,M405,M406)/I402, 2),0)</f>
        <v>2587.9899999999998</v>
      </c>
      <c r="K402" s="18">
        <v>2785</v>
      </c>
      <c r="L402" s="17">
        <f>J402+ROUND(K402, 2)</f>
        <v>5372.99</v>
      </c>
      <c r="M402" s="17">
        <f>ROUND(J402*I402, 2)</f>
        <v>2661980.63</v>
      </c>
      <c r="N402" s="17">
        <f>ROUND(I402*ROUND(K402, 2), 2)</f>
        <v>2864623.15</v>
      </c>
      <c r="O402" s="17">
        <f>M402+N402</f>
        <v>5526603.7799999993</v>
      </c>
      <c r="P402" s="17">
        <f>IFERROR(ROUND(SUM(S403,S404,S405,S406)/I402, 2),0)</f>
        <v>2587.9899999999998</v>
      </c>
      <c r="Q402" s="19">
        <v>4177.5</v>
      </c>
      <c r="R402" s="17">
        <f>P402+ROUND(Q402, 2)</f>
        <v>6765.49</v>
      </c>
      <c r="S402" s="17">
        <f>ROUND(P402*I402, 2)</f>
        <v>2661980.63</v>
      </c>
      <c r="T402" s="17">
        <f>ROUND(I402*ROUND(Q402, 2), 2)</f>
        <v>4296934.7300000004</v>
      </c>
      <c r="U402" s="17">
        <f>S402+T402</f>
        <v>6958915.3600000003</v>
      </c>
    </row>
    <row r="403" spans="1:21" ht="18" x14ac:dyDescent="0.3">
      <c r="A403" s="10" t="s">
        <v>1372</v>
      </c>
      <c r="B403" s="10"/>
      <c r="C403" s="30" t="s">
        <v>1200</v>
      </c>
      <c r="D403" s="15"/>
      <c r="E403" s="15"/>
      <c r="F403" s="25" t="s">
        <v>278</v>
      </c>
      <c r="G403" s="26">
        <v>1.2</v>
      </c>
      <c r="H403" s="31"/>
      <c r="I403" s="31">
        <v>6171.54</v>
      </c>
      <c r="J403" s="27">
        <v>16.38</v>
      </c>
      <c r="M403" s="28">
        <f>ROUND(ROUND(J403, 2)*I403, 2)</f>
        <v>101089.83</v>
      </c>
      <c r="P403" s="29">
        <v>16.38</v>
      </c>
      <c r="S403" s="28">
        <f>ROUND(ROUND(P403, 2)*I403, 2)</f>
        <v>101089.83</v>
      </c>
    </row>
    <row r="404" spans="1:21" ht="72" x14ac:dyDescent="0.3">
      <c r="A404" s="10" t="s">
        <v>1375</v>
      </c>
      <c r="B404" s="10"/>
      <c r="C404" s="24" t="s">
        <v>1205</v>
      </c>
      <c r="D404" s="15"/>
      <c r="E404" s="15" t="s">
        <v>1376</v>
      </c>
      <c r="F404" s="25" t="s">
        <v>62</v>
      </c>
      <c r="G404" s="26">
        <v>1.2</v>
      </c>
      <c r="H404" s="31"/>
      <c r="I404" s="31">
        <v>1234.308</v>
      </c>
      <c r="J404" s="27">
        <v>2054.94</v>
      </c>
      <c r="M404" s="28">
        <f>ROUND(ROUND(J404, 2)*I404, 2)</f>
        <v>2536428.88</v>
      </c>
      <c r="P404" s="29">
        <v>2054.94</v>
      </c>
      <c r="S404" s="28">
        <f>ROUND(ROUND(P404, 2)*I404, 2)</f>
        <v>2536428.88</v>
      </c>
    </row>
    <row r="405" spans="1:21" ht="18" x14ac:dyDescent="0.3">
      <c r="A405" s="10" t="s">
        <v>1379</v>
      </c>
      <c r="B405" s="10"/>
      <c r="C405" s="24" t="s">
        <v>1157</v>
      </c>
      <c r="D405" s="15"/>
      <c r="E405" s="15"/>
      <c r="F405" s="25" t="s">
        <v>278</v>
      </c>
      <c r="G405" s="26">
        <v>0.25</v>
      </c>
      <c r="H405" s="31"/>
      <c r="I405" s="31">
        <v>257.14800000000002</v>
      </c>
      <c r="J405" s="27">
        <v>40.94</v>
      </c>
      <c r="M405" s="28">
        <f>ROUND(ROUND(J405, 2)*I405, 2)</f>
        <v>10527.64</v>
      </c>
      <c r="P405" s="29">
        <v>40.94</v>
      </c>
      <c r="S405" s="28">
        <f>ROUND(ROUND(P405, 2)*I405, 2)</f>
        <v>10527.64</v>
      </c>
    </row>
    <row r="406" spans="1:21" ht="18" x14ac:dyDescent="0.3">
      <c r="A406" s="10" t="s">
        <v>1382</v>
      </c>
      <c r="B406" s="10"/>
      <c r="C406" s="24" t="s">
        <v>1007</v>
      </c>
      <c r="D406" s="15"/>
      <c r="E406" s="15"/>
      <c r="F406" s="25" t="s">
        <v>278</v>
      </c>
      <c r="G406" s="26">
        <v>0.15</v>
      </c>
      <c r="H406" s="26"/>
      <c r="I406" s="26">
        <v>154.28899999999999</v>
      </c>
      <c r="J406" s="27">
        <v>90.28</v>
      </c>
      <c r="M406" s="28">
        <f>ROUND(ROUND(J406, 2)*I406, 2)</f>
        <v>13929.21</v>
      </c>
      <c r="P406" s="29">
        <v>90.28</v>
      </c>
      <c r="S406" s="28">
        <f>ROUND(ROUND(P406, 2)*I406, 2)</f>
        <v>13929.21</v>
      </c>
    </row>
    <row r="407" spans="1:21" ht="84.45" customHeight="1" x14ac:dyDescent="0.3">
      <c r="A407" s="10" t="s">
        <v>1385</v>
      </c>
      <c r="B407" s="10" t="s">
        <v>1195</v>
      </c>
      <c r="C407" s="14" t="s">
        <v>1196</v>
      </c>
      <c r="D407" s="15"/>
      <c r="E407" s="15" t="s">
        <v>1386</v>
      </c>
      <c r="F407" s="15" t="s">
        <v>62</v>
      </c>
      <c r="G407" s="16">
        <v>1</v>
      </c>
      <c r="H407" s="16"/>
      <c r="I407" s="16">
        <v>31.09</v>
      </c>
      <c r="J407" s="17">
        <f>IFERROR(ROUND(SUM(M408,M409,M410,M411)/I407, 2),0)</f>
        <v>2587.9899999999998</v>
      </c>
      <c r="K407" s="18">
        <v>2785</v>
      </c>
      <c r="L407" s="17">
        <f>J407+ROUND(K407, 2)</f>
        <v>5372.99</v>
      </c>
      <c r="M407" s="17">
        <f>ROUND(J407*I407, 2)</f>
        <v>80460.61</v>
      </c>
      <c r="N407" s="17">
        <f>ROUND(I407*ROUND(K407, 2), 2)</f>
        <v>86585.65</v>
      </c>
      <c r="O407" s="17">
        <f>M407+N407</f>
        <v>167046.26</v>
      </c>
      <c r="P407" s="17">
        <f>IFERROR(ROUND(SUM(S408,S409,S410,S411)/I407, 2),0)</f>
        <v>2587.9899999999998</v>
      </c>
      <c r="Q407" s="19">
        <v>4177.5</v>
      </c>
      <c r="R407" s="17">
        <f>P407+ROUND(Q407, 2)</f>
        <v>6765.49</v>
      </c>
      <c r="S407" s="17">
        <f>ROUND(P407*I407, 2)</f>
        <v>80460.61</v>
      </c>
      <c r="T407" s="17">
        <f>ROUND(I407*ROUND(Q407, 2), 2)</f>
        <v>129878.48</v>
      </c>
      <c r="U407" s="17">
        <f>S407+T407</f>
        <v>210339.09</v>
      </c>
    </row>
    <row r="408" spans="1:21" ht="18" x14ac:dyDescent="0.3">
      <c r="A408" s="10" t="s">
        <v>1387</v>
      </c>
      <c r="B408" s="10"/>
      <c r="C408" s="24" t="s">
        <v>1007</v>
      </c>
      <c r="D408" s="15"/>
      <c r="E408" s="15"/>
      <c r="F408" s="25" t="s">
        <v>278</v>
      </c>
      <c r="G408" s="26">
        <v>0.15</v>
      </c>
      <c r="H408" s="26"/>
      <c r="I408" s="26">
        <v>4.6639999999999997</v>
      </c>
      <c r="J408" s="27">
        <v>90.28</v>
      </c>
      <c r="M408" s="28">
        <f>ROUND(ROUND(J408, 2)*I408, 2)</f>
        <v>421.07</v>
      </c>
      <c r="P408" s="29">
        <v>90.28</v>
      </c>
      <c r="S408" s="28">
        <f>ROUND(ROUND(P408, 2)*I408, 2)</f>
        <v>421.07</v>
      </c>
    </row>
    <row r="409" spans="1:21" ht="18" x14ac:dyDescent="0.3">
      <c r="A409" s="10" t="s">
        <v>1390</v>
      </c>
      <c r="B409" s="10"/>
      <c r="C409" s="24" t="s">
        <v>1157</v>
      </c>
      <c r="D409" s="15"/>
      <c r="E409" s="15"/>
      <c r="F409" s="25" t="s">
        <v>278</v>
      </c>
      <c r="G409" s="26">
        <v>0.25</v>
      </c>
      <c r="H409" s="31"/>
      <c r="I409" s="31">
        <v>7.7729999999999997</v>
      </c>
      <c r="J409" s="27">
        <v>40.94</v>
      </c>
      <c r="M409" s="28">
        <f>ROUND(ROUND(J409, 2)*I409, 2)</f>
        <v>318.23</v>
      </c>
      <c r="P409" s="29">
        <v>40.94</v>
      </c>
      <c r="S409" s="28">
        <f>ROUND(ROUND(P409, 2)*I409, 2)</f>
        <v>318.23</v>
      </c>
    </row>
    <row r="410" spans="1:21" ht="54" x14ac:dyDescent="0.3">
      <c r="A410" s="10" t="s">
        <v>1393</v>
      </c>
      <c r="B410" s="10"/>
      <c r="C410" s="24" t="s">
        <v>1205</v>
      </c>
      <c r="D410" s="15"/>
      <c r="E410" s="15" t="s">
        <v>1394</v>
      </c>
      <c r="F410" s="25" t="s">
        <v>62</v>
      </c>
      <c r="G410" s="26">
        <v>1.2</v>
      </c>
      <c r="H410" s="31"/>
      <c r="I410" s="31">
        <v>37.308</v>
      </c>
      <c r="J410" s="27">
        <v>2054.94</v>
      </c>
      <c r="M410" s="28">
        <f>ROUND(ROUND(J410, 2)*I410, 2)</f>
        <v>76665.7</v>
      </c>
      <c r="P410" s="29">
        <v>2054.94</v>
      </c>
      <c r="S410" s="28">
        <f>ROUND(ROUND(P410, 2)*I410, 2)</f>
        <v>76665.7</v>
      </c>
    </row>
    <row r="411" spans="1:21" ht="18" x14ac:dyDescent="0.3">
      <c r="A411" s="10" t="s">
        <v>1397</v>
      </c>
      <c r="B411" s="10"/>
      <c r="C411" s="30" t="s">
        <v>1200</v>
      </c>
      <c r="D411" s="15"/>
      <c r="E411" s="15"/>
      <c r="F411" s="25" t="s">
        <v>278</v>
      </c>
      <c r="G411" s="26">
        <v>1.2</v>
      </c>
      <c r="H411" s="31"/>
      <c r="I411" s="31">
        <v>186.54</v>
      </c>
      <c r="J411" s="27">
        <v>16.38</v>
      </c>
      <c r="M411" s="28">
        <f>ROUND(ROUND(J411, 2)*I411, 2)</f>
        <v>3055.53</v>
      </c>
      <c r="P411" s="29">
        <v>16.38</v>
      </c>
      <c r="S411" s="28">
        <f>ROUND(ROUND(P411, 2)*I411, 2)</f>
        <v>3055.53</v>
      </c>
    </row>
    <row r="412" spans="1:21" ht="73.95" customHeight="1" x14ac:dyDescent="0.3">
      <c r="A412" s="10" t="s">
        <v>1400</v>
      </c>
      <c r="B412" s="10" t="s">
        <v>1195</v>
      </c>
      <c r="C412" s="14" t="s">
        <v>1196</v>
      </c>
      <c r="D412" s="15"/>
      <c r="E412" s="15" t="s">
        <v>1401</v>
      </c>
      <c r="F412" s="15" t="s">
        <v>62</v>
      </c>
      <c r="G412" s="16">
        <v>1</v>
      </c>
      <c r="H412" s="16"/>
      <c r="I412" s="16">
        <v>477</v>
      </c>
      <c r="J412" s="17">
        <f>IFERROR(ROUND(SUM(M413,M414,M415,M416)/I412, 2),0)</f>
        <v>2587.9899999999998</v>
      </c>
      <c r="K412" s="18">
        <v>2785</v>
      </c>
      <c r="L412" s="17">
        <f>J412+ROUND(K412, 2)</f>
        <v>5372.99</v>
      </c>
      <c r="M412" s="17">
        <f>ROUND(J412*I412, 2)</f>
        <v>1234471.23</v>
      </c>
      <c r="N412" s="17">
        <f>ROUND(I412*ROUND(K412, 2), 2)</f>
        <v>1328445</v>
      </c>
      <c r="O412" s="17">
        <f>M412+N412</f>
        <v>2562916.23</v>
      </c>
      <c r="P412" s="17">
        <f>IFERROR(ROUND(SUM(S413,S414,S415,S416)/I412, 2),0)</f>
        <v>2587.9899999999998</v>
      </c>
      <c r="Q412" s="19">
        <v>4177.5</v>
      </c>
      <c r="R412" s="17">
        <f>P412+ROUND(Q412, 2)</f>
        <v>6765.49</v>
      </c>
      <c r="S412" s="17">
        <f>ROUND(P412*I412, 2)</f>
        <v>1234471.23</v>
      </c>
      <c r="T412" s="17">
        <f>ROUND(I412*ROUND(Q412, 2), 2)</f>
        <v>1992667.5</v>
      </c>
      <c r="U412" s="17">
        <f>S412+T412</f>
        <v>3227138.73</v>
      </c>
    </row>
    <row r="413" spans="1:21" ht="18" x14ac:dyDescent="0.3">
      <c r="A413" s="10" t="s">
        <v>1402</v>
      </c>
      <c r="B413" s="10"/>
      <c r="C413" s="30" t="s">
        <v>1200</v>
      </c>
      <c r="D413" s="15"/>
      <c r="E413" s="15"/>
      <c r="F413" s="25" t="s">
        <v>278</v>
      </c>
      <c r="G413" s="26">
        <v>1.2</v>
      </c>
      <c r="H413" s="31"/>
      <c r="I413" s="31">
        <v>2862</v>
      </c>
      <c r="J413" s="27">
        <v>16.38</v>
      </c>
      <c r="M413" s="28">
        <f>ROUND(ROUND(J413, 2)*I413, 2)</f>
        <v>46879.56</v>
      </c>
      <c r="P413" s="29">
        <v>16.38</v>
      </c>
      <c r="S413" s="28">
        <f>ROUND(ROUND(P413, 2)*I413, 2)</f>
        <v>46879.56</v>
      </c>
    </row>
    <row r="414" spans="1:21" ht="72" x14ac:dyDescent="0.3">
      <c r="A414" s="10" t="s">
        <v>1405</v>
      </c>
      <c r="B414" s="10"/>
      <c r="C414" s="24" t="s">
        <v>1205</v>
      </c>
      <c r="D414" s="15"/>
      <c r="E414" s="15" t="s">
        <v>1406</v>
      </c>
      <c r="F414" s="25" t="s">
        <v>62</v>
      </c>
      <c r="G414" s="26">
        <v>1.2</v>
      </c>
      <c r="H414" s="31"/>
      <c r="I414" s="31">
        <v>572.4</v>
      </c>
      <c r="J414" s="27">
        <v>2054.94</v>
      </c>
      <c r="M414" s="28">
        <f>ROUND(ROUND(J414, 2)*I414, 2)</f>
        <v>1176247.6599999999</v>
      </c>
      <c r="P414" s="29">
        <v>2054.94</v>
      </c>
      <c r="S414" s="28">
        <f>ROUND(ROUND(P414, 2)*I414, 2)</f>
        <v>1176247.6599999999</v>
      </c>
    </row>
    <row r="415" spans="1:21" ht="18" x14ac:dyDescent="0.3">
      <c r="A415" s="10" t="s">
        <v>1409</v>
      </c>
      <c r="B415" s="10"/>
      <c r="C415" s="24" t="s">
        <v>1157</v>
      </c>
      <c r="D415" s="15"/>
      <c r="E415" s="15"/>
      <c r="F415" s="25" t="s">
        <v>278</v>
      </c>
      <c r="G415" s="26">
        <v>0.25</v>
      </c>
      <c r="H415" s="31"/>
      <c r="I415" s="31">
        <v>119.25</v>
      </c>
      <c r="J415" s="27">
        <v>40.94</v>
      </c>
      <c r="M415" s="28">
        <f>ROUND(ROUND(J415, 2)*I415, 2)</f>
        <v>4882.1000000000004</v>
      </c>
      <c r="P415" s="29">
        <v>40.94</v>
      </c>
      <c r="S415" s="28">
        <f>ROUND(ROUND(P415, 2)*I415, 2)</f>
        <v>4882.1000000000004</v>
      </c>
    </row>
    <row r="416" spans="1:21" ht="18" x14ac:dyDescent="0.3">
      <c r="A416" s="10" t="s">
        <v>1412</v>
      </c>
      <c r="B416" s="10"/>
      <c r="C416" s="24" t="s">
        <v>1007</v>
      </c>
      <c r="D416" s="15"/>
      <c r="E416" s="15"/>
      <c r="F416" s="25" t="s">
        <v>278</v>
      </c>
      <c r="G416" s="26">
        <v>0.15</v>
      </c>
      <c r="H416" s="26"/>
      <c r="I416" s="26">
        <v>71.55</v>
      </c>
      <c r="J416" s="27">
        <v>90.28</v>
      </c>
      <c r="M416" s="28">
        <f>ROUND(ROUND(J416, 2)*I416, 2)</f>
        <v>6459.53</v>
      </c>
      <c r="P416" s="29">
        <v>90.28</v>
      </c>
      <c r="S416" s="28">
        <f>ROUND(ROUND(P416, 2)*I416, 2)</f>
        <v>6459.53</v>
      </c>
    </row>
    <row r="417" spans="1:21" ht="54" customHeight="1" x14ac:dyDescent="0.3">
      <c r="A417" s="10" t="s">
        <v>1415</v>
      </c>
      <c r="B417" s="10" t="s">
        <v>1195</v>
      </c>
      <c r="C417" s="14" t="s">
        <v>1196</v>
      </c>
      <c r="D417" s="15"/>
      <c r="E417" s="15" t="s">
        <v>1416</v>
      </c>
      <c r="F417" s="15" t="s">
        <v>62</v>
      </c>
      <c r="G417" s="16">
        <v>1</v>
      </c>
      <c r="H417" s="16"/>
      <c r="I417" s="16">
        <v>28.2</v>
      </c>
      <c r="J417" s="17">
        <f>IFERROR(ROUND(SUM(M418,M419,M420,M421)/I417, 2),0)</f>
        <v>2587.9899999999998</v>
      </c>
      <c r="K417" s="18">
        <v>2785</v>
      </c>
      <c r="L417" s="17">
        <f>J417+ROUND(K417, 2)</f>
        <v>5372.99</v>
      </c>
      <c r="M417" s="17">
        <f>ROUND(J417*I417, 2)</f>
        <v>72981.320000000007</v>
      </c>
      <c r="N417" s="17">
        <f>ROUND(I417*ROUND(K417, 2), 2)</f>
        <v>78537</v>
      </c>
      <c r="O417" s="17">
        <f>M417+N417</f>
        <v>151518.32</v>
      </c>
      <c r="P417" s="17">
        <f>IFERROR(ROUND(SUM(S418,S419,S420,S421)/I417, 2),0)</f>
        <v>2587.9899999999998</v>
      </c>
      <c r="Q417" s="19">
        <v>4177.5</v>
      </c>
      <c r="R417" s="17">
        <f>P417+ROUND(Q417, 2)</f>
        <v>6765.49</v>
      </c>
      <c r="S417" s="17">
        <f>ROUND(P417*I417, 2)</f>
        <v>72981.320000000007</v>
      </c>
      <c r="T417" s="17">
        <f>ROUND(I417*ROUND(Q417, 2), 2)</f>
        <v>117805.5</v>
      </c>
      <c r="U417" s="17">
        <f>S417+T417</f>
        <v>190786.82</v>
      </c>
    </row>
    <row r="418" spans="1:21" ht="18" x14ac:dyDescent="0.3">
      <c r="A418" s="10" t="s">
        <v>1417</v>
      </c>
      <c r="B418" s="10"/>
      <c r="C418" s="24" t="s">
        <v>1007</v>
      </c>
      <c r="D418" s="15"/>
      <c r="E418" s="15"/>
      <c r="F418" s="25" t="s">
        <v>278</v>
      </c>
      <c r="G418" s="26">
        <v>0.15</v>
      </c>
      <c r="H418" s="26"/>
      <c r="I418" s="26">
        <v>4.2300000000000004</v>
      </c>
      <c r="J418" s="27">
        <v>90.28</v>
      </c>
      <c r="M418" s="28">
        <f>ROUND(ROUND(J418, 2)*I418, 2)</f>
        <v>381.88</v>
      </c>
      <c r="P418" s="29">
        <v>90.28</v>
      </c>
      <c r="S418" s="28">
        <f>ROUND(ROUND(P418, 2)*I418, 2)</f>
        <v>381.88</v>
      </c>
    </row>
    <row r="419" spans="1:21" ht="18" x14ac:dyDescent="0.3">
      <c r="A419" s="10" t="s">
        <v>1420</v>
      </c>
      <c r="B419" s="10"/>
      <c r="C419" s="24" t="s">
        <v>1157</v>
      </c>
      <c r="D419" s="15"/>
      <c r="E419" s="15"/>
      <c r="F419" s="25" t="s">
        <v>278</v>
      </c>
      <c r="G419" s="26">
        <v>0.25</v>
      </c>
      <c r="H419" s="31"/>
      <c r="I419" s="31">
        <v>7.05</v>
      </c>
      <c r="J419" s="27">
        <v>40.94</v>
      </c>
      <c r="M419" s="28">
        <f>ROUND(ROUND(J419, 2)*I419, 2)</f>
        <v>288.63</v>
      </c>
      <c r="P419" s="29">
        <v>40.94</v>
      </c>
      <c r="S419" s="28">
        <f>ROUND(ROUND(P419, 2)*I419, 2)</f>
        <v>288.63</v>
      </c>
    </row>
    <row r="420" spans="1:21" ht="72" x14ac:dyDescent="0.3">
      <c r="A420" s="10" t="s">
        <v>1423</v>
      </c>
      <c r="B420" s="10"/>
      <c r="C420" s="24" t="s">
        <v>1205</v>
      </c>
      <c r="D420" s="15"/>
      <c r="E420" s="15" t="s">
        <v>1334</v>
      </c>
      <c r="F420" s="25" t="s">
        <v>62</v>
      </c>
      <c r="G420" s="26">
        <v>1.2</v>
      </c>
      <c r="H420" s="31"/>
      <c r="I420" s="31">
        <v>33.840000000000003</v>
      </c>
      <c r="J420" s="27">
        <v>2054.94</v>
      </c>
      <c r="M420" s="28">
        <f>ROUND(ROUND(J420, 2)*I420, 2)</f>
        <v>69539.17</v>
      </c>
      <c r="P420" s="29">
        <v>2054.94</v>
      </c>
      <c r="S420" s="28">
        <f>ROUND(ROUND(P420, 2)*I420, 2)</f>
        <v>69539.17</v>
      </c>
    </row>
    <row r="421" spans="1:21" ht="18" x14ac:dyDescent="0.3">
      <c r="A421" s="10" t="s">
        <v>1426</v>
      </c>
      <c r="B421" s="10"/>
      <c r="C421" s="30" t="s">
        <v>1200</v>
      </c>
      <c r="D421" s="15"/>
      <c r="E421" s="15"/>
      <c r="F421" s="25" t="s">
        <v>278</v>
      </c>
      <c r="G421" s="26">
        <v>1.2</v>
      </c>
      <c r="H421" s="31"/>
      <c r="I421" s="31">
        <v>169.2</v>
      </c>
      <c r="J421" s="27">
        <v>16.38</v>
      </c>
      <c r="M421" s="28">
        <f>ROUND(ROUND(J421, 2)*I421, 2)</f>
        <v>2771.5</v>
      </c>
      <c r="P421" s="29">
        <v>16.38</v>
      </c>
      <c r="S421" s="28">
        <f>ROUND(ROUND(P421, 2)*I421, 2)</f>
        <v>2771.5</v>
      </c>
    </row>
    <row r="422" spans="1:21" ht="109.5" customHeight="1" x14ac:dyDescent="0.3">
      <c r="A422" s="10" t="s">
        <v>1429</v>
      </c>
      <c r="B422" s="10" t="s">
        <v>1195</v>
      </c>
      <c r="C422" s="14" t="s">
        <v>1196</v>
      </c>
      <c r="D422" s="15"/>
      <c r="E422" s="15" t="s">
        <v>1430</v>
      </c>
      <c r="F422" s="15" t="s">
        <v>62</v>
      </c>
      <c r="G422" s="16">
        <v>1</v>
      </c>
      <c r="H422" s="16"/>
      <c r="I422" s="16">
        <v>228.14</v>
      </c>
      <c r="J422" s="17">
        <f>IFERROR(ROUND(SUM(M423,M424,M425,M426)/I422, 2),0)</f>
        <v>2329.23</v>
      </c>
      <c r="K422" s="18">
        <v>2785</v>
      </c>
      <c r="L422" s="17">
        <f>J422+ROUND(K422, 2)</f>
        <v>5114.2299999999996</v>
      </c>
      <c r="M422" s="17">
        <f>ROUND(J422*I422, 2)</f>
        <v>531390.53</v>
      </c>
      <c r="N422" s="17">
        <f>ROUND(I422*ROUND(K422, 2), 2)</f>
        <v>635369.9</v>
      </c>
      <c r="O422" s="17">
        <f>M422+N422</f>
        <v>1166760.4300000002</v>
      </c>
      <c r="P422" s="17">
        <f>IFERROR(ROUND(SUM(S423,S424,S425,S426)/I422, 2),0)</f>
        <v>2329.23</v>
      </c>
      <c r="Q422" s="19">
        <v>4177.5</v>
      </c>
      <c r="R422" s="17">
        <f>P422+ROUND(Q422, 2)</f>
        <v>6506.73</v>
      </c>
      <c r="S422" s="17">
        <f>ROUND(P422*I422, 2)</f>
        <v>531390.53</v>
      </c>
      <c r="T422" s="17">
        <f>ROUND(I422*ROUND(Q422, 2), 2)</f>
        <v>953054.85</v>
      </c>
      <c r="U422" s="17">
        <f>S422+T422</f>
        <v>1484445.38</v>
      </c>
    </row>
    <row r="423" spans="1:21" ht="18" x14ac:dyDescent="0.3">
      <c r="A423" s="10" t="s">
        <v>1431</v>
      </c>
      <c r="B423" s="10"/>
      <c r="C423" s="30" t="s">
        <v>1200</v>
      </c>
      <c r="D423" s="15"/>
      <c r="E423" s="15"/>
      <c r="F423" s="25" t="s">
        <v>278</v>
      </c>
      <c r="G423" s="26">
        <v>1.2</v>
      </c>
      <c r="H423" s="31"/>
      <c r="I423" s="31">
        <v>1368.84</v>
      </c>
      <c r="J423" s="27">
        <v>16.38</v>
      </c>
      <c r="M423" s="28">
        <f>ROUND(ROUND(J423, 2)*I423, 2)</f>
        <v>22421.599999999999</v>
      </c>
      <c r="P423" s="29">
        <v>16.38</v>
      </c>
      <c r="S423" s="28">
        <f>ROUND(ROUND(P423, 2)*I423, 2)</f>
        <v>22421.599999999999</v>
      </c>
    </row>
    <row r="424" spans="1:21" ht="72" x14ac:dyDescent="0.3">
      <c r="A424" s="10" t="s">
        <v>1434</v>
      </c>
      <c r="B424" s="10"/>
      <c r="C424" s="24" t="s">
        <v>1435</v>
      </c>
      <c r="D424" s="15"/>
      <c r="E424" s="15" t="s">
        <v>1346</v>
      </c>
      <c r="F424" s="25" t="s">
        <v>62</v>
      </c>
      <c r="G424" s="26">
        <v>1.2</v>
      </c>
      <c r="H424" s="31"/>
      <c r="I424" s="31">
        <v>273.76799999999997</v>
      </c>
      <c r="J424" s="27">
        <v>1839.31</v>
      </c>
      <c r="M424" s="28">
        <f>ROUND(ROUND(J424, 2)*I424, 2)</f>
        <v>503544.22</v>
      </c>
      <c r="P424" s="29">
        <v>1839.31</v>
      </c>
      <c r="S424" s="28">
        <f>ROUND(ROUND(P424, 2)*I424, 2)</f>
        <v>503544.22</v>
      </c>
    </row>
    <row r="425" spans="1:21" ht="18" x14ac:dyDescent="0.3">
      <c r="A425" s="10" t="s">
        <v>1439</v>
      </c>
      <c r="B425" s="10"/>
      <c r="C425" s="24" t="s">
        <v>1157</v>
      </c>
      <c r="D425" s="15"/>
      <c r="E425" s="15"/>
      <c r="F425" s="25" t="s">
        <v>278</v>
      </c>
      <c r="G425" s="26">
        <v>0.25</v>
      </c>
      <c r="H425" s="31"/>
      <c r="I425" s="31">
        <v>57.034999999999997</v>
      </c>
      <c r="J425" s="27">
        <v>40.94</v>
      </c>
      <c r="M425" s="28">
        <f>ROUND(ROUND(J425, 2)*I425, 2)</f>
        <v>2335.0100000000002</v>
      </c>
      <c r="P425" s="29">
        <v>40.94</v>
      </c>
      <c r="S425" s="28">
        <f>ROUND(ROUND(P425, 2)*I425, 2)</f>
        <v>2335.0100000000002</v>
      </c>
    </row>
    <row r="426" spans="1:21" ht="18" x14ac:dyDescent="0.3">
      <c r="A426" s="10" t="s">
        <v>1442</v>
      </c>
      <c r="B426" s="10"/>
      <c r="C426" s="24" t="s">
        <v>1007</v>
      </c>
      <c r="D426" s="15"/>
      <c r="E426" s="15"/>
      <c r="F426" s="25" t="s">
        <v>278</v>
      </c>
      <c r="G426" s="26">
        <v>0.15</v>
      </c>
      <c r="H426" s="26"/>
      <c r="I426" s="26">
        <v>34.220999999999997</v>
      </c>
      <c r="J426" s="27">
        <v>90.28</v>
      </c>
      <c r="M426" s="28">
        <f>ROUND(ROUND(J426, 2)*I426, 2)</f>
        <v>3089.47</v>
      </c>
      <c r="P426" s="29">
        <v>90.28</v>
      </c>
      <c r="S426" s="28">
        <f>ROUND(ROUND(P426, 2)*I426, 2)</f>
        <v>3089.47</v>
      </c>
    </row>
    <row r="427" spans="1:21" ht="68.55" customHeight="1" x14ac:dyDescent="0.3">
      <c r="A427" s="10" t="s">
        <v>1445</v>
      </c>
      <c r="B427" s="10" t="s">
        <v>1195</v>
      </c>
      <c r="C427" s="14" t="s">
        <v>1196</v>
      </c>
      <c r="D427" s="15"/>
      <c r="E427" s="15" t="s">
        <v>1446</v>
      </c>
      <c r="F427" s="15" t="s">
        <v>62</v>
      </c>
      <c r="G427" s="16">
        <v>1</v>
      </c>
      <c r="H427" s="16"/>
      <c r="I427" s="16">
        <v>65.08</v>
      </c>
      <c r="J427" s="17">
        <f>IFERROR(ROUND(SUM(M428,M429,M430,M431)/I427, 2),0)</f>
        <v>2329.23</v>
      </c>
      <c r="K427" s="18">
        <v>2785</v>
      </c>
      <c r="L427" s="17">
        <f>J427+ROUND(K427, 2)</f>
        <v>5114.2299999999996</v>
      </c>
      <c r="M427" s="17">
        <f>ROUND(J427*I427, 2)</f>
        <v>151586.29</v>
      </c>
      <c r="N427" s="17">
        <f>ROUND(I427*ROUND(K427, 2), 2)</f>
        <v>181247.8</v>
      </c>
      <c r="O427" s="17">
        <f>M427+N427</f>
        <v>332834.08999999997</v>
      </c>
      <c r="P427" s="17">
        <f>IFERROR(ROUND(SUM(S428,S429,S430,S431)/I427, 2),0)</f>
        <v>2329.23</v>
      </c>
      <c r="Q427" s="19">
        <v>4177.5</v>
      </c>
      <c r="R427" s="17">
        <f>P427+ROUND(Q427, 2)</f>
        <v>6506.73</v>
      </c>
      <c r="S427" s="17">
        <f>ROUND(P427*I427, 2)</f>
        <v>151586.29</v>
      </c>
      <c r="T427" s="17">
        <f>ROUND(I427*ROUND(Q427, 2), 2)</f>
        <v>271871.7</v>
      </c>
      <c r="U427" s="17">
        <f>S427+T427</f>
        <v>423457.99</v>
      </c>
    </row>
    <row r="428" spans="1:21" ht="18" x14ac:dyDescent="0.3">
      <c r="A428" s="10" t="s">
        <v>1447</v>
      </c>
      <c r="B428" s="10"/>
      <c r="C428" s="24" t="s">
        <v>1007</v>
      </c>
      <c r="D428" s="15"/>
      <c r="E428" s="15"/>
      <c r="F428" s="25" t="s">
        <v>278</v>
      </c>
      <c r="G428" s="26">
        <v>0.15</v>
      </c>
      <c r="H428" s="26"/>
      <c r="I428" s="26">
        <v>9.7620000000000005</v>
      </c>
      <c r="J428" s="27">
        <v>90.28</v>
      </c>
      <c r="M428" s="28">
        <f>ROUND(ROUND(J428, 2)*I428, 2)</f>
        <v>881.31</v>
      </c>
      <c r="P428" s="29">
        <v>90.28</v>
      </c>
      <c r="S428" s="28">
        <f>ROUND(ROUND(P428, 2)*I428, 2)</f>
        <v>881.31</v>
      </c>
    </row>
    <row r="429" spans="1:21" ht="18" x14ac:dyDescent="0.3">
      <c r="A429" s="10" t="s">
        <v>1450</v>
      </c>
      <c r="B429" s="10"/>
      <c r="C429" s="24" t="s">
        <v>1157</v>
      </c>
      <c r="D429" s="15"/>
      <c r="E429" s="15"/>
      <c r="F429" s="25" t="s">
        <v>278</v>
      </c>
      <c r="G429" s="26">
        <v>0.25</v>
      </c>
      <c r="H429" s="31"/>
      <c r="I429" s="31">
        <v>16.27</v>
      </c>
      <c r="J429" s="27">
        <v>40.94</v>
      </c>
      <c r="M429" s="28">
        <f>ROUND(ROUND(J429, 2)*I429, 2)</f>
        <v>666.09</v>
      </c>
      <c r="P429" s="29">
        <v>40.94</v>
      </c>
      <c r="S429" s="28">
        <f>ROUND(ROUND(P429, 2)*I429, 2)</f>
        <v>666.09</v>
      </c>
    </row>
    <row r="430" spans="1:21" ht="72" x14ac:dyDescent="0.3">
      <c r="A430" s="10" t="s">
        <v>1453</v>
      </c>
      <c r="B430" s="10"/>
      <c r="C430" s="24" t="s">
        <v>1435</v>
      </c>
      <c r="D430" s="15"/>
      <c r="E430" s="15" t="s">
        <v>1454</v>
      </c>
      <c r="F430" s="25" t="s">
        <v>62</v>
      </c>
      <c r="G430" s="26">
        <v>1.2</v>
      </c>
      <c r="H430" s="31"/>
      <c r="I430" s="31">
        <v>78.096000000000004</v>
      </c>
      <c r="J430" s="27">
        <v>1839.31</v>
      </c>
      <c r="M430" s="28">
        <f>ROUND(ROUND(J430, 2)*I430, 2)</f>
        <v>143642.75</v>
      </c>
      <c r="P430" s="29">
        <v>1839.31</v>
      </c>
      <c r="S430" s="28">
        <f>ROUND(ROUND(P430, 2)*I430, 2)</f>
        <v>143642.75</v>
      </c>
    </row>
    <row r="431" spans="1:21" ht="18" x14ac:dyDescent="0.3">
      <c r="A431" s="10" t="s">
        <v>1457</v>
      </c>
      <c r="B431" s="10"/>
      <c r="C431" s="30" t="s">
        <v>1200</v>
      </c>
      <c r="D431" s="15"/>
      <c r="E431" s="15"/>
      <c r="F431" s="25" t="s">
        <v>278</v>
      </c>
      <c r="G431" s="26">
        <v>1.2</v>
      </c>
      <c r="H431" s="31"/>
      <c r="I431" s="31">
        <v>390.48</v>
      </c>
      <c r="J431" s="27">
        <v>16.38</v>
      </c>
      <c r="M431" s="28">
        <f>ROUND(ROUND(J431, 2)*I431, 2)</f>
        <v>6396.06</v>
      </c>
      <c r="P431" s="29">
        <v>16.38</v>
      </c>
      <c r="S431" s="28">
        <f>ROUND(ROUND(P431, 2)*I431, 2)</f>
        <v>6396.06</v>
      </c>
    </row>
    <row r="432" spans="1:21" ht="16.95" customHeight="1" x14ac:dyDescent="0.3">
      <c r="A432" s="10" t="s">
        <v>1460</v>
      </c>
      <c r="B432" s="10" t="s">
        <v>1461</v>
      </c>
      <c r="C432" s="91" t="s">
        <v>1462</v>
      </c>
      <c r="D432" s="92"/>
      <c r="E432" s="92"/>
      <c r="F432" s="92"/>
      <c r="G432" s="92"/>
      <c r="H432" s="92"/>
      <c r="I432" s="93"/>
      <c r="M432" s="6">
        <f>SUM(M433,M435,M437)</f>
        <v>719846.94</v>
      </c>
      <c r="N432" s="6">
        <f>SUM(N433,N435,N437)</f>
        <v>62784</v>
      </c>
      <c r="O432" s="6">
        <f>SUM(O433,O435,O437)</f>
        <v>782630.94</v>
      </c>
      <c r="S432" s="6">
        <f>SUM(S433,S435,S437)</f>
        <v>719846.94</v>
      </c>
      <c r="T432" s="6">
        <f>SUM(T433,T435,T437)</f>
        <v>94175.4</v>
      </c>
      <c r="U432" s="6">
        <f>SUM(U433,U435,U437)</f>
        <v>814022.34</v>
      </c>
    </row>
    <row r="433" spans="1:21" ht="18" x14ac:dyDescent="0.3">
      <c r="A433" s="10" t="s">
        <v>1463</v>
      </c>
      <c r="B433" s="10" t="s">
        <v>1464</v>
      </c>
      <c r="C433" s="14" t="s">
        <v>1465</v>
      </c>
      <c r="D433" s="15"/>
      <c r="E433" s="15"/>
      <c r="F433" s="15" t="s">
        <v>62</v>
      </c>
      <c r="G433" s="16">
        <v>1</v>
      </c>
      <c r="H433" s="16"/>
      <c r="I433" s="16">
        <v>0</v>
      </c>
      <c r="J433" s="17">
        <v>0</v>
      </c>
      <c r="K433" s="18">
        <v>836</v>
      </c>
      <c r="L433" s="17">
        <f>J433+ROUND(K433, 2)</f>
        <v>836</v>
      </c>
      <c r="M433" s="17">
        <v>0</v>
      </c>
      <c r="N433" s="17">
        <v>0</v>
      </c>
      <c r="O433" s="17">
        <f>M433+N433</f>
        <v>0</v>
      </c>
      <c r="P433" s="17">
        <v>9500</v>
      </c>
      <c r="Q433" s="18">
        <v>836</v>
      </c>
      <c r="R433" s="17">
        <f>P433+ROUND(Q433, 2)</f>
        <v>10336</v>
      </c>
      <c r="S433" s="17">
        <v>0</v>
      </c>
      <c r="T433" s="17">
        <v>0</v>
      </c>
      <c r="U433" s="17">
        <f>S433+T433</f>
        <v>0</v>
      </c>
    </row>
    <row r="434" spans="1:21" ht="18" x14ac:dyDescent="0.3">
      <c r="A434" s="10" t="s">
        <v>1468</v>
      </c>
      <c r="B434" s="10"/>
      <c r="C434" s="24" t="s">
        <v>1469</v>
      </c>
      <c r="D434" s="15"/>
      <c r="E434" s="15"/>
      <c r="F434" s="25" t="s">
        <v>62</v>
      </c>
      <c r="G434" s="26">
        <v>1</v>
      </c>
      <c r="H434" s="26"/>
      <c r="I434" s="26">
        <v>0</v>
      </c>
      <c r="J434" s="27">
        <v>9500</v>
      </c>
      <c r="M434" s="28">
        <f>ROUND(ROUND(J434, 2)*I434, 2)</f>
        <v>0</v>
      </c>
      <c r="P434" s="27">
        <v>9500</v>
      </c>
      <c r="S434" s="28">
        <f>ROUND(ROUND(P434, 2)*I434, 2)</f>
        <v>0</v>
      </c>
    </row>
    <row r="435" spans="1:21" ht="18" x14ac:dyDescent="0.3">
      <c r="A435" s="10" t="s">
        <v>1473</v>
      </c>
      <c r="B435" s="10" t="s">
        <v>1464</v>
      </c>
      <c r="C435" s="14" t="s">
        <v>1465</v>
      </c>
      <c r="D435" s="15"/>
      <c r="E435" s="15" t="s">
        <v>1474</v>
      </c>
      <c r="F435" s="15" t="s">
        <v>62</v>
      </c>
      <c r="G435" s="16">
        <v>1</v>
      </c>
      <c r="H435" s="16"/>
      <c r="I435" s="16">
        <v>34.700000000000003</v>
      </c>
      <c r="J435" s="17">
        <v>9500</v>
      </c>
      <c r="K435" s="18">
        <v>836</v>
      </c>
      <c r="L435" s="17">
        <f>J435+ROUND(K435, 2)</f>
        <v>10336</v>
      </c>
      <c r="M435" s="17">
        <v>329650</v>
      </c>
      <c r="N435" s="17">
        <v>29009.200000000001</v>
      </c>
      <c r="O435" s="17">
        <f>M435+N435</f>
        <v>358659.2</v>
      </c>
      <c r="P435" s="17">
        <v>9500</v>
      </c>
      <c r="Q435" s="18">
        <v>1254</v>
      </c>
      <c r="R435" s="17">
        <f>P435+ROUND(Q435, 2)</f>
        <v>10754</v>
      </c>
      <c r="S435" s="17">
        <v>329650</v>
      </c>
      <c r="T435" s="17">
        <v>43513.8</v>
      </c>
      <c r="U435" s="17">
        <f>S435+T435</f>
        <v>373163.8</v>
      </c>
    </row>
    <row r="436" spans="1:21" ht="38.549999999999997" customHeight="1" x14ac:dyDescent="0.3">
      <c r="A436" s="10" t="s">
        <v>1475</v>
      </c>
      <c r="B436" s="10"/>
      <c r="C436" s="24" t="s">
        <v>1469</v>
      </c>
      <c r="D436" s="15"/>
      <c r="E436" s="15" t="s">
        <v>1476</v>
      </c>
      <c r="F436" s="25" t="s">
        <v>62</v>
      </c>
      <c r="G436" s="26">
        <v>1</v>
      </c>
      <c r="H436" s="26"/>
      <c r="I436" s="26">
        <v>34.700000000000003</v>
      </c>
      <c r="J436" s="27">
        <v>9500</v>
      </c>
      <c r="M436" s="28">
        <f>ROUND(ROUND(J436, 2)*I436, 2)</f>
        <v>329650</v>
      </c>
      <c r="P436" s="27">
        <v>9500</v>
      </c>
      <c r="S436" s="28">
        <f>ROUND(ROUND(P436, 2)*I436, 2)</f>
        <v>329650</v>
      </c>
    </row>
    <row r="437" spans="1:21" ht="57" customHeight="1" x14ac:dyDescent="0.3">
      <c r="A437" s="10" t="s">
        <v>1479</v>
      </c>
      <c r="B437" s="10" t="s">
        <v>1464</v>
      </c>
      <c r="C437" s="14" t="s">
        <v>1465</v>
      </c>
      <c r="D437" s="15"/>
      <c r="E437" s="15" t="s">
        <v>1480</v>
      </c>
      <c r="F437" s="15" t="s">
        <v>62</v>
      </c>
      <c r="G437" s="16">
        <v>1</v>
      </c>
      <c r="H437" s="16"/>
      <c r="I437" s="16">
        <v>40.4</v>
      </c>
      <c r="J437" s="17">
        <f>IFERROR(ROUND(SUM(M438)/I437, 2),0)</f>
        <v>9658.34</v>
      </c>
      <c r="K437" s="18">
        <v>836.01</v>
      </c>
      <c r="L437" s="17">
        <f>J437+ROUND(K437, 2)</f>
        <v>10494.35</v>
      </c>
      <c r="M437" s="17">
        <f>ROUND(J437*I437, 2)</f>
        <v>390196.94</v>
      </c>
      <c r="N437" s="17">
        <f>ROUND(I437*ROUND(K437, 2), 2)</f>
        <v>33774.800000000003</v>
      </c>
      <c r="O437" s="17">
        <f>M437+N437</f>
        <v>423971.74</v>
      </c>
      <c r="P437" s="17">
        <f>IFERROR(ROUND(SUM(S438)/I437, 2),0)</f>
        <v>9658.34</v>
      </c>
      <c r="Q437" s="19">
        <v>1254</v>
      </c>
      <c r="R437" s="17">
        <f>P437+ROUND(Q437, 2)</f>
        <v>10912.34</v>
      </c>
      <c r="S437" s="17">
        <f>ROUND(P437*I437, 2)</f>
        <v>390196.94</v>
      </c>
      <c r="T437" s="17">
        <f>ROUND(I437*ROUND(Q437, 2), 2)</f>
        <v>50661.599999999999</v>
      </c>
      <c r="U437" s="17">
        <f>S437+T437</f>
        <v>440858.54</v>
      </c>
    </row>
    <row r="438" spans="1:21" ht="56.55" customHeight="1" x14ac:dyDescent="0.3">
      <c r="A438" s="10" t="s">
        <v>1481</v>
      </c>
      <c r="B438" s="10"/>
      <c r="C438" s="24" t="s">
        <v>1469</v>
      </c>
      <c r="D438" s="15"/>
      <c r="E438" s="15" t="s">
        <v>1482</v>
      </c>
      <c r="F438" s="25" t="s">
        <v>62</v>
      </c>
      <c r="G438" s="26">
        <v>1</v>
      </c>
      <c r="H438" s="26"/>
      <c r="I438" s="26">
        <v>40.4</v>
      </c>
      <c r="J438" s="27">
        <v>9658.34</v>
      </c>
      <c r="M438" s="28">
        <f>ROUND(ROUND(J438, 2)*I438, 2)</f>
        <v>390196.94</v>
      </c>
      <c r="P438" s="29">
        <v>9658.34</v>
      </c>
      <c r="S438" s="28">
        <f>ROUND(ROUND(P438, 2)*I438, 2)</f>
        <v>390196.94</v>
      </c>
    </row>
    <row r="439" spans="1:21" ht="16.95" customHeight="1" x14ac:dyDescent="0.3">
      <c r="A439" s="10" t="s">
        <v>1485</v>
      </c>
      <c r="B439" s="10" t="s">
        <v>1486</v>
      </c>
      <c r="C439" s="91" t="s">
        <v>1487</v>
      </c>
      <c r="D439" s="92"/>
      <c r="E439" s="92"/>
      <c r="F439" s="92"/>
      <c r="G439" s="92"/>
      <c r="H439" s="92"/>
      <c r="I439" s="93"/>
      <c r="M439" s="6">
        <f>SUM(M440,M482,M711)</f>
        <v>11553646.57</v>
      </c>
      <c r="N439" s="6">
        <f>SUM(N440,N482,N711)</f>
        <v>35742468.780000001</v>
      </c>
      <c r="O439" s="6">
        <f>SUM(O440,O482,O711)</f>
        <v>47296115.350000001</v>
      </c>
      <c r="S439" s="6">
        <f>SUM(S440,S482,S711)</f>
        <v>10117923.120000001</v>
      </c>
      <c r="T439" s="6">
        <f>SUM(T440,T482,T711)</f>
        <v>51084143.07</v>
      </c>
      <c r="U439" s="6">
        <f>SUM(U440,U482,U711)</f>
        <v>61202066.189999998</v>
      </c>
    </row>
    <row r="440" spans="1:21" ht="16.95" customHeight="1" x14ac:dyDescent="0.3">
      <c r="A440" s="10" t="s">
        <v>1488</v>
      </c>
      <c r="B440" s="10" t="s">
        <v>1489</v>
      </c>
      <c r="C440" s="91" t="s">
        <v>1490</v>
      </c>
      <c r="D440" s="92"/>
      <c r="E440" s="92"/>
      <c r="F440" s="92"/>
      <c r="G440" s="92"/>
      <c r="H440" s="92"/>
      <c r="I440" s="93"/>
      <c r="M440" s="6">
        <f>SUM(M441,M444,M447,M450,M454,M457,M461,M464,M467,M470,M474,M478)</f>
        <v>1488798.2200000002</v>
      </c>
      <c r="N440" s="6">
        <f>SUM(N441,N444,N447,N450,N454,N457,N461,N464,N467,N470,N474,N478)</f>
        <v>11815658.460000001</v>
      </c>
      <c r="O440" s="6">
        <f>SUM(O441,O444,O447,O450,O454,O457,O461,O464,O467,O470,O474,O478)</f>
        <v>13304456.680000002</v>
      </c>
      <c r="S440" s="6">
        <f>SUM(S441,S444,S447,S450,S454,S457,S461,S464,S467,S470,S474,S478)</f>
        <v>1854792.2399999998</v>
      </c>
      <c r="T440" s="6">
        <f>SUM(T441,T444,T447,T450,T454,T457,T461,T464,T467,T470,T474,T478)</f>
        <v>17723487.669999998</v>
      </c>
      <c r="U440" s="6">
        <f>SUM(U441,U444,U447,U450,U454,U457,U461,U464,U467,U470,U474,U478)</f>
        <v>19578279.91</v>
      </c>
    </row>
    <row r="441" spans="1:21" ht="178.8" customHeight="1" x14ac:dyDescent="0.3">
      <c r="A441" s="10" t="s">
        <v>1491</v>
      </c>
      <c r="B441" s="10" t="s">
        <v>1492</v>
      </c>
      <c r="C441" s="14" t="s">
        <v>1493</v>
      </c>
      <c r="D441" s="15"/>
      <c r="E441" s="15" t="s">
        <v>1494</v>
      </c>
      <c r="F441" s="15" t="s">
        <v>102</v>
      </c>
      <c r="G441" s="16">
        <v>1</v>
      </c>
      <c r="H441" s="16"/>
      <c r="I441" s="16">
        <v>2012.38</v>
      </c>
      <c r="J441" s="17">
        <f>IFERROR(ROUND(SUM(M442,M443)/I441, 2),0)</f>
        <v>19.32</v>
      </c>
      <c r="K441" s="18">
        <v>28</v>
      </c>
      <c r="L441" s="17">
        <f>J441+ROUND(K441, 2)</f>
        <v>47.32</v>
      </c>
      <c r="M441" s="17">
        <f>ROUND(J441*I441, 2)</f>
        <v>38879.18</v>
      </c>
      <c r="N441" s="17">
        <f>ROUND(I441*ROUND(K441, 2), 2)</f>
        <v>56346.64</v>
      </c>
      <c r="O441" s="17">
        <f>M441+N441</f>
        <v>95225.82</v>
      </c>
      <c r="P441" s="17">
        <f>IFERROR(ROUND(SUM(S442,S443)/I441, 2),0)</f>
        <v>19.32</v>
      </c>
      <c r="Q441" s="19">
        <v>42</v>
      </c>
      <c r="R441" s="17">
        <f>P441+ROUND(Q441, 2)</f>
        <v>61.32</v>
      </c>
      <c r="S441" s="17">
        <f>ROUND(P441*I441, 2)</f>
        <v>38879.18</v>
      </c>
      <c r="T441" s="17">
        <f>ROUND(I441*ROUND(Q441, 2), 2)</f>
        <v>84519.96</v>
      </c>
      <c r="U441" s="17">
        <f>S441+T441</f>
        <v>123399.14000000001</v>
      </c>
    </row>
    <row r="442" spans="1:21" ht="36" x14ac:dyDescent="0.3">
      <c r="A442" s="10" t="s">
        <v>1497</v>
      </c>
      <c r="B442" s="10"/>
      <c r="C442" s="30" t="s">
        <v>1498</v>
      </c>
      <c r="D442" s="15"/>
      <c r="E442" s="15"/>
      <c r="F442" s="25" t="s">
        <v>278</v>
      </c>
      <c r="G442" s="26">
        <v>0.3</v>
      </c>
      <c r="H442" s="31"/>
      <c r="I442" s="31">
        <v>603.71400000000006</v>
      </c>
      <c r="J442" s="27">
        <v>12.26</v>
      </c>
      <c r="M442" s="28">
        <f>ROUND(ROUND(J442, 2)*I442, 2)</f>
        <v>7401.53</v>
      </c>
      <c r="P442" s="29">
        <v>12.26</v>
      </c>
      <c r="S442" s="28">
        <f>ROUND(ROUND(P442, 2)*I442, 2)</f>
        <v>7401.53</v>
      </c>
    </row>
    <row r="443" spans="1:21" ht="36" x14ac:dyDescent="0.3">
      <c r="A443" s="10" t="s">
        <v>1502</v>
      </c>
      <c r="B443" s="10"/>
      <c r="C443" s="24" t="s">
        <v>1503</v>
      </c>
      <c r="D443" s="15"/>
      <c r="E443" s="15" t="s">
        <v>1504</v>
      </c>
      <c r="F443" s="25" t="s">
        <v>102</v>
      </c>
      <c r="G443" s="26">
        <v>1.1000000000000001</v>
      </c>
      <c r="H443" s="31"/>
      <c r="I443" s="31">
        <v>4427.2359999999999</v>
      </c>
      <c r="J443" s="27">
        <v>7.11</v>
      </c>
      <c r="M443" s="28">
        <f>ROUND(ROUND(J443, 2)*I443, 2)</f>
        <v>31477.65</v>
      </c>
      <c r="P443" s="29">
        <v>7.11</v>
      </c>
      <c r="S443" s="28">
        <f>ROUND(ROUND(P443, 2)*I443, 2)</f>
        <v>31477.65</v>
      </c>
    </row>
    <row r="444" spans="1:21" ht="36" x14ac:dyDescent="0.3">
      <c r="A444" s="10" t="s">
        <v>1508</v>
      </c>
      <c r="B444" s="10" t="s">
        <v>1509</v>
      </c>
      <c r="C444" s="14" t="s">
        <v>1510</v>
      </c>
      <c r="D444" s="15"/>
      <c r="E444" s="15"/>
      <c r="F444" s="15" t="s">
        <v>597</v>
      </c>
      <c r="G444" s="16">
        <v>1</v>
      </c>
      <c r="H444" s="16"/>
      <c r="I444" s="16">
        <v>0</v>
      </c>
      <c r="J444" s="17">
        <v>0</v>
      </c>
      <c r="K444" s="18">
        <v>226</v>
      </c>
      <c r="L444" s="17">
        <f>J444+ROUND(K444, 2)</f>
        <v>226</v>
      </c>
      <c r="M444" s="17">
        <v>0</v>
      </c>
      <c r="N444" s="17">
        <v>0</v>
      </c>
      <c r="O444" s="17">
        <f>M444+N444</f>
        <v>0</v>
      </c>
      <c r="P444" s="17">
        <v>5.33</v>
      </c>
      <c r="Q444" s="18">
        <v>226</v>
      </c>
      <c r="R444" s="17">
        <f>P444+ROUND(Q444, 2)</f>
        <v>231.33</v>
      </c>
      <c r="S444" s="17">
        <v>0</v>
      </c>
      <c r="T444" s="17">
        <v>0</v>
      </c>
      <c r="U444" s="17">
        <f>S444+T444</f>
        <v>0</v>
      </c>
    </row>
    <row r="445" spans="1:21" ht="18" x14ac:dyDescent="0.3">
      <c r="A445" s="10" t="s">
        <v>1513</v>
      </c>
      <c r="B445" s="10"/>
      <c r="C445" s="24" t="s">
        <v>1514</v>
      </c>
      <c r="D445" s="15"/>
      <c r="E445" s="15"/>
      <c r="F445" s="25" t="s">
        <v>453</v>
      </c>
      <c r="G445" s="26">
        <v>1E-3</v>
      </c>
      <c r="H445" s="31"/>
      <c r="I445" s="31">
        <v>0</v>
      </c>
      <c r="J445" s="27">
        <v>2800</v>
      </c>
      <c r="M445" s="28">
        <f>ROUND(ROUND(J445, 2)*I445, 2)</f>
        <v>0</v>
      </c>
      <c r="P445" s="27">
        <v>2800</v>
      </c>
      <c r="S445" s="28">
        <f>ROUND(ROUND(P445, 2)*I445, 2)</f>
        <v>0</v>
      </c>
    </row>
    <row r="446" spans="1:21" ht="18" x14ac:dyDescent="0.3">
      <c r="A446" s="10" t="s">
        <v>1518</v>
      </c>
      <c r="B446" s="10"/>
      <c r="C446" s="24" t="s">
        <v>333</v>
      </c>
      <c r="D446" s="15"/>
      <c r="E446" s="15"/>
      <c r="F446" s="25" t="s">
        <v>278</v>
      </c>
      <c r="G446" s="26">
        <v>0.41</v>
      </c>
      <c r="H446" s="31"/>
      <c r="I446" s="31">
        <v>0</v>
      </c>
      <c r="J446" s="27">
        <v>6.17</v>
      </c>
      <c r="M446" s="28">
        <f>ROUND(ROUND(J446, 2)*I446, 2)</f>
        <v>0</v>
      </c>
      <c r="P446" s="27">
        <v>6.17</v>
      </c>
      <c r="S446" s="28">
        <f>ROUND(ROUND(P446, 2)*I446, 2)</f>
        <v>0</v>
      </c>
    </row>
    <row r="447" spans="1:21" ht="36" x14ac:dyDescent="0.3">
      <c r="A447" s="10" t="s">
        <v>1521</v>
      </c>
      <c r="B447" s="10" t="s">
        <v>1509</v>
      </c>
      <c r="C447" s="14" t="s">
        <v>1510</v>
      </c>
      <c r="D447" s="15"/>
      <c r="E447" s="15" t="s">
        <v>1522</v>
      </c>
      <c r="F447" s="15" t="s">
        <v>597</v>
      </c>
      <c r="G447" s="16">
        <v>1</v>
      </c>
      <c r="H447" s="16"/>
      <c r="I447" s="16">
        <v>357</v>
      </c>
      <c r="J447" s="17">
        <v>5.33</v>
      </c>
      <c r="K447" s="18">
        <v>226</v>
      </c>
      <c r="L447" s="17">
        <f>J447+ROUND(K447, 2)</f>
        <v>231.33</v>
      </c>
      <c r="M447" s="17">
        <v>1902.81</v>
      </c>
      <c r="N447" s="17">
        <v>80682</v>
      </c>
      <c r="O447" s="17">
        <f>M447+N447</f>
        <v>82584.81</v>
      </c>
      <c r="P447" s="17">
        <v>5.33</v>
      </c>
      <c r="Q447" s="18">
        <v>339</v>
      </c>
      <c r="R447" s="17">
        <f>P447+ROUND(Q447, 2)</f>
        <v>344.33</v>
      </c>
      <c r="S447" s="17">
        <v>1902.81</v>
      </c>
      <c r="T447" s="17">
        <v>121023</v>
      </c>
      <c r="U447" s="17">
        <f>S447+T447</f>
        <v>122925.81</v>
      </c>
    </row>
    <row r="448" spans="1:21" ht="18" x14ac:dyDescent="0.3">
      <c r="A448" s="10" t="s">
        <v>1523</v>
      </c>
      <c r="B448" s="10"/>
      <c r="C448" s="24" t="s">
        <v>333</v>
      </c>
      <c r="D448" s="15"/>
      <c r="E448" s="15"/>
      <c r="F448" s="25" t="s">
        <v>278</v>
      </c>
      <c r="G448" s="26">
        <v>0.41</v>
      </c>
      <c r="H448" s="31"/>
      <c r="I448" s="31">
        <v>146.37</v>
      </c>
      <c r="J448" s="27">
        <v>6.17</v>
      </c>
      <c r="M448" s="28">
        <f>ROUND(ROUND(J448, 2)*I448, 2)</f>
        <v>903.1</v>
      </c>
      <c r="P448" s="27">
        <v>6.17</v>
      </c>
      <c r="S448" s="28">
        <f>ROUND(ROUND(P448, 2)*I448, 2)</f>
        <v>903.1</v>
      </c>
    </row>
    <row r="449" spans="1:21" ht="18" x14ac:dyDescent="0.3">
      <c r="A449" s="10" t="s">
        <v>1526</v>
      </c>
      <c r="B449" s="10"/>
      <c r="C449" s="24" t="s">
        <v>1514</v>
      </c>
      <c r="D449" s="15"/>
      <c r="E449" s="15"/>
      <c r="F449" s="25" t="s">
        <v>453</v>
      </c>
      <c r="G449" s="26">
        <v>1E-3</v>
      </c>
      <c r="H449" s="31"/>
      <c r="I449" s="31">
        <v>0.35699999999999998</v>
      </c>
      <c r="J449" s="27">
        <v>2800</v>
      </c>
      <c r="M449" s="28">
        <f>ROUND(ROUND(J449, 2)*I449, 2)</f>
        <v>999.6</v>
      </c>
      <c r="P449" s="27">
        <v>2800</v>
      </c>
      <c r="S449" s="28">
        <f>ROUND(ROUND(P449, 2)*I449, 2)</f>
        <v>999.6</v>
      </c>
    </row>
    <row r="450" spans="1:21" ht="67.95" customHeight="1" x14ac:dyDescent="0.3">
      <c r="A450" s="10" t="s">
        <v>1529</v>
      </c>
      <c r="B450" s="10" t="s">
        <v>1530</v>
      </c>
      <c r="C450" s="14" t="s">
        <v>1531</v>
      </c>
      <c r="D450" s="15"/>
      <c r="E450" s="15" t="s">
        <v>1532</v>
      </c>
      <c r="F450" s="15" t="s">
        <v>62</v>
      </c>
      <c r="G450" s="16">
        <v>1</v>
      </c>
      <c r="H450" s="16"/>
      <c r="I450" s="16">
        <v>195.78</v>
      </c>
      <c r="J450" s="17">
        <f>IFERROR(ROUND(SUM(M451,M452,M453)/I450, 2),0)</f>
        <v>82.62</v>
      </c>
      <c r="K450" s="18">
        <v>508</v>
      </c>
      <c r="L450" s="17">
        <f>J450+ROUND(K450, 2)</f>
        <v>590.62</v>
      </c>
      <c r="M450" s="17">
        <f>ROUND(J450*I450, 2)</f>
        <v>16175.34</v>
      </c>
      <c r="N450" s="17">
        <f>ROUND(I450*ROUND(K450, 2), 2)</f>
        <v>99456.24</v>
      </c>
      <c r="O450" s="17">
        <f>M450+N450</f>
        <v>115631.58</v>
      </c>
      <c r="P450" s="17">
        <f>IFERROR(ROUND(SUM(S451,S452,S453)/I450, 2),0)</f>
        <v>82.62</v>
      </c>
      <c r="Q450" s="19">
        <v>762</v>
      </c>
      <c r="R450" s="17">
        <f>P450+ROUND(Q450, 2)</f>
        <v>844.62</v>
      </c>
      <c r="S450" s="17">
        <f>ROUND(P450*I450, 2)</f>
        <v>16175.34</v>
      </c>
      <c r="T450" s="17">
        <f>ROUND(I450*ROUND(Q450, 2), 2)</f>
        <v>149184.35999999999</v>
      </c>
      <c r="U450" s="17">
        <f>S450+T450</f>
        <v>165359.69999999998</v>
      </c>
    </row>
    <row r="451" spans="1:21" ht="18" x14ac:dyDescent="0.3">
      <c r="A451" s="10" t="s">
        <v>1535</v>
      </c>
      <c r="B451" s="10"/>
      <c r="C451" s="24" t="s">
        <v>1536</v>
      </c>
      <c r="D451" s="15"/>
      <c r="E451" s="15"/>
      <c r="F451" s="25" t="s">
        <v>278</v>
      </c>
      <c r="G451" s="26">
        <v>2</v>
      </c>
      <c r="H451" s="26"/>
      <c r="I451" s="26">
        <v>391.56</v>
      </c>
      <c r="J451" s="27">
        <v>23.39</v>
      </c>
      <c r="M451" s="28">
        <f>ROUND(ROUND(J451, 2)*I451, 2)</f>
        <v>9158.59</v>
      </c>
      <c r="P451" s="29">
        <v>23.39</v>
      </c>
      <c r="S451" s="28">
        <f>ROUND(ROUND(P451, 2)*I451, 2)</f>
        <v>9158.59</v>
      </c>
    </row>
    <row r="452" spans="1:21" ht="18" x14ac:dyDescent="0.3">
      <c r="A452" s="10" t="s">
        <v>1540</v>
      </c>
      <c r="B452" s="10"/>
      <c r="C452" s="24" t="s">
        <v>1541</v>
      </c>
      <c r="D452" s="15"/>
      <c r="E452" s="15"/>
      <c r="F452" s="25" t="s">
        <v>597</v>
      </c>
      <c r="G452" s="26">
        <v>0.3</v>
      </c>
      <c r="H452" s="26"/>
      <c r="I452" s="26">
        <v>58.734000000000002</v>
      </c>
      <c r="J452" s="27">
        <v>74.319999999999993</v>
      </c>
      <c r="M452" s="28">
        <f>ROUND(ROUND(J452, 2)*I452, 2)</f>
        <v>4365.1099999999997</v>
      </c>
      <c r="P452" s="29">
        <v>74.319999999999993</v>
      </c>
      <c r="S452" s="28">
        <f>ROUND(ROUND(P452, 2)*I452, 2)</f>
        <v>4365.1099999999997</v>
      </c>
    </row>
    <row r="453" spans="1:21" ht="18" x14ac:dyDescent="0.3">
      <c r="A453" s="10" t="s">
        <v>1545</v>
      </c>
      <c r="B453" s="10"/>
      <c r="C453" s="24" t="s">
        <v>1007</v>
      </c>
      <c r="D453" s="15"/>
      <c r="E453" s="15"/>
      <c r="F453" s="25" t="s">
        <v>278</v>
      </c>
      <c r="G453" s="26">
        <v>0.15</v>
      </c>
      <c r="H453" s="26"/>
      <c r="I453" s="26">
        <v>29.367000000000001</v>
      </c>
      <c r="J453" s="27">
        <v>90.28</v>
      </c>
      <c r="M453" s="28">
        <f>ROUND(ROUND(J453, 2)*I453, 2)</f>
        <v>2651.25</v>
      </c>
      <c r="P453" s="29">
        <v>90.28</v>
      </c>
      <c r="S453" s="28">
        <f>ROUND(ROUND(P453, 2)*I453, 2)</f>
        <v>2651.25</v>
      </c>
    </row>
    <row r="454" spans="1:21" ht="60.45" customHeight="1" x14ac:dyDescent="0.3">
      <c r="A454" s="10" t="s">
        <v>1548</v>
      </c>
      <c r="B454" s="10" t="s">
        <v>1530</v>
      </c>
      <c r="C454" s="14" t="s">
        <v>1531</v>
      </c>
      <c r="D454" s="15"/>
      <c r="E454" s="15" t="s">
        <v>1549</v>
      </c>
      <c r="F454" s="15" t="s">
        <v>62</v>
      </c>
      <c r="G454" s="16">
        <v>1</v>
      </c>
      <c r="H454" s="16"/>
      <c r="I454" s="16">
        <v>936</v>
      </c>
      <c r="J454" s="17">
        <f>IFERROR(ROUND(SUM(M455,M456)/I454, 2),0)</f>
        <v>60.32</v>
      </c>
      <c r="K454" s="18">
        <v>508</v>
      </c>
      <c r="L454" s="17">
        <f>J454+ROUND(K454, 2)</f>
        <v>568.32000000000005</v>
      </c>
      <c r="M454" s="17">
        <f>ROUND(J454*I454, 2)</f>
        <v>56459.519999999997</v>
      </c>
      <c r="N454" s="17">
        <f>ROUND(I454*ROUND(K454, 2), 2)</f>
        <v>475488</v>
      </c>
      <c r="O454" s="17">
        <f>M454+N454</f>
        <v>531947.52000000002</v>
      </c>
      <c r="P454" s="17">
        <f>IFERROR(ROUND(SUM(S455,S456)/I454, 2),0)</f>
        <v>60.32</v>
      </c>
      <c r="Q454" s="19">
        <v>762</v>
      </c>
      <c r="R454" s="17">
        <f>P454+ROUND(Q454, 2)</f>
        <v>822.32</v>
      </c>
      <c r="S454" s="17">
        <f>ROUND(P454*I454, 2)</f>
        <v>56459.519999999997</v>
      </c>
      <c r="T454" s="17">
        <f>ROUND(I454*ROUND(Q454, 2), 2)</f>
        <v>713232</v>
      </c>
      <c r="U454" s="17">
        <f>S454+T454</f>
        <v>769691.52</v>
      </c>
    </row>
    <row r="455" spans="1:21" ht="18" x14ac:dyDescent="0.3">
      <c r="A455" s="10" t="s">
        <v>1550</v>
      </c>
      <c r="B455" s="10"/>
      <c r="C455" s="24" t="s">
        <v>1007</v>
      </c>
      <c r="D455" s="15"/>
      <c r="E455" s="15"/>
      <c r="F455" s="25" t="s">
        <v>278</v>
      </c>
      <c r="G455" s="26">
        <v>0.15</v>
      </c>
      <c r="H455" s="26"/>
      <c r="I455" s="26">
        <v>140.4</v>
      </c>
      <c r="J455" s="27">
        <v>90.28</v>
      </c>
      <c r="M455" s="28">
        <f>ROUND(ROUND(J455, 2)*I455, 2)</f>
        <v>12675.31</v>
      </c>
      <c r="P455" s="29">
        <v>90.28</v>
      </c>
      <c r="S455" s="28">
        <f>ROUND(ROUND(P455, 2)*I455, 2)</f>
        <v>12675.31</v>
      </c>
    </row>
    <row r="456" spans="1:21" ht="18" x14ac:dyDescent="0.3">
      <c r="A456" s="10" t="s">
        <v>1553</v>
      </c>
      <c r="B456" s="10"/>
      <c r="C456" s="24" t="s">
        <v>1536</v>
      </c>
      <c r="D456" s="15"/>
      <c r="E456" s="15"/>
      <c r="F456" s="25" t="s">
        <v>278</v>
      </c>
      <c r="G456" s="26">
        <v>2</v>
      </c>
      <c r="H456" s="26"/>
      <c r="I456" s="26">
        <v>1872</v>
      </c>
      <c r="J456" s="27">
        <v>23.39</v>
      </c>
      <c r="M456" s="28">
        <f>ROUND(ROUND(J456, 2)*I456, 2)</f>
        <v>43786.080000000002</v>
      </c>
      <c r="P456" s="29">
        <v>23.39</v>
      </c>
      <c r="S456" s="28">
        <f>ROUND(ROUND(P456, 2)*I456, 2)</f>
        <v>43786.080000000002</v>
      </c>
    </row>
    <row r="457" spans="1:21" ht="61.05" customHeight="1" x14ac:dyDescent="0.3">
      <c r="A457" s="10" t="s">
        <v>1556</v>
      </c>
      <c r="B457" s="10" t="s">
        <v>1530</v>
      </c>
      <c r="C457" s="14" t="s">
        <v>1531</v>
      </c>
      <c r="D457" s="15"/>
      <c r="E457" s="15" t="s">
        <v>1557</v>
      </c>
      <c r="F457" s="15" t="s">
        <v>62</v>
      </c>
      <c r="G457" s="16">
        <v>1</v>
      </c>
      <c r="H457" s="16"/>
      <c r="I457" s="16">
        <v>4986.62</v>
      </c>
      <c r="J457" s="17">
        <f>IFERROR(ROUND(SUM(M458,M459,M460)/I457, 2),0)</f>
        <v>57.91</v>
      </c>
      <c r="K457" s="18">
        <v>508</v>
      </c>
      <c r="L457" s="17">
        <f>J457+ROUND(K457, 2)</f>
        <v>565.91</v>
      </c>
      <c r="M457" s="17">
        <f>ROUND(J457*I457, 2)</f>
        <v>288775.15999999997</v>
      </c>
      <c r="N457" s="17">
        <f>ROUND(I457*ROUND(K457, 2), 2)</f>
        <v>2533202.96</v>
      </c>
      <c r="O457" s="17">
        <f>M457+N457</f>
        <v>2821978.12</v>
      </c>
      <c r="P457" s="17">
        <f>IFERROR(ROUND(SUM(S458,S459,S460)/I457, 2),0)</f>
        <v>57.91</v>
      </c>
      <c r="Q457" s="19">
        <v>762</v>
      </c>
      <c r="R457" s="17">
        <f>P457+ROUND(Q457, 2)</f>
        <v>819.91</v>
      </c>
      <c r="S457" s="17">
        <f>ROUND(P457*I457, 2)</f>
        <v>288775.15999999997</v>
      </c>
      <c r="T457" s="17">
        <f>ROUND(I457*ROUND(Q457, 2), 2)</f>
        <v>3799804.44</v>
      </c>
      <c r="U457" s="17">
        <f>S457+T457</f>
        <v>4088579.6</v>
      </c>
    </row>
    <row r="458" spans="1:21" ht="36" x14ac:dyDescent="0.3">
      <c r="A458" s="10" t="s">
        <v>1558</v>
      </c>
      <c r="B458" s="10"/>
      <c r="C458" s="30" t="s">
        <v>1498</v>
      </c>
      <c r="D458" s="15"/>
      <c r="E458" s="15"/>
      <c r="F458" s="25" t="s">
        <v>278</v>
      </c>
      <c r="G458" s="26">
        <v>1.8</v>
      </c>
      <c r="H458" s="26"/>
      <c r="I458" s="26">
        <v>8975.9159999999993</v>
      </c>
      <c r="J458" s="27">
        <v>12.26</v>
      </c>
      <c r="M458" s="28">
        <f>ROUND(ROUND(J458, 2)*I458, 2)</f>
        <v>110044.73</v>
      </c>
      <c r="P458" s="29">
        <v>12.26</v>
      </c>
      <c r="S458" s="28">
        <f>ROUND(ROUND(P458, 2)*I458, 2)</f>
        <v>110044.73</v>
      </c>
    </row>
    <row r="459" spans="1:21" ht="18" x14ac:dyDescent="0.3">
      <c r="A459" s="10" t="s">
        <v>1562</v>
      </c>
      <c r="B459" s="10"/>
      <c r="C459" s="24" t="s">
        <v>1541</v>
      </c>
      <c r="D459" s="15"/>
      <c r="E459" s="15"/>
      <c r="F459" s="25" t="s">
        <v>597</v>
      </c>
      <c r="G459" s="26">
        <v>0.3</v>
      </c>
      <c r="H459" s="26"/>
      <c r="I459" s="26">
        <v>1495.9860000000001</v>
      </c>
      <c r="J459" s="27">
        <v>74.319999999999993</v>
      </c>
      <c r="M459" s="28">
        <f>ROUND(ROUND(J459, 2)*I459, 2)</f>
        <v>111181.68</v>
      </c>
      <c r="P459" s="29">
        <v>74.319999999999993</v>
      </c>
      <c r="S459" s="28">
        <f>ROUND(ROUND(P459, 2)*I459, 2)</f>
        <v>111181.68</v>
      </c>
    </row>
    <row r="460" spans="1:21" ht="18" x14ac:dyDescent="0.3">
      <c r="A460" s="10" t="s">
        <v>1565</v>
      </c>
      <c r="B460" s="10"/>
      <c r="C460" s="24" t="s">
        <v>1007</v>
      </c>
      <c r="D460" s="15"/>
      <c r="E460" s="15"/>
      <c r="F460" s="25" t="s">
        <v>278</v>
      </c>
      <c r="G460" s="26">
        <v>0.15</v>
      </c>
      <c r="H460" s="26"/>
      <c r="I460" s="26">
        <v>747.99300000000005</v>
      </c>
      <c r="J460" s="27">
        <v>90.28</v>
      </c>
      <c r="M460" s="28">
        <f>ROUND(ROUND(J460, 2)*I460, 2)</f>
        <v>67528.81</v>
      </c>
      <c r="P460" s="29">
        <v>90.28</v>
      </c>
      <c r="S460" s="28">
        <f>ROUND(ROUND(P460, 2)*I460, 2)</f>
        <v>67528.81</v>
      </c>
    </row>
    <row r="461" spans="1:21" ht="72" x14ac:dyDescent="0.3">
      <c r="A461" s="10" t="s">
        <v>1568</v>
      </c>
      <c r="B461" s="10" t="s">
        <v>1530</v>
      </c>
      <c r="C461" s="14" t="s">
        <v>1531</v>
      </c>
      <c r="D461" s="15"/>
      <c r="E461" s="15" t="s">
        <v>1569</v>
      </c>
      <c r="F461" s="15" t="s">
        <v>62</v>
      </c>
      <c r="G461" s="16">
        <v>1</v>
      </c>
      <c r="H461" s="16"/>
      <c r="I461" s="16">
        <v>25.902000000000001</v>
      </c>
      <c r="J461" s="17">
        <f>IFERROR(ROUND(SUM(M462,M463)/I461, 2),0)</f>
        <v>35.61</v>
      </c>
      <c r="K461" s="18">
        <v>508</v>
      </c>
      <c r="L461" s="17">
        <f>J461+ROUND(K461, 2)</f>
        <v>543.61</v>
      </c>
      <c r="M461" s="17">
        <f>ROUND(J461*I461, 2)</f>
        <v>922.37</v>
      </c>
      <c r="N461" s="17">
        <f>ROUND(I461*ROUND(K461, 2), 2)</f>
        <v>13158.22</v>
      </c>
      <c r="O461" s="17">
        <f>M461+N461</f>
        <v>14080.59</v>
      </c>
      <c r="P461" s="17">
        <f>IFERROR(ROUND(SUM(S462,S463)/I461, 2),0)</f>
        <v>35.61</v>
      </c>
      <c r="Q461" s="19">
        <v>762</v>
      </c>
      <c r="R461" s="17">
        <f>P461+ROUND(Q461, 2)</f>
        <v>797.61</v>
      </c>
      <c r="S461" s="17">
        <f>ROUND(P461*I461, 2)</f>
        <v>922.37</v>
      </c>
      <c r="T461" s="17">
        <f>ROUND(I461*ROUND(Q461, 2), 2)</f>
        <v>19737.32</v>
      </c>
      <c r="U461" s="17">
        <f>S461+T461</f>
        <v>20659.689999999999</v>
      </c>
    </row>
    <row r="462" spans="1:21" ht="18" x14ac:dyDescent="0.3">
      <c r="A462" s="10" t="s">
        <v>1570</v>
      </c>
      <c r="B462" s="10"/>
      <c r="C462" s="24" t="s">
        <v>1007</v>
      </c>
      <c r="D462" s="15"/>
      <c r="E462" s="15"/>
      <c r="F462" s="25" t="s">
        <v>278</v>
      </c>
      <c r="G462" s="26">
        <v>0.15</v>
      </c>
      <c r="H462" s="26"/>
      <c r="I462" s="26">
        <v>3.8849999999999998</v>
      </c>
      <c r="J462" s="27">
        <v>90.28</v>
      </c>
      <c r="M462" s="28">
        <f>ROUND(ROUND(J462, 2)*I462, 2)</f>
        <v>350.74</v>
      </c>
      <c r="P462" s="29">
        <v>90.28</v>
      </c>
      <c r="S462" s="28">
        <f>ROUND(ROUND(P462, 2)*I462, 2)</f>
        <v>350.74</v>
      </c>
    </row>
    <row r="463" spans="1:21" ht="36" x14ac:dyDescent="0.3">
      <c r="A463" s="10" t="s">
        <v>1573</v>
      </c>
      <c r="B463" s="10"/>
      <c r="C463" s="30" t="s">
        <v>1498</v>
      </c>
      <c r="D463" s="15"/>
      <c r="E463" s="15"/>
      <c r="F463" s="25" t="s">
        <v>278</v>
      </c>
      <c r="G463" s="26">
        <v>1.8</v>
      </c>
      <c r="H463" s="26"/>
      <c r="I463" s="26">
        <v>46.624000000000002</v>
      </c>
      <c r="J463" s="27">
        <v>12.26</v>
      </c>
      <c r="M463" s="28">
        <f>ROUND(ROUND(J463, 2)*I463, 2)</f>
        <v>571.61</v>
      </c>
      <c r="P463" s="29">
        <v>12.26</v>
      </c>
      <c r="S463" s="28">
        <f>ROUND(ROUND(P463, 2)*I463, 2)</f>
        <v>571.61</v>
      </c>
    </row>
    <row r="464" spans="1:21" ht="78.45" customHeight="1" x14ac:dyDescent="0.3">
      <c r="A464" s="10" t="s">
        <v>1576</v>
      </c>
      <c r="B464" s="10" t="s">
        <v>1530</v>
      </c>
      <c r="C464" s="14" t="s">
        <v>1531</v>
      </c>
      <c r="D464" s="15"/>
      <c r="E464" s="15" t="s">
        <v>1577</v>
      </c>
      <c r="F464" s="15" t="s">
        <v>62</v>
      </c>
      <c r="G464" s="16">
        <v>1</v>
      </c>
      <c r="H464" s="16"/>
      <c r="I464" s="16">
        <v>11225.91</v>
      </c>
      <c r="J464" s="17">
        <f>IFERROR(ROUND(SUM(M465,M466)/I464, 2),0)</f>
        <v>35.61</v>
      </c>
      <c r="K464" s="18">
        <v>508</v>
      </c>
      <c r="L464" s="17">
        <f>J464+ROUND(K464, 2)</f>
        <v>543.61</v>
      </c>
      <c r="M464" s="17">
        <f>ROUND(J464*I464, 2)</f>
        <v>399754.66</v>
      </c>
      <c r="N464" s="17">
        <f>ROUND(I464*ROUND(K464, 2), 2)</f>
        <v>5702762.2800000003</v>
      </c>
      <c r="O464" s="17">
        <f>M464+N464</f>
        <v>6102516.9400000004</v>
      </c>
      <c r="P464" s="17">
        <f>IFERROR(ROUND(SUM(S465,S466)/I464, 2),0)</f>
        <v>52.82</v>
      </c>
      <c r="Q464" s="19">
        <v>762</v>
      </c>
      <c r="R464" s="17">
        <f>P464+ROUND(Q464, 2)</f>
        <v>814.82</v>
      </c>
      <c r="S464" s="17">
        <f>ROUND(P464*I464, 2)</f>
        <v>592952.56999999995</v>
      </c>
      <c r="T464" s="17">
        <f>ROUND(I464*ROUND(Q464, 2), 2)</f>
        <v>8554143.4199999999</v>
      </c>
      <c r="U464" s="17">
        <f>S464+T464</f>
        <v>9147095.9900000002</v>
      </c>
    </row>
    <row r="465" spans="1:21" ht="36" x14ac:dyDescent="0.3">
      <c r="A465" s="10" t="s">
        <v>1578</v>
      </c>
      <c r="B465" s="10"/>
      <c r="C465" s="30" t="s">
        <v>1498</v>
      </c>
      <c r="D465" s="15"/>
      <c r="E465" s="15" t="s">
        <v>1579</v>
      </c>
      <c r="F465" s="25" t="s">
        <v>278</v>
      </c>
      <c r="G465" s="26">
        <v>1.8</v>
      </c>
      <c r="H465" s="26"/>
      <c r="I465" s="26">
        <v>20206.637999999999</v>
      </c>
      <c r="J465" s="27">
        <v>12.26</v>
      </c>
      <c r="M465" s="28">
        <f>ROUND(ROUND(J465, 2)*I465, 2)</f>
        <v>247733.38</v>
      </c>
      <c r="P465" s="29">
        <v>21.82</v>
      </c>
      <c r="S465" s="28">
        <f>ROUND(ROUND(P465, 2)*I465, 2)</f>
        <v>440908.84</v>
      </c>
    </row>
    <row r="466" spans="1:21" ht="18" x14ac:dyDescent="0.3">
      <c r="A466" s="10" t="s">
        <v>1582</v>
      </c>
      <c r="B466" s="10"/>
      <c r="C466" s="24" t="s">
        <v>1007</v>
      </c>
      <c r="D466" s="15"/>
      <c r="E466" s="15"/>
      <c r="F466" s="25" t="s">
        <v>278</v>
      </c>
      <c r="G466" s="26">
        <v>0.15</v>
      </c>
      <c r="H466" s="26"/>
      <c r="I466" s="26">
        <v>1683.8869999999999</v>
      </c>
      <c r="J466" s="27">
        <v>90.28</v>
      </c>
      <c r="M466" s="28">
        <f>ROUND(ROUND(J466, 2)*I466, 2)</f>
        <v>152021.32</v>
      </c>
      <c r="P466" s="29">
        <v>90.28</v>
      </c>
      <c r="S466" s="28">
        <f>ROUND(ROUND(P466, 2)*I466, 2)</f>
        <v>152021.32</v>
      </c>
    </row>
    <row r="467" spans="1:21" ht="90" x14ac:dyDescent="0.3">
      <c r="A467" s="10" t="s">
        <v>1585</v>
      </c>
      <c r="B467" s="10" t="s">
        <v>1530</v>
      </c>
      <c r="C467" s="14" t="s">
        <v>1531</v>
      </c>
      <c r="D467" s="15"/>
      <c r="E467" s="15" t="s">
        <v>1586</v>
      </c>
      <c r="F467" s="15" t="s">
        <v>62</v>
      </c>
      <c r="G467" s="16">
        <v>1</v>
      </c>
      <c r="H467" s="16"/>
      <c r="I467" s="16">
        <v>25.902000000000001</v>
      </c>
      <c r="J467" s="17">
        <f>IFERROR(ROUND(SUM(M468,M469)/I467, 2),0)</f>
        <v>35.61</v>
      </c>
      <c r="K467" s="18">
        <v>508</v>
      </c>
      <c r="L467" s="17">
        <f>J467+ROUND(K467, 2)</f>
        <v>543.61</v>
      </c>
      <c r="M467" s="17">
        <f>ROUND(J467*I467, 2)</f>
        <v>922.37</v>
      </c>
      <c r="N467" s="17">
        <f>ROUND(I467*ROUND(K467, 2), 2)</f>
        <v>13158.22</v>
      </c>
      <c r="O467" s="17">
        <f>M467+N467</f>
        <v>14080.59</v>
      </c>
      <c r="P467" s="17">
        <f>IFERROR(ROUND(SUM(S468,S469)/I467, 2),0)</f>
        <v>52.82</v>
      </c>
      <c r="Q467" s="19">
        <v>762</v>
      </c>
      <c r="R467" s="17">
        <f>P467+ROUND(Q467, 2)</f>
        <v>814.82</v>
      </c>
      <c r="S467" s="17">
        <f>ROUND(P467*I467, 2)</f>
        <v>1368.14</v>
      </c>
      <c r="T467" s="17">
        <f>ROUND(I467*ROUND(Q467, 2), 2)</f>
        <v>19737.32</v>
      </c>
      <c r="U467" s="17">
        <f>S467+T467</f>
        <v>21105.46</v>
      </c>
    </row>
    <row r="468" spans="1:21" ht="18" x14ac:dyDescent="0.3">
      <c r="A468" s="10" t="s">
        <v>1587</v>
      </c>
      <c r="B468" s="10"/>
      <c r="C468" s="24" t="s">
        <v>1007</v>
      </c>
      <c r="D468" s="15"/>
      <c r="E468" s="15"/>
      <c r="F468" s="25" t="s">
        <v>278</v>
      </c>
      <c r="G468" s="26">
        <v>0.15</v>
      </c>
      <c r="H468" s="26"/>
      <c r="I468" s="26">
        <v>3.8849999999999998</v>
      </c>
      <c r="J468" s="27">
        <v>90.28</v>
      </c>
      <c r="M468" s="28">
        <f>ROUND(ROUND(J468, 2)*I468, 2)</f>
        <v>350.74</v>
      </c>
      <c r="P468" s="29">
        <v>90.28</v>
      </c>
      <c r="S468" s="28">
        <f>ROUND(ROUND(P468, 2)*I468, 2)</f>
        <v>350.74</v>
      </c>
    </row>
    <row r="469" spans="1:21" ht="36" x14ac:dyDescent="0.3">
      <c r="A469" s="10" t="s">
        <v>1590</v>
      </c>
      <c r="B469" s="10"/>
      <c r="C469" s="30" t="s">
        <v>1498</v>
      </c>
      <c r="D469" s="15"/>
      <c r="E469" s="15" t="s">
        <v>1579</v>
      </c>
      <c r="F469" s="25" t="s">
        <v>278</v>
      </c>
      <c r="G469" s="26">
        <v>1.8</v>
      </c>
      <c r="H469" s="26"/>
      <c r="I469" s="26">
        <v>46.624000000000002</v>
      </c>
      <c r="J469" s="27">
        <v>12.26</v>
      </c>
      <c r="M469" s="28">
        <f>ROUND(ROUND(J469, 2)*I469, 2)</f>
        <v>571.61</v>
      </c>
      <c r="P469" s="29">
        <v>21.82</v>
      </c>
      <c r="S469" s="28">
        <f>ROUND(ROUND(P469, 2)*I469, 2)</f>
        <v>1017.34</v>
      </c>
    </row>
    <row r="470" spans="1:21" ht="108" x14ac:dyDescent="0.3">
      <c r="A470" s="10" t="s">
        <v>1593</v>
      </c>
      <c r="B470" s="10" t="s">
        <v>1594</v>
      </c>
      <c r="C470" s="14" t="s">
        <v>1595</v>
      </c>
      <c r="D470" s="15" t="s">
        <v>1596</v>
      </c>
      <c r="E470" s="15" t="s">
        <v>1597</v>
      </c>
      <c r="F470" s="15" t="s">
        <v>62</v>
      </c>
      <c r="G470" s="16">
        <v>1</v>
      </c>
      <c r="H470" s="16"/>
      <c r="I470" s="16">
        <v>1178.82</v>
      </c>
      <c r="J470" s="17">
        <f>IFERROR(ROUND(SUM(M471,M472,M473)/I470, 2),0)</f>
        <v>313.94</v>
      </c>
      <c r="K470" s="18">
        <v>1165</v>
      </c>
      <c r="L470" s="17">
        <f>J470+ROUND(K470, 2)</f>
        <v>1478.94</v>
      </c>
      <c r="M470" s="17">
        <f>ROUND(J470*I470, 2)</f>
        <v>370078.75</v>
      </c>
      <c r="N470" s="17">
        <f>ROUND(I470*ROUND(K470, 2), 2)</f>
        <v>1373325.3</v>
      </c>
      <c r="O470" s="17">
        <f>M470+N470</f>
        <v>1743404.05</v>
      </c>
      <c r="P470" s="17">
        <f>IFERROR(ROUND(SUM(S471,S472,S473)/I470, 2),0)</f>
        <v>378.61</v>
      </c>
      <c r="Q470" s="19">
        <v>1747.5</v>
      </c>
      <c r="R470" s="17">
        <f>P470+ROUND(Q470, 2)</f>
        <v>2126.11</v>
      </c>
      <c r="S470" s="17">
        <f>ROUND(P470*I470, 2)</f>
        <v>446313.04</v>
      </c>
      <c r="T470" s="17">
        <f>ROUND(I470*ROUND(Q470, 2), 2)</f>
        <v>2059987.95</v>
      </c>
      <c r="U470" s="17">
        <f>S470+T470</f>
        <v>2506300.9899999998</v>
      </c>
    </row>
    <row r="471" spans="1:21" ht="36" x14ac:dyDescent="0.3">
      <c r="A471" s="10" t="s">
        <v>1600</v>
      </c>
      <c r="B471" s="10"/>
      <c r="C471" s="24" t="s">
        <v>1601</v>
      </c>
      <c r="D471" s="15"/>
      <c r="E471" s="15" t="s">
        <v>1602</v>
      </c>
      <c r="F471" s="25" t="s">
        <v>278</v>
      </c>
      <c r="G471" s="26">
        <v>1.3</v>
      </c>
      <c r="H471" s="31"/>
      <c r="I471" s="31">
        <v>38311.65</v>
      </c>
      <c r="J471" s="27">
        <v>8.75</v>
      </c>
      <c r="M471" s="28">
        <f>ROUND(ROUND(J471, 2)*I471, 2)</f>
        <v>335226.94</v>
      </c>
      <c r="P471" s="29">
        <v>10.74</v>
      </c>
      <c r="S471" s="28">
        <f>ROUND(ROUND(P471, 2)*I471, 2)</f>
        <v>411467.12</v>
      </c>
    </row>
    <row r="472" spans="1:21" ht="18" x14ac:dyDescent="0.3">
      <c r="A472" s="10" t="s">
        <v>1606</v>
      </c>
      <c r="B472" s="10"/>
      <c r="C472" s="24" t="s">
        <v>1007</v>
      </c>
      <c r="D472" s="15"/>
      <c r="E472" s="15"/>
      <c r="F472" s="25" t="s">
        <v>278</v>
      </c>
      <c r="G472" s="26">
        <v>0.15</v>
      </c>
      <c r="H472" s="26"/>
      <c r="I472" s="26">
        <v>176.82300000000001</v>
      </c>
      <c r="J472" s="27">
        <v>90.28</v>
      </c>
      <c r="M472" s="28">
        <f>ROUND(ROUND(J472, 2)*I472, 2)</f>
        <v>15963.58</v>
      </c>
      <c r="P472" s="29">
        <v>90.28</v>
      </c>
      <c r="S472" s="28">
        <f>ROUND(ROUND(P472, 2)*I472, 2)</f>
        <v>15963.58</v>
      </c>
    </row>
    <row r="473" spans="1:21" ht="18" x14ac:dyDescent="0.3">
      <c r="A473" s="10" t="s">
        <v>1609</v>
      </c>
      <c r="B473" s="10"/>
      <c r="C473" s="24" t="s">
        <v>1610</v>
      </c>
      <c r="D473" s="15"/>
      <c r="E473" s="15"/>
      <c r="F473" s="25" t="s">
        <v>102</v>
      </c>
      <c r="G473" s="26">
        <v>1</v>
      </c>
      <c r="H473" s="31"/>
      <c r="I473" s="31">
        <v>1178.82</v>
      </c>
      <c r="J473" s="27">
        <v>16.02</v>
      </c>
      <c r="M473" s="28">
        <f>ROUND(ROUND(J473, 2)*I473, 2)</f>
        <v>18884.7</v>
      </c>
      <c r="P473" s="29">
        <v>16.02</v>
      </c>
      <c r="S473" s="28">
        <f>ROUND(ROUND(P473, 2)*I473, 2)</f>
        <v>18884.7</v>
      </c>
    </row>
    <row r="474" spans="1:21" ht="90" x14ac:dyDescent="0.3">
      <c r="A474" s="10" t="s">
        <v>1614</v>
      </c>
      <c r="B474" s="10" t="s">
        <v>1615</v>
      </c>
      <c r="C474" s="14" t="s">
        <v>1616</v>
      </c>
      <c r="D474" s="15"/>
      <c r="E474" s="15" t="s">
        <v>1617</v>
      </c>
      <c r="F474" s="15" t="s">
        <v>62</v>
      </c>
      <c r="G474" s="16">
        <v>1</v>
      </c>
      <c r="H474" s="16"/>
      <c r="I474" s="16">
        <v>301.64</v>
      </c>
      <c r="J474" s="17">
        <f>IFERROR(ROUND(SUM(M475,M476,M477)/I474, 2),0)</f>
        <v>239.43</v>
      </c>
      <c r="K474" s="18">
        <v>1073</v>
      </c>
      <c r="L474" s="17">
        <f>J474+ROUND(K474, 2)</f>
        <v>1312.43</v>
      </c>
      <c r="M474" s="17">
        <f>ROUND(J474*I474, 2)</f>
        <v>72221.67</v>
      </c>
      <c r="N474" s="17">
        <f>ROUND(I474*ROUND(K474, 2), 2)</f>
        <v>323659.71999999997</v>
      </c>
      <c r="O474" s="17">
        <f>M474+N474</f>
        <v>395881.38999999996</v>
      </c>
      <c r="P474" s="17">
        <f>IFERROR(ROUND(SUM(S475,S476,S477)/I474, 2),0)</f>
        <v>309.68</v>
      </c>
      <c r="Q474" s="19">
        <v>1609.5</v>
      </c>
      <c r="R474" s="17">
        <f>P474+ROUND(Q474, 2)</f>
        <v>1919.18</v>
      </c>
      <c r="S474" s="17">
        <f>ROUND(P474*I474, 2)</f>
        <v>93411.88</v>
      </c>
      <c r="T474" s="17">
        <f>ROUND(I474*ROUND(Q474, 2), 2)</f>
        <v>485489.58</v>
      </c>
      <c r="U474" s="17">
        <f>S474+T474</f>
        <v>578901.46</v>
      </c>
    </row>
    <row r="475" spans="1:21" ht="36" x14ac:dyDescent="0.3">
      <c r="A475" s="10" t="s">
        <v>1620</v>
      </c>
      <c r="B475" s="10"/>
      <c r="C475" s="30" t="s">
        <v>1621</v>
      </c>
      <c r="D475" s="15"/>
      <c r="E475" s="15"/>
      <c r="F475" s="25" t="s">
        <v>278</v>
      </c>
      <c r="G475" s="26">
        <v>1</v>
      </c>
      <c r="H475" s="31"/>
      <c r="I475" s="31">
        <v>7541</v>
      </c>
      <c r="J475" s="27">
        <v>7.92</v>
      </c>
      <c r="M475" s="28">
        <f>ROUND(ROUND(J475, 2)*I475, 2)</f>
        <v>59724.72</v>
      </c>
      <c r="P475" s="29">
        <v>10.73</v>
      </c>
      <c r="S475" s="28">
        <f>ROUND(ROUND(P475, 2)*I475, 2)</f>
        <v>80914.929999999993</v>
      </c>
    </row>
    <row r="476" spans="1:21" ht="18" x14ac:dyDescent="0.3">
      <c r="A476" s="10" t="s">
        <v>1625</v>
      </c>
      <c r="B476" s="10"/>
      <c r="C476" s="24" t="s">
        <v>1610</v>
      </c>
      <c r="D476" s="15"/>
      <c r="E476" s="15"/>
      <c r="F476" s="25" t="s">
        <v>102</v>
      </c>
      <c r="G476" s="26">
        <v>1</v>
      </c>
      <c r="H476" s="31"/>
      <c r="I476" s="31">
        <v>301.64</v>
      </c>
      <c r="J476" s="27">
        <v>16.02</v>
      </c>
      <c r="M476" s="28">
        <f>ROUND(ROUND(J476, 2)*I476, 2)</f>
        <v>4832.2700000000004</v>
      </c>
      <c r="P476" s="29">
        <v>16.02</v>
      </c>
      <c r="S476" s="28">
        <f>ROUND(ROUND(P476, 2)*I476, 2)</f>
        <v>4832.2700000000004</v>
      </c>
    </row>
    <row r="477" spans="1:21" ht="18" x14ac:dyDescent="0.3">
      <c r="A477" s="10" t="s">
        <v>1628</v>
      </c>
      <c r="B477" s="10"/>
      <c r="C477" s="24" t="s">
        <v>1629</v>
      </c>
      <c r="D477" s="15"/>
      <c r="E477" s="15"/>
      <c r="F477" s="25" t="s">
        <v>278</v>
      </c>
      <c r="G477" s="26">
        <v>0.25</v>
      </c>
      <c r="H477" s="26"/>
      <c r="I477" s="26">
        <v>75.41</v>
      </c>
      <c r="J477" s="27">
        <v>101.66</v>
      </c>
      <c r="M477" s="28">
        <f>ROUND(ROUND(J477, 2)*I477, 2)</f>
        <v>7666.18</v>
      </c>
      <c r="P477" s="29">
        <v>101.66</v>
      </c>
      <c r="S477" s="28">
        <f>ROUND(ROUND(P477, 2)*I477, 2)</f>
        <v>7666.18</v>
      </c>
    </row>
    <row r="478" spans="1:21" ht="120.6" customHeight="1" x14ac:dyDescent="0.3">
      <c r="A478" s="10" t="s">
        <v>1633</v>
      </c>
      <c r="B478" s="10" t="s">
        <v>1615</v>
      </c>
      <c r="C478" s="14" t="s">
        <v>1616</v>
      </c>
      <c r="D478" s="15"/>
      <c r="E478" s="15" t="s">
        <v>1634</v>
      </c>
      <c r="F478" s="15" t="s">
        <v>62</v>
      </c>
      <c r="G478" s="16">
        <v>1</v>
      </c>
      <c r="H478" s="16"/>
      <c r="I478" s="16">
        <v>1066.56</v>
      </c>
      <c r="J478" s="17">
        <f>IFERROR(ROUND(SUM(M479,M480,M481)/I478, 2),0)</f>
        <v>227.56</v>
      </c>
      <c r="K478" s="18">
        <v>1073</v>
      </c>
      <c r="L478" s="17">
        <f>J478+ROUND(K478, 2)</f>
        <v>1300.56</v>
      </c>
      <c r="M478" s="17">
        <f>ROUND(J478*I478, 2)</f>
        <v>242706.39</v>
      </c>
      <c r="N478" s="17">
        <f>ROUND(I478*ROUND(K478, 2), 2)</f>
        <v>1144418.8799999999</v>
      </c>
      <c r="O478" s="17">
        <f>M478+N478</f>
        <v>1387125.27</v>
      </c>
      <c r="P478" s="17">
        <f>IFERROR(ROUND(SUM(S479,S480,S481)/I478, 2),0)</f>
        <v>297.81</v>
      </c>
      <c r="Q478" s="19">
        <v>1609.5</v>
      </c>
      <c r="R478" s="17">
        <f>P478+ROUND(Q478, 2)</f>
        <v>1907.31</v>
      </c>
      <c r="S478" s="17">
        <f>ROUND(P478*I478, 2)</f>
        <v>317632.23</v>
      </c>
      <c r="T478" s="17">
        <f>ROUND(I478*ROUND(Q478, 2), 2)</f>
        <v>1716628.32</v>
      </c>
      <c r="U478" s="17">
        <f>S478+T478</f>
        <v>2034260.55</v>
      </c>
    </row>
    <row r="479" spans="1:21" ht="18" x14ac:dyDescent="0.3">
      <c r="A479" s="10" t="s">
        <v>1635</v>
      </c>
      <c r="B479" s="10"/>
      <c r="C479" s="24" t="s">
        <v>1007</v>
      </c>
      <c r="D479" s="15"/>
      <c r="E479" s="15"/>
      <c r="F479" s="25" t="s">
        <v>278</v>
      </c>
      <c r="G479" s="26">
        <v>0.15</v>
      </c>
      <c r="H479" s="31"/>
      <c r="I479" s="31">
        <v>159.98400000000001</v>
      </c>
      <c r="J479" s="27">
        <v>90.28</v>
      </c>
      <c r="M479" s="28">
        <f>ROUND(ROUND(J479, 2)*I479, 2)</f>
        <v>14443.36</v>
      </c>
      <c r="P479" s="29">
        <v>90.28</v>
      </c>
      <c r="S479" s="28">
        <f>ROUND(ROUND(P479, 2)*I479, 2)</f>
        <v>14443.36</v>
      </c>
    </row>
    <row r="480" spans="1:21" ht="18" x14ac:dyDescent="0.3">
      <c r="A480" s="10" t="s">
        <v>1638</v>
      </c>
      <c r="B480" s="10"/>
      <c r="C480" s="24" t="s">
        <v>1610</v>
      </c>
      <c r="D480" s="15"/>
      <c r="E480" s="15"/>
      <c r="F480" s="25" t="s">
        <v>102</v>
      </c>
      <c r="G480" s="26">
        <v>1</v>
      </c>
      <c r="H480" s="31"/>
      <c r="I480" s="31">
        <v>1066.56</v>
      </c>
      <c r="J480" s="27">
        <v>16.02</v>
      </c>
      <c r="M480" s="28">
        <f>ROUND(ROUND(J480, 2)*I480, 2)</f>
        <v>17086.29</v>
      </c>
      <c r="P480" s="29">
        <v>16.02</v>
      </c>
      <c r="S480" s="28">
        <f>ROUND(ROUND(P480, 2)*I480, 2)</f>
        <v>17086.29</v>
      </c>
    </row>
    <row r="481" spans="1:21" ht="36" x14ac:dyDescent="0.3">
      <c r="A481" s="10" t="s">
        <v>1641</v>
      </c>
      <c r="B481" s="10"/>
      <c r="C481" s="30" t="s">
        <v>1621</v>
      </c>
      <c r="D481" s="15"/>
      <c r="E481" s="15"/>
      <c r="F481" s="25" t="s">
        <v>278</v>
      </c>
      <c r="G481" s="26">
        <v>1</v>
      </c>
      <c r="H481" s="31"/>
      <c r="I481" s="31">
        <v>26664</v>
      </c>
      <c r="J481" s="27">
        <v>7.92</v>
      </c>
      <c r="M481" s="28">
        <f>ROUND(ROUND(J481, 2)*I481, 2)</f>
        <v>211178.88</v>
      </c>
      <c r="P481" s="29">
        <v>10.73</v>
      </c>
      <c r="S481" s="28">
        <f>ROUND(ROUND(P481, 2)*I481, 2)</f>
        <v>286104.71999999997</v>
      </c>
    </row>
    <row r="482" spans="1:21" ht="16.95" customHeight="1" x14ac:dyDescent="0.3">
      <c r="A482" s="10" t="s">
        <v>1644</v>
      </c>
      <c r="B482" s="10" t="s">
        <v>1645</v>
      </c>
      <c r="C482" s="91" t="s">
        <v>1646</v>
      </c>
      <c r="D482" s="92"/>
      <c r="E482" s="92"/>
      <c r="F482" s="92"/>
      <c r="G482" s="92"/>
      <c r="H482" s="92"/>
      <c r="I482" s="93"/>
      <c r="M482" s="6">
        <f>SUM(M483,M485,M487,M489,M491,M493,M495,M497,M499,M501,M503,M505,M507,M509,M511,M513,M515,M517,M519,M521,M523,M526,M529,M532,M535,M538,M541,M544,M547,M550,M553,M556,M559,M562,M565,M568,M571,M574,M577,M580,M583,M586,M589,M592,M595,M598,M601,M606,M611,M616,M621,M626,M631,M636,M641,M646,M651,M656,M661,M666,M671,M676,M681,M686,M691,M696,M701,M706)</f>
        <v>9344474.879999999</v>
      </c>
      <c r="N482" s="6">
        <f>SUM(N483,N485,N487,N489,N491,N493,N495,N497,N499,N501,N503,N505,N507,N509,N511,N513,N515,N517,N519,N521,N523,N526,N529,N532,N535,N538,N541,N544,N547,N550,N553,N556,N559,N562,N565,N568,N571,N574,N577,N580,N583,N586,N589,N592,N595,N598,N601,N606,N611,N616,N621,N626,N631,N636,N641,N646,N651,N656,N661,N666,N671,N676,N681,N686,N691,N696,N701,N706)</f>
        <v>18533213.73</v>
      </c>
      <c r="O482" s="6">
        <f>SUM(O483,O485,O487,O489,O491,O493,O495,O497,O499,O501,O503,O505,O507,O509,O511,O513,O515,O517,O519,O521,O523,O526,O529,O532,O535,O538,O541,O544,O547,O550,O553,O556,O559,O562,O565,O568,O571,O574,O577,O580,O583,O586,O589,O592,O595,O598,O601,O606,O611,O616,O621,O626,O631,O636,O641,O646,O651,O656,O661,O666,O671,O676,O681,O686,O691,O696,O701,O706)</f>
        <v>27877688.609999999</v>
      </c>
      <c r="S482" s="6">
        <f>SUM(S483,S485,S487,S489,S491,S493,S495,S497,S499,S501,S503,S505,S507,S509,S511,S513,S515,S517,S519,S521,S523,S526,S529,S532,S535,S538,S541,S544,S547,S550,S553,S556,S559,S562,S565,S568,S571,S574,S577,S580,S583,S586,S589,S592,S595,S598,S601,S606,S611,S616,S621,S626,S631,S636,S641,S646,S651,S656,S661,S666,S671,S676,S681,S686,S691,S696,S701,S706)</f>
        <v>7149355.0900000008</v>
      </c>
      <c r="T482" s="6">
        <f>SUM(T483,T485,T487,T489,T491,T493,T495,T497,T499,T501,T503,T505,T507,T509,T511,T513,T515,T517,T519,T521,T523,T526,T529,T532,T535,T538,T541,T544,T547,T550,T553,T556,T559,T562,T565,T568,T571,T574,T577,T580,T583,T586,T589,T592,T595,T598,T601,T606,T611,T616,T621,T626,T631,T636,T641,T646,T651,T656,T661,T666,T671,T676,T681,T686,T691,T696,T701,T706)</f>
        <v>27799828.550000001</v>
      </c>
      <c r="U482" s="6">
        <f>SUM(U483,U485,U487,U489,U491,U493,U495,U497,U499,U501,U503,U505,U507,U509,U511,U513,U515,U517,U519,U521,U523,U526,U529,U532,U535,U538,U541,U544,U547,U550,U553,U556,U559,U562,U565,U568,U571,U574,U577,U580,U583,U586,U589,U592,U595,U598,U601,U606,U611,U616,U621,U626,U631,U636,U641,U646,U651,U656,U661,U666,U671,U676,U681,U686,U691,U696,U701,U706)</f>
        <v>34949183.640000001</v>
      </c>
    </row>
    <row r="483" spans="1:21" ht="18" x14ac:dyDescent="0.3">
      <c r="A483" s="10" t="s">
        <v>1647</v>
      </c>
      <c r="B483" s="10" t="s">
        <v>1648</v>
      </c>
      <c r="C483" s="14" t="s">
        <v>1649</v>
      </c>
      <c r="D483" s="15"/>
      <c r="E483" s="15"/>
      <c r="F483" s="15" t="s">
        <v>62</v>
      </c>
      <c r="G483" s="16">
        <v>1</v>
      </c>
      <c r="H483" s="16"/>
      <c r="I483" s="16">
        <v>0</v>
      </c>
      <c r="J483" s="17">
        <v>0</v>
      </c>
      <c r="K483" s="18">
        <v>1010</v>
      </c>
      <c r="L483" s="17">
        <f>J483+ROUND(K483, 2)</f>
        <v>1010</v>
      </c>
      <c r="M483" s="17">
        <v>0</v>
      </c>
      <c r="N483" s="17">
        <v>0</v>
      </c>
      <c r="O483" s="17">
        <f>M483+N483</f>
        <v>0</v>
      </c>
      <c r="P483" s="17">
        <v>390</v>
      </c>
      <c r="Q483" s="18">
        <v>1010</v>
      </c>
      <c r="R483" s="17">
        <f>P483+ROUND(Q483, 2)</f>
        <v>1400</v>
      </c>
      <c r="S483" s="17">
        <v>0</v>
      </c>
      <c r="T483" s="17">
        <v>0</v>
      </c>
      <c r="U483" s="17">
        <f>S483+T483</f>
        <v>0</v>
      </c>
    </row>
    <row r="484" spans="1:21" ht="18" x14ac:dyDescent="0.3">
      <c r="A484" s="10" t="s">
        <v>1652</v>
      </c>
      <c r="B484" s="10"/>
      <c r="C484" s="24" t="s">
        <v>1653</v>
      </c>
      <c r="D484" s="15"/>
      <c r="E484" s="15"/>
      <c r="F484" s="25" t="s">
        <v>597</v>
      </c>
      <c r="G484" s="26">
        <v>1.5</v>
      </c>
      <c r="H484" s="26"/>
      <c r="I484" s="26">
        <v>0</v>
      </c>
      <c r="J484" s="27">
        <v>260</v>
      </c>
      <c r="M484" s="28">
        <f>ROUND(ROUND(J484, 2)*I484, 2)</f>
        <v>0</v>
      </c>
      <c r="P484" s="27">
        <v>260</v>
      </c>
      <c r="S484" s="28">
        <f>ROUND(ROUND(P484, 2)*I484, 2)</f>
        <v>0</v>
      </c>
    </row>
    <row r="485" spans="1:21" ht="18" x14ac:dyDescent="0.3">
      <c r="A485" s="10" t="s">
        <v>1657</v>
      </c>
      <c r="B485" s="10" t="s">
        <v>1648</v>
      </c>
      <c r="C485" s="14" t="s">
        <v>1649</v>
      </c>
      <c r="D485" s="15"/>
      <c r="E485" s="15"/>
      <c r="F485" s="15" t="s">
        <v>62</v>
      </c>
      <c r="G485" s="16">
        <v>1</v>
      </c>
      <c r="H485" s="16"/>
      <c r="I485" s="16">
        <v>0</v>
      </c>
      <c r="J485" s="17">
        <v>0</v>
      </c>
      <c r="K485" s="18">
        <v>1010</v>
      </c>
      <c r="L485" s="17">
        <f>J485+ROUND(K485, 2)</f>
        <v>1010</v>
      </c>
      <c r="M485" s="17">
        <v>0</v>
      </c>
      <c r="N485" s="17">
        <v>0</v>
      </c>
      <c r="O485" s="17">
        <f>M485+N485</f>
        <v>0</v>
      </c>
      <c r="P485" s="17">
        <v>390</v>
      </c>
      <c r="Q485" s="18">
        <v>1010</v>
      </c>
      <c r="R485" s="17">
        <f>P485+ROUND(Q485, 2)</f>
        <v>1400</v>
      </c>
      <c r="S485" s="17">
        <v>0</v>
      </c>
      <c r="T485" s="17">
        <v>0</v>
      </c>
      <c r="U485" s="17">
        <f>S485+T485</f>
        <v>0</v>
      </c>
    </row>
    <row r="486" spans="1:21" ht="18" x14ac:dyDescent="0.3">
      <c r="A486" s="10" t="s">
        <v>1658</v>
      </c>
      <c r="B486" s="10"/>
      <c r="C486" s="24" t="s">
        <v>1653</v>
      </c>
      <c r="D486" s="15"/>
      <c r="E486" s="15"/>
      <c r="F486" s="25" t="s">
        <v>597</v>
      </c>
      <c r="G486" s="26">
        <v>1.5</v>
      </c>
      <c r="H486" s="26"/>
      <c r="I486" s="26">
        <v>0</v>
      </c>
      <c r="J486" s="27">
        <v>260</v>
      </c>
      <c r="M486" s="28">
        <f>ROUND(ROUND(J486, 2)*I486, 2)</f>
        <v>0</v>
      </c>
      <c r="P486" s="27">
        <v>260</v>
      </c>
      <c r="S486" s="28">
        <f>ROUND(ROUND(P486, 2)*I486, 2)</f>
        <v>0</v>
      </c>
    </row>
    <row r="487" spans="1:21" ht="18" x14ac:dyDescent="0.3">
      <c r="A487" s="10" t="s">
        <v>1661</v>
      </c>
      <c r="B487" s="10" t="s">
        <v>1648</v>
      </c>
      <c r="C487" s="14" t="s">
        <v>1649</v>
      </c>
      <c r="D487" s="15"/>
      <c r="E487" s="15"/>
      <c r="F487" s="15" t="s">
        <v>62</v>
      </c>
      <c r="G487" s="16">
        <v>1</v>
      </c>
      <c r="H487" s="16"/>
      <c r="I487" s="16">
        <v>0</v>
      </c>
      <c r="J487" s="17">
        <v>0</v>
      </c>
      <c r="K487" s="18">
        <v>1010</v>
      </c>
      <c r="L487" s="17">
        <f>J487+ROUND(K487, 2)</f>
        <v>1010</v>
      </c>
      <c r="M487" s="17">
        <v>0</v>
      </c>
      <c r="N487" s="17">
        <v>0</v>
      </c>
      <c r="O487" s="17">
        <f>M487+N487</f>
        <v>0</v>
      </c>
      <c r="P487" s="17">
        <v>390</v>
      </c>
      <c r="Q487" s="18">
        <v>1010</v>
      </c>
      <c r="R487" s="17">
        <f>P487+ROUND(Q487, 2)</f>
        <v>1400</v>
      </c>
      <c r="S487" s="17">
        <v>0</v>
      </c>
      <c r="T487" s="17">
        <v>0</v>
      </c>
      <c r="U487" s="17">
        <f>S487+T487</f>
        <v>0</v>
      </c>
    </row>
    <row r="488" spans="1:21" ht="18" x14ac:dyDescent="0.3">
      <c r="A488" s="10" t="s">
        <v>1662</v>
      </c>
      <c r="B488" s="10"/>
      <c r="C488" s="24" t="s">
        <v>1653</v>
      </c>
      <c r="D488" s="15"/>
      <c r="E488" s="15"/>
      <c r="F488" s="25" t="s">
        <v>597</v>
      </c>
      <c r="G488" s="26">
        <v>1.5</v>
      </c>
      <c r="H488" s="26"/>
      <c r="I488" s="26">
        <v>0</v>
      </c>
      <c r="J488" s="27">
        <v>260</v>
      </c>
      <c r="M488" s="28">
        <f>ROUND(ROUND(J488, 2)*I488, 2)</f>
        <v>0</v>
      </c>
      <c r="P488" s="27">
        <v>260</v>
      </c>
      <c r="S488" s="28">
        <f>ROUND(ROUND(P488, 2)*I488, 2)</f>
        <v>0</v>
      </c>
    </row>
    <row r="489" spans="1:21" ht="18" x14ac:dyDescent="0.3">
      <c r="A489" s="10" t="s">
        <v>1665</v>
      </c>
      <c r="B489" s="10" t="s">
        <v>1648</v>
      </c>
      <c r="C489" s="14" t="s">
        <v>1649</v>
      </c>
      <c r="D489" s="15"/>
      <c r="E489" s="15"/>
      <c r="F489" s="15" t="s">
        <v>62</v>
      </c>
      <c r="G489" s="16">
        <v>1</v>
      </c>
      <c r="H489" s="16"/>
      <c r="I489" s="16">
        <v>0</v>
      </c>
      <c r="J489" s="17">
        <v>0</v>
      </c>
      <c r="K489" s="18">
        <v>1010</v>
      </c>
      <c r="L489" s="17">
        <f>J489+ROUND(K489, 2)</f>
        <v>1010</v>
      </c>
      <c r="M489" s="17">
        <v>0</v>
      </c>
      <c r="N489" s="17">
        <v>0</v>
      </c>
      <c r="O489" s="17">
        <f>M489+N489</f>
        <v>0</v>
      </c>
      <c r="P489" s="17">
        <v>390</v>
      </c>
      <c r="Q489" s="18">
        <v>1010</v>
      </c>
      <c r="R489" s="17">
        <f>P489+ROUND(Q489, 2)</f>
        <v>1400</v>
      </c>
      <c r="S489" s="17">
        <v>0</v>
      </c>
      <c r="T489" s="17">
        <v>0</v>
      </c>
      <c r="U489" s="17">
        <f>S489+T489</f>
        <v>0</v>
      </c>
    </row>
    <row r="490" spans="1:21" ht="18" x14ac:dyDescent="0.3">
      <c r="A490" s="10" t="s">
        <v>1666</v>
      </c>
      <c r="B490" s="10"/>
      <c r="C490" s="24" t="s">
        <v>1653</v>
      </c>
      <c r="D490" s="15"/>
      <c r="E490" s="15"/>
      <c r="F490" s="25" t="s">
        <v>597</v>
      </c>
      <c r="G490" s="26">
        <v>1.5</v>
      </c>
      <c r="H490" s="26"/>
      <c r="I490" s="26">
        <v>0</v>
      </c>
      <c r="J490" s="27">
        <v>260</v>
      </c>
      <c r="M490" s="28">
        <f>ROUND(ROUND(J490, 2)*I490, 2)</f>
        <v>0</v>
      </c>
      <c r="P490" s="27">
        <v>260</v>
      </c>
      <c r="S490" s="28">
        <f>ROUND(ROUND(P490, 2)*I490, 2)</f>
        <v>0</v>
      </c>
    </row>
    <row r="491" spans="1:21" ht="18" x14ac:dyDescent="0.3">
      <c r="A491" s="10" t="s">
        <v>1669</v>
      </c>
      <c r="B491" s="10" t="s">
        <v>1648</v>
      </c>
      <c r="C491" s="14" t="s">
        <v>1649</v>
      </c>
      <c r="D491" s="15"/>
      <c r="E491" s="15"/>
      <c r="F491" s="15" t="s">
        <v>62</v>
      </c>
      <c r="G491" s="16">
        <v>1</v>
      </c>
      <c r="H491" s="16"/>
      <c r="I491" s="16">
        <v>0</v>
      </c>
      <c r="J491" s="17">
        <v>0</v>
      </c>
      <c r="K491" s="18">
        <v>1010</v>
      </c>
      <c r="L491" s="17">
        <f>J491+ROUND(K491, 2)</f>
        <v>1010</v>
      </c>
      <c r="M491" s="17">
        <v>0</v>
      </c>
      <c r="N491" s="17">
        <v>0</v>
      </c>
      <c r="O491" s="17">
        <f>M491+N491</f>
        <v>0</v>
      </c>
      <c r="P491" s="17">
        <v>390</v>
      </c>
      <c r="Q491" s="18">
        <v>1010</v>
      </c>
      <c r="R491" s="17">
        <f>P491+ROUND(Q491, 2)</f>
        <v>1400</v>
      </c>
      <c r="S491" s="17">
        <v>0</v>
      </c>
      <c r="T491" s="17">
        <v>0</v>
      </c>
      <c r="U491" s="17">
        <f>S491+T491</f>
        <v>0</v>
      </c>
    </row>
    <row r="492" spans="1:21" ht="18" x14ac:dyDescent="0.3">
      <c r="A492" s="10" t="s">
        <v>1670</v>
      </c>
      <c r="B492" s="10"/>
      <c r="C492" s="24" t="s">
        <v>1653</v>
      </c>
      <c r="D492" s="15"/>
      <c r="E492" s="15"/>
      <c r="F492" s="25" t="s">
        <v>597</v>
      </c>
      <c r="G492" s="26">
        <v>1.5</v>
      </c>
      <c r="H492" s="26"/>
      <c r="I492" s="26">
        <v>0</v>
      </c>
      <c r="J492" s="27">
        <v>260</v>
      </c>
      <c r="M492" s="28">
        <f>ROUND(ROUND(J492, 2)*I492, 2)</f>
        <v>0</v>
      </c>
      <c r="P492" s="27">
        <v>260</v>
      </c>
      <c r="S492" s="28">
        <f>ROUND(ROUND(P492, 2)*I492, 2)</f>
        <v>0</v>
      </c>
    </row>
    <row r="493" spans="1:21" ht="18" x14ac:dyDescent="0.3">
      <c r="A493" s="10" t="s">
        <v>1673</v>
      </c>
      <c r="B493" s="10" t="s">
        <v>1648</v>
      </c>
      <c r="C493" s="14" t="s">
        <v>1649</v>
      </c>
      <c r="D493" s="15"/>
      <c r="E493" s="15"/>
      <c r="F493" s="15" t="s">
        <v>62</v>
      </c>
      <c r="G493" s="16">
        <v>1</v>
      </c>
      <c r="H493" s="16"/>
      <c r="I493" s="16">
        <v>0</v>
      </c>
      <c r="J493" s="17">
        <v>0</v>
      </c>
      <c r="K493" s="18">
        <v>1010</v>
      </c>
      <c r="L493" s="17">
        <f>J493+ROUND(K493, 2)</f>
        <v>1010</v>
      </c>
      <c r="M493" s="17">
        <v>0</v>
      </c>
      <c r="N493" s="17">
        <v>0</v>
      </c>
      <c r="O493" s="17">
        <f>M493+N493</f>
        <v>0</v>
      </c>
      <c r="P493" s="17">
        <v>390</v>
      </c>
      <c r="Q493" s="18">
        <v>1010</v>
      </c>
      <c r="R493" s="17">
        <f>P493+ROUND(Q493, 2)</f>
        <v>1400</v>
      </c>
      <c r="S493" s="17">
        <v>0</v>
      </c>
      <c r="T493" s="17">
        <v>0</v>
      </c>
      <c r="U493" s="17">
        <f>S493+T493</f>
        <v>0</v>
      </c>
    </row>
    <row r="494" spans="1:21" ht="18" x14ac:dyDescent="0.3">
      <c r="A494" s="10" t="s">
        <v>1674</v>
      </c>
      <c r="B494" s="10"/>
      <c r="C494" s="24" t="s">
        <v>1653</v>
      </c>
      <c r="D494" s="15"/>
      <c r="E494" s="15"/>
      <c r="F494" s="25" t="s">
        <v>597</v>
      </c>
      <c r="G494" s="26">
        <v>1.5</v>
      </c>
      <c r="H494" s="26"/>
      <c r="I494" s="26">
        <v>0</v>
      </c>
      <c r="J494" s="27">
        <v>260</v>
      </c>
      <c r="M494" s="28">
        <f>ROUND(ROUND(J494, 2)*I494, 2)</f>
        <v>0</v>
      </c>
      <c r="P494" s="27">
        <v>260</v>
      </c>
      <c r="S494" s="28">
        <f>ROUND(ROUND(P494, 2)*I494, 2)</f>
        <v>0</v>
      </c>
    </row>
    <row r="495" spans="1:21" ht="18" x14ac:dyDescent="0.3">
      <c r="A495" s="10" t="s">
        <v>1677</v>
      </c>
      <c r="B495" s="10" t="s">
        <v>1648</v>
      </c>
      <c r="C495" s="14" t="s">
        <v>1649</v>
      </c>
      <c r="D495" s="15"/>
      <c r="E495" s="15"/>
      <c r="F495" s="15" t="s">
        <v>62</v>
      </c>
      <c r="G495" s="16">
        <v>1</v>
      </c>
      <c r="H495" s="16"/>
      <c r="I495" s="16">
        <v>0</v>
      </c>
      <c r="J495" s="17">
        <v>0</v>
      </c>
      <c r="K495" s="18">
        <v>1010</v>
      </c>
      <c r="L495" s="17">
        <f>J495+ROUND(K495, 2)</f>
        <v>1010</v>
      </c>
      <c r="M495" s="17">
        <v>0</v>
      </c>
      <c r="N495" s="17">
        <v>0</v>
      </c>
      <c r="O495" s="17">
        <f>M495+N495</f>
        <v>0</v>
      </c>
      <c r="P495" s="17">
        <v>390</v>
      </c>
      <c r="Q495" s="18">
        <v>1010</v>
      </c>
      <c r="R495" s="17">
        <f>P495+ROUND(Q495, 2)</f>
        <v>1400</v>
      </c>
      <c r="S495" s="17">
        <v>0</v>
      </c>
      <c r="T495" s="17">
        <v>0</v>
      </c>
      <c r="U495" s="17">
        <f>S495+T495</f>
        <v>0</v>
      </c>
    </row>
    <row r="496" spans="1:21" ht="18" x14ac:dyDescent="0.3">
      <c r="A496" s="10" t="s">
        <v>1678</v>
      </c>
      <c r="B496" s="10"/>
      <c r="C496" s="24" t="s">
        <v>1653</v>
      </c>
      <c r="D496" s="15"/>
      <c r="E496" s="15"/>
      <c r="F496" s="25" t="s">
        <v>597</v>
      </c>
      <c r="G496" s="26">
        <v>1.5</v>
      </c>
      <c r="H496" s="26"/>
      <c r="I496" s="26">
        <v>0</v>
      </c>
      <c r="J496" s="27">
        <v>260</v>
      </c>
      <c r="M496" s="28">
        <f>ROUND(ROUND(J496, 2)*I496, 2)</f>
        <v>0</v>
      </c>
      <c r="P496" s="27">
        <v>260</v>
      </c>
      <c r="S496" s="28">
        <f>ROUND(ROUND(P496, 2)*I496, 2)</f>
        <v>0</v>
      </c>
    </row>
    <row r="497" spans="1:21" ht="18" x14ac:dyDescent="0.3">
      <c r="A497" s="10" t="s">
        <v>1681</v>
      </c>
      <c r="B497" s="10" t="s">
        <v>1648</v>
      </c>
      <c r="C497" s="14" t="s">
        <v>1649</v>
      </c>
      <c r="D497" s="15"/>
      <c r="E497" s="15"/>
      <c r="F497" s="15" t="s">
        <v>62</v>
      </c>
      <c r="G497" s="16">
        <v>1</v>
      </c>
      <c r="H497" s="16"/>
      <c r="I497" s="16">
        <v>0</v>
      </c>
      <c r="J497" s="17">
        <v>0</v>
      </c>
      <c r="K497" s="18">
        <v>1010</v>
      </c>
      <c r="L497" s="17">
        <f>J497+ROUND(K497, 2)</f>
        <v>1010</v>
      </c>
      <c r="M497" s="17">
        <v>0</v>
      </c>
      <c r="N497" s="17">
        <v>0</v>
      </c>
      <c r="O497" s="17">
        <f>M497+N497</f>
        <v>0</v>
      </c>
      <c r="P497" s="17">
        <v>0</v>
      </c>
      <c r="Q497" s="18">
        <v>1515</v>
      </c>
      <c r="R497" s="17">
        <f>P497+ROUND(Q497, 2)</f>
        <v>1515</v>
      </c>
      <c r="S497" s="17">
        <v>0</v>
      </c>
      <c r="T497" s="17">
        <v>0</v>
      </c>
      <c r="U497" s="17">
        <f>S497+T497</f>
        <v>0</v>
      </c>
    </row>
    <row r="498" spans="1:21" ht="18" x14ac:dyDescent="0.3">
      <c r="A498" s="10" t="s">
        <v>1682</v>
      </c>
      <c r="B498" s="10"/>
      <c r="C498" s="24" t="s">
        <v>1653</v>
      </c>
      <c r="D498" s="15"/>
      <c r="E498" s="15"/>
      <c r="F498" s="25" t="s">
        <v>597</v>
      </c>
      <c r="G498" s="26">
        <v>1.5</v>
      </c>
      <c r="H498" s="26"/>
      <c r="I498" s="26">
        <v>0</v>
      </c>
      <c r="J498" s="27">
        <v>260</v>
      </c>
      <c r="M498" s="28">
        <f>ROUND(ROUND(J498, 2)*I498, 2)</f>
        <v>0</v>
      </c>
      <c r="P498" s="27">
        <v>260</v>
      </c>
      <c r="S498" s="28">
        <f>ROUND(ROUND(P498, 2)*I498, 2)</f>
        <v>0</v>
      </c>
    </row>
    <row r="499" spans="1:21" ht="18" x14ac:dyDescent="0.3">
      <c r="A499" s="10" t="s">
        <v>1685</v>
      </c>
      <c r="B499" s="10" t="s">
        <v>1648</v>
      </c>
      <c r="C499" s="14" t="s">
        <v>1649</v>
      </c>
      <c r="D499" s="15"/>
      <c r="E499" s="15"/>
      <c r="F499" s="15" t="s">
        <v>62</v>
      </c>
      <c r="G499" s="16">
        <v>1</v>
      </c>
      <c r="H499" s="16"/>
      <c r="I499" s="16">
        <v>0</v>
      </c>
      <c r="J499" s="17">
        <v>0</v>
      </c>
      <c r="K499" s="18">
        <v>1010</v>
      </c>
      <c r="L499" s="17">
        <f>J499+ROUND(K499, 2)</f>
        <v>1010</v>
      </c>
      <c r="M499" s="17">
        <v>0</v>
      </c>
      <c r="N499" s="17">
        <v>0</v>
      </c>
      <c r="O499" s="17">
        <f>M499+N499</f>
        <v>0</v>
      </c>
      <c r="P499" s="17">
        <v>0</v>
      </c>
      <c r="Q499" s="18">
        <v>1515</v>
      </c>
      <c r="R499" s="17">
        <f>P499+ROUND(Q499, 2)</f>
        <v>1515</v>
      </c>
      <c r="S499" s="17">
        <v>0</v>
      </c>
      <c r="T499" s="17">
        <v>0</v>
      </c>
      <c r="U499" s="17">
        <f>S499+T499</f>
        <v>0</v>
      </c>
    </row>
    <row r="500" spans="1:21" ht="18" x14ac:dyDescent="0.3">
      <c r="A500" s="10" t="s">
        <v>1686</v>
      </c>
      <c r="B500" s="10"/>
      <c r="C500" s="24" t="s">
        <v>1653</v>
      </c>
      <c r="D500" s="15"/>
      <c r="E500" s="15"/>
      <c r="F500" s="25" t="s">
        <v>597</v>
      </c>
      <c r="G500" s="26">
        <v>1.5</v>
      </c>
      <c r="H500" s="26"/>
      <c r="I500" s="26">
        <v>0</v>
      </c>
      <c r="J500" s="27">
        <v>260</v>
      </c>
      <c r="M500" s="28">
        <f>ROUND(ROUND(J500, 2)*I500, 2)</f>
        <v>0</v>
      </c>
      <c r="P500" s="27">
        <v>260</v>
      </c>
      <c r="S500" s="28">
        <f>ROUND(ROUND(P500, 2)*I500, 2)</f>
        <v>0</v>
      </c>
    </row>
    <row r="501" spans="1:21" ht="18" x14ac:dyDescent="0.3">
      <c r="A501" s="10" t="s">
        <v>1689</v>
      </c>
      <c r="B501" s="10" t="s">
        <v>1648</v>
      </c>
      <c r="C501" s="14" t="s">
        <v>1649</v>
      </c>
      <c r="D501" s="15"/>
      <c r="E501" s="15"/>
      <c r="F501" s="15" t="s">
        <v>62</v>
      </c>
      <c r="G501" s="16">
        <v>1</v>
      </c>
      <c r="H501" s="16"/>
      <c r="I501" s="16">
        <v>0</v>
      </c>
      <c r="J501" s="17">
        <v>0</v>
      </c>
      <c r="K501" s="18">
        <v>1010</v>
      </c>
      <c r="L501" s="17">
        <f>J501+ROUND(K501, 2)</f>
        <v>1010</v>
      </c>
      <c r="M501" s="17">
        <v>0</v>
      </c>
      <c r="N501" s="17">
        <v>0</v>
      </c>
      <c r="O501" s="17">
        <f>M501+N501</f>
        <v>0</v>
      </c>
      <c r="P501" s="17">
        <v>0</v>
      </c>
      <c r="Q501" s="18">
        <v>1515</v>
      </c>
      <c r="R501" s="17">
        <f>P501+ROUND(Q501, 2)</f>
        <v>1515</v>
      </c>
      <c r="S501" s="17">
        <v>0</v>
      </c>
      <c r="T501" s="17">
        <v>0</v>
      </c>
      <c r="U501" s="17">
        <f>S501+T501</f>
        <v>0</v>
      </c>
    </row>
    <row r="502" spans="1:21" ht="18" x14ac:dyDescent="0.3">
      <c r="A502" s="10" t="s">
        <v>1690</v>
      </c>
      <c r="B502" s="10"/>
      <c r="C502" s="24" t="s">
        <v>1653</v>
      </c>
      <c r="D502" s="15"/>
      <c r="E502" s="15"/>
      <c r="F502" s="25" t="s">
        <v>597</v>
      </c>
      <c r="G502" s="26">
        <v>1.5</v>
      </c>
      <c r="H502" s="26"/>
      <c r="I502" s="26">
        <v>0</v>
      </c>
      <c r="J502" s="27">
        <v>260</v>
      </c>
      <c r="M502" s="28">
        <f>ROUND(ROUND(J502, 2)*I502, 2)</f>
        <v>0</v>
      </c>
      <c r="P502" s="27">
        <v>260</v>
      </c>
      <c r="S502" s="28">
        <f>ROUND(ROUND(P502, 2)*I502, 2)</f>
        <v>0</v>
      </c>
    </row>
    <row r="503" spans="1:21" ht="18" x14ac:dyDescent="0.3">
      <c r="A503" s="10" t="s">
        <v>1693</v>
      </c>
      <c r="B503" s="10" t="s">
        <v>1648</v>
      </c>
      <c r="C503" s="14" t="s">
        <v>1649</v>
      </c>
      <c r="D503" s="15"/>
      <c r="E503" s="15" t="s">
        <v>1694</v>
      </c>
      <c r="F503" s="15" t="s">
        <v>62</v>
      </c>
      <c r="G503" s="16">
        <v>1</v>
      </c>
      <c r="H503" s="16"/>
      <c r="I503" s="16">
        <v>195.1</v>
      </c>
      <c r="J503" s="17">
        <v>390</v>
      </c>
      <c r="K503" s="18">
        <v>1010</v>
      </c>
      <c r="L503" s="17">
        <f>J503+ROUND(K503, 2)</f>
        <v>1400</v>
      </c>
      <c r="M503" s="17">
        <v>76089</v>
      </c>
      <c r="N503" s="17">
        <v>197051</v>
      </c>
      <c r="O503" s="17">
        <f>M503+N503</f>
        <v>273140</v>
      </c>
      <c r="P503" s="17">
        <v>390</v>
      </c>
      <c r="Q503" s="18">
        <v>1515</v>
      </c>
      <c r="R503" s="17">
        <f>P503+ROUND(Q503, 2)</f>
        <v>1905</v>
      </c>
      <c r="S503" s="17">
        <v>76089</v>
      </c>
      <c r="T503" s="17">
        <v>295576.5</v>
      </c>
      <c r="U503" s="17">
        <f>S503+T503</f>
        <v>371665.5</v>
      </c>
    </row>
    <row r="504" spans="1:21" ht="18" x14ac:dyDescent="0.3">
      <c r="A504" s="10" t="s">
        <v>1695</v>
      </c>
      <c r="B504" s="10"/>
      <c r="C504" s="24" t="s">
        <v>1653</v>
      </c>
      <c r="D504" s="15"/>
      <c r="E504" s="15"/>
      <c r="F504" s="25" t="s">
        <v>597</v>
      </c>
      <c r="G504" s="26">
        <v>1.5</v>
      </c>
      <c r="H504" s="26"/>
      <c r="I504" s="26">
        <v>292.64999999999998</v>
      </c>
      <c r="J504" s="27">
        <v>260</v>
      </c>
      <c r="M504" s="28">
        <f>ROUND(ROUND(J504, 2)*I504, 2)</f>
        <v>76089</v>
      </c>
      <c r="P504" s="27">
        <v>260</v>
      </c>
      <c r="S504" s="28">
        <f>ROUND(ROUND(P504, 2)*I504, 2)</f>
        <v>76089</v>
      </c>
    </row>
    <row r="505" spans="1:21" ht="18" x14ac:dyDescent="0.3">
      <c r="A505" s="10" t="s">
        <v>1698</v>
      </c>
      <c r="B505" s="10" t="s">
        <v>1648</v>
      </c>
      <c r="C505" s="14" t="s">
        <v>1649</v>
      </c>
      <c r="D505" s="15"/>
      <c r="E505" s="15" t="s">
        <v>1699</v>
      </c>
      <c r="F505" s="15" t="s">
        <v>62</v>
      </c>
      <c r="G505" s="16">
        <v>1</v>
      </c>
      <c r="H505" s="16"/>
      <c r="I505" s="16">
        <v>23.1</v>
      </c>
      <c r="J505" s="17">
        <v>390</v>
      </c>
      <c r="K505" s="18">
        <v>1010</v>
      </c>
      <c r="L505" s="17">
        <f>J505+ROUND(K505, 2)</f>
        <v>1400</v>
      </c>
      <c r="M505" s="17">
        <v>9009</v>
      </c>
      <c r="N505" s="17">
        <v>23331</v>
      </c>
      <c r="O505" s="17">
        <f>M505+N505</f>
        <v>32340</v>
      </c>
      <c r="P505" s="17">
        <v>390</v>
      </c>
      <c r="Q505" s="18">
        <v>1515</v>
      </c>
      <c r="R505" s="17">
        <f>P505+ROUND(Q505, 2)</f>
        <v>1905</v>
      </c>
      <c r="S505" s="17">
        <v>9009</v>
      </c>
      <c r="T505" s="17">
        <v>34996.5</v>
      </c>
      <c r="U505" s="17">
        <f>S505+T505</f>
        <v>44005.5</v>
      </c>
    </row>
    <row r="506" spans="1:21" ht="18" x14ac:dyDescent="0.3">
      <c r="A506" s="10" t="s">
        <v>1700</v>
      </c>
      <c r="B506" s="10"/>
      <c r="C506" s="24" t="s">
        <v>1653</v>
      </c>
      <c r="D506" s="15"/>
      <c r="E506" s="15"/>
      <c r="F506" s="25" t="s">
        <v>597</v>
      </c>
      <c r="G506" s="26">
        <v>1.5</v>
      </c>
      <c r="H506" s="26"/>
      <c r="I506" s="26">
        <v>34.65</v>
      </c>
      <c r="J506" s="27">
        <v>260</v>
      </c>
      <c r="M506" s="28">
        <f>ROUND(ROUND(J506, 2)*I506, 2)</f>
        <v>9009</v>
      </c>
      <c r="P506" s="27">
        <v>260</v>
      </c>
      <c r="S506" s="28">
        <f>ROUND(ROUND(P506, 2)*I506, 2)</f>
        <v>9009</v>
      </c>
    </row>
    <row r="507" spans="1:21" ht="18" x14ac:dyDescent="0.3">
      <c r="A507" s="10" t="s">
        <v>1703</v>
      </c>
      <c r="B507" s="10" t="s">
        <v>1648</v>
      </c>
      <c r="C507" s="14" t="s">
        <v>1649</v>
      </c>
      <c r="D507" s="15"/>
      <c r="E507" s="15" t="s">
        <v>1704</v>
      </c>
      <c r="F507" s="15" t="s">
        <v>62</v>
      </c>
      <c r="G507" s="16">
        <v>1</v>
      </c>
      <c r="H507" s="16"/>
      <c r="I507" s="16">
        <v>75</v>
      </c>
      <c r="J507" s="17">
        <v>390</v>
      </c>
      <c r="K507" s="18">
        <v>1010</v>
      </c>
      <c r="L507" s="17">
        <f>J507+ROUND(K507, 2)</f>
        <v>1400</v>
      </c>
      <c r="M507" s="17">
        <v>29250</v>
      </c>
      <c r="N507" s="17">
        <v>75750</v>
      </c>
      <c r="O507" s="17">
        <f>M507+N507</f>
        <v>105000</v>
      </c>
      <c r="P507" s="17">
        <v>390</v>
      </c>
      <c r="Q507" s="18">
        <v>1515</v>
      </c>
      <c r="R507" s="17">
        <f>P507+ROUND(Q507, 2)</f>
        <v>1905</v>
      </c>
      <c r="S507" s="17">
        <v>29250</v>
      </c>
      <c r="T507" s="17">
        <v>113625</v>
      </c>
      <c r="U507" s="17">
        <f>S507+T507</f>
        <v>142875</v>
      </c>
    </row>
    <row r="508" spans="1:21" ht="18" x14ac:dyDescent="0.3">
      <c r="A508" s="10" t="s">
        <v>1705</v>
      </c>
      <c r="B508" s="10"/>
      <c r="C508" s="24" t="s">
        <v>1653</v>
      </c>
      <c r="D508" s="15"/>
      <c r="E508" s="15"/>
      <c r="F508" s="25" t="s">
        <v>597</v>
      </c>
      <c r="G508" s="26">
        <v>1.5</v>
      </c>
      <c r="H508" s="26"/>
      <c r="I508" s="26">
        <v>112.5</v>
      </c>
      <c r="J508" s="27">
        <v>260</v>
      </c>
      <c r="M508" s="28">
        <f>ROUND(ROUND(J508, 2)*I508, 2)</f>
        <v>29250</v>
      </c>
      <c r="P508" s="27">
        <v>260</v>
      </c>
      <c r="S508" s="28">
        <f>ROUND(ROUND(P508, 2)*I508, 2)</f>
        <v>29250</v>
      </c>
    </row>
    <row r="509" spans="1:21" ht="18" x14ac:dyDescent="0.3">
      <c r="A509" s="10" t="s">
        <v>1708</v>
      </c>
      <c r="B509" s="10" t="s">
        <v>1648</v>
      </c>
      <c r="C509" s="14" t="s">
        <v>1649</v>
      </c>
      <c r="D509" s="15"/>
      <c r="E509" s="15" t="s">
        <v>1709</v>
      </c>
      <c r="F509" s="15" t="s">
        <v>62</v>
      </c>
      <c r="G509" s="16">
        <v>1</v>
      </c>
      <c r="H509" s="16"/>
      <c r="I509" s="16">
        <v>41.8</v>
      </c>
      <c r="J509" s="17">
        <v>390</v>
      </c>
      <c r="K509" s="18">
        <v>1010</v>
      </c>
      <c r="L509" s="17">
        <f>J509+ROUND(K509, 2)</f>
        <v>1400</v>
      </c>
      <c r="M509" s="17">
        <v>16302</v>
      </c>
      <c r="N509" s="17">
        <v>42218</v>
      </c>
      <c r="O509" s="17">
        <f>M509+N509</f>
        <v>58520</v>
      </c>
      <c r="P509" s="17">
        <v>390</v>
      </c>
      <c r="Q509" s="18">
        <v>1515</v>
      </c>
      <c r="R509" s="17">
        <f>P509+ROUND(Q509, 2)</f>
        <v>1905</v>
      </c>
      <c r="S509" s="17">
        <v>16302</v>
      </c>
      <c r="T509" s="17">
        <v>63327</v>
      </c>
      <c r="U509" s="17">
        <f>S509+T509</f>
        <v>79629</v>
      </c>
    </row>
    <row r="510" spans="1:21" ht="18" x14ac:dyDescent="0.3">
      <c r="A510" s="10" t="s">
        <v>1710</v>
      </c>
      <c r="B510" s="10"/>
      <c r="C510" s="24" t="s">
        <v>1653</v>
      </c>
      <c r="D510" s="15"/>
      <c r="E510" s="15"/>
      <c r="F510" s="25" t="s">
        <v>597</v>
      </c>
      <c r="G510" s="26">
        <v>1.5</v>
      </c>
      <c r="H510" s="26"/>
      <c r="I510" s="26">
        <v>62.7</v>
      </c>
      <c r="J510" s="27">
        <v>260</v>
      </c>
      <c r="M510" s="28">
        <f>ROUND(ROUND(J510, 2)*I510, 2)</f>
        <v>16302</v>
      </c>
      <c r="P510" s="27">
        <v>260</v>
      </c>
      <c r="S510" s="28">
        <f>ROUND(ROUND(P510, 2)*I510, 2)</f>
        <v>16302</v>
      </c>
    </row>
    <row r="511" spans="1:21" ht="18" x14ac:dyDescent="0.3">
      <c r="A511" s="10" t="s">
        <v>1713</v>
      </c>
      <c r="B511" s="10" t="s">
        <v>1648</v>
      </c>
      <c r="C511" s="14" t="s">
        <v>1649</v>
      </c>
      <c r="D511" s="15"/>
      <c r="E511" s="15" t="s">
        <v>1714</v>
      </c>
      <c r="F511" s="15" t="s">
        <v>62</v>
      </c>
      <c r="G511" s="16">
        <v>1</v>
      </c>
      <c r="H511" s="16"/>
      <c r="I511" s="16">
        <v>25.2</v>
      </c>
      <c r="J511" s="17">
        <v>390</v>
      </c>
      <c r="K511" s="18">
        <v>1010</v>
      </c>
      <c r="L511" s="17">
        <f>J511+ROUND(K511, 2)</f>
        <v>1400</v>
      </c>
      <c r="M511" s="17">
        <v>9828</v>
      </c>
      <c r="N511" s="17">
        <v>25452</v>
      </c>
      <c r="O511" s="17">
        <f>M511+N511</f>
        <v>35280</v>
      </c>
      <c r="P511" s="17">
        <v>390</v>
      </c>
      <c r="Q511" s="18">
        <v>1515</v>
      </c>
      <c r="R511" s="17">
        <f>P511+ROUND(Q511, 2)</f>
        <v>1905</v>
      </c>
      <c r="S511" s="17">
        <v>9828</v>
      </c>
      <c r="T511" s="17">
        <v>38178</v>
      </c>
      <c r="U511" s="17">
        <f>S511+T511</f>
        <v>48006</v>
      </c>
    </row>
    <row r="512" spans="1:21" ht="18" x14ac:dyDescent="0.3">
      <c r="A512" s="10" t="s">
        <v>1715</v>
      </c>
      <c r="B512" s="10"/>
      <c r="C512" s="24" t="s">
        <v>1653</v>
      </c>
      <c r="D512" s="15"/>
      <c r="E512" s="15"/>
      <c r="F512" s="25" t="s">
        <v>597</v>
      </c>
      <c r="G512" s="26">
        <v>1.5</v>
      </c>
      <c r="H512" s="26"/>
      <c r="I512" s="26">
        <v>37.799999999999997</v>
      </c>
      <c r="J512" s="27">
        <v>260</v>
      </c>
      <c r="M512" s="28">
        <f>ROUND(ROUND(J512, 2)*I512, 2)</f>
        <v>9828</v>
      </c>
      <c r="P512" s="27">
        <v>260</v>
      </c>
      <c r="S512" s="28">
        <f>ROUND(ROUND(P512, 2)*I512, 2)</f>
        <v>9828</v>
      </c>
    </row>
    <row r="513" spans="1:21" ht="108" x14ac:dyDescent="0.3">
      <c r="A513" s="10" t="s">
        <v>1718</v>
      </c>
      <c r="B513" s="10" t="s">
        <v>1648</v>
      </c>
      <c r="C513" s="14" t="s">
        <v>1649</v>
      </c>
      <c r="D513" s="15"/>
      <c r="E513" s="15" t="s">
        <v>1719</v>
      </c>
      <c r="F513" s="15" t="s">
        <v>62</v>
      </c>
      <c r="G513" s="16">
        <v>1</v>
      </c>
      <c r="H513" s="16"/>
      <c r="I513" s="16">
        <v>9.3000000000000007</v>
      </c>
      <c r="J513" s="17">
        <v>390</v>
      </c>
      <c r="K513" s="18">
        <v>1010</v>
      </c>
      <c r="L513" s="17">
        <f>J513+ROUND(K513, 2)</f>
        <v>1400</v>
      </c>
      <c r="M513" s="17">
        <v>3627</v>
      </c>
      <c r="N513" s="17">
        <v>9393</v>
      </c>
      <c r="O513" s="17">
        <f>M513+N513</f>
        <v>13020</v>
      </c>
      <c r="P513" s="17">
        <v>390</v>
      </c>
      <c r="Q513" s="18">
        <v>1515</v>
      </c>
      <c r="R513" s="17">
        <f>P513+ROUND(Q513, 2)</f>
        <v>1905</v>
      </c>
      <c r="S513" s="17">
        <v>3627</v>
      </c>
      <c r="T513" s="17">
        <v>14089.5</v>
      </c>
      <c r="U513" s="17">
        <f>S513+T513</f>
        <v>17716.5</v>
      </c>
    </row>
    <row r="514" spans="1:21" ht="18" x14ac:dyDescent="0.3">
      <c r="A514" s="10" t="s">
        <v>1720</v>
      </c>
      <c r="B514" s="10"/>
      <c r="C514" s="24" t="s">
        <v>1653</v>
      </c>
      <c r="D514" s="15"/>
      <c r="E514" s="15"/>
      <c r="F514" s="25" t="s">
        <v>597</v>
      </c>
      <c r="G514" s="26">
        <v>1.5</v>
      </c>
      <c r="H514" s="26"/>
      <c r="I514" s="26">
        <v>13.95</v>
      </c>
      <c r="J514" s="27">
        <v>260</v>
      </c>
      <c r="M514" s="28">
        <f>ROUND(ROUND(J514, 2)*I514, 2)</f>
        <v>3627</v>
      </c>
      <c r="P514" s="27">
        <v>260</v>
      </c>
      <c r="S514" s="28">
        <f>ROUND(ROUND(P514, 2)*I514, 2)</f>
        <v>3627</v>
      </c>
    </row>
    <row r="515" spans="1:21" ht="108" x14ac:dyDescent="0.3">
      <c r="A515" s="10" t="s">
        <v>1723</v>
      </c>
      <c r="B515" s="10" t="s">
        <v>1648</v>
      </c>
      <c r="C515" s="14" t="s">
        <v>1649</v>
      </c>
      <c r="D515" s="15"/>
      <c r="E515" s="15" t="s">
        <v>1724</v>
      </c>
      <c r="F515" s="15" t="s">
        <v>62</v>
      </c>
      <c r="G515" s="16">
        <v>1</v>
      </c>
      <c r="H515" s="16"/>
      <c r="I515" s="16">
        <v>9.4</v>
      </c>
      <c r="J515" s="17">
        <v>390</v>
      </c>
      <c r="K515" s="18">
        <v>1010</v>
      </c>
      <c r="L515" s="17">
        <f>J515+ROUND(K515, 2)</f>
        <v>1400</v>
      </c>
      <c r="M515" s="17">
        <v>3666</v>
      </c>
      <c r="N515" s="17">
        <v>9494</v>
      </c>
      <c r="O515" s="17">
        <f>M515+N515</f>
        <v>13160</v>
      </c>
      <c r="P515" s="17">
        <v>390</v>
      </c>
      <c r="Q515" s="18">
        <v>1515</v>
      </c>
      <c r="R515" s="17">
        <f>P515+ROUND(Q515, 2)</f>
        <v>1905</v>
      </c>
      <c r="S515" s="17">
        <v>3666</v>
      </c>
      <c r="T515" s="17">
        <v>14241</v>
      </c>
      <c r="U515" s="17">
        <f>S515+T515</f>
        <v>17907</v>
      </c>
    </row>
    <row r="516" spans="1:21" ht="18" x14ac:dyDescent="0.3">
      <c r="A516" s="10" t="s">
        <v>1725</v>
      </c>
      <c r="B516" s="10"/>
      <c r="C516" s="24" t="s">
        <v>1653</v>
      </c>
      <c r="D516" s="15"/>
      <c r="E516" s="15"/>
      <c r="F516" s="25" t="s">
        <v>597</v>
      </c>
      <c r="G516" s="26">
        <v>1.5</v>
      </c>
      <c r="H516" s="26"/>
      <c r="I516" s="26">
        <v>14.1</v>
      </c>
      <c r="J516" s="27">
        <v>260</v>
      </c>
      <c r="M516" s="28">
        <f>ROUND(ROUND(J516, 2)*I516, 2)</f>
        <v>3666</v>
      </c>
      <c r="P516" s="27">
        <v>260</v>
      </c>
      <c r="S516" s="28">
        <f>ROUND(ROUND(P516, 2)*I516, 2)</f>
        <v>3666</v>
      </c>
    </row>
    <row r="517" spans="1:21" ht="18" x14ac:dyDescent="0.3">
      <c r="A517" s="10" t="s">
        <v>1728</v>
      </c>
      <c r="B517" s="10" t="s">
        <v>1648</v>
      </c>
      <c r="C517" s="14" t="s">
        <v>1649</v>
      </c>
      <c r="D517" s="15"/>
      <c r="E517" s="15"/>
      <c r="F517" s="15" t="s">
        <v>62</v>
      </c>
      <c r="G517" s="16">
        <v>1</v>
      </c>
      <c r="H517" s="16"/>
      <c r="I517" s="16">
        <v>0</v>
      </c>
      <c r="J517" s="17">
        <v>0</v>
      </c>
      <c r="K517" s="18">
        <v>1010</v>
      </c>
      <c r="L517" s="17">
        <f>J517+ROUND(K517, 2)</f>
        <v>1010</v>
      </c>
      <c r="M517" s="17">
        <v>0</v>
      </c>
      <c r="N517" s="17">
        <v>0</v>
      </c>
      <c r="O517" s="17">
        <f>M517+N517</f>
        <v>0</v>
      </c>
      <c r="P517" s="17">
        <v>0</v>
      </c>
      <c r="Q517" s="18">
        <v>1515</v>
      </c>
      <c r="R517" s="17">
        <f>P517+ROUND(Q517, 2)</f>
        <v>1515</v>
      </c>
      <c r="S517" s="17">
        <v>0</v>
      </c>
      <c r="T517" s="17">
        <v>0</v>
      </c>
      <c r="U517" s="17">
        <f>S517+T517</f>
        <v>0</v>
      </c>
    </row>
    <row r="518" spans="1:21" ht="18" x14ac:dyDescent="0.3">
      <c r="A518" s="10" t="s">
        <v>1729</v>
      </c>
      <c r="B518" s="10"/>
      <c r="C518" s="24" t="s">
        <v>1653</v>
      </c>
      <c r="D518" s="15"/>
      <c r="E518" s="15"/>
      <c r="F518" s="25" t="s">
        <v>597</v>
      </c>
      <c r="G518" s="26">
        <v>1.5</v>
      </c>
      <c r="H518" s="26"/>
      <c r="I518" s="26">
        <v>0</v>
      </c>
      <c r="J518" s="27">
        <v>260</v>
      </c>
      <c r="M518" s="28">
        <f>ROUND(ROUND(J518, 2)*I518, 2)</f>
        <v>0</v>
      </c>
      <c r="P518" s="27">
        <v>260</v>
      </c>
      <c r="S518" s="28">
        <f>ROUND(ROUND(P518, 2)*I518, 2)</f>
        <v>0</v>
      </c>
    </row>
    <row r="519" spans="1:21" ht="18" x14ac:dyDescent="0.3">
      <c r="A519" s="10" t="s">
        <v>1732</v>
      </c>
      <c r="B519" s="10" t="s">
        <v>1733</v>
      </c>
      <c r="C519" s="14" t="s">
        <v>1734</v>
      </c>
      <c r="D519" s="15"/>
      <c r="E519" s="15"/>
      <c r="F519" s="15" t="s">
        <v>62</v>
      </c>
      <c r="G519" s="16">
        <v>1</v>
      </c>
      <c r="H519" s="16"/>
      <c r="I519" s="16">
        <v>0</v>
      </c>
      <c r="J519" s="17">
        <v>0</v>
      </c>
      <c r="K519" s="18">
        <v>1010</v>
      </c>
      <c r="L519" s="17">
        <f>J519+ROUND(K519, 2)</f>
        <v>1010</v>
      </c>
      <c r="M519" s="17">
        <v>0</v>
      </c>
      <c r="N519" s="17">
        <v>0</v>
      </c>
      <c r="O519" s="17">
        <f>M519+N519</f>
        <v>0</v>
      </c>
      <c r="P519" s="17">
        <v>418</v>
      </c>
      <c r="Q519" s="18">
        <v>1010</v>
      </c>
      <c r="R519" s="17">
        <f>P519+ROUND(Q519, 2)</f>
        <v>1428</v>
      </c>
      <c r="S519" s="17">
        <v>0</v>
      </c>
      <c r="T519" s="17">
        <v>0</v>
      </c>
      <c r="U519" s="17">
        <f>S519+T519</f>
        <v>0</v>
      </c>
    </row>
    <row r="520" spans="1:21" ht="18" x14ac:dyDescent="0.3">
      <c r="A520" s="10" t="s">
        <v>1737</v>
      </c>
      <c r="B520" s="10"/>
      <c r="C520" s="24" t="s">
        <v>1738</v>
      </c>
      <c r="D520" s="15"/>
      <c r="E520" s="15"/>
      <c r="F520" s="25" t="s">
        <v>597</v>
      </c>
      <c r="G520" s="26">
        <v>1</v>
      </c>
      <c r="H520" s="26"/>
      <c r="I520" s="26">
        <v>0</v>
      </c>
      <c r="J520" s="27">
        <v>418</v>
      </c>
      <c r="M520" s="28">
        <f>ROUND(ROUND(J520, 2)*I520, 2)</f>
        <v>0</v>
      </c>
      <c r="P520" s="27">
        <v>418</v>
      </c>
      <c r="S520" s="28">
        <f>ROUND(ROUND(P520, 2)*I520, 2)</f>
        <v>0</v>
      </c>
    </row>
    <row r="521" spans="1:21" ht="181.95" customHeight="1" x14ac:dyDescent="0.3">
      <c r="A521" s="10" t="s">
        <v>1742</v>
      </c>
      <c r="B521" s="10" t="s">
        <v>1733</v>
      </c>
      <c r="C521" s="14" t="s">
        <v>1734</v>
      </c>
      <c r="D521" s="15"/>
      <c r="E521" s="15" t="s">
        <v>1743</v>
      </c>
      <c r="F521" s="15" t="s">
        <v>62</v>
      </c>
      <c r="G521" s="16">
        <v>1</v>
      </c>
      <c r="H521" s="16"/>
      <c r="I521" s="16">
        <v>227.3</v>
      </c>
      <c r="J521" s="17">
        <v>418</v>
      </c>
      <c r="K521" s="18">
        <v>1010</v>
      </c>
      <c r="L521" s="17">
        <f>J521+ROUND(K521, 2)</f>
        <v>1428</v>
      </c>
      <c r="M521" s="17">
        <v>95011.4</v>
      </c>
      <c r="N521" s="17">
        <v>229573</v>
      </c>
      <c r="O521" s="17">
        <f>M521+N521</f>
        <v>324584.40000000002</v>
      </c>
      <c r="P521" s="17">
        <v>418</v>
      </c>
      <c r="Q521" s="18">
        <v>1515</v>
      </c>
      <c r="R521" s="17">
        <f>P521+ROUND(Q521, 2)</f>
        <v>1933</v>
      </c>
      <c r="S521" s="17">
        <v>95011.4</v>
      </c>
      <c r="T521" s="17">
        <v>344359.5</v>
      </c>
      <c r="U521" s="17">
        <f>S521+T521</f>
        <v>439370.9</v>
      </c>
    </row>
    <row r="522" spans="1:21" ht="118.05" customHeight="1" x14ac:dyDescent="0.3">
      <c r="A522" s="10" t="s">
        <v>1744</v>
      </c>
      <c r="B522" s="10"/>
      <c r="C522" s="24" t="s">
        <v>1738</v>
      </c>
      <c r="D522" s="15"/>
      <c r="E522" s="15" t="s">
        <v>1745</v>
      </c>
      <c r="F522" s="25" t="s">
        <v>597</v>
      </c>
      <c r="G522" s="26">
        <v>1</v>
      </c>
      <c r="H522" s="26"/>
      <c r="I522" s="26">
        <v>227.3</v>
      </c>
      <c r="J522" s="27">
        <v>418</v>
      </c>
      <c r="M522" s="28">
        <f>ROUND(ROUND(J522, 2)*I522, 2)</f>
        <v>95011.4</v>
      </c>
      <c r="P522" s="27">
        <v>418</v>
      </c>
      <c r="S522" s="28">
        <f>ROUND(ROUND(P522, 2)*I522, 2)</f>
        <v>95011.4</v>
      </c>
    </row>
    <row r="523" spans="1:21" ht="18" x14ac:dyDescent="0.3">
      <c r="A523" s="10" t="s">
        <v>1748</v>
      </c>
      <c r="B523" s="10" t="s">
        <v>1749</v>
      </c>
      <c r="C523" s="14" t="s">
        <v>1750</v>
      </c>
      <c r="D523" s="15"/>
      <c r="E523" s="15"/>
      <c r="F523" s="15" t="s">
        <v>62</v>
      </c>
      <c r="G523" s="16">
        <v>1</v>
      </c>
      <c r="H523" s="16"/>
      <c r="I523" s="16">
        <v>0</v>
      </c>
      <c r="J523" s="17">
        <v>0</v>
      </c>
      <c r="K523" s="18">
        <v>428</v>
      </c>
      <c r="L523" s="17">
        <f>J523+ROUND(K523, 2)</f>
        <v>428</v>
      </c>
      <c r="M523" s="17">
        <v>0</v>
      </c>
      <c r="N523" s="17">
        <v>0</v>
      </c>
      <c r="O523" s="17">
        <f>M523+N523</f>
        <v>0</v>
      </c>
      <c r="P523" s="17">
        <v>162.09</v>
      </c>
      <c r="Q523" s="18">
        <v>428</v>
      </c>
      <c r="R523" s="17">
        <f>P523+ROUND(Q523, 2)</f>
        <v>590.09</v>
      </c>
      <c r="S523" s="17">
        <v>0</v>
      </c>
      <c r="T523" s="17">
        <v>0</v>
      </c>
      <c r="U523" s="17">
        <f>S523+T523</f>
        <v>0</v>
      </c>
    </row>
    <row r="524" spans="1:21" ht="18" x14ac:dyDescent="0.3">
      <c r="A524" s="10" t="s">
        <v>1753</v>
      </c>
      <c r="B524" s="10"/>
      <c r="C524" s="24" t="s">
        <v>1007</v>
      </c>
      <c r="D524" s="15"/>
      <c r="E524" s="15"/>
      <c r="F524" s="25" t="s">
        <v>278</v>
      </c>
      <c r="G524" s="26">
        <v>0.15</v>
      </c>
      <c r="H524" s="26"/>
      <c r="I524" s="26">
        <v>0</v>
      </c>
      <c r="J524" s="27">
        <v>88.8</v>
      </c>
      <c r="M524" s="28">
        <f>ROUND(ROUND(J524, 2)*I524, 2)</f>
        <v>0</v>
      </c>
      <c r="P524" s="27">
        <v>88.8</v>
      </c>
      <c r="S524" s="28">
        <f>ROUND(ROUND(P524, 2)*I524, 2)</f>
        <v>0</v>
      </c>
    </row>
    <row r="525" spans="1:21" ht="36" x14ac:dyDescent="0.3">
      <c r="A525" s="10" t="s">
        <v>1756</v>
      </c>
      <c r="B525" s="10"/>
      <c r="C525" s="24" t="s">
        <v>1757</v>
      </c>
      <c r="D525" s="15"/>
      <c r="E525" s="15"/>
      <c r="F525" s="25" t="s">
        <v>278</v>
      </c>
      <c r="G525" s="26">
        <v>0.3</v>
      </c>
      <c r="H525" s="26"/>
      <c r="I525" s="26">
        <v>0</v>
      </c>
      <c r="J525" s="27">
        <v>1216.56</v>
      </c>
      <c r="M525" s="28">
        <f>ROUND(ROUND(J525, 2)*I525, 2)</f>
        <v>0</v>
      </c>
      <c r="P525" s="27">
        <v>495.9</v>
      </c>
      <c r="S525" s="28">
        <f>ROUND(ROUND(P525, 2)*I525, 2)</f>
        <v>0</v>
      </c>
    </row>
    <row r="526" spans="1:21" ht="18" x14ac:dyDescent="0.3">
      <c r="A526" s="10" t="s">
        <v>1761</v>
      </c>
      <c r="B526" s="10" t="s">
        <v>1749</v>
      </c>
      <c r="C526" s="14" t="s">
        <v>1750</v>
      </c>
      <c r="D526" s="15"/>
      <c r="E526" s="15"/>
      <c r="F526" s="15" t="s">
        <v>62</v>
      </c>
      <c r="G526" s="16">
        <v>1</v>
      </c>
      <c r="H526" s="16"/>
      <c r="I526" s="16">
        <v>0</v>
      </c>
      <c r="J526" s="17">
        <v>0</v>
      </c>
      <c r="K526" s="18">
        <v>428</v>
      </c>
      <c r="L526" s="17">
        <f>J526+ROUND(K526, 2)</f>
        <v>428</v>
      </c>
      <c r="M526" s="17">
        <v>0</v>
      </c>
      <c r="N526" s="17">
        <v>0</v>
      </c>
      <c r="O526" s="17">
        <f>M526+N526</f>
        <v>0</v>
      </c>
      <c r="P526" s="17">
        <v>162.09</v>
      </c>
      <c r="Q526" s="18">
        <v>428</v>
      </c>
      <c r="R526" s="17">
        <f>P526+ROUND(Q526, 2)</f>
        <v>590.09</v>
      </c>
      <c r="S526" s="17">
        <v>0</v>
      </c>
      <c r="T526" s="17">
        <v>0</v>
      </c>
      <c r="U526" s="17">
        <f>S526+T526</f>
        <v>0</v>
      </c>
    </row>
    <row r="527" spans="1:21" ht="36" x14ac:dyDescent="0.3">
      <c r="A527" s="10" t="s">
        <v>1762</v>
      </c>
      <c r="B527" s="10"/>
      <c r="C527" s="24" t="s">
        <v>1757</v>
      </c>
      <c r="D527" s="15"/>
      <c r="E527" s="15"/>
      <c r="F527" s="25" t="s">
        <v>278</v>
      </c>
      <c r="G527" s="26">
        <v>0.3</v>
      </c>
      <c r="H527" s="26"/>
      <c r="I527" s="26">
        <v>0</v>
      </c>
      <c r="J527" s="27">
        <v>1216.56</v>
      </c>
      <c r="M527" s="28">
        <f>ROUND(ROUND(J527, 2)*I527, 2)</f>
        <v>0</v>
      </c>
      <c r="P527" s="27">
        <v>495.9</v>
      </c>
      <c r="S527" s="28">
        <f>ROUND(ROUND(P527, 2)*I527, 2)</f>
        <v>0</v>
      </c>
    </row>
    <row r="528" spans="1:21" ht="18" x14ac:dyDescent="0.3">
      <c r="A528" s="10" t="s">
        <v>1765</v>
      </c>
      <c r="B528" s="10"/>
      <c r="C528" s="24" t="s">
        <v>1007</v>
      </c>
      <c r="D528" s="15"/>
      <c r="E528" s="15"/>
      <c r="F528" s="25" t="s">
        <v>278</v>
      </c>
      <c r="G528" s="26">
        <v>0.15</v>
      </c>
      <c r="H528" s="26"/>
      <c r="I528" s="26">
        <v>0</v>
      </c>
      <c r="J528" s="27">
        <v>88.8</v>
      </c>
      <c r="M528" s="28">
        <f>ROUND(ROUND(J528, 2)*I528, 2)</f>
        <v>0</v>
      </c>
      <c r="P528" s="27">
        <v>88.8</v>
      </c>
      <c r="S528" s="28">
        <f>ROUND(ROUND(P528, 2)*I528, 2)</f>
        <v>0</v>
      </c>
    </row>
    <row r="529" spans="1:21" ht="18" x14ac:dyDescent="0.3">
      <c r="A529" s="10" t="s">
        <v>1768</v>
      </c>
      <c r="B529" s="10" t="s">
        <v>1749</v>
      </c>
      <c r="C529" s="14" t="s">
        <v>1750</v>
      </c>
      <c r="D529" s="15"/>
      <c r="E529" s="15"/>
      <c r="F529" s="15" t="s">
        <v>62</v>
      </c>
      <c r="G529" s="16">
        <v>1</v>
      </c>
      <c r="H529" s="16"/>
      <c r="I529" s="16">
        <v>0</v>
      </c>
      <c r="J529" s="17">
        <v>0</v>
      </c>
      <c r="K529" s="18">
        <v>428</v>
      </c>
      <c r="L529" s="17">
        <f>J529+ROUND(K529, 2)</f>
        <v>428</v>
      </c>
      <c r="M529" s="17">
        <v>0</v>
      </c>
      <c r="N529" s="17">
        <v>0</v>
      </c>
      <c r="O529" s="17">
        <f>M529+N529</f>
        <v>0</v>
      </c>
      <c r="P529" s="17">
        <v>162.09</v>
      </c>
      <c r="Q529" s="18">
        <v>428</v>
      </c>
      <c r="R529" s="17">
        <f>P529+ROUND(Q529, 2)</f>
        <v>590.09</v>
      </c>
      <c r="S529" s="17">
        <v>0</v>
      </c>
      <c r="T529" s="17">
        <v>0</v>
      </c>
      <c r="U529" s="17">
        <f>S529+T529</f>
        <v>0</v>
      </c>
    </row>
    <row r="530" spans="1:21" ht="18" x14ac:dyDescent="0.3">
      <c r="A530" s="10" t="s">
        <v>1769</v>
      </c>
      <c r="B530" s="10"/>
      <c r="C530" s="24" t="s">
        <v>1007</v>
      </c>
      <c r="D530" s="15"/>
      <c r="E530" s="15"/>
      <c r="F530" s="25" t="s">
        <v>278</v>
      </c>
      <c r="G530" s="26">
        <v>0.15</v>
      </c>
      <c r="H530" s="26"/>
      <c r="I530" s="26">
        <v>0</v>
      </c>
      <c r="J530" s="27">
        <v>88.8</v>
      </c>
      <c r="M530" s="28">
        <f>ROUND(ROUND(J530, 2)*I530, 2)</f>
        <v>0</v>
      </c>
      <c r="P530" s="27">
        <v>88.8</v>
      </c>
      <c r="S530" s="28">
        <f>ROUND(ROUND(P530, 2)*I530, 2)</f>
        <v>0</v>
      </c>
    </row>
    <row r="531" spans="1:21" ht="36" x14ac:dyDescent="0.3">
      <c r="A531" s="10" t="s">
        <v>1772</v>
      </c>
      <c r="B531" s="10"/>
      <c r="C531" s="24" t="s">
        <v>1757</v>
      </c>
      <c r="D531" s="15"/>
      <c r="E531" s="15"/>
      <c r="F531" s="25" t="s">
        <v>278</v>
      </c>
      <c r="G531" s="26">
        <v>0.3</v>
      </c>
      <c r="H531" s="26"/>
      <c r="I531" s="26">
        <v>0</v>
      </c>
      <c r="J531" s="27">
        <v>1216.56</v>
      </c>
      <c r="M531" s="28">
        <f>ROUND(ROUND(J531, 2)*I531, 2)</f>
        <v>0</v>
      </c>
      <c r="P531" s="27">
        <v>495.9</v>
      </c>
      <c r="S531" s="28">
        <f>ROUND(ROUND(P531, 2)*I531, 2)</f>
        <v>0</v>
      </c>
    </row>
    <row r="532" spans="1:21" ht="18" x14ac:dyDescent="0.3">
      <c r="A532" s="10" t="s">
        <v>1775</v>
      </c>
      <c r="B532" s="10" t="s">
        <v>1749</v>
      </c>
      <c r="C532" s="14" t="s">
        <v>1750</v>
      </c>
      <c r="D532" s="15"/>
      <c r="E532" s="15"/>
      <c r="F532" s="15" t="s">
        <v>62</v>
      </c>
      <c r="G532" s="16">
        <v>1</v>
      </c>
      <c r="H532" s="16"/>
      <c r="I532" s="16">
        <v>0</v>
      </c>
      <c r="J532" s="17">
        <v>0</v>
      </c>
      <c r="K532" s="18">
        <v>428</v>
      </c>
      <c r="L532" s="17">
        <f>J532+ROUND(K532, 2)</f>
        <v>428</v>
      </c>
      <c r="M532" s="17">
        <v>0</v>
      </c>
      <c r="N532" s="17">
        <v>0</v>
      </c>
      <c r="O532" s="17">
        <f>M532+N532</f>
        <v>0</v>
      </c>
      <c r="P532" s="17">
        <v>162.09</v>
      </c>
      <c r="Q532" s="18">
        <v>428</v>
      </c>
      <c r="R532" s="17">
        <f>P532+ROUND(Q532, 2)</f>
        <v>590.09</v>
      </c>
      <c r="S532" s="17">
        <v>0</v>
      </c>
      <c r="T532" s="17">
        <v>0</v>
      </c>
      <c r="U532" s="17">
        <f>S532+T532</f>
        <v>0</v>
      </c>
    </row>
    <row r="533" spans="1:21" ht="36" x14ac:dyDescent="0.3">
      <c r="A533" s="10" t="s">
        <v>1776</v>
      </c>
      <c r="B533" s="10"/>
      <c r="C533" s="24" t="s">
        <v>1757</v>
      </c>
      <c r="D533" s="15"/>
      <c r="E533" s="15"/>
      <c r="F533" s="25" t="s">
        <v>278</v>
      </c>
      <c r="G533" s="26">
        <v>0.3</v>
      </c>
      <c r="H533" s="26"/>
      <c r="I533" s="26">
        <v>0</v>
      </c>
      <c r="J533" s="27">
        <v>1216.56</v>
      </c>
      <c r="M533" s="28">
        <f>ROUND(ROUND(J533, 2)*I533, 2)</f>
        <v>0</v>
      </c>
      <c r="P533" s="27">
        <v>495.9</v>
      </c>
      <c r="S533" s="28">
        <f>ROUND(ROUND(P533, 2)*I533, 2)</f>
        <v>0</v>
      </c>
    </row>
    <row r="534" spans="1:21" ht="18" x14ac:dyDescent="0.3">
      <c r="A534" s="10" t="s">
        <v>1779</v>
      </c>
      <c r="B534" s="10"/>
      <c r="C534" s="24" t="s">
        <v>1007</v>
      </c>
      <c r="D534" s="15"/>
      <c r="E534" s="15"/>
      <c r="F534" s="25" t="s">
        <v>278</v>
      </c>
      <c r="G534" s="26">
        <v>0.15</v>
      </c>
      <c r="H534" s="26"/>
      <c r="I534" s="26">
        <v>0</v>
      </c>
      <c r="J534" s="27">
        <v>88.8</v>
      </c>
      <c r="M534" s="28">
        <f>ROUND(ROUND(J534, 2)*I534, 2)</f>
        <v>0</v>
      </c>
      <c r="P534" s="27">
        <v>88.8</v>
      </c>
      <c r="S534" s="28">
        <f>ROUND(ROUND(P534, 2)*I534, 2)</f>
        <v>0</v>
      </c>
    </row>
    <row r="535" spans="1:21" ht="18" x14ac:dyDescent="0.3">
      <c r="A535" s="10" t="s">
        <v>1782</v>
      </c>
      <c r="B535" s="10" t="s">
        <v>1749</v>
      </c>
      <c r="C535" s="14" t="s">
        <v>1750</v>
      </c>
      <c r="D535" s="15"/>
      <c r="E535" s="15"/>
      <c r="F535" s="15" t="s">
        <v>62</v>
      </c>
      <c r="G535" s="16">
        <v>1</v>
      </c>
      <c r="H535" s="16"/>
      <c r="I535" s="16">
        <v>0</v>
      </c>
      <c r="J535" s="17">
        <v>0</v>
      </c>
      <c r="K535" s="18">
        <v>428</v>
      </c>
      <c r="L535" s="17">
        <f>J535+ROUND(K535, 2)</f>
        <v>428</v>
      </c>
      <c r="M535" s="17">
        <v>0</v>
      </c>
      <c r="N535" s="17">
        <v>0</v>
      </c>
      <c r="O535" s="17">
        <f>M535+N535</f>
        <v>0</v>
      </c>
      <c r="P535" s="17">
        <v>162.09</v>
      </c>
      <c r="Q535" s="18">
        <v>428</v>
      </c>
      <c r="R535" s="17">
        <f>P535+ROUND(Q535, 2)</f>
        <v>590.09</v>
      </c>
      <c r="S535" s="17">
        <v>0</v>
      </c>
      <c r="T535" s="17">
        <v>0</v>
      </c>
      <c r="U535" s="17">
        <f>S535+T535</f>
        <v>0</v>
      </c>
    </row>
    <row r="536" spans="1:21" ht="18" x14ac:dyDescent="0.3">
      <c r="A536" s="10" t="s">
        <v>1783</v>
      </c>
      <c r="B536" s="10"/>
      <c r="C536" s="24" t="s">
        <v>1007</v>
      </c>
      <c r="D536" s="15"/>
      <c r="E536" s="15"/>
      <c r="F536" s="25" t="s">
        <v>278</v>
      </c>
      <c r="G536" s="26">
        <v>0.15</v>
      </c>
      <c r="H536" s="26"/>
      <c r="I536" s="26">
        <v>0</v>
      </c>
      <c r="J536" s="27">
        <v>88.8</v>
      </c>
      <c r="M536" s="28">
        <f>ROUND(ROUND(J536, 2)*I536, 2)</f>
        <v>0</v>
      </c>
      <c r="P536" s="27">
        <v>88.8</v>
      </c>
      <c r="S536" s="28">
        <f>ROUND(ROUND(P536, 2)*I536, 2)</f>
        <v>0</v>
      </c>
    </row>
    <row r="537" spans="1:21" ht="36" x14ac:dyDescent="0.3">
      <c r="A537" s="10" t="s">
        <v>1786</v>
      </c>
      <c r="B537" s="10"/>
      <c r="C537" s="24" t="s">
        <v>1757</v>
      </c>
      <c r="D537" s="15"/>
      <c r="E537" s="15"/>
      <c r="F537" s="25" t="s">
        <v>278</v>
      </c>
      <c r="G537" s="26">
        <v>0.3</v>
      </c>
      <c r="H537" s="26"/>
      <c r="I537" s="26">
        <v>0</v>
      </c>
      <c r="J537" s="27">
        <v>1216.56</v>
      </c>
      <c r="M537" s="28">
        <f>ROUND(ROUND(J537, 2)*I537, 2)</f>
        <v>0</v>
      </c>
      <c r="P537" s="27">
        <v>495.9</v>
      </c>
      <c r="S537" s="28">
        <f>ROUND(ROUND(P537, 2)*I537, 2)</f>
        <v>0</v>
      </c>
    </row>
    <row r="538" spans="1:21" ht="18" x14ac:dyDescent="0.3">
      <c r="A538" s="10" t="s">
        <v>1789</v>
      </c>
      <c r="B538" s="10" t="s">
        <v>1749</v>
      </c>
      <c r="C538" s="14" t="s">
        <v>1750</v>
      </c>
      <c r="D538" s="15"/>
      <c r="E538" s="15"/>
      <c r="F538" s="15" t="s">
        <v>62</v>
      </c>
      <c r="G538" s="16">
        <v>1</v>
      </c>
      <c r="H538" s="16"/>
      <c r="I538" s="16">
        <v>0</v>
      </c>
      <c r="J538" s="17">
        <v>0</v>
      </c>
      <c r="K538" s="18">
        <v>428</v>
      </c>
      <c r="L538" s="17">
        <f>J538+ROUND(K538, 2)</f>
        <v>428</v>
      </c>
      <c r="M538" s="17">
        <v>0</v>
      </c>
      <c r="N538" s="17">
        <v>0</v>
      </c>
      <c r="O538" s="17">
        <f>M538+N538</f>
        <v>0</v>
      </c>
      <c r="P538" s="17">
        <v>162.09</v>
      </c>
      <c r="Q538" s="18">
        <v>428</v>
      </c>
      <c r="R538" s="17">
        <f>P538+ROUND(Q538, 2)</f>
        <v>590.09</v>
      </c>
      <c r="S538" s="17">
        <v>0</v>
      </c>
      <c r="T538" s="17">
        <v>0</v>
      </c>
      <c r="U538" s="17">
        <f>S538+T538</f>
        <v>0</v>
      </c>
    </row>
    <row r="539" spans="1:21" ht="36" x14ac:dyDescent="0.3">
      <c r="A539" s="10" t="s">
        <v>1790</v>
      </c>
      <c r="B539" s="10"/>
      <c r="C539" s="24" t="s">
        <v>1757</v>
      </c>
      <c r="D539" s="15"/>
      <c r="E539" s="15"/>
      <c r="F539" s="25" t="s">
        <v>278</v>
      </c>
      <c r="G539" s="26">
        <v>0.3</v>
      </c>
      <c r="H539" s="26"/>
      <c r="I539" s="26">
        <v>0</v>
      </c>
      <c r="J539" s="27">
        <v>1216.56</v>
      </c>
      <c r="M539" s="28">
        <f>ROUND(ROUND(J539, 2)*I539, 2)</f>
        <v>0</v>
      </c>
      <c r="P539" s="27">
        <v>495.9</v>
      </c>
      <c r="S539" s="28">
        <f>ROUND(ROUND(P539, 2)*I539, 2)</f>
        <v>0</v>
      </c>
    </row>
    <row r="540" spans="1:21" ht="18" x14ac:dyDescent="0.3">
      <c r="A540" s="10" t="s">
        <v>1793</v>
      </c>
      <c r="B540" s="10"/>
      <c r="C540" s="24" t="s">
        <v>1007</v>
      </c>
      <c r="D540" s="15"/>
      <c r="E540" s="15"/>
      <c r="F540" s="25" t="s">
        <v>278</v>
      </c>
      <c r="G540" s="26">
        <v>0.15</v>
      </c>
      <c r="H540" s="26"/>
      <c r="I540" s="26">
        <v>0</v>
      </c>
      <c r="J540" s="27">
        <v>88.8</v>
      </c>
      <c r="M540" s="28">
        <f>ROUND(ROUND(J540, 2)*I540, 2)</f>
        <v>0</v>
      </c>
      <c r="P540" s="27">
        <v>88.8</v>
      </c>
      <c r="S540" s="28">
        <f>ROUND(ROUND(P540, 2)*I540, 2)</f>
        <v>0</v>
      </c>
    </row>
    <row r="541" spans="1:21" ht="18" x14ac:dyDescent="0.3">
      <c r="A541" s="10" t="s">
        <v>1796</v>
      </c>
      <c r="B541" s="10" t="s">
        <v>1749</v>
      </c>
      <c r="C541" s="14" t="s">
        <v>1750</v>
      </c>
      <c r="D541" s="15"/>
      <c r="E541" s="15"/>
      <c r="F541" s="15" t="s">
        <v>62</v>
      </c>
      <c r="G541" s="16">
        <v>1</v>
      </c>
      <c r="H541" s="16"/>
      <c r="I541" s="16">
        <v>0</v>
      </c>
      <c r="J541" s="17">
        <v>0</v>
      </c>
      <c r="K541" s="18">
        <v>428</v>
      </c>
      <c r="L541" s="17">
        <f>J541+ROUND(K541, 2)</f>
        <v>428</v>
      </c>
      <c r="M541" s="17">
        <v>0</v>
      </c>
      <c r="N541" s="17">
        <v>0</v>
      </c>
      <c r="O541" s="17">
        <f>M541+N541</f>
        <v>0</v>
      </c>
      <c r="P541" s="17">
        <v>162.09</v>
      </c>
      <c r="Q541" s="18">
        <v>428</v>
      </c>
      <c r="R541" s="17">
        <f>P541+ROUND(Q541, 2)</f>
        <v>590.09</v>
      </c>
      <c r="S541" s="17">
        <v>0</v>
      </c>
      <c r="T541" s="17">
        <v>0</v>
      </c>
      <c r="U541" s="17">
        <f>S541+T541</f>
        <v>0</v>
      </c>
    </row>
    <row r="542" spans="1:21" ht="18" x14ac:dyDescent="0.3">
      <c r="A542" s="10" t="s">
        <v>1797</v>
      </c>
      <c r="B542" s="10"/>
      <c r="C542" s="24" t="s">
        <v>1007</v>
      </c>
      <c r="D542" s="15"/>
      <c r="E542" s="15"/>
      <c r="F542" s="25" t="s">
        <v>278</v>
      </c>
      <c r="G542" s="26">
        <v>0.15</v>
      </c>
      <c r="H542" s="26"/>
      <c r="I542" s="26">
        <v>0</v>
      </c>
      <c r="J542" s="27">
        <v>88.8</v>
      </c>
      <c r="M542" s="28">
        <f>ROUND(ROUND(J542, 2)*I542, 2)</f>
        <v>0</v>
      </c>
      <c r="P542" s="27">
        <v>88.8</v>
      </c>
      <c r="S542" s="28">
        <f>ROUND(ROUND(P542, 2)*I542, 2)</f>
        <v>0</v>
      </c>
    </row>
    <row r="543" spans="1:21" ht="36" x14ac:dyDescent="0.3">
      <c r="A543" s="10" t="s">
        <v>1800</v>
      </c>
      <c r="B543" s="10"/>
      <c r="C543" s="24" t="s">
        <v>1757</v>
      </c>
      <c r="D543" s="15"/>
      <c r="E543" s="15"/>
      <c r="F543" s="25" t="s">
        <v>278</v>
      </c>
      <c r="G543" s="26">
        <v>0.3</v>
      </c>
      <c r="H543" s="26"/>
      <c r="I543" s="26">
        <v>0</v>
      </c>
      <c r="J543" s="27">
        <v>1216.56</v>
      </c>
      <c r="M543" s="28">
        <f>ROUND(ROUND(J543, 2)*I543, 2)</f>
        <v>0</v>
      </c>
      <c r="P543" s="27">
        <v>495.9</v>
      </c>
      <c r="S543" s="28">
        <f>ROUND(ROUND(P543, 2)*I543, 2)</f>
        <v>0</v>
      </c>
    </row>
    <row r="544" spans="1:21" ht="18" x14ac:dyDescent="0.3">
      <c r="A544" s="10" t="s">
        <v>1803</v>
      </c>
      <c r="B544" s="10" t="s">
        <v>1749</v>
      </c>
      <c r="C544" s="14" t="s">
        <v>1750</v>
      </c>
      <c r="D544" s="15"/>
      <c r="E544" s="15"/>
      <c r="F544" s="15" t="s">
        <v>62</v>
      </c>
      <c r="G544" s="16">
        <v>1</v>
      </c>
      <c r="H544" s="16"/>
      <c r="I544" s="16">
        <v>0</v>
      </c>
      <c r="J544" s="17">
        <v>0</v>
      </c>
      <c r="K544" s="18">
        <v>428</v>
      </c>
      <c r="L544" s="17">
        <f>J544+ROUND(K544, 2)</f>
        <v>428</v>
      </c>
      <c r="M544" s="17">
        <v>0</v>
      </c>
      <c r="N544" s="17">
        <v>0</v>
      </c>
      <c r="O544" s="17">
        <f>M544+N544</f>
        <v>0</v>
      </c>
      <c r="P544" s="17">
        <v>162.09</v>
      </c>
      <c r="Q544" s="18">
        <v>428</v>
      </c>
      <c r="R544" s="17">
        <f>P544+ROUND(Q544, 2)</f>
        <v>590.09</v>
      </c>
      <c r="S544" s="17">
        <v>0</v>
      </c>
      <c r="T544" s="17">
        <v>0</v>
      </c>
      <c r="U544" s="17">
        <f>S544+T544</f>
        <v>0</v>
      </c>
    </row>
    <row r="545" spans="1:21" ht="36" x14ac:dyDescent="0.3">
      <c r="A545" s="10" t="s">
        <v>1804</v>
      </c>
      <c r="B545" s="10"/>
      <c r="C545" s="24" t="s">
        <v>1757</v>
      </c>
      <c r="D545" s="15"/>
      <c r="E545" s="15"/>
      <c r="F545" s="25" t="s">
        <v>278</v>
      </c>
      <c r="G545" s="26">
        <v>0.3</v>
      </c>
      <c r="H545" s="26"/>
      <c r="I545" s="26">
        <v>0</v>
      </c>
      <c r="J545" s="27">
        <v>1216.56</v>
      </c>
      <c r="M545" s="28">
        <f>ROUND(ROUND(J545, 2)*I545, 2)</f>
        <v>0</v>
      </c>
      <c r="P545" s="27">
        <v>495.9</v>
      </c>
      <c r="S545" s="28">
        <f>ROUND(ROUND(P545, 2)*I545, 2)</f>
        <v>0</v>
      </c>
    </row>
    <row r="546" spans="1:21" ht="18" x14ac:dyDescent="0.3">
      <c r="A546" s="10" t="s">
        <v>1807</v>
      </c>
      <c r="B546" s="10"/>
      <c r="C546" s="24" t="s">
        <v>1007</v>
      </c>
      <c r="D546" s="15"/>
      <c r="E546" s="15"/>
      <c r="F546" s="25" t="s">
        <v>278</v>
      </c>
      <c r="G546" s="26">
        <v>0.15</v>
      </c>
      <c r="H546" s="26"/>
      <c r="I546" s="26">
        <v>0</v>
      </c>
      <c r="J546" s="27">
        <v>88.8</v>
      </c>
      <c r="M546" s="28">
        <f>ROUND(ROUND(J546, 2)*I546, 2)</f>
        <v>0</v>
      </c>
      <c r="P546" s="27">
        <v>88.8</v>
      </c>
      <c r="S546" s="28">
        <f>ROUND(ROUND(P546, 2)*I546, 2)</f>
        <v>0</v>
      </c>
    </row>
    <row r="547" spans="1:21" ht="73.05" customHeight="1" x14ac:dyDescent="0.3">
      <c r="A547" s="10" t="s">
        <v>1810</v>
      </c>
      <c r="B547" s="10" t="s">
        <v>1749</v>
      </c>
      <c r="C547" s="14" t="s">
        <v>1750</v>
      </c>
      <c r="D547" s="15"/>
      <c r="E547" s="15" t="s">
        <v>1811</v>
      </c>
      <c r="F547" s="15" t="s">
        <v>62</v>
      </c>
      <c r="G547" s="16">
        <v>1</v>
      </c>
      <c r="H547" s="16"/>
      <c r="I547" s="16">
        <v>276</v>
      </c>
      <c r="J547" s="17">
        <v>378.29</v>
      </c>
      <c r="K547" s="18">
        <v>428</v>
      </c>
      <c r="L547" s="17">
        <f>J547+ROUND(K547, 2)</f>
        <v>806.29</v>
      </c>
      <c r="M547" s="17">
        <v>104408.04</v>
      </c>
      <c r="N547" s="17">
        <v>118128</v>
      </c>
      <c r="O547" s="17">
        <f>M547+N547</f>
        <v>222536.03999999998</v>
      </c>
      <c r="P547" s="17">
        <v>162.09</v>
      </c>
      <c r="Q547" s="18">
        <v>642</v>
      </c>
      <c r="R547" s="17">
        <f>P547+ROUND(Q547, 2)</f>
        <v>804.09</v>
      </c>
      <c r="S547" s="17">
        <v>44736.84</v>
      </c>
      <c r="T547" s="17">
        <v>177192</v>
      </c>
      <c r="U547" s="17">
        <f>S547+T547</f>
        <v>221928.84</v>
      </c>
    </row>
    <row r="548" spans="1:21" ht="18" x14ac:dyDescent="0.3">
      <c r="A548" s="10" t="s">
        <v>1812</v>
      </c>
      <c r="B548" s="10"/>
      <c r="C548" s="24" t="s">
        <v>1007</v>
      </c>
      <c r="D548" s="15"/>
      <c r="E548" s="15"/>
      <c r="F548" s="25" t="s">
        <v>278</v>
      </c>
      <c r="G548" s="26">
        <v>0.15</v>
      </c>
      <c r="H548" s="26"/>
      <c r="I548" s="26">
        <v>41.4</v>
      </c>
      <c r="J548" s="27">
        <v>88.8</v>
      </c>
      <c r="M548" s="28">
        <f>ROUND(ROUND(J548, 2)*I548, 2)</f>
        <v>3676.32</v>
      </c>
      <c r="P548" s="27">
        <v>88.8</v>
      </c>
      <c r="S548" s="28">
        <f>ROUND(ROUND(P548, 2)*I548, 2)</f>
        <v>3676.32</v>
      </c>
    </row>
    <row r="549" spans="1:21" ht="36" x14ac:dyDescent="0.3">
      <c r="A549" s="10" t="s">
        <v>1815</v>
      </c>
      <c r="B549" s="10"/>
      <c r="C549" s="24" t="s">
        <v>1757</v>
      </c>
      <c r="D549" s="15"/>
      <c r="E549" s="15"/>
      <c r="F549" s="25" t="s">
        <v>278</v>
      </c>
      <c r="G549" s="26">
        <v>0.3</v>
      </c>
      <c r="H549" s="26"/>
      <c r="I549" s="26">
        <v>82.8</v>
      </c>
      <c r="J549" s="27">
        <v>1216.56</v>
      </c>
      <c r="M549" s="28">
        <f>ROUND(ROUND(J549, 2)*I549, 2)</f>
        <v>100731.17</v>
      </c>
      <c r="P549" s="27">
        <v>495.9</v>
      </c>
      <c r="S549" s="28">
        <f>ROUND(ROUND(P549, 2)*I549, 2)</f>
        <v>41060.519999999997</v>
      </c>
    </row>
    <row r="550" spans="1:21" ht="73.05" customHeight="1" x14ac:dyDescent="0.3">
      <c r="A550" s="10" t="s">
        <v>1818</v>
      </c>
      <c r="B550" s="10" t="s">
        <v>1749</v>
      </c>
      <c r="C550" s="14" t="s">
        <v>1750</v>
      </c>
      <c r="D550" s="15"/>
      <c r="E550" s="15" t="s">
        <v>1819</v>
      </c>
      <c r="F550" s="15" t="s">
        <v>62</v>
      </c>
      <c r="G550" s="16">
        <v>1</v>
      </c>
      <c r="H550" s="16"/>
      <c r="I550" s="16">
        <v>224.5</v>
      </c>
      <c r="J550" s="17">
        <v>378.29</v>
      </c>
      <c r="K550" s="18">
        <v>428</v>
      </c>
      <c r="L550" s="17">
        <f>J550+ROUND(K550, 2)</f>
        <v>806.29</v>
      </c>
      <c r="M550" s="17">
        <v>84926.11</v>
      </c>
      <c r="N550" s="17">
        <v>96086</v>
      </c>
      <c r="O550" s="17">
        <f>M550+N550</f>
        <v>181012.11</v>
      </c>
      <c r="P550" s="17">
        <v>162.09</v>
      </c>
      <c r="Q550" s="18">
        <v>642</v>
      </c>
      <c r="R550" s="17">
        <f>P550+ROUND(Q550, 2)</f>
        <v>804.09</v>
      </c>
      <c r="S550" s="17">
        <v>36389.21</v>
      </c>
      <c r="T550" s="17">
        <v>144129</v>
      </c>
      <c r="U550" s="17">
        <f>S550+T550</f>
        <v>180518.21</v>
      </c>
    </row>
    <row r="551" spans="1:21" ht="36" x14ac:dyDescent="0.3">
      <c r="A551" s="10" t="s">
        <v>1820</v>
      </c>
      <c r="B551" s="10"/>
      <c r="C551" s="24" t="s">
        <v>1757</v>
      </c>
      <c r="D551" s="15"/>
      <c r="E551" s="15"/>
      <c r="F551" s="25" t="s">
        <v>278</v>
      </c>
      <c r="G551" s="26">
        <v>0.3</v>
      </c>
      <c r="H551" s="26"/>
      <c r="I551" s="26">
        <v>67.349999999999994</v>
      </c>
      <c r="J551" s="27">
        <v>1216.56</v>
      </c>
      <c r="M551" s="28">
        <f>ROUND(ROUND(J551, 2)*I551, 2)</f>
        <v>81935.320000000007</v>
      </c>
      <c r="P551" s="27">
        <v>495.9</v>
      </c>
      <c r="S551" s="28">
        <f>ROUND(ROUND(P551, 2)*I551, 2)</f>
        <v>33398.870000000003</v>
      </c>
    </row>
    <row r="552" spans="1:21" ht="18" x14ac:dyDescent="0.3">
      <c r="A552" s="10" t="s">
        <v>1823</v>
      </c>
      <c r="B552" s="10"/>
      <c r="C552" s="24" t="s">
        <v>1007</v>
      </c>
      <c r="D552" s="15"/>
      <c r="E552" s="15"/>
      <c r="F552" s="25" t="s">
        <v>278</v>
      </c>
      <c r="G552" s="26">
        <v>0.15</v>
      </c>
      <c r="H552" s="26"/>
      <c r="I552" s="26">
        <v>33.674999999999997</v>
      </c>
      <c r="J552" s="27">
        <v>88.8</v>
      </c>
      <c r="M552" s="28">
        <f>ROUND(ROUND(J552, 2)*I552, 2)</f>
        <v>2990.34</v>
      </c>
      <c r="P552" s="27">
        <v>88.8</v>
      </c>
      <c r="S552" s="28">
        <f>ROUND(ROUND(P552, 2)*I552, 2)</f>
        <v>2990.34</v>
      </c>
    </row>
    <row r="553" spans="1:21" ht="79.95" customHeight="1" x14ac:dyDescent="0.3">
      <c r="A553" s="10" t="s">
        <v>1826</v>
      </c>
      <c r="B553" s="10" t="s">
        <v>1749</v>
      </c>
      <c r="C553" s="14" t="s">
        <v>1750</v>
      </c>
      <c r="D553" s="15"/>
      <c r="E553" s="15" t="s">
        <v>1827</v>
      </c>
      <c r="F553" s="15" t="s">
        <v>62</v>
      </c>
      <c r="G553" s="16">
        <v>1</v>
      </c>
      <c r="H553" s="16"/>
      <c r="I553" s="16">
        <v>180</v>
      </c>
      <c r="J553" s="17">
        <v>378.29</v>
      </c>
      <c r="K553" s="18">
        <v>428</v>
      </c>
      <c r="L553" s="17">
        <f>J553+ROUND(K553, 2)</f>
        <v>806.29</v>
      </c>
      <c r="M553" s="17">
        <v>68092.2</v>
      </c>
      <c r="N553" s="17">
        <v>77040</v>
      </c>
      <c r="O553" s="17">
        <f>M553+N553</f>
        <v>145132.20000000001</v>
      </c>
      <c r="P553" s="17">
        <v>162.09</v>
      </c>
      <c r="Q553" s="18">
        <v>642</v>
      </c>
      <c r="R553" s="17">
        <f>P553+ROUND(Q553, 2)</f>
        <v>804.09</v>
      </c>
      <c r="S553" s="17">
        <v>29176.2</v>
      </c>
      <c r="T553" s="17">
        <v>115560</v>
      </c>
      <c r="U553" s="17">
        <f>S553+T553</f>
        <v>144736.20000000001</v>
      </c>
    </row>
    <row r="554" spans="1:21" ht="18" x14ac:dyDescent="0.3">
      <c r="A554" s="10" t="s">
        <v>1828</v>
      </c>
      <c r="B554" s="10"/>
      <c r="C554" s="24" t="s">
        <v>1007</v>
      </c>
      <c r="D554" s="15"/>
      <c r="E554" s="15"/>
      <c r="F554" s="25" t="s">
        <v>278</v>
      </c>
      <c r="G554" s="26">
        <v>0.15</v>
      </c>
      <c r="H554" s="26"/>
      <c r="I554" s="26">
        <v>27</v>
      </c>
      <c r="J554" s="27">
        <v>88.8</v>
      </c>
      <c r="M554" s="28">
        <f>ROUND(ROUND(J554, 2)*I554, 2)</f>
        <v>2397.6</v>
      </c>
      <c r="P554" s="27">
        <v>88.8</v>
      </c>
      <c r="S554" s="28">
        <f>ROUND(ROUND(P554, 2)*I554, 2)</f>
        <v>2397.6</v>
      </c>
    </row>
    <row r="555" spans="1:21" ht="36" x14ac:dyDescent="0.3">
      <c r="A555" s="10" t="s">
        <v>1831</v>
      </c>
      <c r="B555" s="10"/>
      <c r="C555" s="24" t="s">
        <v>1757</v>
      </c>
      <c r="D555" s="15"/>
      <c r="E555" s="15"/>
      <c r="F555" s="25" t="s">
        <v>278</v>
      </c>
      <c r="G555" s="26">
        <v>0.3</v>
      </c>
      <c r="H555" s="26"/>
      <c r="I555" s="26">
        <v>54</v>
      </c>
      <c r="J555" s="27">
        <v>1216.56</v>
      </c>
      <c r="M555" s="28">
        <f>ROUND(ROUND(J555, 2)*I555, 2)</f>
        <v>65694.240000000005</v>
      </c>
      <c r="P555" s="27">
        <v>495.9</v>
      </c>
      <c r="S555" s="28">
        <f>ROUND(ROUND(P555, 2)*I555, 2)</f>
        <v>26778.6</v>
      </c>
    </row>
    <row r="556" spans="1:21" ht="69" customHeight="1" x14ac:dyDescent="0.3">
      <c r="A556" s="10" t="s">
        <v>1834</v>
      </c>
      <c r="B556" s="10" t="s">
        <v>1749</v>
      </c>
      <c r="C556" s="14" t="s">
        <v>1750</v>
      </c>
      <c r="D556" s="15"/>
      <c r="E556" s="15" t="s">
        <v>1835</v>
      </c>
      <c r="F556" s="15" t="s">
        <v>62</v>
      </c>
      <c r="G556" s="16">
        <v>1</v>
      </c>
      <c r="H556" s="16"/>
      <c r="I556" s="16">
        <v>1285.3</v>
      </c>
      <c r="J556" s="17">
        <v>378.29</v>
      </c>
      <c r="K556" s="18">
        <v>428</v>
      </c>
      <c r="L556" s="17">
        <f>J556+ROUND(K556, 2)</f>
        <v>806.29</v>
      </c>
      <c r="M556" s="17">
        <v>486216.14</v>
      </c>
      <c r="N556" s="17">
        <v>550108.4</v>
      </c>
      <c r="O556" s="17">
        <f>M556+N556</f>
        <v>1036324.54</v>
      </c>
      <c r="P556" s="17">
        <v>162.09</v>
      </c>
      <c r="Q556" s="18">
        <v>642</v>
      </c>
      <c r="R556" s="17">
        <f>P556+ROUND(Q556, 2)</f>
        <v>804.09</v>
      </c>
      <c r="S556" s="17">
        <v>208334.28</v>
      </c>
      <c r="T556" s="17">
        <v>825162.6</v>
      </c>
      <c r="U556" s="17">
        <f>S556+T556</f>
        <v>1033496.88</v>
      </c>
    </row>
    <row r="557" spans="1:21" ht="36" x14ac:dyDescent="0.3">
      <c r="A557" s="10" t="s">
        <v>1836</v>
      </c>
      <c r="B557" s="10"/>
      <c r="C557" s="24" t="s">
        <v>1757</v>
      </c>
      <c r="D557" s="15"/>
      <c r="E557" s="15"/>
      <c r="F557" s="25" t="s">
        <v>278</v>
      </c>
      <c r="G557" s="26">
        <v>0.3</v>
      </c>
      <c r="H557" s="26"/>
      <c r="I557" s="26">
        <v>385.59</v>
      </c>
      <c r="J557" s="27">
        <v>1216.56</v>
      </c>
      <c r="M557" s="28">
        <f>ROUND(ROUND(J557, 2)*I557, 2)</f>
        <v>469093.37</v>
      </c>
      <c r="P557" s="27">
        <v>495.9</v>
      </c>
      <c r="S557" s="28">
        <f>ROUND(ROUND(P557, 2)*I557, 2)</f>
        <v>191214.07999999999</v>
      </c>
    </row>
    <row r="558" spans="1:21" ht="18" x14ac:dyDescent="0.3">
      <c r="A558" s="10" t="s">
        <v>1839</v>
      </c>
      <c r="B558" s="10"/>
      <c r="C558" s="24" t="s">
        <v>1007</v>
      </c>
      <c r="D558" s="15"/>
      <c r="E558" s="15"/>
      <c r="F558" s="25" t="s">
        <v>278</v>
      </c>
      <c r="G558" s="26">
        <v>0.15</v>
      </c>
      <c r="H558" s="26"/>
      <c r="I558" s="26">
        <v>192.79499999999999</v>
      </c>
      <c r="J558" s="27">
        <v>88.8</v>
      </c>
      <c r="M558" s="28">
        <f>ROUND(ROUND(J558, 2)*I558, 2)</f>
        <v>17120.2</v>
      </c>
      <c r="P558" s="27">
        <v>88.8</v>
      </c>
      <c r="S558" s="28">
        <f>ROUND(ROUND(P558, 2)*I558, 2)</f>
        <v>17120.2</v>
      </c>
    </row>
    <row r="559" spans="1:21" ht="73.95" customHeight="1" x14ac:dyDescent="0.3">
      <c r="A559" s="10" t="s">
        <v>1842</v>
      </c>
      <c r="B559" s="10" t="s">
        <v>1749</v>
      </c>
      <c r="C559" s="14" t="s">
        <v>1750</v>
      </c>
      <c r="D559" s="15"/>
      <c r="E559" s="15" t="s">
        <v>1843</v>
      </c>
      <c r="F559" s="15" t="s">
        <v>62</v>
      </c>
      <c r="G559" s="16">
        <v>1</v>
      </c>
      <c r="H559" s="16"/>
      <c r="I559" s="16">
        <v>101.4</v>
      </c>
      <c r="J559" s="17">
        <v>378.29</v>
      </c>
      <c r="K559" s="18">
        <v>428</v>
      </c>
      <c r="L559" s="17">
        <f>J559+ROUND(K559, 2)</f>
        <v>806.29</v>
      </c>
      <c r="M559" s="17">
        <v>38358.61</v>
      </c>
      <c r="N559" s="17">
        <v>43399.199999999997</v>
      </c>
      <c r="O559" s="17">
        <f>M559+N559</f>
        <v>81757.81</v>
      </c>
      <c r="P559" s="17">
        <v>162.09</v>
      </c>
      <c r="Q559" s="18">
        <v>642</v>
      </c>
      <c r="R559" s="17">
        <f>P559+ROUND(Q559, 2)</f>
        <v>804.09</v>
      </c>
      <c r="S559" s="17">
        <v>16435.93</v>
      </c>
      <c r="T559" s="17">
        <v>65098.8</v>
      </c>
      <c r="U559" s="17">
        <f>S559+T559</f>
        <v>81534.73000000001</v>
      </c>
    </row>
    <row r="560" spans="1:21" ht="18" x14ac:dyDescent="0.3">
      <c r="A560" s="10" t="s">
        <v>1844</v>
      </c>
      <c r="B560" s="10"/>
      <c r="C560" s="24" t="s">
        <v>1007</v>
      </c>
      <c r="D560" s="15"/>
      <c r="E560" s="15"/>
      <c r="F560" s="25" t="s">
        <v>278</v>
      </c>
      <c r="G560" s="26">
        <v>0.15</v>
      </c>
      <c r="H560" s="26"/>
      <c r="I560" s="26">
        <v>15.21</v>
      </c>
      <c r="J560" s="27">
        <v>88.8</v>
      </c>
      <c r="M560" s="28">
        <f>ROUND(ROUND(J560, 2)*I560, 2)</f>
        <v>1350.65</v>
      </c>
      <c r="P560" s="27">
        <v>88.8</v>
      </c>
      <c r="S560" s="28">
        <f>ROUND(ROUND(P560, 2)*I560, 2)</f>
        <v>1350.65</v>
      </c>
    </row>
    <row r="561" spans="1:21" ht="36" x14ac:dyDescent="0.3">
      <c r="A561" s="10" t="s">
        <v>1847</v>
      </c>
      <c r="B561" s="10"/>
      <c r="C561" s="24" t="s">
        <v>1757</v>
      </c>
      <c r="D561" s="15"/>
      <c r="E561" s="15"/>
      <c r="F561" s="25" t="s">
        <v>278</v>
      </c>
      <c r="G561" s="26">
        <v>0.3</v>
      </c>
      <c r="H561" s="26"/>
      <c r="I561" s="26">
        <v>30.42</v>
      </c>
      <c r="J561" s="27">
        <v>1216.56</v>
      </c>
      <c r="M561" s="28">
        <f>ROUND(ROUND(J561, 2)*I561, 2)</f>
        <v>37007.760000000002</v>
      </c>
      <c r="P561" s="27">
        <v>495.9</v>
      </c>
      <c r="S561" s="28">
        <f>ROUND(ROUND(P561, 2)*I561, 2)</f>
        <v>15085.28</v>
      </c>
    </row>
    <row r="562" spans="1:21" ht="78" customHeight="1" x14ac:dyDescent="0.3">
      <c r="A562" s="10" t="s">
        <v>1850</v>
      </c>
      <c r="B562" s="10" t="s">
        <v>1749</v>
      </c>
      <c r="C562" s="14" t="s">
        <v>1750</v>
      </c>
      <c r="D562" s="15"/>
      <c r="E562" s="15" t="s">
        <v>1851</v>
      </c>
      <c r="F562" s="15" t="s">
        <v>62</v>
      </c>
      <c r="G562" s="16">
        <v>1</v>
      </c>
      <c r="H562" s="16"/>
      <c r="I562" s="16">
        <v>23.1</v>
      </c>
      <c r="J562" s="17">
        <v>378.29</v>
      </c>
      <c r="K562" s="18">
        <v>428</v>
      </c>
      <c r="L562" s="17">
        <f>J562+ROUND(K562, 2)</f>
        <v>806.29</v>
      </c>
      <c r="M562" s="17">
        <v>8738.5</v>
      </c>
      <c r="N562" s="17">
        <v>9886.7999999999993</v>
      </c>
      <c r="O562" s="17">
        <f>M562+N562</f>
        <v>18625.3</v>
      </c>
      <c r="P562" s="17">
        <v>162.09</v>
      </c>
      <c r="Q562" s="18">
        <v>642</v>
      </c>
      <c r="R562" s="17">
        <f>P562+ROUND(Q562, 2)</f>
        <v>804.09</v>
      </c>
      <c r="S562" s="17">
        <v>3744.28</v>
      </c>
      <c r="T562" s="17">
        <v>14830.2</v>
      </c>
      <c r="U562" s="17">
        <f>S562+T562</f>
        <v>18574.48</v>
      </c>
    </row>
    <row r="563" spans="1:21" ht="36" x14ac:dyDescent="0.3">
      <c r="A563" s="10" t="s">
        <v>1852</v>
      </c>
      <c r="B563" s="10"/>
      <c r="C563" s="24" t="s">
        <v>1757</v>
      </c>
      <c r="D563" s="15"/>
      <c r="E563" s="15"/>
      <c r="F563" s="25" t="s">
        <v>278</v>
      </c>
      <c r="G563" s="26">
        <v>0.3</v>
      </c>
      <c r="H563" s="26"/>
      <c r="I563" s="26">
        <v>6.93</v>
      </c>
      <c r="J563" s="27">
        <v>1216.56</v>
      </c>
      <c r="M563" s="28">
        <f>ROUND(ROUND(J563, 2)*I563, 2)</f>
        <v>8430.76</v>
      </c>
      <c r="P563" s="27">
        <v>495.9</v>
      </c>
      <c r="S563" s="28">
        <f>ROUND(ROUND(P563, 2)*I563, 2)</f>
        <v>3436.59</v>
      </c>
    </row>
    <row r="564" spans="1:21" ht="18" x14ac:dyDescent="0.3">
      <c r="A564" s="10" t="s">
        <v>1855</v>
      </c>
      <c r="B564" s="10"/>
      <c r="C564" s="24" t="s">
        <v>1007</v>
      </c>
      <c r="D564" s="15"/>
      <c r="E564" s="15"/>
      <c r="F564" s="25" t="s">
        <v>278</v>
      </c>
      <c r="G564" s="26">
        <v>0.15</v>
      </c>
      <c r="H564" s="26"/>
      <c r="I564" s="26">
        <v>3.4649999999999999</v>
      </c>
      <c r="J564" s="27">
        <v>88.8</v>
      </c>
      <c r="M564" s="28">
        <f>ROUND(ROUND(J564, 2)*I564, 2)</f>
        <v>307.69</v>
      </c>
      <c r="P564" s="27">
        <v>88.8</v>
      </c>
      <c r="S564" s="28">
        <f>ROUND(ROUND(P564, 2)*I564, 2)</f>
        <v>307.69</v>
      </c>
    </row>
    <row r="565" spans="1:21" ht="79.95" customHeight="1" x14ac:dyDescent="0.3">
      <c r="A565" s="10" t="s">
        <v>1858</v>
      </c>
      <c r="B565" s="10" t="s">
        <v>1749</v>
      </c>
      <c r="C565" s="14" t="s">
        <v>1750</v>
      </c>
      <c r="D565" s="15"/>
      <c r="E565" s="15" t="s">
        <v>1859</v>
      </c>
      <c r="F565" s="15" t="s">
        <v>62</v>
      </c>
      <c r="G565" s="16">
        <v>1</v>
      </c>
      <c r="H565" s="16"/>
      <c r="I565" s="16">
        <v>18.5</v>
      </c>
      <c r="J565" s="17">
        <v>378.29</v>
      </c>
      <c r="K565" s="18">
        <v>428</v>
      </c>
      <c r="L565" s="17">
        <f>J565+ROUND(K565, 2)</f>
        <v>806.29</v>
      </c>
      <c r="M565" s="17">
        <v>6998.37</v>
      </c>
      <c r="N565" s="17">
        <v>7918</v>
      </c>
      <c r="O565" s="17">
        <f>M565+N565</f>
        <v>14916.369999999999</v>
      </c>
      <c r="P565" s="17">
        <v>162.09</v>
      </c>
      <c r="Q565" s="18">
        <v>642</v>
      </c>
      <c r="R565" s="17">
        <f>P565+ROUND(Q565, 2)</f>
        <v>804.09</v>
      </c>
      <c r="S565" s="17">
        <v>2998.67</v>
      </c>
      <c r="T565" s="17">
        <v>11877</v>
      </c>
      <c r="U565" s="17">
        <f>S565+T565</f>
        <v>14875.67</v>
      </c>
    </row>
    <row r="566" spans="1:21" ht="18" x14ac:dyDescent="0.3">
      <c r="A566" s="10" t="s">
        <v>1860</v>
      </c>
      <c r="B566" s="10"/>
      <c r="C566" s="24" t="s">
        <v>1007</v>
      </c>
      <c r="D566" s="15"/>
      <c r="E566" s="15"/>
      <c r="F566" s="25" t="s">
        <v>278</v>
      </c>
      <c r="G566" s="26">
        <v>0.15</v>
      </c>
      <c r="H566" s="26"/>
      <c r="I566" s="26">
        <v>2.7749999999999999</v>
      </c>
      <c r="J566" s="27">
        <v>88.8</v>
      </c>
      <c r="M566" s="28">
        <f>ROUND(ROUND(J566, 2)*I566, 2)</f>
        <v>246.42</v>
      </c>
      <c r="P566" s="27">
        <v>88.8</v>
      </c>
      <c r="S566" s="28">
        <f>ROUND(ROUND(P566, 2)*I566, 2)</f>
        <v>246.42</v>
      </c>
    </row>
    <row r="567" spans="1:21" ht="36" x14ac:dyDescent="0.3">
      <c r="A567" s="10" t="s">
        <v>1863</v>
      </c>
      <c r="B567" s="10"/>
      <c r="C567" s="24" t="s">
        <v>1757</v>
      </c>
      <c r="D567" s="15"/>
      <c r="E567" s="15"/>
      <c r="F567" s="25" t="s">
        <v>278</v>
      </c>
      <c r="G567" s="26">
        <v>0.3</v>
      </c>
      <c r="H567" s="26"/>
      <c r="I567" s="26">
        <v>5.55</v>
      </c>
      <c r="J567" s="27">
        <v>1216.56</v>
      </c>
      <c r="M567" s="28">
        <f>ROUND(ROUND(J567, 2)*I567, 2)</f>
        <v>6751.91</v>
      </c>
      <c r="P567" s="27">
        <v>495.9</v>
      </c>
      <c r="S567" s="28">
        <f>ROUND(ROUND(P567, 2)*I567, 2)</f>
        <v>2752.25</v>
      </c>
    </row>
    <row r="568" spans="1:21" ht="36" x14ac:dyDescent="0.3">
      <c r="A568" s="10" t="s">
        <v>1866</v>
      </c>
      <c r="B568" s="10" t="s">
        <v>1749</v>
      </c>
      <c r="C568" s="14" t="s">
        <v>1750</v>
      </c>
      <c r="D568" s="15"/>
      <c r="E568" s="15" t="s">
        <v>1867</v>
      </c>
      <c r="F568" s="15" t="s">
        <v>62</v>
      </c>
      <c r="G568" s="16">
        <v>1</v>
      </c>
      <c r="H568" s="16"/>
      <c r="I568" s="16">
        <v>253.5</v>
      </c>
      <c r="J568" s="17">
        <v>378.29</v>
      </c>
      <c r="K568" s="18">
        <v>428</v>
      </c>
      <c r="L568" s="17">
        <f>J568+ROUND(K568, 2)</f>
        <v>806.29</v>
      </c>
      <c r="M568" s="17">
        <v>95896.52</v>
      </c>
      <c r="N568" s="17">
        <v>108498</v>
      </c>
      <c r="O568" s="17">
        <f>M568+N568</f>
        <v>204394.52000000002</v>
      </c>
      <c r="P568" s="17">
        <v>162.09</v>
      </c>
      <c r="Q568" s="18">
        <v>642</v>
      </c>
      <c r="R568" s="17">
        <f>P568+ROUND(Q568, 2)</f>
        <v>804.09</v>
      </c>
      <c r="S568" s="17">
        <v>41089.82</v>
      </c>
      <c r="T568" s="17">
        <v>162747</v>
      </c>
      <c r="U568" s="17">
        <f>S568+T568</f>
        <v>203836.82</v>
      </c>
    </row>
    <row r="569" spans="1:21" ht="36" x14ac:dyDescent="0.3">
      <c r="A569" s="10" t="s">
        <v>1868</v>
      </c>
      <c r="B569" s="10"/>
      <c r="C569" s="24" t="s">
        <v>1757</v>
      </c>
      <c r="D569" s="15"/>
      <c r="E569" s="15"/>
      <c r="F569" s="25" t="s">
        <v>278</v>
      </c>
      <c r="G569" s="26">
        <v>0.3</v>
      </c>
      <c r="H569" s="26"/>
      <c r="I569" s="26">
        <v>76.05</v>
      </c>
      <c r="J569" s="27">
        <v>1216.56</v>
      </c>
      <c r="M569" s="28">
        <f>ROUND(ROUND(J569, 2)*I569, 2)</f>
        <v>92519.39</v>
      </c>
      <c r="P569" s="27">
        <v>495.9</v>
      </c>
      <c r="S569" s="28">
        <f>ROUND(ROUND(P569, 2)*I569, 2)</f>
        <v>37713.199999999997</v>
      </c>
    </row>
    <row r="570" spans="1:21" ht="18" x14ac:dyDescent="0.3">
      <c r="A570" s="10" t="s">
        <v>1871</v>
      </c>
      <c r="B570" s="10"/>
      <c r="C570" s="24" t="s">
        <v>1007</v>
      </c>
      <c r="D570" s="15"/>
      <c r="E570" s="15"/>
      <c r="F570" s="25" t="s">
        <v>278</v>
      </c>
      <c r="G570" s="26">
        <v>0.15</v>
      </c>
      <c r="H570" s="26"/>
      <c r="I570" s="26">
        <v>38.024999999999999</v>
      </c>
      <c r="J570" s="27">
        <v>88.8</v>
      </c>
      <c r="M570" s="28">
        <f>ROUND(ROUND(J570, 2)*I570, 2)</f>
        <v>3376.62</v>
      </c>
      <c r="P570" s="27">
        <v>88.8</v>
      </c>
      <c r="S570" s="28">
        <f>ROUND(ROUND(P570, 2)*I570, 2)</f>
        <v>3376.62</v>
      </c>
    </row>
    <row r="571" spans="1:21" ht="76.95" customHeight="1" x14ac:dyDescent="0.3">
      <c r="A571" s="10" t="s">
        <v>1874</v>
      </c>
      <c r="B571" s="10" t="s">
        <v>1749</v>
      </c>
      <c r="C571" s="14" t="s">
        <v>1750</v>
      </c>
      <c r="D571" s="15"/>
      <c r="E571" s="15" t="s">
        <v>1875</v>
      </c>
      <c r="F571" s="15" t="s">
        <v>62</v>
      </c>
      <c r="G571" s="16">
        <v>1</v>
      </c>
      <c r="H571" s="16"/>
      <c r="I571" s="16">
        <v>9391.9419999999991</v>
      </c>
      <c r="J571" s="17">
        <f>IFERROR(ROUND(SUM(M572,M573)/I571, 2),0)</f>
        <v>65.56</v>
      </c>
      <c r="K571" s="18">
        <v>428</v>
      </c>
      <c r="L571" s="17">
        <f>J571+ROUND(K571, 2)</f>
        <v>493.56</v>
      </c>
      <c r="M571" s="17">
        <f>ROUND(J571*I571, 2)</f>
        <v>615735.72</v>
      </c>
      <c r="N571" s="17">
        <f>ROUND(I571*ROUND(K571, 2), 2)</f>
        <v>4019751.18</v>
      </c>
      <c r="O571" s="17">
        <f>M571+N571</f>
        <v>4635486.9000000004</v>
      </c>
      <c r="P571" s="17">
        <f>IFERROR(ROUND(SUM(S572,S573)/I571, 2),0)</f>
        <v>78.69</v>
      </c>
      <c r="Q571" s="19">
        <v>642</v>
      </c>
      <c r="R571" s="17">
        <f>P571+ROUND(Q571, 2)</f>
        <v>720.69</v>
      </c>
      <c r="S571" s="17">
        <f>ROUND(P571*I571, 2)</f>
        <v>739051.92</v>
      </c>
      <c r="T571" s="17">
        <f>ROUND(I571*ROUND(Q571, 2), 2)</f>
        <v>6029626.7599999998</v>
      </c>
      <c r="U571" s="17">
        <f>S571+T571</f>
        <v>6768678.6799999997</v>
      </c>
    </row>
    <row r="572" spans="1:21" ht="36" x14ac:dyDescent="0.3">
      <c r="A572" s="10" t="s">
        <v>1876</v>
      </c>
      <c r="B572" s="10"/>
      <c r="C572" s="24" t="s">
        <v>1877</v>
      </c>
      <c r="D572" s="15"/>
      <c r="E572" s="15" t="s">
        <v>1878</v>
      </c>
      <c r="F572" s="25" t="s">
        <v>278</v>
      </c>
      <c r="G572" s="26">
        <v>0.3</v>
      </c>
      <c r="H572" s="26"/>
      <c r="I572" s="26">
        <v>2817.5830000000001</v>
      </c>
      <c r="J572" s="27">
        <v>173.4</v>
      </c>
      <c r="M572" s="28">
        <f>ROUND(ROUND(J572, 2)*I572, 2)</f>
        <v>488568.89</v>
      </c>
      <c r="P572" s="29">
        <v>212.3</v>
      </c>
      <c r="S572" s="28">
        <f>ROUND(ROUND(P572, 2)*I572, 2)</f>
        <v>598172.87</v>
      </c>
    </row>
    <row r="573" spans="1:21" ht="18" x14ac:dyDescent="0.3">
      <c r="A573" s="10" t="s">
        <v>1882</v>
      </c>
      <c r="B573" s="10"/>
      <c r="C573" s="24" t="s">
        <v>1007</v>
      </c>
      <c r="D573" s="15"/>
      <c r="E573" s="15" t="s">
        <v>1883</v>
      </c>
      <c r="F573" s="25" t="s">
        <v>278</v>
      </c>
      <c r="G573" s="26">
        <v>0.15</v>
      </c>
      <c r="H573" s="26"/>
      <c r="I573" s="26">
        <v>1408.7909999999999</v>
      </c>
      <c r="J573" s="27">
        <v>90.28</v>
      </c>
      <c r="M573" s="28">
        <f>ROUND(ROUND(J573, 2)*I573, 2)</f>
        <v>127185.65</v>
      </c>
      <c r="P573" s="29">
        <v>100</v>
      </c>
      <c r="S573" s="28">
        <f>ROUND(ROUND(P573, 2)*I573, 2)</f>
        <v>140879.1</v>
      </c>
    </row>
    <row r="574" spans="1:21" ht="72" customHeight="1" x14ac:dyDescent="0.3">
      <c r="A574" s="10" t="s">
        <v>1886</v>
      </c>
      <c r="B574" s="10" t="s">
        <v>1749</v>
      </c>
      <c r="C574" s="14" t="s">
        <v>1750</v>
      </c>
      <c r="D574" s="15"/>
      <c r="E574" s="15" t="s">
        <v>1887</v>
      </c>
      <c r="F574" s="15" t="s">
        <v>62</v>
      </c>
      <c r="G574" s="16">
        <v>1</v>
      </c>
      <c r="H574" s="16"/>
      <c r="I574" s="16">
        <v>227.4</v>
      </c>
      <c r="J574" s="17">
        <f>IFERROR(ROUND(SUM(M575,M576)/I574, 2),0)</f>
        <v>65.56</v>
      </c>
      <c r="K574" s="18">
        <v>428</v>
      </c>
      <c r="L574" s="17">
        <f>J574+ROUND(K574, 2)</f>
        <v>493.56</v>
      </c>
      <c r="M574" s="17">
        <f>ROUND(J574*I574, 2)</f>
        <v>14908.34</v>
      </c>
      <c r="N574" s="17">
        <f>ROUND(I574*ROUND(K574, 2), 2)</f>
        <v>97327.2</v>
      </c>
      <c r="O574" s="17">
        <f>M574+N574</f>
        <v>112235.54</v>
      </c>
      <c r="P574" s="17">
        <f>IFERROR(ROUND(SUM(S575,S576)/I574, 2),0)</f>
        <v>178.33</v>
      </c>
      <c r="Q574" s="19">
        <v>642</v>
      </c>
      <c r="R574" s="17">
        <f>P574+ROUND(Q574, 2)</f>
        <v>820.33</v>
      </c>
      <c r="S574" s="17">
        <f>ROUND(P574*I574, 2)</f>
        <v>40552.239999999998</v>
      </c>
      <c r="T574" s="17">
        <f>ROUND(I574*ROUND(Q574, 2), 2)</f>
        <v>145990.79999999999</v>
      </c>
      <c r="U574" s="17">
        <f>S574+T574</f>
        <v>186543.03999999998</v>
      </c>
    </row>
    <row r="575" spans="1:21" ht="18" x14ac:dyDescent="0.3">
      <c r="A575" s="10" t="s">
        <v>1888</v>
      </c>
      <c r="B575" s="10"/>
      <c r="C575" s="24" t="s">
        <v>1007</v>
      </c>
      <c r="D575" s="15"/>
      <c r="E575" s="15" t="s">
        <v>1883</v>
      </c>
      <c r="F575" s="25" t="s">
        <v>278</v>
      </c>
      <c r="G575" s="26">
        <v>0.15</v>
      </c>
      <c r="H575" s="26"/>
      <c r="I575" s="26">
        <v>34.11</v>
      </c>
      <c r="J575" s="27">
        <v>90.28</v>
      </c>
      <c r="M575" s="28">
        <f>ROUND(ROUND(J575, 2)*I575, 2)</f>
        <v>3079.45</v>
      </c>
      <c r="P575" s="29">
        <v>100</v>
      </c>
      <c r="S575" s="28">
        <f>ROUND(ROUND(P575, 2)*I575, 2)</f>
        <v>3411</v>
      </c>
    </row>
    <row r="576" spans="1:21" ht="54" x14ac:dyDescent="0.3">
      <c r="A576" s="10" t="s">
        <v>1891</v>
      </c>
      <c r="B576" s="10"/>
      <c r="C576" s="24" t="s">
        <v>1877</v>
      </c>
      <c r="D576" s="15"/>
      <c r="E576" s="15" t="s">
        <v>1892</v>
      </c>
      <c r="F576" s="25" t="s">
        <v>278</v>
      </c>
      <c r="G576" s="26">
        <v>0.3</v>
      </c>
      <c r="H576" s="26"/>
      <c r="I576" s="26">
        <v>68.22</v>
      </c>
      <c r="J576" s="27">
        <v>173.4</v>
      </c>
      <c r="M576" s="28">
        <f>ROUND(ROUND(J576, 2)*I576, 2)</f>
        <v>11829.35</v>
      </c>
      <c r="P576" s="29">
        <v>544.44000000000005</v>
      </c>
      <c r="S576" s="28">
        <f>ROUND(ROUND(P576, 2)*I576, 2)</f>
        <v>37141.699999999997</v>
      </c>
    </row>
    <row r="577" spans="1:21" ht="69" customHeight="1" x14ac:dyDescent="0.3">
      <c r="A577" s="10" t="s">
        <v>1895</v>
      </c>
      <c r="B577" s="10" t="s">
        <v>1749</v>
      </c>
      <c r="C577" s="14" t="s">
        <v>1750</v>
      </c>
      <c r="D577" s="15"/>
      <c r="E577" s="15" t="s">
        <v>1896</v>
      </c>
      <c r="F577" s="15" t="s">
        <v>62</v>
      </c>
      <c r="G577" s="16">
        <v>1</v>
      </c>
      <c r="H577" s="16"/>
      <c r="I577" s="16">
        <v>185.9</v>
      </c>
      <c r="J577" s="17">
        <f>IFERROR(ROUND(SUM(M578,M579)/I577, 2),0)</f>
        <v>65.56</v>
      </c>
      <c r="K577" s="18">
        <v>428</v>
      </c>
      <c r="L577" s="17">
        <f>J577+ROUND(K577, 2)</f>
        <v>493.56</v>
      </c>
      <c r="M577" s="17">
        <f>ROUND(J577*I577, 2)</f>
        <v>12187.6</v>
      </c>
      <c r="N577" s="17">
        <f>ROUND(I577*ROUND(K577, 2), 2)</f>
        <v>79565.2</v>
      </c>
      <c r="O577" s="17">
        <f>M577+N577</f>
        <v>91752.8</v>
      </c>
      <c r="P577" s="17">
        <f>IFERROR(ROUND(SUM(S578,S579)/I577, 2),0)</f>
        <v>90.69</v>
      </c>
      <c r="Q577" s="19">
        <v>642</v>
      </c>
      <c r="R577" s="17">
        <f>P577+ROUND(Q577, 2)</f>
        <v>732.69</v>
      </c>
      <c r="S577" s="17">
        <f>ROUND(P577*I577, 2)</f>
        <v>16859.27</v>
      </c>
      <c r="T577" s="17">
        <f>ROUND(I577*ROUND(Q577, 2), 2)</f>
        <v>119347.8</v>
      </c>
      <c r="U577" s="17">
        <f>S577+T577</f>
        <v>136207.07</v>
      </c>
    </row>
    <row r="578" spans="1:21" ht="54" x14ac:dyDescent="0.3">
      <c r="A578" s="10" t="s">
        <v>1897</v>
      </c>
      <c r="B578" s="10"/>
      <c r="C578" s="24" t="s">
        <v>1877</v>
      </c>
      <c r="D578" s="15"/>
      <c r="E578" s="15" t="s">
        <v>1898</v>
      </c>
      <c r="F578" s="25" t="s">
        <v>278</v>
      </c>
      <c r="G578" s="26">
        <v>0.3</v>
      </c>
      <c r="H578" s="26"/>
      <c r="I578" s="26">
        <v>55.77</v>
      </c>
      <c r="J578" s="27">
        <v>173.4</v>
      </c>
      <c r="M578" s="28">
        <f>ROUND(ROUND(J578, 2)*I578, 2)</f>
        <v>9670.52</v>
      </c>
      <c r="P578" s="29">
        <v>252.3</v>
      </c>
      <c r="S578" s="28">
        <f>ROUND(ROUND(P578, 2)*I578, 2)</f>
        <v>14070.77</v>
      </c>
    </row>
    <row r="579" spans="1:21" ht="18" x14ac:dyDescent="0.3">
      <c r="A579" s="10" t="s">
        <v>1901</v>
      </c>
      <c r="B579" s="10"/>
      <c r="C579" s="24" t="s">
        <v>1007</v>
      </c>
      <c r="D579" s="15"/>
      <c r="E579" s="15" t="s">
        <v>1883</v>
      </c>
      <c r="F579" s="25" t="s">
        <v>278</v>
      </c>
      <c r="G579" s="26">
        <v>0.15</v>
      </c>
      <c r="H579" s="26"/>
      <c r="I579" s="26">
        <v>27.885000000000002</v>
      </c>
      <c r="J579" s="27">
        <v>90.28</v>
      </c>
      <c r="M579" s="28">
        <f>ROUND(ROUND(J579, 2)*I579, 2)</f>
        <v>2517.46</v>
      </c>
      <c r="P579" s="29">
        <v>100</v>
      </c>
      <c r="S579" s="28">
        <f>ROUND(ROUND(P579, 2)*I579, 2)</f>
        <v>2788.5</v>
      </c>
    </row>
    <row r="580" spans="1:21" ht="78" customHeight="1" x14ac:dyDescent="0.3">
      <c r="A580" s="10" t="s">
        <v>1904</v>
      </c>
      <c r="B580" s="10" t="s">
        <v>1749</v>
      </c>
      <c r="C580" s="14" t="s">
        <v>1750</v>
      </c>
      <c r="D580" s="15"/>
      <c r="E580" s="15" t="s">
        <v>1905</v>
      </c>
      <c r="F580" s="15" t="s">
        <v>62</v>
      </c>
      <c r="G580" s="16">
        <v>1</v>
      </c>
      <c r="H580" s="16"/>
      <c r="I580" s="16">
        <v>65.7</v>
      </c>
      <c r="J580" s="17">
        <f>IFERROR(ROUND(SUM(M581,M582)/I580, 2),0)</f>
        <v>65.56</v>
      </c>
      <c r="K580" s="18">
        <v>428</v>
      </c>
      <c r="L580" s="17">
        <f>J580+ROUND(K580, 2)</f>
        <v>493.56</v>
      </c>
      <c r="M580" s="17">
        <f>ROUND(J580*I580, 2)</f>
        <v>4307.29</v>
      </c>
      <c r="N580" s="17">
        <f>ROUND(I580*ROUND(K580, 2), 2)</f>
        <v>28119.599999999999</v>
      </c>
      <c r="O580" s="17">
        <f>M580+N580</f>
        <v>32426.89</v>
      </c>
      <c r="P580" s="17">
        <f>IFERROR(ROUND(SUM(S581,S582)/I580, 2),0)</f>
        <v>113.68</v>
      </c>
      <c r="Q580" s="19">
        <v>642</v>
      </c>
      <c r="R580" s="17">
        <f>P580+ROUND(Q580, 2)</f>
        <v>755.68000000000006</v>
      </c>
      <c r="S580" s="17">
        <f>ROUND(P580*I580, 2)</f>
        <v>7468.78</v>
      </c>
      <c r="T580" s="17">
        <f>ROUND(I580*ROUND(Q580, 2), 2)</f>
        <v>42179.4</v>
      </c>
      <c r="U580" s="17">
        <f>S580+T580</f>
        <v>49648.18</v>
      </c>
    </row>
    <row r="581" spans="1:21" ht="18" x14ac:dyDescent="0.3">
      <c r="A581" s="10" t="s">
        <v>1906</v>
      </c>
      <c r="B581" s="10"/>
      <c r="C581" s="24" t="s">
        <v>1007</v>
      </c>
      <c r="D581" s="15"/>
      <c r="E581" s="15" t="s">
        <v>1883</v>
      </c>
      <c r="F581" s="25" t="s">
        <v>278</v>
      </c>
      <c r="G581" s="26">
        <v>0.15</v>
      </c>
      <c r="H581" s="26"/>
      <c r="I581" s="26">
        <v>9.8550000000000004</v>
      </c>
      <c r="J581" s="27">
        <v>90.28</v>
      </c>
      <c r="M581" s="28">
        <f>ROUND(ROUND(J581, 2)*I581, 2)</f>
        <v>889.71</v>
      </c>
      <c r="P581" s="29">
        <v>100</v>
      </c>
      <c r="S581" s="28">
        <f>ROUND(ROUND(P581, 2)*I581, 2)</f>
        <v>985.5</v>
      </c>
    </row>
    <row r="582" spans="1:21" ht="36" x14ac:dyDescent="0.3">
      <c r="A582" s="10" t="s">
        <v>1909</v>
      </c>
      <c r="B582" s="10"/>
      <c r="C582" s="24" t="s">
        <v>1877</v>
      </c>
      <c r="D582" s="15"/>
      <c r="E582" s="15" t="s">
        <v>1910</v>
      </c>
      <c r="F582" s="25" t="s">
        <v>278</v>
      </c>
      <c r="G582" s="26">
        <v>0.3</v>
      </c>
      <c r="H582" s="26"/>
      <c r="I582" s="26">
        <v>19.71</v>
      </c>
      <c r="J582" s="27">
        <v>173.4</v>
      </c>
      <c r="M582" s="28">
        <f>ROUND(ROUND(J582, 2)*I582, 2)</f>
        <v>3417.71</v>
      </c>
      <c r="P582" s="29">
        <v>328.94</v>
      </c>
      <c r="S582" s="28">
        <f>ROUND(ROUND(P582, 2)*I582, 2)</f>
        <v>6483.41</v>
      </c>
    </row>
    <row r="583" spans="1:21" ht="72" customHeight="1" x14ac:dyDescent="0.3">
      <c r="A583" s="10" t="s">
        <v>1913</v>
      </c>
      <c r="B583" s="10" t="s">
        <v>1749</v>
      </c>
      <c r="C583" s="14" t="s">
        <v>1750</v>
      </c>
      <c r="D583" s="15"/>
      <c r="E583" s="15" t="s">
        <v>1914</v>
      </c>
      <c r="F583" s="15" t="s">
        <v>62</v>
      </c>
      <c r="G583" s="16">
        <v>1</v>
      </c>
      <c r="H583" s="16"/>
      <c r="I583" s="16">
        <v>33</v>
      </c>
      <c r="J583" s="17">
        <f>IFERROR(ROUND(SUM(M584,M585)/I583, 2),0)</f>
        <v>65.56</v>
      </c>
      <c r="K583" s="18">
        <v>428</v>
      </c>
      <c r="L583" s="17">
        <f>J583+ROUND(K583, 2)</f>
        <v>493.56</v>
      </c>
      <c r="M583" s="17">
        <f>ROUND(J583*I583, 2)</f>
        <v>2163.48</v>
      </c>
      <c r="N583" s="17">
        <f>ROUND(I583*ROUND(K583, 2), 2)</f>
        <v>14124</v>
      </c>
      <c r="O583" s="17">
        <f>M583+N583</f>
        <v>16287.48</v>
      </c>
      <c r="P583" s="17">
        <f>IFERROR(ROUND(SUM(S584,S585)/I583, 2),0)</f>
        <v>114.69</v>
      </c>
      <c r="Q583" s="19">
        <v>642</v>
      </c>
      <c r="R583" s="17">
        <f>P583+ROUND(Q583, 2)</f>
        <v>756.69</v>
      </c>
      <c r="S583" s="17">
        <f>ROUND(P583*I583, 2)</f>
        <v>3784.77</v>
      </c>
      <c r="T583" s="17">
        <f>ROUND(I583*ROUND(Q583, 2), 2)</f>
        <v>21186</v>
      </c>
      <c r="U583" s="17">
        <f>S583+T583</f>
        <v>24970.77</v>
      </c>
    </row>
    <row r="584" spans="1:21" ht="54" x14ac:dyDescent="0.3">
      <c r="A584" s="10" t="s">
        <v>1915</v>
      </c>
      <c r="B584" s="10"/>
      <c r="C584" s="24" t="s">
        <v>1877</v>
      </c>
      <c r="D584" s="15"/>
      <c r="E584" s="15" t="s">
        <v>1916</v>
      </c>
      <c r="F584" s="25" t="s">
        <v>278</v>
      </c>
      <c r="G584" s="26">
        <v>0.3</v>
      </c>
      <c r="H584" s="26"/>
      <c r="I584" s="26">
        <v>9.9</v>
      </c>
      <c r="J584" s="27">
        <v>173.4</v>
      </c>
      <c r="M584" s="28">
        <f>ROUND(ROUND(J584, 2)*I584, 2)</f>
        <v>1716.66</v>
      </c>
      <c r="P584" s="29">
        <v>332.3</v>
      </c>
      <c r="S584" s="28">
        <f>ROUND(ROUND(P584, 2)*I584, 2)</f>
        <v>3289.77</v>
      </c>
    </row>
    <row r="585" spans="1:21" ht="18" x14ac:dyDescent="0.3">
      <c r="A585" s="10" t="s">
        <v>1919</v>
      </c>
      <c r="B585" s="10"/>
      <c r="C585" s="24" t="s">
        <v>1007</v>
      </c>
      <c r="D585" s="15"/>
      <c r="E585" s="15" t="s">
        <v>1883</v>
      </c>
      <c r="F585" s="25" t="s">
        <v>278</v>
      </c>
      <c r="G585" s="26">
        <v>0.15</v>
      </c>
      <c r="H585" s="26"/>
      <c r="I585" s="26">
        <v>4.95</v>
      </c>
      <c r="J585" s="27">
        <v>90.28</v>
      </c>
      <c r="M585" s="28">
        <f>ROUND(ROUND(J585, 2)*I585, 2)</f>
        <v>446.89</v>
      </c>
      <c r="P585" s="29">
        <v>100</v>
      </c>
      <c r="S585" s="28">
        <f>ROUND(ROUND(P585, 2)*I585, 2)</f>
        <v>495</v>
      </c>
    </row>
    <row r="586" spans="1:21" ht="64.95" customHeight="1" x14ac:dyDescent="0.3">
      <c r="A586" s="10" t="s">
        <v>1922</v>
      </c>
      <c r="B586" s="10" t="s">
        <v>1749</v>
      </c>
      <c r="C586" s="14" t="s">
        <v>1750</v>
      </c>
      <c r="D586" s="15"/>
      <c r="E586" s="15" t="s">
        <v>1923</v>
      </c>
      <c r="F586" s="15" t="s">
        <v>62</v>
      </c>
      <c r="G586" s="16">
        <v>1</v>
      </c>
      <c r="H586" s="16"/>
      <c r="I586" s="16">
        <v>1203.0999999999999</v>
      </c>
      <c r="J586" s="17">
        <f>IFERROR(ROUND(SUM(M587,M588)/I586, 2),0)</f>
        <v>65.56</v>
      </c>
      <c r="K586" s="18">
        <v>428</v>
      </c>
      <c r="L586" s="17">
        <f>J586+ROUND(K586, 2)</f>
        <v>493.56</v>
      </c>
      <c r="M586" s="17">
        <f>ROUND(J586*I586, 2)</f>
        <v>78875.240000000005</v>
      </c>
      <c r="N586" s="17">
        <f>ROUND(I586*ROUND(K586, 2), 2)</f>
        <v>514926.8</v>
      </c>
      <c r="O586" s="17">
        <f>M586+N586</f>
        <v>593802.04</v>
      </c>
      <c r="P586" s="17">
        <f>IFERROR(ROUND(SUM(S587,S588)/I586, 2),0)</f>
        <v>148.01</v>
      </c>
      <c r="Q586" s="19">
        <v>642</v>
      </c>
      <c r="R586" s="17">
        <f>P586+ROUND(Q586, 2)</f>
        <v>790.01</v>
      </c>
      <c r="S586" s="17">
        <f>ROUND(P586*I586, 2)</f>
        <v>178070.83</v>
      </c>
      <c r="T586" s="17">
        <f>ROUND(I586*ROUND(Q586, 2), 2)</f>
        <v>772390.2</v>
      </c>
      <c r="U586" s="17">
        <f>S586+T586</f>
        <v>950461.02999999991</v>
      </c>
    </row>
    <row r="587" spans="1:21" ht="18" x14ac:dyDescent="0.3">
      <c r="A587" s="10" t="s">
        <v>1924</v>
      </c>
      <c r="B587" s="10"/>
      <c r="C587" s="24" t="s">
        <v>1007</v>
      </c>
      <c r="D587" s="15"/>
      <c r="E587" s="15" t="s">
        <v>1883</v>
      </c>
      <c r="F587" s="25" t="s">
        <v>278</v>
      </c>
      <c r="G587" s="26">
        <v>0.15</v>
      </c>
      <c r="H587" s="26"/>
      <c r="I587" s="26">
        <v>180.465</v>
      </c>
      <c r="J587" s="27">
        <v>90.28</v>
      </c>
      <c r="M587" s="28">
        <f>ROUND(ROUND(J587, 2)*I587, 2)</f>
        <v>16292.38</v>
      </c>
      <c r="P587" s="29">
        <v>100</v>
      </c>
      <c r="S587" s="28">
        <f>ROUND(ROUND(P587, 2)*I587, 2)</f>
        <v>18046.5</v>
      </c>
    </row>
    <row r="588" spans="1:21" ht="36" x14ac:dyDescent="0.3">
      <c r="A588" s="10" t="s">
        <v>1927</v>
      </c>
      <c r="B588" s="10"/>
      <c r="C588" s="24" t="s">
        <v>1877</v>
      </c>
      <c r="D588" s="15"/>
      <c r="E588" s="15" t="s">
        <v>1928</v>
      </c>
      <c r="F588" s="25" t="s">
        <v>278</v>
      </c>
      <c r="G588" s="26">
        <v>0.3</v>
      </c>
      <c r="H588" s="26"/>
      <c r="I588" s="26">
        <v>360.93</v>
      </c>
      <c r="J588" s="27">
        <v>173.4</v>
      </c>
      <c r="M588" s="28">
        <f>ROUND(ROUND(J588, 2)*I588, 2)</f>
        <v>62585.26</v>
      </c>
      <c r="P588" s="29">
        <v>443.37</v>
      </c>
      <c r="S588" s="28">
        <f>ROUND(ROUND(P588, 2)*I588, 2)</f>
        <v>160025.53</v>
      </c>
    </row>
    <row r="589" spans="1:21" ht="61.95" customHeight="1" x14ac:dyDescent="0.3">
      <c r="A589" s="10" t="s">
        <v>1931</v>
      </c>
      <c r="B589" s="10" t="s">
        <v>1749</v>
      </c>
      <c r="C589" s="14" t="s">
        <v>1750</v>
      </c>
      <c r="D589" s="15"/>
      <c r="E589" s="15" t="s">
        <v>1932</v>
      </c>
      <c r="F589" s="15" t="s">
        <v>62</v>
      </c>
      <c r="G589" s="16">
        <v>1</v>
      </c>
      <c r="H589" s="16"/>
      <c r="I589" s="16">
        <v>104.1</v>
      </c>
      <c r="J589" s="17">
        <f>IFERROR(ROUND(SUM(M590,M591)/I589, 2),0)</f>
        <v>65.56</v>
      </c>
      <c r="K589" s="18">
        <v>428</v>
      </c>
      <c r="L589" s="17">
        <f>J589+ROUND(K589, 2)</f>
        <v>493.56</v>
      </c>
      <c r="M589" s="17">
        <f>ROUND(J589*I589, 2)</f>
        <v>6824.8</v>
      </c>
      <c r="N589" s="17">
        <f>ROUND(I589*ROUND(K589, 2), 2)</f>
        <v>44554.8</v>
      </c>
      <c r="O589" s="17">
        <f>M589+N589</f>
        <v>51379.600000000006</v>
      </c>
      <c r="P589" s="17">
        <f>IFERROR(ROUND(SUM(S590,S591)/I589, 2),0)</f>
        <v>210.69</v>
      </c>
      <c r="Q589" s="19">
        <v>642</v>
      </c>
      <c r="R589" s="17">
        <f>P589+ROUND(Q589, 2)</f>
        <v>852.69</v>
      </c>
      <c r="S589" s="17">
        <f>ROUND(P589*I589, 2)</f>
        <v>21932.83</v>
      </c>
      <c r="T589" s="17">
        <f>ROUND(I589*ROUND(Q589, 2), 2)</f>
        <v>66832.2</v>
      </c>
      <c r="U589" s="17">
        <f>S589+T589</f>
        <v>88765.03</v>
      </c>
    </row>
    <row r="590" spans="1:21" ht="54" x14ac:dyDescent="0.3">
      <c r="A590" s="10" t="s">
        <v>1933</v>
      </c>
      <c r="B590" s="10"/>
      <c r="C590" s="24" t="s">
        <v>1877</v>
      </c>
      <c r="D590" s="15"/>
      <c r="E590" s="15" t="s">
        <v>1934</v>
      </c>
      <c r="F590" s="25" t="s">
        <v>278</v>
      </c>
      <c r="G590" s="26">
        <v>0.3</v>
      </c>
      <c r="H590" s="26"/>
      <c r="I590" s="26">
        <v>31.23</v>
      </c>
      <c r="J590" s="27">
        <v>173.4</v>
      </c>
      <c r="M590" s="28">
        <f>ROUND(ROUND(J590, 2)*I590, 2)</f>
        <v>5415.28</v>
      </c>
      <c r="P590" s="29">
        <v>652.29999999999995</v>
      </c>
      <c r="S590" s="28">
        <f>ROUND(ROUND(P590, 2)*I590, 2)</f>
        <v>20371.330000000002</v>
      </c>
    </row>
    <row r="591" spans="1:21" ht="18" x14ac:dyDescent="0.3">
      <c r="A591" s="10" t="s">
        <v>1937</v>
      </c>
      <c r="B591" s="10"/>
      <c r="C591" s="24" t="s">
        <v>1007</v>
      </c>
      <c r="D591" s="15"/>
      <c r="E591" s="15" t="s">
        <v>1883</v>
      </c>
      <c r="F591" s="25" t="s">
        <v>278</v>
      </c>
      <c r="G591" s="26">
        <v>0.15</v>
      </c>
      <c r="H591" s="26"/>
      <c r="I591" s="26">
        <v>15.615</v>
      </c>
      <c r="J591" s="27">
        <v>90.28</v>
      </c>
      <c r="M591" s="28">
        <f>ROUND(ROUND(J591, 2)*I591, 2)</f>
        <v>1409.72</v>
      </c>
      <c r="P591" s="29">
        <v>100</v>
      </c>
      <c r="S591" s="28">
        <f>ROUND(ROUND(P591, 2)*I591, 2)</f>
        <v>1561.5</v>
      </c>
    </row>
    <row r="592" spans="1:21" ht="18" x14ac:dyDescent="0.3">
      <c r="A592" s="10" t="s">
        <v>1940</v>
      </c>
      <c r="B592" s="10" t="s">
        <v>1941</v>
      </c>
      <c r="C592" s="14" t="s">
        <v>1942</v>
      </c>
      <c r="D592" s="15"/>
      <c r="E592" s="15"/>
      <c r="F592" s="15" t="s">
        <v>62</v>
      </c>
      <c r="G592" s="16">
        <v>1</v>
      </c>
      <c r="H592" s="16"/>
      <c r="I592" s="16">
        <v>0</v>
      </c>
      <c r="J592" s="17">
        <v>0</v>
      </c>
      <c r="K592" s="18">
        <v>472</v>
      </c>
      <c r="L592" s="17">
        <f>J592+ROUND(K592, 2)</f>
        <v>472</v>
      </c>
      <c r="M592" s="17">
        <v>0</v>
      </c>
      <c r="N592" s="17">
        <v>0</v>
      </c>
      <c r="O592" s="17">
        <f>M592+N592</f>
        <v>0</v>
      </c>
      <c r="P592" s="17">
        <v>157.65</v>
      </c>
      <c r="Q592" s="18">
        <v>472</v>
      </c>
      <c r="R592" s="17">
        <f>P592+ROUND(Q592, 2)</f>
        <v>629.65</v>
      </c>
      <c r="S592" s="17">
        <v>0</v>
      </c>
      <c r="T592" s="17">
        <v>0</v>
      </c>
      <c r="U592" s="17">
        <f>S592+T592</f>
        <v>0</v>
      </c>
    </row>
    <row r="593" spans="1:21" ht="18" x14ac:dyDescent="0.3">
      <c r="A593" s="10" t="s">
        <v>1945</v>
      </c>
      <c r="B593" s="10"/>
      <c r="C593" s="24" t="s">
        <v>1946</v>
      </c>
      <c r="D593" s="15"/>
      <c r="E593" s="15"/>
      <c r="F593" s="25" t="s">
        <v>278</v>
      </c>
      <c r="G593" s="26">
        <v>0.3</v>
      </c>
      <c r="H593" s="26"/>
      <c r="I593" s="26">
        <v>0</v>
      </c>
      <c r="J593" s="27">
        <v>938.78</v>
      </c>
      <c r="M593" s="28">
        <f>ROUND(ROUND(J593, 2)*I593, 2)</f>
        <v>0</v>
      </c>
      <c r="P593" s="27">
        <v>495.9</v>
      </c>
      <c r="S593" s="28">
        <f>ROUND(ROUND(P593, 2)*I593, 2)</f>
        <v>0</v>
      </c>
    </row>
    <row r="594" spans="1:21" ht="18" x14ac:dyDescent="0.3">
      <c r="A594" s="10" t="s">
        <v>1950</v>
      </c>
      <c r="B594" s="10"/>
      <c r="C594" s="24" t="s">
        <v>1007</v>
      </c>
      <c r="D594" s="15"/>
      <c r="E594" s="15"/>
      <c r="F594" s="25" t="s">
        <v>278</v>
      </c>
      <c r="G594" s="26">
        <v>0.1</v>
      </c>
      <c r="H594" s="26"/>
      <c r="I594" s="26">
        <v>0</v>
      </c>
      <c r="J594" s="27">
        <v>88.8</v>
      </c>
      <c r="M594" s="28">
        <f>ROUND(ROUND(J594, 2)*I594, 2)</f>
        <v>0</v>
      </c>
      <c r="P594" s="27">
        <v>88.8</v>
      </c>
      <c r="S594" s="28">
        <f>ROUND(ROUND(P594, 2)*I594, 2)</f>
        <v>0</v>
      </c>
    </row>
    <row r="595" spans="1:21" ht="75" customHeight="1" x14ac:dyDescent="0.3">
      <c r="A595" s="10" t="s">
        <v>1953</v>
      </c>
      <c r="B595" s="10" t="s">
        <v>1941</v>
      </c>
      <c r="C595" s="14" t="s">
        <v>1942</v>
      </c>
      <c r="D595" s="15"/>
      <c r="E595" s="15" t="s">
        <v>1954</v>
      </c>
      <c r="F595" s="15" t="s">
        <v>62</v>
      </c>
      <c r="G595" s="16">
        <v>1</v>
      </c>
      <c r="H595" s="16"/>
      <c r="I595" s="16">
        <v>170.8</v>
      </c>
      <c r="J595" s="17">
        <v>290.51</v>
      </c>
      <c r="K595" s="18">
        <v>472</v>
      </c>
      <c r="L595" s="17">
        <f>J595+ROUND(K595, 2)</f>
        <v>762.51</v>
      </c>
      <c r="M595" s="17">
        <v>49619.11</v>
      </c>
      <c r="N595" s="17">
        <v>80617.600000000006</v>
      </c>
      <c r="O595" s="17">
        <f>M595+N595</f>
        <v>130236.71</v>
      </c>
      <c r="P595" s="17">
        <v>157.65</v>
      </c>
      <c r="Q595" s="18">
        <v>708</v>
      </c>
      <c r="R595" s="17">
        <f>P595+ROUND(Q595, 2)</f>
        <v>865.65</v>
      </c>
      <c r="S595" s="17">
        <v>26926.62</v>
      </c>
      <c r="T595" s="17">
        <v>120926.39999999999</v>
      </c>
      <c r="U595" s="17">
        <f>S595+T595</f>
        <v>147853.01999999999</v>
      </c>
    </row>
    <row r="596" spans="1:21" ht="18" x14ac:dyDescent="0.3">
      <c r="A596" s="10" t="s">
        <v>1955</v>
      </c>
      <c r="B596" s="10"/>
      <c r="C596" s="24" t="s">
        <v>1007</v>
      </c>
      <c r="D596" s="15"/>
      <c r="E596" s="15"/>
      <c r="F596" s="25" t="s">
        <v>278</v>
      </c>
      <c r="G596" s="26">
        <v>0.1</v>
      </c>
      <c r="H596" s="26"/>
      <c r="I596" s="26">
        <v>17.079999999999998</v>
      </c>
      <c r="J596" s="27">
        <v>88.8</v>
      </c>
      <c r="M596" s="28">
        <f>ROUND(ROUND(J596, 2)*I596, 2)</f>
        <v>1516.7</v>
      </c>
      <c r="P596" s="27">
        <v>88.8</v>
      </c>
      <c r="S596" s="28">
        <f>ROUND(ROUND(P596, 2)*I596, 2)</f>
        <v>1516.7</v>
      </c>
    </row>
    <row r="597" spans="1:21" ht="18" x14ac:dyDescent="0.3">
      <c r="A597" s="10" t="s">
        <v>1958</v>
      </c>
      <c r="B597" s="10"/>
      <c r="C597" s="24" t="s">
        <v>1946</v>
      </c>
      <c r="D597" s="15"/>
      <c r="E597" s="15"/>
      <c r="F597" s="25" t="s">
        <v>278</v>
      </c>
      <c r="G597" s="26">
        <v>0.3</v>
      </c>
      <c r="H597" s="26"/>
      <c r="I597" s="26">
        <v>51.24</v>
      </c>
      <c r="J597" s="27">
        <v>938.78</v>
      </c>
      <c r="M597" s="28">
        <f>ROUND(ROUND(J597, 2)*I597, 2)</f>
        <v>48103.09</v>
      </c>
      <c r="P597" s="27">
        <v>495.9</v>
      </c>
      <c r="S597" s="28">
        <f>ROUND(ROUND(P597, 2)*I597, 2)</f>
        <v>25409.919999999998</v>
      </c>
    </row>
    <row r="598" spans="1:21" ht="67.05" customHeight="1" x14ac:dyDescent="0.3">
      <c r="A598" s="10" t="s">
        <v>1961</v>
      </c>
      <c r="B598" s="10" t="s">
        <v>1941</v>
      </c>
      <c r="C598" s="14" t="s">
        <v>1942</v>
      </c>
      <c r="D598" s="15"/>
      <c r="E598" s="15" t="s">
        <v>1962</v>
      </c>
      <c r="F598" s="15" t="s">
        <v>62</v>
      </c>
      <c r="G598" s="16">
        <v>1</v>
      </c>
      <c r="H598" s="16"/>
      <c r="I598" s="16">
        <v>282.81</v>
      </c>
      <c r="J598" s="17">
        <f>IFERROR(ROUND(SUM(M599,M600)/I598, 2),0)</f>
        <v>295.36</v>
      </c>
      <c r="K598" s="18">
        <v>472.01</v>
      </c>
      <c r="L598" s="17">
        <f>J598+ROUND(K598, 2)</f>
        <v>767.37</v>
      </c>
      <c r="M598" s="17">
        <f>ROUND(J598*I598, 2)</f>
        <v>83530.759999999995</v>
      </c>
      <c r="N598" s="17">
        <f>ROUND(I598*ROUND(K598, 2), 2)</f>
        <v>133489.15</v>
      </c>
      <c r="O598" s="17">
        <f>M598+N598</f>
        <v>217019.90999999997</v>
      </c>
      <c r="P598" s="17">
        <f>IFERROR(ROUND(SUM(S599,S600)/I598, 2),0)</f>
        <v>73.69</v>
      </c>
      <c r="Q598" s="19">
        <v>708</v>
      </c>
      <c r="R598" s="17">
        <f>P598+ROUND(Q598, 2)</f>
        <v>781.69</v>
      </c>
      <c r="S598" s="17">
        <f>ROUND(P598*I598, 2)</f>
        <v>20840.27</v>
      </c>
      <c r="T598" s="17">
        <f>ROUND(I598*ROUND(Q598, 2), 2)</f>
        <v>200229.48</v>
      </c>
      <c r="U598" s="17">
        <f>S598+T598</f>
        <v>221069.75</v>
      </c>
    </row>
    <row r="599" spans="1:21" ht="36" x14ac:dyDescent="0.3">
      <c r="A599" s="10" t="s">
        <v>1963</v>
      </c>
      <c r="B599" s="10"/>
      <c r="C599" s="24" t="s">
        <v>1946</v>
      </c>
      <c r="D599" s="15"/>
      <c r="E599" s="15" t="s">
        <v>1964</v>
      </c>
      <c r="F599" s="25" t="s">
        <v>278</v>
      </c>
      <c r="G599" s="26">
        <v>0.3</v>
      </c>
      <c r="H599" s="26"/>
      <c r="I599" s="26">
        <v>84.843000000000004</v>
      </c>
      <c r="J599" s="27">
        <v>954.43</v>
      </c>
      <c r="M599" s="28">
        <f>ROUND(ROUND(J599, 2)*I599, 2)</f>
        <v>80976.7</v>
      </c>
      <c r="P599" s="29">
        <v>212.3</v>
      </c>
      <c r="S599" s="28">
        <f>ROUND(ROUND(P599, 2)*I599, 2)</f>
        <v>18012.169999999998</v>
      </c>
    </row>
    <row r="600" spans="1:21" ht="18" x14ac:dyDescent="0.3">
      <c r="A600" s="10" t="s">
        <v>1967</v>
      </c>
      <c r="B600" s="10"/>
      <c r="C600" s="24" t="s">
        <v>1007</v>
      </c>
      <c r="D600" s="15"/>
      <c r="E600" s="15" t="s">
        <v>1883</v>
      </c>
      <c r="F600" s="25" t="s">
        <v>278</v>
      </c>
      <c r="G600" s="26">
        <v>0.1</v>
      </c>
      <c r="H600" s="26"/>
      <c r="I600" s="26">
        <v>28.280999999999999</v>
      </c>
      <c r="J600" s="27">
        <v>90.28</v>
      </c>
      <c r="M600" s="28">
        <f>ROUND(ROUND(J600, 2)*I600, 2)</f>
        <v>2553.21</v>
      </c>
      <c r="P600" s="29">
        <v>100</v>
      </c>
      <c r="S600" s="28">
        <f>ROUND(ROUND(P600, 2)*I600, 2)</f>
        <v>2828.1</v>
      </c>
    </row>
    <row r="601" spans="1:21" ht="36" x14ac:dyDescent="0.3">
      <c r="A601" s="10" t="s">
        <v>1970</v>
      </c>
      <c r="B601" s="10" t="s">
        <v>1971</v>
      </c>
      <c r="C601" s="14" t="s">
        <v>1972</v>
      </c>
      <c r="D601" s="15"/>
      <c r="E601" s="15"/>
      <c r="F601" s="15" t="s">
        <v>62</v>
      </c>
      <c r="G601" s="16">
        <v>1</v>
      </c>
      <c r="H601" s="16"/>
      <c r="I601" s="16">
        <v>0</v>
      </c>
      <c r="J601" s="17">
        <v>0</v>
      </c>
      <c r="K601" s="18">
        <v>2364</v>
      </c>
      <c r="L601" s="17">
        <f>J601+ROUND(K601, 2)</f>
        <v>2364</v>
      </c>
      <c r="M601" s="17">
        <v>0</v>
      </c>
      <c r="N601" s="17">
        <v>0</v>
      </c>
      <c r="O601" s="17">
        <f>M601+N601</f>
        <v>0</v>
      </c>
      <c r="P601" s="17">
        <v>624.15</v>
      </c>
      <c r="Q601" s="18">
        <v>2364</v>
      </c>
      <c r="R601" s="17">
        <f>P601+ROUND(Q601, 2)</f>
        <v>2988.15</v>
      </c>
      <c r="S601" s="17">
        <v>0</v>
      </c>
      <c r="T601" s="17">
        <v>0</v>
      </c>
      <c r="U601" s="17">
        <f>S601+T601</f>
        <v>0</v>
      </c>
    </row>
    <row r="602" spans="1:21" ht="18" x14ac:dyDescent="0.3">
      <c r="A602" s="10" t="s">
        <v>1975</v>
      </c>
      <c r="B602" s="10"/>
      <c r="C602" s="24" t="s">
        <v>1157</v>
      </c>
      <c r="D602" s="15"/>
      <c r="E602" s="15"/>
      <c r="F602" s="25" t="s">
        <v>278</v>
      </c>
      <c r="G602" s="26">
        <v>0.25</v>
      </c>
      <c r="H602" s="31"/>
      <c r="I602" s="31">
        <v>0</v>
      </c>
      <c r="J602" s="27">
        <v>40.270000000000003</v>
      </c>
      <c r="M602" s="28">
        <f>ROUND(ROUND(J602, 2)*I602, 2)</f>
        <v>0</v>
      </c>
      <c r="P602" s="27">
        <v>40.270000000000003</v>
      </c>
      <c r="S602" s="28">
        <f>ROUND(ROUND(P602, 2)*I602, 2)</f>
        <v>0</v>
      </c>
    </row>
    <row r="603" spans="1:21" ht="18" x14ac:dyDescent="0.3">
      <c r="A603" s="10" t="s">
        <v>1978</v>
      </c>
      <c r="B603" s="10"/>
      <c r="C603" s="24" t="s">
        <v>543</v>
      </c>
      <c r="D603" s="15"/>
      <c r="E603" s="15"/>
      <c r="F603" s="25" t="s">
        <v>278</v>
      </c>
      <c r="G603" s="26">
        <v>0.15</v>
      </c>
      <c r="H603" s="26"/>
      <c r="I603" s="26">
        <v>0</v>
      </c>
      <c r="J603" s="27">
        <v>68.400000000000006</v>
      </c>
      <c r="M603" s="28">
        <f>ROUND(ROUND(J603, 2)*I603, 2)</f>
        <v>0</v>
      </c>
      <c r="P603" s="27">
        <v>68.400000000000006</v>
      </c>
      <c r="S603" s="28">
        <f>ROUND(ROUND(P603, 2)*I603, 2)</f>
        <v>0</v>
      </c>
    </row>
    <row r="604" spans="1:21" ht="18" x14ac:dyDescent="0.3">
      <c r="A604" s="10" t="s">
        <v>1981</v>
      </c>
      <c r="B604" s="10"/>
      <c r="C604" s="30" t="s">
        <v>1200</v>
      </c>
      <c r="D604" s="15"/>
      <c r="E604" s="15"/>
      <c r="F604" s="25" t="s">
        <v>278</v>
      </c>
      <c r="G604" s="26">
        <v>1.2</v>
      </c>
      <c r="H604" s="31"/>
      <c r="I604" s="31">
        <v>0</v>
      </c>
      <c r="J604" s="27">
        <v>16.96</v>
      </c>
      <c r="M604" s="28">
        <f>ROUND(ROUND(J604, 2)*I604, 2)</f>
        <v>0</v>
      </c>
      <c r="P604" s="27">
        <v>16.96</v>
      </c>
      <c r="S604" s="28">
        <f>ROUND(ROUND(P604, 2)*I604, 2)</f>
        <v>0</v>
      </c>
    </row>
    <row r="605" spans="1:21" ht="36" x14ac:dyDescent="0.3">
      <c r="A605" s="10" t="s">
        <v>1984</v>
      </c>
      <c r="B605" s="10"/>
      <c r="C605" s="30" t="s">
        <v>1985</v>
      </c>
      <c r="D605" s="15"/>
      <c r="E605" s="15"/>
      <c r="F605" s="25" t="s">
        <v>62</v>
      </c>
      <c r="G605" s="26">
        <v>1.07</v>
      </c>
      <c r="H605" s="31"/>
      <c r="I605" s="31">
        <v>0</v>
      </c>
      <c r="J605" s="27">
        <v>1384.95</v>
      </c>
      <c r="M605" s="28">
        <f>ROUND(ROUND(J605, 2)*I605, 2)</f>
        <v>0</v>
      </c>
      <c r="P605" s="27">
        <v>545.29999999999995</v>
      </c>
      <c r="S605" s="28">
        <f>ROUND(ROUND(P605, 2)*I605, 2)</f>
        <v>0</v>
      </c>
    </row>
    <row r="606" spans="1:21" ht="36" x14ac:dyDescent="0.3">
      <c r="A606" s="10" t="s">
        <v>1989</v>
      </c>
      <c r="B606" s="10" t="s">
        <v>1971</v>
      </c>
      <c r="C606" s="14" t="s">
        <v>1972</v>
      </c>
      <c r="D606" s="15"/>
      <c r="E606" s="15"/>
      <c r="F606" s="15" t="s">
        <v>62</v>
      </c>
      <c r="G606" s="16">
        <v>1</v>
      </c>
      <c r="H606" s="16"/>
      <c r="I606" s="16">
        <v>0</v>
      </c>
      <c r="J606" s="17">
        <v>0</v>
      </c>
      <c r="K606" s="18">
        <v>2364</v>
      </c>
      <c r="L606" s="17">
        <f>J606+ROUND(K606, 2)</f>
        <v>2364</v>
      </c>
      <c r="M606" s="17">
        <v>0</v>
      </c>
      <c r="N606" s="17">
        <v>0</v>
      </c>
      <c r="O606" s="17">
        <f>M606+N606</f>
        <v>0</v>
      </c>
      <c r="P606" s="17">
        <v>1051.83</v>
      </c>
      <c r="Q606" s="18">
        <v>2364</v>
      </c>
      <c r="R606" s="17">
        <f>P606+ROUND(Q606, 2)</f>
        <v>3415.83</v>
      </c>
      <c r="S606" s="17">
        <v>0</v>
      </c>
      <c r="T606" s="17">
        <v>0</v>
      </c>
      <c r="U606" s="17">
        <f>S606+T606</f>
        <v>0</v>
      </c>
    </row>
    <row r="607" spans="1:21" ht="36" x14ac:dyDescent="0.3">
      <c r="A607" s="10" t="s">
        <v>1990</v>
      </c>
      <c r="B607" s="10"/>
      <c r="C607" s="30" t="s">
        <v>1991</v>
      </c>
      <c r="D607" s="15"/>
      <c r="E607" s="15"/>
      <c r="F607" s="25" t="s">
        <v>62</v>
      </c>
      <c r="G607" s="26">
        <v>1.07</v>
      </c>
      <c r="H607" s="31"/>
      <c r="I607" s="31">
        <v>0</v>
      </c>
      <c r="J607" s="27">
        <v>945</v>
      </c>
      <c r="M607" s="28">
        <f>ROUND(ROUND(J607, 2)*I607, 2)</f>
        <v>0</v>
      </c>
      <c r="P607" s="27">
        <v>945</v>
      </c>
      <c r="S607" s="28">
        <f>ROUND(ROUND(P607, 2)*I607, 2)</f>
        <v>0</v>
      </c>
    </row>
    <row r="608" spans="1:21" ht="18" x14ac:dyDescent="0.3">
      <c r="A608" s="10" t="s">
        <v>1995</v>
      </c>
      <c r="B608" s="10"/>
      <c r="C608" s="30" t="s">
        <v>1200</v>
      </c>
      <c r="D608" s="15"/>
      <c r="E608" s="15"/>
      <c r="F608" s="25" t="s">
        <v>278</v>
      </c>
      <c r="G608" s="26">
        <v>1.2</v>
      </c>
      <c r="H608" s="31"/>
      <c r="I608" s="31">
        <v>0</v>
      </c>
      <c r="J608" s="27">
        <v>16.96</v>
      </c>
      <c r="M608" s="28">
        <f>ROUND(ROUND(J608, 2)*I608, 2)</f>
        <v>0</v>
      </c>
      <c r="P608" s="27">
        <v>16.96</v>
      </c>
      <c r="S608" s="28">
        <f>ROUND(ROUND(P608, 2)*I608, 2)</f>
        <v>0</v>
      </c>
    </row>
    <row r="609" spans="1:21" ht="18" x14ac:dyDescent="0.3">
      <c r="A609" s="10" t="s">
        <v>1998</v>
      </c>
      <c r="B609" s="10"/>
      <c r="C609" s="24" t="s">
        <v>543</v>
      </c>
      <c r="D609" s="15"/>
      <c r="E609" s="15"/>
      <c r="F609" s="25" t="s">
        <v>278</v>
      </c>
      <c r="G609" s="26">
        <v>0.15</v>
      </c>
      <c r="H609" s="26"/>
      <c r="I609" s="26">
        <v>0</v>
      </c>
      <c r="J609" s="27">
        <v>68.400000000000006</v>
      </c>
      <c r="M609" s="28">
        <f>ROUND(ROUND(J609, 2)*I609, 2)</f>
        <v>0</v>
      </c>
      <c r="P609" s="27">
        <v>68.400000000000006</v>
      </c>
      <c r="S609" s="28">
        <f>ROUND(ROUND(P609, 2)*I609, 2)</f>
        <v>0</v>
      </c>
    </row>
    <row r="610" spans="1:21" ht="18" x14ac:dyDescent="0.3">
      <c r="A610" s="10" t="s">
        <v>2001</v>
      </c>
      <c r="B610" s="10"/>
      <c r="C610" s="24" t="s">
        <v>1157</v>
      </c>
      <c r="D610" s="15"/>
      <c r="E610" s="15"/>
      <c r="F610" s="25" t="s">
        <v>278</v>
      </c>
      <c r="G610" s="26">
        <v>0.25</v>
      </c>
      <c r="H610" s="31"/>
      <c r="I610" s="31">
        <v>0</v>
      </c>
      <c r="J610" s="27">
        <v>40.270000000000003</v>
      </c>
      <c r="M610" s="28">
        <f>ROUND(ROUND(J610, 2)*I610, 2)</f>
        <v>0</v>
      </c>
      <c r="P610" s="27">
        <v>40.270000000000003</v>
      </c>
      <c r="S610" s="28">
        <f>ROUND(ROUND(P610, 2)*I610, 2)</f>
        <v>0</v>
      </c>
    </row>
    <row r="611" spans="1:21" ht="36" x14ac:dyDescent="0.3">
      <c r="A611" s="10" t="s">
        <v>2004</v>
      </c>
      <c r="B611" s="10" t="s">
        <v>1971</v>
      </c>
      <c r="C611" s="14" t="s">
        <v>1972</v>
      </c>
      <c r="D611" s="15"/>
      <c r="E611" s="15"/>
      <c r="F611" s="15" t="s">
        <v>62</v>
      </c>
      <c r="G611" s="16">
        <v>1</v>
      </c>
      <c r="H611" s="16"/>
      <c r="I611" s="16">
        <v>0</v>
      </c>
      <c r="J611" s="17">
        <v>0</v>
      </c>
      <c r="K611" s="18">
        <v>2364</v>
      </c>
      <c r="L611" s="17">
        <f>J611+ROUND(K611, 2)</f>
        <v>2364</v>
      </c>
      <c r="M611" s="17">
        <v>0</v>
      </c>
      <c r="N611" s="17">
        <v>0</v>
      </c>
      <c r="O611" s="17">
        <f>M611+N611</f>
        <v>0</v>
      </c>
      <c r="P611" s="17">
        <v>1522.58</v>
      </c>
      <c r="Q611" s="18">
        <v>2364</v>
      </c>
      <c r="R611" s="17">
        <f>P611+ROUND(Q611, 2)</f>
        <v>3886.58</v>
      </c>
      <c r="S611" s="17">
        <v>0</v>
      </c>
      <c r="T611" s="17">
        <v>0</v>
      </c>
      <c r="U611" s="17">
        <f>S611+T611</f>
        <v>0</v>
      </c>
    </row>
    <row r="612" spans="1:21" ht="18" x14ac:dyDescent="0.3">
      <c r="A612" s="10" t="s">
        <v>2005</v>
      </c>
      <c r="B612" s="10"/>
      <c r="C612" s="24" t="s">
        <v>1157</v>
      </c>
      <c r="D612" s="15"/>
      <c r="E612" s="15"/>
      <c r="F612" s="25" t="s">
        <v>278</v>
      </c>
      <c r="G612" s="26">
        <v>0.25</v>
      </c>
      <c r="H612" s="31"/>
      <c r="I612" s="31">
        <v>0</v>
      </c>
      <c r="J612" s="27">
        <v>40.270000000000003</v>
      </c>
      <c r="M612" s="28">
        <f>ROUND(ROUND(J612, 2)*I612, 2)</f>
        <v>0</v>
      </c>
      <c r="P612" s="27">
        <v>40.270000000000003</v>
      </c>
      <c r="S612" s="28">
        <f>ROUND(ROUND(P612, 2)*I612, 2)</f>
        <v>0</v>
      </c>
    </row>
    <row r="613" spans="1:21" ht="18" x14ac:dyDescent="0.3">
      <c r="A613" s="10" t="s">
        <v>2008</v>
      </c>
      <c r="B613" s="10"/>
      <c r="C613" s="24" t="s">
        <v>543</v>
      </c>
      <c r="D613" s="15"/>
      <c r="E613" s="15"/>
      <c r="F613" s="25" t="s">
        <v>278</v>
      </c>
      <c r="G613" s="26">
        <v>0.15</v>
      </c>
      <c r="H613" s="26"/>
      <c r="I613" s="26">
        <v>0</v>
      </c>
      <c r="J613" s="27">
        <v>68.400000000000006</v>
      </c>
      <c r="M613" s="28">
        <f>ROUND(ROUND(J613, 2)*I613, 2)</f>
        <v>0</v>
      </c>
      <c r="P613" s="27">
        <v>68.400000000000006</v>
      </c>
      <c r="S613" s="28">
        <f>ROUND(ROUND(P613, 2)*I613, 2)</f>
        <v>0</v>
      </c>
    </row>
    <row r="614" spans="1:21" ht="18" x14ac:dyDescent="0.3">
      <c r="A614" s="10" t="s">
        <v>2011</v>
      </c>
      <c r="B614" s="10"/>
      <c r="C614" s="30" t="s">
        <v>1200</v>
      </c>
      <c r="D614" s="15"/>
      <c r="E614" s="15"/>
      <c r="F614" s="25" t="s">
        <v>278</v>
      </c>
      <c r="G614" s="26">
        <v>1.2</v>
      </c>
      <c r="H614" s="31"/>
      <c r="I614" s="31">
        <v>0</v>
      </c>
      <c r="J614" s="27">
        <v>16.96</v>
      </c>
      <c r="M614" s="28">
        <f>ROUND(ROUND(J614, 2)*I614, 2)</f>
        <v>0</v>
      </c>
      <c r="P614" s="27">
        <v>16.96</v>
      </c>
      <c r="S614" s="28">
        <f>ROUND(ROUND(P614, 2)*I614, 2)</f>
        <v>0</v>
      </c>
    </row>
    <row r="615" spans="1:21" ht="36" x14ac:dyDescent="0.3">
      <c r="A615" s="10" t="s">
        <v>2014</v>
      </c>
      <c r="B615" s="10"/>
      <c r="C615" s="30" t="s">
        <v>1985</v>
      </c>
      <c r="D615" s="15"/>
      <c r="E615" s="15"/>
      <c r="F615" s="25" t="s">
        <v>62</v>
      </c>
      <c r="G615" s="26">
        <v>1.07</v>
      </c>
      <c r="H615" s="31"/>
      <c r="I615" s="31">
        <v>0</v>
      </c>
      <c r="J615" s="27">
        <v>1384.95</v>
      </c>
      <c r="M615" s="28">
        <f>ROUND(ROUND(J615, 2)*I615, 2)</f>
        <v>0</v>
      </c>
      <c r="P615" s="27">
        <v>1384.95</v>
      </c>
      <c r="S615" s="28">
        <f>ROUND(ROUND(P615, 2)*I615, 2)</f>
        <v>0</v>
      </c>
    </row>
    <row r="616" spans="1:21" ht="36" x14ac:dyDescent="0.3">
      <c r="A616" s="10" t="s">
        <v>2017</v>
      </c>
      <c r="B616" s="10" t="s">
        <v>1971</v>
      </c>
      <c r="C616" s="14" t="s">
        <v>1972</v>
      </c>
      <c r="D616" s="15"/>
      <c r="E616" s="15" t="s">
        <v>2018</v>
      </c>
      <c r="F616" s="15" t="s">
        <v>62</v>
      </c>
      <c r="G616" s="16">
        <v>1</v>
      </c>
      <c r="H616" s="16"/>
      <c r="I616" s="16">
        <v>1163</v>
      </c>
      <c r="J616" s="17">
        <v>1521.58</v>
      </c>
      <c r="K616" s="18">
        <v>2364</v>
      </c>
      <c r="L616" s="17">
        <f>J616+ROUND(K616, 2)</f>
        <v>3885.58</v>
      </c>
      <c r="M616" s="17">
        <v>1769597.54</v>
      </c>
      <c r="N616" s="17">
        <v>2749332</v>
      </c>
      <c r="O616" s="17">
        <f>M616+N616</f>
        <v>4518929.54</v>
      </c>
      <c r="P616" s="17">
        <v>623.13</v>
      </c>
      <c r="Q616" s="18">
        <v>3546</v>
      </c>
      <c r="R616" s="17">
        <f>P616+ROUND(Q616, 2)</f>
        <v>4169.13</v>
      </c>
      <c r="S616" s="17">
        <v>724700.19</v>
      </c>
      <c r="T616" s="17">
        <v>4123998</v>
      </c>
      <c r="U616" s="17">
        <f>S616+T616</f>
        <v>4848698.1899999995</v>
      </c>
    </row>
    <row r="617" spans="1:21" ht="72" x14ac:dyDescent="0.3">
      <c r="A617" s="10" t="s">
        <v>2019</v>
      </c>
      <c r="B617" s="10"/>
      <c r="C617" s="30" t="s">
        <v>1985</v>
      </c>
      <c r="D617" s="15"/>
      <c r="E617" s="15" t="s">
        <v>1173</v>
      </c>
      <c r="F617" s="25" t="s">
        <v>62</v>
      </c>
      <c r="G617" s="26">
        <v>1.07</v>
      </c>
      <c r="H617" s="31"/>
      <c r="I617" s="31">
        <v>1244.4100000000001</v>
      </c>
      <c r="J617" s="27">
        <v>1384.96</v>
      </c>
      <c r="M617" s="28">
        <f>ROUND(ROUND(J617, 2)*I617, 2)</f>
        <v>1723458.07</v>
      </c>
      <c r="P617" s="27">
        <v>545.29999999999995</v>
      </c>
      <c r="S617" s="28">
        <f>ROUND(ROUND(P617, 2)*I617, 2)</f>
        <v>678576.77</v>
      </c>
    </row>
    <row r="618" spans="1:21" ht="18" x14ac:dyDescent="0.3">
      <c r="A618" s="10" t="s">
        <v>2022</v>
      </c>
      <c r="B618" s="10"/>
      <c r="C618" s="30" t="s">
        <v>1200</v>
      </c>
      <c r="D618" s="15"/>
      <c r="E618" s="15"/>
      <c r="F618" s="25" t="s">
        <v>278</v>
      </c>
      <c r="G618" s="26">
        <v>1.2</v>
      </c>
      <c r="H618" s="31"/>
      <c r="I618" s="31">
        <v>1395.6</v>
      </c>
      <c r="J618" s="27">
        <v>16.12</v>
      </c>
      <c r="M618" s="28">
        <f>ROUND(ROUND(J618, 2)*I618, 2)</f>
        <v>22497.07</v>
      </c>
      <c r="P618" s="27">
        <v>16.11</v>
      </c>
      <c r="S618" s="28">
        <f>ROUND(ROUND(P618, 2)*I618, 2)</f>
        <v>22483.119999999999</v>
      </c>
    </row>
    <row r="619" spans="1:21" ht="18" x14ac:dyDescent="0.3">
      <c r="A619" s="10" t="s">
        <v>2025</v>
      </c>
      <c r="B619" s="10"/>
      <c r="C619" s="24" t="s">
        <v>543</v>
      </c>
      <c r="D619" s="15"/>
      <c r="E619" s="15"/>
      <c r="F619" s="25" t="s">
        <v>278</v>
      </c>
      <c r="G619" s="26">
        <v>0.15</v>
      </c>
      <c r="H619" s="26"/>
      <c r="I619" s="26">
        <v>174.45</v>
      </c>
      <c r="J619" s="27">
        <v>68.400000000000006</v>
      </c>
      <c r="M619" s="28">
        <f>ROUND(ROUND(J619, 2)*I619, 2)</f>
        <v>11932.38</v>
      </c>
      <c r="P619" s="27">
        <v>68.400000000000006</v>
      </c>
      <c r="S619" s="28">
        <f>ROUND(ROUND(P619, 2)*I619, 2)</f>
        <v>11932.38</v>
      </c>
    </row>
    <row r="620" spans="1:21" ht="18" x14ac:dyDescent="0.3">
      <c r="A620" s="10" t="s">
        <v>2028</v>
      </c>
      <c r="B620" s="10"/>
      <c r="C620" s="24" t="s">
        <v>1157</v>
      </c>
      <c r="D620" s="15"/>
      <c r="E620" s="15"/>
      <c r="F620" s="25" t="s">
        <v>278</v>
      </c>
      <c r="G620" s="26">
        <v>0.25</v>
      </c>
      <c r="H620" s="31"/>
      <c r="I620" s="31">
        <v>290.75</v>
      </c>
      <c r="J620" s="27">
        <v>40.270000000000003</v>
      </c>
      <c r="M620" s="28">
        <f>ROUND(ROUND(J620, 2)*I620, 2)</f>
        <v>11708.5</v>
      </c>
      <c r="P620" s="27">
        <v>40.270000000000003</v>
      </c>
      <c r="S620" s="28">
        <f>ROUND(ROUND(P620, 2)*I620, 2)</f>
        <v>11708.5</v>
      </c>
    </row>
    <row r="621" spans="1:21" ht="36" x14ac:dyDescent="0.3">
      <c r="A621" s="10" t="s">
        <v>2031</v>
      </c>
      <c r="B621" s="10" t="s">
        <v>1971</v>
      </c>
      <c r="C621" s="14" t="s">
        <v>1972</v>
      </c>
      <c r="D621" s="15"/>
      <c r="E621" s="15" t="s">
        <v>2032</v>
      </c>
      <c r="F621" s="15" t="s">
        <v>62</v>
      </c>
      <c r="G621" s="16">
        <v>1</v>
      </c>
      <c r="H621" s="16"/>
      <c r="I621" s="16">
        <v>593.5</v>
      </c>
      <c r="J621" s="17">
        <v>1050.82</v>
      </c>
      <c r="K621" s="18">
        <v>2364</v>
      </c>
      <c r="L621" s="17">
        <f>J621+ROUND(K621, 2)</f>
        <v>3414.8199999999997</v>
      </c>
      <c r="M621" s="17">
        <v>623661.67000000004</v>
      </c>
      <c r="N621" s="17">
        <v>1403034</v>
      </c>
      <c r="O621" s="17">
        <f>M621+N621</f>
        <v>2026695.67</v>
      </c>
      <c r="P621" s="17">
        <v>1050.81</v>
      </c>
      <c r="Q621" s="18">
        <v>3546</v>
      </c>
      <c r="R621" s="17">
        <f>P621+ROUND(Q621, 2)</f>
        <v>4596.8099999999995</v>
      </c>
      <c r="S621" s="17">
        <v>623655.74</v>
      </c>
      <c r="T621" s="17">
        <v>2104551</v>
      </c>
      <c r="U621" s="17">
        <f>S621+T621</f>
        <v>2728206.74</v>
      </c>
    </row>
    <row r="622" spans="1:21" ht="18" x14ac:dyDescent="0.3">
      <c r="A622" s="10" t="s">
        <v>2033</v>
      </c>
      <c r="B622" s="10"/>
      <c r="C622" s="24" t="s">
        <v>1157</v>
      </c>
      <c r="D622" s="15"/>
      <c r="E622" s="15"/>
      <c r="F622" s="25" t="s">
        <v>278</v>
      </c>
      <c r="G622" s="26">
        <v>0.25</v>
      </c>
      <c r="H622" s="31"/>
      <c r="I622" s="31">
        <v>148.375</v>
      </c>
      <c r="J622" s="27">
        <v>40.270000000000003</v>
      </c>
      <c r="M622" s="28">
        <f>ROUND(ROUND(J622, 2)*I622, 2)</f>
        <v>5975.06</v>
      </c>
      <c r="P622" s="27">
        <v>40.270000000000003</v>
      </c>
      <c r="S622" s="28">
        <f>ROUND(ROUND(P622, 2)*I622, 2)</f>
        <v>5975.06</v>
      </c>
    </row>
    <row r="623" spans="1:21" ht="18" x14ac:dyDescent="0.3">
      <c r="A623" s="10" t="s">
        <v>2036</v>
      </c>
      <c r="B623" s="10"/>
      <c r="C623" s="24" t="s">
        <v>543</v>
      </c>
      <c r="D623" s="15"/>
      <c r="E623" s="15"/>
      <c r="F623" s="25" t="s">
        <v>278</v>
      </c>
      <c r="G623" s="26">
        <v>0.15</v>
      </c>
      <c r="H623" s="26"/>
      <c r="I623" s="26">
        <v>89.025000000000006</v>
      </c>
      <c r="J623" s="27">
        <v>68.400000000000006</v>
      </c>
      <c r="M623" s="28">
        <f>ROUND(ROUND(J623, 2)*I623, 2)</f>
        <v>6089.31</v>
      </c>
      <c r="P623" s="27">
        <v>68.400000000000006</v>
      </c>
      <c r="S623" s="28">
        <f>ROUND(ROUND(P623, 2)*I623, 2)</f>
        <v>6089.31</v>
      </c>
    </row>
    <row r="624" spans="1:21" ht="18" x14ac:dyDescent="0.3">
      <c r="A624" s="10" t="s">
        <v>2039</v>
      </c>
      <c r="B624" s="10"/>
      <c r="C624" s="30" t="s">
        <v>1200</v>
      </c>
      <c r="D624" s="15"/>
      <c r="E624" s="15"/>
      <c r="F624" s="25" t="s">
        <v>278</v>
      </c>
      <c r="G624" s="26">
        <v>1.2</v>
      </c>
      <c r="H624" s="31"/>
      <c r="I624" s="31">
        <v>712.2</v>
      </c>
      <c r="J624" s="27">
        <v>16.12</v>
      </c>
      <c r="M624" s="28">
        <f>ROUND(ROUND(J624, 2)*I624, 2)</f>
        <v>11480.66</v>
      </c>
      <c r="P624" s="27">
        <v>16.11</v>
      </c>
      <c r="S624" s="28">
        <f>ROUND(ROUND(P624, 2)*I624, 2)</f>
        <v>11473.54</v>
      </c>
    </row>
    <row r="625" spans="1:21" ht="36" x14ac:dyDescent="0.3">
      <c r="A625" s="10" t="s">
        <v>2042</v>
      </c>
      <c r="B625" s="10"/>
      <c r="C625" s="30" t="s">
        <v>1991</v>
      </c>
      <c r="D625" s="15"/>
      <c r="E625" s="15"/>
      <c r="F625" s="25" t="s">
        <v>62</v>
      </c>
      <c r="G625" s="26">
        <v>1.07</v>
      </c>
      <c r="H625" s="31"/>
      <c r="I625" s="31">
        <v>635.04499999999996</v>
      </c>
      <c r="J625" s="27">
        <v>945</v>
      </c>
      <c r="M625" s="28">
        <f>ROUND(ROUND(J625, 2)*I625, 2)</f>
        <v>600117.53</v>
      </c>
      <c r="P625" s="27">
        <v>945</v>
      </c>
      <c r="S625" s="28">
        <f>ROUND(ROUND(P625, 2)*I625, 2)</f>
        <v>600117.53</v>
      </c>
    </row>
    <row r="626" spans="1:21" ht="36" x14ac:dyDescent="0.3">
      <c r="A626" s="10" t="s">
        <v>2045</v>
      </c>
      <c r="B626" s="10" t="s">
        <v>1971</v>
      </c>
      <c r="C626" s="14" t="s">
        <v>1972</v>
      </c>
      <c r="D626" s="15"/>
      <c r="E626" s="15" t="s">
        <v>2046</v>
      </c>
      <c r="F626" s="15" t="s">
        <v>62</v>
      </c>
      <c r="G626" s="16">
        <v>1</v>
      </c>
      <c r="H626" s="16"/>
      <c r="I626" s="16">
        <v>46</v>
      </c>
      <c r="J626" s="17">
        <v>1521.58</v>
      </c>
      <c r="K626" s="18">
        <v>2364</v>
      </c>
      <c r="L626" s="17">
        <f>J626+ROUND(K626, 2)</f>
        <v>3885.58</v>
      </c>
      <c r="M626" s="17">
        <v>69992.679999999993</v>
      </c>
      <c r="N626" s="17">
        <v>108744</v>
      </c>
      <c r="O626" s="17">
        <f>M626+N626</f>
        <v>178736.68</v>
      </c>
      <c r="P626" s="17">
        <v>1521.56</v>
      </c>
      <c r="Q626" s="18">
        <v>3546</v>
      </c>
      <c r="R626" s="17">
        <f>P626+ROUND(Q626, 2)</f>
        <v>5067.5599999999995</v>
      </c>
      <c r="S626" s="17">
        <v>69991.759999999995</v>
      </c>
      <c r="T626" s="17">
        <v>163116</v>
      </c>
      <c r="U626" s="17">
        <f>S626+T626</f>
        <v>233107.76</v>
      </c>
    </row>
    <row r="627" spans="1:21" ht="36" x14ac:dyDescent="0.3">
      <c r="A627" s="10" t="s">
        <v>2047</v>
      </c>
      <c r="B627" s="10"/>
      <c r="C627" s="30" t="s">
        <v>1985</v>
      </c>
      <c r="D627" s="15"/>
      <c r="E627" s="15"/>
      <c r="F627" s="25" t="s">
        <v>62</v>
      </c>
      <c r="G627" s="26">
        <v>1.07</v>
      </c>
      <c r="H627" s="31"/>
      <c r="I627" s="31">
        <v>49.22</v>
      </c>
      <c r="J627" s="27">
        <v>1384.96</v>
      </c>
      <c r="M627" s="28">
        <f>ROUND(ROUND(J627, 2)*I627, 2)</f>
        <v>68167.73</v>
      </c>
      <c r="P627" s="27">
        <v>1384.95</v>
      </c>
      <c r="S627" s="28">
        <f>ROUND(ROUND(P627, 2)*I627, 2)</f>
        <v>68167.240000000005</v>
      </c>
    </row>
    <row r="628" spans="1:21" ht="18" x14ac:dyDescent="0.3">
      <c r="A628" s="10" t="s">
        <v>2050</v>
      </c>
      <c r="B628" s="10"/>
      <c r="C628" s="30" t="s">
        <v>1200</v>
      </c>
      <c r="D628" s="15"/>
      <c r="E628" s="15"/>
      <c r="F628" s="25" t="s">
        <v>278</v>
      </c>
      <c r="G628" s="26">
        <v>1.2</v>
      </c>
      <c r="H628" s="31"/>
      <c r="I628" s="31">
        <v>55.2</v>
      </c>
      <c r="J628" s="27">
        <v>16.12</v>
      </c>
      <c r="M628" s="28">
        <f>ROUND(ROUND(J628, 2)*I628, 2)</f>
        <v>889.82</v>
      </c>
      <c r="P628" s="27">
        <v>16.11</v>
      </c>
      <c r="S628" s="28">
        <f>ROUND(ROUND(P628, 2)*I628, 2)</f>
        <v>889.27</v>
      </c>
    </row>
    <row r="629" spans="1:21" ht="18" x14ac:dyDescent="0.3">
      <c r="A629" s="10" t="s">
        <v>2053</v>
      </c>
      <c r="B629" s="10"/>
      <c r="C629" s="24" t="s">
        <v>543</v>
      </c>
      <c r="D629" s="15"/>
      <c r="E629" s="15"/>
      <c r="F629" s="25" t="s">
        <v>278</v>
      </c>
      <c r="G629" s="26">
        <v>0.15</v>
      </c>
      <c r="H629" s="26"/>
      <c r="I629" s="26">
        <v>6.9</v>
      </c>
      <c r="J629" s="27">
        <v>68.400000000000006</v>
      </c>
      <c r="M629" s="28">
        <f>ROUND(ROUND(J629, 2)*I629, 2)</f>
        <v>471.96</v>
      </c>
      <c r="P629" s="27">
        <v>68.400000000000006</v>
      </c>
      <c r="S629" s="28">
        <f>ROUND(ROUND(P629, 2)*I629, 2)</f>
        <v>471.96</v>
      </c>
    </row>
    <row r="630" spans="1:21" ht="18" x14ac:dyDescent="0.3">
      <c r="A630" s="10" t="s">
        <v>2056</v>
      </c>
      <c r="B630" s="10"/>
      <c r="C630" s="24" t="s">
        <v>1157</v>
      </c>
      <c r="D630" s="15"/>
      <c r="E630" s="15"/>
      <c r="F630" s="25" t="s">
        <v>278</v>
      </c>
      <c r="G630" s="26">
        <v>0.25</v>
      </c>
      <c r="H630" s="31"/>
      <c r="I630" s="31">
        <v>11.5</v>
      </c>
      <c r="J630" s="27">
        <v>40.270000000000003</v>
      </c>
      <c r="M630" s="28">
        <f>ROUND(ROUND(J630, 2)*I630, 2)</f>
        <v>463.11</v>
      </c>
      <c r="P630" s="27">
        <v>40.270000000000003</v>
      </c>
      <c r="S630" s="28">
        <f>ROUND(ROUND(P630, 2)*I630, 2)</f>
        <v>463.11</v>
      </c>
    </row>
    <row r="631" spans="1:21" ht="91.05" customHeight="1" x14ac:dyDescent="0.3">
      <c r="A631" s="10" t="s">
        <v>2059</v>
      </c>
      <c r="B631" s="10" t="s">
        <v>1971</v>
      </c>
      <c r="C631" s="14" t="s">
        <v>1972</v>
      </c>
      <c r="D631" s="15"/>
      <c r="E631" s="15" t="s">
        <v>2060</v>
      </c>
      <c r="F631" s="15" t="s">
        <v>62</v>
      </c>
      <c r="G631" s="16">
        <v>1</v>
      </c>
      <c r="H631" s="16"/>
      <c r="I631" s="16">
        <v>67.87</v>
      </c>
      <c r="J631" s="17">
        <f>IFERROR(ROUND(SUM(M632,M633,M634,M635)/I631, 2),0)</f>
        <v>1583.25</v>
      </c>
      <c r="K631" s="18">
        <v>2363.9899999999998</v>
      </c>
      <c r="L631" s="17">
        <f>J631+ROUND(K631, 2)</f>
        <v>3947.24</v>
      </c>
      <c r="M631" s="17">
        <f>ROUND(J631*I631, 2)</f>
        <v>107455.18</v>
      </c>
      <c r="N631" s="17">
        <f>ROUND(I631*ROUND(K631, 2), 2)</f>
        <v>160444</v>
      </c>
      <c r="O631" s="17">
        <f>M631+N631</f>
        <v>267899.18</v>
      </c>
      <c r="P631" s="17">
        <f>IFERROR(ROUND(SUM(S632,S633,S634,S635)/I631, 2),0)</f>
        <v>1583.25</v>
      </c>
      <c r="Q631" s="19">
        <v>3546</v>
      </c>
      <c r="R631" s="17">
        <f>P631+ROUND(Q631, 2)</f>
        <v>5129.25</v>
      </c>
      <c r="S631" s="17">
        <f>ROUND(P631*I631, 2)</f>
        <v>107455.18</v>
      </c>
      <c r="T631" s="17">
        <f>ROUND(I631*ROUND(Q631, 2), 2)</f>
        <v>240667.02</v>
      </c>
      <c r="U631" s="17">
        <f>S631+T631</f>
        <v>348122.19999999995</v>
      </c>
    </row>
    <row r="632" spans="1:21" ht="36" x14ac:dyDescent="0.3">
      <c r="A632" s="10" t="s">
        <v>2061</v>
      </c>
      <c r="B632" s="10"/>
      <c r="C632" s="24" t="s">
        <v>2062</v>
      </c>
      <c r="D632" s="15"/>
      <c r="E632" s="15" t="s">
        <v>2063</v>
      </c>
      <c r="F632" s="25" t="s">
        <v>278</v>
      </c>
      <c r="G632" s="26">
        <v>0.17699999999999999</v>
      </c>
      <c r="H632" s="31"/>
      <c r="I632" s="31">
        <v>12.013</v>
      </c>
      <c r="J632" s="27">
        <v>40.94</v>
      </c>
      <c r="M632" s="28">
        <f>ROUND(ROUND(J632, 2)*I632, 2)</f>
        <v>491.81</v>
      </c>
      <c r="P632" s="29">
        <v>40.94</v>
      </c>
      <c r="S632" s="28">
        <f>ROUND(ROUND(P632, 2)*I632, 2)</f>
        <v>491.81</v>
      </c>
    </row>
    <row r="633" spans="1:21" ht="18" x14ac:dyDescent="0.3">
      <c r="A633" s="10" t="s">
        <v>2067</v>
      </c>
      <c r="B633" s="10"/>
      <c r="C633" s="24" t="s">
        <v>543</v>
      </c>
      <c r="D633" s="15"/>
      <c r="E633" s="15"/>
      <c r="F633" s="25" t="s">
        <v>278</v>
      </c>
      <c r="G633" s="26">
        <v>0.15</v>
      </c>
      <c r="H633" s="26"/>
      <c r="I633" s="26">
        <v>10.180999999999999</v>
      </c>
      <c r="J633" s="27">
        <v>69.540000000000006</v>
      </c>
      <c r="M633" s="28">
        <f>ROUND(ROUND(J633, 2)*I633, 2)</f>
        <v>707.99</v>
      </c>
      <c r="P633" s="29">
        <v>69.540000000000006</v>
      </c>
      <c r="S633" s="28">
        <f>ROUND(ROUND(P633, 2)*I633, 2)</f>
        <v>707.99</v>
      </c>
    </row>
    <row r="634" spans="1:21" ht="18" x14ac:dyDescent="0.3">
      <c r="A634" s="10" t="s">
        <v>2070</v>
      </c>
      <c r="B634" s="10"/>
      <c r="C634" s="30" t="s">
        <v>1200</v>
      </c>
      <c r="D634" s="15"/>
      <c r="E634" s="15"/>
      <c r="F634" s="25" t="s">
        <v>278</v>
      </c>
      <c r="G634" s="26">
        <v>1.2</v>
      </c>
      <c r="H634" s="31"/>
      <c r="I634" s="31">
        <v>244.33199999999999</v>
      </c>
      <c r="J634" s="27">
        <v>16.38</v>
      </c>
      <c r="M634" s="28">
        <f>ROUND(ROUND(J634, 2)*I634, 2)</f>
        <v>4002.16</v>
      </c>
      <c r="P634" s="29">
        <v>16.38</v>
      </c>
      <c r="S634" s="28">
        <f>ROUND(ROUND(P634, 2)*I634, 2)</f>
        <v>4002.16</v>
      </c>
    </row>
    <row r="635" spans="1:21" ht="54" x14ac:dyDescent="0.3">
      <c r="A635" s="10" t="s">
        <v>2073</v>
      </c>
      <c r="B635" s="10"/>
      <c r="C635" s="30" t="s">
        <v>1985</v>
      </c>
      <c r="D635" s="15"/>
      <c r="E635" s="15" t="s">
        <v>2074</v>
      </c>
      <c r="F635" s="25" t="s">
        <v>62</v>
      </c>
      <c r="G635" s="26">
        <v>1.07</v>
      </c>
      <c r="H635" s="31"/>
      <c r="I635" s="31">
        <v>72.620999999999995</v>
      </c>
      <c r="J635" s="27">
        <v>1408.04</v>
      </c>
      <c r="M635" s="28">
        <f>ROUND(ROUND(J635, 2)*I635, 2)</f>
        <v>102253.27</v>
      </c>
      <c r="P635" s="29">
        <v>1408.04</v>
      </c>
      <c r="S635" s="28">
        <f>ROUND(ROUND(P635, 2)*I635, 2)</f>
        <v>102253.27</v>
      </c>
    </row>
    <row r="636" spans="1:21" ht="85.95" customHeight="1" x14ac:dyDescent="0.3">
      <c r="A636" s="10" t="s">
        <v>2077</v>
      </c>
      <c r="B636" s="10" t="s">
        <v>1971</v>
      </c>
      <c r="C636" s="14" t="s">
        <v>1972</v>
      </c>
      <c r="D636" s="15"/>
      <c r="E636" s="15" t="s">
        <v>2078</v>
      </c>
      <c r="F636" s="15" t="s">
        <v>62</v>
      </c>
      <c r="G636" s="16">
        <v>1</v>
      </c>
      <c r="H636" s="16"/>
      <c r="I636" s="16">
        <v>115.5</v>
      </c>
      <c r="J636" s="17">
        <f>IFERROR(ROUND(SUM(M637,M638,M639,M640)/I636, 2),0)</f>
        <v>1586.24</v>
      </c>
      <c r="K636" s="18">
        <v>2363.9899999999998</v>
      </c>
      <c r="L636" s="17">
        <f>J636+ROUND(K636, 2)</f>
        <v>3950.2299999999996</v>
      </c>
      <c r="M636" s="17">
        <f>ROUND(J636*I636, 2)</f>
        <v>183210.72</v>
      </c>
      <c r="N636" s="17">
        <f>ROUND(I636*ROUND(K636, 2), 2)</f>
        <v>273040.84999999998</v>
      </c>
      <c r="O636" s="17">
        <f>M636+N636</f>
        <v>456251.56999999995</v>
      </c>
      <c r="P636" s="17">
        <f>IFERROR(ROUND(SUM(S637,S638,S639,S640)/I636, 2),0)</f>
        <v>1596.82</v>
      </c>
      <c r="Q636" s="19">
        <v>3546</v>
      </c>
      <c r="R636" s="17">
        <f>P636+ROUND(Q636, 2)</f>
        <v>5142.82</v>
      </c>
      <c r="S636" s="17">
        <f>ROUND(P636*I636, 2)</f>
        <v>184432.71</v>
      </c>
      <c r="T636" s="17">
        <f>ROUND(I636*ROUND(Q636, 2), 2)</f>
        <v>409563</v>
      </c>
      <c r="U636" s="17">
        <f>S636+T636</f>
        <v>593995.71</v>
      </c>
    </row>
    <row r="637" spans="1:21" ht="54" x14ac:dyDescent="0.3">
      <c r="A637" s="10" t="s">
        <v>2079</v>
      </c>
      <c r="B637" s="10"/>
      <c r="C637" s="30" t="s">
        <v>1985</v>
      </c>
      <c r="D637" s="15"/>
      <c r="E637" s="15" t="s">
        <v>2074</v>
      </c>
      <c r="F637" s="25" t="s">
        <v>62</v>
      </c>
      <c r="G637" s="26">
        <v>1.07</v>
      </c>
      <c r="H637" s="31"/>
      <c r="I637" s="31">
        <v>123.58499999999999</v>
      </c>
      <c r="J637" s="27">
        <v>1408.04</v>
      </c>
      <c r="M637" s="28">
        <f>ROUND(ROUND(J637, 2)*I637, 2)</f>
        <v>174012.62</v>
      </c>
      <c r="P637" s="29">
        <v>1408.04</v>
      </c>
      <c r="S637" s="28">
        <f>ROUND(ROUND(P637, 2)*I637, 2)</f>
        <v>174012.62</v>
      </c>
    </row>
    <row r="638" spans="1:21" ht="36" x14ac:dyDescent="0.3">
      <c r="A638" s="10" t="s">
        <v>2082</v>
      </c>
      <c r="B638" s="10"/>
      <c r="C638" s="30" t="s">
        <v>1200</v>
      </c>
      <c r="D638" s="15"/>
      <c r="E638" s="15" t="s">
        <v>2083</v>
      </c>
      <c r="F638" s="25" t="s">
        <v>278</v>
      </c>
      <c r="G638" s="26">
        <v>1.2</v>
      </c>
      <c r="H638" s="31"/>
      <c r="I638" s="31">
        <v>415.8</v>
      </c>
      <c r="J638" s="27">
        <v>16.38</v>
      </c>
      <c r="M638" s="28">
        <f>ROUND(ROUND(J638, 2)*I638, 2)</f>
        <v>6810.8</v>
      </c>
      <c r="P638" s="29">
        <v>19.32</v>
      </c>
      <c r="S638" s="28">
        <f>ROUND(ROUND(P638, 2)*I638, 2)</f>
        <v>8033.26</v>
      </c>
    </row>
    <row r="639" spans="1:21" ht="18" x14ac:dyDescent="0.3">
      <c r="A639" s="10" t="s">
        <v>2086</v>
      </c>
      <c r="B639" s="10"/>
      <c r="C639" s="24" t="s">
        <v>543</v>
      </c>
      <c r="D639" s="15"/>
      <c r="E639" s="15"/>
      <c r="F639" s="25" t="s">
        <v>278</v>
      </c>
      <c r="G639" s="26">
        <v>0.15</v>
      </c>
      <c r="H639" s="26"/>
      <c r="I639" s="26">
        <v>17.324999999999999</v>
      </c>
      <c r="J639" s="27">
        <v>69.540000000000006</v>
      </c>
      <c r="M639" s="28">
        <f>ROUND(ROUND(J639, 2)*I639, 2)</f>
        <v>1204.78</v>
      </c>
      <c r="P639" s="29">
        <v>69.540000000000006</v>
      </c>
      <c r="S639" s="28">
        <f>ROUND(ROUND(P639, 2)*I639, 2)</f>
        <v>1204.78</v>
      </c>
    </row>
    <row r="640" spans="1:21" ht="18" x14ac:dyDescent="0.3">
      <c r="A640" s="10" t="s">
        <v>2089</v>
      </c>
      <c r="B640" s="10"/>
      <c r="C640" s="24" t="s">
        <v>1157</v>
      </c>
      <c r="D640" s="15"/>
      <c r="E640" s="15"/>
      <c r="F640" s="25" t="s">
        <v>278</v>
      </c>
      <c r="G640" s="26">
        <v>0.25</v>
      </c>
      <c r="H640" s="31"/>
      <c r="I640" s="31">
        <v>28.875</v>
      </c>
      <c r="J640" s="27">
        <v>40.94</v>
      </c>
      <c r="M640" s="28">
        <f>ROUND(ROUND(J640, 2)*I640, 2)</f>
        <v>1182.1400000000001</v>
      </c>
      <c r="P640" s="29">
        <v>40.94</v>
      </c>
      <c r="S640" s="28">
        <f>ROUND(ROUND(P640, 2)*I640, 2)</f>
        <v>1182.1400000000001</v>
      </c>
    </row>
    <row r="641" spans="1:21" ht="96" customHeight="1" x14ac:dyDescent="0.3">
      <c r="A641" s="10" t="s">
        <v>2092</v>
      </c>
      <c r="B641" s="10" t="s">
        <v>1971</v>
      </c>
      <c r="C641" s="14" t="s">
        <v>1972</v>
      </c>
      <c r="D641" s="15"/>
      <c r="E641" s="15" t="s">
        <v>2093</v>
      </c>
      <c r="F641" s="15" t="s">
        <v>62</v>
      </c>
      <c r="G641" s="16">
        <v>1</v>
      </c>
      <c r="H641" s="16"/>
      <c r="I641" s="16">
        <v>628.91</v>
      </c>
      <c r="J641" s="17">
        <f>IFERROR(ROUND(SUM(M642,M643,M644,M645)/I641, 2),0)</f>
        <v>1107.6400000000001</v>
      </c>
      <c r="K641" s="18">
        <v>2363.9899999999998</v>
      </c>
      <c r="L641" s="17">
        <f>J641+ROUND(K641, 2)</f>
        <v>3471.63</v>
      </c>
      <c r="M641" s="17">
        <f>ROUND(J641*I641, 2)</f>
        <v>696605.87</v>
      </c>
      <c r="N641" s="17">
        <f>ROUND(I641*ROUND(K641, 2), 2)</f>
        <v>1486736.95</v>
      </c>
      <c r="O641" s="17">
        <f>M641+N641</f>
        <v>2183342.8199999998</v>
      </c>
      <c r="P641" s="17">
        <f>IFERROR(ROUND(SUM(S642,S643,S644,S645)/I641, 2),0)</f>
        <v>1118.22</v>
      </c>
      <c r="Q641" s="19">
        <v>3546</v>
      </c>
      <c r="R641" s="17">
        <f>P641+ROUND(Q641, 2)</f>
        <v>4664.22</v>
      </c>
      <c r="S641" s="17">
        <f>ROUND(P641*I641, 2)</f>
        <v>703259.74</v>
      </c>
      <c r="T641" s="17">
        <f>ROUND(I641*ROUND(Q641, 2), 2)</f>
        <v>2230114.86</v>
      </c>
      <c r="U641" s="17">
        <f>S641+T641</f>
        <v>2933374.5999999996</v>
      </c>
    </row>
    <row r="642" spans="1:21" ht="18" x14ac:dyDescent="0.3">
      <c r="A642" s="10" t="s">
        <v>2094</v>
      </c>
      <c r="B642" s="10"/>
      <c r="C642" s="24" t="s">
        <v>1157</v>
      </c>
      <c r="D642" s="15"/>
      <c r="E642" s="15"/>
      <c r="F642" s="25" t="s">
        <v>278</v>
      </c>
      <c r="G642" s="26">
        <v>0.25</v>
      </c>
      <c r="H642" s="31"/>
      <c r="I642" s="31">
        <v>157.22800000000001</v>
      </c>
      <c r="J642" s="27">
        <v>40.94</v>
      </c>
      <c r="M642" s="28">
        <f>ROUND(ROUND(J642, 2)*I642, 2)</f>
        <v>6436.91</v>
      </c>
      <c r="P642" s="29">
        <v>40.94</v>
      </c>
      <c r="S642" s="28">
        <f>ROUND(ROUND(P642, 2)*I642, 2)</f>
        <v>6436.91</v>
      </c>
    </row>
    <row r="643" spans="1:21" ht="18" x14ac:dyDescent="0.3">
      <c r="A643" s="10" t="s">
        <v>2097</v>
      </c>
      <c r="B643" s="10"/>
      <c r="C643" s="24" t="s">
        <v>543</v>
      </c>
      <c r="D643" s="15"/>
      <c r="E643" s="15"/>
      <c r="F643" s="25" t="s">
        <v>278</v>
      </c>
      <c r="G643" s="26">
        <v>0.15</v>
      </c>
      <c r="H643" s="26"/>
      <c r="I643" s="26">
        <v>94.337000000000003</v>
      </c>
      <c r="J643" s="27">
        <v>69.540000000000006</v>
      </c>
      <c r="M643" s="28">
        <f>ROUND(ROUND(J643, 2)*I643, 2)</f>
        <v>6560.19</v>
      </c>
      <c r="P643" s="29">
        <v>69.540000000000006</v>
      </c>
      <c r="S643" s="28">
        <f>ROUND(ROUND(P643, 2)*I643, 2)</f>
        <v>6560.19</v>
      </c>
    </row>
    <row r="644" spans="1:21" ht="36" x14ac:dyDescent="0.3">
      <c r="A644" s="10" t="s">
        <v>2100</v>
      </c>
      <c r="B644" s="10"/>
      <c r="C644" s="30" t="s">
        <v>1200</v>
      </c>
      <c r="D644" s="15"/>
      <c r="E644" s="15" t="s">
        <v>2083</v>
      </c>
      <c r="F644" s="25" t="s">
        <v>278</v>
      </c>
      <c r="G644" s="26">
        <v>1.2</v>
      </c>
      <c r="H644" s="31"/>
      <c r="I644" s="31">
        <v>2264.076</v>
      </c>
      <c r="J644" s="27">
        <v>16.38</v>
      </c>
      <c r="M644" s="28">
        <f>ROUND(ROUND(J644, 2)*I644, 2)</f>
        <v>37085.56</v>
      </c>
      <c r="P644" s="29">
        <v>19.32</v>
      </c>
      <c r="S644" s="28">
        <f>ROUND(ROUND(P644, 2)*I644, 2)</f>
        <v>43741.95</v>
      </c>
    </row>
    <row r="645" spans="1:21" ht="36" x14ac:dyDescent="0.3">
      <c r="A645" s="10" t="s">
        <v>2103</v>
      </c>
      <c r="B645" s="10"/>
      <c r="C645" s="30" t="s">
        <v>1991</v>
      </c>
      <c r="D645" s="15"/>
      <c r="E645" s="15"/>
      <c r="F645" s="25" t="s">
        <v>62</v>
      </c>
      <c r="G645" s="26">
        <v>1.07</v>
      </c>
      <c r="H645" s="31"/>
      <c r="I645" s="31">
        <v>672.93399999999997</v>
      </c>
      <c r="J645" s="27">
        <v>960.75</v>
      </c>
      <c r="M645" s="28">
        <f>ROUND(ROUND(J645, 2)*I645, 2)</f>
        <v>646521.34</v>
      </c>
      <c r="P645" s="29">
        <v>960.75</v>
      </c>
      <c r="S645" s="28">
        <f>ROUND(ROUND(P645, 2)*I645, 2)</f>
        <v>646521.34</v>
      </c>
    </row>
    <row r="646" spans="1:21" ht="85.05" customHeight="1" x14ac:dyDescent="0.3">
      <c r="A646" s="10" t="s">
        <v>2106</v>
      </c>
      <c r="B646" s="10" t="s">
        <v>1971</v>
      </c>
      <c r="C646" s="14" t="s">
        <v>1972</v>
      </c>
      <c r="D646" s="15"/>
      <c r="E646" s="15" t="s">
        <v>2107</v>
      </c>
      <c r="F646" s="15" t="s">
        <v>62</v>
      </c>
      <c r="G646" s="16">
        <v>1</v>
      </c>
      <c r="H646" s="16"/>
      <c r="I646" s="16">
        <v>2.3199999999999998</v>
      </c>
      <c r="J646" s="17">
        <f>IFERROR(ROUND(SUM(M647,M648,M649,M650)/I646, 2),0)</f>
        <v>1586</v>
      </c>
      <c r="K646" s="18">
        <v>2363.9899999999998</v>
      </c>
      <c r="L646" s="17">
        <f>J646+ROUND(K646, 2)</f>
        <v>3949.99</v>
      </c>
      <c r="M646" s="17">
        <f>ROUND(J646*I646, 2)</f>
        <v>3679.52</v>
      </c>
      <c r="N646" s="17">
        <f>ROUND(I646*ROUND(K646, 2), 2)</f>
        <v>5484.46</v>
      </c>
      <c r="O646" s="17">
        <f>M646+N646</f>
        <v>9163.98</v>
      </c>
      <c r="P646" s="17">
        <f>IFERROR(ROUND(SUM(S647,S648,S649,S650)/I646, 2),0)</f>
        <v>1586</v>
      </c>
      <c r="Q646" s="19">
        <v>3546</v>
      </c>
      <c r="R646" s="17">
        <f>P646+ROUND(Q646, 2)</f>
        <v>5132</v>
      </c>
      <c r="S646" s="17">
        <f>ROUND(P646*I646, 2)</f>
        <v>3679.52</v>
      </c>
      <c r="T646" s="17">
        <f>ROUND(I646*ROUND(Q646, 2), 2)</f>
        <v>8226.7199999999993</v>
      </c>
      <c r="U646" s="17">
        <f>S646+T646</f>
        <v>11906.24</v>
      </c>
    </row>
    <row r="647" spans="1:21" ht="54" x14ac:dyDescent="0.3">
      <c r="A647" s="10" t="s">
        <v>2108</v>
      </c>
      <c r="B647" s="10"/>
      <c r="C647" s="30" t="s">
        <v>1985</v>
      </c>
      <c r="D647" s="15"/>
      <c r="E647" s="15" t="s">
        <v>2074</v>
      </c>
      <c r="F647" s="25" t="s">
        <v>62</v>
      </c>
      <c r="G647" s="26">
        <v>1.07</v>
      </c>
      <c r="H647" s="31"/>
      <c r="I647" s="31">
        <v>2.4820000000000002</v>
      </c>
      <c r="J647" s="27">
        <v>1408.04</v>
      </c>
      <c r="M647" s="28">
        <f>ROUND(ROUND(J647, 2)*I647, 2)</f>
        <v>3494.76</v>
      </c>
      <c r="P647" s="29">
        <v>1408.04</v>
      </c>
      <c r="S647" s="28">
        <f>ROUND(ROUND(P647, 2)*I647, 2)</f>
        <v>3494.76</v>
      </c>
    </row>
    <row r="648" spans="1:21" ht="18" x14ac:dyDescent="0.3">
      <c r="A648" s="10" t="s">
        <v>2111</v>
      </c>
      <c r="B648" s="10"/>
      <c r="C648" s="30" t="s">
        <v>1200</v>
      </c>
      <c r="D648" s="15"/>
      <c r="E648" s="15"/>
      <c r="F648" s="25" t="s">
        <v>278</v>
      </c>
      <c r="G648" s="26">
        <v>1.2</v>
      </c>
      <c r="H648" s="31"/>
      <c r="I648" s="31">
        <v>8.3520000000000003</v>
      </c>
      <c r="J648" s="27">
        <v>16.38</v>
      </c>
      <c r="M648" s="28">
        <f>ROUND(ROUND(J648, 2)*I648, 2)</f>
        <v>136.81</v>
      </c>
      <c r="P648" s="29">
        <v>16.38</v>
      </c>
      <c r="S648" s="28">
        <f>ROUND(ROUND(P648, 2)*I648, 2)</f>
        <v>136.81</v>
      </c>
    </row>
    <row r="649" spans="1:21" ht="18" x14ac:dyDescent="0.3">
      <c r="A649" s="10" t="s">
        <v>2114</v>
      </c>
      <c r="B649" s="10"/>
      <c r="C649" s="24" t="s">
        <v>543</v>
      </c>
      <c r="D649" s="15"/>
      <c r="E649" s="15"/>
      <c r="F649" s="25" t="s">
        <v>278</v>
      </c>
      <c r="G649" s="26">
        <v>0.15</v>
      </c>
      <c r="H649" s="26"/>
      <c r="I649" s="26">
        <v>0.34799999999999998</v>
      </c>
      <c r="J649" s="27">
        <v>69.540000000000006</v>
      </c>
      <c r="M649" s="28">
        <f>ROUND(ROUND(J649, 2)*I649, 2)</f>
        <v>24.2</v>
      </c>
      <c r="P649" s="29">
        <v>69.540000000000006</v>
      </c>
      <c r="S649" s="28">
        <f>ROUND(ROUND(P649, 2)*I649, 2)</f>
        <v>24.2</v>
      </c>
    </row>
    <row r="650" spans="1:21" ht="18" x14ac:dyDescent="0.3">
      <c r="A650" s="10" t="s">
        <v>2117</v>
      </c>
      <c r="B650" s="10"/>
      <c r="C650" s="24" t="s">
        <v>1157</v>
      </c>
      <c r="D650" s="15"/>
      <c r="E650" s="15"/>
      <c r="F650" s="25" t="s">
        <v>278</v>
      </c>
      <c r="G650" s="26">
        <v>0.25</v>
      </c>
      <c r="H650" s="31"/>
      <c r="I650" s="31">
        <v>0.57999999999999996</v>
      </c>
      <c r="J650" s="27">
        <v>40.94</v>
      </c>
      <c r="M650" s="28">
        <f>ROUND(ROUND(J650, 2)*I650, 2)</f>
        <v>23.75</v>
      </c>
      <c r="P650" s="29">
        <v>40.94</v>
      </c>
      <c r="S650" s="28">
        <f>ROUND(ROUND(P650, 2)*I650, 2)</f>
        <v>23.75</v>
      </c>
    </row>
    <row r="651" spans="1:21" ht="36" x14ac:dyDescent="0.3">
      <c r="A651" s="10" t="s">
        <v>2120</v>
      </c>
      <c r="B651" s="10" t="s">
        <v>2121</v>
      </c>
      <c r="C651" s="14" t="s">
        <v>2122</v>
      </c>
      <c r="D651" s="15"/>
      <c r="E651" s="15"/>
      <c r="F651" s="15" t="s">
        <v>62</v>
      </c>
      <c r="G651" s="16">
        <v>1</v>
      </c>
      <c r="H651" s="16"/>
      <c r="I651" s="16">
        <v>0</v>
      </c>
      <c r="J651" s="17">
        <v>0</v>
      </c>
      <c r="K651" s="18">
        <v>2983</v>
      </c>
      <c r="L651" s="17">
        <f>J651+ROUND(K651, 2)</f>
        <v>2983</v>
      </c>
      <c r="M651" s="17">
        <v>0</v>
      </c>
      <c r="N651" s="17">
        <v>0</v>
      </c>
      <c r="O651" s="17">
        <f>M651+N651</f>
        <v>0</v>
      </c>
      <c r="P651" s="17">
        <v>1253.43</v>
      </c>
      <c r="Q651" s="18">
        <v>2983</v>
      </c>
      <c r="R651" s="17">
        <f>P651+ROUND(Q651, 2)</f>
        <v>4236.43</v>
      </c>
      <c r="S651" s="17">
        <v>0</v>
      </c>
      <c r="T651" s="17">
        <v>0</v>
      </c>
      <c r="U651" s="17">
        <f>S651+T651</f>
        <v>0</v>
      </c>
    </row>
    <row r="652" spans="1:21" ht="18" x14ac:dyDescent="0.3">
      <c r="A652" s="10" t="s">
        <v>2125</v>
      </c>
      <c r="B652" s="10"/>
      <c r="C652" s="30" t="s">
        <v>2126</v>
      </c>
      <c r="D652" s="15"/>
      <c r="E652" s="15"/>
      <c r="F652" s="25" t="s">
        <v>62</v>
      </c>
      <c r="G652" s="26">
        <v>1.1000000000000001</v>
      </c>
      <c r="H652" s="31"/>
      <c r="I652" s="31">
        <v>0</v>
      </c>
      <c r="J652" s="27">
        <v>2038.05</v>
      </c>
      <c r="M652" s="28">
        <f>ROUND(ROUND(J652, 2)*I652, 2)</f>
        <v>0</v>
      </c>
      <c r="P652" s="27">
        <v>1102.5</v>
      </c>
      <c r="S652" s="28">
        <f>ROUND(ROUND(P652, 2)*I652, 2)</f>
        <v>0</v>
      </c>
    </row>
    <row r="653" spans="1:21" ht="18" x14ac:dyDescent="0.3">
      <c r="A653" s="10" t="s">
        <v>2130</v>
      </c>
      <c r="B653" s="10"/>
      <c r="C653" s="30" t="s">
        <v>1200</v>
      </c>
      <c r="D653" s="15"/>
      <c r="E653" s="15"/>
      <c r="F653" s="25" t="s">
        <v>278</v>
      </c>
      <c r="G653" s="26">
        <v>1.2</v>
      </c>
      <c r="H653" s="31"/>
      <c r="I653" s="31">
        <v>0</v>
      </c>
      <c r="J653" s="27">
        <v>16.96</v>
      </c>
      <c r="M653" s="28">
        <f>ROUND(ROUND(J653, 2)*I653, 2)</f>
        <v>0</v>
      </c>
      <c r="P653" s="27">
        <v>16.96</v>
      </c>
      <c r="S653" s="28">
        <f>ROUND(ROUND(P653, 2)*I653, 2)</f>
        <v>0</v>
      </c>
    </row>
    <row r="654" spans="1:21" ht="18" x14ac:dyDescent="0.3">
      <c r="A654" s="10" t="s">
        <v>2133</v>
      </c>
      <c r="B654" s="10"/>
      <c r="C654" s="24" t="s">
        <v>1157</v>
      </c>
      <c r="D654" s="15"/>
      <c r="E654" s="15"/>
      <c r="F654" s="25" t="s">
        <v>278</v>
      </c>
      <c r="G654" s="26">
        <v>0.25</v>
      </c>
      <c r="H654" s="31"/>
      <c r="I654" s="31">
        <v>0</v>
      </c>
      <c r="J654" s="27">
        <v>40.270000000000003</v>
      </c>
      <c r="M654" s="28">
        <f>ROUND(ROUND(J654, 2)*I654, 2)</f>
        <v>0</v>
      </c>
      <c r="P654" s="27">
        <v>40.270000000000003</v>
      </c>
      <c r="S654" s="28">
        <f>ROUND(ROUND(P654, 2)*I654, 2)</f>
        <v>0</v>
      </c>
    </row>
    <row r="655" spans="1:21" ht="18" x14ac:dyDescent="0.3">
      <c r="A655" s="10" t="s">
        <v>2136</v>
      </c>
      <c r="B655" s="10"/>
      <c r="C655" s="24" t="s">
        <v>543</v>
      </c>
      <c r="D655" s="15"/>
      <c r="E655" s="15"/>
      <c r="F655" s="25" t="s">
        <v>278</v>
      </c>
      <c r="G655" s="26">
        <v>0.15</v>
      </c>
      <c r="H655" s="26"/>
      <c r="I655" s="26">
        <v>0</v>
      </c>
      <c r="J655" s="27">
        <v>68.400000000000006</v>
      </c>
      <c r="M655" s="28">
        <f>ROUND(ROUND(J655, 2)*I655, 2)</f>
        <v>0</v>
      </c>
      <c r="P655" s="27">
        <v>68.400000000000006</v>
      </c>
      <c r="S655" s="28">
        <f>ROUND(ROUND(P655, 2)*I655, 2)</f>
        <v>0</v>
      </c>
    </row>
    <row r="656" spans="1:21" ht="36" x14ac:dyDescent="0.3">
      <c r="A656" s="10" t="s">
        <v>2139</v>
      </c>
      <c r="B656" s="10" t="s">
        <v>2121</v>
      </c>
      <c r="C656" s="14" t="s">
        <v>2122</v>
      </c>
      <c r="D656" s="15"/>
      <c r="E656" s="15"/>
      <c r="F656" s="15" t="s">
        <v>62</v>
      </c>
      <c r="G656" s="16">
        <v>1</v>
      </c>
      <c r="H656" s="16"/>
      <c r="I656" s="16">
        <v>0</v>
      </c>
      <c r="J656" s="17">
        <v>0</v>
      </c>
      <c r="K656" s="18">
        <v>2983</v>
      </c>
      <c r="L656" s="17">
        <f>J656+ROUND(K656, 2)</f>
        <v>2983</v>
      </c>
      <c r="M656" s="17">
        <v>0</v>
      </c>
      <c r="N656" s="17">
        <v>0</v>
      </c>
      <c r="O656" s="17">
        <f>M656+N656</f>
        <v>0</v>
      </c>
      <c r="P656" s="17">
        <v>1253.43</v>
      </c>
      <c r="Q656" s="18">
        <v>2983</v>
      </c>
      <c r="R656" s="17">
        <f>P656+ROUND(Q656, 2)</f>
        <v>4236.43</v>
      </c>
      <c r="S656" s="17">
        <v>0</v>
      </c>
      <c r="T656" s="17">
        <v>0</v>
      </c>
      <c r="U656" s="17">
        <f>S656+T656</f>
        <v>0</v>
      </c>
    </row>
    <row r="657" spans="1:21" ht="18" x14ac:dyDescent="0.3">
      <c r="A657" s="10" t="s">
        <v>2140</v>
      </c>
      <c r="B657" s="10"/>
      <c r="C657" s="24" t="s">
        <v>543</v>
      </c>
      <c r="D657" s="15"/>
      <c r="E657" s="15"/>
      <c r="F657" s="25" t="s">
        <v>278</v>
      </c>
      <c r="G657" s="26">
        <v>0.15</v>
      </c>
      <c r="H657" s="26"/>
      <c r="I657" s="26">
        <v>0</v>
      </c>
      <c r="J657" s="27">
        <v>68.400000000000006</v>
      </c>
      <c r="M657" s="28">
        <f>ROUND(ROUND(J657, 2)*I657, 2)</f>
        <v>0</v>
      </c>
      <c r="P657" s="27">
        <v>68.400000000000006</v>
      </c>
      <c r="S657" s="28">
        <f>ROUND(ROUND(P657, 2)*I657, 2)</f>
        <v>0</v>
      </c>
    </row>
    <row r="658" spans="1:21" ht="18" x14ac:dyDescent="0.3">
      <c r="A658" s="10" t="s">
        <v>2143</v>
      </c>
      <c r="B658" s="10"/>
      <c r="C658" s="24" t="s">
        <v>1157</v>
      </c>
      <c r="D658" s="15"/>
      <c r="E658" s="15"/>
      <c r="F658" s="25" t="s">
        <v>278</v>
      </c>
      <c r="G658" s="26">
        <v>0.25</v>
      </c>
      <c r="H658" s="31"/>
      <c r="I658" s="31">
        <v>0</v>
      </c>
      <c r="J658" s="27">
        <v>40.270000000000003</v>
      </c>
      <c r="M658" s="28">
        <f>ROUND(ROUND(J658, 2)*I658, 2)</f>
        <v>0</v>
      </c>
      <c r="P658" s="27">
        <v>40.270000000000003</v>
      </c>
      <c r="S658" s="28">
        <f>ROUND(ROUND(P658, 2)*I658, 2)</f>
        <v>0</v>
      </c>
    </row>
    <row r="659" spans="1:21" ht="18" x14ac:dyDescent="0.3">
      <c r="A659" s="10" t="s">
        <v>2146</v>
      </c>
      <c r="B659" s="10"/>
      <c r="C659" s="30" t="s">
        <v>1200</v>
      </c>
      <c r="D659" s="15"/>
      <c r="E659" s="15"/>
      <c r="F659" s="25" t="s">
        <v>278</v>
      </c>
      <c r="G659" s="26">
        <v>1.2</v>
      </c>
      <c r="H659" s="31"/>
      <c r="I659" s="31">
        <v>0</v>
      </c>
      <c r="J659" s="27">
        <v>16.96</v>
      </c>
      <c r="M659" s="28">
        <f>ROUND(ROUND(J659, 2)*I659, 2)</f>
        <v>0</v>
      </c>
      <c r="P659" s="27">
        <v>16.96</v>
      </c>
      <c r="S659" s="28">
        <f>ROUND(ROUND(P659, 2)*I659, 2)</f>
        <v>0</v>
      </c>
    </row>
    <row r="660" spans="1:21" ht="18" x14ac:dyDescent="0.3">
      <c r="A660" s="10" t="s">
        <v>2149</v>
      </c>
      <c r="B660" s="10"/>
      <c r="C660" s="30" t="s">
        <v>2126</v>
      </c>
      <c r="D660" s="15"/>
      <c r="E660" s="15"/>
      <c r="F660" s="25" t="s">
        <v>62</v>
      </c>
      <c r="G660" s="26">
        <v>1.1000000000000001</v>
      </c>
      <c r="H660" s="31"/>
      <c r="I660" s="31">
        <v>0</v>
      </c>
      <c r="J660" s="27">
        <v>2038.05</v>
      </c>
      <c r="M660" s="28">
        <f>ROUND(ROUND(J660, 2)*I660, 2)</f>
        <v>0</v>
      </c>
      <c r="P660" s="27">
        <v>1102.5</v>
      </c>
      <c r="S660" s="28">
        <f>ROUND(ROUND(P660, 2)*I660, 2)</f>
        <v>0</v>
      </c>
    </row>
    <row r="661" spans="1:21" ht="36" x14ac:dyDescent="0.3">
      <c r="A661" s="10" t="s">
        <v>2152</v>
      </c>
      <c r="B661" s="10" t="s">
        <v>2121</v>
      </c>
      <c r="C661" s="14" t="s">
        <v>2122</v>
      </c>
      <c r="D661" s="15"/>
      <c r="E661" s="15"/>
      <c r="F661" s="15" t="s">
        <v>62</v>
      </c>
      <c r="G661" s="16">
        <v>1</v>
      </c>
      <c r="H661" s="16"/>
      <c r="I661" s="16">
        <v>0</v>
      </c>
      <c r="J661" s="17">
        <v>0</v>
      </c>
      <c r="K661" s="18">
        <v>2983</v>
      </c>
      <c r="L661" s="17">
        <f>J661+ROUND(K661, 2)</f>
        <v>2983</v>
      </c>
      <c r="M661" s="17">
        <v>0</v>
      </c>
      <c r="N661" s="17">
        <v>0</v>
      </c>
      <c r="O661" s="17">
        <f>M661+N661</f>
        <v>0</v>
      </c>
      <c r="P661" s="17">
        <v>1253.43</v>
      </c>
      <c r="Q661" s="18">
        <v>2983</v>
      </c>
      <c r="R661" s="17">
        <f>P661+ROUND(Q661, 2)</f>
        <v>4236.43</v>
      </c>
      <c r="S661" s="17">
        <v>0</v>
      </c>
      <c r="T661" s="17">
        <v>0</v>
      </c>
      <c r="U661" s="17">
        <f>S661+T661</f>
        <v>0</v>
      </c>
    </row>
    <row r="662" spans="1:21" ht="18" x14ac:dyDescent="0.3">
      <c r="A662" s="10" t="s">
        <v>2153</v>
      </c>
      <c r="B662" s="10"/>
      <c r="C662" s="30" t="s">
        <v>2126</v>
      </c>
      <c r="D662" s="15"/>
      <c r="E662" s="15"/>
      <c r="F662" s="25" t="s">
        <v>62</v>
      </c>
      <c r="G662" s="26">
        <v>1.1000000000000001</v>
      </c>
      <c r="H662" s="31"/>
      <c r="I662" s="31">
        <v>0</v>
      </c>
      <c r="J662" s="27">
        <v>2038.05</v>
      </c>
      <c r="M662" s="28">
        <f>ROUND(ROUND(J662, 2)*I662, 2)</f>
        <v>0</v>
      </c>
      <c r="P662" s="27">
        <v>1102.5</v>
      </c>
      <c r="S662" s="28">
        <f>ROUND(ROUND(P662, 2)*I662, 2)</f>
        <v>0</v>
      </c>
    </row>
    <row r="663" spans="1:21" ht="18" x14ac:dyDescent="0.3">
      <c r="A663" s="10" t="s">
        <v>2156</v>
      </c>
      <c r="B663" s="10"/>
      <c r="C663" s="30" t="s">
        <v>1200</v>
      </c>
      <c r="D663" s="15"/>
      <c r="E663" s="15"/>
      <c r="F663" s="25" t="s">
        <v>278</v>
      </c>
      <c r="G663" s="26">
        <v>1.2</v>
      </c>
      <c r="H663" s="31"/>
      <c r="I663" s="31">
        <v>0</v>
      </c>
      <c r="J663" s="27">
        <v>16.96</v>
      </c>
      <c r="M663" s="28">
        <f>ROUND(ROUND(J663, 2)*I663, 2)</f>
        <v>0</v>
      </c>
      <c r="P663" s="27">
        <v>16.96</v>
      </c>
      <c r="S663" s="28">
        <f>ROUND(ROUND(P663, 2)*I663, 2)</f>
        <v>0</v>
      </c>
    </row>
    <row r="664" spans="1:21" ht="18" x14ac:dyDescent="0.3">
      <c r="A664" s="10" t="s">
        <v>2159</v>
      </c>
      <c r="B664" s="10"/>
      <c r="C664" s="24" t="s">
        <v>1157</v>
      </c>
      <c r="D664" s="15"/>
      <c r="E664" s="15"/>
      <c r="F664" s="25" t="s">
        <v>278</v>
      </c>
      <c r="G664" s="26">
        <v>0.25</v>
      </c>
      <c r="H664" s="31"/>
      <c r="I664" s="31">
        <v>0</v>
      </c>
      <c r="J664" s="27">
        <v>40.270000000000003</v>
      </c>
      <c r="M664" s="28">
        <f>ROUND(ROUND(J664, 2)*I664, 2)</f>
        <v>0</v>
      </c>
      <c r="P664" s="27">
        <v>40.270000000000003</v>
      </c>
      <c r="S664" s="28">
        <f>ROUND(ROUND(P664, 2)*I664, 2)</f>
        <v>0</v>
      </c>
    </row>
    <row r="665" spans="1:21" ht="18" x14ac:dyDescent="0.3">
      <c r="A665" s="10" t="s">
        <v>2162</v>
      </c>
      <c r="B665" s="10"/>
      <c r="C665" s="24" t="s">
        <v>543</v>
      </c>
      <c r="D665" s="15"/>
      <c r="E665" s="15"/>
      <c r="F665" s="25" t="s">
        <v>278</v>
      </c>
      <c r="G665" s="26">
        <v>0.15</v>
      </c>
      <c r="H665" s="26"/>
      <c r="I665" s="26">
        <v>0</v>
      </c>
      <c r="J665" s="27">
        <v>68.400000000000006</v>
      </c>
      <c r="M665" s="28">
        <f>ROUND(ROUND(J665, 2)*I665, 2)</f>
        <v>0</v>
      </c>
      <c r="P665" s="27">
        <v>68.400000000000006</v>
      </c>
      <c r="S665" s="28">
        <f>ROUND(ROUND(P665, 2)*I665, 2)</f>
        <v>0</v>
      </c>
    </row>
    <row r="666" spans="1:21" ht="36" x14ac:dyDescent="0.3">
      <c r="A666" s="10" t="s">
        <v>2165</v>
      </c>
      <c r="B666" s="10" t="s">
        <v>2121</v>
      </c>
      <c r="C666" s="14" t="s">
        <v>2122</v>
      </c>
      <c r="D666" s="15"/>
      <c r="E666" s="15"/>
      <c r="F666" s="15" t="s">
        <v>62</v>
      </c>
      <c r="G666" s="16">
        <v>1</v>
      </c>
      <c r="H666" s="16"/>
      <c r="I666" s="16">
        <v>0</v>
      </c>
      <c r="J666" s="17">
        <v>0</v>
      </c>
      <c r="K666" s="18">
        <v>2983</v>
      </c>
      <c r="L666" s="17">
        <f>J666+ROUND(K666, 2)</f>
        <v>2983</v>
      </c>
      <c r="M666" s="17">
        <v>0</v>
      </c>
      <c r="N666" s="17">
        <v>0</v>
      </c>
      <c r="O666" s="17">
        <f>M666+N666</f>
        <v>0</v>
      </c>
      <c r="P666" s="17">
        <v>1253.43</v>
      </c>
      <c r="Q666" s="18">
        <v>2983</v>
      </c>
      <c r="R666" s="17">
        <f>P666+ROUND(Q666, 2)</f>
        <v>4236.43</v>
      </c>
      <c r="S666" s="17">
        <v>0</v>
      </c>
      <c r="T666" s="17">
        <v>0</v>
      </c>
      <c r="U666" s="17">
        <f>S666+T666</f>
        <v>0</v>
      </c>
    </row>
    <row r="667" spans="1:21" ht="18" x14ac:dyDescent="0.3">
      <c r="A667" s="10" t="s">
        <v>2166</v>
      </c>
      <c r="B667" s="10"/>
      <c r="C667" s="24" t="s">
        <v>543</v>
      </c>
      <c r="D667" s="15"/>
      <c r="E667" s="15"/>
      <c r="F667" s="25" t="s">
        <v>278</v>
      </c>
      <c r="G667" s="26">
        <v>0.15</v>
      </c>
      <c r="H667" s="26"/>
      <c r="I667" s="26">
        <v>0</v>
      </c>
      <c r="J667" s="27">
        <v>68.400000000000006</v>
      </c>
      <c r="M667" s="28">
        <f>ROUND(ROUND(J667, 2)*I667, 2)</f>
        <v>0</v>
      </c>
      <c r="P667" s="27">
        <v>68.400000000000006</v>
      </c>
      <c r="S667" s="28">
        <f>ROUND(ROUND(P667, 2)*I667, 2)</f>
        <v>0</v>
      </c>
    </row>
    <row r="668" spans="1:21" ht="18" x14ac:dyDescent="0.3">
      <c r="A668" s="10" t="s">
        <v>2169</v>
      </c>
      <c r="B668" s="10"/>
      <c r="C668" s="24" t="s">
        <v>1157</v>
      </c>
      <c r="D668" s="15"/>
      <c r="E668" s="15"/>
      <c r="F668" s="25" t="s">
        <v>278</v>
      </c>
      <c r="G668" s="26">
        <v>0.25</v>
      </c>
      <c r="H668" s="31"/>
      <c r="I668" s="31">
        <v>0</v>
      </c>
      <c r="J668" s="27">
        <v>40.270000000000003</v>
      </c>
      <c r="M668" s="28">
        <f>ROUND(ROUND(J668, 2)*I668, 2)</f>
        <v>0</v>
      </c>
      <c r="P668" s="27">
        <v>40.270000000000003</v>
      </c>
      <c r="S668" s="28">
        <f>ROUND(ROUND(P668, 2)*I668, 2)</f>
        <v>0</v>
      </c>
    </row>
    <row r="669" spans="1:21" ht="18" x14ac:dyDescent="0.3">
      <c r="A669" s="10" t="s">
        <v>2172</v>
      </c>
      <c r="B669" s="10"/>
      <c r="C669" s="30" t="s">
        <v>1200</v>
      </c>
      <c r="D669" s="15"/>
      <c r="E669" s="15"/>
      <c r="F669" s="25" t="s">
        <v>278</v>
      </c>
      <c r="G669" s="26">
        <v>1.2</v>
      </c>
      <c r="H669" s="31"/>
      <c r="I669" s="31">
        <v>0</v>
      </c>
      <c r="J669" s="27">
        <v>16.96</v>
      </c>
      <c r="M669" s="28">
        <f>ROUND(ROUND(J669, 2)*I669, 2)</f>
        <v>0</v>
      </c>
      <c r="P669" s="27">
        <v>16.96</v>
      </c>
      <c r="S669" s="28">
        <f>ROUND(ROUND(P669, 2)*I669, 2)</f>
        <v>0</v>
      </c>
    </row>
    <row r="670" spans="1:21" ht="18" x14ac:dyDescent="0.3">
      <c r="A670" s="10" t="s">
        <v>2175</v>
      </c>
      <c r="B670" s="10"/>
      <c r="C670" s="30" t="s">
        <v>2126</v>
      </c>
      <c r="D670" s="15"/>
      <c r="E670" s="15"/>
      <c r="F670" s="25" t="s">
        <v>62</v>
      </c>
      <c r="G670" s="26">
        <v>1.1000000000000001</v>
      </c>
      <c r="H670" s="31"/>
      <c r="I670" s="31">
        <v>0</v>
      </c>
      <c r="J670" s="27">
        <v>2038.05</v>
      </c>
      <c r="M670" s="28">
        <f>ROUND(ROUND(J670, 2)*I670, 2)</f>
        <v>0</v>
      </c>
      <c r="P670" s="27">
        <v>1102.5</v>
      </c>
      <c r="S670" s="28">
        <f>ROUND(ROUND(P670, 2)*I670, 2)</f>
        <v>0</v>
      </c>
    </row>
    <row r="671" spans="1:21" ht="36" x14ac:dyDescent="0.3">
      <c r="A671" s="10" t="s">
        <v>2178</v>
      </c>
      <c r="B671" s="10" t="s">
        <v>2121</v>
      </c>
      <c r="C671" s="14" t="s">
        <v>2122</v>
      </c>
      <c r="D671" s="15"/>
      <c r="E671" s="15" t="s">
        <v>2179</v>
      </c>
      <c r="F671" s="15" t="s">
        <v>62</v>
      </c>
      <c r="G671" s="16">
        <v>1</v>
      </c>
      <c r="H671" s="16"/>
      <c r="I671" s="16">
        <v>320.39999999999998</v>
      </c>
      <c r="J671" s="17">
        <v>2281.54</v>
      </c>
      <c r="K671" s="18">
        <v>2983</v>
      </c>
      <c r="L671" s="17">
        <f>J671+ROUND(K671, 2)</f>
        <v>5264.54</v>
      </c>
      <c r="M671" s="17">
        <v>731005.42</v>
      </c>
      <c r="N671" s="17">
        <v>955753.2</v>
      </c>
      <c r="O671" s="17">
        <f>M671+N671</f>
        <v>1686758.62</v>
      </c>
      <c r="P671" s="17">
        <v>1252.4100000000001</v>
      </c>
      <c r="Q671" s="18">
        <v>4474.5</v>
      </c>
      <c r="R671" s="17">
        <f>P671+ROUND(Q671, 2)</f>
        <v>5726.91</v>
      </c>
      <c r="S671" s="17">
        <v>401272.16</v>
      </c>
      <c r="T671" s="17">
        <v>1433629.8</v>
      </c>
      <c r="U671" s="17">
        <f>S671+T671</f>
        <v>1834901.96</v>
      </c>
    </row>
    <row r="672" spans="1:21" ht="72" x14ac:dyDescent="0.3">
      <c r="A672" s="10" t="s">
        <v>2180</v>
      </c>
      <c r="B672" s="10"/>
      <c r="C672" s="30" t="s">
        <v>2126</v>
      </c>
      <c r="D672" s="15"/>
      <c r="E672" s="15" t="s">
        <v>2181</v>
      </c>
      <c r="F672" s="25" t="s">
        <v>62</v>
      </c>
      <c r="G672" s="26">
        <v>1.1000000000000001</v>
      </c>
      <c r="H672" s="31"/>
      <c r="I672" s="31">
        <v>352.44</v>
      </c>
      <c r="J672" s="27">
        <v>2038.06</v>
      </c>
      <c r="M672" s="28">
        <f>ROUND(ROUND(J672, 2)*I672, 2)</f>
        <v>718293.87</v>
      </c>
      <c r="P672" s="27">
        <v>1102.5</v>
      </c>
      <c r="S672" s="28">
        <f>ROUND(ROUND(P672, 2)*I672, 2)</f>
        <v>388565.1</v>
      </c>
    </row>
    <row r="673" spans="1:21" ht="18" x14ac:dyDescent="0.3">
      <c r="A673" s="10" t="s">
        <v>2184</v>
      </c>
      <c r="B673" s="10"/>
      <c r="C673" s="30" t="s">
        <v>1200</v>
      </c>
      <c r="D673" s="15"/>
      <c r="E673" s="15"/>
      <c r="F673" s="25" t="s">
        <v>278</v>
      </c>
      <c r="G673" s="26">
        <v>1.2</v>
      </c>
      <c r="H673" s="31"/>
      <c r="I673" s="31">
        <v>384.48</v>
      </c>
      <c r="J673" s="27">
        <v>16.12</v>
      </c>
      <c r="M673" s="28">
        <f>ROUND(ROUND(J673, 2)*I673, 2)</f>
        <v>6197.82</v>
      </c>
      <c r="P673" s="27">
        <v>16.11</v>
      </c>
      <c r="S673" s="28">
        <f>ROUND(ROUND(P673, 2)*I673, 2)</f>
        <v>6193.97</v>
      </c>
    </row>
    <row r="674" spans="1:21" ht="18" x14ac:dyDescent="0.3">
      <c r="A674" s="10" t="s">
        <v>2187</v>
      </c>
      <c r="B674" s="10"/>
      <c r="C674" s="24" t="s">
        <v>1157</v>
      </c>
      <c r="D674" s="15"/>
      <c r="E674" s="15"/>
      <c r="F674" s="25" t="s">
        <v>278</v>
      </c>
      <c r="G674" s="26">
        <v>0.25</v>
      </c>
      <c r="H674" s="31"/>
      <c r="I674" s="31">
        <v>80.099999999999994</v>
      </c>
      <c r="J674" s="27">
        <v>40.270000000000003</v>
      </c>
      <c r="M674" s="28">
        <f>ROUND(ROUND(J674, 2)*I674, 2)</f>
        <v>3225.63</v>
      </c>
      <c r="P674" s="27">
        <v>40.270000000000003</v>
      </c>
      <c r="S674" s="28">
        <f>ROUND(ROUND(P674, 2)*I674, 2)</f>
        <v>3225.63</v>
      </c>
    </row>
    <row r="675" spans="1:21" ht="18" x14ac:dyDescent="0.3">
      <c r="A675" s="10" t="s">
        <v>2190</v>
      </c>
      <c r="B675" s="10"/>
      <c r="C675" s="24" t="s">
        <v>543</v>
      </c>
      <c r="D675" s="15"/>
      <c r="E675" s="15"/>
      <c r="F675" s="25" t="s">
        <v>278</v>
      </c>
      <c r="G675" s="26">
        <v>0.15</v>
      </c>
      <c r="H675" s="26"/>
      <c r="I675" s="26">
        <v>48.06</v>
      </c>
      <c r="J675" s="27">
        <v>68.400000000000006</v>
      </c>
      <c r="M675" s="28">
        <f>ROUND(ROUND(J675, 2)*I675, 2)</f>
        <v>3287.3</v>
      </c>
      <c r="P675" s="27">
        <v>68.400000000000006</v>
      </c>
      <c r="S675" s="28">
        <f>ROUND(ROUND(P675, 2)*I675, 2)</f>
        <v>3287.3</v>
      </c>
    </row>
    <row r="676" spans="1:21" ht="36" x14ac:dyDescent="0.3">
      <c r="A676" s="10" t="s">
        <v>2193</v>
      </c>
      <c r="B676" s="10" t="s">
        <v>2121</v>
      </c>
      <c r="C676" s="14" t="s">
        <v>2122</v>
      </c>
      <c r="D676" s="15"/>
      <c r="E676" s="15" t="s">
        <v>2194</v>
      </c>
      <c r="F676" s="15" t="s">
        <v>62</v>
      </c>
      <c r="G676" s="16">
        <v>1</v>
      </c>
      <c r="H676" s="16"/>
      <c r="I676" s="16">
        <v>249.1</v>
      </c>
      <c r="J676" s="17">
        <v>2281.54</v>
      </c>
      <c r="K676" s="18">
        <v>2983</v>
      </c>
      <c r="L676" s="17">
        <f>J676+ROUND(K676, 2)</f>
        <v>5264.54</v>
      </c>
      <c r="M676" s="17">
        <v>568331.61</v>
      </c>
      <c r="N676" s="17">
        <v>743065.3</v>
      </c>
      <c r="O676" s="17">
        <f>M676+N676</f>
        <v>1311396.9100000001</v>
      </c>
      <c r="P676" s="17">
        <v>1252.4100000000001</v>
      </c>
      <c r="Q676" s="18">
        <v>4474.5</v>
      </c>
      <c r="R676" s="17">
        <f>P676+ROUND(Q676, 2)</f>
        <v>5726.91</v>
      </c>
      <c r="S676" s="17">
        <v>311975.33</v>
      </c>
      <c r="T676" s="17">
        <v>1114597.95</v>
      </c>
      <c r="U676" s="17">
        <f>S676+T676</f>
        <v>1426573.28</v>
      </c>
    </row>
    <row r="677" spans="1:21" ht="18" x14ac:dyDescent="0.3">
      <c r="A677" s="10" t="s">
        <v>2195</v>
      </c>
      <c r="B677" s="10"/>
      <c r="C677" s="24" t="s">
        <v>543</v>
      </c>
      <c r="D677" s="15"/>
      <c r="E677" s="15"/>
      <c r="F677" s="25" t="s">
        <v>278</v>
      </c>
      <c r="G677" s="26">
        <v>0.15</v>
      </c>
      <c r="H677" s="26"/>
      <c r="I677" s="26">
        <v>37.365000000000002</v>
      </c>
      <c r="J677" s="27">
        <v>68.400000000000006</v>
      </c>
      <c r="M677" s="28">
        <f>ROUND(ROUND(J677, 2)*I677, 2)</f>
        <v>2555.77</v>
      </c>
      <c r="P677" s="27">
        <v>68.400000000000006</v>
      </c>
      <c r="S677" s="28">
        <f>ROUND(ROUND(P677, 2)*I677, 2)</f>
        <v>2555.77</v>
      </c>
    </row>
    <row r="678" spans="1:21" ht="18" x14ac:dyDescent="0.3">
      <c r="A678" s="10" t="s">
        <v>2198</v>
      </c>
      <c r="B678" s="10"/>
      <c r="C678" s="24" t="s">
        <v>1157</v>
      </c>
      <c r="D678" s="15"/>
      <c r="E678" s="15"/>
      <c r="F678" s="25" t="s">
        <v>278</v>
      </c>
      <c r="G678" s="26">
        <v>0.25</v>
      </c>
      <c r="H678" s="31"/>
      <c r="I678" s="31">
        <v>62.274999999999999</v>
      </c>
      <c r="J678" s="27">
        <v>40.270000000000003</v>
      </c>
      <c r="M678" s="28">
        <f>ROUND(ROUND(J678, 2)*I678, 2)</f>
        <v>2507.81</v>
      </c>
      <c r="P678" s="27">
        <v>40.270000000000003</v>
      </c>
      <c r="S678" s="28">
        <f>ROUND(ROUND(P678, 2)*I678, 2)</f>
        <v>2507.81</v>
      </c>
    </row>
    <row r="679" spans="1:21" ht="18" x14ac:dyDescent="0.3">
      <c r="A679" s="10" t="s">
        <v>2201</v>
      </c>
      <c r="B679" s="10"/>
      <c r="C679" s="30" t="s">
        <v>1200</v>
      </c>
      <c r="D679" s="15"/>
      <c r="E679" s="15"/>
      <c r="F679" s="25" t="s">
        <v>278</v>
      </c>
      <c r="G679" s="26">
        <v>1.2</v>
      </c>
      <c r="H679" s="31"/>
      <c r="I679" s="31">
        <v>298.92</v>
      </c>
      <c r="J679" s="27">
        <v>16.12</v>
      </c>
      <c r="M679" s="28">
        <f>ROUND(ROUND(J679, 2)*I679, 2)</f>
        <v>4818.59</v>
      </c>
      <c r="P679" s="27">
        <v>16.11</v>
      </c>
      <c r="S679" s="28">
        <f>ROUND(ROUND(P679, 2)*I679, 2)</f>
        <v>4815.6000000000004</v>
      </c>
    </row>
    <row r="680" spans="1:21" ht="72" x14ac:dyDescent="0.3">
      <c r="A680" s="10" t="s">
        <v>2204</v>
      </c>
      <c r="B680" s="10"/>
      <c r="C680" s="30" t="s">
        <v>2126</v>
      </c>
      <c r="D680" s="15"/>
      <c r="E680" s="15" t="s">
        <v>2205</v>
      </c>
      <c r="F680" s="25" t="s">
        <v>62</v>
      </c>
      <c r="G680" s="26">
        <v>1.1000000000000001</v>
      </c>
      <c r="H680" s="31"/>
      <c r="I680" s="31">
        <v>274.01</v>
      </c>
      <c r="J680" s="27">
        <v>2038.06</v>
      </c>
      <c r="M680" s="28">
        <f>ROUND(ROUND(J680, 2)*I680, 2)</f>
        <v>558448.81999999995</v>
      </c>
      <c r="P680" s="27">
        <v>1102.5</v>
      </c>
      <c r="S680" s="28">
        <f>ROUND(ROUND(P680, 2)*I680, 2)</f>
        <v>302096.03000000003</v>
      </c>
    </row>
    <row r="681" spans="1:21" ht="36" x14ac:dyDescent="0.3">
      <c r="A681" s="10" t="s">
        <v>2208</v>
      </c>
      <c r="B681" s="10" t="s">
        <v>2121</v>
      </c>
      <c r="C681" s="14" t="s">
        <v>2122</v>
      </c>
      <c r="D681" s="15"/>
      <c r="E681" s="15" t="s">
        <v>2209</v>
      </c>
      <c r="F681" s="15" t="s">
        <v>62</v>
      </c>
      <c r="G681" s="16">
        <v>1</v>
      </c>
      <c r="H681" s="16"/>
      <c r="I681" s="16">
        <v>238.4</v>
      </c>
      <c r="J681" s="17">
        <v>2281.54</v>
      </c>
      <c r="K681" s="18">
        <v>2983</v>
      </c>
      <c r="L681" s="17">
        <f>J681+ROUND(K681, 2)</f>
        <v>5264.54</v>
      </c>
      <c r="M681" s="17">
        <v>543919.14</v>
      </c>
      <c r="N681" s="17">
        <v>711147.2</v>
      </c>
      <c r="O681" s="17">
        <f>M681+N681</f>
        <v>1255066.3399999999</v>
      </c>
      <c r="P681" s="17">
        <v>1252.4100000000001</v>
      </c>
      <c r="Q681" s="18">
        <v>4474.5</v>
      </c>
      <c r="R681" s="17">
        <f>P681+ROUND(Q681, 2)</f>
        <v>5726.91</v>
      </c>
      <c r="S681" s="17">
        <v>298574.53999999998</v>
      </c>
      <c r="T681" s="17">
        <v>1066720.8</v>
      </c>
      <c r="U681" s="17">
        <f>S681+T681</f>
        <v>1365295.34</v>
      </c>
    </row>
    <row r="682" spans="1:21" ht="72" x14ac:dyDescent="0.3">
      <c r="A682" s="10" t="s">
        <v>2210</v>
      </c>
      <c r="B682" s="10"/>
      <c r="C682" s="30" t="s">
        <v>2126</v>
      </c>
      <c r="D682" s="15"/>
      <c r="E682" s="15" t="s">
        <v>1334</v>
      </c>
      <c r="F682" s="25" t="s">
        <v>62</v>
      </c>
      <c r="G682" s="26">
        <v>1.1000000000000001</v>
      </c>
      <c r="H682" s="31"/>
      <c r="I682" s="31">
        <v>262.24</v>
      </c>
      <c r="J682" s="27">
        <v>2038.06</v>
      </c>
      <c r="M682" s="28">
        <f>ROUND(ROUND(J682, 2)*I682, 2)</f>
        <v>534460.85</v>
      </c>
      <c r="P682" s="27">
        <v>1102.5</v>
      </c>
      <c r="S682" s="28">
        <f>ROUND(ROUND(P682, 2)*I682, 2)</f>
        <v>289119.59999999998</v>
      </c>
    </row>
    <row r="683" spans="1:21" ht="18" x14ac:dyDescent="0.3">
      <c r="A683" s="10" t="s">
        <v>2213</v>
      </c>
      <c r="B683" s="10"/>
      <c r="C683" s="30" t="s">
        <v>1200</v>
      </c>
      <c r="D683" s="15"/>
      <c r="E683" s="15"/>
      <c r="F683" s="25" t="s">
        <v>278</v>
      </c>
      <c r="G683" s="26">
        <v>1.2</v>
      </c>
      <c r="H683" s="31"/>
      <c r="I683" s="31">
        <v>286.08</v>
      </c>
      <c r="J683" s="27">
        <v>16.12</v>
      </c>
      <c r="M683" s="28">
        <f>ROUND(ROUND(J683, 2)*I683, 2)</f>
        <v>4611.6099999999997</v>
      </c>
      <c r="P683" s="27">
        <v>16.11</v>
      </c>
      <c r="S683" s="28">
        <f>ROUND(ROUND(P683, 2)*I683, 2)</f>
        <v>4608.75</v>
      </c>
    </row>
    <row r="684" spans="1:21" ht="18" x14ac:dyDescent="0.3">
      <c r="A684" s="10" t="s">
        <v>2216</v>
      </c>
      <c r="B684" s="10"/>
      <c r="C684" s="24" t="s">
        <v>1157</v>
      </c>
      <c r="D684" s="15"/>
      <c r="E684" s="15"/>
      <c r="F684" s="25" t="s">
        <v>278</v>
      </c>
      <c r="G684" s="26">
        <v>0.25</v>
      </c>
      <c r="H684" s="31"/>
      <c r="I684" s="31">
        <v>59.6</v>
      </c>
      <c r="J684" s="27">
        <v>40.270000000000003</v>
      </c>
      <c r="M684" s="28">
        <f>ROUND(ROUND(J684, 2)*I684, 2)</f>
        <v>2400.09</v>
      </c>
      <c r="P684" s="27">
        <v>40.270000000000003</v>
      </c>
      <c r="S684" s="28">
        <f>ROUND(ROUND(P684, 2)*I684, 2)</f>
        <v>2400.09</v>
      </c>
    </row>
    <row r="685" spans="1:21" ht="18" x14ac:dyDescent="0.3">
      <c r="A685" s="10" t="s">
        <v>2219</v>
      </c>
      <c r="B685" s="10"/>
      <c r="C685" s="24" t="s">
        <v>543</v>
      </c>
      <c r="D685" s="15"/>
      <c r="E685" s="15"/>
      <c r="F685" s="25" t="s">
        <v>278</v>
      </c>
      <c r="G685" s="26">
        <v>0.15</v>
      </c>
      <c r="H685" s="26"/>
      <c r="I685" s="26">
        <v>35.76</v>
      </c>
      <c r="J685" s="27">
        <v>68.400000000000006</v>
      </c>
      <c r="M685" s="28">
        <f>ROUND(ROUND(J685, 2)*I685, 2)</f>
        <v>2445.98</v>
      </c>
      <c r="P685" s="27">
        <v>68.400000000000006</v>
      </c>
      <c r="S685" s="28">
        <f>ROUND(ROUND(P685, 2)*I685, 2)</f>
        <v>2445.98</v>
      </c>
    </row>
    <row r="686" spans="1:21" ht="36" x14ac:dyDescent="0.3">
      <c r="A686" s="10" t="s">
        <v>2222</v>
      </c>
      <c r="B686" s="10" t="s">
        <v>2121</v>
      </c>
      <c r="C686" s="14" t="s">
        <v>2122</v>
      </c>
      <c r="D686" s="15"/>
      <c r="E686" s="15" t="s">
        <v>2223</v>
      </c>
      <c r="F686" s="15" t="s">
        <v>62</v>
      </c>
      <c r="G686" s="16">
        <v>1</v>
      </c>
      <c r="H686" s="16"/>
      <c r="I686" s="16">
        <v>6.1</v>
      </c>
      <c r="J686" s="17">
        <v>2281.54</v>
      </c>
      <c r="K686" s="18">
        <v>2983</v>
      </c>
      <c r="L686" s="17">
        <f>J686+ROUND(K686, 2)</f>
        <v>5264.54</v>
      </c>
      <c r="M686" s="17">
        <v>13917.39</v>
      </c>
      <c r="N686" s="17">
        <v>18196.3</v>
      </c>
      <c r="O686" s="17">
        <f>M686+N686</f>
        <v>32113.69</v>
      </c>
      <c r="P686" s="17">
        <v>1252.4100000000001</v>
      </c>
      <c r="Q686" s="18">
        <v>4474.5</v>
      </c>
      <c r="R686" s="17">
        <f>P686+ROUND(Q686, 2)</f>
        <v>5726.91</v>
      </c>
      <c r="S686" s="17">
        <v>7639.7</v>
      </c>
      <c r="T686" s="17">
        <v>27294.45</v>
      </c>
      <c r="U686" s="17">
        <f>S686+T686</f>
        <v>34934.15</v>
      </c>
    </row>
    <row r="687" spans="1:21" ht="18" x14ac:dyDescent="0.3">
      <c r="A687" s="10" t="s">
        <v>2224</v>
      </c>
      <c r="B687" s="10"/>
      <c r="C687" s="24" t="s">
        <v>543</v>
      </c>
      <c r="D687" s="15"/>
      <c r="E687" s="15"/>
      <c r="F687" s="25" t="s">
        <v>278</v>
      </c>
      <c r="G687" s="26">
        <v>0.15</v>
      </c>
      <c r="H687" s="26"/>
      <c r="I687" s="26">
        <v>0.91500000000000004</v>
      </c>
      <c r="J687" s="27">
        <v>68.400000000000006</v>
      </c>
      <c r="M687" s="28">
        <f>ROUND(ROUND(J687, 2)*I687, 2)</f>
        <v>62.59</v>
      </c>
      <c r="P687" s="27">
        <v>68.400000000000006</v>
      </c>
      <c r="S687" s="28">
        <f>ROUND(ROUND(P687, 2)*I687, 2)</f>
        <v>62.59</v>
      </c>
    </row>
    <row r="688" spans="1:21" ht="18" x14ac:dyDescent="0.3">
      <c r="A688" s="10" t="s">
        <v>2227</v>
      </c>
      <c r="B688" s="10"/>
      <c r="C688" s="24" t="s">
        <v>1157</v>
      </c>
      <c r="D688" s="15"/>
      <c r="E688" s="15"/>
      <c r="F688" s="25" t="s">
        <v>278</v>
      </c>
      <c r="G688" s="26">
        <v>0.25</v>
      </c>
      <c r="H688" s="31"/>
      <c r="I688" s="31">
        <v>1.5249999999999999</v>
      </c>
      <c r="J688" s="27">
        <v>40.270000000000003</v>
      </c>
      <c r="M688" s="28">
        <f>ROUND(ROUND(J688, 2)*I688, 2)</f>
        <v>61.41</v>
      </c>
      <c r="P688" s="27">
        <v>40.270000000000003</v>
      </c>
      <c r="S688" s="28">
        <f>ROUND(ROUND(P688, 2)*I688, 2)</f>
        <v>61.41</v>
      </c>
    </row>
    <row r="689" spans="1:21" ht="18" x14ac:dyDescent="0.3">
      <c r="A689" s="10" t="s">
        <v>2230</v>
      </c>
      <c r="B689" s="10"/>
      <c r="C689" s="30" t="s">
        <v>1200</v>
      </c>
      <c r="D689" s="15"/>
      <c r="E689" s="15"/>
      <c r="F689" s="25" t="s">
        <v>278</v>
      </c>
      <c r="G689" s="26">
        <v>1.2</v>
      </c>
      <c r="H689" s="31"/>
      <c r="I689" s="31">
        <v>7.32</v>
      </c>
      <c r="J689" s="27">
        <v>16.12</v>
      </c>
      <c r="M689" s="28">
        <f>ROUND(ROUND(J689, 2)*I689, 2)</f>
        <v>118</v>
      </c>
      <c r="P689" s="27">
        <v>16.11</v>
      </c>
      <c r="S689" s="28">
        <f>ROUND(ROUND(P689, 2)*I689, 2)</f>
        <v>117.93</v>
      </c>
    </row>
    <row r="690" spans="1:21" ht="18" x14ac:dyDescent="0.3">
      <c r="A690" s="10" t="s">
        <v>2233</v>
      </c>
      <c r="B690" s="10"/>
      <c r="C690" s="30" t="s">
        <v>2126</v>
      </c>
      <c r="D690" s="15"/>
      <c r="E690" s="15"/>
      <c r="F690" s="25" t="s">
        <v>62</v>
      </c>
      <c r="G690" s="26">
        <v>1.1000000000000001</v>
      </c>
      <c r="H690" s="31"/>
      <c r="I690" s="31">
        <v>6.71</v>
      </c>
      <c r="J690" s="27">
        <v>2038.06</v>
      </c>
      <c r="M690" s="28">
        <f>ROUND(ROUND(J690, 2)*I690, 2)</f>
        <v>13675.38</v>
      </c>
      <c r="P690" s="27">
        <v>1102.5</v>
      </c>
      <c r="S690" s="28">
        <f>ROUND(ROUND(P690, 2)*I690, 2)</f>
        <v>7397.78</v>
      </c>
    </row>
    <row r="691" spans="1:21" ht="144" x14ac:dyDescent="0.3">
      <c r="A691" s="10" t="s">
        <v>2236</v>
      </c>
      <c r="B691" s="10" t="s">
        <v>2121</v>
      </c>
      <c r="C691" s="14" t="s">
        <v>2122</v>
      </c>
      <c r="D691" s="15"/>
      <c r="E691" s="15" t="s">
        <v>2237</v>
      </c>
      <c r="F691" s="15" t="s">
        <v>62</v>
      </c>
      <c r="G691" s="16">
        <v>1</v>
      </c>
      <c r="H691" s="16"/>
      <c r="I691" s="16">
        <v>454.34</v>
      </c>
      <c r="J691" s="17">
        <f>IFERROR(ROUND(SUM(M692,M693,M694,M695)/I691, 2),0)</f>
        <v>2358.86</v>
      </c>
      <c r="K691" s="18">
        <v>2983</v>
      </c>
      <c r="L691" s="17">
        <f>J691+ROUND(K691, 2)</f>
        <v>5341.8600000000006</v>
      </c>
      <c r="M691" s="17">
        <f>ROUND(J691*I691, 2)</f>
        <v>1071724.45</v>
      </c>
      <c r="N691" s="17">
        <f>ROUND(I691*ROUND(K691, 2), 2)</f>
        <v>1355296.22</v>
      </c>
      <c r="O691" s="17">
        <f>M691+N691</f>
        <v>2427020.67</v>
      </c>
      <c r="P691" s="17">
        <f>IFERROR(ROUND(SUM(S692,S693,S694,S695)/I691, 2),0)</f>
        <v>2358.86</v>
      </c>
      <c r="Q691" s="19">
        <v>4474.5</v>
      </c>
      <c r="R691" s="17">
        <f>P691+ROUND(Q691, 2)</f>
        <v>6833.3600000000006</v>
      </c>
      <c r="S691" s="17">
        <f>ROUND(P691*I691, 2)</f>
        <v>1071724.45</v>
      </c>
      <c r="T691" s="17">
        <f>ROUND(I691*ROUND(Q691, 2), 2)</f>
        <v>2032944.33</v>
      </c>
      <c r="U691" s="17">
        <f>S691+T691</f>
        <v>3104668.7800000003</v>
      </c>
    </row>
    <row r="692" spans="1:21" ht="72" x14ac:dyDescent="0.3">
      <c r="A692" s="10" t="s">
        <v>2238</v>
      </c>
      <c r="B692" s="10"/>
      <c r="C692" s="30" t="s">
        <v>2126</v>
      </c>
      <c r="D692" s="15"/>
      <c r="E692" s="15" t="s">
        <v>2181</v>
      </c>
      <c r="F692" s="25" t="s">
        <v>62</v>
      </c>
      <c r="G692" s="26">
        <v>1.1000000000000001</v>
      </c>
      <c r="H692" s="31"/>
      <c r="I692" s="31">
        <v>499.774</v>
      </c>
      <c r="J692" s="27">
        <v>2072.02</v>
      </c>
      <c r="M692" s="28">
        <f>ROUND(ROUND(J692, 2)*I692, 2)</f>
        <v>1035541.72</v>
      </c>
      <c r="P692" s="29">
        <v>2072.02</v>
      </c>
      <c r="S692" s="28">
        <f>ROUND(ROUND(P692, 2)*I692, 2)</f>
        <v>1035541.72</v>
      </c>
    </row>
    <row r="693" spans="1:21" ht="18" x14ac:dyDescent="0.3">
      <c r="A693" s="10" t="s">
        <v>2241</v>
      </c>
      <c r="B693" s="10"/>
      <c r="C693" s="30" t="s">
        <v>1200</v>
      </c>
      <c r="D693" s="15"/>
      <c r="E693" s="15"/>
      <c r="F693" s="25" t="s">
        <v>278</v>
      </c>
      <c r="G693" s="26">
        <v>1.2</v>
      </c>
      <c r="H693" s="31"/>
      <c r="I693" s="31">
        <v>1635.624</v>
      </c>
      <c r="J693" s="27">
        <v>16.38</v>
      </c>
      <c r="M693" s="28">
        <f>ROUND(ROUND(J693, 2)*I693, 2)</f>
        <v>26791.52</v>
      </c>
      <c r="P693" s="29">
        <v>16.38</v>
      </c>
      <c r="S693" s="28">
        <f>ROUND(ROUND(P693, 2)*I693, 2)</f>
        <v>26791.52</v>
      </c>
    </row>
    <row r="694" spans="1:21" ht="18" x14ac:dyDescent="0.3">
      <c r="A694" s="10" t="s">
        <v>2244</v>
      </c>
      <c r="B694" s="10"/>
      <c r="C694" s="24" t="s">
        <v>1157</v>
      </c>
      <c r="D694" s="15"/>
      <c r="E694" s="15"/>
      <c r="F694" s="25" t="s">
        <v>278</v>
      </c>
      <c r="G694" s="26">
        <v>0.25</v>
      </c>
      <c r="H694" s="31"/>
      <c r="I694" s="31">
        <v>113.58499999999999</v>
      </c>
      <c r="J694" s="27">
        <v>40.94</v>
      </c>
      <c r="M694" s="28">
        <f>ROUND(ROUND(J694, 2)*I694, 2)</f>
        <v>4650.17</v>
      </c>
      <c r="P694" s="29">
        <v>40.94</v>
      </c>
      <c r="S694" s="28">
        <f>ROUND(ROUND(P694, 2)*I694, 2)</f>
        <v>4650.17</v>
      </c>
    </row>
    <row r="695" spans="1:21" ht="18" x14ac:dyDescent="0.3">
      <c r="A695" s="10" t="s">
        <v>2247</v>
      </c>
      <c r="B695" s="10"/>
      <c r="C695" s="24" t="s">
        <v>543</v>
      </c>
      <c r="D695" s="15"/>
      <c r="E695" s="15"/>
      <c r="F695" s="25" t="s">
        <v>278</v>
      </c>
      <c r="G695" s="26">
        <v>0.15</v>
      </c>
      <c r="H695" s="26"/>
      <c r="I695" s="26">
        <v>68.150999999999996</v>
      </c>
      <c r="J695" s="27">
        <v>69.540000000000006</v>
      </c>
      <c r="M695" s="28">
        <f>ROUND(ROUND(J695, 2)*I695, 2)</f>
        <v>4739.22</v>
      </c>
      <c r="P695" s="29">
        <v>69.540000000000006</v>
      </c>
      <c r="S695" s="28">
        <f>ROUND(ROUND(P695, 2)*I695, 2)</f>
        <v>4739.22</v>
      </c>
    </row>
    <row r="696" spans="1:21" ht="144" x14ac:dyDescent="0.3">
      <c r="A696" s="10" t="s">
        <v>2250</v>
      </c>
      <c r="B696" s="10" t="s">
        <v>2121</v>
      </c>
      <c r="C696" s="14" t="s">
        <v>2122</v>
      </c>
      <c r="D696" s="15"/>
      <c r="E696" s="15" t="s">
        <v>2251</v>
      </c>
      <c r="F696" s="15" t="s">
        <v>62</v>
      </c>
      <c r="G696" s="16">
        <v>1</v>
      </c>
      <c r="H696" s="16"/>
      <c r="I696" s="16">
        <v>274.39999999999998</v>
      </c>
      <c r="J696" s="17">
        <f>IFERROR(ROUND(SUM(M697,M698,M699,M700)/I696, 2),0)</f>
        <v>292.12</v>
      </c>
      <c r="K696" s="18">
        <v>2983</v>
      </c>
      <c r="L696" s="17">
        <f>J696+ROUND(K696, 2)</f>
        <v>3275.12</v>
      </c>
      <c r="M696" s="17">
        <f>ROUND(J696*I696, 2)</f>
        <v>80157.73</v>
      </c>
      <c r="N696" s="17">
        <f>ROUND(I696*ROUND(K696, 2), 2)</f>
        <v>818535.2</v>
      </c>
      <c r="O696" s="17">
        <f>M696+N696</f>
        <v>898692.92999999993</v>
      </c>
      <c r="P696" s="17">
        <f>IFERROR(ROUND(SUM(S697,S698,S699,S700)/I696, 2),0)</f>
        <v>292.12</v>
      </c>
      <c r="Q696" s="19">
        <v>4474.5</v>
      </c>
      <c r="R696" s="17">
        <f>P696+ROUND(Q696, 2)</f>
        <v>4766.62</v>
      </c>
      <c r="S696" s="17">
        <f>ROUND(P696*I696, 2)</f>
        <v>80157.73</v>
      </c>
      <c r="T696" s="17">
        <f>ROUND(I696*ROUND(Q696, 2), 2)</f>
        <v>1227802.8</v>
      </c>
      <c r="U696" s="17">
        <f>S696+T696</f>
        <v>1307960.53</v>
      </c>
    </row>
    <row r="697" spans="1:21" ht="18" x14ac:dyDescent="0.3">
      <c r="A697" s="10" t="s">
        <v>2252</v>
      </c>
      <c r="B697" s="10"/>
      <c r="C697" s="24" t="s">
        <v>543</v>
      </c>
      <c r="D697" s="15"/>
      <c r="E697" s="15"/>
      <c r="F697" s="25" t="s">
        <v>278</v>
      </c>
      <c r="G697" s="26">
        <v>0.15</v>
      </c>
      <c r="H697" s="26"/>
      <c r="I697" s="26">
        <v>41.16</v>
      </c>
      <c r="J697" s="27">
        <v>69.540000000000006</v>
      </c>
      <c r="M697" s="28">
        <f>ROUND(ROUND(J697, 2)*I697, 2)</f>
        <v>2862.27</v>
      </c>
      <c r="P697" s="29">
        <v>69.540000000000006</v>
      </c>
      <c r="S697" s="28">
        <f>ROUND(ROUND(P697, 2)*I697, 2)</f>
        <v>2862.27</v>
      </c>
    </row>
    <row r="698" spans="1:21" ht="18" x14ac:dyDescent="0.3">
      <c r="A698" s="10" t="s">
        <v>2255</v>
      </c>
      <c r="B698" s="10"/>
      <c r="C698" s="24" t="s">
        <v>1157</v>
      </c>
      <c r="D698" s="15"/>
      <c r="E698" s="15"/>
      <c r="F698" s="25" t="s">
        <v>278</v>
      </c>
      <c r="G698" s="26">
        <v>0.25</v>
      </c>
      <c r="H698" s="31"/>
      <c r="I698" s="31">
        <v>68.599999999999994</v>
      </c>
      <c r="J698" s="27">
        <v>40.94</v>
      </c>
      <c r="M698" s="28">
        <f>ROUND(ROUND(J698, 2)*I698, 2)</f>
        <v>2808.48</v>
      </c>
      <c r="P698" s="29">
        <v>40.94</v>
      </c>
      <c r="S698" s="28">
        <f>ROUND(ROUND(P698, 2)*I698, 2)</f>
        <v>2808.48</v>
      </c>
    </row>
    <row r="699" spans="1:21" ht="18" x14ac:dyDescent="0.3">
      <c r="A699" s="10" t="s">
        <v>2258</v>
      </c>
      <c r="B699" s="10"/>
      <c r="C699" s="30" t="s">
        <v>1200</v>
      </c>
      <c r="D699" s="15"/>
      <c r="E699" s="15"/>
      <c r="F699" s="25" t="s">
        <v>278</v>
      </c>
      <c r="G699" s="26">
        <v>1.2</v>
      </c>
      <c r="H699" s="31"/>
      <c r="I699" s="31">
        <v>987.84</v>
      </c>
      <c r="J699" s="27">
        <v>16.38</v>
      </c>
      <c r="M699" s="28">
        <f>ROUND(ROUND(J699, 2)*I699, 2)</f>
        <v>16180.82</v>
      </c>
      <c r="P699" s="29">
        <v>16.38</v>
      </c>
      <c r="S699" s="28">
        <f>ROUND(ROUND(P699, 2)*I699, 2)</f>
        <v>16180.82</v>
      </c>
    </row>
    <row r="700" spans="1:21" ht="72" x14ac:dyDescent="0.3">
      <c r="A700" s="10" t="s">
        <v>2261</v>
      </c>
      <c r="B700" s="10"/>
      <c r="C700" s="30" t="s">
        <v>2262</v>
      </c>
      <c r="D700" s="15"/>
      <c r="E700" s="15" t="s">
        <v>2205</v>
      </c>
      <c r="F700" s="25" t="s">
        <v>62</v>
      </c>
      <c r="G700" s="26">
        <v>0.1</v>
      </c>
      <c r="H700" s="31"/>
      <c r="I700" s="31">
        <v>27.44</v>
      </c>
      <c r="J700" s="27">
        <v>2124.84</v>
      </c>
      <c r="M700" s="28">
        <f>ROUND(ROUND(J700, 2)*I700, 2)</f>
        <v>58305.61</v>
      </c>
      <c r="P700" s="29">
        <v>2124.84</v>
      </c>
      <c r="S700" s="28">
        <f>ROUND(ROUND(P700, 2)*I700, 2)</f>
        <v>58305.61</v>
      </c>
    </row>
    <row r="701" spans="1:21" ht="162" x14ac:dyDescent="0.3">
      <c r="A701" s="10" t="s">
        <v>2266</v>
      </c>
      <c r="B701" s="10" t="s">
        <v>2121</v>
      </c>
      <c r="C701" s="14" t="s">
        <v>2122</v>
      </c>
      <c r="D701" s="15"/>
      <c r="E701" s="15" t="s">
        <v>2267</v>
      </c>
      <c r="F701" s="15" t="s">
        <v>62</v>
      </c>
      <c r="G701" s="16">
        <v>1</v>
      </c>
      <c r="H701" s="16"/>
      <c r="I701" s="16">
        <v>86.72</v>
      </c>
      <c r="J701" s="17">
        <f>IFERROR(ROUND(SUM(M702,M703,M704,M705)/I701, 2),0)</f>
        <v>2358.86</v>
      </c>
      <c r="K701" s="18">
        <v>2983</v>
      </c>
      <c r="L701" s="17">
        <f>J701+ROUND(K701, 2)</f>
        <v>5341.8600000000006</v>
      </c>
      <c r="M701" s="17">
        <f>ROUND(J701*I701, 2)</f>
        <v>204560.34</v>
      </c>
      <c r="N701" s="17">
        <f>ROUND(I701*ROUND(K701, 2), 2)</f>
        <v>258685.76</v>
      </c>
      <c r="O701" s="17">
        <f>M701+N701</f>
        <v>463246.1</v>
      </c>
      <c r="P701" s="17">
        <f>IFERROR(ROUND(SUM(S702,S703,S704,S705)/I701, 2),0)</f>
        <v>2358.86</v>
      </c>
      <c r="Q701" s="19">
        <v>4474.5</v>
      </c>
      <c r="R701" s="17">
        <f>P701+ROUND(Q701, 2)</f>
        <v>6833.3600000000006</v>
      </c>
      <c r="S701" s="17">
        <f>ROUND(P701*I701, 2)</f>
        <v>204560.34</v>
      </c>
      <c r="T701" s="17">
        <f>ROUND(I701*ROUND(Q701, 2), 2)</f>
        <v>388028.64</v>
      </c>
      <c r="U701" s="17">
        <f>S701+T701</f>
        <v>592588.98</v>
      </c>
    </row>
    <row r="702" spans="1:21" ht="72" x14ac:dyDescent="0.3">
      <c r="A702" s="10" t="s">
        <v>2268</v>
      </c>
      <c r="B702" s="10"/>
      <c r="C702" s="30" t="s">
        <v>2126</v>
      </c>
      <c r="D702" s="15"/>
      <c r="E702" s="15" t="s">
        <v>1334</v>
      </c>
      <c r="F702" s="25" t="s">
        <v>62</v>
      </c>
      <c r="G702" s="26">
        <v>1.1000000000000001</v>
      </c>
      <c r="H702" s="31"/>
      <c r="I702" s="31">
        <v>95.391999999999996</v>
      </c>
      <c r="J702" s="27">
        <v>2072.02</v>
      </c>
      <c r="M702" s="28">
        <f>ROUND(ROUND(J702, 2)*I702, 2)</f>
        <v>197654.13</v>
      </c>
      <c r="P702" s="29">
        <v>2072.02</v>
      </c>
      <c r="S702" s="28">
        <f>ROUND(ROUND(P702, 2)*I702, 2)</f>
        <v>197654.13</v>
      </c>
    </row>
    <row r="703" spans="1:21" ht="18" x14ac:dyDescent="0.3">
      <c r="A703" s="10" t="s">
        <v>2271</v>
      </c>
      <c r="B703" s="10"/>
      <c r="C703" s="30" t="s">
        <v>1200</v>
      </c>
      <c r="D703" s="15"/>
      <c r="E703" s="15"/>
      <c r="F703" s="25" t="s">
        <v>278</v>
      </c>
      <c r="G703" s="26">
        <v>1.2</v>
      </c>
      <c r="H703" s="31"/>
      <c r="I703" s="31">
        <v>312.19200000000001</v>
      </c>
      <c r="J703" s="27">
        <v>16.38</v>
      </c>
      <c r="M703" s="28">
        <f>ROUND(ROUND(J703, 2)*I703, 2)</f>
        <v>5113.7</v>
      </c>
      <c r="P703" s="29">
        <v>16.38</v>
      </c>
      <c r="S703" s="28">
        <f>ROUND(ROUND(P703, 2)*I703, 2)</f>
        <v>5113.7</v>
      </c>
    </row>
    <row r="704" spans="1:21" ht="18" x14ac:dyDescent="0.3">
      <c r="A704" s="10" t="s">
        <v>2274</v>
      </c>
      <c r="B704" s="10"/>
      <c r="C704" s="24" t="s">
        <v>1157</v>
      </c>
      <c r="D704" s="15"/>
      <c r="E704" s="15"/>
      <c r="F704" s="25" t="s">
        <v>278</v>
      </c>
      <c r="G704" s="26">
        <v>0.25</v>
      </c>
      <c r="H704" s="31"/>
      <c r="I704" s="31">
        <v>21.68</v>
      </c>
      <c r="J704" s="27">
        <v>40.94</v>
      </c>
      <c r="M704" s="28">
        <f>ROUND(ROUND(J704, 2)*I704, 2)</f>
        <v>887.58</v>
      </c>
      <c r="P704" s="29">
        <v>40.94</v>
      </c>
      <c r="S704" s="28">
        <f>ROUND(ROUND(P704, 2)*I704, 2)</f>
        <v>887.58</v>
      </c>
    </row>
    <row r="705" spans="1:21" ht="18" x14ac:dyDescent="0.3">
      <c r="A705" s="10" t="s">
        <v>2277</v>
      </c>
      <c r="B705" s="10"/>
      <c r="C705" s="24" t="s">
        <v>543</v>
      </c>
      <c r="D705" s="15"/>
      <c r="E705" s="15"/>
      <c r="F705" s="25" t="s">
        <v>278</v>
      </c>
      <c r="G705" s="26">
        <v>0.15</v>
      </c>
      <c r="H705" s="26"/>
      <c r="I705" s="26">
        <v>13.007999999999999</v>
      </c>
      <c r="J705" s="27">
        <v>69.540000000000006</v>
      </c>
      <c r="M705" s="28">
        <f>ROUND(ROUND(J705, 2)*I705, 2)</f>
        <v>904.58</v>
      </c>
      <c r="P705" s="29">
        <v>69.540000000000006</v>
      </c>
      <c r="S705" s="28">
        <f>ROUND(ROUND(P705, 2)*I705, 2)</f>
        <v>904.58</v>
      </c>
    </row>
    <row r="706" spans="1:21" ht="162" x14ac:dyDescent="0.3">
      <c r="A706" s="10" t="s">
        <v>2280</v>
      </c>
      <c r="B706" s="10" t="s">
        <v>2121</v>
      </c>
      <c r="C706" s="14" t="s">
        <v>2122</v>
      </c>
      <c r="D706" s="15"/>
      <c r="E706" s="15" t="s">
        <v>2281</v>
      </c>
      <c r="F706" s="15" t="s">
        <v>62</v>
      </c>
      <c r="G706" s="16">
        <v>1</v>
      </c>
      <c r="H706" s="16"/>
      <c r="I706" s="16">
        <v>284.92</v>
      </c>
      <c r="J706" s="17">
        <f>IFERROR(ROUND(SUM(M707,M708,M709,M710)/I706, 2),0)</f>
        <v>2358.86</v>
      </c>
      <c r="K706" s="18">
        <v>2983</v>
      </c>
      <c r="L706" s="17">
        <f>J706+ROUND(K706, 2)</f>
        <v>5341.8600000000006</v>
      </c>
      <c r="M706" s="17">
        <f>ROUND(J706*I706, 2)</f>
        <v>672086.39</v>
      </c>
      <c r="N706" s="17">
        <f>ROUND(I706*ROUND(K706, 2), 2)</f>
        <v>849916.36</v>
      </c>
      <c r="O706" s="17">
        <f>M706+N706</f>
        <v>1522002.75</v>
      </c>
      <c r="P706" s="17">
        <f>IFERROR(ROUND(SUM(S707,S708,S709,S710)/I706, 2),0)</f>
        <v>2369.44</v>
      </c>
      <c r="Q706" s="19">
        <v>4474.5</v>
      </c>
      <c r="R706" s="17">
        <f>P706+ROUND(Q706, 2)</f>
        <v>6843.9400000000005</v>
      </c>
      <c r="S706" s="17">
        <f>ROUND(P706*I706, 2)</f>
        <v>675100.84</v>
      </c>
      <c r="T706" s="17">
        <f>ROUND(I706*ROUND(Q706, 2), 2)</f>
        <v>1274874.54</v>
      </c>
      <c r="U706" s="17">
        <f>S706+T706</f>
        <v>1949975.38</v>
      </c>
    </row>
    <row r="707" spans="1:21" ht="18" x14ac:dyDescent="0.3">
      <c r="A707" s="10" t="s">
        <v>2282</v>
      </c>
      <c r="B707" s="10"/>
      <c r="C707" s="24" t="s">
        <v>543</v>
      </c>
      <c r="D707" s="15"/>
      <c r="E707" s="15"/>
      <c r="F707" s="25" t="s">
        <v>278</v>
      </c>
      <c r="G707" s="26">
        <v>0.15</v>
      </c>
      <c r="H707" s="26"/>
      <c r="I707" s="26">
        <v>42.738</v>
      </c>
      <c r="J707" s="27">
        <v>69.540000000000006</v>
      </c>
      <c r="M707" s="28">
        <f>ROUND(ROUND(J707, 2)*I707, 2)</f>
        <v>2972</v>
      </c>
      <c r="P707" s="29">
        <v>69.540000000000006</v>
      </c>
      <c r="S707" s="28">
        <f>ROUND(ROUND(P707, 2)*I707, 2)</f>
        <v>2972</v>
      </c>
    </row>
    <row r="708" spans="1:21" ht="18" x14ac:dyDescent="0.3">
      <c r="A708" s="10" t="s">
        <v>2285</v>
      </c>
      <c r="B708" s="10"/>
      <c r="C708" s="24" t="s">
        <v>1157</v>
      </c>
      <c r="D708" s="15"/>
      <c r="E708" s="15"/>
      <c r="F708" s="25" t="s">
        <v>278</v>
      </c>
      <c r="G708" s="26">
        <v>0.25</v>
      </c>
      <c r="H708" s="31"/>
      <c r="I708" s="31">
        <v>71.23</v>
      </c>
      <c r="J708" s="27">
        <v>40.94</v>
      </c>
      <c r="M708" s="28">
        <f>ROUND(ROUND(J708, 2)*I708, 2)</f>
        <v>2916.16</v>
      </c>
      <c r="P708" s="29">
        <v>40.94</v>
      </c>
      <c r="S708" s="28">
        <f>ROUND(ROUND(P708, 2)*I708, 2)</f>
        <v>2916.16</v>
      </c>
    </row>
    <row r="709" spans="1:21" ht="36" x14ac:dyDescent="0.3">
      <c r="A709" s="10" t="s">
        <v>2288</v>
      </c>
      <c r="B709" s="10"/>
      <c r="C709" s="30" t="s">
        <v>1200</v>
      </c>
      <c r="D709" s="15"/>
      <c r="E709" s="15" t="s">
        <v>2083</v>
      </c>
      <c r="F709" s="25" t="s">
        <v>278</v>
      </c>
      <c r="G709" s="26">
        <v>1.2</v>
      </c>
      <c r="H709" s="31"/>
      <c r="I709" s="31">
        <v>1025.712</v>
      </c>
      <c r="J709" s="27">
        <v>16.38</v>
      </c>
      <c r="M709" s="28">
        <f>ROUND(ROUND(J709, 2)*I709, 2)</f>
        <v>16801.16</v>
      </c>
      <c r="P709" s="29">
        <v>19.32</v>
      </c>
      <c r="S709" s="28">
        <f>ROUND(ROUND(P709, 2)*I709, 2)</f>
        <v>19816.759999999998</v>
      </c>
    </row>
    <row r="710" spans="1:21" ht="72" x14ac:dyDescent="0.3">
      <c r="A710" s="10" t="s">
        <v>2291</v>
      </c>
      <c r="B710" s="10"/>
      <c r="C710" s="30" t="s">
        <v>2126</v>
      </c>
      <c r="D710" s="15"/>
      <c r="E710" s="15" t="s">
        <v>1334</v>
      </c>
      <c r="F710" s="25" t="s">
        <v>62</v>
      </c>
      <c r="G710" s="26">
        <v>1.1000000000000001</v>
      </c>
      <c r="H710" s="31"/>
      <c r="I710" s="31">
        <v>313.41199999999998</v>
      </c>
      <c r="J710" s="27">
        <v>2072.02</v>
      </c>
      <c r="M710" s="28">
        <f>ROUND(ROUND(J710, 2)*I710, 2)</f>
        <v>649395.93000000005</v>
      </c>
      <c r="P710" s="29">
        <v>2072.02</v>
      </c>
      <c r="S710" s="28">
        <f>ROUND(ROUND(P710, 2)*I710, 2)</f>
        <v>649395.93000000005</v>
      </c>
    </row>
    <row r="711" spans="1:21" ht="16.95" customHeight="1" x14ac:dyDescent="0.3">
      <c r="A711" s="10" t="s">
        <v>2294</v>
      </c>
      <c r="B711" s="10" t="s">
        <v>2295</v>
      </c>
      <c r="C711" s="91" t="s">
        <v>2296</v>
      </c>
      <c r="D711" s="92"/>
      <c r="E711" s="92"/>
      <c r="F711" s="92"/>
      <c r="G711" s="92"/>
      <c r="H711" s="92"/>
      <c r="I711" s="93"/>
      <c r="M711" s="6">
        <f>SUM(M712,M717,M722,M727,M732,M737,M742,M745,M750,M754,M757,M759,M761,M766,M771,M776)</f>
        <v>720373.47</v>
      </c>
      <c r="N711" s="6">
        <f>SUM(N712,N717,N722,N727,N732,N737,N742,N745,N750,N754,N757,N759,N761,N766,N771,N776)</f>
        <v>5393596.5900000008</v>
      </c>
      <c r="O711" s="6">
        <f>SUM(O712,O717,O722,O727,O732,O737,O742,O745,O750,O754,O757,O759,O761,O766,O771,O776)</f>
        <v>6113970.0600000005</v>
      </c>
      <c r="S711" s="6">
        <f>SUM(S712,S717,S722,S727,S732,S737,S742,S745,S750,S754,S757,S759,S761,S766,S771,S776)</f>
        <v>1113775.79</v>
      </c>
      <c r="T711" s="6">
        <f>SUM(T712,T717,T722,T727,T732,T737,T742,T745,T750,T754,T757,T759,T761,T766,T771,T776)</f>
        <v>5560826.8499999996</v>
      </c>
      <c r="U711" s="6">
        <f>SUM(U712,U717,U722,U727,U732,U737,U742,U745,U750,U754,U757,U759,U761,U766,U771,U776)</f>
        <v>6674602.6399999997</v>
      </c>
    </row>
    <row r="712" spans="1:21" ht="108" x14ac:dyDescent="0.3">
      <c r="A712" s="10" t="s">
        <v>2297</v>
      </c>
      <c r="B712" s="10" t="s">
        <v>2298</v>
      </c>
      <c r="C712" s="14" t="s">
        <v>2299</v>
      </c>
      <c r="D712" s="15"/>
      <c r="E712" s="15" t="s">
        <v>2300</v>
      </c>
      <c r="F712" s="15" t="s">
        <v>62</v>
      </c>
      <c r="G712" s="16">
        <v>1</v>
      </c>
      <c r="H712" s="16"/>
      <c r="I712" s="16">
        <v>409.83</v>
      </c>
      <c r="J712" s="17">
        <f>IFERROR(ROUND(SUM(M713,M714,M715,M716)/I712, 2),0)</f>
        <v>284.23</v>
      </c>
      <c r="K712" s="18">
        <v>2956</v>
      </c>
      <c r="L712" s="17">
        <f>J712+ROUND(K712, 2)</f>
        <v>3240.23</v>
      </c>
      <c r="M712" s="17">
        <f>ROUND(J712*I712, 2)</f>
        <v>116485.98</v>
      </c>
      <c r="N712" s="17">
        <f>ROUND(I712*ROUND(K712, 2), 2)</f>
        <v>1211457.48</v>
      </c>
      <c r="O712" s="17">
        <f>M712+N712</f>
        <v>1327943.46</v>
      </c>
      <c r="P712" s="17">
        <f>IFERROR(ROUND(SUM(S713,S714,S715,S716)/I712, 2),0)</f>
        <v>361.5</v>
      </c>
      <c r="Q712" s="19">
        <v>4434</v>
      </c>
      <c r="R712" s="17">
        <f>P712+ROUND(Q712, 2)</f>
        <v>4795.5</v>
      </c>
      <c r="S712" s="17">
        <f>ROUND(P712*I712, 2)</f>
        <v>148153.54999999999</v>
      </c>
      <c r="T712" s="17">
        <f>ROUND(I712*ROUND(Q712, 2), 2)</f>
        <v>1817186.22</v>
      </c>
      <c r="U712" s="17">
        <f>S712+T712</f>
        <v>1965339.77</v>
      </c>
    </row>
    <row r="713" spans="1:21" ht="36" x14ac:dyDescent="0.3">
      <c r="A713" s="10" t="s">
        <v>2303</v>
      </c>
      <c r="B713" s="10"/>
      <c r="C713" s="30" t="s">
        <v>2304</v>
      </c>
      <c r="D713" s="15"/>
      <c r="E713" s="15"/>
      <c r="F713" s="25" t="s">
        <v>278</v>
      </c>
      <c r="G713" s="26">
        <v>1.1000000000000001</v>
      </c>
      <c r="H713" s="31"/>
      <c r="I713" s="31">
        <v>11270.325000000001</v>
      </c>
      <c r="J713" s="27">
        <v>7.92</v>
      </c>
      <c r="M713" s="28">
        <f>ROUND(ROUND(J713, 2)*I713, 2)</f>
        <v>89260.97</v>
      </c>
      <c r="P713" s="29">
        <v>10.73</v>
      </c>
      <c r="S713" s="28">
        <f>ROUND(ROUND(P713, 2)*I713, 2)</f>
        <v>120930.59</v>
      </c>
    </row>
    <row r="714" spans="1:21" ht="18" x14ac:dyDescent="0.3">
      <c r="A714" s="10" t="s">
        <v>2308</v>
      </c>
      <c r="B714" s="10"/>
      <c r="C714" s="24" t="s">
        <v>2309</v>
      </c>
      <c r="D714" s="15"/>
      <c r="E714" s="15"/>
      <c r="F714" s="25" t="s">
        <v>62</v>
      </c>
      <c r="G714" s="26">
        <v>1.1000000000000001</v>
      </c>
      <c r="H714" s="26"/>
      <c r="I714" s="26">
        <v>450.81299999999999</v>
      </c>
      <c r="J714" s="27">
        <v>20.34</v>
      </c>
      <c r="M714" s="28">
        <f>ROUND(ROUND(J714, 2)*I714, 2)</f>
        <v>9169.5400000000009</v>
      </c>
      <c r="P714" s="29">
        <v>20.34</v>
      </c>
      <c r="S714" s="28">
        <f>ROUND(ROUND(P714, 2)*I714, 2)</f>
        <v>9169.5400000000009</v>
      </c>
    </row>
    <row r="715" spans="1:21" ht="18" x14ac:dyDescent="0.3">
      <c r="A715" s="10" t="s">
        <v>2313</v>
      </c>
      <c r="B715" s="10"/>
      <c r="C715" s="24" t="s">
        <v>2314</v>
      </c>
      <c r="D715" s="15"/>
      <c r="E715" s="15"/>
      <c r="F715" s="25" t="s">
        <v>102</v>
      </c>
      <c r="G715" s="26">
        <v>1</v>
      </c>
      <c r="H715" s="26"/>
      <c r="I715" s="26">
        <v>409.83</v>
      </c>
      <c r="J715" s="27">
        <v>18.64</v>
      </c>
      <c r="M715" s="28">
        <f>ROUND(ROUND(J715, 2)*I715, 2)</f>
        <v>7639.23</v>
      </c>
      <c r="P715" s="29">
        <v>18.64</v>
      </c>
      <c r="S715" s="28">
        <f>ROUND(ROUND(P715, 2)*I715, 2)</f>
        <v>7639.23</v>
      </c>
    </row>
    <row r="716" spans="1:21" ht="18" x14ac:dyDescent="0.3">
      <c r="A716" s="10" t="s">
        <v>2318</v>
      </c>
      <c r="B716" s="10"/>
      <c r="C716" s="24" t="s">
        <v>1629</v>
      </c>
      <c r="D716" s="15"/>
      <c r="E716" s="15"/>
      <c r="F716" s="25" t="s">
        <v>278</v>
      </c>
      <c r="G716" s="26">
        <v>0.25</v>
      </c>
      <c r="H716" s="26"/>
      <c r="I716" s="26">
        <v>102.458</v>
      </c>
      <c r="J716" s="27">
        <v>101.66</v>
      </c>
      <c r="M716" s="28">
        <f>ROUND(ROUND(J716, 2)*I716, 2)</f>
        <v>10415.879999999999</v>
      </c>
      <c r="P716" s="29">
        <v>101.66</v>
      </c>
      <c r="S716" s="28">
        <f>ROUND(ROUND(P716, 2)*I716, 2)</f>
        <v>10415.879999999999</v>
      </c>
    </row>
    <row r="717" spans="1:21" ht="108" x14ac:dyDescent="0.3">
      <c r="A717" s="10" t="s">
        <v>2321</v>
      </c>
      <c r="B717" s="10" t="s">
        <v>2298</v>
      </c>
      <c r="C717" s="14" t="s">
        <v>2299</v>
      </c>
      <c r="D717" s="15"/>
      <c r="E717" s="15" t="s">
        <v>2322</v>
      </c>
      <c r="F717" s="15" t="s">
        <v>62</v>
      </c>
      <c r="G717" s="16">
        <v>1</v>
      </c>
      <c r="H717" s="16"/>
      <c r="I717" s="16">
        <v>44.15</v>
      </c>
      <c r="J717" s="17">
        <f>IFERROR(ROUND(SUM(M718,M719,M720,M721)/I717, 2),0)</f>
        <v>272.36</v>
      </c>
      <c r="K717" s="18">
        <v>2956</v>
      </c>
      <c r="L717" s="17">
        <f>J717+ROUND(K717, 2)</f>
        <v>3228.36</v>
      </c>
      <c r="M717" s="17">
        <f>ROUND(J717*I717, 2)</f>
        <v>12024.69</v>
      </c>
      <c r="N717" s="17">
        <f>ROUND(I717*ROUND(K717, 2), 2)</f>
        <v>130507.4</v>
      </c>
      <c r="O717" s="17">
        <f>M717+N717</f>
        <v>142532.09</v>
      </c>
      <c r="P717" s="17">
        <f>IFERROR(ROUND(SUM(S718,S719,S720,S721)/I717, 2),0)</f>
        <v>349.63</v>
      </c>
      <c r="Q717" s="19">
        <v>4434</v>
      </c>
      <c r="R717" s="17">
        <f>P717+ROUND(Q717, 2)</f>
        <v>4783.63</v>
      </c>
      <c r="S717" s="17">
        <f>ROUND(P717*I717, 2)</f>
        <v>15436.16</v>
      </c>
      <c r="T717" s="17">
        <f>ROUND(I717*ROUND(Q717, 2), 2)</f>
        <v>195761.1</v>
      </c>
      <c r="U717" s="17">
        <f>S717+T717</f>
        <v>211197.26</v>
      </c>
    </row>
    <row r="718" spans="1:21" ht="18" x14ac:dyDescent="0.3">
      <c r="A718" s="10" t="s">
        <v>2323</v>
      </c>
      <c r="B718" s="10"/>
      <c r="C718" s="24" t="s">
        <v>1007</v>
      </c>
      <c r="D718" s="15"/>
      <c r="E718" s="15"/>
      <c r="F718" s="25" t="s">
        <v>278</v>
      </c>
      <c r="G718" s="26">
        <v>0.15</v>
      </c>
      <c r="H718" s="26"/>
      <c r="I718" s="26">
        <v>6.6230000000000002</v>
      </c>
      <c r="J718" s="27">
        <v>90.28</v>
      </c>
      <c r="M718" s="28">
        <f>ROUND(ROUND(J718, 2)*I718, 2)</f>
        <v>597.91999999999996</v>
      </c>
      <c r="P718" s="29">
        <v>90.28</v>
      </c>
      <c r="S718" s="28">
        <f>ROUND(ROUND(P718, 2)*I718, 2)</f>
        <v>597.91999999999996</v>
      </c>
    </row>
    <row r="719" spans="1:21" ht="18" x14ac:dyDescent="0.3">
      <c r="A719" s="10" t="s">
        <v>2326</v>
      </c>
      <c r="B719" s="10"/>
      <c r="C719" s="24" t="s">
        <v>2314</v>
      </c>
      <c r="D719" s="15"/>
      <c r="E719" s="15"/>
      <c r="F719" s="25" t="s">
        <v>102</v>
      </c>
      <c r="G719" s="26">
        <v>1</v>
      </c>
      <c r="H719" s="26"/>
      <c r="I719" s="26">
        <v>44.15</v>
      </c>
      <c r="J719" s="27">
        <v>18.64</v>
      </c>
      <c r="M719" s="28">
        <f>ROUND(ROUND(J719, 2)*I719, 2)</f>
        <v>822.96</v>
      </c>
      <c r="P719" s="29">
        <v>18.64</v>
      </c>
      <c r="S719" s="28">
        <f>ROUND(ROUND(P719, 2)*I719, 2)</f>
        <v>822.96</v>
      </c>
    </row>
    <row r="720" spans="1:21" ht="18" x14ac:dyDescent="0.3">
      <c r="A720" s="10" t="s">
        <v>2329</v>
      </c>
      <c r="B720" s="10"/>
      <c r="C720" s="24" t="s">
        <v>2309</v>
      </c>
      <c r="D720" s="15"/>
      <c r="E720" s="15"/>
      <c r="F720" s="25" t="s">
        <v>62</v>
      </c>
      <c r="G720" s="26">
        <v>1.1000000000000001</v>
      </c>
      <c r="H720" s="26"/>
      <c r="I720" s="26">
        <v>48.564999999999998</v>
      </c>
      <c r="J720" s="27">
        <v>20.34</v>
      </c>
      <c r="M720" s="28">
        <f>ROUND(ROUND(J720, 2)*I720, 2)</f>
        <v>987.81</v>
      </c>
      <c r="P720" s="29">
        <v>20.34</v>
      </c>
      <c r="S720" s="28">
        <f>ROUND(ROUND(P720, 2)*I720, 2)</f>
        <v>987.81</v>
      </c>
    </row>
    <row r="721" spans="1:21" ht="36" x14ac:dyDescent="0.3">
      <c r="A721" s="10" t="s">
        <v>2332</v>
      </c>
      <c r="B721" s="10"/>
      <c r="C721" s="30" t="s">
        <v>2304</v>
      </c>
      <c r="D721" s="15"/>
      <c r="E721" s="15"/>
      <c r="F721" s="25" t="s">
        <v>278</v>
      </c>
      <c r="G721" s="26">
        <v>1.1000000000000001</v>
      </c>
      <c r="H721" s="31"/>
      <c r="I721" s="31">
        <v>1214.125</v>
      </c>
      <c r="J721" s="27">
        <v>7.92</v>
      </c>
      <c r="M721" s="28">
        <f>ROUND(ROUND(J721, 2)*I721, 2)</f>
        <v>9615.8700000000008</v>
      </c>
      <c r="P721" s="29">
        <v>10.73</v>
      </c>
      <c r="S721" s="28">
        <f>ROUND(ROUND(P721, 2)*I721, 2)</f>
        <v>13027.56</v>
      </c>
    </row>
    <row r="722" spans="1:21" ht="144" x14ac:dyDescent="0.3">
      <c r="A722" s="10" t="s">
        <v>2335</v>
      </c>
      <c r="B722" s="10" t="s">
        <v>2298</v>
      </c>
      <c r="C722" s="14" t="s">
        <v>2299</v>
      </c>
      <c r="D722" s="15"/>
      <c r="E722" s="15" t="s">
        <v>2336</v>
      </c>
      <c r="F722" s="15" t="s">
        <v>62</v>
      </c>
      <c r="G722" s="16">
        <v>1</v>
      </c>
      <c r="H722" s="16"/>
      <c r="I722" s="16">
        <v>43.47</v>
      </c>
      <c r="J722" s="17">
        <f>IFERROR(ROUND(SUM(M723,M724,M725,M726)/I722, 2),0)</f>
        <v>365.96</v>
      </c>
      <c r="K722" s="18">
        <v>2956</v>
      </c>
      <c r="L722" s="17">
        <f>J722+ROUND(K722, 2)</f>
        <v>3321.96</v>
      </c>
      <c r="M722" s="17">
        <f>ROUND(J722*I722, 2)</f>
        <v>15908.28</v>
      </c>
      <c r="N722" s="17">
        <f>ROUND(I722*ROUND(K722, 2), 2)</f>
        <v>128497.32</v>
      </c>
      <c r="O722" s="17">
        <f>M722+N722</f>
        <v>144405.6</v>
      </c>
      <c r="P722" s="17">
        <f>IFERROR(ROUND(SUM(S723,S724,S725,S726)/I722, 2),0)</f>
        <v>537.86</v>
      </c>
      <c r="Q722" s="19">
        <v>4434</v>
      </c>
      <c r="R722" s="17">
        <f>P722+ROUND(Q722, 2)</f>
        <v>4971.8599999999997</v>
      </c>
      <c r="S722" s="17">
        <f>ROUND(P722*I722, 2)</f>
        <v>23380.77</v>
      </c>
      <c r="T722" s="17">
        <f>ROUND(I722*ROUND(Q722, 2), 2)</f>
        <v>192745.98</v>
      </c>
      <c r="U722" s="17">
        <f>S722+T722</f>
        <v>216126.75</v>
      </c>
    </row>
    <row r="723" spans="1:21" ht="36" x14ac:dyDescent="0.3">
      <c r="A723" s="10" t="s">
        <v>2337</v>
      </c>
      <c r="B723" s="10"/>
      <c r="C723" s="24" t="s">
        <v>2338</v>
      </c>
      <c r="D723" s="15"/>
      <c r="E723" s="15" t="s">
        <v>1602</v>
      </c>
      <c r="F723" s="25" t="s">
        <v>278</v>
      </c>
      <c r="G723" s="26">
        <v>1.8</v>
      </c>
      <c r="H723" s="31"/>
      <c r="I723" s="31">
        <v>1956.15</v>
      </c>
      <c r="J723" s="27">
        <v>6.92</v>
      </c>
      <c r="M723" s="28">
        <f>ROUND(ROUND(J723, 2)*I723, 2)</f>
        <v>13536.56</v>
      </c>
      <c r="P723" s="29">
        <v>10.74</v>
      </c>
      <c r="S723" s="28">
        <f>ROUND(ROUND(P723, 2)*I723, 2)</f>
        <v>21009.05</v>
      </c>
    </row>
    <row r="724" spans="1:21" ht="18" x14ac:dyDescent="0.3">
      <c r="A724" s="10" t="s">
        <v>2342</v>
      </c>
      <c r="B724" s="10"/>
      <c r="C724" s="24" t="s">
        <v>2309</v>
      </c>
      <c r="D724" s="15"/>
      <c r="E724" s="15"/>
      <c r="F724" s="25" t="s">
        <v>62</v>
      </c>
      <c r="G724" s="26">
        <v>1.1000000000000001</v>
      </c>
      <c r="H724" s="26"/>
      <c r="I724" s="26">
        <v>47.817</v>
      </c>
      <c r="J724" s="27">
        <v>20.34</v>
      </c>
      <c r="M724" s="28">
        <f>ROUND(ROUND(J724, 2)*I724, 2)</f>
        <v>972.6</v>
      </c>
      <c r="P724" s="29">
        <v>20.34</v>
      </c>
      <c r="S724" s="28">
        <f>ROUND(ROUND(P724, 2)*I724, 2)</f>
        <v>972.6</v>
      </c>
    </row>
    <row r="725" spans="1:21" ht="18" x14ac:dyDescent="0.3">
      <c r="A725" s="10" t="s">
        <v>2345</v>
      </c>
      <c r="B725" s="10"/>
      <c r="C725" s="24" t="s">
        <v>2314</v>
      </c>
      <c r="D725" s="15"/>
      <c r="E725" s="15"/>
      <c r="F725" s="25" t="s">
        <v>102</v>
      </c>
      <c r="G725" s="26">
        <v>1</v>
      </c>
      <c r="H725" s="26"/>
      <c r="I725" s="26">
        <v>43.47</v>
      </c>
      <c r="J725" s="27">
        <v>18.64</v>
      </c>
      <c r="M725" s="28">
        <f>ROUND(ROUND(J725, 2)*I725, 2)</f>
        <v>810.28</v>
      </c>
      <c r="P725" s="29">
        <v>18.64</v>
      </c>
      <c r="S725" s="28">
        <f>ROUND(ROUND(P725, 2)*I725, 2)</f>
        <v>810.28</v>
      </c>
    </row>
    <row r="726" spans="1:21" ht="18" x14ac:dyDescent="0.3">
      <c r="A726" s="10" t="s">
        <v>2348</v>
      </c>
      <c r="B726" s="10"/>
      <c r="C726" s="24" t="s">
        <v>1007</v>
      </c>
      <c r="D726" s="15"/>
      <c r="E726" s="15"/>
      <c r="F726" s="25" t="s">
        <v>278</v>
      </c>
      <c r="G726" s="26">
        <v>0.15</v>
      </c>
      <c r="H726" s="26"/>
      <c r="I726" s="26">
        <v>6.5209999999999999</v>
      </c>
      <c r="J726" s="27">
        <v>90.28</v>
      </c>
      <c r="M726" s="28">
        <f>ROUND(ROUND(J726, 2)*I726, 2)</f>
        <v>588.72</v>
      </c>
      <c r="P726" s="29">
        <v>90.28</v>
      </c>
      <c r="S726" s="28">
        <f>ROUND(ROUND(P726, 2)*I726, 2)</f>
        <v>588.72</v>
      </c>
    </row>
    <row r="727" spans="1:21" ht="97.95" customHeight="1" x14ac:dyDescent="0.3">
      <c r="A727" s="10" t="s">
        <v>2351</v>
      </c>
      <c r="B727" s="10" t="s">
        <v>2298</v>
      </c>
      <c r="C727" s="14" t="s">
        <v>2299</v>
      </c>
      <c r="D727" s="15"/>
      <c r="E727" s="15" t="s">
        <v>2352</v>
      </c>
      <c r="F727" s="15" t="s">
        <v>62</v>
      </c>
      <c r="G727" s="16">
        <v>1</v>
      </c>
      <c r="H727" s="16"/>
      <c r="I727" s="16">
        <v>53.76</v>
      </c>
      <c r="J727" s="17">
        <f>IFERROR(ROUND(SUM(M728,M729,M730,M731)/I727, 2),0)</f>
        <v>365.96</v>
      </c>
      <c r="K727" s="18">
        <v>2956</v>
      </c>
      <c r="L727" s="17">
        <f>J727+ROUND(K727, 2)</f>
        <v>3321.96</v>
      </c>
      <c r="M727" s="17">
        <f>ROUND(J727*I727, 2)</f>
        <v>19674.009999999998</v>
      </c>
      <c r="N727" s="17">
        <f>ROUND(I727*ROUND(K727, 2), 2)</f>
        <v>158914.56</v>
      </c>
      <c r="O727" s="17">
        <f>M727+N727</f>
        <v>178588.57</v>
      </c>
      <c r="P727" s="17">
        <f>IFERROR(ROUND(SUM(S728,S729,S730,S731)/I727, 2),0)</f>
        <v>537.86</v>
      </c>
      <c r="Q727" s="19">
        <v>4434</v>
      </c>
      <c r="R727" s="17">
        <f>P727+ROUND(Q727, 2)</f>
        <v>4971.8599999999997</v>
      </c>
      <c r="S727" s="17">
        <f>ROUND(P727*I727, 2)</f>
        <v>28915.35</v>
      </c>
      <c r="T727" s="17">
        <f>ROUND(I727*ROUND(Q727, 2), 2)</f>
        <v>238371.84</v>
      </c>
      <c r="U727" s="17">
        <f>S727+T727</f>
        <v>267287.19</v>
      </c>
    </row>
    <row r="728" spans="1:21" ht="18" x14ac:dyDescent="0.3">
      <c r="A728" s="10" t="s">
        <v>2353</v>
      </c>
      <c r="B728" s="10"/>
      <c r="C728" s="24" t="s">
        <v>1007</v>
      </c>
      <c r="D728" s="15"/>
      <c r="E728" s="15"/>
      <c r="F728" s="25" t="s">
        <v>278</v>
      </c>
      <c r="G728" s="26">
        <v>0.15</v>
      </c>
      <c r="H728" s="26"/>
      <c r="I728" s="26">
        <v>8.0640000000000001</v>
      </c>
      <c r="J728" s="27">
        <v>90.28</v>
      </c>
      <c r="M728" s="28">
        <f>ROUND(ROUND(J728, 2)*I728, 2)</f>
        <v>728.02</v>
      </c>
      <c r="P728" s="29">
        <v>90.28</v>
      </c>
      <c r="S728" s="28">
        <f>ROUND(ROUND(P728, 2)*I728, 2)</f>
        <v>728.02</v>
      </c>
    </row>
    <row r="729" spans="1:21" ht="18" x14ac:dyDescent="0.3">
      <c r="A729" s="10" t="s">
        <v>2356</v>
      </c>
      <c r="B729" s="10"/>
      <c r="C729" s="24" t="s">
        <v>2314</v>
      </c>
      <c r="D729" s="15"/>
      <c r="E729" s="15"/>
      <c r="F729" s="25" t="s">
        <v>102</v>
      </c>
      <c r="G729" s="26">
        <v>1</v>
      </c>
      <c r="H729" s="26"/>
      <c r="I729" s="26">
        <v>53.76</v>
      </c>
      <c r="J729" s="27">
        <v>18.64</v>
      </c>
      <c r="M729" s="28">
        <f>ROUND(ROUND(J729, 2)*I729, 2)</f>
        <v>1002.09</v>
      </c>
      <c r="P729" s="29">
        <v>18.64</v>
      </c>
      <c r="S729" s="28">
        <f>ROUND(ROUND(P729, 2)*I729, 2)</f>
        <v>1002.09</v>
      </c>
    </row>
    <row r="730" spans="1:21" ht="18" x14ac:dyDescent="0.3">
      <c r="A730" s="10" t="s">
        <v>2359</v>
      </c>
      <c r="B730" s="10"/>
      <c r="C730" s="24" t="s">
        <v>2309</v>
      </c>
      <c r="D730" s="15"/>
      <c r="E730" s="15"/>
      <c r="F730" s="25" t="s">
        <v>62</v>
      </c>
      <c r="G730" s="26">
        <v>1.1000000000000001</v>
      </c>
      <c r="H730" s="26"/>
      <c r="I730" s="26">
        <v>59.136000000000003</v>
      </c>
      <c r="J730" s="27">
        <v>20.34</v>
      </c>
      <c r="M730" s="28">
        <f>ROUND(ROUND(J730, 2)*I730, 2)</f>
        <v>1202.83</v>
      </c>
      <c r="P730" s="29">
        <v>20.34</v>
      </c>
      <c r="S730" s="28">
        <f>ROUND(ROUND(P730, 2)*I730, 2)</f>
        <v>1202.83</v>
      </c>
    </row>
    <row r="731" spans="1:21" ht="36" x14ac:dyDescent="0.3">
      <c r="A731" s="10" t="s">
        <v>2362</v>
      </c>
      <c r="B731" s="10"/>
      <c r="C731" s="24" t="s">
        <v>2338</v>
      </c>
      <c r="D731" s="15"/>
      <c r="E731" s="15" t="s">
        <v>1602</v>
      </c>
      <c r="F731" s="25" t="s">
        <v>278</v>
      </c>
      <c r="G731" s="26">
        <v>1.8</v>
      </c>
      <c r="H731" s="31"/>
      <c r="I731" s="31">
        <v>2419.1999999999998</v>
      </c>
      <c r="J731" s="27">
        <v>6.92</v>
      </c>
      <c r="M731" s="28">
        <f>ROUND(ROUND(J731, 2)*I731, 2)</f>
        <v>16740.86</v>
      </c>
      <c r="P731" s="29">
        <v>10.74</v>
      </c>
      <c r="S731" s="28">
        <f>ROUND(ROUND(P731, 2)*I731, 2)</f>
        <v>25982.21</v>
      </c>
    </row>
    <row r="732" spans="1:21" ht="88.05" customHeight="1" x14ac:dyDescent="0.3">
      <c r="A732" s="10" t="s">
        <v>2365</v>
      </c>
      <c r="B732" s="10" t="s">
        <v>2298</v>
      </c>
      <c r="C732" s="14" t="s">
        <v>2299</v>
      </c>
      <c r="D732" s="15"/>
      <c r="E732" s="15" t="s">
        <v>2366</v>
      </c>
      <c r="F732" s="15" t="s">
        <v>62</v>
      </c>
      <c r="G732" s="16">
        <v>1</v>
      </c>
      <c r="H732" s="16"/>
      <c r="I732" s="16">
        <v>181.82</v>
      </c>
      <c r="J732" s="17">
        <f>IFERROR(ROUND(SUM(M733,M734,M735,M736)/I732, 2),0)</f>
        <v>284.23</v>
      </c>
      <c r="K732" s="18">
        <v>2956</v>
      </c>
      <c r="L732" s="17">
        <f>J732+ROUND(K732, 2)</f>
        <v>3240.23</v>
      </c>
      <c r="M732" s="17">
        <f>ROUND(J732*I732, 2)</f>
        <v>51678.7</v>
      </c>
      <c r="N732" s="17">
        <f>ROUND(I732*ROUND(K732, 2), 2)</f>
        <v>537459.92000000004</v>
      </c>
      <c r="O732" s="17">
        <f>M732+N732</f>
        <v>589138.62</v>
      </c>
      <c r="P732" s="17">
        <f>IFERROR(ROUND(SUM(S733,S734,S735,S736)/I732, 2),0)</f>
        <v>361.5</v>
      </c>
      <c r="Q732" s="19">
        <v>4434</v>
      </c>
      <c r="R732" s="17">
        <f>P732+ROUND(Q732, 2)</f>
        <v>4795.5</v>
      </c>
      <c r="S732" s="17">
        <f>ROUND(P732*I732, 2)</f>
        <v>65727.929999999993</v>
      </c>
      <c r="T732" s="17">
        <f>ROUND(I732*ROUND(Q732, 2), 2)</f>
        <v>806189.88</v>
      </c>
      <c r="U732" s="17">
        <f>S732+T732</f>
        <v>871917.81</v>
      </c>
    </row>
    <row r="733" spans="1:21" ht="36" x14ac:dyDescent="0.3">
      <c r="A733" s="10" t="s">
        <v>2367</v>
      </c>
      <c r="B733" s="10"/>
      <c r="C733" s="30" t="s">
        <v>2304</v>
      </c>
      <c r="D733" s="15"/>
      <c r="E733" s="15"/>
      <c r="F733" s="25" t="s">
        <v>278</v>
      </c>
      <c r="G733" s="26">
        <v>1.1000000000000001</v>
      </c>
      <c r="H733" s="31"/>
      <c r="I733" s="31">
        <v>5000.05</v>
      </c>
      <c r="J733" s="27">
        <v>7.92</v>
      </c>
      <c r="M733" s="28">
        <f>ROUND(ROUND(J733, 2)*I733, 2)</f>
        <v>39600.400000000001</v>
      </c>
      <c r="P733" s="29">
        <v>10.73</v>
      </c>
      <c r="S733" s="28">
        <f>ROUND(ROUND(P733, 2)*I733, 2)</f>
        <v>53650.54</v>
      </c>
    </row>
    <row r="734" spans="1:21" ht="18" x14ac:dyDescent="0.3">
      <c r="A734" s="10" t="s">
        <v>2370</v>
      </c>
      <c r="B734" s="10"/>
      <c r="C734" s="24" t="s">
        <v>2309</v>
      </c>
      <c r="D734" s="15"/>
      <c r="E734" s="15"/>
      <c r="F734" s="25" t="s">
        <v>62</v>
      </c>
      <c r="G734" s="26">
        <v>1.1000000000000001</v>
      </c>
      <c r="H734" s="26"/>
      <c r="I734" s="26">
        <v>200.00200000000001</v>
      </c>
      <c r="J734" s="27">
        <v>20.34</v>
      </c>
      <c r="M734" s="28">
        <f>ROUND(ROUND(J734, 2)*I734, 2)</f>
        <v>4068.04</v>
      </c>
      <c r="P734" s="29">
        <v>20.34</v>
      </c>
      <c r="S734" s="28">
        <f>ROUND(ROUND(P734, 2)*I734, 2)</f>
        <v>4068.04</v>
      </c>
    </row>
    <row r="735" spans="1:21" ht="18" x14ac:dyDescent="0.3">
      <c r="A735" s="10" t="s">
        <v>2373</v>
      </c>
      <c r="B735" s="10"/>
      <c r="C735" s="24" t="s">
        <v>2314</v>
      </c>
      <c r="D735" s="15"/>
      <c r="E735" s="15"/>
      <c r="F735" s="25" t="s">
        <v>102</v>
      </c>
      <c r="G735" s="26">
        <v>1</v>
      </c>
      <c r="H735" s="26"/>
      <c r="I735" s="26">
        <v>181.82</v>
      </c>
      <c r="J735" s="27">
        <v>18.64</v>
      </c>
      <c r="M735" s="28">
        <f>ROUND(ROUND(J735, 2)*I735, 2)</f>
        <v>3389.12</v>
      </c>
      <c r="P735" s="29">
        <v>18.64</v>
      </c>
      <c r="S735" s="28">
        <f>ROUND(ROUND(P735, 2)*I735, 2)</f>
        <v>3389.12</v>
      </c>
    </row>
    <row r="736" spans="1:21" ht="18" x14ac:dyDescent="0.3">
      <c r="A736" s="10" t="s">
        <v>2376</v>
      </c>
      <c r="B736" s="10"/>
      <c r="C736" s="24" t="s">
        <v>1629</v>
      </c>
      <c r="D736" s="15"/>
      <c r="E736" s="15"/>
      <c r="F736" s="25" t="s">
        <v>278</v>
      </c>
      <c r="G736" s="26">
        <v>0.25</v>
      </c>
      <c r="H736" s="26"/>
      <c r="I736" s="26">
        <v>45.454999999999998</v>
      </c>
      <c r="J736" s="27">
        <v>101.66</v>
      </c>
      <c r="M736" s="28">
        <f>ROUND(ROUND(J736, 2)*I736, 2)</f>
        <v>4620.96</v>
      </c>
      <c r="P736" s="29">
        <v>101.66</v>
      </c>
      <c r="S736" s="28">
        <f>ROUND(ROUND(P736, 2)*I736, 2)</f>
        <v>4620.96</v>
      </c>
    </row>
    <row r="737" spans="1:21" ht="90" x14ac:dyDescent="0.3">
      <c r="A737" s="10" t="s">
        <v>2379</v>
      </c>
      <c r="B737" s="10" t="s">
        <v>2298</v>
      </c>
      <c r="C737" s="14" t="s">
        <v>2299</v>
      </c>
      <c r="D737" s="15"/>
      <c r="E737" s="15" t="s">
        <v>2380</v>
      </c>
      <c r="F737" s="15" t="s">
        <v>62</v>
      </c>
      <c r="G737" s="16">
        <v>1</v>
      </c>
      <c r="H737" s="16"/>
      <c r="I737" s="16">
        <v>1.03</v>
      </c>
      <c r="J737" s="17">
        <f>IFERROR(ROUND(SUM(M738,M739,M740,M741)/I737, 2),0)</f>
        <v>377.88</v>
      </c>
      <c r="K737" s="18">
        <v>2956</v>
      </c>
      <c r="L737" s="17">
        <f>J737+ROUND(K737, 2)</f>
        <v>3333.88</v>
      </c>
      <c r="M737" s="17">
        <f>ROUND(J737*I737, 2)</f>
        <v>389.22</v>
      </c>
      <c r="N737" s="17">
        <f>ROUND(I737*ROUND(K737, 2), 2)</f>
        <v>3044.68</v>
      </c>
      <c r="O737" s="17">
        <f>M737+N737</f>
        <v>3433.8999999999996</v>
      </c>
      <c r="P737" s="17">
        <f>IFERROR(ROUND(SUM(S738,S739,S740,S741)/I737, 2),0)</f>
        <v>549.79</v>
      </c>
      <c r="Q737" s="19">
        <v>4434</v>
      </c>
      <c r="R737" s="17">
        <f>P737+ROUND(Q737, 2)</f>
        <v>4983.79</v>
      </c>
      <c r="S737" s="17">
        <f>ROUND(P737*I737, 2)</f>
        <v>566.28</v>
      </c>
      <c r="T737" s="17">
        <f>ROUND(I737*ROUND(Q737, 2), 2)</f>
        <v>4567.0200000000004</v>
      </c>
      <c r="U737" s="17">
        <f>S737+T737</f>
        <v>5133.3</v>
      </c>
    </row>
    <row r="738" spans="1:21" ht="18" x14ac:dyDescent="0.3">
      <c r="A738" s="10" t="s">
        <v>2381</v>
      </c>
      <c r="B738" s="10"/>
      <c r="C738" s="24" t="s">
        <v>1629</v>
      </c>
      <c r="D738" s="15"/>
      <c r="E738" s="15"/>
      <c r="F738" s="25" t="s">
        <v>278</v>
      </c>
      <c r="G738" s="26">
        <v>0.25</v>
      </c>
      <c r="H738" s="26"/>
      <c r="I738" s="26">
        <v>0.25800000000000001</v>
      </c>
      <c r="J738" s="27">
        <v>101.66</v>
      </c>
      <c r="M738" s="28">
        <f>ROUND(ROUND(J738, 2)*I738, 2)</f>
        <v>26.23</v>
      </c>
      <c r="P738" s="29">
        <v>101.66</v>
      </c>
      <c r="S738" s="28">
        <f>ROUND(ROUND(P738, 2)*I738, 2)</f>
        <v>26.23</v>
      </c>
    </row>
    <row r="739" spans="1:21" ht="18" x14ac:dyDescent="0.3">
      <c r="A739" s="10" t="s">
        <v>2384</v>
      </c>
      <c r="B739" s="10"/>
      <c r="C739" s="24" t="s">
        <v>2314</v>
      </c>
      <c r="D739" s="15"/>
      <c r="E739" s="15"/>
      <c r="F739" s="25" t="s">
        <v>102</v>
      </c>
      <c r="G739" s="26">
        <v>1</v>
      </c>
      <c r="H739" s="26"/>
      <c r="I739" s="26">
        <v>1.03</v>
      </c>
      <c r="J739" s="27">
        <v>18.64</v>
      </c>
      <c r="M739" s="28">
        <f>ROUND(ROUND(J739, 2)*I739, 2)</f>
        <v>19.2</v>
      </c>
      <c r="P739" s="29">
        <v>18.64</v>
      </c>
      <c r="S739" s="28">
        <f>ROUND(ROUND(P739, 2)*I739, 2)</f>
        <v>19.2</v>
      </c>
    </row>
    <row r="740" spans="1:21" ht="18" x14ac:dyDescent="0.3">
      <c r="A740" s="10" t="s">
        <v>2387</v>
      </c>
      <c r="B740" s="10"/>
      <c r="C740" s="24" t="s">
        <v>2309</v>
      </c>
      <c r="D740" s="15"/>
      <c r="E740" s="15"/>
      <c r="F740" s="25" t="s">
        <v>62</v>
      </c>
      <c r="G740" s="26">
        <v>1.1000000000000001</v>
      </c>
      <c r="H740" s="26"/>
      <c r="I740" s="26">
        <v>1.133</v>
      </c>
      <c r="J740" s="27">
        <v>20.34</v>
      </c>
      <c r="M740" s="28">
        <f>ROUND(ROUND(J740, 2)*I740, 2)</f>
        <v>23.05</v>
      </c>
      <c r="P740" s="29">
        <v>20.34</v>
      </c>
      <c r="S740" s="28">
        <f>ROUND(ROUND(P740, 2)*I740, 2)</f>
        <v>23.05</v>
      </c>
    </row>
    <row r="741" spans="1:21" ht="36" x14ac:dyDescent="0.3">
      <c r="A741" s="10" t="s">
        <v>2390</v>
      </c>
      <c r="B741" s="10"/>
      <c r="C741" s="24" t="s">
        <v>2338</v>
      </c>
      <c r="D741" s="15"/>
      <c r="E741" s="15" t="s">
        <v>1602</v>
      </c>
      <c r="F741" s="25" t="s">
        <v>278</v>
      </c>
      <c r="G741" s="26">
        <v>1.8</v>
      </c>
      <c r="H741" s="31"/>
      <c r="I741" s="31">
        <v>46.35</v>
      </c>
      <c r="J741" s="27">
        <v>6.92</v>
      </c>
      <c r="M741" s="28">
        <f>ROUND(ROUND(J741, 2)*I741, 2)</f>
        <v>320.74</v>
      </c>
      <c r="P741" s="29">
        <v>10.74</v>
      </c>
      <c r="S741" s="28">
        <f>ROUND(ROUND(P741, 2)*I741, 2)</f>
        <v>497.8</v>
      </c>
    </row>
    <row r="742" spans="1:21" ht="90" x14ac:dyDescent="0.3">
      <c r="A742" s="10" t="s">
        <v>2393</v>
      </c>
      <c r="B742" s="10" t="s">
        <v>2298</v>
      </c>
      <c r="C742" s="14" t="s">
        <v>2299</v>
      </c>
      <c r="D742" s="15"/>
      <c r="E742" s="15" t="s">
        <v>2394</v>
      </c>
      <c r="F742" s="15" t="s">
        <v>62</v>
      </c>
      <c r="G742" s="16">
        <v>1</v>
      </c>
      <c r="H742" s="16"/>
      <c r="I742" s="16">
        <v>6.22</v>
      </c>
      <c r="J742" s="17">
        <f>IFERROR(ROUND(SUM(M743,M744)/I742, 2),0)</f>
        <v>149.97</v>
      </c>
      <c r="K742" s="18">
        <v>2956</v>
      </c>
      <c r="L742" s="17">
        <f>J742+ROUND(K742, 2)</f>
        <v>3105.97</v>
      </c>
      <c r="M742" s="17">
        <f>ROUND(J742*I742, 2)</f>
        <v>932.81</v>
      </c>
      <c r="N742" s="17">
        <f>ROUND(I742*ROUND(K742, 2), 2)</f>
        <v>18386.32</v>
      </c>
      <c r="O742" s="17">
        <f>M742+N742</f>
        <v>19319.13</v>
      </c>
      <c r="P742" s="17">
        <f>IFERROR(ROUND(SUM(S743,S744)/I742, 2),0)</f>
        <v>184</v>
      </c>
      <c r="Q742" s="19">
        <v>4434</v>
      </c>
      <c r="R742" s="17">
        <f>P742+ROUND(Q742, 2)</f>
        <v>4618</v>
      </c>
      <c r="S742" s="17">
        <f>ROUND(P742*I742, 2)</f>
        <v>1144.48</v>
      </c>
      <c r="T742" s="17">
        <f>ROUND(I742*ROUND(Q742, 2), 2)</f>
        <v>27579.48</v>
      </c>
      <c r="U742" s="17">
        <f>S742+T742</f>
        <v>28723.96</v>
      </c>
    </row>
    <row r="743" spans="1:21" ht="36" x14ac:dyDescent="0.3">
      <c r="A743" s="10" t="s">
        <v>2395</v>
      </c>
      <c r="B743" s="10"/>
      <c r="C743" s="24" t="s">
        <v>2338</v>
      </c>
      <c r="D743" s="15"/>
      <c r="E743" s="15" t="s">
        <v>2396</v>
      </c>
      <c r="F743" s="25" t="s">
        <v>278</v>
      </c>
      <c r="G743" s="26">
        <v>1.8</v>
      </c>
      <c r="H743" s="31"/>
      <c r="I743" s="31">
        <v>111.96</v>
      </c>
      <c r="J743" s="27">
        <v>6.92</v>
      </c>
      <c r="M743" s="28">
        <f>ROUND(ROUND(J743, 2)*I743, 2)</f>
        <v>774.76</v>
      </c>
      <c r="P743" s="29">
        <v>8.81</v>
      </c>
      <c r="S743" s="28">
        <f>ROUND(ROUND(P743, 2)*I743, 2)</f>
        <v>986.37</v>
      </c>
    </row>
    <row r="744" spans="1:21" ht="18" x14ac:dyDescent="0.3">
      <c r="A744" s="10" t="s">
        <v>2399</v>
      </c>
      <c r="B744" s="10"/>
      <c r="C744" s="24" t="s">
        <v>1629</v>
      </c>
      <c r="D744" s="15"/>
      <c r="E744" s="15"/>
      <c r="F744" s="25" t="s">
        <v>278</v>
      </c>
      <c r="G744" s="26">
        <v>0.25</v>
      </c>
      <c r="H744" s="26"/>
      <c r="I744" s="26">
        <v>1.5549999999999999</v>
      </c>
      <c r="J744" s="27">
        <v>101.66</v>
      </c>
      <c r="M744" s="28">
        <f>ROUND(ROUND(J744, 2)*I744, 2)</f>
        <v>158.08000000000001</v>
      </c>
      <c r="P744" s="29">
        <v>101.66</v>
      </c>
      <c r="S744" s="28">
        <f>ROUND(ROUND(P744, 2)*I744, 2)</f>
        <v>158.08000000000001</v>
      </c>
    </row>
    <row r="745" spans="1:21" ht="90" x14ac:dyDescent="0.3">
      <c r="A745" s="10" t="s">
        <v>2402</v>
      </c>
      <c r="B745" s="10" t="s">
        <v>2298</v>
      </c>
      <c r="C745" s="14" t="s">
        <v>2299</v>
      </c>
      <c r="D745" s="15"/>
      <c r="E745" s="15" t="s">
        <v>2403</v>
      </c>
      <c r="F745" s="15" t="s">
        <v>62</v>
      </c>
      <c r="G745" s="16">
        <v>1</v>
      </c>
      <c r="H745" s="16"/>
      <c r="I745" s="16">
        <v>77.31</v>
      </c>
      <c r="J745" s="17">
        <f>IFERROR(ROUND(SUM(M746,M747,M748,M749)/I745, 2),0)</f>
        <v>284.23</v>
      </c>
      <c r="K745" s="18">
        <v>2956</v>
      </c>
      <c r="L745" s="17">
        <f>J745+ROUND(K745, 2)</f>
        <v>3240.23</v>
      </c>
      <c r="M745" s="17">
        <f>ROUND(J745*I745, 2)</f>
        <v>21973.82</v>
      </c>
      <c r="N745" s="17">
        <f>ROUND(I745*ROUND(K745, 2), 2)</f>
        <v>228528.36</v>
      </c>
      <c r="O745" s="17">
        <f>M745+N745</f>
        <v>250502.18</v>
      </c>
      <c r="P745" s="17">
        <f>IFERROR(ROUND(SUM(S746,S747,S748,S749)/I745, 2),0)</f>
        <v>361.5</v>
      </c>
      <c r="Q745" s="19">
        <v>4434</v>
      </c>
      <c r="R745" s="17">
        <f>P745+ROUND(Q745, 2)</f>
        <v>4795.5</v>
      </c>
      <c r="S745" s="17">
        <f>ROUND(P745*I745, 2)</f>
        <v>27947.57</v>
      </c>
      <c r="T745" s="17">
        <f>ROUND(I745*ROUND(Q745, 2), 2)</f>
        <v>342792.54</v>
      </c>
      <c r="U745" s="17">
        <f>S745+T745</f>
        <v>370740.11</v>
      </c>
    </row>
    <row r="746" spans="1:21" ht="18" x14ac:dyDescent="0.3">
      <c r="A746" s="10" t="s">
        <v>2404</v>
      </c>
      <c r="B746" s="10"/>
      <c r="C746" s="24" t="s">
        <v>1629</v>
      </c>
      <c r="D746" s="15"/>
      <c r="E746" s="15"/>
      <c r="F746" s="25" t="s">
        <v>278</v>
      </c>
      <c r="G746" s="26">
        <v>0.25</v>
      </c>
      <c r="H746" s="26"/>
      <c r="I746" s="26">
        <v>19.327999999999999</v>
      </c>
      <c r="J746" s="27">
        <v>101.66</v>
      </c>
      <c r="M746" s="28">
        <f>ROUND(ROUND(J746, 2)*I746, 2)</f>
        <v>1964.88</v>
      </c>
      <c r="P746" s="29">
        <v>101.66</v>
      </c>
      <c r="S746" s="28">
        <f>ROUND(ROUND(P746, 2)*I746, 2)</f>
        <v>1964.88</v>
      </c>
    </row>
    <row r="747" spans="1:21" ht="18" x14ac:dyDescent="0.3">
      <c r="A747" s="10" t="s">
        <v>2407</v>
      </c>
      <c r="B747" s="10"/>
      <c r="C747" s="24" t="s">
        <v>2314</v>
      </c>
      <c r="D747" s="15"/>
      <c r="E747" s="15"/>
      <c r="F747" s="25" t="s">
        <v>102</v>
      </c>
      <c r="G747" s="26">
        <v>1</v>
      </c>
      <c r="H747" s="26"/>
      <c r="I747" s="26">
        <v>77.31</v>
      </c>
      <c r="J747" s="27">
        <v>18.64</v>
      </c>
      <c r="M747" s="28">
        <f>ROUND(ROUND(J747, 2)*I747, 2)</f>
        <v>1441.06</v>
      </c>
      <c r="P747" s="29">
        <v>18.64</v>
      </c>
      <c r="S747" s="28">
        <f>ROUND(ROUND(P747, 2)*I747, 2)</f>
        <v>1441.06</v>
      </c>
    </row>
    <row r="748" spans="1:21" ht="18" x14ac:dyDescent="0.3">
      <c r="A748" s="10" t="s">
        <v>2410</v>
      </c>
      <c r="B748" s="10"/>
      <c r="C748" s="24" t="s">
        <v>2309</v>
      </c>
      <c r="D748" s="15"/>
      <c r="E748" s="15"/>
      <c r="F748" s="25" t="s">
        <v>62</v>
      </c>
      <c r="G748" s="26">
        <v>1.1000000000000001</v>
      </c>
      <c r="H748" s="26"/>
      <c r="I748" s="26">
        <v>85.040999999999997</v>
      </c>
      <c r="J748" s="27">
        <v>20.34</v>
      </c>
      <c r="M748" s="28">
        <f>ROUND(ROUND(J748, 2)*I748, 2)</f>
        <v>1729.73</v>
      </c>
      <c r="P748" s="29">
        <v>20.34</v>
      </c>
      <c r="S748" s="28">
        <f>ROUND(ROUND(P748, 2)*I748, 2)</f>
        <v>1729.73</v>
      </c>
    </row>
    <row r="749" spans="1:21" ht="36" x14ac:dyDescent="0.3">
      <c r="A749" s="10" t="s">
        <v>2413</v>
      </c>
      <c r="B749" s="10"/>
      <c r="C749" s="30" t="s">
        <v>2304</v>
      </c>
      <c r="D749" s="15"/>
      <c r="E749" s="15"/>
      <c r="F749" s="25" t="s">
        <v>278</v>
      </c>
      <c r="G749" s="26">
        <v>1.1000000000000001</v>
      </c>
      <c r="H749" s="31"/>
      <c r="I749" s="31">
        <v>2126.0250000000001</v>
      </c>
      <c r="J749" s="27">
        <v>7.92</v>
      </c>
      <c r="M749" s="28">
        <f>ROUND(ROUND(J749, 2)*I749, 2)</f>
        <v>16838.12</v>
      </c>
      <c r="P749" s="29">
        <v>10.73</v>
      </c>
      <c r="S749" s="28">
        <f>ROUND(ROUND(P749, 2)*I749, 2)</f>
        <v>22812.25</v>
      </c>
    </row>
    <row r="750" spans="1:21" ht="90" x14ac:dyDescent="0.3">
      <c r="A750" s="10" t="s">
        <v>2416</v>
      </c>
      <c r="B750" s="10" t="s">
        <v>2417</v>
      </c>
      <c r="C750" s="14" t="s">
        <v>2418</v>
      </c>
      <c r="D750" s="15"/>
      <c r="E750" s="15" t="s">
        <v>2419</v>
      </c>
      <c r="F750" s="15" t="s">
        <v>62</v>
      </c>
      <c r="G750" s="16">
        <v>1</v>
      </c>
      <c r="H750" s="16"/>
      <c r="I750" s="16">
        <v>279.94</v>
      </c>
      <c r="J750" s="17">
        <f>IFERROR(ROUND(SUM(M751,M752,M753)/I750, 2),0)</f>
        <v>91.01</v>
      </c>
      <c r="K750" s="18">
        <v>1001</v>
      </c>
      <c r="L750" s="17">
        <f>J750+ROUND(K750, 2)</f>
        <v>1092.01</v>
      </c>
      <c r="M750" s="17">
        <f>ROUND(J750*I750, 2)</f>
        <v>25477.34</v>
      </c>
      <c r="N750" s="17">
        <f>ROUND(I750*ROUND(K750, 2), 2)</f>
        <v>280219.94</v>
      </c>
      <c r="O750" s="17">
        <f>M750+N750</f>
        <v>305697.28000000003</v>
      </c>
      <c r="P750" s="17">
        <f>IFERROR(ROUND(SUM(S751,S752,S753)/I750, 2),0)</f>
        <v>91.01</v>
      </c>
      <c r="Q750" s="19">
        <v>1501.5</v>
      </c>
      <c r="R750" s="17">
        <f>P750+ROUND(Q750, 2)</f>
        <v>1592.51</v>
      </c>
      <c r="S750" s="17">
        <f>ROUND(P750*I750, 2)</f>
        <v>25477.34</v>
      </c>
      <c r="T750" s="17">
        <f>ROUND(I750*ROUND(Q750, 2), 2)</f>
        <v>420329.91</v>
      </c>
      <c r="U750" s="17">
        <f>S750+T750</f>
        <v>445807.25</v>
      </c>
    </row>
    <row r="751" spans="1:21" ht="18" x14ac:dyDescent="0.3">
      <c r="A751" s="10" t="s">
        <v>2422</v>
      </c>
      <c r="B751" s="10"/>
      <c r="C751" s="24" t="s">
        <v>1541</v>
      </c>
      <c r="D751" s="15"/>
      <c r="E751" s="15"/>
      <c r="F751" s="25" t="s">
        <v>597</v>
      </c>
      <c r="G751" s="26">
        <v>0.3</v>
      </c>
      <c r="H751" s="26"/>
      <c r="I751" s="26">
        <v>83.981999999999999</v>
      </c>
      <c r="J751" s="27">
        <v>74.319999999999993</v>
      </c>
      <c r="M751" s="28">
        <f>ROUND(ROUND(J751, 2)*I751, 2)</f>
        <v>6241.54</v>
      </c>
      <c r="P751" s="29">
        <v>74.319999999999993</v>
      </c>
      <c r="S751" s="28">
        <f>ROUND(ROUND(P751, 2)*I751, 2)</f>
        <v>6241.54</v>
      </c>
    </row>
    <row r="752" spans="1:21" ht="36" x14ac:dyDescent="0.3">
      <c r="A752" s="10" t="s">
        <v>2425</v>
      </c>
      <c r="B752" s="10"/>
      <c r="C752" s="30" t="s">
        <v>1498</v>
      </c>
      <c r="D752" s="15"/>
      <c r="E752" s="15"/>
      <c r="F752" s="25" t="s">
        <v>278</v>
      </c>
      <c r="G752" s="26">
        <v>4.5</v>
      </c>
      <c r="H752" s="26"/>
      <c r="I752" s="26">
        <v>1259.73</v>
      </c>
      <c r="J752" s="27">
        <v>12.26</v>
      </c>
      <c r="M752" s="28">
        <f>ROUND(ROUND(J752, 2)*I752, 2)</f>
        <v>15444.29</v>
      </c>
      <c r="P752" s="29">
        <v>12.26</v>
      </c>
      <c r="S752" s="28">
        <f>ROUND(ROUND(P752, 2)*I752, 2)</f>
        <v>15444.29</v>
      </c>
    </row>
    <row r="753" spans="1:21" ht="18" x14ac:dyDescent="0.3">
      <c r="A753" s="10" t="s">
        <v>2428</v>
      </c>
      <c r="B753" s="10"/>
      <c r="C753" s="24" t="s">
        <v>1007</v>
      </c>
      <c r="D753" s="15"/>
      <c r="E753" s="15"/>
      <c r="F753" s="25" t="s">
        <v>278</v>
      </c>
      <c r="G753" s="26">
        <v>0.15</v>
      </c>
      <c r="H753" s="26"/>
      <c r="I753" s="26">
        <v>41.991</v>
      </c>
      <c r="J753" s="27">
        <v>90.28</v>
      </c>
      <c r="M753" s="28">
        <f>ROUND(ROUND(J753, 2)*I753, 2)</f>
        <v>3790.95</v>
      </c>
      <c r="P753" s="29">
        <v>90.28</v>
      </c>
      <c r="S753" s="28">
        <f>ROUND(ROUND(P753, 2)*I753, 2)</f>
        <v>3790.95</v>
      </c>
    </row>
    <row r="754" spans="1:21" ht="90" x14ac:dyDescent="0.3">
      <c r="A754" s="10" t="s">
        <v>2431</v>
      </c>
      <c r="B754" s="10" t="s">
        <v>2417</v>
      </c>
      <c r="C754" s="14" t="s">
        <v>2418</v>
      </c>
      <c r="D754" s="15"/>
      <c r="E754" s="15" t="s">
        <v>2432</v>
      </c>
      <c r="F754" s="15" t="s">
        <v>62</v>
      </c>
      <c r="G754" s="16">
        <v>1</v>
      </c>
      <c r="H754" s="16"/>
      <c r="I754" s="16">
        <v>305.22000000000003</v>
      </c>
      <c r="J754" s="17">
        <f>IFERROR(ROUND(SUM(M755,M756)/I754, 2),0)</f>
        <v>68.709999999999994</v>
      </c>
      <c r="K754" s="18">
        <v>1001</v>
      </c>
      <c r="L754" s="17">
        <f>J754+ROUND(K754, 2)</f>
        <v>1069.71</v>
      </c>
      <c r="M754" s="17">
        <f>ROUND(J754*I754, 2)</f>
        <v>20971.67</v>
      </c>
      <c r="N754" s="17">
        <f>ROUND(I754*ROUND(K754, 2), 2)</f>
        <v>305525.21999999997</v>
      </c>
      <c r="O754" s="17">
        <f>M754+N754</f>
        <v>326496.88999999996</v>
      </c>
      <c r="P754" s="17">
        <f>IFERROR(ROUND(SUM(S755,S756)/I754, 2),0)</f>
        <v>111.73</v>
      </c>
      <c r="Q754" s="19">
        <v>1501.5</v>
      </c>
      <c r="R754" s="17">
        <f>P754+ROUND(Q754, 2)</f>
        <v>1613.23</v>
      </c>
      <c r="S754" s="17">
        <f>ROUND(P754*I754, 2)</f>
        <v>34102.230000000003</v>
      </c>
      <c r="T754" s="17">
        <f>ROUND(I754*ROUND(Q754, 2), 2)</f>
        <v>458287.83</v>
      </c>
      <c r="U754" s="17">
        <f>S754+T754</f>
        <v>492390.06</v>
      </c>
    </row>
    <row r="755" spans="1:21" ht="18" x14ac:dyDescent="0.3">
      <c r="A755" s="10" t="s">
        <v>2433</v>
      </c>
      <c r="B755" s="10"/>
      <c r="C755" s="24" t="s">
        <v>1007</v>
      </c>
      <c r="D755" s="15"/>
      <c r="E755" s="15"/>
      <c r="F755" s="25" t="s">
        <v>278</v>
      </c>
      <c r="G755" s="26">
        <v>0.15</v>
      </c>
      <c r="H755" s="26"/>
      <c r="I755" s="26">
        <v>45.783000000000001</v>
      </c>
      <c r="J755" s="27">
        <v>90.28</v>
      </c>
      <c r="M755" s="28">
        <f>ROUND(ROUND(J755, 2)*I755, 2)</f>
        <v>4133.29</v>
      </c>
      <c r="P755" s="29">
        <v>90.28</v>
      </c>
      <c r="S755" s="28">
        <f>ROUND(ROUND(P755, 2)*I755, 2)</f>
        <v>4133.29</v>
      </c>
    </row>
    <row r="756" spans="1:21" ht="36" x14ac:dyDescent="0.3">
      <c r="A756" s="10" t="s">
        <v>2436</v>
      </c>
      <c r="B756" s="10"/>
      <c r="C756" s="30" t="s">
        <v>1498</v>
      </c>
      <c r="D756" s="15"/>
      <c r="E756" s="15" t="s">
        <v>1579</v>
      </c>
      <c r="F756" s="25" t="s">
        <v>278</v>
      </c>
      <c r="G756" s="26">
        <v>4.5</v>
      </c>
      <c r="H756" s="26"/>
      <c r="I756" s="26">
        <v>1373.49</v>
      </c>
      <c r="J756" s="27">
        <v>12.26</v>
      </c>
      <c r="M756" s="28">
        <f>ROUND(ROUND(J756, 2)*I756, 2)</f>
        <v>16838.990000000002</v>
      </c>
      <c r="P756" s="29">
        <v>21.82</v>
      </c>
      <c r="S756" s="28">
        <f>ROUND(ROUND(P756, 2)*I756, 2)</f>
        <v>29969.55</v>
      </c>
    </row>
    <row r="757" spans="1:21" ht="108" customHeight="1" x14ac:dyDescent="0.3">
      <c r="A757" s="10" t="s">
        <v>2439</v>
      </c>
      <c r="B757" s="10" t="s">
        <v>2417</v>
      </c>
      <c r="C757" s="14" t="s">
        <v>2418</v>
      </c>
      <c r="D757" s="15"/>
      <c r="E757" s="15" t="s">
        <v>2440</v>
      </c>
      <c r="F757" s="15" t="s">
        <v>62</v>
      </c>
      <c r="G757" s="16">
        <v>1</v>
      </c>
      <c r="H757" s="16"/>
      <c r="I757" s="16">
        <v>895.56100000000004</v>
      </c>
      <c r="J757" s="17">
        <f>IFERROR(ROUND(SUM(M758)/I757, 2),0)</f>
        <v>49.05</v>
      </c>
      <c r="K757" s="18">
        <v>1001</v>
      </c>
      <c r="L757" s="17">
        <f>J757+ROUND(K757, 2)</f>
        <v>1050.05</v>
      </c>
      <c r="M757" s="17">
        <f>ROUND(J757*I757, 2)</f>
        <v>43927.27</v>
      </c>
      <c r="N757" s="17">
        <f>ROUND(I757*ROUND(K757, 2), 2)</f>
        <v>896456.56</v>
      </c>
      <c r="O757" s="17">
        <f>M757+N757</f>
        <v>940383.83000000007</v>
      </c>
      <c r="P757" s="17">
        <f>IFERROR(ROUND(SUM(S758)/I757, 2),0)</f>
        <v>82.37</v>
      </c>
      <c r="Q757" s="19">
        <v>0</v>
      </c>
      <c r="R757" s="17">
        <f>P757+ROUND(Q757, 2)</f>
        <v>82.37</v>
      </c>
      <c r="S757" s="17">
        <f>ROUND(P757*I757, 2)</f>
        <v>73767.360000000001</v>
      </c>
      <c r="T757" s="17">
        <f>ROUND(I757*ROUND(Q757, 2), 2)</f>
        <v>0</v>
      </c>
      <c r="U757" s="17">
        <f>S757+T757</f>
        <v>73767.360000000001</v>
      </c>
    </row>
    <row r="758" spans="1:21" ht="18" x14ac:dyDescent="0.3">
      <c r="A758" s="10" t="s">
        <v>2441</v>
      </c>
      <c r="B758" s="10"/>
      <c r="C758" s="24" t="s">
        <v>2442</v>
      </c>
      <c r="D758" s="15"/>
      <c r="E758" s="15"/>
      <c r="F758" s="25" t="s">
        <v>597</v>
      </c>
      <c r="G758" s="26">
        <v>0.3</v>
      </c>
      <c r="H758" s="31"/>
      <c r="I758" s="31">
        <v>591.07000000000005</v>
      </c>
      <c r="J758" s="27">
        <v>74.319999999999993</v>
      </c>
      <c r="M758" s="28">
        <f>ROUND(ROUND(J758, 2)*I758, 2)</f>
        <v>43928.32</v>
      </c>
      <c r="P758" s="29">
        <v>124.8</v>
      </c>
      <c r="S758" s="28">
        <f>ROUND(ROUND(P758, 2)*I758, 2)</f>
        <v>73765.539999999994</v>
      </c>
    </row>
    <row r="759" spans="1:21" ht="115.05" customHeight="1" x14ac:dyDescent="0.3">
      <c r="A759" s="10" t="s">
        <v>2446</v>
      </c>
      <c r="B759" s="10" t="s">
        <v>2417</v>
      </c>
      <c r="C759" s="14" t="s">
        <v>2418</v>
      </c>
      <c r="D759" s="15"/>
      <c r="E759" s="15" t="s">
        <v>2447</v>
      </c>
      <c r="F759" s="15" t="s">
        <v>62</v>
      </c>
      <c r="G759" s="16">
        <v>1</v>
      </c>
      <c r="H759" s="16"/>
      <c r="I759" s="16">
        <v>789.13300000000004</v>
      </c>
      <c r="J759" s="17">
        <f>IFERROR(ROUND(SUM(M760)/I759, 2),0)</f>
        <v>122.63</v>
      </c>
      <c r="K759" s="18">
        <v>1001</v>
      </c>
      <c r="L759" s="17">
        <f>J759+ROUND(K759, 2)</f>
        <v>1123.6300000000001</v>
      </c>
      <c r="M759" s="17">
        <f>ROUND(J759*I759, 2)</f>
        <v>96771.38</v>
      </c>
      <c r="N759" s="17">
        <f>ROUND(I759*ROUND(K759, 2), 2)</f>
        <v>789922.13</v>
      </c>
      <c r="O759" s="17">
        <f>M759+N759</f>
        <v>886693.51</v>
      </c>
      <c r="P759" s="17">
        <f>IFERROR(ROUND(SUM(S760)/I759, 2),0)</f>
        <v>326.7</v>
      </c>
      <c r="Q759" s="19">
        <v>0</v>
      </c>
      <c r="R759" s="17">
        <f>P759+ROUND(Q759, 2)</f>
        <v>326.7</v>
      </c>
      <c r="S759" s="17">
        <f>ROUND(P759*I759, 2)</f>
        <v>257809.75</v>
      </c>
      <c r="T759" s="17">
        <f>ROUND(I759*ROUND(Q759, 2), 2)</f>
        <v>0</v>
      </c>
      <c r="U759" s="17">
        <f>S759+T759</f>
        <v>257809.75</v>
      </c>
    </row>
    <row r="760" spans="1:21" ht="18" x14ac:dyDescent="0.3">
      <c r="A760" s="10" t="s">
        <v>2448</v>
      </c>
      <c r="B760" s="10"/>
      <c r="C760" s="24" t="s">
        <v>2442</v>
      </c>
      <c r="D760" s="15"/>
      <c r="E760" s="15"/>
      <c r="F760" s="25" t="s">
        <v>597</v>
      </c>
      <c r="G760" s="26">
        <v>0.3</v>
      </c>
      <c r="H760" s="31"/>
      <c r="I760" s="31">
        <v>1302.069</v>
      </c>
      <c r="J760" s="27">
        <v>74.319999999999993</v>
      </c>
      <c r="M760" s="28">
        <f>ROUND(ROUND(J760, 2)*I760, 2)</f>
        <v>96769.77</v>
      </c>
      <c r="P760" s="29">
        <v>198</v>
      </c>
      <c r="S760" s="28">
        <f>ROUND(ROUND(P760, 2)*I760, 2)</f>
        <v>257809.66</v>
      </c>
    </row>
    <row r="761" spans="1:21" ht="18" x14ac:dyDescent="0.3">
      <c r="A761" s="10" t="s">
        <v>2451</v>
      </c>
      <c r="B761" s="10" t="s">
        <v>2452</v>
      </c>
      <c r="C761" s="14" t="s">
        <v>2453</v>
      </c>
      <c r="D761" s="15"/>
      <c r="E761" s="15"/>
      <c r="F761" s="15" t="s">
        <v>62</v>
      </c>
      <c r="G761" s="16">
        <v>1</v>
      </c>
      <c r="H761" s="16"/>
      <c r="I761" s="16">
        <v>0</v>
      </c>
      <c r="J761" s="17">
        <v>0</v>
      </c>
      <c r="K761" s="18">
        <v>1477</v>
      </c>
      <c r="L761" s="17">
        <f>J761+ROUND(K761, 2)</f>
        <v>1477</v>
      </c>
      <c r="M761" s="17">
        <v>0</v>
      </c>
      <c r="N761" s="17">
        <v>0</v>
      </c>
      <c r="O761" s="17">
        <f>M761+N761</f>
        <v>0</v>
      </c>
      <c r="P761" s="17">
        <v>2032.78</v>
      </c>
      <c r="Q761" s="18">
        <v>1477</v>
      </c>
      <c r="R761" s="17">
        <f>P761+ROUND(Q761, 2)</f>
        <v>3509.7799999999997</v>
      </c>
      <c r="S761" s="17">
        <v>0</v>
      </c>
      <c r="T761" s="17">
        <v>0</v>
      </c>
      <c r="U761" s="17">
        <f>S761+T761</f>
        <v>0</v>
      </c>
    </row>
    <row r="762" spans="1:21" ht="18" x14ac:dyDescent="0.3">
      <c r="A762" s="10" t="s">
        <v>2456</v>
      </c>
      <c r="B762" s="10"/>
      <c r="C762" s="24" t="s">
        <v>2457</v>
      </c>
      <c r="D762" s="15"/>
      <c r="E762" s="15"/>
      <c r="F762" s="25" t="s">
        <v>597</v>
      </c>
      <c r="G762" s="26">
        <v>1</v>
      </c>
      <c r="H762" s="31"/>
      <c r="I762" s="31">
        <v>0</v>
      </c>
      <c r="J762" s="27">
        <v>80</v>
      </c>
      <c r="M762" s="28">
        <f>ROUND(ROUND(J762, 2)*I762, 2)</f>
        <v>0</v>
      </c>
      <c r="P762" s="27">
        <v>80</v>
      </c>
      <c r="S762" s="28">
        <f>ROUND(ROUND(P762, 2)*I762, 2)</f>
        <v>0</v>
      </c>
    </row>
    <row r="763" spans="1:21" ht="18" x14ac:dyDescent="0.3">
      <c r="A763" s="10" t="s">
        <v>2461</v>
      </c>
      <c r="B763" s="10"/>
      <c r="C763" s="24" t="s">
        <v>2462</v>
      </c>
      <c r="D763" s="15"/>
      <c r="E763" s="15"/>
      <c r="F763" s="25" t="s">
        <v>102</v>
      </c>
      <c r="G763" s="26">
        <v>1</v>
      </c>
      <c r="H763" s="31"/>
      <c r="I763" s="31">
        <v>0</v>
      </c>
      <c r="J763" s="27">
        <v>44.71</v>
      </c>
      <c r="M763" s="28">
        <f>ROUND(ROUND(J763, 2)*I763, 2)</f>
        <v>0</v>
      </c>
      <c r="P763" s="27">
        <v>44.71</v>
      </c>
      <c r="S763" s="28">
        <f>ROUND(ROUND(P763, 2)*I763, 2)</f>
        <v>0</v>
      </c>
    </row>
    <row r="764" spans="1:21" ht="18" x14ac:dyDescent="0.3">
      <c r="A764" s="10" t="s">
        <v>2466</v>
      </c>
      <c r="B764" s="10"/>
      <c r="C764" s="24" t="s">
        <v>175</v>
      </c>
      <c r="D764" s="15"/>
      <c r="E764" s="15"/>
      <c r="F764" s="25" t="s">
        <v>102</v>
      </c>
      <c r="G764" s="26">
        <v>1</v>
      </c>
      <c r="H764" s="31"/>
      <c r="I764" s="31">
        <v>0</v>
      </c>
      <c r="J764" s="27">
        <v>35.76</v>
      </c>
      <c r="M764" s="28">
        <f>ROUND(ROUND(J764, 2)*I764, 2)</f>
        <v>0</v>
      </c>
      <c r="P764" s="27">
        <v>35.76</v>
      </c>
      <c r="S764" s="28">
        <f>ROUND(ROUND(P764, 2)*I764, 2)</f>
        <v>0</v>
      </c>
    </row>
    <row r="765" spans="1:21" ht="18" x14ac:dyDescent="0.3">
      <c r="A765" s="10" t="s">
        <v>2469</v>
      </c>
      <c r="B765" s="10"/>
      <c r="C765" s="24" t="s">
        <v>2470</v>
      </c>
      <c r="D765" s="15"/>
      <c r="E765" s="15"/>
      <c r="F765" s="25" t="s">
        <v>62</v>
      </c>
      <c r="G765" s="26">
        <v>1.1000000000000001</v>
      </c>
      <c r="H765" s="31"/>
      <c r="I765" s="31">
        <v>0</v>
      </c>
      <c r="J765" s="27">
        <v>0</v>
      </c>
      <c r="M765" s="28">
        <f>ROUND(ROUND(J765, 2)*I765, 2)</f>
        <v>0</v>
      </c>
      <c r="P765" s="27">
        <v>1520.33</v>
      </c>
      <c r="S765" s="28">
        <f>ROUND(ROUND(P765, 2)*I765, 2)</f>
        <v>0</v>
      </c>
    </row>
    <row r="766" spans="1:21" ht="18" x14ac:dyDescent="0.3">
      <c r="A766" s="10" t="s">
        <v>2474</v>
      </c>
      <c r="B766" s="10" t="s">
        <v>2452</v>
      </c>
      <c r="C766" s="14" t="s">
        <v>2453</v>
      </c>
      <c r="D766" s="15"/>
      <c r="E766" s="15"/>
      <c r="F766" s="15" t="s">
        <v>62</v>
      </c>
      <c r="G766" s="16">
        <v>1</v>
      </c>
      <c r="H766" s="16"/>
      <c r="I766" s="16">
        <v>0</v>
      </c>
      <c r="J766" s="17">
        <v>0</v>
      </c>
      <c r="K766" s="18">
        <v>1477</v>
      </c>
      <c r="L766" s="17">
        <f>J766+ROUND(K766, 2)</f>
        <v>1477</v>
      </c>
      <c r="M766" s="17">
        <v>0</v>
      </c>
      <c r="N766" s="17">
        <v>0</v>
      </c>
      <c r="O766" s="17">
        <f>M766+N766</f>
        <v>0</v>
      </c>
      <c r="P766" s="17">
        <v>475.79</v>
      </c>
      <c r="Q766" s="18">
        <v>1477</v>
      </c>
      <c r="R766" s="17">
        <f>P766+ROUND(Q766, 2)</f>
        <v>1952.79</v>
      </c>
      <c r="S766" s="17">
        <v>0</v>
      </c>
      <c r="T766" s="17">
        <v>0</v>
      </c>
      <c r="U766" s="17">
        <f>S766+T766</f>
        <v>0</v>
      </c>
    </row>
    <row r="767" spans="1:21" ht="18" x14ac:dyDescent="0.3">
      <c r="A767" s="10" t="s">
        <v>2475</v>
      </c>
      <c r="B767" s="10"/>
      <c r="C767" s="30" t="s">
        <v>188</v>
      </c>
      <c r="D767" s="15"/>
      <c r="E767" s="15"/>
      <c r="F767" s="25" t="s">
        <v>62</v>
      </c>
      <c r="G767" s="26">
        <v>1.1000000000000001</v>
      </c>
      <c r="H767" s="31"/>
      <c r="I767" s="31">
        <v>0</v>
      </c>
      <c r="J767" s="27">
        <v>309.39999999999998</v>
      </c>
      <c r="M767" s="28">
        <f>ROUND(ROUND(J767, 2)*I767, 2)</f>
        <v>0</v>
      </c>
      <c r="P767" s="27">
        <v>104.57</v>
      </c>
      <c r="S767" s="28">
        <f>ROUND(ROUND(P767, 2)*I767, 2)</f>
        <v>0</v>
      </c>
    </row>
    <row r="768" spans="1:21" ht="18" x14ac:dyDescent="0.3">
      <c r="A768" s="10" t="s">
        <v>2478</v>
      </c>
      <c r="B768" s="10"/>
      <c r="C768" s="24" t="s">
        <v>2462</v>
      </c>
      <c r="D768" s="15"/>
      <c r="E768" s="15"/>
      <c r="F768" s="25" t="s">
        <v>102</v>
      </c>
      <c r="G768" s="26">
        <v>1</v>
      </c>
      <c r="H768" s="31"/>
      <c r="I768" s="31">
        <v>0</v>
      </c>
      <c r="J768" s="27">
        <v>44.71</v>
      </c>
      <c r="M768" s="28">
        <f>ROUND(ROUND(J768, 2)*I768, 2)</f>
        <v>0</v>
      </c>
      <c r="P768" s="27">
        <v>44.71</v>
      </c>
      <c r="S768" s="28">
        <f>ROUND(ROUND(P768, 2)*I768, 2)</f>
        <v>0</v>
      </c>
    </row>
    <row r="769" spans="1:21" ht="18" x14ac:dyDescent="0.3">
      <c r="A769" s="10" t="s">
        <v>2481</v>
      </c>
      <c r="B769" s="10"/>
      <c r="C769" s="24" t="s">
        <v>175</v>
      </c>
      <c r="D769" s="15"/>
      <c r="E769" s="15"/>
      <c r="F769" s="25" t="s">
        <v>102</v>
      </c>
      <c r="G769" s="26">
        <v>1</v>
      </c>
      <c r="H769" s="31"/>
      <c r="I769" s="31">
        <v>0</v>
      </c>
      <c r="J769" s="27">
        <v>35.76</v>
      </c>
      <c r="M769" s="28">
        <f>ROUND(ROUND(J769, 2)*I769, 2)</f>
        <v>0</v>
      </c>
      <c r="P769" s="27">
        <v>35.76</v>
      </c>
      <c r="S769" s="28">
        <f>ROUND(ROUND(P769, 2)*I769, 2)</f>
        <v>0</v>
      </c>
    </row>
    <row r="770" spans="1:21" ht="18" x14ac:dyDescent="0.3">
      <c r="A770" s="10" t="s">
        <v>2484</v>
      </c>
      <c r="B770" s="10"/>
      <c r="C770" s="24" t="s">
        <v>2457</v>
      </c>
      <c r="D770" s="15"/>
      <c r="E770" s="15"/>
      <c r="F770" s="25" t="s">
        <v>597</v>
      </c>
      <c r="G770" s="26">
        <v>1</v>
      </c>
      <c r="H770" s="31"/>
      <c r="I770" s="31">
        <v>0</v>
      </c>
      <c r="J770" s="27">
        <v>80</v>
      </c>
      <c r="M770" s="28">
        <f>ROUND(ROUND(J770, 2)*I770, 2)</f>
        <v>0</v>
      </c>
      <c r="P770" s="27">
        <v>80</v>
      </c>
      <c r="S770" s="28">
        <f>ROUND(ROUND(P770, 2)*I770, 2)</f>
        <v>0</v>
      </c>
    </row>
    <row r="771" spans="1:21" ht="90" x14ac:dyDescent="0.3">
      <c r="A771" s="10" t="s">
        <v>2487</v>
      </c>
      <c r="B771" s="10" t="s">
        <v>2452</v>
      </c>
      <c r="C771" s="14" t="s">
        <v>2453</v>
      </c>
      <c r="D771" s="15"/>
      <c r="E771" s="15" t="s">
        <v>2488</v>
      </c>
      <c r="F771" s="15" t="s">
        <v>62</v>
      </c>
      <c r="G771" s="16">
        <v>1</v>
      </c>
      <c r="H771" s="16"/>
      <c r="I771" s="16">
        <v>118.4</v>
      </c>
      <c r="J771" s="17">
        <v>360.42</v>
      </c>
      <c r="K771" s="18">
        <v>1477</v>
      </c>
      <c r="L771" s="17">
        <f>J771+ROUND(K771, 2)</f>
        <v>1837.42</v>
      </c>
      <c r="M771" s="17">
        <v>42673.73</v>
      </c>
      <c r="N771" s="17">
        <v>174876.79999999999</v>
      </c>
      <c r="O771" s="17">
        <f>M771+N771</f>
        <v>217550.53</v>
      </c>
      <c r="P771" s="17">
        <v>2032.78</v>
      </c>
      <c r="Q771" s="18">
        <v>2215.5</v>
      </c>
      <c r="R771" s="17">
        <f>P771+ROUND(Q771, 2)</f>
        <v>4248.28</v>
      </c>
      <c r="S771" s="17">
        <v>240681.15</v>
      </c>
      <c r="T771" s="17">
        <v>262315.2</v>
      </c>
      <c r="U771" s="17">
        <f>S771+T771</f>
        <v>502996.35</v>
      </c>
    </row>
    <row r="772" spans="1:21" ht="18" x14ac:dyDescent="0.3">
      <c r="A772" s="10" t="s">
        <v>2489</v>
      </c>
      <c r="B772" s="10"/>
      <c r="C772" s="24" t="s">
        <v>2457</v>
      </c>
      <c r="D772" s="15"/>
      <c r="E772" s="15"/>
      <c r="F772" s="25" t="s">
        <v>597</v>
      </c>
      <c r="G772" s="26">
        <v>1</v>
      </c>
      <c r="H772" s="31"/>
      <c r="I772" s="31">
        <v>123</v>
      </c>
      <c r="J772" s="27">
        <v>80</v>
      </c>
      <c r="M772" s="28">
        <f>ROUND(ROUND(J772, 2)*I772, 2)</f>
        <v>9840</v>
      </c>
      <c r="P772" s="27">
        <v>80</v>
      </c>
      <c r="S772" s="28">
        <f>ROUND(ROUND(P772, 2)*I772, 2)</f>
        <v>9840</v>
      </c>
    </row>
    <row r="773" spans="1:21" ht="18" x14ac:dyDescent="0.3">
      <c r="A773" s="10" t="s">
        <v>2492</v>
      </c>
      <c r="B773" s="10"/>
      <c r="C773" s="24" t="s">
        <v>2462</v>
      </c>
      <c r="D773" s="15"/>
      <c r="E773" s="15"/>
      <c r="F773" s="25" t="s">
        <v>102</v>
      </c>
      <c r="G773" s="26">
        <v>1</v>
      </c>
      <c r="H773" s="31"/>
      <c r="I773" s="31">
        <v>592</v>
      </c>
      <c r="J773" s="27">
        <v>44.71</v>
      </c>
      <c r="M773" s="28">
        <f>ROUND(ROUND(J773, 2)*I773, 2)</f>
        <v>26468.32</v>
      </c>
      <c r="P773" s="27">
        <v>44.71</v>
      </c>
      <c r="S773" s="28">
        <f>ROUND(ROUND(P773, 2)*I773, 2)</f>
        <v>26468.32</v>
      </c>
    </row>
    <row r="774" spans="1:21" ht="18" x14ac:dyDescent="0.3">
      <c r="A774" s="10" t="s">
        <v>2495</v>
      </c>
      <c r="B774" s="10"/>
      <c r="C774" s="24" t="s">
        <v>175</v>
      </c>
      <c r="D774" s="15"/>
      <c r="E774" s="15"/>
      <c r="F774" s="25" t="s">
        <v>102</v>
      </c>
      <c r="G774" s="26">
        <v>1</v>
      </c>
      <c r="H774" s="31"/>
      <c r="I774" s="31">
        <v>178</v>
      </c>
      <c r="J774" s="27">
        <v>35.76</v>
      </c>
      <c r="M774" s="28">
        <f>ROUND(ROUND(J774, 2)*I774, 2)</f>
        <v>6365.28</v>
      </c>
      <c r="P774" s="27">
        <v>35.76</v>
      </c>
      <c r="S774" s="28">
        <f>ROUND(ROUND(P774, 2)*I774, 2)</f>
        <v>6365.28</v>
      </c>
    </row>
    <row r="775" spans="1:21" ht="18" x14ac:dyDescent="0.3">
      <c r="A775" s="10" t="s">
        <v>2498</v>
      </c>
      <c r="B775" s="10"/>
      <c r="C775" s="24" t="s">
        <v>2470</v>
      </c>
      <c r="D775" s="15"/>
      <c r="E775" s="15"/>
      <c r="F775" s="25" t="s">
        <v>62</v>
      </c>
      <c r="G775" s="26">
        <v>1.1000000000000001</v>
      </c>
      <c r="H775" s="31"/>
      <c r="I775" s="31">
        <v>130.24</v>
      </c>
      <c r="J775" s="27">
        <v>0</v>
      </c>
      <c r="M775" s="28">
        <f>ROUND(ROUND(J775, 2)*I775, 2)</f>
        <v>0</v>
      </c>
      <c r="P775" s="27">
        <v>1520.33</v>
      </c>
      <c r="S775" s="28">
        <f>ROUND(ROUND(P775, 2)*I775, 2)</f>
        <v>198007.78</v>
      </c>
    </row>
    <row r="776" spans="1:21" ht="100.05" customHeight="1" x14ac:dyDescent="0.3">
      <c r="A776" s="10" t="s">
        <v>2501</v>
      </c>
      <c r="B776" s="10" t="s">
        <v>2452</v>
      </c>
      <c r="C776" s="14" t="s">
        <v>2453</v>
      </c>
      <c r="D776" s="15"/>
      <c r="E776" s="15" t="s">
        <v>2502</v>
      </c>
      <c r="F776" s="15" t="s">
        <v>62</v>
      </c>
      <c r="G776" s="16">
        <v>1</v>
      </c>
      <c r="H776" s="16"/>
      <c r="I776" s="16">
        <v>358.7</v>
      </c>
      <c r="J776" s="17">
        <v>701.1</v>
      </c>
      <c r="K776" s="18">
        <v>1477</v>
      </c>
      <c r="L776" s="17">
        <f>J776+ROUND(K776, 2)</f>
        <v>2178.1</v>
      </c>
      <c r="M776" s="17">
        <v>251484.57</v>
      </c>
      <c r="N776" s="17">
        <v>529799.9</v>
      </c>
      <c r="O776" s="17">
        <f>M776+N776</f>
        <v>781284.47</v>
      </c>
      <c r="P776" s="17">
        <v>475.79</v>
      </c>
      <c r="Q776" s="18">
        <v>2215.5</v>
      </c>
      <c r="R776" s="17">
        <f>P776+ROUND(Q776, 2)</f>
        <v>2691.29</v>
      </c>
      <c r="S776" s="17">
        <v>170665.87</v>
      </c>
      <c r="T776" s="17">
        <v>794699.85</v>
      </c>
      <c r="U776" s="17">
        <f>S776+T776</f>
        <v>965365.72</v>
      </c>
    </row>
    <row r="777" spans="1:21" ht="18" x14ac:dyDescent="0.3">
      <c r="A777" s="10" t="s">
        <v>2503</v>
      </c>
      <c r="B777" s="10"/>
      <c r="C777" s="30" t="s">
        <v>188</v>
      </c>
      <c r="D777" s="15"/>
      <c r="E777" s="15"/>
      <c r="F777" s="25" t="s">
        <v>62</v>
      </c>
      <c r="G777" s="26">
        <v>1.1000000000000001</v>
      </c>
      <c r="H777" s="31"/>
      <c r="I777" s="31">
        <v>394.57</v>
      </c>
      <c r="J777" s="27">
        <v>309.39999999999998</v>
      </c>
      <c r="M777" s="28">
        <f>ROUND(ROUND(J777, 2)*I777, 2)</f>
        <v>122079.96</v>
      </c>
      <c r="P777" s="27">
        <v>104.57</v>
      </c>
      <c r="S777" s="28">
        <f>ROUND(ROUND(P777, 2)*I777, 2)</f>
        <v>41260.18</v>
      </c>
    </row>
    <row r="778" spans="1:21" ht="18" x14ac:dyDescent="0.3">
      <c r="A778" s="10" t="s">
        <v>2506</v>
      </c>
      <c r="B778" s="10"/>
      <c r="C778" s="24" t="s">
        <v>2462</v>
      </c>
      <c r="D778" s="15"/>
      <c r="E778" s="15"/>
      <c r="F778" s="25" t="s">
        <v>102</v>
      </c>
      <c r="G778" s="26">
        <v>1</v>
      </c>
      <c r="H778" s="31"/>
      <c r="I778" s="31">
        <v>1794</v>
      </c>
      <c r="J778" s="27">
        <v>44.71</v>
      </c>
      <c r="M778" s="28">
        <f>ROUND(ROUND(J778, 2)*I778, 2)</f>
        <v>80209.740000000005</v>
      </c>
      <c r="P778" s="27">
        <v>44.71</v>
      </c>
      <c r="S778" s="28">
        <f>ROUND(ROUND(P778, 2)*I778, 2)</f>
        <v>80209.740000000005</v>
      </c>
    </row>
    <row r="779" spans="1:21" ht="18" x14ac:dyDescent="0.3">
      <c r="A779" s="10" t="s">
        <v>2509</v>
      </c>
      <c r="B779" s="10"/>
      <c r="C779" s="24" t="s">
        <v>175</v>
      </c>
      <c r="D779" s="15"/>
      <c r="E779" s="15"/>
      <c r="F779" s="25" t="s">
        <v>102</v>
      </c>
      <c r="G779" s="26">
        <v>1</v>
      </c>
      <c r="H779" s="31"/>
      <c r="I779" s="31">
        <v>539</v>
      </c>
      <c r="J779" s="27">
        <v>35.76</v>
      </c>
      <c r="M779" s="28">
        <f>ROUND(ROUND(J779, 2)*I779, 2)</f>
        <v>19274.64</v>
      </c>
      <c r="P779" s="27">
        <v>35.76</v>
      </c>
      <c r="S779" s="28">
        <f>ROUND(ROUND(P779, 2)*I779, 2)</f>
        <v>19274.64</v>
      </c>
    </row>
    <row r="780" spans="1:21" ht="18" x14ac:dyDescent="0.3">
      <c r="A780" s="10" t="s">
        <v>2512</v>
      </c>
      <c r="B780" s="10"/>
      <c r="C780" s="24" t="s">
        <v>2457</v>
      </c>
      <c r="D780" s="15"/>
      <c r="E780" s="15"/>
      <c r="F780" s="25" t="s">
        <v>597</v>
      </c>
      <c r="G780" s="26">
        <v>1</v>
      </c>
      <c r="H780" s="31"/>
      <c r="I780" s="31">
        <v>374</v>
      </c>
      <c r="J780" s="27">
        <v>80</v>
      </c>
      <c r="M780" s="28">
        <f>ROUND(ROUND(J780, 2)*I780, 2)</f>
        <v>29920</v>
      </c>
      <c r="P780" s="27">
        <v>80</v>
      </c>
      <c r="S780" s="28">
        <f>ROUND(ROUND(P780, 2)*I780, 2)</f>
        <v>29920</v>
      </c>
    </row>
    <row r="781" spans="1:21" ht="16.95" customHeight="1" x14ac:dyDescent="0.3">
      <c r="A781" s="10" t="s">
        <v>2515</v>
      </c>
      <c r="B781" s="10" t="s">
        <v>2516</v>
      </c>
      <c r="C781" s="91" t="s">
        <v>2517</v>
      </c>
      <c r="D781" s="92"/>
      <c r="E781" s="92"/>
      <c r="F781" s="92"/>
      <c r="G781" s="92"/>
      <c r="H781" s="92"/>
      <c r="I781" s="93"/>
      <c r="M781" s="6">
        <f>SUM(M782,M828)</f>
        <v>2485896.87</v>
      </c>
      <c r="N781" s="6">
        <f>SUM(N782,N828)</f>
        <v>9894489.959999999</v>
      </c>
      <c r="O781" s="6">
        <f>SUM(O782,O828)</f>
        <v>12380386.830000002</v>
      </c>
      <c r="S781" s="6">
        <f>SUM(S782,S828)</f>
        <v>1619935.7000000002</v>
      </c>
      <c r="T781" s="6">
        <f>SUM(T782,T828)</f>
        <v>14841734.940000001</v>
      </c>
      <c r="U781" s="6">
        <f>SUM(U782,U828)</f>
        <v>16461670.640000001</v>
      </c>
    </row>
    <row r="782" spans="1:21" ht="16.95" customHeight="1" x14ac:dyDescent="0.3">
      <c r="A782" s="10" t="s">
        <v>2518</v>
      </c>
      <c r="B782" s="10" t="s">
        <v>2519</v>
      </c>
      <c r="C782" s="91" t="s">
        <v>2520</v>
      </c>
      <c r="D782" s="92"/>
      <c r="E782" s="92"/>
      <c r="F782" s="92"/>
      <c r="G782" s="92"/>
      <c r="H782" s="92"/>
      <c r="I782" s="93"/>
      <c r="M782" s="6">
        <f>SUM(M783,M786,M789,M792,M795,M798,M801,M804,M807,M810,M813,M816,M819,M822,M825)</f>
        <v>407687.72</v>
      </c>
      <c r="N782" s="6">
        <f>SUM(N783,N786,N789,N792,N795,N798,N801,N804,N807,N810,N813,N816,N819,N822,N825)</f>
        <v>5619314.5999999996</v>
      </c>
      <c r="O782" s="6">
        <f>SUM(O783,O786,O789,O792,O795,O798,O801,O804,O807,O810,O813,O816,O819,O822,O825)</f>
        <v>6027002.3200000003</v>
      </c>
      <c r="S782" s="6">
        <f>SUM(S783,S786,S789,S792,S795,S798,S801,S804,S807,S810,S813,S816,S819,S822,S825)</f>
        <v>438059.67000000004</v>
      </c>
      <c r="T782" s="6">
        <f>SUM(T783,T786,T789,T792,T795,T798,T801,T804,T807,T810,T813,T816,T819,T822,T825)</f>
        <v>8428971.9000000004</v>
      </c>
      <c r="U782" s="6">
        <f>SUM(U783,U786,U789,U792,U795,U798,U801,U804,U807,U810,U813,U816,U819,U822,U825)</f>
        <v>8867031.5700000003</v>
      </c>
    </row>
    <row r="783" spans="1:21" ht="18" x14ac:dyDescent="0.3">
      <c r="A783" s="10" t="s">
        <v>2521</v>
      </c>
      <c r="B783" s="10" t="s">
        <v>2522</v>
      </c>
      <c r="C783" s="14" t="s">
        <v>2523</v>
      </c>
      <c r="D783" s="15"/>
      <c r="E783" s="15"/>
      <c r="F783" s="15" t="s">
        <v>62</v>
      </c>
      <c r="G783" s="16">
        <v>1</v>
      </c>
      <c r="H783" s="16"/>
      <c r="I783" s="16">
        <v>0</v>
      </c>
      <c r="J783" s="17">
        <v>0</v>
      </c>
      <c r="K783" s="18">
        <v>790</v>
      </c>
      <c r="L783" s="17">
        <f>J783+ROUND(K783, 2)</f>
        <v>790</v>
      </c>
      <c r="M783" s="17">
        <v>0</v>
      </c>
      <c r="N783" s="17">
        <v>0</v>
      </c>
      <c r="O783" s="17">
        <f>M783+N783</f>
        <v>0</v>
      </c>
      <c r="P783" s="17">
        <v>70.47</v>
      </c>
      <c r="Q783" s="18">
        <v>790</v>
      </c>
      <c r="R783" s="17">
        <f>P783+ROUND(Q783, 2)</f>
        <v>860.47</v>
      </c>
      <c r="S783" s="17">
        <v>0</v>
      </c>
      <c r="T783" s="17">
        <v>0</v>
      </c>
      <c r="U783" s="17">
        <f>S783+T783</f>
        <v>0</v>
      </c>
    </row>
    <row r="784" spans="1:21" ht="36" x14ac:dyDescent="0.3">
      <c r="A784" s="10" t="s">
        <v>2526</v>
      </c>
      <c r="B784" s="10"/>
      <c r="C784" s="30" t="s">
        <v>1498</v>
      </c>
      <c r="D784" s="15"/>
      <c r="E784" s="15"/>
      <c r="F784" s="25" t="s">
        <v>278</v>
      </c>
      <c r="G784" s="26">
        <v>4.5</v>
      </c>
      <c r="H784" s="26"/>
      <c r="I784" s="26">
        <v>0</v>
      </c>
      <c r="J784" s="27">
        <v>12.7</v>
      </c>
      <c r="M784" s="28">
        <f>ROUND(ROUND(J784, 2)*I784, 2)</f>
        <v>0</v>
      </c>
      <c r="P784" s="27">
        <v>12.7</v>
      </c>
      <c r="S784" s="28">
        <f>ROUND(ROUND(P784, 2)*I784, 2)</f>
        <v>0</v>
      </c>
    </row>
    <row r="785" spans="1:21" ht="18" x14ac:dyDescent="0.3">
      <c r="A785" s="10" t="s">
        <v>2529</v>
      </c>
      <c r="B785" s="10"/>
      <c r="C785" s="24" t="s">
        <v>1007</v>
      </c>
      <c r="D785" s="15"/>
      <c r="E785" s="15"/>
      <c r="F785" s="25" t="s">
        <v>278</v>
      </c>
      <c r="G785" s="26">
        <v>0.15</v>
      </c>
      <c r="H785" s="26"/>
      <c r="I785" s="26">
        <v>0</v>
      </c>
      <c r="J785" s="27">
        <v>88.8</v>
      </c>
      <c r="M785" s="28">
        <f>ROUND(ROUND(J785, 2)*I785, 2)</f>
        <v>0</v>
      </c>
      <c r="P785" s="27">
        <v>88.8</v>
      </c>
      <c r="S785" s="28">
        <f>ROUND(ROUND(P785, 2)*I785, 2)</f>
        <v>0</v>
      </c>
    </row>
    <row r="786" spans="1:21" ht="54" x14ac:dyDescent="0.3">
      <c r="A786" s="10" t="s">
        <v>2532</v>
      </c>
      <c r="B786" s="10" t="s">
        <v>2522</v>
      </c>
      <c r="C786" s="14" t="s">
        <v>2523</v>
      </c>
      <c r="D786" s="15"/>
      <c r="E786" s="15" t="s">
        <v>2533</v>
      </c>
      <c r="F786" s="15" t="s">
        <v>62</v>
      </c>
      <c r="G786" s="16">
        <v>1</v>
      </c>
      <c r="H786" s="16"/>
      <c r="I786" s="16">
        <v>3898.4</v>
      </c>
      <c r="J786" s="17">
        <v>67.59</v>
      </c>
      <c r="K786" s="18">
        <v>790</v>
      </c>
      <c r="L786" s="17">
        <f>J786+ROUND(K786, 2)</f>
        <v>857.59</v>
      </c>
      <c r="M786" s="17">
        <v>263492.86</v>
      </c>
      <c r="N786" s="17">
        <v>3079736</v>
      </c>
      <c r="O786" s="17">
        <f>M786+N786</f>
        <v>3343228.86</v>
      </c>
      <c r="P786" s="17">
        <v>67.64</v>
      </c>
      <c r="Q786" s="18">
        <v>1185</v>
      </c>
      <c r="R786" s="17">
        <f>P786+ROUND(Q786, 2)</f>
        <v>1252.6400000000001</v>
      </c>
      <c r="S786" s="17">
        <v>263687.78000000003</v>
      </c>
      <c r="T786" s="17">
        <v>4619604</v>
      </c>
      <c r="U786" s="17">
        <f>S786+T786</f>
        <v>4883291.78</v>
      </c>
    </row>
    <row r="787" spans="1:21" ht="18" x14ac:dyDescent="0.3">
      <c r="A787" s="10" t="s">
        <v>2534</v>
      </c>
      <c r="B787" s="10"/>
      <c r="C787" s="24" t="s">
        <v>1007</v>
      </c>
      <c r="D787" s="15"/>
      <c r="E787" s="15"/>
      <c r="F787" s="25" t="s">
        <v>278</v>
      </c>
      <c r="G787" s="26">
        <v>0.15</v>
      </c>
      <c r="H787" s="26"/>
      <c r="I787" s="26">
        <v>584.76</v>
      </c>
      <c r="J787" s="27">
        <v>88.8</v>
      </c>
      <c r="M787" s="28">
        <f>ROUND(ROUND(J787, 2)*I787, 2)</f>
        <v>51926.69</v>
      </c>
      <c r="P787" s="27">
        <v>88.8</v>
      </c>
      <c r="S787" s="28">
        <f>ROUND(ROUND(P787, 2)*I787, 2)</f>
        <v>51926.69</v>
      </c>
    </row>
    <row r="788" spans="1:21" ht="36" x14ac:dyDescent="0.3">
      <c r="A788" s="10" t="s">
        <v>2537</v>
      </c>
      <c r="B788" s="10"/>
      <c r="C788" s="30" t="s">
        <v>1498</v>
      </c>
      <c r="D788" s="15"/>
      <c r="E788" s="15"/>
      <c r="F788" s="25" t="s">
        <v>278</v>
      </c>
      <c r="G788" s="26">
        <v>4.5</v>
      </c>
      <c r="H788" s="26"/>
      <c r="I788" s="26">
        <v>17542.8</v>
      </c>
      <c r="J788" s="27">
        <v>12.06</v>
      </c>
      <c r="M788" s="28">
        <f>ROUND(ROUND(J788, 2)*I788, 2)</f>
        <v>211566.17</v>
      </c>
      <c r="P788" s="27">
        <v>12.07</v>
      </c>
      <c r="S788" s="28">
        <f>ROUND(ROUND(P788, 2)*I788, 2)</f>
        <v>211741.6</v>
      </c>
    </row>
    <row r="789" spans="1:21" ht="94.95" customHeight="1" x14ac:dyDescent="0.3">
      <c r="A789" s="10" t="s">
        <v>2540</v>
      </c>
      <c r="B789" s="10" t="s">
        <v>2522</v>
      </c>
      <c r="C789" s="14" t="s">
        <v>2523</v>
      </c>
      <c r="D789" s="15"/>
      <c r="E789" s="15" t="s">
        <v>2541</v>
      </c>
      <c r="F789" s="15" t="s">
        <v>62</v>
      </c>
      <c r="G789" s="16">
        <v>1</v>
      </c>
      <c r="H789" s="16"/>
      <c r="I789" s="16">
        <v>95.84</v>
      </c>
      <c r="J789" s="17">
        <f>IFERROR(ROUND(SUM(M790,M791)/I789, 2),0)</f>
        <v>33.130000000000003</v>
      </c>
      <c r="K789" s="18">
        <v>790</v>
      </c>
      <c r="L789" s="17">
        <f>J789+ROUND(K789, 2)</f>
        <v>823.13</v>
      </c>
      <c r="M789" s="17">
        <f>ROUND(J789*I789, 2)</f>
        <v>3175.18</v>
      </c>
      <c r="N789" s="17">
        <f>ROUND(I789*ROUND(K789, 2), 2)</f>
        <v>75713.600000000006</v>
      </c>
      <c r="O789" s="17">
        <f>M789+N789</f>
        <v>78888.78</v>
      </c>
      <c r="P789" s="17">
        <f>IFERROR(ROUND(SUM(S790,S791)/I789, 2),0)</f>
        <v>36.71</v>
      </c>
      <c r="Q789" s="19">
        <v>1185</v>
      </c>
      <c r="R789" s="17">
        <f>P789+ROUND(Q789, 2)</f>
        <v>1221.71</v>
      </c>
      <c r="S789" s="17">
        <f>ROUND(P789*I789, 2)</f>
        <v>3518.29</v>
      </c>
      <c r="T789" s="17">
        <f>ROUND(I789*ROUND(Q789, 2), 2)</f>
        <v>113570.4</v>
      </c>
      <c r="U789" s="17">
        <f>S789+T789</f>
        <v>117088.68999999999</v>
      </c>
    </row>
    <row r="790" spans="1:21" ht="54" x14ac:dyDescent="0.3">
      <c r="A790" s="10" t="s">
        <v>2542</v>
      </c>
      <c r="B790" s="10"/>
      <c r="C790" s="24" t="s">
        <v>2543</v>
      </c>
      <c r="D790" s="15"/>
      <c r="E790" s="15" t="s">
        <v>2544</v>
      </c>
      <c r="F790" s="25" t="s">
        <v>278</v>
      </c>
      <c r="G790" s="26">
        <v>2</v>
      </c>
      <c r="H790" s="26"/>
      <c r="I790" s="26">
        <v>191.68</v>
      </c>
      <c r="J790" s="27">
        <v>8.94</v>
      </c>
      <c r="M790" s="28">
        <f>ROUND(ROUND(J790, 2)*I790, 2)</f>
        <v>1713.62</v>
      </c>
      <c r="P790" s="29">
        <v>10.73</v>
      </c>
      <c r="S790" s="28">
        <f>ROUND(ROUND(P790, 2)*I790, 2)</f>
        <v>2056.73</v>
      </c>
    </row>
    <row r="791" spans="1:21" ht="18" x14ac:dyDescent="0.3">
      <c r="A791" s="10" t="s">
        <v>2548</v>
      </c>
      <c r="B791" s="10"/>
      <c r="C791" s="24" t="s">
        <v>1629</v>
      </c>
      <c r="D791" s="15"/>
      <c r="E791" s="15"/>
      <c r="F791" s="25" t="s">
        <v>278</v>
      </c>
      <c r="G791" s="26">
        <v>0.15</v>
      </c>
      <c r="H791" s="26"/>
      <c r="I791" s="26">
        <v>14.375999999999999</v>
      </c>
      <c r="J791" s="27">
        <v>101.66</v>
      </c>
      <c r="M791" s="28">
        <f>ROUND(ROUND(J791, 2)*I791, 2)</f>
        <v>1461.46</v>
      </c>
      <c r="P791" s="29">
        <v>101.66</v>
      </c>
      <c r="S791" s="28">
        <f>ROUND(ROUND(P791, 2)*I791, 2)</f>
        <v>1461.46</v>
      </c>
    </row>
    <row r="792" spans="1:21" ht="73.05" customHeight="1" x14ac:dyDescent="0.3">
      <c r="A792" s="10" t="s">
        <v>2551</v>
      </c>
      <c r="B792" s="10" t="s">
        <v>2522</v>
      </c>
      <c r="C792" s="14" t="s">
        <v>2523</v>
      </c>
      <c r="D792" s="15"/>
      <c r="E792" s="15" t="s">
        <v>2552</v>
      </c>
      <c r="F792" s="15" t="s">
        <v>62</v>
      </c>
      <c r="G792" s="16">
        <v>1</v>
      </c>
      <c r="H792" s="16"/>
      <c r="I792" s="16">
        <v>36.17</v>
      </c>
      <c r="J792" s="17">
        <f>IFERROR(ROUND(SUM(M793,M794)/I792, 2),0)</f>
        <v>29.09</v>
      </c>
      <c r="K792" s="18">
        <v>790</v>
      </c>
      <c r="L792" s="17">
        <f>J792+ROUND(K792, 2)</f>
        <v>819.09</v>
      </c>
      <c r="M792" s="17">
        <f>ROUND(J792*I792, 2)</f>
        <v>1052.19</v>
      </c>
      <c r="N792" s="17">
        <f>ROUND(I792*ROUND(K792, 2), 2)</f>
        <v>28574.3</v>
      </c>
      <c r="O792" s="17">
        <f>M792+N792</f>
        <v>29626.489999999998</v>
      </c>
      <c r="P792" s="17">
        <f>IFERROR(ROUND(SUM(S793,S794)/I792, 2),0)</f>
        <v>36.729999999999997</v>
      </c>
      <c r="Q792" s="19">
        <v>1185</v>
      </c>
      <c r="R792" s="17">
        <f>P792+ROUND(Q792, 2)</f>
        <v>1221.73</v>
      </c>
      <c r="S792" s="17">
        <f>ROUND(P792*I792, 2)</f>
        <v>1328.52</v>
      </c>
      <c r="T792" s="17">
        <f>ROUND(I792*ROUND(Q792, 2), 2)</f>
        <v>42861.45</v>
      </c>
      <c r="U792" s="17">
        <f>S792+T792</f>
        <v>44189.969999999994</v>
      </c>
    </row>
    <row r="793" spans="1:21" ht="18" x14ac:dyDescent="0.3">
      <c r="A793" s="10" t="s">
        <v>2553</v>
      </c>
      <c r="B793" s="10"/>
      <c r="C793" s="24" t="s">
        <v>1629</v>
      </c>
      <c r="D793" s="15"/>
      <c r="E793" s="15"/>
      <c r="F793" s="25" t="s">
        <v>278</v>
      </c>
      <c r="G793" s="26">
        <v>0.15</v>
      </c>
      <c r="H793" s="26"/>
      <c r="I793" s="26">
        <v>5.4260000000000002</v>
      </c>
      <c r="J793" s="27">
        <v>101.66</v>
      </c>
      <c r="M793" s="28">
        <f>ROUND(ROUND(J793, 2)*I793, 2)</f>
        <v>551.61</v>
      </c>
      <c r="P793" s="29">
        <v>101.66</v>
      </c>
      <c r="S793" s="28">
        <f>ROUND(ROUND(P793, 2)*I793, 2)</f>
        <v>551.61</v>
      </c>
    </row>
    <row r="794" spans="1:21" ht="36" x14ac:dyDescent="0.3">
      <c r="A794" s="10" t="s">
        <v>2556</v>
      </c>
      <c r="B794" s="10"/>
      <c r="C794" s="24" t="s">
        <v>2557</v>
      </c>
      <c r="D794" s="15"/>
      <c r="E794" s="15" t="s">
        <v>1602</v>
      </c>
      <c r="F794" s="25" t="s">
        <v>278</v>
      </c>
      <c r="G794" s="26">
        <v>2</v>
      </c>
      <c r="H794" s="26"/>
      <c r="I794" s="26">
        <v>72.34</v>
      </c>
      <c r="J794" s="27">
        <v>6.92</v>
      </c>
      <c r="M794" s="28">
        <f>ROUND(ROUND(J794, 2)*I794, 2)</f>
        <v>500.59</v>
      </c>
      <c r="P794" s="29">
        <v>10.74</v>
      </c>
      <c r="S794" s="28">
        <f>ROUND(ROUND(P794, 2)*I794, 2)</f>
        <v>776.93</v>
      </c>
    </row>
    <row r="795" spans="1:21" ht="76.95" customHeight="1" x14ac:dyDescent="0.3">
      <c r="A795" s="10" t="s">
        <v>2561</v>
      </c>
      <c r="B795" s="10" t="s">
        <v>2522</v>
      </c>
      <c r="C795" s="14" t="s">
        <v>2523</v>
      </c>
      <c r="D795" s="15"/>
      <c r="E795" s="15" t="s">
        <v>2562</v>
      </c>
      <c r="F795" s="15" t="s">
        <v>62</v>
      </c>
      <c r="G795" s="16">
        <v>1</v>
      </c>
      <c r="H795" s="16"/>
      <c r="I795" s="16">
        <v>474.68</v>
      </c>
      <c r="J795" s="17">
        <f>IFERROR(ROUND(SUM(M796,M797)/I795, 2),0)</f>
        <v>33.130000000000003</v>
      </c>
      <c r="K795" s="18">
        <v>790</v>
      </c>
      <c r="L795" s="17">
        <f>J795+ROUND(K795, 2)</f>
        <v>823.13</v>
      </c>
      <c r="M795" s="17">
        <f>ROUND(J795*I795, 2)</f>
        <v>15726.15</v>
      </c>
      <c r="N795" s="17">
        <f>ROUND(I795*ROUND(K795, 2), 2)</f>
        <v>374997.2</v>
      </c>
      <c r="O795" s="17">
        <f>M795+N795</f>
        <v>390723.35000000003</v>
      </c>
      <c r="P795" s="17">
        <f>IFERROR(ROUND(SUM(S796,S797)/I795, 2),0)</f>
        <v>36.71</v>
      </c>
      <c r="Q795" s="19">
        <v>1185</v>
      </c>
      <c r="R795" s="17">
        <f>P795+ROUND(Q795, 2)</f>
        <v>1221.71</v>
      </c>
      <c r="S795" s="17">
        <f>ROUND(P795*I795, 2)</f>
        <v>17425.5</v>
      </c>
      <c r="T795" s="17">
        <f>ROUND(I795*ROUND(Q795, 2), 2)</f>
        <v>562495.80000000005</v>
      </c>
      <c r="U795" s="17">
        <f>S795+T795</f>
        <v>579921.30000000005</v>
      </c>
    </row>
    <row r="796" spans="1:21" ht="54" x14ac:dyDescent="0.3">
      <c r="A796" s="10" t="s">
        <v>2563</v>
      </c>
      <c r="B796" s="10"/>
      <c r="C796" s="24" t="s">
        <v>2543</v>
      </c>
      <c r="D796" s="15"/>
      <c r="E796" s="15" t="s">
        <v>2544</v>
      </c>
      <c r="F796" s="25" t="s">
        <v>278</v>
      </c>
      <c r="G796" s="26">
        <v>2</v>
      </c>
      <c r="H796" s="26"/>
      <c r="I796" s="26">
        <v>949.36</v>
      </c>
      <c r="J796" s="27">
        <v>8.94</v>
      </c>
      <c r="M796" s="28">
        <f>ROUND(ROUND(J796, 2)*I796, 2)</f>
        <v>8487.2800000000007</v>
      </c>
      <c r="P796" s="29">
        <v>10.73</v>
      </c>
      <c r="S796" s="28">
        <f>ROUND(ROUND(P796, 2)*I796, 2)</f>
        <v>10186.629999999999</v>
      </c>
    </row>
    <row r="797" spans="1:21" ht="18" x14ac:dyDescent="0.3">
      <c r="A797" s="10" t="s">
        <v>2566</v>
      </c>
      <c r="B797" s="10"/>
      <c r="C797" s="24" t="s">
        <v>1629</v>
      </c>
      <c r="D797" s="15"/>
      <c r="E797" s="15"/>
      <c r="F797" s="25" t="s">
        <v>278</v>
      </c>
      <c r="G797" s="26">
        <v>0.15</v>
      </c>
      <c r="H797" s="26"/>
      <c r="I797" s="26">
        <v>71.201999999999998</v>
      </c>
      <c r="J797" s="27">
        <v>101.66</v>
      </c>
      <c r="M797" s="28">
        <f>ROUND(ROUND(J797, 2)*I797, 2)</f>
        <v>7238.4</v>
      </c>
      <c r="P797" s="29">
        <v>101.66</v>
      </c>
      <c r="S797" s="28">
        <f>ROUND(ROUND(P797, 2)*I797, 2)</f>
        <v>7238.4</v>
      </c>
    </row>
    <row r="798" spans="1:21" ht="90" x14ac:dyDescent="0.3">
      <c r="A798" s="10" t="s">
        <v>2569</v>
      </c>
      <c r="B798" s="10" t="s">
        <v>2522</v>
      </c>
      <c r="C798" s="14" t="s">
        <v>2523</v>
      </c>
      <c r="D798" s="15"/>
      <c r="E798" s="15" t="s">
        <v>2570</v>
      </c>
      <c r="F798" s="15" t="s">
        <v>62</v>
      </c>
      <c r="G798" s="16">
        <v>1</v>
      </c>
      <c r="H798" s="16"/>
      <c r="I798" s="16">
        <v>30</v>
      </c>
      <c r="J798" s="17">
        <f>IFERROR(ROUND(SUM(M799,M800)/I798, 2),0)</f>
        <v>29.09</v>
      </c>
      <c r="K798" s="18">
        <v>790</v>
      </c>
      <c r="L798" s="17">
        <f>J798+ROUND(K798, 2)</f>
        <v>819.09</v>
      </c>
      <c r="M798" s="17">
        <f>ROUND(J798*I798, 2)</f>
        <v>872.7</v>
      </c>
      <c r="N798" s="17">
        <f>ROUND(I798*ROUND(K798, 2), 2)</f>
        <v>23700</v>
      </c>
      <c r="O798" s="17">
        <f>M798+N798</f>
        <v>24572.7</v>
      </c>
      <c r="P798" s="17">
        <f>IFERROR(ROUND(SUM(S799,S800)/I798, 2),0)</f>
        <v>36.729999999999997</v>
      </c>
      <c r="Q798" s="19">
        <v>1185</v>
      </c>
      <c r="R798" s="17">
        <f>P798+ROUND(Q798, 2)</f>
        <v>1221.73</v>
      </c>
      <c r="S798" s="17">
        <f>ROUND(P798*I798, 2)</f>
        <v>1101.9000000000001</v>
      </c>
      <c r="T798" s="17">
        <f>ROUND(I798*ROUND(Q798, 2), 2)</f>
        <v>35550</v>
      </c>
      <c r="U798" s="17">
        <f>S798+T798</f>
        <v>36651.9</v>
      </c>
    </row>
    <row r="799" spans="1:21" ht="18" x14ac:dyDescent="0.3">
      <c r="A799" s="10" t="s">
        <v>2571</v>
      </c>
      <c r="B799" s="10"/>
      <c r="C799" s="24" t="s">
        <v>1629</v>
      </c>
      <c r="D799" s="15"/>
      <c r="E799" s="15"/>
      <c r="F799" s="25" t="s">
        <v>278</v>
      </c>
      <c r="G799" s="26">
        <v>0.15</v>
      </c>
      <c r="H799" s="26"/>
      <c r="I799" s="26">
        <v>4.5</v>
      </c>
      <c r="J799" s="27">
        <v>101.66</v>
      </c>
      <c r="M799" s="28">
        <f>ROUND(ROUND(J799, 2)*I799, 2)</f>
        <v>457.47</v>
      </c>
      <c r="P799" s="29">
        <v>101.66</v>
      </c>
      <c r="S799" s="28">
        <f>ROUND(ROUND(P799, 2)*I799, 2)</f>
        <v>457.47</v>
      </c>
    </row>
    <row r="800" spans="1:21" ht="36" x14ac:dyDescent="0.3">
      <c r="A800" s="10" t="s">
        <v>2574</v>
      </c>
      <c r="B800" s="10"/>
      <c r="C800" s="24" t="s">
        <v>2557</v>
      </c>
      <c r="D800" s="15"/>
      <c r="E800" s="15" t="s">
        <v>1602</v>
      </c>
      <c r="F800" s="25" t="s">
        <v>278</v>
      </c>
      <c r="G800" s="26">
        <v>2</v>
      </c>
      <c r="H800" s="26"/>
      <c r="I800" s="26">
        <v>60</v>
      </c>
      <c r="J800" s="27">
        <v>6.92</v>
      </c>
      <c r="M800" s="28">
        <f>ROUND(ROUND(J800, 2)*I800, 2)</f>
        <v>415.2</v>
      </c>
      <c r="P800" s="29">
        <v>10.74</v>
      </c>
      <c r="S800" s="28">
        <f>ROUND(ROUND(P800, 2)*I800, 2)</f>
        <v>644.4</v>
      </c>
    </row>
    <row r="801" spans="1:21" ht="18" x14ac:dyDescent="0.3">
      <c r="A801" s="10" t="s">
        <v>2577</v>
      </c>
      <c r="B801" s="10" t="s">
        <v>2578</v>
      </c>
      <c r="C801" s="14" t="s">
        <v>2579</v>
      </c>
      <c r="D801" s="15"/>
      <c r="E801" s="15"/>
      <c r="F801" s="15" t="s">
        <v>62</v>
      </c>
      <c r="G801" s="16">
        <v>1</v>
      </c>
      <c r="H801" s="16"/>
      <c r="I801" s="16">
        <v>0</v>
      </c>
      <c r="J801" s="17">
        <v>0</v>
      </c>
      <c r="K801" s="18">
        <v>639</v>
      </c>
      <c r="L801" s="17">
        <f>J801+ROUND(K801, 2)</f>
        <v>639</v>
      </c>
      <c r="M801" s="17">
        <v>0</v>
      </c>
      <c r="N801" s="17">
        <v>0</v>
      </c>
      <c r="O801" s="17">
        <f>M801+N801</f>
        <v>0</v>
      </c>
      <c r="P801" s="17">
        <v>32.369999999999997</v>
      </c>
      <c r="Q801" s="18">
        <v>639</v>
      </c>
      <c r="R801" s="17">
        <f>P801+ROUND(Q801, 2)</f>
        <v>671.37</v>
      </c>
      <c r="S801" s="17">
        <v>0</v>
      </c>
      <c r="T801" s="17">
        <v>0</v>
      </c>
      <c r="U801" s="17">
        <f>S801+T801</f>
        <v>0</v>
      </c>
    </row>
    <row r="802" spans="1:21" ht="36" x14ac:dyDescent="0.3">
      <c r="A802" s="10" t="s">
        <v>2582</v>
      </c>
      <c r="B802" s="10"/>
      <c r="C802" s="30" t="s">
        <v>1498</v>
      </c>
      <c r="D802" s="15"/>
      <c r="E802" s="15"/>
      <c r="F802" s="25" t="s">
        <v>278</v>
      </c>
      <c r="G802" s="26">
        <v>1.5</v>
      </c>
      <c r="H802" s="26"/>
      <c r="I802" s="26">
        <v>0</v>
      </c>
      <c r="J802" s="27">
        <v>12.7</v>
      </c>
      <c r="M802" s="28">
        <f>ROUND(ROUND(J802, 2)*I802, 2)</f>
        <v>0</v>
      </c>
      <c r="P802" s="27">
        <v>12.7</v>
      </c>
      <c r="S802" s="28">
        <f>ROUND(ROUND(P802, 2)*I802, 2)</f>
        <v>0</v>
      </c>
    </row>
    <row r="803" spans="1:21" ht="18" x14ac:dyDescent="0.3">
      <c r="A803" s="10" t="s">
        <v>2585</v>
      </c>
      <c r="B803" s="10"/>
      <c r="C803" s="24" t="s">
        <v>1007</v>
      </c>
      <c r="D803" s="15"/>
      <c r="E803" s="15"/>
      <c r="F803" s="25" t="s">
        <v>278</v>
      </c>
      <c r="G803" s="26">
        <v>0.15</v>
      </c>
      <c r="H803" s="26"/>
      <c r="I803" s="26">
        <v>0</v>
      </c>
      <c r="J803" s="27">
        <v>88.8</v>
      </c>
      <c r="M803" s="28">
        <f>ROUND(ROUND(J803, 2)*I803, 2)</f>
        <v>0</v>
      </c>
      <c r="P803" s="27">
        <v>88.8</v>
      </c>
      <c r="S803" s="28">
        <f>ROUND(ROUND(P803, 2)*I803, 2)</f>
        <v>0</v>
      </c>
    </row>
    <row r="804" spans="1:21" ht="36" x14ac:dyDescent="0.3">
      <c r="A804" s="10" t="s">
        <v>2588</v>
      </c>
      <c r="B804" s="10" t="s">
        <v>2578</v>
      </c>
      <c r="C804" s="14" t="s">
        <v>2579</v>
      </c>
      <c r="D804" s="15"/>
      <c r="E804" s="15" t="s">
        <v>2589</v>
      </c>
      <c r="F804" s="15" t="s">
        <v>62</v>
      </c>
      <c r="G804" s="16">
        <v>1</v>
      </c>
      <c r="H804" s="16"/>
      <c r="I804" s="16">
        <v>921.3</v>
      </c>
      <c r="J804" s="17">
        <v>31.41</v>
      </c>
      <c r="K804" s="18">
        <v>639</v>
      </c>
      <c r="L804" s="17">
        <f>J804+ROUND(K804, 2)</f>
        <v>670.41</v>
      </c>
      <c r="M804" s="17">
        <v>28938.03</v>
      </c>
      <c r="N804" s="17">
        <v>588710.69999999995</v>
      </c>
      <c r="O804" s="17">
        <f>M804+N804</f>
        <v>617648.73</v>
      </c>
      <c r="P804" s="17">
        <v>31.43</v>
      </c>
      <c r="Q804" s="18">
        <v>958.5</v>
      </c>
      <c r="R804" s="17">
        <f>P804+ROUND(Q804, 2)</f>
        <v>989.93</v>
      </c>
      <c r="S804" s="17">
        <v>28956.46</v>
      </c>
      <c r="T804" s="17">
        <v>883066.05</v>
      </c>
      <c r="U804" s="17">
        <f>S804+T804</f>
        <v>912022.51</v>
      </c>
    </row>
    <row r="805" spans="1:21" ht="18" x14ac:dyDescent="0.3">
      <c r="A805" s="10" t="s">
        <v>2590</v>
      </c>
      <c r="B805" s="10"/>
      <c r="C805" s="24" t="s">
        <v>1007</v>
      </c>
      <c r="D805" s="15"/>
      <c r="E805" s="15"/>
      <c r="F805" s="25" t="s">
        <v>278</v>
      </c>
      <c r="G805" s="26">
        <v>0.15</v>
      </c>
      <c r="H805" s="26"/>
      <c r="I805" s="26">
        <v>138.19499999999999</v>
      </c>
      <c r="J805" s="27">
        <v>88.8</v>
      </c>
      <c r="M805" s="28">
        <f>ROUND(ROUND(J805, 2)*I805, 2)</f>
        <v>12271.72</v>
      </c>
      <c r="P805" s="27">
        <v>88.8</v>
      </c>
      <c r="S805" s="28">
        <f>ROUND(ROUND(P805, 2)*I805, 2)</f>
        <v>12271.72</v>
      </c>
    </row>
    <row r="806" spans="1:21" ht="36" x14ac:dyDescent="0.3">
      <c r="A806" s="10" t="s">
        <v>2593</v>
      </c>
      <c r="B806" s="10"/>
      <c r="C806" s="30" t="s">
        <v>1498</v>
      </c>
      <c r="D806" s="15"/>
      <c r="E806" s="15"/>
      <c r="F806" s="25" t="s">
        <v>278</v>
      </c>
      <c r="G806" s="26">
        <v>1.5</v>
      </c>
      <c r="H806" s="26"/>
      <c r="I806" s="26">
        <v>1381.95</v>
      </c>
      <c r="J806" s="27">
        <v>12.06</v>
      </c>
      <c r="M806" s="28">
        <f>ROUND(ROUND(J806, 2)*I806, 2)</f>
        <v>16666.32</v>
      </c>
      <c r="P806" s="27">
        <v>12.07</v>
      </c>
      <c r="S806" s="28">
        <f>ROUND(ROUND(P806, 2)*I806, 2)</f>
        <v>16680.14</v>
      </c>
    </row>
    <row r="807" spans="1:21" ht="90" x14ac:dyDescent="0.3">
      <c r="A807" s="10" t="s">
        <v>2596</v>
      </c>
      <c r="B807" s="10" t="s">
        <v>2597</v>
      </c>
      <c r="C807" s="14" t="s">
        <v>2598</v>
      </c>
      <c r="D807" s="15"/>
      <c r="E807" s="15" t="s">
        <v>2599</v>
      </c>
      <c r="F807" s="15" t="s">
        <v>62</v>
      </c>
      <c r="G807" s="16">
        <v>1</v>
      </c>
      <c r="H807" s="16"/>
      <c r="I807" s="16">
        <v>30</v>
      </c>
      <c r="J807" s="17">
        <f>IFERROR(ROUND(SUM(M808,M809)/I807, 2),0)</f>
        <v>35.61</v>
      </c>
      <c r="K807" s="18">
        <v>546</v>
      </c>
      <c r="L807" s="17">
        <f>J807+ROUND(K807, 2)</f>
        <v>581.61</v>
      </c>
      <c r="M807" s="17">
        <f>ROUND(J807*I807, 2)</f>
        <v>1068.3</v>
      </c>
      <c r="N807" s="17">
        <f>ROUND(I807*ROUND(K807, 2), 2)</f>
        <v>16380</v>
      </c>
      <c r="O807" s="17">
        <f>M807+N807</f>
        <v>17448.3</v>
      </c>
      <c r="P807" s="17">
        <f>IFERROR(ROUND(SUM(S808,S809)/I807, 2),0)</f>
        <v>63.67</v>
      </c>
      <c r="Q807" s="19">
        <v>819</v>
      </c>
      <c r="R807" s="17">
        <f>P807+ROUND(Q807, 2)</f>
        <v>882.67</v>
      </c>
      <c r="S807" s="17">
        <f>ROUND(P807*I807, 2)</f>
        <v>1910.1</v>
      </c>
      <c r="T807" s="17">
        <f>ROUND(I807*ROUND(Q807, 2), 2)</f>
        <v>24570</v>
      </c>
      <c r="U807" s="17">
        <f>S807+T807</f>
        <v>26480.1</v>
      </c>
    </row>
    <row r="808" spans="1:21" ht="36" x14ac:dyDescent="0.3">
      <c r="A808" s="10" t="s">
        <v>2602</v>
      </c>
      <c r="B808" s="10"/>
      <c r="C808" s="30" t="s">
        <v>2603</v>
      </c>
      <c r="D808" s="15"/>
      <c r="E808" s="15" t="s">
        <v>2604</v>
      </c>
      <c r="F808" s="25" t="s">
        <v>278</v>
      </c>
      <c r="G808" s="26">
        <v>1.8</v>
      </c>
      <c r="H808" s="26"/>
      <c r="I808" s="26">
        <v>54</v>
      </c>
      <c r="J808" s="27">
        <v>12.26</v>
      </c>
      <c r="M808" s="28">
        <f>ROUND(ROUND(J808, 2)*I808, 2)</f>
        <v>662.04</v>
      </c>
      <c r="P808" s="29">
        <v>27.85</v>
      </c>
      <c r="S808" s="28">
        <f>ROUND(ROUND(P808, 2)*I808, 2)</f>
        <v>1503.9</v>
      </c>
    </row>
    <row r="809" spans="1:21" ht="18" x14ac:dyDescent="0.3">
      <c r="A809" s="10" t="s">
        <v>2608</v>
      </c>
      <c r="B809" s="10"/>
      <c r="C809" s="24" t="s">
        <v>304</v>
      </c>
      <c r="D809" s="15"/>
      <c r="E809" s="15"/>
      <c r="F809" s="25" t="s">
        <v>278</v>
      </c>
      <c r="G809" s="26">
        <v>0.15</v>
      </c>
      <c r="H809" s="26"/>
      <c r="I809" s="26">
        <v>4.5</v>
      </c>
      <c r="J809" s="27">
        <v>90.28</v>
      </c>
      <c r="M809" s="28">
        <f>ROUND(ROUND(J809, 2)*I809, 2)</f>
        <v>406.26</v>
      </c>
      <c r="P809" s="29">
        <v>90.28</v>
      </c>
      <c r="S809" s="28">
        <f>ROUND(ROUND(P809, 2)*I809, 2)</f>
        <v>406.26</v>
      </c>
    </row>
    <row r="810" spans="1:21" ht="90" x14ac:dyDescent="0.3">
      <c r="A810" s="10" t="s">
        <v>2611</v>
      </c>
      <c r="B810" s="10" t="s">
        <v>2597</v>
      </c>
      <c r="C810" s="14" t="s">
        <v>2598</v>
      </c>
      <c r="D810" s="15"/>
      <c r="E810" s="15" t="s">
        <v>2612</v>
      </c>
      <c r="F810" s="15" t="s">
        <v>62</v>
      </c>
      <c r="G810" s="16">
        <v>1</v>
      </c>
      <c r="H810" s="16"/>
      <c r="I810" s="16">
        <v>40.700000000000003</v>
      </c>
      <c r="J810" s="17">
        <f>IFERROR(ROUND(SUM(M811,M812)/I810, 2),0)</f>
        <v>35.61</v>
      </c>
      <c r="K810" s="18">
        <v>546</v>
      </c>
      <c r="L810" s="17">
        <f>J810+ROUND(K810, 2)</f>
        <v>581.61</v>
      </c>
      <c r="M810" s="17">
        <f>ROUND(J810*I810, 2)</f>
        <v>1449.33</v>
      </c>
      <c r="N810" s="17">
        <f>ROUND(I810*ROUND(K810, 2), 2)</f>
        <v>22222.2</v>
      </c>
      <c r="O810" s="17">
        <f>M810+N810</f>
        <v>23671.53</v>
      </c>
      <c r="P810" s="17">
        <f>IFERROR(ROUND(SUM(S811,S812)/I810, 2),0)</f>
        <v>71.7</v>
      </c>
      <c r="Q810" s="19">
        <v>819</v>
      </c>
      <c r="R810" s="17">
        <f>P810+ROUND(Q810, 2)</f>
        <v>890.7</v>
      </c>
      <c r="S810" s="17">
        <f>ROUND(P810*I810, 2)</f>
        <v>2918.19</v>
      </c>
      <c r="T810" s="17">
        <f>ROUND(I810*ROUND(Q810, 2), 2)</f>
        <v>33333.300000000003</v>
      </c>
      <c r="U810" s="17">
        <f>S810+T810</f>
        <v>36251.490000000005</v>
      </c>
    </row>
    <row r="811" spans="1:21" ht="18" x14ac:dyDescent="0.3">
      <c r="A811" s="10" t="s">
        <v>2613</v>
      </c>
      <c r="B811" s="10"/>
      <c r="C811" s="24" t="s">
        <v>304</v>
      </c>
      <c r="D811" s="15"/>
      <c r="E811" s="15"/>
      <c r="F811" s="25" t="s">
        <v>278</v>
      </c>
      <c r="G811" s="26">
        <v>0.15</v>
      </c>
      <c r="H811" s="26"/>
      <c r="I811" s="26">
        <v>6.1050000000000004</v>
      </c>
      <c r="J811" s="27">
        <v>90.28</v>
      </c>
      <c r="M811" s="28">
        <f>ROUND(ROUND(J811, 2)*I811, 2)</f>
        <v>551.16</v>
      </c>
      <c r="P811" s="29">
        <v>90.28</v>
      </c>
      <c r="S811" s="28">
        <f>ROUND(ROUND(P811, 2)*I811, 2)</f>
        <v>551.16</v>
      </c>
    </row>
    <row r="812" spans="1:21" ht="54" x14ac:dyDescent="0.3">
      <c r="A812" s="10" t="s">
        <v>2616</v>
      </c>
      <c r="B812" s="10"/>
      <c r="C812" s="30" t="s">
        <v>2603</v>
      </c>
      <c r="D812" s="15"/>
      <c r="E812" s="15" t="s">
        <v>2617</v>
      </c>
      <c r="F812" s="25" t="s">
        <v>278</v>
      </c>
      <c r="G812" s="26">
        <v>1.8</v>
      </c>
      <c r="H812" s="26"/>
      <c r="I812" s="26">
        <v>73.260000000000005</v>
      </c>
      <c r="J812" s="27">
        <v>12.26</v>
      </c>
      <c r="M812" s="28">
        <f>ROUND(ROUND(J812, 2)*I812, 2)</f>
        <v>898.17</v>
      </c>
      <c r="P812" s="29">
        <v>32.31</v>
      </c>
      <c r="S812" s="28">
        <f>ROUND(ROUND(P812, 2)*I812, 2)</f>
        <v>2367.0300000000002</v>
      </c>
    </row>
    <row r="813" spans="1:21" ht="108" x14ac:dyDescent="0.3">
      <c r="A813" s="10" t="s">
        <v>2620</v>
      </c>
      <c r="B813" s="10" t="s">
        <v>2597</v>
      </c>
      <c r="C813" s="14" t="s">
        <v>2598</v>
      </c>
      <c r="D813" s="15"/>
      <c r="E813" s="15" t="s">
        <v>2621</v>
      </c>
      <c r="F813" s="15" t="s">
        <v>62</v>
      </c>
      <c r="G813" s="16">
        <v>1</v>
      </c>
      <c r="H813" s="16"/>
      <c r="I813" s="16">
        <v>36.17</v>
      </c>
      <c r="J813" s="17">
        <f>IFERROR(ROUND(SUM(M814,M815)/I813, 2),0)</f>
        <v>35.61</v>
      </c>
      <c r="K813" s="18">
        <v>546</v>
      </c>
      <c r="L813" s="17">
        <f>J813+ROUND(K813, 2)</f>
        <v>581.61</v>
      </c>
      <c r="M813" s="17">
        <f>ROUND(J813*I813, 2)</f>
        <v>1288.01</v>
      </c>
      <c r="N813" s="17">
        <f>ROUND(I813*ROUND(K813, 2), 2)</f>
        <v>19748.82</v>
      </c>
      <c r="O813" s="17">
        <f>M813+N813</f>
        <v>21036.829999999998</v>
      </c>
      <c r="P813" s="17">
        <f>IFERROR(ROUND(SUM(S814,S815)/I813, 2),0)</f>
        <v>63.67</v>
      </c>
      <c r="Q813" s="19">
        <v>819</v>
      </c>
      <c r="R813" s="17">
        <f>P813+ROUND(Q813, 2)</f>
        <v>882.67</v>
      </c>
      <c r="S813" s="17">
        <f>ROUND(P813*I813, 2)</f>
        <v>2302.94</v>
      </c>
      <c r="T813" s="17">
        <f>ROUND(I813*ROUND(Q813, 2), 2)</f>
        <v>29623.23</v>
      </c>
      <c r="U813" s="17">
        <f>S813+T813</f>
        <v>31926.17</v>
      </c>
    </row>
    <row r="814" spans="1:21" ht="36" x14ac:dyDescent="0.3">
      <c r="A814" s="10" t="s">
        <v>2622</v>
      </c>
      <c r="B814" s="10"/>
      <c r="C814" s="30" t="s">
        <v>2603</v>
      </c>
      <c r="D814" s="15"/>
      <c r="E814" s="15" t="s">
        <v>2604</v>
      </c>
      <c r="F814" s="25" t="s">
        <v>278</v>
      </c>
      <c r="G814" s="26">
        <v>1.8</v>
      </c>
      <c r="H814" s="26"/>
      <c r="I814" s="26">
        <v>65.105999999999995</v>
      </c>
      <c r="J814" s="27">
        <v>12.26</v>
      </c>
      <c r="M814" s="28">
        <f>ROUND(ROUND(J814, 2)*I814, 2)</f>
        <v>798.2</v>
      </c>
      <c r="P814" s="29">
        <v>27.85</v>
      </c>
      <c r="S814" s="28">
        <f>ROUND(ROUND(P814, 2)*I814, 2)</f>
        <v>1813.2</v>
      </c>
    </row>
    <row r="815" spans="1:21" ht="18" x14ac:dyDescent="0.3">
      <c r="A815" s="10" t="s">
        <v>2625</v>
      </c>
      <c r="B815" s="10"/>
      <c r="C815" s="24" t="s">
        <v>304</v>
      </c>
      <c r="D815" s="15"/>
      <c r="E815" s="15"/>
      <c r="F815" s="25" t="s">
        <v>278</v>
      </c>
      <c r="G815" s="26">
        <v>0.15</v>
      </c>
      <c r="H815" s="26"/>
      <c r="I815" s="26">
        <v>5.4260000000000002</v>
      </c>
      <c r="J815" s="27">
        <v>90.28</v>
      </c>
      <c r="M815" s="28">
        <f>ROUND(ROUND(J815, 2)*I815, 2)</f>
        <v>489.86</v>
      </c>
      <c r="P815" s="29">
        <v>90.28</v>
      </c>
      <c r="S815" s="28">
        <f>ROUND(ROUND(P815, 2)*I815, 2)</f>
        <v>489.86</v>
      </c>
    </row>
    <row r="816" spans="1:21" ht="72" customHeight="1" x14ac:dyDescent="0.3">
      <c r="A816" s="10" t="s">
        <v>2628</v>
      </c>
      <c r="B816" s="10" t="s">
        <v>2597</v>
      </c>
      <c r="C816" s="14" t="s">
        <v>2598</v>
      </c>
      <c r="D816" s="15"/>
      <c r="E816" s="15" t="s">
        <v>2629</v>
      </c>
      <c r="F816" s="15" t="s">
        <v>62</v>
      </c>
      <c r="G816" s="16">
        <v>1</v>
      </c>
      <c r="H816" s="16"/>
      <c r="I816" s="16">
        <v>137.6</v>
      </c>
      <c r="J816" s="17">
        <f>IFERROR(ROUND(SUM(M817,M818)/I816, 2),0)</f>
        <v>35.61</v>
      </c>
      <c r="K816" s="18">
        <v>546</v>
      </c>
      <c r="L816" s="17">
        <f>J816+ROUND(K816, 2)</f>
        <v>581.61</v>
      </c>
      <c r="M816" s="17">
        <f>ROUND(J816*I816, 2)</f>
        <v>4899.9399999999996</v>
      </c>
      <c r="N816" s="17">
        <f>ROUND(I816*ROUND(K816, 2), 2)</f>
        <v>75129.600000000006</v>
      </c>
      <c r="O816" s="17">
        <f>M816+N816</f>
        <v>80029.540000000008</v>
      </c>
      <c r="P816" s="17">
        <f>IFERROR(ROUND(SUM(S817,S818)/I816, 2),0)</f>
        <v>35.61</v>
      </c>
      <c r="Q816" s="19">
        <v>819</v>
      </c>
      <c r="R816" s="17">
        <f>P816+ROUND(Q816, 2)</f>
        <v>854.61</v>
      </c>
      <c r="S816" s="17">
        <f>ROUND(P816*I816, 2)</f>
        <v>4899.9399999999996</v>
      </c>
      <c r="T816" s="17">
        <f>ROUND(I816*ROUND(Q816, 2), 2)</f>
        <v>112694.39999999999</v>
      </c>
      <c r="U816" s="17">
        <f>S816+T816</f>
        <v>117594.34</v>
      </c>
    </row>
    <row r="817" spans="1:21" ht="18" x14ac:dyDescent="0.3">
      <c r="A817" s="10" t="s">
        <v>2630</v>
      </c>
      <c r="B817" s="10"/>
      <c r="C817" s="24" t="s">
        <v>304</v>
      </c>
      <c r="D817" s="15"/>
      <c r="E817" s="15"/>
      <c r="F817" s="25" t="s">
        <v>278</v>
      </c>
      <c r="G817" s="26">
        <v>0.15</v>
      </c>
      <c r="H817" s="26"/>
      <c r="I817" s="26">
        <v>20.64</v>
      </c>
      <c r="J817" s="27">
        <v>90.28</v>
      </c>
      <c r="M817" s="28">
        <f>ROUND(ROUND(J817, 2)*I817, 2)</f>
        <v>1863.38</v>
      </c>
      <c r="P817" s="29">
        <v>90.28</v>
      </c>
      <c r="S817" s="28">
        <f>ROUND(ROUND(P817, 2)*I817, 2)</f>
        <v>1863.38</v>
      </c>
    </row>
    <row r="818" spans="1:21" ht="36" x14ac:dyDescent="0.3">
      <c r="A818" s="10" t="s">
        <v>2633</v>
      </c>
      <c r="B818" s="10"/>
      <c r="C818" s="30" t="s">
        <v>2603</v>
      </c>
      <c r="D818" s="15"/>
      <c r="E818" s="15"/>
      <c r="F818" s="25" t="s">
        <v>278</v>
      </c>
      <c r="G818" s="26">
        <v>1.8</v>
      </c>
      <c r="H818" s="26"/>
      <c r="I818" s="26">
        <v>247.68</v>
      </c>
      <c r="J818" s="27">
        <v>12.26</v>
      </c>
      <c r="M818" s="28">
        <f>ROUND(ROUND(J818, 2)*I818, 2)</f>
        <v>3036.56</v>
      </c>
      <c r="P818" s="29">
        <v>12.26</v>
      </c>
      <c r="S818" s="28">
        <f>ROUND(ROUND(P818, 2)*I818, 2)</f>
        <v>3036.56</v>
      </c>
    </row>
    <row r="819" spans="1:21" ht="73.95" customHeight="1" x14ac:dyDescent="0.3">
      <c r="A819" s="10" t="s">
        <v>2636</v>
      </c>
      <c r="B819" s="10" t="s">
        <v>2597</v>
      </c>
      <c r="C819" s="14" t="s">
        <v>2598</v>
      </c>
      <c r="D819" s="15"/>
      <c r="E819" s="15" t="s">
        <v>2637</v>
      </c>
      <c r="F819" s="15" t="s">
        <v>62</v>
      </c>
      <c r="G819" s="16">
        <v>1</v>
      </c>
      <c r="H819" s="16"/>
      <c r="I819" s="16">
        <v>237.32</v>
      </c>
      <c r="J819" s="17">
        <f>IFERROR(ROUND(SUM(M820,M821)/I819, 2),0)</f>
        <v>35.61</v>
      </c>
      <c r="K819" s="18">
        <v>546</v>
      </c>
      <c r="L819" s="17">
        <f>J819+ROUND(K819, 2)</f>
        <v>581.61</v>
      </c>
      <c r="M819" s="17">
        <f>ROUND(J819*I819, 2)</f>
        <v>8450.9699999999993</v>
      </c>
      <c r="N819" s="17">
        <f>ROUND(I819*ROUND(K819, 2), 2)</f>
        <v>129576.72</v>
      </c>
      <c r="O819" s="17">
        <f>M819+N819</f>
        <v>138027.69</v>
      </c>
      <c r="P819" s="17">
        <f>IFERROR(ROUND(SUM(S820,S821)/I819, 2),0)</f>
        <v>52.82</v>
      </c>
      <c r="Q819" s="19">
        <v>819</v>
      </c>
      <c r="R819" s="17">
        <f>P819+ROUND(Q819, 2)</f>
        <v>871.82</v>
      </c>
      <c r="S819" s="17">
        <f>ROUND(P819*I819, 2)</f>
        <v>12535.24</v>
      </c>
      <c r="T819" s="17">
        <f>ROUND(I819*ROUND(Q819, 2), 2)</f>
        <v>194365.08</v>
      </c>
      <c r="U819" s="17">
        <f>S819+T819</f>
        <v>206900.31999999998</v>
      </c>
    </row>
    <row r="820" spans="1:21" ht="36" x14ac:dyDescent="0.3">
      <c r="A820" s="10" t="s">
        <v>2638</v>
      </c>
      <c r="B820" s="10"/>
      <c r="C820" s="30" t="s">
        <v>2603</v>
      </c>
      <c r="D820" s="15"/>
      <c r="E820" s="15" t="s">
        <v>2639</v>
      </c>
      <c r="F820" s="25" t="s">
        <v>278</v>
      </c>
      <c r="G820" s="26">
        <v>1.8</v>
      </c>
      <c r="H820" s="26"/>
      <c r="I820" s="26">
        <v>427.17599999999999</v>
      </c>
      <c r="J820" s="27">
        <v>12.26</v>
      </c>
      <c r="M820" s="28">
        <f>ROUND(ROUND(J820, 2)*I820, 2)</f>
        <v>5237.18</v>
      </c>
      <c r="P820" s="29">
        <v>21.82</v>
      </c>
      <c r="S820" s="28">
        <f>ROUND(ROUND(P820, 2)*I820, 2)</f>
        <v>9320.98</v>
      </c>
    </row>
    <row r="821" spans="1:21" ht="18" x14ac:dyDescent="0.3">
      <c r="A821" s="10" t="s">
        <v>2642</v>
      </c>
      <c r="B821" s="10"/>
      <c r="C821" s="24" t="s">
        <v>304</v>
      </c>
      <c r="D821" s="15"/>
      <c r="E821" s="15"/>
      <c r="F821" s="25" t="s">
        <v>278</v>
      </c>
      <c r="G821" s="26">
        <v>0.15</v>
      </c>
      <c r="H821" s="26"/>
      <c r="I821" s="26">
        <v>35.597999999999999</v>
      </c>
      <c r="J821" s="27">
        <v>90.28</v>
      </c>
      <c r="M821" s="28">
        <f>ROUND(ROUND(J821, 2)*I821, 2)</f>
        <v>3213.79</v>
      </c>
      <c r="P821" s="29">
        <v>90.28</v>
      </c>
      <c r="S821" s="28">
        <f>ROUND(ROUND(P821, 2)*I821, 2)</f>
        <v>3213.79</v>
      </c>
    </row>
    <row r="822" spans="1:21" ht="90" x14ac:dyDescent="0.3">
      <c r="A822" s="10" t="s">
        <v>2645</v>
      </c>
      <c r="B822" s="10" t="s">
        <v>2597</v>
      </c>
      <c r="C822" s="14" t="s">
        <v>2598</v>
      </c>
      <c r="D822" s="15"/>
      <c r="E822" s="15" t="s">
        <v>2646</v>
      </c>
      <c r="F822" s="15" t="s">
        <v>62</v>
      </c>
      <c r="G822" s="16">
        <v>1</v>
      </c>
      <c r="H822" s="16"/>
      <c r="I822" s="16">
        <v>996.23</v>
      </c>
      <c r="J822" s="17">
        <f>IFERROR(ROUND(SUM(M823,M824)/I822, 2),0)</f>
        <v>35.61</v>
      </c>
      <c r="K822" s="18">
        <v>546</v>
      </c>
      <c r="L822" s="17">
        <f>J822+ROUND(K822, 2)</f>
        <v>581.61</v>
      </c>
      <c r="M822" s="17">
        <f>ROUND(J822*I822, 2)</f>
        <v>35475.75</v>
      </c>
      <c r="N822" s="17">
        <f>ROUND(I822*ROUND(K822, 2), 2)</f>
        <v>543941.57999999996</v>
      </c>
      <c r="O822" s="17">
        <f>M822+N822</f>
        <v>579417.32999999996</v>
      </c>
      <c r="P822" s="17">
        <f>IFERROR(ROUND(SUM(S823,S824)/I822, 2),0)</f>
        <v>35.61</v>
      </c>
      <c r="Q822" s="19">
        <v>819</v>
      </c>
      <c r="R822" s="17">
        <f>P822+ROUND(Q822, 2)</f>
        <v>854.61</v>
      </c>
      <c r="S822" s="17">
        <f>ROUND(P822*I822, 2)</f>
        <v>35475.75</v>
      </c>
      <c r="T822" s="17">
        <f>ROUND(I822*ROUND(Q822, 2), 2)</f>
        <v>815912.37</v>
      </c>
      <c r="U822" s="17">
        <f>S822+T822</f>
        <v>851388.12</v>
      </c>
    </row>
    <row r="823" spans="1:21" ht="18" x14ac:dyDescent="0.3">
      <c r="A823" s="10" t="s">
        <v>2647</v>
      </c>
      <c r="B823" s="10"/>
      <c r="C823" s="24" t="s">
        <v>304</v>
      </c>
      <c r="D823" s="15"/>
      <c r="E823" s="15"/>
      <c r="F823" s="25" t="s">
        <v>278</v>
      </c>
      <c r="G823" s="26">
        <v>0.15</v>
      </c>
      <c r="H823" s="26"/>
      <c r="I823" s="26">
        <v>149.435</v>
      </c>
      <c r="J823" s="27">
        <v>90.28</v>
      </c>
      <c r="M823" s="28">
        <f>ROUND(ROUND(J823, 2)*I823, 2)</f>
        <v>13490.99</v>
      </c>
      <c r="P823" s="29">
        <v>90.28</v>
      </c>
      <c r="S823" s="28">
        <f>ROUND(ROUND(P823, 2)*I823, 2)</f>
        <v>13490.99</v>
      </c>
    </row>
    <row r="824" spans="1:21" ht="36" x14ac:dyDescent="0.3">
      <c r="A824" s="10" t="s">
        <v>2650</v>
      </c>
      <c r="B824" s="10"/>
      <c r="C824" s="30" t="s">
        <v>2603</v>
      </c>
      <c r="D824" s="15"/>
      <c r="E824" s="15"/>
      <c r="F824" s="25" t="s">
        <v>278</v>
      </c>
      <c r="G824" s="26">
        <v>1.8</v>
      </c>
      <c r="H824" s="26"/>
      <c r="I824" s="26">
        <v>1793.2139999999999</v>
      </c>
      <c r="J824" s="27">
        <v>12.26</v>
      </c>
      <c r="M824" s="28">
        <f>ROUND(ROUND(J824, 2)*I824, 2)</f>
        <v>21984.799999999999</v>
      </c>
      <c r="P824" s="29">
        <v>12.26</v>
      </c>
      <c r="S824" s="28">
        <f>ROUND(ROUND(P824, 2)*I824, 2)</f>
        <v>21984.799999999999</v>
      </c>
    </row>
    <row r="825" spans="1:21" ht="90" x14ac:dyDescent="0.3">
      <c r="A825" s="10" t="s">
        <v>2653</v>
      </c>
      <c r="B825" s="10" t="s">
        <v>2597</v>
      </c>
      <c r="C825" s="14" t="s">
        <v>2598</v>
      </c>
      <c r="D825" s="15"/>
      <c r="E825" s="15" t="s">
        <v>2654</v>
      </c>
      <c r="F825" s="15" t="s">
        <v>62</v>
      </c>
      <c r="G825" s="16">
        <v>1</v>
      </c>
      <c r="H825" s="16"/>
      <c r="I825" s="16">
        <v>1173.78</v>
      </c>
      <c r="J825" s="17">
        <f>IFERROR(ROUND(SUM(M826,M827)/I825, 2),0)</f>
        <v>35.61</v>
      </c>
      <c r="K825" s="18">
        <v>546</v>
      </c>
      <c r="L825" s="17">
        <f>J825+ROUND(K825, 2)</f>
        <v>581.61</v>
      </c>
      <c r="M825" s="17">
        <f>ROUND(J825*I825, 2)</f>
        <v>41798.31</v>
      </c>
      <c r="N825" s="17">
        <f>ROUND(I825*ROUND(K825, 2), 2)</f>
        <v>640883.88</v>
      </c>
      <c r="O825" s="17">
        <f>M825+N825</f>
        <v>682682.19</v>
      </c>
      <c r="P825" s="17">
        <f>IFERROR(ROUND(SUM(S826,S827)/I825, 2),0)</f>
        <v>52.82</v>
      </c>
      <c r="Q825" s="19">
        <v>819</v>
      </c>
      <c r="R825" s="17">
        <f>P825+ROUND(Q825, 2)</f>
        <v>871.82</v>
      </c>
      <c r="S825" s="17">
        <f>ROUND(P825*I825, 2)</f>
        <v>61999.06</v>
      </c>
      <c r="T825" s="17">
        <f>ROUND(I825*ROUND(Q825, 2), 2)</f>
        <v>961325.82</v>
      </c>
      <c r="U825" s="17">
        <f>S825+T825</f>
        <v>1023324.8799999999</v>
      </c>
    </row>
    <row r="826" spans="1:21" ht="36" x14ac:dyDescent="0.3">
      <c r="A826" s="10" t="s">
        <v>2655</v>
      </c>
      <c r="B826" s="10"/>
      <c r="C826" s="30" t="s">
        <v>2603</v>
      </c>
      <c r="D826" s="15"/>
      <c r="E826" s="15" t="s">
        <v>2639</v>
      </c>
      <c r="F826" s="25" t="s">
        <v>278</v>
      </c>
      <c r="G826" s="26">
        <v>1.8</v>
      </c>
      <c r="H826" s="26"/>
      <c r="I826" s="26">
        <v>2112.8040000000001</v>
      </c>
      <c r="J826" s="27">
        <v>12.26</v>
      </c>
      <c r="M826" s="28">
        <f>ROUND(ROUND(J826, 2)*I826, 2)</f>
        <v>25902.98</v>
      </c>
      <c r="P826" s="29">
        <v>21.82</v>
      </c>
      <c r="S826" s="28">
        <f>ROUND(ROUND(P826, 2)*I826, 2)</f>
        <v>46101.38</v>
      </c>
    </row>
    <row r="827" spans="1:21" ht="18" x14ac:dyDescent="0.3">
      <c r="A827" s="10" t="s">
        <v>2658</v>
      </c>
      <c r="B827" s="10"/>
      <c r="C827" s="24" t="s">
        <v>304</v>
      </c>
      <c r="D827" s="15"/>
      <c r="E827" s="15"/>
      <c r="F827" s="25" t="s">
        <v>278</v>
      </c>
      <c r="G827" s="26">
        <v>0.15</v>
      </c>
      <c r="H827" s="26"/>
      <c r="I827" s="26">
        <v>176.06700000000001</v>
      </c>
      <c r="J827" s="27">
        <v>90.28</v>
      </c>
      <c r="M827" s="28">
        <f>ROUND(ROUND(J827, 2)*I827, 2)</f>
        <v>15895.33</v>
      </c>
      <c r="P827" s="29">
        <v>90.28</v>
      </c>
      <c r="S827" s="28">
        <f>ROUND(ROUND(P827, 2)*I827, 2)</f>
        <v>15895.33</v>
      </c>
    </row>
    <row r="828" spans="1:21" ht="16.95" customHeight="1" x14ac:dyDescent="0.3">
      <c r="A828" s="10" t="s">
        <v>2661</v>
      </c>
      <c r="B828" s="10" t="s">
        <v>2662</v>
      </c>
      <c r="C828" s="91" t="s">
        <v>2663</v>
      </c>
      <c r="D828" s="92"/>
      <c r="E828" s="92"/>
      <c r="F828" s="92"/>
      <c r="G828" s="92"/>
      <c r="H828" s="92"/>
      <c r="I828" s="93"/>
      <c r="M828" s="6">
        <f>SUM(M829,M832,M835,M838,M841,M844,M847,M850,M853,M856,M859)</f>
        <v>2078209.1500000004</v>
      </c>
      <c r="N828" s="6">
        <f>SUM(N829,N832,N835,N838,N841,N844,N847,N850,N853,N856,N859)</f>
        <v>4275175.3599999994</v>
      </c>
      <c r="O828" s="6">
        <f>SUM(O829,O832,O835,O838,O841,O844,O847,O850,O853,O856,O859)</f>
        <v>6353384.5100000007</v>
      </c>
      <c r="S828" s="6">
        <f>SUM(S829,S832,S835,S838,S841,S844,S847,S850,S853,S856,S859)</f>
        <v>1181876.03</v>
      </c>
      <c r="T828" s="6">
        <f>SUM(T829,T832,T835,T838,T841,T844,T847,T850,T853,T856,T859)</f>
        <v>6412763.04</v>
      </c>
      <c r="U828" s="6">
        <f>SUM(U829,U832,U835,U838,U841,U844,U847,U850,U853,U856,U859)</f>
        <v>7594639.0699999994</v>
      </c>
    </row>
    <row r="829" spans="1:21" ht="18" x14ac:dyDescent="0.3">
      <c r="A829" s="10" t="s">
        <v>2664</v>
      </c>
      <c r="B829" s="10" t="s">
        <v>2665</v>
      </c>
      <c r="C829" s="14" t="s">
        <v>2666</v>
      </c>
      <c r="D829" s="15"/>
      <c r="E829" s="15"/>
      <c r="F829" s="15" t="s">
        <v>62</v>
      </c>
      <c r="G829" s="16">
        <v>1</v>
      </c>
      <c r="H829" s="16"/>
      <c r="I829" s="16">
        <v>0</v>
      </c>
      <c r="J829" s="17">
        <v>0</v>
      </c>
      <c r="K829" s="18">
        <v>464</v>
      </c>
      <c r="L829" s="17">
        <f>J829+ROUND(K829, 2)</f>
        <v>464</v>
      </c>
      <c r="M829" s="17">
        <v>0</v>
      </c>
      <c r="N829" s="17">
        <v>0</v>
      </c>
      <c r="O829" s="17">
        <f>M829+N829</f>
        <v>0</v>
      </c>
      <c r="P829" s="17">
        <v>162.09</v>
      </c>
      <c r="Q829" s="18">
        <v>464</v>
      </c>
      <c r="R829" s="17">
        <f>P829+ROUND(Q829, 2)</f>
        <v>626.09</v>
      </c>
      <c r="S829" s="17">
        <v>0</v>
      </c>
      <c r="T829" s="17">
        <v>0</v>
      </c>
      <c r="U829" s="17">
        <f>S829+T829</f>
        <v>0</v>
      </c>
    </row>
    <row r="830" spans="1:21" ht="72" x14ac:dyDescent="0.3">
      <c r="A830" s="10" t="s">
        <v>2669</v>
      </c>
      <c r="B830" s="10"/>
      <c r="C830" s="24" t="s">
        <v>1757</v>
      </c>
      <c r="D830" s="15"/>
      <c r="E830" s="15" t="s">
        <v>2670</v>
      </c>
      <c r="F830" s="25" t="s">
        <v>278</v>
      </c>
      <c r="G830" s="26">
        <v>0.3</v>
      </c>
      <c r="H830" s="26"/>
      <c r="I830" s="26">
        <v>0</v>
      </c>
      <c r="J830" s="27">
        <v>1216.56</v>
      </c>
      <c r="M830" s="28">
        <f>ROUND(ROUND(J830, 2)*I830, 2)</f>
        <v>0</v>
      </c>
      <c r="P830" s="27">
        <v>495.9</v>
      </c>
      <c r="S830" s="28">
        <f>ROUND(ROUND(P830, 2)*I830, 2)</f>
        <v>0</v>
      </c>
    </row>
    <row r="831" spans="1:21" ht="18" x14ac:dyDescent="0.3">
      <c r="A831" s="10" t="s">
        <v>2673</v>
      </c>
      <c r="B831" s="10"/>
      <c r="C831" s="24" t="s">
        <v>1007</v>
      </c>
      <c r="D831" s="15"/>
      <c r="E831" s="15"/>
      <c r="F831" s="25" t="s">
        <v>278</v>
      </c>
      <c r="G831" s="26">
        <v>0.15</v>
      </c>
      <c r="H831" s="26"/>
      <c r="I831" s="26">
        <v>0</v>
      </c>
      <c r="J831" s="27">
        <v>88.8</v>
      </c>
      <c r="M831" s="28">
        <f>ROUND(ROUND(J831, 2)*I831, 2)</f>
        <v>0</v>
      </c>
      <c r="P831" s="27">
        <v>88.8</v>
      </c>
      <c r="S831" s="28">
        <f>ROUND(ROUND(P831, 2)*I831, 2)</f>
        <v>0</v>
      </c>
    </row>
    <row r="832" spans="1:21" ht="18" x14ac:dyDescent="0.3">
      <c r="A832" s="10" t="s">
        <v>2676</v>
      </c>
      <c r="B832" s="10" t="s">
        <v>2665</v>
      </c>
      <c r="C832" s="14" t="s">
        <v>2666</v>
      </c>
      <c r="D832" s="15"/>
      <c r="E832" s="15"/>
      <c r="F832" s="15" t="s">
        <v>62</v>
      </c>
      <c r="G832" s="16">
        <v>1</v>
      </c>
      <c r="H832" s="16"/>
      <c r="I832" s="16">
        <v>0</v>
      </c>
      <c r="J832" s="17">
        <v>0</v>
      </c>
      <c r="K832" s="18">
        <v>464</v>
      </c>
      <c r="L832" s="17">
        <f>J832+ROUND(K832, 2)</f>
        <v>464</v>
      </c>
      <c r="M832" s="17">
        <v>0</v>
      </c>
      <c r="N832" s="17">
        <v>0</v>
      </c>
      <c r="O832" s="17">
        <f>M832+N832</f>
        <v>0</v>
      </c>
      <c r="P832" s="17">
        <v>162.09</v>
      </c>
      <c r="Q832" s="18">
        <v>464</v>
      </c>
      <c r="R832" s="17">
        <f>P832+ROUND(Q832, 2)</f>
        <v>626.09</v>
      </c>
      <c r="S832" s="17">
        <v>0</v>
      </c>
      <c r="T832" s="17">
        <v>0</v>
      </c>
      <c r="U832" s="17">
        <f>S832+T832</f>
        <v>0</v>
      </c>
    </row>
    <row r="833" spans="1:21" ht="18" x14ac:dyDescent="0.3">
      <c r="A833" s="10" t="s">
        <v>2677</v>
      </c>
      <c r="B833" s="10"/>
      <c r="C833" s="24" t="s">
        <v>1007</v>
      </c>
      <c r="D833" s="15"/>
      <c r="E833" s="15"/>
      <c r="F833" s="25" t="s">
        <v>278</v>
      </c>
      <c r="G833" s="26">
        <v>0.15</v>
      </c>
      <c r="H833" s="26"/>
      <c r="I833" s="26">
        <v>0</v>
      </c>
      <c r="J833" s="27">
        <v>88.8</v>
      </c>
      <c r="M833" s="28">
        <f>ROUND(ROUND(J833, 2)*I833, 2)</f>
        <v>0</v>
      </c>
      <c r="P833" s="27">
        <v>88.8</v>
      </c>
      <c r="S833" s="28">
        <f>ROUND(ROUND(P833, 2)*I833, 2)</f>
        <v>0</v>
      </c>
    </row>
    <row r="834" spans="1:21" ht="36" x14ac:dyDescent="0.3">
      <c r="A834" s="10" t="s">
        <v>2680</v>
      </c>
      <c r="B834" s="10"/>
      <c r="C834" s="24" t="s">
        <v>1757</v>
      </c>
      <c r="D834" s="15"/>
      <c r="E834" s="15"/>
      <c r="F834" s="25" t="s">
        <v>278</v>
      </c>
      <c r="G834" s="26">
        <v>0.3</v>
      </c>
      <c r="H834" s="26"/>
      <c r="I834" s="26">
        <v>0</v>
      </c>
      <c r="J834" s="27">
        <v>1216.56</v>
      </c>
      <c r="M834" s="28">
        <f>ROUND(ROUND(J834, 2)*I834, 2)</f>
        <v>0</v>
      </c>
      <c r="P834" s="27">
        <v>495.9</v>
      </c>
      <c r="S834" s="28">
        <f>ROUND(ROUND(P834, 2)*I834, 2)</f>
        <v>0</v>
      </c>
    </row>
    <row r="835" spans="1:21" ht="18" x14ac:dyDescent="0.3">
      <c r="A835" s="10" t="s">
        <v>2683</v>
      </c>
      <c r="B835" s="10" t="s">
        <v>2665</v>
      </c>
      <c r="C835" s="14" t="s">
        <v>2666</v>
      </c>
      <c r="D835" s="15"/>
      <c r="E835" s="15"/>
      <c r="F835" s="15" t="s">
        <v>62</v>
      </c>
      <c r="G835" s="16">
        <v>1</v>
      </c>
      <c r="H835" s="16"/>
      <c r="I835" s="16">
        <v>0</v>
      </c>
      <c r="J835" s="17">
        <v>0</v>
      </c>
      <c r="K835" s="18">
        <v>464</v>
      </c>
      <c r="L835" s="17">
        <f>J835+ROUND(K835, 2)</f>
        <v>464</v>
      </c>
      <c r="M835" s="17">
        <v>0</v>
      </c>
      <c r="N835" s="17">
        <v>0</v>
      </c>
      <c r="O835" s="17">
        <f>M835+N835</f>
        <v>0</v>
      </c>
      <c r="P835" s="17">
        <v>162.09</v>
      </c>
      <c r="Q835" s="18">
        <v>464</v>
      </c>
      <c r="R835" s="17">
        <f>P835+ROUND(Q835, 2)</f>
        <v>626.09</v>
      </c>
      <c r="S835" s="17">
        <v>0</v>
      </c>
      <c r="T835" s="17">
        <v>0</v>
      </c>
      <c r="U835" s="17">
        <f>S835+T835</f>
        <v>0</v>
      </c>
    </row>
    <row r="836" spans="1:21" ht="36" x14ac:dyDescent="0.3">
      <c r="A836" s="10" t="s">
        <v>2684</v>
      </c>
      <c r="B836" s="10"/>
      <c r="C836" s="24" t="s">
        <v>1757</v>
      </c>
      <c r="D836" s="15"/>
      <c r="E836" s="15"/>
      <c r="F836" s="25" t="s">
        <v>278</v>
      </c>
      <c r="G836" s="26">
        <v>0.3</v>
      </c>
      <c r="H836" s="26"/>
      <c r="I836" s="26">
        <v>0</v>
      </c>
      <c r="J836" s="27">
        <v>1216.56</v>
      </c>
      <c r="M836" s="28">
        <f>ROUND(ROUND(J836, 2)*I836, 2)</f>
        <v>0</v>
      </c>
      <c r="P836" s="27">
        <v>495.9</v>
      </c>
      <c r="S836" s="28">
        <f>ROUND(ROUND(P836, 2)*I836, 2)</f>
        <v>0</v>
      </c>
    </row>
    <row r="837" spans="1:21" ht="18" x14ac:dyDescent="0.3">
      <c r="A837" s="10" t="s">
        <v>2687</v>
      </c>
      <c r="B837" s="10"/>
      <c r="C837" s="24" t="s">
        <v>1007</v>
      </c>
      <c r="D837" s="15"/>
      <c r="E837" s="15"/>
      <c r="F837" s="25" t="s">
        <v>278</v>
      </c>
      <c r="G837" s="26">
        <v>0.15</v>
      </c>
      <c r="H837" s="26"/>
      <c r="I837" s="26">
        <v>0</v>
      </c>
      <c r="J837" s="27">
        <v>88.8</v>
      </c>
      <c r="M837" s="28">
        <f>ROUND(ROUND(J837, 2)*I837, 2)</f>
        <v>0</v>
      </c>
      <c r="P837" s="27">
        <v>88.8</v>
      </c>
      <c r="S837" s="28">
        <f>ROUND(ROUND(P837, 2)*I837, 2)</f>
        <v>0</v>
      </c>
    </row>
    <row r="838" spans="1:21" ht="18" x14ac:dyDescent="0.3">
      <c r="A838" s="10" t="s">
        <v>2690</v>
      </c>
      <c r="B838" s="10" t="s">
        <v>2665</v>
      </c>
      <c r="C838" s="14" t="s">
        <v>2666</v>
      </c>
      <c r="D838" s="15"/>
      <c r="E838" s="15"/>
      <c r="F838" s="15" t="s">
        <v>62</v>
      </c>
      <c r="G838" s="16">
        <v>1</v>
      </c>
      <c r="H838" s="16"/>
      <c r="I838" s="16">
        <v>0</v>
      </c>
      <c r="J838" s="17">
        <v>0</v>
      </c>
      <c r="K838" s="18">
        <v>464</v>
      </c>
      <c r="L838" s="17">
        <f>J838+ROUND(K838, 2)</f>
        <v>464</v>
      </c>
      <c r="M838" s="17">
        <v>0</v>
      </c>
      <c r="N838" s="17">
        <v>0</v>
      </c>
      <c r="O838" s="17">
        <f>M838+N838</f>
        <v>0</v>
      </c>
      <c r="P838" s="17">
        <v>162.09</v>
      </c>
      <c r="Q838" s="18">
        <v>464</v>
      </c>
      <c r="R838" s="17">
        <f>P838+ROUND(Q838, 2)</f>
        <v>626.09</v>
      </c>
      <c r="S838" s="17">
        <v>0</v>
      </c>
      <c r="T838" s="17">
        <v>0</v>
      </c>
      <c r="U838" s="17">
        <f>S838+T838</f>
        <v>0</v>
      </c>
    </row>
    <row r="839" spans="1:21" ht="18" x14ac:dyDescent="0.3">
      <c r="A839" s="10" t="s">
        <v>2691</v>
      </c>
      <c r="B839" s="10"/>
      <c r="C839" s="24" t="s">
        <v>1007</v>
      </c>
      <c r="D839" s="15"/>
      <c r="E839" s="15"/>
      <c r="F839" s="25" t="s">
        <v>278</v>
      </c>
      <c r="G839" s="26">
        <v>0.15</v>
      </c>
      <c r="H839" s="26"/>
      <c r="I839" s="26">
        <v>0</v>
      </c>
      <c r="J839" s="27">
        <v>88.8</v>
      </c>
      <c r="M839" s="28">
        <f>ROUND(ROUND(J839, 2)*I839, 2)</f>
        <v>0</v>
      </c>
      <c r="P839" s="27">
        <v>88.8</v>
      </c>
      <c r="S839" s="28">
        <f>ROUND(ROUND(P839, 2)*I839, 2)</f>
        <v>0</v>
      </c>
    </row>
    <row r="840" spans="1:21" ht="36" x14ac:dyDescent="0.3">
      <c r="A840" s="10" t="s">
        <v>2694</v>
      </c>
      <c r="B840" s="10"/>
      <c r="C840" s="24" t="s">
        <v>1757</v>
      </c>
      <c r="D840" s="15"/>
      <c r="E840" s="15"/>
      <c r="F840" s="25" t="s">
        <v>278</v>
      </c>
      <c r="G840" s="26">
        <v>0.3</v>
      </c>
      <c r="H840" s="26"/>
      <c r="I840" s="26">
        <v>0</v>
      </c>
      <c r="J840" s="27">
        <v>1216.56</v>
      </c>
      <c r="M840" s="28">
        <f>ROUND(ROUND(J840, 2)*I840, 2)</f>
        <v>0</v>
      </c>
      <c r="P840" s="27">
        <v>495.9</v>
      </c>
      <c r="S840" s="28">
        <f>ROUND(ROUND(P840, 2)*I840, 2)</f>
        <v>0</v>
      </c>
    </row>
    <row r="841" spans="1:21" ht="111" customHeight="1" x14ac:dyDescent="0.3">
      <c r="A841" s="10" t="s">
        <v>2697</v>
      </c>
      <c r="B841" s="10" t="s">
        <v>2665</v>
      </c>
      <c r="C841" s="14" t="s">
        <v>2666</v>
      </c>
      <c r="D841" s="15"/>
      <c r="E841" s="15" t="s">
        <v>2698</v>
      </c>
      <c r="F841" s="15" t="s">
        <v>62</v>
      </c>
      <c r="G841" s="16">
        <v>1</v>
      </c>
      <c r="H841" s="16"/>
      <c r="I841" s="16">
        <v>3898.4</v>
      </c>
      <c r="J841" s="17">
        <v>378.29</v>
      </c>
      <c r="K841" s="18">
        <v>464</v>
      </c>
      <c r="L841" s="17">
        <f>J841+ROUND(K841, 2)</f>
        <v>842.29</v>
      </c>
      <c r="M841" s="17">
        <v>1474725.74</v>
      </c>
      <c r="N841" s="17">
        <v>1808857.6</v>
      </c>
      <c r="O841" s="17">
        <f>M841+N841</f>
        <v>3283583.34</v>
      </c>
      <c r="P841" s="17">
        <v>162.09</v>
      </c>
      <c r="Q841" s="18">
        <v>696</v>
      </c>
      <c r="R841" s="17">
        <f>P841+ROUND(Q841, 2)</f>
        <v>858.09</v>
      </c>
      <c r="S841" s="17">
        <v>631891.66</v>
      </c>
      <c r="T841" s="17">
        <v>2713286.4</v>
      </c>
      <c r="U841" s="17">
        <f>S841+T841</f>
        <v>3345178.06</v>
      </c>
    </row>
    <row r="842" spans="1:21" ht="36" x14ac:dyDescent="0.3">
      <c r="A842" s="10" t="s">
        <v>2699</v>
      </c>
      <c r="B842" s="10"/>
      <c r="C842" s="24" t="s">
        <v>1757</v>
      </c>
      <c r="D842" s="15"/>
      <c r="E842" s="15"/>
      <c r="F842" s="25" t="s">
        <v>278</v>
      </c>
      <c r="G842" s="26">
        <v>0.3</v>
      </c>
      <c r="H842" s="26"/>
      <c r="I842" s="26">
        <v>1169.52</v>
      </c>
      <c r="J842" s="27">
        <v>1216.56</v>
      </c>
      <c r="M842" s="28">
        <f>ROUND(ROUND(J842, 2)*I842, 2)</f>
        <v>1422791.25</v>
      </c>
      <c r="P842" s="27">
        <v>495.9</v>
      </c>
      <c r="S842" s="28">
        <f>ROUND(ROUND(P842, 2)*I842, 2)</f>
        <v>579964.97</v>
      </c>
    </row>
    <row r="843" spans="1:21" ht="18" x14ac:dyDescent="0.3">
      <c r="A843" s="10" t="s">
        <v>2702</v>
      </c>
      <c r="B843" s="10"/>
      <c r="C843" s="24" t="s">
        <v>1007</v>
      </c>
      <c r="D843" s="15"/>
      <c r="E843" s="15"/>
      <c r="F843" s="25" t="s">
        <v>278</v>
      </c>
      <c r="G843" s="26">
        <v>0.15</v>
      </c>
      <c r="H843" s="26"/>
      <c r="I843" s="26">
        <v>584.76</v>
      </c>
      <c r="J843" s="27">
        <v>88.8</v>
      </c>
      <c r="M843" s="28">
        <f>ROUND(ROUND(J843, 2)*I843, 2)</f>
        <v>51926.69</v>
      </c>
      <c r="P843" s="27">
        <v>88.8</v>
      </c>
      <c r="S843" s="28">
        <f>ROUND(ROUND(P843, 2)*I843, 2)</f>
        <v>51926.69</v>
      </c>
    </row>
    <row r="844" spans="1:21" ht="36" x14ac:dyDescent="0.3">
      <c r="A844" s="10" t="s">
        <v>2705</v>
      </c>
      <c r="B844" s="10" t="s">
        <v>2665</v>
      </c>
      <c r="C844" s="14" t="s">
        <v>2666</v>
      </c>
      <c r="D844" s="15"/>
      <c r="E844" s="15" t="s">
        <v>2706</v>
      </c>
      <c r="F844" s="15" t="s">
        <v>62</v>
      </c>
      <c r="G844" s="16">
        <v>1</v>
      </c>
      <c r="H844" s="16"/>
      <c r="I844" s="16">
        <v>921.3</v>
      </c>
      <c r="J844" s="17">
        <v>378.29</v>
      </c>
      <c r="K844" s="18">
        <v>464</v>
      </c>
      <c r="L844" s="17">
        <f>J844+ROUND(K844, 2)</f>
        <v>842.29</v>
      </c>
      <c r="M844" s="17">
        <v>348518.58</v>
      </c>
      <c r="N844" s="17">
        <v>427483.2</v>
      </c>
      <c r="O844" s="17">
        <f>M844+N844</f>
        <v>776001.78</v>
      </c>
      <c r="P844" s="17">
        <v>162.09</v>
      </c>
      <c r="Q844" s="18">
        <v>696</v>
      </c>
      <c r="R844" s="17">
        <f>P844+ROUND(Q844, 2)</f>
        <v>858.09</v>
      </c>
      <c r="S844" s="17">
        <v>149333.51999999999</v>
      </c>
      <c r="T844" s="17">
        <v>641224.80000000005</v>
      </c>
      <c r="U844" s="17">
        <f>S844+T844</f>
        <v>790558.32000000007</v>
      </c>
    </row>
    <row r="845" spans="1:21" ht="18" x14ac:dyDescent="0.3">
      <c r="A845" s="10" t="s">
        <v>2707</v>
      </c>
      <c r="B845" s="10"/>
      <c r="C845" s="24" t="s">
        <v>1007</v>
      </c>
      <c r="D845" s="15"/>
      <c r="E845" s="15"/>
      <c r="F845" s="25" t="s">
        <v>278</v>
      </c>
      <c r="G845" s="26">
        <v>0.15</v>
      </c>
      <c r="H845" s="26"/>
      <c r="I845" s="26">
        <v>138.19499999999999</v>
      </c>
      <c r="J845" s="27">
        <v>88.8</v>
      </c>
      <c r="M845" s="28">
        <f>ROUND(ROUND(J845, 2)*I845, 2)</f>
        <v>12271.72</v>
      </c>
      <c r="P845" s="27">
        <v>88.8</v>
      </c>
      <c r="S845" s="28">
        <f>ROUND(ROUND(P845, 2)*I845, 2)</f>
        <v>12271.72</v>
      </c>
    </row>
    <row r="846" spans="1:21" ht="36" x14ac:dyDescent="0.3">
      <c r="A846" s="10" t="s">
        <v>2710</v>
      </c>
      <c r="B846" s="10"/>
      <c r="C846" s="24" t="s">
        <v>1757</v>
      </c>
      <c r="D846" s="15"/>
      <c r="E846" s="15"/>
      <c r="F846" s="25" t="s">
        <v>278</v>
      </c>
      <c r="G846" s="26">
        <v>0.3</v>
      </c>
      <c r="H846" s="26"/>
      <c r="I846" s="26">
        <v>276.39</v>
      </c>
      <c r="J846" s="27">
        <v>1216.56</v>
      </c>
      <c r="M846" s="28">
        <f>ROUND(ROUND(J846, 2)*I846, 2)</f>
        <v>336245.02</v>
      </c>
      <c r="P846" s="27">
        <v>495.9</v>
      </c>
      <c r="S846" s="28">
        <f>ROUND(ROUND(P846, 2)*I846, 2)</f>
        <v>137061.79999999999</v>
      </c>
    </row>
    <row r="847" spans="1:21" ht="18" x14ac:dyDescent="0.3">
      <c r="A847" s="10" t="s">
        <v>2713</v>
      </c>
      <c r="B847" s="10" t="s">
        <v>2665</v>
      </c>
      <c r="C847" s="14" t="s">
        <v>2666</v>
      </c>
      <c r="D847" s="15"/>
      <c r="E847" s="15"/>
      <c r="F847" s="15" t="s">
        <v>62</v>
      </c>
      <c r="G847" s="16">
        <v>1</v>
      </c>
      <c r="H847" s="16"/>
      <c r="I847" s="16">
        <v>0</v>
      </c>
      <c r="J847" s="17">
        <v>0</v>
      </c>
      <c r="K847" s="18">
        <v>464</v>
      </c>
      <c r="L847" s="17">
        <f>J847+ROUND(K847, 2)</f>
        <v>464</v>
      </c>
      <c r="M847" s="17">
        <v>0</v>
      </c>
      <c r="N847" s="17">
        <v>0</v>
      </c>
      <c r="O847" s="17">
        <f>M847+N847</f>
        <v>0</v>
      </c>
      <c r="P847" s="17">
        <v>0</v>
      </c>
      <c r="Q847" s="18">
        <v>696</v>
      </c>
      <c r="R847" s="17">
        <f>P847+ROUND(Q847, 2)</f>
        <v>696</v>
      </c>
      <c r="S847" s="17">
        <v>0</v>
      </c>
      <c r="T847" s="17">
        <v>0</v>
      </c>
      <c r="U847" s="17">
        <f>S847+T847</f>
        <v>0</v>
      </c>
    </row>
    <row r="848" spans="1:21" ht="36" x14ac:dyDescent="0.3">
      <c r="A848" s="10" t="s">
        <v>2714</v>
      </c>
      <c r="B848" s="10"/>
      <c r="C848" s="24" t="s">
        <v>1757</v>
      </c>
      <c r="D848" s="15"/>
      <c r="E848" s="15"/>
      <c r="F848" s="25" t="s">
        <v>278</v>
      </c>
      <c r="G848" s="26">
        <v>0.3</v>
      </c>
      <c r="H848" s="26"/>
      <c r="I848" s="26">
        <v>0</v>
      </c>
      <c r="J848" s="27">
        <v>1216.56</v>
      </c>
      <c r="M848" s="28">
        <f>ROUND(ROUND(J848, 2)*I848, 2)</f>
        <v>0</v>
      </c>
      <c r="P848" s="27">
        <v>495.9</v>
      </c>
      <c r="S848" s="28">
        <f>ROUND(ROUND(P848, 2)*I848, 2)</f>
        <v>0</v>
      </c>
    </row>
    <row r="849" spans="1:21" ht="18" x14ac:dyDescent="0.3">
      <c r="A849" s="10" t="s">
        <v>2717</v>
      </c>
      <c r="B849" s="10"/>
      <c r="C849" s="24" t="s">
        <v>1007</v>
      </c>
      <c r="D849" s="15"/>
      <c r="E849" s="15"/>
      <c r="F849" s="25" t="s">
        <v>278</v>
      </c>
      <c r="G849" s="26">
        <v>0.15</v>
      </c>
      <c r="H849" s="26"/>
      <c r="I849" s="26">
        <v>0</v>
      </c>
      <c r="J849" s="27">
        <v>88.8</v>
      </c>
      <c r="M849" s="28">
        <f>ROUND(ROUND(J849, 2)*I849, 2)</f>
        <v>0</v>
      </c>
      <c r="P849" s="27">
        <v>88.8</v>
      </c>
      <c r="S849" s="28">
        <f>ROUND(ROUND(P849, 2)*I849, 2)</f>
        <v>0</v>
      </c>
    </row>
    <row r="850" spans="1:21" ht="94.95" customHeight="1" x14ac:dyDescent="0.3">
      <c r="A850" s="10" t="s">
        <v>2720</v>
      </c>
      <c r="B850" s="10" t="s">
        <v>2665</v>
      </c>
      <c r="C850" s="14" t="s">
        <v>2666</v>
      </c>
      <c r="D850" s="15"/>
      <c r="E850" s="15" t="s">
        <v>2721</v>
      </c>
      <c r="F850" s="15" t="s">
        <v>62</v>
      </c>
      <c r="G850" s="16">
        <v>1</v>
      </c>
      <c r="H850" s="16"/>
      <c r="I850" s="16">
        <v>272.2</v>
      </c>
      <c r="J850" s="17">
        <v>378.29</v>
      </c>
      <c r="K850" s="18">
        <v>464</v>
      </c>
      <c r="L850" s="17">
        <f>J850+ROUND(K850, 2)</f>
        <v>842.29</v>
      </c>
      <c r="M850" s="17">
        <v>102970.54</v>
      </c>
      <c r="N850" s="17">
        <v>126300.8</v>
      </c>
      <c r="O850" s="17">
        <f>M850+N850</f>
        <v>229271.34</v>
      </c>
      <c r="P850" s="17">
        <v>162.09</v>
      </c>
      <c r="Q850" s="18">
        <v>696</v>
      </c>
      <c r="R850" s="17">
        <f>P850+ROUND(Q850, 2)</f>
        <v>858.09</v>
      </c>
      <c r="S850" s="17">
        <v>44120.9</v>
      </c>
      <c r="T850" s="17">
        <v>189451.2</v>
      </c>
      <c r="U850" s="17">
        <f>S850+T850</f>
        <v>233572.1</v>
      </c>
    </row>
    <row r="851" spans="1:21" ht="18" x14ac:dyDescent="0.3">
      <c r="A851" s="10" t="s">
        <v>2722</v>
      </c>
      <c r="B851" s="10"/>
      <c r="C851" s="24" t="s">
        <v>1007</v>
      </c>
      <c r="D851" s="15"/>
      <c r="E851" s="15"/>
      <c r="F851" s="25" t="s">
        <v>278</v>
      </c>
      <c r="G851" s="26">
        <v>0.15</v>
      </c>
      <c r="H851" s="26"/>
      <c r="I851" s="26">
        <v>40.83</v>
      </c>
      <c r="J851" s="27">
        <v>88.8</v>
      </c>
      <c r="M851" s="28">
        <f>ROUND(ROUND(J851, 2)*I851, 2)</f>
        <v>3625.7</v>
      </c>
      <c r="P851" s="27">
        <v>88.8</v>
      </c>
      <c r="S851" s="28">
        <f>ROUND(ROUND(P851, 2)*I851, 2)</f>
        <v>3625.7</v>
      </c>
    </row>
    <row r="852" spans="1:21" ht="54" x14ac:dyDescent="0.3">
      <c r="A852" s="10" t="s">
        <v>2725</v>
      </c>
      <c r="B852" s="10"/>
      <c r="C852" s="24" t="s">
        <v>1757</v>
      </c>
      <c r="D852" s="15"/>
      <c r="E852" s="15" t="s">
        <v>2726</v>
      </c>
      <c r="F852" s="25" t="s">
        <v>278</v>
      </c>
      <c r="G852" s="26">
        <v>0.3</v>
      </c>
      <c r="H852" s="26"/>
      <c r="I852" s="26">
        <v>81.66</v>
      </c>
      <c r="J852" s="27">
        <v>1216.56</v>
      </c>
      <c r="M852" s="28">
        <f>ROUND(ROUND(J852, 2)*I852, 2)</f>
        <v>99344.29</v>
      </c>
      <c r="P852" s="27">
        <v>495.9</v>
      </c>
      <c r="S852" s="28">
        <f>ROUND(ROUND(P852, 2)*I852, 2)</f>
        <v>40495.19</v>
      </c>
    </row>
    <row r="853" spans="1:21" ht="97.05" customHeight="1" x14ac:dyDescent="0.3">
      <c r="A853" s="10" t="s">
        <v>2729</v>
      </c>
      <c r="B853" s="10" t="s">
        <v>2665</v>
      </c>
      <c r="C853" s="14" t="s">
        <v>2666</v>
      </c>
      <c r="D853" s="15"/>
      <c r="E853" s="15" t="s">
        <v>2730</v>
      </c>
      <c r="F853" s="15" t="s">
        <v>62</v>
      </c>
      <c r="G853" s="16">
        <v>1</v>
      </c>
      <c r="H853" s="16"/>
      <c r="I853" s="16">
        <v>263.7</v>
      </c>
      <c r="J853" s="17">
        <v>378.29</v>
      </c>
      <c r="K853" s="18">
        <v>464</v>
      </c>
      <c r="L853" s="17">
        <f>J853+ROUND(K853, 2)</f>
        <v>842.29</v>
      </c>
      <c r="M853" s="17">
        <v>99755.07</v>
      </c>
      <c r="N853" s="17">
        <v>122356.8</v>
      </c>
      <c r="O853" s="17">
        <f>M853+N853</f>
        <v>222111.87</v>
      </c>
      <c r="P853" s="17">
        <v>162.09</v>
      </c>
      <c r="Q853" s="18">
        <v>696</v>
      </c>
      <c r="R853" s="17">
        <f>P853+ROUND(Q853, 2)</f>
        <v>858.09</v>
      </c>
      <c r="S853" s="17">
        <v>42743.13</v>
      </c>
      <c r="T853" s="17">
        <v>183535.2</v>
      </c>
      <c r="U853" s="17">
        <f>S853+T853</f>
        <v>226278.33000000002</v>
      </c>
    </row>
    <row r="854" spans="1:21" ht="72" x14ac:dyDescent="0.3">
      <c r="A854" s="10" t="s">
        <v>2731</v>
      </c>
      <c r="B854" s="10"/>
      <c r="C854" s="24" t="s">
        <v>1757</v>
      </c>
      <c r="D854" s="15"/>
      <c r="E854" s="15" t="s">
        <v>2732</v>
      </c>
      <c r="F854" s="25" t="s">
        <v>278</v>
      </c>
      <c r="G854" s="26">
        <v>0.3</v>
      </c>
      <c r="H854" s="26"/>
      <c r="I854" s="26">
        <v>79.11</v>
      </c>
      <c r="J854" s="27">
        <v>1216.56</v>
      </c>
      <c r="M854" s="28">
        <f>ROUND(ROUND(J854, 2)*I854, 2)</f>
        <v>96242.06</v>
      </c>
      <c r="P854" s="27">
        <v>495.9</v>
      </c>
      <c r="S854" s="28">
        <f>ROUND(ROUND(P854, 2)*I854, 2)</f>
        <v>39230.65</v>
      </c>
    </row>
    <row r="855" spans="1:21" ht="18" x14ac:dyDescent="0.3">
      <c r="A855" s="10" t="s">
        <v>2735</v>
      </c>
      <c r="B855" s="10"/>
      <c r="C855" s="24" t="s">
        <v>1007</v>
      </c>
      <c r="D855" s="15"/>
      <c r="E855" s="15"/>
      <c r="F855" s="25" t="s">
        <v>278</v>
      </c>
      <c r="G855" s="26">
        <v>0.15</v>
      </c>
      <c r="H855" s="26"/>
      <c r="I855" s="26">
        <v>39.555</v>
      </c>
      <c r="J855" s="27">
        <v>88.8</v>
      </c>
      <c r="M855" s="28">
        <f>ROUND(ROUND(J855, 2)*I855, 2)</f>
        <v>3512.48</v>
      </c>
      <c r="P855" s="27">
        <v>88.8</v>
      </c>
      <c r="S855" s="28">
        <f>ROUND(ROUND(P855, 2)*I855, 2)</f>
        <v>3512.48</v>
      </c>
    </row>
    <row r="856" spans="1:21" ht="67.05" customHeight="1" x14ac:dyDescent="0.3">
      <c r="A856" s="10" t="s">
        <v>2738</v>
      </c>
      <c r="B856" s="10" t="s">
        <v>2665</v>
      </c>
      <c r="C856" s="14" t="s">
        <v>2666</v>
      </c>
      <c r="D856" s="15"/>
      <c r="E856" s="15" t="s">
        <v>2739</v>
      </c>
      <c r="F856" s="15" t="s">
        <v>62</v>
      </c>
      <c r="G856" s="16">
        <v>1</v>
      </c>
      <c r="H856" s="16"/>
      <c r="I856" s="16">
        <v>3566.92</v>
      </c>
      <c r="J856" s="17">
        <f>IFERROR(ROUND(SUM(M857,M858)/I856, 2),0)</f>
        <v>13.54</v>
      </c>
      <c r="K856" s="18">
        <v>464</v>
      </c>
      <c r="L856" s="17">
        <f>J856+ROUND(K856, 2)</f>
        <v>477.54</v>
      </c>
      <c r="M856" s="17">
        <f>ROUND(J856*I856, 2)</f>
        <v>48296.1</v>
      </c>
      <c r="N856" s="17">
        <f>ROUND(I856*ROUND(K856, 2), 2)</f>
        <v>1655050.88</v>
      </c>
      <c r="O856" s="17">
        <f>M856+N856</f>
        <v>1703346.98</v>
      </c>
      <c r="P856" s="17">
        <f>IFERROR(ROUND(SUM(S857,S858)/I856, 2),0)</f>
        <v>78.69</v>
      </c>
      <c r="Q856" s="19">
        <v>696</v>
      </c>
      <c r="R856" s="17">
        <f>P856+ROUND(Q856, 2)</f>
        <v>774.69</v>
      </c>
      <c r="S856" s="17">
        <f>ROUND(P856*I856, 2)</f>
        <v>280680.93</v>
      </c>
      <c r="T856" s="17">
        <f>ROUND(I856*ROUND(Q856, 2), 2)</f>
        <v>2482576.3199999998</v>
      </c>
      <c r="U856" s="17">
        <f>S856+T856</f>
        <v>2763257.25</v>
      </c>
    </row>
    <row r="857" spans="1:21" ht="18" x14ac:dyDescent="0.3">
      <c r="A857" s="10" t="s">
        <v>2740</v>
      </c>
      <c r="B857" s="10"/>
      <c r="C857" s="24" t="s">
        <v>1007</v>
      </c>
      <c r="D857" s="15"/>
      <c r="E857" s="15" t="s">
        <v>1883</v>
      </c>
      <c r="F857" s="25" t="s">
        <v>278</v>
      </c>
      <c r="G857" s="26">
        <v>0.15</v>
      </c>
      <c r="H857" s="26"/>
      <c r="I857" s="26">
        <v>535.03800000000001</v>
      </c>
      <c r="J857" s="27">
        <v>90.28</v>
      </c>
      <c r="M857" s="28">
        <f>ROUND(ROUND(J857, 2)*I857, 2)</f>
        <v>48303.23</v>
      </c>
      <c r="P857" s="29">
        <v>100</v>
      </c>
      <c r="S857" s="28">
        <f>ROUND(ROUND(P857, 2)*I857, 2)</f>
        <v>53503.8</v>
      </c>
    </row>
    <row r="858" spans="1:21" ht="36" x14ac:dyDescent="0.3">
      <c r="A858" s="10" t="s">
        <v>2743</v>
      </c>
      <c r="B858" s="10"/>
      <c r="C858" s="24" t="s">
        <v>2744</v>
      </c>
      <c r="D858" s="15"/>
      <c r="E858" s="15" t="s">
        <v>1878</v>
      </c>
      <c r="F858" s="25" t="s">
        <v>278</v>
      </c>
      <c r="G858" s="26">
        <v>0.3</v>
      </c>
      <c r="H858" s="26"/>
      <c r="I858" s="26">
        <v>1070.076</v>
      </c>
      <c r="J858" s="27">
        <v>0</v>
      </c>
      <c r="M858" s="28">
        <f>ROUND(ROUND(J858, 2)*I858, 2)</f>
        <v>0</v>
      </c>
      <c r="P858" s="29">
        <v>212.3</v>
      </c>
      <c r="S858" s="28">
        <f>ROUND(ROUND(P858, 2)*I858, 2)</f>
        <v>227177.13</v>
      </c>
    </row>
    <row r="859" spans="1:21" ht="121.05" customHeight="1" x14ac:dyDescent="0.3">
      <c r="A859" s="10" t="s">
        <v>2748</v>
      </c>
      <c r="B859" s="10" t="s">
        <v>2665</v>
      </c>
      <c r="C859" s="14" t="s">
        <v>2666</v>
      </c>
      <c r="D859" s="15"/>
      <c r="E859" s="15" t="s">
        <v>2749</v>
      </c>
      <c r="F859" s="15" t="s">
        <v>62</v>
      </c>
      <c r="G859" s="16">
        <v>1</v>
      </c>
      <c r="H859" s="16"/>
      <c r="I859" s="16">
        <v>291.22000000000003</v>
      </c>
      <c r="J859" s="17">
        <f>IFERROR(ROUND(SUM(M860,M861)/I859, 2),0)</f>
        <v>13.54</v>
      </c>
      <c r="K859" s="18">
        <v>464</v>
      </c>
      <c r="L859" s="17">
        <f>J859+ROUND(K859, 2)</f>
        <v>477.54</v>
      </c>
      <c r="M859" s="17">
        <f>ROUND(J859*I859, 2)</f>
        <v>3943.12</v>
      </c>
      <c r="N859" s="17">
        <f>ROUND(I859*ROUND(K859, 2), 2)</f>
        <v>135126.07999999999</v>
      </c>
      <c r="O859" s="17">
        <f>M859+N859</f>
        <v>139069.19999999998</v>
      </c>
      <c r="P859" s="17">
        <f>IFERROR(ROUND(SUM(S860,S861)/I859, 2),0)</f>
        <v>113.68</v>
      </c>
      <c r="Q859" s="19">
        <v>696</v>
      </c>
      <c r="R859" s="17">
        <f>P859+ROUND(Q859, 2)</f>
        <v>809.68000000000006</v>
      </c>
      <c r="S859" s="17">
        <f>ROUND(P859*I859, 2)</f>
        <v>33105.89</v>
      </c>
      <c r="T859" s="17">
        <f>ROUND(I859*ROUND(Q859, 2), 2)</f>
        <v>202689.12</v>
      </c>
      <c r="U859" s="17">
        <f>S859+T859</f>
        <v>235795.01</v>
      </c>
    </row>
    <row r="860" spans="1:21" ht="36" x14ac:dyDescent="0.3">
      <c r="A860" s="10" t="s">
        <v>2750</v>
      </c>
      <c r="B860" s="10"/>
      <c r="C860" s="24" t="s">
        <v>2744</v>
      </c>
      <c r="D860" s="15"/>
      <c r="E860" s="15" t="s">
        <v>1910</v>
      </c>
      <c r="F860" s="25" t="s">
        <v>278</v>
      </c>
      <c r="G860" s="26">
        <v>0.3</v>
      </c>
      <c r="H860" s="26"/>
      <c r="I860" s="26">
        <v>87.366</v>
      </c>
      <c r="J860" s="27">
        <v>0</v>
      </c>
      <c r="M860" s="28">
        <f>ROUND(ROUND(J860, 2)*I860, 2)</f>
        <v>0</v>
      </c>
      <c r="P860" s="29">
        <v>328.94</v>
      </c>
      <c r="S860" s="28">
        <f>ROUND(ROUND(P860, 2)*I860, 2)</f>
        <v>28738.17</v>
      </c>
    </row>
    <row r="861" spans="1:21" ht="18" x14ac:dyDescent="0.3">
      <c r="A861" s="10" t="s">
        <v>2753</v>
      </c>
      <c r="B861" s="10"/>
      <c r="C861" s="24" t="s">
        <v>1007</v>
      </c>
      <c r="D861" s="15"/>
      <c r="E861" s="15" t="s">
        <v>1883</v>
      </c>
      <c r="F861" s="25" t="s">
        <v>278</v>
      </c>
      <c r="G861" s="26">
        <v>0.15</v>
      </c>
      <c r="H861" s="26"/>
      <c r="I861" s="26">
        <v>43.683</v>
      </c>
      <c r="J861" s="27">
        <v>90.28</v>
      </c>
      <c r="M861" s="28">
        <f>ROUND(ROUND(J861, 2)*I861, 2)</f>
        <v>3943.7</v>
      </c>
      <c r="P861" s="29">
        <v>100</v>
      </c>
      <c r="S861" s="28">
        <f>ROUND(ROUND(P861, 2)*I861, 2)</f>
        <v>4368.3</v>
      </c>
    </row>
    <row r="862" spans="1:21" ht="16.95" customHeight="1" x14ac:dyDescent="0.3">
      <c r="A862" s="10" t="s">
        <v>2756</v>
      </c>
      <c r="B862" s="10" t="s">
        <v>2757</v>
      </c>
      <c r="C862" s="91" t="s">
        <v>2758</v>
      </c>
      <c r="D862" s="92"/>
      <c r="E862" s="92"/>
      <c r="F862" s="92"/>
      <c r="G862" s="92"/>
      <c r="H862" s="92"/>
      <c r="I862" s="93"/>
      <c r="M862" s="6">
        <f>SUM(M863,M867,M870,M874,M876,M878,M880,M882,M884,M886,M888,M890,M892,M904,M905,M906,M907,M909,M911,M913,M915,M929,M943,M945,M947,M949,M951,M953,M955,M957,M959,M961)</f>
        <v>9195963.9299999978</v>
      </c>
      <c r="N862" s="6">
        <f>SUM(N863,N867,N870,N874,N876,N878,N880,N882,N884,N886,N888,N890,N892,N904,N905,N906,N907,N909,N911,N913,N915,N929,N943,N945,N947,N949,N951,N953,N955,N957,N959,N961)</f>
        <v>12063210.26</v>
      </c>
      <c r="O862" s="6">
        <f>SUM(O863,O867,O870,O874,O876,O878,O880,O882,O884,O886,O888,O890,O892,O904,O905,O906,O907,O909,O911,O913,O915,O929,O943,O945,O947,O949,O951,O953,O955,O957,O959,O961)</f>
        <v>21259174.190000001</v>
      </c>
      <c r="S862" s="6">
        <f>SUM(S863,S867,S870,S874,S876,S878,S880,S882,S884,S886,S888,S890,S892,S904,S905,S906,S907,S909,S911,S913,S915,S929,S943,S945,S947,S949,S951,S953,S955,S957,S959,S961)</f>
        <v>16112996.760000004</v>
      </c>
      <c r="T862" s="6">
        <f>SUM(T863,T867,T870,T874,T876,T878,T880,T882,T884,T886,T888,T890,T892,T904,T905,T906,T907,T909,T911,T913,T915,T929,T943,T945,T947,T949,T951,T953,T955,T957,T959,T961)</f>
        <v>18094826.339999996</v>
      </c>
      <c r="U862" s="6">
        <f>SUM(U863,U867,U870,U874,U876,U878,U880,U882,U884,U886,U888,U890,U892,U904,U905,U906,U907,U909,U911,U913,U915,U929,U943,U945,U947,U949,U951,U953,U955,U957,U959,U961)</f>
        <v>34207823.100000001</v>
      </c>
    </row>
    <row r="863" spans="1:21" ht="18" x14ac:dyDescent="0.3">
      <c r="A863" s="10" t="s">
        <v>2759</v>
      </c>
      <c r="B863" s="10" t="s">
        <v>2760</v>
      </c>
      <c r="C863" s="14" t="s">
        <v>2761</v>
      </c>
      <c r="D863" s="15"/>
      <c r="E863" s="15"/>
      <c r="F863" s="15" t="s">
        <v>62</v>
      </c>
      <c r="G863" s="16">
        <v>1</v>
      </c>
      <c r="H863" s="16"/>
      <c r="I863" s="16">
        <v>0</v>
      </c>
      <c r="J863" s="17">
        <v>0</v>
      </c>
      <c r="K863" s="18">
        <v>1359</v>
      </c>
      <c r="L863" s="17">
        <f>J863+ROUND(K863, 2)</f>
        <v>1359</v>
      </c>
      <c r="M863" s="17">
        <v>0</v>
      </c>
      <c r="N863" s="17">
        <v>0</v>
      </c>
      <c r="O863" s="17">
        <f>M863+N863</f>
        <v>0</v>
      </c>
      <c r="P863" s="17">
        <v>1231.99</v>
      </c>
      <c r="Q863" s="18">
        <v>1359</v>
      </c>
      <c r="R863" s="17">
        <f>P863+ROUND(Q863, 2)</f>
        <v>2590.9899999999998</v>
      </c>
      <c r="S863" s="17">
        <v>0</v>
      </c>
      <c r="T863" s="17">
        <v>0</v>
      </c>
      <c r="U863" s="17">
        <f>S863+T863</f>
        <v>0</v>
      </c>
    </row>
    <row r="864" spans="1:21" ht="18" x14ac:dyDescent="0.3">
      <c r="A864" s="10" t="s">
        <v>2764</v>
      </c>
      <c r="B864" s="10"/>
      <c r="C864" s="24" t="s">
        <v>2765</v>
      </c>
      <c r="D864" s="15"/>
      <c r="E864" s="15"/>
      <c r="F864" s="25" t="s">
        <v>91</v>
      </c>
      <c r="G864" s="26">
        <v>1</v>
      </c>
      <c r="H864" s="26"/>
      <c r="I864" s="26">
        <v>0</v>
      </c>
      <c r="J864" s="27">
        <v>109</v>
      </c>
      <c r="M864" s="28">
        <f>ROUND(ROUND(J864, 2)*I864, 2)</f>
        <v>0</v>
      </c>
      <c r="P864" s="27">
        <v>109</v>
      </c>
      <c r="S864" s="28">
        <f>ROUND(ROUND(P864, 2)*I864, 2)</f>
        <v>0</v>
      </c>
    </row>
    <row r="865" spans="1:21" ht="18" x14ac:dyDescent="0.3">
      <c r="A865" s="10" t="s">
        <v>2769</v>
      </c>
      <c r="B865" s="10"/>
      <c r="C865" s="24" t="s">
        <v>2770</v>
      </c>
      <c r="D865" s="15"/>
      <c r="E865" s="15"/>
      <c r="F865" s="25" t="s">
        <v>62</v>
      </c>
      <c r="G865" s="26">
        <v>1.05</v>
      </c>
      <c r="H865" s="26"/>
      <c r="I865" s="26">
        <v>0</v>
      </c>
      <c r="J865" s="27">
        <v>838.09</v>
      </c>
      <c r="M865" s="28">
        <f>ROUND(ROUND(J865, 2)*I865, 2)</f>
        <v>0</v>
      </c>
      <c r="P865" s="27">
        <v>838.09</v>
      </c>
      <c r="S865" s="28">
        <f>ROUND(ROUND(P865, 2)*I865, 2)</f>
        <v>0</v>
      </c>
    </row>
    <row r="866" spans="1:21" ht="18" x14ac:dyDescent="0.3">
      <c r="A866" s="10" t="s">
        <v>2774</v>
      </c>
      <c r="B866" s="10"/>
      <c r="C866" s="24" t="s">
        <v>2775</v>
      </c>
      <c r="D866" s="15"/>
      <c r="E866" s="15"/>
      <c r="F866" s="25" t="s">
        <v>91</v>
      </c>
      <c r="G866" s="26">
        <v>1</v>
      </c>
      <c r="H866" s="26"/>
      <c r="I866" s="26">
        <v>0</v>
      </c>
      <c r="J866" s="27">
        <v>0</v>
      </c>
      <c r="M866" s="28">
        <f>ROUND(ROUND(J866, 2)*I866, 2)</f>
        <v>0</v>
      </c>
      <c r="P866" s="27">
        <v>243</v>
      </c>
      <c r="S866" s="28">
        <f>ROUND(ROUND(P866, 2)*I866, 2)</f>
        <v>0</v>
      </c>
    </row>
    <row r="867" spans="1:21" ht="115.05" customHeight="1" x14ac:dyDescent="0.3">
      <c r="A867" s="10" t="s">
        <v>2779</v>
      </c>
      <c r="B867" s="10" t="s">
        <v>2760</v>
      </c>
      <c r="C867" s="14" t="s">
        <v>2761</v>
      </c>
      <c r="D867" s="15"/>
      <c r="E867" s="15" t="s">
        <v>2780</v>
      </c>
      <c r="F867" s="15" t="s">
        <v>62</v>
      </c>
      <c r="G867" s="16">
        <v>1</v>
      </c>
      <c r="H867" s="16"/>
      <c r="I867" s="16">
        <v>34.200000000000003</v>
      </c>
      <c r="J867" s="17">
        <v>879.99</v>
      </c>
      <c r="K867" s="18">
        <v>1359</v>
      </c>
      <c r="L867" s="17">
        <f>J867+ROUND(K867, 2)</f>
        <v>2238.9899999999998</v>
      </c>
      <c r="M867" s="17">
        <v>30095.66</v>
      </c>
      <c r="N867" s="17">
        <v>46477.8</v>
      </c>
      <c r="O867" s="17">
        <f>M867+N867</f>
        <v>76573.460000000006</v>
      </c>
      <c r="P867" s="17">
        <v>1122.99</v>
      </c>
      <c r="Q867" s="18">
        <v>2038.5</v>
      </c>
      <c r="R867" s="17">
        <f>P867+ROUND(Q867, 2)</f>
        <v>3161.49</v>
      </c>
      <c r="S867" s="17">
        <v>38406.26</v>
      </c>
      <c r="T867" s="17">
        <v>69716.7</v>
      </c>
      <c r="U867" s="17">
        <f>S867+T867</f>
        <v>108122.95999999999</v>
      </c>
    </row>
    <row r="868" spans="1:21" ht="18" x14ac:dyDescent="0.3">
      <c r="A868" s="10" t="s">
        <v>2781</v>
      </c>
      <c r="B868" s="10"/>
      <c r="C868" s="24" t="s">
        <v>2775</v>
      </c>
      <c r="D868" s="15"/>
      <c r="E868" s="15"/>
      <c r="F868" s="25" t="s">
        <v>91</v>
      </c>
      <c r="G868" s="26">
        <v>1</v>
      </c>
      <c r="H868" s="26"/>
      <c r="I868" s="26">
        <v>34.200000000000003</v>
      </c>
      <c r="J868" s="27">
        <v>0</v>
      </c>
      <c r="M868" s="28">
        <f>ROUND(ROUND(J868, 2)*I868, 2)</f>
        <v>0</v>
      </c>
      <c r="P868" s="27">
        <v>243</v>
      </c>
      <c r="S868" s="28">
        <f>ROUND(ROUND(P868, 2)*I868, 2)</f>
        <v>8310.6</v>
      </c>
    </row>
    <row r="869" spans="1:21" ht="18" x14ac:dyDescent="0.3">
      <c r="A869" s="10" t="s">
        <v>2784</v>
      </c>
      <c r="B869" s="10"/>
      <c r="C869" s="24" t="s">
        <v>2770</v>
      </c>
      <c r="D869" s="15"/>
      <c r="E869" s="15"/>
      <c r="F869" s="25" t="s">
        <v>62</v>
      </c>
      <c r="G869" s="26">
        <v>1.05</v>
      </c>
      <c r="H869" s="26"/>
      <c r="I869" s="26">
        <v>35.909999999999997</v>
      </c>
      <c r="J869" s="27">
        <v>838.09</v>
      </c>
      <c r="M869" s="28">
        <f>ROUND(ROUND(J869, 2)*I869, 2)</f>
        <v>30095.81</v>
      </c>
      <c r="P869" s="27">
        <v>838.09</v>
      </c>
      <c r="S869" s="28">
        <f>ROUND(ROUND(P869, 2)*I869, 2)</f>
        <v>30095.81</v>
      </c>
    </row>
    <row r="870" spans="1:21" ht="60" customHeight="1" x14ac:dyDescent="0.3">
      <c r="A870" s="10" t="s">
        <v>2787</v>
      </c>
      <c r="B870" s="10" t="s">
        <v>2760</v>
      </c>
      <c r="C870" s="14" t="s">
        <v>2761</v>
      </c>
      <c r="D870" s="15"/>
      <c r="E870" s="15" t="s">
        <v>2788</v>
      </c>
      <c r="F870" s="15" t="s">
        <v>62</v>
      </c>
      <c r="G870" s="16">
        <v>1</v>
      </c>
      <c r="H870" s="16"/>
      <c r="I870" s="16">
        <v>40.200000000000003</v>
      </c>
      <c r="J870" s="17">
        <f>IFERROR(ROUND(SUM(M871,M872,M873)/I870, 2),0)</f>
        <v>1005.47</v>
      </c>
      <c r="K870" s="18">
        <v>1358.99</v>
      </c>
      <c r="L870" s="17">
        <f>J870+ROUND(K870, 2)</f>
        <v>2364.46</v>
      </c>
      <c r="M870" s="17">
        <f>ROUND(J870*I870, 2)</f>
        <v>40419.89</v>
      </c>
      <c r="N870" s="17">
        <f>ROUND(I870*ROUND(K870, 2), 2)</f>
        <v>54631.4</v>
      </c>
      <c r="O870" s="17">
        <f>M870+N870</f>
        <v>95051.290000000008</v>
      </c>
      <c r="P870" s="17">
        <f>IFERROR(ROUND(SUM(S871,S872,S873)/I870, 2),0)</f>
        <v>1363.15</v>
      </c>
      <c r="Q870" s="19">
        <v>2038.48</v>
      </c>
      <c r="R870" s="17">
        <f>P870+ROUND(Q870, 2)</f>
        <v>3401.63</v>
      </c>
      <c r="S870" s="17">
        <f>ROUND(P870*I870, 2)</f>
        <v>54798.63</v>
      </c>
      <c r="T870" s="17">
        <f>ROUND(I870*ROUND(Q870, 2), 2)</f>
        <v>81946.899999999994</v>
      </c>
      <c r="U870" s="17">
        <f>S870+T870</f>
        <v>136745.53</v>
      </c>
    </row>
    <row r="871" spans="1:21" ht="18" x14ac:dyDescent="0.3">
      <c r="A871" s="10" t="s">
        <v>2789</v>
      </c>
      <c r="B871" s="10"/>
      <c r="C871" s="24" t="s">
        <v>2765</v>
      </c>
      <c r="D871" s="15"/>
      <c r="E871" s="15"/>
      <c r="F871" s="25" t="s">
        <v>91</v>
      </c>
      <c r="G871" s="26">
        <v>1</v>
      </c>
      <c r="H871" s="26"/>
      <c r="I871" s="26">
        <v>40.200000000000003</v>
      </c>
      <c r="J871" s="27">
        <v>110.81</v>
      </c>
      <c r="M871" s="28">
        <f>ROUND(ROUND(J871, 2)*I871, 2)</f>
        <v>4454.5600000000004</v>
      </c>
      <c r="P871" s="29">
        <v>110.81</v>
      </c>
      <c r="S871" s="28">
        <f>ROUND(ROUND(P871, 2)*I871, 2)</f>
        <v>4454.5600000000004</v>
      </c>
    </row>
    <row r="872" spans="1:21" ht="18" x14ac:dyDescent="0.3">
      <c r="A872" s="10" t="s">
        <v>2792</v>
      </c>
      <c r="B872" s="10"/>
      <c r="C872" s="24" t="s">
        <v>2770</v>
      </c>
      <c r="D872" s="15"/>
      <c r="E872" s="15"/>
      <c r="F872" s="25" t="s">
        <v>62</v>
      </c>
      <c r="G872" s="26">
        <v>1.05</v>
      </c>
      <c r="H872" s="26"/>
      <c r="I872" s="26">
        <v>42.21</v>
      </c>
      <c r="J872" s="27">
        <v>852.06</v>
      </c>
      <c r="M872" s="28">
        <f>ROUND(ROUND(J872, 2)*I872, 2)</f>
        <v>35965.449999999997</v>
      </c>
      <c r="P872" s="29">
        <v>852.06</v>
      </c>
      <c r="S872" s="28">
        <f>ROUND(ROUND(P872, 2)*I872, 2)</f>
        <v>35965.449999999997</v>
      </c>
    </row>
    <row r="873" spans="1:21" ht="18" x14ac:dyDescent="0.3">
      <c r="A873" s="10" t="s">
        <v>2795</v>
      </c>
      <c r="B873" s="10"/>
      <c r="C873" s="24" t="s">
        <v>2775</v>
      </c>
      <c r="D873" s="15"/>
      <c r="E873" s="15"/>
      <c r="F873" s="25" t="s">
        <v>91</v>
      </c>
      <c r="G873" s="26">
        <v>1</v>
      </c>
      <c r="H873" s="26"/>
      <c r="I873" s="26">
        <v>40.200000000000003</v>
      </c>
      <c r="J873" s="27">
        <v>0</v>
      </c>
      <c r="M873" s="28">
        <f>ROUND(ROUND(J873, 2)*I873, 2)</f>
        <v>0</v>
      </c>
      <c r="P873" s="29">
        <v>357.68</v>
      </c>
      <c r="S873" s="28">
        <f>ROUND(ROUND(P873, 2)*I873, 2)</f>
        <v>14378.74</v>
      </c>
    </row>
    <row r="874" spans="1:21" ht="18" x14ac:dyDescent="0.3">
      <c r="A874" s="10" t="s">
        <v>2798</v>
      </c>
      <c r="B874" s="10" t="s">
        <v>2799</v>
      </c>
      <c r="C874" s="14" t="s">
        <v>2800</v>
      </c>
      <c r="D874" s="15"/>
      <c r="E874" s="15"/>
      <c r="F874" s="15" t="s">
        <v>62</v>
      </c>
      <c r="G874" s="16">
        <v>1</v>
      </c>
      <c r="H874" s="16"/>
      <c r="I874" s="16">
        <v>0</v>
      </c>
      <c r="J874" s="17">
        <v>0</v>
      </c>
      <c r="K874" s="18">
        <v>837</v>
      </c>
      <c r="L874" s="17">
        <f>J874+ROUND(K874, 2)</f>
        <v>837</v>
      </c>
      <c r="M874" s="17">
        <v>0</v>
      </c>
      <c r="N874" s="17">
        <v>0</v>
      </c>
      <c r="O874" s="17">
        <f>M874+N874</f>
        <v>0</v>
      </c>
      <c r="P874" s="17">
        <v>1280.4000000000001</v>
      </c>
      <c r="Q874" s="18">
        <v>837</v>
      </c>
      <c r="R874" s="17">
        <f>P874+ROUND(Q874, 2)</f>
        <v>2117.4</v>
      </c>
      <c r="S874" s="17">
        <v>0</v>
      </c>
      <c r="T874" s="17">
        <v>0</v>
      </c>
      <c r="U874" s="17">
        <f>S874+T874</f>
        <v>0</v>
      </c>
    </row>
    <row r="875" spans="1:21" ht="18" x14ac:dyDescent="0.3">
      <c r="A875" s="10" t="s">
        <v>2803</v>
      </c>
      <c r="B875" s="10"/>
      <c r="C875" s="24" t="s">
        <v>2804</v>
      </c>
      <c r="D875" s="15"/>
      <c r="E875" s="15"/>
      <c r="F875" s="25" t="s">
        <v>62</v>
      </c>
      <c r="G875" s="26">
        <v>1.1000000000000001</v>
      </c>
      <c r="H875" s="31"/>
      <c r="I875" s="31">
        <v>0</v>
      </c>
      <c r="J875" s="27">
        <v>1164</v>
      </c>
      <c r="M875" s="28">
        <f>ROUND(ROUND(J875, 2)*I875, 2)</f>
        <v>0</v>
      </c>
      <c r="P875" s="27">
        <v>1164</v>
      </c>
      <c r="S875" s="28">
        <f>ROUND(ROUND(P875, 2)*I875, 2)</f>
        <v>0</v>
      </c>
    </row>
    <row r="876" spans="1:21" ht="18" x14ac:dyDescent="0.3">
      <c r="A876" s="10" t="s">
        <v>2808</v>
      </c>
      <c r="B876" s="10" t="s">
        <v>2799</v>
      </c>
      <c r="C876" s="14" t="s">
        <v>2800</v>
      </c>
      <c r="D876" s="15"/>
      <c r="E876" s="15"/>
      <c r="F876" s="15" t="s">
        <v>62</v>
      </c>
      <c r="G876" s="16">
        <v>1</v>
      </c>
      <c r="H876" s="16"/>
      <c r="I876" s="16">
        <v>0</v>
      </c>
      <c r="J876" s="17">
        <v>0</v>
      </c>
      <c r="K876" s="18">
        <v>837</v>
      </c>
      <c r="L876" s="17">
        <f>J876+ROUND(K876, 2)</f>
        <v>837</v>
      </c>
      <c r="M876" s="17">
        <v>0</v>
      </c>
      <c r="N876" s="17">
        <v>0</v>
      </c>
      <c r="O876" s="17">
        <f>M876+N876</f>
        <v>0</v>
      </c>
      <c r="P876" s="17">
        <v>1280.4000000000001</v>
      </c>
      <c r="Q876" s="18">
        <v>837</v>
      </c>
      <c r="R876" s="17">
        <f>P876+ROUND(Q876, 2)</f>
        <v>2117.4</v>
      </c>
      <c r="S876" s="17">
        <v>0</v>
      </c>
      <c r="T876" s="17">
        <v>0</v>
      </c>
      <c r="U876" s="17">
        <f>S876+T876</f>
        <v>0</v>
      </c>
    </row>
    <row r="877" spans="1:21" ht="18" x14ac:dyDescent="0.3">
      <c r="A877" s="10" t="s">
        <v>2809</v>
      </c>
      <c r="B877" s="10"/>
      <c r="C877" s="24" t="s">
        <v>2804</v>
      </c>
      <c r="D877" s="15"/>
      <c r="E877" s="15"/>
      <c r="F877" s="25" t="s">
        <v>62</v>
      </c>
      <c r="G877" s="26">
        <v>1.1000000000000001</v>
      </c>
      <c r="H877" s="31"/>
      <c r="I877" s="31">
        <v>0</v>
      </c>
      <c r="J877" s="27">
        <v>1164</v>
      </c>
      <c r="M877" s="28">
        <f>ROUND(ROUND(J877, 2)*I877, 2)</f>
        <v>0</v>
      </c>
      <c r="P877" s="27">
        <v>1164</v>
      </c>
      <c r="S877" s="28">
        <f>ROUND(ROUND(P877, 2)*I877, 2)</f>
        <v>0</v>
      </c>
    </row>
    <row r="878" spans="1:21" ht="18" x14ac:dyDescent="0.3">
      <c r="A878" s="10" t="s">
        <v>2812</v>
      </c>
      <c r="B878" s="10" t="s">
        <v>2799</v>
      </c>
      <c r="C878" s="14" t="s">
        <v>2800</v>
      </c>
      <c r="D878" s="15"/>
      <c r="E878" s="15"/>
      <c r="F878" s="15" t="s">
        <v>62</v>
      </c>
      <c r="G878" s="16">
        <v>1</v>
      </c>
      <c r="H878" s="16"/>
      <c r="I878" s="16">
        <v>0</v>
      </c>
      <c r="J878" s="17">
        <v>0</v>
      </c>
      <c r="K878" s="18">
        <v>837</v>
      </c>
      <c r="L878" s="17">
        <f>J878+ROUND(K878, 2)</f>
        <v>837</v>
      </c>
      <c r="M878" s="17">
        <v>0</v>
      </c>
      <c r="N878" s="17">
        <v>0</v>
      </c>
      <c r="O878" s="17">
        <f>M878+N878</f>
        <v>0</v>
      </c>
      <c r="P878" s="17">
        <v>1280.4000000000001</v>
      </c>
      <c r="Q878" s="18">
        <v>837</v>
      </c>
      <c r="R878" s="17">
        <f>P878+ROUND(Q878, 2)</f>
        <v>2117.4</v>
      </c>
      <c r="S878" s="17">
        <v>0</v>
      </c>
      <c r="T878" s="17">
        <v>0</v>
      </c>
      <c r="U878" s="17">
        <f>S878+T878</f>
        <v>0</v>
      </c>
    </row>
    <row r="879" spans="1:21" ht="18" x14ac:dyDescent="0.3">
      <c r="A879" s="10" t="s">
        <v>2813</v>
      </c>
      <c r="B879" s="10"/>
      <c r="C879" s="24" t="s">
        <v>2804</v>
      </c>
      <c r="D879" s="15"/>
      <c r="E879" s="15"/>
      <c r="F879" s="25" t="s">
        <v>62</v>
      </c>
      <c r="G879" s="26">
        <v>1.1000000000000001</v>
      </c>
      <c r="H879" s="31"/>
      <c r="I879" s="31">
        <v>0</v>
      </c>
      <c r="J879" s="27">
        <v>1164</v>
      </c>
      <c r="M879" s="28">
        <f>ROUND(ROUND(J879, 2)*I879, 2)</f>
        <v>0</v>
      </c>
      <c r="P879" s="27">
        <v>1164</v>
      </c>
      <c r="S879" s="28">
        <f>ROUND(ROUND(P879, 2)*I879, 2)</f>
        <v>0</v>
      </c>
    </row>
    <row r="880" spans="1:21" ht="90" x14ac:dyDescent="0.3">
      <c r="A880" s="10" t="s">
        <v>2816</v>
      </c>
      <c r="B880" s="10" t="s">
        <v>2799</v>
      </c>
      <c r="C880" s="14" t="s">
        <v>2800</v>
      </c>
      <c r="D880" s="15"/>
      <c r="E880" s="15" t="s">
        <v>2817</v>
      </c>
      <c r="F880" s="15" t="s">
        <v>62</v>
      </c>
      <c r="G880" s="16">
        <v>1</v>
      </c>
      <c r="H880" s="16"/>
      <c r="I880" s="16">
        <v>6</v>
      </c>
      <c r="J880" s="17">
        <v>1280.4000000000001</v>
      </c>
      <c r="K880" s="18">
        <v>837</v>
      </c>
      <c r="L880" s="17">
        <f>J880+ROUND(K880, 2)</f>
        <v>2117.4</v>
      </c>
      <c r="M880" s="17">
        <v>7682.4</v>
      </c>
      <c r="N880" s="17">
        <v>5022</v>
      </c>
      <c r="O880" s="17">
        <f>M880+N880</f>
        <v>12704.4</v>
      </c>
      <c r="P880" s="17">
        <v>1280.4000000000001</v>
      </c>
      <c r="Q880" s="18">
        <v>1255.5</v>
      </c>
      <c r="R880" s="17">
        <f>P880+ROUND(Q880, 2)</f>
        <v>2535.9</v>
      </c>
      <c r="S880" s="17">
        <v>7682.4</v>
      </c>
      <c r="T880" s="17">
        <v>7533</v>
      </c>
      <c r="U880" s="17">
        <f>S880+T880</f>
        <v>15215.4</v>
      </c>
    </row>
    <row r="881" spans="1:21" ht="18" x14ac:dyDescent="0.3">
      <c r="A881" s="10" t="s">
        <v>2818</v>
      </c>
      <c r="B881" s="10"/>
      <c r="C881" s="24" t="s">
        <v>2804</v>
      </c>
      <c r="D881" s="15"/>
      <c r="E881" s="15"/>
      <c r="F881" s="25" t="s">
        <v>62</v>
      </c>
      <c r="G881" s="26">
        <v>1.1000000000000001</v>
      </c>
      <c r="H881" s="31"/>
      <c r="I881" s="31">
        <v>6.6</v>
      </c>
      <c r="J881" s="27">
        <v>1164</v>
      </c>
      <c r="M881" s="28">
        <f>ROUND(ROUND(J881, 2)*I881, 2)</f>
        <v>7682.4</v>
      </c>
      <c r="P881" s="27">
        <v>1164</v>
      </c>
      <c r="S881" s="28">
        <f>ROUND(ROUND(P881, 2)*I881, 2)</f>
        <v>7682.4</v>
      </c>
    </row>
    <row r="882" spans="1:21" ht="90" x14ac:dyDescent="0.3">
      <c r="A882" s="10" t="s">
        <v>2821</v>
      </c>
      <c r="B882" s="10" t="s">
        <v>2799</v>
      </c>
      <c r="C882" s="14" t="s">
        <v>2800</v>
      </c>
      <c r="D882" s="15"/>
      <c r="E882" s="15" t="s">
        <v>2822</v>
      </c>
      <c r="F882" s="15" t="s">
        <v>62</v>
      </c>
      <c r="G882" s="16">
        <v>1</v>
      </c>
      <c r="H882" s="16"/>
      <c r="I882" s="16">
        <v>1549.1</v>
      </c>
      <c r="J882" s="17">
        <v>1280.4000000000001</v>
      </c>
      <c r="K882" s="18">
        <v>837</v>
      </c>
      <c r="L882" s="17">
        <f>J882+ROUND(K882, 2)</f>
        <v>2117.4</v>
      </c>
      <c r="M882" s="17">
        <v>1983467.64</v>
      </c>
      <c r="N882" s="17">
        <v>1296596.7</v>
      </c>
      <c r="O882" s="17">
        <f>M882+N882</f>
        <v>3280064.34</v>
      </c>
      <c r="P882" s="17">
        <v>1280.4000000000001</v>
      </c>
      <c r="Q882" s="18">
        <v>1255.5</v>
      </c>
      <c r="R882" s="17">
        <f>P882+ROUND(Q882, 2)</f>
        <v>2535.9</v>
      </c>
      <c r="S882" s="17">
        <v>1983467.64</v>
      </c>
      <c r="T882" s="17">
        <v>1944895.05</v>
      </c>
      <c r="U882" s="17">
        <f>S882+T882</f>
        <v>3928362.69</v>
      </c>
    </row>
    <row r="883" spans="1:21" ht="18" x14ac:dyDescent="0.3">
      <c r="A883" s="10" t="s">
        <v>2823</v>
      </c>
      <c r="B883" s="10"/>
      <c r="C883" s="24" t="s">
        <v>2804</v>
      </c>
      <c r="D883" s="15"/>
      <c r="E883" s="15" t="s">
        <v>2824</v>
      </c>
      <c r="F883" s="25" t="s">
        <v>62</v>
      </c>
      <c r="G883" s="26">
        <v>1.1000000000000001</v>
      </c>
      <c r="H883" s="31"/>
      <c r="I883" s="31">
        <v>1704.01</v>
      </c>
      <c r="J883" s="27">
        <v>1164</v>
      </c>
      <c r="M883" s="28">
        <f>ROUND(ROUND(J883, 2)*I883, 2)</f>
        <v>1983467.64</v>
      </c>
      <c r="P883" s="27">
        <v>1164</v>
      </c>
      <c r="S883" s="28">
        <f>ROUND(ROUND(P883, 2)*I883, 2)</f>
        <v>1983467.64</v>
      </c>
    </row>
    <row r="884" spans="1:21" ht="90" x14ac:dyDescent="0.3">
      <c r="A884" s="10" t="s">
        <v>2827</v>
      </c>
      <c r="B884" s="10" t="s">
        <v>2799</v>
      </c>
      <c r="C884" s="14" t="s">
        <v>2800</v>
      </c>
      <c r="D884" s="15"/>
      <c r="E884" s="15" t="s">
        <v>2828</v>
      </c>
      <c r="F884" s="15" t="s">
        <v>62</v>
      </c>
      <c r="G884" s="16">
        <v>1</v>
      </c>
      <c r="H884" s="16"/>
      <c r="I884" s="16">
        <v>242</v>
      </c>
      <c r="J884" s="17">
        <v>1280.4000000000001</v>
      </c>
      <c r="K884" s="18">
        <v>837</v>
      </c>
      <c r="L884" s="17">
        <f>J884+ROUND(K884, 2)</f>
        <v>2117.4</v>
      </c>
      <c r="M884" s="17">
        <v>309856.8</v>
      </c>
      <c r="N884" s="17">
        <v>202554</v>
      </c>
      <c r="O884" s="17">
        <f>M884+N884</f>
        <v>512410.8</v>
      </c>
      <c r="P884" s="17">
        <v>1280.4000000000001</v>
      </c>
      <c r="Q884" s="18">
        <v>1255.5</v>
      </c>
      <c r="R884" s="17">
        <f>P884+ROUND(Q884, 2)</f>
        <v>2535.9</v>
      </c>
      <c r="S884" s="17">
        <v>309856.8</v>
      </c>
      <c r="T884" s="17">
        <v>303831</v>
      </c>
      <c r="U884" s="17">
        <f>S884+T884</f>
        <v>613687.80000000005</v>
      </c>
    </row>
    <row r="885" spans="1:21" ht="18" x14ac:dyDescent="0.3">
      <c r="A885" s="10" t="s">
        <v>2829</v>
      </c>
      <c r="B885" s="10"/>
      <c r="C885" s="24" t="s">
        <v>2804</v>
      </c>
      <c r="D885" s="15"/>
      <c r="E885" s="15"/>
      <c r="F885" s="25" t="s">
        <v>62</v>
      </c>
      <c r="G885" s="26">
        <v>1.1000000000000001</v>
      </c>
      <c r="H885" s="31"/>
      <c r="I885" s="31">
        <v>266.2</v>
      </c>
      <c r="J885" s="27">
        <v>1164</v>
      </c>
      <c r="M885" s="28">
        <f>ROUND(ROUND(J885, 2)*I885, 2)</f>
        <v>309856.8</v>
      </c>
      <c r="P885" s="27">
        <v>1164</v>
      </c>
      <c r="S885" s="28">
        <f>ROUND(ROUND(P885, 2)*I885, 2)</f>
        <v>309856.8</v>
      </c>
    </row>
    <row r="886" spans="1:21" ht="108" x14ac:dyDescent="0.3">
      <c r="A886" s="10" t="s">
        <v>2832</v>
      </c>
      <c r="B886" s="10" t="s">
        <v>2799</v>
      </c>
      <c r="C886" s="14" t="s">
        <v>2800</v>
      </c>
      <c r="D886" s="15"/>
      <c r="E886" s="15" t="s">
        <v>2833</v>
      </c>
      <c r="F886" s="15" t="s">
        <v>62</v>
      </c>
      <c r="G886" s="16">
        <v>1</v>
      </c>
      <c r="H886" s="16"/>
      <c r="I886" s="16">
        <v>1714.16</v>
      </c>
      <c r="J886" s="17">
        <f>IFERROR(ROUND(SUM(M887)/I886, 2),0)</f>
        <v>1301.74</v>
      </c>
      <c r="K886" s="18">
        <v>837.01</v>
      </c>
      <c r="L886" s="17">
        <f>J886+ROUND(K886, 2)</f>
        <v>2138.75</v>
      </c>
      <c r="M886" s="17">
        <f>ROUND(J886*I886, 2)</f>
        <v>2231390.64</v>
      </c>
      <c r="N886" s="17">
        <f>ROUND(I886*ROUND(K886, 2), 2)</f>
        <v>1434769.06</v>
      </c>
      <c r="O886" s="17">
        <f>M886+N886</f>
        <v>3666159.7</v>
      </c>
      <c r="P886" s="17">
        <f>IFERROR(ROUND(SUM(S887)/I886, 2),0)</f>
        <v>1301.74</v>
      </c>
      <c r="Q886" s="19">
        <v>1255.5</v>
      </c>
      <c r="R886" s="17">
        <f>P886+ROUND(Q886, 2)</f>
        <v>2557.2399999999998</v>
      </c>
      <c r="S886" s="17">
        <f>ROUND(P886*I886, 2)</f>
        <v>2231390.64</v>
      </c>
      <c r="T886" s="17">
        <f>ROUND(I886*ROUND(Q886, 2), 2)</f>
        <v>2152127.88</v>
      </c>
      <c r="U886" s="17">
        <f>S886+T886</f>
        <v>4383518.5199999996</v>
      </c>
    </row>
    <row r="887" spans="1:21" ht="18" x14ac:dyDescent="0.3">
      <c r="A887" s="10" t="s">
        <v>2834</v>
      </c>
      <c r="B887" s="10"/>
      <c r="C887" s="24" t="s">
        <v>2804</v>
      </c>
      <c r="D887" s="15"/>
      <c r="E887" s="15"/>
      <c r="F887" s="25" t="s">
        <v>62</v>
      </c>
      <c r="G887" s="26">
        <v>1.1000000000000001</v>
      </c>
      <c r="H887" s="31"/>
      <c r="I887" s="31">
        <v>1885.576</v>
      </c>
      <c r="J887" s="27">
        <v>1183.4000000000001</v>
      </c>
      <c r="M887" s="28">
        <f>ROUND(ROUND(J887, 2)*I887, 2)</f>
        <v>2231390.64</v>
      </c>
      <c r="P887" s="29">
        <v>1183.4000000000001</v>
      </c>
      <c r="S887" s="28">
        <f>ROUND(ROUND(P887, 2)*I887, 2)</f>
        <v>2231390.64</v>
      </c>
    </row>
    <row r="888" spans="1:21" ht="126" x14ac:dyDescent="0.3">
      <c r="A888" s="10" t="s">
        <v>2837</v>
      </c>
      <c r="B888" s="10" t="s">
        <v>2799</v>
      </c>
      <c r="C888" s="14" t="s">
        <v>2800</v>
      </c>
      <c r="D888" s="15"/>
      <c r="E888" s="15" t="s">
        <v>2838</v>
      </c>
      <c r="F888" s="15" t="s">
        <v>62</v>
      </c>
      <c r="G888" s="16">
        <v>1</v>
      </c>
      <c r="H888" s="16"/>
      <c r="I888" s="16">
        <v>242</v>
      </c>
      <c r="J888" s="17">
        <f>IFERROR(ROUND(SUM(M889)/I888, 2),0)</f>
        <v>1301.74</v>
      </c>
      <c r="K888" s="18">
        <v>837.01</v>
      </c>
      <c r="L888" s="17">
        <f>J888+ROUND(K888, 2)</f>
        <v>2138.75</v>
      </c>
      <c r="M888" s="17">
        <f>ROUND(J888*I888, 2)</f>
        <v>315021.08</v>
      </c>
      <c r="N888" s="17">
        <f>ROUND(I888*ROUND(K888, 2), 2)</f>
        <v>202556.42</v>
      </c>
      <c r="O888" s="17">
        <f>M888+N888</f>
        <v>517577.5</v>
      </c>
      <c r="P888" s="17">
        <f>IFERROR(ROUND(SUM(S889)/I888, 2),0)</f>
        <v>1301.74</v>
      </c>
      <c r="Q888" s="19">
        <v>1255.5</v>
      </c>
      <c r="R888" s="17">
        <f>P888+ROUND(Q888, 2)</f>
        <v>2557.2399999999998</v>
      </c>
      <c r="S888" s="17">
        <f>ROUND(P888*I888, 2)</f>
        <v>315021.08</v>
      </c>
      <c r="T888" s="17">
        <f>ROUND(I888*ROUND(Q888, 2), 2)</f>
        <v>303831</v>
      </c>
      <c r="U888" s="17">
        <f>S888+T888</f>
        <v>618852.08000000007</v>
      </c>
    </row>
    <row r="889" spans="1:21" ht="18" x14ac:dyDescent="0.3">
      <c r="A889" s="10" t="s">
        <v>2839</v>
      </c>
      <c r="B889" s="10"/>
      <c r="C889" s="24" t="s">
        <v>2804</v>
      </c>
      <c r="D889" s="15"/>
      <c r="E889" s="15"/>
      <c r="F889" s="25" t="s">
        <v>62</v>
      </c>
      <c r="G889" s="26">
        <v>1.1000000000000001</v>
      </c>
      <c r="H889" s="31"/>
      <c r="I889" s="31">
        <v>266.2</v>
      </c>
      <c r="J889" s="27">
        <v>1183.4000000000001</v>
      </c>
      <c r="M889" s="28">
        <f>ROUND(ROUND(J889, 2)*I889, 2)</f>
        <v>315021.08</v>
      </c>
      <c r="P889" s="29">
        <v>1183.4000000000001</v>
      </c>
      <c r="S889" s="28">
        <f>ROUND(ROUND(P889, 2)*I889, 2)</f>
        <v>315021.08</v>
      </c>
    </row>
    <row r="890" spans="1:21" ht="108" x14ac:dyDescent="0.3">
      <c r="A890" s="10" t="s">
        <v>2842</v>
      </c>
      <c r="B890" s="10" t="s">
        <v>2799</v>
      </c>
      <c r="C890" s="14" t="s">
        <v>2800</v>
      </c>
      <c r="D890" s="15"/>
      <c r="E890" s="15" t="s">
        <v>2843</v>
      </c>
      <c r="F890" s="15" t="s">
        <v>62</v>
      </c>
      <c r="G890" s="16">
        <v>1</v>
      </c>
      <c r="H890" s="16"/>
      <c r="I890" s="16">
        <v>3</v>
      </c>
      <c r="J890" s="17">
        <f>IFERROR(ROUND(SUM(M891)/I890, 2),0)</f>
        <v>1301.74</v>
      </c>
      <c r="K890" s="18">
        <v>837.01</v>
      </c>
      <c r="L890" s="17">
        <f>J890+ROUND(K890, 2)</f>
        <v>2138.75</v>
      </c>
      <c r="M890" s="17">
        <f>ROUND(J890*I890, 2)</f>
        <v>3905.22</v>
      </c>
      <c r="N890" s="17">
        <f>ROUND(I890*ROUND(K890, 2), 2)</f>
        <v>2511.0300000000002</v>
      </c>
      <c r="O890" s="17">
        <f>M890+N890</f>
        <v>6416.25</v>
      </c>
      <c r="P890" s="17">
        <f>IFERROR(ROUND(SUM(S891)/I890, 2),0)</f>
        <v>1301.74</v>
      </c>
      <c r="Q890" s="19">
        <v>1255.5</v>
      </c>
      <c r="R890" s="17">
        <f>P890+ROUND(Q890, 2)</f>
        <v>2557.2399999999998</v>
      </c>
      <c r="S890" s="17">
        <f>ROUND(P890*I890, 2)</f>
        <v>3905.22</v>
      </c>
      <c r="T890" s="17">
        <f>ROUND(I890*ROUND(Q890, 2), 2)</f>
        <v>3766.5</v>
      </c>
      <c r="U890" s="17">
        <f>S890+T890</f>
        <v>7671.7199999999993</v>
      </c>
    </row>
    <row r="891" spans="1:21" ht="18" x14ac:dyDescent="0.3">
      <c r="A891" s="10" t="s">
        <v>2844</v>
      </c>
      <c r="B891" s="10"/>
      <c r="C891" s="24" t="s">
        <v>2804</v>
      </c>
      <c r="D891" s="15"/>
      <c r="E891" s="15"/>
      <c r="F891" s="25" t="s">
        <v>62</v>
      </c>
      <c r="G891" s="26">
        <v>1.1000000000000001</v>
      </c>
      <c r="H891" s="31"/>
      <c r="I891" s="31">
        <v>3.3</v>
      </c>
      <c r="J891" s="27">
        <v>1183.4000000000001</v>
      </c>
      <c r="M891" s="28">
        <f>ROUND(ROUND(J891, 2)*I891, 2)</f>
        <v>3905.22</v>
      </c>
      <c r="P891" s="29">
        <v>1183.4000000000001</v>
      </c>
      <c r="S891" s="28">
        <f>ROUND(ROUND(P891, 2)*I891, 2)</f>
        <v>3905.22</v>
      </c>
    </row>
    <row r="892" spans="1:21" ht="133.05000000000001" customHeight="1" x14ac:dyDescent="0.3">
      <c r="A892" s="10" t="s">
        <v>2847</v>
      </c>
      <c r="B892" s="10" t="s">
        <v>2848</v>
      </c>
      <c r="C892" s="14" t="s">
        <v>2849</v>
      </c>
      <c r="D892" s="15"/>
      <c r="E892" s="15" t="s">
        <v>2850</v>
      </c>
      <c r="F892" s="15" t="s">
        <v>62</v>
      </c>
      <c r="G892" s="16">
        <v>1</v>
      </c>
      <c r="H892" s="16"/>
      <c r="I892" s="16">
        <v>1087.19</v>
      </c>
      <c r="J892" s="17">
        <f>IFERROR(ROUND(SUM(M893,M894,M895,M896,M897,M898,M899,M900,M901,M902,M903)/I892, 2),0)</f>
        <v>294.97000000000003</v>
      </c>
      <c r="K892" s="18">
        <v>1422</v>
      </c>
      <c r="L892" s="17">
        <f>J892+ROUND(K892, 2)</f>
        <v>1716.97</v>
      </c>
      <c r="M892" s="17">
        <f>ROUND(J892*I892, 2)</f>
        <v>320688.43</v>
      </c>
      <c r="N892" s="17">
        <f>ROUND(I892*ROUND(K892, 2), 2)</f>
        <v>1545984.18</v>
      </c>
      <c r="O892" s="17">
        <f>M892+N892</f>
        <v>1866672.6099999999</v>
      </c>
      <c r="P892" s="17">
        <f>IFERROR(ROUND(SUM(S893,S894,S895,S896,S897,S898,S899,S900,S901,S902,S903)/I892, 2),0)</f>
        <v>2194.83</v>
      </c>
      <c r="Q892" s="19">
        <v>2133</v>
      </c>
      <c r="R892" s="17">
        <f>P892+ROUND(Q892, 2)</f>
        <v>4327.83</v>
      </c>
      <c r="S892" s="17">
        <f>ROUND(P892*I892, 2)</f>
        <v>2386197.23</v>
      </c>
      <c r="T892" s="17">
        <f>ROUND(I892*ROUND(Q892, 2), 2)</f>
        <v>2318976.27</v>
      </c>
      <c r="U892" s="17">
        <f>S892+T892</f>
        <v>4705173.5</v>
      </c>
    </row>
    <row r="893" spans="1:21" ht="18" x14ac:dyDescent="0.3">
      <c r="A893" s="10" t="s">
        <v>2853</v>
      </c>
      <c r="B893" s="10"/>
      <c r="C893" s="24" t="s">
        <v>2854</v>
      </c>
      <c r="D893" s="15"/>
      <c r="E893" s="15"/>
      <c r="F893" s="25" t="s">
        <v>597</v>
      </c>
      <c r="G893" s="26">
        <v>2.6</v>
      </c>
      <c r="H893" s="31"/>
      <c r="I893" s="31">
        <v>2826.694</v>
      </c>
      <c r="J893" s="27">
        <v>0.96</v>
      </c>
      <c r="M893" s="28">
        <f t="shared" ref="M893:M903" si="6">ROUND(ROUND(J893, 2)*I893, 2)</f>
        <v>2713.63</v>
      </c>
      <c r="P893" s="29">
        <v>0.96</v>
      </c>
      <c r="S893" s="28">
        <f t="shared" ref="S893:S903" si="7">ROUND(ROUND(P893, 2)*I893, 2)</f>
        <v>2713.63</v>
      </c>
    </row>
    <row r="894" spans="1:21" ht="18" x14ac:dyDescent="0.3">
      <c r="A894" s="10" t="s">
        <v>2858</v>
      </c>
      <c r="B894" s="10"/>
      <c r="C894" s="24" t="s">
        <v>2859</v>
      </c>
      <c r="D894" s="15"/>
      <c r="E894" s="15"/>
      <c r="F894" s="25" t="s">
        <v>597</v>
      </c>
      <c r="G894" s="26">
        <v>17</v>
      </c>
      <c r="H894" s="31"/>
      <c r="I894" s="31">
        <v>18482.23</v>
      </c>
      <c r="J894" s="27">
        <v>0.28000000000000003</v>
      </c>
      <c r="M894" s="28">
        <f t="shared" si="6"/>
        <v>5175.0200000000004</v>
      </c>
      <c r="P894" s="29">
        <v>0.28000000000000003</v>
      </c>
      <c r="S894" s="28">
        <f t="shared" si="7"/>
        <v>5175.0200000000004</v>
      </c>
    </row>
    <row r="895" spans="1:21" ht="18" x14ac:dyDescent="0.3">
      <c r="A895" s="10" t="s">
        <v>2863</v>
      </c>
      <c r="B895" s="10"/>
      <c r="C895" s="24" t="s">
        <v>2864</v>
      </c>
      <c r="D895" s="15"/>
      <c r="E895" s="15"/>
      <c r="F895" s="25" t="s">
        <v>597</v>
      </c>
      <c r="G895" s="26">
        <v>0.6</v>
      </c>
      <c r="H895" s="31"/>
      <c r="I895" s="31">
        <v>652.31399999999996</v>
      </c>
      <c r="J895" s="27">
        <v>5.7</v>
      </c>
      <c r="M895" s="28">
        <f t="shared" si="6"/>
        <v>3718.19</v>
      </c>
      <c r="P895" s="29">
        <v>5.7</v>
      </c>
      <c r="S895" s="28">
        <f t="shared" si="7"/>
        <v>3718.19</v>
      </c>
    </row>
    <row r="896" spans="1:21" ht="18" x14ac:dyDescent="0.3">
      <c r="A896" s="10" t="s">
        <v>2868</v>
      </c>
      <c r="B896" s="10"/>
      <c r="C896" s="24" t="s">
        <v>2869</v>
      </c>
      <c r="D896" s="15"/>
      <c r="E896" s="15"/>
      <c r="F896" s="25" t="s">
        <v>597</v>
      </c>
      <c r="G896" s="26">
        <v>2.2999999999999998</v>
      </c>
      <c r="H896" s="26"/>
      <c r="I896" s="26">
        <v>2500.5369999999998</v>
      </c>
      <c r="J896" s="27">
        <v>7.32</v>
      </c>
      <c r="M896" s="28">
        <f t="shared" si="6"/>
        <v>18303.93</v>
      </c>
      <c r="P896" s="29">
        <v>7.32</v>
      </c>
      <c r="S896" s="28">
        <f t="shared" si="7"/>
        <v>18303.93</v>
      </c>
    </row>
    <row r="897" spans="1:21" ht="18" x14ac:dyDescent="0.3">
      <c r="A897" s="10" t="s">
        <v>2873</v>
      </c>
      <c r="B897" s="10"/>
      <c r="C897" s="30" t="s">
        <v>2874</v>
      </c>
      <c r="D897" s="15"/>
      <c r="E897" s="15"/>
      <c r="F897" s="25" t="s">
        <v>102</v>
      </c>
      <c r="G897" s="26">
        <v>1.2</v>
      </c>
      <c r="H897" s="26"/>
      <c r="I897" s="26">
        <v>1304.6279999999999</v>
      </c>
      <c r="J897" s="27">
        <v>34.119999999999997</v>
      </c>
      <c r="M897" s="28">
        <f t="shared" si="6"/>
        <v>44513.91</v>
      </c>
      <c r="P897" s="29">
        <v>34.119999999999997</v>
      </c>
      <c r="S897" s="28">
        <f t="shared" si="7"/>
        <v>44513.91</v>
      </c>
    </row>
    <row r="898" spans="1:21" ht="18" x14ac:dyDescent="0.3">
      <c r="A898" s="10" t="s">
        <v>2878</v>
      </c>
      <c r="B898" s="10"/>
      <c r="C898" s="24" t="s">
        <v>2879</v>
      </c>
      <c r="D898" s="15"/>
      <c r="E898" s="15"/>
      <c r="F898" s="25" t="s">
        <v>102</v>
      </c>
      <c r="G898" s="26">
        <v>3.2</v>
      </c>
      <c r="H898" s="26"/>
      <c r="I898" s="26">
        <v>3479.0079999999998</v>
      </c>
      <c r="J898" s="27">
        <v>68.099999999999994</v>
      </c>
      <c r="M898" s="28">
        <f t="shared" si="6"/>
        <v>236920.44</v>
      </c>
      <c r="P898" s="29">
        <v>68.099999999999994</v>
      </c>
      <c r="S898" s="28">
        <f t="shared" si="7"/>
        <v>236920.44</v>
      </c>
    </row>
    <row r="899" spans="1:21" ht="18" x14ac:dyDescent="0.3">
      <c r="A899" s="10" t="s">
        <v>2883</v>
      </c>
      <c r="B899" s="10"/>
      <c r="C899" s="24" t="s">
        <v>2470</v>
      </c>
      <c r="D899" s="15"/>
      <c r="E899" s="15"/>
      <c r="F899" s="25" t="s">
        <v>62</v>
      </c>
      <c r="G899" s="26">
        <v>1.1000000000000001</v>
      </c>
      <c r="H899" s="26"/>
      <c r="I899" s="26">
        <v>1195.9090000000001</v>
      </c>
      <c r="J899" s="27">
        <v>0</v>
      </c>
      <c r="M899" s="28">
        <f t="shared" si="6"/>
        <v>0</v>
      </c>
      <c r="P899" s="29">
        <v>1656</v>
      </c>
      <c r="S899" s="28">
        <f t="shared" si="7"/>
        <v>1980425.3</v>
      </c>
    </row>
    <row r="900" spans="1:21" ht="18" x14ac:dyDescent="0.3">
      <c r="A900" s="10" t="s">
        <v>2886</v>
      </c>
      <c r="B900" s="10"/>
      <c r="C900" s="24" t="s">
        <v>2887</v>
      </c>
      <c r="D900" s="15"/>
      <c r="E900" s="15"/>
      <c r="F900" s="25" t="s">
        <v>102</v>
      </c>
      <c r="G900" s="26">
        <v>1.05</v>
      </c>
      <c r="H900" s="26"/>
      <c r="I900" s="26">
        <v>1141.55</v>
      </c>
      <c r="J900" s="27">
        <v>4.67</v>
      </c>
      <c r="M900" s="28">
        <f t="shared" si="6"/>
        <v>5331.04</v>
      </c>
      <c r="P900" s="29">
        <v>4.67</v>
      </c>
      <c r="S900" s="28">
        <f t="shared" si="7"/>
        <v>5331.04</v>
      </c>
    </row>
    <row r="901" spans="1:21" ht="18" x14ac:dyDescent="0.3">
      <c r="A901" s="10" t="s">
        <v>2891</v>
      </c>
      <c r="B901" s="10"/>
      <c r="C901" s="24" t="s">
        <v>2892</v>
      </c>
      <c r="D901" s="15"/>
      <c r="E901" s="15"/>
      <c r="F901" s="25" t="s">
        <v>597</v>
      </c>
      <c r="G901" s="26">
        <v>1.3</v>
      </c>
      <c r="H901" s="26"/>
      <c r="I901" s="26">
        <v>1413.347</v>
      </c>
      <c r="J901" s="27">
        <v>2.84</v>
      </c>
      <c r="M901" s="28">
        <f t="shared" si="6"/>
        <v>4013.91</v>
      </c>
      <c r="P901" s="29">
        <v>2.84</v>
      </c>
      <c r="S901" s="28">
        <f t="shared" si="7"/>
        <v>4013.91</v>
      </c>
    </row>
    <row r="902" spans="1:21" ht="18" x14ac:dyDescent="0.3">
      <c r="A902" s="10" t="s">
        <v>2896</v>
      </c>
      <c r="B902" s="10"/>
      <c r="C902" s="24" t="s">
        <v>2897</v>
      </c>
      <c r="D902" s="15"/>
      <c r="E902" s="15"/>
      <c r="F902" s="25" t="s">
        <v>597</v>
      </c>
      <c r="G902" s="26">
        <v>1.3</v>
      </c>
      <c r="H902" s="26"/>
      <c r="I902" s="26">
        <v>1413.347</v>
      </c>
      <c r="J902" s="27">
        <v>0</v>
      </c>
      <c r="M902" s="28">
        <f t="shared" si="6"/>
        <v>0</v>
      </c>
      <c r="P902" s="29">
        <v>32.4</v>
      </c>
      <c r="S902" s="28">
        <f t="shared" si="7"/>
        <v>45792.44</v>
      </c>
    </row>
    <row r="903" spans="1:21" ht="18" x14ac:dyDescent="0.3">
      <c r="A903" s="10" t="s">
        <v>2901</v>
      </c>
      <c r="B903" s="10"/>
      <c r="C903" s="24" t="s">
        <v>2902</v>
      </c>
      <c r="D903" s="15"/>
      <c r="E903" s="15"/>
      <c r="F903" s="25" t="s">
        <v>597</v>
      </c>
      <c r="G903" s="26">
        <v>1.3</v>
      </c>
      <c r="H903" s="26"/>
      <c r="I903" s="26">
        <v>1413.347</v>
      </c>
      <c r="J903" s="27">
        <v>0</v>
      </c>
      <c r="M903" s="28">
        <f t="shared" si="6"/>
        <v>0</v>
      </c>
      <c r="P903" s="29">
        <v>27.8</v>
      </c>
      <c r="S903" s="28">
        <f t="shared" si="7"/>
        <v>39291.050000000003</v>
      </c>
    </row>
    <row r="904" spans="1:21" ht="36" x14ac:dyDescent="0.3">
      <c r="A904" s="10" t="s">
        <v>2906</v>
      </c>
      <c r="B904" s="10" t="s">
        <v>2907</v>
      </c>
      <c r="C904" s="14" t="s">
        <v>2908</v>
      </c>
      <c r="D904" s="15"/>
      <c r="E904" s="15"/>
      <c r="F904" s="15" t="s">
        <v>62</v>
      </c>
      <c r="G904" s="16">
        <v>1</v>
      </c>
      <c r="H904" s="16"/>
      <c r="I904" s="16">
        <v>0</v>
      </c>
      <c r="J904" s="17">
        <v>0</v>
      </c>
      <c r="K904" s="18">
        <v>121</v>
      </c>
      <c r="L904" s="17">
        <f>J904+ROUND(K904, 2)</f>
        <v>121</v>
      </c>
      <c r="M904" s="17">
        <v>0</v>
      </c>
      <c r="N904" s="17">
        <v>0</v>
      </c>
      <c r="O904" s="17">
        <f>M904+N904</f>
        <v>0</v>
      </c>
      <c r="P904" s="17">
        <v>0</v>
      </c>
      <c r="Q904" s="18">
        <v>121</v>
      </c>
      <c r="R904" s="17">
        <f>P904+ROUND(Q904, 2)</f>
        <v>121</v>
      </c>
      <c r="S904" s="17">
        <v>0</v>
      </c>
      <c r="T904" s="17">
        <v>0</v>
      </c>
      <c r="U904" s="17">
        <f>S904+T904</f>
        <v>0</v>
      </c>
    </row>
    <row r="905" spans="1:21" ht="36" x14ac:dyDescent="0.3">
      <c r="A905" s="10" t="s">
        <v>2911</v>
      </c>
      <c r="B905" s="10" t="s">
        <v>2907</v>
      </c>
      <c r="C905" s="14" t="s">
        <v>2908</v>
      </c>
      <c r="D905" s="15"/>
      <c r="E905" s="15"/>
      <c r="F905" s="15" t="s">
        <v>62</v>
      </c>
      <c r="G905" s="16">
        <v>1</v>
      </c>
      <c r="H905" s="16"/>
      <c r="I905" s="16">
        <v>2000</v>
      </c>
      <c r="J905" s="17">
        <v>0</v>
      </c>
      <c r="K905" s="18">
        <v>121</v>
      </c>
      <c r="L905" s="17">
        <f>J905+ROUND(K905, 2)</f>
        <v>121</v>
      </c>
      <c r="M905" s="17">
        <v>0</v>
      </c>
      <c r="N905" s="17">
        <v>242000</v>
      </c>
      <c r="O905" s="17">
        <f>M905+N905</f>
        <v>242000</v>
      </c>
      <c r="P905" s="17">
        <v>0</v>
      </c>
      <c r="Q905" s="18">
        <v>181.5</v>
      </c>
      <c r="R905" s="17">
        <f>P905+ROUND(Q905, 2)</f>
        <v>181.5</v>
      </c>
      <c r="S905" s="17">
        <v>0</v>
      </c>
      <c r="T905" s="17">
        <v>363000</v>
      </c>
      <c r="U905" s="17">
        <f>S905+T905</f>
        <v>363000</v>
      </c>
    </row>
    <row r="906" spans="1:21" ht="36" x14ac:dyDescent="0.3">
      <c r="A906" s="10" t="s">
        <v>2912</v>
      </c>
      <c r="B906" s="10" t="s">
        <v>2907</v>
      </c>
      <c r="C906" s="14" t="s">
        <v>2908</v>
      </c>
      <c r="D906" s="15"/>
      <c r="E906" s="15" t="s">
        <v>2913</v>
      </c>
      <c r="F906" s="15" t="s">
        <v>62</v>
      </c>
      <c r="G906" s="16">
        <v>1</v>
      </c>
      <c r="H906" s="16"/>
      <c r="I906" s="16">
        <v>5974.62</v>
      </c>
      <c r="J906" s="17">
        <v>0</v>
      </c>
      <c r="K906" s="18">
        <v>121</v>
      </c>
      <c r="L906" s="17">
        <f>J906+ROUND(K906, 2)</f>
        <v>121</v>
      </c>
      <c r="M906" s="17">
        <v>0</v>
      </c>
      <c r="N906" s="17">
        <f>ROUND(I906*ROUND(K906, 2), 2)</f>
        <v>722929.02</v>
      </c>
      <c r="O906" s="17">
        <f>M906+N906</f>
        <v>722929.02</v>
      </c>
      <c r="P906" s="17">
        <v>0</v>
      </c>
      <c r="Q906" s="19">
        <v>181.5</v>
      </c>
      <c r="R906" s="17">
        <f>P906+ROUND(Q906, 2)</f>
        <v>181.5</v>
      </c>
      <c r="S906" s="17">
        <v>0</v>
      </c>
      <c r="T906" s="17">
        <f>ROUND(I906*ROUND(Q906, 2), 2)</f>
        <v>1084393.53</v>
      </c>
      <c r="U906" s="17">
        <f>S906+T906</f>
        <v>1084393.53</v>
      </c>
    </row>
    <row r="907" spans="1:21" ht="18" x14ac:dyDescent="0.3">
      <c r="A907" s="10" t="s">
        <v>2914</v>
      </c>
      <c r="B907" s="10" t="s">
        <v>2915</v>
      </c>
      <c r="C907" s="14" t="s">
        <v>2916</v>
      </c>
      <c r="D907" s="15"/>
      <c r="E907" s="15"/>
      <c r="F907" s="15" t="s">
        <v>62</v>
      </c>
      <c r="G907" s="16">
        <v>1</v>
      </c>
      <c r="H907" s="16"/>
      <c r="I907" s="16">
        <v>0</v>
      </c>
      <c r="J907" s="17">
        <v>0</v>
      </c>
      <c r="K907" s="18">
        <v>1724</v>
      </c>
      <c r="L907" s="17">
        <f>J907+ROUND(K907, 2)</f>
        <v>1724</v>
      </c>
      <c r="M907" s="17">
        <v>0</v>
      </c>
      <c r="N907" s="17">
        <v>0</v>
      </c>
      <c r="O907" s="17">
        <f>M907+N907</f>
        <v>0</v>
      </c>
      <c r="P907" s="17">
        <v>1310</v>
      </c>
      <c r="Q907" s="18">
        <v>1724</v>
      </c>
      <c r="R907" s="17">
        <f>P907+ROUND(Q907, 2)</f>
        <v>3034</v>
      </c>
      <c r="S907" s="17">
        <v>0</v>
      </c>
      <c r="T907" s="17">
        <v>0</v>
      </c>
      <c r="U907" s="17">
        <f>S907+T907</f>
        <v>0</v>
      </c>
    </row>
    <row r="908" spans="1:21" ht="18" x14ac:dyDescent="0.3">
      <c r="A908" s="10" t="s">
        <v>2919</v>
      </c>
      <c r="B908" s="10"/>
      <c r="C908" s="24" t="s">
        <v>2920</v>
      </c>
      <c r="D908" s="15"/>
      <c r="E908" s="15"/>
      <c r="F908" s="25" t="s">
        <v>62</v>
      </c>
      <c r="G908" s="26">
        <v>1</v>
      </c>
      <c r="H908" s="26"/>
      <c r="I908" s="26">
        <v>0</v>
      </c>
      <c r="J908" s="27">
        <v>0</v>
      </c>
      <c r="M908" s="28">
        <f>ROUND(ROUND(J908, 2)*I908, 2)</f>
        <v>0</v>
      </c>
      <c r="P908" s="27">
        <v>1310</v>
      </c>
      <c r="S908" s="28">
        <f>ROUND(ROUND(P908, 2)*I908, 2)</f>
        <v>0</v>
      </c>
    </row>
    <row r="909" spans="1:21" ht="108" x14ac:dyDescent="0.3">
      <c r="A909" s="10" t="s">
        <v>2924</v>
      </c>
      <c r="B909" s="10" t="s">
        <v>2915</v>
      </c>
      <c r="C909" s="14" t="s">
        <v>2916</v>
      </c>
      <c r="D909" s="15"/>
      <c r="E909" s="15" t="s">
        <v>2925</v>
      </c>
      <c r="F909" s="15" t="s">
        <v>62</v>
      </c>
      <c r="G909" s="16">
        <v>1</v>
      </c>
      <c r="H909" s="16"/>
      <c r="I909" s="16">
        <v>13.5</v>
      </c>
      <c r="J909" s="17">
        <v>0</v>
      </c>
      <c r="K909" s="18">
        <v>1724</v>
      </c>
      <c r="L909" s="17">
        <f>J909+ROUND(K909, 2)</f>
        <v>1724</v>
      </c>
      <c r="M909" s="17">
        <v>0</v>
      </c>
      <c r="N909" s="17">
        <v>23274</v>
      </c>
      <c r="O909" s="17">
        <f>M909+N909</f>
        <v>23274</v>
      </c>
      <c r="P909" s="17">
        <v>1310</v>
      </c>
      <c r="Q909" s="18">
        <v>2586</v>
      </c>
      <c r="R909" s="17">
        <f>P909+ROUND(Q909, 2)</f>
        <v>3896</v>
      </c>
      <c r="S909" s="17">
        <v>17685</v>
      </c>
      <c r="T909" s="17">
        <v>34911</v>
      </c>
      <c r="U909" s="17">
        <f>S909+T909</f>
        <v>52596</v>
      </c>
    </row>
    <row r="910" spans="1:21" ht="18" x14ac:dyDescent="0.3">
      <c r="A910" s="10" t="s">
        <v>2926</v>
      </c>
      <c r="B910" s="10"/>
      <c r="C910" s="24" t="s">
        <v>2920</v>
      </c>
      <c r="D910" s="15"/>
      <c r="E910" s="15"/>
      <c r="F910" s="25" t="s">
        <v>62</v>
      </c>
      <c r="G910" s="26">
        <v>1</v>
      </c>
      <c r="H910" s="26"/>
      <c r="I910" s="26">
        <v>13.5</v>
      </c>
      <c r="J910" s="27">
        <v>0</v>
      </c>
      <c r="M910" s="28">
        <f>ROUND(ROUND(J910, 2)*I910, 2)</f>
        <v>0</v>
      </c>
      <c r="P910" s="27">
        <v>1310</v>
      </c>
      <c r="S910" s="28">
        <f>ROUND(ROUND(P910, 2)*I910, 2)</f>
        <v>17685</v>
      </c>
    </row>
    <row r="911" spans="1:21" ht="72" x14ac:dyDescent="0.3">
      <c r="A911" s="10" t="s">
        <v>2929</v>
      </c>
      <c r="B911" s="10" t="s">
        <v>2915</v>
      </c>
      <c r="C911" s="14" t="s">
        <v>2916</v>
      </c>
      <c r="D911" s="15"/>
      <c r="E911" s="15" t="s">
        <v>2930</v>
      </c>
      <c r="F911" s="15" t="s">
        <v>62</v>
      </c>
      <c r="G911" s="16">
        <v>1</v>
      </c>
      <c r="H911" s="16"/>
      <c r="I911" s="16">
        <v>179.95</v>
      </c>
      <c r="J911" s="17">
        <f>IFERROR(ROUND(SUM(M912)/I911, 2),0)</f>
        <v>0</v>
      </c>
      <c r="K911" s="18">
        <v>1723.99</v>
      </c>
      <c r="L911" s="17">
        <f>J911+ROUND(K911, 2)</f>
        <v>1723.99</v>
      </c>
      <c r="M911" s="17">
        <f>ROUND(J911*I911, 2)</f>
        <v>0</v>
      </c>
      <c r="N911" s="17">
        <f>ROUND(I911*ROUND(K911, 2), 2)</f>
        <v>310232</v>
      </c>
      <c r="O911" s="17">
        <f>M911+N911</f>
        <v>310232</v>
      </c>
      <c r="P911" s="17">
        <f>IFERROR(ROUND(SUM(S912)/I911, 2),0)</f>
        <v>6830</v>
      </c>
      <c r="Q911" s="19">
        <v>2586</v>
      </c>
      <c r="R911" s="17">
        <f>P911+ROUND(Q911, 2)</f>
        <v>9416</v>
      </c>
      <c r="S911" s="17">
        <f>ROUND(P911*I911, 2)</f>
        <v>1229058.5</v>
      </c>
      <c r="T911" s="17">
        <f>ROUND(I911*ROUND(Q911, 2), 2)</f>
        <v>465350.7</v>
      </c>
      <c r="U911" s="17">
        <f>S911+T911</f>
        <v>1694409.2</v>
      </c>
    </row>
    <row r="912" spans="1:21" ht="18" x14ac:dyDescent="0.3">
      <c r="A912" s="10" t="s">
        <v>2931</v>
      </c>
      <c r="B912" s="10"/>
      <c r="C912" s="24" t="s">
        <v>2920</v>
      </c>
      <c r="D912" s="15"/>
      <c r="E912" s="15"/>
      <c r="F912" s="25" t="s">
        <v>62</v>
      </c>
      <c r="G912" s="26">
        <v>1</v>
      </c>
      <c r="H912" s="26"/>
      <c r="I912" s="26">
        <v>179.95</v>
      </c>
      <c r="J912" s="27">
        <v>0</v>
      </c>
      <c r="M912" s="28">
        <f>ROUND(ROUND(J912, 2)*I912, 2)</f>
        <v>0</v>
      </c>
      <c r="P912" s="29">
        <v>6830</v>
      </c>
      <c r="S912" s="28">
        <f>ROUND(ROUND(P912, 2)*I912, 2)</f>
        <v>1229058.5</v>
      </c>
    </row>
    <row r="913" spans="1:21" ht="88.95" customHeight="1" x14ac:dyDescent="0.3">
      <c r="A913" s="10" t="s">
        <v>2934</v>
      </c>
      <c r="B913" s="10" t="s">
        <v>2915</v>
      </c>
      <c r="C913" s="14" t="s">
        <v>2916</v>
      </c>
      <c r="D913" s="15"/>
      <c r="E913" s="15" t="s">
        <v>2935</v>
      </c>
      <c r="F913" s="15" t="s">
        <v>62</v>
      </c>
      <c r="G913" s="16">
        <v>1</v>
      </c>
      <c r="H913" s="16"/>
      <c r="I913" s="16">
        <v>487.79</v>
      </c>
      <c r="J913" s="17">
        <f>IFERROR(ROUND(SUM(M914)/I913, 2),0)</f>
        <v>0</v>
      </c>
      <c r="K913" s="18">
        <v>1723.99</v>
      </c>
      <c r="L913" s="17">
        <f>J913+ROUND(K913, 2)</f>
        <v>1723.99</v>
      </c>
      <c r="M913" s="17">
        <f>ROUND(J913*I913, 2)</f>
        <v>0</v>
      </c>
      <c r="N913" s="17">
        <f>ROUND(I913*ROUND(K913, 2), 2)</f>
        <v>840945.08</v>
      </c>
      <c r="O913" s="17">
        <f>M913+N913</f>
        <v>840945.08</v>
      </c>
      <c r="P913" s="17">
        <f>IFERROR(ROUND(SUM(S914)/I913, 2),0)</f>
        <v>1601.19</v>
      </c>
      <c r="Q913" s="19">
        <v>2586</v>
      </c>
      <c r="R913" s="17">
        <f>P913+ROUND(Q913, 2)</f>
        <v>4187.1900000000005</v>
      </c>
      <c r="S913" s="17">
        <f>ROUND(P913*I913, 2)</f>
        <v>781044.47</v>
      </c>
      <c r="T913" s="17">
        <f>ROUND(I913*ROUND(Q913, 2), 2)</f>
        <v>1261424.94</v>
      </c>
      <c r="U913" s="17">
        <f>S913+T913</f>
        <v>2042469.41</v>
      </c>
    </row>
    <row r="914" spans="1:21" ht="18" x14ac:dyDescent="0.3">
      <c r="A914" s="10" t="s">
        <v>2936</v>
      </c>
      <c r="B914" s="10"/>
      <c r="C914" s="24" t="s">
        <v>2920</v>
      </c>
      <c r="D914" s="15"/>
      <c r="E914" s="15"/>
      <c r="F914" s="25" t="s">
        <v>62</v>
      </c>
      <c r="G914" s="26">
        <v>1</v>
      </c>
      <c r="H914" s="26"/>
      <c r="I914" s="26">
        <v>487.79</v>
      </c>
      <c r="J914" s="27">
        <v>0</v>
      </c>
      <c r="M914" s="28">
        <f>ROUND(ROUND(J914, 2)*I914, 2)</f>
        <v>0</v>
      </c>
      <c r="P914" s="29">
        <v>1601.19</v>
      </c>
      <c r="S914" s="28">
        <f>ROUND(ROUND(P914, 2)*I914, 2)</f>
        <v>781044.47</v>
      </c>
    </row>
    <row r="915" spans="1:21" ht="36" x14ac:dyDescent="0.3">
      <c r="A915" s="10" t="s">
        <v>2939</v>
      </c>
      <c r="B915" s="10" t="s">
        <v>2940</v>
      </c>
      <c r="C915" s="14" t="s">
        <v>2941</v>
      </c>
      <c r="D915" s="15"/>
      <c r="E915" s="15"/>
      <c r="F915" s="15" t="s">
        <v>62</v>
      </c>
      <c r="G915" s="16">
        <v>1</v>
      </c>
      <c r="H915" s="16"/>
      <c r="I915" s="16">
        <v>0</v>
      </c>
      <c r="J915" s="17">
        <v>0</v>
      </c>
      <c r="K915" s="18">
        <v>1379</v>
      </c>
      <c r="L915" s="17">
        <f>J915+ROUND(K915, 2)</f>
        <v>1379</v>
      </c>
      <c r="M915" s="17">
        <v>0</v>
      </c>
      <c r="N915" s="17">
        <v>0</v>
      </c>
      <c r="O915" s="17">
        <f>M915+N915</f>
        <v>0</v>
      </c>
      <c r="P915" s="17">
        <v>2076.5300000000002</v>
      </c>
      <c r="Q915" s="18">
        <v>1379</v>
      </c>
      <c r="R915" s="17">
        <f>P915+ROUND(Q915, 2)</f>
        <v>3455.53</v>
      </c>
      <c r="S915" s="17">
        <v>0</v>
      </c>
      <c r="T915" s="17">
        <v>0</v>
      </c>
      <c r="U915" s="17">
        <f>S915+T915</f>
        <v>0</v>
      </c>
    </row>
    <row r="916" spans="1:21" ht="18" x14ac:dyDescent="0.3">
      <c r="A916" s="10" t="s">
        <v>2944</v>
      </c>
      <c r="B916" s="10"/>
      <c r="C916" s="24" t="s">
        <v>2854</v>
      </c>
      <c r="D916" s="15"/>
      <c r="E916" s="15"/>
      <c r="F916" s="25" t="s">
        <v>597</v>
      </c>
      <c r="G916" s="26">
        <v>15</v>
      </c>
      <c r="H916" s="26"/>
      <c r="I916" s="26">
        <v>0</v>
      </c>
      <c r="J916" s="27">
        <v>0.95</v>
      </c>
      <c r="M916" s="28">
        <f t="shared" ref="M916:M928" si="8">ROUND(ROUND(J916, 2)*I916, 2)</f>
        <v>0</v>
      </c>
      <c r="P916" s="27">
        <v>0.95</v>
      </c>
      <c r="S916" s="28">
        <f t="shared" ref="S916:S928" si="9">ROUND(ROUND(P916, 2)*I916, 2)</f>
        <v>0</v>
      </c>
    </row>
    <row r="917" spans="1:21" ht="18" x14ac:dyDescent="0.3">
      <c r="A917" s="10" t="s">
        <v>2947</v>
      </c>
      <c r="B917" s="10"/>
      <c r="C917" s="24" t="s">
        <v>2859</v>
      </c>
      <c r="D917" s="15"/>
      <c r="E917" s="15"/>
      <c r="F917" s="25" t="s">
        <v>597</v>
      </c>
      <c r="G917" s="26">
        <v>30</v>
      </c>
      <c r="H917" s="26"/>
      <c r="I917" s="26">
        <v>0</v>
      </c>
      <c r="J917" s="27">
        <v>0.28000000000000003</v>
      </c>
      <c r="M917" s="28">
        <f t="shared" si="8"/>
        <v>0</v>
      </c>
      <c r="P917" s="27">
        <v>0.28000000000000003</v>
      </c>
      <c r="S917" s="28">
        <f t="shared" si="9"/>
        <v>0</v>
      </c>
    </row>
    <row r="918" spans="1:21" ht="18" x14ac:dyDescent="0.3">
      <c r="A918" s="10" t="s">
        <v>2950</v>
      </c>
      <c r="B918" s="10"/>
      <c r="C918" s="24" t="s">
        <v>2951</v>
      </c>
      <c r="D918" s="15"/>
      <c r="E918" s="15"/>
      <c r="F918" s="25" t="s">
        <v>278</v>
      </c>
      <c r="G918" s="26">
        <v>0.35</v>
      </c>
      <c r="H918" s="26"/>
      <c r="I918" s="26">
        <v>0</v>
      </c>
      <c r="J918" s="27">
        <v>55</v>
      </c>
      <c r="M918" s="28">
        <f t="shared" si="8"/>
        <v>0</v>
      </c>
      <c r="P918" s="27">
        <v>55</v>
      </c>
      <c r="S918" s="28">
        <f t="shared" si="9"/>
        <v>0</v>
      </c>
    </row>
    <row r="919" spans="1:21" ht="18" x14ac:dyDescent="0.3">
      <c r="A919" s="10" t="s">
        <v>2955</v>
      </c>
      <c r="B919" s="10"/>
      <c r="C919" s="24" t="s">
        <v>2864</v>
      </c>
      <c r="D919" s="15"/>
      <c r="E919" s="15"/>
      <c r="F919" s="25" t="s">
        <v>597</v>
      </c>
      <c r="G919" s="26">
        <v>0.3</v>
      </c>
      <c r="H919" s="26"/>
      <c r="I919" s="26">
        <v>0</v>
      </c>
      <c r="J919" s="27">
        <v>5.6</v>
      </c>
      <c r="M919" s="28">
        <f t="shared" si="8"/>
        <v>0</v>
      </c>
      <c r="P919" s="27">
        <v>5.6</v>
      </c>
      <c r="S919" s="28">
        <f t="shared" si="9"/>
        <v>0</v>
      </c>
    </row>
    <row r="920" spans="1:21" ht="18" x14ac:dyDescent="0.3">
      <c r="A920" s="10" t="s">
        <v>2958</v>
      </c>
      <c r="B920" s="10"/>
      <c r="C920" s="30" t="s">
        <v>2959</v>
      </c>
      <c r="D920" s="15"/>
      <c r="E920" s="15"/>
      <c r="F920" s="25" t="s">
        <v>597</v>
      </c>
      <c r="G920" s="26">
        <v>3.6</v>
      </c>
      <c r="H920" s="26"/>
      <c r="I920" s="26">
        <v>0</v>
      </c>
      <c r="J920" s="27">
        <v>15.9</v>
      </c>
      <c r="M920" s="28">
        <f t="shared" si="8"/>
        <v>0</v>
      </c>
      <c r="P920" s="27">
        <v>15.9</v>
      </c>
      <c r="S920" s="28">
        <f t="shared" si="9"/>
        <v>0</v>
      </c>
    </row>
    <row r="921" spans="1:21" ht="18" x14ac:dyDescent="0.3">
      <c r="A921" s="10" t="s">
        <v>2963</v>
      </c>
      <c r="B921" s="10"/>
      <c r="C921" s="24" t="s">
        <v>2964</v>
      </c>
      <c r="D921" s="15"/>
      <c r="E921" s="15"/>
      <c r="F921" s="25" t="s">
        <v>102</v>
      </c>
      <c r="G921" s="26">
        <v>1.2</v>
      </c>
      <c r="H921" s="26"/>
      <c r="I921" s="26">
        <v>0</v>
      </c>
      <c r="J921" s="27">
        <v>22.82</v>
      </c>
      <c r="M921" s="28">
        <f t="shared" si="8"/>
        <v>0</v>
      </c>
      <c r="P921" s="27">
        <v>22.82</v>
      </c>
      <c r="S921" s="28">
        <f t="shared" si="9"/>
        <v>0</v>
      </c>
    </row>
    <row r="922" spans="1:21" ht="18" x14ac:dyDescent="0.3">
      <c r="A922" s="10" t="s">
        <v>2968</v>
      </c>
      <c r="B922" s="10"/>
      <c r="C922" s="24" t="s">
        <v>2879</v>
      </c>
      <c r="D922" s="15"/>
      <c r="E922" s="15"/>
      <c r="F922" s="25" t="s">
        <v>102</v>
      </c>
      <c r="G922" s="26">
        <v>4.7</v>
      </c>
      <c r="H922" s="26"/>
      <c r="I922" s="26">
        <v>0</v>
      </c>
      <c r="J922" s="27">
        <v>66.98</v>
      </c>
      <c r="M922" s="28">
        <f t="shared" si="8"/>
        <v>0</v>
      </c>
      <c r="P922" s="27">
        <v>66.98</v>
      </c>
      <c r="S922" s="28">
        <f t="shared" si="9"/>
        <v>0</v>
      </c>
    </row>
    <row r="923" spans="1:21" ht="18" x14ac:dyDescent="0.3">
      <c r="A923" s="10" t="s">
        <v>2971</v>
      </c>
      <c r="B923" s="10"/>
      <c r="C923" s="30" t="s">
        <v>2972</v>
      </c>
      <c r="D923" s="15"/>
      <c r="E923" s="15"/>
      <c r="F923" s="25" t="s">
        <v>597</v>
      </c>
      <c r="G923" s="26">
        <v>4.2</v>
      </c>
      <c r="H923" s="26"/>
      <c r="I923" s="26">
        <v>0</v>
      </c>
      <c r="J923" s="27">
        <v>4.92</v>
      </c>
      <c r="M923" s="28">
        <f t="shared" si="8"/>
        <v>0</v>
      </c>
      <c r="P923" s="27">
        <v>4.92</v>
      </c>
      <c r="S923" s="28">
        <f t="shared" si="9"/>
        <v>0</v>
      </c>
    </row>
    <row r="924" spans="1:21" ht="18" x14ac:dyDescent="0.3">
      <c r="A924" s="10" t="s">
        <v>2976</v>
      </c>
      <c r="B924" s="10"/>
      <c r="C924" s="24" t="s">
        <v>2470</v>
      </c>
      <c r="D924" s="15"/>
      <c r="E924" s="15"/>
      <c r="F924" s="25" t="s">
        <v>62</v>
      </c>
      <c r="G924" s="26">
        <v>1.05</v>
      </c>
      <c r="H924" s="26"/>
      <c r="I924" s="26">
        <v>0</v>
      </c>
      <c r="J924" s="27">
        <v>0</v>
      </c>
      <c r="M924" s="28">
        <f t="shared" si="8"/>
        <v>0</v>
      </c>
      <c r="P924" s="27">
        <v>1520.33</v>
      </c>
      <c r="S924" s="28">
        <f t="shared" si="9"/>
        <v>0</v>
      </c>
    </row>
    <row r="925" spans="1:21" ht="18" x14ac:dyDescent="0.3">
      <c r="A925" s="10" t="s">
        <v>2979</v>
      </c>
      <c r="B925" s="10"/>
      <c r="C925" s="24" t="s">
        <v>2887</v>
      </c>
      <c r="D925" s="15"/>
      <c r="E925" s="15"/>
      <c r="F925" s="25" t="s">
        <v>102</v>
      </c>
      <c r="G925" s="26">
        <v>1.05</v>
      </c>
      <c r="H925" s="26"/>
      <c r="I925" s="26">
        <v>0</v>
      </c>
      <c r="J925" s="27">
        <v>4.5999999999999996</v>
      </c>
      <c r="M925" s="28">
        <f t="shared" si="8"/>
        <v>0</v>
      </c>
      <c r="P925" s="27">
        <v>4.5999999999999996</v>
      </c>
      <c r="S925" s="28">
        <f t="shared" si="9"/>
        <v>0</v>
      </c>
    </row>
    <row r="926" spans="1:21" ht="18" x14ac:dyDescent="0.3">
      <c r="A926" s="10" t="s">
        <v>2982</v>
      </c>
      <c r="B926" s="10"/>
      <c r="C926" s="24" t="s">
        <v>2983</v>
      </c>
      <c r="D926" s="15"/>
      <c r="E926" s="15"/>
      <c r="F926" s="25" t="s">
        <v>102</v>
      </c>
      <c r="G926" s="26">
        <v>0.25</v>
      </c>
      <c r="H926" s="26"/>
      <c r="I926" s="26">
        <v>0</v>
      </c>
      <c r="J926" s="27">
        <v>2.8</v>
      </c>
      <c r="M926" s="28">
        <f t="shared" si="8"/>
        <v>0</v>
      </c>
      <c r="P926" s="27">
        <v>2.8</v>
      </c>
      <c r="S926" s="28">
        <f t="shared" si="9"/>
        <v>0</v>
      </c>
    </row>
    <row r="927" spans="1:21" ht="18" x14ac:dyDescent="0.3">
      <c r="A927" s="10" t="s">
        <v>2987</v>
      </c>
      <c r="B927" s="10"/>
      <c r="C927" s="24" t="s">
        <v>304</v>
      </c>
      <c r="D927" s="15"/>
      <c r="E927" s="15"/>
      <c r="F927" s="25" t="s">
        <v>278</v>
      </c>
      <c r="G927" s="26">
        <v>0.1</v>
      </c>
      <c r="H927" s="26"/>
      <c r="I927" s="26">
        <v>0</v>
      </c>
      <c r="J927" s="27">
        <v>88.8</v>
      </c>
      <c r="M927" s="28">
        <f t="shared" si="8"/>
        <v>0</v>
      </c>
      <c r="P927" s="27">
        <v>88.8</v>
      </c>
      <c r="S927" s="28">
        <f t="shared" si="9"/>
        <v>0</v>
      </c>
    </row>
    <row r="928" spans="1:21" ht="18" x14ac:dyDescent="0.3">
      <c r="A928" s="10" t="s">
        <v>2990</v>
      </c>
      <c r="B928" s="10"/>
      <c r="C928" s="24" t="s">
        <v>2892</v>
      </c>
      <c r="D928" s="15"/>
      <c r="E928" s="15"/>
      <c r="F928" s="25" t="s">
        <v>597</v>
      </c>
      <c r="G928" s="26">
        <v>0.75</v>
      </c>
      <c r="H928" s="26"/>
      <c r="I928" s="26">
        <v>0</v>
      </c>
      <c r="J928" s="27">
        <v>2.8</v>
      </c>
      <c r="M928" s="28">
        <f t="shared" si="8"/>
        <v>0</v>
      </c>
      <c r="P928" s="27">
        <v>2.8</v>
      </c>
      <c r="S928" s="28">
        <f t="shared" si="9"/>
        <v>0</v>
      </c>
    </row>
    <row r="929" spans="1:21" ht="103.05" customHeight="1" x14ac:dyDescent="0.3">
      <c r="A929" s="10" t="s">
        <v>2993</v>
      </c>
      <c r="B929" s="10" t="s">
        <v>2940</v>
      </c>
      <c r="C929" s="14" t="s">
        <v>2941</v>
      </c>
      <c r="D929" s="15"/>
      <c r="E929" s="15" t="s">
        <v>2994</v>
      </c>
      <c r="F929" s="15" t="s">
        <v>62</v>
      </c>
      <c r="G929" s="16">
        <v>1</v>
      </c>
      <c r="H929" s="16"/>
      <c r="I929" s="16">
        <v>921.3</v>
      </c>
      <c r="J929" s="17">
        <v>480.18</v>
      </c>
      <c r="K929" s="18">
        <v>1379</v>
      </c>
      <c r="L929" s="17">
        <f>J929+ROUND(K929, 2)</f>
        <v>1859.18</v>
      </c>
      <c r="M929" s="17">
        <v>442389.83</v>
      </c>
      <c r="N929" s="17">
        <v>1270472.7</v>
      </c>
      <c r="O929" s="17">
        <f>M929+N929</f>
        <v>1712862.53</v>
      </c>
      <c r="P929" s="17">
        <v>2076.5300000000002</v>
      </c>
      <c r="Q929" s="18">
        <v>2068.5</v>
      </c>
      <c r="R929" s="17">
        <f>P929+ROUND(Q929, 2)</f>
        <v>4145.0300000000007</v>
      </c>
      <c r="S929" s="17">
        <v>1913107.09</v>
      </c>
      <c r="T929" s="17">
        <v>1905709.05</v>
      </c>
      <c r="U929" s="17">
        <f>S929+T929</f>
        <v>3818816.14</v>
      </c>
    </row>
    <row r="930" spans="1:21" ht="18" x14ac:dyDescent="0.3">
      <c r="A930" s="10" t="s">
        <v>2995</v>
      </c>
      <c r="B930" s="10"/>
      <c r="C930" s="24" t="s">
        <v>2892</v>
      </c>
      <c r="D930" s="15"/>
      <c r="E930" s="15"/>
      <c r="F930" s="25" t="s">
        <v>597</v>
      </c>
      <c r="G930" s="26">
        <v>0.75</v>
      </c>
      <c r="H930" s="26"/>
      <c r="I930" s="26">
        <v>690.97500000000002</v>
      </c>
      <c r="J930" s="27">
        <v>2.8</v>
      </c>
      <c r="M930" s="28">
        <f t="shared" ref="M930:M942" si="10">ROUND(ROUND(J930, 2)*I930, 2)</f>
        <v>1934.73</v>
      </c>
      <c r="P930" s="27">
        <v>2.8</v>
      </c>
      <c r="S930" s="28">
        <f t="shared" ref="S930:S942" si="11">ROUND(ROUND(P930, 2)*I930, 2)</f>
        <v>1934.73</v>
      </c>
    </row>
    <row r="931" spans="1:21" ht="18" x14ac:dyDescent="0.3">
      <c r="A931" s="10" t="s">
        <v>2998</v>
      </c>
      <c r="B931" s="10"/>
      <c r="C931" s="24" t="s">
        <v>304</v>
      </c>
      <c r="D931" s="15"/>
      <c r="E931" s="15"/>
      <c r="F931" s="25" t="s">
        <v>278</v>
      </c>
      <c r="G931" s="26">
        <v>0.1</v>
      </c>
      <c r="H931" s="26"/>
      <c r="I931" s="26">
        <v>92.13</v>
      </c>
      <c r="J931" s="27">
        <v>88.8</v>
      </c>
      <c r="M931" s="28">
        <f t="shared" si="10"/>
        <v>8181.14</v>
      </c>
      <c r="P931" s="27">
        <v>88.8</v>
      </c>
      <c r="S931" s="28">
        <f t="shared" si="11"/>
        <v>8181.14</v>
      </c>
    </row>
    <row r="932" spans="1:21" ht="18" x14ac:dyDescent="0.3">
      <c r="A932" s="10" t="s">
        <v>3001</v>
      </c>
      <c r="B932" s="10"/>
      <c r="C932" s="24" t="s">
        <v>2983</v>
      </c>
      <c r="D932" s="15"/>
      <c r="E932" s="15"/>
      <c r="F932" s="25" t="s">
        <v>102</v>
      </c>
      <c r="G932" s="26">
        <v>0.25</v>
      </c>
      <c r="H932" s="26"/>
      <c r="I932" s="26">
        <v>230.32499999999999</v>
      </c>
      <c r="J932" s="27">
        <v>2.8</v>
      </c>
      <c r="M932" s="28">
        <f t="shared" si="10"/>
        <v>644.91</v>
      </c>
      <c r="P932" s="27">
        <v>2.8</v>
      </c>
      <c r="S932" s="28">
        <f t="shared" si="11"/>
        <v>644.91</v>
      </c>
    </row>
    <row r="933" spans="1:21" ht="18" x14ac:dyDescent="0.3">
      <c r="A933" s="10" t="s">
        <v>3004</v>
      </c>
      <c r="B933" s="10"/>
      <c r="C933" s="24" t="s">
        <v>2887</v>
      </c>
      <c r="D933" s="15"/>
      <c r="E933" s="15"/>
      <c r="F933" s="25" t="s">
        <v>102</v>
      </c>
      <c r="G933" s="26">
        <v>1.05</v>
      </c>
      <c r="H933" s="26"/>
      <c r="I933" s="26">
        <v>967.36500000000001</v>
      </c>
      <c r="J933" s="27">
        <v>4.5999999999999996</v>
      </c>
      <c r="M933" s="28">
        <f t="shared" si="10"/>
        <v>4449.88</v>
      </c>
      <c r="P933" s="27">
        <v>4.5999999999999996</v>
      </c>
      <c r="S933" s="28">
        <f t="shared" si="11"/>
        <v>4449.88</v>
      </c>
    </row>
    <row r="934" spans="1:21" ht="18" x14ac:dyDescent="0.3">
      <c r="A934" s="10" t="s">
        <v>3007</v>
      </c>
      <c r="B934" s="10"/>
      <c r="C934" s="24" t="s">
        <v>2470</v>
      </c>
      <c r="D934" s="15"/>
      <c r="E934" s="15"/>
      <c r="F934" s="25" t="s">
        <v>62</v>
      </c>
      <c r="G934" s="26">
        <v>1.05</v>
      </c>
      <c r="H934" s="26"/>
      <c r="I934" s="26">
        <v>967.36500000000001</v>
      </c>
      <c r="J934" s="27">
        <v>0</v>
      </c>
      <c r="M934" s="28">
        <f t="shared" si="10"/>
        <v>0</v>
      </c>
      <c r="P934" s="27">
        <v>1520.33</v>
      </c>
      <c r="S934" s="28">
        <f t="shared" si="11"/>
        <v>1470714.03</v>
      </c>
    </row>
    <row r="935" spans="1:21" ht="18" x14ac:dyDescent="0.3">
      <c r="A935" s="10" t="s">
        <v>3010</v>
      </c>
      <c r="B935" s="10"/>
      <c r="C935" s="30" t="s">
        <v>2972</v>
      </c>
      <c r="D935" s="15"/>
      <c r="E935" s="15"/>
      <c r="F935" s="25" t="s">
        <v>597</v>
      </c>
      <c r="G935" s="26">
        <v>4.2</v>
      </c>
      <c r="H935" s="26"/>
      <c r="I935" s="26">
        <v>3869.46</v>
      </c>
      <c r="J935" s="27">
        <v>4.92</v>
      </c>
      <c r="M935" s="28">
        <f t="shared" si="10"/>
        <v>19037.740000000002</v>
      </c>
      <c r="P935" s="27">
        <v>4.92</v>
      </c>
      <c r="S935" s="28">
        <f t="shared" si="11"/>
        <v>19037.740000000002</v>
      </c>
    </row>
    <row r="936" spans="1:21" ht="18" x14ac:dyDescent="0.3">
      <c r="A936" s="10" t="s">
        <v>3013</v>
      </c>
      <c r="B936" s="10"/>
      <c r="C936" s="24" t="s">
        <v>2964</v>
      </c>
      <c r="D936" s="15"/>
      <c r="E936" s="15"/>
      <c r="F936" s="25" t="s">
        <v>102</v>
      </c>
      <c r="G936" s="26">
        <v>1.2</v>
      </c>
      <c r="H936" s="26"/>
      <c r="I936" s="26">
        <v>1105.56</v>
      </c>
      <c r="J936" s="27">
        <v>22.82</v>
      </c>
      <c r="M936" s="28">
        <f t="shared" si="10"/>
        <v>25228.880000000001</v>
      </c>
      <c r="P936" s="27">
        <v>22.82</v>
      </c>
      <c r="S936" s="28">
        <f t="shared" si="11"/>
        <v>25228.880000000001</v>
      </c>
    </row>
    <row r="937" spans="1:21" ht="18" x14ac:dyDescent="0.3">
      <c r="A937" s="10" t="s">
        <v>3016</v>
      </c>
      <c r="B937" s="10"/>
      <c r="C937" s="24" t="s">
        <v>2879</v>
      </c>
      <c r="D937" s="15"/>
      <c r="E937" s="15"/>
      <c r="F937" s="25" t="s">
        <v>102</v>
      </c>
      <c r="G937" s="26">
        <v>4.7</v>
      </c>
      <c r="H937" s="26"/>
      <c r="I937" s="26">
        <v>4330.1099999999997</v>
      </c>
      <c r="J937" s="27">
        <v>66.98</v>
      </c>
      <c r="M937" s="28">
        <f t="shared" si="10"/>
        <v>290030.77</v>
      </c>
      <c r="P937" s="27">
        <v>66.98</v>
      </c>
      <c r="S937" s="28">
        <f t="shared" si="11"/>
        <v>290030.77</v>
      </c>
    </row>
    <row r="938" spans="1:21" ht="18" x14ac:dyDescent="0.3">
      <c r="A938" s="10" t="s">
        <v>3019</v>
      </c>
      <c r="B938" s="10"/>
      <c r="C938" s="30" t="s">
        <v>2959</v>
      </c>
      <c r="D938" s="15"/>
      <c r="E938" s="15"/>
      <c r="F938" s="25" t="s">
        <v>597</v>
      </c>
      <c r="G938" s="26">
        <v>3.6</v>
      </c>
      <c r="H938" s="26"/>
      <c r="I938" s="26">
        <v>3316.68</v>
      </c>
      <c r="J938" s="27">
        <v>15.9</v>
      </c>
      <c r="M938" s="28">
        <f t="shared" si="10"/>
        <v>52735.21</v>
      </c>
      <c r="P938" s="27">
        <v>15.9</v>
      </c>
      <c r="S938" s="28">
        <f t="shared" si="11"/>
        <v>52735.21</v>
      </c>
    </row>
    <row r="939" spans="1:21" ht="18" x14ac:dyDescent="0.3">
      <c r="A939" s="10" t="s">
        <v>3022</v>
      </c>
      <c r="B939" s="10"/>
      <c r="C939" s="24" t="s">
        <v>2864</v>
      </c>
      <c r="D939" s="15"/>
      <c r="E939" s="15"/>
      <c r="F939" s="25" t="s">
        <v>597</v>
      </c>
      <c r="G939" s="26">
        <v>0.3</v>
      </c>
      <c r="H939" s="26"/>
      <c r="I939" s="26">
        <v>276.39</v>
      </c>
      <c r="J939" s="27">
        <v>5.6</v>
      </c>
      <c r="M939" s="28">
        <f t="shared" si="10"/>
        <v>1547.78</v>
      </c>
      <c r="P939" s="27">
        <v>5.6</v>
      </c>
      <c r="S939" s="28">
        <f t="shared" si="11"/>
        <v>1547.78</v>
      </c>
    </row>
    <row r="940" spans="1:21" ht="18" x14ac:dyDescent="0.3">
      <c r="A940" s="10" t="s">
        <v>3025</v>
      </c>
      <c r="B940" s="10"/>
      <c r="C940" s="24" t="s">
        <v>2951</v>
      </c>
      <c r="D940" s="15"/>
      <c r="E940" s="15"/>
      <c r="F940" s="25" t="s">
        <v>278</v>
      </c>
      <c r="G940" s="26">
        <v>0.35</v>
      </c>
      <c r="H940" s="26"/>
      <c r="I940" s="26">
        <v>322.45499999999998</v>
      </c>
      <c r="J940" s="27">
        <v>55</v>
      </c>
      <c r="M940" s="28">
        <f t="shared" si="10"/>
        <v>17735.03</v>
      </c>
      <c r="P940" s="27">
        <v>55</v>
      </c>
      <c r="S940" s="28">
        <f t="shared" si="11"/>
        <v>17735.03</v>
      </c>
    </row>
    <row r="941" spans="1:21" ht="18" x14ac:dyDescent="0.3">
      <c r="A941" s="10" t="s">
        <v>3028</v>
      </c>
      <c r="B941" s="10"/>
      <c r="C941" s="24" t="s">
        <v>2859</v>
      </c>
      <c r="D941" s="15"/>
      <c r="E941" s="15"/>
      <c r="F941" s="25" t="s">
        <v>597</v>
      </c>
      <c r="G941" s="26">
        <v>30</v>
      </c>
      <c r="H941" s="26"/>
      <c r="I941" s="26">
        <v>27639</v>
      </c>
      <c r="J941" s="27">
        <v>0.28000000000000003</v>
      </c>
      <c r="M941" s="28">
        <f t="shared" si="10"/>
        <v>7738.92</v>
      </c>
      <c r="P941" s="27">
        <v>0.28000000000000003</v>
      </c>
      <c r="S941" s="28">
        <f t="shared" si="11"/>
        <v>7738.92</v>
      </c>
    </row>
    <row r="942" spans="1:21" ht="18" x14ac:dyDescent="0.3">
      <c r="A942" s="10" t="s">
        <v>3031</v>
      </c>
      <c r="B942" s="10"/>
      <c r="C942" s="24" t="s">
        <v>2854</v>
      </c>
      <c r="D942" s="15"/>
      <c r="E942" s="15"/>
      <c r="F942" s="25" t="s">
        <v>597</v>
      </c>
      <c r="G942" s="26">
        <v>15</v>
      </c>
      <c r="H942" s="26"/>
      <c r="I942" s="26">
        <v>13819.5</v>
      </c>
      <c r="J942" s="27">
        <v>0.95</v>
      </c>
      <c r="M942" s="28">
        <f t="shared" si="10"/>
        <v>13128.53</v>
      </c>
      <c r="P942" s="27">
        <v>0.95</v>
      </c>
      <c r="S942" s="28">
        <f t="shared" si="11"/>
        <v>13128.53</v>
      </c>
    </row>
    <row r="943" spans="1:21" ht="18" x14ac:dyDescent="0.3">
      <c r="A943" s="10" t="s">
        <v>3034</v>
      </c>
      <c r="B943" s="10" t="s">
        <v>3035</v>
      </c>
      <c r="C943" s="14" t="s">
        <v>3036</v>
      </c>
      <c r="D943" s="15"/>
      <c r="E943" s="15"/>
      <c r="F943" s="15" t="s">
        <v>62</v>
      </c>
      <c r="G943" s="16">
        <v>1</v>
      </c>
      <c r="H943" s="16"/>
      <c r="I943" s="16">
        <v>0</v>
      </c>
      <c r="J943" s="17">
        <v>0</v>
      </c>
      <c r="K943" s="18">
        <v>963</v>
      </c>
      <c r="L943" s="17">
        <f>J943+ROUND(K943, 2)</f>
        <v>963</v>
      </c>
      <c r="M943" s="17">
        <v>0</v>
      </c>
      <c r="N943" s="17">
        <v>0</v>
      </c>
      <c r="O943" s="17">
        <f>M943+N943</f>
        <v>0</v>
      </c>
      <c r="P943" s="17">
        <v>902.98</v>
      </c>
      <c r="Q943" s="18">
        <v>963</v>
      </c>
      <c r="R943" s="17">
        <f>P943+ROUND(Q943, 2)</f>
        <v>1865.98</v>
      </c>
      <c r="S943" s="17">
        <v>0</v>
      </c>
      <c r="T943" s="17">
        <v>0</v>
      </c>
      <c r="U943" s="17">
        <f>S943+T943</f>
        <v>0</v>
      </c>
    </row>
    <row r="944" spans="1:21" ht="18" x14ac:dyDescent="0.3">
      <c r="A944" s="10" t="s">
        <v>3039</v>
      </c>
      <c r="B944" s="10"/>
      <c r="C944" s="30" t="s">
        <v>3040</v>
      </c>
      <c r="D944" s="15"/>
      <c r="E944" s="15"/>
      <c r="F944" s="25" t="s">
        <v>62</v>
      </c>
      <c r="G944" s="26">
        <v>1.1000000000000001</v>
      </c>
      <c r="H944" s="31"/>
      <c r="I944" s="31">
        <v>0</v>
      </c>
      <c r="J944" s="27">
        <v>820.89</v>
      </c>
      <c r="M944" s="28">
        <f>ROUND(ROUND(J944, 2)*I944, 2)</f>
        <v>0</v>
      </c>
      <c r="P944" s="27">
        <v>820.89</v>
      </c>
      <c r="S944" s="28">
        <f>ROUND(ROUND(P944, 2)*I944, 2)</f>
        <v>0</v>
      </c>
    </row>
    <row r="945" spans="1:21" ht="18" x14ac:dyDescent="0.3">
      <c r="A945" s="10" t="s">
        <v>3044</v>
      </c>
      <c r="B945" s="10" t="s">
        <v>3035</v>
      </c>
      <c r="C945" s="14" t="s">
        <v>3036</v>
      </c>
      <c r="D945" s="15"/>
      <c r="E945" s="15"/>
      <c r="F945" s="15" t="s">
        <v>62</v>
      </c>
      <c r="G945" s="16">
        <v>1</v>
      </c>
      <c r="H945" s="16"/>
      <c r="I945" s="16">
        <v>0</v>
      </c>
      <c r="J945" s="17">
        <v>0</v>
      </c>
      <c r="K945" s="18">
        <v>963</v>
      </c>
      <c r="L945" s="17">
        <f>J945+ROUND(K945, 2)</f>
        <v>963</v>
      </c>
      <c r="M945" s="17">
        <v>0</v>
      </c>
      <c r="N945" s="17">
        <v>0</v>
      </c>
      <c r="O945" s="17">
        <f>M945+N945</f>
        <v>0</v>
      </c>
      <c r="P945" s="17">
        <v>855.89</v>
      </c>
      <c r="Q945" s="18">
        <v>963</v>
      </c>
      <c r="R945" s="17">
        <f>P945+ROUND(Q945, 2)</f>
        <v>1818.8899999999999</v>
      </c>
      <c r="S945" s="17">
        <v>0</v>
      </c>
      <c r="T945" s="17">
        <v>0</v>
      </c>
      <c r="U945" s="17">
        <f>S945+T945</f>
        <v>0</v>
      </c>
    </row>
    <row r="946" spans="1:21" ht="18" x14ac:dyDescent="0.3">
      <c r="A946" s="10" t="s">
        <v>3045</v>
      </c>
      <c r="B946" s="10"/>
      <c r="C946" s="30" t="s">
        <v>3046</v>
      </c>
      <c r="D946" s="15"/>
      <c r="E946" s="15"/>
      <c r="F946" s="25" t="s">
        <v>62</v>
      </c>
      <c r="G946" s="26">
        <v>1.1000000000000001</v>
      </c>
      <c r="H946" s="31"/>
      <c r="I946" s="31">
        <v>0</v>
      </c>
      <c r="J946" s="27">
        <v>778.08</v>
      </c>
      <c r="M946" s="28">
        <f>ROUND(ROUND(J946, 2)*I946, 2)</f>
        <v>0</v>
      </c>
      <c r="P946" s="27">
        <v>778.08</v>
      </c>
      <c r="S946" s="28">
        <f>ROUND(ROUND(P946, 2)*I946, 2)</f>
        <v>0</v>
      </c>
    </row>
    <row r="947" spans="1:21" ht="18" x14ac:dyDescent="0.3">
      <c r="A947" s="10" t="s">
        <v>3050</v>
      </c>
      <c r="B947" s="10" t="s">
        <v>3035</v>
      </c>
      <c r="C947" s="14" t="s">
        <v>3036</v>
      </c>
      <c r="D947" s="15"/>
      <c r="E947" s="15"/>
      <c r="F947" s="15" t="s">
        <v>62</v>
      </c>
      <c r="G947" s="16">
        <v>1</v>
      </c>
      <c r="H947" s="16"/>
      <c r="I947" s="16">
        <v>0</v>
      </c>
      <c r="J947" s="17">
        <v>0</v>
      </c>
      <c r="K947" s="18">
        <v>963</v>
      </c>
      <c r="L947" s="17">
        <f>J947+ROUND(K947, 2)</f>
        <v>963</v>
      </c>
      <c r="M947" s="17">
        <v>0</v>
      </c>
      <c r="N947" s="17">
        <v>0</v>
      </c>
      <c r="O947" s="17">
        <f>M947+N947</f>
        <v>0</v>
      </c>
      <c r="P947" s="17">
        <v>855.89</v>
      </c>
      <c r="Q947" s="18">
        <v>963</v>
      </c>
      <c r="R947" s="17">
        <f>P947+ROUND(Q947, 2)</f>
        <v>1818.8899999999999</v>
      </c>
      <c r="S947" s="17">
        <v>0</v>
      </c>
      <c r="T947" s="17">
        <v>0</v>
      </c>
      <c r="U947" s="17">
        <f>S947+T947</f>
        <v>0</v>
      </c>
    </row>
    <row r="948" spans="1:21" ht="18" x14ac:dyDescent="0.3">
      <c r="A948" s="10" t="s">
        <v>3051</v>
      </c>
      <c r="B948" s="10"/>
      <c r="C948" s="30" t="s">
        <v>3046</v>
      </c>
      <c r="D948" s="15"/>
      <c r="E948" s="15"/>
      <c r="F948" s="25" t="s">
        <v>62</v>
      </c>
      <c r="G948" s="26">
        <v>1.1000000000000001</v>
      </c>
      <c r="H948" s="31"/>
      <c r="I948" s="31">
        <v>0</v>
      </c>
      <c r="J948" s="27">
        <v>778.08</v>
      </c>
      <c r="M948" s="28">
        <f>ROUND(ROUND(J948, 2)*I948, 2)</f>
        <v>0</v>
      </c>
      <c r="P948" s="27">
        <v>778.08</v>
      </c>
      <c r="S948" s="28">
        <f>ROUND(ROUND(P948, 2)*I948, 2)</f>
        <v>0</v>
      </c>
    </row>
    <row r="949" spans="1:21" ht="18" x14ac:dyDescent="0.3">
      <c r="A949" s="10" t="s">
        <v>3054</v>
      </c>
      <c r="B949" s="10" t="s">
        <v>3035</v>
      </c>
      <c r="C949" s="14" t="s">
        <v>3036</v>
      </c>
      <c r="D949" s="15"/>
      <c r="E949" s="15"/>
      <c r="F949" s="15" t="s">
        <v>62</v>
      </c>
      <c r="G949" s="16">
        <v>1</v>
      </c>
      <c r="H949" s="16"/>
      <c r="I949" s="16">
        <v>0</v>
      </c>
      <c r="J949" s="17">
        <v>0</v>
      </c>
      <c r="K949" s="18">
        <v>963</v>
      </c>
      <c r="L949" s="17">
        <f>J949+ROUND(K949, 2)</f>
        <v>963</v>
      </c>
      <c r="M949" s="17">
        <v>0</v>
      </c>
      <c r="N949" s="17">
        <v>0</v>
      </c>
      <c r="O949" s="17">
        <f>M949+N949</f>
        <v>0</v>
      </c>
      <c r="P949" s="17">
        <v>855</v>
      </c>
      <c r="Q949" s="18">
        <v>963</v>
      </c>
      <c r="R949" s="17">
        <f>P949+ROUND(Q949, 2)</f>
        <v>1818</v>
      </c>
      <c r="S949" s="17">
        <v>0</v>
      </c>
      <c r="T949" s="17">
        <v>0</v>
      </c>
      <c r="U949" s="17">
        <f>S949+T949</f>
        <v>0</v>
      </c>
    </row>
    <row r="950" spans="1:21" ht="18" x14ac:dyDescent="0.3">
      <c r="A950" s="10" t="s">
        <v>3055</v>
      </c>
      <c r="B950" s="10"/>
      <c r="C950" s="24" t="s">
        <v>3056</v>
      </c>
      <c r="D950" s="15"/>
      <c r="E950" s="15"/>
      <c r="F950" s="25" t="s">
        <v>62</v>
      </c>
      <c r="G950" s="26">
        <v>1</v>
      </c>
      <c r="H950" s="31"/>
      <c r="I950" s="31">
        <v>0</v>
      </c>
      <c r="J950" s="27">
        <v>0</v>
      </c>
      <c r="M950" s="28">
        <f>ROUND(ROUND(J950, 2)*I950, 2)</f>
        <v>0</v>
      </c>
      <c r="P950" s="27">
        <v>855</v>
      </c>
      <c r="S950" s="28">
        <f>ROUND(ROUND(P950, 2)*I950, 2)</f>
        <v>0</v>
      </c>
    </row>
    <row r="951" spans="1:21" ht="54" x14ac:dyDescent="0.3">
      <c r="A951" s="10" t="s">
        <v>3060</v>
      </c>
      <c r="B951" s="10" t="s">
        <v>3035</v>
      </c>
      <c r="C951" s="14" t="s">
        <v>3036</v>
      </c>
      <c r="D951" s="15"/>
      <c r="E951" s="15" t="s">
        <v>3061</v>
      </c>
      <c r="F951" s="15" t="s">
        <v>62</v>
      </c>
      <c r="G951" s="16">
        <v>1</v>
      </c>
      <c r="H951" s="16"/>
      <c r="I951" s="16">
        <v>716.1</v>
      </c>
      <c r="J951" s="17">
        <v>902.99</v>
      </c>
      <c r="K951" s="18">
        <v>963</v>
      </c>
      <c r="L951" s="17">
        <f>J951+ROUND(K951, 2)</f>
        <v>1865.99</v>
      </c>
      <c r="M951" s="17">
        <v>646631.14</v>
      </c>
      <c r="N951" s="17">
        <v>689604.3</v>
      </c>
      <c r="O951" s="17">
        <f>M951+N951</f>
        <v>1336235.44</v>
      </c>
      <c r="P951" s="17">
        <v>902.98</v>
      </c>
      <c r="Q951" s="18">
        <v>1444.5</v>
      </c>
      <c r="R951" s="17">
        <f>P951+ROUND(Q951, 2)</f>
        <v>2347.48</v>
      </c>
      <c r="S951" s="17">
        <v>646623.98</v>
      </c>
      <c r="T951" s="17">
        <v>1034406.45</v>
      </c>
      <c r="U951" s="17">
        <f>S951+T951</f>
        <v>1681030.43</v>
      </c>
    </row>
    <row r="952" spans="1:21" ht="18" x14ac:dyDescent="0.3">
      <c r="A952" s="10" t="s">
        <v>3062</v>
      </c>
      <c r="B952" s="10"/>
      <c r="C952" s="30" t="s">
        <v>3040</v>
      </c>
      <c r="D952" s="15"/>
      <c r="E952" s="15"/>
      <c r="F952" s="25" t="s">
        <v>62</v>
      </c>
      <c r="G952" s="26">
        <v>1.1000000000000001</v>
      </c>
      <c r="H952" s="31"/>
      <c r="I952" s="31">
        <v>787.71</v>
      </c>
      <c r="J952" s="27">
        <v>820.9</v>
      </c>
      <c r="M952" s="28">
        <f>ROUND(ROUND(J952, 2)*I952, 2)</f>
        <v>646631.14</v>
      </c>
      <c r="P952" s="27">
        <v>820.89</v>
      </c>
      <c r="S952" s="28">
        <f>ROUND(ROUND(P952, 2)*I952, 2)</f>
        <v>646623.26</v>
      </c>
    </row>
    <row r="953" spans="1:21" ht="72" x14ac:dyDescent="0.3">
      <c r="A953" s="10" t="s">
        <v>3065</v>
      </c>
      <c r="B953" s="10" t="s">
        <v>3035</v>
      </c>
      <c r="C953" s="14" t="s">
        <v>3036</v>
      </c>
      <c r="D953" s="15"/>
      <c r="E953" s="15" t="s">
        <v>3066</v>
      </c>
      <c r="F953" s="15" t="s">
        <v>62</v>
      </c>
      <c r="G953" s="16">
        <v>1</v>
      </c>
      <c r="H953" s="16"/>
      <c r="I953" s="16">
        <v>1176</v>
      </c>
      <c r="J953" s="17">
        <v>855.89</v>
      </c>
      <c r="K953" s="18">
        <v>963</v>
      </c>
      <c r="L953" s="17">
        <f>J953+ROUND(K953, 2)</f>
        <v>1818.8899999999999</v>
      </c>
      <c r="M953" s="17">
        <v>1006526.64</v>
      </c>
      <c r="N953" s="17">
        <v>1132488</v>
      </c>
      <c r="O953" s="17">
        <f>M953+N953</f>
        <v>2139014.64</v>
      </c>
      <c r="P953" s="17">
        <v>855.89</v>
      </c>
      <c r="Q953" s="18">
        <v>1444.5</v>
      </c>
      <c r="R953" s="17">
        <f>P953+ROUND(Q953, 2)</f>
        <v>2300.39</v>
      </c>
      <c r="S953" s="17">
        <v>1006526.64</v>
      </c>
      <c r="T953" s="17">
        <v>1698732</v>
      </c>
      <c r="U953" s="17">
        <f>S953+T953</f>
        <v>2705258.64</v>
      </c>
    </row>
    <row r="954" spans="1:21" ht="18" x14ac:dyDescent="0.3">
      <c r="A954" s="10" t="s">
        <v>3067</v>
      </c>
      <c r="B954" s="10"/>
      <c r="C954" s="30" t="s">
        <v>3046</v>
      </c>
      <c r="D954" s="15"/>
      <c r="E954" s="15"/>
      <c r="F954" s="25" t="s">
        <v>62</v>
      </c>
      <c r="G954" s="26">
        <v>1.1000000000000001</v>
      </c>
      <c r="H954" s="31"/>
      <c r="I954" s="31">
        <v>1293.5999999999999</v>
      </c>
      <c r="J954" s="27">
        <v>778.08</v>
      </c>
      <c r="M954" s="28">
        <f>ROUND(ROUND(J954, 2)*I954, 2)</f>
        <v>1006524.29</v>
      </c>
      <c r="P954" s="27">
        <v>778.08</v>
      </c>
      <c r="S954" s="28">
        <f>ROUND(ROUND(P954, 2)*I954, 2)</f>
        <v>1006524.29</v>
      </c>
    </row>
    <row r="955" spans="1:21" ht="90" x14ac:dyDescent="0.3">
      <c r="A955" s="10" t="s">
        <v>3070</v>
      </c>
      <c r="B955" s="10" t="s">
        <v>3035</v>
      </c>
      <c r="C955" s="14" t="s">
        <v>3036</v>
      </c>
      <c r="D955" s="15"/>
      <c r="E955" s="15" t="s">
        <v>3071</v>
      </c>
      <c r="F955" s="15" t="s">
        <v>62</v>
      </c>
      <c r="G955" s="16">
        <v>1</v>
      </c>
      <c r="H955" s="16"/>
      <c r="I955" s="16">
        <v>21.5</v>
      </c>
      <c r="J955" s="17">
        <v>855.89</v>
      </c>
      <c r="K955" s="18">
        <v>963</v>
      </c>
      <c r="L955" s="17">
        <f>J955+ROUND(K955, 2)</f>
        <v>1818.8899999999999</v>
      </c>
      <c r="M955" s="17">
        <v>18401.64</v>
      </c>
      <c r="N955" s="17">
        <v>20704.5</v>
      </c>
      <c r="O955" s="17">
        <f>M955+N955</f>
        <v>39106.14</v>
      </c>
      <c r="P955" s="17">
        <v>855.89</v>
      </c>
      <c r="Q955" s="18">
        <v>1444.5</v>
      </c>
      <c r="R955" s="17">
        <f>P955+ROUND(Q955, 2)</f>
        <v>2300.39</v>
      </c>
      <c r="S955" s="17">
        <v>18401.64</v>
      </c>
      <c r="T955" s="17">
        <v>31056.75</v>
      </c>
      <c r="U955" s="17">
        <f>S955+T955</f>
        <v>49458.39</v>
      </c>
    </row>
    <row r="956" spans="1:21" ht="18" x14ac:dyDescent="0.3">
      <c r="A956" s="10" t="s">
        <v>3072</v>
      </c>
      <c r="B956" s="10"/>
      <c r="C956" s="30" t="s">
        <v>3046</v>
      </c>
      <c r="D956" s="15"/>
      <c r="E956" s="15"/>
      <c r="F956" s="25" t="s">
        <v>62</v>
      </c>
      <c r="G956" s="26">
        <v>1.1000000000000001</v>
      </c>
      <c r="H956" s="31"/>
      <c r="I956" s="31">
        <v>23.65</v>
      </c>
      <c r="J956" s="27">
        <v>778.08</v>
      </c>
      <c r="M956" s="28">
        <f>ROUND(ROUND(J956, 2)*I956, 2)</f>
        <v>18401.59</v>
      </c>
      <c r="P956" s="27">
        <v>778.08</v>
      </c>
      <c r="S956" s="28">
        <f>ROUND(ROUND(P956, 2)*I956, 2)</f>
        <v>18401.59</v>
      </c>
    </row>
    <row r="957" spans="1:21" ht="109.95" customHeight="1" x14ac:dyDescent="0.3">
      <c r="A957" s="10" t="s">
        <v>3075</v>
      </c>
      <c r="B957" s="10" t="s">
        <v>3035</v>
      </c>
      <c r="C957" s="14" t="s">
        <v>3036</v>
      </c>
      <c r="D957" s="15"/>
      <c r="E957" s="15" t="s">
        <v>3076</v>
      </c>
      <c r="F957" s="15" t="s">
        <v>62</v>
      </c>
      <c r="G957" s="16">
        <v>1</v>
      </c>
      <c r="H957" s="16"/>
      <c r="I957" s="16">
        <v>63.6</v>
      </c>
      <c r="J957" s="17">
        <v>0</v>
      </c>
      <c r="K957" s="18">
        <v>963</v>
      </c>
      <c r="L957" s="17">
        <f>J957+ROUND(K957, 2)</f>
        <v>963</v>
      </c>
      <c r="M957" s="17">
        <v>0</v>
      </c>
      <c r="N957" s="17">
        <v>61246.8</v>
      </c>
      <c r="O957" s="17">
        <f>M957+N957</f>
        <v>61246.8</v>
      </c>
      <c r="P957" s="17">
        <v>855</v>
      </c>
      <c r="Q957" s="18">
        <v>1444.5</v>
      </c>
      <c r="R957" s="17">
        <f>P957+ROUND(Q957, 2)</f>
        <v>2299.5</v>
      </c>
      <c r="S957" s="17">
        <v>54378</v>
      </c>
      <c r="T957" s="17">
        <v>91870.2</v>
      </c>
      <c r="U957" s="17">
        <f>S957+T957</f>
        <v>146248.20000000001</v>
      </c>
    </row>
    <row r="958" spans="1:21" ht="18" x14ac:dyDescent="0.3">
      <c r="A958" s="10" t="s">
        <v>3077</v>
      </c>
      <c r="B958" s="10"/>
      <c r="C958" s="24" t="s">
        <v>3056</v>
      </c>
      <c r="D958" s="15"/>
      <c r="E958" s="15"/>
      <c r="F958" s="25" t="s">
        <v>62</v>
      </c>
      <c r="G958" s="26">
        <v>1</v>
      </c>
      <c r="H958" s="31"/>
      <c r="I958" s="31">
        <v>63.6</v>
      </c>
      <c r="J958" s="27">
        <v>0</v>
      </c>
      <c r="M958" s="28">
        <f>ROUND(ROUND(J958, 2)*I958, 2)</f>
        <v>0</v>
      </c>
      <c r="P958" s="27">
        <v>855</v>
      </c>
      <c r="S958" s="28">
        <f>ROUND(ROUND(P958, 2)*I958, 2)</f>
        <v>54378</v>
      </c>
    </row>
    <row r="959" spans="1:21" ht="94.95" customHeight="1" x14ac:dyDescent="0.3">
      <c r="A959" s="10" t="s">
        <v>3080</v>
      </c>
      <c r="B959" s="10" t="s">
        <v>3035</v>
      </c>
      <c r="C959" s="14" t="s">
        <v>3036</v>
      </c>
      <c r="D959" s="15"/>
      <c r="E959" s="15" t="s">
        <v>3081</v>
      </c>
      <c r="F959" s="15" t="s">
        <v>62</v>
      </c>
      <c r="G959" s="16">
        <v>1</v>
      </c>
      <c r="H959" s="16"/>
      <c r="I959" s="16">
        <v>709.67</v>
      </c>
      <c r="J959" s="17">
        <f>IFERROR(ROUND(SUM(M960)/I959, 2),0)</f>
        <v>936.4</v>
      </c>
      <c r="K959" s="18">
        <v>962.99</v>
      </c>
      <c r="L959" s="17">
        <f>J959+ROUND(K959, 2)</f>
        <v>1899.3899999999999</v>
      </c>
      <c r="M959" s="17">
        <f>ROUND(J959*I959, 2)</f>
        <v>664534.99</v>
      </c>
      <c r="N959" s="17">
        <f>ROUND(I959*ROUND(K959, 2), 2)</f>
        <v>683405.11</v>
      </c>
      <c r="O959" s="17">
        <f>M959+N959</f>
        <v>1347940.1</v>
      </c>
      <c r="P959" s="17">
        <f>IFERROR(ROUND(SUM(S960)/I959, 2),0)</f>
        <v>1700.85</v>
      </c>
      <c r="Q959" s="19">
        <v>1444.5</v>
      </c>
      <c r="R959" s="17">
        <f>P959+ROUND(Q959, 2)</f>
        <v>3145.35</v>
      </c>
      <c r="S959" s="17">
        <f>ROUND(P959*I959, 2)</f>
        <v>1207042.22</v>
      </c>
      <c r="T959" s="17">
        <f>ROUND(I959*ROUND(Q959, 2), 2)</f>
        <v>1025118.32</v>
      </c>
      <c r="U959" s="17">
        <f>S959+T959</f>
        <v>2232160.54</v>
      </c>
    </row>
    <row r="960" spans="1:21" ht="18" x14ac:dyDescent="0.3">
      <c r="A960" s="10" t="s">
        <v>3082</v>
      </c>
      <c r="B960" s="10"/>
      <c r="C960" s="30" t="s">
        <v>3040</v>
      </c>
      <c r="D960" s="15"/>
      <c r="E960" s="15"/>
      <c r="F960" s="25" t="s">
        <v>62</v>
      </c>
      <c r="G960" s="26">
        <v>1.1000000000000001</v>
      </c>
      <c r="H960" s="31"/>
      <c r="I960" s="31">
        <v>780.63699999999994</v>
      </c>
      <c r="J960" s="27">
        <v>851.27</v>
      </c>
      <c r="M960" s="28">
        <f>ROUND(ROUND(J960, 2)*I960, 2)</f>
        <v>664532.86</v>
      </c>
      <c r="P960" s="29">
        <v>1546.23</v>
      </c>
      <c r="S960" s="28">
        <f>ROUND(ROUND(P960, 2)*I960, 2)</f>
        <v>1207044.3500000001</v>
      </c>
    </row>
    <row r="961" spans="1:21" ht="144" x14ac:dyDescent="0.3">
      <c r="A961" s="10" t="s">
        <v>3085</v>
      </c>
      <c r="B961" s="10" t="s">
        <v>3035</v>
      </c>
      <c r="C961" s="14" t="s">
        <v>3036</v>
      </c>
      <c r="D961" s="15"/>
      <c r="E961" s="15" t="s">
        <v>3086</v>
      </c>
      <c r="F961" s="15" t="s">
        <v>62</v>
      </c>
      <c r="G961" s="16">
        <v>1</v>
      </c>
      <c r="H961" s="16"/>
      <c r="I961" s="16">
        <v>1323.8</v>
      </c>
      <c r="J961" s="17">
        <f>IFERROR(ROUND(SUM(M962)/I961, 2),0)</f>
        <v>887.56</v>
      </c>
      <c r="K961" s="18">
        <v>962.99</v>
      </c>
      <c r="L961" s="17">
        <f>J961+ROUND(K961, 2)</f>
        <v>1850.55</v>
      </c>
      <c r="M961" s="17">
        <f>ROUND(J961*I961, 2)</f>
        <v>1174951.93</v>
      </c>
      <c r="N961" s="17">
        <f>ROUND(I961*ROUND(K961, 2), 2)</f>
        <v>1274806.1599999999</v>
      </c>
      <c r="O961" s="17">
        <f>M961+N961</f>
        <v>2449758.09</v>
      </c>
      <c r="P961" s="17">
        <f>IFERROR(ROUND(SUM(S962)/I961, 2),0)</f>
        <v>1441.61</v>
      </c>
      <c r="Q961" s="19">
        <v>1444.5</v>
      </c>
      <c r="R961" s="17">
        <f>P961+ROUND(Q961, 2)</f>
        <v>2886.1099999999997</v>
      </c>
      <c r="S961" s="17">
        <f>ROUND(P961*I961, 2)</f>
        <v>1908403.32</v>
      </c>
      <c r="T961" s="17">
        <f>ROUND(I961*ROUND(Q961, 2), 2)</f>
        <v>1912229.1</v>
      </c>
      <c r="U961" s="17">
        <f>S961+T961</f>
        <v>3820632.42</v>
      </c>
    </row>
    <row r="962" spans="1:21" ht="72" x14ac:dyDescent="0.3">
      <c r="A962" s="10" t="s">
        <v>3087</v>
      </c>
      <c r="B962" s="10"/>
      <c r="C962" s="30" t="s">
        <v>3046</v>
      </c>
      <c r="D962" s="15"/>
      <c r="E962" s="15" t="s">
        <v>3088</v>
      </c>
      <c r="F962" s="25" t="s">
        <v>62</v>
      </c>
      <c r="G962" s="26">
        <v>1.1000000000000001</v>
      </c>
      <c r="H962" s="31"/>
      <c r="I962" s="31">
        <v>1456.18</v>
      </c>
      <c r="J962" s="27">
        <v>806.87</v>
      </c>
      <c r="M962" s="28">
        <f>ROUND(ROUND(J962, 2)*I962, 2)</f>
        <v>1174947.96</v>
      </c>
      <c r="P962" s="29">
        <v>1310.55</v>
      </c>
      <c r="S962" s="28">
        <f>ROUND(ROUND(P962, 2)*I962, 2)</f>
        <v>1908396.7</v>
      </c>
    </row>
    <row r="963" spans="1:21" ht="16.95" customHeight="1" x14ac:dyDescent="0.3">
      <c r="A963" s="10" t="s">
        <v>3091</v>
      </c>
      <c r="B963" s="10" t="s">
        <v>3092</v>
      </c>
      <c r="C963" s="91" t="s">
        <v>3093</v>
      </c>
      <c r="D963" s="92"/>
      <c r="E963" s="92"/>
      <c r="F963" s="92"/>
      <c r="G963" s="92"/>
      <c r="H963" s="92"/>
      <c r="I963" s="93"/>
      <c r="M963" s="6">
        <f>SUM(M964,M966)</f>
        <v>1242163</v>
      </c>
      <c r="N963" s="6">
        <f>SUM(N964,N966)</f>
        <v>183600.54</v>
      </c>
      <c r="O963" s="6">
        <f>SUM(O964,O966)</f>
        <v>1425763.54</v>
      </c>
      <c r="S963" s="6">
        <f>SUM(S964,S966)</f>
        <v>1617000</v>
      </c>
      <c r="T963" s="6">
        <f>SUM(T964,T966)</f>
        <v>275400.53999999998</v>
      </c>
      <c r="U963" s="6">
        <f>SUM(U964,U966)</f>
        <v>1892400.54</v>
      </c>
    </row>
    <row r="964" spans="1:21" ht="108" x14ac:dyDescent="0.3">
      <c r="A964" s="10" t="s">
        <v>3094</v>
      </c>
      <c r="B964" s="10" t="s">
        <v>3095</v>
      </c>
      <c r="C964" s="14" t="s">
        <v>3096</v>
      </c>
      <c r="D964" s="15"/>
      <c r="E964" s="15" t="s">
        <v>3097</v>
      </c>
      <c r="F964" s="15" t="s">
        <v>597</v>
      </c>
      <c r="G964" s="16">
        <v>1</v>
      </c>
      <c r="H964" s="16"/>
      <c r="I964" s="16">
        <v>10</v>
      </c>
      <c r="J964" s="17">
        <f>IFERROR(ROUND(SUM(M965)/I964, 2),0)</f>
        <v>22851.3</v>
      </c>
      <c r="K964" s="18">
        <v>3400.01</v>
      </c>
      <c r="L964" s="17">
        <f>J964+ROUND(K964, 2)</f>
        <v>26251.309999999998</v>
      </c>
      <c r="M964" s="17">
        <f>ROUND(J964*I964, 2)</f>
        <v>228513</v>
      </c>
      <c r="N964" s="17">
        <f>ROUND(I964*ROUND(K964, 2), 2)</f>
        <v>34000.1</v>
      </c>
      <c r="O964" s="17">
        <f>M964+N964</f>
        <v>262513.09999999998</v>
      </c>
      <c r="P964" s="17">
        <f>IFERROR(ROUND(SUM(S965)/I964, 2),0)</f>
        <v>31570</v>
      </c>
      <c r="Q964" s="19">
        <v>5100.01</v>
      </c>
      <c r="R964" s="17">
        <f>P964+ROUND(Q964, 2)</f>
        <v>36670.01</v>
      </c>
      <c r="S964" s="17">
        <f>ROUND(P964*I964, 2)</f>
        <v>315700</v>
      </c>
      <c r="T964" s="17">
        <f>ROUND(I964*ROUND(Q964, 2), 2)</f>
        <v>51000.1</v>
      </c>
      <c r="U964" s="17">
        <f>S964+T964</f>
        <v>366700.1</v>
      </c>
    </row>
    <row r="965" spans="1:21" ht="36" x14ac:dyDescent="0.3">
      <c r="A965" s="10" t="s">
        <v>3100</v>
      </c>
      <c r="B965" s="10"/>
      <c r="C965" s="24" t="s">
        <v>3101</v>
      </c>
      <c r="D965" s="15"/>
      <c r="E965" s="15" t="s">
        <v>3102</v>
      </c>
      <c r="F965" s="25" t="s">
        <v>597</v>
      </c>
      <c r="G965" s="26">
        <v>1</v>
      </c>
      <c r="H965" s="31"/>
      <c r="I965" s="31">
        <v>10</v>
      </c>
      <c r="J965" s="27">
        <v>22851.3</v>
      </c>
      <c r="M965" s="28">
        <f>ROUND(ROUND(J965, 2)*I965, 2)</f>
        <v>228513</v>
      </c>
      <c r="P965" s="29">
        <v>31570</v>
      </c>
      <c r="S965" s="28">
        <f>ROUND(ROUND(P965, 2)*I965, 2)</f>
        <v>315700</v>
      </c>
    </row>
    <row r="966" spans="1:21" ht="108" x14ac:dyDescent="0.3">
      <c r="A966" s="10" t="s">
        <v>3106</v>
      </c>
      <c r="B966" s="10" t="s">
        <v>3095</v>
      </c>
      <c r="C966" s="14" t="s">
        <v>3096</v>
      </c>
      <c r="D966" s="15"/>
      <c r="E966" s="15" t="s">
        <v>3107</v>
      </c>
      <c r="F966" s="15" t="s">
        <v>597</v>
      </c>
      <c r="G966" s="16">
        <v>1</v>
      </c>
      <c r="H966" s="16"/>
      <c r="I966" s="16">
        <v>44</v>
      </c>
      <c r="J966" s="17">
        <f>IFERROR(ROUND(SUM(M967)/I966, 2),0)</f>
        <v>23037.5</v>
      </c>
      <c r="K966" s="18">
        <v>3400.01</v>
      </c>
      <c r="L966" s="17">
        <f>J966+ROUND(K966, 2)</f>
        <v>26437.510000000002</v>
      </c>
      <c r="M966" s="17">
        <f>ROUND(J966*I966, 2)</f>
        <v>1013650</v>
      </c>
      <c r="N966" s="17">
        <f>ROUND(I966*ROUND(K966, 2), 2)</f>
        <v>149600.44</v>
      </c>
      <c r="O966" s="17">
        <f>M966+N966</f>
        <v>1163250.44</v>
      </c>
      <c r="P966" s="17">
        <f>IFERROR(ROUND(SUM(S967)/I966, 2),0)</f>
        <v>29575</v>
      </c>
      <c r="Q966" s="19">
        <v>5100.01</v>
      </c>
      <c r="R966" s="17">
        <f>P966+ROUND(Q966, 2)</f>
        <v>34675.01</v>
      </c>
      <c r="S966" s="17">
        <f>ROUND(P966*I966, 2)</f>
        <v>1301300</v>
      </c>
      <c r="T966" s="17">
        <f>ROUND(I966*ROUND(Q966, 2), 2)</f>
        <v>224400.44</v>
      </c>
      <c r="U966" s="17">
        <f>S966+T966</f>
        <v>1525700.44</v>
      </c>
    </row>
    <row r="967" spans="1:21" ht="36" x14ac:dyDescent="0.3">
      <c r="A967" s="10" t="s">
        <v>3108</v>
      </c>
      <c r="B967" s="10"/>
      <c r="C967" s="30" t="s">
        <v>3109</v>
      </c>
      <c r="D967" s="15"/>
      <c r="E967" s="15" t="s">
        <v>3110</v>
      </c>
      <c r="F967" s="25" t="s">
        <v>597</v>
      </c>
      <c r="G967" s="26">
        <v>1</v>
      </c>
      <c r="H967" s="31"/>
      <c r="I967" s="31">
        <v>44</v>
      </c>
      <c r="J967" s="27">
        <v>23037.5</v>
      </c>
      <c r="M967" s="28">
        <f>ROUND(ROUND(J967, 2)*I967, 2)</f>
        <v>1013650</v>
      </c>
      <c r="P967" s="29">
        <v>29575</v>
      </c>
      <c r="S967" s="28">
        <f>ROUND(ROUND(P967, 2)*I967, 2)</f>
        <v>1301300</v>
      </c>
    </row>
    <row r="968" spans="1:21" ht="16.95" customHeight="1" x14ac:dyDescent="0.3">
      <c r="A968" s="10" t="s">
        <v>3114</v>
      </c>
      <c r="B968" s="10" t="s">
        <v>3115</v>
      </c>
      <c r="C968" s="91" t="s">
        <v>3116</v>
      </c>
      <c r="D968" s="92"/>
      <c r="E968" s="92"/>
      <c r="F968" s="92"/>
      <c r="G968" s="92"/>
      <c r="H968" s="92"/>
      <c r="I968" s="93"/>
      <c r="M968" s="6">
        <f>SUM(M969)</f>
        <v>0</v>
      </c>
      <c r="N968" s="6">
        <f>SUM(N969)</f>
        <v>1298932.8</v>
      </c>
      <c r="O968" s="6">
        <f>SUM(O969)</f>
        <v>1298932.8</v>
      </c>
      <c r="S968" s="6">
        <f>SUM(S969)</f>
        <v>0</v>
      </c>
      <c r="T968" s="6">
        <f>SUM(T969)</f>
        <v>1948399.2</v>
      </c>
      <c r="U968" s="6">
        <f>SUM(U969)</f>
        <v>1948399.2</v>
      </c>
    </row>
    <row r="969" spans="1:21" ht="126" x14ac:dyDescent="0.3">
      <c r="A969" s="10" t="s">
        <v>3117</v>
      </c>
      <c r="B969" s="10" t="s">
        <v>3118</v>
      </c>
      <c r="C969" s="14" t="s">
        <v>3119</v>
      </c>
      <c r="D969" s="15"/>
      <c r="E969" s="15" t="s">
        <v>3120</v>
      </c>
      <c r="F969" s="15" t="s">
        <v>62</v>
      </c>
      <c r="G969" s="16">
        <v>1</v>
      </c>
      <c r="H969" s="16"/>
      <c r="I969" s="16">
        <v>9840.4</v>
      </c>
      <c r="J969" s="17">
        <v>0</v>
      </c>
      <c r="K969" s="18">
        <v>132</v>
      </c>
      <c r="L969" s="17">
        <f>J969+ROUND(K969, 2)</f>
        <v>132</v>
      </c>
      <c r="M969" s="17">
        <v>0</v>
      </c>
      <c r="N969" s="17">
        <f>ROUND(I969*ROUND(K969, 2), 2)</f>
        <v>1298932.8</v>
      </c>
      <c r="O969" s="17">
        <f>M969+N969</f>
        <v>1298932.8</v>
      </c>
      <c r="P969" s="17">
        <v>0</v>
      </c>
      <c r="Q969" s="19">
        <v>198</v>
      </c>
      <c r="R969" s="17">
        <f>P969+ROUND(Q969, 2)</f>
        <v>198</v>
      </c>
      <c r="S969" s="17">
        <v>0</v>
      </c>
      <c r="T969" s="17">
        <f>ROUND(I969*ROUND(Q969, 2), 2)</f>
        <v>1948399.2</v>
      </c>
      <c r="U969" s="17">
        <f>S969+T969</f>
        <v>1948399.2</v>
      </c>
    </row>
    <row r="970" spans="1:21" ht="16.95" customHeight="1" x14ac:dyDescent="0.3">
      <c r="A970" s="10" t="s">
        <v>3123</v>
      </c>
      <c r="B970" s="10" t="s">
        <v>3124</v>
      </c>
      <c r="C970" s="91" t="s">
        <v>3125</v>
      </c>
      <c r="D970" s="92"/>
      <c r="E970" s="92"/>
      <c r="F970" s="92"/>
      <c r="G970" s="92"/>
      <c r="H970" s="92"/>
      <c r="I970" s="93"/>
      <c r="M970" s="6">
        <f t="shared" ref="M970:O973" si="12">SUM(M971)</f>
        <v>263316.14</v>
      </c>
      <c r="N970" s="6">
        <f t="shared" si="12"/>
        <v>272584</v>
      </c>
      <c r="O970" s="6">
        <f t="shared" si="12"/>
        <v>535900.14</v>
      </c>
      <c r="S970" s="6">
        <f t="shared" ref="S970:U973" si="13">SUM(S971)</f>
        <v>486373.73</v>
      </c>
      <c r="T970" s="6">
        <f t="shared" si="13"/>
        <v>408876</v>
      </c>
      <c r="U970" s="6">
        <f t="shared" si="13"/>
        <v>895249.73</v>
      </c>
    </row>
    <row r="971" spans="1:21" ht="16.95" customHeight="1" x14ac:dyDescent="0.3">
      <c r="A971" s="10" t="s">
        <v>3126</v>
      </c>
      <c r="B971" s="10" t="s">
        <v>3127</v>
      </c>
      <c r="C971" s="91" t="s">
        <v>3128</v>
      </c>
      <c r="D971" s="92"/>
      <c r="E971" s="92"/>
      <c r="F971" s="92"/>
      <c r="G971" s="92"/>
      <c r="H971" s="92"/>
      <c r="I971" s="93"/>
      <c r="M971" s="6">
        <f t="shared" si="12"/>
        <v>263316.14</v>
      </c>
      <c r="N971" s="6">
        <f t="shared" si="12"/>
        <v>272584</v>
      </c>
      <c r="O971" s="6">
        <f t="shared" si="12"/>
        <v>535900.14</v>
      </c>
      <c r="S971" s="6">
        <f t="shared" si="13"/>
        <v>486373.73</v>
      </c>
      <c r="T971" s="6">
        <f t="shared" si="13"/>
        <v>408876</v>
      </c>
      <c r="U971" s="6">
        <f t="shared" si="13"/>
        <v>895249.73</v>
      </c>
    </row>
    <row r="972" spans="1:21" ht="16.95" customHeight="1" x14ac:dyDescent="0.3">
      <c r="A972" s="10" t="s">
        <v>3129</v>
      </c>
      <c r="B972" s="10" t="s">
        <v>3130</v>
      </c>
      <c r="C972" s="91" t="s">
        <v>3131</v>
      </c>
      <c r="D972" s="92"/>
      <c r="E972" s="92"/>
      <c r="F972" s="92"/>
      <c r="G972" s="92"/>
      <c r="H972" s="92"/>
      <c r="I972" s="93"/>
      <c r="M972" s="6">
        <f t="shared" si="12"/>
        <v>263316.14</v>
      </c>
      <c r="N972" s="6">
        <f t="shared" si="12"/>
        <v>272584</v>
      </c>
      <c r="O972" s="6">
        <f t="shared" si="12"/>
        <v>535900.14</v>
      </c>
      <c r="S972" s="6">
        <f t="shared" si="13"/>
        <v>486373.73</v>
      </c>
      <c r="T972" s="6">
        <f t="shared" si="13"/>
        <v>408876</v>
      </c>
      <c r="U972" s="6">
        <f t="shared" si="13"/>
        <v>895249.73</v>
      </c>
    </row>
    <row r="973" spans="1:21" ht="16.95" customHeight="1" x14ac:dyDescent="0.3">
      <c r="A973" s="10" t="s">
        <v>3132</v>
      </c>
      <c r="B973" s="10" t="s">
        <v>3133</v>
      </c>
      <c r="C973" s="91" t="s">
        <v>3116</v>
      </c>
      <c r="D973" s="92"/>
      <c r="E973" s="92"/>
      <c r="F973" s="92"/>
      <c r="G973" s="92"/>
      <c r="H973" s="92"/>
      <c r="I973" s="93"/>
      <c r="M973" s="6">
        <f t="shared" si="12"/>
        <v>263316.14</v>
      </c>
      <c r="N973" s="6">
        <f t="shared" si="12"/>
        <v>272584</v>
      </c>
      <c r="O973" s="6">
        <f t="shared" si="12"/>
        <v>535900.14</v>
      </c>
      <c r="S973" s="6">
        <f t="shared" si="13"/>
        <v>486373.73</v>
      </c>
      <c r="T973" s="6">
        <f t="shared" si="13"/>
        <v>408876</v>
      </c>
      <c r="U973" s="6">
        <f t="shared" si="13"/>
        <v>895249.73</v>
      </c>
    </row>
    <row r="974" spans="1:21" ht="36" x14ac:dyDescent="0.3">
      <c r="A974" s="10" t="s">
        <v>3134</v>
      </c>
      <c r="B974" s="10" t="s">
        <v>3135</v>
      </c>
      <c r="C974" s="14" t="s">
        <v>3136</v>
      </c>
      <c r="D974" s="15"/>
      <c r="E974" s="15" t="s">
        <v>3137</v>
      </c>
      <c r="F974" s="15" t="s">
        <v>62</v>
      </c>
      <c r="G974" s="16">
        <v>1</v>
      </c>
      <c r="H974" s="16"/>
      <c r="I974" s="16">
        <v>4193.6000000000004</v>
      </c>
      <c r="J974" s="17">
        <f>IFERROR(ROUND(SUM(M975,M976)/I974, 2),0)</f>
        <v>62.79</v>
      </c>
      <c r="K974" s="18">
        <v>65</v>
      </c>
      <c r="L974" s="17">
        <f>J974+ROUND(K974, 2)</f>
        <v>127.78999999999999</v>
      </c>
      <c r="M974" s="17">
        <f>ROUND(J974*I974, 2)</f>
        <v>263316.14</v>
      </c>
      <c r="N974" s="17">
        <f>ROUND(I974*ROUND(K974, 2), 2)</f>
        <v>272584</v>
      </c>
      <c r="O974" s="17">
        <f>M974+N974</f>
        <v>535900.14</v>
      </c>
      <c r="P974" s="17">
        <f>IFERROR(ROUND(SUM(S975,S976)/I974, 2),0)</f>
        <v>115.98</v>
      </c>
      <c r="Q974" s="19">
        <v>97.5</v>
      </c>
      <c r="R974" s="17">
        <f>P974+ROUND(Q974, 2)</f>
        <v>213.48000000000002</v>
      </c>
      <c r="S974" s="17">
        <f>ROUND(P974*I974, 2)</f>
        <v>486373.73</v>
      </c>
      <c r="T974" s="17">
        <f>ROUND(I974*ROUND(Q974, 2), 2)</f>
        <v>408876</v>
      </c>
      <c r="U974" s="17">
        <f>S974+T974</f>
        <v>895249.73</v>
      </c>
    </row>
    <row r="975" spans="1:21" ht="18" x14ac:dyDescent="0.3">
      <c r="A975" s="10" t="s">
        <v>3141</v>
      </c>
      <c r="B975" s="10"/>
      <c r="C975" s="24" t="s">
        <v>3142</v>
      </c>
      <c r="D975" s="15"/>
      <c r="E975" s="15" t="s">
        <v>3143</v>
      </c>
      <c r="F975" s="25" t="s">
        <v>597</v>
      </c>
      <c r="G975" s="26">
        <v>1</v>
      </c>
      <c r="H975" s="31"/>
      <c r="I975" s="31">
        <v>1606.25</v>
      </c>
      <c r="J975" s="27">
        <v>160.13</v>
      </c>
      <c r="M975" s="28">
        <f>ROUND(ROUND(J975, 2)*I975, 2)</f>
        <v>257208.81</v>
      </c>
      <c r="P975" s="29">
        <v>299</v>
      </c>
      <c r="S975" s="28">
        <f>ROUND(ROUND(P975, 2)*I975, 2)</f>
        <v>480268.75</v>
      </c>
    </row>
    <row r="976" spans="1:21" ht="18" x14ac:dyDescent="0.3">
      <c r="A976" s="10" t="s">
        <v>3147</v>
      </c>
      <c r="B976" s="10"/>
      <c r="C976" s="24" t="s">
        <v>3148</v>
      </c>
      <c r="D976" s="15"/>
      <c r="E976" s="15"/>
      <c r="F976" s="25" t="s">
        <v>102</v>
      </c>
      <c r="G976" s="26">
        <v>1</v>
      </c>
      <c r="H976" s="31"/>
      <c r="I976" s="31">
        <v>5396</v>
      </c>
      <c r="J976" s="27">
        <v>1.1299999999999999</v>
      </c>
      <c r="M976" s="28">
        <f>ROUND(ROUND(J976, 2)*I976, 2)</f>
        <v>6097.48</v>
      </c>
      <c r="P976" s="29">
        <v>1.1299999999999999</v>
      </c>
      <c r="S976" s="28">
        <f>ROUND(ROUND(P976, 2)*I976, 2)</f>
        <v>6097.48</v>
      </c>
    </row>
    <row r="977" spans="1:21" ht="30" customHeight="1" x14ac:dyDescent="0.3">
      <c r="A977" s="88" t="s">
        <v>3152</v>
      </c>
      <c r="B977" s="89"/>
      <c r="C977" s="89"/>
      <c r="D977" s="89"/>
      <c r="E977" s="89"/>
      <c r="F977" s="89"/>
      <c r="G977" s="89"/>
      <c r="H977" s="89"/>
      <c r="I977" s="90"/>
      <c r="J977" s="7"/>
      <c r="K977" s="7"/>
      <c r="L977" s="7"/>
      <c r="M977" s="8">
        <f t="shared" ref="M977:O981" si="14">SUM(M978)</f>
        <v>0</v>
      </c>
      <c r="N977" s="8">
        <f t="shared" si="14"/>
        <v>930636</v>
      </c>
      <c r="O977" s="8">
        <f t="shared" si="14"/>
        <v>930636</v>
      </c>
      <c r="P977" s="7"/>
      <c r="Q977" s="7"/>
      <c r="R977" s="7"/>
      <c r="S977" s="8">
        <f t="shared" ref="S977:U981" si="15">SUM(S978)</f>
        <v>0</v>
      </c>
      <c r="T977" s="8">
        <f t="shared" si="15"/>
        <v>1395954</v>
      </c>
      <c r="U977" s="8">
        <f t="shared" si="15"/>
        <v>1395954</v>
      </c>
    </row>
    <row r="978" spans="1:21" ht="16.95" customHeight="1" x14ac:dyDescent="0.3">
      <c r="A978" s="10" t="s">
        <v>3154</v>
      </c>
      <c r="B978" s="10" t="s">
        <v>44</v>
      </c>
      <c r="C978" s="91" t="s">
        <v>45</v>
      </c>
      <c r="D978" s="92"/>
      <c r="E978" s="92"/>
      <c r="F978" s="92"/>
      <c r="G978" s="92"/>
      <c r="H978" s="92"/>
      <c r="I978" s="93"/>
      <c r="M978" s="6">
        <f t="shared" si="14"/>
        <v>0</v>
      </c>
      <c r="N978" s="6">
        <f t="shared" si="14"/>
        <v>930636</v>
      </c>
      <c r="O978" s="6">
        <f t="shared" si="14"/>
        <v>930636</v>
      </c>
      <c r="S978" s="6">
        <f t="shared" si="15"/>
        <v>0</v>
      </c>
      <c r="T978" s="6">
        <f t="shared" si="15"/>
        <v>1395954</v>
      </c>
      <c r="U978" s="6">
        <f t="shared" si="15"/>
        <v>1395954</v>
      </c>
    </row>
    <row r="979" spans="1:21" ht="16.95" customHeight="1" x14ac:dyDescent="0.3">
      <c r="A979" s="10" t="s">
        <v>3155</v>
      </c>
      <c r="B979" s="10" t="s">
        <v>3156</v>
      </c>
      <c r="C979" s="91" t="s">
        <v>3157</v>
      </c>
      <c r="D979" s="92"/>
      <c r="E979" s="92"/>
      <c r="F979" s="92"/>
      <c r="G979" s="92"/>
      <c r="H979" s="92"/>
      <c r="I979" s="93"/>
      <c r="M979" s="6">
        <f t="shared" si="14"/>
        <v>0</v>
      </c>
      <c r="N979" s="6">
        <f t="shared" si="14"/>
        <v>930636</v>
      </c>
      <c r="O979" s="6">
        <f t="shared" si="14"/>
        <v>930636</v>
      </c>
      <c r="S979" s="6">
        <f t="shared" si="15"/>
        <v>0</v>
      </c>
      <c r="T979" s="6">
        <f t="shared" si="15"/>
        <v>1395954</v>
      </c>
      <c r="U979" s="6">
        <f t="shared" si="15"/>
        <v>1395954</v>
      </c>
    </row>
    <row r="980" spans="1:21" ht="16.95" customHeight="1" x14ac:dyDescent="0.3">
      <c r="A980" s="10" t="s">
        <v>3158</v>
      </c>
      <c r="B980" s="10" t="s">
        <v>3159</v>
      </c>
      <c r="C980" s="91" t="s">
        <v>3160</v>
      </c>
      <c r="D980" s="92"/>
      <c r="E980" s="92"/>
      <c r="F980" s="92"/>
      <c r="G980" s="92"/>
      <c r="H980" s="92"/>
      <c r="I980" s="93"/>
      <c r="M980" s="6">
        <f t="shared" si="14"/>
        <v>0</v>
      </c>
      <c r="N980" s="6">
        <f t="shared" si="14"/>
        <v>930636</v>
      </c>
      <c r="O980" s="6">
        <f t="shared" si="14"/>
        <v>930636</v>
      </c>
      <c r="S980" s="6">
        <f t="shared" si="15"/>
        <v>0</v>
      </c>
      <c r="T980" s="6">
        <f t="shared" si="15"/>
        <v>1395954</v>
      </c>
      <c r="U980" s="6">
        <f t="shared" si="15"/>
        <v>1395954</v>
      </c>
    </row>
    <row r="981" spans="1:21" ht="16.95" customHeight="1" x14ac:dyDescent="0.3">
      <c r="A981" s="10" t="s">
        <v>3161</v>
      </c>
      <c r="B981" s="10" t="s">
        <v>3162</v>
      </c>
      <c r="C981" s="91" t="s">
        <v>3116</v>
      </c>
      <c r="D981" s="92"/>
      <c r="E981" s="92"/>
      <c r="F981" s="92"/>
      <c r="G981" s="92"/>
      <c r="H981" s="92"/>
      <c r="I981" s="93"/>
      <c r="M981" s="6">
        <f t="shared" si="14"/>
        <v>0</v>
      </c>
      <c r="N981" s="6">
        <f t="shared" si="14"/>
        <v>930636</v>
      </c>
      <c r="O981" s="6">
        <f t="shared" si="14"/>
        <v>930636</v>
      </c>
      <c r="S981" s="6">
        <f t="shared" si="15"/>
        <v>0</v>
      </c>
      <c r="T981" s="6">
        <f t="shared" si="15"/>
        <v>1395954</v>
      </c>
      <c r="U981" s="6">
        <f t="shared" si="15"/>
        <v>1395954</v>
      </c>
    </row>
    <row r="982" spans="1:21" ht="36" x14ac:dyDescent="0.3">
      <c r="A982" s="10" t="s">
        <v>3163</v>
      </c>
      <c r="B982" s="10" t="s">
        <v>3164</v>
      </c>
      <c r="C982" s="14" t="s">
        <v>3165</v>
      </c>
      <c r="D982" s="15"/>
      <c r="E982" s="15" t="s">
        <v>3166</v>
      </c>
      <c r="F982" s="15" t="s">
        <v>3167</v>
      </c>
      <c r="G982" s="16">
        <v>1</v>
      </c>
      <c r="H982" s="16"/>
      <c r="I982" s="16">
        <v>4</v>
      </c>
      <c r="J982" s="17">
        <v>0</v>
      </c>
      <c r="K982" s="18">
        <v>232659</v>
      </c>
      <c r="L982" s="17">
        <f>J982+ROUND(K982, 2)</f>
        <v>232659</v>
      </c>
      <c r="M982" s="17">
        <v>0</v>
      </c>
      <c r="N982" s="17">
        <f>ROUND(I982*ROUND(K982, 2), 2)</f>
        <v>930636</v>
      </c>
      <c r="O982" s="17">
        <f>M982+N982</f>
        <v>930636</v>
      </c>
      <c r="P982" s="17">
        <v>0</v>
      </c>
      <c r="Q982" s="19">
        <v>348988.5</v>
      </c>
      <c r="R982" s="17">
        <f>P982+ROUND(Q982, 2)</f>
        <v>348988.5</v>
      </c>
      <c r="S982" s="17">
        <v>0</v>
      </c>
      <c r="T982" s="17">
        <f>ROUND(I982*ROUND(Q982, 2), 2)</f>
        <v>1395954</v>
      </c>
      <c r="U982" s="17">
        <f>S982+T982</f>
        <v>1395954</v>
      </c>
    </row>
    <row r="983" spans="1:21" ht="24" customHeight="1" x14ac:dyDescent="0.3">
      <c r="A983" s="68"/>
      <c r="B983" s="68"/>
      <c r="C983" s="68"/>
      <c r="D983" s="69" t="s">
        <v>3171</v>
      </c>
      <c r="E983" s="68"/>
      <c r="F983" s="68"/>
      <c r="G983" s="68"/>
      <c r="H983" s="68"/>
      <c r="I983" s="68"/>
      <c r="J983" s="68"/>
      <c r="K983" s="68"/>
      <c r="L983" s="68"/>
      <c r="M983" s="70">
        <f>SUM(M8,M977)</f>
        <v>48779467.810000002</v>
      </c>
      <c r="N983" s="70">
        <f>SUM(N8,N977)</f>
        <v>88104391.99000001</v>
      </c>
      <c r="O983" s="70">
        <f>M983+N983</f>
        <v>136883859.80000001</v>
      </c>
      <c r="P983" s="68"/>
      <c r="Q983" s="68"/>
      <c r="R983" s="68"/>
      <c r="S983" s="70">
        <f>SUM(S8,S977)</f>
        <v>61057592.320000008</v>
      </c>
      <c r="T983" s="70">
        <f>SUM(T8,T977)</f>
        <v>129618425.82000002</v>
      </c>
      <c r="U983" s="70">
        <f>S983+T983</f>
        <v>190676018.14000005</v>
      </c>
    </row>
    <row r="984" spans="1:21" ht="22.8" x14ac:dyDescent="0.3">
      <c r="A984" s="88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90"/>
    </row>
    <row r="985" spans="1:21" ht="15.6" x14ac:dyDescent="0.3">
      <c r="A985" s="72"/>
      <c r="B985" s="5"/>
      <c r="C985" s="71"/>
      <c r="D985" s="71"/>
      <c r="E985" s="73"/>
      <c r="F985" s="73"/>
      <c r="G985" s="73"/>
      <c r="H985" s="86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87"/>
    </row>
    <row r="986" spans="1:21" ht="15.6" x14ac:dyDescent="0.3">
      <c r="A986" s="72"/>
      <c r="B986" s="5"/>
      <c r="C986" s="71"/>
      <c r="D986" s="71"/>
      <c r="E986" s="73"/>
      <c r="F986" s="73"/>
      <c r="G986" s="73"/>
      <c r="H986" s="86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87"/>
    </row>
    <row r="987" spans="1:21" ht="15.6" x14ac:dyDescent="0.3">
      <c r="A987" s="72"/>
      <c r="B987" s="5"/>
      <c r="C987" s="71"/>
      <c r="D987" s="71"/>
      <c r="E987" s="73"/>
      <c r="F987" s="73"/>
      <c r="G987" s="73"/>
      <c r="H987" s="86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87"/>
    </row>
    <row r="988" spans="1:21" ht="15.6" x14ac:dyDescent="0.3">
      <c r="A988" s="72"/>
      <c r="B988" s="5"/>
      <c r="C988" s="71"/>
      <c r="D988" s="71"/>
      <c r="E988" s="73"/>
      <c r="F988" s="73"/>
      <c r="G988" s="73"/>
      <c r="H988" s="86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87"/>
    </row>
    <row r="989" spans="1:21" ht="15.6" x14ac:dyDescent="0.3">
      <c r="A989" s="72"/>
      <c r="B989" s="5"/>
      <c r="C989" s="71"/>
      <c r="D989" s="71"/>
      <c r="E989" s="73"/>
      <c r="F989" s="73"/>
      <c r="G989" s="73"/>
      <c r="H989" s="86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87"/>
    </row>
    <row r="990" spans="1:21" ht="15.6" x14ac:dyDescent="0.3">
      <c r="A990" s="72"/>
      <c r="B990" s="5"/>
      <c r="C990" s="71"/>
      <c r="D990" s="71"/>
      <c r="E990" s="73"/>
      <c r="F990" s="73"/>
      <c r="G990" s="73"/>
      <c r="H990" s="86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87"/>
    </row>
    <row r="991" spans="1:21" ht="15.6" x14ac:dyDescent="0.3">
      <c r="A991" s="72"/>
      <c r="B991" s="5"/>
      <c r="C991" s="71"/>
      <c r="D991" s="71"/>
      <c r="E991" s="73"/>
      <c r="F991" s="73"/>
      <c r="G991" s="73"/>
      <c r="H991" s="86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87"/>
    </row>
    <row r="992" spans="1:21" ht="15.6" x14ac:dyDescent="0.3">
      <c r="A992" s="72"/>
      <c r="B992" s="5"/>
      <c r="C992" s="71"/>
      <c r="D992" s="71"/>
      <c r="E992" s="73"/>
      <c r="F992" s="73"/>
      <c r="G992" s="73"/>
      <c r="H992" s="86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87"/>
    </row>
    <row r="993" spans="1:21" ht="15.6" x14ac:dyDescent="0.3">
      <c r="A993" s="72"/>
      <c r="B993" s="5"/>
      <c r="C993" s="71"/>
      <c r="D993" s="71"/>
      <c r="E993" s="73"/>
      <c r="F993" s="73"/>
      <c r="G993" s="73"/>
      <c r="H993" s="86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87"/>
    </row>
    <row r="994" spans="1:21" ht="15.6" x14ac:dyDescent="0.3">
      <c r="A994" s="72"/>
      <c r="B994" s="5"/>
      <c r="C994" s="71"/>
      <c r="D994" s="71"/>
      <c r="E994" s="73"/>
      <c r="F994" s="73"/>
      <c r="G994" s="73"/>
      <c r="H994" s="86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87"/>
    </row>
    <row r="995" spans="1:21" ht="15.6" x14ac:dyDescent="0.3">
      <c r="A995" s="72"/>
      <c r="B995" s="5"/>
      <c r="C995" s="71"/>
      <c r="D995" s="71"/>
      <c r="E995" s="73"/>
      <c r="F995" s="73"/>
      <c r="G995" s="73"/>
      <c r="H995" s="86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87"/>
    </row>
    <row r="996" spans="1:21" ht="15.6" x14ac:dyDescent="0.3">
      <c r="A996" s="72"/>
      <c r="B996" s="5"/>
      <c r="C996" s="71"/>
      <c r="D996" s="71"/>
      <c r="E996" s="73"/>
      <c r="F996" s="73"/>
      <c r="G996" s="73"/>
      <c r="H996" s="86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87"/>
    </row>
    <row r="997" spans="1:21" ht="15.6" x14ac:dyDescent="0.3">
      <c r="A997" s="72"/>
      <c r="B997" s="5"/>
      <c r="C997" s="71"/>
      <c r="D997" s="71"/>
      <c r="E997" s="73"/>
      <c r="F997" s="73"/>
      <c r="G997" s="73"/>
      <c r="H997" s="86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87"/>
    </row>
    <row r="998" spans="1:21" ht="48" customHeight="1" x14ac:dyDescent="0.3">
      <c r="A998" s="72"/>
      <c r="B998" s="5"/>
      <c r="C998" s="71"/>
      <c r="D998" s="71"/>
      <c r="E998" s="73"/>
      <c r="F998" s="73"/>
      <c r="G998" s="73"/>
      <c r="H998" s="86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87"/>
    </row>
    <row r="999" spans="1:21" ht="15.6" x14ac:dyDescent="0.3">
      <c r="A999" s="72"/>
      <c r="B999" s="5"/>
      <c r="C999" s="71"/>
      <c r="D999" s="71"/>
      <c r="E999" s="73"/>
      <c r="F999" s="73"/>
      <c r="G999" s="73"/>
      <c r="H999" s="86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87"/>
    </row>
    <row r="1000" spans="1:21" ht="15.6" x14ac:dyDescent="0.3">
      <c r="A1000" s="72"/>
      <c r="B1000" s="5"/>
      <c r="C1000" s="71"/>
      <c r="D1000" s="73"/>
      <c r="E1000" s="73"/>
      <c r="F1000" s="73"/>
      <c r="G1000" s="73"/>
      <c r="H1000" s="86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87"/>
    </row>
    <row r="1001" spans="1:21" ht="15.6" x14ac:dyDescent="0.3">
      <c r="A1001" s="72"/>
      <c r="B1001" s="5"/>
      <c r="C1001" s="71"/>
      <c r="D1001" s="73"/>
      <c r="E1001" s="73"/>
      <c r="F1001" s="73"/>
      <c r="G1001" s="73"/>
      <c r="H1001" s="86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87"/>
    </row>
    <row r="1002" spans="1:21" ht="15.6" x14ac:dyDescent="0.3">
      <c r="A1002" s="72"/>
      <c r="B1002" s="5"/>
      <c r="C1002" s="71"/>
      <c r="D1002" s="73"/>
      <c r="E1002" s="73"/>
      <c r="F1002" s="73"/>
      <c r="G1002" s="73"/>
      <c r="H1002" s="86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87"/>
    </row>
  </sheetData>
  <mergeCells count="80">
    <mergeCell ref="H1002:U1002"/>
    <mergeCell ref="H991:U991"/>
    <mergeCell ref="H992:U992"/>
    <mergeCell ref="H993:U993"/>
    <mergeCell ref="H994:U994"/>
    <mergeCell ref="H995:U995"/>
    <mergeCell ref="H996:U996"/>
    <mergeCell ref="H997:U997"/>
    <mergeCell ref="H998:U998"/>
    <mergeCell ref="H999:U999"/>
    <mergeCell ref="H1000:U1000"/>
    <mergeCell ref="H1001:U1001"/>
    <mergeCell ref="H990:U990"/>
    <mergeCell ref="A977:I977"/>
    <mergeCell ref="C978:I978"/>
    <mergeCell ref="C979:I979"/>
    <mergeCell ref="C980:I980"/>
    <mergeCell ref="C981:I981"/>
    <mergeCell ref="A984:U984"/>
    <mergeCell ref="H985:U985"/>
    <mergeCell ref="H986:U986"/>
    <mergeCell ref="H987:U987"/>
    <mergeCell ref="H988:U988"/>
    <mergeCell ref="H989:U989"/>
    <mergeCell ref="C973:I973"/>
    <mergeCell ref="C482:I482"/>
    <mergeCell ref="C711:I711"/>
    <mergeCell ref="C781:I781"/>
    <mergeCell ref="C782:I782"/>
    <mergeCell ref="C828:I828"/>
    <mergeCell ref="C862:I862"/>
    <mergeCell ref="C963:I963"/>
    <mergeCell ref="C968:I968"/>
    <mergeCell ref="C970:I970"/>
    <mergeCell ref="C971:I971"/>
    <mergeCell ref="C972:I972"/>
    <mergeCell ref="C440:I440"/>
    <mergeCell ref="C19:I19"/>
    <mergeCell ref="C20:I20"/>
    <mergeCell ref="C61:I61"/>
    <mergeCell ref="C62:I62"/>
    <mergeCell ref="C63:I63"/>
    <mergeCell ref="C64:I64"/>
    <mergeCell ref="C65:I65"/>
    <mergeCell ref="C96:I96"/>
    <mergeCell ref="C117:I117"/>
    <mergeCell ref="C432:I432"/>
    <mergeCell ref="C439:I439"/>
    <mergeCell ref="C11:I11"/>
    <mergeCell ref="C12:I12"/>
    <mergeCell ref="C13:I13"/>
    <mergeCell ref="C16:I16"/>
    <mergeCell ref="C17:I17"/>
    <mergeCell ref="C18:I18"/>
    <mergeCell ref="R6:R7"/>
    <mergeCell ref="S6:T6"/>
    <mergeCell ref="U6:U7"/>
    <mergeCell ref="A8:I8"/>
    <mergeCell ref="C9:I9"/>
    <mergeCell ref="C10:I10"/>
    <mergeCell ref="H5:H7"/>
    <mergeCell ref="I5:I7"/>
    <mergeCell ref="J5:O5"/>
    <mergeCell ref="P5:R5"/>
    <mergeCell ref="S5:U5"/>
    <mergeCell ref="J6:K6"/>
    <mergeCell ref="L6:L7"/>
    <mergeCell ref="M6:N6"/>
    <mergeCell ref="O6:O7"/>
    <mergeCell ref="P6:Q6"/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</mergeCells>
  <pageMargins left="0.7" right="0.7" top="0.75" bottom="0.75" header="0.3" footer="0.3"/>
  <pageSetup paperSize="9" scale="3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Изменения</vt:lpstr>
      <vt:lpstr>ТКП</vt:lpstr>
      <vt:lpstr>ВЫПОЛНЕНИЕ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2026-03-04T11:03:26Z</dcterms:created>
  <dcterms:modified xsi:type="dcterms:W3CDTF">2026-03-17T09:40:33Z</dcterms:modified>
  <cp:category/>
</cp:coreProperties>
</file>