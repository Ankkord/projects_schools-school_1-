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МирзаяновИИ\Documents\projects\kronshtatsky\"/>
    </mc:Choice>
  </mc:AlternateContent>
  <bookViews>
    <workbookView xWindow="-105" yWindow="-105" windowWidth="19425" windowHeight="10425" activeTab="1"/>
  </bookViews>
  <sheets>
    <sheet name="ТКП" sheetId="1" r:id="rId1"/>
    <sheet name="Лист1" sheetId="2" r:id="rId2"/>
  </sheets>
  <definedNames>
    <definedName name="_xlnm._FilterDatabase" localSheetId="0" hidden="1">ТКП!$A$7:$U$7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92" i="2" l="1"/>
  <c r="S292" i="2"/>
  <c r="M292" i="2"/>
  <c r="J291" i="2" s="1"/>
  <c r="M291" i="2" s="1"/>
  <c r="O291" i="2" s="1"/>
  <c r="W291" i="2"/>
  <c r="T291" i="2"/>
  <c r="Z291" i="2" s="1"/>
  <c r="N291" i="2"/>
  <c r="Y290" i="2"/>
  <c r="V290" i="2"/>
  <c r="S290" i="2"/>
  <c r="M290" i="2"/>
  <c r="J289" i="2" s="1"/>
  <c r="Y289" i="2"/>
  <c r="AA289" i="2" s="1"/>
  <c r="W289" i="2"/>
  <c r="T289" i="2"/>
  <c r="Z289" i="2" s="1"/>
  <c r="S289" i="2"/>
  <c r="U289" i="2" s="1"/>
  <c r="P289" i="2"/>
  <c r="V289" i="2" s="1"/>
  <c r="N289" i="2"/>
  <c r="V288" i="2"/>
  <c r="S288" i="2"/>
  <c r="M288" i="2"/>
  <c r="J287" i="2" s="1"/>
  <c r="M287" i="2" s="1"/>
  <c r="O287" i="2" s="1"/>
  <c r="W287" i="2"/>
  <c r="T287" i="2"/>
  <c r="Z287" i="2" s="1"/>
  <c r="N287" i="2"/>
  <c r="Y286" i="2"/>
  <c r="V286" i="2"/>
  <c r="S286" i="2"/>
  <c r="M286" i="2"/>
  <c r="J285" i="2" s="1"/>
  <c r="W285" i="2"/>
  <c r="T285" i="2"/>
  <c r="Z285" i="2" s="1"/>
  <c r="S285" i="2"/>
  <c r="U285" i="2" s="1"/>
  <c r="P285" i="2"/>
  <c r="V285" i="2" s="1"/>
  <c r="N285" i="2"/>
  <c r="V284" i="2"/>
  <c r="S284" i="2"/>
  <c r="Y284" i="2" s="1"/>
  <c r="M284" i="2"/>
  <c r="Y283" i="2"/>
  <c r="V283" i="2"/>
  <c r="S283" i="2"/>
  <c r="M283" i="2"/>
  <c r="V282" i="2"/>
  <c r="S282" i="2"/>
  <c r="Y282" i="2" s="1"/>
  <c r="M282" i="2"/>
  <c r="Y281" i="2"/>
  <c r="V281" i="2"/>
  <c r="S281" i="2"/>
  <c r="M281" i="2"/>
  <c r="V280" i="2"/>
  <c r="S280" i="2"/>
  <c r="Y280" i="2" s="1"/>
  <c r="M280" i="2"/>
  <c r="Y279" i="2"/>
  <c r="V279" i="2"/>
  <c r="S279" i="2"/>
  <c r="M279" i="2"/>
  <c r="V278" i="2"/>
  <c r="S278" i="2"/>
  <c r="Y278" i="2" s="1"/>
  <c r="M278" i="2"/>
  <c r="Y277" i="2"/>
  <c r="V277" i="2"/>
  <c r="S277" i="2"/>
  <c r="M277" i="2"/>
  <c r="V276" i="2"/>
  <c r="S276" i="2"/>
  <c r="Y276" i="2" s="1"/>
  <c r="M276" i="2"/>
  <c r="Y275" i="2"/>
  <c r="V275" i="2"/>
  <c r="S275" i="2"/>
  <c r="M275" i="2"/>
  <c r="V274" i="2"/>
  <c r="S274" i="2"/>
  <c r="Y274" i="2" s="1"/>
  <c r="M274" i="2"/>
  <c r="Y273" i="2"/>
  <c r="V273" i="2"/>
  <c r="S273" i="2"/>
  <c r="M273" i="2"/>
  <c r="V272" i="2"/>
  <c r="S272" i="2"/>
  <c r="M272" i="2"/>
  <c r="J271" i="2" s="1"/>
  <c r="M271" i="2" s="1"/>
  <c r="O271" i="2" s="1"/>
  <c r="W271" i="2"/>
  <c r="T271" i="2"/>
  <c r="Z271" i="2" s="1"/>
  <c r="N271" i="2"/>
  <c r="L271" i="2"/>
  <c r="Y270" i="2"/>
  <c r="V270" i="2"/>
  <c r="S270" i="2"/>
  <c r="M270" i="2"/>
  <c r="J269" i="2" s="1"/>
  <c r="W269" i="2"/>
  <c r="T269" i="2"/>
  <c r="Z269" i="2" s="1"/>
  <c r="S269" i="2"/>
  <c r="U269" i="2" s="1"/>
  <c r="R269" i="2"/>
  <c r="X269" i="2" s="1"/>
  <c r="P269" i="2"/>
  <c r="V269" i="2" s="1"/>
  <c r="N269" i="2"/>
  <c r="N257" i="2" s="1"/>
  <c r="Z268" i="2"/>
  <c r="AA268" i="2" s="1"/>
  <c r="X268" i="2"/>
  <c r="W268" i="2"/>
  <c r="U268" i="2"/>
  <c r="T268" i="2"/>
  <c r="R268" i="2"/>
  <c r="O268" i="2"/>
  <c r="N268" i="2"/>
  <c r="L268" i="2"/>
  <c r="Y267" i="2"/>
  <c r="V267" i="2"/>
  <c r="S267" i="2"/>
  <c r="M267" i="2"/>
  <c r="Z266" i="2"/>
  <c r="W266" i="2"/>
  <c r="T266" i="2"/>
  <c r="P266" i="2"/>
  <c r="N266" i="2"/>
  <c r="M266" i="2"/>
  <c r="O266" i="2" s="1"/>
  <c r="L266" i="2"/>
  <c r="J266" i="2"/>
  <c r="V265" i="2"/>
  <c r="S265" i="2"/>
  <c r="Y265" i="2" s="1"/>
  <c r="M265" i="2"/>
  <c r="J264" i="2" s="1"/>
  <c r="L264" i="2" s="1"/>
  <c r="W264" i="2"/>
  <c r="V264" i="2"/>
  <c r="T264" i="2"/>
  <c r="Z264" i="2" s="1"/>
  <c r="S264" i="2"/>
  <c r="R264" i="2"/>
  <c r="X264" i="2" s="1"/>
  <c r="P264" i="2"/>
  <c r="N264" i="2"/>
  <c r="M264" i="2"/>
  <c r="O264" i="2" s="1"/>
  <c r="V263" i="2"/>
  <c r="S263" i="2"/>
  <c r="Y263" i="2" s="1"/>
  <c r="M263" i="2"/>
  <c r="Z262" i="2"/>
  <c r="Y262" i="2"/>
  <c r="AA262" i="2" s="1"/>
  <c r="W262" i="2"/>
  <c r="U262" i="2"/>
  <c r="T262" i="2"/>
  <c r="P262" i="2"/>
  <c r="S262" i="2" s="1"/>
  <c r="O262" i="2"/>
  <c r="N262" i="2"/>
  <c r="M262" i="2"/>
  <c r="L262" i="2"/>
  <c r="J262" i="2"/>
  <c r="V261" i="2"/>
  <c r="S261" i="2"/>
  <c r="Y261" i="2" s="1"/>
  <c r="M261" i="2"/>
  <c r="Y260" i="2"/>
  <c r="V260" i="2"/>
  <c r="S260" i="2"/>
  <c r="M260" i="2"/>
  <c r="V259" i="2"/>
  <c r="S259" i="2"/>
  <c r="Y259" i="2" s="1"/>
  <c r="M259" i="2"/>
  <c r="Z258" i="2"/>
  <c r="W258" i="2"/>
  <c r="T258" i="2"/>
  <c r="P258" i="2"/>
  <c r="N258" i="2"/>
  <c r="J258" i="2"/>
  <c r="Y256" i="2"/>
  <c r="V256" i="2"/>
  <c r="S256" i="2"/>
  <c r="M256" i="2"/>
  <c r="Y255" i="2"/>
  <c r="V255" i="2"/>
  <c r="S255" i="2"/>
  <c r="P254" i="2" s="1"/>
  <c r="R254" i="2" s="1"/>
  <c r="X254" i="2" s="1"/>
  <c r="M255" i="2"/>
  <c r="AA254" i="2"/>
  <c r="Z254" i="2"/>
  <c r="W254" i="2"/>
  <c r="V254" i="2"/>
  <c r="U254" i="2"/>
  <c r="T254" i="2"/>
  <c r="S254" i="2"/>
  <c r="Y254" i="2" s="1"/>
  <c r="N254" i="2"/>
  <c r="J254" i="2"/>
  <c r="M254" i="2" s="1"/>
  <c r="Y253" i="2"/>
  <c r="V253" i="2"/>
  <c r="S253" i="2"/>
  <c r="M253" i="2"/>
  <c r="Y252" i="2"/>
  <c r="V252" i="2"/>
  <c r="S252" i="2"/>
  <c r="P251" i="2" s="1"/>
  <c r="V251" i="2" s="1"/>
  <c r="M252" i="2"/>
  <c r="J251" i="2" s="1"/>
  <c r="AA251" i="2"/>
  <c r="W251" i="2"/>
  <c r="U251" i="2"/>
  <c r="T251" i="2"/>
  <c r="Z251" i="2" s="1"/>
  <c r="S251" i="2"/>
  <c r="Y251" i="2" s="1"/>
  <c r="R251" i="2"/>
  <c r="X251" i="2" s="1"/>
  <c r="N251" i="2"/>
  <c r="Y250" i="2"/>
  <c r="V250" i="2"/>
  <c r="S250" i="2"/>
  <c r="M250" i="2"/>
  <c r="Y249" i="2"/>
  <c r="V249" i="2"/>
  <c r="S249" i="2"/>
  <c r="P248" i="2" s="1"/>
  <c r="R248" i="2" s="1"/>
  <c r="X248" i="2" s="1"/>
  <c r="M249" i="2"/>
  <c r="AA248" i="2"/>
  <c r="Z248" i="2"/>
  <c r="W248" i="2"/>
  <c r="V248" i="2"/>
  <c r="U248" i="2"/>
  <c r="T248" i="2"/>
  <c r="S248" i="2"/>
  <c r="Y248" i="2" s="1"/>
  <c r="N248" i="2"/>
  <c r="J248" i="2"/>
  <c r="M248" i="2" s="1"/>
  <c r="Y247" i="2"/>
  <c r="V247" i="2"/>
  <c r="S247" i="2"/>
  <c r="M247" i="2"/>
  <c r="Y246" i="2"/>
  <c r="V246" i="2"/>
  <c r="S246" i="2"/>
  <c r="P245" i="2" s="1"/>
  <c r="V245" i="2" s="1"/>
  <c r="M246" i="2"/>
  <c r="J245" i="2" s="1"/>
  <c r="W245" i="2"/>
  <c r="U245" i="2"/>
  <c r="U244" i="2" s="1"/>
  <c r="T245" i="2"/>
  <c r="Z245" i="2" s="1"/>
  <c r="Z244" i="2" s="1"/>
  <c r="S245" i="2"/>
  <c r="Y245" i="2" s="1"/>
  <c r="R245" i="2"/>
  <c r="X245" i="2" s="1"/>
  <c r="N245" i="2"/>
  <c r="N244" i="2" s="1"/>
  <c r="S244" i="2"/>
  <c r="Y243" i="2"/>
  <c r="V243" i="2"/>
  <c r="S243" i="2"/>
  <c r="M243" i="2"/>
  <c r="Y242" i="2"/>
  <c r="V242" i="2"/>
  <c r="S242" i="2"/>
  <c r="P241" i="2" s="1"/>
  <c r="R241" i="2" s="1"/>
  <c r="M242" i="2"/>
  <c r="J241" i="2" s="1"/>
  <c r="L241" i="2" s="1"/>
  <c r="X241" i="2"/>
  <c r="W241" i="2"/>
  <c r="T241" i="2"/>
  <c r="S241" i="2"/>
  <c r="Y241" i="2" s="1"/>
  <c r="N241" i="2"/>
  <c r="Y240" i="2"/>
  <c r="V240" i="2"/>
  <c r="S240" i="2"/>
  <c r="M240" i="2"/>
  <c r="V239" i="2"/>
  <c r="S239" i="2"/>
  <c r="P238" i="2" s="1"/>
  <c r="R238" i="2" s="1"/>
  <c r="M239" i="2"/>
  <c r="X238" i="2"/>
  <c r="W238" i="2"/>
  <c r="V238" i="2"/>
  <c r="T238" i="2"/>
  <c r="S238" i="2"/>
  <c r="Y238" i="2" s="1"/>
  <c r="Y237" i="2" s="1"/>
  <c r="N238" i="2"/>
  <c r="M238" i="2"/>
  <c r="J238" i="2"/>
  <c r="L238" i="2" s="1"/>
  <c r="N237" i="2"/>
  <c r="V235" i="2"/>
  <c r="S235" i="2"/>
  <c r="Y235" i="2" s="1"/>
  <c r="M235" i="2"/>
  <c r="V234" i="2"/>
  <c r="S234" i="2"/>
  <c r="Y234" i="2" s="1"/>
  <c r="M234" i="2"/>
  <c r="V233" i="2"/>
  <c r="S233" i="2"/>
  <c r="Y233" i="2" s="1"/>
  <c r="M233" i="2"/>
  <c r="V232" i="2"/>
  <c r="S232" i="2"/>
  <c r="M232" i="2"/>
  <c r="Z231" i="2"/>
  <c r="W231" i="2"/>
  <c r="T231" i="2"/>
  <c r="N231" i="2"/>
  <c r="V230" i="2"/>
  <c r="S230" i="2"/>
  <c r="Y230" i="2" s="1"/>
  <c r="M230" i="2"/>
  <c r="V229" i="2"/>
  <c r="S229" i="2"/>
  <c r="Y229" i="2" s="1"/>
  <c r="M229" i="2"/>
  <c r="V228" i="2"/>
  <c r="S228" i="2"/>
  <c r="Y228" i="2" s="1"/>
  <c r="M228" i="2"/>
  <c r="J226" i="2" s="1"/>
  <c r="L226" i="2" s="1"/>
  <c r="V227" i="2"/>
  <c r="S227" i="2"/>
  <c r="M227" i="2"/>
  <c r="Z226" i="2"/>
  <c r="Z225" i="2" s="1"/>
  <c r="W226" i="2"/>
  <c r="T226" i="2"/>
  <c r="N226" i="2"/>
  <c r="T225" i="2"/>
  <c r="Y224" i="2"/>
  <c r="V224" i="2"/>
  <c r="S224" i="2"/>
  <c r="M224" i="2"/>
  <c r="Y223" i="2"/>
  <c r="V223" i="2"/>
  <c r="S223" i="2"/>
  <c r="M223" i="2"/>
  <c r="Y222" i="2"/>
  <c r="V222" i="2"/>
  <c r="S222" i="2"/>
  <c r="M222" i="2"/>
  <c r="J220" i="2" s="1"/>
  <c r="L220" i="2" s="1"/>
  <c r="Y221" i="2"/>
  <c r="V221" i="2"/>
  <c r="S221" i="2"/>
  <c r="M221" i="2"/>
  <c r="Z220" i="2"/>
  <c r="W220" i="2"/>
  <c r="T220" i="2"/>
  <c r="R220" i="2"/>
  <c r="X220" i="2" s="1"/>
  <c r="P220" i="2"/>
  <c r="V220" i="2" s="1"/>
  <c r="N220" i="2"/>
  <c r="M220" i="2"/>
  <c r="O220" i="2" s="1"/>
  <c r="Y219" i="2"/>
  <c r="V219" i="2"/>
  <c r="S219" i="2"/>
  <c r="M219" i="2"/>
  <c r="Y218" i="2"/>
  <c r="V218" i="2"/>
  <c r="S218" i="2"/>
  <c r="M218" i="2"/>
  <c r="Y217" i="2"/>
  <c r="V217" i="2"/>
  <c r="S217" i="2"/>
  <c r="M217" i="2"/>
  <c r="J215" i="2" s="1"/>
  <c r="Y216" i="2"/>
  <c r="V216" i="2"/>
  <c r="S216" i="2"/>
  <c r="M216" i="2"/>
  <c r="Z215" i="2"/>
  <c r="X215" i="2"/>
  <c r="W215" i="2"/>
  <c r="T215" i="2"/>
  <c r="S215" i="2"/>
  <c r="P215" i="2"/>
  <c r="R215" i="2" s="1"/>
  <c r="N215" i="2"/>
  <c r="V214" i="2"/>
  <c r="S214" i="2"/>
  <c r="Y214" i="2" s="1"/>
  <c r="M214" i="2"/>
  <c r="Y213" i="2"/>
  <c r="V213" i="2"/>
  <c r="S213" i="2"/>
  <c r="M213" i="2"/>
  <c r="V212" i="2"/>
  <c r="S212" i="2"/>
  <c r="M212" i="2"/>
  <c r="J210" i="2" s="1"/>
  <c r="L210" i="2" s="1"/>
  <c r="Y211" i="2"/>
  <c r="V211" i="2"/>
  <c r="S211" i="2"/>
  <c r="M211" i="2"/>
  <c r="Z210" i="2"/>
  <c r="W210" i="2"/>
  <c r="T210" i="2"/>
  <c r="O210" i="2"/>
  <c r="N210" i="2"/>
  <c r="M210" i="2"/>
  <c r="V209" i="2"/>
  <c r="S209" i="2"/>
  <c r="Y209" i="2" s="1"/>
  <c r="M209" i="2"/>
  <c r="Y208" i="2"/>
  <c r="V208" i="2"/>
  <c r="S208" i="2"/>
  <c r="M208" i="2"/>
  <c r="V207" i="2"/>
  <c r="S207" i="2"/>
  <c r="Y207" i="2" s="1"/>
  <c r="M207" i="2"/>
  <c r="J205" i="2" s="1"/>
  <c r="L205" i="2" s="1"/>
  <c r="Y206" i="2"/>
  <c r="V206" i="2"/>
  <c r="S206" i="2"/>
  <c r="M206" i="2"/>
  <c r="Z205" i="2"/>
  <c r="W205" i="2"/>
  <c r="V205" i="2"/>
  <c r="T205" i="2"/>
  <c r="P205" i="2"/>
  <c r="N205" i="2"/>
  <c r="M205" i="2"/>
  <c r="O205" i="2" s="1"/>
  <c r="Y204" i="2"/>
  <c r="V204" i="2"/>
  <c r="S204" i="2"/>
  <c r="M204" i="2"/>
  <c r="Y203" i="2"/>
  <c r="V203" i="2"/>
  <c r="S203" i="2"/>
  <c r="M203" i="2"/>
  <c r="Y202" i="2"/>
  <c r="V202" i="2"/>
  <c r="S202" i="2"/>
  <c r="M202" i="2"/>
  <c r="J200" i="2" s="1"/>
  <c r="L200" i="2" s="1"/>
  <c r="Y201" i="2"/>
  <c r="V201" i="2"/>
  <c r="S201" i="2"/>
  <c r="M201" i="2"/>
  <c r="Z200" i="2"/>
  <c r="W200" i="2"/>
  <c r="T200" i="2"/>
  <c r="S200" i="2"/>
  <c r="U200" i="2" s="1"/>
  <c r="R200" i="2"/>
  <c r="X200" i="2" s="1"/>
  <c r="P200" i="2"/>
  <c r="V200" i="2" s="1"/>
  <c r="N200" i="2"/>
  <c r="M200" i="2"/>
  <c r="O200" i="2" s="1"/>
  <c r="V199" i="2"/>
  <c r="S199" i="2"/>
  <c r="Y199" i="2" s="1"/>
  <c r="M199" i="2"/>
  <c r="Y198" i="2"/>
  <c r="V198" i="2"/>
  <c r="S198" i="2"/>
  <c r="M198" i="2"/>
  <c r="V197" i="2"/>
  <c r="S197" i="2"/>
  <c r="Y197" i="2" s="1"/>
  <c r="M197" i="2"/>
  <c r="J195" i="2" s="1"/>
  <c r="Y196" i="2"/>
  <c r="V196" i="2"/>
  <c r="S196" i="2"/>
  <c r="M196" i="2"/>
  <c r="Z195" i="2"/>
  <c r="W195" i="2"/>
  <c r="T195" i="2"/>
  <c r="N195" i="2"/>
  <c r="V194" i="2"/>
  <c r="S194" i="2"/>
  <c r="Y194" i="2" s="1"/>
  <c r="M194" i="2"/>
  <c r="Y193" i="2"/>
  <c r="V193" i="2"/>
  <c r="S193" i="2"/>
  <c r="M193" i="2"/>
  <c r="V192" i="2"/>
  <c r="S192" i="2"/>
  <c r="M192" i="2"/>
  <c r="J190" i="2" s="1"/>
  <c r="L190" i="2" s="1"/>
  <c r="Y191" i="2"/>
  <c r="V191" i="2"/>
  <c r="S191" i="2"/>
  <c r="M191" i="2"/>
  <c r="Z190" i="2"/>
  <c r="W190" i="2"/>
  <c r="T190" i="2"/>
  <c r="N190" i="2"/>
  <c r="Y189" i="2"/>
  <c r="V189" i="2"/>
  <c r="S189" i="2"/>
  <c r="M189" i="2"/>
  <c r="J187" i="2" s="1"/>
  <c r="L187" i="2" s="1"/>
  <c r="Y188" i="2"/>
  <c r="V188" i="2"/>
  <c r="S188" i="2"/>
  <c r="M188" i="2"/>
  <c r="Z187" i="2"/>
  <c r="W187" i="2"/>
  <c r="V187" i="2"/>
  <c r="T187" i="2"/>
  <c r="P187" i="2"/>
  <c r="N187" i="2"/>
  <c r="Y186" i="2"/>
  <c r="V186" i="2"/>
  <c r="S186" i="2"/>
  <c r="M186" i="2"/>
  <c r="J184" i="2" s="1"/>
  <c r="L184" i="2" s="1"/>
  <c r="Y185" i="2"/>
  <c r="V185" i="2"/>
  <c r="S185" i="2"/>
  <c r="M185" i="2"/>
  <c r="Z184" i="2"/>
  <c r="W184" i="2"/>
  <c r="T184" i="2"/>
  <c r="R184" i="2"/>
  <c r="X184" i="2" s="1"/>
  <c r="P184" i="2"/>
  <c r="V184" i="2" s="1"/>
  <c r="N184" i="2"/>
  <c r="M184" i="2"/>
  <c r="O184" i="2" s="1"/>
  <c r="Y183" i="2"/>
  <c r="V183" i="2"/>
  <c r="S183" i="2"/>
  <c r="M183" i="2"/>
  <c r="J181" i="2" s="1"/>
  <c r="Y182" i="2"/>
  <c r="V182" i="2"/>
  <c r="S182" i="2"/>
  <c r="M182" i="2"/>
  <c r="Z181" i="2"/>
  <c r="X181" i="2"/>
  <c r="W181" i="2"/>
  <c r="T181" i="2"/>
  <c r="S181" i="2"/>
  <c r="P181" i="2"/>
  <c r="R181" i="2" s="1"/>
  <c r="N181" i="2"/>
  <c r="V180" i="2"/>
  <c r="S180" i="2"/>
  <c r="M180" i="2"/>
  <c r="J178" i="2" s="1"/>
  <c r="L178" i="2" s="1"/>
  <c r="Y179" i="2"/>
  <c r="V179" i="2"/>
  <c r="S179" i="2"/>
  <c r="M179" i="2"/>
  <c r="Z178" i="2"/>
  <c r="W178" i="2"/>
  <c r="T178" i="2"/>
  <c r="O178" i="2"/>
  <c r="N178" i="2"/>
  <c r="M178" i="2"/>
  <c r="V177" i="2"/>
  <c r="S177" i="2"/>
  <c r="Y177" i="2" s="1"/>
  <c r="M177" i="2"/>
  <c r="J175" i="2" s="1"/>
  <c r="L175" i="2" s="1"/>
  <c r="Y176" i="2"/>
  <c r="V176" i="2"/>
  <c r="S176" i="2"/>
  <c r="M176" i="2"/>
  <c r="Z175" i="2"/>
  <c r="W175" i="2"/>
  <c r="T175" i="2"/>
  <c r="P175" i="2"/>
  <c r="N175" i="2"/>
  <c r="M175" i="2"/>
  <c r="O175" i="2" s="1"/>
  <c r="Y174" i="2"/>
  <c r="V174" i="2"/>
  <c r="S174" i="2"/>
  <c r="M174" i="2"/>
  <c r="J172" i="2" s="1"/>
  <c r="L172" i="2" s="1"/>
  <c r="Y173" i="2"/>
  <c r="V173" i="2"/>
  <c r="S173" i="2"/>
  <c r="M173" i="2"/>
  <c r="Z172" i="2"/>
  <c r="W172" i="2"/>
  <c r="V172" i="2"/>
  <c r="T172" i="2"/>
  <c r="S172" i="2"/>
  <c r="U172" i="2" s="1"/>
  <c r="R172" i="2"/>
  <c r="X172" i="2" s="1"/>
  <c r="P172" i="2"/>
  <c r="N172" i="2"/>
  <c r="M172" i="2"/>
  <c r="O172" i="2" s="1"/>
  <c r="V171" i="2"/>
  <c r="S171" i="2"/>
  <c r="Y171" i="2" s="1"/>
  <c r="M171" i="2"/>
  <c r="J169" i="2" s="1"/>
  <c r="Y170" i="2"/>
  <c r="V170" i="2"/>
  <c r="S170" i="2"/>
  <c r="M170" i="2"/>
  <c r="Z169" i="2"/>
  <c r="W169" i="2"/>
  <c r="T169" i="2"/>
  <c r="N169" i="2"/>
  <c r="V168" i="2"/>
  <c r="S168" i="2"/>
  <c r="M168" i="2"/>
  <c r="J166" i="2" s="1"/>
  <c r="L166" i="2" s="1"/>
  <c r="Y167" i="2"/>
  <c r="V167" i="2"/>
  <c r="S167" i="2"/>
  <c r="M167" i="2"/>
  <c r="Z166" i="2"/>
  <c r="W166" i="2"/>
  <c r="T166" i="2"/>
  <c r="N166" i="2"/>
  <c r="Y165" i="2"/>
  <c r="V165" i="2"/>
  <c r="S165" i="2"/>
  <c r="M165" i="2"/>
  <c r="J163" i="2" s="1"/>
  <c r="L163" i="2" s="1"/>
  <c r="Y164" i="2"/>
  <c r="V164" i="2"/>
  <c r="S164" i="2"/>
  <c r="M164" i="2"/>
  <c r="Z163" i="2"/>
  <c r="W163" i="2"/>
  <c r="T163" i="2"/>
  <c r="P163" i="2"/>
  <c r="N163" i="2"/>
  <c r="Y162" i="2"/>
  <c r="V162" i="2"/>
  <c r="S162" i="2"/>
  <c r="P161" i="2" s="1"/>
  <c r="V161" i="2" s="1"/>
  <c r="M162" i="2"/>
  <c r="J161" i="2" s="1"/>
  <c r="W161" i="2"/>
  <c r="U161" i="2"/>
  <c r="T161" i="2"/>
  <c r="Z161" i="2" s="1"/>
  <c r="AA161" i="2" s="1"/>
  <c r="S161" i="2"/>
  <c r="Y161" i="2" s="1"/>
  <c r="R161" i="2"/>
  <c r="X161" i="2" s="1"/>
  <c r="N161" i="2"/>
  <c r="Y160" i="2"/>
  <c r="V160" i="2"/>
  <c r="S160" i="2"/>
  <c r="M160" i="2"/>
  <c r="Z159" i="2"/>
  <c r="W159" i="2"/>
  <c r="V159" i="2"/>
  <c r="T159" i="2"/>
  <c r="S159" i="2"/>
  <c r="U159" i="2" s="1"/>
  <c r="R159" i="2"/>
  <c r="X159" i="2" s="1"/>
  <c r="P159" i="2"/>
  <c r="N159" i="2"/>
  <c r="M159" i="2"/>
  <c r="O159" i="2" s="1"/>
  <c r="L159" i="2"/>
  <c r="J159" i="2"/>
  <c r="Y158" i="2"/>
  <c r="V158" i="2"/>
  <c r="S158" i="2"/>
  <c r="P157" i="2" s="1"/>
  <c r="V157" i="2" s="1"/>
  <c r="M158" i="2"/>
  <c r="J157" i="2" s="1"/>
  <c r="L157" i="2" s="1"/>
  <c r="Z157" i="2"/>
  <c r="W157" i="2"/>
  <c r="T157" i="2"/>
  <c r="U157" i="2" s="1"/>
  <c r="S157" i="2"/>
  <c r="Y157" i="2" s="1"/>
  <c r="AA157" i="2" s="1"/>
  <c r="R157" i="2"/>
  <c r="X157" i="2" s="1"/>
  <c r="N157" i="2"/>
  <c r="M157" i="2"/>
  <c r="O157" i="2" s="1"/>
  <c r="Y156" i="2"/>
  <c r="V156" i="2"/>
  <c r="S156" i="2"/>
  <c r="M156" i="2"/>
  <c r="Z155" i="2"/>
  <c r="W155" i="2"/>
  <c r="T155" i="2"/>
  <c r="P155" i="2"/>
  <c r="N155" i="2"/>
  <c r="M155" i="2"/>
  <c r="O155" i="2" s="1"/>
  <c r="L155" i="2"/>
  <c r="J155" i="2"/>
  <c r="V154" i="2"/>
  <c r="S154" i="2"/>
  <c r="M154" i="2"/>
  <c r="J153" i="2" s="1"/>
  <c r="M153" i="2" s="1"/>
  <c r="O153" i="2" s="1"/>
  <c r="Z153" i="2"/>
  <c r="W153" i="2"/>
  <c r="T153" i="2"/>
  <c r="N153" i="2"/>
  <c r="Y152" i="2"/>
  <c r="V152" i="2"/>
  <c r="S152" i="2"/>
  <c r="M152" i="2"/>
  <c r="Z151" i="2"/>
  <c r="W151" i="2"/>
  <c r="T151" i="2"/>
  <c r="P151" i="2"/>
  <c r="V151" i="2" s="1"/>
  <c r="O151" i="2"/>
  <c r="N151" i="2"/>
  <c r="M151" i="2"/>
  <c r="L151" i="2"/>
  <c r="J151" i="2"/>
  <c r="V150" i="2"/>
  <c r="S150" i="2"/>
  <c r="P149" i="2" s="1"/>
  <c r="M150" i="2"/>
  <c r="Z149" i="2"/>
  <c r="W149" i="2"/>
  <c r="V149" i="2"/>
  <c r="T149" i="2"/>
  <c r="S149" i="2"/>
  <c r="Y149" i="2" s="1"/>
  <c r="AA149" i="2" s="1"/>
  <c r="R149" i="2"/>
  <c r="X149" i="2" s="1"/>
  <c r="N149" i="2"/>
  <c r="J149" i="2"/>
  <c r="Y148" i="2"/>
  <c r="V148" i="2"/>
  <c r="S148" i="2"/>
  <c r="M148" i="2"/>
  <c r="Z147" i="2"/>
  <c r="W147" i="2"/>
  <c r="T147" i="2"/>
  <c r="S147" i="2"/>
  <c r="P147" i="2"/>
  <c r="R147" i="2" s="1"/>
  <c r="X147" i="2" s="1"/>
  <c r="N147" i="2"/>
  <c r="M147" i="2"/>
  <c r="L147" i="2"/>
  <c r="J147" i="2"/>
  <c r="T146" i="2"/>
  <c r="Y145" i="2"/>
  <c r="V145" i="2"/>
  <c r="S145" i="2"/>
  <c r="M145" i="2"/>
  <c r="Y144" i="2"/>
  <c r="V144" i="2"/>
  <c r="S144" i="2"/>
  <c r="M144" i="2"/>
  <c r="Z143" i="2"/>
  <c r="Z142" i="2" s="1"/>
  <c r="W143" i="2"/>
  <c r="T143" i="2"/>
  <c r="T142" i="2" s="1"/>
  <c r="T141" i="2" s="1"/>
  <c r="P143" i="2"/>
  <c r="V143" i="2" s="1"/>
  <c r="N143" i="2"/>
  <c r="J143" i="2"/>
  <c r="N142" i="2"/>
  <c r="V140" i="2"/>
  <c r="S140" i="2"/>
  <c r="M140" i="2"/>
  <c r="J139" i="2" s="1"/>
  <c r="W139" i="2"/>
  <c r="T139" i="2"/>
  <c r="Z139" i="2" s="1"/>
  <c r="Z138" i="2" s="1"/>
  <c r="N139" i="2"/>
  <c r="N138" i="2" s="1"/>
  <c r="V137" i="2"/>
  <c r="S137" i="2"/>
  <c r="Y137" i="2" s="1"/>
  <c r="M137" i="2"/>
  <c r="Y136" i="2"/>
  <c r="V136" i="2"/>
  <c r="S136" i="2"/>
  <c r="M136" i="2"/>
  <c r="V135" i="2"/>
  <c r="S135" i="2"/>
  <c r="Y135" i="2" s="1"/>
  <c r="M135" i="2"/>
  <c r="J133" i="2" s="1"/>
  <c r="Y134" i="2"/>
  <c r="V134" i="2"/>
  <c r="S134" i="2"/>
  <c r="M134" i="2"/>
  <c r="Z133" i="2"/>
  <c r="W133" i="2"/>
  <c r="V133" i="2"/>
  <c r="T133" i="2"/>
  <c r="R133" i="2"/>
  <c r="X133" i="2" s="1"/>
  <c r="P133" i="2"/>
  <c r="S133" i="2" s="1"/>
  <c r="N133" i="2"/>
  <c r="M133" i="2"/>
  <c r="L133" i="2"/>
  <c r="V132" i="2"/>
  <c r="S132" i="2"/>
  <c r="Y132" i="2" s="1"/>
  <c r="M132" i="2"/>
  <c r="V131" i="2"/>
  <c r="S131" i="2"/>
  <c r="Y131" i="2" s="1"/>
  <c r="M131" i="2"/>
  <c r="V130" i="2"/>
  <c r="S130" i="2"/>
  <c r="Y130" i="2" s="1"/>
  <c r="M130" i="2"/>
  <c r="J128" i="2" s="1"/>
  <c r="V129" i="2"/>
  <c r="S129" i="2"/>
  <c r="Y129" i="2" s="1"/>
  <c r="M129" i="2"/>
  <c r="Z128" i="2"/>
  <c r="W128" i="2"/>
  <c r="T128" i="2"/>
  <c r="P128" i="2"/>
  <c r="V128" i="2" s="1"/>
  <c r="O128" i="2"/>
  <c r="N128" i="2"/>
  <c r="M128" i="2"/>
  <c r="L128" i="2"/>
  <c r="Y127" i="2"/>
  <c r="V127" i="2"/>
  <c r="S127" i="2"/>
  <c r="M127" i="2"/>
  <c r="Y126" i="2"/>
  <c r="V126" i="2"/>
  <c r="S126" i="2"/>
  <c r="M126" i="2"/>
  <c r="Y125" i="2"/>
  <c r="V125" i="2"/>
  <c r="S125" i="2"/>
  <c r="M125" i="2"/>
  <c r="J123" i="2" s="1"/>
  <c r="M123" i="2" s="1"/>
  <c r="O123" i="2" s="1"/>
  <c r="Y124" i="2"/>
  <c r="V124" i="2"/>
  <c r="S124" i="2"/>
  <c r="P123" i="2" s="1"/>
  <c r="M124" i="2"/>
  <c r="Z123" i="2"/>
  <c r="W123" i="2"/>
  <c r="T123" i="2"/>
  <c r="N123" i="2"/>
  <c r="Y122" i="2"/>
  <c r="V122" i="2"/>
  <c r="S122" i="2"/>
  <c r="M122" i="2"/>
  <c r="Y121" i="2"/>
  <c r="V121" i="2"/>
  <c r="S121" i="2"/>
  <c r="M121" i="2"/>
  <c r="Y120" i="2"/>
  <c r="V120" i="2"/>
  <c r="S120" i="2"/>
  <c r="M120" i="2"/>
  <c r="J118" i="2" s="1"/>
  <c r="Y119" i="2"/>
  <c r="V119" i="2"/>
  <c r="S119" i="2"/>
  <c r="P118" i="2" s="1"/>
  <c r="R118" i="2" s="1"/>
  <c r="X118" i="2" s="1"/>
  <c r="M119" i="2"/>
  <c r="Z118" i="2"/>
  <c r="W118" i="2"/>
  <c r="V118" i="2"/>
  <c r="T118" i="2"/>
  <c r="S118" i="2"/>
  <c r="N118" i="2"/>
  <c r="M118" i="2"/>
  <c r="O118" i="2" s="1"/>
  <c r="L118" i="2"/>
  <c r="Y117" i="2"/>
  <c r="V117" i="2"/>
  <c r="S117" i="2"/>
  <c r="M117" i="2"/>
  <c r="V116" i="2"/>
  <c r="S116" i="2"/>
  <c r="Y116" i="2" s="1"/>
  <c r="M116" i="2"/>
  <c r="Y115" i="2"/>
  <c r="V115" i="2"/>
  <c r="S115" i="2"/>
  <c r="M115" i="2"/>
  <c r="J113" i="2" s="1"/>
  <c r="V114" i="2"/>
  <c r="S114" i="2"/>
  <c r="M114" i="2"/>
  <c r="Z113" i="2"/>
  <c r="W113" i="2"/>
  <c r="T113" i="2"/>
  <c r="N113" i="2"/>
  <c r="M113" i="2"/>
  <c r="O113" i="2" s="1"/>
  <c r="L113" i="2"/>
  <c r="V112" i="2"/>
  <c r="S112" i="2"/>
  <c r="Y112" i="2" s="1"/>
  <c r="M112" i="2"/>
  <c r="V111" i="2"/>
  <c r="S111" i="2"/>
  <c r="Y111" i="2" s="1"/>
  <c r="M111" i="2"/>
  <c r="V110" i="2"/>
  <c r="S110" i="2"/>
  <c r="Y110" i="2" s="1"/>
  <c r="M110" i="2"/>
  <c r="V109" i="2"/>
  <c r="S109" i="2"/>
  <c r="Y109" i="2" s="1"/>
  <c r="M109" i="2"/>
  <c r="Z108" i="2"/>
  <c r="W108" i="2"/>
  <c r="T108" i="2"/>
  <c r="N108" i="2"/>
  <c r="J108" i="2"/>
  <c r="M108" i="2" s="1"/>
  <c r="O108" i="2" s="1"/>
  <c r="V107" i="2"/>
  <c r="S107" i="2"/>
  <c r="Y107" i="2" s="1"/>
  <c r="M107" i="2"/>
  <c r="V106" i="2"/>
  <c r="S106" i="2"/>
  <c r="Y106" i="2" s="1"/>
  <c r="M106" i="2"/>
  <c r="V105" i="2"/>
  <c r="S105" i="2"/>
  <c r="Y105" i="2" s="1"/>
  <c r="M105" i="2"/>
  <c r="V104" i="2"/>
  <c r="S104" i="2"/>
  <c r="Y104" i="2" s="1"/>
  <c r="M104" i="2"/>
  <c r="J103" i="2" s="1"/>
  <c r="Z103" i="2"/>
  <c r="W103" i="2"/>
  <c r="T103" i="2"/>
  <c r="P103" i="2"/>
  <c r="R103" i="2" s="1"/>
  <c r="X103" i="2" s="1"/>
  <c r="N103" i="2"/>
  <c r="V102" i="2"/>
  <c r="S102" i="2"/>
  <c r="Y102" i="2" s="1"/>
  <c r="M102" i="2"/>
  <c r="J99" i="2" s="1"/>
  <c r="Y101" i="2"/>
  <c r="V101" i="2"/>
  <c r="S101" i="2"/>
  <c r="M101" i="2"/>
  <c r="V100" i="2"/>
  <c r="S100" i="2"/>
  <c r="Y100" i="2" s="1"/>
  <c r="M100" i="2"/>
  <c r="Z99" i="2"/>
  <c r="W99" i="2"/>
  <c r="T99" i="2"/>
  <c r="N99" i="2"/>
  <c r="Y98" i="2"/>
  <c r="V98" i="2"/>
  <c r="S98" i="2"/>
  <c r="M98" i="2"/>
  <c r="V97" i="2"/>
  <c r="S97" i="2"/>
  <c r="Y97" i="2" s="1"/>
  <c r="M97" i="2"/>
  <c r="V96" i="2"/>
  <c r="S96" i="2"/>
  <c r="Y96" i="2" s="1"/>
  <c r="M96" i="2"/>
  <c r="V95" i="2"/>
  <c r="S95" i="2"/>
  <c r="Y95" i="2" s="1"/>
  <c r="M95" i="2"/>
  <c r="W94" i="2"/>
  <c r="T94" i="2"/>
  <c r="Z94" i="2" s="1"/>
  <c r="P94" i="2"/>
  <c r="V94" i="2" s="1"/>
  <c r="N94" i="2"/>
  <c r="J94" i="2"/>
  <c r="M94" i="2" s="1"/>
  <c r="O94" i="2" s="1"/>
  <c r="V93" i="2"/>
  <c r="S93" i="2"/>
  <c r="Y93" i="2" s="1"/>
  <c r="M93" i="2"/>
  <c r="Y92" i="2"/>
  <c r="V92" i="2"/>
  <c r="S92" i="2"/>
  <c r="M92" i="2"/>
  <c r="V91" i="2"/>
  <c r="S91" i="2"/>
  <c r="Y91" i="2" s="1"/>
  <c r="M91" i="2"/>
  <c r="J89" i="2" s="1"/>
  <c r="Y90" i="2"/>
  <c r="V90" i="2"/>
  <c r="S90" i="2"/>
  <c r="M90" i="2"/>
  <c r="W89" i="2"/>
  <c r="T89" i="2"/>
  <c r="Z89" i="2" s="1"/>
  <c r="N89" i="2"/>
  <c r="V88" i="2"/>
  <c r="S88" i="2"/>
  <c r="Y88" i="2" s="1"/>
  <c r="M88" i="2"/>
  <c r="Y87" i="2"/>
  <c r="V87" i="2"/>
  <c r="S87" i="2"/>
  <c r="M87" i="2"/>
  <c r="V86" i="2"/>
  <c r="S86" i="2"/>
  <c r="Y86" i="2" s="1"/>
  <c r="M86" i="2"/>
  <c r="J84" i="2" s="1"/>
  <c r="Y85" i="2"/>
  <c r="V85" i="2"/>
  <c r="S85" i="2"/>
  <c r="M85" i="2"/>
  <c r="W84" i="2"/>
  <c r="T84" i="2"/>
  <c r="Z84" i="2" s="1"/>
  <c r="N84" i="2"/>
  <c r="V83" i="2"/>
  <c r="S83" i="2"/>
  <c r="Y83" i="2" s="1"/>
  <c r="M83" i="2"/>
  <c r="Y82" i="2"/>
  <c r="V82" i="2"/>
  <c r="S82" i="2"/>
  <c r="M82" i="2"/>
  <c r="V81" i="2"/>
  <c r="S81" i="2"/>
  <c r="Y81" i="2" s="1"/>
  <c r="M81" i="2"/>
  <c r="J79" i="2" s="1"/>
  <c r="Y80" i="2"/>
  <c r="V80" i="2"/>
  <c r="S80" i="2"/>
  <c r="M80" i="2"/>
  <c r="W79" i="2"/>
  <c r="T79" i="2"/>
  <c r="Z79" i="2" s="1"/>
  <c r="N79" i="2"/>
  <c r="V78" i="2"/>
  <c r="S78" i="2"/>
  <c r="Y78" i="2" s="1"/>
  <c r="M78" i="2"/>
  <c r="Y77" i="2"/>
  <c r="V77" i="2"/>
  <c r="S77" i="2"/>
  <c r="M77" i="2"/>
  <c r="V76" i="2"/>
  <c r="S76" i="2"/>
  <c r="Y76" i="2" s="1"/>
  <c r="M76" i="2"/>
  <c r="J74" i="2" s="1"/>
  <c r="Y75" i="2"/>
  <c r="V75" i="2"/>
  <c r="S75" i="2"/>
  <c r="M75" i="2"/>
  <c r="W74" i="2"/>
  <c r="T74" i="2"/>
  <c r="Z74" i="2" s="1"/>
  <c r="N74" i="2"/>
  <c r="V73" i="2"/>
  <c r="S73" i="2"/>
  <c r="M73" i="2"/>
  <c r="W72" i="2"/>
  <c r="T72" i="2"/>
  <c r="Z72" i="2" s="1"/>
  <c r="N72" i="2"/>
  <c r="L72" i="2"/>
  <c r="J72" i="2"/>
  <c r="M72" i="2" s="1"/>
  <c r="O72" i="2" s="1"/>
  <c r="Y71" i="2"/>
  <c r="V71" i="2"/>
  <c r="S71" i="2"/>
  <c r="M71" i="2"/>
  <c r="W70" i="2"/>
  <c r="T70" i="2"/>
  <c r="Z70" i="2" s="1"/>
  <c r="P70" i="2"/>
  <c r="N70" i="2"/>
  <c r="J70" i="2"/>
  <c r="M70" i="2" s="1"/>
  <c r="O70" i="2" s="1"/>
  <c r="V69" i="2"/>
  <c r="S69" i="2"/>
  <c r="Y69" i="2" s="1"/>
  <c r="M69" i="2"/>
  <c r="J67" i="2" s="1"/>
  <c r="Y68" i="2"/>
  <c r="V68" i="2"/>
  <c r="S68" i="2"/>
  <c r="M68" i="2"/>
  <c r="W67" i="2"/>
  <c r="T67" i="2"/>
  <c r="Z67" i="2" s="1"/>
  <c r="P67" i="2"/>
  <c r="N67" i="2"/>
  <c r="V66" i="2"/>
  <c r="S66" i="2"/>
  <c r="Y66" i="2" s="1"/>
  <c r="M66" i="2"/>
  <c r="J64" i="2" s="1"/>
  <c r="Y65" i="2"/>
  <c r="V65" i="2"/>
  <c r="S65" i="2"/>
  <c r="M65" i="2"/>
  <c r="W64" i="2"/>
  <c r="T64" i="2"/>
  <c r="Z64" i="2" s="1"/>
  <c r="P64" i="2"/>
  <c r="N64" i="2"/>
  <c r="V63" i="2"/>
  <c r="S63" i="2"/>
  <c r="Y63" i="2" s="1"/>
  <c r="M63" i="2"/>
  <c r="J61" i="2" s="1"/>
  <c r="Y62" i="2"/>
  <c r="V62" i="2"/>
  <c r="S62" i="2"/>
  <c r="M62" i="2"/>
  <c r="W61" i="2"/>
  <c r="T61" i="2"/>
  <c r="Z61" i="2" s="1"/>
  <c r="N61" i="2"/>
  <c r="V60" i="2"/>
  <c r="S60" i="2"/>
  <c r="Y60" i="2" s="1"/>
  <c r="M60" i="2"/>
  <c r="J58" i="2" s="1"/>
  <c r="Y59" i="2"/>
  <c r="V59" i="2"/>
  <c r="S59" i="2"/>
  <c r="M59" i="2"/>
  <c r="W58" i="2"/>
  <c r="T58" i="2"/>
  <c r="Z58" i="2" s="1"/>
  <c r="P58" i="2"/>
  <c r="N58" i="2"/>
  <c r="V57" i="2"/>
  <c r="S57" i="2"/>
  <c r="Y57" i="2" s="1"/>
  <c r="M57" i="2"/>
  <c r="J55" i="2" s="1"/>
  <c r="Y56" i="2"/>
  <c r="V56" i="2"/>
  <c r="S56" i="2"/>
  <c r="M56" i="2"/>
  <c r="W55" i="2"/>
  <c r="T55" i="2"/>
  <c r="Z55" i="2" s="1"/>
  <c r="N55" i="2"/>
  <c r="V54" i="2"/>
  <c r="S54" i="2"/>
  <c r="Y54" i="2" s="1"/>
  <c r="M54" i="2"/>
  <c r="J52" i="2" s="1"/>
  <c r="Y53" i="2"/>
  <c r="V53" i="2"/>
  <c r="S53" i="2"/>
  <c r="M53" i="2"/>
  <c r="W52" i="2"/>
  <c r="T52" i="2"/>
  <c r="Z52" i="2" s="1"/>
  <c r="P52" i="2"/>
  <c r="N52" i="2"/>
  <c r="V51" i="2"/>
  <c r="S51" i="2"/>
  <c r="Y51" i="2" s="1"/>
  <c r="M51" i="2"/>
  <c r="Y50" i="2"/>
  <c r="V50" i="2"/>
  <c r="S50" i="2"/>
  <c r="M50" i="2"/>
  <c r="V49" i="2"/>
  <c r="S49" i="2"/>
  <c r="M49" i="2"/>
  <c r="W48" i="2"/>
  <c r="T48" i="2"/>
  <c r="Z48" i="2" s="1"/>
  <c r="N48" i="2"/>
  <c r="L48" i="2"/>
  <c r="J48" i="2"/>
  <c r="M48" i="2" s="1"/>
  <c r="O48" i="2" s="1"/>
  <c r="Y47" i="2"/>
  <c r="V47" i="2"/>
  <c r="S47" i="2"/>
  <c r="M47" i="2"/>
  <c r="V46" i="2"/>
  <c r="S46" i="2"/>
  <c r="Y46" i="2" s="1"/>
  <c r="M46" i="2"/>
  <c r="J44" i="2" s="1"/>
  <c r="Y45" i="2"/>
  <c r="V45" i="2"/>
  <c r="S45" i="2"/>
  <c r="M45" i="2"/>
  <c r="W44" i="2"/>
  <c r="T44" i="2"/>
  <c r="Z44" i="2" s="1"/>
  <c r="P44" i="2"/>
  <c r="N44" i="2"/>
  <c r="V43" i="2"/>
  <c r="S43" i="2"/>
  <c r="Y43" i="2" s="1"/>
  <c r="M43" i="2"/>
  <c r="Y42" i="2"/>
  <c r="V42" i="2"/>
  <c r="S42" i="2"/>
  <c r="M42" i="2"/>
  <c r="V41" i="2"/>
  <c r="S41" i="2"/>
  <c r="M41" i="2"/>
  <c r="W40" i="2"/>
  <c r="T40" i="2"/>
  <c r="Z40" i="2" s="1"/>
  <c r="N40" i="2"/>
  <c r="L40" i="2"/>
  <c r="J40" i="2"/>
  <c r="M40" i="2" s="1"/>
  <c r="N39" i="2"/>
  <c r="N38" i="2" s="1"/>
  <c r="V34" i="2"/>
  <c r="S34" i="2"/>
  <c r="Y34" i="2" s="1"/>
  <c r="M34" i="2"/>
  <c r="V33" i="2"/>
  <c r="S33" i="2"/>
  <c r="Y33" i="2" s="1"/>
  <c r="M33" i="2"/>
  <c r="V32" i="2"/>
  <c r="S32" i="2"/>
  <c r="Y32" i="2" s="1"/>
  <c r="M32" i="2"/>
  <c r="J30" i="2" s="1"/>
  <c r="V31" i="2"/>
  <c r="S31" i="2"/>
  <c r="Y31" i="2" s="1"/>
  <c r="M31" i="2"/>
  <c r="Z30" i="2"/>
  <c r="W30" i="2"/>
  <c r="T30" i="2"/>
  <c r="R30" i="2"/>
  <c r="X30" i="2" s="1"/>
  <c r="P30" i="2"/>
  <c r="V30" i="2" s="1"/>
  <c r="N30" i="2"/>
  <c r="V29" i="2"/>
  <c r="S29" i="2"/>
  <c r="Y29" i="2" s="1"/>
  <c r="M29" i="2"/>
  <c r="V28" i="2"/>
  <c r="S28" i="2"/>
  <c r="Y28" i="2" s="1"/>
  <c r="M28" i="2"/>
  <c r="V27" i="2"/>
  <c r="S27" i="2"/>
  <c r="Y27" i="2" s="1"/>
  <c r="M27" i="2"/>
  <c r="J25" i="2" s="1"/>
  <c r="V26" i="2"/>
  <c r="S26" i="2"/>
  <c r="Y26" i="2" s="1"/>
  <c r="M26" i="2"/>
  <c r="Z25" i="2"/>
  <c r="W25" i="2"/>
  <c r="T25" i="2"/>
  <c r="R25" i="2"/>
  <c r="X25" i="2" s="1"/>
  <c r="P25" i="2"/>
  <c r="V25" i="2" s="1"/>
  <c r="N25" i="2"/>
  <c r="V24" i="2"/>
  <c r="S24" i="2"/>
  <c r="Y24" i="2" s="1"/>
  <c r="M24" i="2"/>
  <c r="V23" i="2"/>
  <c r="S23" i="2"/>
  <c r="Y23" i="2" s="1"/>
  <c r="M23" i="2"/>
  <c r="V22" i="2"/>
  <c r="S22" i="2"/>
  <c r="Y22" i="2" s="1"/>
  <c r="M22" i="2"/>
  <c r="J20" i="2" s="1"/>
  <c r="V21" i="2"/>
  <c r="S21" i="2"/>
  <c r="Y21" i="2" s="1"/>
  <c r="M21" i="2"/>
  <c r="Z20" i="2"/>
  <c r="W20" i="2"/>
  <c r="T20" i="2"/>
  <c r="R20" i="2"/>
  <c r="X20" i="2" s="1"/>
  <c r="P20" i="2"/>
  <c r="V20" i="2" s="1"/>
  <c r="N20" i="2"/>
  <c r="V19" i="2"/>
  <c r="S19" i="2"/>
  <c r="Y19" i="2" s="1"/>
  <c r="M19" i="2"/>
  <c r="V18" i="2"/>
  <c r="S18" i="2"/>
  <c r="Y18" i="2" s="1"/>
  <c r="M18" i="2"/>
  <c r="V17" i="2"/>
  <c r="S17" i="2"/>
  <c r="Y17" i="2" s="1"/>
  <c r="M17" i="2"/>
  <c r="J15" i="2" s="1"/>
  <c r="V16" i="2"/>
  <c r="S16" i="2"/>
  <c r="Y16" i="2" s="1"/>
  <c r="M16" i="2"/>
  <c r="Z15" i="2"/>
  <c r="Z14" i="2" s="1"/>
  <c r="Z13" i="2" s="1"/>
  <c r="Z12" i="2" s="1"/>
  <c r="Z11" i="2" s="1"/>
  <c r="Z10" i="2" s="1"/>
  <c r="W15" i="2"/>
  <c r="T15" i="2"/>
  <c r="T14" i="2" s="1"/>
  <c r="T13" i="2" s="1"/>
  <c r="T12" i="2" s="1"/>
  <c r="T11" i="2" s="1"/>
  <c r="T10" i="2" s="1"/>
  <c r="P15" i="2"/>
  <c r="N15" i="2"/>
  <c r="N14" i="2"/>
  <c r="N13" i="2" s="1"/>
  <c r="N12" i="2" s="1"/>
  <c r="N11" i="2" s="1"/>
  <c r="N10" i="2" s="1"/>
  <c r="L20" i="2" l="1"/>
  <c r="M20" i="2"/>
  <c r="O20" i="2" s="1"/>
  <c r="P55" i="2"/>
  <c r="M55" i="2"/>
  <c r="O55" i="2" s="1"/>
  <c r="L55" i="2"/>
  <c r="P61" i="2"/>
  <c r="M61" i="2"/>
  <c r="O61" i="2" s="1"/>
  <c r="L61" i="2"/>
  <c r="V67" i="2"/>
  <c r="S67" i="2"/>
  <c r="R67" i="2"/>
  <c r="X67" i="2" s="1"/>
  <c r="M67" i="2"/>
  <c r="O67" i="2" s="1"/>
  <c r="L67" i="2"/>
  <c r="P79" i="2"/>
  <c r="O40" i="2"/>
  <c r="M84" i="2"/>
  <c r="O84" i="2" s="1"/>
  <c r="L84" i="2"/>
  <c r="M99" i="2"/>
  <c r="O99" i="2" s="1"/>
  <c r="L99" i="2"/>
  <c r="M103" i="2"/>
  <c r="O103" i="2" s="1"/>
  <c r="L103" i="2"/>
  <c r="P40" i="2"/>
  <c r="Y41" i="2"/>
  <c r="M44" i="2"/>
  <c r="O44" i="2" s="1"/>
  <c r="L44" i="2"/>
  <c r="M52" i="2"/>
  <c r="O52" i="2" s="1"/>
  <c r="L52" i="2"/>
  <c r="V58" i="2"/>
  <c r="S58" i="2"/>
  <c r="R58" i="2"/>
  <c r="X58" i="2" s="1"/>
  <c r="M58" i="2"/>
  <c r="O58" i="2" s="1"/>
  <c r="L58" i="2"/>
  <c r="V64" i="2"/>
  <c r="S64" i="2"/>
  <c r="R64" i="2"/>
  <c r="X64" i="2" s="1"/>
  <c r="M64" i="2"/>
  <c r="O64" i="2" s="1"/>
  <c r="L64" i="2"/>
  <c r="P72" i="2"/>
  <c r="Y73" i="2"/>
  <c r="M89" i="2"/>
  <c r="O89" i="2" s="1"/>
  <c r="L89" i="2"/>
  <c r="M30" i="2"/>
  <c r="O30" i="2" s="1"/>
  <c r="L30" i="2"/>
  <c r="V70" i="2"/>
  <c r="S70" i="2"/>
  <c r="R70" i="2"/>
  <c r="X70" i="2" s="1"/>
  <c r="P48" i="2"/>
  <c r="Y49" i="2"/>
  <c r="V44" i="2"/>
  <c r="S44" i="2"/>
  <c r="R44" i="2"/>
  <c r="X44" i="2" s="1"/>
  <c r="M15" i="2"/>
  <c r="L15" i="2"/>
  <c r="Z39" i="2"/>
  <c r="Z38" i="2" s="1"/>
  <c r="M25" i="2"/>
  <c r="O25" i="2" s="1"/>
  <c r="L25" i="2"/>
  <c r="M79" i="2"/>
  <c r="O79" i="2" s="1"/>
  <c r="L79" i="2"/>
  <c r="V52" i="2"/>
  <c r="S52" i="2"/>
  <c r="R52" i="2"/>
  <c r="X52" i="2" s="1"/>
  <c r="V15" i="2"/>
  <c r="S15" i="2"/>
  <c r="R15" i="2"/>
  <c r="X15" i="2" s="1"/>
  <c r="P74" i="2"/>
  <c r="M74" i="2"/>
  <c r="O74" i="2" s="1"/>
  <c r="L74" i="2"/>
  <c r="U147" i="2"/>
  <c r="Y147" i="2"/>
  <c r="P99" i="2"/>
  <c r="P113" i="2"/>
  <c r="Y114" i="2"/>
  <c r="Y118" i="2"/>
  <c r="AA118" i="2" s="1"/>
  <c r="U118" i="2"/>
  <c r="N146" i="2"/>
  <c r="N141" i="2" s="1"/>
  <c r="N37" i="2" s="1"/>
  <c r="N36" i="2" s="1"/>
  <c r="N35" i="2" s="1"/>
  <c r="N9" i="2" s="1"/>
  <c r="N8" i="2" s="1"/>
  <c r="N293" i="2" s="1"/>
  <c r="U181" i="2"/>
  <c r="Y181" i="2"/>
  <c r="AA181" i="2" s="1"/>
  <c r="U215" i="2"/>
  <c r="Y215" i="2"/>
  <c r="AA215" i="2" s="1"/>
  <c r="R258" i="2"/>
  <c r="X258" i="2" s="1"/>
  <c r="V258" i="2"/>
  <c r="S258" i="2"/>
  <c r="Y285" i="2"/>
  <c r="AA285" i="2" s="1"/>
  <c r="P108" i="2"/>
  <c r="U133" i="2"/>
  <c r="Y133" i="2"/>
  <c r="AA133" i="2" s="1"/>
  <c r="S155" i="2"/>
  <c r="R155" i="2"/>
  <c r="X155" i="2" s="1"/>
  <c r="R163" i="2"/>
  <c r="X163" i="2" s="1"/>
  <c r="S163" i="2"/>
  <c r="Y168" i="2"/>
  <c r="P166" i="2"/>
  <c r="L181" i="2"/>
  <c r="M181" i="2"/>
  <c r="O181" i="2" s="1"/>
  <c r="L195" i="2"/>
  <c r="M195" i="2"/>
  <c r="O195" i="2" s="1"/>
  <c r="L215" i="2"/>
  <c r="M215" i="2"/>
  <c r="O215" i="2" s="1"/>
  <c r="Z238" i="2"/>
  <c r="T237" i="2"/>
  <c r="Y264" i="2"/>
  <c r="AA264" i="2" s="1"/>
  <c r="U264" i="2"/>
  <c r="M285" i="2"/>
  <c r="O285" i="2" s="1"/>
  <c r="L285" i="2"/>
  <c r="P84" i="2"/>
  <c r="S20" i="2"/>
  <c r="S25" i="2"/>
  <c r="S30" i="2"/>
  <c r="R94" i="2"/>
  <c r="X94" i="2" s="1"/>
  <c r="M149" i="2"/>
  <c r="O149" i="2" s="1"/>
  <c r="L149" i="2"/>
  <c r="P153" i="2"/>
  <c r="Y154" i="2"/>
  <c r="V155" i="2"/>
  <c r="V163" i="2"/>
  <c r="N236" i="2"/>
  <c r="AA245" i="2"/>
  <c r="AA244" i="2" s="1"/>
  <c r="P287" i="2"/>
  <c r="Y288" i="2"/>
  <c r="M289" i="2"/>
  <c r="O289" i="2" s="1"/>
  <c r="L289" i="2"/>
  <c r="P89" i="2"/>
  <c r="T39" i="2"/>
  <c r="S94" i="2"/>
  <c r="L153" i="2"/>
  <c r="M161" i="2"/>
  <c r="O161" i="2" s="1"/>
  <c r="L161" i="2"/>
  <c r="S175" i="2"/>
  <c r="R175" i="2"/>
  <c r="X175" i="2" s="1"/>
  <c r="P178" i="2"/>
  <c r="Y180" i="2"/>
  <c r="M241" i="2"/>
  <c r="O241" i="2" s="1"/>
  <c r="M245" i="2"/>
  <c r="L245" i="2"/>
  <c r="O248" i="2"/>
  <c r="M251" i="2"/>
  <c r="O251" i="2" s="1"/>
  <c r="L251" i="2"/>
  <c r="O254" i="2"/>
  <c r="Z257" i="2"/>
  <c r="S266" i="2"/>
  <c r="R266" i="2"/>
  <c r="X266" i="2" s="1"/>
  <c r="Y269" i="2"/>
  <c r="AA269" i="2" s="1"/>
  <c r="V103" i="2"/>
  <c r="S103" i="2"/>
  <c r="M139" i="2"/>
  <c r="L139" i="2"/>
  <c r="L169" i="2"/>
  <c r="M169" i="2"/>
  <c r="O169" i="2" s="1"/>
  <c r="P210" i="2"/>
  <c r="Y212" i="2"/>
  <c r="M269" i="2"/>
  <c r="O269" i="2" s="1"/>
  <c r="L269" i="2"/>
  <c r="L287" i="2"/>
  <c r="P291" i="2"/>
  <c r="Y292" i="2"/>
  <c r="L70" i="2"/>
  <c r="L94" i="2"/>
  <c r="L123" i="2"/>
  <c r="T138" i="2"/>
  <c r="Y140" i="2"/>
  <c r="P139" i="2"/>
  <c r="V175" i="2"/>
  <c r="R187" i="2"/>
  <c r="X187" i="2" s="1"/>
  <c r="S187" i="2"/>
  <c r="Y192" i="2"/>
  <c r="P190" i="2"/>
  <c r="S205" i="2"/>
  <c r="R205" i="2"/>
  <c r="X205" i="2" s="1"/>
  <c r="P226" i="2"/>
  <c r="O238" i="2"/>
  <c r="M258" i="2"/>
  <c r="L258" i="2"/>
  <c r="V266" i="2"/>
  <c r="S128" i="2"/>
  <c r="R128" i="2"/>
  <c r="X128" i="2" s="1"/>
  <c r="L108" i="2"/>
  <c r="S123" i="2"/>
  <c r="R123" i="2"/>
  <c r="X123" i="2" s="1"/>
  <c r="V123" i="2"/>
  <c r="O133" i="2"/>
  <c r="O147" i="2"/>
  <c r="O146" i="2" s="1"/>
  <c r="Z146" i="2"/>
  <c r="Z141" i="2" s="1"/>
  <c r="M226" i="2"/>
  <c r="Y232" i="2"/>
  <c r="P231" i="2"/>
  <c r="Z241" i="2"/>
  <c r="AA241" i="2" s="1"/>
  <c r="U241" i="2"/>
  <c r="P271" i="2"/>
  <c r="Y272" i="2"/>
  <c r="L291" i="2"/>
  <c r="R143" i="2"/>
  <c r="X143" i="2" s="1"/>
  <c r="V147" i="2"/>
  <c r="R151" i="2"/>
  <c r="X151" i="2" s="1"/>
  <c r="M166" i="2"/>
  <c r="O166" i="2" s="1"/>
  <c r="P169" i="2"/>
  <c r="V181" i="2"/>
  <c r="M190" i="2"/>
  <c r="O190" i="2" s="1"/>
  <c r="P195" i="2"/>
  <c r="V215" i="2"/>
  <c r="S237" i="2"/>
  <c r="S236" i="2" s="1"/>
  <c r="V241" i="2"/>
  <c r="T244" i="2"/>
  <c r="Y244" i="2"/>
  <c r="Y236" i="2" s="1"/>
  <c r="L248" i="2"/>
  <c r="L254" i="2"/>
  <c r="R262" i="2"/>
  <c r="X262" i="2" s="1"/>
  <c r="S143" i="2"/>
  <c r="U149" i="2"/>
  <c r="Y150" i="2"/>
  <c r="S151" i="2"/>
  <c r="Y227" i="2"/>
  <c r="T257" i="2"/>
  <c r="M163" i="2"/>
  <c r="O163" i="2" s="1"/>
  <c r="S184" i="2"/>
  <c r="M187" i="2"/>
  <c r="O187" i="2" s="1"/>
  <c r="S220" i="2"/>
  <c r="N225" i="2"/>
  <c r="U238" i="2"/>
  <c r="U237" i="2" s="1"/>
  <c r="U236" i="2" s="1"/>
  <c r="Y239" i="2"/>
  <c r="V262" i="2"/>
  <c r="M143" i="2"/>
  <c r="L143" i="2"/>
  <c r="Y159" i="2"/>
  <c r="AA159" i="2" s="1"/>
  <c r="Y172" i="2"/>
  <c r="AA172" i="2" s="1"/>
  <c r="Y200" i="2"/>
  <c r="AA200" i="2" s="1"/>
  <c r="J231" i="2"/>
  <c r="R285" i="2"/>
  <c r="X285" i="2" s="1"/>
  <c r="R289" i="2"/>
  <c r="X289" i="2" s="1"/>
  <c r="V292" i="1"/>
  <c r="S292" i="1"/>
  <c r="Y292" i="1" s="1"/>
  <c r="M292" i="1"/>
  <c r="W291" i="1"/>
  <c r="T291" i="1"/>
  <c r="Z291" i="1" s="1"/>
  <c r="N291" i="1"/>
  <c r="J291" i="1"/>
  <c r="M291" i="1" s="1"/>
  <c r="O291" i="1" s="1"/>
  <c r="V290" i="1"/>
  <c r="S290" i="1"/>
  <c r="P289" i="1" s="1"/>
  <c r="M290" i="1"/>
  <c r="Z289" i="1"/>
  <c r="W289" i="1"/>
  <c r="T289" i="1"/>
  <c r="N289" i="1"/>
  <c r="L289" i="1"/>
  <c r="J289" i="1"/>
  <c r="M289" i="1" s="1"/>
  <c r="O289" i="1" s="1"/>
  <c r="V288" i="1"/>
  <c r="S288" i="1"/>
  <c r="Y288" i="1" s="1"/>
  <c r="M288" i="1"/>
  <c r="W287" i="1"/>
  <c r="T287" i="1"/>
  <c r="Z287" i="1" s="1"/>
  <c r="S287" i="1"/>
  <c r="U287" i="1" s="1"/>
  <c r="P287" i="1"/>
  <c r="V287" i="1" s="1"/>
  <c r="N287" i="1"/>
  <c r="J287" i="1"/>
  <c r="M287" i="1" s="1"/>
  <c r="O287" i="1" s="1"/>
  <c r="Y286" i="1"/>
  <c r="V286" i="1"/>
  <c r="S286" i="1"/>
  <c r="P285" i="1" s="1"/>
  <c r="M286" i="1"/>
  <c r="Z285" i="1"/>
  <c r="W285" i="1"/>
  <c r="T285" i="1"/>
  <c r="N285" i="1"/>
  <c r="L285" i="1"/>
  <c r="J285" i="1"/>
  <c r="M285" i="1" s="1"/>
  <c r="O285" i="1" s="1"/>
  <c r="V284" i="1"/>
  <c r="S284" i="1"/>
  <c r="Y284" i="1" s="1"/>
  <c r="M284" i="1"/>
  <c r="Y283" i="1"/>
  <c r="V283" i="1"/>
  <c r="S283" i="1"/>
  <c r="M283" i="1"/>
  <c r="V282" i="1"/>
  <c r="S282" i="1"/>
  <c r="Y282" i="1" s="1"/>
  <c r="M282" i="1"/>
  <c r="Y281" i="1"/>
  <c r="V281" i="1"/>
  <c r="S281" i="1"/>
  <c r="M281" i="1"/>
  <c r="V280" i="1"/>
  <c r="S280" i="1"/>
  <c r="Y280" i="1" s="1"/>
  <c r="M280" i="1"/>
  <c r="Y279" i="1"/>
  <c r="V279" i="1"/>
  <c r="S279" i="1"/>
  <c r="M279" i="1"/>
  <c r="V278" i="1"/>
  <c r="S278" i="1"/>
  <c r="Y278" i="1" s="1"/>
  <c r="M278" i="1"/>
  <c r="Y277" i="1"/>
  <c r="V277" i="1"/>
  <c r="S277" i="1"/>
  <c r="M277" i="1"/>
  <c r="V276" i="1"/>
  <c r="S276" i="1"/>
  <c r="Y276" i="1" s="1"/>
  <c r="M276" i="1"/>
  <c r="Y275" i="1"/>
  <c r="V275" i="1"/>
  <c r="S275" i="1"/>
  <c r="M275" i="1"/>
  <c r="V274" i="1"/>
  <c r="S274" i="1"/>
  <c r="Y274" i="1" s="1"/>
  <c r="M274" i="1"/>
  <c r="Y273" i="1"/>
  <c r="V273" i="1"/>
  <c r="S273" i="1"/>
  <c r="M273" i="1"/>
  <c r="V272" i="1"/>
  <c r="S272" i="1"/>
  <c r="Y272" i="1" s="1"/>
  <c r="M272" i="1"/>
  <c r="W271" i="1"/>
  <c r="T271" i="1"/>
  <c r="Z271" i="1" s="1"/>
  <c r="S271" i="1"/>
  <c r="U271" i="1" s="1"/>
  <c r="P271" i="1"/>
  <c r="V271" i="1" s="1"/>
  <c r="N271" i="1"/>
  <c r="J271" i="1"/>
  <c r="M271" i="1" s="1"/>
  <c r="O271" i="1" s="1"/>
  <c r="Y270" i="1"/>
  <c r="V270" i="1"/>
  <c r="S270" i="1"/>
  <c r="P269" i="1" s="1"/>
  <c r="M270" i="1"/>
  <c r="Z269" i="1"/>
  <c r="W269" i="1"/>
  <c r="T269" i="1"/>
  <c r="N269" i="1"/>
  <c r="N257" i="1" s="1"/>
  <c r="L269" i="1"/>
  <c r="J269" i="1"/>
  <c r="M269" i="1" s="1"/>
  <c r="O269" i="1" s="1"/>
  <c r="Z268" i="1"/>
  <c r="AA268" i="1" s="1"/>
  <c r="W268" i="1"/>
  <c r="U268" i="1"/>
  <c r="T268" i="1"/>
  <c r="R268" i="1"/>
  <c r="X268" i="1" s="1"/>
  <c r="O268" i="1"/>
  <c r="N268" i="1"/>
  <c r="L268" i="1"/>
  <c r="V267" i="1"/>
  <c r="S267" i="1"/>
  <c r="P266" i="1" s="1"/>
  <c r="M267" i="1"/>
  <c r="Z266" i="1"/>
  <c r="W266" i="1"/>
  <c r="T266" i="1"/>
  <c r="N266" i="1"/>
  <c r="M266" i="1"/>
  <c r="O266" i="1" s="1"/>
  <c r="L266" i="1"/>
  <c r="J266" i="1"/>
  <c r="Y265" i="1"/>
  <c r="V265" i="1"/>
  <c r="S265" i="1"/>
  <c r="M265" i="1"/>
  <c r="Z264" i="1"/>
  <c r="W264" i="1"/>
  <c r="T264" i="1"/>
  <c r="R264" i="1"/>
  <c r="X264" i="1" s="1"/>
  <c r="P264" i="1"/>
  <c r="V264" i="1" s="1"/>
  <c r="N264" i="1"/>
  <c r="J264" i="1"/>
  <c r="M264" i="1" s="1"/>
  <c r="O264" i="1" s="1"/>
  <c r="V263" i="1"/>
  <c r="S263" i="1"/>
  <c r="P262" i="1" s="1"/>
  <c r="M263" i="1"/>
  <c r="Z262" i="1"/>
  <c r="W262" i="1"/>
  <c r="T262" i="1"/>
  <c r="N262" i="1"/>
  <c r="M262" i="1"/>
  <c r="O262" i="1" s="1"/>
  <c r="L262" i="1"/>
  <c r="J262" i="1"/>
  <c r="Y261" i="1"/>
  <c r="V261" i="1"/>
  <c r="S261" i="1"/>
  <c r="M261" i="1"/>
  <c r="V260" i="1"/>
  <c r="S260" i="1"/>
  <c r="Y260" i="1" s="1"/>
  <c r="M260" i="1"/>
  <c r="Y259" i="1"/>
  <c r="V259" i="1"/>
  <c r="S259" i="1"/>
  <c r="M259" i="1"/>
  <c r="Z258" i="1"/>
  <c r="Z257" i="1" s="1"/>
  <c r="W258" i="1"/>
  <c r="T258" i="1"/>
  <c r="R258" i="1"/>
  <c r="X258" i="1" s="1"/>
  <c r="P258" i="1"/>
  <c r="V258" i="1" s="1"/>
  <c r="N258" i="1"/>
  <c r="J258" i="1"/>
  <c r="M258" i="1" s="1"/>
  <c r="Y256" i="1"/>
  <c r="V256" i="1"/>
  <c r="S256" i="1"/>
  <c r="M256" i="1"/>
  <c r="J254" i="1" s="1"/>
  <c r="V255" i="1"/>
  <c r="S255" i="1"/>
  <c r="Y255" i="1" s="1"/>
  <c r="M255" i="1"/>
  <c r="Z254" i="1"/>
  <c r="Z244" i="1" s="1"/>
  <c r="W254" i="1"/>
  <c r="T254" i="1"/>
  <c r="N254" i="1"/>
  <c r="Y253" i="1"/>
  <c r="V253" i="1"/>
  <c r="S253" i="1"/>
  <c r="M253" i="1"/>
  <c r="J251" i="1" s="1"/>
  <c r="V252" i="1"/>
  <c r="S252" i="1"/>
  <c r="Y252" i="1" s="1"/>
  <c r="M252" i="1"/>
  <c r="Z251" i="1"/>
  <c r="W251" i="1"/>
  <c r="T251" i="1"/>
  <c r="N251" i="1"/>
  <c r="Y250" i="1"/>
  <c r="V250" i="1"/>
  <c r="S250" i="1"/>
  <c r="M250" i="1"/>
  <c r="J248" i="1" s="1"/>
  <c r="V249" i="1"/>
  <c r="S249" i="1"/>
  <c r="Y249" i="1" s="1"/>
  <c r="M249" i="1"/>
  <c r="Z248" i="1"/>
  <c r="W248" i="1"/>
  <c r="T248" i="1"/>
  <c r="N248" i="1"/>
  <c r="Y247" i="1"/>
  <c r="V247" i="1"/>
  <c r="S247" i="1"/>
  <c r="M247" i="1"/>
  <c r="J245" i="1" s="1"/>
  <c r="V246" i="1"/>
  <c r="S246" i="1"/>
  <c r="Y246" i="1" s="1"/>
  <c r="M246" i="1"/>
  <c r="Z245" i="1"/>
  <c r="W245" i="1"/>
  <c r="T245" i="1"/>
  <c r="T244" i="1" s="1"/>
  <c r="N245" i="1"/>
  <c r="N244" i="1"/>
  <c r="Y243" i="1"/>
  <c r="V243" i="1"/>
  <c r="S243" i="1"/>
  <c r="M243" i="1"/>
  <c r="V242" i="1"/>
  <c r="S242" i="1"/>
  <c r="Y242" i="1" s="1"/>
  <c r="M242" i="1"/>
  <c r="W241" i="1"/>
  <c r="T241" i="1"/>
  <c r="Z241" i="1" s="1"/>
  <c r="S241" i="1"/>
  <c r="P241" i="1"/>
  <c r="V241" i="1" s="1"/>
  <c r="N241" i="1"/>
  <c r="J241" i="1"/>
  <c r="Y240" i="1"/>
  <c r="V240" i="1"/>
  <c r="S240" i="1"/>
  <c r="M240" i="1"/>
  <c r="V239" i="1"/>
  <c r="S239" i="1"/>
  <c r="Y239" i="1" s="1"/>
  <c r="M239" i="1"/>
  <c r="J238" i="1" s="1"/>
  <c r="W238" i="1"/>
  <c r="T238" i="1"/>
  <c r="S238" i="1"/>
  <c r="P238" i="1"/>
  <c r="V238" i="1" s="1"/>
  <c r="N238" i="1"/>
  <c r="N237" i="1"/>
  <c r="N236" i="1" s="1"/>
  <c r="Y235" i="1"/>
  <c r="V235" i="1"/>
  <c r="S235" i="1"/>
  <c r="M235" i="1"/>
  <c r="V234" i="1"/>
  <c r="S234" i="1"/>
  <c r="Y234" i="1" s="1"/>
  <c r="M234" i="1"/>
  <c r="Y233" i="1"/>
  <c r="V233" i="1"/>
  <c r="S233" i="1"/>
  <c r="M233" i="1"/>
  <c r="J231" i="1" s="1"/>
  <c r="M231" i="1" s="1"/>
  <c r="O231" i="1" s="1"/>
  <c r="V232" i="1"/>
  <c r="S232" i="1"/>
  <c r="M232" i="1"/>
  <c r="W231" i="1"/>
  <c r="T231" i="1"/>
  <c r="Z231" i="1" s="1"/>
  <c r="N231" i="1"/>
  <c r="Y230" i="1"/>
  <c r="V230" i="1"/>
  <c r="S230" i="1"/>
  <c r="M230" i="1"/>
  <c r="V229" i="1"/>
  <c r="S229" i="1"/>
  <c r="Y229" i="1" s="1"/>
  <c r="M229" i="1"/>
  <c r="Y228" i="1"/>
  <c r="V228" i="1"/>
  <c r="S228" i="1"/>
  <c r="M228" i="1"/>
  <c r="V227" i="1"/>
  <c r="S227" i="1"/>
  <c r="M227" i="1"/>
  <c r="W226" i="1"/>
  <c r="T226" i="1"/>
  <c r="Z226" i="1" s="1"/>
  <c r="Z225" i="1" s="1"/>
  <c r="N226" i="1"/>
  <c r="N225" i="1"/>
  <c r="V224" i="1"/>
  <c r="S224" i="1"/>
  <c r="Y224" i="1" s="1"/>
  <c r="M224" i="1"/>
  <c r="Y223" i="1"/>
  <c r="V223" i="1"/>
  <c r="S223" i="1"/>
  <c r="M223" i="1"/>
  <c r="J220" i="1" s="1"/>
  <c r="L220" i="1" s="1"/>
  <c r="V222" i="1"/>
  <c r="S222" i="1"/>
  <c r="Y222" i="1" s="1"/>
  <c r="M222" i="1"/>
  <c r="Y221" i="1"/>
  <c r="V221" i="1"/>
  <c r="S221" i="1"/>
  <c r="M221" i="1"/>
  <c r="W220" i="1"/>
  <c r="T220" i="1"/>
  <c r="Z220" i="1" s="1"/>
  <c r="N220" i="1"/>
  <c r="M220" i="1"/>
  <c r="O220" i="1" s="1"/>
  <c r="V219" i="1"/>
  <c r="S219" i="1"/>
  <c r="Y219" i="1" s="1"/>
  <c r="M219" i="1"/>
  <c r="Y218" i="1"/>
  <c r="V218" i="1"/>
  <c r="S218" i="1"/>
  <c r="M218" i="1"/>
  <c r="J215" i="1" s="1"/>
  <c r="V217" i="1"/>
  <c r="S217" i="1"/>
  <c r="Y217" i="1" s="1"/>
  <c r="M217" i="1"/>
  <c r="Y216" i="1"/>
  <c r="V216" i="1"/>
  <c r="S216" i="1"/>
  <c r="M216" i="1"/>
  <c r="W215" i="1"/>
  <c r="T215" i="1"/>
  <c r="Z215" i="1" s="1"/>
  <c r="N215" i="1"/>
  <c r="V214" i="1"/>
  <c r="S214" i="1"/>
  <c r="Y214" i="1" s="1"/>
  <c r="M214" i="1"/>
  <c r="Y213" i="1"/>
  <c r="V213" i="1"/>
  <c r="S213" i="1"/>
  <c r="M213" i="1"/>
  <c r="V212" i="1"/>
  <c r="S212" i="1"/>
  <c r="M212" i="1"/>
  <c r="Y211" i="1"/>
  <c r="V211" i="1"/>
  <c r="S211" i="1"/>
  <c r="M211" i="1"/>
  <c r="W210" i="1"/>
  <c r="T210" i="1"/>
  <c r="Z210" i="1" s="1"/>
  <c r="N210" i="1"/>
  <c r="J210" i="1"/>
  <c r="L210" i="1" s="1"/>
  <c r="V209" i="1"/>
  <c r="S209" i="1"/>
  <c r="Y209" i="1" s="1"/>
  <c r="M209" i="1"/>
  <c r="Y208" i="1"/>
  <c r="V208" i="1"/>
  <c r="S208" i="1"/>
  <c r="M208" i="1"/>
  <c r="J205" i="1" s="1"/>
  <c r="V207" i="1"/>
  <c r="S207" i="1"/>
  <c r="Y207" i="1" s="1"/>
  <c r="M207" i="1"/>
  <c r="Y206" i="1"/>
  <c r="V206" i="1"/>
  <c r="S206" i="1"/>
  <c r="M206" i="1"/>
  <c r="W205" i="1"/>
  <c r="T205" i="1"/>
  <c r="Z205" i="1" s="1"/>
  <c r="P205" i="1"/>
  <c r="N205" i="1"/>
  <c r="V204" i="1"/>
  <c r="S204" i="1"/>
  <c r="Y204" i="1" s="1"/>
  <c r="M204" i="1"/>
  <c r="Y203" i="1"/>
  <c r="V203" i="1"/>
  <c r="S203" i="1"/>
  <c r="M203" i="1"/>
  <c r="J200" i="1" s="1"/>
  <c r="L200" i="1" s="1"/>
  <c r="V202" i="1"/>
  <c r="S202" i="1"/>
  <c r="Y202" i="1" s="1"/>
  <c r="M202" i="1"/>
  <c r="Y201" i="1"/>
  <c r="V201" i="1"/>
  <c r="S201" i="1"/>
  <c r="M201" i="1"/>
  <c r="W200" i="1"/>
  <c r="T200" i="1"/>
  <c r="Z200" i="1" s="1"/>
  <c r="N200" i="1"/>
  <c r="V199" i="1"/>
  <c r="S199" i="1"/>
  <c r="Y199" i="1" s="1"/>
  <c r="M199" i="1"/>
  <c r="Y198" i="1"/>
  <c r="V198" i="1"/>
  <c r="S198" i="1"/>
  <c r="M198" i="1"/>
  <c r="J195" i="1" s="1"/>
  <c r="V197" i="1"/>
  <c r="S197" i="1"/>
  <c r="Y197" i="1" s="1"/>
  <c r="M197" i="1"/>
  <c r="Y196" i="1"/>
  <c r="V196" i="1"/>
  <c r="S196" i="1"/>
  <c r="M196" i="1"/>
  <c r="W195" i="1"/>
  <c r="T195" i="1"/>
  <c r="Z195" i="1" s="1"/>
  <c r="N195" i="1"/>
  <c r="V194" i="1"/>
  <c r="S194" i="1"/>
  <c r="Y194" i="1" s="1"/>
  <c r="M194" i="1"/>
  <c r="Y193" i="1"/>
  <c r="V193" i="1"/>
  <c r="S193" i="1"/>
  <c r="M193" i="1"/>
  <c r="V192" i="1"/>
  <c r="S192" i="1"/>
  <c r="M192" i="1"/>
  <c r="Y191" i="1"/>
  <c r="V191" i="1"/>
  <c r="S191" i="1"/>
  <c r="M191" i="1"/>
  <c r="J190" i="1" s="1"/>
  <c r="W190" i="1"/>
  <c r="T190" i="1"/>
  <c r="Z190" i="1" s="1"/>
  <c r="N190" i="1"/>
  <c r="V189" i="1"/>
  <c r="S189" i="1"/>
  <c r="Y189" i="1" s="1"/>
  <c r="M189" i="1"/>
  <c r="V188" i="1"/>
  <c r="S188" i="1"/>
  <c r="Y188" i="1" s="1"/>
  <c r="M188" i="1"/>
  <c r="W187" i="1"/>
  <c r="T187" i="1"/>
  <c r="Z187" i="1" s="1"/>
  <c r="N187" i="1"/>
  <c r="M187" i="1"/>
  <c r="O187" i="1" s="1"/>
  <c r="J187" i="1"/>
  <c r="L187" i="1" s="1"/>
  <c r="V186" i="1"/>
  <c r="S186" i="1"/>
  <c r="Y186" i="1" s="1"/>
  <c r="M186" i="1"/>
  <c r="V185" i="1"/>
  <c r="S185" i="1"/>
  <c r="M185" i="1"/>
  <c r="Z184" i="1"/>
  <c r="W184" i="1"/>
  <c r="T184" i="1"/>
  <c r="N184" i="1"/>
  <c r="J184" i="1"/>
  <c r="M184" i="1" s="1"/>
  <c r="O184" i="1" s="1"/>
  <c r="V183" i="1"/>
  <c r="S183" i="1"/>
  <c r="Y183" i="1" s="1"/>
  <c r="M183" i="1"/>
  <c r="J181" i="1" s="1"/>
  <c r="L181" i="1" s="1"/>
  <c r="Y182" i="1"/>
  <c r="V182" i="1"/>
  <c r="S182" i="1"/>
  <c r="M182" i="1"/>
  <c r="Z181" i="1"/>
  <c r="W181" i="1"/>
  <c r="U181" i="1"/>
  <c r="T181" i="1"/>
  <c r="P181" i="1"/>
  <c r="S181" i="1" s="1"/>
  <c r="Y181" i="1" s="1"/>
  <c r="AA181" i="1" s="1"/>
  <c r="N181" i="1"/>
  <c r="V180" i="1"/>
  <c r="S180" i="1"/>
  <c r="Y180" i="1" s="1"/>
  <c r="M180" i="1"/>
  <c r="J178" i="1" s="1"/>
  <c r="V179" i="1"/>
  <c r="S179" i="1"/>
  <c r="M179" i="1"/>
  <c r="W178" i="1"/>
  <c r="T178" i="1"/>
  <c r="Z178" i="1" s="1"/>
  <c r="N178" i="1"/>
  <c r="V177" i="1"/>
  <c r="S177" i="1"/>
  <c r="Y177" i="1" s="1"/>
  <c r="M177" i="1"/>
  <c r="J175" i="1" s="1"/>
  <c r="V176" i="1"/>
  <c r="S176" i="1"/>
  <c r="Y176" i="1" s="1"/>
  <c r="M176" i="1"/>
  <c r="W175" i="1"/>
  <c r="T175" i="1"/>
  <c r="Z175" i="1" s="1"/>
  <c r="N175" i="1"/>
  <c r="V174" i="1"/>
  <c r="S174" i="1"/>
  <c r="Y174" i="1" s="1"/>
  <c r="M174" i="1"/>
  <c r="Y173" i="1"/>
  <c r="V173" i="1"/>
  <c r="S173" i="1"/>
  <c r="P172" i="1" s="1"/>
  <c r="M173" i="1"/>
  <c r="W172" i="1"/>
  <c r="V172" i="1"/>
  <c r="T172" i="1"/>
  <c r="Z172" i="1" s="1"/>
  <c r="N172" i="1"/>
  <c r="L172" i="1"/>
  <c r="J172" i="1"/>
  <c r="M172" i="1" s="1"/>
  <c r="O172" i="1" s="1"/>
  <c r="V171" i="1"/>
  <c r="S171" i="1"/>
  <c r="Y171" i="1" s="1"/>
  <c r="M171" i="1"/>
  <c r="Y170" i="1"/>
  <c r="V170" i="1"/>
  <c r="S170" i="1"/>
  <c r="M170" i="1"/>
  <c r="J169" i="1" s="1"/>
  <c r="Z169" i="1"/>
  <c r="Y169" i="1"/>
  <c r="AA169" i="1" s="1"/>
  <c r="W169" i="1"/>
  <c r="V169" i="1"/>
  <c r="T169" i="1"/>
  <c r="R169" i="1"/>
  <c r="X169" i="1" s="1"/>
  <c r="P169" i="1"/>
  <c r="S169" i="1" s="1"/>
  <c r="U169" i="1" s="1"/>
  <c r="N169" i="1"/>
  <c r="V168" i="1"/>
  <c r="S168" i="1"/>
  <c r="Y168" i="1" s="1"/>
  <c r="M168" i="1"/>
  <c r="Y167" i="1"/>
  <c r="V167" i="1"/>
  <c r="S167" i="1"/>
  <c r="P166" i="1" s="1"/>
  <c r="M167" i="1"/>
  <c r="J166" i="1" s="1"/>
  <c r="W166" i="1"/>
  <c r="T166" i="1"/>
  <c r="Z166" i="1" s="1"/>
  <c r="N166" i="1"/>
  <c r="V165" i="1"/>
  <c r="S165" i="1"/>
  <c r="Y165" i="1" s="1"/>
  <c r="M165" i="1"/>
  <c r="V164" i="1"/>
  <c r="S164" i="1"/>
  <c r="P163" i="1" s="1"/>
  <c r="M164" i="1"/>
  <c r="J163" i="1" s="1"/>
  <c r="M163" i="1" s="1"/>
  <c r="O163" i="1" s="1"/>
  <c r="W163" i="1"/>
  <c r="T163" i="1"/>
  <c r="Z163" i="1" s="1"/>
  <c r="N163" i="1"/>
  <c r="Y162" i="1"/>
  <c r="V162" i="1"/>
  <c r="S162" i="1"/>
  <c r="M162" i="1"/>
  <c r="W161" i="1"/>
  <c r="T161" i="1"/>
  <c r="Z161" i="1" s="1"/>
  <c r="P161" i="1"/>
  <c r="N161" i="1"/>
  <c r="J161" i="1"/>
  <c r="M161" i="1" s="1"/>
  <c r="O161" i="1" s="1"/>
  <c r="V160" i="1"/>
  <c r="S160" i="1"/>
  <c r="M160" i="1"/>
  <c r="W159" i="1"/>
  <c r="T159" i="1"/>
  <c r="Z159" i="1" s="1"/>
  <c r="N159" i="1"/>
  <c r="L159" i="1"/>
  <c r="J159" i="1"/>
  <c r="M159" i="1" s="1"/>
  <c r="O159" i="1" s="1"/>
  <c r="Y158" i="1"/>
  <c r="V158" i="1"/>
  <c r="S158" i="1"/>
  <c r="M158" i="1"/>
  <c r="W157" i="1"/>
  <c r="T157" i="1"/>
  <c r="Z157" i="1" s="1"/>
  <c r="P157" i="1"/>
  <c r="N157" i="1"/>
  <c r="J157" i="1"/>
  <c r="M157" i="1" s="1"/>
  <c r="O157" i="1" s="1"/>
  <c r="V156" i="1"/>
  <c r="S156" i="1"/>
  <c r="M156" i="1"/>
  <c r="W155" i="1"/>
  <c r="T155" i="1"/>
  <c r="Z155" i="1" s="1"/>
  <c r="N155" i="1"/>
  <c r="L155" i="1"/>
  <c r="J155" i="1"/>
  <c r="M155" i="1" s="1"/>
  <c r="O155" i="1" s="1"/>
  <c r="Y154" i="1"/>
  <c r="V154" i="1"/>
  <c r="S154" i="1"/>
  <c r="M154" i="1"/>
  <c r="W153" i="1"/>
  <c r="T153" i="1"/>
  <c r="Z153" i="1" s="1"/>
  <c r="P153" i="1"/>
  <c r="N153" i="1"/>
  <c r="J153" i="1"/>
  <c r="M153" i="1" s="1"/>
  <c r="O153" i="1" s="1"/>
  <c r="V152" i="1"/>
  <c r="S152" i="1"/>
  <c r="M152" i="1"/>
  <c r="W151" i="1"/>
  <c r="T151" i="1"/>
  <c r="Z151" i="1" s="1"/>
  <c r="N151" i="1"/>
  <c r="L151" i="1"/>
  <c r="J151" i="1"/>
  <c r="M151" i="1" s="1"/>
  <c r="O151" i="1" s="1"/>
  <c r="Y150" i="1"/>
  <c r="V150" i="1"/>
  <c r="S150" i="1"/>
  <c r="M150" i="1"/>
  <c r="W149" i="1"/>
  <c r="T149" i="1"/>
  <c r="Z149" i="1" s="1"/>
  <c r="P149" i="1"/>
  <c r="N149" i="1"/>
  <c r="N146" i="1" s="1"/>
  <c r="J149" i="1"/>
  <c r="M149" i="1" s="1"/>
  <c r="O149" i="1" s="1"/>
  <c r="V148" i="1"/>
  <c r="S148" i="1"/>
  <c r="M148" i="1"/>
  <c r="W147" i="1"/>
  <c r="T147" i="1"/>
  <c r="Z147" i="1" s="1"/>
  <c r="N147" i="1"/>
  <c r="L147" i="1"/>
  <c r="J147" i="1"/>
  <c r="M147" i="1" s="1"/>
  <c r="V145" i="1"/>
  <c r="S145" i="1"/>
  <c r="Y145" i="1" s="1"/>
  <c r="M145" i="1"/>
  <c r="V144" i="1"/>
  <c r="S144" i="1"/>
  <c r="Y144" i="1" s="1"/>
  <c r="M144" i="1"/>
  <c r="W143" i="1"/>
  <c r="V143" i="1"/>
  <c r="T143" i="1"/>
  <c r="Z143" i="1" s="1"/>
  <c r="Z142" i="1" s="1"/>
  <c r="P143" i="1"/>
  <c r="S143" i="1" s="1"/>
  <c r="S142" i="1" s="1"/>
  <c r="N143" i="1"/>
  <c r="M143" i="1"/>
  <c r="J143" i="1"/>
  <c r="L143" i="1" s="1"/>
  <c r="N142" i="1"/>
  <c r="Y140" i="1"/>
  <c r="V140" i="1"/>
  <c r="S140" i="1"/>
  <c r="P139" i="1" s="1"/>
  <c r="M140" i="1"/>
  <c r="W139" i="1"/>
  <c r="T139" i="1"/>
  <c r="N139" i="1"/>
  <c r="J139" i="1"/>
  <c r="N138" i="1"/>
  <c r="Y137" i="1"/>
  <c r="V137" i="1"/>
  <c r="S137" i="1"/>
  <c r="M137" i="1"/>
  <c r="V136" i="1"/>
  <c r="S136" i="1"/>
  <c r="Y136" i="1" s="1"/>
  <c r="M136" i="1"/>
  <c r="Y135" i="1"/>
  <c r="V135" i="1"/>
  <c r="S135" i="1"/>
  <c r="M135" i="1"/>
  <c r="J133" i="1" s="1"/>
  <c r="M133" i="1" s="1"/>
  <c r="O133" i="1" s="1"/>
  <c r="V134" i="1"/>
  <c r="S134" i="1"/>
  <c r="M134" i="1"/>
  <c r="W133" i="1"/>
  <c r="T133" i="1"/>
  <c r="Z133" i="1" s="1"/>
  <c r="N133" i="1"/>
  <c r="L133" i="1"/>
  <c r="Y132" i="1"/>
  <c r="V132" i="1"/>
  <c r="S132" i="1"/>
  <c r="M132" i="1"/>
  <c r="V131" i="1"/>
  <c r="S131" i="1"/>
  <c r="Y131" i="1" s="1"/>
  <c r="M131" i="1"/>
  <c r="Y130" i="1"/>
  <c r="V130" i="1"/>
  <c r="S130" i="1"/>
  <c r="M130" i="1"/>
  <c r="J128" i="1" s="1"/>
  <c r="M128" i="1" s="1"/>
  <c r="V129" i="1"/>
  <c r="S129" i="1"/>
  <c r="M129" i="1"/>
  <c r="W128" i="1"/>
  <c r="T128" i="1"/>
  <c r="Z128" i="1" s="1"/>
  <c r="O128" i="1"/>
  <c r="N128" i="1"/>
  <c r="L128" i="1"/>
  <c r="Y127" i="1"/>
  <c r="V127" i="1"/>
  <c r="S127" i="1"/>
  <c r="M127" i="1"/>
  <c r="V126" i="1"/>
  <c r="S126" i="1"/>
  <c r="Y126" i="1" s="1"/>
  <c r="M126" i="1"/>
  <c r="Y125" i="1"/>
  <c r="V125" i="1"/>
  <c r="S125" i="1"/>
  <c r="M125" i="1"/>
  <c r="J123" i="1" s="1"/>
  <c r="M123" i="1" s="1"/>
  <c r="O123" i="1" s="1"/>
  <c r="V124" i="1"/>
  <c r="S124" i="1"/>
  <c r="M124" i="1"/>
  <c r="W123" i="1"/>
  <c r="T123" i="1"/>
  <c r="Z123" i="1" s="1"/>
  <c r="N123" i="1"/>
  <c r="Y122" i="1"/>
  <c r="V122" i="1"/>
  <c r="S122" i="1"/>
  <c r="M122" i="1"/>
  <c r="V121" i="1"/>
  <c r="S121" i="1"/>
  <c r="Y121" i="1" s="1"/>
  <c r="M121" i="1"/>
  <c r="Y120" i="1"/>
  <c r="V120" i="1"/>
  <c r="S120" i="1"/>
  <c r="M120" i="1"/>
  <c r="V119" i="1"/>
  <c r="S119" i="1"/>
  <c r="M119" i="1"/>
  <c r="W118" i="1"/>
  <c r="T118" i="1"/>
  <c r="Z118" i="1" s="1"/>
  <c r="N118" i="1"/>
  <c r="Y117" i="1"/>
  <c r="V117" i="1"/>
  <c r="S117" i="1"/>
  <c r="M117" i="1"/>
  <c r="V116" i="1"/>
  <c r="S116" i="1"/>
  <c r="Y116" i="1" s="1"/>
  <c r="M116" i="1"/>
  <c r="Y115" i="1"/>
  <c r="V115" i="1"/>
  <c r="S115" i="1"/>
  <c r="M115" i="1"/>
  <c r="V114" i="1"/>
  <c r="S114" i="1"/>
  <c r="M114" i="1"/>
  <c r="W113" i="1"/>
  <c r="T113" i="1"/>
  <c r="Z113" i="1" s="1"/>
  <c r="N113" i="1"/>
  <c r="Y112" i="1"/>
  <c r="V112" i="1"/>
  <c r="S112" i="1"/>
  <c r="M112" i="1"/>
  <c r="V111" i="1"/>
  <c r="S111" i="1"/>
  <c r="Y111" i="1" s="1"/>
  <c r="M111" i="1"/>
  <c r="Y110" i="1"/>
  <c r="V110" i="1"/>
  <c r="S110" i="1"/>
  <c r="M110" i="1"/>
  <c r="J108" i="1" s="1"/>
  <c r="V109" i="1"/>
  <c r="S109" i="1"/>
  <c r="M109" i="1"/>
  <c r="W108" i="1"/>
  <c r="T108" i="1"/>
  <c r="Z108" i="1" s="1"/>
  <c r="N108" i="1"/>
  <c r="Y107" i="1"/>
  <c r="V107" i="1"/>
  <c r="S107" i="1"/>
  <c r="M107" i="1"/>
  <c r="V106" i="1"/>
  <c r="S106" i="1"/>
  <c r="Y106" i="1" s="1"/>
  <c r="M106" i="1"/>
  <c r="Y105" i="1"/>
  <c r="V105" i="1"/>
  <c r="S105" i="1"/>
  <c r="M105" i="1"/>
  <c r="V104" i="1"/>
  <c r="S104" i="1"/>
  <c r="M104" i="1"/>
  <c r="J103" i="1" s="1"/>
  <c r="W103" i="1"/>
  <c r="T103" i="1"/>
  <c r="Z103" i="1" s="1"/>
  <c r="N103" i="1"/>
  <c r="Y102" i="1"/>
  <c r="V102" i="1"/>
  <c r="S102" i="1"/>
  <c r="M102" i="1"/>
  <c r="V101" i="1"/>
  <c r="S101" i="1"/>
  <c r="Y101" i="1" s="1"/>
  <c r="M101" i="1"/>
  <c r="Y100" i="1"/>
  <c r="V100" i="1"/>
  <c r="S100" i="1"/>
  <c r="M100" i="1"/>
  <c r="W99" i="1"/>
  <c r="T99" i="1"/>
  <c r="Z99" i="1" s="1"/>
  <c r="N99" i="1"/>
  <c r="J99" i="1"/>
  <c r="V98" i="1"/>
  <c r="S98" i="1"/>
  <c r="Y98" i="1" s="1"/>
  <c r="M98" i="1"/>
  <c r="J94" i="1" s="1"/>
  <c r="Y97" i="1"/>
  <c r="V97" i="1"/>
  <c r="S97" i="1"/>
  <c r="M97" i="1"/>
  <c r="V96" i="1"/>
  <c r="S96" i="1"/>
  <c r="Y96" i="1" s="1"/>
  <c r="M96" i="1"/>
  <c r="Y95" i="1"/>
  <c r="V95" i="1"/>
  <c r="S95" i="1"/>
  <c r="M95" i="1"/>
  <c r="W94" i="1"/>
  <c r="T94" i="1"/>
  <c r="Z94" i="1" s="1"/>
  <c r="P94" i="1"/>
  <c r="N94" i="1"/>
  <c r="V93" i="1"/>
  <c r="S93" i="1"/>
  <c r="Y93" i="1" s="1"/>
  <c r="M93" i="1"/>
  <c r="Y92" i="1"/>
  <c r="V92" i="1"/>
  <c r="S92" i="1"/>
  <c r="M92" i="1"/>
  <c r="V91" i="1"/>
  <c r="S91" i="1"/>
  <c r="Y91" i="1" s="1"/>
  <c r="M91" i="1"/>
  <c r="J89" i="1" s="1"/>
  <c r="Y90" i="1"/>
  <c r="V90" i="1"/>
  <c r="S90" i="1"/>
  <c r="M90" i="1"/>
  <c r="W89" i="1"/>
  <c r="T89" i="1"/>
  <c r="Z89" i="1" s="1"/>
  <c r="P89" i="1"/>
  <c r="N89" i="1"/>
  <c r="V88" i="1"/>
  <c r="S88" i="1"/>
  <c r="Y88" i="1" s="1"/>
  <c r="M88" i="1"/>
  <c r="J84" i="1" s="1"/>
  <c r="Y87" i="1"/>
  <c r="V87" i="1"/>
  <c r="S87" i="1"/>
  <c r="P84" i="1" s="1"/>
  <c r="M87" i="1"/>
  <c r="V86" i="1"/>
  <c r="S86" i="1"/>
  <c r="Y86" i="1" s="1"/>
  <c r="M86" i="1"/>
  <c r="Y85" i="1"/>
  <c r="V85" i="1"/>
  <c r="S85" i="1"/>
  <c r="M85" i="1"/>
  <c r="W84" i="1"/>
  <c r="T84" i="1"/>
  <c r="Z84" i="1" s="1"/>
  <c r="N84" i="1"/>
  <c r="V83" i="1"/>
  <c r="S83" i="1"/>
  <c r="Y83" i="1" s="1"/>
  <c r="M83" i="1"/>
  <c r="Y82" i="1"/>
  <c r="V82" i="1"/>
  <c r="S82" i="1"/>
  <c r="M82" i="1"/>
  <c r="V81" i="1"/>
  <c r="S81" i="1"/>
  <c r="Y81" i="1" s="1"/>
  <c r="M81" i="1"/>
  <c r="J79" i="1" s="1"/>
  <c r="Y80" i="1"/>
  <c r="V80" i="1"/>
  <c r="S80" i="1"/>
  <c r="M80" i="1"/>
  <c r="Z79" i="1"/>
  <c r="W79" i="1"/>
  <c r="T79" i="1"/>
  <c r="N79" i="1"/>
  <c r="V78" i="1"/>
  <c r="S78" i="1"/>
  <c r="Y78" i="1" s="1"/>
  <c r="M78" i="1"/>
  <c r="V77" i="1"/>
  <c r="S77" i="1"/>
  <c r="Y77" i="1" s="1"/>
  <c r="M77" i="1"/>
  <c r="V76" i="1"/>
  <c r="S76" i="1"/>
  <c r="Y76" i="1" s="1"/>
  <c r="M76" i="1"/>
  <c r="V75" i="1"/>
  <c r="S75" i="1"/>
  <c r="P74" i="1" s="1"/>
  <c r="M75" i="1"/>
  <c r="W74" i="1"/>
  <c r="T74" i="1"/>
  <c r="Z74" i="1" s="1"/>
  <c r="N74" i="1"/>
  <c r="M74" i="1"/>
  <c r="O74" i="1" s="1"/>
  <c r="L74" i="1"/>
  <c r="J74" i="1"/>
  <c r="V73" i="1"/>
  <c r="S73" i="1"/>
  <c r="Y73" i="1" s="1"/>
  <c r="M73" i="1"/>
  <c r="Z72" i="1"/>
  <c r="W72" i="1"/>
  <c r="T72" i="1"/>
  <c r="R72" i="1"/>
  <c r="X72" i="1" s="1"/>
  <c r="P72" i="1"/>
  <c r="V72" i="1" s="1"/>
  <c r="N72" i="1"/>
  <c r="L72" i="1"/>
  <c r="J72" i="1"/>
  <c r="M72" i="1" s="1"/>
  <c r="O72" i="1" s="1"/>
  <c r="V71" i="1"/>
  <c r="S71" i="1"/>
  <c r="P70" i="1" s="1"/>
  <c r="M71" i="1"/>
  <c r="W70" i="1"/>
  <c r="T70" i="1"/>
  <c r="Z70" i="1" s="1"/>
  <c r="N70" i="1"/>
  <c r="M70" i="1"/>
  <c r="O70" i="1" s="1"/>
  <c r="L70" i="1"/>
  <c r="J70" i="1"/>
  <c r="V69" i="1"/>
  <c r="S69" i="1"/>
  <c r="Y69" i="1" s="1"/>
  <c r="M69" i="1"/>
  <c r="V68" i="1"/>
  <c r="S68" i="1"/>
  <c r="P67" i="1" s="1"/>
  <c r="M68" i="1"/>
  <c r="W67" i="1"/>
  <c r="T67" i="1"/>
  <c r="Z67" i="1" s="1"/>
  <c r="N67" i="1"/>
  <c r="M67" i="1"/>
  <c r="O67" i="1" s="1"/>
  <c r="L67" i="1"/>
  <c r="J67" i="1"/>
  <c r="V66" i="1"/>
  <c r="S66" i="1"/>
  <c r="Y66" i="1" s="1"/>
  <c r="M66" i="1"/>
  <c r="V65" i="1"/>
  <c r="S65" i="1"/>
  <c r="P64" i="1" s="1"/>
  <c r="M65" i="1"/>
  <c r="W64" i="1"/>
  <c r="T64" i="1"/>
  <c r="Z64" i="1" s="1"/>
  <c r="N64" i="1"/>
  <c r="M64" i="1"/>
  <c r="O64" i="1" s="1"/>
  <c r="L64" i="1"/>
  <c r="J64" i="1"/>
  <c r="V63" i="1"/>
  <c r="S63" i="1"/>
  <c r="Y63" i="1" s="1"/>
  <c r="M63" i="1"/>
  <c r="V62" i="1"/>
  <c r="S62" i="1"/>
  <c r="P61" i="1" s="1"/>
  <c r="M62" i="1"/>
  <c r="W61" i="1"/>
  <c r="T61" i="1"/>
  <c r="Z61" i="1" s="1"/>
  <c r="N61" i="1"/>
  <c r="M61" i="1"/>
  <c r="O61" i="1" s="1"/>
  <c r="L61" i="1"/>
  <c r="J61" i="1"/>
  <c r="V60" i="1"/>
  <c r="S60" i="1"/>
  <c r="Y60" i="1" s="1"/>
  <c r="M60" i="1"/>
  <c r="V59" i="1"/>
  <c r="S59" i="1"/>
  <c r="P58" i="1" s="1"/>
  <c r="M59" i="1"/>
  <c r="W58" i="1"/>
  <c r="T58" i="1"/>
  <c r="Z58" i="1" s="1"/>
  <c r="N58" i="1"/>
  <c r="M58" i="1"/>
  <c r="O58" i="1" s="1"/>
  <c r="J58" i="1"/>
  <c r="L58" i="1" s="1"/>
  <c r="V57" i="1"/>
  <c r="S57" i="1"/>
  <c r="Y57" i="1" s="1"/>
  <c r="M57" i="1"/>
  <c r="V56" i="1"/>
  <c r="S56" i="1"/>
  <c r="P55" i="1" s="1"/>
  <c r="M56" i="1"/>
  <c r="W55" i="1"/>
  <c r="T55" i="1"/>
  <c r="Z55" i="1" s="1"/>
  <c r="N55" i="1"/>
  <c r="M55" i="1"/>
  <c r="O55" i="1" s="1"/>
  <c r="J55" i="1"/>
  <c r="L55" i="1" s="1"/>
  <c r="V54" i="1"/>
  <c r="S54" i="1"/>
  <c r="Y54" i="1" s="1"/>
  <c r="M54" i="1"/>
  <c r="V53" i="1"/>
  <c r="S53" i="1"/>
  <c r="P52" i="1" s="1"/>
  <c r="M53" i="1"/>
  <c r="W52" i="1"/>
  <c r="T52" i="1"/>
  <c r="Z52" i="1" s="1"/>
  <c r="N52" i="1"/>
  <c r="M52" i="1"/>
  <c r="O52" i="1" s="1"/>
  <c r="J52" i="1"/>
  <c r="L52" i="1" s="1"/>
  <c r="V51" i="1"/>
  <c r="S51" i="1"/>
  <c r="Y51" i="1" s="1"/>
  <c r="M51" i="1"/>
  <c r="V50" i="1"/>
  <c r="S50" i="1"/>
  <c r="Y50" i="1" s="1"/>
  <c r="M50" i="1"/>
  <c r="J48" i="1" s="1"/>
  <c r="V49" i="1"/>
  <c r="S49" i="1"/>
  <c r="Y49" i="1" s="1"/>
  <c r="M49" i="1"/>
  <c r="Z48" i="1"/>
  <c r="W48" i="1"/>
  <c r="T48" i="1"/>
  <c r="R48" i="1"/>
  <c r="X48" i="1" s="1"/>
  <c r="P48" i="1"/>
  <c r="V48" i="1" s="1"/>
  <c r="N48" i="1"/>
  <c r="V47" i="1"/>
  <c r="S47" i="1"/>
  <c r="Y47" i="1" s="1"/>
  <c r="M47" i="1"/>
  <c r="V46" i="1"/>
  <c r="S46" i="1"/>
  <c r="Y46" i="1" s="1"/>
  <c r="M46" i="1"/>
  <c r="V45" i="1"/>
  <c r="S45" i="1"/>
  <c r="P44" i="1" s="1"/>
  <c r="M45" i="1"/>
  <c r="W44" i="1"/>
  <c r="T44" i="1"/>
  <c r="T39" i="1" s="1"/>
  <c r="N44" i="1"/>
  <c r="N39" i="1" s="1"/>
  <c r="N38" i="1" s="1"/>
  <c r="M44" i="1"/>
  <c r="O44" i="1" s="1"/>
  <c r="J44" i="1"/>
  <c r="L44" i="1" s="1"/>
  <c r="V43" i="1"/>
  <c r="S43" i="1"/>
  <c r="Y43" i="1" s="1"/>
  <c r="M43" i="1"/>
  <c r="V42" i="1"/>
  <c r="S42" i="1"/>
  <c r="Y42" i="1" s="1"/>
  <c r="M42" i="1"/>
  <c r="J40" i="1" s="1"/>
  <c r="V41" i="1"/>
  <c r="S41" i="1"/>
  <c r="Y41" i="1" s="1"/>
  <c r="M41" i="1"/>
  <c r="Z40" i="1"/>
  <c r="W40" i="1"/>
  <c r="T40" i="1"/>
  <c r="R40" i="1"/>
  <c r="X40" i="1" s="1"/>
  <c r="P40" i="1"/>
  <c r="V40" i="1" s="1"/>
  <c r="N40" i="1"/>
  <c r="V34" i="1"/>
  <c r="S34" i="1"/>
  <c r="Y34" i="1" s="1"/>
  <c r="M34" i="1"/>
  <c r="Y33" i="1"/>
  <c r="V33" i="1"/>
  <c r="S33" i="1"/>
  <c r="M33" i="1"/>
  <c r="V32" i="1"/>
  <c r="S32" i="1"/>
  <c r="Y32" i="1" s="1"/>
  <c r="M32" i="1"/>
  <c r="J30" i="1" s="1"/>
  <c r="Y31" i="1"/>
  <c r="V31" i="1"/>
  <c r="S31" i="1"/>
  <c r="P30" i="1" s="1"/>
  <c r="M31" i="1"/>
  <c r="Z30" i="1"/>
  <c r="W30" i="1"/>
  <c r="T30" i="1"/>
  <c r="N30" i="1"/>
  <c r="V29" i="1"/>
  <c r="S29" i="1"/>
  <c r="Y29" i="1" s="1"/>
  <c r="M29" i="1"/>
  <c r="Y28" i="1"/>
  <c r="V28" i="1"/>
  <c r="S28" i="1"/>
  <c r="M28" i="1"/>
  <c r="V27" i="1"/>
  <c r="S27" i="1"/>
  <c r="Y27" i="1" s="1"/>
  <c r="M27" i="1"/>
  <c r="J25" i="1" s="1"/>
  <c r="Y26" i="1"/>
  <c r="V26" i="1"/>
  <c r="S26" i="1"/>
  <c r="P25" i="1" s="1"/>
  <c r="M26" i="1"/>
  <c r="Z25" i="1"/>
  <c r="W25" i="1"/>
  <c r="T25" i="1"/>
  <c r="N25" i="1"/>
  <c r="V24" i="1"/>
  <c r="S24" i="1"/>
  <c r="Y24" i="1" s="1"/>
  <c r="M24" i="1"/>
  <c r="Y23" i="1"/>
  <c r="V23" i="1"/>
  <c r="S23" i="1"/>
  <c r="M23" i="1"/>
  <c r="V22" i="1"/>
  <c r="S22" i="1"/>
  <c r="Y22" i="1" s="1"/>
  <c r="M22" i="1"/>
  <c r="Y21" i="1"/>
  <c r="V21" i="1"/>
  <c r="S21" i="1"/>
  <c r="P20" i="1" s="1"/>
  <c r="M21" i="1"/>
  <c r="Z20" i="1"/>
  <c r="W20" i="1"/>
  <c r="T20" i="1"/>
  <c r="N20" i="1"/>
  <c r="M20" i="1"/>
  <c r="O20" i="1" s="1"/>
  <c r="L20" i="1"/>
  <c r="J20" i="1"/>
  <c r="V19" i="1"/>
  <c r="S19" i="1"/>
  <c r="Y19" i="1" s="1"/>
  <c r="M19" i="1"/>
  <c r="Y18" i="1"/>
  <c r="V18" i="1"/>
  <c r="S18" i="1"/>
  <c r="M18" i="1"/>
  <c r="V17" i="1"/>
  <c r="S17" i="1"/>
  <c r="Y17" i="1" s="1"/>
  <c r="M17" i="1"/>
  <c r="V16" i="1"/>
  <c r="S16" i="1"/>
  <c r="Y16" i="1" s="1"/>
  <c r="M16" i="1"/>
  <c r="Z15" i="1"/>
  <c r="W15" i="1"/>
  <c r="T15" i="1"/>
  <c r="N15" i="1"/>
  <c r="N14" i="1" s="1"/>
  <c r="N13" i="1" s="1"/>
  <c r="N12" i="1" s="1"/>
  <c r="N11" i="1" s="1"/>
  <c r="N10" i="1" s="1"/>
  <c r="M15" i="1"/>
  <c r="L15" i="1"/>
  <c r="J15" i="1"/>
  <c r="Z14" i="1"/>
  <c r="Z13" i="1" s="1"/>
  <c r="Z12" i="1" s="1"/>
  <c r="Z11" i="1" s="1"/>
  <c r="Z10" i="1" s="1"/>
  <c r="T14" i="1"/>
  <c r="T13" i="1" s="1"/>
  <c r="T12" i="1" s="1"/>
  <c r="T11" i="1" s="1"/>
  <c r="T10" i="1" s="1"/>
  <c r="U155" i="2" l="1"/>
  <c r="Y155" i="2"/>
  <c r="AA155" i="2" s="1"/>
  <c r="U184" i="2"/>
  <c r="Y184" i="2"/>
  <c r="AA184" i="2" s="1"/>
  <c r="V195" i="2"/>
  <c r="R195" i="2"/>
  <c r="X195" i="2" s="1"/>
  <c r="S195" i="2"/>
  <c r="M225" i="2"/>
  <c r="O226" i="2"/>
  <c r="S226" i="2"/>
  <c r="V226" i="2"/>
  <c r="R226" i="2"/>
  <c r="X226" i="2" s="1"/>
  <c r="S139" i="2"/>
  <c r="V139" i="2"/>
  <c r="R139" i="2"/>
  <c r="X139" i="2" s="1"/>
  <c r="M138" i="2"/>
  <c r="O139" i="2"/>
  <c r="O138" i="2" s="1"/>
  <c r="V84" i="2"/>
  <c r="S84" i="2"/>
  <c r="R84" i="2"/>
  <c r="X84" i="2" s="1"/>
  <c r="V61" i="2"/>
  <c r="S61" i="2"/>
  <c r="R61" i="2"/>
  <c r="X61" i="2" s="1"/>
  <c r="U205" i="2"/>
  <c r="Y205" i="2"/>
  <c r="AA205" i="2" s="1"/>
  <c r="V169" i="2"/>
  <c r="R169" i="2"/>
  <c r="X169" i="2" s="1"/>
  <c r="S169" i="2"/>
  <c r="M142" i="2"/>
  <c r="O143" i="2"/>
  <c r="O142" i="2" s="1"/>
  <c r="U128" i="2"/>
  <c r="Y128" i="2"/>
  <c r="AA128" i="2" s="1"/>
  <c r="U103" i="2"/>
  <c r="Y103" i="2"/>
  <c r="AA103" i="2" s="1"/>
  <c r="U175" i="2"/>
  <c r="Y175" i="2"/>
  <c r="AA175" i="2" s="1"/>
  <c r="V153" i="2"/>
  <c r="R153" i="2"/>
  <c r="X153" i="2" s="1"/>
  <c r="S153" i="2"/>
  <c r="U44" i="2"/>
  <c r="Y44" i="2"/>
  <c r="AA44" i="2" s="1"/>
  <c r="U64" i="2"/>
  <c r="Y64" i="2"/>
  <c r="AA64" i="2" s="1"/>
  <c r="R113" i="2"/>
  <c r="X113" i="2" s="1"/>
  <c r="V113" i="2"/>
  <c r="S113" i="2"/>
  <c r="M231" i="2"/>
  <c r="O231" i="2" s="1"/>
  <c r="L231" i="2"/>
  <c r="U151" i="2"/>
  <c r="Y151" i="2"/>
  <c r="AA151" i="2" s="1"/>
  <c r="O258" i="2"/>
  <c r="O257" i="2" s="1"/>
  <c r="M257" i="2"/>
  <c r="V210" i="2"/>
  <c r="S210" i="2"/>
  <c r="R210" i="2"/>
  <c r="X210" i="2" s="1"/>
  <c r="O245" i="2"/>
  <c r="O244" i="2" s="1"/>
  <c r="M244" i="2"/>
  <c r="S14" i="2"/>
  <c r="S13" i="2" s="1"/>
  <c r="S12" i="2" s="1"/>
  <c r="S11" i="2" s="1"/>
  <c r="S10" i="2" s="1"/>
  <c r="U15" i="2"/>
  <c r="Y15" i="2"/>
  <c r="R48" i="2"/>
  <c r="X48" i="2" s="1"/>
  <c r="V48" i="2"/>
  <c r="S48" i="2"/>
  <c r="M39" i="2"/>
  <c r="U67" i="2"/>
  <c r="Y67" i="2"/>
  <c r="AA67" i="2" s="1"/>
  <c r="V190" i="2"/>
  <c r="S190" i="2"/>
  <c r="R190" i="2"/>
  <c r="X190" i="2" s="1"/>
  <c r="R287" i="2"/>
  <c r="X287" i="2" s="1"/>
  <c r="V287" i="2"/>
  <c r="S287" i="2"/>
  <c r="V99" i="2"/>
  <c r="R99" i="2"/>
  <c r="X99" i="2" s="1"/>
  <c r="S99" i="2"/>
  <c r="V55" i="2"/>
  <c r="S55" i="2"/>
  <c r="R55" i="2"/>
  <c r="X55" i="2" s="1"/>
  <c r="U187" i="2"/>
  <c r="Y187" i="2"/>
  <c r="AA187" i="2" s="1"/>
  <c r="U266" i="2"/>
  <c r="Y266" i="2"/>
  <c r="AA266" i="2" s="1"/>
  <c r="U94" i="2"/>
  <c r="Y94" i="2"/>
  <c r="AA94" i="2" s="1"/>
  <c r="U30" i="2"/>
  <c r="Y30" i="2"/>
  <c r="AA30" i="2" s="1"/>
  <c r="T236" i="2"/>
  <c r="V166" i="2"/>
  <c r="S166" i="2"/>
  <c r="R166" i="2"/>
  <c r="X166" i="2" s="1"/>
  <c r="V108" i="2"/>
  <c r="S108" i="2"/>
  <c r="R108" i="2"/>
  <c r="X108" i="2" s="1"/>
  <c r="AA147" i="2"/>
  <c r="R72" i="2"/>
  <c r="X72" i="2" s="1"/>
  <c r="V72" i="2"/>
  <c r="S72" i="2"/>
  <c r="R40" i="2"/>
  <c r="X40" i="2" s="1"/>
  <c r="V40" i="2"/>
  <c r="S40" i="2"/>
  <c r="O39" i="2"/>
  <c r="O38" i="2" s="1"/>
  <c r="R271" i="2"/>
  <c r="X271" i="2" s="1"/>
  <c r="V271" i="2"/>
  <c r="S271" i="2"/>
  <c r="U220" i="2"/>
  <c r="Y220" i="2"/>
  <c r="AA220" i="2" s="1"/>
  <c r="S231" i="2"/>
  <c r="V231" i="2"/>
  <c r="R231" i="2"/>
  <c r="X231" i="2" s="1"/>
  <c r="Y123" i="2"/>
  <c r="AA123" i="2" s="1"/>
  <c r="U123" i="2"/>
  <c r="O237" i="2"/>
  <c r="T38" i="2"/>
  <c r="U25" i="2"/>
  <c r="Y25" i="2"/>
  <c r="AA25" i="2" s="1"/>
  <c r="Z237" i="2"/>
  <c r="Z236" i="2" s="1"/>
  <c r="Z37" i="2" s="1"/>
  <c r="Z36" i="2" s="1"/>
  <c r="Z35" i="2" s="1"/>
  <c r="Z9" i="2" s="1"/>
  <c r="Z8" i="2" s="1"/>
  <c r="Z293" i="2" s="1"/>
  <c r="AA238" i="2"/>
  <c r="AA237" i="2" s="1"/>
  <c r="AA236" i="2" s="1"/>
  <c r="U70" i="2"/>
  <c r="Y70" i="2"/>
  <c r="AA70" i="2" s="1"/>
  <c r="U58" i="2"/>
  <c r="Y58" i="2"/>
  <c r="AA58" i="2" s="1"/>
  <c r="V79" i="2"/>
  <c r="S79" i="2"/>
  <c r="R79" i="2"/>
  <c r="X79" i="2" s="1"/>
  <c r="V74" i="2"/>
  <c r="S74" i="2"/>
  <c r="R74" i="2"/>
  <c r="X74" i="2" s="1"/>
  <c r="S142" i="2"/>
  <c r="U143" i="2"/>
  <c r="U142" i="2" s="1"/>
  <c r="Y143" i="2"/>
  <c r="M146" i="2"/>
  <c r="M237" i="2"/>
  <c r="M236" i="2" s="1"/>
  <c r="R291" i="2"/>
  <c r="X291" i="2" s="1"/>
  <c r="V291" i="2"/>
  <c r="S291" i="2"/>
  <c r="V178" i="2"/>
  <c r="S178" i="2"/>
  <c r="R178" i="2"/>
  <c r="X178" i="2" s="1"/>
  <c r="V89" i="2"/>
  <c r="S89" i="2"/>
  <c r="R89" i="2"/>
  <c r="X89" i="2" s="1"/>
  <c r="U20" i="2"/>
  <c r="Y20" i="2"/>
  <c r="AA20" i="2" s="1"/>
  <c r="U163" i="2"/>
  <c r="Y163" i="2"/>
  <c r="AA163" i="2" s="1"/>
  <c r="Y258" i="2"/>
  <c r="S257" i="2"/>
  <c r="U258" i="2"/>
  <c r="U52" i="2"/>
  <c r="Y52" i="2"/>
  <c r="AA52" i="2" s="1"/>
  <c r="M14" i="2"/>
  <c r="M13" i="2" s="1"/>
  <c r="M12" i="2" s="1"/>
  <c r="M11" i="2" s="1"/>
  <c r="M10" i="2" s="1"/>
  <c r="O15" i="2"/>
  <c r="O14" i="2" s="1"/>
  <c r="O13" i="2" s="1"/>
  <c r="O12" i="2" s="1"/>
  <c r="O11" i="2" s="1"/>
  <c r="O10" i="2" s="1"/>
  <c r="S30" i="1"/>
  <c r="R30" i="1"/>
  <c r="X30" i="1" s="1"/>
  <c r="V30" i="1"/>
  <c r="M94" i="1"/>
  <c r="O94" i="1" s="1"/>
  <c r="L94" i="1"/>
  <c r="L25" i="1"/>
  <c r="M25" i="1"/>
  <c r="O25" i="1" s="1"/>
  <c r="S61" i="1"/>
  <c r="R61" i="1"/>
  <c r="X61" i="1" s="1"/>
  <c r="V61" i="1"/>
  <c r="S67" i="1"/>
  <c r="R67" i="1"/>
  <c r="X67" i="1" s="1"/>
  <c r="V67" i="1"/>
  <c r="S74" i="1"/>
  <c r="R74" i="1"/>
  <c r="X74" i="1" s="1"/>
  <c r="V74" i="1"/>
  <c r="S84" i="1"/>
  <c r="R84" i="1"/>
  <c r="X84" i="1" s="1"/>
  <c r="V84" i="1"/>
  <c r="M108" i="1"/>
  <c r="O108" i="1" s="1"/>
  <c r="L108" i="1"/>
  <c r="S44" i="1"/>
  <c r="R44" i="1"/>
  <c r="X44" i="1" s="1"/>
  <c r="V44" i="1"/>
  <c r="S55" i="1"/>
  <c r="R55" i="1"/>
  <c r="X55" i="1" s="1"/>
  <c r="V55" i="1"/>
  <c r="M14" i="1"/>
  <c r="M13" i="1" s="1"/>
  <c r="M12" i="1" s="1"/>
  <c r="M11" i="1" s="1"/>
  <c r="M10" i="1" s="1"/>
  <c r="L30" i="1"/>
  <c r="M30" i="1"/>
  <c r="O30" i="1" s="1"/>
  <c r="M48" i="1"/>
  <c r="O48" i="1" s="1"/>
  <c r="L48" i="1"/>
  <c r="S20" i="1"/>
  <c r="R20" i="1"/>
  <c r="X20" i="1" s="1"/>
  <c r="V20" i="1"/>
  <c r="L79" i="1"/>
  <c r="M79" i="1"/>
  <c r="O79" i="1" s="1"/>
  <c r="M84" i="1"/>
  <c r="O84" i="1" s="1"/>
  <c r="L84" i="1"/>
  <c r="S58" i="1"/>
  <c r="R58" i="1"/>
  <c r="X58" i="1" s="1"/>
  <c r="V58" i="1"/>
  <c r="S64" i="1"/>
  <c r="R64" i="1"/>
  <c r="X64" i="1" s="1"/>
  <c r="V64" i="1"/>
  <c r="S70" i="1"/>
  <c r="R70" i="1"/>
  <c r="X70" i="1" s="1"/>
  <c r="V70" i="1"/>
  <c r="M103" i="1"/>
  <c r="O103" i="1" s="1"/>
  <c r="L103" i="1"/>
  <c r="S25" i="1"/>
  <c r="R25" i="1"/>
  <c r="X25" i="1" s="1"/>
  <c r="V25" i="1"/>
  <c r="M40" i="1"/>
  <c r="L40" i="1"/>
  <c r="S52" i="1"/>
  <c r="R52" i="1"/>
  <c r="X52" i="1" s="1"/>
  <c r="V52" i="1"/>
  <c r="M89" i="1"/>
  <c r="O89" i="1" s="1"/>
  <c r="L89" i="1"/>
  <c r="V89" i="1"/>
  <c r="S89" i="1"/>
  <c r="R89" i="1"/>
  <c r="X89" i="1" s="1"/>
  <c r="V94" i="1"/>
  <c r="S94" i="1"/>
  <c r="R94" i="1"/>
  <c r="X94" i="1" s="1"/>
  <c r="P118" i="1"/>
  <c r="Y119" i="1"/>
  <c r="P133" i="1"/>
  <c r="Y134" i="1"/>
  <c r="Z139" i="1"/>
  <c r="Z138" i="1" s="1"/>
  <c r="T138" i="1"/>
  <c r="T38" i="1" s="1"/>
  <c r="V157" i="1"/>
  <c r="S157" i="1"/>
  <c r="R157" i="1"/>
  <c r="X157" i="1" s="1"/>
  <c r="Y192" i="1"/>
  <c r="P190" i="1"/>
  <c r="L205" i="1"/>
  <c r="M205" i="1"/>
  <c r="O205" i="1" s="1"/>
  <c r="T237" i="1"/>
  <c r="T236" i="1" s="1"/>
  <c r="Z238" i="1"/>
  <c r="Z237" i="1" s="1"/>
  <c r="Z236" i="1" s="1"/>
  <c r="P113" i="1"/>
  <c r="Y114" i="1"/>
  <c r="P151" i="1"/>
  <c r="Y152" i="1"/>
  <c r="S163" i="1"/>
  <c r="R163" i="1"/>
  <c r="X163" i="1" s="1"/>
  <c r="V163" i="1"/>
  <c r="M169" i="1"/>
  <c r="O169" i="1" s="1"/>
  <c r="L169" i="1"/>
  <c r="M181" i="1"/>
  <c r="O181" i="1" s="1"/>
  <c r="Y212" i="1"/>
  <c r="P210" i="1"/>
  <c r="R262" i="1"/>
  <c r="X262" i="1" s="1"/>
  <c r="V262" i="1"/>
  <c r="S262" i="1"/>
  <c r="S40" i="1"/>
  <c r="Y45" i="1"/>
  <c r="S48" i="1"/>
  <c r="Y53" i="1"/>
  <c r="Y56" i="1"/>
  <c r="Y59" i="1"/>
  <c r="Y62" i="1"/>
  <c r="Y65" i="1"/>
  <c r="Y68" i="1"/>
  <c r="Y71" i="1"/>
  <c r="S72" i="1"/>
  <c r="Y75" i="1"/>
  <c r="P103" i="1"/>
  <c r="Y104" i="1"/>
  <c r="P108" i="1"/>
  <c r="Y109" i="1"/>
  <c r="J118" i="1"/>
  <c r="M142" i="1"/>
  <c r="O143" i="1"/>
  <c r="O142" i="1" s="1"/>
  <c r="Z146" i="1"/>
  <c r="V149" i="1"/>
  <c r="S149" i="1"/>
  <c r="R149" i="1"/>
  <c r="X149" i="1" s="1"/>
  <c r="L166" i="1"/>
  <c r="M166" i="1"/>
  <c r="O166" i="1" s="1"/>
  <c r="M238" i="1"/>
  <c r="L238" i="1"/>
  <c r="O15" i="1"/>
  <c r="O14" i="1" s="1"/>
  <c r="O13" i="1" s="1"/>
  <c r="O12" i="1" s="1"/>
  <c r="O11" i="1" s="1"/>
  <c r="O10" i="1" s="1"/>
  <c r="P15" i="1"/>
  <c r="P79" i="1"/>
  <c r="J113" i="1"/>
  <c r="R139" i="1"/>
  <c r="X139" i="1" s="1"/>
  <c r="V139" i="1"/>
  <c r="S139" i="1"/>
  <c r="V161" i="1"/>
  <c r="S161" i="1"/>
  <c r="R161" i="1"/>
  <c r="X161" i="1" s="1"/>
  <c r="L163" i="1"/>
  <c r="S166" i="1"/>
  <c r="V166" i="1"/>
  <c r="R166" i="1"/>
  <c r="X166" i="1" s="1"/>
  <c r="M190" i="1"/>
  <c r="O190" i="1" s="1"/>
  <c r="L190" i="1"/>
  <c r="M200" i="1"/>
  <c r="O200" i="1" s="1"/>
  <c r="M254" i="1"/>
  <c r="O254" i="1" s="1"/>
  <c r="L254" i="1"/>
  <c r="M99" i="1"/>
  <c r="O99" i="1" s="1"/>
  <c r="L99" i="1"/>
  <c r="Y143" i="1"/>
  <c r="U143" i="1"/>
  <c r="U142" i="1" s="1"/>
  <c r="P155" i="1"/>
  <c r="Y156" i="1"/>
  <c r="P178" i="1"/>
  <c r="Y179" i="1"/>
  <c r="L195" i="1"/>
  <c r="M195" i="1"/>
  <c r="O195" i="1" s="1"/>
  <c r="Z44" i="1"/>
  <c r="Z39" i="1" s="1"/>
  <c r="Z38" i="1" s="1"/>
  <c r="Z37" i="1" s="1"/>
  <c r="Z36" i="1" s="1"/>
  <c r="Z35" i="1" s="1"/>
  <c r="Z9" i="1" s="1"/>
  <c r="Z8" i="1" s="1"/>
  <c r="Z293" i="1" s="1"/>
  <c r="L123" i="1"/>
  <c r="P128" i="1"/>
  <c r="Y129" i="1"/>
  <c r="Z141" i="1"/>
  <c r="V153" i="1"/>
  <c r="S153" i="1"/>
  <c r="R153" i="1"/>
  <c r="X153" i="1" s="1"/>
  <c r="M175" i="1"/>
  <c r="O175" i="1" s="1"/>
  <c r="L175" i="1"/>
  <c r="L215" i="1"/>
  <c r="M215" i="1"/>
  <c r="O215" i="1" s="1"/>
  <c r="M139" i="1"/>
  <c r="L139" i="1"/>
  <c r="P147" i="1"/>
  <c r="Y148" i="1"/>
  <c r="M178" i="1"/>
  <c r="O178" i="1" s="1"/>
  <c r="L178" i="1"/>
  <c r="Y185" i="1"/>
  <c r="P184" i="1"/>
  <c r="S205" i="1"/>
  <c r="R205" i="1"/>
  <c r="X205" i="1" s="1"/>
  <c r="V205" i="1"/>
  <c r="P231" i="1"/>
  <c r="Y232" i="1"/>
  <c r="P99" i="1"/>
  <c r="P123" i="1"/>
  <c r="Y124" i="1"/>
  <c r="N141" i="1"/>
  <c r="N37" i="1" s="1"/>
  <c r="N36" i="1" s="1"/>
  <c r="N35" i="1" s="1"/>
  <c r="N9" i="1" s="1"/>
  <c r="N8" i="1" s="1"/>
  <c r="N293" i="1" s="1"/>
  <c r="O147" i="1"/>
  <c r="P159" i="1"/>
  <c r="Y160" i="1"/>
  <c r="S172" i="1"/>
  <c r="R172" i="1"/>
  <c r="X172" i="1" s="1"/>
  <c r="V181" i="1"/>
  <c r="P226" i="1"/>
  <c r="Y227" i="1"/>
  <c r="S237" i="1"/>
  <c r="U238" i="1"/>
  <c r="Y238" i="1"/>
  <c r="T142" i="1"/>
  <c r="Y164" i="1"/>
  <c r="P175" i="1"/>
  <c r="J226" i="1"/>
  <c r="T146" i="1"/>
  <c r="P187" i="1"/>
  <c r="P200" i="1"/>
  <c r="P220" i="1"/>
  <c r="M241" i="1"/>
  <c r="O241" i="1" s="1"/>
  <c r="L241" i="1"/>
  <c r="M251" i="1"/>
  <c r="O251" i="1" s="1"/>
  <c r="L251" i="1"/>
  <c r="S285" i="1"/>
  <c r="R285" i="1"/>
  <c r="X285" i="1" s="1"/>
  <c r="V285" i="1"/>
  <c r="R143" i="1"/>
  <c r="X143" i="1" s="1"/>
  <c r="L149" i="1"/>
  <c r="L153" i="1"/>
  <c r="L157" i="1"/>
  <c r="L161" i="1"/>
  <c r="R181" i="1"/>
  <c r="X181" i="1" s="1"/>
  <c r="L184" i="1"/>
  <c r="P195" i="1"/>
  <c r="M210" i="1"/>
  <c r="O210" i="1" s="1"/>
  <c r="P215" i="1"/>
  <c r="L231" i="1"/>
  <c r="M248" i="1"/>
  <c r="O248" i="1" s="1"/>
  <c r="L248" i="1"/>
  <c r="U241" i="1"/>
  <c r="Y241" i="1"/>
  <c r="AA241" i="1" s="1"/>
  <c r="R266" i="1"/>
  <c r="X266" i="1" s="1"/>
  <c r="V266" i="1"/>
  <c r="S266" i="1"/>
  <c r="M245" i="1"/>
  <c r="L245" i="1"/>
  <c r="M257" i="1"/>
  <c r="O258" i="1"/>
  <c r="O257" i="1" s="1"/>
  <c r="S269" i="1"/>
  <c r="R269" i="1"/>
  <c r="X269" i="1" s="1"/>
  <c r="V269" i="1"/>
  <c r="S289" i="1"/>
  <c r="R289" i="1"/>
  <c r="X289" i="1" s="1"/>
  <c r="V289" i="1"/>
  <c r="T257" i="1"/>
  <c r="Y271" i="1"/>
  <c r="AA271" i="1" s="1"/>
  <c r="Y287" i="1"/>
  <c r="AA287" i="1" s="1"/>
  <c r="P291" i="1"/>
  <c r="R238" i="1"/>
  <c r="X238" i="1" s="1"/>
  <c r="R241" i="1"/>
  <c r="X241" i="1" s="1"/>
  <c r="P245" i="1"/>
  <c r="P248" i="1"/>
  <c r="P251" i="1"/>
  <c r="P254" i="1"/>
  <c r="R271" i="1"/>
  <c r="X271" i="1" s="1"/>
  <c r="R287" i="1"/>
  <c r="X287" i="1" s="1"/>
  <c r="Y290" i="1"/>
  <c r="T225" i="1"/>
  <c r="S258" i="1"/>
  <c r="Y263" i="1"/>
  <c r="S264" i="1"/>
  <c r="Y267" i="1"/>
  <c r="L271" i="1"/>
  <c r="L287" i="1"/>
  <c r="L291" i="1"/>
  <c r="L258" i="1"/>
  <c r="L264" i="1"/>
  <c r="U79" i="2" l="1"/>
  <c r="Y79" i="2"/>
  <c r="AA79" i="2" s="1"/>
  <c r="Y40" i="2"/>
  <c r="S39" i="2"/>
  <c r="S38" i="2" s="1"/>
  <c r="U40" i="2"/>
  <c r="U39" i="2" s="1"/>
  <c r="U38" i="2" s="1"/>
  <c r="Y153" i="2"/>
  <c r="U153" i="2"/>
  <c r="U195" i="2"/>
  <c r="Y195" i="2"/>
  <c r="AA195" i="2" s="1"/>
  <c r="AA258" i="2"/>
  <c r="Y257" i="2"/>
  <c r="Y231" i="2"/>
  <c r="AA231" i="2" s="1"/>
  <c r="U231" i="2"/>
  <c r="U210" i="2"/>
  <c r="Y210" i="2"/>
  <c r="AA210" i="2" s="1"/>
  <c r="Y113" i="2"/>
  <c r="AA113" i="2" s="1"/>
  <c r="U113" i="2"/>
  <c r="U178" i="2"/>
  <c r="Y178" i="2"/>
  <c r="AA178" i="2" s="1"/>
  <c r="Y108" i="2"/>
  <c r="AA108" i="2" s="1"/>
  <c r="U108" i="2"/>
  <c r="U190" i="2"/>
  <c r="Y190" i="2"/>
  <c r="AA190" i="2" s="1"/>
  <c r="AA15" i="2"/>
  <c r="AA14" i="2" s="1"/>
  <c r="AA13" i="2" s="1"/>
  <c r="AA12" i="2" s="1"/>
  <c r="AA11" i="2" s="1"/>
  <c r="AA10" i="2" s="1"/>
  <c r="Y14" i="2"/>
  <c r="Y13" i="2" s="1"/>
  <c r="Y12" i="2" s="1"/>
  <c r="Y11" i="2" s="1"/>
  <c r="Y10" i="2" s="1"/>
  <c r="M141" i="2"/>
  <c r="Y139" i="2"/>
  <c r="U139" i="2"/>
  <c r="U138" i="2" s="1"/>
  <c r="S138" i="2"/>
  <c r="T37" i="2"/>
  <c r="T36" i="2" s="1"/>
  <c r="T35" i="2" s="1"/>
  <c r="T9" i="2" s="1"/>
  <c r="T8" i="2" s="1"/>
  <c r="T293" i="2" s="1"/>
  <c r="Y72" i="2"/>
  <c r="AA72" i="2" s="1"/>
  <c r="U72" i="2"/>
  <c r="U99" i="2"/>
  <c r="Y99" i="2"/>
  <c r="AA99" i="2" s="1"/>
  <c r="U14" i="2"/>
  <c r="U13" i="2" s="1"/>
  <c r="U12" i="2" s="1"/>
  <c r="U11" i="2" s="1"/>
  <c r="U10" i="2" s="1"/>
  <c r="U169" i="2"/>
  <c r="Y169" i="2"/>
  <c r="AA169" i="2" s="1"/>
  <c r="U89" i="2"/>
  <c r="Y89" i="2"/>
  <c r="AA89" i="2" s="1"/>
  <c r="Y48" i="2"/>
  <c r="AA48" i="2" s="1"/>
  <c r="U48" i="2"/>
  <c r="U55" i="2"/>
  <c r="Y55" i="2"/>
  <c r="AA55" i="2" s="1"/>
  <c r="Y291" i="2"/>
  <c r="AA291" i="2" s="1"/>
  <c r="U291" i="2"/>
  <c r="O236" i="2"/>
  <c r="Y271" i="2"/>
  <c r="AA271" i="2" s="1"/>
  <c r="U271" i="2"/>
  <c r="U257" i="2" s="1"/>
  <c r="U84" i="2"/>
  <c r="Y84" i="2"/>
  <c r="AA84" i="2" s="1"/>
  <c r="U74" i="2"/>
  <c r="Y74" i="2"/>
  <c r="AA74" i="2" s="1"/>
  <c r="U166" i="2"/>
  <c r="Y166" i="2"/>
  <c r="AA166" i="2" s="1"/>
  <c r="S146" i="2"/>
  <c r="S141" i="2" s="1"/>
  <c r="Y226" i="2"/>
  <c r="S225" i="2"/>
  <c r="U226" i="2"/>
  <c r="U225" i="2" s="1"/>
  <c r="AA143" i="2"/>
  <c r="AA142" i="2" s="1"/>
  <c r="Y142" i="2"/>
  <c r="U61" i="2"/>
  <c r="Y61" i="2"/>
  <c r="AA61" i="2" s="1"/>
  <c r="Y287" i="2"/>
  <c r="AA287" i="2" s="1"/>
  <c r="U287" i="2"/>
  <c r="M38" i="2"/>
  <c r="O225" i="2"/>
  <c r="O141" i="2" s="1"/>
  <c r="O37" i="2" s="1"/>
  <c r="O36" i="2" s="1"/>
  <c r="O35" i="2" s="1"/>
  <c r="O9" i="2" s="1"/>
  <c r="O8" i="2" s="1"/>
  <c r="S220" i="1"/>
  <c r="R220" i="1"/>
  <c r="X220" i="1" s="1"/>
  <c r="V220" i="1"/>
  <c r="AA238" i="1"/>
  <c r="AA237" i="1" s="1"/>
  <c r="Y237" i="1"/>
  <c r="AA143" i="1"/>
  <c r="AA142" i="1" s="1"/>
  <c r="Y142" i="1"/>
  <c r="M118" i="1"/>
  <c r="O118" i="1" s="1"/>
  <c r="L118" i="1"/>
  <c r="U40" i="1"/>
  <c r="Y40" i="1"/>
  <c r="Y94" i="1"/>
  <c r="AA94" i="1" s="1"/>
  <c r="U94" i="1"/>
  <c r="Y44" i="1"/>
  <c r="AA44" i="1" s="1"/>
  <c r="U44" i="1"/>
  <c r="Y61" i="1"/>
  <c r="AA61" i="1" s="1"/>
  <c r="U61" i="1"/>
  <c r="V291" i="1"/>
  <c r="S291" i="1"/>
  <c r="R291" i="1"/>
  <c r="X291" i="1" s="1"/>
  <c r="S195" i="1"/>
  <c r="R195" i="1"/>
  <c r="X195" i="1" s="1"/>
  <c r="V195" i="1"/>
  <c r="S200" i="1"/>
  <c r="R200" i="1"/>
  <c r="X200" i="1" s="1"/>
  <c r="V200" i="1"/>
  <c r="U237" i="1"/>
  <c r="S159" i="1"/>
  <c r="R159" i="1"/>
  <c r="X159" i="1" s="1"/>
  <c r="V159" i="1"/>
  <c r="R231" i="1"/>
  <c r="X231" i="1" s="1"/>
  <c r="V231" i="1"/>
  <c r="S231" i="1"/>
  <c r="Y262" i="1"/>
  <c r="AA262" i="1" s="1"/>
  <c r="U262" i="1"/>
  <c r="Y52" i="1"/>
  <c r="AA52" i="1" s="1"/>
  <c r="U52" i="1"/>
  <c r="U25" i="1"/>
  <c r="Y25" i="1"/>
  <c r="AA25" i="1" s="1"/>
  <c r="Y269" i="1"/>
  <c r="AA269" i="1" s="1"/>
  <c r="U269" i="1"/>
  <c r="S187" i="1"/>
  <c r="V187" i="1"/>
  <c r="R187" i="1"/>
  <c r="X187" i="1" s="1"/>
  <c r="O146" i="1"/>
  <c r="S147" i="1"/>
  <c r="R147" i="1"/>
  <c r="X147" i="1" s="1"/>
  <c r="V147" i="1"/>
  <c r="U153" i="1"/>
  <c r="Y153" i="1"/>
  <c r="AA153" i="1" s="1"/>
  <c r="U166" i="1"/>
  <c r="Y166" i="1"/>
  <c r="AA166" i="1" s="1"/>
  <c r="M113" i="1"/>
  <c r="O113" i="1" s="1"/>
  <c r="L113" i="1"/>
  <c r="R108" i="1"/>
  <c r="X108" i="1" s="1"/>
  <c r="V108" i="1"/>
  <c r="S108" i="1"/>
  <c r="Y64" i="1"/>
  <c r="AA64" i="1" s="1"/>
  <c r="U64" i="1"/>
  <c r="Y74" i="1"/>
  <c r="AA74" i="1" s="1"/>
  <c r="U74" i="1"/>
  <c r="Y285" i="1"/>
  <c r="AA285" i="1" s="1"/>
  <c r="U285" i="1"/>
  <c r="M146" i="1"/>
  <c r="S79" i="1"/>
  <c r="V79" i="1"/>
  <c r="R79" i="1"/>
  <c r="X79" i="1" s="1"/>
  <c r="U149" i="1"/>
  <c r="Y149" i="1"/>
  <c r="AA149" i="1" s="1"/>
  <c r="Y163" i="1"/>
  <c r="AA163" i="1" s="1"/>
  <c r="U163" i="1"/>
  <c r="Y89" i="1"/>
  <c r="AA89" i="1" s="1"/>
  <c r="U89" i="1"/>
  <c r="M226" i="1"/>
  <c r="L226" i="1"/>
  <c r="R226" i="1"/>
  <c r="X226" i="1" s="1"/>
  <c r="V226" i="1"/>
  <c r="S226" i="1"/>
  <c r="U205" i="1"/>
  <c r="Y205" i="1"/>
  <c r="AA205" i="1" s="1"/>
  <c r="O139" i="1"/>
  <c r="O138" i="1" s="1"/>
  <c r="M138" i="1"/>
  <c r="S178" i="1"/>
  <c r="V178" i="1"/>
  <c r="R178" i="1"/>
  <c r="X178" i="1" s="1"/>
  <c r="S15" i="1"/>
  <c r="R15" i="1"/>
  <c r="X15" i="1" s="1"/>
  <c r="V15" i="1"/>
  <c r="R103" i="1"/>
  <c r="X103" i="1" s="1"/>
  <c r="V103" i="1"/>
  <c r="S103" i="1"/>
  <c r="S210" i="1"/>
  <c r="R210" i="1"/>
  <c r="X210" i="1" s="1"/>
  <c r="V210" i="1"/>
  <c r="S190" i="1"/>
  <c r="R190" i="1"/>
  <c r="X190" i="1" s="1"/>
  <c r="V190" i="1"/>
  <c r="S133" i="1"/>
  <c r="R133" i="1"/>
  <c r="X133" i="1" s="1"/>
  <c r="V133" i="1"/>
  <c r="U20" i="1"/>
  <c r="Y20" i="1"/>
  <c r="AA20" i="1" s="1"/>
  <c r="V251" i="1"/>
  <c r="S251" i="1"/>
  <c r="R251" i="1"/>
  <c r="X251" i="1" s="1"/>
  <c r="S175" i="1"/>
  <c r="V175" i="1"/>
  <c r="R175" i="1"/>
  <c r="X175" i="1" s="1"/>
  <c r="S184" i="1"/>
  <c r="V184" i="1"/>
  <c r="R184" i="1"/>
  <c r="X184" i="1" s="1"/>
  <c r="U161" i="1"/>
  <c r="Y161" i="1"/>
  <c r="AA161" i="1" s="1"/>
  <c r="S151" i="1"/>
  <c r="R151" i="1"/>
  <c r="X151" i="1" s="1"/>
  <c r="V151" i="1"/>
  <c r="Y58" i="1"/>
  <c r="AA58" i="1" s="1"/>
  <c r="U58" i="1"/>
  <c r="Y55" i="1"/>
  <c r="AA55" i="1" s="1"/>
  <c r="U55" i="1"/>
  <c r="Y67" i="1"/>
  <c r="AA67" i="1" s="1"/>
  <c r="U67" i="1"/>
  <c r="U264" i="1"/>
  <c r="Y264" i="1"/>
  <c r="AA264" i="1" s="1"/>
  <c r="S257" i="1"/>
  <c r="U258" i="1"/>
  <c r="Y258" i="1"/>
  <c r="O245" i="1"/>
  <c r="O244" i="1" s="1"/>
  <c r="M244" i="1"/>
  <c r="R123" i="1"/>
  <c r="X123" i="1" s="1"/>
  <c r="V123" i="1"/>
  <c r="S123" i="1"/>
  <c r="R128" i="1"/>
  <c r="X128" i="1" s="1"/>
  <c r="V128" i="1"/>
  <c r="S128" i="1"/>
  <c r="S155" i="1"/>
  <c r="R155" i="1"/>
  <c r="X155" i="1" s="1"/>
  <c r="V155" i="1"/>
  <c r="U72" i="1"/>
  <c r="Y72" i="1"/>
  <c r="AA72" i="1" s="1"/>
  <c r="U48" i="1"/>
  <c r="Y48" i="1"/>
  <c r="AA48" i="1" s="1"/>
  <c r="R118" i="1"/>
  <c r="X118" i="1" s="1"/>
  <c r="V118" i="1"/>
  <c r="S118" i="1"/>
  <c r="O40" i="1"/>
  <c r="M39" i="1"/>
  <c r="M38" i="1" s="1"/>
  <c r="V254" i="1"/>
  <c r="R254" i="1"/>
  <c r="X254" i="1" s="1"/>
  <c r="S254" i="1"/>
  <c r="V248" i="1"/>
  <c r="S248" i="1"/>
  <c r="R248" i="1"/>
  <c r="X248" i="1" s="1"/>
  <c r="V245" i="1"/>
  <c r="S245" i="1"/>
  <c r="R245" i="1"/>
  <c r="X245" i="1" s="1"/>
  <c r="Y289" i="1"/>
  <c r="AA289" i="1" s="1"/>
  <c r="U289" i="1"/>
  <c r="Y266" i="1"/>
  <c r="AA266" i="1" s="1"/>
  <c r="U266" i="1"/>
  <c r="S215" i="1"/>
  <c r="R215" i="1"/>
  <c r="X215" i="1" s="1"/>
  <c r="V215" i="1"/>
  <c r="T141" i="1"/>
  <c r="T37" i="1" s="1"/>
  <c r="T36" i="1" s="1"/>
  <c r="T35" i="1" s="1"/>
  <c r="T9" i="1" s="1"/>
  <c r="T8" i="1" s="1"/>
  <c r="T293" i="1" s="1"/>
  <c r="Y172" i="1"/>
  <c r="AA172" i="1" s="1"/>
  <c r="U172" i="1"/>
  <c r="V99" i="1"/>
  <c r="S99" i="1"/>
  <c r="R99" i="1"/>
  <c r="X99" i="1" s="1"/>
  <c r="Y139" i="1"/>
  <c r="S138" i="1"/>
  <c r="U139" i="1"/>
  <c r="U138" i="1" s="1"/>
  <c r="O238" i="1"/>
  <c r="O237" i="1" s="1"/>
  <c r="O236" i="1" s="1"/>
  <c r="M237" i="1"/>
  <c r="M236" i="1" s="1"/>
  <c r="R113" i="1"/>
  <c r="X113" i="1" s="1"/>
  <c r="V113" i="1"/>
  <c r="S113" i="1"/>
  <c r="U157" i="1"/>
  <c r="Y157" i="1"/>
  <c r="AA157" i="1" s="1"/>
  <c r="Y70" i="1"/>
  <c r="AA70" i="1" s="1"/>
  <c r="U70" i="1"/>
  <c r="Y84" i="1"/>
  <c r="AA84" i="1" s="1"/>
  <c r="U84" i="1"/>
  <c r="U30" i="1"/>
  <c r="Y30" i="1"/>
  <c r="AA30" i="1" s="1"/>
  <c r="AA153" i="2" l="1"/>
  <c r="AA146" i="2" s="1"/>
  <c r="Y146" i="2"/>
  <c r="AA139" i="2"/>
  <c r="AA138" i="2" s="1"/>
  <c r="Y138" i="2"/>
  <c r="AA257" i="2"/>
  <c r="S37" i="2"/>
  <c r="S36" i="2" s="1"/>
  <c r="S35" i="2" s="1"/>
  <c r="S9" i="2" s="1"/>
  <c r="S8" i="2" s="1"/>
  <c r="S293" i="2" s="1"/>
  <c r="U293" i="2" s="1"/>
  <c r="Y39" i="2"/>
  <c r="AA40" i="2"/>
  <c r="AA39" i="2" s="1"/>
  <c r="AA38" i="2" s="1"/>
  <c r="M37" i="2"/>
  <c r="M36" i="2" s="1"/>
  <c r="M35" i="2" s="1"/>
  <c r="M9" i="2" s="1"/>
  <c r="M8" i="2" s="1"/>
  <c r="M293" i="2" s="1"/>
  <c r="O293" i="2" s="1"/>
  <c r="AA226" i="2"/>
  <c r="AA225" i="2" s="1"/>
  <c r="AA141" i="2" s="1"/>
  <c r="Y225" i="2"/>
  <c r="Y141" i="2" s="1"/>
  <c r="U146" i="2"/>
  <c r="U141" i="2" s="1"/>
  <c r="U37" i="2" s="1"/>
  <c r="U36" i="2" s="1"/>
  <c r="U35" i="2" s="1"/>
  <c r="U9" i="2" s="1"/>
  <c r="U8" i="2" s="1"/>
  <c r="U15" i="1"/>
  <c r="U14" i="1" s="1"/>
  <c r="U13" i="1" s="1"/>
  <c r="U12" i="1" s="1"/>
  <c r="U11" i="1" s="1"/>
  <c r="U10" i="1" s="1"/>
  <c r="Y15" i="1"/>
  <c r="S14" i="1"/>
  <c r="S13" i="1" s="1"/>
  <c r="S12" i="1" s="1"/>
  <c r="S11" i="1" s="1"/>
  <c r="S10" i="1" s="1"/>
  <c r="Y138" i="1"/>
  <c r="AA139" i="1"/>
  <c r="AA138" i="1" s="1"/>
  <c r="O39" i="1"/>
  <c r="O38" i="1" s="1"/>
  <c r="O37" i="1" s="1"/>
  <c r="O36" i="1" s="1"/>
  <c r="O35" i="1" s="1"/>
  <c r="O9" i="1" s="1"/>
  <c r="O8" i="1" s="1"/>
  <c r="U210" i="1"/>
  <c r="Y210" i="1"/>
  <c r="AA210" i="1" s="1"/>
  <c r="U200" i="1"/>
  <c r="Y200" i="1"/>
  <c r="AA200" i="1" s="1"/>
  <c r="U99" i="1"/>
  <c r="Y99" i="1"/>
  <c r="AA99" i="1" s="1"/>
  <c r="U248" i="1"/>
  <c r="Y248" i="1"/>
  <c r="AA248" i="1" s="1"/>
  <c r="U175" i="1"/>
  <c r="Y175" i="1"/>
  <c r="AA175" i="1" s="1"/>
  <c r="Y133" i="1"/>
  <c r="AA133" i="1" s="1"/>
  <c r="U133" i="1"/>
  <c r="O226" i="1"/>
  <c r="O225" i="1" s="1"/>
  <c r="O141" i="1" s="1"/>
  <c r="M225" i="1"/>
  <c r="M141" i="1" s="1"/>
  <c r="M37" i="1" s="1"/>
  <c r="M36" i="1" s="1"/>
  <c r="M35" i="1" s="1"/>
  <c r="M9" i="1" s="1"/>
  <c r="M8" i="1" s="1"/>
  <c r="M293" i="1" s="1"/>
  <c r="O293" i="1" s="1"/>
  <c r="Y159" i="1"/>
  <c r="AA159" i="1" s="1"/>
  <c r="U159" i="1"/>
  <c r="Y118" i="1"/>
  <c r="AA118" i="1" s="1"/>
  <c r="U118" i="1"/>
  <c r="Y151" i="1"/>
  <c r="AA151" i="1" s="1"/>
  <c r="U151" i="1"/>
  <c r="Y103" i="1"/>
  <c r="AA103" i="1" s="1"/>
  <c r="U103" i="1"/>
  <c r="Y155" i="1"/>
  <c r="AA155" i="1" s="1"/>
  <c r="U155" i="1"/>
  <c r="U79" i="1"/>
  <c r="U39" i="1" s="1"/>
  <c r="U38" i="1" s="1"/>
  <c r="Y79" i="1"/>
  <c r="AA79" i="1" s="1"/>
  <c r="U291" i="1"/>
  <c r="Y291" i="1"/>
  <c r="AA291" i="1" s="1"/>
  <c r="AA40" i="1"/>
  <c r="Y113" i="1"/>
  <c r="AA113" i="1" s="1"/>
  <c r="U113" i="1"/>
  <c r="Y123" i="1"/>
  <c r="AA123" i="1" s="1"/>
  <c r="U123" i="1"/>
  <c r="Y178" i="1"/>
  <c r="AA178" i="1" s="1"/>
  <c r="U178" i="1"/>
  <c r="U254" i="1"/>
  <c r="Y254" i="1"/>
  <c r="AA254" i="1" s="1"/>
  <c r="Y128" i="1"/>
  <c r="AA128" i="1" s="1"/>
  <c r="U128" i="1"/>
  <c r="AA258" i="1"/>
  <c r="U251" i="1"/>
  <c r="Y251" i="1"/>
  <c r="AA251" i="1" s="1"/>
  <c r="Y108" i="1"/>
  <c r="AA108" i="1" s="1"/>
  <c r="U108" i="1"/>
  <c r="U187" i="1"/>
  <c r="Y187" i="1"/>
  <c r="AA187" i="1" s="1"/>
  <c r="Y226" i="1"/>
  <c r="U226" i="1"/>
  <c r="S225" i="1"/>
  <c r="U220" i="1"/>
  <c r="Y220" i="1"/>
  <c r="AA220" i="1" s="1"/>
  <c r="S244" i="1"/>
  <c r="S236" i="1" s="1"/>
  <c r="U245" i="1"/>
  <c r="Y245" i="1"/>
  <c r="Y184" i="1"/>
  <c r="AA184" i="1" s="1"/>
  <c r="U184" i="1"/>
  <c r="Y147" i="1"/>
  <c r="S146" i="1"/>
  <c r="S141" i="1" s="1"/>
  <c r="U147" i="1"/>
  <c r="U215" i="1"/>
  <c r="Y215" i="1"/>
  <c r="AA215" i="1" s="1"/>
  <c r="U195" i="1"/>
  <c r="Y195" i="1"/>
  <c r="AA195" i="1" s="1"/>
  <c r="U257" i="1"/>
  <c r="Y190" i="1"/>
  <c r="AA190" i="1" s="1"/>
  <c r="U190" i="1"/>
  <c r="Y231" i="1"/>
  <c r="AA231" i="1" s="1"/>
  <c r="U231" i="1"/>
  <c r="S39" i="1"/>
  <c r="S38" i="1" s="1"/>
  <c r="Y38" i="2" l="1"/>
  <c r="Y37" i="2" s="1"/>
  <c r="Y36" i="2" s="1"/>
  <c r="Y35" i="2" s="1"/>
  <c r="Y9" i="2" s="1"/>
  <c r="Y8" i="2" s="1"/>
  <c r="Y293" i="2" s="1"/>
  <c r="AA293" i="2" s="1"/>
  <c r="AA37" i="2"/>
  <c r="AA36" i="2" s="1"/>
  <c r="AA35" i="2" s="1"/>
  <c r="AA9" i="2" s="1"/>
  <c r="AA8" i="2" s="1"/>
  <c r="AA147" i="1"/>
  <c r="AA146" i="1" s="1"/>
  <c r="AA141" i="1" s="1"/>
  <c r="Y146" i="1"/>
  <c r="AA39" i="1"/>
  <c r="AA38" i="1" s="1"/>
  <c r="Y257" i="1"/>
  <c r="Y225" i="1"/>
  <c r="AA226" i="1"/>
  <c r="AA225" i="1" s="1"/>
  <c r="Y244" i="1"/>
  <c r="Y236" i="1" s="1"/>
  <c r="AA245" i="1"/>
  <c r="AA244" i="1" s="1"/>
  <c r="AA236" i="1" s="1"/>
  <c r="AA257" i="1"/>
  <c r="Y39" i="1"/>
  <c r="Y38" i="1" s="1"/>
  <c r="U225" i="1"/>
  <c r="S37" i="1"/>
  <c r="S36" i="1" s="1"/>
  <c r="S35" i="1" s="1"/>
  <c r="S9" i="1" s="1"/>
  <c r="S8" i="1" s="1"/>
  <c r="S293" i="1" s="1"/>
  <c r="U293" i="1" s="1"/>
  <c r="U244" i="1"/>
  <c r="U236" i="1" s="1"/>
  <c r="U146" i="1"/>
  <c r="U141" i="1" s="1"/>
  <c r="U37" i="1" s="1"/>
  <c r="U36" i="1" s="1"/>
  <c r="U35" i="1" s="1"/>
  <c r="U9" i="1" s="1"/>
  <c r="U8" i="1" s="1"/>
  <c r="AA15" i="1"/>
  <c r="AA14" i="1" s="1"/>
  <c r="AA13" i="1" s="1"/>
  <c r="AA12" i="1" s="1"/>
  <c r="AA11" i="1" s="1"/>
  <c r="AA10" i="1" s="1"/>
  <c r="Y14" i="1"/>
  <c r="Y13" i="1" s="1"/>
  <c r="Y12" i="1" s="1"/>
  <c r="Y11" i="1" s="1"/>
  <c r="Y10" i="1" s="1"/>
  <c r="AA37" i="1" l="1"/>
  <c r="AA36" i="1" s="1"/>
  <c r="AA35" i="1" s="1"/>
  <c r="AA9" i="1" s="1"/>
  <c r="AA8" i="1" s="1"/>
  <c r="Y141" i="1"/>
  <c r="Y37" i="1" s="1"/>
  <c r="Y36" i="1" s="1"/>
  <c r="Y35" i="1" s="1"/>
  <c r="Y9" i="1" s="1"/>
  <c r="Y8" i="1" s="1"/>
  <c r="Y293" i="1" s="1"/>
  <c r="AA293" i="1" s="1"/>
</calcChain>
</file>

<file path=xl/sharedStrings.xml><?xml version="1.0" encoding="utf-8"?>
<sst xmlns="http://schemas.openxmlformats.org/spreadsheetml/2006/main" count="3850" uniqueCount="1160">
  <si>
    <t>Указать название организации (на бланке организации)</t>
  </si>
  <si>
    <t>{"estimateId":5143385,"estimateVersionId":6900463}</t>
  </si>
  <si>
    <t>4</t>
  </si>
  <si>
    <t>eMhpSdUBFQFMVU2yXaXcjI9HOIR71AkddBnARmCjaq+/fL/vNFHq20VjegLruG8ahH8bWyeoRvBbnA3Ek68qIO+PcG3sE58Pxgs4EulFOXQnMc19iboiOdw3zKebtiqSPAzP+Kw47j1f5JIeHhXqOiHdBpjE6pQoFg7ItuXSAks=</t>
  </si>
  <si>
    <t>ТЕХНИКО-КОММЕРЧЕСКОЕ ПРЕДЛОЖЕНИЕ (ТКП)</t>
  </si>
  <si>
    <t>г. Москва, Кронштадтский б-р, вл. 14, БНК на 300 мест, ДОО на 150 мест</t>
  </si>
  <si>
    <t>Стоимость, указанная в предложении, включает в себя все необходимые затраты на выполнение полного комплекса работс НДС 20%</t>
  </si>
  <si>
    <t>Предельная стоимость производства работ (ПСПР)</t>
  </si>
  <si>
    <t>МФ-СТРОЙ ООО</t>
  </si>
  <si>
    <t>9701212867</t>
  </si>
  <si>
    <t>eF7s/fuSHMeR54u/SpnM1ozq7qrNW+QFx+YPoNnEFojuKnR27disIJNV33ZoEkkdktqdnbU140XUZakVKVGa0eENojQ7O8fs/PYHgoAI4sZXyHqF35P8IrIys7qrIyLdvdKjWnOkGTSB7kbDPx6Z7t8I94j4r99647/88ORbV7718vSH39r61n+a/uBHJwflZ1750Q9+sPWtk787OvnB/BPfer3+Bvn7/3r7W0evvvzyq6/c/taV78g/qJ8if7v47NbtxQ+7Xf2024sfV37v64tvK/9c/LF4VNwtviruzt6e/aJXPC3/cE9+fFo8LB70imezN4svqz+q7/qJ/O/D3nPqG3vFF8Xj8kuPjN/57fLfO3r11deOX3pl+sb8H73ql589ef2Nl16Wn9t/9T8Pj88Y/MobL73xX67/6KX6c/9t6zztK6cv/Uca7X+9fXvxz8p/U/7pivCjMEzF1tkv/fuT115/6dVXqu+IM8+L4vC/6VCeXwVFPgA0Dp0lL6xiyesv/UfiA6QzZWcVU1Z6mv9Q/Lb4n8Wnxe+Kj4rP+upD8Yn8v98Wvy/+l/z4efmZ3/aKO/ITvy1+U3ws//gP8nfqb/xWPtV/kN9wR//MBlcmwbqwvhz0JMWz2VvyTZPv5lav+Ei+bM+Kp7Ofzd6Wr9x9+fKqrz0svpYvZX/2pvyOe8XjQc+P5O9+JfE+Kl/tXuh5veJJ8WD21uxt+ZXfSPzP5l/xxeIrWv7wyiRcF//nkvKZpHuifKAC1VZv9k4duKT5EmD2vkTuFd9Ivzwo7su49Kz4k/ydCkYPS288Kh7Pfjn7qfz+B7O31fdKjz0ovij/nvqtcsMD+be+mL0rP95X/9rsPfXpeWx8s/z43txZ8m+8V3wjv+1x+ZeqUFl/4pkMg8968h98Jg3+Rn7qQfFI/gt3e+qHyJj5TI1WTw7Kb4rPe4H3b7Tujq5MonW5+07lxAfSZb+onKv8fn4M5s5+Vkb7e8pl5bfcO8cpX6k78q2Tr5v2pbohrozEuig/Kf6pL237gwwFnxX/V0+9CsVnOivH4sr+uqzMEs8P/CCNE51lubgyWZdl8vl9VgaMN+WDIPPkv5UfdQ+yuHI1WZeJH6nHUoWKr5RQ6ckg/3nxe52V18SVa2uz8lP5tqj36kEZO85orzORR2f0triyvTajPypHvzRapSBpZZl8vlGRz+jm58WV5y+hxTJ0vTl7X378qfyUzCo603fElZ21mf7b4r5UACrQPhnojHtBXHlhbcZJv87+x+zHg/JBfavKnlofXhdXrq/TzOJxX2UqpYi0gf7fiSv/bm32fSaVx8/lw/lgrhzmpuqsHIorw7VZ+c9llJIKVL4x7xRfDFqFzI34yovxuqz9RIVOlaLku3NXipn3VJ66ffsVJfPUfFUi3D8bcrUAa/P159L+32+pycqn+nD64tpMQz8GN+MrN9dmrW76UNrdavZufGXvz/rp3V2f09ue3r21mTYPtfpZzZZ0MPShHsVXRmuDQL+C4/jKrT/rZ3m8Nl+3Psu31mYa+jHYj6/sr81aeiTO4ysHf9ZPb74+p7c9vQdrM62rSDyJr0xWgXjj1TemP7jAcPtbr0xfPpn/WDrHmeUw+Fv6fJCtstpq4vnh6z987UB9bVf+yNdemv5g5//80Us/fFn+NA3l6RLlX+WT3ed2U+1K3i6zvfnLr41feQ1q5J7eyD1mI8evvXSke1wu2Ki8tdlYs6wqeKx8Y6Vhz/UezRltxQ35gd7AA0YDwcOtvLR5YBjuCY+Ff/vS8fHJK6u963+j9+nfsFuMG/r/oDfzP7CbCX4AlMc2/4PhAbh6dTVDV0rAH5Wi5XHxcPbj+dpnWbZ/tqipPZwvR5VLpsUj+bH+vPzUj8ua/5P5X5q9r4ULsuiKfMSjdQF+oLPqWpCJdRn0aeXvn87X+O/OVePsLfmpNxcaUu/N7TXafb+423vu33y7V5Z6nqoiqs7C59dnoc6cfyfNUY/fumwqfmV4/NY2lflQ6dDyOXt6vpD7sPzDO8U38nflJx+dEa5VeVuV0u6VpWFVSnk8L33Pfml4VNfGqB7V1sd0XdYZHtNYPabrsqn4teExXWVOtZJBxse0fPjKSZaKnNWj+kXVhfasbOV4NHtn9sue6kUrH2CVuuRD2ntu/pjPe9zqCPzwbAS+q9UR22t0g3ySn6vpAKF3XXYanulEPdPrsqn40PBMp+sy6PMywT/qqVB7vntICar64VYtFW+rJpq3y6/dL5edtOXU7TWylJ1iA8NjuC6rDI9hqh7DddlU/MbwGGbrMujDs3Gx+Fr+973ia7VuNX86RU8ldkPHyRrNBiX1dVlnePIy9eSty6Yd7YMXet6a7Cl+d3HK2FPdGN+Una0Pyu6Hp/OcrNow/3vZN6lCoUyB8hmVKbse/179iW+XrZ3P5p2I8hF+r5KpKpR+JcXq49kvyl4fpRaeXPiXDJOsNbrIxKlqDaqpxv78r89w7fMvzbkyWZ9NxT8YXoC1daf/Wj7c9+UzerYgUDYIz6f8qjTwoO46fqRpMpYiVj7j78i/eqZprYzfT8qXZnZhA4b8Bvklw1O+Nj/cU34444V+Kck1LZCGp3xdhhuecl895euyqfhHw1O+ts0K+qlb2RX4TSl9q61GahHhy/L7nqke4nu9SgCrZcb5LqPiH9Uf5K+vbJ2Z22tkhcTkdRlneFoD9bSuy6bid4anNVyXQUvLsZ+r3QCGp2xtNpZLr2XkV/3Ld1sXAtZnquGZU3uH1mZT8ZHhmYvWZdBnUq++N3v77H4gKQre6snQ+ZFq0/id/I9htapcFVALXD+Xn3q33oIzF8oylPbP7Isqo+y/mUfV8ke07MrcXqNHzuh99Wz3LkgE9dl/o5NEWgn//PpQDG9ApN6AddlUfGx4A8S6DDrzBlx4OGuxoHqrpLZVT3n5NKjn++zWMvU36ind41I5zLfNBP2wVwqLedg8/z5Us6ryEVK99qLXbAx8oJ4u9a+dnXyqf1OZVL5sXy3JEflF05u0Ns8uvUnLNpefK51jeG/WZbjhvRHqvVmXTcUnhvdmbXWa/1UK6HnhbaGuz9Tp7spHuUoN5a7WcitqGVLV+F/8u7oJ6LzAf1++Fu9rIy5prXqNTjuznUY9/fbdNc+vz1DDKxCrV2BdNhWfGl6BtZV1fjNfzpunji+rsvWbi+RRb7ueLyGY1j7WZv59GXnVUyiVfBWLvzQ8husy0fAYJuoxXJdN+jmZfAzXVtb5bN75bVUiNh3y7Mzff65UHjL6yhgttf23q22098tnuFzeUwvB78zeLZf3Hs9b0csDH56pHaxq/vDTMhJXYV29BsqkwPMj9ZDJ/4rqv3Flkkm3rM2fpVX9xSR3IVTaPil9O2+qlh59UHxVNVZrAZ9fH6Aag/7t26+oMaj+m/QNr1qqXrV1GVrcMbxq66pjFZ/Lh/5r9ZrBQvu67JRP5FtltcawTvn8+kwzPGeZes7WZZPhIIbQX1u96MNSxJYSdn7wSVkYl2H4Yak1yung7M3elV7xT4Pid4Pis8GZM1/mcnr2y625GH482Oqd9F+evvQD/VO6Nkr9o+CrSt3abCo+NzwKayuqqMMCzrY8P1OrBmoV7ifFs27Gf11ohvFXNay12VT8wTD+aytTqBOQynpkeWBUdRzLo978fLBq/ruY9M4fFcNAr4vBMNCq/IO16bvlTzo+GU/f+Fv5OWlhfHgUHB5Ovf5JdCr6Ueqd9tM0Oe1Po9CbhiLyj4+n8+987dX/PP9NNv9Pw3byg5NmL8pZOPCmO1++fr+uZn/P6lUNNU4PNZ/vn+lxXvp2dSictk37anplCFdhUKf8N/kX/RDsjA527GX6HXtMaBEeDbfdZ0/Ps8fEI/A84H1BCmekxxkx4cBfwxU3DOqxch6swMNh4Z64Az3LAROLj2NBPW0TPcqEAUWxxLfPJ4FltNdPjt54SZPhZBL40cuHJ7oRupgGfB3RVf28JkgDkaaZnyxjzZOv9D7YQpURv/fDMiW2GhnrTLxGNHH5FbY4EZZJVZ/N8hGXTaZ8ONezUtvOj3fUrppvZ1eGRJoLudCM00Eu9L2t3VDoEyIVYDnjAQBw8WdPWr1nsHqParXAW42KNCNp9Mhg9IhqNPzRXzF7SeNzg/E50fgLOarFeNwzciAtPjBYfEC1GB6uCZlIGjwxGDyhGHwmejPnG0PGMayf1FanRjeDjUSlnEGgs/Ia1Ur4qwfNOuW5NOWqrkw038zeKc9IrhfxVTG7PIFYHWutA9n2vStDKozjpOPrEw7ZegcZR2/yHtlkgTcZFU5GBotHZIvhD/yquUZveU61nDvR6M09IJsLD9KULKO3dkKy1mWKMSUZ/SJtbXdm9DLYTGSSMaUZop3wtw6ZZlQf7f3iq7LB6WlZOFdru3W5/HwSek6bhbQP0rbvyzREhHWchgJDGqJa7yAN6U3eI5ss8Caj4s3IYPGIbDH8hVg1Dektz6mWc6chvbkHZHPhgZyShvTWTkjWKnOrd89BGjIlIn0RqbI88Ix+BhuKTkSDSGfpNaql8DcPmop+XTyVGebtsp3gaVVWLDOQKiG+15v3vj+oOhvL7jCZfYzzn0AmHiKa48QTGhIP1XoHiUdv8h7ZZIE3GRVhRgaLR2SL4Y//qolHb3lOtZw78ejNPSCbCw/dlMSjt3ZCstbt/MecekKr7b7R02BTCanHNA8i2gp/+6DJ549NSefrupSjSzfPikc6kG0/lOmGCOM43USGdEO13kG60Zu8RzZZ4E1GxZWRweIR2WL4A79qutFbnlMt5043enMPyObCAzYl3eitnZCsdT3PMSecyGp9YPQ12FhSwjHNd4jWwt/A7lNOr9qzMvuZnBSpyzrv1u3+T2bvlDOl+mzir8tt8votzdt+JJMUEd9xkhJbu1Jl7Qbyv6FnSFhUEgcJS2ztSfP3pPl7BvP3yOYLvPmoKDWS1o+k9SNp/chg/YhsPfw1WjWRia1cUuSSIjdQ5FQK7qQmtg6k6QfS9AOD6Qdk0+EpgpLgxNZEWj6Rlk8Mlk9IlpfPztxyFYi+Y0t6//nV176vwaFlPFPOE1aIyOh+mK3EhCfNDXXmXqOauxz0Ta5lyHjlTdLVFvricXXIy4NqX+eTXpnx3iw/vtWcv/3WvIe9rGI96L34yvRHp/Pt/cXnfd8XA7/60wdB3491jtqmOmo5pxjH9WUVxL730uuQB1Fn4fNUCwXKQoB1/lYv2OqFvdn/KIfoT8XDgdoC8rD45krvr59PB+qsnourtXJQP3yx+FjtA5LfKQfG94Nm9OZ3SD2sRq48YOSxOrChKkkmQimegbqZ/V5Zi1T3mH9dVHcuqLM9zuijh6pC+VHxafFB8Ud1l/Xj6tkozyz5UF273S8+6PnBoPyh5QFDz8q9yc/m572+XRn9tLnWfH7v+dPyuXs6fwjhz2dpzvwgTnWXRHl6xJ3i057wZu9GXrl1907xeflH4c0dMNCN/w51/GPY+L98Mn39R6+B3uYn2jWdF6gGJjADT/7uhyevvK4z8JUlA/2BVx2vuWTidaqJKczE//TqD34ECog64/4d1bhlZWUwrszqAO/F+lQypJrnL2smg31KtJaigyT9hi/s7O+P9p/bH032nn9uPpeIt3b9RP5K5a/s2+pVkxAyeH17S69QbpARgUqkQTTqwuXBCIIsHOgf5hfJ1gK1SGMtxP/Sd5tz378497HO5Jtkk4F6ZLUZ6Nx+SbIxNDPskhmAUoEw95wbLo3eODcEJoQ9MoJAIoAfH+nVzdqsC1NOqrXAzPfDDoNOLoNOLoNOLoNODgo6YzIeMG/+sKuAc4tsKTB9/hD6tIybYHPL/KLuk83FJFTSczO3fWwPNDnV/guLFDb76UHmlj3IHJDNByZT5CqFfGQO9AFmQrJUmTqNgxM/8pN+FsVJP4qOw37qT4N+5k9Ppn4o4uOsikHGNYuXq+dHA0hdtzCtXMQ4SiiebnXDQoVZ4dBxXOPkWJYZttEBLn3cKad+1TnKT4qlG5ObAwVNy/9q9lgu7Peemx9SqKadWz054f2m/Fnqc+XEd6tXfFme+PR0Ptedf272MzlfVp/9Rn79/uyXZQfvY3XS1sNyVjr4drUycr+8MOLrahp8dhI7/4agN592VxPu+tSP8t8xNGIxjpOAjxN8XUNHscNJsaxPLBSI2Xl9HNTj+eE8OqoXOKmWZYmFCjGl12Fc58RY1iwWjBWn/YwQy0rGArHy8gAjxoUlBAsHahnhwmPmBYNQy3eDlQ+Rd7qY4tYT3ViJN6lBY/Nkl5MaEf/AczT4iI5Z2bBvHoTNOprj9tHM2YhLNZyenEbxSTztnx5Hp/0oPYr60yM/7odpdnzsBYH8UUe33ath7WL1VV9/ZqvFFTA852qYkQMRlaBq+ON5MUYdt/pQ6s+3lMpVUrPUrPNTXb/+XiVJm1pNcUf+vT8WH80/7wdbolceFKzxxzanPwTcH6uqTkYKRNRFqE5TTYgRhEVoGhqWr3OCuJOajBDYhAcYiyAeRLEOZMgJ4lBsRgOR6PhusPIhwnqXYjOp5EliFpuc1Iiwt4LYNI3omJUN++5B2FrEZuto5mzE86XX6fHpofre6aGf9SM/OOxPo8O4H0fiMD48zTI/iW67F5vamcZVX3+OnE13g/Cci01GDkRUgorNO2e6bn7xPSUeq0YgdX5tKTXV54S3If/f24rLZpzQpCsZ0QUcfVVdyUiBCLAIXalOkv5y0NOPygucPEzy0tPmh+ucJO70JSMENscBBiMQgzjSriwPOUmcCcxYqhGtfr7BioeI5F3qy7RSJKlZX3JSI8IfWV8aB3TMioZ99SBoLfKydTBzNuJSXp4eHcWnyeFRP02OjvpRduT3D6PpUf80ngbB9PAwTZMqqjqVl5HOFVfVAOFcAcNzLi8ZORBBiS4vy9O0VK/33eKeKuvPbx1sZGYEkJmMLhBwF6wqMxkpEHG2O5nJyMMiM2WkMCxjMpK4k5mMENhcBxiMdJCZljEZQZypTOEPYu2yxw1WPERA71JlZpUwycwqk5MaEf3IKtM4oGNWNOybB0FrUZmtg5mzESuZaVOP3e5l1dfAA+thr2m8DLfmvaxUc5cjxb/6vaxUR0UwR3Wwl5VqoUBZCLDOvpfV94ybWc9sG13sR1V30qrG2nM7Uuefsu5KXX2X6ee+7/eeOz8l6Z3dWFpuoK2uNVd3l9w9Z80/qbtES8759bv3Kz7VLaxuTT+7Lfbi9tymI2Pw7V7xSfnp6rrIskFYtSnPL41UpzzKn1jbUHYibzU/byBtLX/K7duv6J6aHepTs5w02XbAUg0E7uTB6H/TDliqicvinmUHLNU4zIYdgPcCoV9oGVLtW9sW2MDf2g0C+SuUv6L5brTAs22BJSMCBUy3W2DJ1gIlDG4LbODVW2DnPtaZfJNsMlDGdDHZkSQbQzPDLpkBqDDoW2Cl4eeGwLgFlowgkAjgx0d6dbM2a8naEdlaYOoDzxUBQSeXQSeXQSeXQScHBZ0xGQ+YOLvbAku2FJg/4Vtgm2Bzy/yi7pPNxWRU0nNTTcHtgSan2s+7BbYJMrfsQeaAbD4wmSK3wMpH5kAfYCYkS5WpsKKagjEudVgWeqjLHYYtsIH1WoGLlFA814UyTg7Euip0xaTLPixOdAFHh68w6Ch2OCkQS8SIGa+9QMbJw1IgM/ZhcZI4K5BxQmCX6QGD4XvhIExSHcqQE8VZiczciMWKhwjlXcwa67mjP6+qzP+ro95lpUbEP/C0BzygY1Y07LsHQbOXyNoHM2cjvryNWIbb/a4GAdYVMDzn+pKRAxGU6Ppy9UYsThcIuAtW1ZmMFIg4253OZORh0ZnGRixOEnc6kxECm+sAgxHGAy82yExGEmcy09yJxYqHiOhdysygUiaBWWZyUiPCH1lmmjuxWNGwrx4ErUVmtg5mzkZcysyT0+lxEE5P+6eHh8f9KAyC/tQ/TPreUZilR0F0EobVgDuVmdrBvxqEWFfA8JzLTEYORFCCyswPmyNL7s3eq64oLVtiml6WcjHzQdNkM3uvPspEilApRVUH0Xzh82t1al7x9eJAkw0/8LyNQOjLTtucnhJwT8HVaHEH1meko93hpEWEbYRqNfUDMYKwyFVD4eQ6J4g7tcoIgU2ZgLEQ4SCMdCBDThBnYtUPxUAY1ConHyIxdKlWw0rghGa1ykmNCHtkteqLwDOdtccKh335IHAterV1OHM24st78rTh5sWrQYR1BQzPuV5l5ECEJahe/X/tydOc4yTg4wRXyzqKHU4KRDpAqGDIydOcVCyS2CCIGTHcCWJGCGxOBoyEuS2fkcOdHjYfPc3Kh0g8XerhqBJQkVkPc1IjAiBdD5uPnmZlw756ELYWOdw6mjkbsfzfd88IQfU4O7wkVju8VwNhgw0uwDraWGtYT75GNXc5dKy4sfazJXF3t1ftg30K2BkbB6Jea+35vXpLZr1Vtu/LiZr8T6B1wDbVARHMAbgNs8WvZ+9VgvpPUqo/mL0tod+vBPmvis/mzij3mP73udBSe0x714a7fanW/1kH+DwVUKAAAXAt+239nnwKljbVNpe8Lj0cc4fozxG/W+2pPbP0fOYK1uKBfBieqV2p5Y7aB+rg8fmu2mfqaPIvpGFflf9McyPsg/ltsJ/35GNG32U7n01ZL5w1763VhtUd6sAu5z++LbFEA4E7exA63rwllmgicEvPihqdaBxmAw/Ae5FRexPtW9+W2HhrN0jkr1T+qi5oDKy3wpIRgdIDvyXW9+LIuCWWai1QfCC3xDa3wgbmW2HJJgMFSBfzFkmyMTQz7JIZgBpihS2xza2wgf1WWDKCQCKAHx/p1c3arCVrR2RrgakPPO0DBJ1cmpPLoJPLoJODgs6YjAdMnLgtsZaAc4tsKTB/IrbENrfCml/UfbK5mIxKem7qybQ10ORU+5m3xDa3wtqDzAHZfGAyxW6JFZsH+gAzIVmqTD30oziMw6ifBsdJP8qO4/6hCOO+/NPR4VT+1WlY5VrjIoVlyYa6UGHaEhvjKKF4uuUMCxVmSUPHcY2TA7FECl3rANbmLtS7ziyJ8Bfoqu61M8sp1b83X1X5Znka/Gm59UJNhxPLDV2cIyXgIwVfs9BR7HBSIBanERN0UHWOkcpldY4Rw111jhECWyIAjIR5hYCRw1l1LgoHiVb+3mDFQ2SeLia59VS3ukk0MN8Ly0qNiH/gWRp4QMesaNgXD4LWUptrHcycjXjequYHWXYsjvrTeJr2I5Gk/dT3T/rZ9Cg+PImCLAimt93LYe1y9dXAfmmZxhUwPOdymJEDEZSgcphwLeynAepeWE6HCLhDVlWdjBSIqItQnaayECMIj9A03AvLCeJOajJCYDMeYCxENIgM23gZQZxpTcu9sKx8iLjepdisbhINzPfCslIjwh5ZbFruhWVlw757ELYWtdk6mjkb8eU9jzA09YmlaFeA8JyrTUYORFSCqs1OzyNkRBdw9FV1JSMFIsAidGXLOTGMPCzy0rjxlhHEnbxkhMCmOMBYZMK48ZYRxJm8tBxGyImHiONdqsvqItHAfCssKzUi+JHVpeUwQk407JsHQWsRl62DmbMRl+LyKDj1j/0jr+8fHQX96PA46qcnnuifnPoncRbFYRoc3nYvLrXB6mqQYV0Bw3MuLhk5EEGJLi5bDiMsRWZkF5mMLhBwF6wqMhkpEHG2O5HJyMMiMr2BdtXsOieIO5HJCIFNdYCxCONBqF1RHnKCOBOZoRgkBpHJiYeI512KzOoe0cB8KSwrNSL4kUWmcUDHrGjYNw+C1iIyWwczZyNWe1m35tsKHe5h1cvH0HojTJAsQzrbw6o19xrV3OWIsd49rHGzh/XMqSfNHlZvvodVW0jYpjoggjlg/XtYqYACBQiAs+9hDXrFPxZ3F9e/zvtkH1YHHpbXvT4rF5vnnZhP5fPwvmpq+HXxcfFr+YN+U9ybvaPZ/Xr2J9ouk/WDgVBdEPZ9pitfOTvQjdEOdYyWMxjbdlSqgcBdNXAtbt6OSjURuJ1mNZVNNQ6zeQbgvdjQa0o1b227UUN/azcM5K9Q/qruSgytF7SSEYEigrAbNQiEaTcq2VqgjMDtRg2bC1pD8wWtZJOBUqKLiYck2RiaGXbJDEA1QN+NGjYXtIb2C1rJCAKJAH58pFc3a7OWrB2RrQVmPvC8DRB0chl0chl0chl0clDQGZPxgHkTuRvVHHBukS0Fpk/4btQm2Nwyv6j7ZHMxCZX03FTTYXugyan28+5GbYLMLXuQOSCbD0ymyN2o8pE50AeYCclSZaoXBlF8cuSr3vygHwWZ3z8MY68/DeNYxJ7IwsPqWTIuN1gWXahLDobdqKGPo4Ti6RYmLFSYxQkdxzVODsQaJ3TV4s9pN+rZ42A72I3KOVICPlLw1QcdxQ4nBWJ1GTE/h+xG5aRiKbDpe7g4MZyV1zghsIv8gJEwLhAwYjgrrvm+zKFCx3eDlQ+RebqY5NZT3eoK0tB8nywrNSL+gWdp8BEds7Jh3zwIm7281j6aORvx5d0gEBm2o1YtAghXwPCc62FGDkRUwunhbjYIcKILOPqqApORAhFgEQLT3rvFycMiLU0bBDhB3IlLRghsigOMhR8OokgHMuQEcSYvzRsEWPEQcbxLdVndPBqar5FlpUYEP7K6NG8QYEXDvnkQtBZx2TqYORtxKS5hV846F5ehzhVXwxDrChiec3HJyIEISnRx2bJBIAKITEYXCLgLVhWZjBSIONudyGTkYRGZpg0CnCDuRCYjBDbVAcZCDHztmsCQk8OZxjTebH+DFQ8RzrvUmNVtoaH58ldWakTsI2tM44COWdGwLx4ErUVjtg5mzkZcasxUnMZZGIp+cpj6/egoPO4feiLrnx568clJKv+VtEoOTjVmpHPF1WojPcIVMDznGpORAxGUoBqTcJ7eB6jj9Dj9IeD+WFVwMlIggi5CcJra2hlBWJRmYDhOjxPEndJkhMAmPMBY+NHA0+r+ISeIM6lpOU6PlQ8R1rvUmtVVnKH5YlVWakTYI2tNy3F6rGzYdw/C1iI2W0czZyMuL1Yt/7fVaBSjonz95OiNl159ReMJlKA0VMGFFTFdRjRtRTUbidGHseEWVaqVy0+VxZVA9feZlHn3Vftk1Vr5VnWr5Ptqm5+Ufg965Vqj2pH49uy9rXLT37l+y2fz3Yqzd+SPUR2ad9U2xeKBDns7FFeGVPQLMdLMvlqInO+1ig3xkGp9hLce3squTN4zmLxHNlngTYa3r0uLRwaLR2SL4a8HPebOd8XoLc+pll/Y4tBiOe7RODCYe0A2Fx7SkbsapLUTg7UTkrXlc3HbTUIybVSIrXZnRi+DzUSmJL2d16h2wt86UlJS+88fqJ3zan/B7N3yOIBy6/nP51vii691NNthLHMNkchxrkkMuYZqvYNcozd5j2yywJuMCiojg8UjssXwp37VXKO3PKdazp1r9OYekM2FR2tKrtFbOyFZe2ZB0kGuMWWbxGZ56Bn9DDYUnW0GQmfpNaql8DePmG8+Lz4qfqUzeTtMZFIhmu04qaRbu37kb+0GobrEXJhyDBXGQY5Jt/YUwZ4i2DMR7JEJBJ4AFVtGEmCkAEYKYGQCGJEB4O/Bqhko3coVSK5AchNITgXhTkjp1oGy/kBZf2Cy/oBsPTzCU/JTujVRxk+U8ROT8ROS8W6nRuaElVpt942OB5tKSFimKRLRVvirCk1Zd8pVuvd0Vm6HqcxSREsdZ6lMZqkwNeQmKoKD3JTJ3GSwe49st8DbjYomI2n2yGT2iGw2/OFeNQ9lMg8ZzM+p5nNnn0xmH4PNB2Sb4WGaknMymXMMJk9IJiubXVWF6jYjnfVXw8xqfWB0ONhYUq4xVYmI1sJfSGi2+aOqC5UHQn5dVojuqRM51Trco9mbs/fkJ8qDKdUn1FGU93Q022EmsxKRyG1Wiryt3SiSv+QcSgTyl5C/5O9jOZ2K5efjZGs3kd+TyK8l8s+JzGKp/G8q/5vJ/2Yqq3mh+qBmYb76na9+F6jfBep3YWjIeVQH8ec86ZU96ZU96ZU96ZU96ZU96ZU96ZU96ZU96ZU96ZU96ZU96ZU96ZU96ZU96ZU96ZW9TOVM6ZU95ZU95ZU95ZU95ZU95ZU9k1f2yF4ReK+gYuVIOmUknTKSThlJp4ykU0bSKSPplJF0ykg6ZSSdMpJOGUmnjKRTRtIpI+mUkXTKKFMZWTplpJwyUk4ZKaeMlFNGyikjk1NGZKfAw8OK+Vo6J5fOyaVzcumcXDonl87JpXNy6ZxcOieXzsmlc3LpnFw6J5fOyaVzcumcPFP5XjonV87JlXNy5ZxcOSdXzslNzsmpzmFWA9IjB9IjB9IjB9IjB9IjB9IjB9IjB9IjB9IjB9IjB9IjB9IjB9IjB9IjB9IjB9IjB5lSE9IjB8ojB8ojB8ojB8ojB8ojByaPHJA9Ak/UBK0hHTKRDplIh0ykQybSIRPpkIl0yEQ6ZCIdMpEOmUiHTKRDJtIhE+mQiXTIRDpkkimtIh0yUQ6ZKIdMlEMmyiET5ZCJySETkkPOiAHlF/aT1xs5YxA0kfWotzAyjirMVqKaMZVCr1HNXU7/K568jpEz9RHaj8vTr9VnHszeUQef6QC3qYDL6bujk9WLR8Xj2S9nP52fDP6V/M/PJdvbs3fU2eG/Lu7oGJ6nMggUA8B+2+Hpxcf9SGf9DtX6GGb96v3XVAOXe6sZjxWnmrjcNc1yrDjVuGXZs+Kx4lEoDOeGUQ1c28HiqkwUyblMFM7P942sh4qT8YD5EX+ouBCx6UxxsrHABIk7UzxqzhSPzGeKk00GJsnVJshV63jkbQzNDLtkBmAeJMxhq+N+o+ZM8ch+pjgZQSARwI+P9OpmbdbyZJBsLTDtgfvvAfEmV6VEGW9yULwZk9GACRN3nrg51twiGwpMm/DjxJs4c8v8ju6TzcUkUtIjU21osMeYnGo/73HiTXy5ZY8vB2TzgWkUORmXj8yBPrZMSJaWT8o0PAkDIfricBr3o+wk6R8eHqX9IMlO/EM5O8+m1VgY59AvT7vZfXxmHm2aSVtPkrxICcXTzbYtVJgZt47jGifHssKwjQ5wKv5Rearz18254cBpNiOkgEPCp7I6ih1OiuW8bqFATGkfFV/qSF7gJGHZU+zpS27XOUGc7SnmhFhO/hYI6EzaD71BrF0rGXKSONtUHASeQTLeYOVDROsu5oT1zLA6tDkyH8HNSo0IfOBJDXxEx6xs2JcPwmYdzXH7aOZsxPMTbKahiL0o7R+mp2k/Sk5O+ulxEPWPknjqCd/3Iu/wtnsNqQ1XV6MA6woYnnMNyciBiEpQDfm52nZcXUtTHlejbpJ5qu6IMcvK3nNnbqppLpYtr1wt2//rK2QOpq99/+SNN+p7d1v/pdlbqm5Unp6jrmBV/+aXqrp00QD5E781+4n8HnWJannxqvpM83N+Vl57oq7UKf/pLEpFqEpR8geVf4h0I7fNOXICPnKrCmNGCkR+QAhj++GOnDws8lg7Rb7OieFOHDNCYPMzYCRC/WnMQ04MZ8pY+EZhzImHSEFdCuPqwOnIfHo4KzUi8JGFsXFAx6xo2PcOgtaii1sHM2cjLnXxcTRNplly0vf92O9HcXDcnwbTo354cppO0+lJenRydNu9LtauqlyNQqwrYHjOdTEjByIoQXXxx+c1J1TyRuVRjr1K8v5DedbP26XYLT8zevmVl17/4auvvfF67+r2wXC019uPvN7f7Ny8OfprjWbuN9L5nC4uf96yKm7k+n0liqWUflTJZ/nbu/KThsVgxlER8FGBa94LA1P8oZxVPCqp3+6NdveG+Xi0f5D38hf/pnft5mSnp6pJ1dFMPy//9t1etOWZztzc4fQJIpEgFLSpW4oRhEc6Gy7f4QRxJ54ZIbBJHDAWUZIOskhHMuQkcaaf/TDMjAqaExCRrLpU0NVx2pH5bHRWakTgIytoy5COWeGwrx8ErkVDtw5nzkasRLRNG3fbu69NbVere8EMcOmF0zjX3btPNHc5Vlze3n0iYAQDdNO7T2QQKAaA/S29+9pHbIdqPbCJsQM1SjQQ2IqIUZnG3n2iicAmxBX1I9E4TMshxHtBaFhVJdq3vtZ9sbUbxfJXUrXSRtbWfSoeMD1227pPNRaYH5Gt+1HTum88X/sm2WRgjuxCS0uSjaGZYZfMECEZ8K210ca5ITC37lMRBBIB/PhIr27WZi1ZOyJbC8x64KkIIN7kMt7kMt7koHgzJqMB82V3rftUQ4FZE9G6HzWt+8Z3dJ9sLiaPkh6ZempnjTE51X7m1v1o45zrza37VPOBaRTbuh9tHuhjy4RkaakGVcEpSUU/FCKR02gh+pn6cHQUHokg8o7iafUsGafQlgUE6jTa1LovcJRQPOflJUYOxIoddCbeRXlp9pb8y2+2FZeu7+/8TUelpUVflW4ItjmHQMCHAD7P1lHscFIgFkE7mG8zgrit/jCCuKv+MEJgl58hYxGKbGCY5zOSXI7qDycgIpd0MWOt562iKhcI89yVkxoR+MBTLsSQjlnhsK8fBK6l+tM6nDkbcSlxDw+9QBz7ST+MTrJ+JKZRPz2K5V/wsiAJ/Gkc+qe33UtcQ60oxroChudc4jJyIMISVOK29/uvvrMAvLVA808Vd4pfF/9Tqej5NoLHxTOpiueiut550NJSVW0v8FNfq1y2OUdMwEdsVUXMSIFIDAhF3LKjgJGHRxjrMK5zYriTxYwQ2LwMGAkRa8diyInhTBNbdhRw4iFST5eKOK4kVGxWxJzUiMBHVsSWHQWcaNj3DoLWoodbBzNnI768p7UEph0F1gtPdK6A4TnXw4wciKAE1cPE01oYIQUcclUJyUiBiKQICWk8rYWRhEU8Gk9rYQRxJx8ZIbBpDDAWYeINUh3IkBPEmYC0HdbCyYcI1l0qyKQSHYlZQXJSI+IeWUHaDmvhZMO+exC2FgnZOpo5G7HbhnqDKLTeTZSarzOH2YoRe6CGeqK5wGZBqKZjbKgnAkYwQDcN9UQGgWIA2N/SUJ/orN+hWr8cl/ka6okGAhsE4RLT0lBPNBHYGriieCQah2kEBHgvCJJYZ9+Qat/6GuqzrV3hyV9+1eCaWhvqqXjA9NhtQz3VWGB+RDbUp01DfWpuqKeaDMyRXUhpSbIxNDPskhmAaXCFhvp049wQmBvqqQgCiQB+fKRXN2uzlqwdka0FZj3wTAQQb3IZb3IZb3JQvBmT0YD5sruGeqqhwKyJaKhPm4Z64zu6TzYXk0dJj0w9tbPGmJxqP3NDfbpxzvXmhnqq+cA0im2oTzcP9LFlQrL00lZXQlNDfYajhOI5r64wciAW7KAzcWJ1hRFSwCHhM1kdxQ4nBWKVETGjNVZXGEncVlcYQdxVVxghsCu8gLGI08BUXWEEuRTVFU4+RLDuYkpYTwyzaj0+M08OOakRcQ88p4GP6JiVDfvuQdhaqiuto5mzEV/ehvXQ0LAuPKwrYHiuJSQnByIqQSUkqYv8X1fDOueICfiIraiHOSkQeQGhh+0N65w8LKpY37DOieFME3NCYPMyZCS8UDtBGXJyOJPE5o51VjxE7ulQEQtvrqGE+epgVmpE5CMrYnPHOisa9sWDoNkFcftg5mzEl/eQktDQnCSs12TpXAHDcy6IGTkQQQkqiP81HlLCOQQCPgSrKlxGCkScRyhcQw8TJwiPtDUcUsIJ4k7cMkJgcyxgLALhhYZDSjhJnMlb2yElrICIXNKlwK3uyxTm209ZqRGBjyxwbYeUsMJhXz8IXIvEbR3OnI1Y/u+7ZyKnUq7fsUnZbjvsIx3sVRHYYMN4GdZRh31q6LCnmgvsHoRq0LLDvrhbKr17Utnd7ZUt9++VIu9evYA6e7dXfFOup/64vObzQfG1DmqbChXBoHBd9ToLn6daKFAWAqyz9czn17xA/unOwuOzX/SKD+Vv7pdL0WpsnqrdAWfWs9WS9I+Vildr2bOfyO+V31ONndTs9+YTiafynyq3S8x+Mdf5OiftUJ0EbFJEyNqWhVuincCOQ4xqNXXoU00E9hquqEeJxi0nu1U79IXOuiHVurX154twa1dE815ZEdh688lowMSK780PPFOt/EWyscDMiuvNF0Hdmy+M91veJJsMzK5dqHJJsjE0M+ySGYDJlN6bLw0/NwTG3nwygkAigB8f6dXN2qwla0dka4FpDzypAcSaXMaaHBRrxmQsYJbE9eWb48wtsqHAXAnvy29izC3z+7lPNheTPUmPSz1BtMaXnGo/b19+E1tu2WPLAdl8YApF9uXLR+ZAH1cmJEvLqV6YpEeJL/r+4ZHfj7xT0U+Pvazvi2nmBydedJQdz2GME2/LMgR18m3oyxchjhKKp5uiW6gw03QdxzVODsS6H3T+/g9qUignhA+LB73iy3Ka95X8xMPe7B052XtYtjK9WbYn1VO+B99TSUPHvs3JLuDs8Em0jmKHkwKxhgmf5c5+NntbR/ICJwlL9Ubm9kxHcp2TxF35hhECu34MGIxgYJpYM3K4K94YheQNVj5EDO9illjPFav7aIX5emFWakTcA09z4CM6ZmXDvnoQtpbSTeto5mzEpbL0RHyahqdB/zCIvL7vn5zK3x1m8i9k0+goPInD4Oi2e2Wp1c9XRYR1BQzPubJk5EBEJaiyXKo+YMoM864iQ73iTvF58Wnf17/p25xOEnAnrSpBGSkQoRguQdsKLYw8LELU2EbECOJOhzJCYJMhYCyCZCB0HENODmc61KxCOekQ8b5LFRpVusV8RS8rNSL0kVWo8ONBalChnGzYFw/C1qJCW0czZyN2eySnNvxcFcIGl2bLcOtuGCKauxwqLlfDEBEqgkF10TBEtFCgLARY19IwFLI1DJUD/mD+NVPDENFJwMppdzqWaCewFIrRp8aGIaKJwCLoisqTaBym5AnwniFEDqnmra9jKN7aFdV19UJYO4aoaMDM2m3HENVYYGpFdgyJpmPIeJ/jTbLJwPTahQqXJBtDM8MumQGYTVfoGBIb54bA3DFERRBIBPDjI726WZu1ZO2IbC0w74EnMYBYk8tYk4NizZiMBUyT3XUMUQ0FJktEx5BoOoaM7+c+2VxM+iQ9LvWM0Bpfcqr9zB1DYuOc680dQ1TzgSkU2zEkNg/0cWVCsvTS1nWEqWMoxlFC8ZzXdRg5EOt80An8muo6jE4ScCfBp9s6ih1OCsTiZnfzYUYet3UdRhB3dR1GCOzyMmAs0kFmmIYzclyCug4nHSLedzGjrOeV1f2uwnxZLys1IvSBp0SYug4nG/bFg7C11HVaRzNnI768fevC1F1kv3VO4woYnnMVysiBiEpQFdpt3zoju4CzryouGSkQERYuLs1964wkLLLS3LfOSOJOVzJCYNMbaDCSQDsaQ04QZ8LS1rjOyYcI4l1Ky+reV2G+xZeVGhH4yNLS1rjOyYZ99yBsLdKydTRzNmK3LUOxDu6qsF6xlHnLcOtuGSKaC6xpQrVexy1DRKgIBtVFyxDRQoGyEGCd9V7e31/zIp6eIXWYqDq49PHi/H2dn3aofgJWT+FCtm2VlGgnsBwKl6mWriGiicBC6Ir6k2gcpuwJ8Z5htZJo3fqahrKt3dirCvnWK4DJaMDc2m3TENVYYHJFNg01VwAL8xXAZJOBCbYLHS5JNoZmhl0yAzCfrtA01FwBLOxXAJMRBBIB/PhIr27WZi1ZOyJbC0x74GkMINbkMtbkoFgzJmMBs2R3TUNUQ4G5EtE01Fz/a34/98nmYrIn6XGp54TW+JJT7WduGmqu/7XHlgOy+cAUim0aSjcP9HFlQrL00pZrYlPTUIajhOI5L9cwciBW+qBT+G7LNYzsAs4On0frKHY4KRCrlvBZrrlcw0jiuFzDSOKuXMMIgV0yBg1GZqjWMHJcimoNJx8ihncxS6znitU9ssJ8KzArNSLugac58BEds7JhXz0IW0u1pnU0czbiy9uOHhsagWIP6woYnmtlycmBiEpQZbmednROJwm4k1aUoJwUiFAMl6AthRZOHhYhampH5wRxpkM5IbDJEDIWgWFXOCeHMx1qVKGsdIh436EKjavLW2PzTbys1IjQR1ahlnZ0Vjbsiwdhs6vQ9tHM2Yjd9gwlOrirsfUStsxfhltzzxDVXGBJEyoLu+0ZokJFMKgOeoaoFgqUhQDrWo4Z0j40O1TrgSXN7gQm0U5gjRIjHE2dPFQTgdXJFSUh0ThMLRLiPS/WB9sh1cC1NfPEwdZuHM4L7LFva+YhowGTXqfNPGRjgVkP18wT+3UzT2y8LPUm2WRg5utCIEuSjaGZYZfMAEx09GYeafi5ITA285ARBBIB/PhIr27WZi1ZOyJbC8x84PkFINbkMtbkoFgzJmMBE2VnzTxkQ4HpEt7M08SYW+b3c59sLiaBkh6XerJmjS851X7eZp4mttyyx5YDsvnAFIps5pGPzIE+rkxIlipTj0Q4DdOp308Pw5N+FJ9m/WnqH/ezo1PvJDzxjw+TwzmMcVJsWRKgTowNzTxxgKOE4jkvuTByIJbgoHPrcyWXLVUq+aT4331PzAsqQeJ5xRP9BGqbk1TASeHTWR3FDicFYvGwu2ktIw9T3cQTOpLrnCTuCieMENj1W8BgxOkgS7XDMeQkcVY68SNvUB1kf2FOzcmHiNxdzA3rGWJQLbebb5ZmpUbEP/DkBj6iY1Y27MsHYWspnrSOZs5GfHmbwxNTC0+IdQUMz7meZORARCWonuy0OZyTXcDZV1WYjBSICAtXmMbmcE4SFm1pbA7nJHGnLRkhsOkNMBjZIPZCHciQE8SdtDR3h7PyIYJ4l9KyurY0Nl9Cy0qNCHx0aWnuDmdlw757ELYWadk6mjkbsfzfd8/WnZRk/I5NQ3bbqKPdQHk1jmy0YbpM66hRx49MnTpEe4H1Sqj6Kzt1yv7rr8ueHSn/yiNgikdS9L0nP/FQNXR/U54Hc7cn5eBXPakV7xV35Zd/Iv/7sNSI6mvzfu6n6rseqWae2S913NtU7gjG3UUzD9FCgbIQYN2ijUed9NP3ffUf6dqH8pOqp+qM+5+VQ/J+b+f09OT7b0x749dePT15/fWXXn1l+oOe5/u9sRqetPxdb2/6xo9ek58fv/TKSW+8P9rqybjp9f6uF8iPs3d7wUAItYbcm73Vk3OBu7Ofl/+kkv7qc+U/90D+1hukPdNa8w7Vi8DSKlwbF0+0080XqAYCi6RwyWvpJiKaCCyPrqhlicZhiqEA7wWR4WzgIdXA9XUTia3dOK4q/JG1m4iKBszM+G6iOPaN3URUY4GpGdlNFDXdRMabU2+STQZm5y5kvSTZGJoZdskMEZIBX/GPNs4NgbmbiIogkAjgx0d6dbM2a8naEdlaYMoDz4oAsSaXsSYHxZoxGQuYKHHdROY4c4tsKDBdIrqJoqabyPh+7pPNxSRQ0uNSTzGt8SWn2s/cTRRtnHO9uZuIaj4whWK7iaLNA31cmZAsVaaeRieHWRxP+4fyv2qbzWE/9U4P+54nPBGnqZ+JKsUaZ+6WhQzq7N3UTSRwlFA83RzfQoWZ5+s4rnFyIBYOofP/j+b7buop/kO1/VrO3ZvNO+r4V7Wh+578wrvl9p0n5bc+VXdKV5NC+Q2/mW/8lrP/+Q+aV4rUBp8n8o/3Z++c/dSd4tfF/+yfX2Uovn7u5r8/2FqsLfQXs1v5EqudLHIqKv9VOf9UJ9S+Jf/yF8rEcv3iFz2/72+J2U/ld35eVqzeVrPUvvyWB/KvPphzbPWirdCX/8SXupHb5hw5AR85+PrA7Cflxd53e2Gayon7m9LLX6iErqpBAx3iDiciYn0XPnk3F7YYSVgKW9qod50Tw11VixECu7IOGIkgHURCBzLkBHFW1TLXtDjpEKmpi8lvPQUWVRXEfK02KzUi5oFnb8vjqYK7sajFCYd99SBwLUWt1uHM2YhLxSxOsuQkSkX/6OTU70eHh3E/m0YnfeGdHIsgiE8Pj6shd6qYteubV+MY6woYnnPFzMiBCEtwxXxRoTb1F6lNF/WZsiKWj7d7/37476/2cvkPn7zeWlPZCs3t+4yOEnBHwQVq8c+VQA1UfWkhUA0lmR1OQESohstTY22JEYRHnQ70jT7XOUncCVRGCGyWBAxGIFQFNtahDDlRLoFE5aRD5IIuJWp1n2tsvp2XlRoR98gSVYV3o0TlhMO+fBC4FonaOpw5G7Hb85C0bbhXY+sFcVmwDLf2NiuivcBCLlQ0um+zInJHMO4u2qyIFgqUhQDrpKL/fT8d9IrP5Djcl4r18by7SjlXjZX0/Owns/d6xd3iidp3Kz/1QA6MGs67V3rFJ3JgHpV7ctVy7JP5uvjs7V7xQfF58Yfi98UHveLj4rPin4o/bPXKwXygvvobJYblj/xafvLH8r+P5kefqpGdvb+lnSYsrZjLf0x+X3lVm/q28pmI+rG5I4vo8OUMwteRRTQQWGhGqWFTRxbRRGCJeUWZSzQOU1AGeC8SpuOdiPatryEr3dqNs6pJIrE2ZFHRgDm824YsqrHAJI5syEqahizjvbQ3ySYD83gXgl+SbAzNDLtkBmBOXqEhK9k4NwTmhiwqgkAigB8f6dXN2qwla0dka4EZDzxfAsSaXMaaHBRrxmQsYJ7sriGLaigwWyIaspKmIcv4fu6TzcXkT9LjUs89rfElp9rP3JCVbJxzvbkhi2o+MIViG7KSzQN9XJmQLL205aXM1JBlv5HuAiUUz3l5iZEDsaQIXSlYY3mJ0VEC7ij4xF1HscNJgVhL7WA2zAjiuIbESOKuhsQIgV3GBgxGlAy8RBvYh5wkl6CExEmHiPddzCjreWVa1RzM94CzUiPCHnhKhCohccJh3z0IXEsJqXU4czbiy7svIDN1OWVYV8DwnMtQRg5EWILL0L/sC5i7Yptz5AR85FbVxYwUiAQB18Xm1n9GEh5hrMO4zonhThUzQmAzM2AkxEA7QxlyYlwCScxJh8g9XUri6nLc2HzVMSs1IuKRJbG18Z8TDvviQeBaJHHrcOZsxM1pVtWYRrednmblawf4auLZcCNvGddVn1U8iHT2XqPaC6zPQmXrxYvnzmtP+d8v561Xj5WKLHtu3mq6qiqtq5p4yk6c6ptbm62o8BEMvoNmK6qFAmUhwDrbBXVyAvBxX5ugd6j2Ayu5cFXacpY/1U5gaRahOY0tTFQTgUXZ1fQk1ThMCRbiPc8PBqm2A3ZINXFtXUyJP+8qSDxbBxMZC5ge8R1MgW+8oI5sLDA94jqYEq/uYEqMt+TeJJsMzJBdiGtJsjE0M+ySGYCJjt7BJA0/NwTGDiYygkAigB8f6dXN2qwla0dka4F5Dzw3AcSZHBRnxmQkYIrEdS+ZY8wtsqHARAnvXmriyy3zu7lPNheTOkmPSjXHs8eWnGo/b/dSE1du2ePKAdl8YPpEdi/JR+ZAH1MmJEuVqd7h0XHi+Uf96bFI+lE4jfpZLE766Ul06h+FIsvCwzmMcepsWUkgT58N7UuJ9Q6+i5hQPt0k24KFmWjrOK5xciDW7qAT8DtnJ9aqQFTWf8rPlZPrB7N35PT6bu+5+kvPii9m/714oPa/qDm7qtN8VPzq29+bT8lFeZnd/Pe951+9efPFnb3eX+8M81ydWdzz/TCZf/H5V3/wg++fvFJN5KFW1F+5rypDs7fKOpaa8pfXndwvd2L1Zj8rP/1YNzrbnKMj4KMDn38vuaZ221/flK7ulTubnigf9frKB+riF1XG86NYR7/DSY9YYe1u9s7Iw1NZ0ge/65wgzmpLnBDYJW7IWPhqE2piWDRgZFl/gYmVDpGkupgD1zNhf16RSMzXtbNSI8IfeBJ3ocCUBINIX19iZcO+fBA2e32pfTRzNmK3u/Z9gxoObHRZuEy39nIS0V7gYhlUza6pnESEj2DwXZSTiBYKlIUA61rLSdrHa4dqP3BZrTtBSrQTuFaGEZrGchLRROAq2YoSkmgcZk0M4L3IywahvhmfauH6qklhtcobWKtJVCxgduy2mkQ1FpgdkdWkoKkmGa8Nvkk2GZggu1DSkmRjaGbYJTMA89wK1aRg49wQmKtJVASBRAA/PtKrm7VZS9aOyNYC0x54IgKIMzkozozJSMAM2V01iWooME8iqklBU00yvpv7ZHMxmZP0qNQzOmtsyan2M1eTgo1zrjdXk6jmA9MntpoUbB7oY8qEZOnlrSYZFlSvJiEOE8rnvJrEyIFYqIPOv6F1nH8t1STG0RHw0YFPv+3VpLcWO66W6klhquPf4eRHLKh2N31n5HFbT2IEcVdPYoTALmkDxiIS3iCIDKsGjCiXoJzESYfIUl1MguupcHVde2K8rn2XlRoR/cCzOEw5iZMN++5B2FrKSa2jmbMRN9uVqripRLHL7UraacDVJLLhRsEyrqv6kuG2wWtUe4HLZ1B9+1nxRbm5/idNfanctv6O1BUPyq30X1cKVhWMVBHpbrlv/svyd0/nRzzJP3999mAo9cf6FCh1rvSb9ed+pk6dLu7p/LFN9UcE80cXJSeihQJlIcA6a8lJHSUtX5ctOWkoj4SuRnP2i4EOaocKBVyQQwhZwyFUVAOBy2sYZWosQBFNBC6srag5icZhltEA3gvD1LDznWrg+upPYms3ieWvRP5KqzVi2wXWN8iIwExKqEWFlmIU1VpgKkUWo6KmGGW8Cfom2WRgNu1Ch0uSjaGZYZfMECEZ8IvG0ca5ITAXo6gIAokAfnykVzdrs5asHZGtBeY+8DQGEHRyGXRyGXRyGXRyUNAZk/GAmRNZmDIHnFtkS4EJFFGZiprKlPFF3Sebi0mppOemnhxaA01OtZ+5MhVtnHO9uTJFNR+YTLGVqWjzQB9gJiRLlanTLDydRsm0nyZp0I98kfWnsZySJ8k0irLpoThOKhjjnNuyBEGed5sqUwKHCeXTzc4tWJgZuo7jGicHYs0POnP//Mw0/WE531YX96gSx0/VPF5O0x821zjVE/eH8msPztSFzs3j71ZTxp760XLm+E7xtDevP4WeN3s3Vh98v7coYD3/vPyc/Nq+zp3bnO4UcHfCp9XLE+ZyMq1d8ui9ePLa9OVpb3f62vTv//6l8gam8qtfFM/kxFudEvj2QLonEGGk3CP/d33/zNVLZwpRixLV/BzA8sd8NW/YVX7fkC4uXX7hoqVMfdYwqWd0PWIdFz75N560x0nCUr/SZoLrnBjuqleMENgVdMBI+KEI9Se6DjlJnBWvwiw2lq84+RCprItpcz15ri5mT4wXs++yUiPCHnjeBx/RMSsb9uWDsLWUr1pHM2cjLhX2YXYcnvhHfj/2Ir8fRelJPwvTrJ8diTA5SUR0GFXvsVuFbahtxVhfwPicK2xGDkRYgirsMydQz0tbz6R8Lo+VLq+Q/2MpBn9cFs8eljer3isFYnXw9DdKSd8pfld81C+v4fyg+LT4jfz4++IPOudsczpHwJ0D18s6ih1OCkQMhktP06HbL3CSsEhPXx89rnOCuBOfjBDY/AcYi8gTgyzWkQw5SZyJTz824N1gxUME+S61Z3XjemK8cX2XlRoR98ja0zigY1Y07KsHQWuRnq2DmbMRl9IzEOIkODwR8ouH6p4UEfTT6FgK1iyM/CD1j9Ksiqpupae2On81sd40qPMFjM+59GTkQEQlqPT8xzOtU3d7xT9LHfpVuRapVh+Lz3fC8HtKg/phr74HvhSh2kW0bU52AWdfVVkyUiAibBfKkpGERVl6g0DoSK5zkriTlowQ2PwGGIw0GohEOxxDThJn0jJKBlGkw7vBiocI4l1Ky6RSI+ZL21mpEYGPLC2NAzpmRcO+ehC0FmnZOpg5G/F8VfPw6GR6GmZ9EUVH/ShJT/vT2BP9yD9Mj/3D6XEo1rKqqR39q0mK9QWMz7m0ZORARCWotPxw9qYq7c+3p847/t8pb7O7Vxal1U7R6kY8tYr5cfFBuXr5u+IT+evTahtr8cfi0+Kj4jP58Q/qe/63/MPnvZtj4feKD3RO2uZ0koA7aVUNykiBCMVdaFBGEiYNqrpEL5Jc5yRxp0EZIbCJEDAYwhskkXY4hpwkzjRomg5SQ2mdEw8R7bvUoNVtwIn5cmdWakTgI2tQ44COWdGwrx4ErUWDtg5mzkbs+JxRw4JlZqPLomW6te8DJdq7HCv+1ewDJfojgvmji32gRAsFykKAdYB9oKHaB1qoe67Pjuaz4pGhcZSIthzC+XaDEg0E7mmBy1HLblCiictak2c3KNE4zNYViPcyb2CojhMNXNtu0NTb2k19+SuQv+oTAzPrblAqIjCfdrwblGotMKEid4NmzW5Q40W9N8kmA3NqF9pbkmwMzQy7ZAZgHlxhN2i2cW4IzLtBqQgCiQB+fKRXN2uzlqwdka0F5j7w1AUQdHIZdHIZdHIZdHJQ0BmT8YCZs8PdoFRLgQkUsRs0a3aDGl/UfbK5mJRKem7qGaE10ORU+5l3g2Yb51xv3g1KNR+YTLG7QbPNA32AmZAsvbxVndCwG7RaZgFjQvlcV3U4ORDrfND5+3qqOpxOEnAnwafMOoodTgrE4iZidmyq6nCSuK3qcJI4q+pwQizLBwsEdFYepAOhzV1DTpBLUNRhxUME+y4mltX0MvXmdYDUfJc6KzUi7oFnRuABHbOiYd88CJq9qNM+mDkb8SXuWTds776a+lhfwPicS1BGDkRUgkrQTnvWOdkFnH1VZclIgYiwXShLRhImZWnoWeckcacsGSGw+Q0wGFEyiLWjMeQEcaYszS3rrHiIGN6lsqxusk3N9xKzUiPiHllZmlvWWdGwbx4ErUVZtg5mzkZ8iQ/iCA27IdMA6wsYn3NlyciBiEpQZen2IA5O5wi4c1aVnowUiBDchfRkJGGRnqaDODhB3ClPRghs/gOMRRCkA/3FgUNOEmfS03wQByseIsh3KT2DSq2Yr/RlpUbEPbL0NB/EwYqGffUgaC3Ss3Uwczbi+aLm4XEYxvLbDo9ORT+aRtP+dBp4/SMvDk6TMPVOjqa31yA9I50vrqYh1hcwPufSk5EDEZWg0vNi8/Qj/LnKUqV+q/i1/EuPyrN7v1R/LtdCe/n12BPx/Izgf7s4FrhcJxWLQ5fVUb86b25zelPAvQnXqvpudPNRy9J76MOW/21AOGtZenrDjwT6rGXOEUDkG7jONp61zEnCorO1gfI6J4Y7lc0IgU31gJFIYsMm/yEniDORHYp44Gvb3W6w8iHyWZcqu7pbMjXfFMpKjYh6ZJVtHtExKxv23YOwtcjs1tHM2Ygdbwg1COfISieW6da9IZRq73Kw+NeyIZTqjwjmjw42hFItFCgLAda1bgjNpGD+oHhSrpW/Lcew7MM4P7APDTKXyAjcHQOXr6adoVQDgftb4KrUvDOUaiJwY8uKipNoHGYbC8R7QWZSkkQD17czVGztprH8lchf1ZV9qfWeUDIiMLF2uzOUbC0ws+J2hqbNPaGp+Z5QssnA5NqFCpckG0Mzwy6ZIUIyoDdtpc09oan9nlAygkAigB8f6dXN2qwla0dka4G5DzyJAQSdXAadXAadXAadHBR0xmQ8YObsbmco2VJgAoXvDG2CzS3zi7pPNheTUknPTT01tAaanGo/787QJsjcsgeZA7L5wGSK3BkqH5kDfYCZkCwthaEnUv9w6vWnp6G68Sjy+pmXpf3T6bFIj/xMHHprqGBFpp2hAocJ5XNewWLkQKz4QSfyDPeEGutZ58pZvfP1rLOXiJrrWYy+FXDfwqfccjr9SfFPxe/kNPu38vd/KH7fK5vM/ljckZ/4tPhdX3rhYXFfuX/2i9n7qEtFn5Ubeh+q/8pByq8L3xeBty9DXunFbEv0ii/kT/6T/HVPU+IyTOUZfYxYu4VP+c0VK0YSlxUrRgx3FStGCOyqOWAkhJ8YTqDiBHFWsfJ9zxtEht2unICIBNbFZLmeMlf3Sabm20FZqRFhDzzbQwzpmBUO+/ZB4FpqVq3DmbMRX+JdCZFpv2uM9QWMz7mwZuRAxCWosHa8K4HROQLuHLgy1lHscFIggjBce5p3JTCSsGhP464ERhB36pMRApv/IGMhxCBIdSRDThJ38tO8K4ETDxHkuxSf1Y2Sqfl6UFZqRNyji0/zrgRONOyrB0FrkZ6tg5mzEV/io1Yi04ZY631WOl/A+JxLT0YORFSCSs9uj1phZBdw9lWVJSMFIsJ2oSwZSViUpfmoFUYSd9KSEQKb3wCDEQaDUDsaQ04QZ8rSctQKJx4ihnepLKsLJVPz7aCs1Ii4R1aWlqNWONGwbx4ErUVZtg5mzkZ8ic+Rjkz7XVOsL2B8zpUlIwciKkGV5ZrOkWZ0koA7aVUJykiBCMVdSFBGEiYJajpHmpHEnQRlhMAmQsBg+Nkg0raADTlBnElQyznSnHiIYN+lBK3uk0zNl4OyUiPiHlmCWs6R5kTDvnkQtBYJ2jqYORux/N93z2Irafkdm9bseHOo0OFeTTMbbnRh66urzaGZaXMo0d7l4LHi5tA/llsGVU37a/U7tXuzKoMr6Th7R+nEC02lLZtDH1b7SXXc21TuCMbdxSZQooUCZSHAOusm0DvFR33tk7VDtX85QK++wfMb9aRIm5/o7HyBaidwtwpcclr2eRJNXNaTPPs8icZhNqVAvOeFAxHpLBxSLVzbRs/M29rNfPkrkL+q2/hS6xWgZERgksRv9IyS0LjPk2osMEki93k2N4Cm5htAySYD82QXAluSbAzNDLtkBmDOW2GfZ3MDaGq/AZSMIJAI4MdHenWzNmvJ2hHZWmAKBM9PADEnlzEnlzEnlzEnB8WcMRkPmDlx+zzN8eYW2VBg/kRs82wuADW/p/tkczEZlfTY1LM+a5zJqfYzb/NsLgC1x5gDsvnAVIrd5pltHujjy4RkaTmJ8YLj6enhSd+PRdCPhHfcPzyJjvuxn3rRyWl4HGYVjHEybVlbIE+oDds8Mw+HCeXTTbstWJipt47jGicHYi0POiW/c3b2jd3QWfxG/uFrtV+zeFoVcRY7CYtn/TOHaNbHlkoB73n78z/6kK2dnP4UcH/CJ9ItLl0+plSVzuZ/VNPtu9LNd8udtu/LWbdaKlFbARbnlV4/8Lys+OT8QaU6h+uOKfW85/722/qTSn1v/mn58e68iGfeCMo5Ioh1W/jSgHEjKCcJS73KH+jPArjOSeKsXsUJsayaLBDgtYjMGwj96YFDThRnFStpxCATOr4brHyINNfFjLqaV2fVbZmZ+epTVmpE6ANPCeEjOmZlw759EDZ7zap9NHM24nnb1EkSHyanXv84Dfx+FPhhf+odiv5xdJwdemnqp6drUd/a3VxXMx/rCxifc/XNyIEISyj1fXYLqFKK5fbQRU9Up9tBOf0j4P6Bq2kdxQ4nBSIMwxWosWOKk4RFgXqDRAdynRPEnQBlhMCmQMBYJMEgSlIdyZCTxJn+NG8HZcVDxPku5Wd1pWZmvh+VlRoR98jy07wdlBUN++pB0FrUZ+tg5mzEl3g7qDBsB80CrC9gfM7VJyMHIipB1Wen20E52QWcfVVlyUiBiLBdKEtGEiZl6UU6kuucJO6kJSMENr8BBiMa+JF2pWDICeJMWZq3g7LiIWJ4l8qyujEzM19/ykqNiHtkZWneDsqKhn3zIGgtyrJ1MHM24lJZxqepF58ee/3TwDvtR0dx1k+Ps6x/dHISeXF4OvWiKj24VZba0b+ahVhfwPicK0tGDkRUgirLLraD3hz3zTs/Of0h4P5YVW0yUiCibhdqk5GES20atn5yoriTm4wQ2KQHGA1/IIR2aWDICeJMbpq3frLiIQJ7l3KzujkyM98DykqNCHxkuWne+smKhn3zIGgtcrN1MHM2YsfXgGoXpq9mkY0ui5fp1r3Tk2rvcqz4c9vpSeWOYNwd7PSkWihQFgKsa93pGens36HaD9zmghCh9p2eVDuB+1XgEtO805NqInCnyorSkWgcZl8KwHthkg1SgyYkWri+nZ5ia1eatZsl8ld1u15mvdKTjAhMkp3u9CQbC0ySuJ2eWXOjZ2a+0ZNsMjBPdqGnJcnG0MywS2aIkAzoXVhZc6NnZr/Rk4wgkAjgx0d6dbM2a8naEdlaYAoET0cAMSeXMSeXJuUy5uSgmDMm4wEzZ2c7PcmGAvMnfKdnE2tumd/TfbK5mIxKemzqSZ41zuRU+3l3ejYx5pY9xhyQzQemUuROT/nIHOjjy4Rk6eWtycSmnZ4Chwnlc16TYeRALN1Bp+T8NRlGfwi4P+ATYR3FDicFYmkSMR021mQYSVzXZBhR3NVkGCGwK8OA0RCDONP2+g85QS5DTYYTDxHYu5hD1jPJ6mbEzHzRJSs1IvCBJ0HgAR2zomHfPAhaS02mdTBzNuJL3Fwem7Y2xlhfwPicy01GDkRUgsrNbpvLGdkFnH1VaclIgYiwXUhLRhIuaRnpSK5zkrhTlowQ2PwGGAx1BlRmKO0wkjiTlpbuck48RBDvUlpWNx9m5mssWakRgY8sLS3d5Zxo2FcPgtYiLVsHM2cjvsSnZsSmfYsJ1hcwPufSkpEDEZWg0tL9qRmM/hFw/6wqPxkpEFG4C/nJSMIkP7Uradc5QdypT0YIbAoEjEUQi4H8J3QoQ04UZ/LTcmwGJx4i0HcpP6vrETPzXZes1IjAR5aflmMzONGw7x4ErUV+tg5mzkZ8iY9Mjk2bG1OsL2B8zuUnIwciKqHk56U+MpnRnwLuT7hcRR6Z/OLJa9OXp73d6WvTv//7l3rFJ6XGv1t8UTxbnJT8/PNxmIaBt6/8Fl87OH9kcu3jhe8NhyZnojwweaBz9A6noxGJBa6ozSchM5KwKGrzSciMJO4kNSMENq0DBiPOUimpDc0CjCjOJLXtJGROPkT26lJTV/c9ZubLO1mpEaGPrKltJyFzsmHfPghbi6huHc2cjdjxFk5tBLqaZVa6ZJlu7Vs4ifYuB4s/uy2cRO4Ixt3FFk6ihQJlIcA6+xZOv/dc8bn8wgO13t3r94pfFc/kqNyf/VKKWtWOUQ3Rffm7n2kjwg6VdDl0s2/2JNq5rEk5N3sSTVwWmzybPYnGYbamALxnOsWYaN3aNnrK6fmW/OCrD0G158p6oyeZEJhJu93nSTUWmEmR+zybGz0z842eZJOBybQL1S1JNoZmhl0yAzAxrrDPs7nRM7Pf6ElGEEgE8OMjvbpZm7Vk7YhsLTD7gSctgJCTq5CTq5CTw0LOmEwHzJndbfOkGgrMnIhtns2FnubXdJ9sLiaXkp6aeiJoDTM51X7mbZ7NhZ72EHNANh+YSbHbPLPNA314mZAsvbzVqcSwzdP3rPcrXeSEArouT7GCIFb4oBP3S1+fYnWogDsUPt8+X3E6U0oqvpCO+pP8dW9ePzp/f+ZSPSmQbgkWFarxCzuefslqh9VDiOVV+DzdWFliRXFbWmJFcVZbYqVY1jIWCujagB+FA6Hd2jVkRbkMxSVeQETu6WKeW8121YSlLEhUv9GB7/KCIyIgeK4GH9UxLxz2FYTA2StMkBHN+aAv8caBxLAnVc7Xsc6AAbrXxowgiPiE0sYutw6wOkjAHQTXujqMHVYMRDiGC1Lj5gFWFBZBato9wEriUI8yUmCTIWA0RDTQNmMPWUGcqVHz7gFePkSw71SM+rV0Md+7yQuOiH5kMWreQcDLhn39IGxtWrR9QHM+6Et8HF9i2MTqewHWGTBA91qUEQQRnqBalP1APlaHCLhDVtaejBiI6NuJ9mREYdKepjP5WFkcqk9GCmz6A4yHqct1yAriTH2aT+Xj5UOE907VZ1CLFfPdnLzgiPhHVp/mk/l42bCvH4StTX22D2jOBy3/991SdVWvq1KV37HJzI7777VdnFJghjbe6ML2AkcN+IFnaMAnGwxsGoQKREMH/rPikarAl6frvT//xGNVuS8763uq5P/VmbP3yg78h0paNn+reFA8UYX+Xxd3qkVPdBf/fWmKtxUUTwL1A0zF322yJyOYJzvo6SebKFAmAsyzNvV/VPy+r53B75ABgN2KCNn7RFvteIFsIbDjEK5mzV36ZBuBzYarqlSidZjeQoD/wsQbaJvahmQL19irH6k2faE+xOpDMu+elSS2jn06KDD54lv2/VgIU88+3Vxg9sU17Utz6q79ys86q2/SrQam4C5EvILZGFowdukYwPxHb91Xtp8fCGPzPp1CICnAz5Hy7GZj2JLBI7rBwJQIngkB4lCu4lCu4lCu4lAOjENjOiQwq+L6+C0x6BbdVGByhXfyL+LPLcuLu0+3GJNwSU9QM9O0x56cjMDbz7+IO/UAGDv66QTATIts6VfPTmPUkrETmrGltdn0MPO8sC8Oo7AfZdOknx5O1RmpcRyknoiOk5M5j3Eab1nYIE/ljV39EY4TCqib8Fu4MJN+Hcg1VpBlFWIbIOBiwEfzNqXFPLxpYWLqW2J0j4C7Bz591mHssGIg1k4Rk2hz7YgRhaV2ZOpaYuRwWDdipMAuXAPGIhCZ4RTrISuKs8qRrW+Jkw8R6ruYdDZTz6guNJgvCOYFR0Q/8HwJPKhjXjbsCwhha6sctQ9ozgf93+bTraNkepye9v3DaSy/N8v6aRiL/nEQ+In8Qf70tHra3SpR7aqyVKIC6wwYoHslygiCCE9wJXpxL+ndeSWqrhDdVQULVZZSO1GVCn2m2Uva6/cu7ibN/EA+rnvzP4aet6F+pZatpIy+E3DfwWXqGfedK7NdONV07sDKfYtdo42LCAeaVv4sTzSVX1KNZ49nP1ebheWIpfPPnt/Bqj/3lNXriLyCUNXG0hQjCYuo9geeSVczojjU1YwU2LQOGI5Qyuo0NglrRhZnwjqNxCAQOsAbvICI1NWpsha1EDNflsoLjoiAZGVtHtUxLxz2HYTAtUnr9hHN+aBLaX0UZKH89GH/OAuP+lEURP008Lz+iX+YZYeJHycna5HW2sAlpXWMdQYM0L20ZgRBxCeotAZemupFleSTX/+i/KpqDzt7OIvOG9us3hBwb8DFsg5jhxUDEXsR6tO8psuIwiI/PUPWuM6K4lB+MlJgUx9gOLJgkOgHZMiK4kx9RvKB0853bvDyIYJ7p+IzrqWK+TpVXnBEACSLT+OgjnnZsC8ghK1Ne7YPaM4HfYm3o6aGS638ankD4QwYoHvtyQiCCE9Q7elgOyqjQwTcISvLT0YMRPTtRH4yojDJT+NuVEYUh/KTkQKb/QDDIcQgDrUDMmRFcSY/bftROfkQ8b1T+ZnUasV8nSovOCIAkuWnbT8qJxv2BYSwtcnP9gHN+aDVftStuepyuQ1Vu0NJCkvrLVfRhW237rahamuT18gGLwePf73bUJ/N3oZtQyV6MoJ5spNtqEQTBcpEgHmt21C1jeE7ZIDliM+4DZVo4bKSZd2GSrQRuFNmVXlKtA6zKwbiPz8MBkJn4pBs4hr3oWZbu76vLo7y1cVRflDv/0rt+1CpoMDsi9+HGiSpZR8q1Vxg+sXuQ00X+1CNF2PepFsNzMFdiHcFszG0YOzSMYAJcJV9qOnG+YGw7EOlUggkBfg5Up7dbAxbMnhENxiYE8EzIEAcylUcylUcylUcyoFxaEyHBKZV3D5USwy6RTcVmF0x+1DTxT5U44u7T7cYk3FJT1Azw7THnpyMwL0PNd04PwCWfahUAmCmRe9DTTcbo5aMndCMVdYeZsdiGoVpP5j6WT+K09P+oVA7BeIoPT72j4/lD5jzGOfxlgUN8lzeuA81w3FCAXUzfgsXZtavA7nGCoJYRoSuBrSeoM+wFZXRQwLuIfgUWoexw4qBWDZFTKTNdSNGFJa6ka9fY7vOSrKsGiwkq87LGSmwq9aQ0QiFdo12yArirGhk24rKyYeI9l3MO5vZZ1bXGMx3GPOCI6IfeMoEHtQxLxv29YOwtRWN2gc054MuxWgYBKfHaRT14zgR/SgRWX96nPh94cnvnZ7GXhJGt9cgRrVZ5KrvW++20jkDBuhcjHKCIMITVIzqtqI+VBrz7MbKnRKm9zejyX5ve3RztF8J1b/Z7mXh/Lex522oX75n3mnK6RoBdw1chRp3mqpWr/kfVGHnbvFl+YdyC6/6VlVoe1RW857N3lxs</t>
  </si>
  <si>
    <t>PL1+UF7vZrz69NxO08qh5U7T3tbSTtO5l4FbTTndjsgbCNVsKj9xkrgVzZwk7kQzJwU2a0NGwyiaOUGciebAC3zjPlNWQkRe6lI2+/Wlmb7lGlRWcET4W0E2p9EgNHRbsdJhX0EIXYtwBgxpzgd9iTeaZqaNpr71Ii6dM2CA7oUzIwgiQEGFM/NGU05vCLg34FpZh7HDioEIvgjtaVyx5URhEZ/mjaacKA7VJyMFNvUBhiNIw4Fv2mnKyeJMgFp2mrLyIaJ7p/KzvifTt1x8ygqOiIBk+WnZacrKhn0DIWxt4rN9QHM+6Eu80zQz7TT1A6wzYIDuxScjCCI8QcUn/05TTocIuENW1p+MGIjo24n+ZERh0p+mnaacKA71JyMFNvsBhsOPs0GaaEdkyMriTH9atpqy8iECfKf6s74p07dcfcoKjoiAZP1p2WrKyoZ9AyFsbfqzfUBzPmglQG26ststpoF2TKWiDG14WbqMt/YtplSDl4PGX7aYUj0ZwTzZxRZTqokCZSLAvNYtptqndYcMANxOg9C5xho/0ULgXhi4fLVsMaXaCNwEs6ouJVq3nPFW3GIaGpofhmQD17fB1FcXnfrqolNfXXTq1xcM+vaLTsmgwNzb8QZTsrnA5IvcYOovLjr1LRedkq0GZuAuJLuC2RhaMHbpGMD0t8IGU39x0anfctEpmUIgKcDPkfLsZmPYksEjusHAjAie9wDiUK7iUK7iUK7iUA6MQ2M6JDCpdrjBlGwqMLciNpj6i4tOzS/uPt1iTL4lPUHNvNIee3IyAvMGU39x0ak97hzQCYCZFrvB1FcXnepjzoRm7KWtDsmpsWGDqUpNGE4ooPvqECPIsgqxDRBwLcBBdYjRIQLuEPh8WYexw4qBWBtFzJrN1SFGFNfVIUYUh9UhRgrs2jRgOKJBrD0OYcgKcilKQ5x8iOjexTyzmW3WV2H6lrtNWcER4Q88RQIP6piXDfv6QdjaSkPtA5rzQV/evnhTXUaKT4F1BgzQvfhkBEGEJ6j45O6LZ/SGgHtjZeXJiIEIvZ0oT0YUJuVp7ItnRHGoPBkpsKkPMBzJwCQ8GTmcCU9bTzwnHyKydyo864sifcvVn6zgiOhHFp62nnhONuzbB2FrE57tA5rzQV/ek0yk8Ax1zpDCM8Y6AwboXngygiDCE1R4Oj3JhNE1Au4auAolnGTywon6Z8+eXvJCFCdnjy9RR5c8nr3dcniJ/NIqh5cwehqRKhBC2djYxEjCopPNh5cwkjiUyYwU2EQNGI0wGUSRjmTISuJMKNtPL+EkROSiTqVyfa+lb7molBUcEf/IUlkqOWFepeWkw76DELo2sdw+pDkf9OU9g1qKZW3okmI5wToDBuheLDOCIAIUVCyv4QxqTg8JuIfgmlmHscOKgQjICEFqXrllRHGsSBlJHCpSRgpsNgSMhk2RMpI4U6SWQ6hZ+RDhvlM9Wl906VtuLmUFR4S/FfSo8RBqVjbs+wdha1Oj7QOa80E73k5qakFNrXjZMt76t5MSDV4OGn/ZTkr1ZATzZCfbSYkmCpSJAPNat5Nqax07ZIDlSM+4nZRo4bJ+Zd1OSrQRuOVlVVVKtA6zvQXgPxEbFhGGZAvXuJ9UXVgaqAtLA3VhaVBfFOjbLywlgwKTb9f7SanmArMvdj/p4sJS33JhKdlqYAruQrMrmI2hBWOXjgHMf6vsJ11cWOq3XFhKphBICvBzpDy72Ri2ZPCIbjAwJYInPoA4lKs4lKs4lKs4lAPj0JgOCcyqXe4npZoKTK6Y/aSLC0vNL+4+3WJMwiU9Qc3E0h57cjIC937SxYWl9rhzQCcAZlr0flJ1Yak+5kxoxl7eYpFv3E+a4TihgO6LRYwgiNVD6GLAOopFjB4ScA/BZ9A6jB1WDMRqKWIebS4WMaI4LhYxkiyrBgvJqtNyRgrsYjVgNOIkGETa/DVkRbkU1SJOPkS872Lm2cw/6xsufcuVpazgiPgHnjSBB3XMy4Z9ASFsbdWi9gHN+aAvcaO/IY9c9QPrNVQ6Z8AAnctRThBEeILKUZeN/pyuEXDXwHUoodG/uKMEuxLvZ5v9PS8rPjnT7S/dXP5GXWp6ZpeuvvFfOXTVzn9O1yNyB0I7m2pQnCRupTMniTvpzEmBzdyA0bBJZ04UZ9LZ2vrPSojITl2K56C+5TKwXFzKCo4IgCuI5yAYCEPrPysd9iWE0LXIZ8CQ5nzQl/iAFt+0TzawXqSlcwYM0L18ZgRBBCiofGY+oIXTGwLuDbhi1mHssGIggi9CfRpXbjlRWOSn+YAWThSH+pORApv6AMPhR4YTXoesJM7kp+WIFlY+RGzvVHzWt1wGlmtLWcER8Y8sPi1HtLCyYd8/CFub9Gwf0JwP+hIfTO2bdp0GAdYZMED30pMRBBGeoNKT/2BqTocIuENWVp+MGIjo24n6ZERhUp+mg6k5URyqT0YKbPYDDEcaDTxtCXbISuJMfVpOpmblQ4T3TtVnfcdlYLm0lBUcEf/I6tNyMjUrG/b9g7C1qc/2Ac35oB3vMjV1AoRmvMzzvGW8te8ypRq8HDT+ssuU6skI5skudplSTRQoEwHmte4yjXQAO2QA4JYahMo1VviJFgL3w8DFq2WXKdVG4EaYVVUp0TrMpheA/wJTnZ1o3vq2mAbqytJAXVkaqCtLg/qqwMB+ZSkZFJh5O95iSjYXmHqRW0yDxZWlgeXKUrLVwPzbhWBXMBtDC8YuHQOY/FbYYhosriwNWq4sJVMIJAX4OVKe3WwMWzJ4RDcYmA/Bsx5AHMpVHMpVHMpVHMqBcWhMhwSm1A63mJJNBWZWxBbTYHFlqfnF3adbjMm2pCeomVXaY09ORmDeYhosriy1x50DOgEw02K3mAbqylJ9zJnQjL28laHAtMU0iHCcUED3lSFGkGUVYhsg4EqAg8oQo0ME3CHw2bIOY4cVA7EyipgzmytDjCiuK0OMKA4rQ4wU2JVpwHBE+tXNISvHpagLcfIhgnsX08xmsllfcBlYbixlBUdEP/AMCTyoY1427NsHYWurC7UPaM4HfYkb4gPjflKBdQYM0L32ZARBhCeo9uRuiGf0hoB7Y2XhyYiBCL2dCE9GFCbhaWyIZ0RxKDwZKbCpDzAciY5iyErhTHbamuE5+RBxvVPZWV9vGVjuK2UFR8Q+suy0NcNzsmHfPQhbm+xsH9CcD/oSH2MSGPdhxlhnwADdy05GEER4gspOp8eYMLpGwF0D16DdHWOSinPHmMi/oE4keaf4QjV9sV1byulwRMZAqGVjaxMjCYtYNh9ewkjiUCszUmDzNWA0wnBg6t5nBHEml+1Hl3ASIjJSp4K5vuIysNxaygqOCH9kwezHWTjwTSu1nHTYVxBC1yaZ24c054O+xAdRB8b9ownWGTBA95KZEQQRoKCSeQ0HUXN6SMA9BFfOOowdVgxEQEboUfPqLSOKY0HKSOJQkDJSYLMhYDQsgpQRxJkgtRxDzcqHiPadytH6jsvAcmkpKzgi+q0gR43HULOyYV8/CFubGG0f0JwP2vF2UtOKbGrF85fx1r+dlGjwctD4y3ZSqicjmCc72U5KNFGgTASY17qdVD+B3yETLId6xv2kRAuX9SvrflKijcBdL6uqUqJ1mB0uAP8FXmI8O49o4Rq3lKpbS0N1a2mobi0N69sCA/utpWRQYPbteksp1Vxg+sVuKV3cWhpYbi0lWw3MwV2IdgWzMbRg7NIxgAlwlS2li1tLg5ZbS8kUAkkBfo6UZzcbw5YMHtENBqZE8MwHEIdyFYdyFYdyFYdyYBwa0yGBWbXLLaVUU4HJFbOldHFrqfnF3adbjEm4pCeomVnaY09ORuDeUrq4tdQedw7oBMBMi95Sqm4t1cecCc3Yy1ssCo1bSjMcJxTQfbGIEQSxfAhdDVhHsYjRQwLuIfgUWoexw4qBWC5FzKPNxSJGFMfFIkaSZdVgIVl1Ws5IgV2tBoxGEKUDoR2QISvKpSgXcfIh4n0XM89m/llfchlYbi1lBUfEP/CkCTyoY1427AsIYWsrF7UPaM4HfYnb/UPTLtPQcgeV3hkwQOdylBMEEZ6gctRluz+nawTcNXAdamr3L+72Xjx5bSpdsjt9bfr3f/9Sr/ikVOp3Vf/+os//+efjMA0Db//8haXVvtwzd5earyzVN/1n6rOGHn9OLyPSBEImm8pNnCRuVTIniTuVzEmBTdKA0bCpZE4UZyrZ2uXPSohIRF3q5LC+zTK0XFDKCo4IgCvo5NAbZIYuf1Y67EsIoWtRyoAhzfmgL/F5LKFpY2xouTJL7wwYoHulzAiCCFBQpcx8HgunNwTcG3BxrMPYYcVABF+E+jQu0nKisMhP83ksnCgO9ScjBTb1AYZD+IMk0Q7IkBXFmf60HMrCyocI7p2qz/pCy9ByQykrOCIAktWn5VAWVjbsCwhha9Oe7QOa80Ff4nOoQ9MO0zDAOgMG6F57MoIgwhNUe/KfQ83pEAF3yMrykxEDEX07kZ+MKEzy03QONSeKQ/nJSIHNfoDhCP2BF2sHZMiK4kx+Wo6iZuVDxPdO5Wd9o2VouaKUFRwRAMny03IUNSsb9gWEsLXJz/YBzfmgHe8pNQnK0IoXLOOtfU8p1eDloPGXPaVUT0YwT3axp5RqokCZCDCvfU/pQH5L2Vv8bPZz+R3352PxWHV0lOP0cPYTHeMOmRG4xQahhI1tAEQLgftj4ALXsuuUaiNwY8yqypVoHWYTDMB/atep0Fk4JFu4vl2nobrINFQXmYbqItOwvkAwtF9kSgYF5ueOd52SzQUmaOSu03BxkWlouciUbDUwS3ch6xXMxtCCsUvHAKbIFXadhouLTMOWi0zJFAJJAX6OlGc3G8OWDB7RDQamRPDcCBCHchWHchWHchWHcmAcGtMhgVm1w12nZFOByRWx6zRcXGRqfnH36RZjEi7pCWrmnvbYk5MRmHedhouLTO1x54BOAMy02F2nobrIVB9zJjRjL28BKTLtOlVdVxhOKKD7AhIjyLIKsQ0QcL3AQQGJ0SEC7hD4nFqHscOKgVg/RUybzQUkRhTXBSRGFIcFJEYK7Po1YDhCGcr1DWVDVpRLUUDi5EPE9y5mms18s776MrTcZcoKjgiA4EkSeFDHvGzYFxDC1lZAah/QnA/6EvfOG65glvJTYJ0BA3QvPxlBEOEJKj+5e+cZvSHg3lhZezJiIEJvJ9qTEYVJexp75xlRHGpPRgps6gMMh/AHqbF3nhHFmfa09c5z8iGCe6fas77/MrRcaMoKjgiAZO1p653nZMO+gBC2Nu3ZPqA5H/QlPuEkMu7bjLHOgAG6156MIIjwBNWeTk84YXSNgLsGLkSXWobulu1Ef4ZnnjD6HZE4EMrZ2OzESMIinM1nnjCSONTNjBTYtA0YjSDKdBxDVg5notl+4AknISIvdSqb6zswQ8u1pqzgiOhHls32A0846bBvIISuTTi3D2nOB32JT6qOjJtOE6wzYIDuhTMjCCJAQYXzGk6q5vSQgHsIrp91GDusGIiAjJCj5oVcRhTHepSRxKEeZaTAZkPAaJj1KCOHMz1qOaaalQ8R7DtVo/UlmKHlVlNWcETwW0GNGo+pZmXDvn0QtjYt2j6gOR+0/N93Sz0a3baLzddPjt546dVXNI4gaU1Tb0Bq5kyzKF3mNG1FNVuLUZCL3aiRztxrZHOXHzOLc6E6sazUv188UQurW2qFb163f1A8mb1XLrPKL35VlvzvqtW82duz93RMUv6lV4ZksAtR0Uy2WlCs9n9lpgBItT/C2w9voFdG75mM3qMbLfBGw3vmpc0jk80jus3wV4AeaKvNOXrbc7LtF7ZXtNiOe0AOTAYf0A2GB3Pkhgpp78Rk74Rmb/l03G5y0HdsSanL8xEC43aJzEYhPKPXYcYSE5KyWWfvNbK9y6F71dMRyoWKqqR1LiEZ0lGvrDDNz0vQkW2TyZaDOudpBUQTBcpEgHl+c07BmVMKPlSnFOgM3yEbvjwbYDyCgGjh8goH6xEERBuX1y6YjiAgWrecq1c8giCMBtoGnSHZwPWdQBB59VbfzH7kAJUMmPLwRw6kYWw+cYBqLTDnYU8cyBYnDhjvcrpJtxqY+VabsTQLONnG0IKxS8cApjnCxKXZ+ZttnB8Iy4kDVAqBpAA/R8qzm41hF2cyVIOBGRC8FgaIOzkw7ozpVMCsiTtiwBxzbtEtBeZOzAkD2eKEAeOLuk+3GJNPSU9Ms7ZojzU5GYH7hIFs4/wAWE4YoBIAEytyQqyencaoixNiirHl9CA5PgpFmPTjwBP96EgE/dSf+v04Tk+i7HAaHx9XD5Vxrvzy1FyMJs6XTTPmyHJVjA4TyqebVVuwMDNrHcg1VhBE/Qg65f7w4rS6PB3wwdKxhMWDqnmg+FXV+vlQHUv4iWofLY8ZfFvnjm1Wdwi4O+CT4OLXs3cl+H21sjB7X/W5Ppj9rOx8LbfA/ar4ffFB8Y/F74rPe+XihGqbuD9vot3qFf938Vs5c/6o+KAv//Nb+Zv5cQwfF/+P2gz3aL5DTvm19zc9X05by27ZB/ILb5VOfjz7hWrWeFauzP9U/uQHxb2yJaPfU7+RP+JZ2dF7zqqHvaBpvT3/b8zekeM075oOesVX8o9fzH5S3NWN1A7rSCHqfx3M+jlJeHofdBzXWTncdT5wUiyrIgvF6isNnCDOWh+knZ5BT9/gJUQkry5mzfXcOaovqossdw+ygiOCH3jChxjWMS8d9hWE0LW0PwCGNOeDnrc/nNGVRvncaf+DofshslxzIzEvnDPupvtBa+w1srHLz9jqvQ+fl7LrqamhIfKvDMnWOm5oiIIt+SHe2g0CYQpvVJIITwKfuc9bG6T5e8r8PZP5e3TzBd58+LS9bHKQ1o+U9SOT9SO69fCnnh5Yq5XBYCtXFLmJIidTcDc+SNMPlOkHJtMP6KbD4zlyxadsgZCWT5TlE5PlE5rl5bNz22VmMq7pBFbzA6PjwdaScpOpCYJqLvw9hWan/1Vu5VXLMGr2/6BX79adtzx8U98ZMT8D8l31jfP1g17VLvFUByizWqCyGpHSdVYLTbmMar+LXKY3eo9utMAbjQpDI5PNI7rN8Pdh5byltz0n286erfQGH9ANhkd2Uo7S2zuh2XtmJdBhm56t6BBaKSKj12HGErPTIDZmKKK9wGYFaHr6x7JF70HxeL4k/qy8x6g8jrhcxP66V9xrMlFxd/au+nN5UkS5Xq7+/I3ac1its98tV7zV+nV1tLH8oWpbovw584LDfZnvfOGpxW39iu822THLOYGxy49qokCZCDCvuFO6XW34fLzV09xQpLN/h2w/sNUBvuxvupnqBbKJwL4FxHq+uduPaiOwY2HVtXqidcspf9VuP2Fagifat8ZmP3XdUCSqzpvIfskQGQ+YPfEdf0Fg7vgjWwtMn8iOv2hxx1BkuWOIbDUwia42+WmqFuqeDzPGLh0DmPIIc6C6Eyda3DEUtdwxRKYQSArwc6Q8u9kYdnFSRDUYmAbBBSBA8MlV8MmBwWdMRwOmT1zbnznw3KJbCkyiiLa/aHGxkPlt3adbjEmspMemqanZA05ORmBu+4sWFwvZg80BnQCYXZETbPXsNEZdnGBTjC2FYhadikCE/cPj42k/8mPRz46juH90epqcnCZBeBxVmcw493552mXbX9X8p8OUM/AIhwnl083SLViYmboO5BoryLLysI0PcApfnxF0V03M1TmN87MjH89PAip7AO/O3q9b/v44v2qoV9zph9qYvM3KL+D88GmwDmOHFQPRBwKfDRdPtAHkBVYSliY41b9iaoRjZHHYCMdIge3CAY2HeRrOSOKsEy5IbZ1wnISIeN7FbLKZU9bXzkSWe4RYwREREDwRQgzrmJcO+w5C6No64dqHNOeDLvXm1PejWERZP/aPRD+K0qR/KI6S/ulhcuwd+6mI48oxTvWmtlAg9abA+gLG515vMoIg4hNUb35e1X9+oQ4Xf6D+UF5q+bR41i++Kb/y03InRbnl4q3ZO7N3S/2p5GfxiS9MopPRCQLuhJVFJyMGIuQiRKfx2ElOFCbVGZlEJyOKQ9HJSIFNeIDhkP/0IDSpTkYUZ6ozHvhavBu8eIiQ3qnkrG+biSzXB7GCI+IfWXKaxnTMi4Z9/SBobXqzfTxzPujm4MlKaRkFZcftrSYtGVs5xTKnq/ZWrbnXyOYuP2ZdtLdWF0R23N4aq/ZWIqXr9tZEtQVk8oPw1YdQfRDqg/qCUF+I1Rdi9YU4Vh/U5xK11yNR35ek8kOqviVVHQap+muZpz7Irwaepz6o3/nqd776XaAv/O3SXRbhXQYv8FQdtYnaHZLJD9JPe8pPe8pPe8pPe8pPe8pPe8pPe8pPe8pPe8pPe8pPe8pPe8pPe8pPe8pPe8pPe8pPe8pPe8pPe8pPe8pPeyY/7dH9JPB+gpeR5k28idqGkskP0k0j5aaRctNIuWmk3DRSbhopN42Um0bKTSPlppFy00i5aaTcNFJuGik3jZSbRspNI+WmkXLTSLlppNw0MrlpRHcTPNDQ01lVF09UXTyTH6S7cuWuXLkrV+7Klbty5a5cuStX7sqVu3Llrly5K1fuypW7cuWuXLkrV+7Klbty5a5cuStX7sqVu3KTu3Kyu9hblRO1sSaTH6SPDpSPDpSPDpSPDpSPDpSPDpSPDpSPDpSPDpSPDpSPDpSPDpSPDpSPDpSPDpSPDpSPDpSPDpSPDpSPDpSPDkw+OqD7CC4MkMXbeXd0onbwZPKDdNFEuWiiXDRRLpooF02UiybKRRPlooly0US5aKJcNFEumigXTZSLJspFE+WiiXLRRLloolw0US6aKBdNTC6a0Fx0Zp3DaUO2eceQ5cxySZEYBxpmLFFPqdNTdfZeI9u7LDZWbMj+RKqlp/P+3UXjdamuymbrcmXtwfwKmKqi+0nxm+KfdEzbZKZlNcDZS000UaBMBJin6Z5uTk594cVEPkA6gB0yALCLDLGSZzxDhWghsBkMvkBn66Um2ghsA1t15Y1oHablC+K/zBC9hmQL19hNnda9jIm9kZpKBsx6+EZq3/NNZckX6eYC8x62kzpZdFIbLxi5SbcamP1Wm2c3S5DJxtCCsUvHACY8wty3aW5MNs4PhKWTmkohkBTg50h5drMx7OI0kWowMAeCV3MBgScHBp4xnQqYN3FN1Jagc4tuKjB9Yrqok0UXtfFN3adbjEmppEemWR+3B5ucjMDdRZ1snB8ASxc1lQCYWpETcfXsNEZdnBVTjC1l7JGfxsIL+2kWef3oKAj6WXQs+snJ8TSRX8hO4iqLGSfML0+77Wqx7WO2XppyERPKp5taW7Aw02sdyDVWEEQJFDrvvlPPrNWxneWUujefX7/42quvvPr6G9PXesV9depmeU/J7O3ZO/Mu69kvqptWy28OhLcRxJ63kahN0DrHbLM6RsAdA58Z6zB2WDEQlV74/Niy2ZgRhaXTxR8IHcl1VhKHjS6MFNhKO2A0giwYxNoBGbKiOGt0kRHN3F3NCYiI813MMJt5Zlq3RqSWuSYnOCIAgidH8FEd88JhX0EIXFuzS/uI5nzQqrvaJi+7rceYWlwyM13meeEy3drrMUR7gStSUF3YbT2GyBTBmDqpxxBNFCgTAebN6zH6aoxh9rRDth64EAUXm+ZiDNFC4KISRkOaizFEG4GrSauqQ6J1mJUjgP+C0FiLIRq4vlqMqK+TiuzX2JHJgBmv61oM1VxgzsPWYhb32EWWe+zIVgMzXxdKWcFsDC0Yu3QMYLJbpRazuMcuarnHjkwhkBTg50h5drMxbMngEd1gYAoETzcAgScHBp4xnQqYNrusxVBNBWZPTC1mcZGd+U3dp1uMyaikR6aZvtmDTU5G4K7FLC6ysweaAzoBMLWiazHqIjt9kJnQjL20tRhjC6Ow3Duiw4TyOa/FcIIg1uigc253tRhOxwi4Y+CzYh3GDisGYikSPj0212I4UdzWYjhJ3NViOCmW9YOFAjorDyNjKYaT5FKUYlgBEWG+iwlmPc0U9f1gwnLlGys4Iv6B50bwUR3zwmHfQAhcSykGMKI5H7TbUkyoo5O60rfSmU+vhBmL0YugUgzVXuCCFFQWdlqKoTJFMKYuSjFUEwXKRIB5bVtjAsPWGCoAcCkKLjeN1RiqhcBlJYyKNFZjqDYC15NW1YdE6zBrRwD/JUJn3pBs3hprMUG1JCp8ay2GTAZMeR3XYsjmApMeshYj/KYWM/ezzuqbdKuBqa8LqaxgNoYWjF06BjDbrVCLkbafHwhzLYZMIZAU4OdIeXazMWzJ4BHdYGACBM83AIEnBwaeMZ0KmDQ7rMWQTQXmTkQtpgk4tyxv6j7dYkw+JT0yzfzNHmxyMgJzLaYJNPUAmGsxZAJgasXWYuSz0xi1ZOyEZuylrcUYmmrknDnAYUL53NdiGEEQi3TQSbfDWgyjYwTcMfBpsQ5jhxUDsRYJnxxbajGMKI5rMYwkDmsxjBTYlWDIaPiBfjyGrCSXoxbDCYgI811MMJtpZlCv3AeWqSYnOCL+gedG8FEd88Jh30AIXFstpn1Ecz5ot7WYSEcndWVopQOf/OqsFkO0F7ggBZWF3dZiiEwRjKmTWgzRRIEyEWCepRATpDrbd8i2A1eh4ErTXIYhWghcUcIISHMZhmgjcClpVWlItA6zbATwX+QPtA/hkGzgGgsxUb0ear/pmUwGzHddF2Ko5gIzHrYQs7jqWViueiZbDcx7XehkBbMxtGDs0jGAqW6VQsziqmfRctUzmUIgKcDPkfLsZmPYksEjusHAFAiebAACTw4MPGM6FTBtdlmIoZoKzJ6YQszimmfzm7pPtxiTUUmPTDN5swebnIzAXYhZXPNsDzQHdAJgakUXYtQ1z/ogM6EZe2kLMZGxEBPhMKF87gsxjCDLqsM2PsAZt8NCDKNjBNwx8DmxDmOHFQOxEAmfHlsKMYwojgsxjCQOCzGMFNhlYMBoxMFAe6jmkBXkctRhOAERUb6L+WUzy6xvChaWy59ZwRHhDzw1go/qmBcO+wJC4NrqMO0jmvNBu63DCB2dlJXCShcv0629DkO0dzlmXKo6DJEpgjF1UochmihQJgLM85sizLkSjPbp3iGbDVx/gmtMcwmGaCFwLQkjHc0lGKKNwEWkVUUh0TrMghHAf4HQnwA5JBu4xhJMXK+ECnsJhkoGTHVdl2Co5gKTHbYEIxYlGONdwDfpVgNTXhcSWcFsDC0Yu3QMYJZbpQQjNs4PhKUEQ6UQSArwc6Q8u9kYtmTwiG4wMAWC5xmAwJMDA8+YTgVMm12WYKimArMnpgQjFiUY45u6T7cYk1FJj0wzb7MHm5yMwF2CERvnB8BSgqESAFMrugQjNhujloyd0Iy9tCUYw9xTzpVjHCaUz30JhhEEsTgHnWw7LMEwOkbAHQOfDuswdlgxEGuQ8OmxpQTDiOK4BMNI4rAEw0iBXQEGjEaYGBsjGUEuRwmGExAR5buYXzazzLhesI8tM01OcET4A0+N4KM65oXDvoAQuLYSTPuI5nzQbkswsY5OykrLDYuSznwdJMxYjFyElWCI9gLXo6CqsNsSDJEpgjF1UoIhmihQJgLMsx9Lph73npTsz4pHSoXP3ioeFXd713/0xn86ea03fu3Vl0/eOPn+6739qzd7sednveeKL8phetYvvqrGqxTt3+711YhJOa8GVf73/d65n1jclwL//Wbke/Lff1w87JXDflf9vOJLacdH8nfyb8zeUk/EM2nrXfkj1GPydU9++Kb8afKP5U95eEV9/yfawLtDdj9wHQ2ulc2lJKKFwDUxjAQ2l5KINgIXw1YVt0TrMAtfAP9l+gMsh2T71lhJqi/9FrZLv2/QyYAZu+tKEtVcYM7GVpKSRSXJeHP2TbrVwMzdhdJXMBtDC8YuHQOYrFepJCUb5wfCUkmiUggkBfg5Up7dbAxbMnhENxiYAcHTJUDgyYGBZ0ynAmbNLitJVFOByRNTSUoWlSTjm7pPtxiTUEmPTDP9tAebnIzAXUlKNs4PgKWSRCUAplZ0JSnZbIxaMnZCM/bSVpJiYyXJcuWtDhPK576SxAiCWGOErhk4rCQxOkbAHQOf1eswdlgxEEup8NmxpZLEiOK4ksRI4rCSxEiBXciGjEY4yLTjMWQluRylJE5ARJjvYoLZTDPrq+mF8Wr6XV5wRPwDz43gozrmhcO+gRC4tlJS+4jmfNBuS0la+Sx1ZWalS5fp1l5KItoLXJCCysJuS0lEpgjG1EkpiWiiQJkIMM9eSoo1haTiS/mHh7Mfz0V8qdKXCkP5S4cqkvSem/20eKCqPZeymkQcAeBaGlwvm6tJRAuB62IYGWyuJhFtBC6IrSpwidZhFr8A/sv0R3AOyfatr5oU19eWC9u15TfoZMCk3XU1iWouMG1jq0nZoppkvPv7Jt1qYPLuQuwrmI2hBWOXjgHM16tUk7KN8wNhqSZRKQSSAvwcKc9uNoYtGTyiGwzMgOAZEyDw5MDAM6ZTAbNml9UkqqnA5ImpJmWLapLxTd2nW4xJqKRHppmB2oNNTkbgriZlG+cHwFJNohIAUyu6mpRtNkYtGTuhGXtpq0mJqZoUezhMKJ/zahInCGKZEbps4K6axOkYAXcMfGKvw9hhxUCspsJnx+ZqEieK22oSJ4m7ahInxbJ+sFBAJ+W+4ZzPISvIpSgmsQIionwX88t6lhl7Velh/hsd+C4vOCL8gadG8FEd88JhX0AIXEsxCTCiOR+0/N93t+bi6zs2kdltUUm7U1LKS8tNl2kmzJIfZixGNp4vKmlXrq+R7QWuS0HVIb6odKf4dfE/dUzbZKYIxtRFUYlqokCZCDDPVlT66+fV7qRfqaLSfCyKB83gzN5TKv6T4s6VXvFZ8YXU6g9mP5O/3p5XiB4WX/WKL9WPmb1V/v27szfLctLTcly/LJ7JUZV/6dnsx6p6NHt/q1fc683eV2Wo4mv5/Q+Xvt6TU4NHqqIkJwnvlUWpX8o5wluqNPWNqj7JP7zXU5Uk9bD0in+R3/5k/tTM3u4V/x9F0HtOU6j6dq806/Hs5/KL8+qU73lqciHRH9kYnszeOW/jL+dVsgfyk+/XtinL3iptm7tEPcUSXv6gX0rUh+rhVp/6RhXf5I95Vtbr3pyX3dS/M3/+78of/M68UFbW6VQZrvy71Y9X319Om+rheVTCKQd8Wf78r5SDlF8+Lz4o/lh8KqdfH8vf/V/Fp335n4/kpz6Xg/47+bsPevKrHzYlvXP/wIfy6x/3rn7/R/2bL71yovanSZd+oGzryx93V47bU/leKvPLv1h8oX5z1tcD3cuwQ34ZgKub8BmMsb5HtRC4UomZmBjre1QbgUuUq045iNZhliMB/guCxLRfjGrhGit8QbXQHvvWCh+ZDKigOq7wkc0FaihkhS/2mwpfbLxR/ibdaqCS6mIGpmA2hhaMXToGUDytUOGTtp8fCHOFj0whkBTg50h5drMxbMngEd1gYA4ET2MBgScHBp4xnQqYNzus8JFNBaZPRIWvCTi3LG/qPt1iTEolPTLNsoA92ORkBOYKXxNo6gEwV/jIBMDUiq3wyWenMWrJ2AnNWGXt1I+OInEU9sPpkehHme/10/g47YfxcXTsnx6mh+HpnMe4+GJZhaIuwBgrfAEOE8qnW6axYGGWanQg11hBEGu/0DWccxW+cnmmqtklnvd3YSL+TvR0nNusnALOCV80kVjfmk98lyflxYNzc37tdLv5a/OlEjXd9gPPm70bRDI73X6lbOO9X9xTP7NcYZi9L6fyz4qvy6+dWXD4Ra+c5KsVhbt9+dsvyorpV1W9NOwVTy78DXVujFoUeCxt+Fn579ff9pn8J1U77jvV8oMayXvlDypXPx7IL6sFkofl+oL8SReNufn/e/NDmBW9F0zf2ntOGvDT+XJOuQbyoF5JudcrV6Gelq59U60GzX4iv+/9cn1QLZv0SidVi4hqHM6vGipfzlci1HDJgZL/mPwpX5ZLE/e+fdHG6//lh6+9eiTHsPyJTyV/uf6jHu07xae9IJUDluD+Wi/26r/0gfzSI7Xq0y8Xa6Rre/Hs3agc/8/lX3xSrgU9UGtGd4p/KT7rRVuB/LtCff1f1CBJ27/p3dzrhQMxe1fO1OTnfzP75fx8IPVkVD3ab5erS4rxoXS0Wuh6X/mteDg3Qj2LP1Zu6/3glddfOj5Rn/1VOSZl6f1MB/h8ZU/69xe6l3iH9SVG1Gvgiz2WcjUjCk+5WsdxnZXDYbGakQJbKwOMhW2FiZHEWbU68lNztZoTEKFYulgraVZMgrq2GVhWTTjBEdEPPM2Hj+qYFw77BkLg2qrV7SOa80GravWZAKrmSQ6r1treTzllCm20sbdM66hqbZjiXSPbC1xrhc54VNFLidJ6c9wzqSyfzsukSth+IT9RTQM+Kn5V1a3P79Br9tDNv3ivFyi5LeXa7H0d+TaZPIKRd1LbJpooUCYCzGs7exN88mbglydvPi5nQU8v/emb1AEAriXDJba5nkq0ELgujFDOlnoq0UbggvCqqphoHWbxF+C/IIl19g3J9q2xmhptyQ+irmyE9pIqFQ+Y3vEl1SgwKbgX6dYC8zu2ohouKqqhpaJKtRqY5buYJSiYjaEFY5eOAUzZq1RUw43zA2GpqFIpBJIC/Bwpz242hi0ZPKIbDMyC4KkWIPjkKvjkwOAzpqMB0yeurGoOPLfolgKTKKaqGi6qqsa3dZ9uMSaxkh6bZvpqDzg5GYG7qhpunB8AS1WVSgDMruiqarjZGLVk7IRmbCm3T1MvPj32+qeBd9qPjuKsnx5nWf/o5CTy4vB06kXVC2tcHLCsllAXCIxV1QiHCeXTLSNYsDBLCTqQa6wgy8rDNj7ANYYPy1LP02puWa4ZvKPqcGV98E05Jzy7R7IsM85beT+Rvz793nxd4ea4L/xe8YHOIdusDhFwh8Dn9TqMHVYMxBIsYnb8qPhSh/ICKwpLAcobKJ13EeU6K4rDGhQjBXYFHDAckW86xogTxFkJKk0HqakCxcmHiO5dzC2bGWZU1ysiyyyTExwR/sDTIvCgjnnZsK8fhK2tANU+oDkfdKk9RSpE6J0e973jE9GPgizoHx4lXj89TU8Oj+P05GgqbrvXntrlYqk9BdYXMD732pMRBBGdoNrzo7NFjHtlV1pZ/bivOtyqTWtvSSk63xKn6h4HL33/+z967aUfTCvlqeonmeeF8z+N90cv9HYm+6NeoH3Vt1kdJOAOWlmLMmIggnEnWpQRhUmLaifq11lJHEpRRgpsLgSMRmrYKT9kBXEmRf3AjwdCWwO7wUuICPedilFRaxdhEaOc4Ij4RxajUSYGmUmNcsJh30AIXJsabR/RnA/a7UnwvnZMpcCMzXhSvmTLeGvvfyLauxw0/gz7n4jkEYy8k/4nookCZSLAPHv/Uwjtf/I9X/Sek99xrzzf4/F8O0A5SvNDWqqOp3lv0uwXnbRDddoPRRwQYCUYobKN/VBEC4EFXbh4tvVDEW0ElnJXlcVE6zBlW4D/giDSHx04JFu4xo6oRHVE1XeDxrG9I4qKB8z4HXdEUa0FZnxsR1S86IiKLR1RVKuBeb+LiYKC2RhaMHbpGMAkvkpHVLxxfiAsHVFUCoGkAD9HyrObjWFLBo/oBgPzIHi2BQg+uQo+OTD4jOlowATaYUcU1VJgGsV0RMWLjijj27pPtxiTWkmPTTODtQecnIzA3REVb5wfAEtHFJUAmF3RHVHxZmPUkrETmrGXtirle8aWqATHCQV0X5ZiBEGsU0KXHdZQlmJ0kIA7CD7112HssGIsiwQLBmLCbC5LMaI4LksxkjgsSzFSYBfFAaMRJ4NQ6EiGrCSXpC7FSYiI911MN5tJZ1JXMRLLxJMTHBEAwTMlVF2KEw77CkLgrCM6hoxozgd9eTv0pR41tUnZr2vWOAMG6F6PMoIg4hNUjzpo0Wd0iIA7ZGX9yYiBCL+d6E9GFCb9aWzRZ0RxKEAZKbDZDzAcYTiIE+2ADFlRnClQW5M+Jx8ivneqP9NaraQW/ckJjgiAZP1pa9LnZMO+gBC2NvnZPqA5H7TjtijTAmdmw/MvdH2tvS2KaC+wPArVg+toiyKSRzDyTtqiiCYKlIkA8+xtUSm0LSr2PPHc+YOgyiNoZ+920gDVZf8T0fPAui9CThv7n4gWAsu3cJVs638i2ggs3K4qf4nWYYq0EP/p5cGQbN/6up8Sb0t+8OsGBNtd9jfoeMDE3nH3E9VaYGLHdj9li+4n433wN+lWA9N7F9MBBbMxtGDs0jGAuXqV7qds4/xAWLqfqBQCSQF+jpRnNxvDlgwe0Q0GZkHwnAoQfHIVfHJg8BnT0YDps8PuJ6qlwCSK6X7KFt1Pxrd1n24xJrGSHptmomoPODkZgbv7Kds4PwCW7icqATC7orufss3GqCVjJzRjL2+1yTd1PyUejhMK6LzaxAmCWI2Eri7wV5s4HSLgDoHP6HUYO6wYiMVWxPTYWG3iRHFcbeJEcVdt4qRYVg4WCui0PEh0GENWjMtQaWLlQ8T2LqaW9QRTTg3mhYn5b3Tgu7zgiOAHnhWBB3XMy4Z9+SBsLZUmwIDmfNCXuPHeNzU6JZaLLPXOgAG6l56MIIjwBJWe7hvvOR0k4A5aWYoyYiCicSdSlBGFSYqGOpLrrCQOlSgjBTYZAkZDRDqMISuGMyVq7bpnJUQE+061qF9LF+Mt37u84IjoR9aitq57Vjjs+weBaxOj7SOa80E7bnsyycvAiucv46277YlqL7AuClWHa2h7opJHMPIu2p6oJgqUiQDz7G1PPvQ4KOEFUe+54stC3SX9jhrVy3cBHtXnwFIvQkabGp6oFgIrtnB1bGl4otoIrNWuqnuJ1mHqshD/Bakw3fdMNXGNPU+h6nmKqraDJLD2PJHxgFm9254nsrXArI7seUqCpucpMV5DfJNuNTC3dzEZUDAbQwvGLh0DmKhX6HmStp8fCHPPE5lCICnAz5Hy7GZj2JLBI7rBwEQInlEBgk+ugk8ODD5jOhowg3bX80S2FJhHET1PTdC5ZXlb9+kWY3Ir6bFpZqn2gJOTEZh7nppgUw+AueeJTADMrtieJ/nsNEYtGTuhGXt5C0+BsecpxHFCAd0XnhhBEGuR0KWFNRSeGB0k4A6CT+91GDusGIilV8SM2Vx4YkRxXHhiJHFYeGKkwC58A0YjlPN0oW3ZHbKiXJLiEychIuB3Md9sZp1hXaqw3L7OCo6IgOCpEqr4xAmHfQchcG3Fp/YRzfmgL3ETfmDshIqwzoABuhekjCCI+AQVpA6a8BkdIuAOWVmAMmIgwm8nApQRhUmAGpvwGVEcKlBGCmz2AwyHnwWDJNOOyJCVxZkEtXXic/IhAnynArS+xzexXMzMCo6IgGQBauvE52TDvoEQtjb92T6gOR+04+Yn7eKEVJTCihcs4629+Ylo73LM+DNsfiKSRzDyTpqfiCYKlIkA81qanwSw+cmXNveeU81L6qSncrH5WV/+tAdS7b+ttP6l64QiDgCwAIyQ1cZOKKKFwDouXC3bOqGINgIruKvKYKJ1mGotxH+eP4h0Fg7JFq6xESpWjVBJ3Ysg7I1QVDxghu+4EYpqLTDDYxuhxKIRyngB8U261cA838W8QMFsDC0Yu3QMYNJepRFKbJwfCEsjFJVCICnAz5Hy7GZj2JLBI7rBwDwInlwBgk+ugk8ODD5jOhowgXbYCEW1FJhGMY1QYtEIZXxb9+kWY1Ir6bFpZqz2gJOTEbgbocTG+QGwNEJRCYDZFd0IJTYbo5aMndCMvbx1p9DYCBXjOKGA7utOjCCIZUnoMoODuhOjQwTcIfCpvQ5jhxUDseqKmCCb606MKK7rTowoDutOjBTYVW/AcPhiEGjD+JCV5FJUnTj5EOG9i9llM8eM6yKF5Yp1VnBE/ANPjMCDOuZlw75/ELa2qlP7gOZ80Je4DT80dj0lWGfAAN2rT0YQRHiCqs81tOEzOkjAHbSyGmXEQETjTtQoIwqTGtVWuq+zkjgUo4wU2GQIGI3QG0TaqD5kJXEmRu1d+JyEiHjfqRytr+lNLBcvs4IjAiBZjlq78DnhsK8gBK5Nj7aPaM4H7bgLKtLhSYVpvdjPD5fx1t4FRbQXWB2FCsR1dEERySMYeSddUEQTBcpEgHktXVDyMYO1QSkJH/Sek98hFb+aAHxRdkBdxv4nouuBdV+EoDb2PxEtBJZv4TrZ1v9EtBFYuF1VAROtwxRpAf4LDMWyIdnANbY/ZVu7furVHQipvf2JigdM7R23P1GtBaZ2bPtTumh/Ml40fJNuNTDBdzEjUDAbQwvGLh0DmK1XaX9KN84PhKX9iUohkBTg50h5drMxbMngEd1gYBoET6sAwSdXwScHBp8xHQ2YPztsf6JaCsyimPandNH+ZHxb9+kWYzIr6bFppqr2gJOTEbjbn9KN8wNgaX+iEgCzK7r9Kd1sjFoydkIz9vIWoCJj+1OG44QCui9AMYIgFiSh6wtrKEAxOkjAHQSf4+swdlgxEOuviPmyuQDFiOK4AMVI4rAAxUiBXf0GjEY8yLTDMWQFuST1J05CRLjvYrbZzDmzulphuXOdFRwR/8ATJVT9iRMO+wZC4NrqT+0jmvNBX+Ju/MjUD1V1yiGcAQN0Lkc5QRDxCSpH+bvxOR0i4A5ZVX5yYiDCbxfykxOFSX6auvE5UdzpT04KbPYDDEc4iGLteAxZSZwJUEs3PisfIrx3KT/T+vLe1HIbMys4Iv6R5aelG5+VDfv+Qdha1CdgQHM+aMfdT9pAJPWk/X6/aBlv3d1PVHuBxVGoHFxD9xOVPIKRd9H9RDVRoEwEmNfS/QRtfvK9UF2AV3YhlaNVSnyOc6BojVAD3TDskIcBWAJGSGtTJxTVQmAlF66YLZ1QVBuBNdxVpTDROky9FuK/dCB0Bg7JBq6vEyoNVCdUWDUjpL61E4qMB0zz3XZCka0FpnlkJ1TqN51QqfHu4Zt0q4HJvovJgYLZGFowdukYwMy9QieUtP38QJg7ocgUAkkBfo6UZzcbw5YMHtENBqZB8AwLEHxyFXxyYPAZ09GA+bO7TiiypcAsiuiEaoLOLcvbuk+3GJNZSY9NM221B5ycjMDcCdUEm3oAzJ1QZAJgdsV2QslnpzFqydgJzdjLW3oSpk6oNMBxQgHdl54YQRBrk9C1BgelJ0aHCLhD4PN7HcYOKwZi6RUxPzaXnhhRXJeeGFEclp4YKbBL34DhCAaJ/tzCISvJpSg9cfIhwnsXs8tmjhnUlQrLzeus4Ij4B54YgQd1zMuGff8gbG2lp/YBzfmgL3EfvjA2PoVYZ8AA3atPRhBEeIKqT/d9+JwOEnAHraxGGTEQ0bgTNcqIwqRGQx3JdVYSh2KUkQKbDAGjIQZC6ECGrCDOtKi1D5+VEBHuO1Wj9d29qeU2ZlZwRPwjq1FbHz4rHPYNhMC1ydH2Ec35oB13QmnfVCkwIyueWMZbeycU0d7loPFn2AlFJI9g5J10QhFNFCgTAea98KIY+Fs9vx+qXqitXvE76dnHs18qp5dj8BOp41V3Uq/4Rv75gdT198rWo4dnG57mTUiLQVOfmP241Px3dQ7YITsAWHxFqFpjDxLRQmANFS5WbT1IRBuB1dNVZSjROkylFOC/QITGJiSihWtsQhKqCSmu+wAiexMSFQ+YYTtuQqJaC8yw2CakaNGEZLwD+CbdamCe7UKYK5iNoQVjl44RITEIfQHRxvmBsDQhUSkEkgL8HCnPbjaGLRk8ohsMzIPg2Q0g+OQq+OTA4DOmowETaIdNSFRLgWkU04QULZqQjG/rPt1iTGolPTbNjNEecHIyAncTUrRxfgAsTUhUAmB2RTchRZuNUUvGTmjGXt4yUGxsQhI4Tiig+zIQIwhiXRA6zV9DGYjRQQLuIPhUW4exw4qBWAZFTJjNZSBGFMdlIEYSh2UgRgrsIjRgNJJ44AkdyZCV5JLUgTgJEfG+i+lmM+kUddXAcg06KzgiAIJnSqg6ECcc9hWEwLXVgdpHNOeDvsRN8bGxLSnGOgMG6F6PMoIg4hNUjzpoimd0iIA7ZGX9yYiBCL+d6E9GFCb9aWyKZ0RxKEAZKbDZDzAcYTrwAu2ADFlRnClQW1c8Jx8ivneqP+vbdFPL9cis4IgASNaftq54TjbsCwhha5Of7QOa80HL/313ay5WvmOTlx23IyU6TCksEzNmmsX+MqazdiTtkso1sr3AMilUF67ejqS+Q/0I9ZeLe/CmJCJ/BOPvpCmJaKJAmQgwr+V4pkj+6TP5lfuqAUk3Jn3TVXVynrb6WUyko5h0Ht8hexxY/UWIamMXFNFCYBEXrpVtXVBEG4Hl21VFMNE6TKkW4r/EG2ivahmSLVxjF1SquqCyuhEhsXdBUfGAiZ3QBZUE5i4oqrXAxI7tgkoWXVDGO4Bv0q0GpvcupgUKZmNowdilYwCz9CpdUMnG+YGwdEFRKQSSAvwcKc9uNoYtGTyiGwzMg+C5FSD45Cr45MDgM6ajARMosgvKGHhu0S0FplFMF1Sy6IIyvq37dIsxqZX02DQTVnvAyckI3F1Qycb5AbB0QVEJgNkV3QWVbDZGLRk7oRmrrD1KvPDEO876RyI97Efx8VF/epKd9LNoehidnIpT/6jiMS4LWNZHyEsDxi4oy+V7Ok4ooG4BwcKFWUTQgVxjBUGsSkJXF852QTX9Tb3ijroaffbjXvHb4p76bS853/KkY99mZRdwdvi0XYexw4qBWF9FzIXNBSZGlOV8b0GBT5rNDU6MJA7rS4wU2OVtwGgIGbYjHcmQlcRZeSkL04H+OtgbvICISN7FRLKZTqZ1OcJyzzkrOCL+gedAqP4mTjjsGwiBayswtY9ozgd9ifubEmN/U4Z1BgzQvdJkBEHEJ6jSdNDfxOgQAXfIyvKTEQMRfjuRn4woTPJTOz+9zkriUH4yUmCTH2A0ZBD3TBUgRhJn8tPW3cTJh4junarP+m7c1HLbMSs4IvyR1aetu4mTDfv+QdjaxGf7gOZ80Kq76UzgUZrSZZeTNjBd9auJhwn3wu16jrqcMtOhS1R7gWVQqDr8rPhCNa7MftKow7JTZa4N3100p5zpdJk3PKmelq/K/piHszfrg3x+Vm7orFudHqkfIuXlE/ktP5W/r8772Tr7lWfFl+XvnpbHBFWtMd+UJr1d/dTifvGs520FqvNE/tzZz2Zv61y6TXZpBHNpF41TVBMFykSAefbGqUxn/Q7ZemDxFaF8TU1IVAuBNVS4oLU0IVFtBFZPV5SqVOswlVKI//xYuyA9JBu4vh6kzN+SH9SdcFmoPkRVQ0DmWbuRyKDABIzvRgrCODK2I5HNBWZgZDtS5jXtSJnxUt6bdKuBebgLHa9gNoYWjF06BjD3rdCOJG0/PxDmdiQyhUBSgJ8j5dnNxrAlg0d0g4EZETwZAsShXMWhXMWhXMWhHBiHxnRIYFLFNSZZYtAtuqnA3IroTGrizy3Li7tPtxiTb0lPUD3ZbIk9ORmBuTOpiTv1AJg7k8gEwEyL7UySz05j1JKxE5qxytqjIAuDwD/sH2fhUT+KgqifBp7XP/EPs+ww8ePkpEpqxqm8ZW2DPJ03dSZlPo4TCqib9Fu4MBN/Hcg1VhDEiiJ0ReAfz0zq7/aKf5aT/q/K6bqckcvJ/04Yfk+lDS9S25gelCf9flF+VS0QPOvPP6mKSTpvbLN6Q8C9AZ8p6zB2WDEQq6WIKbOxWMSJwlQs0u+9vs6K4q5axEmBXa0GDEeQeQPTFXGcKM7KRZF84LRtwjd4+RDBvYtpZjPZ9KvqQma5ipwVHBEAwTMk8KCOedmwLyCEraVcBBjQnA963qsUHSfJ0UnYP/TTtB/FIuhPw5PDfpRNj/3DeHqciqPba9Cehl6lLMA6AwboXnsygiDCE1R7XuxVqhqQ9C1L823ZkDNEdd7ZZvWOgHtnZS3KiIEIxZ1oUUYUJi1qOpiJE8WhFmWkwKZCwHD4STSItAMyZEVxpkXjdBAZWpdY+RDBvlMtWt9um1muK2YFRwRAshY1DuqYlw37AkLY2rRo+4DmfNClFj3MjsU0CtN+MPUz+b3paf9QTIN+Gkfp8bF/fCz/ldtr0KKhzhlSi4ZYZ8AA3WtRRhBEeIJq0TtVE1J97tPXqm3pcfGg+LrSpL3ij2Xb0o/L9im1YFqeFKQk5/zbvyme9eSP+V3xUb/sqf+g+LT4jfz4++IPOg9ts3pIwD20sh5lxECE4070KCMKix719VPa66wkDuUoIwU2G0JGI8zEINahDFlRnMlRPx5kWr4bvHyIeN+pHK1vt80s9xWzgiPiH1mOGgd1zMuGfQEhbG1ytH1Acz7oUo5O48CbeuFpPzmdqq573+9PT09P+pE4Dk6nJ96ROD28vQY5GumcIeVohHUGDNC9HGUEQYQnqBz9SNNM/1CpzDP9870XT16bvjztvTx9bfr3f/9SpVOl9nxYrp5+XenW/LovomSv+lPgebN35Yee/NFPdK7aZnWVgLsKrkvPeOuZzkG7cwepAzefKZlffv3ZVk+dzzl7eyA9lPlB5nl7Wz0p7dWq89u9RWOD+m35ueKx+uPW/EDYr+Q/Jr+hF3reRli5U35JLWU/nv28HIK7vXT+WfmxOllU/YCBzus7rF5HpBGEjDZ25TOSMKloT1sbvM6K4lBGM1JgszhkOIIoGkTaPrEhK4s7HR2m0SATOsIbvISIVNWpko5q4WW5apgVHBECyUpaRGIQmlZ2OeGwLyEErk1Kt49ozgettLRNIne8CVW7QU6KY2HGU2eKL+OtfRMq0d7loPGXTagLrUx0aQRzaSebUIkmCpSJAPNaTu/XrkHskM0H7rnpQu8SLQRumEHpWOMuVKKNwJ0yqwpUonWYXTEA/4ksHAidhUOyhWvchhqrzaeJ+qAOxc/qc6kzYd+GSgUFpuCut6FSzQXmYOw2VLHYhmq8CfMm3WpgJu5CuiuYjaEFY5eOAcx+q2xDFRvnB8KyDZVKIZAU4OdIeXazMWzJ4BHdYGBKBM9/AHEoV3EoV3EoV3EoB8ahMR0SmFW73IZKNRWYXDHbUMViG6rxxd2nW4xJuKQnqJle2mNPTkbg3oYqNs4PgGUbKpUAmGnR21DFZmPUkrETmrGlyPVOg2MRHfanh0L0o/Aw6h/6odefitP0NBUniZetof3KMEWWU/oYxwkFdF/vYgRBLCJC1wRWqHf9St32VhZqyj8Lz8vmX/iovJrtQfG1ms1XKwHfzL+proLpfLfN6jsB9x18Zq3D2GHFQCyndjHDZiRxXVFiRHFYUWKkwC5mA4YjDsXAM24UYGRxVlHKImHQpzd4ARG5oItZaTM3rW/8zSxXOLOCIyIgeEIFH9UxLxz2HYTAtRWU2kc054O+xFsFMuO21QTrDBige63KCIKIT1Ctuo6tAoweEnAPraxIGTEQ8RihSM1bBRhRmCSpNoxcZyVxqEgZKbDZEDAaiR/ox2PISuJMj9p2CnDyIcJ9p3I0qcWL5RJhVnBE+CPLUdtOAU427PsHYWtTo+0DmvNBX+JDVDLjxtUU6wwYoHs1ygiCCE9QNer6EBVG7wi4d1ZWoowYiFDciRJlRGFRopZDVBhRHEpRRgpsKgQMR5oNPP0Ji0NWFGda1HaICicfIth3qkXruyozy+2jrOCIAEjWorZDVDjZsC8ghK1Ni7YPaM4HfYkPk86Mu1YzrDNggO61KCMIIjxBtSj3YdKM3hBwb6ysPRkxEKG3E+3JiMKkPY2HSTOiONSejBTY1AcYDj9KB6HxNGlGFmfi03aaNCcfIrp3Kj7ruyozy+WjrOCICEgWn7bTpDnZsG8ghK1NfLYPaM4H7XafZ6CdUFyt+wRNeMky3pr3eZLtXY4Zf9nnWUtPsksjmEs72OdJNlGgTASY5zc7PM/u7wy1D+sO2ezlOM+2v5NsIXAnCly8mvd3km1cVqYs+zvJ1mG2mwD8F2mLl0OyeWvb3Bl4/pb8EKgPofpQ3e0nSWybO+mgwLzb7eZOurnAxIvb3CnNqTd3Vn7WWX2TbjUw/XYh1xXMxtCCsUvHAKY8+uZOZfv5gTBu7qRTCCQF+DlSnt1sDFsyeEQ3GJgPwXMeQBzKVRzKVRzKVRzKgXFoTIcEptTuNnfSTQVmVvjmzkX8uWV5cffpFmOyLekJquaUbbEnJyPwbu5cxJ16AIybO+kEwEyL3Nypnp3GqCVjJzRjL21ZKPAMmztltMJxQgFdl4VYQRALh9CFAN6yEKs3BNwb8AmyDmOHFQOxKIqYMJvKQqwobstCrCjOykKsFNhFacBw+L7hHCZWkEtQE+LlQ4T2LiaZzVSzupCy+o0OfJcXHBH+wPMj8KCOedmwrx+EzV4Tggxozgd9eZvjpfLULiFL5RlgnQEDdK88GUEQ4QmqPN02x7N6R8C9s7ISZcRAhOJOlCgjCpMSNTTHs6I4VKKMFNhUCBiOeJDpOIasHM6EqLkznpcPEek7FaJBrVvM14vygiOiH1mImjvjedmwbx+ErU2Itg9ozgd9ec8MkUI01DlDCtEQ6wwYoHshygiCCE9QIer+zBBWDwm4h1YWo4wYiHDciRhlRGERo6YzQ1hJHGpRRgpsNgSMhhCGI0NYQZyJUfORIbx8iGjfqRgNa+1ivlyUFxwR/chi1HxkCC8b9vWDsLWJ0fYBzfmgL+/lolKMRjpnSDEaYZ0BA3QvRhlBEOEJKkZXOGx51ctFWV0l4K5aWZUyYiDiMkKVGrvbGUmYRKnhbGVWFIeqlJECmxYBwxFlg8AkSxlJ3MlSy12dvISIyN+pMI1qHWO+q5MXHBEA6cLUPKxjXjrsOwiha5Om7UOa80HL/313a67IvmOTnh1v5jQ1gQozZprF0TKms82c2iB6jWzvcvT4f8FmzmdStoI2cxJdGsFc2slmTqKJAmUiwDz7pZ2RzvodsvXAPSxdqF6ihcANKCg1a9zTSbQRuPNkVZlKtA6zywTgv9C0vDAkW7jGbZ2x2syZqA+p+pDV26msd3bSQYEZmLCtM0tD87ZOqrnAFIzd1ikW2zrNd3bSrQYm4i4kvILZGFowdukYwOS3yrZOsXF+ICzbOqkUAkkBfo6UZzcbw5YMHtENBqZE8DwIEIdyFYdyFYdyFYdyYBwa0yGBWRW5rdMcg27RTQUmV8y2TrHY1mm+s5NuMSbhkp6gZpZpjz05GYF7W6fYOD8Alm2dVAJgpkVv6xSbjVFLxk5oxiprPU9kkRcd98WxnM37/slpP/OioJ8eZ9PoKDyJw+BozmOcy1sWNcjzeeO2zhjHCQXUzfotXJiZvw7kGisIYjERuiRwp5l937XN1O/O3q+qR1evB+H8dzsl4vz3sSoalR98a+GI0TkC7hz4zPlMme2cS3pqV8L8D2omfbf4svxDufXgjur7Uj1gWz35iTdnbw961w+8JNvd6s1+Ui62vK1WUx6UrWPzxrDZT+Vf/1p+Xf3Mr+Q/Jv9R5dONuKrDyS+p7Q+PZz8va3d3e743/7T8eHe+M0L9oIHO7Tusbkes83Yx5WckYSp0aQPedVYSh3UuRgrsGjtgNEIRDKJIhzJkRXFW6Aq8MB3otcQNXkJEbupiltzMleO6KmK+Q5QXHBEAwRO8i3upvWAgTBsCOOmwLyGErq3Q1T6kOR/0Jd4QYOjkleLZcoeV3hkwQPfimREEEaCw4tnlhgBGDwm4h+AKWoexw4qBCMgIRWreEMCIwiRJtWHkOiuJQ0nKSIHNhoDRUC0sUapDGbKiOJOkti0BnHyIeN+pIE1q9WK+RZQXHBH/6ILUsiWAkw37AkLY2uRo+4DmfNCX+Ig+37g/NcU6AwboXo4ygiDCE1SOch/Rx+gNAffGytKTEQMRejuRnowoLNLTckQfI4pD7clIgU19gOFIDaesDllBnClP2xF9nHyI0N6p8kxroWK+M5QXHBH+yMrTdkQfJxv29YOwtSnP9gHN+aAv8RF9vnEzaoZ1BgzQvfJkBEGEJ6jydH1EH6N3BNw7KytRRgxEKO5EiTKiMClR4xF9jCgOlSgjBTYVAoYjSgeedj1pyEriTIraDunj5EPE+k6laFYrF/MNorzgiPhHlqK2Q/o42bDvH4StTYq2D2jOB+34BlFDld2337CSLuOte9Mp1d7lmPGXTaeN8KS6NIK5tItNp1QTBcpEgHn2Tae+NnDukM1fjvd8u06pFgL3x8AlrGXXKdXGZX3Ks+uUah1mEwzAf0FkuHx5SLZwfbtOfXWZqK8uE/XVZaJ+fYmfb79MlAwKTMEd7zolmwvMwchdp/7iMlHfcpko2WpgJu5CuSuYjaEFY5eOAcx+K+w69ReXifotl4mSKQSSAvwcKc9uNoYtGTyiGwxMieDpDyAO5SoO5SoO5SoO5cA4NKZDArNqh7tOyaYCkyti16m/uEzU/OLu0y3GJFzSE1RPL1tiT05GYN516i8uE7XHnQM6ATDTYned+uoyUX3MmdCMvbz1osC069S33291gRMK6LxexAmCWEOErgk4rhdxekfAvQOfO+swdlgxEOuliDm0sV7EieK4XsSJ4q5exEmBXa8GDEeYDMJYOyBDVpTLUDBi5UME+y6mnc3ks76N0rdcL8oKjgiA4BkTeFDHvGzYFxDC1lIwAgxozgd9ibvmA9MmTj/AOgMG6F6LMoIgwhNUizJ3zXN6Q8C9sbL2ZMRAhN5OtCcjCpP2NHXNc6I41J6MFNjUBxiOWIbwRDsgQ1YUZ9rT0jfPyocI7p1qz/oCSt9yoygrOCIAkrWnpW+elQ37AkLY2rRn+4DmfNCX+ACRwLRj0w+xzoAButeejCCI8ATVnms4QITTQwLuoZX1KCMGIhx3okcZUVj0qPEAEU4Sh3KUkQKbDQGjEWTpINMOyJAVxZkctRwgwsqHiPedytH6CkrfcqcoKzgi/pHlqOUAEVY27AsIYWuTo+0DmvNBX+LDoAPTNk4/wjoDBuhejjKCIMITVo66OQya0zkC7hy4EsUfBn32BOjAC86dAP2oWUSuuxye9cqf/HgxHWA7EZrT94j0gZDPxnZ8RhIm9Ww4EZqTxKF6ZqTAJm/AaARJNPBMuwAYUZypZ+uJ0KyEiATVqX6u78n0LVefsoIjAiBdP9tOhGalw76EELo2Bd0+pDkftOPdp6EOT2piYcXLlvHWvvuUaO9y1PjL7tOFYCa6NIK5tJPdp0QTBcpEgHktu0+1D+0O2XzgVpsu5C7RQuA+GYyMNe8+JdoI3CCzqkAlWofZDAPwXyBlWaSzcEi2cI27T9Wdp76689RXd5769V2Dvv3OUzIoMAV3vfuUai4wB2N3ny7uPPUtd56SrQZm4i60u4LZGFowdukYwOy3yu7TxZ2nfsudp2QKgaQAP0fKs5uNYUsGj+gGA1MieAIEiEO5ikO5ikO5ikM5MA6N6ZDArNrl7lOqqcDkitl9urjz1Pzi7tMtxiRc0hPUTC/tsScnI3DvPl3ceWqPOwd0AmCmRe8+VXee6mPOhGbs5S1zhcbdpzGOEwrovszFCIJYRYSuCTguczE6R8CdA58648tcpjtPU1F8crbk9WVZsHqn+GK+TMJV22J0OGJpt4vJPiOJ49oWI4nD2hYjBXZZHTAagdqpEOlQhqwol6S2xUmIyEpdzI+bWXJ9NaZvue2UFRwRAMFTO1xti5MO+xJC6NpqW+1DmvNBX+LNCqFxo6zlri29M2CA7mUzIwgiQGFls8vNCoweEnAPwbWzDmOHFQMRkBGK1LxZgRGFSZJqw8h1VhKHkpSRApsNAaMRpPGgurHmoiRlRHEmSW2bFTj5EPG+U0FaX47pW247ZQVHxD+6ILVsVuBkw76AELY2Odo+oDkf9CU+tyU07p1Nsc6AAbqXo4wgiPAElaPc57YwekPAvbGy9GTEQITeTqQnIwqL9LSc28KI4lB7MlJgUx9gOEQ20CbxISuIM+VpO7WFkw8R2jtVnvXlmL7ltlNWcET4IytP26ktnGzY1w/C1qY82wc054O+xKdXh8ZtshnWGTBA98qTEQQRnqDK0/Xp1YzeEXDvrKxEGTEQobgTJcqIwqREjadXM6I4VKKMFNhUCBiOUAwSkxRlJHEmRW2HV3PyIWJ9p1K0vhzTt9x2ygqOiH9kKWo7vJqTDfv+QdjapGj7gOZ80I73mxrEZWC9AibwlvHWvd+Uau9yzPjLftNGeFJdGsFc2sV+U6qJAmUiwDz7flP9HH6HbP5yvOfbb0q1ELgzBi5hLftNqTYu61Oe/aZU6zDbXwD+i013nVLtW99u00DddRqou04DdddpUN8xGNjvOiWDAhNwx7tNyeYCMzByt2mwuOs0sNx1SrYamIe70O0KZmNowdilYwBz3wq7TYPFXadBy12nZAqBpAA/R8qzm41hSwaP6AYDEyJ48gOIQ7mKQ7mKQ7mKQzkwDo3pkMCc2uFuU7KpwNSK2G0aLO46Nb+4+3SLMemW9ATVk8uW2JOTEZh3mwaLu07tceeATgDMtNjdpoG661QfcyY0Yy9vtSgy7TYNrJdtXeSEAjqvFnGCIFYQoSsCjqtFnN4RcO/AZ846jB1WDMRqKWIGbawWcaI4rhZxorirFnFSYFerQcOR6cdjyEpyGapFrHyIWN/FrLOZe9Y3YwaWq05ZwRHxDzxhAg/qmJcN+/5B2FqqRYABzfmgL3HLfGTawRkEWGfAAN1LUUYQRHiCSlHmlnlObwi4N1aWnowYiNDbifRkRGGSnqaWeU4Uh9KTkQKb+gDD4Q+EfjyGrCTOpKelZ56VDxHbO5We9cWYgeWmU1ZwRPwjS09LzzwrG/b9g7C1Sc/2Ac35oC/x4SGRabdmdbw+whkwQPfSkxEEEZ6g0nMNh4dwekjAPbSyHGXEQITjTuQoIwqLHDUeHsJJ4lCNMlJgsyFgNJJBqB2OISuIMzFqOTqElQ8R7TsVo/W1mIHlnlNWcET0I4tRy9EhrGzY1w/C1iZG2wc054O+xAdAR6YNnFXvPcIZMED3YpQRBBGesGLUzQHQnM4RcOesrEMZMRCRGKFDjT3tjCRMMtRwrDIniUMZykiBzYOA0YgHiamVnhHEmQy1HqrMSoiI9J0K0fp2ycByYSgrOCL80YWo7VBlVjrsKwiha5Oi7UOa80HL/333v52RLkat+frJ0RsvvfqKxhEkqRnqOKXKFGbONIvFMqdpJ6fZWoyAXGzm1Jp7jWzu8mNmcS5QJv5R1b3Lhcivywr4PbUC+U3Zmfms3Ev5tGzgVL+7t9VbfG723uzdcpel+sTsLfVlHapUhuLKkMx7IVyagVeLltWmK3XFX+ibwiMVIsJDwFvXleV7yvI9k+V7dMsF3nJ4y7o0fKQMH5kMH9ENh78o9HBcbZBR17EZAHIywIV9Di0AuOflQFl9YLL6gG41PPgjtzdIoyfK6InJ6AnN6DNBVaWC79gyWZdnEhjvywpiK0VidD3MWGIWsxxJQLR3ObCveCSB6vr6WbnRYH4cgeroUlcwzUts80T1rDwj4EG59PF+ddzAh8Wvi4+LX1d/utcLVFfYY/nt7/fKS5nUj5u3kqnGMJ0LtskuWE4LnEcIEE0UKBMB5lmOEPjr5+OBGpCPio/PDcNHxafFB8Ufi3/qF/8k/8rX5VLWfGjv955bvkQr2BLlMtW3q/FTF2+pf+lxuRy2OFHiydLQqrMpVDOgfIoeLE6RuC9/dLVT5avi/uyd2bvyd8/kv/6kfI7uDnTu3iG7e3mOxHjkAdFC4PZMzLKP+cgDoo3AfZmrLugQrcPswYT4zzdesU21cI2HHqjbtQN1u3aQKSXu1ZuNY/uhB1RQYIbHH3rgR0liPvSAai4wx2MPPYgXhx4Yr2e6SbcamOlXm78161zxxtCCsUvHAGZrwgyu2Xwcb5wfCMuhB1QKgaQAP0fKs5uNYRcnclSDgSkRvGQIiEO5ikO5ikO5ikM5MA6N6ZDArIo79MASg27RTQUmV8yhB/Hi0APji7tPtxiTcElPULMga489ORmB+9CDeOP8AFgOPaASADMtclVAPTuNURcXBCjGlrMe4R8diui4P41OT/vRSXTUP0yP0r44OclOptMgTWse41rBy9NuOyzUTNy0YmC5qEaHCeXTrSpYsDArCzqQa6wgiLIbdMnhj/OrnucnD96dn3g4XydXvbzlJjPf2/DFhpySGtsmGJEFHBk+f9dh7LBiLAsACwZ8Xmw6D/IFVhSevgkdx3VWDoddE4wU2JItZCwCbb1vyMrhrGki9Qxy8gYvHyJ2dzGJbKaS9S1xgeXaP1ZwROgDz3/AgzrmZcO+fRA264COIQOa80GXyjI68eLk0BP96bF33I9EKvrZ4clh//D49DCLUy/0jirJ5VRZaheJpbJMsb6A8blXlowgiOgEVZZ3VNVKbRJTp2WVQnJ+OEHxoN5Ypj4nvA35/95W5Kk/hUaJycgu4OwrS0xGDESchUvMsonmy0FPPy4vsAI5FZqMHA6FJiMFNtUBxkJk2pA9ZOVwJjSjyNB9fIOXDxHKOxWa9aVwgeWWP1ZwRAAkC03joI552bBvH4StTWi2D2jOB10dlnXqH/tHXt8/Ogr60eFx1E9P5F89OfVP4iyKwzQ4vO1eaJq6dzOsL2B87oUmIwgiOtGFpmpqKbun7hb3VO/L7Jdlaw1KcDL6QMB9sLLgZMRAxNsOBScjkFPBycjhUHAyUmBTHmQsklTHMWTlcCY4jXcV3uDlQ4T0TgVnffVbYLnLjxUcEQDJgtM4qGNeNuzbB2FrE5ztA5rzQZeC059mx8FR7PfTIDztR0Eo+od+lvZPssTzjw+PExGd3HYvOCOdL64GoeU+BL0vYHzOBScnCCI6gQVndSjBXdXWrQ4feGf2497Ftu7qRIJAlOcOBPOPA2GQNtusXhBwL6wqOTkxEBEXITlN7eWcJDxa03T6ACeJO7XJSYHNd5DRCD3Dna1DVhRngtNcSWfFQ0T0LvVm6FXyJLTcRscKjoh+ZL3pi8AbhNoVrjEvHfYNhNC1KE7AkOZ80C5vjw5N1fHQN9NlXuAv0617pybV3uWg8We8U5Pqggjmgi52alJNFCgTAeZZd2oK+fulgZxf8TXvga2u+SrPiFCnS8zeKb7QjWzx4YvFx73yL33TKz73/WB+BG51M8PD4mHvxVemPzrtndvlqXZmikBt8pRW/Ka4JycR5ZMg5xDVzWLPii/Omvaw+OrcNtLH9W0P6nn7sPi8uNMvPuipGYb6oeUt5dXNZOp+8vI7y6dTAlXPmvpyueFUfv7pfDcpeKPp3Jxvziy9v6/O/L3Ti72/C5I5sGFfKfXhAG6i6UL4Ey0E7oDBCHrjvlKqjcCtL6tKdaJ1mG0uAP+FIh1oD5gfki1c377SUN2jHap7tMNIfRDVfq7Qt+4rJYMC9UjH+0rJ5gIVCXJfaeg3+0pD46VRN+lWA3VJFxMZBbMxtGDs0jGA2mKFfaXS9vMDYd5XSqYQSArwc6Q8u9kYtmTwiG4wMCWCZ4OAOJSrOJSrOJSrOJQD49CYDgnMqh3uKyWbCkyuiH2lTfy5ZXlx9+kWYxIu6Qlq5tr22JOTEZj3lTZxpx4A875SMgEw02L3lcpnpzFqydgJzdjS2uBQnJxGR30vjoU6WjHtp95x1vc84Yk4Tf1MVKnYuLJhWdqhrm6Y9pVW9xCAMaF87mtkjCCIFVXoAsnH89lpr/hSTYvnRyuq2W959uLT+Rfnt8XUSyJ+ucNUzTQ/1I7lNqsLBNwF8NUHHcYOKwZiibiLeTIjieMCGSOJwwIZIwV2eR4wGmEWDYRpes6I4qxAFnqZ8cJsVkBEQO9iZtnML+tL7kLLrYWs4Ij4B54UXQginumxHfPCYV9BCFxbhax9RHM+6Mu72zQw1tNCrC9gfO71JiMIIjxB9Wanu0052QWcfWWhyYiBCLQIodnS/M8JxKM3dRzXWTkcqk1GCmyqg4xFkkU6kCEriDOtadluysqHiOWdSs36CrvQcichKzgiApKlpmW7KSsb9vWDsLUpzfYBzfmgL+92U+NlMWGE9QWMz73SZARBRCe60uxguymnDwTcBysrTkYMRLzt</t>
  </si>
  <si>
    <t>UHEyAjlVnIwcDhUnIwU25QHGQoSZjmPIyuFMcFq2m7LyIUJ6p4KzvqgutNw9yAqOCIBkwWnZbsrKhn37IGxtgrN9QHM+6Mt7RHNg3G4qsL6A8bkXnIwgiOgEFZxdHNHMiSzgyCvrS0YMRHiF60vzEc2cKE6VJSOHQ2XJSIHNbYCxCBNtjB6ycjhTlpYjmln5ELG7U2UpaiEiLMqSExwR+sjK0nJEMysb9u2DsLUpy/YBzfmg53dan9EiRu3Y6aXWplXK2IyZZnG6jGnaX9rtldZaY6+RjV1+xla/0PpOtc/wsRR6D3XGSkkXXxmSLXZ8JXWorsSLIlNso0JEeAh4A/j8Smpp+Z7J8j265QJvObzxu7ySWho+Mhk+ohsOf9Tp0bTaZqKuLzMA5GQA7iuppdUHJqsP6FbDQzdyk0B5JbU0emIyekIzunxYbrvMP8YdAPa7EDKjz8HWkjKQ3txrZHPhLyY0B/2vcvv602qh4UGvLHCpMw7eVjvI1Q73snoy3zL/rvrG+dpE+ekme8lv0IHK/JWo/EWkdZ2/1G2ukf7O9l06hIv8lar8pbd8j265wFuOikkjZfjIZPiIbjj8NVk5f6mbNw0AORmAPX+lKn/prT6gWw0P/aT8lar8pTd6QjP6zIqgsv07tjzW3UE9lgsSQ+tJ68mF+aIpjXV4UI/6GBvzGNHe5cC+4kE9d8pTTr6sElJ9XI8+bX1efFT8qjqa52wKu1t97h/qr6ozHI0r7UTu5VzAeToP0USBMhFgnvZ0nn+Rvr8rva4O2KnG6wv5ia/KMSsPxrkvpcd8CJrDfHrbL/h/FaSxv+XLLwT/h/pz+FdB5G2lPcP2tR2yH5aXyxgPoiFaCNwyj1j8txxEQ7QRuFd+1YV9onXLOmHVg2jSLNXXVYdkE9d4Ek2m5HB9n3iY2s+foeIB0yz+/JkkM61Fv0i3FphnscfPpIvjZ4zXsNykWw3MtqvNoZpCR7oxtGDs0jGAyZMwi2qOgUg3zg+E5fgZKoVAUoCfI+XZzcawi5MpqsHARAiuGQGCT66CTw4MPmM6GjCD4g6dMQeeW3RLgXkUc+ZMujhzxvi27tMtxuRW0mPTFOLsAScnI3CfOZNunB8Ay5kzVAJgdkVOx9Wz0xh1cSZOMVZZeyROjjMvzfqHJ0L0o0O1X/j4MOx7p1LzT4Pjw8OpmPMYJ+kvT7tslCsn6sapeobDhPLppvMWLMyUXgdyjRUE0WwBneuXM0c5kzwzczx7+oycO1ZXMsgJ5YOyl64+lveP5ZE0P5a/fiJ/vTn/dvm56iTWcq37TvG74qN+8bmccX5QfFr8Rn78ffEHOX315D/1pc6B26wOFHAHwmfkOowdVoxlDWHBQEyoDSPyAisKS9tdNBA6kuusJA4b7xgplnWGhQI6j/cTEQUDbXobsrI4a77zg0Fiar7j5EPkgy5mo82ctL50KrTcIsYKjgiA4IkUeFDHvGzYNxDCZh3QMWRAcz7oed3oNPXi02Ovfxp4p/3oKM7k92ZZ/+jkJPLi8HTqRVWqcKpWtWvMV4PIer+FzhcwPudqlRMEEZ2gavXD8kaBp2fqUuqP5Xn/qjL11uL+AXVK4sdSbirp+bviE/nr00rI3hz3hd8rPtA5ZJvVIQLukFXVJycGIvh2oT45UVjUpzdQq5IXUa6zoriTn5wU2OQHGA6RRob9mUNWFGfqM00HqUF9svIh4nuX6jOqL6CKLHeKsYIjAiBZfRoHdczLhn0BIWwt6hMwoDkftNr6sTVvJXHYsGTSlb6VMlimdNawFOnsvUa2F1hChcpCYsNS+akHxdPmnrGPio+31KLlh8Wd6h5ac88SFT2CoXfRs0Q1UaBMBJjXac+SoTGJCgusxyKUrKkxiWohsKwKF6iWxiSqjcCC6qrKk2gdpngK8F8WGLbuDckWrq8vKVI3ZEVh1RoQ2e/FIuMBsym+LykOM2NfEtlaYDpF9iVFi2uxIsu1WGSrgUm1Cy2uYDaGFoxdOgYwQa7QlxQtrsWKWq7FIlMIJAX4OVKe3WwMWzJ4RDcYmAfBExpA8MlV8MmBwWdMRwMmUFxfkjnw3KJbCkyjiL6kaHEXlvlt3adbjEmtpMemmSXaA05ORmDuS4oWd2HZg80BnQCYXbF9SZG6C0sfaCY0Y5W1sKqQ4jHOxS2LEtT5uKkvKQpwmFA+3azdgoWZuetArrGCIFYCoVP6y9eXxOlAAXcgfNatw9hhxUAsjCLm0+bKECMKS2XIN/UlcZI4LAwxUmDXpSGjEab+INOOyJCVxVllyNKXxMqHyAddzEabOWl98VJkuUqLFRwRAMETKfCgjnnZsG8ghK2tMtQ+oDkf9OXtSzLepBWFWF/A+NyrVUYQRHSCqlUHfUmMDhFwh6ysPhkxEMG3E/XJiMKiPi19SYwoDuUnIwU2+QGGQ8rPgW+Un4wszuSnrTGJkw8R4DuVn/VtTJHlei1WcEQEJMtPW2MSJxv2DYSwtcnP9gHN+aDnZ9JuNcLLqC87PhLQJC0jK2e4zGlqTer6SECtudfI5i4/Zl0cCfiwulaV5UjAKLoyJNM6PhIwEqrXQJ0LKHz1wXS4LRknwuPAKzrzwwElw55i2FMMeyaGPTqDwDPAazrlMYESYaQQRgphZEIY0RHgLxE9VFcFZKEKyOrUQImSm1ByMgr30YHS/gNl/4Gy/8Bk/wHdfniyQFYHy0MEpfkTZf5EmT8xmT+hmX9mrq6SiLPuXHMtUFgphHEQYMYS858lBxLtXU4KK3bnfly2eT4rHqnMp+p31e3iy6nw7FGCi++ue3nPZsLqm+71gp78jsfyi+/rPLBN9sByHuFs0iWaKFAmAszTNukuTgoc9Mo263PD8qfii/kNSw9rMaNOP36gvmn2ntIws/e3euWC2OPZL+WolwXYh1Li/Em1XTdHJT9Q460eA7WIdr8p2D4sHmz1qn/um3Lwn1V/sfpL93plt/DT8gfIf67+Z5+pVvCl4yivzFXWhS7xL6QVb5c/5Gn996T+mp/gPLdCMagriaRtj1RJevaOtEn+Tn32Qgvzc+WdplK7SaMUlBR06h99WDypZd23B7rnYIf8HAD7thArXsb+ZaKFwPYr+EKWrX+ZaCOw8WrVFSqidZgmK4D/bAcrUk1cYwNzrCYVSd1DKOwNzFQ8oODANzBHcWRuYKZaC1Qc2AZmsWhgNt7Sc5NuNVB3rDYTbVbrxMbQgrFLxwCKB8IMtOkpFBvnB8LSwEylEEgK8HOkPLvZGHZx0kk1GJgIwQufgOCTq+CTA4PPmI4GzKC4BmZz4LlFtxSYRzENzGLRwGx8W/fpFmNyK+mxaVaT7QEnJyNwNzCLjfMDYGlgphIAsytyiUI9O41RF9ckKMaWM69UiNA7Pe57xyeiHwVZ0D88Srx+epqeHB7H6cmR8wbmwHywYhTjMKF8uoUNCxZmcUMHco0VBFExhK56fHR2onyvnAXKSWVfTQbL+ey8L+RhNfVUM+ODl77//R+99tIPplVDyP7Vm73M88L5n8b7oxd6O5P9US/QBu1tVgcJuIPgKw7Xf/TGfzp5rTd+7dWXT944+f7rFbEf9/q94pOy/bvZC3xu3eF+8Vh+rtm+Lb34WM251XT9brlM8OWg1ys+qq5+fms+9f+T/MN8veFrtd7wTfnjmmrLFfX9n2g9u8PqWUTNFjGHN3etMKIwda2EOpLrrCQOm1YYKbAlc8Bo+H6cDYR2gWjIyuKsacUP/HggYh3hDV5CRBLqYgrcTITjusshtkyGOcERIRA8e7sw28nEIDP1rXDCYV9CCJx1RMeQEc35oC9r23RgOXYnwfoCxudeIzOCIMITVCM7aJtmdIiAOwSuiXUYO6wYiOjbiQBlRGESoMa2aUYUhwqUkQKb/ADDYT3OkRHFmQC1dU1z8iHie6fyM6nFSmKRn5zgiABIlp+2rmlONuwLCGFrU5/tA5rzQSv5aVOV3TaKmfSk5c6ezAuCZbq1N4oR7QUWbKFycJ2NYkQPRDAPdNIoRjRRoEwEmGdvFAsu9omZ13lta65EXGAZGCFljf1QRAuB1Vy4QrX1QxFtBNZxV5WeROswNVuA/2znORItXGM7lLpnVtRXPUb2e2bJeMC02nE7FNVaYF7FtkMt7pmNLPfMkq0GZtcuxLiC2RhaMHbpGMAUuUo71OKe2ajlnlkyhUBSgJ8j5dnNxrAlg0d0g4F5EDyjAQSfXAWfHBh8xnQ0YALtsB2KaikwjWLaoRb3zJrf1n26xZjUSnpsmmmiPeDkZATudqjFPbP2YHNAJwBmV3Q7lLpnVh9oJjRjL22px7yHK8NhQvncl3oYQRBLgdC5vYNSD6NDBNwh8Hm0DmOHFQOx0omYH5tLPYworks9jCgOSz2MFNiVZsBw2E/IYWS5FLUeTj5EgO9ietlMMut7RiPLxbGs4IgICJ4ZgQd1zMuGfQMhbG21nvYBzfmgL283vrEyJDysL2B8zuUnJwgiOkHlp/tufE4HCbiDVpWjnBiIYNyFHOVEYZKj2qrEdVYSd2qUkwKbCwGjESTxoLoD/YIY5URxJkatne+shIiA36UcFfXFo8JykywrOCICkuWorfOdFQ77DkLgWvQoYERzPmi3vUfa3CAVpuVeHkkHPqfRVe8R1V5gdRQqENfYe0T1QATzQBe9R1QTBcpEgHkth1SFfzmliveUKuqDAKxGI2S+qSuLaiGwqAxX75auLKqNwHLyqrqcaB2mdAzwX5AYVlGGZAvX15Ul1C27or7oUthv2SXjAQVHt11ZZGuBigPZlSUWt+wKyy27ZKuBuqOLeYqC2RhaMHbpGEDxsEJXlljcsitabtklUwgkBfg5Up7dbAxbMnhENxiYB8GTPUDwyVXwyYHBZ0xHAybQ7rqyyJYC0yiiK0ssbtk1v637dIsxqZX02DQTaHvAyckIzF1ZYnHLrj3YHNAJgNkV25Ul1C27+kAzoRl7actioakrqzpRBIwJ5XNfFmMEQaySQlc91lAWY3SQgDsIvuKg3730/MnrL/3HV3p+6vUir+eLDk6s0vlrh9VfiNVnxMTcXH9jRHFcf2MkcVh/Y6TArv0DRiP1B7G2ODVkJbkk5TdOQkRi6WJa20xu69tdheW6XlZwRAAEz8hQ5TdOOOwrCIFrK7+1j2jOB315dyMYL1UTIdYXMD73upcRBBGeoLqXfzcCp0ME3CFwnavD2GHFQETfTuQnIwqT/DTtRuBEcag/GSmwyQ8wHJE3SLXzgSEriTP9admLwMqHCO+dqs/6cldhua2XFRwR/8jq07IXgZUN+/5B2NrEZ/uA5nzQbnu/Ih2dlJORlS5aplt77xfR3uWQ8Wfc+0X0QATzQCe9X0QTBcpEgHktvV9CPml/6f7i7f4iPgrAqjdC5Ru7v4gWAovXcPFu6/4i2ggsW6+qyonWYUrUAP8FcThIdBYOyRausftL3Xsu4roBI7J3f1HxgJKj4+4vqrVAzYHt/ooW3V+RpfuLajVQeXQxUVEwG0MLxi4dI0JiEBoyoo3zA2Hp/qJSCCQF+DlSnt1sDFsyeEQ3GJgHwbM9QPDJVfDJgcFnTEcDJtAOu7+olgLTKKb7K1p0fxnf1n26xZjUSnpsmim0PeDkZATu7q9o4/wAWLq/qATA7Iru/oo2G6OWjJ3QjL20VbDI2P0lcJhQPvdVMEYQxDIpdN3DQRWM0SEC7hD4GoMOY4cVA7EKjJgfm6tgjCiuq2CMKA6rYIwU2FV4wHCE2UAI7YAMWVEuRRmMkw8R37uYXTZzTFFXTYw3U+/ygiMCIHhiBB7UMS8b9gWEsLWVwdoHNOeDvrx7DyJjD1aM9QWMz736ZARBRCeo+lzD3gNGBwm4g+BqVLv1QEhLO9huQL0g+/YrOufusDoXkSI60ciMKEwaWduYdJ2VxKFEZqTAZmjAaCTZwNeudAxZSZwpZPtGBU5CRBbqVCPX9ykLyw3ZrOCIAEjWyNaNCpxw2FcQAtcmkttHNOeDlv/77lwpR7ftMvj1k6M3Xnr1FY0nCCo40mFK/ZuYMdMsiZcxTU1jZlsx0rbuG9Mae41s7PIzZnEsUL5+ooTpvBHpbBtP1Ts2e7dXdoI9VeKpXGZ9NPuJlGFf67CkMk2uDMlsF8KiGW61qFg1M6Rbu0GszrOJI/UhVh/Kz6mbxxJffkhVv0OaqA/qc5lviplU4ghPDK8qKcw9hbmnMPcU5p7C3FOYewpzT2HuKcw9hbmnMPdMmHt0TIHHhJeeJOVIUY4U5UhRjhTlSFGOFOVIUY4U5UhRjhTlyEQ5olPC3016+K9K4elWrmhzRZsr2lzR5oo2V7S5os0Vba5ocxNtTqa9UAltocU9tgcK8UAhHijEA4V4oBAPFOKBQjxQiAcK8UAhHpgQD+iI8CyGrJZKwokinCjCiSKcKMKJIpwowokinCjCiSKcKMKJiXBCIyyf2dtNuv6OLX931/VtLp5a7m2SDKlxlGCmknK3slhn7TWytcC+K2ryLu6XNc+3Fg225xpzq3buh8VXveID+QnVdftNuZryoOyrNWV1IuxyduNs7iaaKFAmAsyzN3dnveLXarGq7Ix+qxyYr+U4PFRd1YuBeNjbf/Xo+6evvrLVU0tZs7cHvZsv/eCl6dZ8dexZ8WS+OvaBL6pO8cWw3y3Xy9TSY7lm9kR+3/bfvnQ0/Y+v9nZPZJD6wUtH0h5f9Lbl777fC5LM2zrbhl0tm6nO6mezH6sFt9kvzv6Fm38Vxp4nf+6TrfkTV/WhV1sN7H+1+ZtSR36pHsr5d9fGPm12LHzd87PZu0Gk/jlP1H9JbWL4Sv5e/oNnW+HlT529u/jRPyl98XbZbi5NkD9M+W2xRHin+FW5BKh9s3fIT9Ly1JaxN5xoIbC1Db5cZ+sNJ9oIbGpbdSGOaB2mgQ3gv9BQyxmSDVxja7iaIMWe+uDXLZr2O5vJjEBxgu8P90ORmRvEqeYCBQq2QXxxabOwXNpMthooVFabiDcLk+oOVTPGLh0DKEEIs+umZ3NxabNoubSZTCGQFODnSHl2szHs4lSYajAwGYLXeAEhKFchKFchKAeGoDGdD5hKcV3ilvBzi24qMKNi2sQXVzeb39l9usWYLEt6eJrVc3vYyckI3G3ii6ub7SHngE4ATLLIhQ/17DRGXVzGoBirrD09Pk2PvGnaD0QS9CMvTvvZdJr1T5IsPT3OTtPD09M5j3GF4+Vpl406xpWDqzJK4SChdLq1EAsUZj1EB3KNFQRRIIUuldwpp6U/nc+1n5Q9J2ri+rBsDn/vezrGbVZGAWeELz/oMHZYMRAlXcTc91G5yvFNuSr1aPa2DusFViyW/hZtSLjOyuGwu4WRAltaB4yFZfLNCOKuucUzackbvICI0N3F5LGZQtY3+ArLlcys4IhACJ73wEd1zAuHfQEhcNYRHUNGNOeDLnVlcBQl4ihM+lNxGsvvPT3up+lh2o/Do0h+51GSiup9dqgrDe3fsYf1BIzOua7kBEEEJ7CunNchynrMcklt9guDruRkFHDGVXUlJwYinCJ0pammwknCIyUHntChXGdFcacmOSmwyQwwHKEYZIZeaU4SZ3IyDdOBl+kAb/ACIiJ2l3Iyri/gjS1XKrOCI+IfWU6aR3XMC4d9AyFwLXISMKI5H3QpJ4/jZJpGR2n/OAzk9/p+2Jc/eNo/TcTp6dQ/PPEPq1zhUE6GOk9IOWm5sEnvCRideznJCIIITlA5+VG5eU0dfviWSTsyAgk40MrakREDETsR2hG0JsmJxSMkdRzXWTkcqkhGCmwOA4yFeU2SE8SZiPSMK5KseIgo3amE9GvBYbn3lhUcEQbJEjKIQuOKJCsc9vWDwLVJyPYRzfmg1W67rbl4ctarb1prDKyM2TKjo159rbXXyNYCW+Cgyo7Uq69OLFDrib3iAykLn8x34ZVHSXy51VMHn83brGfvq7+ow98m40cw/C6696kmCpSJAPPs3fuq2/6j2Tvq+PTyvPF5P3rV9n7nzOA9VGvBHxe/Kn5bfN4Lvdm7qZi9G3pN3/wTqSD/VNyfvdMrj3BXWwDuyk8+7CWe6sX/SXlu+6OiPha97uovbVJN9d5WJMozNHzPT+tuBvndyhKdh3fIHgY28iFUtHEFlmghsBUPIYjNXe1UG4E9eKuKXaJ1mH47gP9inXVDsnXra2mP65vm48DayE4mA2ZufCN7GibGPnaytcDkjexjj4Omjz02XrZ4k241MIl3IfwVzMbQgrFLxwAm4xX62KXt5wfC3MdOphBICvBzpDy72Ri2ZPCIbjAw/YFnT4C4kwPjzphOBUyZuO51c8y5RbcUmDgRzetNvLlleVH36RZjkinpiWkmo/ZYk5MRmJvXmzhTD4C5eZ1MAEys2OZ1+ew0Ri0ZO6EZOxc4h3Lyfxj0T6LoqB8dJ3L6Pw1O+0fHIj71juKj09B1VSgwNa/HIQ4SSqdbHLBAYRYIdCDXWEEQ643QtYPfy1ni2S3Wi2N6ikfVIZLFJ+XtWupYRNWQ9NNyaeGR+ageTg8IuAfgc3Mdxg4rBmL9tIsJMCMJT+VIHyWus5I4rB0xUmAXrwGjEQ9ME29GDmelI983XqFzg5cQEc27mEQ2U8n6FtjYcq0vKzgi+oHnP4hhHfPSYd9ACF1b+ah9SHM+aHcX+0bGnqLIzJZ5gVhmW3PZiGgtcMUJKv3WVjYi4kcw/E7KRkQTBcpEgHn2slF86cpGmefHsLIR0cPAdbMuVDPRQuAaGEYNm8tGRBuBq1+r6lyidZiVLoj/RJTpJxRDsolrrB2Jeg3XfkkumQyYvjuuHVGtBWZwbO1ocUlubLkkl2w1MJN3IfsVzMbQgrFLx4iQGIQ13cUluXHLJblkCoGkAD9HyrObjWFLBo/oBgNzIHjuBIg7OTDujOlUwLzZYe2Iaikwe2JqR4v7cc0v6j7dYkxGJT0xzUzUHmtyMgJ37WhxP649zhzQCYCJFV07Uvfj6mPMhGbsJa0dhcbakcBBQunc144YQRCrjdAFBI7aEaMHBNwD8Al68c/l8cJ3e2o23SvvsfhCkRumlTushIiF1S4myIwkjstKjCQOy0qMFNhFbchoJF408EzzckaWS1Ja4iREBPsu5pjNTLO+WTW2XJXLCo6IgODpEWJYx7x02LcQQtdWWmof0pwP2mVpKdKxSXEZW9nAl385Ki0RrQUuSEGV4dpKS0T8CIbfSWmJaKJAmQgwz15a8i9VbWmrV17j8ah8Jt5RtqgbfMvrQdRf6/114IV93/O15eEdss+BC21daGmihcBFM4xGNhebiDYCl8tWVb9E6zBLYwD/BZF2hIdk+9ZYaUrqFd/YXmmikgGzeceVJqq1wISOrTTFi0qT8abVm3SrgYm9i1mAgtkYWjB26RjABL1KpSneOD8QlkoTlUIgKcDPkfLsZmPYksEjusHABAieSgHiTg6MO2M6FTBpdlhpoloKTJ2YSlO8qDQZX9R9usWYdEp6YpqJqT3W5GQE7kpTvHF+ACyVJioBMLGiK03xZmPUkrETmrGXtNJkvEo0TnCQUDr3lSZGEMTiI3Q9gaPSxOgBAfcAfL6uw9hhxVjO/haMLqbAjCSOy0mMJA7LSYwU2IVswGjIBGQ84o6R5JIUkzgJEfG8i2lkM5lM6spDYplQcoIj4h94BoQY1jEvHfYdhNBZh3QMGdKcD1odc3dGaCkR6ey4O6FjlXrSei9d6i+zOikuGfboXyNbC1yDgorBT6XIu198IT/em99W/pX68ARZcprfD95Te1TkN6mvPOiVxQ51CO+DXrgV9Mryhfo3Hs9+KQWlqkuoG8XLn/549gv579ZFi/Lqt8flPyc/1VM/d27Ck+o29gdGGUr0aQTzaScVK6KJAmUi0bwdsnnAta0ulC3RQuA6FUaxmos7RBuBK1SralGidZjVKID/AoP7hmQDWao7iNORqWYDcyW+dOMHvrl0Q7UWmC6xpZvFRemx5aJ0stXAtInS3NBHY5duNjAzrVKqWVyMHrdcjE6mEEgK8HOjPLvZGLZk8IhuMDCdkScqpidlTDcZmN9wdRhzALlFtxSY5TB1mMVV5+bgsU+3GJP5unwccrLJ3HWXxdXm9qBxQCcAZkV03UVdba4PGBOasdVMuArVTmfC2vKRnAlnVozQ6HOYqbSZsKEOdI1sLTClQ2fC2DbL4vPio+JXVb3kYfFVT/7NR7N3yhnqmZLJ7N1ecb/qrSt/mpwiv9sr76d5qL+dZpvsEaBa6GQeSzRRoEwEmNfSeZkOygbLc4O5XPSqhu9z+Qh83C/HRY5hr/hYjtmT+T1Pvdlb82fi0exNOX6qt1Z+rffvxjd7L+z3it+o1s5e1V97t3dzt+fFInn9b1XXZ/GJL//z+7Lh84nqspy911tcParWMnqhJ7zZu37oeVvKlMdqxUN9/W5p3pcD3QjskEcAqG26mKoTLQRKmW6m6kQbgSJm1ak60TqMYIH4L9SvuQ7JBrJM1QENUbtB4tUNUZm9EZNKBsz3hNl8EpiqGy/SzQXmfOx0PltM5433gt+kWw3M/ajpvEHtKpiNoQVjl44BTNirTO+zjfMDYZneUykEkgL8HCnPbjaGXZzeUw0GpkDw9B4QeHJg4BnTqYBpE7kCYA46t+imArMnZgkgWywBGN/UfbrFmIxKemSasq492ORkBO4lgWzj/ABYlgSoBMDUil4SyDYboy4uCVCMVdaehtlUZEHaD33/tO/7Jyf9LPOi/rEfx/70yDs8zKosZlwqeHnabStmbGrFTDwcJJROt6hggcIsLOhArrGCIFp3oGsOd+arAOUOvLNrBGUtvJqdqor4fAefKpn/pvh1caf3+l8FQu0I7OWv/uiV42uvTl877uU/+uHJay+89MqJzjPbrJ4RcM/AJ/Y6jB1WDESLUgezY04SnhZNHcd1Vg53DZqcFMvawUKx+oycE8RZf6a5yM6Kh4jwXcws6/ll4lWdfPPf6MB3ecERkQ88Kbr4yPrmsicrHfb9g9C1NGcChjTng17HHcSJjlEqS9/KGC0zOipFaXPyNbK1wOUoqCxcvRT1ofzEx73iXs/vyb/2uCx6lDWM8uCPJ+Uxaw/mvZZSRZaffjb7cXkmyPuqYHJH559tsn8imH+6KExRTRQoEwHm2QtTAbwu9VHxafFB8cfin5raVNkXOz/hRf4U3w96L74y/dHpqfyZn8mf+FT1yc4HvToBpFCHjvxMfn/V5Fs9I58Xd/rPv1DXnOT435V/Qx0E8oX8CW/Kn3S35wdbojp75On8oJB7s3dm75bnhqhJytNy0vJMPURPtHvGyi89mpfR5Me3VHOvfL56sTd7N0gqw7d6qnBa2vGgPLZE/S35vEqb76oHfukZLatm6p8+22QcefInyg+9ylzpyPkJJ8pJ8g+9qnf4aell9eFB/TKos3Fm71z4iX7zw5ZMeVTO1b6prFW74tQhhWdf1LJxeenHxcpA+cFQz6M+uMDFzC5mLEQLgQuTiJmIuZ5HtRG4IrnqLINoHWb1EeC/LPD1l78MyRausaAXbMkPofoQqQ9CfYjVh0R9SNWHTH5IPfXBVx/U30jV30ijak0+8a3FQLJXgIqLUAwMk8xYDCSbC1RdyGJg4jfFwLmfdVbfpFsNVF9dTNkUzMbQgrFLxwCKpBWKgdL28wNhLgaSKQSSAvwcKc9uNoYtGTyiGwzMn+B5LyBo5Spo5Spo5Spo5Spo5Spo5Spo5Spo5Spo5Spo5Spo5Spo5Spo5cCgNaZ7BJivkYVEc8C6RTcVmLYRhcQmWN2yvOX7dIsxqZz0uDVLEPZAlZMRmAuJTZCqB8BcSCQTANMytpAon53GqCVjJzRjy8lzfHQUTQ+zvgi9uB9Fh17/0AuO+0l4NA2i46NIxIdzHuNCj2XFi7bYYywkBjhIKJ1uScgChVkW0oFcYwVBLDNDV4z+KGeej8vDPx+Wk1x11ufyjPl79Sy1XmGoz4BRn4+9jUC7hLfN6goBdwV85UWHscOKgVg/h8/DZz/T94e/wIrCUjr09NPN66wkDouHjBTY4gVgNKTSHITadpchK4qz8qEYxKbyISceIq53MRdtZqRBXWsKLLNSTnBE+ANPo6BjOuZFw75+ELS22mH7eOZ80KXkPA6z+CiMwn7knRz1o9A76R/Gwu8fnaYn6dT3TuW09bZryRnoPCElZ4j1BIzOveRkBEGEJqjk/FyKyAdSdtpFZ68siqiK1LmKkZKdZD3K6CcB99PKepQRAxGQO9GjjCgsejTU75y9zkriUI8yUmATImQ0Qj8e6LdkD1lZnAlSXwwykyLl5EOE/U4VaVgrmNCiSDnBEQGQrEiNgzrmZcO+gRC2NknaPqA5H3QpScPoMDo5PjrpC0/J19iP+4cnwWk/O46SROlXL5vedi1JtasaV0urcZ6A0bmXpIwgiNgElaR3zrSx/WIuL9Uu+m/K+5buqd622S9nP68bdoJUSswNbyvy1J/C4onOB9usPhBwH6wsNxkxENEWLjfLfqovBz39uLzACsQiOg33zF1nJXEoOhkpsCkPMhq+JwZCOw0YsrI4E51BMEi1T9wNXj5EYO9UdEa1RoksopMTHBEGyaLTOKhjXjbsGwhhaxOd7QOa80HP10FPoij1Pa8/9cLTfhScHvYPMy/sn079Yy+NxEkYuRedkc4TUnQKrCdgdO5FJyMIIjatIDpta5oAwcnIL+D8KwtORgxEpO1QcDICsQhOw6as66wkDgUnIwU23UFGIwy9ga/tmxqysjgTnHE8yLSruDd4+RBBvVPBWd/mnhhvc9/lBUeEQbLgNA7qmJcN+wZC2NoEZ/uA5nzQ817PMD31wsO07wWR6EdJFPenp+FhP4uOsyhMYu8wPLztWnAKnSek4IyxnoDRuRecjCCI2AQVnP+iSunltka10VB9uFduZVQbPp+UAjTcEhv6TLPNCivgsCurS0YMRFiFq0tL9ZwRhUVX+tqAcJ0VxKGsZKTAJjXIYISpnxkPg2FkcSYrvUGmxbvBi4eI3J2qyrgWIZar31nBEeGPrCpNYzrmRcO+fxC0NlHZPp45H3QpKr2Tw+Tw6DToT4/8tB8dHp/005Mw7odHR4fR0bH8J7zqYXcoKrWVFykqLRcW6j0Bo3MvKhlBEKEJKirPnEVy4TgY+cfZ++WdgPSeTUZvCLg3VladjBiIsNuJ6mREYVGdhkObrrOSOJSdjBTYtAcYjTCNs0FkKp8zsjiTndEg0z5wN3jxELG9U9lZ3yacWC6IZgVHxD+y7DSN6ZgXDfv+QdDaZGf7eOZ80KXszKan02R6fNQPYi+S33ua9lM/CPthkEVBFEciTSpF5lB2mo4ptF/8pfEEjM697GQEQYQmqOxs1jKbdctA6MC2WcEEHGxlBcmIgYignShIRhQWBRmazoxjBHEoIBkpsAkMMBhBEhv3oDOSOJOP3iAw1cI58RAxulP5mNZyw3j/6i4vOCL4keWjaUzHvGjYtw+C1iYf28cz54Mu5WNymMXCC0/66ofJ703T/mFyGss/ekfT6TSOg+nJbdfyUTv8Uj5mWE/A6NzLR0YQRGgCy8fyJs1H5Vbz6mjj++UK5Vfy0/fLCzYfqZONf1aeUXxvqyf/xmfFr4vPi98VHxcfzVcz/xCGOmdsszpDwJ2xsuRkxEBEXbjklGP2pQ7lBVYUFsnpDUKhQ7nOiuJQdDJSYNMeYDjCIBhEQjsiQ1YWZ7JTCPPVKZx8iODeqe7Map1iuZ6TFRwRAcm60zioY1427BsIYWsTnu0DmvNBl8LTn2bHwVHs99Og7NcMRf/Qz9L+SZZ4/vHhcSKik9uuhad2qnw1SO1XyGg8AaNzLjw5QRCxCSo8z1zc91F5x8Y7sx/3in9avkDje/M7WQKhrn7wg/nHgTBsMdlm9YKAe2FVxcmJgYi3CMVpuvKCk4RFcPoDT+hQrrOiuBOcnBTYdAcYjixOBmGsHZEhK4szwWm+qo8VDxHTu9SbaX2vW2q5qo8VHBH/yHrTF4GcuGpXRca8dNhXEELXojgBQ5rzQc+3mR8mSZx5aX+anBz3o5PTk/7UP/H6fnTkHYeH0+NT//S2a8Xpa19rKTl9rCtgeO4lJyMIIjxBJefH6rKxueT8jdSe75ZXmz0tvpy9JdXmXfm7++VypvDUlWU64m1WYgEnXlleMmIgwitCXrbsLOcEcq0yGVEcqkxGCmyKAwyHXWUysjhTmZHxRHdWPEQY71Rl+rUksdwzxgqOCINklWka0zEvGvb9g6C1Scz28cz5oEuJeXIaxvFxfNj3fdW46cdH/enRkSgP3TyRnzuRMvW2c4mp3aMsJWaAdQUMz73EZARBxCaCxFT39T6RMvPN2TvlmZnqFuHn1F5ztbr5zex9qTcfFXe/3S45GT0g4B5YWXIyYiBibYeSkxGIRXJ6A31n8HVWFIeSk5ECm/IAwxGE3iDUj8iQlcWZ5AwGqUlycuIhwnqnkrO+dCa1XCLECo4Ig2TJaRrTMS8a9v2DoLVJzvbxzPmgS8l5eHh0Mj0Ns76IoqN+lKSn/Wnsye/1D9NjX8rTUFTvskvJqS30SckZYl0Bw3MvORlBELEJKjk/LLf/PC23k887OMtVzYfzM42k3ryrjtWc7zHvSYH6QfF58Yfid8Un8tenVXm9+GPxafFR8Zn8+Af1Pf9b/uHz3s2x8HvFBzovbbN6ScC9tLIsZcRAxGOELDW2dnKiMAlS7ez1OiuJQz3KSIHNh4DRyGSID3UkQ1YSZ2o0Tc1ylJMPEfI7laP1hTOp5QYhVnBE+CPLUeOgjnnZsO8fhK1Nj7YPaM4HPa+y+8e+fyyy/qE4VT2gR14/zaLTfnTk+bHnBYenUZUoXOpRbdCSejTCugKG516PMoIgghNUj35QLmxK6dkvtxU9LJ6WS5zxRqR9UbdZ+QScb2UlyYiBCKVwJWnel86JwqQkq0OFL0pJRhSHUpKRApvKAMMRZ94g04/IkJXFmZi0LG1y4iHCdadasr5HJrVcDMQKjgiAZC1pWdrkRMO+fxC0NinZPp45H7T833flX5Y//sp3bFLxP7/62vc1TiDJRMOu81RYGcUy4ys/+sEPdPrPYCpG+8WDUFoqpK2R/n6ia2Rrl6OGybFAgfdJ8Wxe4y7+1CuLpNWpl+qO8uLL4lnvzOmW5Ybyz4uPil/NFxrlpx+qHee94gNVHp+9NXu7vNT8afHlVk8tZc4vAZq9r/6+zgvbZC9EMC9UMvB7L70OecZ0Jj5PNlGgTASYp5pltnphb/Y/5uNVPBz0ij+oIbjS234hlH+4c2aoHl4YgZ78z0/VJfTlV/1y95XnycErPi5+Vfy2+Lwn/6OurVfnl2pcsUN2xXLAN7gCrnbNG5SIFi4LWYOFcBHrDzz9RpDrZBuXFarBxlXVKdG65cxnsA6qOhM/1i8oD8kWXtCTBhNRWvJCch6+sLO/P9qv0nM+2X1Oqqn42ypgKtNVit7ytFn6Bp0MmG0bsvzl18av6ELixVba0LCh6UW6tcCE21gLcbty3ubc5y9WbtZZfZNuNTDxdiHVFczG0IKxS8cAZs4Gw/ioGGxXZm+cHwgTxR6dQiApwM+R8uxmY9iSwSO6wcAUCJ7vAOJODow7YzoVMG3+sKOYc4tuKTB5/hD6nIwX8eaW5UXdp1uMSaikJ6aZQNpjTU5GCIAJ940V40w9ACaCAzoBMLG+gYoxyqObjVFLxk5oxpYi9ijyQ9/z+16QTfuRSKP+9Ogk6cfZ9NjzT48Pp1PXFZ1UL+LkZD3GQULpdBN6CxRmUq8DucYKglghhM737yxN8b8+O8F/VjySs8bi9+VxcP9P8f+Vs8vP6qaiL+qp4fzP9fRx9m5ka3dndI6AOwc+x9Zh7LBiIBZDu5gfM5KwFIN8Y1sRI4nDWhAjBXYtGjAaSZoMEtO0nBHFWSkoDbxBmukAb/ACIkJ9FzPMZp5ZX8eVWq5XYwVHxD/w5Ag+qmNeOOwrCIFrKwe1j2jOB61ai2z6sssykHZApbJMzGyZFyTLbGsuAxGtBa5GQWXhustARC9EMC90UgYimihQJgLMs5eBonNloPI+unKzqhyg5oi+3yuhP/uxGiJ1AvSj8lvv9q76ojc/lC9WHwJvqzf7SfkYvN3bv3oz8/xY55odsmuAa2JdyF6ihcD1LYycNZeFiDYCV7ZWFapE6zCrWBD/+Yn2IRySDVxjVSitV2cTe1WISgZMvh1XhajWAvMvtiqULKpCxqu/btKtBubhLjS7gtkYWjB26RjARLpKVSjZOD8QlqoQlUIgKcDPkfLsZmPYksEjusHADAie+ADiTg6MO2M6FTBrdlgVoloKzJ2YqlCyqAoZX9R9usWYfEp6Ypp5pD3W5GQE7qpQsnF+ACxVISoBMLGiq0LJZmPUkrETmrHzFJVM/TQ7kvP1Y68fHXpef+rLP2apF6RxmoSHWRX9jbN2y7IFbeZurApZrlDSQULp3FeFGEEQS4XQ6X97VejC1L4qC1k7BrdZ/SDgfoDPrnUYO6wYiAXQLmbCjCTLed9CgpkxmwpAjCQOC0CMFNjVZ8hoBFk4MM3AGVGcFYCSJB142g0GN3gBEVG9i8lkM6WsbzZMLTdVsoIj4h94HgQf1TEvHPYVhMC1FYDaRzTng3ZZADIeyZ5Z4dJluDVXgIjWAleeoBJw3RUgohcimBc6qQARTRQoEwHm2StAftLT6fknqo6jjo8q60A/Lb/0SP4d+SU5nHLI3iq/oTpZaln9y998of7KQFWP7hZflT/uzV553+jT8mLRh71YXzpadI7Jv/y78jvLv3S3/OFf6ny9Q/Y1cEGtCyFNtBC4OIYRyOaSEtFG4LLYqtKXaB1mCQzgv0DGZ52BQ7KB6yspZV69tJvZS0pUMmA677ikRLUWmNCxJaVsUVIy3sp4k241MLF3MQtQMBtDC8YuHQOYmVcpKWUb5wfCUlKiUggkBfg5Up7dbAxbMnhENxiYAcFTKUDcyYFxZ0ynAmbNDktKVEuBuRNTUsoWJSXji7pPtxiTT0lPTDMztceanIzAXVLKNs4PgKWkRCUAJlZ0SSnbbIxaMnZCM/aSlpR8w/mjV2VswlFC8ZzXlDhBEKuP0AUFtpoSpx8E3A/w+boOY4cVA7Gm2sFUmJPEbU2Jk8RdTYmTYlksWCjAE/BwYLqsjZPkUpSUWAERQb2LyWQ9pczqG2Qzy6XArOCI8AeeB8FHdcwLh30DIXAtJSXAiOZ80E5LSiYRabmNTsJly3DrLSlRrQWuPEEV4JpLSlQvRDAvdFFSopooUCYCzGspKQXyT5+sUECavdUrvpJ/95vyM6pgpO40eVA86cn/fGUsTs3e7amBLy/Z+1P51+RPvtcrnyT1DMm/rupI38gv35WP1uPq5z7cUjfzPRn0qttSvph/60N1KXR5lcrD4v7snfoqlfpZlIao38zmV69UP2v2vtpPVT556uv3yn9abaNSM5Rf9Kr7Wr6ZP6lqI9WTqiRW+kXdznJnS/3o5arX1vnSWQnw/6/u63Ykx9HsXmUwVwtn0RApkiJ91xjsLGx47XHGbEVIqBv9zhTcU7WorvWuF5irvfQb+GX8DPtGJiN/pkchkUdfNMVQAx0VlRlZec7REb+PPKL0Fqq978H68Ctdvr37+Sf+/f/86t//zeO87u5yaDyS/+c5+G/7M+Xfluz2t2S7gWuKv8RUgogQXB/cMkVYTdWoGMGVwXubfyK6LauAgH569TIxKsCMqZp4Xd22PJiqkZmBHc0vm6qR0YI9zcZUzfL3VM2uPhb4v9JRg73NLzER8mT+w38O0Ph7Og2wObkjVXPY//pArKdqZBZqIwvYR17Zp3dgM8D/nQ4YrIDwbBIYd07guPM7Oiuwav5yqRoZKVg7N6Rq7+PN/wicqM90xFvqKckx75Pz8FhzIlNInKq9jzNvB2A9VSMzAAvr1lTNeecd1AzsP9DAXid1Zqx6oycmq6pzL51l1qiJFa0SpivFVJn+hc/qUkhgLYi4HLKaqoltLFF6+6dqCYlsWIBF11T+7+1U+y+T59m0/K/n4L9a4v+bpPwVzh9fqlii8bdJaWxYTv4lpsAJmaRJ05Z4/F1SHjtmaQlZbF3JB45FYNqdkMhuUVqx0ln+l7T0Nozjv8T88X0W+fbQcht4CH1S4htGPnjqc3NzPqVWjurv0pLbevoh5GJBWvyIntKR9s9q+vPrf+4f+ePnYRi//MZ1UL+7NlBeDN31ouvago1yUkyaYmLGVBNrZVm0pZJ8GNpPf92DCjXTcfxxfFfnr2V8+Y3008NPi2u7KFu9vKHNN9e3emEsr63o/AyAyOGTIc+oWWbUJGI07wEgRvjkyBH64YdlRj/8kIDSzxq0dUv+NPbfP3/9EuZItyQvPtSlWvZl4BpLY/n6PUbmxoMobDSew92s4G6ouOf2gnBvtJfD/cMPK8Cd+QjIfzbtzOcivuwgHriwwhFav6Z4Fwstg27IoHfxzzJobywC6ofwznIzUfPAYpQjtL5ytot3lkE3ZNC7eGcZtDcVAbWHLXN7p1zxTqAPNVYUeb2zDLohg97FO8ugvakIqB9i3JEr3imDhHhe7yyDbsigd/HOMmhvKgLqhxh31IfaWbsW7s9yOdusfd4dICfy+kh9aByBxhFoVgg0ZAK7eEq5Plr4Zlr4dyscvPcIJK5rLC8k/PrZXz0dWswjnpVg7oUavFy4svryO65eH1r0H1eXXT76axICHG+ekP1+oMALS35GBbfZa0AK4D+T8cvN+HHkzwDyCxm52oKcPli9XpIBUKnJVObDVZzKVhP9HsDfkPGDV5JQhion6tMbsNuRiQLYI261GLnkFbNSV0zKoWSGt4JZ3o4tL5Ue7M2q0oZc+pcZuN6Gr5cnubiDFxzA9DYpUA0WT7Uo9ftPNx21a52M8tUiZpykHnXLpkFOTJreP/KGa1YaOwyFEO6fml+Pkc8iFWSRwD2El/XCNMhlkQqwSCrKL6NIO0yd/2zbccskFx1rZaeZlqrT3WQtr+TDWMRAFgncGHDllII0yGURA1gkFeWrRaa+11PV9cxUfc+k7TnrZNuzSbdCtF1nTGUexiIWskhwgX1JL0yDXBaxgEVSUZ7vbdx5YiSKKPePIrgmbvSc+54TIwD/mYxfbsaPI38GkF/IyOcnUbwbv8NEJ4BKTaayw8QIwN+Q8aecGIni6Q3YzcSIBPhoLY3gSL0SwWDmVgpUg0z1SvCoXetklA/X0ggBWSSYvyzphWmQyyICsEgqyleLjFM7iLKd2NR1A5OlEKzlXcWKvrSmF3Isy4dZXhElZJFgzLKkF6ZBLouUgEVSUT7cCpzr8BGLyK16YRrksogELJKK8vVaVc/7hXbuBEnEF88/+kO0roXIO1GK4z+T8cvN+HHkzwDyCxn5/KSKd+d3mOgEUKnJVPaYKMXxN2T8SSdK6ukN2O1EiQLYI+641KUuJTNicAOZHTTrVKmZ+1vfte5H2/Lm6pxs9QtKkLyHtkiBapCrfgEJUjLKLy0OF9YOqmetbg2TqjKu1vGR2bbX3SiFdX3zw1gESpBEOE5ZqveQBrksAiRIySgfb7kFSpBEOE6hrz1ksgiQICWjfLVILyY+8L5gvO8Fk93gxp6xUGyc+KhdF10a0T2MRaAESYTjlAW9MA1yWQRIkJJR9hOlDy8Xc+acIJXxRfSPZXBNOvC85R0mSAD+Mxm/3IwfR/4MIL+Qkc9PpnhXfoeJTgCVmkxlhwkSgL8h4085QSqLpzdgNxMkEmCPuCiF1GPPfWvsBjBhOetKXbC21FrpQtmys58epG6VUJJUBmOVpadmYhpkqlslkCQlo3y47reEkqQyGKss6YVpkMsiQJKUjPLhwsYSSpLK8IadBb0wDXJZBEiSklF+uVBXTdqWpWJVZziTfTmwzo0zbOoKPY7G/RZTPYxFoCSplFv1wjTIZREgSUpG+S93Pfnwfke2v/hgLga0zYqkxXXPW6lX2Ksg+7x7/FdAN2TQ81YWAg13sy9721ZA+/tGEFB72Dy3d6oV74TXsPPu8V8B3ZBB7+KdZdDeVATUHrbK7R3zoeaSf6hFqf2O2zUrBde6yyKvlcyHxnNoPIdmjUND5rCLs8wHv52W+y23joWPH1e9RuHxEOOUdV4rzYrDgkvlZd4bAzjkzRryhox8F19Z76sV6N52BOyP0C/J4kMtpfvfjV9KuP+V+9+9124o0+7ruvpQV+4zlfte5f5eOe8Z96dxf1r3p/VeLEr/4kdA7t9x/074d8K/K1duf1IGV+xLkdWpTpfG6dI4XRqnS+N0aZwujdOlcbo0TpfG6dI4XRqnS+N0aZwujdOlcbo01jvd6dJ4XRqvS+N1abwujdelWdOlIeuyx3kg/c0MnDDuxY+0Thr34u9toPxftR93tf+u0+eHHyr/4cp/pPJfq/w5ZPw7499Z/85ezysnlH+9jt38+p5f34vre3F9vyKXPzUJel0Fe9HLD+c5kx0ZX9T+KINrxGXWmycA+M9k/HIzfhz5M4D8QkautiCnj+KvKwAAlZpMZT7gxqlsNdHvAfwNGX/KZEcWT2/AbkYmEuBrh9mWYymUYqprNZN2rFjX9YaJyo68cwOibV/vCJ1/wU1CyY4Mxhy3UqAaZFpwk0Cyk4zyy5psWypdSMM6Mxkmq3FkZhCS9ZVuC8V5IYuHuWhFQsmODMYcS3phGuSyCJDsJKN8tcgg26q11cg415xJLQbWirZn5TiZ1rSj6R/n/hoSSnZkMOZY0gvTIJdFgGQnGeXMO+NlPLL4KGWIu8l6PROA/0zGLzfjx5E/A8gvZOTzkyjeat1hohNApSZT2aPrjeNvyPiTdr3y6Q3YbddLAfzS0rgKVhnFSqUqN3C5Rsj6l74veyVk0evWfnqUeqWgeqW2SYFqkKtexfcn1ckov+wJ6gqhBl6xUo6WSdVKZnrtfqCwohK81SWfHsYi0J4gqbfqhWmQyyLAnqBklI83d4b2BMlgULWkF6ZBLosAe4KSUc7d9cY3u3yUwSzJrF/1sUfXG8d/JuOXm/HjyJ8B5Bcy8vlJFG+17jDRCaBSk6ns0fXG8Tdk/Em7XvP0Buy266UAPly9gnafyWAgdysFqkGuegXsPktG+XBdryoQi6jw3dMW9MI0yGQRFU+v6mSUDzd3VlBipMK3WFvQC9Mgl0WAxCgZ5beb/bxu5Mh9xYOKRyMfVTgayXqzHwD/mYxfbsaPI38GkF/IyOcnVbz1usNEJ4BKTaayQxcM4G/I+FN2wUo8vQG76YJJgD3isqxMX3HFeNdzJotJMTMUlnHVWi7GQvZ2+PQo9QvKKlU4uFu4IQGmQa76BWSVySi/bHdWejLlJFjnChvjfJzcu866H7Ct7MtRl+Jh4mwF7UJTcqtemAa5LBJPs+pklDMv7Kl4NPJRqRB3s74lZ4+WJo7/TMaftqWJI7+Qkc9PongdvcNEJ4BKTaayR0sTx9+Q8SdtadTTG7DbloYC+HD1Csoqld4mBapBrnoFZJXJKB+v64WyShUO7hb0wjTIZREgq0xGOXdLE49pPqpg6mHX94Lu0dLE8Z/J+NO2NHHkFzLy+UkUr6N3mOgEUKnJVPZoaeL4GzL+pC2NeXoDdtvSUAAfrl5BWaUKBne3UqAa5KpXQFaZjPLhul4NZZU6GNwt6YVpkMkiGsgqk1HO3NLoeAj3UQdDOLt+G4IdWhoA/5mMP2lLAyC/kJHPT6J4Hb3DRCeASk2mskNLA+BvyPhTtjSaP70Bu2lpSIA94l6VbWlazkxXjkzqybLW8IHZfirGcuRDV3WfHqVeCaheBTO4WylQDXLVq3hOWiejfLiuV0PZpA4GdUt6YRrksgiQTSaj/HZtDX+tn7kvrtHxFO6jliExyqyXmAP4z2T8cjN+HPkzgPxCRj4/q+KF9Q4TnQAqNZnKHj1OHH9Dxp+0x5FPb8BuexwKYI94kmNntW5Z5/70k7OOmWLqWFEoN28zhlv1OkY9QAGDNlZqtU0KVINcBSwenNbJKL/cP3O01SiNYv04uWLXdZq5ifvIVDEOSgg9dYN+GItAYaXWW/XCNMhlESCsTEY597JNPIX7qIMpnBVz7ru2NHH8ZzL+tC1NHPmFjHx+EsXr6B0mOgFUajKVPVqaOP6GjD9pS1M9vQG7bWkogA9Xr6DH+ulwKHcjBapBrnoVD07rZJSP1/VCYaUOJ3cLemEa5LIIEFYmo/y+bPM6TPgymnPZporHch+rYCwns15tA+A/k/En7XEA5Bcy8vlZFS+sd5joBFCpyVR26HEA/A0Zf8oepyqe3oDd9DgkwB5x0fVDVfCetYPf3Fm20m/uHJkZ5cT7UllbPkw0VUF7eqtgSncrBapBpgJWxZPUOhnlzHPyKh7LfazCsVy5eqruUa/i+M9k/GnrVRz5hYx8fhLFB8k7THQCqNRkKnvUqzj+how/ab0ST2/AbusVBfDh6hWUk1fh0PhGClSDXPUKyMmTUX6fcD3ITSiqeET40T8ldV0MKVbP3T0KWBz/mYw/bQGLI7+Qkc/PqvioeYeJTgCVmkxljwIWx9+Q8SctYPLpDdhtAaMA9ohbW06trFpmKiOY5MqyVrsxrapaKW3bqaG6efZbtgIG5eSV2iYFqkGuAgbk5Mkov9yKzQ7lyHvOdCE5k9KMzJbGMturshorJTv5MHfrq6CcvNJb9cI0yGURICdPRvnPL6TVKLpRuW92PqNQghk5OGPZUnJheG/swzxQvYI29VbBlG5JL0yDXBaJJ6l1MsqvN3Tsx3YqLVNS9kxWZnIjTqHc2NOZgXftUKrHGUWg9LIKRnmLpxSkQS6LAOllMsq5V/bisdzHKhzLZX0eIYD/TMYvN+PHkT8DyC9k5POTKN6N32GiE0ClJlPZY2IUx9+Q8SedGNmnN2C3EyMK4KPVKwNt6jXhHa4Lj9XCNMhUr0w8OK2TUT5c12ugsNKEtxQu6IVpkMsiQFiZjPLh5s5GQBYJRyVLpxSkQS6LxOOsOhnll1GkG8pSu491/eTGmVa2rG1FwfpCi6kqTTH27cNYBIqQTDhPWTqlIA1yWQSIkJJRzjwxMvHF8o9GBrmrOfc9J0YA/jMZv9yMH0f+DCC/kJHPT6J4N36HiU4AlZpMZYeJEYC/IeNPOTEy8ukN2M3EiATYIzaFMq4RLphrk310IAv/dA7DpnZQpudWdcXj1CsoMTJqmxSoBrnqFZAYJaN8vK4XSoxMMD5Z0gvTIJdFgMQoGeXjzZ2hxMiE93Ut6IVpkMsiQGKUjPLxVuCgxMiEN38tnVKQBrksAiRGySi/X1tnX3jnvrbOxFfPP5rgYrTMGiEB+M9k/HIzfhz5M4D8QkY+P6vi7fkdJjoBVGoylT1mSnH8DRl/0pmSfXoDdjtTogD2iGUhhnbqRsa1q3NSFQPrRjkwzU0hx6kcSvsw19ZZKEKy4X1dC8tcmAaZCpgFIqRklF96nLHSXTUVbDDC9UOCl6wtOsUGOdiuMIab6XEsAkVINrz5a2mxHNIgl0WACCkZ5cPNlCwUIdlgnrKkF6ZBLosAEVIyyleL6MkUehoKNoliYrLX15tQW9aPoyx0ObWFrB7GIlCEZIN5ypJemAa5LAJESMkoZ46QbHz1/KOVIe4265NvAfxnMn65GT+O/BlAfiEjn59E8W78DhOdACo1mcoOEyMAf0PGn3JiZOXTG7CbiREJ8OHqFRQhWbVNClSDXPUKiJCSUT5e1wtFSDacpyzohWmQyyJAhJSM8vHmzlCEZMN5yoJemAa5LAJESMkoH28FDoqQbDhPWdAL0yCXRYAIKRnl3BOj+GL5Rxtce3ajylKL9WGniVEc/5mMX27GjyN/BpBfyMjnJ1G8G7/DRCeASk2mssfEKI6/IeNPOjGyT2/AbidGFMBHq1e8gCIj97FtYqAqZKpYjk/UsXU60ofrfHkBxUbuY1sVw1TIZhMgOEpH+nDLLLyAoiP3sa2KYSpkswkQHqUj/XYRlXi9kC73RVS8iAclzgPhpCRrWoAwONMZyM0McOzPCPYLHfv87Ip3Y3dY6YSQqelkdmiNEQYNnUHK5tihenqHdtMe0zBfQdu2s0VRMtXJkknbVsx0rV8j1FqYQsmhGj89TEWTWEWT28RAVchW0eJRV52O9NUm3PRVO5iJ8a7V7rOu8JlSuyZJCF65f4i3U/k4NoECJvexrYphKmSzCRAxpSN9tUkvbOm+3LHBlj2TUkhmRFGwkXfWdhXX1fhANoFCJvexrYphKmSzCRAzpSN9wGkUFDS5j21VDFMhm02AqCkdaT+N8sQ/5Z49xdMUd+jD93DLGikgDM50BnIzAxz7M4L9Qsc+P6ni7fodVjohZGo6mV1mT3EGDZ1B2tmTeXqHtjB7omC+LhvbQbWyNEy03DKpXZfUKd9Ca2mGgQ+D+wc+PUwhgx4P5z62TQxUhWyFLJ6H1elIX23iGqNpMFIyrSvFZOXvDT1UnKnCfbaddFGV8mFswrEQiod38SwohqmQyyYcCaGSkT7e7IljIRQP7+RZUAxTIZtNkBAqGenjzZ44FkLx8G4eeh6TyyZICJWMdObLsDiPL7O7Qx6+wdvNc+Z3nTUBDM50BnIzAxz7M4L9Qsc+P5nibfodVjohZGo6mT1mTQCDhs4g6ayJ+8yJr2VOJMzHK2BY5sTlNjFQFbIVMCRzSkb6gO0wljlxtVUxTIVsNkEyp2SkDzi5xjInHoxflhTDVMhmEyRzSkb6eEt1HMuceDB+WVIMUyGbTZDMKRnp7LOm+PK6O+ThrTt2zn7fWVOcwZnOQG5mgGN/RrBf6NjnJ1O8Tb/DSieETE0ns8usKc6goTNIO2vyWRNfy5pImI9XwLCsiQdjl1sxUBWyFTAka0pG+njtsMCyJhHe+7OgGKZCLpsIJGtKRvp4k2uBZU0ivPdnQTFMhWw2QbKmZKSPt1QnsKxJhPf+LCiGqZDNJkjWlIx07lmTiC+vu0MeWKq2RVHM2e86awIYnOkM5GYGOPZnBPuFjn1+MsXb9DusdELI1HQye8yaAAYNnUHSWZPwWZNYy5pImI9XwLCsyZ/TW8RAVchWwJCsKRnpA7bDWNbkD+U2xTAVstkEyZqSkT7g5BrLmkQgdllWDFMhm02QrCkZ6eMt1QksaxKB2GVZMUyFbDZBsqZkpLPPmuLL6+6QB5aqHXs+Z7/vrCnO4ExnIDczwLE/I9gvdOzzkynept9hpRNCpqaT2WXWFGfQ0BmknTX5rEmsZU0kzMcrYFjWJAKxy5IYqArZChiSNSUjfbx2uMSypjIQuywrhqmQyyYlkjUlI328yXWJZU1lIHZZVgxTIZtNkKwpGenjLdWVWNZUBmKXZcUwFbLZBMmakpHOPWsq48vr7pCHl6rFnP2usyaAwZnOQG5mgGN/RrBf6NjnJ1O8Tb/DSieETE0ns8esCWDQ0BkknTWVPmsq17ImEubjFTAsa/Jd3BYxUBWyFTAka0pG+oDtMJY1lWqrYpgK2WyCZE3JSB9wco1lTWU4dllQDFMhm02QrCkZ6eMt1ZVY1lSGY5cFxTAVstkEyZqSkfb30rta5Wa4mEvx09h///z1SwIlTv/w93/jKNo17sFNERLfwA8xwHtdD7tZg93QYc+7Wwg23OB61L6PXYbtv0PB7YG/PgMj+03ty/jatxtFAmvfxqqb8HbfiXicwZnOQG5mgGN/RrBf6NjVFuz0Eel9bI6TqelkdpmIxxk0dAZpJ+L26R3awjBFwexBq2roS1VWTIvC9U+9f+Ylb7lrp8wobdfqYbCfHqUnklguJYPbgW7FQFXI1RNJJJdKRvqlJ7pynxthrgVUm0lSvDRFUnxwL/pDLYRakyG4x0fhV09AXPAR6KU9cgQaT6BZI9DQCezSKDkC/lW71zUK/vsUDj9rmjI6rFzzVXBTkBKZfbUMu6HD3sdNy7CvPiPgvi4sf3qMtlvGl/xdoQosnzuWcvXo7NF2AwzOdAZyMwMc+zOC/ULHrrZgp49I7+U/Tqamk9mj7QYYNHQGSdtu6fMvuZZ/kTB70MbKSQlVsm4YWia5VswOUrN+mqpxqkQ5yMcJNiSWf0m5TQxUhWxtN5J/JSN9tUnLXa+lpGWa965Fl6ZineorNnXVUAzcKK0faHaG5V9SbVUMUyGbTZD8Kxnp9xXr/JOzyk/OrHtxDb57Kf2L8i/+G8p/Q/tvaP8Nrf2L/1rl53SV/1xl3IvxHzHSv/gfs4V/cd8VReFf/Dvu33H/ThRrcuug3Gou987deuVngda9OKUar1TjlWq8Uo1XqvFKNV6pxivVeKUar1TjlWq8Uo1XqvFKNV6pxivVeKUar1TjlWq8Uo1XqllTqqErtc8EobpON61/dVr51/L6qq6v1++q63f19bv6+l2tr6/Xr1fXCWt1/byTzb2a6yedcP71+i846fyr/4wXz79e3/Pre359vyLgdTJMUPC69PbpQaYq8cjNjdqByM2xzPvgJoDBmc5AbmaAY39GsF/o2NUW7PQK8F4L42RqOpldpipxBg2dQdqpSvX0Dm1hmKJg9qCrnhutipK5xrVgsheCWTkoVo1DW7lv2FE/0FTFYD1oMNW9FQNVIVsPGt+WV6cjnftacxlP9dwht+vsbVGUq+fsLgUszuBMZ5C4gMWxX+jY5ydTfMS8w0onhExNJ7NLAYszaOgM0hYwH3G/QlsoYBTMhytgCou4VXgX4o0YqAq5CphCIu5kpHMXMBXfUegOeXhHYd6wCGBwpjNIW8AA7Bc69vnJFB8x77DSCSFT08nsUcAABg2dQdICpvjTO7TbAkbCfLwCJrACFgj4l8RAVchWwJDdvslIZy9g8YDXHfLwZsH1peZdClicwZnOIHEBi2O/0LHPT6b4iHmHlU4ImZpOZpcCFmfQ0BmkLWD+age1drUDCfPxChh2tYOS28RAVchWwJCrHZKRzl7A4iG+O+QqyF6vnrO7FLA4gzOdQeICFsd+oWOfn0zxEfMOK50QMjWdzC4FLM6goTNIW8DU0zu0hQJGwXy8AoZtMFd6mxioCtkKGLLBPBnp7AUsnlu7Qx7IgB37vBdxAAzOdAaJC1gc+4WOfX4yxUfMO6x0QsjUdDK7FLA4g4bOIG0B8xdxqLWLOEiYj1fAsIs4VPiWvfTrGZbOuSj5X+C8Qy7iSEY6ewGL59bukIcz4PW7SOxSwOIMznQGiQtYHPuFjn1+MsVHzDusdELI1HQyuxSwOIOGziBtAfMXcbxCWyhgFMyHK2Aau4hDh69nWHg8O6ZCrgKmkYs4kpH2O2E88U+ZL6fX8fzaHfrwDvm8hQxgcKYzSFvIAOwXOvb5SRUfOe+w0gkhU9PJ7FHIAAYNnUHSQqb9xRx67WIOEmYPuuWyl6ovWdn6fX2WF8zowbBSD3LgU2e6cvr0MIVMYIUscF3DkhioCtkKGXIxRzLS1y2d7qdf70WZfX+YjufZzgKBbNhYnfcOcgCDM51B4oIWx36hY5+fXPER9A4rnRAyNZ3MLgUtzqChM0hb0PzFHXrt4g4SZg8au5/3oxQ07OIOLbeJgaqQraAhF3ckI/2y29koVRbTwIphdMVPWMG6vnIVcDJjN2gz9q16HJtgt7LQaqtimArZbBIP/ut0pHOvQOt4gOwOuV5nb4vCztnv2+fEGZzpDBL3OXHsFzr2+ckUL6x3WOmEkKnpZHbpc+IMGjqDtH2OfnqHttDnUDAfr4BhTw/Q4Tz5RgxUhWwFLB781+lIH7AdxpJ2HQ6dFxTDVMhmEyRpT0Y6e58TDxfdIQ8GdTzzek6cwZnOIHGfE8d+oWOfn0zxwnqHlU4ImZpOZpc+J86goTNI2+f4pP0V2kKfQ8F8uAJWYUl7FQydb8VAVchVwCokaU9G+njtcIU9qboK7tBeUgxTIZtN4ulrnY507j6niqd47pAHUjzHfv1xC3v0OQCDM51B2j4HwH6hY5+fTPHCeoeVTgiZmk5mjz4HYNDQGSTtcyrx9A7tts8hYT5eASuxAhbcoX0rBqpCtgIWT1vrdKQP2A5j8WYltyqGqZDNJki8mYx09j4nntq5Q66C7MWc/b59TpzBmc4gcZ8Tx36hY5+fTPHCeoeVTgiZmk5mlz4nzqChM0jb5/i966/QFvocCubjFTBs73qlt4mBqpCtgMXT1jod6QO2w1i8WQWTviXFMBWy2QSJN5ORzt7nxFM7d8iDqR3Pe5tvgMGZziBxnxPHfqFjn59M8cJ6h5VOCJmaTmaXPifOoKEzSNvnmKd3aAt9DgXz8QqYxQpYOMRbuOM1pkK2AhZPW+t0pI/XDhss3jThpG9BMUyFXDYxSLyZjHTuPsfEUzt3yMOpXd67wQMMznQGafscAPuFjn1+MsUL6x1WOiFkajqZPfocgEFDZ5C0zzF+A7FZ20BMwny8AiawAhYO8RZujI6pkK2AxdPWOh3p47XDBos3TTjpW1AMUyGbTZB4Mxnp7H1OPLVzh1wG2ed9aADA4ExnkLjPiWO/0LHPT6Z4Yb3DSieETE0ns0ufE2fQ0Bmk7XPk0zu0hT6Hgvl4BQzbMGzUNjFQFbIVsHjaWqcjfcB2GIs3jd6qGKZCNpsg8WYy0q83hvMNQdb76Jh4eucOfSC9M1bnvR4ZYHCmM0jc78SxX+jY5ydVvMDeYaUTQqamk9ml34kzaOgM0vY7/hbdr9AW+h0KZg/aFbhyLAY3fCnTMamHnrWjHZmVbSfHSU28558eppBhG4dN8JHjt2KgKmQrZPHUtU5H+oD9DhZzmkDit6wYpkI2myAxZzLSb/cPtC/Es98/0MbTvI/uQ0E18l63AzA40xmk7XsA7Bc69vnJFS+0d1jphJCp6WT26HsABg2dQdK+xxZP79Bu+x4S5mvfI2wpBO/YYMueSSkkM6Io2Mg7a7uK62p8nDu7W2wjsQ3eHfhWDFSFXAXNxlPYOh3pl75HDlXVjyXrXIPleiQlWFuOrluy7cA73Q5G9Y9jEyz2tIEEcFkxTIVsNkFiz2Skrzbp7KBaWRomWm7dZ83EOtUKZrQ0w8CHQSjzODbBYk8bvjXrgmKYCtlsgsSeyUi/3IVdi6ItyolVU+tbac5ZO00jk2oQUzsWvZq6x7EJtqvTyq2KYSpks0k8EqvTkc6djtt4tOIOuVpnbwue94nEAIMznYHczADH/oxgv9Cxz0+meJt+h5VOCJmaTmaXWVOcQUNnkHbW5Hd1vkJbmDVRMHvQVTGJQcmOtZ1STJaddN1RWbBWTWYyaqwK+0B9DhZ7Wr1NDFSFbAUMiT2TkT5gO4zt6rSBhGVZMUyFbDaJR2F1OtIHnFxj2ZMNbyRbUAxTIZtNkOwpGekDLtVh2ZMNxDDLimEqZLMJkj0lI5151uQQRdl/dB8Ksl9/8vcOsyaEwZnOQG5mgGN/RrBf6NjnJ1O8Tb/DSieETE0ns8OsCWHQ0BmknDU5VE/v0G5mTTTMRytgooCyJvexbWKgKmQqYI5P1LV1OtKHa4dFAWVN7mNbFcNUyGYTIGtKR/pwk2tRQFmT+9hWxTAVstkEyJrSkT5c1iQKKGtyH9uqGKZCNpsAWVM60n9+jEfXiyK+zO4OvVpXwVid9c4TCIMznYHczADH/oxgv9Cxz0+qeLt+h5VOCJmaTmaX2VOcQUNnkHb2pJ7eoS3MniiYPeiiUFYWcmBqcGMY5+PEbCGFvwi5lX056lI8UFsMZU7uY9vEQFXIVsiAzCkd6QO2xVDm5D62VTFMhWw2ATKndKQPuBYDZU7uY1sVw1TIZhMgc0pH+oBrMVDm5D62VTFMhWw2ATKndKRzZ048vsz+0X1onb2bO5o5+11nTQCDM52B3MwAx/6MYL/Qsc9PpnibfoeVTgiZmk5mj1kTwKChM0g6a+I+c+JrmRMJ8+EKGMcyJx6OX27EQFXIVcA4kjklI328dphjmRMPxy8LimEqZLMJkjklI328yTXHMicejl8WFMNUyGYTJHNKRvp4S3Ucy5y43KoYpkI2myCZUzLS2WdN8eV1d8hVkL2ds9931hRncKYzkJsZ4NifEewXOvb5yRRv0++w0gkhU9PJ7DJrijNo6AzSzpp81vQKbWHWRMF8vAKGZU08ELssiYGqkK2AIVlTMtIHbIexrImHt/osKIapkM0mSNaUjPQBJ9dY1sTDW30WFMNUyGYTJGtKRvqAS3VY1sQDscuyYpgK2WyCZE3JSOeeNYn48vpH96EQe1HM2e86awIYnOkM5GYGOPZnBPuFjn1+MsXb9DusdELI1HQye8yaAAYNnUHSWZPwWZNYy5pImA9XwASWNYlg7HIrBqpCrgImkKwpGenjtcMCy5pEMHZZUgxTIZtNkKwpGenjTa4FljWJYOyypBimQjabIFlTMtLHW6oTWNbkG8ltimEqZLMJkjUlI+33N12tclNV5lL8NPbfP3/9kkCJ0z/8/d84ivpDLUq+JoBaF8BYjT8hDKKBN7wee+OxN2vYGzr2eZ8LYYdbXQ/dd7T6g3tdAe+/T0Hv4dtXI33KvHVOxNfC3agSWAt3LPPeeARgcKYzkJsZ4NifEewXOna1BTt9hHofq+NkajqZXSbmcQYNnUHaibl+eoe2MExRMHvQSvG+U65QtnKamBxlzzrTG6bG0Y5tK4wRD/NwHyGwnEqEtwctbIfGVMjWIyE5VTLSV5vIsdBVVyjWDsXApDKK2c5N4rth6qw2RVn04nFsguVUIrw9aEExTIVsNkFyqmSkX9dvJj7wvmC87wWT3eAm8aP70XHio7ZSl0Z0j2MTLKcSgchmWTFMhWw2QXKqZKSvNuGtHUSvOTOidCOPKBXruDVstFXBh26olBwfxiZlAdmkDD9mZkExTIVcNinjGUadjnTuOLOMr4W7Qx5eC8/6SFSEwZnOQG5mgGN/RrBf6NjnJ1O8Tb/DSieETE0ns8esCWDQ0BkknTWV/Okd2u2siYT5Clp0apxcw1xorfzyomHGPyazKFShtDHcqsdph0sspyrDkc3CYx8xFbIVMCSnSkb6eLOmEsupynBks6AYpkI2myA5VTLSx5s1lVhOVcqtimEqZLMJklMlI328pbpSYTZRWxXDVMhmk/h+mTod6Zc48yHyzLL6UAsp1xQIL1fjd4qAaOAd70ue6bA3a9gbOvZd8kyH3b2ugPffp6C/rtlkd5TxjlpLyMvw8je+iw6isdlRxjtqLSEnY9/HUebqqNWEnITew39VPvdj4B3B6JjtClVw3bzKvNYTZ3CmM5CbGeDYnxHsFzp2tQU7fYR6L/9xMjWdzC5rPXEGDZ1B2rUe8/QObWGYomC+zs7UONjCWNaN/ql2nZ/wD13JikkY3Yqh69pXlz1C241lWmUw3rkVA1UhW9uNZFrJSL9Us8kUehoKNonC31FdW3+xoWX9OMpCl1NbyOphbCKxTEsG450lxTAVctlEIplWMtJ/frmZvi+nWfsdGV/Od4c+sDTuVBBzFXbtdwAGZzqDtP0OgP1Cxz4/qeIF9g4rnRAyNZ3MHv0OwKChM0ja70ifbcm1bIuE+XD9jsSyLRmIeZbEQFXIVsiQbCsZ6QP2O1i2JQMxz7JimArZbIJkW8lIv2+uuck451JA61YkJV6WDqXyS4d+/VBx/7K2LC1lUIpyLsW+i4iOReNZNJ5Fs8aiobPYZTnRsfCv10VFx8O/ri5Wk5j8LP7wxsvbasfjIDfqqCDL9Q1Su7TacQZnOgO5mQGO/RnBfqFjV1uw00ew97E8Tqamk9ml1Y4zaOgM0rba/l6Cr9AWhikKZg9aGaXKYhpYMYyu3xJWsK6vCmYmM3aDNmP/SK02di9BqbeJgaqQrYeKbxmr05E+YKuN7dGSwdRwSTFMhWw2QfZoJSOd+3J5GU+N3CEP3iJPiDn7ffucOIMznUHiPieO/ULHPj+Z4oX1DiudEDI1ncwufU6cQUNnkLbP8RGqXItQSZiPV8CwCFUG0sQlMVAVshUwJEJNRvp47bDCIlQVvmPegmKYCrlsopAINRnp3H2OiqdF7pCHdxWtr7/t0ecADM50Bmn7HAD7hY59fjLFC+sdVjohZGo6mT36HIBBQ2eQtM9RPjpVa9EpCfPxChgWnapAirgkBqpCtgKGRKfJSB+vHVZYdKrCO+QW</t>
  </si>
  <si>
    <t>FMNUyGYTJDpNRjp7nxPf7eYOuQyyv3lu8r59TpzBmc4gcZ8Tx36hY5+fTPHCeoeVTgiZmk5mlz4nzqChM0jb58ind2gLfQ4F8/EKGLYTValtYqAqZCtg8bS1Tkf6gO0wFm8qvVUxTIVsNkHizWSk/7JhWc6NMNcCuhiJJMXLNWLKXx6mhX+R/sXfj1lfv2bdS+WvGzP+MjLjNzYb/zW7thdVhWM+PZdr38vIlL+CzBFtPNHGE2080cYTbTzRxhNtPNHGE23WiDZ0ovOiBxGF697rlWbqeo2ZY+pf5fX1erNn/fJ161+r6xVo5npNmrlunTbXr69Q9v8qhbMn/bqBOvt2VxWPp9wwF94tt77JfZfePs7gTGcgNzPAsT8j2C907GoLdvqI+V484mRqOpldevs4g4bOIG1v77NatZbVkjB70NMwmb5oDXMjnWCupzPMtq1lY2XNNNjJdNP06WGaNiyrVYHYckkMVIVsTRuS1SYj/XJNfy8r1ZcVa9Wk3Wddq2dMZ5gue+k+2VfGh4APYhONZbU6vPNzQTFMhVw20UhWm4z01SaDrloje8OGUrjPcl4y9w+3bKrUNLW8G3n3OCsFGnvumw7vrFtQDFMhm03iOV6djvTrrujsWzV0PBdyhz6QCzkV1u/Us0dbDDA40xnIzQxw7M8I9gsd+/ykivdhd1jphJCp6WT2aIsBBg2dQdK2WIund2i3bTEJ83X2XnRuLOsEG6XsmRwqN5q1YmL9oPRU9LqfygcqZFhmq8M7PxceRo2pkK2QIZltMtK5M1sdj6ncIZfr7G0h8u41BBic6QwSF7A49gsd+/xkio+Yd1jphJCp6WR2KWBxBg2dQdoC5jPbV2gLBYyC+XgFDMtstdomBqpCtgKGZLbJSGcvYPEo0h1yHWS/HjntUsDiDM50BokLWBz7hY59fjLFR8w7rHRCyNR0MrsUsDiDhs4gbQHzT6p8hbZQwCiYj1fAsF3QOhAmL4mBqpCtgCG7oJORvl5N8uHT2/2GciXtK4c6GMiZvDeQ1vEY9ExnkLhwxbFf6NjnJ1F8pPylLFPTQe9SoOKyN3QGaQuUT871WnJOwvw68rw6PdfI85dWOh4QuxEpGBCbvPsUAQZnOoPEI1Ic+4WOXW3BTh6R/lLS42RqOpldRqo4g4bOIO1IZZ/eoS2MVBTMHvRU2lZZYVjJ+eSfYTcyawvJBq41b/ui6+zNA4SytdIVdvFGFbyO4VYMVIVcrXSFXLyRjPSjpPJV/NoEd+iD1yaYvBvRAAZnOoO0hQzAfqFjn59U8ZHzDiudEDI1ncwehQxg0NAZJC1kld9wX61tuCdhvvbbuu9l21mmykIzKbuCdYUYWFX2rZBDL5XuPj1MIRNYIQteonArBqpCtkIWv5akTkf65SrE0uq+lCWTxdgzWRYj67TirJ/MaFpeTKKSj2MT7OKNKngdw5JimArZbIJcvJGM9Mtdo2Unx6EfmSq8pTTXrBvFxOwgq8p7qrDt49gEew6vZ7dNMUyFbDaJB/t1OtIvo8kopeFFwdqinJgUU8c6W5RsavlQGKnGUj6QTbAkvVJbFcNUyGYTJElPRvqlNynNVJSdYYWQislKatZOZcesHKwsK1105QP1Jtju50pvVQxTIZtN4ilrnY701SbF2FVdPwnW9tz4J4CPzIylZmXfd7If3K8oHmgtBos1q0DCt6wYpkI2myCxZjLSV5vYdmqrduiZ0IV0n50MM1yUrBRWCqmlMpV4HJsYzCbhpGVBMUyFbDaJR2J1OtJXm1Sd1aooXR/j/jH3WWNYV03a/bXo27bVWrTj49gE271ZhZe5FxTDVMhmk3geUacj/XItTWsH0WvOjLj2MaViHbeGjbYq+NANlZKPYxODBQAmvBa+oBimQi6bGCQASEb6ZabTVZW2hWFtNQ5MjtPIWj4WjMu+GMquHSY+PY5NsN2bZuNaI6pCNpvEF4XrdKSvNhmnUutBd4xz38dw3buOplfX1ZbRfW004nFaWIOtwprNC5KYCtlsgqzCJiN9tUnX9aObBlmmrlfxVWZirS7cZ3lnBu4sVT7QLQMMtgprNi9IYipkswmyCpuM9EvR4QPng7KsU5PvY/qCGSv9veYKrotCdNMD3VzQYKuwRm5VDFMhm02QVdhkpP/8IA9SN/FFRnfoVVCFvDsuAQZnOgO5mQGO/RnBfqFjn59U8TT8DiudEDI1nYzeTGarlX6PMGjoDJJenGD80x1fod1enEDCfF2L6SUvecFZIWzLpDLS9UZjxbRth4JPQ9e2D1TIsADAhNfCFzYfYipkK2RIAJCMdO4dlya+ru0OeWBd2xaiWj1ndylgcQZnOoPEBSyO/ULHPj+Z4iPmHVY6IWRqOpldClicQUNnkLaAVU/v0BYKGAXzdZW4rFpurJ/SD4Vrx33uzd1frSncmGiqsrOvZ8gjFDAsczLhZxjeiIGqkK2AIZlTMtLZC1g8SnGHPBClOPZ572UMMDjTGSQuYHHsFzr2+ckUHzHvsNIJIVPTyexSwOIMGjqDtAXM73N6hbZQwCiYD1fALBZz2vCzNRduxImpkKuAWSTmTEY6dwGz8fTOHfLw8wjz3nUUYHCmM0hbwADsFzr2+ckUHzHvsNIJIVPTyexRwAAGDZ1B0gJm/f4mu7a/iYTZg1ZmrHqjJyarqnMvnXUDmJpY0SphulJMlek/PUwBE1gBC4TMS2KgKmQrYEiynoz0n1+eoPTy368//Ow3//o//fq33H3lr37ni7c+/OyXvX3lp+//+8fxJ6fer6evX777P/uvP3795t+03/7Q+X/tt+K3SprKKf3rL+2f/C/4/ec/jT/96r+N//yr569/ar+43/bT53913+Diw6//6cswfvvx8xf/uS9f3R/ux9ofP//hixfY/7N//Prt87+639X+6D7x4zh9dz/+v8Zv3z/316/07mPjN/e1f/7W/uPvx39xP/P92z+N7l/pHMXx2xVr9/X7969/ennnv3jyLN5+4YcFCsX1P6fbh18Pn9s/fP3ifxflp6+AST/57fMf/kj80e9f/5Hyg+4np88/Xon6P72n3Qd++vqjO/zeC8NvVn/WG6P99v32A29e8Gb4pz9147fffv3mbPZiIP/uN18H/1v+bvwyfnMiu8/947ev318e9OQ/9ePX/n+Ozn5vXx49lpeT0n3x85c/ulPyuwf//wEV/+Zv</t>
  </si>
  <si>
    <t>object_element_guid</t>
  </si>
  <si>
    <t>id</t>
  </si>
  <si>
    <t>zeroParent_id</t>
  </si>
  <si>
    <t>material_guid</t>
  </si>
  <si>
    <t>work_guid</t>
  </si>
  <si>
    <t>hwd_guid</t>
  </si>
  <si>
    <t>cost_item_guid</t>
  </si>
  <si>
    <t>Номер п/п</t>
  </si>
  <si>
    <t>Код узла ИСР</t>
  </si>
  <si>
    <t>Наименование затрат</t>
  </si>
  <si>
    <t>Комментарий по ИСР</t>
  </si>
  <si>
    <t>Комментарий подрядчика</t>
  </si>
  <si>
    <t>Ед. изм.</t>
  </si>
  <si>
    <t>Коэф.расхода</t>
  </si>
  <si>
    <t>Кол-во БО</t>
  </si>
  <si>
    <t>Общее кол-во</t>
  </si>
  <si>
    <t>Цена, руб.с НДС 20%</t>
  </si>
  <si>
    <t>Материалы/
оборудование</t>
  </si>
  <si>
    <t>СМР, ПНР</t>
  </si>
  <si>
    <t>Стоимость, рубс НДС 20%</t>
  </si>
  <si>
    <t>Общая стоимость,
руб.с НДС 20%</t>
  </si>
  <si>
    <t>1. Встроенное и Встроенно-пристроенное СКБ</t>
  </si>
  <si>
    <t>6bc2bba0-e4f5-480f-887f-a430a3541dda</t>
  </si>
  <si>
    <t>1.1</t>
  </si>
  <si>
    <t>6</t>
  </si>
  <si>
    <t>Затраты на строительство</t>
  </si>
  <si>
    <t>1.1.1</t>
  </si>
  <si>
    <t>6.2</t>
  </si>
  <si>
    <t>СМР корпуса без отделки</t>
  </si>
  <si>
    <t>1.1.1.1</t>
  </si>
  <si>
    <t>6.2.2</t>
  </si>
  <si>
    <t>СМР надземной части корпуса (без отделки)</t>
  </si>
  <si>
    <t>1.1.1.1.1</t>
  </si>
  <si>
    <t>6.2.2.4</t>
  </si>
  <si>
    <t>Внутренние стены и перегородки</t>
  </si>
  <si>
    <t>1.1.1.1.1.1</t>
  </si>
  <si>
    <t>6.2.2.4.2</t>
  </si>
  <si>
    <t>Устройство перегородок</t>
  </si>
  <si>
    <t>1.1.1.1.1.1.1</t>
  </si>
  <si>
    <t>6.2.2.4.2.4</t>
  </si>
  <si>
    <t>Устройство перегородок и зашивка коммуникаций ГКЛ</t>
  </si>
  <si>
    <t>1.1.1.1.1.1.1.1</t>
  </si>
  <si>
    <t>6.2.2.4.2.4.1.3</t>
  </si>
  <si>
    <t>Устройство перегородок на металлическом каркасе по системе Knauf / С-115.1 / А2-16</t>
  </si>
  <si>
    <t>1, 2, 3 этажи. Тип: WD8. Перегородка ГKЛ тип С112 по серии Knauf толщиной 75мм. Двуслойная обшивка из КНАУФ-листов ГСП-А 12.5мм с одной стороны на одинарном металлическом каркасе из профиля ПН 50х40/ПС 50х50 Knauf.</t>
  </si>
  <si>
    <t>м2</t>
  </si>
  <si>
    <t>09081587-04d0-4a7e-b27a-26e6c1596cec</t>
  </si>
  <si>
    <t>5f0da678-df96-489e-bd05-e5f79b4d6b88</t>
  </si>
  <si>
    <t>0ed13e26-7903-4b3b-80e2-92ed86dbdc43</t>
  </si>
  <si>
    <t>1.1.1.1.1.1.1.1.1</t>
  </si>
  <si>
    <t>Прочие материалы для перегородок из ГКЛ (лента, шпатлевка, грунтовка, шуруп, дюбель и пр.) / двойной каркас / 2 слоя облицовки</t>
  </si>
  <si>
    <t>комплект</t>
  </si>
  <si>
    <t>282588924.1521788</t>
  </si>
  <si>
    <t>20344603.1521788</t>
  </si>
  <si>
    <t>a62e1417-9467-44d3-81a2-91aea1356d96</t>
  </si>
  <si>
    <t>1.1.1.1.1.1.1.1.2</t>
  </si>
  <si>
    <t>Лист гипсокартонный_ / ГСП-А ПЛУК / 12,5 мм</t>
  </si>
  <si>
    <t>282588924.1521728</t>
  </si>
  <si>
    <t>20344603.1521728</t>
  </si>
  <si>
    <t>8ef46e6a-fd4f-48c4-ac16-389dd02262ec</t>
  </si>
  <si>
    <t>1.1.1.1.1.1.1.1.3</t>
  </si>
  <si>
    <t>Профиль_/стоечный/50*50*0,60/3м</t>
  </si>
  <si>
    <t>пог. м</t>
  </si>
  <si>
    <t>282588924.54565</t>
  </si>
  <si>
    <t>20344603.54565</t>
  </si>
  <si>
    <t>aadfbe6a-ab19-412b-a4b6-645b6bf99174</t>
  </si>
  <si>
    <t>1.1.1.1.1.1.1.1.4</t>
  </si>
  <si>
    <t>Профиль_/направляющий/50*40*0,60/3м</t>
  </si>
  <si>
    <t>282588924.54570</t>
  </si>
  <si>
    <t>20344603.54570</t>
  </si>
  <si>
    <t>fcc6f7bc-87cc-49c1-b4ac-f6a22abb8878</t>
  </si>
  <si>
    <t>1.1.1.1.1.1.1.2</t>
  </si>
  <si>
    <t xml:space="preserve">1, 2, 3 этажи. Тип: WD10. Перегородка с однослойными обшивками из КНАУФ-листов на одинарном металлическом каркасе С111 (Профиль ПС 50х50 мм., плита КНАУФ-Файерборд с обеих сторон толщиной 12,5 мм.) Минераловатный утеплитель, толщ. 50мм.
</t>
  </si>
  <si>
    <t>1.1.1.1.1.1.1.2.1</t>
  </si>
  <si>
    <t>282588986.54565</t>
  </si>
  <si>
    <t>20839230.54565</t>
  </si>
  <si>
    <t>1.1.1.1.1.1.1.2.2</t>
  </si>
  <si>
    <t>282588986.54570</t>
  </si>
  <si>
    <t>20839230.54570</t>
  </si>
  <si>
    <t>1.1.1.1.1.1.1.2.3</t>
  </si>
  <si>
    <t>Гипсовые строительные плиты_ / влагостойкий / 12,5*1200*2500</t>
  </si>
  <si>
    <t>Плита КНАУФ-Файерборд</t>
  </si>
  <si>
    <t>282588986.54553</t>
  </si>
  <si>
    <t>20839230.54553</t>
  </si>
  <si>
    <t>efad23af-fbbd-4322-a1b7-0c398c24e336</t>
  </si>
  <si>
    <t>1.1.1.1.1.1.1.2.4</t>
  </si>
  <si>
    <t>282588986.1521788</t>
  </si>
  <si>
    <t>20839230.1521788</t>
  </si>
  <si>
    <t>1.1.1.1.1.1.1.3</t>
  </si>
  <si>
    <t>6.2.2.4.2.4.2.3</t>
  </si>
  <si>
    <t>Облицовка стен по системе Knauf / С-625 / в 1 слой / А-13, А-23</t>
  </si>
  <si>
    <t>Выгружается из БО по объектам BIM-КЦ</t>
  </si>
  <si>
    <t>1, 2, 3 этажи. Тип: WD11 Однослойная облицовка из гипсокартона на КНАУФ-профиле, отнесенном от базовой стены С 625(Профиль ПС 50х50 мм., плита КНАУФ-ГКЛ с одной стороны толщиной 12,5 мм)</t>
  </si>
  <si>
    <t>834d4ba1-3405-4dac-a941-111c00f37ea2</t>
  </si>
  <si>
    <t>c67aa5d8-bca5-4d0b-9a75-8aee0e2c4115</t>
  </si>
  <si>
    <t>1.1.1.1.1.1.1.3.1</t>
  </si>
  <si>
    <t>Прочие материалы для облицовки стен из ГКЛ (лента, шпатлевка, грунтовка, шуруп, дюбель и пр.)_ / 1 слой ГКЛ / профиль ПН/ПС 75 мм</t>
  </si>
  <si>
    <t>282588926.1277440</t>
  </si>
  <si>
    <t>21096611.1277440</t>
  </si>
  <si>
    <t>b1463634-82d7-49d6-b536-2d7cba892a32</t>
  </si>
  <si>
    <t>1.1.1.1.1.1.1.3.2</t>
  </si>
  <si>
    <t>Лист гипсокартонный_ / ГСП-Н2 ПЛУК / 12,5 мм</t>
  </si>
  <si>
    <t>282588926.1521731</t>
  </si>
  <si>
    <t>21096611.1521731</t>
  </si>
  <si>
    <t>a1299d5c-a6a8-4578-811e-9ac6be42922a</t>
  </si>
  <si>
    <t>1.1.1.1.1.1.1.3.3</t>
  </si>
  <si>
    <t>282588926.54565</t>
  </si>
  <si>
    <t>21096611.54565</t>
  </si>
  <si>
    <t>1.1.1.1.1.1.1.3.4</t>
  </si>
  <si>
    <t>Профиль_/направляющий/50*50*0,40/3м</t>
  </si>
  <si>
    <t>282588926.54566</t>
  </si>
  <si>
    <t>21096611.54566</t>
  </si>
  <si>
    <t>c2f1d1c0-1cc2-4bd4-8e05-ef1e6946382b</t>
  </si>
  <si>
    <t>1.1.1.1.1.1.1.4</t>
  </si>
  <si>
    <t>6.2.2.4.2.4.2.4</t>
  </si>
  <si>
    <t>Облицовка стен по системе Knauf / С-626 / в 2 слоя / А-10, А-27</t>
  </si>
  <si>
    <t>1, 2, 3 этажи. Тип: WD2 Зашивка приборов отопления ГВЛВ. Двуслойная обшивка из КНАУФ-листов 12.5мм с одной стороны на одинарном металлическом каркасе.</t>
  </si>
  <si>
    <t>b14f4e38-3585-4dc2-957c-30490faf4592</t>
  </si>
  <si>
    <t>efdd910f-d4d5-47d8-bf4c-279f25591fc4</t>
  </si>
  <si>
    <t>1.1.1.1.1.1.1.4.1</t>
  </si>
  <si>
    <t>Прочие материалы для облицовки стен из ГКЛ (лента, шпатлевка, грунтовка, шуруп, дюбель и пр.)_ / 2 слоя ГКЛ / профиль ПН/ПС 75 мм</t>
  </si>
  <si>
    <t>282588927.1571304</t>
  </si>
  <si>
    <t>21096613.1571304</t>
  </si>
  <si>
    <t>03246ec1-2d72-4291-b360-a366560593b9</t>
  </si>
  <si>
    <t>1.1.1.1.1.1.1.4.2</t>
  </si>
  <si>
    <t>282588927.54565</t>
  </si>
  <si>
    <t>21096613.54565</t>
  </si>
  <si>
    <t>1.1.1.1.1.1.1.4.3</t>
  </si>
  <si>
    <t>282588927.54570</t>
  </si>
  <si>
    <t>21096613.54570</t>
  </si>
  <si>
    <t>1.1.1.1.1.1.1.4.4</t>
  </si>
  <si>
    <t>282588927.1521716</t>
  </si>
  <si>
    <t>21096613.1521716</t>
  </si>
  <si>
    <t>85f69335-7b81-4c3d-b059-fb06ee828287</t>
  </si>
  <si>
    <t>1.1.2</t>
  </si>
  <si>
    <t>6.3</t>
  </si>
  <si>
    <t>Отделка, столярные работы, мебель и оборудование</t>
  </si>
  <si>
    <t>1.1.2.1</t>
  </si>
  <si>
    <t>6.3.1</t>
  </si>
  <si>
    <t>Отделка нежилых помещений</t>
  </si>
  <si>
    <t>1.1.2.1.1</t>
  </si>
  <si>
    <t>6.3.1.5</t>
  </si>
  <si>
    <t>Отделка СКБ</t>
  </si>
  <si>
    <t>1.1.2.1.1.1</t>
  </si>
  <si>
    <t>6.3.1.5.1</t>
  </si>
  <si>
    <t>Полы</t>
  </si>
  <si>
    <t>1.1.2.1.1.1.1</t>
  </si>
  <si>
    <t>6.3.1.5.1.3</t>
  </si>
  <si>
    <t>Устройство покрытия полов</t>
  </si>
  <si>
    <t>1.1.2.1.1.1.1.1</t>
  </si>
  <si>
    <t>6.3.1.5.1.3.2.1</t>
  </si>
  <si>
    <t>Устройство покрытия пола из линолеума</t>
  </si>
  <si>
    <t>Включая защиту ДВП</t>
  </si>
  <si>
    <t>1, 2, 3 этажи. Тип: Л-4</t>
  </si>
  <si>
    <t>51b31787-2db2-4031-aade-329f900ef9b7</t>
  </si>
  <si>
    <t>b58ad002-5dea-4a06-b953-f640911ed5b2</t>
  </si>
  <si>
    <t>8a7cac49-151b-40fd-a08b-5e72f8ff4034</t>
  </si>
  <si>
    <t>1.1.2.1.1.1.1.1.1</t>
  </si>
  <si>
    <t>Клей для линолеума</t>
  </si>
  <si>
    <t>кг</t>
  </si>
  <si>
    <t>282588934.702694</t>
  </si>
  <si>
    <t>20297393.702694</t>
  </si>
  <si>
    <t>1a3e3255-5ba6-49e7-bbc8-279e1b1289a0</t>
  </si>
  <si>
    <t>1.1.2.1.1.1.1.1.2</t>
  </si>
  <si>
    <t>Сварочный шнур для линолеума (для объектов СКБ)_ / Tarkett / Сварочный шнур для спортивного линолеума "цветной" для школы / 94853 или 94854</t>
  </si>
  <si>
    <t>282588934.765921</t>
  </si>
  <si>
    <t>20297393.765921</t>
  </si>
  <si>
    <t>8a356048-b8f8-47ee-8d24-c76a0511040b</t>
  </si>
  <si>
    <t>1.1.2.1.1.1.1.1.3</t>
  </si>
  <si>
    <t>Линолеум (для объектов СКБ)_ / 4 мм  / Желтый / Omnisports ACTION R40 YELLOW / Tarkett / - / Спортивный линолеум для детского сада</t>
  </si>
  <si>
    <t>Линолеум Таркетт OMNISPORTS SKY BLUE 40, толщина 4,0мм</t>
  </si>
  <si>
    <t>282588934.1757615</t>
  </si>
  <si>
    <t>20297393.1757615</t>
  </si>
  <si>
    <t>d4a7a97e-1161-462d-a2ac-3ef8a8ae8cec</t>
  </si>
  <si>
    <t>1.1.2.1.1.1.1.2</t>
  </si>
  <si>
    <t>1, 2, 3 этажи. Тип: Л-1</t>
  </si>
  <si>
    <t>1.1.2.1.1.1.1.2.1</t>
  </si>
  <si>
    <t>Линолеум (для объектов СКБ)_ / 4 мм  / серый / Omnisports ACTION R40 GREY / Tarkett / - / Спортивный линолеум для школы</t>
  </si>
  <si>
    <t>282588987.1757616</t>
  </si>
  <si>
    <t>20297494.1757616</t>
  </si>
  <si>
    <t>8a051785-3557-4655-9655-cc3c5240c6a9</t>
  </si>
  <si>
    <t>1.1.2.1.1.1.1.2.2</t>
  </si>
  <si>
    <t>Сварочный шнур для линолеума (для объектов СКБ)_ / Tarkett  / Сварочный шнур для линолеума ПВХ светло - серого для детского сада / 91811</t>
  </si>
  <si>
    <t>282588987.1757617</t>
  </si>
  <si>
    <t>20297494.1757617</t>
  </si>
  <si>
    <t>bb025d17-34e9-45a4-8c65-9092721a631f</t>
  </si>
  <si>
    <t>1.1.2.1.1.1.1.2.3</t>
  </si>
  <si>
    <t>282588987.702694</t>
  </si>
  <si>
    <t>20297494.702694</t>
  </si>
  <si>
    <t>1.1.2.1.1.1.1.3</t>
  </si>
  <si>
    <t>1, 2, 3 этажи. Тип: Л-7</t>
  </si>
  <si>
    <t>1.1.2.1.1.1.1.3.1</t>
  </si>
  <si>
    <t>282588988.702694</t>
  </si>
  <si>
    <t>20297502.702694</t>
  </si>
  <si>
    <t>1.1.2.1.1.1.1.3.2</t>
  </si>
  <si>
    <t>282588988.1757617</t>
  </si>
  <si>
    <t>20297502.1757617</t>
  </si>
  <si>
    <t>1.1.2.1.1.1.1.3.3</t>
  </si>
  <si>
    <t>282588988.1757616</t>
  </si>
  <si>
    <t>20297502.1757616</t>
  </si>
  <si>
    <t>1.1.2.1.1.1.1.4</t>
  </si>
  <si>
    <t>6.3.1.5.1.3.8.1</t>
  </si>
  <si>
    <t>Установка стыковочных профилей</t>
  </si>
  <si>
    <t>1, 2, 3 этажи. Тип: SB02. Профиль Гидроконтур для деформационных швов напольный</t>
  </si>
  <si>
    <t>76703cd4-c8ff-4e22-abbd-2d5e394281cf</t>
  </si>
  <si>
    <t>d8cca10c-4815-473b-a7ff-575551ece3f3</t>
  </si>
  <si>
    <t>1.1.2.1.1.1.1.4.1</t>
  </si>
  <si>
    <t>Жидкие гвозди универсальные_/</t>
  </si>
  <si>
    <t>шт</t>
  </si>
  <si>
    <t>282588936.54854</t>
  </si>
  <si>
    <t>20298510.54854</t>
  </si>
  <si>
    <t>3378c715-1bc1-40f5-8d09-15a912e04c9d</t>
  </si>
  <si>
    <t>1.1.2.1.1.1.1.4.2</t>
  </si>
  <si>
    <t>Профиль для деформационных швов / Гидроконтур ПСН-100</t>
  </si>
  <si>
    <t>282588936.2809864</t>
  </si>
  <si>
    <t>20298510.2809864</t>
  </si>
  <si>
    <t>056f83f2-b240-11ef-b2b9-8d9a4c3e632c</t>
  </si>
  <si>
    <t>1.1.2.1.1.1.1.5</t>
  </si>
  <si>
    <t>1, 2, 3 этажи. Тип: SB03. Профиль Гидроконтур для деформационных швов настенный</t>
  </si>
  <si>
    <t>1.1.2.1.1.1.1.5.1</t>
  </si>
  <si>
    <t>282588989.2809864</t>
  </si>
  <si>
    <t>20298511.2809864</t>
  </si>
  <si>
    <t>1.1.2.1.1.1.1.5.2</t>
  </si>
  <si>
    <t>282588989.54854</t>
  </si>
  <si>
    <t>20298511.54854</t>
  </si>
  <si>
    <t>1.1.2.1.1.1.1.6</t>
  </si>
  <si>
    <t>1, 2, 3 этажи. Тип: РB04. Профиль Гидроконтур для деформационных швов потолочный</t>
  </si>
  <si>
    <t>1.1.2.1.1.1.1.6.1</t>
  </si>
  <si>
    <t>282588990.54854</t>
  </si>
  <si>
    <t>20298519.54854</t>
  </si>
  <si>
    <t>1.1.2.1.1.1.1.6.2</t>
  </si>
  <si>
    <t>282588990.2809864</t>
  </si>
  <si>
    <t>20298519.2809864</t>
  </si>
  <si>
    <t>1.1.2.1.1.1.1.7</t>
  </si>
  <si>
    <t>1, 2, 3 этажи. Тип: SB01</t>
  </si>
  <si>
    <t>1.1.2.1.1.1.1.7.1</t>
  </si>
  <si>
    <t>Профиль, ПМЮ-05 / 2700мм</t>
  </si>
  <si>
    <t>282588991.1276313</t>
  </si>
  <si>
    <t>20298509.1276313</t>
  </si>
  <si>
    <t>c53a38a1-8b3e-46f9-a81d-9cf0e3e1db7b</t>
  </si>
  <si>
    <t>1.1.2.1.1.1.1.7.2</t>
  </si>
  <si>
    <t>282588991.54854</t>
  </si>
  <si>
    <t>20298509.54854</t>
  </si>
  <si>
    <t>1.1.2.1.1.1.1.8</t>
  </si>
  <si>
    <t>6.3.1.5.1.3.14.1</t>
  </si>
  <si>
    <t>Устройство покрытия пола из кварцвинила / на клею</t>
  </si>
  <si>
    <t>3 этаж. П-11. Плитка виниловая Effekta Professional 011 P/8011 P Natural Pine PRO, 1000 x 200 х 2.55мм с защитным слоем 0.8 мм</t>
  </si>
  <si>
    <t>d2a8c4cc-9752-499d-bcd0-96d63d6d3e47</t>
  </si>
  <si>
    <t>0f62f3eb-5d66-4427-b2d6-a309be9c6e5c</t>
  </si>
  <si>
    <t>1.1.2.1.1.1.1.8.1</t>
  </si>
  <si>
    <t>Клей полиуретановый двухкомпонентный Для напольных модульных ПВХ-покрытий(LVT,кварц-винил), жизнеспособность 1-1,5ч, Светло-бежевый, 4,31кг</t>
  </si>
  <si>
    <t>цена 3880 руб/шт.</t>
  </si>
  <si>
    <t>282588938.1579985</t>
  </si>
  <si>
    <t>20299703.1579985</t>
  </si>
  <si>
    <t>f4eb966a-beb9-11eb-80fb-005056881952</t>
  </si>
  <si>
    <t>1.1.2.1.1.1.1.8.2</t>
  </si>
  <si>
    <t>Кварц-виниловая плитка / SPC VIVA Series с защитным слоем 0,3мм</t>
  </si>
  <si>
    <t>Цена 2000 руб/м2</t>
  </si>
  <si>
    <t>282588938.1745760</t>
  </si>
  <si>
    <t>20299703.1745760</t>
  </si>
  <si>
    <t>5e97e485-cef1-4bb6-9a4e-50ed5226fbd6</t>
  </si>
  <si>
    <t>1.1.2.1.1.1.1.9</t>
  </si>
  <si>
    <t>КР-8. Отделка лестницы амфитеатра: Микроцементт АСТРА ЛОФТ, цвет Дубай, фактурная, с защитным покрытием, толщина 4-6мм</t>
  </si>
  <si>
    <t>1.1.2.1.1.1.1.9.1</t>
  </si>
  <si>
    <t>282588992.1745760</t>
  </si>
  <si>
    <t>20299702.1745760</t>
  </si>
  <si>
    <t>1.1.2.1.1.1.1.9.2</t>
  </si>
  <si>
    <t>282588992.1579985</t>
  </si>
  <si>
    <t>20299702.1579985</t>
  </si>
  <si>
    <t>1.1.2.1.1.1.1.10</t>
  </si>
  <si>
    <t>6.3.1.5.1.3.16.4</t>
  </si>
  <si>
    <t>Установка напольного плинтуса / полимерного на клею</t>
  </si>
  <si>
    <t>1, 2, 3 этажи. Тип: ПЛ-3</t>
  </si>
  <si>
    <t>c9eb628d-6a9a-4823-a035-3a8c813e3e45</t>
  </si>
  <si>
    <t>1e8e5096-f9d4-45e8-8fba-752768fac6e1</t>
  </si>
  <si>
    <t>1.1.2.1.1.1.1.10.1</t>
  </si>
  <si>
    <t>Плинтус для линолеума (для объектов СКБ)_ / 50мм /  DoLLKEN WEISS 100 1137 / Dollken / Плинтус для линолеума для детского сада и школ</t>
  </si>
  <si>
    <t>Плинтус Dollken WL 50 темно - серый 146</t>
  </si>
  <si>
    <t>282588940.1277526</t>
  </si>
  <si>
    <t>20322538.1277526</t>
  </si>
  <si>
    <t>0bcd701c-ad57-43a4-965e-8e4f1c35993b</t>
  </si>
  <si>
    <t>1.1.2.1.1.1.1.11</t>
  </si>
  <si>
    <t>1, 2, 3 этажи. Тип: ПЛ-4</t>
  </si>
  <si>
    <t>1.1.2.1.1.1.1.11.1</t>
  </si>
  <si>
    <t>Плинтус Dollken WL 50 светло - серый 138</t>
  </si>
  <si>
    <t>282588993.1277526</t>
  </si>
  <si>
    <t>20322539.1277526</t>
  </si>
  <si>
    <t>1.1.2.1.1.1.1.12</t>
  </si>
  <si>
    <t>6.3.1.5.1.3.18.1</t>
  </si>
  <si>
    <t>Облицовка ступеней СКБ керамогранитной плиткой с затиркой швов</t>
  </si>
  <si>
    <t>1, 2, 3 этажи. Тип: КР-1.2, Проступь.</t>
  </si>
  <si>
    <t>ee9b7492-3859-48da-970d-b4cb943f92b7</t>
  </si>
  <si>
    <t>fb6337dc-060b-41bd-b9cb-28c1f9d164ee</t>
  </si>
  <si>
    <t>1.1.2.1.1.1.1.12.1</t>
  </si>
  <si>
    <t>Ступени с насечками из керамического гранита Про Стоун  / 300х600х11 мм / DD600300R</t>
  </si>
  <si>
    <t>Проступь: Керамогранит Kerama Marazzi Мирабо, арт. DD253400R\GR, цвет серый светлый, размер 300*600 мм, толщина 9мм.</t>
  </si>
  <si>
    <t>282588942.1277545</t>
  </si>
  <si>
    <t>20865471.1277545</t>
  </si>
  <si>
    <t>a93fa47a-8782-4159-a657-77a449ab5d71</t>
  </si>
  <si>
    <t>1.1.2.1.1.1.1.12.2</t>
  </si>
  <si>
    <t>Клей плиточный/Унифицированный по ПИК-СТАНДАРТ</t>
  </si>
  <si>
    <t>282588942.54630</t>
  </si>
  <si>
    <t>20865471.54630</t>
  </si>
  <si>
    <t>b9d3e1c1-6041-448e-9389-9c537e754b40</t>
  </si>
  <si>
    <t>1.1.2.1.1.1.1.12.3</t>
  </si>
  <si>
    <t>Затирка Цезерит СE33_/13 атрацит</t>
  </si>
  <si>
    <t>282588942.54635</t>
  </si>
  <si>
    <t>20865471.54635</t>
  </si>
  <si>
    <t>255e2be5-9cb1-4b52-84d2-49341281c898</t>
  </si>
  <si>
    <t>1.1.2.1.1.1.1.12.4</t>
  </si>
  <si>
    <t>Грунтовка универсальный ЛАСТИМИН_ / УНКОНТ ЛЮКС LP51 А</t>
  </si>
  <si>
    <t>282588942.1139608</t>
  </si>
  <si>
    <t>20865471.1139608</t>
  </si>
  <si>
    <t>bbceaf39-544c-478f-a605-41b8d1bad350</t>
  </si>
  <si>
    <t>1.1.2.1.1.1.1.13</t>
  </si>
  <si>
    <t>1, 2, 3 этажи. Тип: КР-1.3, Подступенок.</t>
  </si>
  <si>
    <t>1.1.2.1.1.1.1.13.1</t>
  </si>
  <si>
    <t>282588994.1139608</t>
  </si>
  <si>
    <t>20865472.1139608</t>
  </si>
  <si>
    <t>1.1.2.1.1.1.1.13.2</t>
  </si>
  <si>
    <t>282588994.54635</t>
  </si>
  <si>
    <t>20865472.54635</t>
  </si>
  <si>
    <t>1.1.2.1.1.1.1.13.3</t>
  </si>
  <si>
    <t>282588994.54630</t>
  </si>
  <si>
    <t>20865472.54630</t>
  </si>
  <si>
    <t>1.1.2.1.1.1.1.13.4</t>
  </si>
  <si>
    <t>Подступенки из керамического гранита "Викинг"_/ SG605600R/серый/150х600х11мм</t>
  </si>
  <si>
    <t>Подступенок: Керамогранита Kerama Marazzi Мирабо, арт. DD253400R/2, цвет серый светлый, размер 600*145 мм, толщина 9мм.</t>
  </si>
  <si>
    <t>282588994.54660</t>
  </si>
  <si>
    <t>20865472.54660</t>
  </si>
  <si>
    <t>2bd33641-bcf5-4a4a-aa20-c062f7380eca</t>
  </si>
  <si>
    <t>1.1.2.1.1.1.1.14</t>
  </si>
  <si>
    <t>1, 2, 3 этажи. Тип: КР-9, Амфитеатр ступени.</t>
  </si>
  <si>
    <t>1.1.2.1.1.1.1.14.1</t>
  </si>
  <si>
    <t>Ступени с насечками из керамического гранита "Викинг"_/SG605600R/ серый/300х600х11мм</t>
  </si>
  <si>
    <t>АМФИТЕАТР СТУПЕНИ-сиденья: Керамогранит Kerama Marazzi Монтиони SG511520R, 20х119,5 бежевый светлый.</t>
  </si>
  <si>
    <t>282588995.54659</t>
  </si>
  <si>
    <t>20865473.54659</t>
  </si>
  <si>
    <t>80581ba0-af32-4140-9098-fad58c195b0a</t>
  </si>
  <si>
    <t>1.1.2.1.1.1.1.14.2</t>
  </si>
  <si>
    <t>282588995.54630</t>
  </si>
  <si>
    <t>20865473.54630</t>
  </si>
  <si>
    <t>1.1.2.1.1.1.1.14.3</t>
  </si>
  <si>
    <t>282588995.54635</t>
  </si>
  <si>
    <t>20865473.54635</t>
  </si>
  <si>
    <t>1.1.2.1.1.1.1.14.4</t>
  </si>
  <si>
    <t>282588995.1139608</t>
  </si>
  <si>
    <t>20865473.1139608</t>
  </si>
  <si>
    <t>1.1.2.1.1.1.1.15</t>
  </si>
  <si>
    <t>6.3.1.5.1.3.19.1</t>
  </si>
  <si>
    <t>Устройство плинтуса из керамогранитной плитки СКБ</t>
  </si>
  <si>
    <t>1, 2, 3 этажи. Тип: ПК-1</t>
  </si>
  <si>
    <t>6c81bc23-a5ef-49af-8f1d-c7658256e887</t>
  </si>
  <si>
    <t>934f3c07-302a-412c-a8b5-2116f1199093</t>
  </si>
  <si>
    <t>1.1.2.1.1.1.1.15.1</t>
  </si>
  <si>
    <t>Плинтус из керамического гранита Дайсен_ / светло-серый / SG610300R / 100х600х11мм</t>
  </si>
  <si>
    <t>Плинтус из керамогранита Грани Таганая Профи, арт. GT009М, цвет светло-серый, размер 600*100(h) мм, толщина 10мм, матовый.</t>
  </si>
  <si>
    <t>282588944.54668</t>
  </si>
  <si>
    <t>20322535.54668</t>
  </si>
  <si>
    <t>402dafbe-1652-450d-be4d-61804ef3d391</t>
  </si>
  <si>
    <t>1.1.2.1.1.1.1.15.2</t>
  </si>
  <si>
    <t>Плиточный клей_ / Унифицированный по ПИК-СТАНДАРТ</t>
  </si>
  <si>
    <t>282588944.1570753</t>
  </si>
  <si>
    <t>20322535.1570753</t>
  </si>
  <si>
    <t>be76b7f0-d821-4213-a0b5-d4d9b08818f1</t>
  </si>
  <si>
    <t>1.1.2.1.1.1.1.15.3</t>
  </si>
  <si>
    <t>282588944.54635</t>
  </si>
  <si>
    <t>20322535.54635</t>
  </si>
  <si>
    <t>1.1.2.1.1.1.1.15.4</t>
  </si>
  <si>
    <t>Грунтовка универсальный ЛАСТИМИН_ / LP-51 А</t>
  </si>
  <si>
    <t>282588944.54634</t>
  </si>
  <si>
    <t>20322535.54634</t>
  </si>
  <si>
    <t>6f806fd0-f20f-4c69-8d99-cee4063fa047</t>
  </si>
  <si>
    <t>1.1.2.1.1.1.1.16</t>
  </si>
  <si>
    <t>1, 2, 3 этажи. Тип: ПК-4</t>
  </si>
  <si>
    <t>1.1.2.1.1.1.1.16.1</t>
  </si>
  <si>
    <t>282588996.54634</t>
  </si>
  <si>
    <t>20322536.54634</t>
  </si>
  <si>
    <t>1.1.2.1.1.1.1.16.2</t>
  </si>
  <si>
    <t>282588996.54635</t>
  </si>
  <si>
    <t>20322536.54635</t>
  </si>
  <si>
    <t>1.1.2.1.1.1.1.16.3</t>
  </si>
  <si>
    <t>282588996.1570753</t>
  </si>
  <si>
    <t>20322536.1570753</t>
  </si>
  <si>
    <t>1.1.2.1.1.1.1.16.4</t>
  </si>
  <si>
    <t>Плинтус из керамогранита Kerama Marazzi Мирабо, арт. DD638320R/6BT, цвет серый светлый, размер 600*95 мм.</t>
  </si>
  <si>
    <t>282588996.54668</t>
  </si>
  <si>
    <t>20322536.54668</t>
  </si>
  <si>
    <t>1.1.2.1.1.1.1.17</t>
  </si>
  <si>
    <t>1, 2, 3 этажи. Тип: П1 (Стены - Бордюр карандаш)</t>
  </si>
  <si>
    <t>1.1.2.1.1.1.1.17.1</t>
  </si>
  <si>
    <t>Kerama Marazzi, цвет бежевый, матовый, размер 20х2, арт. PFE017</t>
  </si>
  <si>
    <t>282588997.54668</t>
  </si>
  <si>
    <t>20322537.54668</t>
  </si>
  <si>
    <t>1.1.2.1.1.1.1.17.2</t>
  </si>
  <si>
    <t>282588997.1570753</t>
  </si>
  <si>
    <t>20322537.1570753</t>
  </si>
  <si>
    <t>1.1.2.1.1.1.1.17.3</t>
  </si>
  <si>
    <t>282588997.54634</t>
  </si>
  <si>
    <t>20322537.54634</t>
  </si>
  <si>
    <t>1.1.2.1.1.1.1.18</t>
  </si>
  <si>
    <t>6.3.1.5.1.3.20.1</t>
  </si>
  <si>
    <t>Устройство покрытия пола СКБ с затиркой и укрытием ДВП / из керамогранитной плитки до 0,2м2/шт</t>
  </si>
  <si>
    <t>1, 2, 3 этажи. Тип: КР-6</t>
  </si>
  <si>
    <t>081b575c-aa66-4b70-9cd0-d5d89da79337</t>
  </si>
  <si>
    <t>65901f49-c07c-422e-a40b-cfafb585dc26</t>
  </si>
  <si>
    <t>1.1.2.1.1.1.1.18.1</t>
  </si>
  <si>
    <t>Клей плиточный/ Унифицированный по ПИК-СТАНДАРТ</t>
  </si>
  <si>
    <t>282588946.54632</t>
  </si>
  <si>
    <t>20317965.54632</t>
  </si>
  <si>
    <t>29ab9003-5b43-49a7-8ba2-846628054d7e</t>
  </si>
  <si>
    <t>1.1.2.1.1.1.1.18.2</t>
  </si>
  <si>
    <t>Керамическая плитка Коллиано_ / светло - серый / SG912900N / 300*300*8мм</t>
  </si>
  <si>
    <t>Керамогранит Kerama Marazzi Колиано, арт. SG912900N, цвет серый светлый, размер 300*300 мм, толщина 8мм, матовый.</t>
  </si>
  <si>
    <t>282588946.54680</t>
  </si>
  <si>
    <t>20317965.54680</t>
  </si>
  <si>
    <t>18c7ad8f-1ba6-4999-8365-d221729a1af3</t>
  </si>
  <si>
    <t>1.1.2.1.1.1.1.18.3</t>
  </si>
  <si>
    <t>Затирка Цезерит СE33_/04 серебристо-серый</t>
  </si>
  <si>
    <t>282588946.54637</t>
  </si>
  <si>
    <t>20317965.54637</t>
  </si>
  <si>
    <t>c293221b-d93c-4424-8200-e1b99b7167e3</t>
  </si>
  <si>
    <t>1.1.2.1.1.1.1.18.4</t>
  </si>
  <si>
    <t>282588946.54634</t>
  </si>
  <si>
    <t>20317965.54634</t>
  </si>
  <si>
    <t>1.1.2.1.1.1.1.19</t>
  </si>
  <si>
    <t>6.3.1.5.1.3.20.2</t>
  </si>
  <si>
    <t>Устройство покрытия пола СКБ с затиркой и укрытием ДВП / из керамогранитной плитки от 0,2м2/шт</t>
  </si>
  <si>
    <t>1, 2, 3 этажи. Тип: КР-1</t>
  </si>
  <si>
    <t>69ce9bf3-5e4c-42a6-9cb7-1bf6547475ea</t>
  </si>
  <si>
    <t>abd27be4-9992-44fb-b098-3b2370fa29b6</t>
  </si>
  <si>
    <t>1.1.2.1.1.1.1.19.1</t>
  </si>
  <si>
    <t>Плиточный клей_ /  Унифицированный по ПИК-СТАНДАРТ</t>
  </si>
  <si>
    <t>282588947.739258</t>
  </si>
  <si>
    <t>20317960.739258</t>
  </si>
  <si>
    <t>b9d5a438-2a19-468f-b5a2-8648dd1dd258</t>
  </si>
  <si>
    <t>1.1.2.1.1.1.1.19.2</t>
  </si>
  <si>
    <t>Керамический гранит Estima YOUR COLOR_ / YC 93 / 600*600*10мм</t>
  </si>
  <si>
    <t>Керамогранит Грани Таганая моноколор, арт. GT100, цвет бежевый, размер 600*600 мм ,толщина 10мм, матовый.</t>
  </si>
  <si>
    <t>282588947.54693</t>
  </si>
  <si>
    <t>20317960.54693</t>
  </si>
  <si>
    <t>322fd844-6675-4759-ad71-5048daf60734</t>
  </si>
  <si>
    <t>1.1.2.1.1.1.1.19.3</t>
  </si>
  <si>
    <t>282588947.54637</t>
  </si>
  <si>
    <t>20317960.54637</t>
  </si>
  <si>
    <t>1.1.2.1.1.1.1.19.4</t>
  </si>
  <si>
    <t>282588947.54634</t>
  </si>
  <si>
    <t>20317960.54634</t>
  </si>
  <si>
    <t>1.1.2.1.1.1.1.20</t>
  </si>
  <si>
    <t>1, 2, 3 этажи. Тип: КР-2</t>
  </si>
  <si>
    <t>1.1.2.1.1.1.1.20.1</t>
  </si>
  <si>
    <t>282588998.54634</t>
  </si>
  <si>
    <t>20317962.54634</t>
  </si>
  <si>
    <t>1.1.2.1.1.1.1.20.2</t>
  </si>
  <si>
    <t>282588998.54637</t>
  </si>
  <si>
    <t>20317962.54637</t>
  </si>
  <si>
    <t>1.1.2.1.1.1.1.20.3</t>
  </si>
  <si>
    <t>Керамогранит Грани Таганая Feeria, арт. GTF467, цвет желтый, размер 600*600 мм, толщина 10мм, матовый.</t>
  </si>
  <si>
    <t>282588998.54693</t>
  </si>
  <si>
    <t>20317962.54693</t>
  </si>
  <si>
    <t>1.1.2.1.1.1.1.20.4</t>
  </si>
  <si>
    <t>282588998.739258</t>
  </si>
  <si>
    <t>20317962.739258</t>
  </si>
  <si>
    <t>1.1.2.1.1.1.1.21</t>
  </si>
  <si>
    <t>1, 2, 3 этажи. Тип: КР-3</t>
  </si>
  <si>
    <t>1.1.2.1.1.1.1.21.1</t>
  </si>
  <si>
    <t>282588999.739258</t>
  </si>
  <si>
    <t>20317963.739258</t>
  </si>
  <si>
    <t>1.1.2.1.1.1.1.21.2</t>
  </si>
  <si>
    <t>Керамогранит Грани Таганая Профи, арт. GT009М, цвет светло-серый, размер 600*600ммм, толщина 10мм, матовый.</t>
  </si>
  <si>
    <t>282588999.54693</t>
  </si>
  <si>
    <t>20317963.54693</t>
  </si>
  <si>
    <t>1.1.2.1.1.1.1.21.3</t>
  </si>
  <si>
    <t>282588999.54637</t>
  </si>
  <si>
    <t>20317963.54637</t>
  </si>
  <si>
    <t>1.1.2.1.1.1.1.21.4</t>
  </si>
  <si>
    <t>282588999.54634</t>
  </si>
  <si>
    <t>20317963.54634</t>
  </si>
  <si>
    <t>1.1.2.1.1.1.1.22</t>
  </si>
  <si>
    <t>1, 2, 3 этажи. Тип: КР-4</t>
  </si>
  <si>
    <t>1.1.2.1.1.1.1.22.1</t>
  </si>
  <si>
    <t>282589000.54634</t>
  </si>
  <si>
    <t>20317964.54634</t>
  </si>
  <si>
    <t>1.1.2.1.1.1.1.22.2</t>
  </si>
  <si>
    <t>282589000.54637</t>
  </si>
  <si>
    <t>20317964.54637</t>
  </si>
  <si>
    <t>1.1.2.1.1.1.1.22.3</t>
  </si>
  <si>
    <t>Керамогранит Грани Таганая Профи, арт. GT085М, цвет голубой, размер 600*600 мм, толщина 10мм, матовый.</t>
  </si>
  <si>
    <t>282589000.54693</t>
  </si>
  <si>
    <t>20317964.54693</t>
  </si>
  <si>
    <t>1.1.2.1.1.1.1.22.4</t>
  </si>
  <si>
    <t>282589000.739258</t>
  </si>
  <si>
    <t>20317964.739258</t>
  </si>
  <si>
    <t>1.1.2.1.1.1.1.23</t>
  </si>
  <si>
    <t>1, 2, 3 этажи. Тип: КР-10</t>
  </si>
  <si>
    <t>1.1.2.1.1.1.1.23.1</t>
  </si>
  <si>
    <t>282589001.739258</t>
  </si>
  <si>
    <t>20317961.739258</t>
  </si>
  <si>
    <t>1.1.2.1.1.1.1.23.2</t>
  </si>
  <si>
    <t>Керамогранита Kerama Marazzi Мирабо, арт. DD638320R, цвет серый светлый, размер 600*600 мм, толщина 9мм.</t>
  </si>
  <si>
    <t>282589001.54693</t>
  </si>
  <si>
    <t>20317961.54693</t>
  </si>
  <si>
    <t>1.1.2.1.1.1.1.23.3</t>
  </si>
  <si>
    <t>282589001.54637</t>
  </si>
  <si>
    <t>20317961.54637</t>
  </si>
  <si>
    <t>1.1.2.1.1.1.1.23.4</t>
  </si>
  <si>
    <t>282589001.54634</t>
  </si>
  <si>
    <t>20317961.54634</t>
  </si>
  <si>
    <t>1.1.2.1.1.1.1.24</t>
  </si>
  <si>
    <t>1, 2, 3 этажи. Тип: КР-1.1, Площадки лестниц</t>
  </si>
  <si>
    <t>1.1.2.1.1.1.1.24.1</t>
  </si>
  <si>
    <t>282589002.54634</t>
  </si>
  <si>
    <t>20321878.54634</t>
  </si>
  <si>
    <t>1.1.2.1.1.1.1.24.2</t>
  </si>
  <si>
    <t>282589002.54637</t>
  </si>
  <si>
    <t>20321878.54637</t>
  </si>
  <si>
    <t>1.1.2.1.1.1.1.24.3</t>
  </si>
  <si>
    <t>Площадка: Керамогранита Kerama Marazzi Мирабо, арт. DD638320R, цвет серый светлый, размер 600*600 мм, толщина 9мм.</t>
  </si>
  <si>
    <t>282589002.54693</t>
  </si>
  <si>
    <t>20321878.54693</t>
  </si>
  <si>
    <t>1.1.2.1.1.1.1.24.4</t>
  </si>
  <si>
    <t>282589002.739258</t>
  </si>
  <si>
    <t>20321878.739258</t>
  </si>
  <si>
    <t>1.1.2.1.1.1.2</t>
  </si>
  <si>
    <t>6.3.1.5.1.4</t>
  </si>
  <si>
    <t>Приямки, системы грязезащиты</t>
  </si>
  <si>
    <t>1.1.2.1.1.1.2.1</t>
  </si>
  <si>
    <t>6.3.1.5.1.4.1.1</t>
  </si>
  <si>
    <t>Укладка систем грязезащиты на пол</t>
  </si>
  <si>
    <t>1 этаж. Тип: ГР-1</t>
  </si>
  <si>
    <t>24d94b44-d345-4644-8c8c-8701a2ebc89e</t>
  </si>
  <si>
    <t>010124f9-1c79-4884-b200-84a0e7f1c696</t>
  </si>
  <si>
    <t>1.1.2.1.1.1.2.1.1</t>
  </si>
  <si>
    <t>Грязезащитное покрытие_ / Бразис Маркет</t>
  </si>
  <si>
    <t>Входная решетка БРАЗИС стандарт, ЩЕТКА-ТЕКСТИЛЬ-скребок Y 1м2, текстиль коричневый - высота решетки 20 мм, скребок узкий 2 зубца</t>
  </si>
  <si>
    <t>282588950.55025</t>
  </si>
  <si>
    <t>20297493.55025</t>
  </si>
  <si>
    <t>57dc3537-6205-4c52-81a1-668e49ba6dd9</t>
  </si>
  <si>
    <t>1.1.2.1.1.2</t>
  </si>
  <si>
    <t>6.3.1.5.2</t>
  </si>
  <si>
    <t>Стены</t>
  </si>
  <si>
    <t>1.1.2.1.1.2.1</t>
  </si>
  <si>
    <t>6.3.1.5.2.1</t>
  </si>
  <si>
    <t>Черновые работы по поверхности стен</t>
  </si>
  <si>
    <t>1.1.2.1.1.2.1.1</t>
  </si>
  <si>
    <t>6.3.1.5.2.1.6.1</t>
  </si>
  <si>
    <t>Заделка отверстий в стенах в местах прохода коммуникаций / до 150 см2</t>
  </si>
  <si>
    <t>Подвал, 1, 2, 3 этажи.</t>
  </si>
  <si>
    <t>6c686aa5-2fc0-465a-afa4-f4f578e5a06f</t>
  </si>
  <si>
    <t>02ad6415-f1a9-4a22-a93f-38e40f45143c</t>
  </si>
  <si>
    <t>1.1.2.1.1.2.1.1.1</t>
  </si>
  <si>
    <t>Плита минераловатная_ / Урса П-30</t>
  </si>
  <si>
    <t>м3</t>
  </si>
  <si>
    <t>282588954.55187</t>
  </si>
  <si>
    <t>20297507.55187</t>
  </si>
  <si>
    <t>894f5253-bdda-4165-9d46-cff7ef723d43</t>
  </si>
  <si>
    <t>1.1.2.1.1.2.1.1.2</t>
  </si>
  <si>
    <t>Смесь цементно-песчаная сухая_/М150</t>
  </si>
  <si>
    <t>282588954.54611</t>
  </si>
  <si>
    <t>20297507.54611</t>
  </si>
  <si>
    <t>a1146549-61c5-4487-b5c7-fb7d0d185669</t>
  </si>
  <si>
    <t>1.1.2.1.1.2.2</t>
  </si>
  <si>
    <t>6.3.1.5.2.2</t>
  </si>
  <si>
    <t>Чистовые работы по поверхности стен</t>
  </si>
  <si>
    <t>1.1.2.1.1.2.2.1</t>
  </si>
  <si>
    <t>6.3.1.5.2.2.5.1</t>
  </si>
  <si>
    <t>Монтаж стеновых панелей / МДФ</t>
  </si>
  <si>
    <t>1, 2, 3 этажи. Тип: FK7.1.</t>
  </si>
  <si>
    <t>b2326418-0853-41eb-bc43-46c8d1898110</t>
  </si>
  <si>
    <t>b8870282-1815-44c5-86df-97868dc667da</t>
  </si>
  <si>
    <t>1.1.2.1.1.2.2.1.1</t>
  </si>
  <si>
    <t>Панель МДФ  / Kronostar дуб натуральный / 250*2600*7мм</t>
  </si>
  <si>
    <t>282588957.1180659</t>
  </si>
  <si>
    <t>20300514.1180659</t>
  </si>
  <si>
    <t>7c186503-8940-4c22-94d5-7eda76509e63</t>
  </si>
  <si>
    <t>1.1.2.1.1.2.2.2</t>
  </si>
  <si>
    <t>1, 2, этажи. Тип: FK1.1</t>
  </si>
  <si>
    <t>1.1.2.1.1.2.2.2.1</t>
  </si>
  <si>
    <t>282589003.1180659</t>
  </si>
  <si>
    <t>20300510.1180659</t>
  </si>
  <si>
    <t>1.1.2.1.1.2.2.3</t>
  </si>
  <si>
    <t>1, 2, 3 этажи. Тип: FK7.2.</t>
  </si>
  <si>
    <t>1.1.2.1.1.2.2.3.1</t>
  </si>
  <si>
    <t>282589004.1180659</t>
  </si>
  <si>
    <t>20300512.1180659</t>
  </si>
  <si>
    <t>1.1.2.1.1.2.2.4</t>
  </si>
  <si>
    <t>2, 3 этажи. Тип: FK28</t>
  </si>
  <si>
    <t>1.1.2.1.1.2.2.4.1</t>
  </si>
  <si>
    <t>282589005.1180659</t>
  </si>
  <si>
    <t>20866627.1180659</t>
  </si>
  <si>
    <t>1.1.2.1.1.2.2.5</t>
  </si>
  <si>
    <t>1 этаж. Тип: FK25</t>
  </si>
  <si>
    <t>1.1.2.1.1.2.2.5.1</t>
  </si>
  <si>
    <t>282589006.1180659</t>
  </si>
  <si>
    <t>20866620.1180659</t>
  </si>
  <si>
    <t>1.1.2.1.1.2.2.6</t>
  </si>
  <si>
    <t>1, 2, 3 этажи. Тип: FK2.1. Покраска Gutver Prometeks RAL 6019 (бело-зеленый) - Матовая краска для стен или аналог. Класс пожарной опасности: КМ0</t>
  </si>
  <si>
    <t>1.1.2.1.1.2.2.6.1</t>
  </si>
  <si>
    <t>282589007.1180659</t>
  </si>
  <si>
    <t>21180286.1180659</t>
  </si>
  <si>
    <t>1.1.2.1.1.2.2.7</t>
  </si>
  <si>
    <t>1, 2, 3 этажи. Тип: FK6. Покраска грифельная краска Siberia (черный) - Матовая краска для стен или аналог. Класс пожарной опасности: КМ0</t>
  </si>
  <si>
    <t>1.1.2.1.1.2.2.7.1</t>
  </si>
  <si>
    <t>282589008.1180659</t>
  </si>
  <si>
    <t>21180287.1180659</t>
  </si>
  <si>
    <t>1.1.2.1.1.2.2.8</t>
  </si>
  <si>
    <t>6.3.1.5.2.2.5.2</t>
  </si>
  <si>
    <t>Монтаж стеновых панелей / ПВХ</t>
  </si>
  <si>
    <t>1, 2, 3 этажи. Тип: WD1. Боковые стены ММП: Обрешетка из гипсокартонного профиля, в ячейки профиля укладываются плиты типа Шуманет Эко (или аналог) толщиной 100мм. к гипсокартонному профилю крепятся листы из негорючих неперфорированных акустических листов на стекломагнезита САУНДЛАЙН-АКУСТИКА НГ или листов ГКЛ Aku-Line Pro (Аку-Лайн Про либо аналог).</t>
  </si>
  <si>
    <t>ceaf9f3c-cc6f-438d-b04a-fee052df879a</t>
  </si>
  <si>
    <t>cc38b2b0-78ba-4425-95a0-d4c1d50bec1c</t>
  </si>
  <si>
    <t>1.1.2.1.1.2.2.8.1</t>
  </si>
  <si>
    <t xml:space="preserve">Панель ПВХ / 2700x375x5 </t>
  </si>
  <si>
    <t>"Акустические листы САУНДЛАЙН-Акустика НГ 1200х2400
Подвес прямой
Профиль омега-образный 3 м
Профиль-заглушка 3 м
Одноуровневый соединитель
Профиль L–образный 3 м
Профиль F–образный 3 м (учитывается в конструкциях при монтаже панелей с наличием углов)
Профиль Gyproc Стандарт ППН 28х27
Профиль Gyproc Стандарт ПП 60х27
Анкер-клин 6х40
Саморез ПШО 4,2х25
Шуруп LN 3.5х11
Дюбель для теплоизоляции
Акуфон lnside
Базальтовая ткань</t>
  </si>
  <si>
    <t>282588958.1504881</t>
  </si>
  <si>
    <t>20348169.1504881</t>
  </si>
  <si>
    <t>a14c45c3-3ac5-4910-86d8-36d4d1fb8b3f</t>
  </si>
  <si>
    <t>1.1.2.1.1.2.2.9</t>
  </si>
  <si>
    <t>6.3.1.5.2.2.8.1</t>
  </si>
  <si>
    <t>Лакокрасочные работы СКБ / окраска стен / в 2 слоя</t>
  </si>
  <si>
    <t>1, 2, 3 этажи. Тип: FK2. Покраска Gutver Prometeks RAL 6021 (бледно-зеленый) - Матовая краска для стен или аналог. Класс пожарной опасности: КМ0</t>
  </si>
  <si>
    <t>4c24ca93-b856-4913-a3fe-bc768660074c</t>
  </si>
  <si>
    <t>923030ab-0b8a-4717-9906-e76b6d6d03d6</t>
  </si>
  <si>
    <t>1.1.2.1.1.2.2.9.1</t>
  </si>
  <si>
    <t>282588960.54634</t>
  </si>
  <si>
    <t>20300509.54634</t>
  </si>
  <si>
    <t>1.1.2.1.1.2.2.9.2</t>
  </si>
  <si>
    <t>Краска водно-дисперсионная Tikkurila_ / RAL 9003 / PROF EURO 20</t>
  </si>
  <si>
    <t>282588960.758318</t>
  </si>
  <si>
    <t>20300509.758318</t>
  </si>
  <si>
    <t>585530fd-0de5-4292-bc70-8f8ebd68eca5</t>
  </si>
  <si>
    <t>1.1.2.1.1.2.2.10</t>
  </si>
  <si>
    <t>1, 2, 3 этажи. Тип: FK3. Покраска Gutver Prometeks RAL 1015 (светлая слоновая кость) - Матовая краска для стен или аналог.  Класс пожарной опасности: КМ0</t>
  </si>
  <si>
    <t>1.1.2.1.1.2.2.10.1</t>
  </si>
  <si>
    <t>282589009.758318</t>
  </si>
  <si>
    <t>20300511.758318</t>
  </si>
  <si>
    <t>1.1.2.1.1.2.2.10.2</t>
  </si>
  <si>
    <t>282589009.54634</t>
  </si>
  <si>
    <t>20300511.54634</t>
  </si>
  <si>
    <t>1.1.2.1.1.2.2.11</t>
  </si>
  <si>
    <t>1, 2, 3 этажи. Тип: FK8. Покраска Gutver Prometeks RAL 6005(зеленый мох) - Матовая краска для стен или аналог. Класс пожарной опасности: КМ0</t>
  </si>
  <si>
    <t>1.1.2.1.1.2.2.11.1</t>
  </si>
  <si>
    <t>282589010.54634</t>
  </si>
  <si>
    <t>20300513.54634</t>
  </si>
  <si>
    <t>1.1.2.1.1.2.2.11.2</t>
  </si>
  <si>
    <t>282589010.758318</t>
  </si>
  <si>
    <t>20300513.758318</t>
  </si>
  <si>
    <t>1.1.2.1.1.2.2.12</t>
  </si>
  <si>
    <t>1, 2, 3 этажи. Тип: FK13. Покраска Gutver Prometeks RAL5024 (голубой) - Матовая краска для стен или аналог. Класс пожарной опасности: КМ0</t>
  </si>
  <si>
    <t>1.1.2.1.1.2.2.12.1</t>
  </si>
  <si>
    <t>282589011.758318</t>
  </si>
  <si>
    <t>20300713.758318</t>
  </si>
  <si>
    <t>1.1.2.1.1.2.2.12.2</t>
  </si>
  <si>
    <t>282589011.54634</t>
  </si>
  <si>
    <t>20300713.54634</t>
  </si>
  <si>
    <t>1.1.2.1.1.2.2.13</t>
  </si>
  <si>
    <t>1, 2, 3 этажи. Тип: FK15. Покраска Gutver Prometeks RAL1012 (лимонно-желтый) - Матовая краска для стен или аналог. Класс пожарной опасности: КМ0</t>
  </si>
  <si>
    <t>1.1.2.1.1.2.2.13.1</t>
  </si>
  <si>
    <t>282589012.54634</t>
  </si>
  <si>
    <t>20300714.54634</t>
  </si>
  <si>
    <t>1.1.2.1.1.2.2.13.2</t>
  </si>
  <si>
    <t>282589012.758318</t>
  </si>
  <si>
    <t>20300714.758318</t>
  </si>
  <si>
    <t>1.1.2.1.1.2.2.14</t>
  </si>
  <si>
    <t>1, 2, 3 этажи. Тип: FK1.1. Покраска Gutver Prometeks RAL 9002 (серо-белый) - Матовая краска для стен или аналог. Класс пожарной опасности: КМ0</t>
  </si>
  <si>
    <t>1.1.2.1.1.2.2.14.1</t>
  </si>
  <si>
    <t>282589013.758318</t>
  </si>
  <si>
    <t>20300715.758318</t>
  </si>
  <si>
    <t>1.1.2.1.1.2.2.14.2</t>
  </si>
  <si>
    <t>282589013.54634</t>
  </si>
  <si>
    <t>20300715.54634</t>
  </si>
  <si>
    <t>1.1.2.1.1.2.2.15</t>
  </si>
  <si>
    <t>1, 2, 3 этажи. Тип: FK11. Покраска Gutver Prometeks RAL1034 (пастельно-желтый) - Матовая краска для стен или аналог.  Класс пожарной опасности: КМ0.</t>
  </si>
  <si>
    <t>1.1.2.1.1.2.2.15.1</t>
  </si>
  <si>
    <t>282589014.54634</t>
  </si>
  <si>
    <t>20300709.54634</t>
  </si>
  <si>
    <t>1.1.2.1.1.2.2.15.2</t>
  </si>
  <si>
    <t>282589014.758318</t>
  </si>
  <si>
    <t>20300709.758318</t>
  </si>
  <si>
    <t>1.1.2.1.1.2.2.16</t>
  </si>
  <si>
    <t>FK5.1, 1-3эт, Иллюстрация с предварительной окраской фона</t>
  </si>
  <si>
    <t>1.1.2.1.1.2.2.16.1</t>
  </si>
  <si>
    <t>282589015.758318</t>
  </si>
  <si>
    <t>20300710.758318</t>
  </si>
  <si>
    <t>1.1.2.1.1.2.2.16.2</t>
  </si>
  <si>
    <t>282589015.54634</t>
  </si>
  <si>
    <t>20300710.54634</t>
  </si>
  <si>
    <t>1.1.2.1.1.2.2.17</t>
  </si>
  <si>
    <t>6.3.1.5.2.2.8.3</t>
  </si>
  <si>
    <t>Лакокрасочные работы СКБ / окраска откосов / в 2 слоя</t>
  </si>
  <si>
    <t>1, 2, 3 этажи. Тип: FK14. Отделка откосов - Gutver Prometeks RAL 9016. Матовая краска для стен или аналог. Класс пожарной опасности: КМ0</t>
  </si>
  <si>
    <t>8bf08378-dbd9-4e80-8ee7-0ff14f296665</t>
  </si>
  <si>
    <t>b733a2ef-d78f-437c-90c9-4eabfe04c553</t>
  </si>
  <si>
    <t>1.1.2.1.1.2.2.17.1</t>
  </si>
  <si>
    <t>Краска Tikkurila Проф Евро 7 / RAL 9003</t>
  </si>
  <si>
    <t>282588961.1527563</t>
  </si>
  <si>
    <t>20300711.1527563</t>
  </si>
  <si>
    <t>c703e0d9-c58b-46dc-ae9e-94ab4ef5f1c1</t>
  </si>
  <si>
    <t>1.1.2.1.1.2.2.17.2</t>
  </si>
  <si>
    <t>282588961.54634</t>
  </si>
  <si>
    <t>20300711.54634</t>
  </si>
  <si>
    <t>1.1.2.1.1.2.2.18</t>
  </si>
  <si>
    <t>6.3.1.5.2.2.9.1</t>
  </si>
  <si>
    <t>Облицовка поверхности стен СКБ с затиркой швов / керамической, керамогранитной плиткой до 0,2м2/шт</t>
  </si>
  <si>
    <t>1, 2, 3 этажи. Тип: FK9</t>
  </si>
  <si>
    <t>8d513ad3-1fbc-4730-be59-389995ce51d8</t>
  </si>
  <si>
    <t>a0ecae9b-7c0c-412d-a794-953bf76fc42d</t>
  </si>
  <si>
    <t>1.1.2.1.1.2.2.18.1</t>
  </si>
  <si>
    <t>282588963.54637</t>
  </si>
  <si>
    <t>20336106.54637</t>
  </si>
  <si>
    <t>1.1.2.1.1.2.2.18.2</t>
  </si>
  <si>
    <t>Грунтовка _ / универсальная водно-дисперсионная</t>
  </si>
  <si>
    <t>282588963.737422</t>
  </si>
  <si>
    <t>20336106.737422</t>
  </si>
  <si>
    <t>64d77ce3-b188-4652-a3eb-49ad1b6ad85c</t>
  </si>
  <si>
    <t>1.1.2.1.1.2.2.18.3</t>
  </si>
  <si>
    <t>282588963.739258</t>
  </si>
  <si>
    <t>20336106.739258</t>
  </si>
  <si>
    <t>1.1.2.1.1.2.2.18.4</t>
  </si>
  <si>
    <t>Керамический гранит Kerama marazzi_ / Синий /  SG1547N /  200х200 мм</t>
  </si>
  <si>
    <t>282588963.1570533</t>
  </si>
  <si>
    <t>20336106.1570533</t>
  </si>
  <si>
    <t>a620a03f-7faf-4c11-affe-45d2fae0c5fb</t>
  </si>
  <si>
    <t>1.1.2.1.1.2.2.19</t>
  </si>
  <si>
    <t>1, 2, 3 этажи. Тип: FK16</t>
  </si>
  <si>
    <t>1.1.2.1.1.2.2.19.1</t>
  </si>
  <si>
    <t>Керамический гранит Kerama marazzi_ / Белый / 5009/ Калейдоскоп / 200х200</t>
  </si>
  <si>
    <t>282589016.758609</t>
  </si>
  <si>
    <t>20867052.758609</t>
  </si>
  <si>
    <t>70f2d54b-ab55-43b4-b130-a5f8f85e7098</t>
  </si>
  <si>
    <t>1.1.2.1.1.2.2.19.2</t>
  </si>
  <si>
    <t>282589016.739258</t>
  </si>
  <si>
    <t>20867052.739258</t>
  </si>
  <si>
    <t>1.1.2.1.1.2.2.19.3</t>
  </si>
  <si>
    <t>282589016.737422</t>
  </si>
  <si>
    <t>20867052.737422</t>
  </si>
  <si>
    <t>1.1.2.1.1.2.2.19.4</t>
  </si>
  <si>
    <t>282589016.54637</t>
  </si>
  <si>
    <t>20867052.54637</t>
  </si>
  <si>
    <t>1.1.2.1.1.2.2.20</t>
  </si>
  <si>
    <t>1 этаж. Тип: FK31</t>
  </si>
  <si>
    <t>1.1.2.1.1.2.2.20.1</t>
  </si>
  <si>
    <t>282589017.54637</t>
  </si>
  <si>
    <t>20867050.54637</t>
  </si>
  <si>
    <t>1.1.2.1.1.2.2.20.2</t>
  </si>
  <si>
    <t>282589017.737422</t>
  </si>
  <si>
    <t>20867050.737422</t>
  </si>
  <si>
    <t>1.1.2.1.1.2.2.20.3</t>
  </si>
  <si>
    <t>282589017.739258</t>
  </si>
  <si>
    <t>20867050.739258</t>
  </si>
  <si>
    <t>1.1.2.1.1.2.2.20.4</t>
  </si>
  <si>
    <t>282589017.1570533</t>
  </si>
  <si>
    <t>20867050.1570533</t>
  </si>
  <si>
    <t>1.1.2.1.1.2.2.21</t>
  </si>
  <si>
    <t>6.3.1.5.2.2.9.2</t>
  </si>
  <si>
    <t>Облицовка поверхности стен СКБ с затиркой швов / керамической, керамогранитной плиткой от 0,2м2/шт</t>
  </si>
  <si>
    <t>1, 2, 3 этажи. Тип: FK4</t>
  </si>
  <si>
    <t>9000ff2e-4eba-41cc-a074-c46fe92c125a</t>
  </si>
  <si>
    <t>543139c7-05c6-47e9-8a5c-0d2e4272c803</t>
  </si>
  <si>
    <t>1.1.2.1.1.2.2.21.1</t>
  </si>
  <si>
    <t>Плитка керамогранитная_ / AG23 / Estima / 600х600х10 мм</t>
  </si>
  <si>
    <t>Керамогранит Грани Таганая Профи, арт. GT079M, цвет зеленый чай, размер 600*600 мм, толщина 10мм, матовый.</t>
  </si>
  <si>
    <t>282588964.2498810</t>
  </si>
  <si>
    <t>20335430.2498810</t>
  </si>
  <si>
    <t>0059404d-5dfe-11ef-9042-8d9a4c3e632c</t>
  </si>
  <si>
    <t>1.1.2.1.1.2.2.21.2</t>
  </si>
  <si>
    <t>282588964.739258</t>
  </si>
  <si>
    <t>20335430.739258</t>
  </si>
  <si>
    <t>1.1.2.1.1.2.2.21.3</t>
  </si>
  <si>
    <t>282588964.54637</t>
  </si>
  <si>
    <t>20335430.54637</t>
  </si>
  <si>
    <t>1.1.2.1.1.2.2.21.4</t>
  </si>
  <si>
    <t>282588964.737422</t>
  </si>
  <si>
    <t>20335430.737422</t>
  </si>
  <si>
    <t>1.1.2.1.1.2.2.22</t>
  </si>
  <si>
    <t>1, 2, 3 этажи. Тип: FK10</t>
  </si>
  <si>
    <t>1.1.2.1.1.2.2.22.1</t>
  </si>
  <si>
    <t>282589018.737422</t>
  </si>
  <si>
    <t>20336104.737422</t>
  </si>
  <si>
    <t>1.1.2.1.1.2.2.22.2</t>
  </si>
  <si>
    <t>282589018.54637</t>
  </si>
  <si>
    <t>20336104.54637</t>
  </si>
  <si>
    <t>1.1.2.1.1.2.2.22.3</t>
  </si>
  <si>
    <t>282589018.739258</t>
  </si>
  <si>
    <t>20336104.739258</t>
  </si>
  <si>
    <t>1.1.2.1.1.2.2.22.4</t>
  </si>
  <si>
    <t>Керамогранит Грани Таганая, арт. GT202M, цвет кристально молочный, размер 600*600 мм, толщина 10мм, матовый.</t>
  </si>
  <si>
    <t>282589018.2498810</t>
  </si>
  <si>
    <t>20336104.2498810</t>
  </si>
  <si>
    <t>1.1.2.1.1.2.2.23</t>
  </si>
  <si>
    <t>1, 2, 3 этажи. Тип: FK12</t>
  </si>
  <si>
    <t>1.1.2.1.1.2.2.23.1</t>
  </si>
  <si>
    <t>282589019.2498810</t>
  </si>
  <si>
    <t>20336105.2498810</t>
  </si>
  <si>
    <t>1.1.2.1.1.2.2.23.2</t>
  </si>
  <si>
    <t>282589019.739258</t>
  </si>
  <si>
    <t>20336105.739258</t>
  </si>
  <si>
    <t>1.1.2.1.1.2.2.23.3</t>
  </si>
  <si>
    <t>282589019.54637</t>
  </si>
  <si>
    <t>20336105.54637</t>
  </si>
  <si>
    <t>1.1.2.1.1.2.2.23.4</t>
  </si>
  <si>
    <t>282589019.737422</t>
  </si>
  <si>
    <t>20336105.737422</t>
  </si>
  <si>
    <t>1.1.2.1.1.2.2.24</t>
  </si>
  <si>
    <t>1, 2, 3 этажи. Тип: FK27</t>
  </si>
  <si>
    <t>1.1.2.1.1.2.2.24.1</t>
  </si>
  <si>
    <t>282589020.737422</t>
  </si>
  <si>
    <t>20336103.737422</t>
  </si>
  <si>
    <t>1.1.2.1.1.2.2.24.2</t>
  </si>
  <si>
    <t>282589020.54637</t>
  </si>
  <si>
    <t>20336103.54637</t>
  </si>
  <si>
    <t>1.1.2.1.1.2.2.24.3</t>
  </si>
  <si>
    <t>282589020.739258</t>
  </si>
  <si>
    <t>20336103.739258</t>
  </si>
  <si>
    <t>1.1.2.1.1.2.2.24.4</t>
  </si>
  <si>
    <t>282589020.2498810</t>
  </si>
  <si>
    <t>20336103.2498810</t>
  </si>
  <si>
    <t>1.1.2.1.1.2.3</t>
  </si>
  <si>
    <t>6.3.1.5.2.3</t>
  </si>
  <si>
    <t>Устройство подоконников, оконных откосов</t>
  </si>
  <si>
    <t>1.1.2.1.1.2.3.1</t>
  </si>
  <si>
    <t>6.3.1.5.2.3.9.2</t>
  </si>
  <si>
    <t>Зашивка приборов отопления / ГВЛВ / в 2 слоя на каркасе</t>
  </si>
  <si>
    <t>1, 2, 3 этажи. Тип:WD6. ГКЛ 2 слоя КНАУФ-Файерборд (толщина 12,5 мм) на металлическом каркасе с решеткой для воздухообмена.</t>
  </si>
  <si>
    <t>663ba77e-b098-40f4-94fa-887123ae612f</t>
  </si>
  <si>
    <t>0382bb4a-a04e-4008-974d-d8ed2569c155</t>
  </si>
  <si>
    <t>1.1.2.1.1.2.3.1.1</t>
  </si>
  <si>
    <t>Угол пластиковый_/10*15*2,5м</t>
  </si>
  <si>
    <t>282588967.55028</t>
  </si>
  <si>
    <t>20343922.55028</t>
  </si>
  <si>
    <t>551cb54d-a4ff-4e4c-b8c8-5ee9eaa28821</t>
  </si>
  <si>
    <t>1.1.2.1.1.2.3.1.2</t>
  </si>
  <si>
    <t>Профиль_/стоечный/50*50*0,40/3м</t>
  </si>
  <si>
    <t>282588967.54564</t>
  </si>
  <si>
    <t>20343922.54564</t>
  </si>
  <si>
    <t>4e067b05-ad0d-4585-9beb-bdfb968030c2</t>
  </si>
  <si>
    <t>1.1.2.1.1.2.3.1.3</t>
  </si>
  <si>
    <t>282588967.54566</t>
  </si>
  <si>
    <t>20343922.54566</t>
  </si>
  <si>
    <t>1.1.2.1.1.2.3.1.4</t>
  </si>
  <si>
    <t>Плита Кнауф Файерборд_ / 2500х1200х12.5 м</t>
  </si>
  <si>
    <t>282588967.1523192</t>
  </si>
  <si>
    <t>20343922.1523192</t>
  </si>
  <si>
    <t>1a9d2c61-823f-4235-b198-e9701dbd754e</t>
  </si>
  <si>
    <t>1.1.2.1.1.2.3.2</t>
  </si>
  <si>
    <t>1, 2, 3 этажи. Тип:WD5. Зашивка вертикальных труб отопления ГKЛ тип С112 по серии Knauf толщиной 52мм. Двуслойная обшивка из КНАУФ-листов ГСП-А 12.5мм с одной стороны на одинарном металлическом каркасе из профиля ПП 60x27 Knauf.</t>
  </si>
  <si>
    <t>1.1.2.1.1.2.3.2.1</t>
  </si>
  <si>
    <t>Лист гипсоволокнистый ГВЛВ 12,5мм Г1</t>
  </si>
  <si>
    <t>282589021.7352</t>
  </si>
  <si>
    <t>20344047.7352</t>
  </si>
  <si>
    <t>22b5ef4c-0665-11e8-80d9-005056881952</t>
  </si>
  <si>
    <t>1.1.2.1.1.2.3.2.2</t>
  </si>
  <si>
    <t>282589021.54564</t>
  </si>
  <si>
    <t>20344047.54564</t>
  </si>
  <si>
    <t>1.1.2.1.1.2.3.2.3</t>
  </si>
  <si>
    <t>282589021.54566</t>
  </si>
  <si>
    <t>20344047.54566</t>
  </si>
  <si>
    <t>1.1.2.1.1.2.3.2.4</t>
  </si>
  <si>
    <t>282589021.55028</t>
  </si>
  <si>
    <t>20344047.55028</t>
  </si>
  <si>
    <t>1.1.2.1.1.3</t>
  </si>
  <si>
    <t>6.3.1.5.3</t>
  </si>
  <si>
    <t>Потолки</t>
  </si>
  <si>
    <t>1.1.2.1.1.3.1</t>
  </si>
  <si>
    <t>6.3.1.5.3.1</t>
  </si>
  <si>
    <t>Черновые работы по поверхности потолков</t>
  </si>
  <si>
    <t>1.1.2.1.1.3.1.1</t>
  </si>
  <si>
    <t>6.3.1.5.3.1.6.1</t>
  </si>
  <si>
    <t>Подготовка поверхности СКБ / потолка / ЖБ / 5 мм</t>
  </si>
  <si>
    <t>1, 2, 3 этажи. Шпаклевка базовая до 5 мм. Тип: CF1=2861,1 м2; CF13=240,8 м2</t>
  </si>
  <si>
    <t>d8ade7bb-05e7-4786-90a0-891f405ecdf1</t>
  </si>
  <si>
    <t>d89f0cdd-97a2-4d68-95d2-a137bc57c6ad</t>
  </si>
  <si>
    <t>1.1.2.1.1.3.1.1.1</t>
  </si>
  <si>
    <t>Шпатлевка гипсовая_ / белая / Унифицированная по ПИК-СТАНДАРТ, 30кг</t>
  </si>
  <si>
    <t>282588971.54622</t>
  </si>
  <si>
    <t>20324131.54622</t>
  </si>
  <si>
    <t>c5ed9089-be55-4be8-8db3-0f286a2dbba5</t>
  </si>
  <si>
    <t>1.1.2.1.1.3.1.1.2</t>
  </si>
  <si>
    <t>282588971.54634</t>
  </si>
  <si>
    <t>20324131.54634</t>
  </si>
  <si>
    <t>1.1.2.1.1.3.1.2</t>
  </si>
  <si>
    <t>6.3.1.5.3.1.6.4</t>
  </si>
  <si>
    <t>Подготовка поверхности СКБ / стен / ГКЛ, ПГП / 2мм</t>
  </si>
  <si>
    <t>1, 2, 3 этажи. Шпаклевка базовая до 5 мм. Тип: CF2</t>
  </si>
  <si>
    <t>fa1c67dc-3027-4791-83d8-da340ce63151</t>
  </si>
  <si>
    <t>9715c536-701e-4362-beb4-5db4688b691c</t>
  </si>
  <si>
    <t>1.1.2.1.1.3.1.2.1</t>
  </si>
  <si>
    <t>282588972.54622</t>
  </si>
  <si>
    <t>21107425.54622</t>
  </si>
  <si>
    <t>1.1.2.1.1.3.1.2.2</t>
  </si>
  <si>
    <t>282588972.54634</t>
  </si>
  <si>
    <t>21107425.54634</t>
  </si>
  <si>
    <t>1.1.2.1.1.3.2</t>
  </si>
  <si>
    <t>6.3.1.5.3.2</t>
  </si>
  <si>
    <t>Чистовые работы по поверхности потолков</t>
  </si>
  <si>
    <t>1.1.2.1.1.3.2.1</t>
  </si>
  <si>
    <t>6.3.1.5.3.2.3.2</t>
  </si>
  <si>
    <t>Лакокрасочные работы СКБ / окраска потолков / в 2 слоя</t>
  </si>
  <si>
    <t>1, 2, 3 этажи. Тип: CF1. Покраска жб плиты перекрытия, включая инженерное оборудование, расположенное в зоне открытого потолка: подготовка бетонного основания, штукатурка, шпаклевка (при необходимости).</t>
  </si>
  <si>
    <t>55dcd11a-c570-4894-be4e-3c3874402761</t>
  </si>
  <si>
    <t>3997b616-bcf5-4c13-ae76-75afa96c846f</t>
  </si>
  <si>
    <t>1.1.2.1.1.3.2.1.1</t>
  </si>
  <si>
    <t>Gutver Prometeks RAL 9016 - Матовая краска для стен или аналог.  Класс пожарной опасности: КМ0</t>
  </si>
  <si>
    <t>282588975.758318</t>
  </si>
  <si>
    <t>20344955.758318</t>
  </si>
  <si>
    <t>1.1.2.1.1.3.2.1.2</t>
  </si>
  <si>
    <t>282588975.54634</t>
  </si>
  <si>
    <t>20344955.54634</t>
  </si>
  <si>
    <t>1.1.2.1.1.3.2.2</t>
  </si>
  <si>
    <t>1, 2, 3 этажи. Тип: CF2 Покраска Gutver Prometeks RAL 9016 КМ0</t>
  </si>
  <si>
    <t>1.1.2.1.1.3.2.2.1</t>
  </si>
  <si>
    <t>282589022.54634</t>
  </si>
  <si>
    <t>20344956.54634</t>
  </si>
  <si>
    <t>1.1.2.1.1.3.2.2.2</t>
  </si>
  <si>
    <t>282589022.758318</t>
  </si>
  <si>
    <t>20344956.758318</t>
  </si>
  <si>
    <t>1.1.2.1.1.3.2.3</t>
  </si>
  <si>
    <t>1, 2, 3 этажи. Тип: CF13. Покраска жб плиты перекрытия, включая инженерное оборудование, расположенное в зоне открытого потолка: подготовка бетонного основания, штукатурка, шпаклевка (при необходимости).</t>
  </si>
  <si>
    <t>1.1.2.1.1.3.2.3.1</t>
  </si>
  <si>
    <t xml:space="preserve"> Gutver Prometeks RAL Design 180 40 15 - Матовая краска для стен или аналог.</t>
  </si>
  <si>
    <t>282589023.758318</t>
  </si>
  <si>
    <t>20345081.758318</t>
  </si>
  <si>
    <t>1.1.2.1.1.3.2.3.2</t>
  </si>
  <si>
    <t>282589023.54634</t>
  </si>
  <si>
    <t>20345081.54634</t>
  </si>
  <si>
    <t>1.1.2.1.1.3.2.4</t>
  </si>
  <si>
    <t>1, 2, 3 этажи. Тип: CF15.2. Покраска жб плиты перекрытия, включая инженерное оборудование, расположенное в зоне открытого потолка: подготовка бетонного основания, штукатурка, шпаклевка (при необходимости).</t>
  </si>
  <si>
    <t>1.1.2.1.1.3.2.4.1</t>
  </si>
  <si>
    <t>282589024.54634</t>
  </si>
  <si>
    <t>20345310.54634</t>
  </si>
  <si>
    <t>1.1.2.1.1.3.2.4.2</t>
  </si>
  <si>
    <t xml:space="preserve">Gutver Prometeks RAL 5024 - Матовая краска для стен или аналог.  Класс пожарной опасности: КМ0
</t>
  </si>
  <si>
    <t>282589024.758318</t>
  </si>
  <si>
    <t>20345310.758318</t>
  </si>
  <si>
    <t>1.1.2.1.1.4</t>
  </si>
  <si>
    <t>6.3.1.5.4</t>
  </si>
  <si>
    <t>Монтаж потолочных конструкций</t>
  </si>
  <si>
    <t>1.1.2.1.1.4.1</t>
  </si>
  <si>
    <t>6.3.1.5.4.1.1</t>
  </si>
  <si>
    <t>Монтаж подвесного потолка / из Аквапанелей</t>
  </si>
  <si>
    <t>1, 2, 3 этажи. Тип: CF9 Влагостойкие панели Rockfon, арт. Lilia, кромка А15. Подвесная система Chicago Metallic Т15 Click 2790, основной профиль Т15 Click L=3600мм, поперечный профиль Т15 Click L=600мм, угол пристеночный 19х24 L=3050мм, размер плиты 600х600мм, цвет белый, класс ПБ КМ1</t>
  </si>
  <si>
    <t>31f0cce8-2c10-4d50-97c2-6b4add5a1db9</t>
  </si>
  <si>
    <t>6f7b5bd4-421f-4077-8516-796d4fef9b1c</t>
  </si>
  <si>
    <t>1.1.2.1.1.4.1.1</t>
  </si>
  <si>
    <t>Прочие материалы_</t>
  </si>
  <si>
    <t>282588978.714896</t>
  </si>
  <si>
    <t>20300962.714896</t>
  </si>
  <si>
    <t>fdf8c0a8-2572-4068-9aa9-e798fd9f8bff</t>
  </si>
  <si>
    <t>1.1.2.1.1.4.1.2</t>
  </si>
  <si>
    <t>Плита Аквапанель_</t>
  </si>
  <si>
    <t>282588978.703444</t>
  </si>
  <si>
    <t>20300962.703444</t>
  </si>
  <si>
    <t>2c475c37-a5f6-40fd-88b8-63c49f8c7850</t>
  </si>
  <si>
    <t>1.1.2.1.1.4.1.3</t>
  </si>
  <si>
    <t>Каркас_</t>
  </si>
  <si>
    <t>282588978.714897</t>
  </si>
  <si>
    <t>20300962.714897</t>
  </si>
  <si>
    <t>d67a84c8-d326-4113-825a-f75ffa1be1b7</t>
  </si>
  <si>
    <t>1.1.2.1.1.4.2</t>
  </si>
  <si>
    <t>6.3.1.5.4.1.2</t>
  </si>
  <si>
    <t>Монтаж подвесного потолка / типа Армстронг, Грильято</t>
  </si>
  <si>
    <t>1, 2, 3 этажи. Тип: CF5. Кубообразный Потолки АЛБЕС 30х85х3000мм, между рейками 70 оцинкованная сталь 0,45 RAL 1018 матовый</t>
  </si>
  <si>
    <t>2666ca34-b663-41c7-b8b7-caa2f71855b8</t>
  </si>
  <si>
    <t>fd6369e7-760a-4bf3-8c56-a6af236cf5cf</t>
  </si>
  <si>
    <t>1.1.2.1.1.4.2.1</t>
  </si>
  <si>
    <t>Реечный потолок_ / Металлический</t>
  </si>
  <si>
    <t>282588979.715461</t>
  </si>
  <si>
    <t>20300961.715461</t>
  </si>
  <si>
    <t>10b4c8b2-e44c-4d73-8a2f-cd56f0c6cf37</t>
  </si>
  <si>
    <t>1.1.2.1.1.4.3</t>
  </si>
  <si>
    <t>1, 2, 3 этажи. Тип: CF6. Кубообразный Потолки АЛБЕС 30х85х3000мм, между рейками 70 оцинкованная сталь 0,45 RAL 9016 матовый</t>
  </si>
  <si>
    <t>1.1.2.1.1.4.3.1</t>
  </si>
  <si>
    <t>Цена 3000 руб/м2</t>
  </si>
  <si>
    <t>282589025.715461</t>
  </si>
  <si>
    <t>20301990.715461</t>
  </si>
  <si>
    <t>1.1.2.1.1.4.4</t>
  </si>
  <si>
    <t>1, 2, 3 этажи. Тип: CF16. Кубообразный Потолки АЛБЕС 30х85х3000мм, между рейками 70 оцинкованная сталь 0,45, текстура дерева W203-1013</t>
  </si>
  <si>
    <t>1.1.2.1.1.4.4.1</t>
  </si>
  <si>
    <t>282589026.715461</t>
  </si>
  <si>
    <t>20301991.715461</t>
  </si>
  <si>
    <t>1.1.2.1.1.4.5</t>
  </si>
  <si>
    <t>6.3.1.5.4.2.1</t>
  </si>
  <si>
    <t>Надбавка за монтаж подвесного потолка при высоте более 3,2 м, включая использование лесов и подмостей</t>
  </si>
  <si>
    <t>11bf38a8-1e54-4d46-8d49-39254e318eaa</t>
  </si>
  <si>
    <t>9ed057e5-7f60-48cb-ae6a-bf5b2768c125</t>
  </si>
  <si>
    <t>1.1.2.1.1.4.6</t>
  </si>
  <si>
    <t>6.3.1.5.4.4.1</t>
  </si>
  <si>
    <t>Монтаж подвесного потолка СКБ / из акустических древесных плит</t>
  </si>
  <si>
    <t>1, 2, 3 этажи. Тип: CF18. Подвесной потолок из СМЛ-лист Лемарк с покрытием HPL FR Дуб рона LM 0657sh. КМ1. Размеры панелей 3050х1300, или аналог.</t>
  </si>
  <si>
    <t>c705c4a9-d32a-459e-a39e-ceba03e1c601</t>
  </si>
  <si>
    <t>4b59e369-024b-4661-bd71-e22473890c37</t>
  </si>
  <si>
    <t>1.1.2.1.1.4.6.1</t>
  </si>
  <si>
    <t>Плита древесноволокнистая ДВП s=25мм SoundBoard SuperFine</t>
  </si>
  <si>
    <t>282588983.1747145</t>
  </si>
  <si>
    <t>20347730.1747145</t>
  </si>
  <si>
    <t>f39a5928-311f-11ee-9904-d1661ac0bb93</t>
  </si>
  <si>
    <t>1.1.2.1.1.4.7</t>
  </si>
  <si>
    <t>6.3.1.5.4.4.2</t>
  </si>
  <si>
    <t>Монтаж подвесного потолка СКБ / из ГКЛ в 1 слой с применением профиля ПП</t>
  </si>
  <si>
    <t>1, 2, 3 этажи. Тип: CF2. Подвесной потолок из КНАУФ-листов тип П112 Knauff. Однослойная обшивка из ГСП-DF или файерборда 12,5мм, на двухуровневом металлическом каркасе ПП 60х27 Knauff, усиленном с шагом профилей не более 400х400 мм, отступ от стен по периметру не более 100 мм, с шагом креплений/подвесов не более 600х600.</t>
  </si>
  <si>
    <t>2958f052-386d-4488-b826-0762b112545c</t>
  </si>
  <si>
    <t>3f978f2b-872c-42ab-be18-f6c72259b319</t>
  </si>
  <si>
    <t>1.1.2.1.1.4.7.1</t>
  </si>
  <si>
    <t>Удлинитель профилей_/потолочный/60*27</t>
  </si>
  <si>
    <t>282588984.54575</t>
  </si>
  <si>
    <t>20347725.54575</t>
  </si>
  <si>
    <t>46cc4ab9-5306-44b0-b02d-73ca24dc456b</t>
  </si>
  <si>
    <t>1.1.2.1.1.4.7.2</t>
  </si>
  <si>
    <t>Соединитель профилей одноуровневый_/потолочный/60*27</t>
  </si>
  <si>
    <t>282588984.54576</t>
  </si>
  <si>
    <t>20347725.54576</t>
  </si>
  <si>
    <t>d396c343-40ec-430e-b651-cf8e8a10f274</t>
  </si>
  <si>
    <t>1.1.2.1.1.4.7.3</t>
  </si>
  <si>
    <t>Профиль_/направляющий/28*27*0,40/3м</t>
  </si>
  <si>
    <t>282588984.54569</t>
  </si>
  <si>
    <t>20347725.54569</t>
  </si>
  <si>
    <t>34b4edce-5006-4616-be2f-9d47724dc09a</t>
  </si>
  <si>
    <t>1.1.2.1.1.4.7.4</t>
  </si>
  <si>
    <t>Профиль_/потолочный/60*27*0,40/3м</t>
  </si>
  <si>
    <t>282588984.54568</t>
  </si>
  <si>
    <t>20347725.54568</t>
  </si>
  <si>
    <t>de448100-a03f-42fb-b903-fa1d0845e34a</t>
  </si>
  <si>
    <t>1.1.2.1.1.4.7.5</t>
  </si>
  <si>
    <t>Шуруп со сверлом_/3,5*11</t>
  </si>
  <si>
    <t>282588984.54821</t>
  </si>
  <si>
    <t>20347725.54821</t>
  </si>
  <si>
    <t>438f03b8-0245-4746-af3b-94d943760b3b</t>
  </si>
  <si>
    <t>1.1.2.1.1.4.7.6</t>
  </si>
  <si>
    <t>Подвес профиля прямой_/потолочный/60*27</t>
  </si>
  <si>
    <t>282588984.54573</t>
  </si>
  <si>
    <t>20347725.54573</t>
  </si>
  <si>
    <t>0eb7bcf2-ac18-4bde-8e36-3ccb4cd58803</t>
  </si>
  <si>
    <t>1.1.2.1.1.4.7.7</t>
  </si>
  <si>
    <t>Шуруп_/3,5*25</t>
  </si>
  <si>
    <t>282588984.54822</t>
  </si>
  <si>
    <t>20347725.54822</t>
  </si>
  <si>
    <t>9afa7adc-2604-4bf8-8123-329424645872</t>
  </si>
  <si>
    <t>1.1.2.1.1.4.7.8</t>
  </si>
  <si>
    <t>Шпаклевка д/заделки швов, ШОВСИЛК_/Т33</t>
  </si>
  <si>
    <t>282588984.54624</t>
  </si>
  <si>
    <t>20347725.54624</t>
  </si>
  <si>
    <t>7b96503e-5889-4b88-b7f6-580caaa662ae</t>
  </si>
  <si>
    <t>1.1.2.1.1.4.7.9</t>
  </si>
  <si>
    <t>282588984.1523192</t>
  </si>
  <si>
    <t>20347725.1523192</t>
  </si>
  <si>
    <t>1.1.2.1.1.4.7.10</t>
  </si>
  <si>
    <t>Лента Дихтунгсбанд_/50мм</t>
  </si>
  <si>
    <t>282588984.55042</t>
  </si>
  <si>
    <t>20347725.55042</t>
  </si>
  <si>
    <t>db776908-a7ed-4efe-a1e0-14c0d3badf1f</t>
  </si>
  <si>
    <t>1.1.2.1.1.4.7.11</t>
  </si>
  <si>
    <t>Лента армирующая ( серпянка)_/50мм</t>
  </si>
  <si>
    <t>282588984.55038</t>
  </si>
  <si>
    <t>20347725.55038</t>
  </si>
  <si>
    <t>ef366d6b-1118-416c-acc5-430ee111e823</t>
  </si>
  <si>
    <t>1.1.2.1.1.4.7.12</t>
  </si>
  <si>
    <t>282588984.1139608</t>
  </si>
  <si>
    <t>20347725.1139608</t>
  </si>
  <si>
    <t>1.1.2.1.1.4.7.13</t>
  </si>
  <si>
    <t>Анкер-клин_/6*40</t>
  </si>
  <si>
    <t>282588984.54828</t>
  </si>
  <si>
    <t>20347725.54828</t>
  </si>
  <si>
    <t>d1d11d59-b5f9-4bc0-894f-4c016002bf47</t>
  </si>
  <si>
    <t>1.1.2.1.1.4.8</t>
  </si>
  <si>
    <t>6.3.1.5.4.4.4</t>
  </si>
  <si>
    <t>Монтаж подвесного потолка СКБ / типа Армстронг, Грильято</t>
  </si>
  <si>
    <t>1, 2, 3 этажи. Тип: CF3. Потолки Грильято ячейки 100х100 АЛБЕС Белый</t>
  </si>
  <si>
    <t>86b87f1a-32b5-4855-8388-b5bf81a42325</t>
  </si>
  <si>
    <t>42e8bac0-98f1-4b1f-8603-9612c710de3f</t>
  </si>
  <si>
    <t>1.1.2.1.1.4.8.1</t>
  </si>
  <si>
    <t>Подвесной потолок ГРИЛЬЯТО_ / белый / 100х100х40мм</t>
  </si>
  <si>
    <t>282588985.1196508</t>
  </si>
  <si>
    <t>20347726.1196508</t>
  </si>
  <si>
    <t>7c413101-029a-4584-ace7-69ad01fdbaa7</t>
  </si>
  <si>
    <t>1.1.2.1.1.4.9</t>
  </si>
  <si>
    <t>1, 2, 3 этажи. Тип: CF4. Потолочная плита Рокфон Школа A15 1200х600х20, цвет RAL9016</t>
  </si>
  <si>
    <t>1.1.2.1.1.4.9.1</t>
  </si>
  <si>
    <t>Подвесной потолок Армстронг / Белый</t>
  </si>
  <si>
    <t>282589027.1353009</t>
  </si>
  <si>
    <t>20347727.1353009</t>
  </si>
  <si>
    <t>137a189c-acd0-4b00-a19c-980286873b94</t>
  </si>
  <si>
    <t>1.1.2.1.1.4.10</t>
  </si>
  <si>
    <t>1, 2, 3 этажи. Тип: CF17 Подвесной металлический кассетный потолок Албес. Размер панели 600х600х20, цвет белый. Или аналог</t>
  </si>
  <si>
    <t>1.1.2.1.1.4.10.1</t>
  </si>
  <si>
    <t>282589028.1353009</t>
  </si>
  <si>
    <t>20347722.1353009</t>
  </si>
  <si>
    <t>1.1.2.1.1.4.11</t>
  </si>
  <si>
    <t>1, 2, 3 этажи. Тип: CF12. Металлический кассетный потолок с заполнением из металлических стержней в одном направлении, см. альбом индивидуального изготовления. Производитель Группа компаний АСП, или аналог, панели размер 1200х600, 630х600, размеры уточнить по месту</t>
  </si>
  <si>
    <t>1.1.2.1.1.4.11.1</t>
  </si>
  <si>
    <t xml:space="preserve">Кассетный металический потолок  </t>
  </si>
  <si>
    <t>282589029.847703</t>
  </si>
  <si>
    <t>21107984.847703</t>
  </si>
  <si>
    <t>58e7c86f-477b-47b9-985f-0a528b32f78c</t>
  </si>
  <si>
    <t>Общая стоимость работ, руб.с НДС 20%</t>
  </si>
  <si>
    <t>Квалификационная и контактная информация</t>
  </si>
  <si>
    <t>А</t>
  </si>
  <si>
    <t>Наличие авансирования</t>
  </si>
  <si>
    <t>да (%) /нет</t>
  </si>
  <si>
    <t>Б</t>
  </si>
  <si>
    <t>Готовность приступить к работе по уведомлению</t>
  </si>
  <si>
    <t>да /нет</t>
  </si>
  <si>
    <t>В</t>
  </si>
  <si>
    <t>Готовность предоставить банковскую гарантию (при наличии аванса)</t>
  </si>
  <si>
    <t>да(банк) /нет</t>
  </si>
  <si>
    <t>Г</t>
  </si>
  <si>
    <t>Срок исполнения предмета тендера</t>
  </si>
  <si>
    <t>мес.</t>
  </si>
  <si>
    <t>Д</t>
  </si>
  <si>
    <t>Гарантийный срок 5 лет</t>
  </si>
  <si>
    <t>E</t>
  </si>
  <si>
    <t>Информация о посещении объекта (были/не были), вопросы по результатам посещения</t>
  </si>
  <si>
    <t>были/не были
да/нет</t>
  </si>
  <si>
    <t>Ж</t>
  </si>
  <si>
    <t>Виды работ, планируемые к выполнению субподрядными организациями</t>
  </si>
  <si>
    <t>вид работ-наименование</t>
  </si>
  <si>
    <t>З</t>
  </si>
  <si>
    <t>Готовность подписать договор в редакции Заказчика</t>
  </si>
  <si>
    <t>да/нет</t>
  </si>
  <si>
    <t>И</t>
  </si>
  <si>
    <t>Наличие СРО</t>
  </si>
  <si>
    <t>да (сумма) /нет</t>
  </si>
  <si>
    <t>К</t>
  </si>
  <si>
    <t>Опыт работы с ГК ПИК (при наличии текущих проектов- указать % реализации)</t>
  </si>
  <si>
    <t>объект/ вид работ/% выполнения</t>
  </si>
  <si>
    <t>Л</t>
  </si>
  <si>
    <t>Опыт реализации подобных видов работ за последние 2-3 года (указать не более 5 ключевых объектов и их заказчиков)</t>
  </si>
  <si>
    <t>объект/заказчик/год</t>
  </si>
  <si>
    <t>М</t>
  </si>
  <si>
    <t>Численность работающих всего / численность, планируемая для выполнения предмета тендера</t>
  </si>
  <si>
    <t>кол-во/кол-во</t>
  </si>
  <si>
    <t>Н</t>
  </si>
  <si>
    <t>Дата регистрации компании</t>
  </si>
  <si>
    <t>дд/мм/гг</t>
  </si>
  <si>
    <t>О</t>
  </si>
  <si>
    <t>Оборот за последние 3 года (указать оборот (выручку) по данным бухгалтерской отчетности за 2014/2015/2016 год)</t>
  </si>
  <si>
    <t>год-сумма/год-сумма/год-сумма (руб.без НДС)</t>
  </si>
  <si>
    <t>2015-
2016-
2017-</t>
  </si>
  <si>
    <t>П</t>
  </si>
  <si>
    <t>Сайт компании</t>
  </si>
  <si>
    <t>ссылка</t>
  </si>
  <si>
    <t>Р</t>
  </si>
  <si>
    <t>Генеральный директор : Ф.И.О. полностью, тел., e-mail</t>
  </si>
  <si>
    <t>С</t>
  </si>
  <si>
    <t>Контактное лицо: Ф.И.О. полностью, тел., e-mail</t>
  </si>
  <si>
    <t>Т</t>
  </si>
  <si>
    <t>Примечание к ТКП претендента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</si>
</sst>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14" x14ac:knownFonts="1">
    <font>
      <sz val="11"/>
      <color rgb="FF000000"/>
      <name val="Calibri"/>
    </font>
    <font>
      <b/>
      <sz val="11"/>
      <color rgb="FFFFFFFF"/>
      <name val="Times New Roman"/>
    </font>
    <font>
      <sz val="12"/>
      <color rgb="FF2F5487"/>
      <name val="Times New Roman"/>
    </font>
    <font>
      <b/>
      <sz val="16"/>
      <color rgb="FF000000"/>
      <name val="Times New Roman"/>
    </font>
    <font>
      <sz val="12"/>
      <color rgb="FF000000"/>
      <name val="Times New Roman"/>
    </font>
    <font>
      <sz val="16"/>
      <color rgb="FF000000"/>
      <name val="Times New Roman"/>
    </font>
    <font>
      <b/>
      <sz val="16"/>
      <color rgb="FFFFFFFF"/>
      <name val="Times New Roman"/>
    </font>
    <font>
      <b/>
      <sz val="13"/>
      <color rgb="FF000000"/>
      <name val="Times New Roman"/>
    </font>
    <font>
      <b/>
      <sz val="18"/>
      <color rgb="FF000000"/>
      <name val="Times New Roman"/>
    </font>
    <font>
      <sz val="14"/>
      <color rgb="FF000000"/>
      <name val="Times New Roman"/>
    </font>
    <font>
      <i/>
      <sz val="14"/>
      <color rgb="FF000000"/>
      <name val="Times New Roman"/>
    </font>
    <font>
      <sz val="14"/>
      <color rgb="FF800000"/>
      <name val="Times New Roman"/>
    </font>
    <font>
      <b/>
      <sz val="14"/>
      <color rgb="FFFF0000"/>
      <name val="Times New Roman"/>
    </font>
    <font>
      <b/>
      <sz val="14"/>
      <color rgb="FF00000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2F5487"/>
        <bgColor rgb="FF000000"/>
      </patternFill>
    </fill>
    <fill>
      <patternFill patternType="solid">
        <fgColor rgb="FFDBE6F1"/>
        <bgColor rgb="FF000000"/>
      </patternFill>
    </fill>
    <fill>
      <patternFill patternType="solid">
        <fgColor rgb="FFD9D9D8"/>
        <bgColor rgb="FF000000"/>
      </patternFill>
    </fill>
    <fill>
      <patternFill patternType="solid">
        <fgColor rgb="FFD8E4BC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0" fillId="2" borderId="0" xfId="0" applyFill="1"/>
    <xf numFmtId="0" fontId="4" fillId="0" borderId="0" xfId="0" applyFont="1" applyAlignment="1">
      <alignment horizontal="left" vertical="center"/>
    </xf>
    <xf numFmtId="0" fontId="4" fillId="0" borderId="7" xfId="0" applyFont="1" applyBorder="1" applyAlignment="1">
      <alignment horizontal="center" vertical="center" wrapText="1"/>
    </xf>
    <xf numFmtId="4" fontId="7" fillId="0" borderId="7" xfId="0" applyNumberFormat="1" applyFont="1" applyBorder="1" applyAlignment="1">
      <alignment horizontal="center" vertical="center"/>
    </xf>
    <xf numFmtId="0" fontId="0" fillId="4" borderId="2" xfId="0" applyFill="1" applyBorder="1"/>
    <xf numFmtId="4" fontId="7" fillId="4" borderId="7" xfId="0" applyNumberFormat="1" applyFont="1" applyFill="1" applyBorder="1" applyAlignment="1">
      <alignment horizontal="center" vertical="center"/>
    </xf>
    <xf numFmtId="4" fontId="4" fillId="0" borderId="0" xfId="0" applyNumberFormat="1" applyFont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center" vertical="center" wrapText="1"/>
    </xf>
    <xf numFmtId="164" fontId="9" fillId="0" borderId="7" xfId="0" applyNumberFormat="1" applyFont="1" applyBorder="1" applyAlignment="1">
      <alignment horizontal="center" vertical="center" wrapText="1"/>
    </xf>
    <xf numFmtId="4" fontId="9" fillId="0" borderId="7" xfId="0" applyNumberFormat="1" applyFont="1" applyBorder="1" applyAlignment="1">
      <alignment horizontal="center" vertical="center" wrapText="1"/>
    </xf>
    <xf numFmtId="4" fontId="9" fillId="3" borderId="7" xfId="0" applyNumberFormat="1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right" vertical="center" wrapText="1"/>
    </xf>
    <xf numFmtId="0" fontId="9" fillId="0" borderId="7" xfId="0" applyFont="1" applyBorder="1" applyAlignment="1">
      <alignment horizontal="center" vertical="center"/>
    </xf>
    <xf numFmtId="164" fontId="9" fillId="0" borderId="7" xfId="0" applyNumberFormat="1" applyFont="1" applyBorder="1" applyAlignment="1">
      <alignment horizontal="center" vertical="center"/>
    </xf>
    <xf numFmtId="4" fontId="9" fillId="3" borderId="7" xfId="0" applyNumberFormat="1" applyFont="1" applyFill="1" applyBorder="1" applyAlignment="1">
      <alignment horizontal="center" vertical="center"/>
    </xf>
    <xf numFmtId="4" fontId="9" fillId="0" borderId="7" xfId="0" applyNumberFormat="1" applyFont="1" applyBorder="1" applyAlignment="1">
      <alignment horizontal="center" vertical="center"/>
    </xf>
    <xf numFmtId="0" fontId="10" fillId="5" borderId="7" xfId="0" applyFont="1" applyFill="1" applyBorder="1" applyAlignment="1">
      <alignment horizontal="right" vertical="center" wrapText="1"/>
    </xf>
    <xf numFmtId="164" fontId="11" fillId="0" borderId="7" xfId="0" applyNumberFormat="1" applyFont="1" applyBorder="1" applyAlignment="1">
      <alignment horizontal="center" vertical="center"/>
    </xf>
    <xf numFmtId="164" fontId="12" fillId="0" borderId="7" xfId="0" applyNumberFormat="1" applyFont="1" applyBorder="1" applyAlignment="1">
      <alignment horizontal="center" vertical="center"/>
    </xf>
    <xf numFmtId="0" fontId="0" fillId="3" borderId="0" xfId="0" applyFill="1"/>
    <xf numFmtId="0" fontId="13" fillId="3" borderId="7" xfId="0" applyFont="1" applyFill="1" applyBorder="1" applyAlignment="1">
      <alignment horizontal="right" vertical="center"/>
    </xf>
    <xf numFmtId="4" fontId="13" fillId="3" borderId="7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wrapText="1"/>
    </xf>
    <xf numFmtId="0" fontId="0" fillId="0" borderId="1" xfId="0" applyBorder="1"/>
    <xf numFmtId="0" fontId="0" fillId="0" borderId="2" xfId="0" applyBorder="1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0" fontId="8" fillId="4" borderId="3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5" fillId="3" borderId="2" xfId="0" applyFont="1" applyFill="1" applyBorder="1" applyAlignment="1" applyProtection="1">
      <alignment horizontal="center" vertical="center"/>
      <protection locked="0"/>
    </xf>
    <xf numFmtId="0" fontId="5" fillId="3" borderId="3" xfId="0" applyFont="1" applyFill="1" applyBorder="1" applyAlignment="1" applyProtection="1">
      <alignment horizontal="center" vertical="center"/>
      <protection locked="0"/>
    </xf>
    <xf numFmtId="0" fontId="4" fillId="0" borderId="5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12"/>
  <sheetViews>
    <sheetView zoomScale="62" zoomScaleNormal="62" workbookViewId="0">
      <pane xSplit="9" ySplit="7" topLeftCell="J166" activePane="bottomRight" state="frozen"/>
      <selection pane="topRight"/>
      <selection pane="bottomLeft"/>
      <selection pane="bottomRight" activeCell="J172" sqref="J172"/>
    </sheetView>
  </sheetViews>
  <sheetFormatPr defaultRowHeight="15" x14ac:dyDescent="0.25"/>
  <cols>
    <col min="1" max="1" width="20" customWidth="1"/>
    <col min="2" max="2" width="21.7109375" bestFit="1" customWidth="1"/>
    <col min="3" max="3" width="55.5703125" customWidth="1"/>
    <col min="4" max="4" width="20.42578125" customWidth="1"/>
    <col min="5" max="5" width="60.5703125" customWidth="1"/>
    <col min="6" max="7" width="16.42578125" customWidth="1"/>
    <col min="8" max="8" width="16" customWidth="1"/>
    <col min="9" max="9" width="16.85546875" customWidth="1"/>
    <col min="10" max="10" width="16" customWidth="1"/>
    <col min="11" max="11" width="17" customWidth="1"/>
    <col min="12" max="12" width="17.5703125" customWidth="1"/>
    <col min="13" max="13" width="18" customWidth="1"/>
    <col min="14" max="14" width="18.85546875" customWidth="1"/>
    <col min="15" max="15" width="23.5703125" customWidth="1"/>
    <col min="16" max="16" width="16" customWidth="1"/>
    <col min="17" max="17" width="17" customWidth="1"/>
    <col min="18" max="18" width="17.5703125" customWidth="1"/>
    <col min="19" max="19" width="18" customWidth="1"/>
    <col min="20" max="20" width="18.85546875" customWidth="1"/>
    <col min="21" max="21" width="23.5703125" customWidth="1"/>
    <col min="22" max="35" width="9.140625" hidden="1"/>
  </cols>
  <sheetData>
    <row r="1" spans="1:35" ht="15" customHeight="1" x14ac:dyDescent="0.25">
      <c r="A1" s="1" t="s">
        <v>0</v>
      </c>
      <c r="B1" s="3"/>
      <c r="C1" s="3"/>
      <c r="D1" s="2" t="s">
        <v>1</v>
      </c>
      <c r="E1" s="2" t="s">
        <v>3</v>
      </c>
      <c r="F1" s="2" t="s">
        <v>2</v>
      </c>
      <c r="G1" s="2" t="s">
        <v>10</v>
      </c>
      <c r="H1" s="2" t="s">
        <v>11</v>
      </c>
      <c r="I1" s="2" t="s">
        <v>12</v>
      </c>
      <c r="J1" s="2" t="s">
        <v>13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AC1" s="4" t="s">
        <v>14</v>
      </c>
      <c r="AD1" s="4" t="s">
        <v>15</v>
      </c>
      <c r="AE1" s="4" t="s">
        <v>16</v>
      </c>
      <c r="AF1" s="4" t="s">
        <v>17</v>
      </c>
      <c r="AG1" s="4" t="s">
        <v>18</v>
      </c>
      <c r="AH1" s="4" t="s">
        <v>19</v>
      </c>
      <c r="AI1" s="4" t="s">
        <v>20</v>
      </c>
    </row>
    <row r="2" spans="1:35" ht="30.75" customHeight="1" x14ac:dyDescent="0.25">
      <c r="A2" s="41" t="s">
        <v>4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</row>
    <row r="3" spans="1:35" ht="15" customHeight="1" x14ac:dyDescent="0.25">
      <c r="A3" s="42" t="s">
        <v>5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</row>
    <row r="4" spans="1:35" ht="15" customHeight="1" x14ac:dyDescent="0.25">
      <c r="A4" s="43" t="s">
        <v>6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</row>
    <row r="5" spans="1:35" ht="40.700000000000003" customHeight="1" x14ac:dyDescent="0.25">
      <c r="A5" s="39" t="s">
        <v>21</v>
      </c>
      <c r="B5" s="39" t="s">
        <v>22</v>
      </c>
      <c r="C5" s="39" t="s">
        <v>23</v>
      </c>
      <c r="D5" s="39" t="s">
        <v>24</v>
      </c>
      <c r="E5" s="39" t="s">
        <v>25</v>
      </c>
      <c r="F5" s="39" t="s">
        <v>26</v>
      </c>
      <c r="G5" s="39" t="s">
        <v>27</v>
      </c>
      <c r="H5" s="39" t="s">
        <v>28</v>
      </c>
      <c r="I5" s="39" t="s">
        <v>29</v>
      </c>
      <c r="J5" s="44" t="s">
        <v>7</v>
      </c>
      <c r="K5" s="45"/>
      <c r="L5" s="45"/>
      <c r="M5" s="45"/>
      <c r="N5" s="45"/>
      <c r="O5" s="46"/>
      <c r="P5" s="47" t="s">
        <v>8</v>
      </c>
      <c r="Q5" s="48"/>
      <c r="R5" s="49"/>
      <c r="S5" s="47" t="s">
        <v>9</v>
      </c>
      <c r="T5" s="48"/>
      <c r="U5" s="49"/>
    </row>
    <row r="6" spans="1:35" ht="15.75" customHeight="1" x14ac:dyDescent="0.25">
      <c r="A6" s="50"/>
      <c r="B6" s="50"/>
      <c r="C6" s="50"/>
      <c r="D6" s="50"/>
      <c r="E6" s="50"/>
      <c r="F6" s="50"/>
      <c r="G6" s="50"/>
      <c r="H6" s="50"/>
      <c r="I6" s="50"/>
      <c r="J6" s="30" t="s">
        <v>30</v>
      </c>
      <c r="K6" s="32"/>
      <c r="L6" s="39" t="s">
        <v>30</v>
      </c>
      <c r="M6" s="30" t="s">
        <v>33</v>
      </c>
      <c r="N6" s="32"/>
      <c r="O6" s="39" t="s">
        <v>34</v>
      </c>
      <c r="P6" s="30" t="s">
        <v>30</v>
      </c>
      <c r="Q6" s="32"/>
      <c r="R6" s="39" t="s">
        <v>30</v>
      </c>
      <c r="S6" s="30" t="s">
        <v>33</v>
      </c>
      <c r="T6" s="32"/>
      <c r="U6" s="39" t="s">
        <v>34</v>
      </c>
    </row>
    <row r="7" spans="1:35" ht="31.35" customHeight="1" x14ac:dyDescent="0.25">
      <c r="A7" s="40"/>
      <c r="B7" s="40"/>
      <c r="C7" s="40"/>
      <c r="D7" s="40"/>
      <c r="E7" s="40"/>
      <c r="F7" s="40"/>
      <c r="G7" s="40"/>
      <c r="H7" s="40"/>
      <c r="I7" s="40"/>
      <c r="J7" s="5" t="s">
        <v>31</v>
      </c>
      <c r="K7" s="5" t="s">
        <v>32</v>
      </c>
      <c r="L7" s="40"/>
      <c r="M7" s="5" t="s">
        <v>31</v>
      </c>
      <c r="N7" s="5" t="s">
        <v>32</v>
      </c>
      <c r="O7" s="40"/>
      <c r="P7" s="5" t="s">
        <v>31</v>
      </c>
      <c r="Q7" s="5" t="s">
        <v>32</v>
      </c>
      <c r="R7" s="40"/>
      <c r="S7" s="5" t="s">
        <v>31</v>
      </c>
      <c r="T7" s="5" t="s">
        <v>32</v>
      </c>
      <c r="U7" s="40"/>
    </row>
    <row r="8" spans="1:35" ht="30" customHeight="1" x14ac:dyDescent="0.25">
      <c r="A8" s="36" t="s">
        <v>35</v>
      </c>
      <c r="B8" s="37"/>
      <c r="C8" s="37"/>
      <c r="D8" s="37"/>
      <c r="E8" s="37"/>
      <c r="F8" s="37"/>
      <c r="G8" s="37"/>
      <c r="H8" s="37"/>
      <c r="I8" s="38"/>
      <c r="J8" s="7"/>
      <c r="K8" s="7"/>
      <c r="L8" s="7"/>
      <c r="M8" s="8">
        <f>SUM(M9)</f>
        <v>26760871.57</v>
      </c>
      <c r="N8" s="8">
        <f>SUM(N9)</f>
        <v>31630464.810000002</v>
      </c>
      <c r="O8" s="8">
        <f>SUM(O9)</f>
        <v>58391336.380000003</v>
      </c>
      <c r="P8" s="7"/>
      <c r="Q8" s="7"/>
      <c r="R8" s="7"/>
      <c r="S8" s="8">
        <f>SUM(S9)</f>
        <v>25322784.150000002</v>
      </c>
      <c r="T8" s="8">
        <f>SUM(T9)</f>
        <v>31630464.810000002</v>
      </c>
      <c r="U8" s="8">
        <f>SUM(U9)</f>
        <v>56953248.959999993</v>
      </c>
      <c r="Y8" s="9">
        <f>SUM(Y9)</f>
        <v>21102320.170000002</v>
      </c>
      <c r="Z8" s="9">
        <f>SUM(Z9)</f>
        <v>26358720.690000005</v>
      </c>
      <c r="AA8" s="9">
        <f>SUM(AA9)</f>
        <v>47461040.859999999</v>
      </c>
      <c r="AC8" s="4" t="s">
        <v>36</v>
      </c>
    </row>
    <row r="9" spans="1:35" ht="17.100000000000001" customHeight="1" x14ac:dyDescent="0.25">
      <c r="A9" s="10" t="s">
        <v>37</v>
      </c>
      <c r="B9" s="10" t="s">
        <v>38</v>
      </c>
      <c r="C9" s="33" t="s">
        <v>39</v>
      </c>
      <c r="D9" s="34"/>
      <c r="E9" s="34"/>
      <c r="F9" s="34"/>
      <c r="G9" s="34"/>
      <c r="H9" s="34"/>
      <c r="I9" s="35"/>
      <c r="M9" s="6">
        <f>SUM(M10,M35)</f>
        <v>26760871.57</v>
      </c>
      <c r="N9" s="6">
        <f>SUM(N10,N35)</f>
        <v>31630464.810000002</v>
      </c>
      <c r="O9" s="6">
        <f>SUM(O10,O35)</f>
        <v>58391336.380000003</v>
      </c>
      <c r="S9" s="6">
        <f>SUM(S10,S35)</f>
        <v>25322784.150000002</v>
      </c>
      <c r="T9" s="6">
        <f>SUM(T10,T35)</f>
        <v>31630464.810000002</v>
      </c>
      <c r="U9" s="6">
        <f>SUM(U10,U35)</f>
        <v>56953248.959999993</v>
      </c>
      <c r="Y9" s="9">
        <f>SUM(Y10,Y35)</f>
        <v>21102320.170000002</v>
      </c>
      <c r="Z9" s="9">
        <f>SUM(Z10,Z35)</f>
        <v>26358720.690000005</v>
      </c>
      <c r="AA9" s="9">
        <f>SUM(AA10,AA35)</f>
        <v>47461040.859999999</v>
      </c>
      <c r="AD9" s="4">
        <v>282588917</v>
      </c>
      <c r="AE9" s="4">
        <v>20296121</v>
      </c>
    </row>
    <row r="10" spans="1:35" ht="17.100000000000001" customHeight="1" x14ac:dyDescent="0.25">
      <c r="A10" s="10" t="s">
        <v>40</v>
      </c>
      <c r="B10" s="10" t="s">
        <v>41</v>
      </c>
      <c r="C10" s="33" t="s">
        <v>42</v>
      </c>
      <c r="D10" s="34"/>
      <c r="E10" s="34"/>
      <c r="F10" s="34"/>
      <c r="G10" s="34"/>
      <c r="H10" s="34"/>
      <c r="I10" s="35"/>
      <c r="M10" s="6">
        <f t="shared" ref="M10:O13" si="0">SUM(M11)</f>
        <v>42344.369999999995</v>
      </c>
      <c r="N10" s="6">
        <f t="shared" si="0"/>
        <v>128833.69999999998</v>
      </c>
      <c r="O10" s="6">
        <f t="shared" si="0"/>
        <v>171178.07</v>
      </c>
      <c r="S10" s="6">
        <f t="shared" ref="S10:U13" si="1">SUM(S11)</f>
        <v>116209.60000000001</v>
      </c>
      <c r="T10" s="6">
        <f t="shared" si="1"/>
        <v>128833.69999999998</v>
      </c>
      <c r="U10" s="6">
        <f t="shared" si="1"/>
        <v>245043.30000000002</v>
      </c>
      <c r="Y10" s="9">
        <f t="shared" ref="Y10:AA13" si="2">SUM(Y11)</f>
        <v>96841.329999999987</v>
      </c>
      <c r="Z10" s="9">
        <f t="shared" si="2"/>
        <v>107361.42</v>
      </c>
      <c r="AA10" s="9">
        <f t="shared" si="2"/>
        <v>204202.75000000003</v>
      </c>
      <c r="AD10" s="4">
        <v>282588918</v>
      </c>
      <c r="AE10" s="4">
        <v>20296136</v>
      </c>
    </row>
    <row r="11" spans="1:35" ht="17.100000000000001" customHeight="1" x14ac:dyDescent="0.25">
      <c r="A11" s="10" t="s">
        <v>43</v>
      </c>
      <c r="B11" s="10" t="s">
        <v>44</v>
      </c>
      <c r="C11" s="33" t="s">
        <v>45</v>
      </c>
      <c r="D11" s="34"/>
      <c r="E11" s="34"/>
      <c r="F11" s="34"/>
      <c r="G11" s="34"/>
      <c r="H11" s="34"/>
      <c r="I11" s="35"/>
      <c r="M11" s="6">
        <f t="shared" si="0"/>
        <v>42344.369999999995</v>
      </c>
      <c r="N11" s="6">
        <f t="shared" si="0"/>
        <v>128833.69999999998</v>
      </c>
      <c r="O11" s="6">
        <f t="shared" si="0"/>
        <v>171178.07</v>
      </c>
      <c r="S11" s="6">
        <f t="shared" si="1"/>
        <v>116209.60000000001</v>
      </c>
      <c r="T11" s="6">
        <f t="shared" si="1"/>
        <v>128833.69999999998</v>
      </c>
      <c r="U11" s="6">
        <f t="shared" si="1"/>
        <v>245043.30000000002</v>
      </c>
      <c r="Y11" s="9">
        <f t="shared" si="2"/>
        <v>96841.329999999987</v>
      </c>
      <c r="Z11" s="9">
        <f t="shared" si="2"/>
        <v>107361.42</v>
      </c>
      <c r="AA11" s="9">
        <f t="shared" si="2"/>
        <v>204202.75000000003</v>
      </c>
      <c r="AD11" s="4">
        <v>282588919</v>
      </c>
      <c r="AE11" s="4">
        <v>20297658</v>
      </c>
    </row>
    <row r="12" spans="1:35" ht="17.100000000000001" customHeight="1" x14ac:dyDescent="0.25">
      <c r="A12" s="10" t="s">
        <v>46</v>
      </c>
      <c r="B12" s="10" t="s">
        <v>47</v>
      </c>
      <c r="C12" s="33" t="s">
        <v>48</v>
      </c>
      <c r="D12" s="34"/>
      <c r="E12" s="34"/>
      <c r="F12" s="34"/>
      <c r="G12" s="34"/>
      <c r="H12" s="34"/>
      <c r="I12" s="35"/>
      <c r="M12" s="6">
        <f t="shared" si="0"/>
        <v>42344.369999999995</v>
      </c>
      <c r="N12" s="6">
        <f t="shared" si="0"/>
        <v>128833.69999999998</v>
      </c>
      <c r="O12" s="6">
        <f t="shared" si="0"/>
        <v>171178.07</v>
      </c>
      <c r="S12" s="6">
        <f t="shared" si="1"/>
        <v>116209.60000000001</v>
      </c>
      <c r="T12" s="6">
        <f t="shared" si="1"/>
        <v>128833.69999999998</v>
      </c>
      <c r="U12" s="6">
        <f t="shared" si="1"/>
        <v>245043.30000000002</v>
      </c>
      <c r="Y12" s="9">
        <f t="shared" si="2"/>
        <v>96841.329999999987</v>
      </c>
      <c r="Z12" s="9">
        <f t="shared" si="2"/>
        <v>107361.42</v>
      </c>
      <c r="AA12" s="9">
        <f t="shared" si="2"/>
        <v>204202.75000000003</v>
      </c>
      <c r="AD12" s="4">
        <v>282588920</v>
      </c>
      <c r="AE12" s="4">
        <v>20344597</v>
      </c>
    </row>
    <row r="13" spans="1:35" ht="17.100000000000001" customHeight="1" x14ac:dyDescent="0.25">
      <c r="A13" s="10" t="s">
        <v>49</v>
      </c>
      <c r="B13" s="10" t="s">
        <v>50</v>
      </c>
      <c r="C13" s="33" t="s">
        <v>51</v>
      </c>
      <c r="D13" s="34"/>
      <c r="E13" s="34"/>
      <c r="F13" s="34"/>
      <c r="G13" s="34"/>
      <c r="H13" s="34"/>
      <c r="I13" s="35"/>
      <c r="M13" s="6">
        <f t="shared" si="0"/>
        <v>42344.369999999995</v>
      </c>
      <c r="N13" s="6">
        <f t="shared" si="0"/>
        <v>128833.69999999998</v>
      </c>
      <c r="O13" s="6">
        <f t="shared" si="0"/>
        <v>171178.07</v>
      </c>
      <c r="S13" s="6">
        <f t="shared" si="1"/>
        <v>116209.60000000001</v>
      </c>
      <c r="T13" s="6">
        <f t="shared" si="1"/>
        <v>128833.69999999998</v>
      </c>
      <c r="U13" s="6">
        <f t="shared" si="1"/>
        <v>245043.30000000002</v>
      </c>
      <c r="Y13" s="9">
        <f t="shared" si="2"/>
        <v>96841.329999999987</v>
      </c>
      <c r="Z13" s="9">
        <f t="shared" si="2"/>
        <v>107361.42</v>
      </c>
      <c r="AA13" s="9">
        <f t="shared" si="2"/>
        <v>204202.75000000003</v>
      </c>
      <c r="AD13" s="4">
        <v>282588921</v>
      </c>
      <c r="AE13" s="4">
        <v>20344601</v>
      </c>
    </row>
    <row r="14" spans="1:35" ht="17.100000000000001" customHeight="1" x14ac:dyDescent="0.25">
      <c r="A14" s="10" t="s">
        <v>52</v>
      </c>
      <c r="B14" s="10" t="s">
        <v>53</v>
      </c>
      <c r="C14" s="33" t="s">
        <v>54</v>
      </c>
      <c r="D14" s="34"/>
      <c r="E14" s="34"/>
      <c r="F14" s="34"/>
      <c r="G14" s="34"/>
      <c r="H14" s="34"/>
      <c r="I14" s="35"/>
      <c r="M14" s="6">
        <f>SUM(M15,M20,M25,M30)</f>
        <v>42344.369999999995</v>
      </c>
      <c r="N14" s="6">
        <f>SUM(N15,N20,N25,N30)</f>
        <v>128833.69999999998</v>
      </c>
      <c r="O14" s="6">
        <f>SUM(O15,O20,O25,O30)</f>
        <v>171178.07</v>
      </c>
      <c r="S14" s="6">
        <f>SUM(S15,S20,S25,S30)</f>
        <v>116209.60000000001</v>
      </c>
      <c r="T14" s="6">
        <f>SUM(T15,T20,T25,T30)</f>
        <v>128833.69999999998</v>
      </c>
      <c r="U14" s="6">
        <f>SUM(U15,U20,U25,U30)</f>
        <v>245043.30000000002</v>
      </c>
      <c r="Y14" s="9">
        <f>SUM(Y15,Y20,Y25,Y30)</f>
        <v>96841.329999999987</v>
      </c>
      <c r="Z14" s="9">
        <f>SUM(Z15,Z20,Z25,Z30)</f>
        <v>107361.42</v>
      </c>
      <c r="AA14" s="9">
        <f>SUM(AA15,AA20,AA25,AA30)</f>
        <v>204202.75000000003</v>
      </c>
      <c r="AD14" s="4">
        <v>282588922</v>
      </c>
      <c r="AE14" s="4">
        <v>20344598</v>
      </c>
    </row>
    <row r="15" spans="1:35" ht="168.75" x14ac:dyDescent="0.25">
      <c r="A15" s="10" t="s">
        <v>55</v>
      </c>
      <c r="B15" s="10" t="s">
        <v>56</v>
      </c>
      <c r="C15" s="11" t="s">
        <v>57</v>
      </c>
      <c r="D15" s="12"/>
      <c r="E15" s="12" t="s">
        <v>58</v>
      </c>
      <c r="F15" s="12" t="s">
        <v>59</v>
      </c>
      <c r="G15" s="13">
        <v>1</v>
      </c>
      <c r="H15" s="13"/>
      <c r="I15" s="13">
        <v>6.3</v>
      </c>
      <c r="J15" s="14">
        <f>IFERROR(ROUND(SUM(M16,M17,M18,M19)/I15, 2),0)</f>
        <v>877.6</v>
      </c>
      <c r="K15" s="15">
        <v>2293</v>
      </c>
      <c r="L15" s="14">
        <f>J15+ROUND(K15, 2)</f>
        <v>3170.6</v>
      </c>
      <c r="M15" s="14">
        <f>ROUND(J15*I15, 2)</f>
        <v>5528.88</v>
      </c>
      <c r="N15" s="14">
        <f>ROUND(I15*ROUND(K15, 2), 2)</f>
        <v>14445.9</v>
      </c>
      <c r="O15" s="14">
        <f>M15+N15</f>
        <v>19974.78</v>
      </c>
      <c r="P15" s="14">
        <f>IFERROR(ROUND(SUM(S16,S17,S18,S19)/I15, 2),0)</f>
        <v>877.6</v>
      </c>
      <c r="Q15" s="15">
        <v>2293</v>
      </c>
      <c r="R15" s="14">
        <f>P15+ROUND(Q15, 2)</f>
        <v>3170.6</v>
      </c>
      <c r="S15" s="14">
        <f>ROUND(P15*I15, 2)</f>
        <v>5528.88</v>
      </c>
      <c r="T15" s="14">
        <f>ROUND(I15*ROUND(Q15, 2), 2)</f>
        <v>14445.9</v>
      </c>
      <c r="U15" s="14">
        <f>S15+T15</f>
        <v>19974.78</v>
      </c>
      <c r="V15" s="9">
        <f>ROUND(P15 / 1.2, 2)</f>
        <v>731.33</v>
      </c>
      <c r="W15" s="9">
        <f>ROUND(Q15 / 1.2, 2)</f>
        <v>1910.83</v>
      </c>
      <c r="X15" s="9">
        <f>ROUND(R15 / 1.2, 2)</f>
        <v>2642.17</v>
      </c>
      <c r="Y15" s="9">
        <f>ROUND(S15 / 1.2, 2)</f>
        <v>4607.3999999999996</v>
      </c>
      <c r="Z15" s="9">
        <f>ROUND(T15 / 1.2, 2)</f>
        <v>12038.25</v>
      </c>
      <c r="AA15" s="9">
        <f>Y15+Z15</f>
        <v>16645.650000000001</v>
      </c>
      <c r="AD15" s="4">
        <v>282588924</v>
      </c>
      <c r="AE15" s="4">
        <v>20344603</v>
      </c>
      <c r="AG15" s="4" t="s">
        <v>60</v>
      </c>
      <c r="AH15" s="4" t="s">
        <v>61</v>
      </c>
      <c r="AI15" s="4" t="s">
        <v>62</v>
      </c>
    </row>
    <row r="16" spans="1:35" ht="75" x14ac:dyDescent="0.25">
      <c r="A16" s="10" t="s">
        <v>63</v>
      </c>
      <c r="B16" s="10"/>
      <c r="C16" s="16" t="s">
        <v>64</v>
      </c>
      <c r="D16" s="12"/>
      <c r="E16" s="12"/>
      <c r="F16" s="17" t="s">
        <v>65</v>
      </c>
      <c r="G16" s="18">
        <v>1</v>
      </c>
      <c r="H16" s="18"/>
      <c r="I16" s="18">
        <v>6.3</v>
      </c>
      <c r="J16" s="19">
        <v>102.33</v>
      </c>
      <c r="M16" s="20">
        <f>ROUND(ROUND(J16, 2)*I16, 2)</f>
        <v>644.67999999999995</v>
      </c>
      <c r="P16" s="19">
        <v>102.33</v>
      </c>
      <c r="S16" s="20">
        <f>ROUND(ROUND(P16, 2)*I16, 2)</f>
        <v>644.67999999999995</v>
      </c>
      <c r="V16" s="9">
        <f>ROUND(ROUND(P16, 2)/1.2, 2)</f>
        <v>85.28</v>
      </c>
      <c r="Y16" s="9">
        <f t="shared" ref="Y16:Y34" si="3">ROUND(S16 / 1.2, 2)</f>
        <v>537.23</v>
      </c>
      <c r="AD16" s="4" t="s">
        <v>66</v>
      </c>
      <c r="AE16" s="4" t="s">
        <v>67</v>
      </c>
      <c r="AF16" s="4" t="s">
        <v>68</v>
      </c>
    </row>
    <row r="17" spans="1:35" ht="37.5" x14ac:dyDescent="0.25">
      <c r="A17" s="10" t="s">
        <v>69</v>
      </c>
      <c r="B17" s="10"/>
      <c r="C17" s="21" t="s">
        <v>70</v>
      </c>
      <c r="D17" s="12"/>
      <c r="E17" s="12"/>
      <c r="F17" s="17" t="s">
        <v>59</v>
      </c>
      <c r="G17" s="18">
        <v>4.2</v>
      </c>
      <c r="H17" s="18"/>
      <c r="I17" s="18">
        <v>26.46</v>
      </c>
      <c r="J17" s="19">
        <v>104.57</v>
      </c>
      <c r="M17" s="20">
        <f>ROUND(ROUND(J17, 2)*I17, 2)</f>
        <v>2766.92</v>
      </c>
      <c r="P17" s="19">
        <v>104.57</v>
      </c>
      <c r="S17" s="20">
        <f>ROUND(ROUND(P17, 2)*I17, 2)</f>
        <v>2766.92</v>
      </c>
      <c r="V17" s="9">
        <f>ROUND(ROUND(P17, 2)/1.2, 2)</f>
        <v>87.14</v>
      </c>
      <c r="Y17" s="9">
        <f t="shared" si="3"/>
        <v>2305.77</v>
      </c>
      <c r="AD17" s="4" t="s">
        <v>71</v>
      </c>
      <c r="AE17" s="4" t="s">
        <v>72</v>
      </c>
      <c r="AF17" s="4" t="s">
        <v>73</v>
      </c>
    </row>
    <row r="18" spans="1:35" ht="18.75" x14ac:dyDescent="0.25">
      <c r="A18" s="10" t="s">
        <v>74</v>
      </c>
      <c r="B18" s="10"/>
      <c r="C18" s="21" t="s">
        <v>75</v>
      </c>
      <c r="D18" s="12"/>
      <c r="E18" s="12"/>
      <c r="F18" s="17" t="s">
        <v>76</v>
      </c>
      <c r="G18" s="18">
        <v>4.07</v>
      </c>
      <c r="H18" s="22"/>
      <c r="I18" s="22">
        <v>25.640999999999998</v>
      </c>
      <c r="J18" s="19">
        <v>64.56</v>
      </c>
      <c r="M18" s="20">
        <f>ROUND(ROUND(J18, 2)*I18, 2)</f>
        <v>1655.38</v>
      </c>
      <c r="P18" s="19">
        <v>64.56</v>
      </c>
      <c r="S18" s="20">
        <f>ROUND(ROUND(P18, 2)*I18, 2)</f>
        <v>1655.38</v>
      </c>
      <c r="V18" s="9">
        <f>ROUND(ROUND(P18, 2)/1.2, 2)</f>
        <v>53.8</v>
      </c>
      <c r="Y18" s="9">
        <f t="shared" si="3"/>
        <v>1379.48</v>
      </c>
      <c r="AD18" s="4" t="s">
        <v>77</v>
      </c>
      <c r="AE18" s="4" t="s">
        <v>78</v>
      </c>
      <c r="AF18" s="4" t="s">
        <v>79</v>
      </c>
    </row>
    <row r="19" spans="1:35" ht="18.75" x14ac:dyDescent="0.25">
      <c r="A19" s="10" t="s">
        <v>80</v>
      </c>
      <c r="B19" s="10"/>
      <c r="C19" s="21" t="s">
        <v>81</v>
      </c>
      <c r="D19" s="12"/>
      <c r="E19" s="12"/>
      <c r="F19" s="17" t="s">
        <v>76</v>
      </c>
      <c r="G19" s="18">
        <v>1.42</v>
      </c>
      <c r="H19" s="22"/>
      <c r="I19" s="22">
        <v>8.9459999999999997</v>
      </c>
      <c r="J19" s="19">
        <v>51.63</v>
      </c>
      <c r="M19" s="20">
        <f>ROUND(ROUND(J19, 2)*I19, 2)</f>
        <v>461.88</v>
      </c>
      <c r="P19" s="19">
        <v>51.63</v>
      </c>
      <c r="S19" s="20">
        <f>ROUND(ROUND(P19, 2)*I19, 2)</f>
        <v>461.88</v>
      </c>
      <c r="V19" s="9">
        <f>ROUND(ROUND(P19, 2)/1.2, 2)</f>
        <v>43.03</v>
      </c>
      <c r="Y19" s="9">
        <f t="shared" si="3"/>
        <v>384.9</v>
      </c>
      <c r="AD19" s="4" t="s">
        <v>82</v>
      </c>
      <c r="AE19" s="4" t="s">
        <v>83</v>
      </c>
      <c r="AF19" s="4" t="s">
        <v>84</v>
      </c>
    </row>
    <row r="20" spans="1:35" ht="206.25" x14ac:dyDescent="0.25">
      <c r="A20" s="10" t="s">
        <v>85</v>
      </c>
      <c r="B20" s="10" t="s">
        <v>56</v>
      </c>
      <c r="C20" s="11" t="s">
        <v>57</v>
      </c>
      <c r="D20" s="12"/>
      <c r="E20" s="12" t="s">
        <v>86</v>
      </c>
      <c r="F20" s="12" t="s">
        <v>59</v>
      </c>
      <c r="G20" s="13">
        <v>1</v>
      </c>
      <c r="H20" s="13"/>
      <c r="I20" s="13">
        <v>25.4</v>
      </c>
      <c r="J20" s="14">
        <f>IFERROR(ROUND(SUM(M21,M22,M23,M24)/I20, 2),0)</f>
        <v>723.02</v>
      </c>
      <c r="K20" s="15">
        <v>2293</v>
      </c>
      <c r="L20" s="14">
        <f>J20+ROUND(K20, 2)</f>
        <v>3016.02</v>
      </c>
      <c r="M20" s="14">
        <f>ROUND(J20*I20, 2)</f>
        <v>18364.71</v>
      </c>
      <c r="N20" s="14">
        <f>ROUND(I20*ROUND(K20, 2), 2)</f>
        <v>58242.2</v>
      </c>
      <c r="O20" s="14">
        <f>M20+N20</f>
        <v>76606.91</v>
      </c>
      <c r="P20" s="14">
        <f>IFERROR(ROUND(SUM(S21,S22,S23,S24)/I20, 2),0)</f>
        <v>3631.1</v>
      </c>
      <c r="Q20" s="15">
        <v>2293</v>
      </c>
      <c r="R20" s="14">
        <f>P20+ROUND(Q20, 2)</f>
        <v>5924.1</v>
      </c>
      <c r="S20" s="14">
        <f>ROUND(P20*I20, 2)</f>
        <v>92229.94</v>
      </c>
      <c r="T20" s="14">
        <f>ROUND(I20*ROUND(Q20, 2), 2)</f>
        <v>58242.2</v>
      </c>
      <c r="U20" s="14">
        <f>S20+T20</f>
        <v>150472.14000000001</v>
      </c>
      <c r="V20" s="9">
        <f>ROUND(P20 / 1.2, 2)</f>
        <v>3025.92</v>
      </c>
      <c r="W20" s="9">
        <f>ROUND(Q20 / 1.2, 2)</f>
        <v>1910.83</v>
      </c>
      <c r="X20" s="9">
        <f>ROUND(R20 / 1.2, 2)</f>
        <v>4936.75</v>
      </c>
      <c r="Y20" s="9">
        <f t="shared" si="3"/>
        <v>76858.28</v>
      </c>
      <c r="Z20" s="9">
        <f>ROUND(T20 / 1.2, 2)</f>
        <v>48535.17</v>
      </c>
      <c r="AA20" s="9">
        <f>Y20+Z20</f>
        <v>125393.45</v>
      </c>
      <c r="AD20" s="4">
        <v>282588986</v>
      </c>
      <c r="AE20" s="4">
        <v>20839230</v>
      </c>
      <c r="AG20" s="4" t="s">
        <v>60</v>
      </c>
      <c r="AH20" s="4" t="s">
        <v>61</v>
      </c>
      <c r="AI20" s="4" t="s">
        <v>62</v>
      </c>
    </row>
    <row r="21" spans="1:35" ht="18.75" x14ac:dyDescent="0.25">
      <c r="A21" s="10" t="s">
        <v>87</v>
      </c>
      <c r="B21" s="10"/>
      <c r="C21" s="21" t="s">
        <v>75</v>
      </c>
      <c r="D21" s="12"/>
      <c r="E21" s="12"/>
      <c r="F21" s="17" t="s">
        <v>76</v>
      </c>
      <c r="G21" s="18">
        <v>4.07</v>
      </c>
      <c r="H21" s="22"/>
      <c r="I21" s="22">
        <v>103.378</v>
      </c>
      <c r="J21" s="19">
        <v>64.56</v>
      </c>
      <c r="M21" s="20">
        <f>ROUND(ROUND(J21, 2)*I21, 2)</f>
        <v>6674.08</v>
      </c>
      <c r="P21" s="19">
        <v>64.56</v>
      </c>
      <c r="S21" s="20">
        <f>ROUND(ROUND(P21, 2)*I21, 2)</f>
        <v>6674.08</v>
      </c>
      <c r="V21" s="9">
        <f>ROUND(ROUND(P21, 2)/1.2, 2)</f>
        <v>53.8</v>
      </c>
      <c r="Y21" s="9">
        <f t="shared" si="3"/>
        <v>5561.73</v>
      </c>
      <c r="AD21" s="4" t="s">
        <v>88</v>
      </c>
      <c r="AE21" s="4" t="s">
        <v>89</v>
      </c>
      <c r="AF21" s="4" t="s">
        <v>79</v>
      </c>
    </row>
    <row r="22" spans="1:35" ht="18.75" x14ac:dyDescent="0.25">
      <c r="A22" s="10" t="s">
        <v>90</v>
      </c>
      <c r="B22" s="10"/>
      <c r="C22" s="21" t="s">
        <v>81</v>
      </c>
      <c r="D22" s="12"/>
      <c r="E22" s="12"/>
      <c r="F22" s="17" t="s">
        <v>76</v>
      </c>
      <c r="G22" s="18">
        <v>1.42</v>
      </c>
      <c r="H22" s="22"/>
      <c r="I22" s="22">
        <v>36.067999999999998</v>
      </c>
      <c r="J22" s="19">
        <v>51.63</v>
      </c>
      <c r="M22" s="20">
        <f>ROUND(ROUND(J22, 2)*I22, 2)</f>
        <v>1862.19</v>
      </c>
      <c r="P22" s="19">
        <v>51.63</v>
      </c>
      <c r="S22" s="20">
        <f>ROUND(ROUND(P22, 2)*I22, 2)</f>
        <v>1862.19</v>
      </c>
      <c r="V22" s="9">
        <f>ROUND(ROUND(P22, 2)/1.2, 2)</f>
        <v>43.03</v>
      </c>
      <c r="Y22" s="9">
        <f t="shared" si="3"/>
        <v>1551.83</v>
      </c>
      <c r="AD22" s="4" t="s">
        <v>91</v>
      </c>
      <c r="AE22" s="4" t="s">
        <v>92</v>
      </c>
      <c r="AF22" s="4" t="s">
        <v>84</v>
      </c>
    </row>
    <row r="23" spans="1:35" ht="37.5" x14ac:dyDescent="0.25">
      <c r="A23" s="10" t="s">
        <v>93</v>
      </c>
      <c r="B23" s="10"/>
      <c r="C23" s="16" t="s">
        <v>94</v>
      </c>
      <c r="D23" s="12"/>
      <c r="E23" s="12" t="s">
        <v>95</v>
      </c>
      <c r="F23" s="17" t="s">
        <v>59</v>
      </c>
      <c r="G23" s="18">
        <v>2.1</v>
      </c>
      <c r="H23" s="18"/>
      <c r="I23" s="18">
        <v>53.34</v>
      </c>
      <c r="J23" s="19">
        <v>135.53</v>
      </c>
      <c r="M23" s="20">
        <f>ROUND(ROUND(J23, 2)*I23, 2)</f>
        <v>7229.17</v>
      </c>
      <c r="P23" s="19">
        <v>1520.33</v>
      </c>
      <c r="S23" s="20">
        <f>ROUND(ROUND(P23, 2)*I23, 2)</f>
        <v>81094.399999999994</v>
      </c>
      <c r="V23" s="9">
        <f>ROUND(ROUND(P23, 2)/1.2, 2)</f>
        <v>1266.94</v>
      </c>
      <c r="Y23" s="9">
        <f t="shared" si="3"/>
        <v>67578.67</v>
      </c>
      <c r="AD23" s="4" t="s">
        <v>96</v>
      </c>
      <c r="AE23" s="4" t="s">
        <v>97</v>
      </c>
      <c r="AF23" s="4" t="s">
        <v>98</v>
      </c>
    </row>
    <row r="24" spans="1:35" ht="75" x14ac:dyDescent="0.25">
      <c r="A24" s="10" t="s">
        <v>99</v>
      </c>
      <c r="B24" s="10"/>
      <c r="C24" s="16" t="s">
        <v>64</v>
      </c>
      <c r="D24" s="12"/>
      <c r="E24" s="12"/>
      <c r="F24" s="17" t="s">
        <v>65</v>
      </c>
      <c r="G24" s="18">
        <v>1</v>
      </c>
      <c r="H24" s="18"/>
      <c r="I24" s="18">
        <v>25.4</v>
      </c>
      <c r="J24" s="19">
        <v>102.33</v>
      </c>
      <c r="M24" s="20">
        <f>ROUND(ROUND(J24, 2)*I24, 2)</f>
        <v>2599.1799999999998</v>
      </c>
      <c r="P24" s="19">
        <v>102.33</v>
      </c>
      <c r="S24" s="20">
        <f>ROUND(ROUND(P24, 2)*I24, 2)</f>
        <v>2599.1799999999998</v>
      </c>
      <c r="V24" s="9">
        <f>ROUND(ROUND(P24, 2)/1.2, 2)</f>
        <v>85.28</v>
      </c>
      <c r="Y24" s="9">
        <f t="shared" si="3"/>
        <v>2165.98</v>
      </c>
      <c r="AD24" s="4" t="s">
        <v>100</v>
      </c>
      <c r="AE24" s="4" t="s">
        <v>101</v>
      </c>
      <c r="AF24" s="4" t="s">
        <v>68</v>
      </c>
    </row>
    <row r="25" spans="1:35" ht="150" x14ac:dyDescent="0.25">
      <c r="A25" s="10" t="s">
        <v>102</v>
      </c>
      <c r="B25" s="10" t="s">
        <v>103</v>
      </c>
      <c r="C25" s="11" t="s">
        <v>104</v>
      </c>
      <c r="D25" s="12" t="s">
        <v>105</v>
      </c>
      <c r="E25" s="12" t="s">
        <v>106</v>
      </c>
      <c r="F25" s="12" t="s">
        <v>59</v>
      </c>
      <c r="G25" s="13">
        <v>1</v>
      </c>
      <c r="H25" s="13"/>
      <c r="I25" s="13">
        <v>45.4</v>
      </c>
      <c r="J25" s="14">
        <f>IFERROR(ROUND(SUM(M26,M27,M28,M29)/I25, 2),0)</f>
        <v>333.37</v>
      </c>
      <c r="K25" s="15">
        <v>1064</v>
      </c>
      <c r="L25" s="14">
        <f>J25+ROUND(K25, 2)</f>
        <v>1397.37</v>
      </c>
      <c r="M25" s="14">
        <f>ROUND(J25*I25, 2)</f>
        <v>15135</v>
      </c>
      <c r="N25" s="14">
        <f>ROUND(I25*ROUND(K25, 2), 2)</f>
        <v>48305.599999999999</v>
      </c>
      <c r="O25" s="14">
        <f>M25+N25</f>
        <v>63440.6</v>
      </c>
      <c r="P25" s="14">
        <f>IFERROR(ROUND(SUM(S26,S27,S28,S29)/I25, 2),0)</f>
        <v>333.37</v>
      </c>
      <c r="Q25" s="15">
        <v>1064</v>
      </c>
      <c r="R25" s="14">
        <f>P25+ROUND(Q25, 2)</f>
        <v>1397.37</v>
      </c>
      <c r="S25" s="14">
        <f>ROUND(P25*I25, 2)</f>
        <v>15135</v>
      </c>
      <c r="T25" s="14">
        <f>ROUND(I25*ROUND(Q25, 2), 2)</f>
        <v>48305.599999999999</v>
      </c>
      <c r="U25" s="14">
        <f>S25+T25</f>
        <v>63440.6</v>
      </c>
      <c r="V25" s="9">
        <f>ROUND(P25 / 1.2, 2)</f>
        <v>277.81</v>
      </c>
      <c r="W25" s="9">
        <f>ROUND(Q25 / 1.2, 2)</f>
        <v>886.67</v>
      </c>
      <c r="X25" s="9">
        <f>ROUND(R25 / 1.2, 2)</f>
        <v>1164.48</v>
      </c>
      <c r="Y25" s="9">
        <f t="shared" si="3"/>
        <v>12612.5</v>
      </c>
      <c r="Z25" s="9">
        <f>ROUND(T25 / 1.2, 2)</f>
        <v>40254.67</v>
      </c>
      <c r="AA25" s="9">
        <f>Y25+Z25</f>
        <v>52867.17</v>
      </c>
      <c r="AD25" s="4">
        <v>282588926</v>
      </c>
      <c r="AE25" s="4">
        <v>21096611</v>
      </c>
      <c r="AG25" s="4" t="s">
        <v>107</v>
      </c>
      <c r="AH25" s="4" t="s">
        <v>108</v>
      </c>
      <c r="AI25" s="4" t="s">
        <v>62</v>
      </c>
    </row>
    <row r="26" spans="1:35" ht="75" x14ac:dyDescent="0.25">
      <c r="A26" s="10" t="s">
        <v>109</v>
      </c>
      <c r="B26" s="10"/>
      <c r="C26" s="16" t="s">
        <v>110</v>
      </c>
      <c r="D26" s="12"/>
      <c r="E26" s="12"/>
      <c r="F26" s="17" t="s">
        <v>65</v>
      </c>
      <c r="G26" s="18">
        <v>1</v>
      </c>
      <c r="H26" s="18"/>
      <c r="I26" s="18">
        <v>45.4</v>
      </c>
      <c r="J26" s="19">
        <v>43.7</v>
      </c>
      <c r="M26" s="20">
        <f>ROUND(ROUND(J26, 2)*I26, 2)</f>
        <v>1983.98</v>
      </c>
      <c r="P26" s="19">
        <v>43.7</v>
      </c>
      <c r="S26" s="20">
        <f>ROUND(ROUND(P26, 2)*I26, 2)</f>
        <v>1983.98</v>
      </c>
      <c r="V26" s="9">
        <f>ROUND(ROUND(P26, 2)/1.2, 2)</f>
        <v>36.42</v>
      </c>
      <c r="Y26" s="9">
        <f t="shared" si="3"/>
        <v>1653.32</v>
      </c>
      <c r="AD26" s="4" t="s">
        <v>111</v>
      </c>
      <c r="AE26" s="4" t="s">
        <v>112</v>
      </c>
      <c r="AF26" s="4" t="s">
        <v>113</v>
      </c>
    </row>
    <row r="27" spans="1:35" ht="37.5" x14ac:dyDescent="0.25">
      <c r="A27" s="10" t="s">
        <v>114</v>
      </c>
      <c r="B27" s="10"/>
      <c r="C27" s="21" t="s">
        <v>115</v>
      </c>
      <c r="D27" s="12"/>
      <c r="E27" s="12"/>
      <c r="F27" s="17" t="s">
        <v>59</v>
      </c>
      <c r="G27" s="18">
        <v>1.2</v>
      </c>
      <c r="H27" s="18"/>
      <c r="I27" s="18">
        <v>54.48</v>
      </c>
      <c r="J27" s="19">
        <v>104.57</v>
      </c>
      <c r="M27" s="20">
        <f>ROUND(ROUND(J27, 2)*I27, 2)</f>
        <v>5696.97</v>
      </c>
      <c r="P27" s="19">
        <v>104.57</v>
      </c>
      <c r="S27" s="20">
        <f>ROUND(ROUND(P27, 2)*I27, 2)</f>
        <v>5696.97</v>
      </c>
      <c r="V27" s="9">
        <f>ROUND(ROUND(P27, 2)/1.2, 2)</f>
        <v>87.14</v>
      </c>
      <c r="Y27" s="9">
        <f t="shared" si="3"/>
        <v>4747.4799999999996</v>
      </c>
      <c r="AD27" s="4" t="s">
        <v>116</v>
      </c>
      <c r="AE27" s="4" t="s">
        <v>117</v>
      </c>
      <c r="AF27" s="4" t="s">
        <v>118</v>
      </c>
    </row>
    <row r="28" spans="1:35" ht="18.75" x14ac:dyDescent="0.25">
      <c r="A28" s="10" t="s">
        <v>119</v>
      </c>
      <c r="B28" s="10"/>
      <c r="C28" s="21" t="s">
        <v>75</v>
      </c>
      <c r="D28" s="12"/>
      <c r="E28" s="12"/>
      <c r="F28" s="17" t="s">
        <v>76</v>
      </c>
      <c r="G28" s="18">
        <v>2.1</v>
      </c>
      <c r="H28" s="18"/>
      <c r="I28" s="18">
        <v>95.34</v>
      </c>
      <c r="J28" s="19">
        <v>64.56</v>
      </c>
      <c r="M28" s="20">
        <f>ROUND(ROUND(J28, 2)*I28, 2)</f>
        <v>6155.15</v>
      </c>
      <c r="P28" s="19">
        <v>64.56</v>
      </c>
      <c r="S28" s="20">
        <f>ROUND(ROUND(P28, 2)*I28, 2)</f>
        <v>6155.15</v>
      </c>
      <c r="V28" s="9">
        <f>ROUND(ROUND(P28, 2)/1.2, 2)</f>
        <v>53.8</v>
      </c>
      <c r="Y28" s="9">
        <f t="shared" si="3"/>
        <v>5129.29</v>
      </c>
      <c r="AD28" s="4" t="s">
        <v>120</v>
      </c>
      <c r="AE28" s="4" t="s">
        <v>121</v>
      </c>
      <c r="AF28" s="4" t="s">
        <v>79</v>
      </c>
    </row>
    <row r="29" spans="1:35" ht="18.75" x14ac:dyDescent="0.25">
      <c r="A29" s="10" t="s">
        <v>122</v>
      </c>
      <c r="B29" s="10"/>
      <c r="C29" s="16" t="s">
        <v>123</v>
      </c>
      <c r="D29" s="12"/>
      <c r="E29" s="12"/>
      <c r="F29" s="17" t="s">
        <v>76</v>
      </c>
      <c r="G29" s="18">
        <v>0.8</v>
      </c>
      <c r="H29" s="18"/>
      <c r="I29" s="18">
        <v>36.32</v>
      </c>
      <c r="J29" s="19">
        <v>35.76</v>
      </c>
      <c r="M29" s="20">
        <f>ROUND(ROUND(J29, 2)*I29, 2)</f>
        <v>1298.8</v>
      </c>
      <c r="P29" s="19">
        <v>35.76</v>
      </c>
      <c r="S29" s="20">
        <f>ROUND(ROUND(P29, 2)*I29, 2)</f>
        <v>1298.8</v>
      </c>
      <c r="V29" s="9">
        <f>ROUND(ROUND(P29, 2)/1.2, 2)</f>
        <v>29.8</v>
      </c>
      <c r="Y29" s="9">
        <f t="shared" si="3"/>
        <v>1082.33</v>
      </c>
      <c r="AD29" s="4" t="s">
        <v>124</v>
      </c>
      <c r="AE29" s="4" t="s">
        <v>125</v>
      </c>
      <c r="AF29" s="4" t="s">
        <v>126</v>
      </c>
    </row>
    <row r="30" spans="1:35" ht="112.5" x14ac:dyDescent="0.25">
      <c r="A30" s="10" t="s">
        <v>127</v>
      </c>
      <c r="B30" s="10" t="s">
        <v>128</v>
      </c>
      <c r="C30" s="11" t="s">
        <v>129</v>
      </c>
      <c r="D30" s="12" t="s">
        <v>105</v>
      </c>
      <c r="E30" s="12" t="s">
        <v>130</v>
      </c>
      <c r="F30" s="12" t="s">
        <v>59</v>
      </c>
      <c r="G30" s="13">
        <v>1</v>
      </c>
      <c r="H30" s="13"/>
      <c r="I30" s="13">
        <v>6.4</v>
      </c>
      <c r="J30" s="14">
        <f>IFERROR(ROUND(SUM(M31,M32,M33,M34)/I30, 2),0)</f>
        <v>518.09</v>
      </c>
      <c r="K30" s="15">
        <v>1225</v>
      </c>
      <c r="L30" s="14">
        <f>J30+ROUND(K30, 2)</f>
        <v>1743.0900000000001</v>
      </c>
      <c r="M30" s="14">
        <f>ROUND(J30*I30, 2)</f>
        <v>3315.78</v>
      </c>
      <c r="N30" s="14">
        <f>ROUND(I30*ROUND(K30, 2), 2)</f>
        <v>7840</v>
      </c>
      <c r="O30" s="14">
        <f>M30+N30</f>
        <v>11155.78</v>
      </c>
      <c r="P30" s="14">
        <f>IFERROR(ROUND(SUM(S31,S32,S33,S34)/I30, 2),0)</f>
        <v>518.09</v>
      </c>
      <c r="Q30" s="15">
        <v>1225</v>
      </c>
      <c r="R30" s="14">
        <f>P30+ROUND(Q30, 2)</f>
        <v>1743.0900000000001</v>
      </c>
      <c r="S30" s="14">
        <f>ROUND(P30*I30, 2)</f>
        <v>3315.78</v>
      </c>
      <c r="T30" s="14">
        <f>ROUND(I30*ROUND(Q30, 2), 2)</f>
        <v>7840</v>
      </c>
      <c r="U30" s="14">
        <f>S30+T30</f>
        <v>11155.78</v>
      </c>
      <c r="V30" s="9">
        <f>ROUND(P30 / 1.2, 2)</f>
        <v>431.74</v>
      </c>
      <c r="W30" s="9">
        <f>ROUND(Q30 / 1.2, 2)</f>
        <v>1020.83</v>
      </c>
      <c r="X30" s="9">
        <f>ROUND(R30 / 1.2, 2)</f>
        <v>1452.58</v>
      </c>
      <c r="Y30" s="9">
        <f t="shared" si="3"/>
        <v>2763.15</v>
      </c>
      <c r="Z30" s="9">
        <f>ROUND(T30 / 1.2, 2)</f>
        <v>6533.33</v>
      </c>
      <c r="AA30" s="9">
        <f>Y30+Z30</f>
        <v>9296.48</v>
      </c>
      <c r="AD30" s="4">
        <v>282588927</v>
      </c>
      <c r="AE30" s="4">
        <v>21096613</v>
      </c>
      <c r="AG30" s="4" t="s">
        <v>131</v>
      </c>
      <c r="AH30" s="4" t="s">
        <v>132</v>
      </c>
      <c r="AI30" s="4" t="s">
        <v>62</v>
      </c>
    </row>
    <row r="31" spans="1:35" ht="75" x14ac:dyDescent="0.25">
      <c r="A31" s="10" t="s">
        <v>133</v>
      </c>
      <c r="B31" s="10"/>
      <c r="C31" s="16" t="s">
        <v>134</v>
      </c>
      <c r="D31" s="12"/>
      <c r="E31" s="12"/>
      <c r="F31" s="17" t="s">
        <v>65</v>
      </c>
      <c r="G31" s="18">
        <v>1</v>
      </c>
      <c r="H31" s="18"/>
      <c r="I31" s="18">
        <v>6.4</v>
      </c>
      <c r="J31" s="19">
        <v>111.15</v>
      </c>
      <c r="M31" s="20">
        <f>ROUND(ROUND(J31, 2)*I31, 2)</f>
        <v>711.36</v>
      </c>
      <c r="P31" s="19">
        <v>111.15</v>
      </c>
      <c r="S31" s="20">
        <f>ROUND(ROUND(P31, 2)*I31, 2)</f>
        <v>711.36</v>
      </c>
      <c r="V31" s="9">
        <f>ROUND(ROUND(P31, 2)/1.2, 2)</f>
        <v>92.63</v>
      </c>
      <c r="Y31" s="9">
        <f t="shared" si="3"/>
        <v>592.79999999999995</v>
      </c>
      <c r="AD31" s="4" t="s">
        <v>135</v>
      </c>
      <c r="AE31" s="4" t="s">
        <v>136</v>
      </c>
      <c r="AF31" s="4" t="s">
        <v>137</v>
      </c>
    </row>
    <row r="32" spans="1:35" ht="18.75" x14ac:dyDescent="0.25">
      <c r="A32" s="10" t="s">
        <v>138</v>
      </c>
      <c r="B32" s="10"/>
      <c r="C32" s="21" t="s">
        <v>75</v>
      </c>
      <c r="D32" s="12"/>
      <c r="E32" s="12"/>
      <c r="F32" s="17" t="s">
        <v>76</v>
      </c>
      <c r="G32" s="18">
        <v>2.1</v>
      </c>
      <c r="H32" s="18"/>
      <c r="I32" s="18">
        <v>13.44</v>
      </c>
      <c r="J32" s="19">
        <v>64.56</v>
      </c>
      <c r="M32" s="20">
        <f>ROUND(ROUND(J32, 2)*I32, 2)</f>
        <v>867.69</v>
      </c>
      <c r="P32" s="19">
        <v>64.56</v>
      </c>
      <c r="S32" s="20">
        <f>ROUND(ROUND(P32, 2)*I32, 2)</f>
        <v>867.69</v>
      </c>
      <c r="V32" s="9">
        <f>ROUND(ROUND(P32, 2)/1.2, 2)</f>
        <v>53.8</v>
      </c>
      <c r="Y32" s="9">
        <f t="shared" si="3"/>
        <v>723.08</v>
      </c>
      <c r="AD32" s="4" t="s">
        <v>139</v>
      </c>
      <c r="AE32" s="4" t="s">
        <v>140</v>
      </c>
      <c r="AF32" s="4" t="s">
        <v>79</v>
      </c>
    </row>
    <row r="33" spans="1:35" ht="18.75" x14ac:dyDescent="0.25">
      <c r="A33" s="10" t="s">
        <v>141</v>
      </c>
      <c r="B33" s="10"/>
      <c r="C33" s="21" t="s">
        <v>81</v>
      </c>
      <c r="D33" s="12"/>
      <c r="E33" s="12"/>
      <c r="F33" s="17" t="s">
        <v>76</v>
      </c>
      <c r="G33" s="18">
        <v>0.8</v>
      </c>
      <c r="H33" s="18"/>
      <c r="I33" s="18">
        <v>5.12</v>
      </c>
      <c r="J33" s="19">
        <v>51.63</v>
      </c>
      <c r="M33" s="20">
        <f>ROUND(ROUND(J33, 2)*I33, 2)</f>
        <v>264.35000000000002</v>
      </c>
      <c r="P33" s="19">
        <v>51.63</v>
      </c>
      <c r="S33" s="20">
        <f>ROUND(ROUND(P33, 2)*I33, 2)</f>
        <v>264.35000000000002</v>
      </c>
      <c r="V33" s="9">
        <f>ROUND(ROUND(P33, 2)/1.2, 2)</f>
        <v>43.03</v>
      </c>
      <c r="Y33" s="9">
        <f t="shared" si="3"/>
        <v>220.29</v>
      </c>
      <c r="AD33" s="4" t="s">
        <v>142</v>
      </c>
      <c r="AE33" s="4" t="s">
        <v>143</v>
      </c>
      <c r="AF33" s="4" t="s">
        <v>84</v>
      </c>
    </row>
    <row r="34" spans="1:35" ht="37.5" x14ac:dyDescent="0.25">
      <c r="A34" s="10" t="s">
        <v>144</v>
      </c>
      <c r="B34" s="10"/>
      <c r="C34" s="21" t="s">
        <v>70</v>
      </c>
      <c r="D34" s="12"/>
      <c r="E34" s="12"/>
      <c r="F34" s="17" t="s">
        <v>59</v>
      </c>
      <c r="G34" s="18">
        <v>2.2000000000000002</v>
      </c>
      <c r="H34" s="18"/>
      <c r="I34" s="18">
        <v>14.08</v>
      </c>
      <c r="J34" s="19">
        <v>104.57</v>
      </c>
      <c r="M34" s="20">
        <f>ROUND(ROUND(J34, 2)*I34, 2)</f>
        <v>1472.35</v>
      </c>
      <c r="P34" s="19">
        <v>104.57</v>
      </c>
      <c r="S34" s="20">
        <f>ROUND(ROUND(P34, 2)*I34, 2)</f>
        <v>1472.35</v>
      </c>
      <c r="V34" s="9">
        <f>ROUND(ROUND(P34, 2)/1.2, 2)</f>
        <v>87.14</v>
      </c>
      <c r="Y34" s="9">
        <f t="shared" si="3"/>
        <v>1226.96</v>
      </c>
      <c r="AD34" s="4" t="s">
        <v>145</v>
      </c>
      <c r="AE34" s="4" t="s">
        <v>146</v>
      </c>
      <c r="AF34" s="4" t="s">
        <v>147</v>
      </c>
    </row>
    <row r="35" spans="1:35" ht="17.100000000000001" customHeight="1" x14ac:dyDescent="0.25">
      <c r="A35" s="10" t="s">
        <v>148</v>
      </c>
      <c r="B35" s="10" t="s">
        <v>149</v>
      </c>
      <c r="C35" s="33" t="s">
        <v>150</v>
      </c>
      <c r="D35" s="34"/>
      <c r="E35" s="34"/>
      <c r="F35" s="34"/>
      <c r="G35" s="34"/>
      <c r="H35" s="34"/>
      <c r="I35" s="35"/>
      <c r="M35" s="6">
        <f t="shared" ref="M35:O36" si="4">SUM(M36)</f>
        <v>26718527.199999999</v>
      </c>
      <c r="N35" s="6">
        <f t="shared" si="4"/>
        <v>31501631.110000003</v>
      </c>
      <c r="O35" s="6">
        <f t="shared" si="4"/>
        <v>58220158.310000002</v>
      </c>
      <c r="S35" s="6">
        <f t="shared" ref="S35:U36" si="5">SUM(S36)</f>
        <v>25206574.550000001</v>
      </c>
      <c r="T35" s="6">
        <f t="shared" si="5"/>
        <v>31501631.110000003</v>
      </c>
      <c r="U35" s="6">
        <f t="shared" si="5"/>
        <v>56708205.659999996</v>
      </c>
      <c r="Y35" s="9">
        <f t="shared" ref="Y35:AA36" si="6">SUM(Y36)</f>
        <v>21005478.840000004</v>
      </c>
      <c r="Z35" s="9">
        <f t="shared" si="6"/>
        <v>26251359.270000003</v>
      </c>
      <c r="AA35" s="9">
        <f t="shared" si="6"/>
        <v>47256838.109999999</v>
      </c>
      <c r="AD35" s="4">
        <v>282588928</v>
      </c>
      <c r="AE35" s="4">
        <v>20296909</v>
      </c>
    </row>
    <row r="36" spans="1:35" ht="17.100000000000001" customHeight="1" x14ac:dyDescent="0.25">
      <c r="A36" s="10" t="s">
        <v>151</v>
      </c>
      <c r="B36" s="10" t="s">
        <v>152</v>
      </c>
      <c r="C36" s="33" t="s">
        <v>153</v>
      </c>
      <c r="D36" s="34"/>
      <c r="E36" s="34"/>
      <c r="F36" s="34"/>
      <c r="G36" s="34"/>
      <c r="H36" s="34"/>
      <c r="I36" s="35"/>
      <c r="M36" s="6">
        <f t="shared" si="4"/>
        <v>26718527.199999999</v>
      </c>
      <c r="N36" s="6">
        <f t="shared" si="4"/>
        <v>31501631.110000003</v>
      </c>
      <c r="O36" s="6">
        <f t="shared" si="4"/>
        <v>58220158.310000002</v>
      </c>
      <c r="S36" s="6">
        <f t="shared" si="5"/>
        <v>25206574.550000001</v>
      </c>
      <c r="T36" s="6">
        <f t="shared" si="5"/>
        <v>31501631.110000003</v>
      </c>
      <c r="U36" s="6">
        <f t="shared" si="5"/>
        <v>56708205.659999996</v>
      </c>
      <c r="Y36" s="9">
        <f t="shared" si="6"/>
        <v>21005478.840000004</v>
      </c>
      <c r="Z36" s="9">
        <f t="shared" si="6"/>
        <v>26251359.270000003</v>
      </c>
      <c r="AA36" s="9">
        <f t="shared" si="6"/>
        <v>47256838.109999999</v>
      </c>
      <c r="AD36" s="4">
        <v>282588929</v>
      </c>
      <c r="AE36" s="4">
        <v>20296911</v>
      </c>
    </row>
    <row r="37" spans="1:35" ht="17.100000000000001" customHeight="1" x14ac:dyDescent="0.25">
      <c r="A37" s="10" t="s">
        <v>154</v>
      </c>
      <c r="B37" s="10" t="s">
        <v>155</v>
      </c>
      <c r="C37" s="33" t="s">
        <v>156</v>
      </c>
      <c r="D37" s="34"/>
      <c r="E37" s="34"/>
      <c r="F37" s="34"/>
      <c r="G37" s="34"/>
      <c r="H37" s="34"/>
      <c r="I37" s="35"/>
      <c r="M37" s="6">
        <f>SUM(M38,M141,M236,M257)</f>
        <v>26718527.199999999</v>
      </c>
      <c r="N37" s="6">
        <f>SUM(N38,N141,N236,N257)</f>
        <v>31501631.110000003</v>
      </c>
      <c r="O37" s="6">
        <f>SUM(O38,O141,O236,O257)</f>
        <v>58220158.310000002</v>
      </c>
      <c r="S37" s="6">
        <f>SUM(S38,S141,S236,S257)</f>
        <v>25206574.550000001</v>
      </c>
      <c r="T37" s="6">
        <f>SUM(T38,T141,T236,T257)</f>
        <v>31501631.110000003</v>
      </c>
      <c r="U37" s="6">
        <f>SUM(U38,U141,U236,U257)</f>
        <v>56708205.659999996</v>
      </c>
      <c r="Y37" s="9">
        <f>SUM(Y38,Y141,Y236,Y257)</f>
        <v>21005478.840000004</v>
      </c>
      <c r="Z37" s="9">
        <f>SUM(Z38,Z141,Z236,Z257)</f>
        <v>26251359.270000003</v>
      </c>
      <c r="AA37" s="9">
        <f>SUM(AA38,AA141,AA236,AA257)</f>
        <v>47256838.109999999</v>
      </c>
      <c r="AD37" s="4">
        <v>282588930</v>
      </c>
      <c r="AE37" s="4">
        <v>20296917</v>
      </c>
    </row>
    <row r="38" spans="1:35" ht="17.100000000000001" customHeight="1" x14ac:dyDescent="0.25">
      <c r="A38" s="10" t="s">
        <v>157</v>
      </c>
      <c r="B38" s="10" t="s">
        <v>158</v>
      </c>
      <c r="C38" s="33" t="s">
        <v>159</v>
      </c>
      <c r="D38" s="34"/>
      <c r="E38" s="34"/>
      <c r="F38" s="34"/>
      <c r="G38" s="34"/>
      <c r="H38" s="34"/>
      <c r="I38" s="35"/>
      <c r="M38" s="6">
        <f>SUM(M39,M138)</f>
        <v>14134105.24</v>
      </c>
      <c r="N38" s="6">
        <f>SUM(N39,N138)</f>
        <v>11179170.51</v>
      </c>
      <c r="O38" s="6">
        <f>SUM(O39,O138)</f>
        <v>25313275.75</v>
      </c>
      <c r="S38" s="6">
        <f>SUM(S39,S138)</f>
        <v>14527737.030000001</v>
      </c>
      <c r="T38" s="6">
        <f>SUM(T39,T138)</f>
        <v>11179170.51</v>
      </c>
      <c r="U38" s="6">
        <f>SUM(U39,U138)</f>
        <v>25706907.539999995</v>
      </c>
      <c r="Y38" s="9">
        <f>SUM(Y39,Y138)</f>
        <v>12106447.530000001</v>
      </c>
      <c r="Z38" s="9">
        <f>SUM(Z39,Z138)</f>
        <v>9315975.4199999999</v>
      </c>
      <c r="AA38" s="9">
        <f>SUM(AA39,AA138)</f>
        <v>21422422.950000003</v>
      </c>
      <c r="AD38" s="4">
        <v>282588931</v>
      </c>
      <c r="AE38" s="4">
        <v>20296918</v>
      </c>
    </row>
    <row r="39" spans="1:35" ht="17.100000000000001" customHeight="1" x14ac:dyDescent="0.25">
      <c r="A39" s="10" t="s">
        <v>160</v>
      </c>
      <c r="B39" s="10" t="s">
        <v>161</v>
      </c>
      <c r="C39" s="33" t="s">
        <v>162</v>
      </c>
      <c r="D39" s="34"/>
      <c r="E39" s="34"/>
      <c r="F39" s="34"/>
      <c r="G39" s="34"/>
      <c r="H39" s="34"/>
      <c r="I39" s="35"/>
      <c r="M39" s="6">
        <f>SUM(M40,M44,M48,M52,M55,M58,M61,M64,M67,M70,M72,M74,M79,M84,M89,M94,M99,M103,M108,M113,M118,M123,M128,M133)</f>
        <v>13804455.24</v>
      </c>
      <c r="N39" s="6">
        <f>SUM(N40,N44,N48,N52,N55,N58,N61,N64,N67,N70,N72,N74,N79,N84,N89,N94,N99,N103,N108,N113,N118,N123,N128,N133)</f>
        <v>11150161.310000001</v>
      </c>
      <c r="O39" s="6">
        <f>SUM(O40,O44,O48,O52,O55,O58,O61,O64,O67,O70,O72,O74,O79,O84,O89,O94,O99,O103,O108,O113,O118,O123,O128,O133)</f>
        <v>24954616.550000001</v>
      </c>
      <c r="S39" s="6">
        <f>SUM(S40,S44,S48,S52,S55,S58,S61,S64,S67,S70,S72,S74,S79,S84,S89,S94,S99,S103,S108,S113,S118,S123,S128,S133)</f>
        <v>14198087.030000001</v>
      </c>
      <c r="T39" s="6">
        <f>SUM(T40,T44,T48,T52,T55,T58,T61,T64,T67,T70,T72,T74,T79,T84,T89,T94,T99,T103,T108,T113,T118,T123,T128,T133)</f>
        <v>11150161.310000001</v>
      </c>
      <c r="U39" s="6">
        <f>SUM(U40,U44,U48,U52,U55,U58,U61,U64,U67,U70,U72,U74,U79,U84,U89,U94,U99,U103,U108,U113,U118,U123,U128,U133)</f>
        <v>25348248.339999996</v>
      </c>
      <c r="Y39" s="9">
        <f>SUM(Y40,Y44,Y48,Y52,Y55,Y58,Y61,Y64,Y67,Y70,Y72,Y74,Y79,Y84,Y89,Y94,Y99,Y103,Y108,Y113,Y118,Y123,Y128,Y133)</f>
        <v>11831739.200000001</v>
      </c>
      <c r="Z39" s="9">
        <f>SUM(Z40,Z44,Z48,Z52,Z55,Z58,Z61,Z64,Z67,Z70,Z72,Z74,Z79,Z84,Z89,Z94,Z99,Z103,Z108,Z113,Z118,Z123,Z128,Z133)</f>
        <v>9291801.0899999999</v>
      </c>
      <c r="AA39" s="9">
        <f>SUM(AA40,AA44,AA48,AA52,AA55,AA58,AA61,AA64,AA67,AA70,AA72,AA74,AA79,AA84,AA89,AA94,AA99,AA103,AA108,AA113,AA118,AA123,AA128,AA133)</f>
        <v>21123540.290000003</v>
      </c>
      <c r="AD39" s="4">
        <v>282588932</v>
      </c>
      <c r="AE39" s="4">
        <v>20297376</v>
      </c>
    </row>
    <row r="40" spans="1:35" ht="18.75" x14ac:dyDescent="0.25">
      <c r="A40" s="10" t="s">
        <v>163</v>
      </c>
      <c r="B40" s="10" t="s">
        <v>164</v>
      </c>
      <c r="C40" s="11" t="s">
        <v>165</v>
      </c>
      <c r="D40" s="12" t="s">
        <v>166</v>
      </c>
      <c r="E40" s="12" t="s">
        <v>167</v>
      </c>
      <c r="F40" s="12" t="s">
        <v>59</v>
      </c>
      <c r="G40" s="13">
        <v>1</v>
      </c>
      <c r="H40" s="13"/>
      <c r="I40" s="13">
        <v>435.4</v>
      </c>
      <c r="J40" s="14">
        <f>IFERROR(ROUND(SUM(M41,M42,M43)/I40, 2),0)</f>
        <v>1580.6</v>
      </c>
      <c r="K40" s="15">
        <v>556</v>
      </c>
      <c r="L40" s="14">
        <f>J40+ROUND(K40, 2)</f>
        <v>2136.6</v>
      </c>
      <c r="M40" s="14">
        <f>ROUND(J40*I40, 2)</f>
        <v>688193.24</v>
      </c>
      <c r="N40" s="14">
        <f>ROUND(I40*ROUND(K40, 2), 2)</f>
        <v>242082.4</v>
      </c>
      <c r="O40" s="14">
        <f>M40+N40</f>
        <v>930275.64</v>
      </c>
      <c r="P40" s="14">
        <f>IFERROR(ROUND(SUM(S41,S42,S43)/I40, 2),0)</f>
        <v>1580.6</v>
      </c>
      <c r="Q40" s="15">
        <v>556</v>
      </c>
      <c r="R40" s="14">
        <f>P40+ROUND(Q40, 2)</f>
        <v>2136.6</v>
      </c>
      <c r="S40" s="14">
        <f>ROUND(P40*I40, 2)</f>
        <v>688193.24</v>
      </c>
      <c r="T40" s="14">
        <f>ROUND(I40*ROUND(Q40, 2), 2)</f>
        <v>242082.4</v>
      </c>
      <c r="U40" s="14">
        <f>S40+T40</f>
        <v>930275.64</v>
      </c>
      <c r="V40" s="9">
        <f>ROUND(P40 / 1.2, 2)</f>
        <v>1317.17</v>
      </c>
      <c r="W40" s="9">
        <f>ROUND(Q40 / 1.2, 2)</f>
        <v>463.33</v>
      </c>
      <c r="X40" s="9">
        <f>ROUND(R40 / 1.2, 2)</f>
        <v>1780.5</v>
      </c>
      <c r="Y40" s="9">
        <f>ROUND(S40 / 1.2, 2)</f>
        <v>573494.37</v>
      </c>
      <c r="Z40" s="9">
        <f>ROUND(T40 / 1.2, 2)</f>
        <v>201735.33</v>
      </c>
      <c r="AA40" s="9">
        <f>Y40+Z40</f>
        <v>775229.7</v>
      </c>
      <c r="AD40" s="4">
        <v>282588934</v>
      </c>
      <c r="AE40" s="4">
        <v>20297393</v>
      </c>
      <c r="AG40" s="4" t="s">
        <v>168</v>
      </c>
      <c r="AH40" s="4" t="s">
        <v>169</v>
      </c>
      <c r="AI40" s="4" t="s">
        <v>170</v>
      </c>
    </row>
    <row r="41" spans="1:35" ht="18.75" x14ac:dyDescent="0.25">
      <c r="A41" s="10" t="s">
        <v>171</v>
      </c>
      <c r="B41" s="10"/>
      <c r="C41" s="16" t="s">
        <v>172</v>
      </c>
      <c r="D41" s="12"/>
      <c r="E41" s="12"/>
      <c r="F41" s="17" t="s">
        <v>173</v>
      </c>
      <c r="G41" s="18">
        <v>0.3</v>
      </c>
      <c r="H41" s="18"/>
      <c r="I41" s="18">
        <v>130.62</v>
      </c>
      <c r="J41" s="19">
        <v>220</v>
      </c>
      <c r="M41" s="20">
        <f>ROUND(ROUND(J41, 2)*I41, 2)</f>
        <v>28736.400000000001</v>
      </c>
      <c r="P41" s="19">
        <v>220</v>
      </c>
      <c r="S41" s="20">
        <f>ROUND(ROUND(P41, 2)*I41, 2)</f>
        <v>28736.400000000001</v>
      </c>
      <c r="V41" s="9">
        <f>ROUND(ROUND(P41, 2)/1.2, 2)</f>
        <v>183.33</v>
      </c>
      <c r="Y41" s="9">
        <f t="shared" ref="Y41:Y72" si="7">ROUND(S41 / 1.2, 2)</f>
        <v>23947</v>
      </c>
      <c r="AD41" s="4" t="s">
        <v>174</v>
      </c>
      <c r="AE41" s="4" t="s">
        <v>175</v>
      </c>
      <c r="AF41" s="4" t="s">
        <v>176</v>
      </c>
    </row>
    <row r="42" spans="1:35" ht="75" x14ac:dyDescent="0.25">
      <c r="A42" s="10" t="s">
        <v>177</v>
      </c>
      <c r="B42" s="10"/>
      <c r="C42" s="21" t="s">
        <v>178</v>
      </c>
      <c r="D42" s="12"/>
      <c r="E42" s="12"/>
      <c r="F42" s="17" t="s">
        <v>76</v>
      </c>
      <c r="G42" s="18">
        <v>1</v>
      </c>
      <c r="H42" s="22"/>
      <c r="I42" s="22">
        <v>356</v>
      </c>
      <c r="J42" s="19">
        <v>51</v>
      </c>
      <c r="M42" s="20">
        <f>ROUND(ROUND(J42, 2)*I42, 2)</f>
        <v>18156</v>
      </c>
      <c r="P42" s="19">
        <v>51</v>
      </c>
      <c r="S42" s="20">
        <f>ROUND(ROUND(P42, 2)*I42, 2)</f>
        <v>18156</v>
      </c>
      <c r="V42" s="9">
        <f>ROUND(ROUND(P42, 2)/1.2, 2)</f>
        <v>42.5</v>
      </c>
      <c r="Y42" s="9">
        <f t="shared" si="7"/>
        <v>15130</v>
      </c>
      <c r="AD42" s="4" t="s">
        <v>179</v>
      </c>
      <c r="AE42" s="4" t="s">
        <v>180</v>
      </c>
      <c r="AF42" s="4" t="s">
        <v>181</v>
      </c>
    </row>
    <row r="43" spans="1:35" ht="75" x14ac:dyDescent="0.25">
      <c r="A43" s="10" t="s">
        <v>182</v>
      </c>
      <c r="B43" s="10"/>
      <c r="C43" s="21" t="s">
        <v>183</v>
      </c>
      <c r="D43" s="12"/>
      <c r="E43" s="12" t="s">
        <v>184</v>
      </c>
      <c r="F43" s="17" t="s">
        <v>59</v>
      </c>
      <c r="G43" s="18">
        <v>1.1000000000000001</v>
      </c>
      <c r="H43" s="22"/>
      <c r="I43" s="22">
        <v>478.94</v>
      </c>
      <c r="J43" s="19">
        <v>1339</v>
      </c>
      <c r="M43" s="20">
        <f>ROUND(ROUND(J43, 2)*I43, 2)</f>
        <v>641300.66</v>
      </c>
      <c r="P43" s="19">
        <v>1339</v>
      </c>
      <c r="S43" s="20">
        <f>ROUND(ROUND(P43, 2)*I43, 2)</f>
        <v>641300.66</v>
      </c>
      <c r="V43" s="9">
        <f>ROUND(ROUND(P43, 2)/1.2, 2)</f>
        <v>1115.83</v>
      </c>
      <c r="Y43" s="9">
        <f t="shared" si="7"/>
        <v>534417.22</v>
      </c>
      <c r="AD43" s="4" t="s">
        <v>185</v>
      </c>
      <c r="AE43" s="4" t="s">
        <v>186</v>
      </c>
      <c r="AF43" s="4" t="s">
        <v>187</v>
      </c>
    </row>
    <row r="44" spans="1:35" ht="18.75" x14ac:dyDescent="0.25">
      <c r="A44" s="10" t="s">
        <v>188</v>
      </c>
      <c r="B44" s="10" t="s">
        <v>164</v>
      </c>
      <c r="C44" s="11" t="s">
        <v>165</v>
      </c>
      <c r="D44" s="12" t="s">
        <v>166</v>
      </c>
      <c r="E44" s="12" t="s">
        <v>189</v>
      </c>
      <c r="F44" s="12" t="s">
        <v>59</v>
      </c>
      <c r="G44" s="13">
        <v>1</v>
      </c>
      <c r="H44" s="13"/>
      <c r="I44" s="13">
        <v>1236</v>
      </c>
      <c r="J44" s="14">
        <f>IFERROR(ROUND(SUM(M45,M46,M47)/I44, 2),0)</f>
        <v>1562.05</v>
      </c>
      <c r="K44" s="15">
        <v>556</v>
      </c>
      <c r="L44" s="14">
        <f>J44+ROUND(K44, 2)</f>
        <v>2118.0500000000002</v>
      </c>
      <c r="M44" s="14">
        <f>ROUND(J44*I44, 2)</f>
        <v>1930693.8</v>
      </c>
      <c r="N44" s="14">
        <f>ROUND(I44*ROUND(K44, 2), 2)</f>
        <v>687216</v>
      </c>
      <c r="O44" s="14">
        <f>M44+N44</f>
        <v>2617909.7999999998</v>
      </c>
      <c r="P44" s="14">
        <f>IFERROR(ROUND(SUM(S45,S46,S47)/I44, 2),0)</f>
        <v>1562.05</v>
      </c>
      <c r="Q44" s="15">
        <v>556</v>
      </c>
      <c r="R44" s="14">
        <f>P44+ROUND(Q44, 2)</f>
        <v>2118.0500000000002</v>
      </c>
      <c r="S44" s="14">
        <f>ROUND(P44*I44, 2)</f>
        <v>1930693.8</v>
      </c>
      <c r="T44" s="14">
        <f>ROUND(I44*ROUND(Q44, 2), 2)</f>
        <v>687216</v>
      </c>
      <c r="U44" s="14">
        <f>S44+T44</f>
        <v>2617909.7999999998</v>
      </c>
      <c r="V44" s="9">
        <f>ROUND(P44 / 1.2, 2)</f>
        <v>1301.71</v>
      </c>
      <c r="W44" s="9">
        <f>ROUND(Q44 / 1.2, 2)</f>
        <v>463.33</v>
      </c>
      <c r="X44" s="9">
        <f>ROUND(R44 / 1.2, 2)</f>
        <v>1765.04</v>
      </c>
      <c r="Y44" s="9">
        <f t="shared" si="7"/>
        <v>1608911.5</v>
      </c>
      <c r="Z44" s="9">
        <f>ROUND(T44 / 1.2, 2)</f>
        <v>572680</v>
      </c>
      <c r="AA44" s="9">
        <f>Y44+Z44</f>
        <v>2181591.5</v>
      </c>
      <c r="AD44" s="4">
        <v>282588987</v>
      </c>
      <c r="AE44" s="4">
        <v>20297494</v>
      </c>
      <c r="AG44" s="4" t="s">
        <v>168</v>
      </c>
      <c r="AH44" s="4" t="s">
        <v>169</v>
      </c>
      <c r="AI44" s="4" t="s">
        <v>170</v>
      </c>
    </row>
    <row r="45" spans="1:35" ht="75" x14ac:dyDescent="0.25">
      <c r="A45" s="10" t="s">
        <v>190</v>
      </c>
      <c r="B45" s="10"/>
      <c r="C45" s="21" t="s">
        <v>191</v>
      </c>
      <c r="D45" s="12"/>
      <c r="E45" s="12"/>
      <c r="F45" s="17" t="s">
        <v>59</v>
      </c>
      <c r="G45" s="18">
        <v>1.1000000000000001</v>
      </c>
      <c r="H45" s="22"/>
      <c r="I45" s="22">
        <v>1359.6</v>
      </c>
      <c r="J45" s="19">
        <v>1339</v>
      </c>
      <c r="M45" s="20">
        <f>ROUND(ROUND(J45, 2)*I45, 2)</f>
        <v>1820504.4</v>
      </c>
      <c r="P45" s="19">
        <v>1339</v>
      </c>
      <c r="S45" s="20">
        <f>ROUND(ROUND(P45, 2)*I45, 2)</f>
        <v>1820504.4</v>
      </c>
      <c r="V45" s="9">
        <f>ROUND(ROUND(P45, 2)/1.2, 2)</f>
        <v>1115.83</v>
      </c>
      <c r="Y45" s="9">
        <f t="shared" si="7"/>
        <v>1517087</v>
      </c>
      <c r="AD45" s="4" t="s">
        <v>192</v>
      </c>
      <c r="AE45" s="4" t="s">
        <v>193</v>
      </c>
      <c r="AF45" s="4" t="s">
        <v>194</v>
      </c>
    </row>
    <row r="46" spans="1:35" ht="75" x14ac:dyDescent="0.25">
      <c r="A46" s="10" t="s">
        <v>195</v>
      </c>
      <c r="B46" s="10"/>
      <c r="C46" s="21" t="s">
        <v>196</v>
      </c>
      <c r="D46" s="12"/>
      <c r="E46" s="12"/>
      <c r="F46" s="17" t="s">
        <v>76</v>
      </c>
      <c r="G46" s="18">
        <v>1</v>
      </c>
      <c r="H46" s="22"/>
      <c r="I46" s="22">
        <v>561</v>
      </c>
      <c r="J46" s="19">
        <v>51</v>
      </c>
      <c r="M46" s="20">
        <f>ROUND(ROUND(J46, 2)*I46, 2)</f>
        <v>28611</v>
      </c>
      <c r="P46" s="19">
        <v>51</v>
      </c>
      <c r="S46" s="20">
        <f>ROUND(ROUND(P46, 2)*I46, 2)</f>
        <v>28611</v>
      </c>
      <c r="V46" s="9">
        <f>ROUND(ROUND(P46, 2)/1.2, 2)</f>
        <v>42.5</v>
      </c>
      <c r="Y46" s="9">
        <f t="shared" si="7"/>
        <v>23842.5</v>
      </c>
      <c r="AD46" s="4" t="s">
        <v>197</v>
      </c>
      <c r="AE46" s="4" t="s">
        <v>198</v>
      </c>
      <c r="AF46" s="4" t="s">
        <v>199</v>
      </c>
    </row>
    <row r="47" spans="1:35" ht="18.75" x14ac:dyDescent="0.25">
      <c r="A47" s="10" t="s">
        <v>200</v>
      </c>
      <c r="B47" s="10"/>
      <c r="C47" s="16" t="s">
        <v>172</v>
      </c>
      <c r="D47" s="12"/>
      <c r="E47" s="12"/>
      <c r="F47" s="17" t="s">
        <v>173</v>
      </c>
      <c r="G47" s="18">
        <v>0.3</v>
      </c>
      <c r="H47" s="18"/>
      <c r="I47" s="18">
        <v>370.8</v>
      </c>
      <c r="J47" s="19">
        <v>220</v>
      </c>
      <c r="M47" s="20">
        <f>ROUND(ROUND(J47, 2)*I47, 2)</f>
        <v>81576</v>
      </c>
      <c r="P47" s="19">
        <v>220</v>
      </c>
      <c r="S47" s="20">
        <f>ROUND(ROUND(P47, 2)*I47, 2)</f>
        <v>81576</v>
      </c>
      <c r="V47" s="9">
        <f>ROUND(ROUND(P47, 2)/1.2, 2)</f>
        <v>183.33</v>
      </c>
      <c r="Y47" s="9">
        <f t="shared" si="7"/>
        <v>67980</v>
      </c>
      <c r="AD47" s="4" t="s">
        <v>201</v>
      </c>
      <c r="AE47" s="4" t="s">
        <v>202</v>
      </c>
      <c r="AF47" s="4" t="s">
        <v>176</v>
      </c>
    </row>
    <row r="48" spans="1:35" ht="18.75" x14ac:dyDescent="0.25">
      <c r="A48" s="10" t="s">
        <v>203</v>
      </c>
      <c r="B48" s="10" t="s">
        <v>164</v>
      </c>
      <c r="C48" s="11" t="s">
        <v>165</v>
      </c>
      <c r="D48" s="12" t="s">
        <v>166</v>
      </c>
      <c r="E48" s="12" t="s">
        <v>204</v>
      </c>
      <c r="F48" s="12" t="s">
        <v>59</v>
      </c>
      <c r="G48" s="13">
        <v>1</v>
      </c>
      <c r="H48" s="13"/>
      <c r="I48" s="13">
        <v>2276</v>
      </c>
      <c r="J48" s="14">
        <f>IFERROR(ROUND(SUM(M49,M50,M51)/I48, 2),0)</f>
        <v>1562.05</v>
      </c>
      <c r="K48" s="15">
        <v>556</v>
      </c>
      <c r="L48" s="14">
        <f>J48+ROUND(K48, 2)</f>
        <v>2118.0500000000002</v>
      </c>
      <c r="M48" s="14">
        <f>ROUND(J48*I48, 2)</f>
        <v>3555225.8</v>
      </c>
      <c r="N48" s="14">
        <f>ROUND(I48*ROUND(K48, 2), 2)</f>
        <v>1265456</v>
      </c>
      <c r="O48" s="14">
        <f>M48+N48</f>
        <v>4820681.8</v>
      </c>
      <c r="P48" s="14">
        <f>IFERROR(ROUND(SUM(S49,S50,S51)/I48, 2),0)</f>
        <v>1562.05</v>
      </c>
      <c r="Q48" s="15">
        <v>556</v>
      </c>
      <c r="R48" s="14">
        <f>P48+ROUND(Q48, 2)</f>
        <v>2118.0500000000002</v>
      </c>
      <c r="S48" s="14">
        <f>ROUND(P48*I48, 2)</f>
        <v>3555225.8</v>
      </c>
      <c r="T48" s="14">
        <f>ROUND(I48*ROUND(Q48, 2), 2)</f>
        <v>1265456</v>
      </c>
      <c r="U48" s="14">
        <f>S48+T48</f>
        <v>4820681.8</v>
      </c>
      <c r="V48" s="9">
        <f>ROUND(P48 / 1.2, 2)</f>
        <v>1301.71</v>
      </c>
      <c r="W48" s="9">
        <f>ROUND(Q48 / 1.2, 2)</f>
        <v>463.33</v>
      </c>
      <c r="X48" s="9">
        <f>ROUND(R48 / 1.2, 2)</f>
        <v>1765.04</v>
      </c>
      <c r="Y48" s="9">
        <f t="shared" si="7"/>
        <v>2962688.17</v>
      </c>
      <c r="Z48" s="9">
        <f>ROUND(T48 / 1.2, 2)</f>
        <v>1054546.67</v>
      </c>
      <c r="AA48" s="9">
        <f>Y48+Z48</f>
        <v>4017234.84</v>
      </c>
      <c r="AD48" s="4">
        <v>282588988</v>
      </c>
      <c r="AE48" s="4">
        <v>20297502</v>
      </c>
      <c r="AG48" s="4" t="s">
        <v>168</v>
      </c>
      <c r="AH48" s="4" t="s">
        <v>169</v>
      </c>
      <c r="AI48" s="4" t="s">
        <v>170</v>
      </c>
    </row>
    <row r="49" spans="1:35" ht="18.75" x14ac:dyDescent="0.25">
      <c r="A49" s="10" t="s">
        <v>205</v>
      </c>
      <c r="B49" s="10"/>
      <c r="C49" s="16" t="s">
        <v>172</v>
      </c>
      <c r="D49" s="12"/>
      <c r="E49" s="12"/>
      <c r="F49" s="17" t="s">
        <v>173</v>
      </c>
      <c r="G49" s="18">
        <v>0.3</v>
      </c>
      <c r="H49" s="18"/>
      <c r="I49" s="18">
        <v>682.8</v>
      </c>
      <c r="J49" s="19">
        <v>220</v>
      </c>
      <c r="M49" s="20">
        <f>ROUND(ROUND(J49, 2)*I49, 2)</f>
        <v>150216</v>
      </c>
      <c r="P49" s="19">
        <v>220</v>
      </c>
      <c r="S49" s="20">
        <f>ROUND(ROUND(P49, 2)*I49, 2)</f>
        <v>150216</v>
      </c>
      <c r="V49" s="9">
        <f>ROUND(ROUND(P49, 2)/1.2, 2)</f>
        <v>183.33</v>
      </c>
      <c r="Y49" s="9">
        <f t="shared" si="7"/>
        <v>125180</v>
      </c>
      <c r="AD49" s="4" t="s">
        <v>206</v>
      </c>
      <c r="AE49" s="4" t="s">
        <v>207</v>
      </c>
      <c r="AF49" s="4" t="s">
        <v>176</v>
      </c>
    </row>
    <row r="50" spans="1:35" ht="75" x14ac:dyDescent="0.25">
      <c r="A50" s="10" t="s">
        <v>208</v>
      </c>
      <c r="B50" s="10"/>
      <c r="C50" s="21" t="s">
        <v>196</v>
      </c>
      <c r="D50" s="12"/>
      <c r="E50" s="12"/>
      <c r="F50" s="17" t="s">
        <v>76</v>
      </c>
      <c r="G50" s="18">
        <v>1</v>
      </c>
      <c r="H50" s="22"/>
      <c r="I50" s="22">
        <v>1033</v>
      </c>
      <c r="J50" s="19">
        <v>51</v>
      </c>
      <c r="M50" s="20">
        <f>ROUND(ROUND(J50, 2)*I50, 2)</f>
        <v>52683</v>
      </c>
      <c r="P50" s="19">
        <v>51</v>
      </c>
      <c r="S50" s="20">
        <f>ROUND(ROUND(P50, 2)*I50, 2)</f>
        <v>52683</v>
      </c>
      <c r="V50" s="9">
        <f>ROUND(ROUND(P50, 2)/1.2, 2)</f>
        <v>42.5</v>
      </c>
      <c r="Y50" s="9">
        <f t="shared" si="7"/>
        <v>43902.5</v>
      </c>
      <c r="AD50" s="4" t="s">
        <v>209</v>
      </c>
      <c r="AE50" s="4" t="s">
        <v>210</v>
      </c>
      <c r="AF50" s="4" t="s">
        <v>199</v>
      </c>
    </row>
    <row r="51" spans="1:35" ht="75" x14ac:dyDescent="0.25">
      <c r="A51" s="10" t="s">
        <v>211</v>
      </c>
      <c r="B51" s="10"/>
      <c r="C51" s="21" t="s">
        <v>191</v>
      </c>
      <c r="D51" s="12"/>
      <c r="E51" s="12"/>
      <c r="F51" s="17" t="s">
        <v>59</v>
      </c>
      <c r="G51" s="18">
        <v>1.1000000000000001</v>
      </c>
      <c r="H51" s="22"/>
      <c r="I51" s="22">
        <v>2503.6</v>
      </c>
      <c r="J51" s="19">
        <v>1339</v>
      </c>
      <c r="M51" s="20">
        <f>ROUND(ROUND(J51, 2)*I51, 2)</f>
        <v>3352320.4</v>
      </c>
      <c r="P51" s="19">
        <v>1339</v>
      </c>
      <c r="S51" s="20">
        <f>ROUND(ROUND(P51, 2)*I51, 2)</f>
        <v>3352320.4</v>
      </c>
      <c r="V51" s="9">
        <f>ROUND(ROUND(P51, 2)/1.2, 2)</f>
        <v>1115.83</v>
      </c>
      <c r="Y51" s="9">
        <f t="shared" si="7"/>
        <v>2793600.33</v>
      </c>
      <c r="AD51" s="4" t="s">
        <v>212</v>
      </c>
      <c r="AE51" s="4" t="s">
        <v>213</v>
      </c>
      <c r="AF51" s="4" t="s">
        <v>194</v>
      </c>
    </row>
    <row r="52" spans="1:35" ht="75" x14ac:dyDescent="0.25">
      <c r="A52" s="10" t="s">
        <v>214</v>
      </c>
      <c r="B52" s="10" t="s">
        <v>215</v>
      </c>
      <c r="C52" s="11" t="s">
        <v>216</v>
      </c>
      <c r="D52" s="12"/>
      <c r="E52" s="12" t="s">
        <v>217</v>
      </c>
      <c r="F52" s="12" t="s">
        <v>76</v>
      </c>
      <c r="G52" s="13">
        <v>1</v>
      </c>
      <c r="H52" s="13"/>
      <c r="I52" s="13">
        <v>25</v>
      </c>
      <c r="J52" s="14">
        <f>IFERROR(ROUND(SUM(M53,M54)/I52, 2),0)</f>
        <v>9</v>
      </c>
      <c r="K52" s="15">
        <v>200</v>
      </c>
      <c r="L52" s="14">
        <f>J52+ROUND(K52, 2)</f>
        <v>209</v>
      </c>
      <c r="M52" s="14">
        <f>ROUND(J52*I52, 2)</f>
        <v>225</v>
      </c>
      <c r="N52" s="14">
        <f>ROUND(I52*ROUND(K52, 2), 2)</f>
        <v>5000</v>
      </c>
      <c r="O52" s="14">
        <f>M52+N52</f>
        <v>5225</v>
      </c>
      <c r="P52" s="14">
        <f>IFERROR(ROUND(SUM(S53,S54)/I52, 2),0)</f>
        <v>577.48</v>
      </c>
      <c r="Q52" s="15">
        <v>200</v>
      </c>
      <c r="R52" s="14">
        <f>P52+ROUND(Q52, 2)</f>
        <v>777.48</v>
      </c>
      <c r="S52" s="14">
        <f>ROUND(P52*I52, 2)</f>
        <v>14437</v>
      </c>
      <c r="T52" s="14">
        <f>ROUND(I52*ROUND(Q52, 2), 2)</f>
        <v>5000</v>
      </c>
      <c r="U52" s="14">
        <f>S52+T52</f>
        <v>19437</v>
      </c>
      <c r="V52" s="9">
        <f>ROUND(P52 / 1.2, 2)</f>
        <v>481.23</v>
      </c>
      <c r="W52" s="9">
        <f>ROUND(Q52 / 1.2, 2)</f>
        <v>166.67</v>
      </c>
      <c r="X52" s="9">
        <f>ROUND(R52 / 1.2, 2)</f>
        <v>647.9</v>
      </c>
      <c r="Y52" s="9">
        <f t="shared" si="7"/>
        <v>12030.83</v>
      </c>
      <c r="Z52" s="9">
        <f>ROUND(T52 / 1.2, 2)</f>
        <v>4166.67</v>
      </c>
      <c r="AA52" s="9">
        <f>Y52+Z52</f>
        <v>16197.5</v>
      </c>
      <c r="AD52" s="4">
        <v>282588936</v>
      </c>
      <c r="AE52" s="4">
        <v>20298510</v>
      </c>
      <c r="AG52" s="4" t="s">
        <v>218</v>
      </c>
      <c r="AH52" s="4" t="s">
        <v>219</v>
      </c>
      <c r="AI52" s="4" t="s">
        <v>170</v>
      </c>
    </row>
    <row r="53" spans="1:35" ht="18.75" x14ac:dyDescent="0.25">
      <c r="A53" s="10" t="s">
        <v>220</v>
      </c>
      <c r="B53" s="10"/>
      <c r="C53" s="16" t="s">
        <v>221</v>
      </c>
      <c r="D53" s="12"/>
      <c r="E53" s="12"/>
      <c r="F53" s="17" t="s">
        <v>222</v>
      </c>
      <c r="G53" s="23">
        <v>0.09</v>
      </c>
      <c r="H53" s="18"/>
      <c r="I53" s="18">
        <v>2.25</v>
      </c>
      <c r="J53" s="19">
        <v>100</v>
      </c>
      <c r="M53" s="20">
        <f>ROUND(ROUND(J53, 2)*I53, 2)</f>
        <v>225</v>
      </c>
      <c r="P53" s="19">
        <v>100</v>
      </c>
      <c r="S53" s="20">
        <f>ROUND(ROUND(P53, 2)*I53, 2)</f>
        <v>225</v>
      </c>
      <c r="V53" s="9">
        <f>ROUND(ROUND(P53, 2)/1.2, 2)</f>
        <v>83.33</v>
      </c>
      <c r="Y53" s="9">
        <f t="shared" si="7"/>
        <v>187.5</v>
      </c>
      <c r="AD53" s="4" t="s">
        <v>223</v>
      </c>
      <c r="AE53" s="4" t="s">
        <v>224</v>
      </c>
      <c r="AF53" s="4" t="s">
        <v>225</v>
      </c>
    </row>
    <row r="54" spans="1:35" ht="37.5" x14ac:dyDescent="0.25">
      <c r="A54" s="10" t="s">
        <v>226</v>
      </c>
      <c r="B54" s="10"/>
      <c r="C54" s="16" t="s">
        <v>227</v>
      </c>
      <c r="D54" s="12"/>
      <c r="E54" s="12"/>
      <c r="F54" s="17" t="s">
        <v>76</v>
      </c>
      <c r="G54" s="18">
        <v>1.1000000000000001</v>
      </c>
      <c r="H54" s="22"/>
      <c r="I54" s="22">
        <v>27.5</v>
      </c>
      <c r="J54" s="19">
        <v>0</v>
      </c>
      <c r="M54" s="20">
        <f>ROUND(ROUND(J54, 2)*I54, 2)</f>
        <v>0</v>
      </c>
      <c r="P54" s="19">
        <v>516.79999999999995</v>
      </c>
      <c r="S54" s="20">
        <f>ROUND(ROUND(P54, 2)*I54, 2)</f>
        <v>14212</v>
      </c>
      <c r="V54" s="9">
        <f>ROUND(ROUND(P54, 2)/1.2, 2)</f>
        <v>430.67</v>
      </c>
      <c r="Y54" s="9">
        <f t="shared" si="7"/>
        <v>11843.33</v>
      </c>
      <c r="AD54" s="4" t="s">
        <v>228</v>
      </c>
      <c r="AE54" s="4" t="s">
        <v>229</v>
      </c>
      <c r="AF54" s="4" t="s">
        <v>230</v>
      </c>
    </row>
    <row r="55" spans="1:35" ht="75" x14ac:dyDescent="0.25">
      <c r="A55" s="10" t="s">
        <v>231</v>
      </c>
      <c r="B55" s="10" t="s">
        <v>215</v>
      </c>
      <c r="C55" s="11" t="s">
        <v>216</v>
      </c>
      <c r="D55" s="12"/>
      <c r="E55" s="12" t="s">
        <v>232</v>
      </c>
      <c r="F55" s="12" t="s">
        <v>76</v>
      </c>
      <c r="G55" s="13">
        <v>1</v>
      </c>
      <c r="H55" s="13"/>
      <c r="I55" s="13">
        <v>8.1</v>
      </c>
      <c r="J55" s="14">
        <f>IFERROR(ROUND(SUM(M56,M57)/I55, 2),0)</f>
        <v>9</v>
      </c>
      <c r="K55" s="15">
        <v>200</v>
      </c>
      <c r="L55" s="14">
        <f>J55+ROUND(K55, 2)</f>
        <v>209</v>
      </c>
      <c r="M55" s="14">
        <f>ROUND(J55*I55, 2)</f>
        <v>72.900000000000006</v>
      </c>
      <c r="N55" s="14">
        <f>ROUND(I55*ROUND(K55, 2), 2)</f>
        <v>1620</v>
      </c>
      <c r="O55" s="14">
        <f>M55+N55</f>
        <v>1692.9</v>
      </c>
      <c r="P55" s="14">
        <f>IFERROR(ROUND(SUM(S56,S57)/I55, 2),0)</f>
        <v>577.48</v>
      </c>
      <c r="Q55" s="15">
        <v>200</v>
      </c>
      <c r="R55" s="14">
        <f>P55+ROUND(Q55, 2)</f>
        <v>777.48</v>
      </c>
      <c r="S55" s="14">
        <f>ROUND(P55*I55, 2)</f>
        <v>4677.59</v>
      </c>
      <c r="T55" s="14">
        <f>ROUND(I55*ROUND(Q55, 2), 2)</f>
        <v>1620</v>
      </c>
      <c r="U55" s="14">
        <f>S55+T55</f>
        <v>6297.59</v>
      </c>
      <c r="V55" s="9">
        <f>ROUND(P55 / 1.2, 2)</f>
        <v>481.23</v>
      </c>
      <c r="W55" s="9">
        <f>ROUND(Q55 / 1.2, 2)</f>
        <v>166.67</v>
      </c>
      <c r="X55" s="9">
        <f>ROUND(R55 / 1.2, 2)</f>
        <v>647.9</v>
      </c>
      <c r="Y55" s="9">
        <f t="shared" si="7"/>
        <v>3897.99</v>
      </c>
      <c r="Z55" s="9">
        <f>ROUND(T55 / 1.2, 2)</f>
        <v>1350</v>
      </c>
      <c r="AA55" s="9">
        <f>Y55+Z55</f>
        <v>5247.99</v>
      </c>
      <c r="AD55" s="4">
        <v>282588989</v>
      </c>
      <c r="AE55" s="4">
        <v>20298511</v>
      </c>
      <c r="AG55" s="4" t="s">
        <v>218</v>
      </c>
      <c r="AH55" s="4" t="s">
        <v>219</v>
      </c>
      <c r="AI55" s="4" t="s">
        <v>170</v>
      </c>
    </row>
    <row r="56" spans="1:35" ht="37.5" x14ac:dyDescent="0.25">
      <c r="A56" s="10" t="s">
        <v>233</v>
      </c>
      <c r="B56" s="10"/>
      <c r="C56" s="16" t="s">
        <v>227</v>
      </c>
      <c r="D56" s="12"/>
      <c r="E56" s="12"/>
      <c r="F56" s="17" t="s">
        <v>76</v>
      </c>
      <c r="G56" s="18">
        <v>1.1000000000000001</v>
      </c>
      <c r="H56" s="22"/>
      <c r="I56" s="22">
        <v>8.91</v>
      </c>
      <c r="J56" s="19">
        <v>0</v>
      </c>
      <c r="M56" s="20">
        <f>ROUND(ROUND(J56, 2)*I56, 2)</f>
        <v>0</v>
      </c>
      <c r="P56" s="19">
        <v>516.79999999999995</v>
      </c>
      <c r="S56" s="20">
        <f>ROUND(ROUND(P56, 2)*I56, 2)</f>
        <v>4604.6899999999996</v>
      </c>
      <c r="V56" s="9">
        <f>ROUND(ROUND(P56, 2)/1.2, 2)</f>
        <v>430.67</v>
      </c>
      <c r="Y56" s="9">
        <f t="shared" si="7"/>
        <v>3837.24</v>
      </c>
      <c r="AD56" s="4" t="s">
        <v>234</v>
      </c>
      <c r="AE56" s="4" t="s">
        <v>235</v>
      </c>
      <c r="AF56" s="4" t="s">
        <v>230</v>
      </c>
    </row>
    <row r="57" spans="1:35" ht="18.75" x14ac:dyDescent="0.25">
      <c r="A57" s="10" t="s">
        <v>236</v>
      </c>
      <c r="B57" s="10"/>
      <c r="C57" s="16" t="s">
        <v>221</v>
      </c>
      <c r="D57" s="12"/>
      <c r="E57" s="12"/>
      <c r="F57" s="17" t="s">
        <v>222</v>
      </c>
      <c r="G57" s="23">
        <v>0.09</v>
      </c>
      <c r="H57" s="18"/>
      <c r="I57" s="18">
        <v>0.72899999999999998</v>
      </c>
      <c r="J57" s="19">
        <v>100</v>
      </c>
      <c r="M57" s="20">
        <f>ROUND(ROUND(J57, 2)*I57, 2)</f>
        <v>72.900000000000006</v>
      </c>
      <c r="P57" s="19">
        <v>100</v>
      </c>
      <c r="S57" s="20">
        <f>ROUND(ROUND(P57, 2)*I57, 2)</f>
        <v>72.900000000000006</v>
      </c>
      <c r="V57" s="9">
        <f>ROUND(ROUND(P57, 2)/1.2, 2)</f>
        <v>83.33</v>
      </c>
      <c r="Y57" s="9">
        <f t="shared" si="7"/>
        <v>60.75</v>
      </c>
      <c r="AD57" s="4" t="s">
        <v>237</v>
      </c>
      <c r="AE57" s="4" t="s">
        <v>238</v>
      </c>
      <c r="AF57" s="4" t="s">
        <v>225</v>
      </c>
    </row>
    <row r="58" spans="1:35" ht="75" x14ac:dyDescent="0.25">
      <c r="A58" s="10" t="s">
        <v>239</v>
      </c>
      <c r="B58" s="10" t="s">
        <v>215</v>
      </c>
      <c r="C58" s="11" t="s">
        <v>216</v>
      </c>
      <c r="D58" s="12"/>
      <c r="E58" s="12" t="s">
        <v>240</v>
      </c>
      <c r="F58" s="12" t="s">
        <v>76</v>
      </c>
      <c r="G58" s="13">
        <v>1</v>
      </c>
      <c r="H58" s="13"/>
      <c r="I58" s="13">
        <v>11</v>
      </c>
      <c r="J58" s="14">
        <f>IFERROR(ROUND(SUM(M59,M60)/I58, 2),0)</f>
        <v>9</v>
      </c>
      <c r="K58" s="15">
        <v>200</v>
      </c>
      <c r="L58" s="14">
        <f>J58+ROUND(K58, 2)</f>
        <v>209</v>
      </c>
      <c r="M58" s="14">
        <f>ROUND(J58*I58, 2)</f>
        <v>99</v>
      </c>
      <c r="N58" s="14">
        <f>ROUND(I58*ROUND(K58, 2), 2)</f>
        <v>2200</v>
      </c>
      <c r="O58" s="14">
        <f>M58+N58</f>
        <v>2299</v>
      </c>
      <c r="P58" s="14">
        <f>IFERROR(ROUND(SUM(S59,S60)/I58, 2),0)</f>
        <v>577.48</v>
      </c>
      <c r="Q58" s="15">
        <v>200</v>
      </c>
      <c r="R58" s="14">
        <f>P58+ROUND(Q58, 2)</f>
        <v>777.48</v>
      </c>
      <c r="S58" s="14">
        <f>ROUND(P58*I58, 2)</f>
        <v>6352.28</v>
      </c>
      <c r="T58" s="14">
        <f>ROUND(I58*ROUND(Q58, 2), 2)</f>
        <v>2200</v>
      </c>
      <c r="U58" s="14">
        <f>S58+T58</f>
        <v>8552.2799999999988</v>
      </c>
      <c r="V58" s="9">
        <f>ROUND(P58 / 1.2, 2)</f>
        <v>481.23</v>
      </c>
      <c r="W58" s="9">
        <f>ROUND(Q58 / 1.2, 2)</f>
        <v>166.67</v>
      </c>
      <c r="X58" s="9">
        <f>ROUND(R58 / 1.2, 2)</f>
        <v>647.9</v>
      </c>
      <c r="Y58" s="9">
        <f t="shared" si="7"/>
        <v>5293.57</v>
      </c>
      <c r="Z58" s="9">
        <f>ROUND(T58 / 1.2, 2)</f>
        <v>1833.33</v>
      </c>
      <c r="AA58" s="9">
        <f>Y58+Z58</f>
        <v>7126.9</v>
      </c>
      <c r="AD58" s="4">
        <v>282588990</v>
      </c>
      <c r="AE58" s="4">
        <v>20298519</v>
      </c>
      <c r="AG58" s="4" t="s">
        <v>218</v>
      </c>
      <c r="AH58" s="4" t="s">
        <v>219</v>
      </c>
      <c r="AI58" s="4" t="s">
        <v>170</v>
      </c>
    </row>
    <row r="59" spans="1:35" ht="18.75" x14ac:dyDescent="0.25">
      <c r="A59" s="10" t="s">
        <v>241</v>
      </c>
      <c r="B59" s="10"/>
      <c r="C59" s="16" t="s">
        <v>221</v>
      </c>
      <c r="D59" s="12"/>
      <c r="E59" s="12"/>
      <c r="F59" s="17" t="s">
        <v>222</v>
      </c>
      <c r="G59" s="23">
        <v>0.09</v>
      </c>
      <c r="H59" s="18"/>
      <c r="I59" s="18">
        <v>0.99</v>
      </c>
      <c r="J59" s="19">
        <v>100</v>
      </c>
      <c r="M59" s="20">
        <f>ROUND(ROUND(J59, 2)*I59, 2)</f>
        <v>99</v>
      </c>
      <c r="P59" s="19">
        <v>100</v>
      </c>
      <c r="S59" s="20">
        <f>ROUND(ROUND(P59, 2)*I59, 2)</f>
        <v>99</v>
      </c>
      <c r="V59" s="9">
        <f>ROUND(ROUND(P59, 2)/1.2, 2)</f>
        <v>83.33</v>
      </c>
      <c r="Y59" s="9">
        <f t="shared" si="7"/>
        <v>82.5</v>
      </c>
      <c r="AD59" s="4" t="s">
        <v>242</v>
      </c>
      <c r="AE59" s="4" t="s">
        <v>243</v>
      </c>
      <c r="AF59" s="4" t="s">
        <v>225</v>
      </c>
    </row>
    <row r="60" spans="1:35" ht="37.5" x14ac:dyDescent="0.25">
      <c r="A60" s="10" t="s">
        <v>244</v>
      </c>
      <c r="B60" s="10"/>
      <c r="C60" s="16" t="s">
        <v>227</v>
      </c>
      <c r="D60" s="12"/>
      <c r="E60" s="12"/>
      <c r="F60" s="17" t="s">
        <v>76</v>
      </c>
      <c r="G60" s="18">
        <v>1.1000000000000001</v>
      </c>
      <c r="H60" s="22"/>
      <c r="I60" s="22">
        <v>12.1</v>
      </c>
      <c r="J60" s="19">
        <v>0</v>
      </c>
      <c r="M60" s="20">
        <f>ROUND(ROUND(J60, 2)*I60, 2)</f>
        <v>0</v>
      </c>
      <c r="P60" s="19">
        <v>516.79999999999995</v>
      </c>
      <c r="S60" s="20">
        <f>ROUND(ROUND(P60, 2)*I60, 2)</f>
        <v>6253.28</v>
      </c>
      <c r="V60" s="9">
        <f>ROUND(ROUND(P60, 2)/1.2, 2)</f>
        <v>430.67</v>
      </c>
      <c r="Y60" s="9">
        <f t="shared" si="7"/>
        <v>5211.07</v>
      </c>
      <c r="AD60" s="4" t="s">
        <v>245</v>
      </c>
      <c r="AE60" s="4" t="s">
        <v>246</v>
      </c>
      <c r="AF60" s="4" t="s">
        <v>230</v>
      </c>
    </row>
    <row r="61" spans="1:35" ht="18.75" x14ac:dyDescent="0.25">
      <c r="A61" s="10" t="s">
        <v>247</v>
      </c>
      <c r="B61" s="10" t="s">
        <v>215</v>
      </c>
      <c r="C61" s="11" t="s">
        <v>216</v>
      </c>
      <c r="D61" s="12"/>
      <c r="E61" s="12" t="s">
        <v>248</v>
      </c>
      <c r="F61" s="12" t="s">
        <v>76</v>
      </c>
      <c r="G61" s="13">
        <v>1</v>
      </c>
      <c r="H61" s="13"/>
      <c r="I61" s="13">
        <v>106.7</v>
      </c>
      <c r="J61" s="14">
        <f>IFERROR(ROUND(SUM(M62,M63)/I61, 2),0)</f>
        <v>99.86</v>
      </c>
      <c r="K61" s="15">
        <v>200</v>
      </c>
      <c r="L61" s="14">
        <f>J61+ROUND(K61, 2)</f>
        <v>299.86</v>
      </c>
      <c r="M61" s="14">
        <f>ROUND(J61*I61, 2)</f>
        <v>10655.06</v>
      </c>
      <c r="N61" s="14">
        <f>ROUND(I61*ROUND(K61, 2), 2)</f>
        <v>21340</v>
      </c>
      <c r="O61" s="14">
        <f>M61+N61</f>
        <v>31995.059999999998</v>
      </c>
      <c r="P61" s="14">
        <f>IFERROR(ROUND(SUM(S62,S63)/I61, 2),0)</f>
        <v>99.86</v>
      </c>
      <c r="Q61" s="15">
        <v>200</v>
      </c>
      <c r="R61" s="14">
        <f>P61+ROUND(Q61, 2)</f>
        <v>299.86</v>
      </c>
      <c r="S61" s="14">
        <f>ROUND(P61*I61, 2)</f>
        <v>10655.06</v>
      </c>
      <c r="T61" s="14">
        <f>ROUND(I61*ROUND(Q61, 2), 2)</f>
        <v>21340</v>
      </c>
      <c r="U61" s="14">
        <f>S61+T61</f>
        <v>31995.059999999998</v>
      </c>
      <c r="V61" s="9">
        <f>ROUND(P61 / 1.2, 2)</f>
        <v>83.22</v>
      </c>
      <c r="W61" s="9">
        <f>ROUND(Q61 / 1.2, 2)</f>
        <v>166.67</v>
      </c>
      <c r="X61" s="9">
        <f>ROUND(R61 / 1.2, 2)</f>
        <v>249.88</v>
      </c>
      <c r="Y61" s="9">
        <f t="shared" si="7"/>
        <v>8879.2199999999993</v>
      </c>
      <c r="Z61" s="9">
        <f>ROUND(T61 / 1.2, 2)</f>
        <v>17783.330000000002</v>
      </c>
      <c r="AA61" s="9">
        <f>Y61+Z61</f>
        <v>26662.550000000003</v>
      </c>
      <c r="AD61" s="4">
        <v>282588991</v>
      </c>
      <c r="AE61" s="4">
        <v>20298509</v>
      </c>
      <c r="AG61" s="4" t="s">
        <v>218</v>
      </c>
      <c r="AH61" s="4" t="s">
        <v>219</v>
      </c>
      <c r="AI61" s="4" t="s">
        <v>170</v>
      </c>
    </row>
    <row r="62" spans="1:35" ht="18.75" x14ac:dyDescent="0.25">
      <c r="A62" s="10" t="s">
        <v>249</v>
      </c>
      <c r="B62" s="10"/>
      <c r="C62" s="21" t="s">
        <v>250</v>
      </c>
      <c r="D62" s="12"/>
      <c r="E62" s="12"/>
      <c r="F62" s="17" t="s">
        <v>76</v>
      </c>
      <c r="G62" s="18">
        <v>1.05</v>
      </c>
      <c r="H62" s="22"/>
      <c r="I62" s="22">
        <v>68.984999999999999</v>
      </c>
      <c r="J62" s="19">
        <v>140.54</v>
      </c>
      <c r="M62" s="20">
        <f>ROUND(ROUND(J62, 2)*I62, 2)</f>
        <v>9695.15</v>
      </c>
      <c r="P62" s="19">
        <v>140.54</v>
      </c>
      <c r="S62" s="20">
        <f>ROUND(ROUND(P62, 2)*I62, 2)</f>
        <v>9695.15</v>
      </c>
      <c r="V62" s="9">
        <f>ROUND(ROUND(P62, 2)/1.2, 2)</f>
        <v>117.12</v>
      </c>
      <c r="Y62" s="9">
        <f t="shared" si="7"/>
        <v>8079.29</v>
      </c>
      <c r="AD62" s="4" t="s">
        <v>251</v>
      </c>
      <c r="AE62" s="4" t="s">
        <v>252</v>
      </c>
      <c r="AF62" s="4" t="s">
        <v>253</v>
      </c>
    </row>
    <row r="63" spans="1:35" ht="18.75" x14ac:dyDescent="0.25">
      <c r="A63" s="10" t="s">
        <v>254</v>
      </c>
      <c r="B63" s="10"/>
      <c r="C63" s="16" t="s">
        <v>221</v>
      </c>
      <c r="D63" s="12"/>
      <c r="E63" s="12"/>
      <c r="F63" s="17" t="s">
        <v>222</v>
      </c>
      <c r="G63" s="23">
        <v>0.09</v>
      </c>
      <c r="H63" s="18"/>
      <c r="I63" s="18">
        <v>9.6029999999999998</v>
      </c>
      <c r="J63" s="19">
        <v>100</v>
      </c>
      <c r="M63" s="20">
        <f>ROUND(ROUND(J63, 2)*I63, 2)</f>
        <v>960.3</v>
      </c>
      <c r="P63" s="19">
        <v>100</v>
      </c>
      <c r="S63" s="20">
        <f>ROUND(ROUND(P63, 2)*I63, 2)</f>
        <v>960.3</v>
      </c>
      <c r="V63" s="9">
        <f>ROUND(ROUND(P63, 2)/1.2, 2)</f>
        <v>83.33</v>
      </c>
      <c r="Y63" s="9">
        <f t="shared" si="7"/>
        <v>800.25</v>
      </c>
      <c r="AD63" s="4" t="s">
        <v>255</v>
      </c>
      <c r="AE63" s="4" t="s">
        <v>256</v>
      </c>
      <c r="AF63" s="4" t="s">
        <v>225</v>
      </c>
    </row>
    <row r="64" spans="1:35" ht="93.75" x14ac:dyDescent="0.25">
      <c r="A64" s="10" t="s">
        <v>257</v>
      </c>
      <c r="B64" s="10" t="s">
        <v>258</v>
      </c>
      <c r="C64" s="11" t="s">
        <v>259</v>
      </c>
      <c r="D64" s="12"/>
      <c r="E64" s="12" t="s">
        <v>260</v>
      </c>
      <c r="F64" s="12" t="s">
        <v>59</v>
      </c>
      <c r="G64" s="13">
        <v>1</v>
      </c>
      <c r="H64" s="13"/>
      <c r="I64" s="13">
        <v>245.2</v>
      </c>
      <c r="J64" s="14">
        <f>IFERROR(ROUND(SUM(M65,M66)/I64, 2),0)</f>
        <v>0</v>
      </c>
      <c r="K64" s="15">
        <v>661</v>
      </c>
      <c r="L64" s="14">
        <f>J64+ROUND(K64, 2)</f>
        <v>661</v>
      </c>
      <c r="M64" s="14">
        <f>ROUND(J64*I64, 2)</f>
        <v>0</v>
      </c>
      <c r="N64" s="14">
        <f>ROUND(I64*ROUND(K64, 2), 2)</f>
        <v>162077.20000000001</v>
      </c>
      <c r="O64" s="14">
        <f>M64+N64</f>
        <v>162077.20000000001</v>
      </c>
      <c r="P64" s="14">
        <f>IFERROR(ROUND(SUM(S65,S66)/I64, 2),0)</f>
        <v>2510.19</v>
      </c>
      <c r="Q64" s="15">
        <v>661</v>
      </c>
      <c r="R64" s="14">
        <f>P64+ROUND(Q64, 2)</f>
        <v>3171.19</v>
      </c>
      <c r="S64" s="14">
        <f>ROUND(P64*I64, 2)</f>
        <v>615498.59</v>
      </c>
      <c r="T64" s="14">
        <f>ROUND(I64*ROUND(Q64, 2), 2)</f>
        <v>162077.20000000001</v>
      </c>
      <c r="U64" s="14">
        <f>S64+T64</f>
        <v>777575.79</v>
      </c>
      <c r="V64" s="9">
        <f>ROUND(P64 / 1.2, 2)</f>
        <v>2091.83</v>
      </c>
      <c r="W64" s="9">
        <f>ROUND(Q64 / 1.2, 2)</f>
        <v>550.83000000000004</v>
      </c>
      <c r="X64" s="9">
        <f>ROUND(R64 / 1.2, 2)</f>
        <v>2642.66</v>
      </c>
      <c r="Y64" s="9">
        <f t="shared" si="7"/>
        <v>512915.49</v>
      </c>
      <c r="Z64" s="9">
        <f>ROUND(T64 / 1.2, 2)</f>
        <v>135064.32999999999</v>
      </c>
      <c r="AA64" s="9">
        <f>Y64+Z64</f>
        <v>647979.81999999995</v>
      </c>
      <c r="AD64" s="4">
        <v>282588938</v>
      </c>
      <c r="AE64" s="4">
        <v>20299703</v>
      </c>
      <c r="AG64" s="4" t="s">
        <v>261</v>
      </c>
      <c r="AH64" s="4" t="s">
        <v>262</v>
      </c>
      <c r="AI64" s="4" t="s">
        <v>170</v>
      </c>
    </row>
    <row r="65" spans="1:35" ht="93.75" x14ac:dyDescent="0.25">
      <c r="A65" s="10" t="s">
        <v>263</v>
      </c>
      <c r="B65" s="10"/>
      <c r="C65" s="16" t="s">
        <v>264</v>
      </c>
      <c r="D65" s="12"/>
      <c r="E65" s="12" t="s">
        <v>265</v>
      </c>
      <c r="F65" s="17" t="s">
        <v>222</v>
      </c>
      <c r="G65" s="18">
        <v>1</v>
      </c>
      <c r="H65" s="22"/>
      <c r="I65" s="22">
        <v>28.45</v>
      </c>
      <c r="J65" s="19">
        <v>0</v>
      </c>
      <c r="M65" s="20">
        <f>ROUND(ROUND(J65, 2)*I65, 2)</f>
        <v>0</v>
      </c>
      <c r="P65" s="19">
        <v>3880</v>
      </c>
      <c r="S65" s="20">
        <f>ROUND(ROUND(P65, 2)*I65, 2)</f>
        <v>110386</v>
      </c>
      <c r="V65" s="9">
        <f>ROUND(ROUND(P65, 2)/1.2, 2)</f>
        <v>3233.33</v>
      </c>
      <c r="Y65" s="9">
        <f t="shared" si="7"/>
        <v>91988.33</v>
      </c>
      <c r="AD65" s="4" t="s">
        <v>266</v>
      </c>
      <c r="AE65" s="4" t="s">
        <v>267</v>
      </c>
      <c r="AF65" s="4" t="s">
        <v>268</v>
      </c>
    </row>
    <row r="66" spans="1:35" ht="37.5" x14ac:dyDescent="0.25">
      <c r="A66" s="10" t="s">
        <v>269</v>
      </c>
      <c r="B66" s="10"/>
      <c r="C66" s="16" t="s">
        <v>270</v>
      </c>
      <c r="D66" s="12"/>
      <c r="E66" s="12" t="s">
        <v>271</v>
      </c>
      <c r="F66" s="17" t="s">
        <v>59</v>
      </c>
      <c r="G66" s="18">
        <v>1.03</v>
      </c>
      <c r="H66" s="22"/>
      <c r="I66" s="22">
        <v>252.55600000000001</v>
      </c>
      <c r="J66" s="19">
        <v>0</v>
      </c>
      <c r="M66" s="20">
        <f>ROUND(ROUND(J66, 2)*I66, 2)</f>
        <v>0</v>
      </c>
      <c r="P66" s="19">
        <v>2000</v>
      </c>
      <c r="S66" s="20">
        <f>ROUND(ROUND(P66, 2)*I66, 2)</f>
        <v>505112</v>
      </c>
      <c r="V66" s="9">
        <f>ROUND(ROUND(P66, 2)/1.2, 2)</f>
        <v>1666.67</v>
      </c>
      <c r="Y66" s="9">
        <f t="shared" si="7"/>
        <v>420926.67</v>
      </c>
      <c r="AD66" s="4" t="s">
        <v>272</v>
      </c>
      <c r="AE66" s="4" t="s">
        <v>273</v>
      </c>
      <c r="AF66" s="4" t="s">
        <v>274</v>
      </c>
    </row>
    <row r="67" spans="1:35" ht="93.75" x14ac:dyDescent="0.25">
      <c r="A67" s="10" t="s">
        <v>275</v>
      </c>
      <c r="B67" s="10" t="s">
        <v>258</v>
      </c>
      <c r="C67" s="11" t="s">
        <v>259</v>
      </c>
      <c r="D67" s="12"/>
      <c r="E67" s="12" t="s">
        <v>276</v>
      </c>
      <c r="F67" s="12" t="s">
        <v>59</v>
      </c>
      <c r="G67" s="13">
        <v>1</v>
      </c>
      <c r="H67" s="13"/>
      <c r="I67" s="13">
        <v>45.7</v>
      </c>
      <c r="J67" s="14">
        <f>IFERROR(ROUND(SUM(M68,M69)/I67, 2),0)</f>
        <v>0</v>
      </c>
      <c r="K67" s="15">
        <v>661</v>
      </c>
      <c r="L67" s="14">
        <f>J67+ROUND(K67, 2)</f>
        <v>661</v>
      </c>
      <c r="M67" s="14">
        <f>ROUND(J67*I67, 2)</f>
        <v>0</v>
      </c>
      <c r="N67" s="14">
        <f>ROUND(I67*ROUND(K67, 2), 2)</f>
        <v>30207.7</v>
      </c>
      <c r="O67" s="14">
        <f>M67+N67</f>
        <v>30207.7</v>
      </c>
      <c r="P67" s="14">
        <f>IFERROR(ROUND(SUM(S68,S69)/I67, 2),0)</f>
        <v>2509.98</v>
      </c>
      <c r="Q67" s="15">
        <v>661</v>
      </c>
      <c r="R67" s="14">
        <f>P67+ROUND(Q67, 2)</f>
        <v>3170.98</v>
      </c>
      <c r="S67" s="14">
        <f>ROUND(P67*I67, 2)</f>
        <v>114706.09</v>
      </c>
      <c r="T67" s="14">
        <f>ROUND(I67*ROUND(Q67, 2), 2)</f>
        <v>30207.7</v>
      </c>
      <c r="U67" s="14">
        <f>S67+T67</f>
        <v>144913.79</v>
      </c>
      <c r="V67" s="9">
        <f>ROUND(P67 / 1.2, 2)</f>
        <v>2091.65</v>
      </c>
      <c r="W67" s="9">
        <f>ROUND(Q67 / 1.2, 2)</f>
        <v>550.83000000000004</v>
      </c>
      <c r="X67" s="9">
        <f>ROUND(R67 / 1.2, 2)</f>
        <v>2642.48</v>
      </c>
      <c r="Y67" s="9">
        <f t="shared" si="7"/>
        <v>95588.41</v>
      </c>
      <c r="Z67" s="9">
        <f>ROUND(T67 / 1.2, 2)</f>
        <v>25173.08</v>
      </c>
      <c r="AA67" s="9">
        <f>Y67+Z67</f>
        <v>120761.49</v>
      </c>
      <c r="AD67" s="4">
        <v>282588992</v>
      </c>
      <c r="AE67" s="4">
        <v>20299702</v>
      </c>
      <c r="AG67" s="4" t="s">
        <v>261</v>
      </c>
      <c r="AH67" s="4" t="s">
        <v>262</v>
      </c>
      <c r="AI67" s="4" t="s">
        <v>170</v>
      </c>
    </row>
    <row r="68" spans="1:35" ht="37.5" x14ac:dyDescent="0.25">
      <c r="A68" s="10" t="s">
        <v>277</v>
      </c>
      <c r="B68" s="10"/>
      <c r="C68" s="16" t="s">
        <v>270</v>
      </c>
      <c r="D68" s="12"/>
      <c r="E68" s="12"/>
      <c r="F68" s="17" t="s">
        <v>59</v>
      </c>
      <c r="G68" s="18">
        <v>1.03</v>
      </c>
      <c r="H68" s="22"/>
      <c r="I68" s="22">
        <v>47.070999999999998</v>
      </c>
      <c r="J68" s="19">
        <v>0</v>
      </c>
      <c r="M68" s="20">
        <f>ROUND(ROUND(J68, 2)*I68, 2)</f>
        <v>0</v>
      </c>
      <c r="P68" s="19">
        <v>2000</v>
      </c>
      <c r="S68" s="20">
        <f>ROUND(ROUND(P68, 2)*I68, 2)</f>
        <v>94142</v>
      </c>
      <c r="V68" s="9">
        <f>ROUND(ROUND(P68, 2)/1.2, 2)</f>
        <v>1666.67</v>
      </c>
      <c r="Y68" s="9">
        <f t="shared" si="7"/>
        <v>78451.67</v>
      </c>
      <c r="AD68" s="4" t="s">
        <v>278</v>
      </c>
      <c r="AE68" s="4" t="s">
        <v>279</v>
      </c>
      <c r="AF68" s="4" t="s">
        <v>274</v>
      </c>
    </row>
    <row r="69" spans="1:35" ht="93.75" x14ac:dyDescent="0.25">
      <c r="A69" s="10" t="s">
        <v>280</v>
      </c>
      <c r="B69" s="10"/>
      <c r="C69" s="16" t="s">
        <v>264</v>
      </c>
      <c r="D69" s="12"/>
      <c r="E69" s="12"/>
      <c r="F69" s="17" t="s">
        <v>222</v>
      </c>
      <c r="G69" s="18">
        <v>1</v>
      </c>
      <c r="H69" s="22"/>
      <c r="I69" s="22">
        <v>5.3</v>
      </c>
      <c r="J69" s="19">
        <v>0</v>
      </c>
      <c r="M69" s="20">
        <f>ROUND(ROUND(J69, 2)*I69, 2)</f>
        <v>0</v>
      </c>
      <c r="P69" s="19">
        <v>3880</v>
      </c>
      <c r="S69" s="20">
        <f>ROUND(ROUND(P69, 2)*I69, 2)</f>
        <v>20564</v>
      </c>
      <c r="V69" s="9">
        <f>ROUND(ROUND(P69, 2)/1.2, 2)</f>
        <v>3233.33</v>
      </c>
      <c r="Y69" s="9">
        <f t="shared" si="7"/>
        <v>17136.669999999998</v>
      </c>
      <c r="AD69" s="4" t="s">
        <v>281</v>
      </c>
      <c r="AE69" s="4" t="s">
        <v>282</v>
      </c>
      <c r="AF69" s="4" t="s">
        <v>268</v>
      </c>
    </row>
    <row r="70" spans="1:35" ht="37.5" x14ac:dyDescent="0.25">
      <c r="A70" s="10" t="s">
        <v>283</v>
      </c>
      <c r="B70" s="10" t="s">
        <v>284</v>
      </c>
      <c r="C70" s="11" t="s">
        <v>285</v>
      </c>
      <c r="D70" s="12"/>
      <c r="E70" s="12" t="s">
        <v>286</v>
      </c>
      <c r="F70" s="12" t="s">
        <v>76</v>
      </c>
      <c r="G70" s="13">
        <v>1</v>
      </c>
      <c r="H70" s="13"/>
      <c r="I70" s="13">
        <v>1012.89</v>
      </c>
      <c r="J70" s="14">
        <f>IFERROR(ROUND(SUM(M71)/I70, 2),0)</f>
        <v>0</v>
      </c>
      <c r="K70" s="15">
        <v>210</v>
      </c>
      <c r="L70" s="14">
        <f>J70+ROUND(K70, 2)</f>
        <v>210</v>
      </c>
      <c r="M70" s="14">
        <f>ROUND(J70*I70, 2)</f>
        <v>0</v>
      </c>
      <c r="N70" s="14">
        <f>ROUND(I70*ROUND(K70, 2), 2)</f>
        <v>212706.9</v>
      </c>
      <c r="O70" s="14">
        <f>M70+N70</f>
        <v>212706.9</v>
      </c>
      <c r="P70" s="14">
        <f>IFERROR(ROUND(SUM(S71)/I70, 2),0)</f>
        <v>409.64</v>
      </c>
      <c r="Q70" s="15">
        <v>210</v>
      </c>
      <c r="R70" s="14">
        <f>P70+ROUND(Q70, 2)</f>
        <v>619.64</v>
      </c>
      <c r="S70" s="14">
        <f>ROUND(P70*I70, 2)</f>
        <v>414920.26</v>
      </c>
      <c r="T70" s="14">
        <f>ROUND(I70*ROUND(Q70, 2), 2)</f>
        <v>212706.9</v>
      </c>
      <c r="U70" s="14">
        <f>S70+T70</f>
        <v>627627.16</v>
      </c>
      <c r="V70" s="9">
        <f>ROUND(P70 / 1.2, 2)</f>
        <v>341.37</v>
      </c>
      <c r="W70" s="9">
        <f>ROUND(Q70 / 1.2, 2)</f>
        <v>175</v>
      </c>
      <c r="X70" s="9">
        <f>ROUND(R70 / 1.2, 2)</f>
        <v>516.37</v>
      </c>
      <c r="Y70" s="9">
        <f t="shared" si="7"/>
        <v>345766.88</v>
      </c>
      <c r="Z70" s="9">
        <f>ROUND(T70 / 1.2, 2)</f>
        <v>177255.75</v>
      </c>
      <c r="AA70" s="9">
        <f>Y70+Z70</f>
        <v>523022.63</v>
      </c>
      <c r="AD70" s="4">
        <v>282588940</v>
      </c>
      <c r="AE70" s="4">
        <v>20322538</v>
      </c>
      <c r="AG70" s="4" t="s">
        <v>287</v>
      </c>
      <c r="AH70" s="4" t="s">
        <v>288</v>
      </c>
      <c r="AI70" s="4" t="s">
        <v>170</v>
      </c>
    </row>
    <row r="71" spans="1:35" ht="75" x14ac:dyDescent="0.25">
      <c r="A71" s="10" t="s">
        <v>289</v>
      </c>
      <c r="B71" s="10"/>
      <c r="C71" s="16" t="s">
        <v>290</v>
      </c>
      <c r="D71" s="12"/>
      <c r="E71" s="12" t="s">
        <v>291</v>
      </c>
      <c r="F71" s="17" t="s">
        <v>76</v>
      </c>
      <c r="G71" s="18">
        <v>1.1000000000000001</v>
      </c>
      <c r="H71" s="22"/>
      <c r="I71" s="22">
        <v>1114.1790000000001</v>
      </c>
      <c r="J71" s="19">
        <v>0</v>
      </c>
      <c r="M71" s="20">
        <f>ROUND(ROUND(J71, 2)*I71, 2)</f>
        <v>0</v>
      </c>
      <c r="P71" s="19">
        <v>372.4</v>
      </c>
      <c r="S71" s="20">
        <f>ROUND(ROUND(P71, 2)*I71, 2)</f>
        <v>414920.26</v>
      </c>
      <c r="V71" s="9">
        <f>ROUND(ROUND(P71, 2)/1.2, 2)</f>
        <v>310.33</v>
      </c>
      <c r="Y71" s="9">
        <f t="shared" si="7"/>
        <v>345766.88</v>
      </c>
      <c r="AD71" s="4" t="s">
        <v>292</v>
      </c>
      <c r="AE71" s="4" t="s">
        <v>293</v>
      </c>
      <c r="AF71" s="4" t="s">
        <v>294</v>
      </c>
    </row>
    <row r="72" spans="1:35" ht="37.5" x14ac:dyDescent="0.25">
      <c r="A72" s="10" t="s">
        <v>295</v>
      </c>
      <c r="B72" s="10" t="s">
        <v>284</v>
      </c>
      <c r="C72" s="11" t="s">
        <v>285</v>
      </c>
      <c r="D72" s="12"/>
      <c r="E72" s="12" t="s">
        <v>296</v>
      </c>
      <c r="F72" s="12" t="s">
        <v>76</v>
      </c>
      <c r="G72" s="13">
        <v>1</v>
      </c>
      <c r="H72" s="13"/>
      <c r="I72" s="13">
        <v>409.31</v>
      </c>
      <c r="J72" s="14">
        <f>IFERROR(ROUND(SUM(M73)/I72, 2),0)</f>
        <v>0</v>
      </c>
      <c r="K72" s="15">
        <v>210</v>
      </c>
      <c r="L72" s="14">
        <f>J72+ROUND(K72, 2)</f>
        <v>210</v>
      </c>
      <c r="M72" s="14">
        <f>ROUND(J72*I72, 2)</f>
        <v>0</v>
      </c>
      <c r="N72" s="14">
        <f>ROUND(I72*ROUND(K72, 2), 2)</f>
        <v>85955.1</v>
      </c>
      <c r="O72" s="14">
        <f>M72+N72</f>
        <v>85955.1</v>
      </c>
      <c r="P72" s="14">
        <f>IFERROR(ROUND(SUM(S73)/I72, 2),0)</f>
        <v>409.64</v>
      </c>
      <c r="Q72" s="15">
        <v>210</v>
      </c>
      <c r="R72" s="14">
        <f>P72+ROUND(Q72, 2)</f>
        <v>619.64</v>
      </c>
      <c r="S72" s="14">
        <f>ROUND(P72*I72, 2)</f>
        <v>167669.75</v>
      </c>
      <c r="T72" s="14">
        <f>ROUND(I72*ROUND(Q72, 2), 2)</f>
        <v>85955.1</v>
      </c>
      <c r="U72" s="14">
        <f>S72+T72</f>
        <v>253624.85</v>
      </c>
      <c r="V72" s="9">
        <f>ROUND(P72 / 1.2, 2)</f>
        <v>341.37</v>
      </c>
      <c r="W72" s="9">
        <f>ROUND(Q72 / 1.2, 2)</f>
        <v>175</v>
      </c>
      <c r="X72" s="9">
        <f>ROUND(R72 / 1.2, 2)</f>
        <v>516.37</v>
      </c>
      <c r="Y72" s="9">
        <f t="shared" si="7"/>
        <v>139724.79</v>
      </c>
      <c r="Z72" s="9">
        <f>ROUND(T72 / 1.2, 2)</f>
        <v>71629.25</v>
      </c>
      <c r="AA72" s="9">
        <f>Y72+Z72</f>
        <v>211354.04</v>
      </c>
      <c r="AD72" s="4">
        <v>282588993</v>
      </c>
      <c r="AE72" s="4">
        <v>20322539</v>
      </c>
      <c r="AG72" s="4" t="s">
        <v>287</v>
      </c>
      <c r="AH72" s="4" t="s">
        <v>288</v>
      </c>
      <c r="AI72" s="4" t="s">
        <v>170</v>
      </c>
    </row>
    <row r="73" spans="1:35" ht="75" x14ac:dyDescent="0.25">
      <c r="A73" s="10" t="s">
        <v>297</v>
      </c>
      <c r="B73" s="10"/>
      <c r="C73" s="16" t="s">
        <v>290</v>
      </c>
      <c r="D73" s="12"/>
      <c r="E73" s="12" t="s">
        <v>298</v>
      </c>
      <c r="F73" s="17" t="s">
        <v>76</v>
      </c>
      <c r="G73" s="18">
        <v>1.1000000000000001</v>
      </c>
      <c r="H73" s="22"/>
      <c r="I73" s="22">
        <v>450.24099999999999</v>
      </c>
      <c r="J73" s="19">
        <v>0</v>
      </c>
      <c r="M73" s="20">
        <f>ROUND(ROUND(J73, 2)*I73, 2)</f>
        <v>0</v>
      </c>
      <c r="P73" s="19">
        <v>372.4</v>
      </c>
      <c r="S73" s="20">
        <f>ROUND(ROUND(P73, 2)*I73, 2)</f>
        <v>167669.75</v>
      </c>
      <c r="V73" s="9">
        <f>ROUND(ROUND(P73, 2)/1.2, 2)</f>
        <v>310.33</v>
      </c>
      <c r="Y73" s="9">
        <f t="shared" ref="Y73:Y104" si="8">ROUND(S73 / 1.2, 2)</f>
        <v>139724.79</v>
      </c>
      <c r="AD73" s="4" t="s">
        <v>299</v>
      </c>
      <c r="AE73" s="4" t="s">
        <v>300</v>
      </c>
      <c r="AF73" s="4" t="s">
        <v>294</v>
      </c>
    </row>
    <row r="74" spans="1:35" ht="37.5" x14ac:dyDescent="0.25">
      <c r="A74" s="10" t="s">
        <v>301</v>
      </c>
      <c r="B74" s="10" t="s">
        <v>302</v>
      </c>
      <c r="C74" s="11" t="s">
        <v>303</v>
      </c>
      <c r="D74" s="12"/>
      <c r="E74" s="12" t="s">
        <v>304</v>
      </c>
      <c r="F74" s="12" t="s">
        <v>59</v>
      </c>
      <c r="G74" s="13">
        <v>1</v>
      </c>
      <c r="H74" s="13"/>
      <c r="I74" s="13">
        <v>338.3</v>
      </c>
      <c r="J74" s="14">
        <f>IFERROR(ROUND(SUM(M75,M76,M77,M78)/I74, 2),0)</f>
        <v>1629.53</v>
      </c>
      <c r="K74" s="15">
        <v>2310</v>
      </c>
      <c r="L74" s="14">
        <f>J74+ROUND(K74, 2)</f>
        <v>3939.5299999999997</v>
      </c>
      <c r="M74" s="14">
        <f>ROUND(J74*I74, 2)</f>
        <v>551270</v>
      </c>
      <c r="N74" s="14">
        <f>ROUND(I74*ROUND(K74, 2), 2)</f>
        <v>781473</v>
      </c>
      <c r="O74" s="14">
        <f>M74+N74</f>
        <v>1332743</v>
      </c>
      <c r="P74" s="14">
        <f>IFERROR(ROUND(SUM(S75,S76,S77,S78)/I74, 2),0)</f>
        <v>1629.53</v>
      </c>
      <c r="Q74" s="15">
        <v>2310</v>
      </c>
      <c r="R74" s="14">
        <f>P74+ROUND(Q74, 2)</f>
        <v>3939.5299999999997</v>
      </c>
      <c r="S74" s="14">
        <f>ROUND(P74*I74, 2)</f>
        <v>551270</v>
      </c>
      <c r="T74" s="14">
        <f>ROUND(I74*ROUND(Q74, 2), 2)</f>
        <v>781473</v>
      </c>
      <c r="U74" s="14">
        <f>S74+T74</f>
        <v>1332743</v>
      </c>
      <c r="V74" s="9">
        <f>ROUND(P74 / 1.2, 2)</f>
        <v>1357.94</v>
      </c>
      <c r="W74" s="9">
        <f>ROUND(Q74 / 1.2, 2)</f>
        <v>1925</v>
      </c>
      <c r="X74" s="9">
        <f>ROUND(R74 / 1.2, 2)</f>
        <v>3282.94</v>
      </c>
      <c r="Y74" s="9">
        <f t="shared" si="8"/>
        <v>459391.67</v>
      </c>
      <c r="Z74" s="9">
        <f>ROUND(T74 / 1.2, 2)</f>
        <v>651227.5</v>
      </c>
      <c r="AA74" s="9">
        <f>Y74+Z74</f>
        <v>1110619.17</v>
      </c>
      <c r="AD74" s="4">
        <v>282588942</v>
      </c>
      <c r="AE74" s="4">
        <v>20865471</v>
      </c>
      <c r="AG74" s="4" t="s">
        <v>305</v>
      </c>
      <c r="AH74" s="4" t="s">
        <v>306</v>
      </c>
      <c r="AI74" s="4" t="s">
        <v>170</v>
      </c>
    </row>
    <row r="75" spans="1:35" ht="93.75" x14ac:dyDescent="0.25">
      <c r="A75" s="10" t="s">
        <v>307</v>
      </c>
      <c r="B75" s="10"/>
      <c r="C75" s="21" t="s">
        <v>308</v>
      </c>
      <c r="D75" s="12"/>
      <c r="E75" s="12" t="s">
        <v>309</v>
      </c>
      <c r="F75" s="17" t="s">
        <v>222</v>
      </c>
      <c r="G75" s="18">
        <v>4</v>
      </c>
      <c r="H75" s="18"/>
      <c r="I75" s="18">
        <v>1353.2</v>
      </c>
      <c r="J75" s="19">
        <v>396</v>
      </c>
      <c r="M75" s="20">
        <f>ROUND(ROUND(J75, 2)*I75, 2)</f>
        <v>535867.19999999995</v>
      </c>
      <c r="P75" s="19">
        <v>396</v>
      </c>
      <c r="S75" s="20">
        <f>ROUND(ROUND(P75, 2)*I75, 2)</f>
        <v>535867.19999999995</v>
      </c>
      <c r="V75" s="9">
        <f>ROUND(ROUND(P75, 2)/1.2, 2)</f>
        <v>330</v>
      </c>
      <c r="Y75" s="9">
        <f t="shared" si="8"/>
        <v>446556</v>
      </c>
      <c r="AD75" s="4" t="s">
        <v>310</v>
      </c>
      <c r="AE75" s="4" t="s">
        <v>311</v>
      </c>
      <c r="AF75" s="4" t="s">
        <v>312</v>
      </c>
    </row>
    <row r="76" spans="1:35" ht="37.5" x14ac:dyDescent="0.25">
      <c r="A76" s="10" t="s">
        <v>313</v>
      </c>
      <c r="B76" s="10"/>
      <c r="C76" s="21" t="s">
        <v>314</v>
      </c>
      <c r="D76" s="12"/>
      <c r="E76" s="12"/>
      <c r="F76" s="17" t="s">
        <v>173</v>
      </c>
      <c r="G76" s="18">
        <v>1.2</v>
      </c>
      <c r="H76" s="22"/>
      <c r="I76" s="22">
        <v>405.96</v>
      </c>
      <c r="J76" s="19">
        <v>16.96</v>
      </c>
      <c r="M76" s="20">
        <f>ROUND(ROUND(J76, 2)*I76, 2)</f>
        <v>6885.08</v>
      </c>
      <c r="P76" s="19">
        <v>16.96</v>
      </c>
      <c r="S76" s="20">
        <f>ROUND(ROUND(P76, 2)*I76, 2)</f>
        <v>6885.08</v>
      </c>
      <c r="V76" s="9">
        <f>ROUND(ROUND(P76, 2)/1.2, 2)</f>
        <v>14.13</v>
      </c>
      <c r="Y76" s="9">
        <f t="shared" si="8"/>
        <v>5737.57</v>
      </c>
      <c r="AD76" s="4" t="s">
        <v>315</v>
      </c>
      <c r="AE76" s="4" t="s">
        <v>316</v>
      </c>
      <c r="AF76" s="4" t="s">
        <v>317</v>
      </c>
    </row>
    <row r="77" spans="1:35" ht="18.75" x14ac:dyDescent="0.25">
      <c r="A77" s="10" t="s">
        <v>318</v>
      </c>
      <c r="B77" s="10"/>
      <c r="C77" s="16" t="s">
        <v>319</v>
      </c>
      <c r="D77" s="12"/>
      <c r="E77" s="12"/>
      <c r="F77" s="17" t="s">
        <v>173</v>
      </c>
      <c r="G77" s="18">
        <v>0.25</v>
      </c>
      <c r="H77" s="18"/>
      <c r="I77" s="18">
        <v>84.575000000000003</v>
      </c>
      <c r="J77" s="19">
        <v>47.44</v>
      </c>
      <c r="M77" s="20">
        <f>ROUND(ROUND(J77, 2)*I77, 2)</f>
        <v>4012.24</v>
      </c>
      <c r="P77" s="19">
        <v>47.44</v>
      </c>
      <c r="S77" s="20">
        <f>ROUND(ROUND(P77, 2)*I77, 2)</f>
        <v>4012.24</v>
      </c>
      <c r="V77" s="9">
        <f>ROUND(ROUND(P77, 2)/1.2, 2)</f>
        <v>39.53</v>
      </c>
      <c r="Y77" s="9">
        <f t="shared" si="8"/>
        <v>3343.53</v>
      </c>
      <c r="AD77" s="4" t="s">
        <v>320</v>
      </c>
      <c r="AE77" s="4" t="s">
        <v>321</v>
      </c>
      <c r="AF77" s="4" t="s">
        <v>322</v>
      </c>
    </row>
    <row r="78" spans="1:35" ht="37.5" x14ac:dyDescent="0.25">
      <c r="A78" s="10" t="s">
        <v>323</v>
      </c>
      <c r="B78" s="10"/>
      <c r="C78" s="16" t="s">
        <v>324</v>
      </c>
      <c r="D78" s="12"/>
      <c r="E78" s="12"/>
      <c r="F78" s="17" t="s">
        <v>173</v>
      </c>
      <c r="G78" s="18">
        <v>0.15</v>
      </c>
      <c r="H78" s="18"/>
      <c r="I78" s="18">
        <v>50.744999999999997</v>
      </c>
      <c r="J78" s="19">
        <v>88.8</v>
      </c>
      <c r="M78" s="20">
        <f>ROUND(ROUND(J78, 2)*I78, 2)</f>
        <v>4506.16</v>
      </c>
      <c r="P78" s="19">
        <v>88.8</v>
      </c>
      <c r="S78" s="20">
        <f>ROUND(ROUND(P78, 2)*I78, 2)</f>
        <v>4506.16</v>
      </c>
      <c r="V78" s="9">
        <f>ROUND(ROUND(P78, 2)/1.2, 2)</f>
        <v>74</v>
      </c>
      <c r="Y78" s="9">
        <f t="shared" si="8"/>
        <v>3755.13</v>
      </c>
      <c r="AD78" s="4" t="s">
        <v>325</v>
      </c>
      <c r="AE78" s="4" t="s">
        <v>326</v>
      </c>
      <c r="AF78" s="4" t="s">
        <v>327</v>
      </c>
    </row>
    <row r="79" spans="1:35" ht="37.5" x14ac:dyDescent="0.25">
      <c r="A79" s="10" t="s">
        <v>328</v>
      </c>
      <c r="B79" s="10" t="s">
        <v>302</v>
      </c>
      <c r="C79" s="11" t="s">
        <v>303</v>
      </c>
      <c r="D79" s="12"/>
      <c r="E79" s="12" t="s">
        <v>329</v>
      </c>
      <c r="F79" s="12" t="s">
        <v>59</v>
      </c>
      <c r="G79" s="13">
        <v>1</v>
      </c>
      <c r="H79" s="13"/>
      <c r="I79" s="13">
        <v>190.6</v>
      </c>
      <c r="J79" s="14">
        <f>IFERROR(ROUND(SUM(M80,M81,M82,M83)/I79, 2),0)</f>
        <v>1469.97</v>
      </c>
      <c r="K79" s="15">
        <v>2310</v>
      </c>
      <c r="L79" s="14">
        <f>J79+ROUND(K79, 2)</f>
        <v>3779.9700000000003</v>
      </c>
      <c r="M79" s="14">
        <f>ROUND(J79*I79, 2)</f>
        <v>280176.28000000003</v>
      </c>
      <c r="N79" s="14">
        <f>ROUND(I79*ROUND(K79, 2), 2)</f>
        <v>440286</v>
      </c>
      <c r="O79" s="14">
        <f>M79+N79</f>
        <v>720462.28</v>
      </c>
      <c r="P79" s="14">
        <f>IFERROR(ROUND(SUM(S80,S81,S82,S83)/I79, 2),0)</f>
        <v>1469.97</v>
      </c>
      <c r="Q79" s="15">
        <v>2310</v>
      </c>
      <c r="R79" s="14">
        <f>P79+ROUND(Q79, 2)</f>
        <v>3779.9700000000003</v>
      </c>
      <c r="S79" s="14">
        <f>ROUND(P79*I79, 2)</f>
        <v>280176.28000000003</v>
      </c>
      <c r="T79" s="14">
        <f>ROUND(I79*ROUND(Q79, 2), 2)</f>
        <v>440286</v>
      </c>
      <c r="U79" s="14">
        <f>S79+T79</f>
        <v>720462.28</v>
      </c>
      <c r="V79" s="9">
        <f>ROUND(P79 / 1.2, 2)</f>
        <v>1224.98</v>
      </c>
      <c r="W79" s="9">
        <f>ROUND(Q79 / 1.2, 2)</f>
        <v>1925</v>
      </c>
      <c r="X79" s="9">
        <f>ROUND(R79 / 1.2, 2)</f>
        <v>3149.98</v>
      </c>
      <c r="Y79" s="9">
        <f t="shared" si="8"/>
        <v>233480.23</v>
      </c>
      <c r="Z79" s="9">
        <f>ROUND(T79 / 1.2, 2)</f>
        <v>366905</v>
      </c>
      <c r="AA79" s="9">
        <f>Y79+Z79</f>
        <v>600385.23</v>
      </c>
      <c r="AD79" s="4">
        <v>282588994</v>
      </c>
      <c r="AE79" s="4">
        <v>20865472</v>
      </c>
      <c r="AG79" s="4" t="s">
        <v>305</v>
      </c>
      <c r="AH79" s="4" t="s">
        <v>306</v>
      </c>
      <c r="AI79" s="4" t="s">
        <v>170</v>
      </c>
    </row>
    <row r="80" spans="1:35" ht="37.5" x14ac:dyDescent="0.25">
      <c r="A80" s="10" t="s">
        <v>330</v>
      </c>
      <c r="B80" s="10"/>
      <c r="C80" s="16" t="s">
        <v>324</v>
      </c>
      <c r="D80" s="12"/>
      <c r="E80" s="12"/>
      <c r="F80" s="17" t="s">
        <v>173</v>
      </c>
      <c r="G80" s="18">
        <v>0.15</v>
      </c>
      <c r="H80" s="18"/>
      <c r="I80" s="18">
        <v>28.59</v>
      </c>
      <c r="J80" s="19">
        <v>88.8</v>
      </c>
      <c r="M80" s="20">
        <f>ROUND(ROUND(J80, 2)*I80, 2)</f>
        <v>2538.79</v>
      </c>
      <c r="P80" s="19">
        <v>88.8</v>
      </c>
      <c r="S80" s="20">
        <f>ROUND(ROUND(P80, 2)*I80, 2)</f>
        <v>2538.79</v>
      </c>
      <c r="V80" s="9">
        <f>ROUND(ROUND(P80, 2)/1.2, 2)</f>
        <v>74</v>
      </c>
      <c r="Y80" s="9">
        <f t="shared" si="8"/>
        <v>2115.66</v>
      </c>
      <c r="AD80" s="4" t="s">
        <v>331</v>
      </c>
      <c r="AE80" s="4" t="s">
        <v>332</v>
      </c>
      <c r="AF80" s="4" t="s">
        <v>327</v>
      </c>
    </row>
    <row r="81" spans="1:35" ht="18.75" x14ac:dyDescent="0.25">
      <c r="A81" s="10" t="s">
        <v>333</v>
      </c>
      <c r="B81" s="10"/>
      <c r="C81" s="16" t="s">
        <v>319</v>
      </c>
      <c r="D81" s="12"/>
      <c r="E81" s="12"/>
      <c r="F81" s="17" t="s">
        <v>173</v>
      </c>
      <c r="G81" s="18">
        <v>0.25</v>
      </c>
      <c r="H81" s="18"/>
      <c r="I81" s="18">
        <v>47.65</v>
      </c>
      <c r="J81" s="19">
        <v>47.44</v>
      </c>
      <c r="M81" s="20">
        <f>ROUND(ROUND(J81, 2)*I81, 2)</f>
        <v>2260.52</v>
      </c>
      <c r="P81" s="19">
        <v>47.44</v>
      </c>
      <c r="S81" s="20">
        <f>ROUND(ROUND(P81, 2)*I81, 2)</f>
        <v>2260.52</v>
      </c>
      <c r="V81" s="9">
        <f>ROUND(ROUND(P81, 2)/1.2, 2)</f>
        <v>39.53</v>
      </c>
      <c r="Y81" s="9">
        <f t="shared" si="8"/>
        <v>1883.77</v>
      </c>
      <c r="AD81" s="4" t="s">
        <v>334</v>
      </c>
      <c r="AE81" s="4" t="s">
        <v>335</v>
      </c>
      <c r="AF81" s="4" t="s">
        <v>322</v>
      </c>
    </row>
    <row r="82" spans="1:35" ht="37.5" x14ac:dyDescent="0.25">
      <c r="A82" s="10" t="s">
        <v>336</v>
      </c>
      <c r="B82" s="10"/>
      <c r="C82" s="21" t="s">
        <v>314</v>
      </c>
      <c r="D82" s="12"/>
      <c r="E82" s="12"/>
      <c r="F82" s="17" t="s">
        <v>173</v>
      </c>
      <c r="G82" s="18">
        <v>1.2</v>
      </c>
      <c r="H82" s="22"/>
      <c r="I82" s="22">
        <v>228.72</v>
      </c>
      <c r="J82" s="19">
        <v>16.96</v>
      </c>
      <c r="M82" s="20">
        <f>ROUND(ROUND(J82, 2)*I82, 2)</f>
        <v>3879.09</v>
      </c>
      <c r="P82" s="19">
        <v>16.96</v>
      </c>
      <c r="S82" s="20">
        <f>ROUND(ROUND(P82, 2)*I82, 2)</f>
        <v>3879.09</v>
      </c>
      <c r="V82" s="9">
        <f>ROUND(ROUND(P82, 2)/1.2, 2)</f>
        <v>14.13</v>
      </c>
      <c r="Y82" s="9">
        <f t="shared" si="8"/>
        <v>3232.58</v>
      </c>
      <c r="AD82" s="4" t="s">
        <v>337</v>
      </c>
      <c r="AE82" s="4" t="s">
        <v>338</v>
      </c>
      <c r="AF82" s="4" t="s">
        <v>317</v>
      </c>
    </row>
    <row r="83" spans="1:35" ht="93.75" x14ac:dyDescent="0.25">
      <c r="A83" s="10" t="s">
        <v>339</v>
      </c>
      <c r="B83" s="10"/>
      <c r="C83" s="16" t="s">
        <v>340</v>
      </c>
      <c r="D83" s="12"/>
      <c r="E83" s="12" t="s">
        <v>341</v>
      </c>
      <c r="F83" s="17" t="s">
        <v>222</v>
      </c>
      <c r="G83" s="18">
        <v>4</v>
      </c>
      <c r="H83" s="18"/>
      <c r="I83" s="18">
        <v>762.4</v>
      </c>
      <c r="J83" s="19">
        <v>356.11</v>
      </c>
      <c r="M83" s="20">
        <f>ROUND(ROUND(J83, 2)*I83, 2)</f>
        <v>271498.26</v>
      </c>
      <c r="P83" s="19">
        <v>356.11</v>
      </c>
      <c r="S83" s="20">
        <f>ROUND(ROUND(P83, 2)*I83, 2)</f>
        <v>271498.26</v>
      </c>
      <c r="V83" s="9">
        <f>ROUND(ROUND(P83, 2)/1.2, 2)</f>
        <v>296.76</v>
      </c>
      <c r="Y83" s="9">
        <f t="shared" si="8"/>
        <v>226248.55</v>
      </c>
      <c r="AD83" s="4" t="s">
        <v>342</v>
      </c>
      <c r="AE83" s="4" t="s">
        <v>343</v>
      </c>
      <c r="AF83" s="4" t="s">
        <v>344</v>
      </c>
    </row>
    <row r="84" spans="1:35" ht="37.5" x14ac:dyDescent="0.25">
      <c r="A84" s="10" t="s">
        <v>345</v>
      </c>
      <c r="B84" s="10" t="s">
        <v>302</v>
      </c>
      <c r="C84" s="11" t="s">
        <v>303</v>
      </c>
      <c r="D84" s="12"/>
      <c r="E84" s="12" t="s">
        <v>346</v>
      </c>
      <c r="F84" s="12" t="s">
        <v>59</v>
      </c>
      <c r="G84" s="13">
        <v>1</v>
      </c>
      <c r="H84" s="13"/>
      <c r="I84" s="13">
        <v>129.4</v>
      </c>
      <c r="J84" s="14">
        <f>IFERROR(ROUND(SUM(M85,M86,M87,M88)/I84, 2),0)</f>
        <v>4447.13</v>
      </c>
      <c r="K84" s="15">
        <v>2310</v>
      </c>
      <c r="L84" s="14">
        <f>J84+ROUND(K84, 2)</f>
        <v>6757.13</v>
      </c>
      <c r="M84" s="14">
        <f>ROUND(J84*I84, 2)</f>
        <v>575458.62</v>
      </c>
      <c r="N84" s="14">
        <f>ROUND(I84*ROUND(K84, 2), 2)</f>
        <v>298914</v>
      </c>
      <c r="O84" s="14">
        <f>M84+N84</f>
        <v>874372.62</v>
      </c>
      <c r="P84" s="14">
        <f>IFERROR(ROUND(SUM(S85,S86,S87,S88)/I84, 2),0)</f>
        <v>4447.13</v>
      </c>
      <c r="Q84" s="15">
        <v>2310</v>
      </c>
      <c r="R84" s="14">
        <f>P84+ROUND(Q84, 2)</f>
        <v>6757.13</v>
      </c>
      <c r="S84" s="14">
        <f>ROUND(P84*I84, 2)</f>
        <v>575458.62</v>
      </c>
      <c r="T84" s="14">
        <f>ROUND(I84*ROUND(Q84, 2), 2)</f>
        <v>298914</v>
      </c>
      <c r="U84" s="14">
        <f>S84+T84</f>
        <v>874372.62</v>
      </c>
      <c r="V84" s="9">
        <f>ROUND(P84 / 1.2, 2)</f>
        <v>3705.94</v>
      </c>
      <c r="W84" s="9">
        <f>ROUND(Q84 / 1.2, 2)</f>
        <v>1925</v>
      </c>
      <c r="X84" s="9">
        <f>ROUND(R84 / 1.2, 2)</f>
        <v>5630.94</v>
      </c>
      <c r="Y84" s="9">
        <f t="shared" si="8"/>
        <v>479548.85</v>
      </c>
      <c r="Z84" s="9">
        <f>ROUND(T84 / 1.2, 2)</f>
        <v>249095</v>
      </c>
      <c r="AA84" s="9">
        <f>Y84+Z84</f>
        <v>728643.85</v>
      </c>
      <c r="AD84" s="4">
        <v>282588995</v>
      </c>
      <c r="AE84" s="4">
        <v>20865473</v>
      </c>
      <c r="AG84" s="4" t="s">
        <v>305</v>
      </c>
      <c r="AH84" s="4" t="s">
        <v>306</v>
      </c>
      <c r="AI84" s="4" t="s">
        <v>170</v>
      </c>
    </row>
    <row r="85" spans="1:35" ht="93.75" x14ac:dyDescent="0.25">
      <c r="A85" s="10" t="s">
        <v>347</v>
      </c>
      <c r="B85" s="10"/>
      <c r="C85" s="21" t="s">
        <v>348</v>
      </c>
      <c r="D85" s="12"/>
      <c r="E85" s="12" t="s">
        <v>349</v>
      </c>
      <c r="F85" s="17" t="s">
        <v>222</v>
      </c>
      <c r="G85" s="18">
        <v>4</v>
      </c>
      <c r="H85" s="18"/>
      <c r="I85" s="18">
        <v>517.6</v>
      </c>
      <c r="J85" s="19">
        <v>1100.4000000000001</v>
      </c>
      <c r="M85" s="20">
        <f>ROUND(ROUND(J85, 2)*I85, 2)</f>
        <v>569567.04</v>
      </c>
      <c r="P85" s="19">
        <v>1100.4000000000001</v>
      </c>
      <c r="S85" s="20">
        <f>ROUND(ROUND(P85, 2)*I85, 2)</f>
        <v>569567.04</v>
      </c>
      <c r="V85" s="9">
        <f>ROUND(ROUND(P85, 2)/1.2, 2)</f>
        <v>917</v>
      </c>
      <c r="Y85" s="9">
        <f t="shared" si="8"/>
        <v>474639.2</v>
      </c>
      <c r="AD85" s="4" t="s">
        <v>350</v>
      </c>
      <c r="AE85" s="4" t="s">
        <v>351</v>
      </c>
      <c r="AF85" s="4" t="s">
        <v>352</v>
      </c>
    </row>
    <row r="86" spans="1:35" ht="37.5" x14ac:dyDescent="0.25">
      <c r="A86" s="10" t="s">
        <v>353</v>
      </c>
      <c r="B86" s="10"/>
      <c r="C86" s="21" t="s">
        <v>314</v>
      </c>
      <c r="D86" s="12"/>
      <c r="E86" s="12"/>
      <c r="F86" s="17" t="s">
        <v>173</v>
      </c>
      <c r="G86" s="18">
        <v>1.2</v>
      </c>
      <c r="H86" s="22"/>
      <c r="I86" s="22">
        <v>155.28</v>
      </c>
      <c r="J86" s="19">
        <v>16.96</v>
      </c>
      <c r="M86" s="20">
        <f>ROUND(ROUND(J86, 2)*I86, 2)</f>
        <v>2633.55</v>
      </c>
      <c r="P86" s="19">
        <v>16.96</v>
      </c>
      <c r="S86" s="20">
        <f>ROUND(ROUND(P86, 2)*I86, 2)</f>
        <v>2633.55</v>
      </c>
      <c r="V86" s="9">
        <f>ROUND(ROUND(P86, 2)/1.2, 2)</f>
        <v>14.13</v>
      </c>
      <c r="Y86" s="9">
        <f t="shared" si="8"/>
        <v>2194.63</v>
      </c>
      <c r="AD86" s="4" t="s">
        <v>354</v>
      </c>
      <c r="AE86" s="4" t="s">
        <v>355</v>
      </c>
      <c r="AF86" s="4" t="s">
        <v>317</v>
      </c>
    </row>
    <row r="87" spans="1:35" ht="18.75" x14ac:dyDescent="0.25">
      <c r="A87" s="10" t="s">
        <v>356</v>
      </c>
      <c r="B87" s="10"/>
      <c r="C87" s="16" t="s">
        <v>319</v>
      </c>
      <c r="D87" s="12"/>
      <c r="E87" s="12"/>
      <c r="F87" s="17" t="s">
        <v>173</v>
      </c>
      <c r="G87" s="18">
        <v>0.25</v>
      </c>
      <c r="H87" s="18"/>
      <c r="I87" s="18">
        <v>32.35</v>
      </c>
      <c r="J87" s="19">
        <v>47.44</v>
      </c>
      <c r="M87" s="20">
        <f>ROUND(ROUND(J87, 2)*I87, 2)</f>
        <v>1534.68</v>
      </c>
      <c r="P87" s="19">
        <v>47.44</v>
      </c>
      <c r="S87" s="20">
        <f>ROUND(ROUND(P87, 2)*I87, 2)</f>
        <v>1534.68</v>
      </c>
      <c r="V87" s="9">
        <f>ROUND(ROUND(P87, 2)/1.2, 2)</f>
        <v>39.53</v>
      </c>
      <c r="Y87" s="9">
        <f t="shared" si="8"/>
        <v>1278.9000000000001</v>
      </c>
      <c r="AD87" s="4" t="s">
        <v>357</v>
      </c>
      <c r="AE87" s="4" t="s">
        <v>358</v>
      </c>
      <c r="AF87" s="4" t="s">
        <v>322</v>
      </c>
    </row>
    <row r="88" spans="1:35" ht="37.5" x14ac:dyDescent="0.25">
      <c r="A88" s="10" t="s">
        <v>359</v>
      </c>
      <c r="B88" s="10"/>
      <c r="C88" s="16" t="s">
        <v>324</v>
      </c>
      <c r="D88" s="12"/>
      <c r="E88" s="12"/>
      <c r="F88" s="17" t="s">
        <v>173</v>
      </c>
      <c r="G88" s="18">
        <v>0.15</v>
      </c>
      <c r="H88" s="18"/>
      <c r="I88" s="18">
        <v>19.41</v>
      </c>
      <c r="J88" s="19">
        <v>88.8</v>
      </c>
      <c r="M88" s="20">
        <f>ROUND(ROUND(J88, 2)*I88, 2)</f>
        <v>1723.61</v>
      </c>
      <c r="P88" s="19">
        <v>88.8</v>
      </c>
      <c r="S88" s="20">
        <f>ROUND(ROUND(P88, 2)*I88, 2)</f>
        <v>1723.61</v>
      </c>
      <c r="V88" s="9">
        <f>ROUND(ROUND(P88, 2)/1.2, 2)</f>
        <v>74</v>
      </c>
      <c r="Y88" s="9">
        <f t="shared" si="8"/>
        <v>1436.34</v>
      </c>
      <c r="AD88" s="4" t="s">
        <v>360</v>
      </c>
      <c r="AE88" s="4" t="s">
        <v>361</v>
      </c>
      <c r="AF88" s="4" t="s">
        <v>327</v>
      </c>
    </row>
    <row r="89" spans="1:35" ht="37.5" x14ac:dyDescent="0.25">
      <c r="A89" s="10" t="s">
        <v>362</v>
      </c>
      <c r="B89" s="10" t="s">
        <v>363</v>
      </c>
      <c r="C89" s="11" t="s">
        <v>364</v>
      </c>
      <c r="D89" s="12"/>
      <c r="E89" s="12" t="s">
        <v>365</v>
      </c>
      <c r="F89" s="12" t="s">
        <v>76</v>
      </c>
      <c r="G89" s="13">
        <v>1</v>
      </c>
      <c r="H89" s="13"/>
      <c r="I89" s="13">
        <v>103.54</v>
      </c>
      <c r="J89" s="14">
        <f>IFERROR(ROUND(SUM(M90,M91,M92,M93)/I89, 2),0)</f>
        <v>844.85</v>
      </c>
      <c r="K89" s="15">
        <v>473</v>
      </c>
      <c r="L89" s="14">
        <f>J89+ROUND(K89, 2)</f>
        <v>1317.85</v>
      </c>
      <c r="M89" s="14">
        <f>ROUND(J89*I89, 2)</f>
        <v>87475.77</v>
      </c>
      <c r="N89" s="14">
        <f>ROUND(I89*ROUND(K89, 2), 2)</f>
        <v>48974.42</v>
      </c>
      <c r="O89" s="14">
        <f>M89+N89</f>
        <v>136450.19</v>
      </c>
      <c r="P89" s="14">
        <f>IFERROR(ROUND(SUM(S90,S91,S92,S93)/I89, 2),0)</f>
        <v>844.85</v>
      </c>
      <c r="Q89" s="15">
        <v>473</v>
      </c>
      <c r="R89" s="14">
        <f>P89+ROUND(Q89, 2)</f>
        <v>1317.85</v>
      </c>
      <c r="S89" s="14">
        <f>ROUND(P89*I89, 2)</f>
        <v>87475.77</v>
      </c>
      <c r="T89" s="14">
        <f>ROUND(I89*ROUND(Q89, 2), 2)</f>
        <v>48974.42</v>
      </c>
      <c r="U89" s="14">
        <f>S89+T89</f>
        <v>136450.19</v>
      </c>
      <c r="V89" s="9">
        <f>ROUND(P89 / 1.2, 2)</f>
        <v>704.04</v>
      </c>
      <c r="W89" s="9">
        <f>ROUND(Q89 / 1.2, 2)</f>
        <v>394.17</v>
      </c>
      <c r="X89" s="9">
        <f>ROUND(R89 / 1.2, 2)</f>
        <v>1098.21</v>
      </c>
      <c r="Y89" s="9">
        <f t="shared" si="8"/>
        <v>72896.479999999996</v>
      </c>
      <c r="Z89" s="9">
        <f>ROUND(T89 / 1.2, 2)</f>
        <v>40812.019999999997</v>
      </c>
      <c r="AA89" s="9">
        <f>Y89+Z89</f>
        <v>113708.5</v>
      </c>
      <c r="AD89" s="4">
        <v>282588944</v>
      </c>
      <c r="AE89" s="4">
        <v>20322535</v>
      </c>
      <c r="AG89" s="4" t="s">
        <v>366</v>
      </c>
      <c r="AH89" s="4" t="s">
        <v>367</v>
      </c>
      <c r="AI89" s="4" t="s">
        <v>170</v>
      </c>
    </row>
    <row r="90" spans="1:35" ht="93.75" x14ac:dyDescent="0.25">
      <c r="A90" s="10" t="s">
        <v>368</v>
      </c>
      <c r="B90" s="10"/>
      <c r="C90" s="16" t="s">
        <v>369</v>
      </c>
      <c r="D90" s="12"/>
      <c r="E90" s="12" t="s">
        <v>370</v>
      </c>
      <c r="F90" s="17" t="s">
        <v>222</v>
      </c>
      <c r="G90" s="18">
        <v>1.84</v>
      </c>
      <c r="H90" s="22"/>
      <c r="I90" s="22">
        <v>190.51400000000001</v>
      </c>
      <c r="J90" s="19">
        <v>450.95</v>
      </c>
      <c r="M90" s="20">
        <f>ROUND(ROUND(J90, 2)*I90, 2)</f>
        <v>85912.29</v>
      </c>
      <c r="P90" s="19">
        <v>450.95</v>
      </c>
      <c r="S90" s="20">
        <f>ROUND(ROUND(P90, 2)*I90, 2)</f>
        <v>85912.29</v>
      </c>
      <c r="V90" s="9">
        <f>ROUND(ROUND(P90, 2)/1.2, 2)</f>
        <v>375.79</v>
      </c>
      <c r="Y90" s="9">
        <f t="shared" si="8"/>
        <v>71593.58</v>
      </c>
      <c r="AD90" s="4" t="s">
        <v>371</v>
      </c>
      <c r="AE90" s="4" t="s">
        <v>372</v>
      </c>
      <c r="AF90" s="4" t="s">
        <v>373</v>
      </c>
    </row>
    <row r="91" spans="1:35" ht="37.5" x14ac:dyDescent="0.25">
      <c r="A91" s="10" t="s">
        <v>374</v>
      </c>
      <c r="B91" s="10"/>
      <c r="C91" s="21" t="s">
        <v>375</v>
      </c>
      <c r="D91" s="12"/>
      <c r="E91" s="12"/>
      <c r="F91" s="17" t="s">
        <v>173</v>
      </c>
      <c r="G91" s="18">
        <v>0.7</v>
      </c>
      <c r="H91" s="22"/>
      <c r="I91" s="22">
        <v>72.477999999999994</v>
      </c>
      <c r="J91" s="19">
        <v>16.96</v>
      </c>
      <c r="M91" s="20">
        <f>ROUND(ROUND(J91, 2)*I91, 2)</f>
        <v>1229.23</v>
      </c>
      <c r="P91" s="19">
        <v>16.96</v>
      </c>
      <c r="S91" s="20">
        <f>ROUND(ROUND(P91, 2)*I91, 2)</f>
        <v>1229.23</v>
      </c>
      <c r="V91" s="9">
        <f>ROUND(ROUND(P91, 2)/1.2, 2)</f>
        <v>14.13</v>
      </c>
      <c r="Y91" s="9">
        <f t="shared" si="8"/>
        <v>1024.3599999999999</v>
      </c>
      <c r="AD91" s="4" t="s">
        <v>376</v>
      </c>
      <c r="AE91" s="4" t="s">
        <v>377</v>
      </c>
      <c r="AF91" s="4" t="s">
        <v>378</v>
      </c>
    </row>
    <row r="92" spans="1:35" ht="18.75" x14ac:dyDescent="0.25">
      <c r="A92" s="10" t="s">
        <v>379</v>
      </c>
      <c r="B92" s="10"/>
      <c r="C92" s="16" t="s">
        <v>319</v>
      </c>
      <c r="D92" s="12"/>
      <c r="E92" s="12"/>
      <c r="F92" s="17" t="s">
        <v>173</v>
      </c>
      <c r="G92" s="18">
        <v>0.04</v>
      </c>
      <c r="H92" s="18"/>
      <c r="I92" s="18">
        <v>4.1420000000000003</v>
      </c>
      <c r="J92" s="19">
        <v>47.44</v>
      </c>
      <c r="M92" s="20">
        <f>ROUND(ROUND(J92, 2)*I92, 2)</f>
        <v>196.5</v>
      </c>
      <c r="P92" s="19">
        <v>47.44</v>
      </c>
      <c r="S92" s="20">
        <f>ROUND(ROUND(P92, 2)*I92, 2)</f>
        <v>196.5</v>
      </c>
      <c r="V92" s="9">
        <f>ROUND(ROUND(P92, 2)/1.2, 2)</f>
        <v>39.53</v>
      </c>
      <c r="Y92" s="9">
        <f t="shared" si="8"/>
        <v>163.75</v>
      </c>
      <c r="AD92" s="4" t="s">
        <v>380</v>
      </c>
      <c r="AE92" s="4" t="s">
        <v>381</v>
      </c>
      <c r="AF92" s="4" t="s">
        <v>322</v>
      </c>
    </row>
    <row r="93" spans="1:35" ht="37.5" x14ac:dyDescent="0.25">
      <c r="A93" s="10" t="s">
        <v>382</v>
      </c>
      <c r="B93" s="10"/>
      <c r="C93" s="16" t="s">
        <v>383</v>
      </c>
      <c r="D93" s="12"/>
      <c r="E93" s="12"/>
      <c r="F93" s="17" t="s">
        <v>173</v>
      </c>
      <c r="G93" s="18">
        <v>1.4999999999999999E-2</v>
      </c>
      <c r="H93" s="18"/>
      <c r="I93" s="18">
        <v>1.5529999999999999</v>
      </c>
      <c r="J93" s="19">
        <v>88.8</v>
      </c>
      <c r="M93" s="20">
        <f>ROUND(ROUND(J93, 2)*I93, 2)</f>
        <v>137.91</v>
      </c>
      <c r="P93" s="19">
        <v>88.8</v>
      </c>
      <c r="S93" s="20">
        <f>ROUND(ROUND(P93, 2)*I93, 2)</f>
        <v>137.91</v>
      </c>
      <c r="V93" s="9">
        <f>ROUND(ROUND(P93, 2)/1.2, 2)</f>
        <v>74</v>
      </c>
      <c r="Y93" s="9">
        <f t="shared" si="8"/>
        <v>114.93</v>
      </c>
      <c r="AD93" s="4" t="s">
        <v>384</v>
      </c>
      <c r="AE93" s="4" t="s">
        <v>385</v>
      </c>
      <c r="AF93" s="4" t="s">
        <v>386</v>
      </c>
    </row>
    <row r="94" spans="1:35" ht="37.5" x14ac:dyDescent="0.25">
      <c r="A94" s="10" t="s">
        <v>387</v>
      </c>
      <c r="B94" s="10" t="s">
        <v>363</v>
      </c>
      <c r="C94" s="11" t="s">
        <v>364</v>
      </c>
      <c r="D94" s="12"/>
      <c r="E94" s="12" t="s">
        <v>388</v>
      </c>
      <c r="F94" s="12" t="s">
        <v>76</v>
      </c>
      <c r="G94" s="13">
        <v>1</v>
      </c>
      <c r="H94" s="13"/>
      <c r="I94" s="13">
        <v>379.83</v>
      </c>
      <c r="J94" s="14">
        <f>IFERROR(ROUND(SUM(M95,M96,M97,M98)/I94, 2),0)</f>
        <v>844.85</v>
      </c>
      <c r="K94" s="15">
        <v>473</v>
      </c>
      <c r="L94" s="14">
        <f>J94+ROUND(K94, 2)</f>
        <v>1317.85</v>
      </c>
      <c r="M94" s="14">
        <f>ROUND(J94*I94, 2)</f>
        <v>320899.38</v>
      </c>
      <c r="N94" s="14">
        <f>ROUND(I94*ROUND(K94, 2), 2)</f>
        <v>179659.59</v>
      </c>
      <c r="O94" s="14">
        <f>M94+N94</f>
        <v>500558.97</v>
      </c>
      <c r="P94" s="14">
        <f>IFERROR(ROUND(SUM(S95,S96,S97,S98)/I94, 2),0)</f>
        <v>844.85</v>
      </c>
      <c r="Q94" s="15">
        <v>473</v>
      </c>
      <c r="R94" s="14">
        <f>P94+ROUND(Q94, 2)</f>
        <v>1317.85</v>
      </c>
      <c r="S94" s="14">
        <f>ROUND(P94*I94, 2)</f>
        <v>320899.38</v>
      </c>
      <c r="T94" s="14">
        <f>ROUND(I94*ROUND(Q94, 2), 2)</f>
        <v>179659.59</v>
      </c>
      <c r="U94" s="14">
        <f>S94+T94</f>
        <v>500558.97</v>
      </c>
      <c r="V94" s="9">
        <f>ROUND(P94 / 1.2, 2)</f>
        <v>704.04</v>
      </c>
      <c r="W94" s="9">
        <f>ROUND(Q94 / 1.2, 2)</f>
        <v>394.17</v>
      </c>
      <c r="X94" s="9">
        <f>ROUND(R94 / 1.2, 2)</f>
        <v>1098.21</v>
      </c>
      <c r="Y94" s="9">
        <f t="shared" si="8"/>
        <v>267416.15000000002</v>
      </c>
      <c r="Z94" s="9">
        <f>ROUND(T94 / 1.2, 2)</f>
        <v>149716.32999999999</v>
      </c>
      <c r="AA94" s="9">
        <f>Y94+Z94</f>
        <v>417132.48</v>
      </c>
      <c r="AD94" s="4">
        <v>282588996</v>
      </c>
      <c r="AE94" s="4">
        <v>20322536</v>
      </c>
      <c r="AG94" s="4" t="s">
        <v>366</v>
      </c>
      <c r="AH94" s="4" t="s">
        <v>367</v>
      </c>
      <c r="AI94" s="4" t="s">
        <v>170</v>
      </c>
    </row>
    <row r="95" spans="1:35" ht="37.5" x14ac:dyDescent="0.25">
      <c r="A95" s="10" t="s">
        <v>389</v>
      </c>
      <c r="B95" s="10"/>
      <c r="C95" s="16" t="s">
        <v>383</v>
      </c>
      <c r="D95" s="12"/>
      <c r="E95" s="12"/>
      <c r="F95" s="17" t="s">
        <v>173</v>
      </c>
      <c r="G95" s="18">
        <v>1.4999999999999999E-2</v>
      </c>
      <c r="H95" s="18"/>
      <c r="I95" s="18">
        <v>5.6970000000000001</v>
      </c>
      <c r="J95" s="19">
        <v>88.8</v>
      </c>
      <c r="M95" s="20">
        <f>ROUND(ROUND(J95, 2)*I95, 2)</f>
        <v>505.89</v>
      </c>
      <c r="P95" s="19">
        <v>88.8</v>
      </c>
      <c r="S95" s="20">
        <f>ROUND(ROUND(P95, 2)*I95, 2)</f>
        <v>505.89</v>
      </c>
      <c r="V95" s="9">
        <f>ROUND(ROUND(P95, 2)/1.2, 2)</f>
        <v>74</v>
      </c>
      <c r="Y95" s="9">
        <f t="shared" si="8"/>
        <v>421.58</v>
      </c>
      <c r="AD95" s="4" t="s">
        <v>390</v>
      </c>
      <c r="AE95" s="4" t="s">
        <v>391</v>
      </c>
      <c r="AF95" s="4" t="s">
        <v>386</v>
      </c>
    </row>
    <row r="96" spans="1:35" ht="18.75" x14ac:dyDescent="0.25">
      <c r="A96" s="10" t="s">
        <v>392</v>
      </c>
      <c r="B96" s="10"/>
      <c r="C96" s="16" t="s">
        <v>319</v>
      </c>
      <c r="D96" s="12"/>
      <c r="E96" s="12"/>
      <c r="F96" s="17" t="s">
        <v>173</v>
      </c>
      <c r="G96" s="18">
        <v>0.04</v>
      </c>
      <c r="H96" s="18"/>
      <c r="I96" s="18">
        <v>15.193</v>
      </c>
      <c r="J96" s="19">
        <v>47.44</v>
      </c>
      <c r="M96" s="20">
        <f>ROUND(ROUND(J96, 2)*I96, 2)</f>
        <v>720.76</v>
      </c>
      <c r="P96" s="19">
        <v>47.44</v>
      </c>
      <c r="S96" s="20">
        <f>ROUND(ROUND(P96, 2)*I96, 2)</f>
        <v>720.76</v>
      </c>
      <c r="V96" s="9">
        <f>ROUND(ROUND(P96, 2)/1.2, 2)</f>
        <v>39.53</v>
      </c>
      <c r="Y96" s="9">
        <f t="shared" si="8"/>
        <v>600.63</v>
      </c>
      <c r="AD96" s="4" t="s">
        <v>393</v>
      </c>
      <c r="AE96" s="4" t="s">
        <v>394</v>
      </c>
      <c r="AF96" s="4" t="s">
        <v>322</v>
      </c>
    </row>
    <row r="97" spans="1:35" ht="37.5" x14ac:dyDescent="0.25">
      <c r="A97" s="10" t="s">
        <v>395</v>
      </c>
      <c r="B97" s="10"/>
      <c r="C97" s="21" t="s">
        <v>375</v>
      </c>
      <c r="D97" s="12"/>
      <c r="E97" s="12"/>
      <c r="F97" s="17" t="s">
        <v>173</v>
      </c>
      <c r="G97" s="18">
        <v>0.7</v>
      </c>
      <c r="H97" s="22"/>
      <c r="I97" s="22">
        <v>265.88099999999997</v>
      </c>
      <c r="J97" s="19">
        <v>16.96</v>
      </c>
      <c r="M97" s="20">
        <f>ROUND(ROUND(J97, 2)*I97, 2)</f>
        <v>4509.34</v>
      </c>
      <c r="P97" s="19">
        <v>16.96</v>
      </c>
      <c r="S97" s="20">
        <f>ROUND(ROUND(P97, 2)*I97, 2)</f>
        <v>4509.34</v>
      </c>
      <c r="V97" s="9">
        <f>ROUND(ROUND(P97, 2)/1.2, 2)</f>
        <v>14.13</v>
      </c>
      <c r="Y97" s="9">
        <f t="shared" si="8"/>
        <v>3757.78</v>
      </c>
      <c r="AD97" s="4" t="s">
        <v>396</v>
      </c>
      <c r="AE97" s="4" t="s">
        <v>397</v>
      </c>
      <c r="AF97" s="4" t="s">
        <v>378</v>
      </c>
    </row>
    <row r="98" spans="1:35" ht="75" x14ac:dyDescent="0.25">
      <c r="A98" s="10" t="s">
        <v>398</v>
      </c>
      <c r="B98" s="10"/>
      <c r="C98" s="16" t="s">
        <v>369</v>
      </c>
      <c r="D98" s="12"/>
      <c r="E98" s="12" t="s">
        <v>399</v>
      </c>
      <c r="F98" s="17" t="s">
        <v>222</v>
      </c>
      <c r="G98" s="18">
        <v>1.84</v>
      </c>
      <c r="H98" s="22"/>
      <c r="I98" s="22">
        <v>698.88699999999994</v>
      </c>
      <c r="J98" s="19">
        <v>450.95</v>
      </c>
      <c r="M98" s="20">
        <f>ROUND(ROUND(J98, 2)*I98, 2)</f>
        <v>315163.09000000003</v>
      </c>
      <c r="P98" s="19">
        <v>450.95</v>
      </c>
      <c r="S98" s="20">
        <f>ROUND(ROUND(P98, 2)*I98, 2)</f>
        <v>315163.09000000003</v>
      </c>
      <c r="V98" s="9">
        <f>ROUND(ROUND(P98, 2)/1.2, 2)</f>
        <v>375.79</v>
      </c>
      <c r="Y98" s="9">
        <f t="shared" si="8"/>
        <v>262635.90999999997</v>
      </c>
      <c r="AD98" s="4" t="s">
        <v>400</v>
      </c>
      <c r="AE98" s="4" t="s">
        <v>401</v>
      </c>
      <c r="AF98" s="4" t="s">
        <v>373</v>
      </c>
    </row>
    <row r="99" spans="1:35" ht="37.5" x14ac:dyDescent="0.25">
      <c r="A99" s="10" t="s">
        <v>402</v>
      </c>
      <c r="B99" s="10" t="s">
        <v>363</v>
      </c>
      <c r="C99" s="11" t="s">
        <v>364</v>
      </c>
      <c r="D99" s="12"/>
      <c r="E99" s="12" t="s">
        <v>403</v>
      </c>
      <c r="F99" s="12" t="s">
        <v>76</v>
      </c>
      <c r="G99" s="13">
        <v>1</v>
      </c>
      <c r="H99" s="13"/>
      <c r="I99" s="13">
        <v>78</v>
      </c>
      <c r="J99" s="14">
        <f>IFERROR(ROUND(SUM(M100,M101,M102)/I99, 2),0)</f>
        <v>842.95</v>
      </c>
      <c r="K99" s="15">
        <v>473</v>
      </c>
      <c r="L99" s="14">
        <f>J99+ROUND(K99, 2)</f>
        <v>1315.95</v>
      </c>
      <c r="M99" s="14">
        <f>ROUND(J99*I99, 2)</f>
        <v>65750.100000000006</v>
      </c>
      <c r="N99" s="14">
        <f>ROUND(I99*ROUND(K99, 2), 2)</f>
        <v>36894</v>
      </c>
      <c r="O99" s="14">
        <f>M99+N99</f>
        <v>102644.1</v>
      </c>
      <c r="P99" s="14">
        <f>IFERROR(ROUND(SUM(S100,S101,S102)/I99, 2),0)</f>
        <v>842.95</v>
      </c>
      <c r="Q99" s="15">
        <v>473</v>
      </c>
      <c r="R99" s="14">
        <f>P99+ROUND(Q99, 2)</f>
        <v>1315.95</v>
      </c>
      <c r="S99" s="14">
        <f>ROUND(P99*I99, 2)</f>
        <v>65750.100000000006</v>
      </c>
      <c r="T99" s="14">
        <f>ROUND(I99*ROUND(Q99, 2), 2)</f>
        <v>36894</v>
      </c>
      <c r="U99" s="14">
        <f>S99+T99</f>
        <v>102644.1</v>
      </c>
      <c r="V99" s="9">
        <f>ROUND(P99 / 1.2, 2)</f>
        <v>702.46</v>
      </c>
      <c r="W99" s="9">
        <f>ROUND(Q99 / 1.2, 2)</f>
        <v>394.17</v>
      </c>
      <c r="X99" s="9">
        <f>ROUND(R99 / 1.2, 2)</f>
        <v>1096.6300000000001</v>
      </c>
      <c r="Y99" s="9">
        <f t="shared" si="8"/>
        <v>54791.75</v>
      </c>
      <c r="Z99" s="9">
        <f>ROUND(T99 / 1.2, 2)</f>
        <v>30745</v>
      </c>
      <c r="AA99" s="9">
        <f>Y99+Z99</f>
        <v>85536.75</v>
      </c>
      <c r="AD99" s="4">
        <v>282588997</v>
      </c>
      <c r="AE99" s="4">
        <v>20322537</v>
      </c>
      <c r="AG99" s="4" t="s">
        <v>366</v>
      </c>
      <c r="AH99" s="4" t="s">
        <v>367</v>
      </c>
      <c r="AI99" s="4" t="s">
        <v>170</v>
      </c>
    </row>
    <row r="100" spans="1:35" ht="56.25" x14ac:dyDescent="0.25">
      <c r="A100" s="10" t="s">
        <v>404</v>
      </c>
      <c r="B100" s="10"/>
      <c r="C100" s="16" t="s">
        <v>369</v>
      </c>
      <c r="D100" s="12"/>
      <c r="E100" s="12" t="s">
        <v>405</v>
      </c>
      <c r="F100" s="17" t="s">
        <v>222</v>
      </c>
      <c r="G100" s="18">
        <v>1.84</v>
      </c>
      <c r="H100" s="22"/>
      <c r="I100" s="22">
        <v>143.52000000000001</v>
      </c>
      <c r="J100" s="19">
        <v>450.95</v>
      </c>
      <c r="M100" s="20">
        <f>ROUND(ROUND(J100, 2)*I100, 2)</f>
        <v>64720.34</v>
      </c>
      <c r="P100" s="19">
        <v>450.95</v>
      </c>
      <c r="S100" s="20">
        <f>ROUND(ROUND(P100, 2)*I100, 2)</f>
        <v>64720.34</v>
      </c>
      <c r="V100" s="9">
        <f>ROUND(ROUND(P100, 2)/1.2, 2)</f>
        <v>375.79</v>
      </c>
      <c r="Y100" s="9">
        <f t="shared" si="8"/>
        <v>53933.62</v>
      </c>
      <c r="AD100" s="4" t="s">
        <v>406</v>
      </c>
      <c r="AE100" s="4" t="s">
        <v>407</v>
      </c>
      <c r="AF100" s="4" t="s">
        <v>373</v>
      </c>
    </row>
    <row r="101" spans="1:35" ht="37.5" x14ac:dyDescent="0.25">
      <c r="A101" s="10" t="s">
        <v>408</v>
      </c>
      <c r="B101" s="10"/>
      <c r="C101" s="21" t="s">
        <v>375</v>
      </c>
      <c r="D101" s="12"/>
      <c r="E101" s="12"/>
      <c r="F101" s="17" t="s">
        <v>173</v>
      </c>
      <c r="G101" s="18">
        <v>0.7</v>
      </c>
      <c r="H101" s="22"/>
      <c r="I101" s="22">
        <v>54.6</v>
      </c>
      <c r="J101" s="19">
        <v>16.96</v>
      </c>
      <c r="M101" s="20">
        <f>ROUND(ROUND(J101, 2)*I101, 2)</f>
        <v>926.02</v>
      </c>
      <c r="P101" s="19">
        <v>16.96</v>
      </c>
      <c r="S101" s="20">
        <f>ROUND(ROUND(P101, 2)*I101, 2)</f>
        <v>926.02</v>
      </c>
      <c r="V101" s="9">
        <f>ROUND(ROUND(P101, 2)/1.2, 2)</f>
        <v>14.13</v>
      </c>
      <c r="Y101" s="9">
        <f t="shared" si="8"/>
        <v>771.68</v>
      </c>
      <c r="AD101" s="4" t="s">
        <v>409</v>
      </c>
      <c r="AE101" s="4" t="s">
        <v>410</v>
      </c>
      <c r="AF101" s="4" t="s">
        <v>378</v>
      </c>
    </row>
    <row r="102" spans="1:35" ht="37.5" x14ac:dyDescent="0.25">
      <c r="A102" s="10" t="s">
        <v>411</v>
      </c>
      <c r="B102" s="10"/>
      <c r="C102" s="16" t="s">
        <v>383</v>
      </c>
      <c r="D102" s="12"/>
      <c r="E102" s="12"/>
      <c r="F102" s="17" t="s">
        <v>173</v>
      </c>
      <c r="G102" s="18">
        <v>1.4999999999999999E-2</v>
      </c>
      <c r="H102" s="18"/>
      <c r="I102" s="18">
        <v>1.17</v>
      </c>
      <c r="J102" s="19">
        <v>88.8</v>
      </c>
      <c r="M102" s="20">
        <f>ROUND(ROUND(J102, 2)*I102, 2)</f>
        <v>103.9</v>
      </c>
      <c r="P102" s="19">
        <v>88.8</v>
      </c>
      <c r="S102" s="20">
        <f>ROUND(ROUND(P102, 2)*I102, 2)</f>
        <v>103.9</v>
      </c>
      <c r="V102" s="9">
        <f>ROUND(ROUND(P102, 2)/1.2, 2)</f>
        <v>74</v>
      </c>
      <c r="Y102" s="9">
        <f t="shared" si="8"/>
        <v>86.58</v>
      </c>
      <c r="AD102" s="4" t="s">
        <v>412</v>
      </c>
      <c r="AE102" s="4" t="s">
        <v>413</v>
      </c>
      <c r="AF102" s="4" t="s">
        <v>386</v>
      </c>
    </row>
    <row r="103" spans="1:35" ht="56.25" x14ac:dyDescent="0.25">
      <c r="A103" s="10" t="s">
        <v>414</v>
      </c>
      <c r="B103" s="10" t="s">
        <v>415</v>
      </c>
      <c r="C103" s="11" t="s">
        <v>416</v>
      </c>
      <c r="D103" s="12"/>
      <c r="E103" s="12" t="s">
        <v>417</v>
      </c>
      <c r="F103" s="12" t="s">
        <v>59</v>
      </c>
      <c r="G103" s="13">
        <v>1</v>
      </c>
      <c r="H103" s="13"/>
      <c r="I103" s="13">
        <v>370.9</v>
      </c>
      <c r="J103" s="14">
        <f>IFERROR(ROUND(SUM(M104,M105,M106,M107)/I103, 2),0)</f>
        <v>1046.53</v>
      </c>
      <c r="K103" s="15">
        <v>1655</v>
      </c>
      <c r="L103" s="14">
        <f>J103+ROUND(K103, 2)</f>
        <v>2701.5299999999997</v>
      </c>
      <c r="M103" s="14">
        <f>ROUND(J103*I103, 2)</f>
        <v>388157.98</v>
      </c>
      <c r="N103" s="14">
        <f>ROUND(I103*ROUND(K103, 2), 2)</f>
        <v>613839.5</v>
      </c>
      <c r="O103" s="14">
        <f>M103+N103</f>
        <v>1001997.48</v>
      </c>
      <c r="P103" s="14">
        <f>IFERROR(ROUND(SUM(S104,S105,S106,S107)/I103, 2),0)</f>
        <v>1046.53</v>
      </c>
      <c r="Q103" s="15">
        <v>1655</v>
      </c>
      <c r="R103" s="14">
        <f>P103+ROUND(Q103, 2)</f>
        <v>2701.5299999999997</v>
      </c>
      <c r="S103" s="14">
        <f>ROUND(P103*I103, 2)</f>
        <v>388157.98</v>
      </c>
      <c r="T103" s="14">
        <f>ROUND(I103*ROUND(Q103, 2), 2)</f>
        <v>613839.5</v>
      </c>
      <c r="U103" s="14">
        <f>S103+T103</f>
        <v>1001997.48</v>
      </c>
      <c r="V103" s="9">
        <f>ROUND(P103 / 1.2, 2)</f>
        <v>872.11</v>
      </c>
      <c r="W103" s="9">
        <f>ROUND(Q103 / 1.2, 2)</f>
        <v>1379.17</v>
      </c>
      <c r="X103" s="9">
        <f>ROUND(R103 / 1.2, 2)</f>
        <v>2251.2800000000002</v>
      </c>
      <c r="Y103" s="9">
        <f t="shared" si="8"/>
        <v>323464.98</v>
      </c>
      <c r="Z103" s="9">
        <f>ROUND(T103 / 1.2, 2)</f>
        <v>511532.92</v>
      </c>
      <c r="AA103" s="9">
        <f>Y103+Z103</f>
        <v>834997.89999999991</v>
      </c>
      <c r="AD103" s="4">
        <v>282588946</v>
      </c>
      <c r="AE103" s="4">
        <v>20317965</v>
      </c>
      <c r="AG103" s="4" t="s">
        <v>418</v>
      </c>
      <c r="AH103" s="4" t="s">
        <v>419</v>
      </c>
      <c r="AI103" s="4" t="s">
        <v>170</v>
      </c>
    </row>
    <row r="104" spans="1:35" ht="37.5" x14ac:dyDescent="0.25">
      <c r="A104" s="10" t="s">
        <v>420</v>
      </c>
      <c r="B104" s="10"/>
      <c r="C104" s="21" t="s">
        <v>421</v>
      </c>
      <c r="D104" s="12"/>
      <c r="E104" s="12"/>
      <c r="F104" s="17" t="s">
        <v>173</v>
      </c>
      <c r="G104" s="18">
        <v>7</v>
      </c>
      <c r="H104" s="18"/>
      <c r="I104" s="18">
        <v>2596.3000000000002</v>
      </c>
      <c r="J104" s="19">
        <v>16.96</v>
      </c>
      <c r="M104" s="20">
        <f>ROUND(ROUND(J104, 2)*I104, 2)</f>
        <v>44033.25</v>
      </c>
      <c r="P104" s="19">
        <v>16.96</v>
      </c>
      <c r="S104" s="20">
        <f>ROUND(ROUND(P104, 2)*I104, 2)</f>
        <v>44033.25</v>
      </c>
      <c r="V104" s="9">
        <f>ROUND(ROUND(P104, 2)/1.2, 2)</f>
        <v>14.13</v>
      </c>
      <c r="Y104" s="9">
        <f t="shared" si="8"/>
        <v>36694.379999999997</v>
      </c>
      <c r="AD104" s="4" t="s">
        <v>422</v>
      </c>
      <c r="AE104" s="4" t="s">
        <v>423</v>
      </c>
      <c r="AF104" s="4" t="s">
        <v>424</v>
      </c>
    </row>
    <row r="105" spans="1:35" ht="93.75" x14ac:dyDescent="0.25">
      <c r="A105" s="10" t="s">
        <v>425</v>
      </c>
      <c r="B105" s="10"/>
      <c r="C105" s="16" t="s">
        <v>426</v>
      </c>
      <c r="D105" s="12"/>
      <c r="E105" s="12" t="s">
        <v>427</v>
      </c>
      <c r="F105" s="17" t="s">
        <v>59</v>
      </c>
      <c r="G105" s="18">
        <v>1.07</v>
      </c>
      <c r="H105" s="22"/>
      <c r="I105" s="22">
        <v>396.863</v>
      </c>
      <c r="J105" s="19">
        <v>845.25</v>
      </c>
      <c r="M105" s="20">
        <f>ROUND(ROUND(J105, 2)*I105, 2)</f>
        <v>335448.45</v>
      </c>
      <c r="P105" s="19">
        <v>845.25</v>
      </c>
      <c r="S105" s="20">
        <f>ROUND(ROUND(P105, 2)*I105, 2)</f>
        <v>335448.45</v>
      </c>
      <c r="V105" s="9">
        <f>ROUND(ROUND(P105, 2)/1.2, 2)</f>
        <v>704.38</v>
      </c>
      <c r="Y105" s="9">
        <f t="shared" ref="Y105:Y137" si="9">ROUND(S105 / 1.2, 2)</f>
        <v>279540.38</v>
      </c>
      <c r="AD105" s="4" t="s">
        <v>428</v>
      </c>
      <c r="AE105" s="4" t="s">
        <v>429</v>
      </c>
      <c r="AF105" s="4" t="s">
        <v>430</v>
      </c>
    </row>
    <row r="106" spans="1:35" ht="37.5" x14ac:dyDescent="0.25">
      <c r="A106" s="10" t="s">
        <v>431</v>
      </c>
      <c r="B106" s="10"/>
      <c r="C106" s="16" t="s">
        <v>432</v>
      </c>
      <c r="D106" s="12"/>
      <c r="E106" s="12"/>
      <c r="F106" s="17" t="s">
        <v>173</v>
      </c>
      <c r="G106" s="18">
        <v>0.25</v>
      </c>
      <c r="H106" s="22"/>
      <c r="I106" s="22">
        <v>92.724999999999994</v>
      </c>
      <c r="J106" s="19">
        <v>40.270000000000003</v>
      </c>
      <c r="M106" s="20">
        <f>ROUND(ROUND(J106, 2)*I106, 2)</f>
        <v>3734.04</v>
      </c>
      <c r="P106" s="19">
        <v>40.270000000000003</v>
      </c>
      <c r="S106" s="20">
        <f>ROUND(ROUND(P106, 2)*I106, 2)</f>
        <v>3734.04</v>
      </c>
      <c r="V106" s="9">
        <f>ROUND(ROUND(P106, 2)/1.2, 2)</f>
        <v>33.56</v>
      </c>
      <c r="Y106" s="9">
        <f t="shared" si="9"/>
        <v>3111.7</v>
      </c>
      <c r="AD106" s="4" t="s">
        <v>433</v>
      </c>
      <c r="AE106" s="4" t="s">
        <v>434</v>
      </c>
      <c r="AF106" s="4" t="s">
        <v>435</v>
      </c>
    </row>
    <row r="107" spans="1:35" ht="37.5" x14ac:dyDescent="0.25">
      <c r="A107" s="10" t="s">
        <v>436</v>
      </c>
      <c r="B107" s="10"/>
      <c r="C107" s="16" t="s">
        <v>383</v>
      </c>
      <c r="D107" s="12"/>
      <c r="E107" s="12"/>
      <c r="F107" s="17" t="s">
        <v>173</v>
      </c>
      <c r="G107" s="18">
        <v>0.15</v>
      </c>
      <c r="H107" s="18"/>
      <c r="I107" s="18">
        <v>55.634999999999998</v>
      </c>
      <c r="J107" s="19">
        <v>88.8</v>
      </c>
      <c r="M107" s="20">
        <f>ROUND(ROUND(J107, 2)*I107, 2)</f>
        <v>4940.3900000000003</v>
      </c>
      <c r="P107" s="19">
        <v>88.8</v>
      </c>
      <c r="S107" s="20">
        <f>ROUND(ROUND(P107, 2)*I107, 2)</f>
        <v>4940.3900000000003</v>
      </c>
      <c r="V107" s="9">
        <f>ROUND(ROUND(P107, 2)/1.2, 2)</f>
        <v>74</v>
      </c>
      <c r="Y107" s="9">
        <f t="shared" si="9"/>
        <v>4116.99</v>
      </c>
      <c r="AD107" s="4" t="s">
        <v>437</v>
      </c>
      <c r="AE107" s="4" t="s">
        <v>438</v>
      </c>
      <c r="AF107" s="4" t="s">
        <v>386</v>
      </c>
    </row>
    <row r="108" spans="1:35" ht="56.25" x14ac:dyDescent="0.25">
      <c r="A108" s="10" t="s">
        <v>439</v>
      </c>
      <c r="B108" s="10" t="s">
        <v>440</v>
      </c>
      <c r="C108" s="11" t="s">
        <v>441</v>
      </c>
      <c r="D108" s="12"/>
      <c r="E108" s="12" t="s">
        <v>442</v>
      </c>
      <c r="F108" s="12" t="s">
        <v>59</v>
      </c>
      <c r="G108" s="13">
        <v>1</v>
      </c>
      <c r="H108" s="13"/>
      <c r="I108" s="13">
        <v>1132.5</v>
      </c>
      <c r="J108" s="14">
        <f>IFERROR(ROUND(SUM(M109,M110,M111,M112)/I108, 2),0)</f>
        <v>2469.2399999999998</v>
      </c>
      <c r="K108" s="15">
        <v>2785</v>
      </c>
      <c r="L108" s="14">
        <f>J108+ROUND(K108, 2)</f>
        <v>5254.24</v>
      </c>
      <c r="M108" s="14">
        <f>ROUND(J108*I108, 2)</f>
        <v>2796414.3</v>
      </c>
      <c r="N108" s="14">
        <f>ROUND(I108*ROUND(K108, 2), 2)</f>
        <v>3154012.5</v>
      </c>
      <c r="O108" s="14">
        <f>M108+N108</f>
        <v>5950426.7999999998</v>
      </c>
      <c r="P108" s="14">
        <f>IFERROR(ROUND(SUM(S109,S110,S111,S112)/I108, 2),0)</f>
        <v>2064.9</v>
      </c>
      <c r="Q108" s="15">
        <v>2785</v>
      </c>
      <c r="R108" s="14">
        <f>P108+ROUND(Q108, 2)</f>
        <v>4849.8999999999996</v>
      </c>
      <c r="S108" s="14">
        <f>ROUND(P108*I108, 2)</f>
        <v>2338499.25</v>
      </c>
      <c r="T108" s="14">
        <f>ROUND(I108*ROUND(Q108, 2), 2)</f>
        <v>3154012.5</v>
      </c>
      <c r="U108" s="14">
        <f>S108+T108</f>
        <v>5492511.75</v>
      </c>
      <c r="V108" s="9">
        <f>ROUND(P108 / 1.2, 2)</f>
        <v>1720.75</v>
      </c>
      <c r="W108" s="9">
        <f>ROUND(Q108 / 1.2, 2)</f>
        <v>2320.83</v>
      </c>
      <c r="X108" s="9">
        <f>ROUND(R108 / 1.2, 2)</f>
        <v>4041.58</v>
      </c>
      <c r="Y108" s="9">
        <f t="shared" si="9"/>
        <v>1948749.38</v>
      </c>
      <c r="Z108" s="9">
        <f>ROUND(T108 / 1.2, 2)</f>
        <v>2628343.75</v>
      </c>
      <c r="AA108" s="9">
        <f>Y108+Z108</f>
        <v>4577093.13</v>
      </c>
      <c r="AD108" s="4">
        <v>282588947</v>
      </c>
      <c r="AE108" s="4">
        <v>20317960</v>
      </c>
      <c r="AG108" s="4" t="s">
        <v>443</v>
      </c>
      <c r="AH108" s="4" t="s">
        <v>444</v>
      </c>
      <c r="AI108" s="4" t="s">
        <v>170</v>
      </c>
    </row>
    <row r="109" spans="1:35" ht="37.5" x14ac:dyDescent="0.25">
      <c r="A109" s="10" t="s">
        <v>445</v>
      </c>
      <c r="B109" s="10"/>
      <c r="C109" s="21" t="s">
        <v>446</v>
      </c>
      <c r="D109" s="12"/>
      <c r="E109" s="12"/>
      <c r="F109" s="17" t="s">
        <v>173</v>
      </c>
      <c r="G109" s="18">
        <v>1.2</v>
      </c>
      <c r="H109" s="22"/>
      <c r="I109" s="22">
        <v>1359</v>
      </c>
      <c r="J109" s="19">
        <v>16.96</v>
      </c>
      <c r="M109" s="20">
        <f>ROUND(ROUND(J109, 2)*I109, 2)</f>
        <v>23048.639999999999</v>
      </c>
      <c r="P109" s="19">
        <v>16.96</v>
      </c>
      <c r="S109" s="20">
        <f>ROUND(ROUND(P109, 2)*I109, 2)</f>
        <v>23048.639999999999</v>
      </c>
      <c r="V109" s="9">
        <f>ROUND(ROUND(P109, 2)/1.2, 2)</f>
        <v>14.13</v>
      </c>
      <c r="Y109" s="9">
        <f t="shared" si="9"/>
        <v>19207.2</v>
      </c>
      <c r="AD109" s="4" t="s">
        <v>447</v>
      </c>
      <c r="AE109" s="4" t="s">
        <v>448</v>
      </c>
      <c r="AF109" s="4" t="s">
        <v>449</v>
      </c>
    </row>
    <row r="110" spans="1:35" ht="75" x14ac:dyDescent="0.25">
      <c r="A110" s="10" t="s">
        <v>450</v>
      </c>
      <c r="B110" s="10"/>
      <c r="C110" s="16" t="s">
        <v>451</v>
      </c>
      <c r="D110" s="12"/>
      <c r="E110" s="12" t="s">
        <v>452</v>
      </c>
      <c r="F110" s="17" t="s">
        <v>59</v>
      </c>
      <c r="G110" s="18">
        <v>1.2</v>
      </c>
      <c r="H110" s="22"/>
      <c r="I110" s="22">
        <v>1359</v>
      </c>
      <c r="J110" s="19">
        <v>2021.25</v>
      </c>
      <c r="M110" s="20">
        <f>ROUND(ROUND(J110, 2)*I110, 2)</f>
        <v>2746878.75</v>
      </c>
      <c r="P110" s="19">
        <v>1684.3</v>
      </c>
      <c r="S110" s="20">
        <f>ROUND(ROUND(P110, 2)*I110, 2)</f>
        <v>2288963.7000000002</v>
      </c>
      <c r="V110" s="9">
        <f>ROUND(ROUND(P110, 2)/1.2, 2)</f>
        <v>1403.58</v>
      </c>
      <c r="Y110" s="9">
        <f t="shared" si="9"/>
        <v>1907469.75</v>
      </c>
      <c r="AD110" s="4" t="s">
        <v>453</v>
      </c>
      <c r="AE110" s="4" t="s">
        <v>454</v>
      </c>
      <c r="AF110" s="4" t="s">
        <v>455</v>
      </c>
    </row>
    <row r="111" spans="1:35" ht="37.5" x14ac:dyDescent="0.25">
      <c r="A111" s="10" t="s">
        <v>456</v>
      </c>
      <c r="B111" s="10"/>
      <c r="C111" s="16" t="s">
        <v>432</v>
      </c>
      <c r="D111" s="12"/>
      <c r="E111" s="12"/>
      <c r="F111" s="17" t="s">
        <v>173</v>
      </c>
      <c r="G111" s="18">
        <v>0.25</v>
      </c>
      <c r="H111" s="22"/>
      <c r="I111" s="22">
        <v>283.125</v>
      </c>
      <c r="J111" s="19">
        <v>40.270000000000003</v>
      </c>
      <c r="M111" s="20">
        <f>ROUND(ROUND(J111, 2)*I111, 2)</f>
        <v>11401.44</v>
      </c>
      <c r="P111" s="19">
        <v>40.270000000000003</v>
      </c>
      <c r="S111" s="20">
        <f>ROUND(ROUND(P111, 2)*I111, 2)</f>
        <v>11401.44</v>
      </c>
      <c r="V111" s="9">
        <f>ROUND(ROUND(P111, 2)/1.2, 2)</f>
        <v>33.56</v>
      </c>
      <c r="Y111" s="9">
        <f t="shared" si="9"/>
        <v>9501.2000000000007</v>
      </c>
      <c r="AD111" s="4" t="s">
        <v>457</v>
      </c>
      <c r="AE111" s="4" t="s">
        <v>458</v>
      </c>
      <c r="AF111" s="4" t="s">
        <v>435</v>
      </c>
    </row>
    <row r="112" spans="1:35" ht="37.5" x14ac:dyDescent="0.25">
      <c r="A112" s="10" t="s">
        <v>459</v>
      </c>
      <c r="B112" s="10"/>
      <c r="C112" s="16" t="s">
        <v>383</v>
      </c>
      <c r="D112" s="12"/>
      <c r="E112" s="12"/>
      <c r="F112" s="17" t="s">
        <v>173</v>
      </c>
      <c r="G112" s="18">
        <v>0.15</v>
      </c>
      <c r="H112" s="18"/>
      <c r="I112" s="18">
        <v>169.875</v>
      </c>
      <c r="J112" s="19">
        <v>88.8</v>
      </c>
      <c r="M112" s="20">
        <f>ROUND(ROUND(J112, 2)*I112, 2)</f>
        <v>15084.9</v>
      </c>
      <c r="P112" s="19">
        <v>88.8</v>
      </c>
      <c r="S112" s="20">
        <f>ROUND(ROUND(P112, 2)*I112, 2)</f>
        <v>15084.9</v>
      </c>
      <c r="V112" s="9">
        <f>ROUND(ROUND(P112, 2)/1.2, 2)</f>
        <v>74</v>
      </c>
      <c r="Y112" s="9">
        <f t="shared" si="9"/>
        <v>12570.75</v>
      </c>
      <c r="AD112" s="4" t="s">
        <v>460</v>
      </c>
      <c r="AE112" s="4" t="s">
        <v>461</v>
      </c>
      <c r="AF112" s="4" t="s">
        <v>386</v>
      </c>
    </row>
    <row r="113" spans="1:35" ht="56.25" x14ac:dyDescent="0.25">
      <c r="A113" s="10" t="s">
        <v>462</v>
      </c>
      <c r="B113" s="10" t="s">
        <v>440</v>
      </c>
      <c r="C113" s="11" t="s">
        <v>441</v>
      </c>
      <c r="D113" s="12"/>
      <c r="E113" s="12" t="s">
        <v>463</v>
      </c>
      <c r="F113" s="12" t="s">
        <v>59</v>
      </c>
      <c r="G113" s="13">
        <v>1</v>
      </c>
      <c r="H113" s="13"/>
      <c r="I113" s="13">
        <v>31.2</v>
      </c>
      <c r="J113" s="14">
        <f>IFERROR(ROUND(SUM(M114,M115,M116,M117)/I113, 2),0)</f>
        <v>2469.2399999999998</v>
      </c>
      <c r="K113" s="15">
        <v>2785</v>
      </c>
      <c r="L113" s="14">
        <f>J113+ROUND(K113, 2)</f>
        <v>5254.24</v>
      </c>
      <c r="M113" s="14">
        <f>ROUND(J113*I113, 2)</f>
        <v>77040.289999999994</v>
      </c>
      <c r="N113" s="14">
        <f>ROUND(I113*ROUND(K113, 2), 2)</f>
        <v>86892</v>
      </c>
      <c r="O113" s="14">
        <f>M113+N113</f>
        <v>163932.28999999998</v>
      </c>
      <c r="P113" s="14">
        <f>IFERROR(ROUND(SUM(S114,S115,S116,S117)/I113, 2),0)</f>
        <v>2054.6999999999998</v>
      </c>
      <c r="Q113" s="15">
        <v>2785</v>
      </c>
      <c r="R113" s="14">
        <f>P113+ROUND(Q113, 2)</f>
        <v>4839.7</v>
      </c>
      <c r="S113" s="14">
        <f>ROUND(P113*I113, 2)</f>
        <v>64106.64</v>
      </c>
      <c r="T113" s="14">
        <f>ROUND(I113*ROUND(Q113, 2), 2)</f>
        <v>86892</v>
      </c>
      <c r="U113" s="14">
        <f>S113+T113</f>
        <v>150998.64000000001</v>
      </c>
      <c r="V113" s="9">
        <f>ROUND(P113 / 1.2, 2)</f>
        <v>1712.25</v>
      </c>
      <c r="W113" s="9">
        <f>ROUND(Q113 / 1.2, 2)</f>
        <v>2320.83</v>
      </c>
      <c r="X113" s="9">
        <f>ROUND(R113 / 1.2, 2)</f>
        <v>4033.08</v>
      </c>
      <c r="Y113" s="9">
        <f t="shared" si="9"/>
        <v>53422.2</v>
      </c>
      <c r="Z113" s="9">
        <f>ROUND(T113 / 1.2, 2)</f>
        <v>72410</v>
      </c>
      <c r="AA113" s="9">
        <f>Y113+Z113</f>
        <v>125832.2</v>
      </c>
      <c r="AD113" s="4">
        <v>282588998</v>
      </c>
      <c r="AE113" s="4">
        <v>20317962</v>
      </c>
      <c r="AG113" s="4" t="s">
        <v>443</v>
      </c>
      <c r="AH113" s="4" t="s">
        <v>444</v>
      </c>
      <c r="AI113" s="4" t="s">
        <v>170</v>
      </c>
    </row>
    <row r="114" spans="1:35" ht="37.5" x14ac:dyDescent="0.25">
      <c r="A114" s="10" t="s">
        <v>464</v>
      </c>
      <c r="B114" s="10"/>
      <c r="C114" s="16" t="s">
        <v>383</v>
      </c>
      <c r="D114" s="12"/>
      <c r="E114" s="12"/>
      <c r="F114" s="17" t="s">
        <v>173</v>
      </c>
      <c r="G114" s="18">
        <v>0.15</v>
      </c>
      <c r="H114" s="18"/>
      <c r="I114" s="18">
        <v>4.68</v>
      </c>
      <c r="J114" s="19">
        <v>88.8</v>
      </c>
      <c r="M114" s="20">
        <f>ROUND(ROUND(J114, 2)*I114, 2)</f>
        <v>415.58</v>
      </c>
      <c r="P114" s="19">
        <v>88.8</v>
      </c>
      <c r="S114" s="20">
        <f>ROUND(ROUND(P114, 2)*I114, 2)</f>
        <v>415.58</v>
      </c>
      <c r="V114" s="9">
        <f>ROUND(ROUND(P114, 2)/1.2, 2)</f>
        <v>74</v>
      </c>
      <c r="Y114" s="9">
        <f t="shared" si="9"/>
        <v>346.32</v>
      </c>
      <c r="AD114" s="4" t="s">
        <v>465</v>
      </c>
      <c r="AE114" s="4" t="s">
        <v>466</v>
      </c>
      <c r="AF114" s="4" t="s">
        <v>386</v>
      </c>
    </row>
    <row r="115" spans="1:35" ht="37.5" x14ac:dyDescent="0.25">
      <c r="A115" s="10" t="s">
        <v>467</v>
      </c>
      <c r="B115" s="10"/>
      <c r="C115" s="16" t="s">
        <v>432</v>
      </c>
      <c r="D115" s="12"/>
      <c r="E115" s="12"/>
      <c r="F115" s="17" t="s">
        <v>173</v>
      </c>
      <c r="G115" s="18">
        <v>0.25</v>
      </c>
      <c r="H115" s="22"/>
      <c r="I115" s="22">
        <v>7.8</v>
      </c>
      <c r="J115" s="19">
        <v>40.270000000000003</v>
      </c>
      <c r="M115" s="20">
        <f>ROUND(ROUND(J115, 2)*I115, 2)</f>
        <v>314.11</v>
      </c>
      <c r="P115" s="19">
        <v>40.270000000000003</v>
      </c>
      <c r="S115" s="20">
        <f>ROUND(ROUND(P115, 2)*I115, 2)</f>
        <v>314.11</v>
      </c>
      <c r="V115" s="9">
        <f>ROUND(ROUND(P115, 2)/1.2, 2)</f>
        <v>33.56</v>
      </c>
      <c r="Y115" s="9">
        <f t="shared" si="9"/>
        <v>261.76</v>
      </c>
      <c r="AD115" s="4" t="s">
        <v>468</v>
      </c>
      <c r="AE115" s="4" t="s">
        <v>469</v>
      </c>
      <c r="AF115" s="4" t="s">
        <v>435</v>
      </c>
    </row>
    <row r="116" spans="1:35" ht="75" x14ac:dyDescent="0.25">
      <c r="A116" s="10" t="s">
        <v>470</v>
      </c>
      <c r="B116" s="10"/>
      <c r="C116" s="16" t="s">
        <v>451</v>
      </c>
      <c r="D116" s="12"/>
      <c r="E116" s="12" t="s">
        <v>471</v>
      </c>
      <c r="F116" s="17" t="s">
        <v>59</v>
      </c>
      <c r="G116" s="18">
        <v>1.2</v>
      </c>
      <c r="H116" s="22"/>
      <c r="I116" s="22">
        <v>37.44</v>
      </c>
      <c r="J116" s="19">
        <v>2021.25</v>
      </c>
      <c r="M116" s="20">
        <f>ROUND(ROUND(J116, 2)*I116, 2)</f>
        <v>75675.600000000006</v>
      </c>
      <c r="P116" s="19">
        <v>1675.8</v>
      </c>
      <c r="S116" s="20">
        <f>ROUND(ROUND(P116, 2)*I116, 2)</f>
        <v>62741.95</v>
      </c>
      <c r="V116" s="9">
        <f>ROUND(ROUND(P116, 2)/1.2, 2)</f>
        <v>1396.5</v>
      </c>
      <c r="Y116" s="9">
        <f t="shared" si="9"/>
        <v>52284.959999999999</v>
      </c>
      <c r="AD116" s="4" t="s">
        <v>472</v>
      </c>
      <c r="AE116" s="4" t="s">
        <v>473</v>
      </c>
      <c r="AF116" s="4" t="s">
        <v>455</v>
      </c>
    </row>
    <row r="117" spans="1:35" ht="37.5" x14ac:dyDescent="0.25">
      <c r="A117" s="10" t="s">
        <v>474</v>
      </c>
      <c r="B117" s="10"/>
      <c r="C117" s="21" t="s">
        <v>446</v>
      </c>
      <c r="D117" s="12"/>
      <c r="E117" s="12"/>
      <c r="F117" s="17" t="s">
        <v>173</v>
      </c>
      <c r="G117" s="18">
        <v>1.2</v>
      </c>
      <c r="H117" s="22"/>
      <c r="I117" s="22">
        <v>37.44</v>
      </c>
      <c r="J117" s="19">
        <v>16.96</v>
      </c>
      <c r="M117" s="20">
        <f>ROUND(ROUND(J117, 2)*I117, 2)</f>
        <v>634.98</v>
      </c>
      <c r="P117" s="19">
        <v>16.96</v>
      </c>
      <c r="S117" s="20">
        <f>ROUND(ROUND(P117, 2)*I117, 2)</f>
        <v>634.98</v>
      </c>
      <c r="V117" s="9">
        <f>ROUND(ROUND(P117, 2)/1.2, 2)</f>
        <v>14.13</v>
      </c>
      <c r="Y117" s="9">
        <f t="shared" si="9"/>
        <v>529.15</v>
      </c>
      <c r="AD117" s="4" t="s">
        <v>475</v>
      </c>
      <c r="AE117" s="4" t="s">
        <v>476</v>
      </c>
      <c r="AF117" s="4" t="s">
        <v>449</v>
      </c>
    </row>
    <row r="118" spans="1:35" ht="56.25" x14ac:dyDescent="0.25">
      <c r="A118" s="10" t="s">
        <v>477</v>
      </c>
      <c r="B118" s="10" t="s">
        <v>440</v>
      </c>
      <c r="C118" s="11" t="s">
        <v>441</v>
      </c>
      <c r="D118" s="12"/>
      <c r="E118" s="12" t="s">
        <v>478</v>
      </c>
      <c r="F118" s="12" t="s">
        <v>59</v>
      </c>
      <c r="G118" s="13">
        <v>1</v>
      </c>
      <c r="H118" s="13"/>
      <c r="I118" s="13">
        <v>560.4</v>
      </c>
      <c r="J118" s="14">
        <f>IFERROR(ROUND(SUM(M119,M120,M121,M122)/I118, 2),0)</f>
        <v>2469.2399999999998</v>
      </c>
      <c r="K118" s="15">
        <v>2785</v>
      </c>
      <c r="L118" s="14">
        <f>J118+ROUND(K118, 2)</f>
        <v>5254.24</v>
      </c>
      <c r="M118" s="14">
        <f>ROUND(J118*I118, 2)</f>
        <v>1383762.1</v>
      </c>
      <c r="N118" s="14">
        <f>ROUND(I118*ROUND(K118, 2), 2)</f>
        <v>1560714</v>
      </c>
      <c r="O118" s="14">
        <f>M118+N118</f>
        <v>2944476.1</v>
      </c>
      <c r="P118" s="14">
        <f>IFERROR(ROUND(SUM(S119,S120,S121,S122)/I118, 2),0)</f>
        <v>1990.74</v>
      </c>
      <c r="Q118" s="15">
        <v>2785</v>
      </c>
      <c r="R118" s="14">
        <f>P118+ROUND(Q118, 2)</f>
        <v>4775.74</v>
      </c>
      <c r="S118" s="14">
        <f>ROUND(P118*I118, 2)</f>
        <v>1115610.7</v>
      </c>
      <c r="T118" s="14">
        <f>ROUND(I118*ROUND(Q118, 2), 2)</f>
        <v>1560714</v>
      </c>
      <c r="U118" s="14">
        <f>S118+T118</f>
        <v>2676324.7000000002</v>
      </c>
      <c r="V118" s="9">
        <f>ROUND(P118 / 1.2, 2)</f>
        <v>1658.95</v>
      </c>
      <c r="W118" s="9">
        <f>ROUND(Q118 / 1.2, 2)</f>
        <v>2320.83</v>
      </c>
      <c r="X118" s="9">
        <f>ROUND(R118 / 1.2, 2)</f>
        <v>3979.78</v>
      </c>
      <c r="Y118" s="9">
        <f t="shared" si="9"/>
        <v>929675.58</v>
      </c>
      <c r="Z118" s="9">
        <f>ROUND(T118 / 1.2, 2)</f>
        <v>1300595</v>
      </c>
      <c r="AA118" s="9">
        <f>Y118+Z118</f>
        <v>2230270.58</v>
      </c>
      <c r="AD118" s="4">
        <v>282588999</v>
      </c>
      <c r="AE118" s="4">
        <v>20317963</v>
      </c>
      <c r="AG118" s="4" t="s">
        <v>443</v>
      </c>
      <c r="AH118" s="4" t="s">
        <v>444</v>
      </c>
      <c r="AI118" s="4" t="s">
        <v>170</v>
      </c>
    </row>
    <row r="119" spans="1:35" ht="37.5" x14ac:dyDescent="0.25">
      <c r="A119" s="10" t="s">
        <v>479</v>
      </c>
      <c r="B119" s="10"/>
      <c r="C119" s="21" t="s">
        <v>446</v>
      </c>
      <c r="D119" s="12"/>
      <c r="E119" s="12"/>
      <c r="F119" s="17" t="s">
        <v>173</v>
      </c>
      <c r="G119" s="18">
        <v>1.2</v>
      </c>
      <c r="H119" s="22"/>
      <c r="I119" s="22">
        <v>672.48</v>
      </c>
      <c r="J119" s="19">
        <v>16.96</v>
      </c>
      <c r="M119" s="20">
        <f>ROUND(ROUND(J119, 2)*I119, 2)</f>
        <v>11405.26</v>
      </c>
      <c r="P119" s="19">
        <v>16.96</v>
      </c>
      <c r="S119" s="20">
        <f>ROUND(ROUND(P119, 2)*I119, 2)</f>
        <v>11405.26</v>
      </c>
      <c r="V119" s="9">
        <f>ROUND(ROUND(P119, 2)/1.2, 2)</f>
        <v>14.13</v>
      </c>
      <c r="Y119" s="9">
        <f t="shared" si="9"/>
        <v>9504.3799999999992</v>
      </c>
      <c r="AD119" s="4" t="s">
        <v>480</v>
      </c>
      <c r="AE119" s="4" t="s">
        <v>481</v>
      </c>
      <c r="AF119" s="4" t="s">
        <v>449</v>
      </c>
    </row>
    <row r="120" spans="1:35" ht="93.75" x14ac:dyDescent="0.25">
      <c r="A120" s="10" t="s">
        <v>482</v>
      </c>
      <c r="B120" s="10"/>
      <c r="C120" s="16" t="s">
        <v>451</v>
      </c>
      <c r="D120" s="12"/>
      <c r="E120" s="12" t="s">
        <v>483</v>
      </c>
      <c r="F120" s="17" t="s">
        <v>59</v>
      </c>
      <c r="G120" s="18">
        <v>1.2</v>
      </c>
      <c r="H120" s="22"/>
      <c r="I120" s="22">
        <v>672.48</v>
      </c>
      <c r="J120" s="19">
        <v>2021.25</v>
      </c>
      <c r="M120" s="20">
        <f>ROUND(ROUND(J120, 2)*I120, 2)</f>
        <v>1359250.2</v>
      </c>
      <c r="P120" s="19">
        <v>1622.5</v>
      </c>
      <c r="S120" s="20">
        <f>ROUND(ROUND(P120, 2)*I120, 2)</f>
        <v>1091098.8</v>
      </c>
      <c r="V120" s="9">
        <f>ROUND(ROUND(P120, 2)/1.2, 2)</f>
        <v>1352.08</v>
      </c>
      <c r="Y120" s="9">
        <f t="shared" si="9"/>
        <v>909249</v>
      </c>
      <c r="AD120" s="4" t="s">
        <v>484</v>
      </c>
      <c r="AE120" s="4" t="s">
        <v>485</v>
      </c>
      <c r="AF120" s="4" t="s">
        <v>455</v>
      </c>
    </row>
    <row r="121" spans="1:35" ht="37.5" x14ac:dyDescent="0.25">
      <c r="A121" s="10" t="s">
        <v>486</v>
      </c>
      <c r="B121" s="10"/>
      <c r="C121" s="16" t="s">
        <v>432</v>
      </c>
      <c r="D121" s="12"/>
      <c r="E121" s="12"/>
      <c r="F121" s="17" t="s">
        <v>173</v>
      </c>
      <c r="G121" s="18">
        <v>0.25</v>
      </c>
      <c r="H121" s="22"/>
      <c r="I121" s="22">
        <v>140.1</v>
      </c>
      <c r="J121" s="19">
        <v>40.270000000000003</v>
      </c>
      <c r="M121" s="20">
        <f>ROUND(ROUND(J121, 2)*I121, 2)</f>
        <v>5641.83</v>
      </c>
      <c r="P121" s="19">
        <v>40.270000000000003</v>
      </c>
      <c r="S121" s="20">
        <f>ROUND(ROUND(P121, 2)*I121, 2)</f>
        <v>5641.83</v>
      </c>
      <c r="V121" s="9">
        <f>ROUND(ROUND(P121, 2)/1.2, 2)</f>
        <v>33.56</v>
      </c>
      <c r="Y121" s="9">
        <f t="shared" si="9"/>
        <v>4701.53</v>
      </c>
      <c r="AD121" s="4" t="s">
        <v>487</v>
      </c>
      <c r="AE121" s="4" t="s">
        <v>488</v>
      </c>
      <c r="AF121" s="4" t="s">
        <v>435</v>
      </c>
    </row>
    <row r="122" spans="1:35" ht="37.5" x14ac:dyDescent="0.25">
      <c r="A122" s="10" t="s">
        <v>489</v>
      </c>
      <c r="B122" s="10"/>
      <c r="C122" s="16" t="s">
        <v>383</v>
      </c>
      <c r="D122" s="12"/>
      <c r="E122" s="12"/>
      <c r="F122" s="17" t="s">
        <v>173</v>
      </c>
      <c r="G122" s="18">
        <v>0.15</v>
      </c>
      <c r="H122" s="18"/>
      <c r="I122" s="18">
        <v>84.06</v>
      </c>
      <c r="J122" s="19">
        <v>88.8</v>
      </c>
      <c r="M122" s="20">
        <f>ROUND(ROUND(J122, 2)*I122, 2)</f>
        <v>7464.53</v>
      </c>
      <c r="P122" s="19">
        <v>88.8</v>
      </c>
      <c r="S122" s="20">
        <f>ROUND(ROUND(P122, 2)*I122, 2)</f>
        <v>7464.53</v>
      </c>
      <c r="V122" s="9">
        <f>ROUND(ROUND(P122, 2)/1.2, 2)</f>
        <v>74</v>
      </c>
      <c r="Y122" s="9">
        <f t="shared" si="9"/>
        <v>6220.44</v>
      </c>
      <c r="AD122" s="4" t="s">
        <v>490</v>
      </c>
      <c r="AE122" s="4" t="s">
        <v>491</v>
      </c>
      <c r="AF122" s="4" t="s">
        <v>386</v>
      </c>
    </row>
    <row r="123" spans="1:35" ht="56.25" x14ac:dyDescent="0.25">
      <c r="A123" s="10" t="s">
        <v>492</v>
      </c>
      <c r="B123" s="10" t="s">
        <v>440</v>
      </c>
      <c r="C123" s="11" t="s">
        <v>441</v>
      </c>
      <c r="D123" s="12"/>
      <c r="E123" s="12" t="s">
        <v>493</v>
      </c>
      <c r="F123" s="12" t="s">
        <v>59</v>
      </c>
      <c r="G123" s="13">
        <v>1</v>
      </c>
      <c r="H123" s="13"/>
      <c r="I123" s="13">
        <v>28</v>
      </c>
      <c r="J123" s="14">
        <f>IFERROR(ROUND(SUM(M124,M125,M126,M127)/I123, 2),0)</f>
        <v>2469.2399999999998</v>
      </c>
      <c r="K123" s="15">
        <v>2785</v>
      </c>
      <c r="L123" s="14">
        <f>J123+ROUND(K123, 2)</f>
        <v>5254.24</v>
      </c>
      <c r="M123" s="14">
        <f>ROUND(J123*I123, 2)</f>
        <v>69138.720000000001</v>
      </c>
      <c r="N123" s="14">
        <f>ROUND(I123*ROUND(K123, 2), 2)</f>
        <v>77980</v>
      </c>
      <c r="O123" s="14">
        <f>M123+N123</f>
        <v>147118.72</v>
      </c>
      <c r="P123" s="14">
        <f>IFERROR(ROUND(SUM(S124,S125,S126,S127)/I123, 2),0)</f>
        <v>2075.46</v>
      </c>
      <c r="Q123" s="15">
        <v>2785</v>
      </c>
      <c r="R123" s="14">
        <f>P123+ROUND(Q123, 2)</f>
        <v>4860.46</v>
      </c>
      <c r="S123" s="14">
        <f>ROUND(P123*I123, 2)</f>
        <v>58112.88</v>
      </c>
      <c r="T123" s="14">
        <f>ROUND(I123*ROUND(Q123, 2), 2)</f>
        <v>77980</v>
      </c>
      <c r="U123" s="14">
        <f>S123+T123</f>
        <v>136092.88</v>
      </c>
      <c r="V123" s="9">
        <f>ROUND(P123 / 1.2, 2)</f>
        <v>1729.55</v>
      </c>
      <c r="W123" s="9">
        <f>ROUND(Q123 / 1.2, 2)</f>
        <v>2320.83</v>
      </c>
      <c r="X123" s="9">
        <f>ROUND(R123 / 1.2, 2)</f>
        <v>4050.38</v>
      </c>
      <c r="Y123" s="9">
        <f t="shared" si="9"/>
        <v>48427.4</v>
      </c>
      <c r="Z123" s="9">
        <f>ROUND(T123 / 1.2, 2)</f>
        <v>64983.33</v>
      </c>
      <c r="AA123" s="9">
        <f>Y123+Z123</f>
        <v>113410.73000000001</v>
      </c>
      <c r="AD123" s="4">
        <v>282589000</v>
      </c>
      <c r="AE123" s="4">
        <v>20317964</v>
      </c>
      <c r="AG123" s="4" t="s">
        <v>443</v>
      </c>
      <c r="AH123" s="4" t="s">
        <v>444</v>
      </c>
      <c r="AI123" s="4" t="s">
        <v>170</v>
      </c>
    </row>
    <row r="124" spans="1:35" ht="37.5" x14ac:dyDescent="0.25">
      <c r="A124" s="10" t="s">
        <v>494</v>
      </c>
      <c r="B124" s="10"/>
      <c r="C124" s="16" t="s">
        <v>383</v>
      </c>
      <c r="D124" s="12"/>
      <c r="E124" s="12"/>
      <c r="F124" s="17" t="s">
        <v>173</v>
      </c>
      <c r="G124" s="18">
        <v>0.15</v>
      </c>
      <c r="H124" s="18"/>
      <c r="I124" s="18">
        <v>4.2</v>
      </c>
      <c r="J124" s="19">
        <v>88.8</v>
      </c>
      <c r="M124" s="20">
        <f>ROUND(ROUND(J124, 2)*I124, 2)</f>
        <v>372.96</v>
      </c>
      <c r="P124" s="19">
        <v>88.8</v>
      </c>
      <c r="S124" s="20">
        <f>ROUND(ROUND(P124, 2)*I124, 2)</f>
        <v>372.96</v>
      </c>
      <c r="V124" s="9">
        <f>ROUND(ROUND(P124, 2)/1.2, 2)</f>
        <v>74</v>
      </c>
      <c r="Y124" s="9">
        <f t="shared" si="9"/>
        <v>310.8</v>
      </c>
      <c r="AD124" s="4" t="s">
        <v>495</v>
      </c>
      <c r="AE124" s="4" t="s">
        <v>496</v>
      </c>
      <c r="AF124" s="4" t="s">
        <v>386</v>
      </c>
    </row>
    <row r="125" spans="1:35" ht="37.5" x14ac:dyDescent="0.25">
      <c r="A125" s="10" t="s">
        <v>497</v>
      </c>
      <c r="B125" s="10"/>
      <c r="C125" s="16" t="s">
        <v>432</v>
      </c>
      <c r="D125" s="12"/>
      <c r="E125" s="12"/>
      <c r="F125" s="17" t="s">
        <v>173</v>
      </c>
      <c r="G125" s="18">
        <v>0.25</v>
      </c>
      <c r="H125" s="22"/>
      <c r="I125" s="22">
        <v>7</v>
      </c>
      <c r="J125" s="19">
        <v>40.270000000000003</v>
      </c>
      <c r="M125" s="20">
        <f>ROUND(ROUND(J125, 2)*I125, 2)</f>
        <v>281.89</v>
      </c>
      <c r="P125" s="19">
        <v>40.270000000000003</v>
      </c>
      <c r="S125" s="20">
        <f>ROUND(ROUND(P125, 2)*I125, 2)</f>
        <v>281.89</v>
      </c>
      <c r="V125" s="9">
        <f>ROUND(ROUND(P125, 2)/1.2, 2)</f>
        <v>33.56</v>
      </c>
      <c r="Y125" s="9">
        <f t="shared" si="9"/>
        <v>234.91</v>
      </c>
      <c r="AD125" s="4" t="s">
        <v>498</v>
      </c>
      <c r="AE125" s="4" t="s">
        <v>499</v>
      </c>
      <c r="AF125" s="4" t="s">
        <v>435</v>
      </c>
    </row>
    <row r="126" spans="1:35" ht="75" x14ac:dyDescent="0.25">
      <c r="A126" s="10" t="s">
        <v>500</v>
      </c>
      <c r="B126" s="10"/>
      <c r="C126" s="16" t="s">
        <v>451</v>
      </c>
      <c r="D126" s="12"/>
      <c r="E126" s="12" t="s">
        <v>501</v>
      </c>
      <c r="F126" s="17" t="s">
        <v>59</v>
      </c>
      <c r="G126" s="18">
        <v>1.2</v>
      </c>
      <c r="H126" s="22"/>
      <c r="I126" s="22">
        <v>33.6</v>
      </c>
      <c r="J126" s="19">
        <v>2021.25</v>
      </c>
      <c r="M126" s="20">
        <f>ROUND(ROUND(J126, 2)*I126, 2)</f>
        <v>67914</v>
      </c>
      <c r="P126" s="19">
        <v>1693.1</v>
      </c>
      <c r="S126" s="20">
        <f>ROUND(ROUND(P126, 2)*I126, 2)</f>
        <v>56888.160000000003</v>
      </c>
      <c r="V126" s="9">
        <f>ROUND(ROUND(P126, 2)/1.2, 2)</f>
        <v>1410.92</v>
      </c>
      <c r="Y126" s="9">
        <f t="shared" si="9"/>
        <v>47406.8</v>
      </c>
      <c r="AD126" s="4" t="s">
        <v>502</v>
      </c>
      <c r="AE126" s="4" t="s">
        <v>503</v>
      </c>
      <c r="AF126" s="4" t="s">
        <v>455</v>
      </c>
    </row>
    <row r="127" spans="1:35" ht="37.5" x14ac:dyDescent="0.25">
      <c r="A127" s="10" t="s">
        <v>504</v>
      </c>
      <c r="B127" s="10"/>
      <c r="C127" s="21" t="s">
        <v>446</v>
      </c>
      <c r="D127" s="12"/>
      <c r="E127" s="12"/>
      <c r="F127" s="17" t="s">
        <v>173</v>
      </c>
      <c r="G127" s="18">
        <v>1.2</v>
      </c>
      <c r="H127" s="22"/>
      <c r="I127" s="22">
        <v>33.6</v>
      </c>
      <c r="J127" s="19">
        <v>16.96</v>
      </c>
      <c r="M127" s="20">
        <f>ROUND(ROUND(J127, 2)*I127, 2)</f>
        <v>569.86</v>
      </c>
      <c r="P127" s="19">
        <v>16.96</v>
      </c>
      <c r="S127" s="20">
        <f>ROUND(ROUND(P127, 2)*I127, 2)</f>
        <v>569.86</v>
      </c>
      <c r="V127" s="9">
        <f>ROUND(ROUND(P127, 2)/1.2, 2)</f>
        <v>14.13</v>
      </c>
      <c r="Y127" s="9">
        <f t="shared" si="9"/>
        <v>474.88</v>
      </c>
      <c r="AD127" s="4" t="s">
        <v>505</v>
      </c>
      <c r="AE127" s="4" t="s">
        <v>506</v>
      </c>
      <c r="AF127" s="4" t="s">
        <v>449</v>
      </c>
    </row>
    <row r="128" spans="1:35" ht="56.25" x14ac:dyDescent="0.25">
      <c r="A128" s="10" t="s">
        <v>507</v>
      </c>
      <c r="B128" s="10" t="s">
        <v>440</v>
      </c>
      <c r="C128" s="11" t="s">
        <v>441</v>
      </c>
      <c r="D128" s="12"/>
      <c r="E128" s="12" t="s">
        <v>508</v>
      </c>
      <c r="F128" s="12" t="s">
        <v>59</v>
      </c>
      <c r="G128" s="13">
        <v>1</v>
      </c>
      <c r="H128" s="13"/>
      <c r="I128" s="13">
        <v>207.1</v>
      </c>
      <c r="J128" s="14">
        <f>IFERROR(ROUND(SUM(M129,M130,M131,M132)/I128, 2),0)</f>
        <v>2469.2399999999998</v>
      </c>
      <c r="K128" s="15">
        <v>2785</v>
      </c>
      <c r="L128" s="14">
        <f>J128+ROUND(K128, 2)</f>
        <v>5254.24</v>
      </c>
      <c r="M128" s="14">
        <f>ROUND(J128*I128, 2)</f>
        <v>511379.6</v>
      </c>
      <c r="N128" s="14">
        <f>ROUND(I128*ROUND(K128, 2), 2)</f>
        <v>576773.5</v>
      </c>
      <c r="O128" s="14">
        <f>M128+N128</f>
        <v>1088153.1000000001</v>
      </c>
      <c r="P128" s="14">
        <f>IFERROR(ROUND(SUM(S129,S130,S131,S132)/I128, 2),0)</f>
        <v>2000.82</v>
      </c>
      <c r="Q128" s="15">
        <v>2785</v>
      </c>
      <c r="R128" s="14">
        <f>P128+ROUND(Q128, 2)</f>
        <v>4785.82</v>
      </c>
      <c r="S128" s="14">
        <f>ROUND(P128*I128, 2)</f>
        <v>414369.82</v>
      </c>
      <c r="T128" s="14">
        <f>ROUND(I128*ROUND(Q128, 2), 2)</f>
        <v>576773.5</v>
      </c>
      <c r="U128" s="14">
        <f>S128+T128</f>
        <v>991143.32000000007</v>
      </c>
      <c r="V128" s="9">
        <f>ROUND(P128 / 1.2, 2)</f>
        <v>1667.35</v>
      </c>
      <c r="W128" s="9">
        <f>ROUND(Q128 / 1.2, 2)</f>
        <v>2320.83</v>
      </c>
      <c r="X128" s="9">
        <f>ROUND(R128 / 1.2, 2)</f>
        <v>3988.18</v>
      </c>
      <c r="Y128" s="9">
        <f t="shared" si="9"/>
        <v>345308.18</v>
      </c>
      <c r="Z128" s="9">
        <f>ROUND(T128 / 1.2, 2)</f>
        <v>480644.58</v>
      </c>
      <c r="AA128" s="9">
        <f>Y128+Z128</f>
        <v>825952.76</v>
      </c>
      <c r="AD128" s="4">
        <v>282589001</v>
      </c>
      <c r="AE128" s="4">
        <v>20317961</v>
      </c>
      <c r="AG128" s="4" t="s">
        <v>443</v>
      </c>
      <c r="AH128" s="4" t="s">
        <v>444</v>
      </c>
      <c r="AI128" s="4" t="s">
        <v>170</v>
      </c>
    </row>
    <row r="129" spans="1:35" ht="37.5" x14ac:dyDescent="0.25">
      <c r="A129" s="10" t="s">
        <v>509</v>
      </c>
      <c r="B129" s="10"/>
      <c r="C129" s="21" t="s">
        <v>446</v>
      </c>
      <c r="D129" s="12"/>
      <c r="E129" s="12"/>
      <c r="F129" s="17" t="s">
        <v>173</v>
      </c>
      <c r="G129" s="18">
        <v>1.2</v>
      </c>
      <c r="H129" s="22"/>
      <c r="I129" s="22">
        <v>248.52</v>
      </c>
      <c r="J129" s="19">
        <v>16.96</v>
      </c>
      <c r="M129" s="20">
        <f>ROUND(ROUND(J129, 2)*I129, 2)</f>
        <v>4214.8999999999996</v>
      </c>
      <c r="P129" s="19">
        <v>16.96</v>
      </c>
      <c r="S129" s="20">
        <f>ROUND(ROUND(P129, 2)*I129, 2)</f>
        <v>4214.8999999999996</v>
      </c>
      <c r="V129" s="9">
        <f>ROUND(ROUND(P129, 2)/1.2, 2)</f>
        <v>14.13</v>
      </c>
      <c r="Y129" s="9">
        <f t="shared" si="9"/>
        <v>3512.42</v>
      </c>
      <c r="AD129" s="4" t="s">
        <v>510</v>
      </c>
      <c r="AE129" s="4" t="s">
        <v>511</v>
      </c>
      <c r="AF129" s="4" t="s">
        <v>449</v>
      </c>
    </row>
    <row r="130" spans="1:35" ht="93.75" x14ac:dyDescent="0.25">
      <c r="A130" s="10" t="s">
        <v>512</v>
      </c>
      <c r="B130" s="10"/>
      <c r="C130" s="16" t="s">
        <v>451</v>
      </c>
      <c r="D130" s="12"/>
      <c r="E130" s="12" t="s">
        <v>513</v>
      </c>
      <c r="F130" s="17" t="s">
        <v>59</v>
      </c>
      <c r="G130" s="18">
        <v>1.2</v>
      </c>
      <c r="H130" s="22"/>
      <c r="I130" s="22">
        <v>248.52</v>
      </c>
      <c r="J130" s="19">
        <v>2021.25</v>
      </c>
      <c r="M130" s="20">
        <f>ROUND(ROUND(J130, 2)*I130, 2)</f>
        <v>502321.05</v>
      </c>
      <c r="P130" s="19">
        <v>1630.9</v>
      </c>
      <c r="S130" s="20">
        <f>ROUND(ROUND(P130, 2)*I130, 2)</f>
        <v>405311.27</v>
      </c>
      <c r="V130" s="9">
        <f>ROUND(ROUND(P130, 2)/1.2, 2)</f>
        <v>1359.08</v>
      </c>
      <c r="Y130" s="9">
        <f t="shared" si="9"/>
        <v>337759.39</v>
      </c>
      <c r="AD130" s="4" t="s">
        <v>514</v>
      </c>
      <c r="AE130" s="4" t="s">
        <v>515</v>
      </c>
      <c r="AF130" s="4" t="s">
        <v>455</v>
      </c>
    </row>
    <row r="131" spans="1:35" ht="37.5" x14ac:dyDescent="0.25">
      <c r="A131" s="10" t="s">
        <v>516</v>
      </c>
      <c r="B131" s="10"/>
      <c r="C131" s="16" t="s">
        <v>432</v>
      </c>
      <c r="D131" s="12"/>
      <c r="E131" s="12"/>
      <c r="F131" s="17" t="s">
        <v>173</v>
      </c>
      <c r="G131" s="18">
        <v>0.25</v>
      </c>
      <c r="H131" s="22"/>
      <c r="I131" s="22">
        <v>51.774999999999999</v>
      </c>
      <c r="J131" s="19">
        <v>40.270000000000003</v>
      </c>
      <c r="M131" s="20">
        <f>ROUND(ROUND(J131, 2)*I131, 2)</f>
        <v>2084.98</v>
      </c>
      <c r="P131" s="19">
        <v>40.270000000000003</v>
      </c>
      <c r="S131" s="20">
        <f>ROUND(ROUND(P131, 2)*I131, 2)</f>
        <v>2084.98</v>
      </c>
      <c r="V131" s="9">
        <f>ROUND(ROUND(P131, 2)/1.2, 2)</f>
        <v>33.56</v>
      </c>
      <c r="Y131" s="9">
        <f t="shared" si="9"/>
        <v>1737.48</v>
      </c>
      <c r="AD131" s="4" t="s">
        <v>517</v>
      </c>
      <c r="AE131" s="4" t="s">
        <v>518</v>
      </c>
      <c r="AF131" s="4" t="s">
        <v>435</v>
      </c>
    </row>
    <row r="132" spans="1:35" ht="37.5" x14ac:dyDescent="0.25">
      <c r="A132" s="10" t="s">
        <v>519</v>
      </c>
      <c r="B132" s="10"/>
      <c r="C132" s="16" t="s">
        <v>383</v>
      </c>
      <c r="D132" s="12"/>
      <c r="E132" s="12"/>
      <c r="F132" s="17" t="s">
        <v>173</v>
      </c>
      <c r="G132" s="18">
        <v>0.15</v>
      </c>
      <c r="H132" s="18"/>
      <c r="I132" s="18">
        <v>31.065000000000001</v>
      </c>
      <c r="J132" s="19">
        <v>88.8</v>
      </c>
      <c r="M132" s="20">
        <f>ROUND(ROUND(J132, 2)*I132, 2)</f>
        <v>2758.57</v>
      </c>
      <c r="P132" s="19">
        <v>88.8</v>
      </c>
      <c r="S132" s="20">
        <f>ROUND(ROUND(P132, 2)*I132, 2)</f>
        <v>2758.57</v>
      </c>
      <c r="V132" s="9">
        <f>ROUND(ROUND(P132, 2)/1.2, 2)</f>
        <v>74</v>
      </c>
      <c r="Y132" s="9">
        <f t="shared" si="9"/>
        <v>2298.81</v>
      </c>
      <c r="AD132" s="4" t="s">
        <v>520</v>
      </c>
      <c r="AE132" s="4" t="s">
        <v>521</v>
      </c>
      <c r="AF132" s="4" t="s">
        <v>386</v>
      </c>
    </row>
    <row r="133" spans="1:35" ht="56.25" x14ac:dyDescent="0.25">
      <c r="A133" s="10" t="s">
        <v>522</v>
      </c>
      <c r="B133" s="10" t="s">
        <v>440</v>
      </c>
      <c r="C133" s="11" t="s">
        <v>441</v>
      </c>
      <c r="D133" s="12"/>
      <c r="E133" s="12" t="s">
        <v>523</v>
      </c>
      <c r="F133" s="12" t="s">
        <v>59</v>
      </c>
      <c r="G133" s="13">
        <v>1</v>
      </c>
      <c r="H133" s="13"/>
      <c r="I133" s="13">
        <v>207.5</v>
      </c>
      <c r="J133" s="14">
        <f>IFERROR(ROUND(SUM(M134,M135,M136,M137)/I133, 2),0)</f>
        <v>2469.2399999999998</v>
      </c>
      <c r="K133" s="15">
        <v>2785</v>
      </c>
      <c r="L133" s="14">
        <f>J133+ROUND(K133, 2)</f>
        <v>5254.24</v>
      </c>
      <c r="M133" s="14">
        <f>ROUND(J133*I133, 2)</f>
        <v>512367.3</v>
      </c>
      <c r="N133" s="14">
        <f>ROUND(I133*ROUND(K133, 2), 2)</f>
        <v>577887.5</v>
      </c>
      <c r="O133" s="14">
        <f>M133+N133</f>
        <v>1090254.8</v>
      </c>
      <c r="P133" s="14">
        <f>IFERROR(ROUND(SUM(S134,S135,S136,S137)/I133, 2),0)</f>
        <v>2000.82</v>
      </c>
      <c r="Q133" s="15">
        <v>2785</v>
      </c>
      <c r="R133" s="14">
        <f>P133+ROUND(Q133, 2)</f>
        <v>4785.82</v>
      </c>
      <c r="S133" s="14">
        <f>ROUND(P133*I133, 2)</f>
        <v>415170.15</v>
      </c>
      <c r="T133" s="14">
        <f>ROUND(I133*ROUND(Q133, 2), 2)</f>
        <v>577887.5</v>
      </c>
      <c r="U133" s="14">
        <f>S133+T133</f>
        <v>993057.65</v>
      </c>
      <c r="V133" s="9">
        <f>ROUND(P133 / 1.2, 2)</f>
        <v>1667.35</v>
      </c>
      <c r="W133" s="9">
        <f>ROUND(Q133 / 1.2, 2)</f>
        <v>2320.83</v>
      </c>
      <c r="X133" s="9">
        <f>ROUND(R133 / 1.2, 2)</f>
        <v>3988.18</v>
      </c>
      <c r="Y133" s="9">
        <f t="shared" si="9"/>
        <v>345975.13</v>
      </c>
      <c r="Z133" s="9">
        <f>ROUND(T133 / 1.2, 2)</f>
        <v>481572.92</v>
      </c>
      <c r="AA133" s="9">
        <f>Y133+Z133</f>
        <v>827548.05</v>
      </c>
      <c r="AD133" s="4">
        <v>282589002</v>
      </c>
      <c r="AE133" s="4">
        <v>20321878</v>
      </c>
      <c r="AG133" s="4" t="s">
        <v>443</v>
      </c>
      <c r="AH133" s="4" t="s">
        <v>444</v>
      </c>
      <c r="AI133" s="4" t="s">
        <v>170</v>
      </c>
    </row>
    <row r="134" spans="1:35" ht="37.5" x14ac:dyDescent="0.25">
      <c r="A134" s="10" t="s">
        <v>524</v>
      </c>
      <c r="B134" s="10"/>
      <c r="C134" s="16" t="s">
        <v>383</v>
      </c>
      <c r="D134" s="12"/>
      <c r="E134" s="12"/>
      <c r="F134" s="17" t="s">
        <v>173</v>
      </c>
      <c r="G134" s="18">
        <v>0.15</v>
      </c>
      <c r="H134" s="18"/>
      <c r="I134" s="18">
        <v>31.125</v>
      </c>
      <c r="J134" s="19">
        <v>88.8</v>
      </c>
      <c r="M134" s="20">
        <f>ROUND(ROUND(J134, 2)*I134, 2)</f>
        <v>2763.9</v>
      </c>
      <c r="P134" s="19">
        <v>88.8</v>
      </c>
      <c r="S134" s="20">
        <f>ROUND(ROUND(P134, 2)*I134, 2)</f>
        <v>2763.9</v>
      </c>
      <c r="V134" s="9">
        <f>ROUND(ROUND(P134, 2)/1.2, 2)</f>
        <v>74</v>
      </c>
      <c r="Y134" s="9">
        <f t="shared" si="9"/>
        <v>2303.25</v>
      </c>
      <c r="AD134" s="4" t="s">
        <v>525</v>
      </c>
      <c r="AE134" s="4" t="s">
        <v>526</v>
      </c>
      <c r="AF134" s="4" t="s">
        <v>386</v>
      </c>
    </row>
    <row r="135" spans="1:35" ht="37.5" x14ac:dyDescent="0.25">
      <c r="A135" s="10" t="s">
        <v>527</v>
      </c>
      <c r="B135" s="10"/>
      <c r="C135" s="16" t="s">
        <v>432</v>
      </c>
      <c r="D135" s="12"/>
      <c r="E135" s="12"/>
      <c r="F135" s="17" t="s">
        <v>173</v>
      </c>
      <c r="G135" s="18">
        <v>0.25</v>
      </c>
      <c r="H135" s="22"/>
      <c r="I135" s="22">
        <v>51.875</v>
      </c>
      <c r="J135" s="19">
        <v>40.270000000000003</v>
      </c>
      <c r="M135" s="20">
        <f>ROUND(ROUND(J135, 2)*I135, 2)</f>
        <v>2089.0100000000002</v>
      </c>
      <c r="P135" s="19">
        <v>40.270000000000003</v>
      </c>
      <c r="S135" s="20">
        <f>ROUND(ROUND(P135, 2)*I135, 2)</f>
        <v>2089.0100000000002</v>
      </c>
      <c r="V135" s="9">
        <f>ROUND(ROUND(P135, 2)/1.2, 2)</f>
        <v>33.56</v>
      </c>
      <c r="Y135" s="9">
        <f t="shared" si="9"/>
        <v>1740.84</v>
      </c>
      <c r="AD135" s="4" t="s">
        <v>528</v>
      </c>
      <c r="AE135" s="4" t="s">
        <v>529</v>
      </c>
      <c r="AF135" s="4" t="s">
        <v>435</v>
      </c>
    </row>
    <row r="136" spans="1:35" ht="93.75" x14ac:dyDescent="0.25">
      <c r="A136" s="10" t="s">
        <v>530</v>
      </c>
      <c r="B136" s="10"/>
      <c r="C136" s="16" t="s">
        <v>451</v>
      </c>
      <c r="D136" s="12"/>
      <c r="E136" s="12" t="s">
        <v>531</v>
      </c>
      <c r="F136" s="17" t="s">
        <v>59</v>
      </c>
      <c r="G136" s="18">
        <v>1.2</v>
      </c>
      <c r="H136" s="22"/>
      <c r="I136" s="22">
        <v>249</v>
      </c>
      <c r="J136" s="19">
        <v>2021.25</v>
      </c>
      <c r="M136" s="20">
        <f>ROUND(ROUND(J136, 2)*I136, 2)</f>
        <v>503291.25</v>
      </c>
      <c r="P136" s="19">
        <v>1630.9</v>
      </c>
      <c r="S136" s="20">
        <f>ROUND(ROUND(P136, 2)*I136, 2)</f>
        <v>406094.1</v>
      </c>
      <c r="V136" s="9">
        <f>ROUND(ROUND(P136, 2)/1.2, 2)</f>
        <v>1359.08</v>
      </c>
      <c r="Y136" s="9">
        <f t="shared" si="9"/>
        <v>338411.75</v>
      </c>
      <c r="AD136" s="4" t="s">
        <v>532</v>
      </c>
      <c r="AE136" s="4" t="s">
        <v>533</v>
      </c>
      <c r="AF136" s="4" t="s">
        <v>455</v>
      </c>
    </row>
    <row r="137" spans="1:35" ht="37.5" x14ac:dyDescent="0.25">
      <c r="A137" s="10" t="s">
        <v>534</v>
      </c>
      <c r="B137" s="10"/>
      <c r="C137" s="21" t="s">
        <v>446</v>
      </c>
      <c r="D137" s="12"/>
      <c r="E137" s="12"/>
      <c r="F137" s="17" t="s">
        <v>173</v>
      </c>
      <c r="G137" s="18">
        <v>1.2</v>
      </c>
      <c r="H137" s="22"/>
      <c r="I137" s="22">
        <v>249</v>
      </c>
      <c r="J137" s="19">
        <v>16.96</v>
      </c>
      <c r="M137" s="20">
        <f>ROUND(ROUND(J137, 2)*I137, 2)</f>
        <v>4223.04</v>
      </c>
      <c r="P137" s="19">
        <v>16.96</v>
      </c>
      <c r="S137" s="20">
        <f>ROUND(ROUND(P137, 2)*I137, 2)</f>
        <v>4223.04</v>
      </c>
      <c r="V137" s="9">
        <f>ROUND(ROUND(P137, 2)/1.2, 2)</f>
        <v>14.13</v>
      </c>
      <c r="Y137" s="9">
        <f t="shared" si="9"/>
        <v>3519.2</v>
      </c>
      <c r="AD137" s="4" t="s">
        <v>535</v>
      </c>
      <c r="AE137" s="4" t="s">
        <v>536</v>
      </c>
      <c r="AF137" s="4" t="s">
        <v>449</v>
      </c>
    </row>
    <row r="138" spans="1:35" ht="17.100000000000001" customHeight="1" x14ac:dyDescent="0.25">
      <c r="A138" s="10" t="s">
        <v>537</v>
      </c>
      <c r="B138" s="10" t="s">
        <v>538</v>
      </c>
      <c r="C138" s="33" t="s">
        <v>539</v>
      </c>
      <c r="D138" s="34"/>
      <c r="E138" s="34"/>
      <c r="F138" s="34"/>
      <c r="G138" s="34"/>
      <c r="H138" s="34"/>
      <c r="I138" s="35"/>
      <c r="M138" s="6">
        <f>SUM(M139)</f>
        <v>329650</v>
      </c>
      <c r="N138" s="6">
        <f>SUM(N139)</f>
        <v>29009.200000000001</v>
      </c>
      <c r="O138" s="6">
        <f>SUM(O139)</f>
        <v>358659.2</v>
      </c>
      <c r="S138" s="6">
        <f>SUM(S139)</f>
        <v>329650</v>
      </c>
      <c r="T138" s="6">
        <f>SUM(T139)</f>
        <v>29009.200000000001</v>
      </c>
      <c r="U138" s="6">
        <f>SUM(U139)</f>
        <v>358659.2</v>
      </c>
      <c r="Y138" s="9">
        <f>SUM(Y139)</f>
        <v>274708.33</v>
      </c>
      <c r="Z138" s="9">
        <f>SUM(Z139)</f>
        <v>24174.33</v>
      </c>
      <c r="AA138" s="9">
        <f>SUM(AA139)</f>
        <v>298882.66000000003</v>
      </c>
      <c r="AD138" s="4">
        <v>282588948</v>
      </c>
      <c r="AE138" s="4">
        <v>20297490</v>
      </c>
    </row>
    <row r="139" spans="1:35" ht="18.75" x14ac:dyDescent="0.25">
      <c r="A139" s="10" t="s">
        <v>540</v>
      </c>
      <c r="B139" s="10" t="s">
        <v>541</v>
      </c>
      <c r="C139" s="11" t="s">
        <v>542</v>
      </c>
      <c r="D139" s="12"/>
      <c r="E139" s="12" t="s">
        <v>543</v>
      </c>
      <c r="F139" s="12" t="s">
        <v>59</v>
      </c>
      <c r="G139" s="13">
        <v>1</v>
      </c>
      <c r="H139" s="13"/>
      <c r="I139" s="13">
        <v>34.700000000000003</v>
      </c>
      <c r="J139" s="14">
        <f>IFERROR(ROUND(SUM(M140)/I139, 2),0)</f>
        <v>9500</v>
      </c>
      <c r="K139" s="15">
        <v>836</v>
      </c>
      <c r="L139" s="14">
        <f>J139+ROUND(K139, 2)</f>
        <v>10336</v>
      </c>
      <c r="M139" s="14">
        <f>ROUND(J139*I139, 2)</f>
        <v>329650</v>
      </c>
      <c r="N139" s="14">
        <f>ROUND(I139*ROUND(K139, 2), 2)</f>
        <v>29009.200000000001</v>
      </c>
      <c r="O139" s="14">
        <f>M139+N139</f>
        <v>358659.2</v>
      </c>
      <c r="P139" s="14">
        <f>IFERROR(ROUND(SUM(S140)/I139, 2),0)</f>
        <v>9500</v>
      </c>
      <c r="Q139" s="15">
        <v>836</v>
      </c>
      <c r="R139" s="14">
        <f>P139+ROUND(Q139, 2)</f>
        <v>10336</v>
      </c>
      <c r="S139" s="14">
        <f>ROUND(P139*I139, 2)</f>
        <v>329650</v>
      </c>
      <c r="T139" s="14">
        <f>ROUND(I139*ROUND(Q139, 2), 2)</f>
        <v>29009.200000000001</v>
      </c>
      <c r="U139" s="14">
        <f>S139+T139</f>
        <v>358659.2</v>
      </c>
      <c r="V139" s="9">
        <f>ROUND(P139 / 1.2, 2)</f>
        <v>7916.67</v>
      </c>
      <c r="W139" s="9">
        <f>ROUND(Q139 / 1.2, 2)</f>
        <v>696.67</v>
      </c>
      <c r="X139" s="9">
        <f>ROUND(R139 / 1.2, 2)</f>
        <v>8613.33</v>
      </c>
      <c r="Y139" s="9">
        <f>ROUND(S139 / 1.2, 2)</f>
        <v>274708.33</v>
      </c>
      <c r="Z139" s="9">
        <f>ROUND(T139 / 1.2, 2)</f>
        <v>24174.33</v>
      </c>
      <c r="AA139" s="9">
        <f>Y139+Z139</f>
        <v>298882.66000000003</v>
      </c>
      <c r="AD139" s="4">
        <v>282588950</v>
      </c>
      <c r="AE139" s="4">
        <v>20297493</v>
      </c>
      <c r="AG139" s="4" t="s">
        <v>544</v>
      </c>
      <c r="AH139" s="4" t="s">
        <v>545</v>
      </c>
      <c r="AI139" s="4" t="s">
        <v>170</v>
      </c>
    </row>
    <row r="140" spans="1:35" ht="112.5" x14ac:dyDescent="0.25">
      <c r="A140" s="10" t="s">
        <v>546</v>
      </c>
      <c r="B140" s="10"/>
      <c r="C140" s="16" t="s">
        <v>547</v>
      </c>
      <c r="D140" s="12"/>
      <c r="E140" s="12" t="s">
        <v>548</v>
      </c>
      <c r="F140" s="17" t="s">
        <v>59</v>
      </c>
      <c r="G140" s="18">
        <v>1</v>
      </c>
      <c r="H140" s="18"/>
      <c r="I140" s="18">
        <v>34.700000000000003</v>
      </c>
      <c r="J140" s="19">
        <v>9500</v>
      </c>
      <c r="M140" s="20">
        <f>ROUND(ROUND(J140, 2)*I140, 2)</f>
        <v>329650</v>
      </c>
      <c r="P140" s="19">
        <v>9500</v>
      </c>
      <c r="S140" s="20">
        <f>ROUND(ROUND(P140, 2)*I140, 2)</f>
        <v>329650</v>
      </c>
      <c r="V140" s="9">
        <f>ROUND(ROUND(P140, 2)/1.2, 2)</f>
        <v>7916.67</v>
      </c>
      <c r="Y140" s="9">
        <f>ROUND(S140 / 1.2, 2)</f>
        <v>274708.33</v>
      </c>
      <c r="AD140" s="4" t="s">
        <v>549</v>
      </c>
      <c r="AE140" s="4" t="s">
        <v>550</v>
      </c>
      <c r="AF140" s="4" t="s">
        <v>551</v>
      </c>
    </row>
    <row r="141" spans="1:35" ht="17.100000000000001" customHeight="1" x14ac:dyDescent="0.25">
      <c r="A141" s="10" t="s">
        <v>552</v>
      </c>
      <c r="B141" s="10" t="s">
        <v>553</v>
      </c>
      <c r="C141" s="33" t="s">
        <v>554</v>
      </c>
      <c r="D141" s="34"/>
      <c r="E141" s="34"/>
      <c r="F141" s="34"/>
      <c r="G141" s="34"/>
      <c r="H141" s="34"/>
      <c r="I141" s="35"/>
      <c r="M141" s="6">
        <f>SUM(M142,M146,M225)</f>
        <v>5805136.9100000001</v>
      </c>
      <c r="N141" s="6">
        <f>SUM(N142,N146,N225)</f>
        <v>9178574.6999999993</v>
      </c>
      <c r="O141" s="6">
        <f>SUM(O142,O146,O225)</f>
        <v>14983711.609999999</v>
      </c>
      <c r="S141" s="6">
        <f>SUM(S142,S146,S225)</f>
        <v>3506342.33</v>
      </c>
      <c r="T141" s="6">
        <f>SUM(T142,T146,T225)</f>
        <v>9178574.6999999993</v>
      </c>
      <c r="U141" s="6">
        <f>SUM(U142,U146,U225)</f>
        <v>12684917.030000003</v>
      </c>
      <c r="Y141" s="9">
        <f>SUM(Y142,Y146,Y225)</f>
        <v>2921951.97</v>
      </c>
      <c r="Z141" s="9">
        <f>SUM(Z142,Z146,Z225)</f>
        <v>7648812.2599999998</v>
      </c>
      <c r="AA141" s="9">
        <f>SUM(AA142,AA146,AA225)</f>
        <v>10570764.229999999</v>
      </c>
      <c r="AD141" s="4">
        <v>282588951</v>
      </c>
      <c r="AE141" s="4">
        <v>20297474</v>
      </c>
    </row>
    <row r="142" spans="1:35" ht="17.100000000000001" customHeight="1" x14ac:dyDescent="0.25">
      <c r="A142" s="10" t="s">
        <v>555</v>
      </c>
      <c r="B142" s="10" t="s">
        <v>556</v>
      </c>
      <c r="C142" s="33" t="s">
        <v>557</v>
      </c>
      <c r="D142" s="34"/>
      <c r="E142" s="34"/>
      <c r="F142" s="34"/>
      <c r="G142" s="34"/>
      <c r="H142" s="34"/>
      <c r="I142" s="35"/>
      <c r="M142" s="6">
        <f>SUM(M143)</f>
        <v>1902.81</v>
      </c>
      <c r="N142" s="6">
        <f>SUM(N143)</f>
        <v>80682</v>
      </c>
      <c r="O142" s="6">
        <f>SUM(O143)</f>
        <v>82584.81</v>
      </c>
      <c r="S142" s="6">
        <f>SUM(S143)</f>
        <v>1902.81</v>
      </c>
      <c r="T142" s="6">
        <f>SUM(T143)</f>
        <v>80682</v>
      </c>
      <c r="U142" s="6">
        <f>SUM(U143)</f>
        <v>82584.81</v>
      </c>
      <c r="Y142" s="9">
        <f>SUM(Y143)</f>
        <v>1585.68</v>
      </c>
      <c r="Z142" s="9">
        <f>SUM(Z143)</f>
        <v>67235</v>
      </c>
      <c r="AA142" s="9">
        <f>SUM(AA143)</f>
        <v>68820.679999999993</v>
      </c>
      <c r="AD142" s="4">
        <v>282588952</v>
      </c>
      <c r="AE142" s="4">
        <v>20297483</v>
      </c>
    </row>
    <row r="143" spans="1:35" ht="37.5" x14ac:dyDescent="0.25">
      <c r="A143" s="10" t="s">
        <v>558</v>
      </c>
      <c r="B143" s="10" t="s">
        <v>559</v>
      </c>
      <c r="C143" s="11" t="s">
        <v>560</v>
      </c>
      <c r="D143" s="12"/>
      <c r="E143" s="12" t="s">
        <v>561</v>
      </c>
      <c r="F143" s="12" t="s">
        <v>222</v>
      </c>
      <c r="G143" s="13">
        <v>1</v>
      </c>
      <c r="H143" s="13"/>
      <c r="I143" s="13">
        <v>357</v>
      </c>
      <c r="J143" s="14">
        <f>IFERROR(ROUND(SUM(M144,M145)/I143, 2),0)</f>
        <v>5.33</v>
      </c>
      <c r="K143" s="15">
        <v>226</v>
      </c>
      <c r="L143" s="14">
        <f>J143+ROUND(K143, 2)</f>
        <v>231.33</v>
      </c>
      <c r="M143" s="14">
        <f>ROUND(J143*I143, 2)</f>
        <v>1902.81</v>
      </c>
      <c r="N143" s="14">
        <f>ROUND(I143*ROUND(K143, 2), 2)</f>
        <v>80682</v>
      </c>
      <c r="O143" s="14">
        <f>M143+N143</f>
        <v>82584.81</v>
      </c>
      <c r="P143" s="14">
        <f>IFERROR(ROUND(SUM(S144,S145)/I143, 2),0)</f>
        <v>5.33</v>
      </c>
      <c r="Q143" s="15">
        <v>226</v>
      </c>
      <c r="R143" s="14">
        <f>P143+ROUND(Q143, 2)</f>
        <v>231.33</v>
      </c>
      <c r="S143" s="14">
        <f>ROUND(P143*I143, 2)</f>
        <v>1902.81</v>
      </c>
      <c r="T143" s="14">
        <f>ROUND(I143*ROUND(Q143, 2), 2)</f>
        <v>80682</v>
      </c>
      <c r="U143" s="14">
        <f>S143+T143</f>
        <v>82584.81</v>
      </c>
      <c r="V143" s="9">
        <f>ROUND(P143 / 1.2, 2)</f>
        <v>4.4400000000000004</v>
      </c>
      <c r="W143" s="9">
        <f>ROUND(Q143 / 1.2, 2)</f>
        <v>188.33</v>
      </c>
      <c r="X143" s="9">
        <f>ROUND(R143 / 1.2, 2)</f>
        <v>192.78</v>
      </c>
      <c r="Y143" s="9">
        <f>ROUND(S143 / 1.2, 2)</f>
        <v>1585.68</v>
      </c>
      <c r="Z143" s="9">
        <f>ROUND(T143 / 1.2, 2)</f>
        <v>67235</v>
      </c>
      <c r="AA143" s="9">
        <f>Y143+Z143</f>
        <v>68820.679999999993</v>
      </c>
      <c r="AD143" s="4">
        <v>282588954</v>
      </c>
      <c r="AE143" s="4">
        <v>20297507</v>
      </c>
      <c r="AG143" s="4" t="s">
        <v>562</v>
      </c>
      <c r="AH143" s="4" t="s">
        <v>563</v>
      </c>
      <c r="AI143" s="4" t="s">
        <v>170</v>
      </c>
    </row>
    <row r="144" spans="1:35" ht="18.75" x14ac:dyDescent="0.25">
      <c r="A144" s="10" t="s">
        <v>564</v>
      </c>
      <c r="B144" s="10"/>
      <c r="C144" s="16" t="s">
        <v>565</v>
      </c>
      <c r="D144" s="12"/>
      <c r="E144" s="12"/>
      <c r="F144" s="17" t="s">
        <v>566</v>
      </c>
      <c r="G144" s="18">
        <v>1E-3</v>
      </c>
      <c r="H144" s="22"/>
      <c r="I144" s="22">
        <v>0.35699999999999998</v>
      </c>
      <c r="J144" s="19">
        <v>2800</v>
      </c>
      <c r="M144" s="20">
        <f>ROUND(ROUND(J144, 2)*I144, 2)</f>
        <v>999.6</v>
      </c>
      <c r="P144" s="19">
        <v>2800</v>
      </c>
      <c r="S144" s="20">
        <f>ROUND(ROUND(P144, 2)*I144, 2)</f>
        <v>999.6</v>
      </c>
      <c r="V144" s="9">
        <f>ROUND(ROUND(P144, 2)/1.2, 2)</f>
        <v>2333.33</v>
      </c>
      <c r="Y144" s="9">
        <f>ROUND(S144 / 1.2, 2)</f>
        <v>833</v>
      </c>
      <c r="AD144" s="4" t="s">
        <v>567</v>
      </c>
      <c r="AE144" s="4" t="s">
        <v>568</v>
      </c>
      <c r="AF144" s="4" t="s">
        <v>569</v>
      </c>
    </row>
    <row r="145" spans="1:35" ht="18.75" x14ac:dyDescent="0.25">
      <c r="A145" s="10" t="s">
        <v>570</v>
      </c>
      <c r="B145" s="10"/>
      <c r="C145" s="16" t="s">
        <v>571</v>
      </c>
      <c r="D145" s="12"/>
      <c r="E145" s="12"/>
      <c r="F145" s="17" t="s">
        <v>173</v>
      </c>
      <c r="G145" s="18">
        <v>0.41</v>
      </c>
      <c r="H145" s="22"/>
      <c r="I145" s="22">
        <v>146.37</v>
      </c>
      <c r="J145" s="19">
        <v>6.17</v>
      </c>
      <c r="M145" s="20">
        <f>ROUND(ROUND(J145, 2)*I145, 2)</f>
        <v>903.1</v>
      </c>
      <c r="P145" s="19">
        <v>6.17</v>
      </c>
      <c r="S145" s="20">
        <f>ROUND(ROUND(P145, 2)*I145, 2)</f>
        <v>903.1</v>
      </c>
      <c r="V145" s="9">
        <f>ROUND(ROUND(P145, 2)/1.2, 2)</f>
        <v>5.14</v>
      </c>
      <c r="Y145" s="9">
        <f>ROUND(S145 / 1.2, 2)</f>
        <v>752.58</v>
      </c>
      <c r="AD145" s="4" t="s">
        <v>572</v>
      </c>
      <c r="AE145" s="4" t="s">
        <v>573</v>
      </c>
      <c r="AF145" s="4" t="s">
        <v>574</v>
      </c>
    </row>
    <row r="146" spans="1:35" ht="17.100000000000001" customHeight="1" x14ac:dyDescent="0.25">
      <c r="A146" s="10" t="s">
        <v>575</v>
      </c>
      <c r="B146" s="10" t="s">
        <v>576</v>
      </c>
      <c r="C146" s="33" t="s">
        <v>577</v>
      </c>
      <c r="D146" s="34"/>
      <c r="E146" s="34"/>
      <c r="F146" s="34"/>
      <c r="G146" s="34"/>
      <c r="H146" s="34"/>
      <c r="I146" s="35"/>
      <c r="M146" s="6">
        <f>SUM(M147,M149,M151,M153,M155,M157,M159,M161,M163,M166,M169,M172,M175,M178,M181,M184,M187,M190,M195,M200,M205,M210,M215,M220)</f>
        <v>5509075.8000000007</v>
      </c>
      <c r="N146" s="6">
        <f>SUM(N147,N149,N151,N153,N155,N157,N159,N161,N163,N166,N169,N172,N175,N178,N181,N184,N187,N190,N195,N200,N205,N210,N215,N220)</f>
        <v>8393216</v>
      </c>
      <c r="O146" s="6">
        <f>SUM(O147,O149,O151,O153,O155,O157,O159,O161,O163,O166,O169,O172,O175,O178,O181,O184,O187,O190,O195,O200,O205,O210,O215,O220)</f>
        <v>13902291.799999999</v>
      </c>
      <c r="S146" s="6">
        <f>SUM(S147,S149,S151,S153,S155,S157,S159,S161,S163,S166,S169,S172,S175,S178,S181,S184,S187,S190,S195,S200,S205,S210,S215,S220)</f>
        <v>3093092.5</v>
      </c>
      <c r="T146" s="6">
        <f>SUM(T147,T149,T151,T153,T155,T157,T159,T161,T163,T166,T169,T172,T175,T178,T181,T184,T187,T190,T195,T200,T205,T210,T215,T220)</f>
        <v>8393216</v>
      </c>
      <c r="U146" s="6">
        <f>SUM(U147,U149,U151,U153,U155,U157,U159,U161,U163,U166,U169,U172,U175,U178,U181,U184,U187,U190,U195,U200,U205,U210,U215,U220)</f>
        <v>11486308.500000002</v>
      </c>
      <c r="Y146" s="9">
        <f>SUM(Y147,Y149,Y151,Y153,Y155,Y157,Y159,Y161,Y163,Y166,Y169,Y172,Y175,Y178,Y181,Y184,Y187,Y190,Y195,Y200,Y205,Y210,Y215,Y220)</f>
        <v>2577577.1</v>
      </c>
      <c r="Z146" s="9">
        <f>SUM(Z147,Z149,Z151,Z153,Z155,Z157,Z159,Z161,Z163,Z166,Z169,Z172,Z175,Z178,Z181,Z184,Z187,Z190,Z195,Z200,Z205,Z210,Z215,Z220)</f>
        <v>6994346.6699999999</v>
      </c>
      <c r="AA146" s="9">
        <f>SUM(AA147,AA149,AA151,AA153,AA155,AA157,AA159,AA161,AA163,AA166,AA169,AA172,AA175,AA178,AA181,AA184,AA187,AA190,AA195,AA200,AA205,AA210,AA215,AA220)</f>
        <v>9571923.7699999996</v>
      </c>
      <c r="AD146" s="4">
        <v>282588955</v>
      </c>
      <c r="AE146" s="4">
        <v>20299756</v>
      </c>
    </row>
    <row r="147" spans="1:35" ht="18.75" x14ac:dyDescent="0.25">
      <c r="A147" s="10" t="s">
        <v>578</v>
      </c>
      <c r="B147" s="10" t="s">
        <v>579</v>
      </c>
      <c r="C147" s="11" t="s">
        <v>580</v>
      </c>
      <c r="D147" s="12"/>
      <c r="E147" s="12" t="s">
        <v>581</v>
      </c>
      <c r="F147" s="12" t="s">
        <v>59</v>
      </c>
      <c r="G147" s="13">
        <v>1</v>
      </c>
      <c r="H147" s="13"/>
      <c r="I147" s="13">
        <v>195.1</v>
      </c>
      <c r="J147" s="14">
        <f>IFERROR(ROUND(SUM(M148)/I147, 2),0)</f>
        <v>390</v>
      </c>
      <c r="K147" s="15">
        <v>1010</v>
      </c>
      <c r="L147" s="14">
        <f>J147+ROUND(K147, 2)</f>
        <v>1400</v>
      </c>
      <c r="M147" s="14">
        <f>ROUND(J147*I147, 2)</f>
        <v>76089</v>
      </c>
      <c r="N147" s="14">
        <f>ROUND(I147*ROUND(K147, 2), 2)</f>
        <v>197051</v>
      </c>
      <c r="O147" s="14">
        <f>M147+N147</f>
        <v>273140</v>
      </c>
      <c r="P147" s="14">
        <f>IFERROR(ROUND(SUM(S148)/I147, 2),0)</f>
        <v>390</v>
      </c>
      <c r="Q147" s="15">
        <v>1010</v>
      </c>
      <c r="R147" s="14">
        <f>P147+ROUND(Q147, 2)</f>
        <v>1400</v>
      </c>
      <c r="S147" s="14">
        <f>ROUND(P147*I147, 2)</f>
        <v>76089</v>
      </c>
      <c r="T147" s="14">
        <f>ROUND(I147*ROUND(Q147, 2), 2)</f>
        <v>197051</v>
      </c>
      <c r="U147" s="14">
        <f>S147+T147</f>
        <v>273140</v>
      </c>
      <c r="V147" s="9">
        <f>ROUND(P147 / 1.2, 2)</f>
        <v>325</v>
      </c>
      <c r="W147" s="9">
        <f>ROUND(Q147 / 1.2, 2)</f>
        <v>841.67</v>
      </c>
      <c r="X147" s="9">
        <f>ROUND(R147 / 1.2, 2)</f>
        <v>1166.67</v>
      </c>
      <c r="Y147" s="9">
        <f>ROUND(S147 / 1.2, 2)</f>
        <v>63407.5</v>
      </c>
      <c r="Z147" s="9">
        <f>ROUND(T147 / 1.2, 2)</f>
        <v>164209.17000000001</v>
      </c>
      <c r="AA147" s="9">
        <f>Y147+Z147</f>
        <v>227616.67</v>
      </c>
      <c r="AD147" s="4">
        <v>282588957</v>
      </c>
      <c r="AE147" s="4">
        <v>20300514</v>
      </c>
      <c r="AG147" s="4" t="s">
        <v>582</v>
      </c>
      <c r="AH147" s="4" t="s">
        <v>583</v>
      </c>
      <c r="AI147" s="4" t="s">
        <v>170</v>
      </c>
    </row>
    <row r="148" spans="1:35" ht="37.5" x14ac:dyDescent="0.25">
      <c r="A148" s="10" t="s">
        <v>584</v>
      </c>
      <c r="B148" s="10"/>
      <c r="C148" s="16" t="s">
        <v>585</v>
      </c>
      <c r="D148" s="12"/>
      <c r="E148" s="12"/>
      <c r="F148" s="17" t="s">
        <v>222</v>
      </c>
      <c r="G148" s="18">
        <v>1.5</v>
      </c>
      <c r="H148" s="18"/>
      <c r="I148" s="18">
        <v>292.64999999999998</v>
      </c>
      <c r="J148" s="19">
        <v>260</v>
      </c>
      <c r="M148" s="20">
        <f>ROUND(ROUND(J148, 2)*I148, 2)</f>
        <v>76089</v>
      </c>
      <c r="P148" s="19">
        <v>260</v>
      </c>
      <c r="S148" s="20">
        <f>ROUND(ROUND(P148, 2)*I148, 2)</f>
        <v>76089</v>
      </c>
      <c r="V148" s="9">
        <f>ROUND(ROUND(P148, 2)/1.2, 2)</f>
        <v>216.67</v>
      </c>
      <c r="Y148" s="9">
        <f t="shared" ref="Y148:Y179" si="10">ROUND(S148 / 1.2, 2)</f>
        <v>63407.5</v>
      </c>
      <c r="AD148" s="4" t="s">
        <v>586</v>
      </c>
      <c r="AE148" s="4" t="s">
        <v>587</v>
      </c>
      <c r="AF148" s="4" t="s">
        <v>588</v>
      </c>
    </row>
    <row r="149" spans="1:35" ht="18.75" x14ac:dyDescent="0.25">
      <c r="A149" s="10" t="s">
        <v>589</v>
      </c>
      <c r="B149" s="10" t="s">
        <v>579</v>
      </c>
      <c r="C149" s="11" t="s">
        <v>580</v>
      </c>
      <c r="D149" s="12"/>
      <c r="E149" s="12" t="s">
        <v>590</v>
      </c>
      <c r="F149" s="12" t="s">
        <v>59</v>
      </c>
      <c r="G149" s="13">
        <v>1</v>
      </c>
      <c r="H149" s="13"/>
      <c r="I149" s="13">
        <v>23.1</v>
      </c>
      <c r="J149" s="14">
        <f>IFERROR(ROUND(SUM(M150)/I149, 2),0)</f>
        <v>390</v>
      </c>
      <c r="K149" s="15">
        <v>1010</v>
      </c>
      <c r="L149" s="14">
        <f>J149+ROUND(K149, 2)</f>
        <v>1400</v>
      </c>
      <c r="M149" s="14">
        <f>ROUND(J149*I149, 2)</f>
        <v>9009</v>
      </c>
      <c r="N149" s="14">
        <f>ROUND(I149*ROUND(K149, 2), 2)</f>
        <v>23331</v>
      </c>
      <c r="O149" s="14">
        <f>M149+N149</f>
        <v>32340</v>
      </c>
      <c r="P149" s="14">
        <f>IFERROR(ROUND(SUM(S150)/I149, 2),0)</f>
        <v>390</v>
      </c>
      <c r="Q149" s="15">
        <v>1010</v>
      </c>
      <c r="R149" s="14">
        <f>P149+ROUND(Q149, 2)</f>
        <v>1400</v>
      </c>
      <c r="S149" s="14">
        <f>ROUND(P149*I149, 2)</f>
        <v>9009</v>
      </c>
      <c r="T149" s="14">
        <f>ROUND(I149*ROUND(Q149, 2), 2)</f>
        <v>23331</v>
      </c>
      <c r="U149" s="14">
        <f>S149+T149</f>
        <v>32340</v>
      </c>
      <c r="V149" s="9">
        <f>ROUND(P149 / 1.2, 2)</f>
        <v>325</v>
      </c>
      <c r="W149" s="9">
        <f>ROUND(Q149 / 1.2, 2)</f>
        <v>841.67</v>
      </c>
      <c r="X149" s="9">
        <f>ROUND(R149 / 1.2, 2)</f>
        <v>1166.67</v>
      </c>
      <c r="Y149" s="9">
        <f t="shared" si="10"/>
        <v>7507.5</v>
      </c>
      <c r="Z149" s="9">
        <f>ROUND(T149 / 1.2, 2)</f>
        <v>19442.5</v>
      </c>
      <c r="AA149" s="9">
        <f>Y149+Z149</f>
        <v>26950</v>
      </c>
      <c r="AD149" s="4">
        <v>282589003</v>
      </c>
      <c r="AE149" s="4">
        <v>20300510</v>
      </c>
      <c r="AG149" s="4" t="s">
        <v>582</v>
      </c>
      <c r="AH149" s="4" t="s">
        <v>583</v>
      </c>
      <c r="AI149" s="4" t="s">
        <v>170</v>
      </c>
    </row>
    <row r="150" spans="1:35" ht="37.5" x14ac:dyDescent="0.25">
      <c r="A150" s="10" t="s">
        <v>591</v>
      </c>
      <c r="B150" s="10"/>
      <c r="C150" s="16" t="s">
        <v>585</v>
      </c>
      <c r="D150" s="12"/>
      <c r="E150" s="12"/>
      <c r="F150" s="17" t="s">
        <v>222</v>
      </c>
      <c r="G150" s="18">
        <v>1.5</v>
      </c>
      <c r="H150" s="18"/>
      <c r="I150" s="18">
        <v>34.65</v>
      </c>
      <c r="J150" s="19">
        <v>260</v>
      </c>
      <c r="M150" s="20">
        <f>ROUND(ROUND(J150, 2)*I150, 2)</f>
        <v>9009</v>
      </c>
      <c r="P150" s="19">
        <v>260</v>
      </c>
      <c r="S150" s="20">
        <f>ROUND(ROUND(P150, 2)*I150, 2)</f>
        <v>9009</v>
      </c>
      <c r="V150" s="9">
        <f>ROUND(ROUND(P150, 2)/1.2, 2)</f>
        <v>216.67</v>
      </c>
      <c r="Y150" s="9">
        <f t="shared" si="10"/>
        <v>7507.5</v>
      </c>
      <c r="AD150" s="4" t="s">
        <v>592</v>
      </c>
      <c r="AE150" s="4" t="s">
        <v>593</v>
      </c>
      <c r="AF150" s="4" t="s">
        <v>588</v>
      </c>
    </row>
    <row r="151" spans="1:35" ht="18.75" x14ac:dyDescent="0.25">
      <c r="A151" s="10" t="s">
        <v>594</v>
      </c>
      <c r="B151" s="10" t="s">
        <v>579</v>
      </c>
      <c r="C151" s="11" t="s">
        <v>580</v>
      </c>
      <c r="D151" s="12"/>
      <c r="E151" s="12" t="s">
        <v>595</v>
      </c>
      <c r="F151" s="12" t="s">
        <v>59</v>
      </c>
      <c r="G151" s="13">
        <v>1</v>
      </c>
      <c r="H151" s="13"/>
      <c r="I151" s="13">
        <v>75</v>
      </c>
      <c r="J151" s="14">
        <f>IFERROR(ROUND(SUM(M152)/I151, 2),0)</f>
        <v>390</v>
      </c>
      <c r="K151" s="15">
        <v>1010</v>
      </c>
      <c r="L151" s="14">
        <f>J151+ROUND(K151, 2)</f>
        <v>1400</v>
      </c>
      <c r="M151" s="14">
        <f>ROUND(J151*I151, 2)</f>
        <v>29250</v>
      </c>
      <c r="N151" s="14">
        <f>ROUND(I151*ROUND(K151, 2), 2)</f>
        <v>75750</v>
      </c>
      <c r="O151" s="14">
        <f>M151+N151</f>
        <v>105000</v>
      </c>
      <c r="P151" s="14">
        <f>IFERROR(ROUND(SUM(S152)/I151, 2),0)</f>
        <v>390</v>
      </c>
      <c r="Q151" s="15">
        <v>1010</v>
      </c>
      <c r="R151" s="14">
        <f>P151+ROUND(Q151, 2)</f>
        <v>1400</v>
      </c>
      <c r="S151" s="14">
        <f>ROUND(P151*I151, 2)</f>
        <v>29250</v>
      </c>
      <c r="T151" s="14">
        <f>ROUND(I151*ROUND(Q151, 2), 2)</f>
        <v>75750</v>
      </c>
      <c r="U151" s="14">
        <f>S151+T151</f>
        <v>105000</v>
      </c>
      <c r="V151" s="9">
        <f>ROUND(P151 / 1.2, 2)</f>
        <v>325</v>
      </c>
      <c r="W151" s="9">
        <f>ROUND(Q151 / 1.2, 2)</f>
        <v>841.67</v>
      </c>
      <c r="X151" s="9">
        <f>ROUND(R151 / 1.2, 2)</f>
        <v>1166.67</v>
      </c>
      <c r="Y151" s="9">
        <f t="shared" si="10"/>
        <v>24375</v>
      </c>
      <c r="Z151" s="9">
        <f>ROUND(T151 / 1.2, 2)</f>
        <v>63125</v>
      </c>
      <c r="AA151" s="9">
        <f>Y151+Z151</f>
        <v>87500</v>
      </c>
      <c r="AD151" s="4">
        <v>282589004</v>
      </c>
      <c r="AE151" s="4">
        <v>20300512</v>
      </c>
      <c r="AG151" s="4" t="s">
        <v>582</v>
      </c>
      <c r="AH151" s="4" t="s">
        <v>583</v>
      </c>
      <c r="AI151" s="4" t="s">
        <v>170</v>
      </c>
    </row>
    <row r="152" spans="1:35" ht="37.5" x14ac:dyDescent="0.25">
      <c r="A152" s="10" t="s">
        <v>596</v>
      </c>
      <c r="B152" s="10"/>
      <c r="C152" s="16" t="s">
        <v>585</v>
      </c>
      <c r="D152" s="12"/>
      <c r="E152" s="12"/>
      <c r="F152" s="17" t="s">
        <v>222</v>
      </c>
      <c r="G152" s="18">
        <v>1.5</v>
      </c>
      <c r="H152" s="18"/>
      <c r="I152" s="18">
        <v>112.5</v>
      </c>
      <c r="J152" s="19">
        <v>260</v>
      </c>
      <c r="M152" s="20">
        <f>ROUND(ROUND(J152, 2)*I152, 2)</f>
        <v>29250</v>
      </c>
      <c r="P152" s="19">
        <v>260</v>
      </c>
      <c r="S152" s="20">
        <f>ROUND(ROUND(P152, 2)*I152, 2)</f>
        <v>29250</v>
      </c>
      <c r="V152" s="9">
        <f>ROUND(ROUND(P152, 2)/1.2, 2)</f>
        <v>216.67</v>
      </c>
      <c r="Y152" s="9">
        <f t="shared" si="10"/>
        <v>24375</v>
      </c>
      <c r="AD152" s="4" t="s">
        <v>597</v>
      </c>
      <c r="AE152" s="4" t="s">
        <v>598</v>
      </c>
      <c r="AF152" s="4" t="s">
        <v>588</v>
      </c>
    </row>
    <row r="153" spans="1:35" ht="18.75" x14ac:dyDescent="0.25">
      <c r="A153" s="10" t="s">
        <v>599</v>
      </c>
      <c r="B153" s="10" t="s">
        <v>579</v>
      </c>
      <c r="C153" s="11" t="s">
        <v>580</v>
      </c>
      <c r="D153" s="12"/>
      <c r="E153" s="12" t="s">
        <v>600</v>
      </c>
      <c r="F153" s="12" t="s">
        <v>59</v>
      </c>
      <c r="G153" s="13">
        <v>1</v>
      </c>
      <c r="H153" s="13"/>
      <c r="I153" s="13">
        <v>41.8</v>
      </c>
      <c r="J153" s="14">
        <f>IFERROR(ROUND(SUM(M154)/I153, 2),0)</f>
        <v>390</v>
      </c>
      <c r="K153" s="15">
        <v>1010</v>
      </c>
      <c r="L153" s="14">
        <f>J153+ROUND(K153, 2)</f>
        <v>1400</v>
      </c>
      <c r="M153" s="14">
        <f>ROUND(J153*I153, 2)</f>
        <v>16302</v>
      </c>
      <c r="N153" s="14">
        <f>ROUND(I153*ROUND(K153, 2), 2)</f>
        <v>42218</v>
      </c>
      <c r="O153" s="14">
        <f>M153+N153</f>
        <v>58520</v>
      </c>
      <c r="P153" s="14">
        <f>IFERROR(ROUND(SUM(S154)/I153, 2),0)</f>
        <v>390</v>
      </c>
      <c r="Q153" s="15">
        <v>1010</v>
      </c>
      <c r="R153" s="14">
        <f>P153+ROUND(Q153, 2)</f>
        <v>1400</v>
      </c>
      <c r="S153" s="14">
        <f>ROUND(P153*I153, 2)</f>
        <v>16302</v>
      </c>
      <c r="T153" s="14">
        <f>ROUND(I153*ROUND(Q153, 2), 2)</f>
        <v>42218</v>
      </c>
      <c r="U153" s="14">
        <f>S153+T153</f>
        <v>58520</v>
      </c>
      <c r="V153" s="9">
        <f>ROUND(P153 / 1.2, 2)</f>
        <v>325</v>
      </c>
      <c r="W153" s="9">
        <f>ROUND(Q153 / 1.2, 2)</f>
        <v>841.67</v>
      </c>
      <c r="X153" s="9">
        <f>ROUND(R153 / 1.2, 2)</f>
        <v>1166.67</v>
      </c>
      <c r="Y153" s="9">
        <f t="shared" si="10"/>
        <v>13585</v>
      </c>
      <c r="Z153" s="9">
        <f>ROUND(T153 / 1.2, 2)</f>
        <v>35181.67</v>
      </c>
      <c r="AA153" s="9">
        <f>Y153+Z153</f>
        <v>48766.67</v>
      </c>
      <c r="AD153" s="4">
        <v>282589005</v>
      </c>
      <c r="AE153" s="4">
        <v>20866627</v>
      </c>
      <c r="AG153" s="4" t="s">
        <v>582</v>
      </c>
      <c r="AH153" s="4" t="s">
        <v>583</v>
      </c>
      <c r="AI153" s="4" t="s">
        <v>170</v>
      </c>
    </row>
    <row r="154" spans="1:35" ht="37.5" x14ac:dyDescent="0.25">
      <c r="A154" s="10" t="s">
        <v>601</v>
      </c>
      <c r="B154" s="10"/>
      <c r="C154" s="16" t="s">
        <v>585</v>
      </c>
      <c r="D154" s="12"/>
      <c r="E154" s="12"/>
      <c r="F154" s="17" t="s">
        <v>222</v>
      </c>
      <c r="G154" s="18">
        <v>1.5</v>
      </c>
      <c r="H154" s="18"/>
      <c r="I154" s="18">
        <v>62.7</v>
      </c>
      <c r="J154" s="19">
        <v>260</v>
      </c>
      <c r="M154" s="20">
        <f>ROUND(ROUND(J154, 2)*I154, 2)</f>
        <v>16302</v>
      </c>
      <c r="P154" s="19">
        <v>260</v>
      </c>
      <c r="S154" s="20">
        <f>ROUND(ROUND(P154, 2)*I154, 2)</f>
        <v>16302</v>
      </c>
      <c r="V154" s="9">
        <f>ROUND(ROUND(P154, 2)/1.2, 2)</f>
        <v>216.67</v>
      </c>
      <c r="Y154" s="9">
        <f t="shared" si="10"/>
        <v>13585</v>
      </c>
      <c r="AD154" s="4" t="s">
        <v>602</v>
      </c>
      <c r="AE154" s="4" t="s">
        <v>603</v>
      </c>
      <c r="AF154" s="4" t="s">
        <v>588</v>
      </c>
    </row>
    <row r="155" spans="1:35" ht="18.75" x14ac:dyDescent="0.25">
      <c r="A155" s="10" t="s">
        <v>604</v>
      </c>
      <c r="B155" s="10" t="s">
        <v>579</v>
      </c>
      <c r="C155" s="11" t="s">
        <v>580</v>
      </c>
      <c r="D155" s="12"/>
      <c r="E155" s="12" t="s">
        <v>605</v>
      </c>
      <c r="F155" s="12" t="s">
        <v>59</v>
      </c>
      <c r="G155" s="13">
        <v>1</v>
      </c>
      <c r="H155" s="13"/>
      <c r="I155" s="13">
        <v>25.2</v>
      </c>
      <c r="J155" s="14">
        <f>IFERROR(ROUND(SUM(M156)/I155, 2),0)</f>
        <v>390</v>
      </c>
      <c r="K155" s="15">
        <v>1010</v>
      </c>
      <c r="L155" s="14">
        <f>J155+ROUND(K155, 2)</f>
        <v>1400</v>
      </c>
      <c r="M155" s="14">
        <f>ROUND(J155*I155, 2)</f>
        <v>9828</v>
      </c>
      <c r="N155" s="14">
        <f>ROUND(I155*ROUND(K155, 2), 2)</f>
        <v>25452</v>
      </c>
      <c r="O155" s="14">
        <f>M155+N155</f>
        <v>35280</v>
      </c>
      <c r="P155" s="14">
        <f>IFERROR(ROUND(SUM(S156)/I155, 2),0)</f>
        <v>390</v>
      </c>
      <c r="Q155" s="15">
        <v>1010</v>
      </c>
      <c r="R155" s="14">
        <f>P155+ROUND(Q155, 2)</f>
        <v>1400</v>
      </c>
      <c r="S155" s="14">
        <f>ROUND(P155*I155, 2)</f>
        <v>9828</v>
      </c>
      <c r="T155" s="14">
        <f>ROUND(I155*ROUND(Q155, 2), 2)</f>
        <v>25452</v>
      </c>
      <c r="U155" s="14">
        <f>S155+T155</f>
        <v>35280</v>
      </c>
      <c r="V155" s="9">
        <f>ROUND(P155 / 1.2, 2)</f>
        <v>325</v>
      </c>
      <c r="W155" s="9">
        <f>ROUND(Q155 / 1.2, 2)</f>
        <v>841.67</v>
      </c>
      <c r="X155" s="9">
        <f>ROUND(R155 / 1.2, 2)</f>
        <v>1166.67</v>
      </c>
      <c r="Y155" s="9">
        <f t="shared" si="10"/>
        <v>8190</v>
      </c>
      <c r="Z155" s="9">
        <f>ROUND(T155 / 1.2, 2)</f>
        <v>21210</v>
      </c>
      <c r="AA155" s="9">
        <f>Y155+Z155</f>
        <v>29400</v>
      </c>
      <c r="AD155" s="4">
        <v>282589006</v>
      </c>
      <c r="AE155" s="4">
        <v>20866620</v>
      </c>
      <c r="AG155" s="4" t="s">
        <v>582</v>
      </c>
      <c r="AH155" s="4" t="s">
        <v>583</v>
      </c>
      <c r="AI155" s="4" t="s">
        <v>170</v>
      </c>
    </row>
    <row r="156" spans="1:35" ht="37.5" x14ac:dyDescent="0.25">
      <c r="A156" s="10" t="s">
        <v>606</v>
      </c>
      <c r="B156" s="10"/>
      <c r="C156" s="16" t="s">
        <v>585</v>
      </c>
      <c r="D156" s="12"/>
      <c r="E156" s="12"/>
      <c r="F156" s="17" t="s">
        <v>222</v>
      </c>
      <c r="G156" s="18">
        <v>1.5</v>
      </c>
      <c r="H156" s="18"/>
      <c r="I156" s="18">
        <v>37.799999999999997</v>
      </c>
      <c r="J156" s="19">
        <v>260</v>
      </c>
      <c r="M156" s="20">
        <f>ROUND(ROUND(J156, 2)*I156, 2)</f>
        <v>9828</v>
      </c>
      <c r="P156" s="19">
        <v>260</v>
      </c>
      <c r="S156" s="20">
        <f>ROUND(ROUND(P156, 2)*I156, 2)</f>
        <v>9828</v>
      </c>
      <c r="V156" s="9">
        <f>ROUND(ROUND(P156, 2)/1.2, 2)</f>
        <v>216.67</v>
      </c>
      <c r="Y156" s="9">
        <f t="shared" si="10"/>
        <v>8190</v>
      </c>
      <c r="AD156" s="4" t="s">
        <v>607</v>
      </c>
      <c r="AE156" s="4" t="s">
        <v>608</v>
      </c>
      <c r="AF156" s="4" t="s">
        <v>588</v>
      </c>
    </row>
    <row r="157" spans="1:35" ht="112.5" x14ac:dyDescent="0.25">
      <c r="A157" s="10" t="s">
        <v>609</v>
      </c>
      <c r="B157" s="10" t="s">
        <v>579</v>
      </c>
      <c r="C157" s="11" t="s">
        <v>580</v>
      </c>
      <c r="D157" s="12"/>
      <c r="E157" s="12" t="s">
        <v>610</v>
      </c>
      <c r="F157" s="12" t="s">
        <v>59</v>
      </c>
      <c r="G157" s="13">
        <v>1</v>
      </c>
      <c r="H157" s="13"/>
      <c r="I157" s="13">
        <v>9.3000000000000007</v>
      </c>
      <c r="J157" s="14">
        <f>IFERROR(ROUND(SUM(M158)/I157, 2),0)</f>
        <v>390</v>
      </c>
      <c r="K157" s="15">
        <v>1010</v>
      </c>
      <c r="L157" s="14">
        <f>J157+ROUND(K157, 2)</f>
        <v>1400</v>
      </c>
      <c r="M157" s="14">
        <f>ROUND(J157*I157, 2)</f>
        <v>3627</v>
      </c>
      <c r="N157" s="14">
        <f>ROUND(I157*ROUND(K157, 2), 2)</f>
        <v>9393</v>
      </c>
      <c r="O157" s="14">
        <f>M157+N157</f>
        <v>13020</v>
      </c>
      <c r="P157" s="14">
        <f>IFERROR(ROUND(SUM(S158)/I157, 2),0)</f>
        <v>390</v>
      </c>
      <c r="Q157" s="15">
        <v>1010</v>
      </c>
      <c r="R157" s="14">
        <f>P157+ROUND(Q157, 2)</f>
        <v>1400</v>
      </c>
      <c r="S157" s="14">
        <f>ROUND(P157*I157, 2)</f>
        <v>3627</v>
      </c>
      <c r="T157" s="14">
        <f>ROUND(I157*ROUND(Q157, 2), 2)</f>
        <v>9393</v>
      </c>
      <c r="U157" s="14">
        <f>S157+T157</f>
        <v>13020</v>
      </c>
      <c r="V157" s="9">
        <f>ROUND(P157 / 1.2, 2)</f>
        <v>325</v>
      </c>
      <c r="W157" s="9">
        <f>ROUND(Q157 / 1.2, 2)</f>
        <v>841.67</v>
      </c>
      <c r="X157" s="9">
        <f>ROUND(R157 / 1.2, 2)</f>
        <v>1166.67</v>
      </c>
      <c r="Y157" s="9">
        <f t="shared" si="10"/>
        <v>3022.5</v>
      </c>
      <c r="Z157" s="9">
        <f>ROUND(T157 / 1.2, 2)</f>
        <v>7827.5</v>
      </c>
      <c r="AA157" s="9">
        <f>Y157+Z157</f>
        <v>10850</v>
      </c>
      <c r="AD157" s="4">
        <v>282589007</v>
      </c>
      <c r="AE157" s="4">
        <v>21180286</v>
      </c>
      <c r="AG157" s="4" t="s">
        <v>582</v>
      </c>
      <c r="AH157" s="4" t="s">
        <v>583</v>
      </c>
      <c r="AI157" s="4" t="s">
        <v>170</v>
      </c>
    </row>
    <row r="158" spans="1:35" ht="37.5" x14ac:dyDescent="0.25">
      <c r="A158" s="10" t="s">
        <v>611</v>
      </c>
      <c r="B158" s="10"/>
      <c r="C158" s="16" t="s">
        <v>585</v>
      </c>
      <c r="D158" s="12"/>
      <c r="E158" s="12"/>
      <c r="F158" s="17" t="s">
        <v>222</v>
      </c>
      <c r="G158" s="18">
        <v>1.5</v>
      </c>
      <c r="H158" s="18"/>
      <c r="I158" s="18">
        <v>13.95</v>
      </c>
      <c r="J158" s="19">
        <v>260</v>
      </c>
      <c r="M158" s="20">
        <f>ROUND(ROUND(J158, 2)*I158, 2)</f>
        <v>3627</v>
      </c>
      <c r="P158" s="19">
        <v>260</v>
      </c>
      <c r="S158" s="20">
        <f>ROUND(ROUND(P158, 2)*I158, 2)</f>
        <v>3627</v>
      </c>
      <c r="V158" s="9">
        <f>ROUND(ROUND(P158, 2)/1.2, 2)</f>
        <v>216.67</v>
      </c>
      <c r="Y158" s="9">
        <f t="shared" si="10"/>
        <v>3022.5</v>
      </c>
      <c r="AD158" s="4" t="s">
        <v>612</v>
      </c>
      <c r="AE158" s="4" t="s">
        <v>613</v>
      </c>
      <c r="AF158" s="4" t="s">
        <v>588</v>
      </c>
    </row>
    <row r="159" spans="1:35" ht="112.5" x14ac:dyDescent="0.25">
      <c r="A159" s="10" t="s">
        <v>614</v>
      </c>
      <c r="B159" s="10" t="s">
        <v>579</v>
      </c>
      <c r="C159" s="11" t="s">
        <v>580</v>
      </c>
      <c r="D159" s="12"/>
      <c r="E159" s="12" t="s">
        <v>615</v>
      </c>
      <c r="F159" s="12" t="s">
        <v>59</v>
      </c>
      <c r="G159" s="13">
        <v>1</v>
      </c>
      <c r="H159" s="13"/>
      <c r="I159" s="13">
        <v>9.4</v>
      </c>
      <c r="J159" s="14">
        <f>IFERROR(ROUND(SUM(M160)/I159, 2),0)</f>
        <v>390</v>
      </c>
      <c r="K159" s="15">
        <v>1010</v>
      </c>
      <c r="L159" s="14">
        <f>J159+ROUND(K159, 2)</f>
        <v>1400</v>
      </c>
      <c r="M159" s="14">
        <f>ROUND(J159*I159, 2)</f>
        <v>3666</v>
      </c>
      <c r="N159" s="14">
        <f>ROUND(I159*ROUND(K159, 2), 2)</f>
        <v>9494</v>
      </c>
      <c r="O159" s="14">
        <f>M159+N159</f>
        <v>13160</v>
      </c>
      <c r="P159" s="14">
        <f>IFERROR(ROUND(SUM(S160)/I159, 2),0)</f>
        <v>390</v>
      </c>
      <c r="Q159" s="15">
        <v>1010</v>
      </c>
      <c r="R159" s="14">
        <f>P159+ROUND(Q159, 2)</f>
        <v>1400</v>
      </c>
      <c r="S159" s="14">
        <f>ROUND(P159*I159, 2)</f>
        <v>3666</v>
      </c>
      <c r="T159" s="14">
        <f>ROUND(I159*ROUND(Q159, 2), 2)</f>
        <v>9494</v>
      </c>
      <c r="U159" s="14">
        <f>S159+T159</f>
        <v>13160</v>
      </c>
      <c r="V159" s="9">
        <f>ROUND(P159 / 1.2, 2)</f>
        <v>325</v>
      </c>
      <c r="W159" s="9">
        <f>ROUND(Q159 / 1.2, 2)</f>
        <v>841.67</v>
      </c>
      <c r="X159" s="9">
        <f>ROUND(R159 / 1.2, 2)</f>
        <v>1166.67</v>
      </c>
      <c r="Y159" s="9">
        <f t="shared" si="10"/>
        <v>3055</v>
      </c>
      <c r="Z159" s="9">
        <f>ROUND(T159 / 1.2, 2)</f>
        <v>7911.67</v>
      </c>
      <c r="AA159" s="9">
        <f>Y159+Z159</f>
        <v>10966.67</v>
      </c>
      <c r="AD159" s="4">
        <v>282589008</v>
      </c>
      <c r="AE159" s="4">
        <v>21180287</v>
      </c>
      <c r="AG159" s="4" t="s">
        <v>582</v>
      </c>
      <c r="AH159" s="4" t="s">
        <v>583</v>
      </c>
      <c r="AI159" s="4" t="s">
        <v>170</v>
      </c>
    </row>
    <row r="160" spans="1:35" ht="37.5" x14ac:dyDescent="0.25">
      <c r="A160" s="10" t="s">
        <v>616</v>
      </c>
      <c r="B160" s="10"/>
      <c r="C160" s="16" t="s">
        <v>585</v>
      </c>
      <c r="D160" s="12"/>
      <c r="E160" s="12"/>
      <c r="F160" s="17" t="s">
        <v>222</v>
      </c>
      <c r="G160" s="18">
        <v>1.5</v>
      </c>
      <c r="H160" s="18"/>
      <c r="I160" s="18">
        <v>14.1</v>
      </c>
      <c r="J160" s="19">
        <v>260</v>
      </c>
      <c r="M160" s="20">
        <f>ROUND(ROUND(J160, 2)*I160, 2)</f>
        <v>3666</v>
      </c>
      <c r="P160" s="19">
        <v>260</v>
      </c>
      <c r="S160" s="20">
        <f>ROUND(ROUND(P160, 2)*I160, 2)</f>
        <v>3666</v>
      </c>
      <c r="V160" s="9">
        <f>ROUND(ROUND(P160, 2)/1.2, 2)</f>
        <v>216.67</v>
      </c>
      <c r="Y160" s="9">
        <f t="shared" si="10"/>
        <v>3055</v>
      </c>
      <c r="AD160" s="4" t="s">
        <v>617</v>
      </c>
      <c r="AE160" s="4" t="s">
        <v>618</v>
      </c>
      <c r="AF160" s="4" t="s">
        <v>588</v>
      </c>
    </row>
    <row r="161" spans="1:35" ht="318.75" x14ac:dyDescent="0.25">
      <c r="A161" s="10" t="s">
        <v>619</v>
      </c>
      <c r="B161" s="10" t="s">
        <v>620</v>
      </c>
      <c r="C161" s="11" t="s">
        <v>621</v>
      </c>
      <c r="D161" s="12"/>
      <c r="E161" s="12" t="s">
        <v>622</v>
      </c>
      <c r="F161" s="12" t="s">
        <v>59</v>
      </c>
      <c r="G161" s="13">
        <v>1</v>
      </c>
      <c r="H161" s="13"/>
      <c r="I161" s="13">
        <v>227.3</v>
      </c>
      <c r="J161" s="14">
        <f>IFERROR(ROUND(SUM(M162)/I161, 2),0)</f>
        <v>418</v>
      </c>
      <c r="K161" s="15">
        <v>1010</v>
      </c>
      <c r="L161" s="14">
        <f>J161+ROUND(K161, 2)</f>
        <v>1428</v>
      </c>
      <c r="M161" s="14">
        <f>ROUND(J161*I161, 2)</f>
        <v>95011.4</v>
      </c>
      <c r="N161" s="14">
        <f>ROUND(I161*ROUND(K161, 2), 2)</f>
        <v>229573</v>
      </c>
      <c r="O161" s="14">
        <f>M161+N161</f>
        <v>324584.40000000002</v>
      </c>
      <c r="P161" s="14">
        <f>IFERROR(ROUND(SUM(S162)/I161, 2),0)</f>
        <v>418</v>
      </c>
      <c r="Q161" s="15">
        <v>1010</v>
      </c>
      <c r="R161" s="14">
        <f>P161+ROUND(Q161, 2)</f>
        <v>1428</v>
      </c>
      <c r="S161" s="14">
        <f>ROUND(P161*I161, 2)</f>
        <v>95011.4</v>
      </c>
      <c r="T161" s="14">
        <f>ROUND(I161*ROUND(Q161, 2), 2)</f>
        <v>229573</v>
      </c>
      <c r="U161" s="14">
        <f>S161+T161</f>
        <v>324584.40000000002</v>
      </c>
      <c r="V161" s="9">
        <f>ROUND(P161 / 1.2, 2)</f>
        <v>348.33</v>
      </c>
      <c r="W161" s="9">
        <f>ROUND(Q161 / 1.2, 2)</f>
        <v>841.67</v>
      </c>
      <c r="X161" s="9">
        <f>ROUND(R161 / 1.2, 2)</f>
        <v>1190</v>
      </c>
      <c r="Y161" s="9">
        <f t="shared" si="10"/>
        <v>79176.17</v>
      </c>
      <c r="Z161" s="9">
        <f>ROUND(T161 / 1.2, 2)</f>
        <v>191310.83</v>
      </c>
      <c r="AA161" s="9">
        <f>Y161+Z161</f>
        <v>270487</v>
      </c>
      <c r="AD161" s="4">
        <v>282588958</v>
      </c>
      <c r="AE161" s="4">
        <v>20348169</v>
      </c>
      <c r="AG161" s="4" t="s">
        <v>623</v>
      </c>
      <c r="AH161" s="4" t="s">
        <v>624</v>
      </c>
      <c r="AI161" s="4" t="s">
        <v>170</v>
      </c>
    </row>
    <row r="162" spans="1:35" ht="409.5" x14ac:dyDescent="0.25">
      <c r="A162" s="10" t="s">
        <v>625</v>
      </c>
      <c r="B162" s="10"/>
      <c r="C162" s="16" t="s">
        <v>626</v>
      </c>
      <c r="D162" s="12"/>
      <c r="E162" s="12" t="s">
        <v>627</v>
      </c>
      <c r="F162" s="17" t="s">
        <v>222</v>
      </c>
      <c r="G162" s="18">
        <v>1</v>
      </c>
      <c r="H162" s="18"/>
      <c r="I162" s="18">
        <v>227.3</v>
      </c>
      <c r="J162" s="19">
        <v>418</v>
      </c>
      <c r="M162" s="20">
        <f>ROUND(ROUND(J162, 2)*I162, 2)</f>
        <v>95011.4</v>
      </c>
      <c r="P162" s="19">
        <v>418</v>
      </c>
      <c r="S162" s="20">
        <f>ROUND(ROUND(P162, 2)*I162, 2)</f>
        <v>95011.4</v>
      </c>
      <c r="V162" s="9">
        <f>ROUND(ROUND(P162, 2)/1.2, 2)</f>
        <v>348.33</v>
      </c>
      <c r="Y162" s="9">
        <f t="shared" si="10"/>
        <v>79176.17</v>
      </c>
      <c r="AD162" s="4" t="s">
        <v>628</v>
      </c>
      <c r="AE162" s="4" t="s">
        <v>629</v>
      </c>
      <c r="AF162" s="4" t="s">
        <v>630</v>
      </c>
    </row>
    <row r="163" spans="1:35" ht="112.5" x14ac:dyDescent="0.25">
      <c r="A163" s="10" t="s">
        <v>631</v>
      </c>
      <c r="B163" s="10" t="s">
        <v>632</v>
      </c>
      <c r="C163" s="11" t="s">
        <v>633</v>
      </c>
      <c r="D163" s="12"/>
      <c r="E163" s="12" t="s">
        <v>634</v>
      </c>
      <c r="F163" s="12" t="s">
        <v>59</v>
      </c>
      <c r="G163" s="13">
        <v>1</v>
      </c>
      <c r="H163" s="13"/>
      <c r="I163" s="13">
        <v>276</v>
      </c>
      <c r="J163" s="14">
        <f>IFERROR(ROUND(SUM(M164,M165)/I163, 2),0)</f>
        <v>378.29</v>
      </c>
      <c r="K163" s="15">
        <v>428</v>
      </c>
      <c r="L163" s="14">
        <f>J163+ROUND(K163, 2)</f>
        <v>806.29</v>
      </c>
      <c r="M163" s="14">
        <f>ROUND(J163*I163, 2)</f>
        <v>104408.04</v>
      </c>
      <c r="N163" s="14">
        <f>ROUND(I163*ROUND(K163, 2), 2)</f>
        <v>118128</v>
      </c>
      <c r="O163" s="14">
        <f>M163+N163</f>
        <v>222536.03999999998</v>
      </c>
      <c r="P163" s="14">
        <f>IFERROR(ROUND(SUM(S164,S165)/I163, 2),0)</f>
        <v>162.09</v>
      </c>
      <c r="Q163" s="15">
        <v>428</v>
      </c>
      <c r="R163" s="14">
        <f>P163+ROUND(Q163, 2)</f>
        <v>590.09</v>
      </c>
      <c r="S163" s="14">
        <f>ROUND(P163*I163, 2)</f>
        <v>44736.84</v>
      </c>
      <c r="T163" s="14">
        <f>ROUND(I163*ROUND(Q163, 2), 2)</f>
        <v>118128</v>
      </c>
      <c r="U163" s="14">
        <f>S163+T163</f>
        <v>162864.84</v>
      </c>
      <c r="V163" s="9">
        <f>ROUND(P163 / 1.2, 2)</f>
        <v>135.08000000000001</v>
      </c>
      <c r="W163" s="9">
        <f>ROUND(Q163 / 1.2, 2)</f>
        <v>356.67</v>
      </c>
      <c r="X163" s="9">
        <f>ROUND(R163 / 1.2, 2)</f>
        <v>491.74</v>
      </c>
      <c r="Y163" s="9">
        <f t="shared" si="10"/>
        <v>37280.699999999997</v>
      </c>
      <c r="Z163" s="9">
        <f>ROUND(T163 / 1.2, 2)</f>
        <v>98440</v>
      </c>
      <c r="AA163" s="9">
        <f>Y163+Z163</f>
        <v>135720.70000000001</v>
      </c>
      <c r="AD163" s="4">
        <v>282588960</v>
      </c>
      <c r="AE163" s="4">
        <v>20300509</v>
      </c>
      <c r="AG163" s="4" t="s">
        <v>635</v>
      </c>
      <c r="AH163" s="4" t="s">
        <v>636</v>
      </c>
      <c r="AI163" s="4" t="s">
        <v>170</v>
      </c>
    </row>
    <row r="164" spans="1:35" ht="37.5" x14ac:dyDescent="0.25">
      <c r="A164" s="10" t="s">
        <v>637</v>
      </c>
      <c r="B164" s="10"/>
      <c r="C164" s="16" t="s">
        <v>383</v>
      </c>
      <c r="D164" s="12"/>
      <c r="E164" s="12"/>
      <c r="F164" s="17" t="s">
        <v>173</v>
      </c>
      <c r="G164" s="18">
        <v>0.15</v>
      </c>
      <c r="H164" s="18"/>
      <c r="I164" s="18">
        <v>41.4</v>
      </c>
      <c r="J164" s="19">
        <v>88.8</v>
      </c>
      <c r="M164" s="20">
        <f>ROUND(ROUND(J164, 2)*I164, 2)</f>
        <v>3676.32</v>
      </c>
      <c r="P164" s="19">
        <v>88.8</v>
      </c>
      <c r="S164" s="20">
        <f>ROUND(ROUND(P164, 2)*I164, 2)</f>
        <v>3676.32</v>
      </c>
      <c r="V164" s="9">
        <f>ROUND(ROUND(P164, 2)/1.2, 2)</f>
        <v>74</v>
      </c>
      <c r="Y164" s="9">
        <f t="shared" si="10"/>
        <v>3063.6</v>
      </c>
      <c r="AD164" s="4" t="s">
        <v>638</v>
      </c>
      <c r="AE164" s="4" t="s">
        <v>639</v>
      </c>
      <c r="AF164" s="4" t="s">
        <v>386</v>
      </c>
    </row>
    <row r="165" spans="1:35" ht="37.5" x14ac:dyDescent="0.25">
      <c r="A165" s="10" t="s">
        <v>640</v>
      </c>
      <c r="B165" s="10"/>
      <c r="C165" s="16" t="s">
        <v>641</v>
      </c>
      <c r="D165" s="12"/>
      <c r="E165" s="12"/>
      <c r="F165" s="17" t="s">
        <v>173</v>
      </c>
      <c r="G165" s="18">
        <v>0.3</v>
      </c>
      <c r="H165" s="18"/>
      <c r="I165" s="18">
        <v>82.8</v>
      </c>
      <c r="J165" s="19">
        <v>1216.56</v>
      </c>
      <c r="M165" s="20">
        <f>ROUND(ROUND(J165, 2)*I165, 2)</f>
        <v>100731.17</v>
      </c>
      <c r="P165" s="19">
        <v>495.9</v>
      </c>
      <c r="S165" s="20">
        <f>ROUND(ROUND(P165, 2)*I165, 2)</f>
        <v>41060.519999999997</v>
      </c>
      <c r="V165" s="9">
        <f>ROUND(ROUND(P165, 2)/1.2, 2)</f>
        <v>413.25</v>
      </c>
      <c r="Y165" s="9">
        <f t="shared" si="10"/>
        <v>34217.1</v>
      </c>
      <c r="AD165" s="4" t="s">
        <v>642</v>
      </c>
      <c r="AE165" s="4" t="s">
        <v>643</v>
      </c>
      <c r="AF165" s="4" t="s">
        <v>644</v>
      </c>
    </row>
    <row r="166" spans="1:35" ht="112.5" x14ac:dyDescent="0.25">
      <c r="A166" s="10" t="s">
        <v>645</v>
      </c>
      <c r="B166" s="10" t="s">
        <v>632</v>
      </c>
      <c r="C166" s="11" t="s">
        <v>633</v>
      </c>
      <c r="D166" s="12"/>
      <c r="E166" s="12" t="s">
        <v>646</v>
      </c>
      <c r="F166" s="12" t="s">
        <v>59</v>
      </c>
      <c r="G166" s="13">
        <v>1</v>
      </c>
      <c r="H166" s="13"/>
      <c r="I166" s="13">
        <v>224.5</v>
      </c>
      <c r="J166" s="14">
        <f>IFERROR(ROUND(SUM(M167,M168)/I166, 2),0)</f>
        <v>378.29</v>
      </c>
      <c r="K166" s="15">
        <v>428</v>
      </c>
      <c r="L166" s="14">
        <f>J166+ROUND(K166, 2)</f>
        <v>806.29</v>
      </c>
      <c r="M166" s="14">
        <f>ROUND(J166*I166, 2)</f>
        <v>84926.11</v>
      </c>
      <c r="N166" s="14">
        <f>ROUND(I166*ROUND(K166, 2), 2)</f>
        <v>96086</v>
      </c>
      <c r="O166" s="14">
        <f>M166+N166</f>
        <v>181012.11</v>
      </c>
      <c r="P166" s="14">
        <f>IFERROR(ROUND(SUM(S167,S168)/I166, 2),0)</f>
        <v>162.09</v>
      </c>
      <c r="Q166" s="15">
        <v>428</v>
      </c>
      <c r="R166" s="14">
        <f>P166+ROUND(Q166, 2)</f>
        <v>590.09</v>
      </c>
      <c r="S166" s="14">
        <f>ROUND(P166*I166, 2)</f>
        <v>36389.21</v>
      </c>
      <c r="T166" s="14">
        <f>ROUND(I166*ROUND(Q166, 2), 2)</f>
        <v>96086</v>
      </c>
      <c r="U166" s="14">
        <f>S166+T166</f>
        <v>132475.21</v>
      </c>
      <c r="V166" s="9">
        <f>ROUND(P166 / 1.2, 2)</f>
        <v>135.08000000000001</v>
      </c>
      <c r="W166" s="9">
        <f>ROUND(Q166 / 1.2, 2)</f>
        <v>356.67</v>
      </c>
      <c r="X166" s="9">
        <f>ROUND(R166 / 1.2, 2)</f>
        <v>491.74</v>
      </c>
      <c r="Y166" s="9">
        <f t="shared" si="10"/>
        <v>30324.34</v>
      </c>
      <c r="Z166" s="9">
        <f>ROUND(T166 / 1.2, 2)</f>
        <v>80071.67</v>
      </c>
      <c r="AA166" s="9">
        <f>Y166+Z166</f>
        <v>110396.01</v>
      </c>
      <c r="AD166" s="4">
        <v>282589009</v>
      </c>
      <c r="AE166" s="4">
        <v>20300511</v>
      </c>
      <c r="AG166" s="4" t="s">
        <v>635</v>
      </c>
      <c r="AH166" s="4" t="s">
        <v>636</v>
      </c>
      <c r="AI166" s="4" t="s">
        <v>170</v>
      </c>
    </row>
    <row r="167" spans="1:35" ht="37.5" x14ac:dyDescent="0.25">
      <c r="A167" s="10" t="s">
        <v>647</v>
      </c>
      <c r="B167" s="10"/>
      <c r="C167" s="16" t="s">
        <v>641</v>
      </c>
      <c r="D167" s="12"/>
      <c r="E167" s="12"/>
      <c r="F167" s="17" t="s">
        <v>173</v>
      </c>
      <c r="G167" s="18">
        <v>0.3</v>
      </c>
      <c r="H167" s="18"/>
      <c r="I167" s="18">
        <v>67.349999999999994</v>
      </c>
      <c r="J167" s="19">
        <v>1216.56</v>
      </c>
      <c r="M167" s="20">
        <f>ROUND(ROUND(J167, 2)*I167, 2)</f>
        <v>81935.320000000007</v>
      </c>
      <c r="P167" s="19">
        <v>495.9</v>
      </c>
      <c r="S167" s="20">
        <f>ROUND(ROUND(P167, 2)*I167, 2)</f>
        <v>33398.870000000003</v>
      </c>
      <c r="V167" s="9">
        <f>ROUND(ROUND(P167, 2)/1.2, 2)</f>
        <v>413.25</v>
      </c>
      <c r="Y167" s="9">
        <f t="shared" si="10"/>
        <v>27832.39</v>
      </c>
      <c r="AD167" s="4" t="s">
        <v>648</v>
      </c>
      <c r="AE167" s="4" t="s">
        <v>649</v>
      </c>
      <c r="AF167" s="4" t="s">
        <v>644</v>
      </c>
    </row>
    <row r="168" spans="1:35" ht="37.5" x14ac:dyDescent="0.25">
      <c r="A168" s="10" t="s">
        <v>650</v>
      </c>
      <c r="B168" s="10"/>
      <c r="C168" s="16" t="s">
        <v>383</v>
      </c>
      <c r="D168" s="12"/>
      <c r="E168" s="12"/>
      <c r="F168" s="17" t="s">
        <v>173</v>
      </c>
      <c r="G168" s="18">
        <v>0.15</v>
      </c>
      <c r="H168" s="18"/>
      <c r="I168" s="18">
        <v>33.674999999999997</v>
      </c>
      <c r="J168" s="19">
        <v>88.8</v>
      </c>
      <c r="M168" s="20">
        <f>ROUND(ROUND(J168, 2)*I168, 2)</f>
        <v>2990.34</v>
      </c>
      <c r="P168" s="19">
        <v>88.8</v>
      </c>
      <c r="S168" s="20">
        <f>ROUND(ROUND(P168, 2)*I168, 2)</f>
        <v>2990.34</v>
      </c>
      <c r="V168" s="9">
        <f>ROUND(ROUND(P168, 2)/1.2, 2)</f>
        <v>74</v>
      </c>
      <c r="Y168" s="9">
        <f t="shared" si="10"/>
        <v>2491.9499999999998</v>
      </c>
      <c r="AD168" s="4" t="s">
        <v>651</v>
      </c>
      <c r="AE168" s="4" t="s">
        <v>652</v>
      </c>
      <c r="AF168" s="4" t="s">
        <v>386</v>
      </c>
    </row>
    <row r="169" spans="1:35" ht="112.5" x14ac:dyDescent="0.25">
      <c r="A169" s="10" t="s">
        <v>653</v>
      </c>
      <c r="B169" s="10" t="s">
        <v>632</v>
      </c>
      <c r="C169" s="11" t="s">
        <v>633</v>
      </c>
      <c r="D169" s="12"/>
      <c r="E169" s="12" t="s">
        <v>654</v>
      </c>
      <c r="F169" s="12" t="s">
        <v>59</v>
      </c>
      <c r="G169" s="13">
        <v>1</v>
      </c>
      <c r="H169" s="13"/>
      <c r="I169" s="13">
        <v>180</v>
      </c>
      <c r="J169" s="14">
        <f>IFERROR(ROUND(SUM(M170,M171)/I169, 2),0)</f>
        <v>378.29</v>
      </c>
      <c r="K169" s="15">
        <v>428</v>
      </c>
      <c r="L169" s="14">
        <f>J169+ROUND(K169, 2)</f>
        <v>806.29</v>
      </c>
      <c r="M169" s="14">
        <f>ROUND(J169*I169, 2)</f>
        <v>68092.2</v>
      </c>
      <c r="N169" s="14">
        <f>ROUND(I169*ROUND(K169, 2), 2)</f>
        <v>77040</v>
      </c>
      <c r="O169" s="14">
        <f>M169+N169</f>
        <v>145132.20000000001</v>
      </c>
      <c r="P169" s="14">
        <f>IFERROR(ROUND(SUM(S170,S171)/I169, 2),0)</f>
        <v>162.09</v>
      </c>
      <c r="Q169" s="15">
        <v>428</v>
      </c>
      <c r="R169" s="14">
        <f>P169+ROUND(Q169, 2)</f>
        <v>590.09</v>
      </c>
      <c r="S169" s="14">
        <f>ROUND(P169*I169, 2)</f>
        <v>29176.2</v>
      </c>
      <c r="T169" s="14">
        <f>ROUND(I169*ROUND(Q169, 2), 2)</f>
        <v>77040</v>
      </c>
      <c r="U169" s="14">
        <f>S169+T169</f>
        <v>106216.2</v>
      </c>
      <c r="V169" s="9">
        <f>ROUND(P169 / 1.2, 2)</f>
        <v>135.08000000000001</v>
      </c>
      <c r="W169" s="9">
        <f>ROUND(Q169 / 1.2, 2)</f>
        <v>356.67</v>
      </c>
      <c r="X169" s="9">
        <f>ROUND(R169 / 1.2, 2)</f>
        <v>491.74</v>
      </c>
      <c r="Y169" s="9">
        <f t="shared" si="10"/>
        <v>24313.5</v>
      </c>
      <c r="Z169" s="9">
        <f>ROUND(T169 / 1.2, 2)</f>
        <v>64200</v>
      </c>
      <c r="AA169" s="9">
        <f>Y169+Z169</f>
        <v>88513.5</v>
      </c>
      <c r="AD169" s="4">
        <v>282589010</v>
      </c>
      <c r="AE169" s="4">
        <v>20300513</v>
      </c>
      <c r="AG169" s="4" t="s">
        <v>635</v>
      </c>
      <c r="AH169" s="4" t="s">
        <v>636</v>
      </c>
      <c r="AI169" s="4" t="s">
        <v>170</v>
      </c>
    </row>
    <row r="170" spans="1:35" ht="37.5" x14ac:dyDescent="0.25">
      <c r="A170" s="10" t="s">
        <v>655</v>
      </c>
      <c r="B170" s="10"/>
      <c r="C170" s="16" t="s">
        <v>383</v>
      </c>
      <c r="D170" s="12"/>
      <c r="E170" s="12"/>
      <c r="F170" s="17" t="s">
        <v>173</v>
      </c>
      <c r="G170" s="18">
        <v>0.15</v>
      </c>
      <c r="H170" s="18"/>
      <c r="I170" s="18">
        <v>27</v>
      </c>
      <c r="J170" s="19">
        <v>88.8</v>
      </c>
      <c r="M170" s="20">
        <f>ROUND(ROUND(J170, 2)*I170, 2)</f>
        <v>2397.6</v>
      </c>
      <c r="P170" s="19">
        <v>88.8</v>
      </c>
      <c r="S170" s="20">
        <f>ROUND(ROUND(P170, 2)*I170, 2)</f>
        <v>2397.6</v>
      </c>
      <c r="V170" s="9">
        <f>ROUND(ROUND(P170, 2)/1.2, 2)</f>
        <v>74</v>
      </c>
      <c r="Y170" s="9">
        <f t="shared" si="10"/>
        <v>1998</v>
      </c>
      <c r="AD170" s="4" t="s">
        <v>656</v>
      </c>
      <c r="AE170" s="4" t="s">
        <v>657</v>
      </c>
      <c r="AF170" s="4" t="s">
        <v>386</v>
      </c>
    </row>
    <row r="171" spans="1:35" ht="37.5" x14ac:dyDescent="0.25">
      <c r="A171" s="10" t="s">
        <v>658</v>
      </c>
      <c r="B171" s="10"/>
      <c r="C171" s="16" t="s">
        <v>641</v>
      </c>
      <c r="D171" s="12"/>
      <c r="E171" s="12"/>
      <c r="F171" s="17" t="s">
        <v>173</v>
      </c>
      <c r="G171" s="18">
        <v>0.3</v>
      </c>
      <c r="H171" s="18"/>
      <c r="I171" s="18">
        <v>54</v>
      </c>
      <c r="J171" s="19">
        <v>1216.56</v>
      </c>
      <c r="M171" s="20">
        <f>ROUND(ROUND(J171, 2)*I171, 2)</f>
        <v>65694.240000000005</v>
      </c>
      <c r="P171" s="19">
        <v>495.9</v>
      </c>
      <c r="S171" s="20">
        <f>ROUND(ROUND(P171, 2)*I171, 2)</f>
        <v>26778.6</v>
      </c>
      <c r="V171" s="9">
        <f>ROUND(ROUND(P171, 2)/1.2, 2)</f>
        <v>413.25</v>
      </c>
      <c r="Y171" s="9">
        <f t="shared" si="10"/>
        <v>22315.5</v>
      </c>
      <c r="AD171" s="4" t="s">
        <v>659</v>
      </c>
      <c r="AE171" s="4" t="s">
        <v>660</v>
      </c>
      <c r="AF171" s="4" t="s">
        <v>644</v>
      </c>
    </row>
    <row r="172" spans="1:35" ht="112.5" x14ac:dyDescent="0.25">
      <c r="A172" s="10" t="s">
        <v>661</v>
      </c>
      <c r="B172" s="10" t="s">
        <v>632</v>
      </c>
      <c r="C172" s="11" t="s">
        <v>633</v>
      </c>
      <c r="D172" s="12"/>
      <c r="E172" s="12" t="s">
        <v>662</v>
      </c>
      <c r="F172" s="12" t="s">
        <v>59</v>
      </c>
      <c r="G172" s="13">
        <v>1</v>
      </c>
      <c r="H172" s="13"/>
      <c r="I172" s="13">
        <v>1285.3</v>
      </c>
      <c r="J172" s="14">
        <f>IFERROR(ROUND(SUM(M173,M174)/I172, 2),0)</f>
        <v>378.29</v>
      </c>
      <c r="K172" s="15">
        <v>428</v>
      </c>
      <c r="L172" s="14">
        <f>J172+ROUND(K172, 2)</f>
        <v>806.29</v>
      </c>
      <c r="M172" s="14">
        <f>ROUND(J172*I172, 2)</f>
        <v>486216.14</v>
      </c>
      <c r="N172" s="14">
        <f>ROUND(I172*ROUND(K172, 2), 2)</f>
        <v>550108.4</v>
      </c>
      <c r="O172" s="14">
        <f>M172+N172</f>
        <v>1036324.54</v>
      </c>
      <c r="P172" s="14">
        <f>IFERROR(ROUND(SUM(S173,S174)/I172, 2),0)</f>
        <v>162.09</v>
      </c>
      <c r="Q172" s="15">
        <v>428</v>
      </c>
      <c r="R172" s="14">
        <f>P172+ROUND(Q172, 2)</f>
        <v>590.09</v>
      </c>
      <c r="S172" s="14">
        <f>ROUND(P172*I172, 2)</f>
        <v>208334.28</v>
      </c>
      <c r="T172" s="14">
        <f>ROUND(I172*ROUND(Q172, 2), 2)</f>
        <v>550108.4</v>
      </c>
      <c r="U172" s="14">
        <f>S172+T172</f>
        <v>758442.68</v>
      </c>
      <c r="V172" s="9">
        <f>ROUND(P172 / 1.2, 2)</f>
        <v>135.08000000000001</v>
      </c>
      <c r="W172" s="9">
        <f>ROUND(Q172 / 1.2, 2)</f>
        <v>356.67</v>
      </c>
      <c r="X172" s="9">
        <f>ROUND(R172 / 1.2, 2)</f>
        <v>491.74</v>
      </c>
      <c r="Y172" s="9">
        <f t="shared" si="10"/>
        <v>173611.9</v>
      </c>
      <c r="Z172" s="9">
        <f>ROUND(T172 / 1.2, 2)</f>
        <v>458423.67</v>
      </c>
      <c r="AA172" s="9">
        <f>Y172+Z172</f>
        <v>632035.56999999995</v>
      </c>
      <c r="AD172" s="4">
        <v>282589011</v>
      </c>
      <c r="AE172" s="4">
        <v>20300713</v>
      </c>
      <c r="AG172" s="4" t="s">
        <v>635</v>
      </c>
      <c r="AH172" s="4" t="s">
        <v>636</v>
      </c>
      <c r="AI172" s="4" t="s">
        <v>170</v>
      </c>
    </row>
    <row r="173" spans="1:35" ht="37.5" x14ac:dyDescent="0.25">
      <c r="A173" s="10" t="s">
        <v>663</v>
      </c>
      <c r="B173" s="10"/>
      <c r="C173" s="16" t="s">
        <v>641</v>
      </c>
      <c r="D173" s="12"/>
      <c r="E173" s="12"/>
      <c r="F173" s="17" t="s">
        <v>173</v>
      </c>
      <c r="G173" s="18">
        <v>0.3</v>
      </c>
      <c r="H173" s="18"/>
      <c r="I173" s="18">
        <v>385.59</v>
      </c>
      <c r="J173" s="19">
        <v>1216.56</v>
      </c>
      <c r="M173" s="20">
        <f>ROUND(ROUND(J173, 2)*I173, 2)</f>
        <v>469093.37</v>
      </c>
      <c r="P173" s="19">
        <v>495.9</v>
      </c>
      <c r="S173" s="20">
        <f>ROUND(ROUND(P173, 2)*I173, 2)</f>
        <v>191214.07999999999</v>
      </c>
      <c r="V173" s="9">
        <f>ROUND(ROUND(P173, 2)/1.2, 2)</f>
        <v>413.25</v>
      </c>
      <c r="Y173" s="9">
        <f t="shared" si="10"/>
        <v>159345.07</v>
      </c>
      <c r="AD173" s="4" t="s">
        <v>664</v>
      </c>
      <c r="AE173" s="4" t="s">
        <v>665</v>
      </c>
      <c r="AF173" s="4" t="s">
        <v>644</v>
      </c>
    </row>
    <row r="174" spans="1:35" ht="37.5" x14ac:dyDescent="0.25">
      <c r="A174" s="10" t="s">
        <v>666</v>
      </c>
      <c r="B174" s="10"/>
      <c r="C174" s="16" t="s">
        <v>383</v>
      </c>
      <c r="D174" s="12"/>
      <c r="E174" s="12"/>
      <c r="F174" s="17" t="s">
        <v>173</v>
      </c>
      <c r="G174" s="18">
        <v>0.15</v>
      </c>
      <c r="H174" s="18"/>
      <c r="I174" s="18">
        <v>192.79499999999999</v>
      </c>
      <c r="J174" s="19">
        <v>88.8</v>
      </c>
      <c r="M174" s="20">
        <f>ROUND(ROUND(J174, 2)*I174, 2)</f>
        <v>17120.2</v>
      </c>
      <c r="P174" s="19">
        <v>88.8</v>
      </c>
      <c r="S174" s="20">
        <f>ROUND(ROUND(P174, 2)*I174, 2)</f>
        <v>17120.2</v>
      </c>
      <c r="V174" s="9">
        <f>ROUND(ROUND(P174, 2)/1.2, 2)</f>
        <v>74</v>
      </c>
      <c r="Y174" s="9">
        <f t="shared" si="10"/>
        <v>14266.83</v>
      </c>
      <c r="AD174" s="4" t="s">
        <v>667</v>
      </c>
      <c r="AE174" s="4" t="s">
        <v>668</v>
      </c>
      <c r="AF174" s="4" t="s">
        <v>386</v>
      </c>
    </row>
    <row r="175" spans="1:35" ht="112.5" x14ac:dyDescent="0.25">
      <c r="A175" s="10" t="s">
        <v>669</v>
      </c>
      <c r="B175" s="10" t="s">
        <v>632</v>
      </c>
      <c r="C175" s="11" t="s">
        <v>633</v>
      </c>
      <c r="D175" s="12"/>
      <c r="E175" s="12" t="s">
        <v>670</v>
      </c>
      <c r="F175" s="12" t="s">
        <v>59</v>
      </c>
      <c r="G175" s="13">
        <v>1</v>
      </c>
      <c r="H175" s="13"/>
      <c r="I175" s="13">
        <v>101.4</v>
      </c>
      <c r="J175" s="14">
        <f>IFERROR(ROUND(SUM(M176,M177)/I175, 2),0)</f>
        <v>378.29</v>
      </c>
      <c r="K175" s="15">
        <v>428</v>
      </c>
      <c r="L175" s="14">
        <f>J175+ROUND(K175, 2)</f>
        <v>806.29</v>
      </c>
      <c r="M175" s="14">
        <f>ROUND(J175*I175, 2)</f>
        <v>38358.61</v>
      </c>
      <c r="N175" s="14">
        <f>ROUND(I175*ROUND(K175, 2), 2)</f>
        <v>43399.199999999997</v>
      </c>
      <c r="O175" s="14">
        <f>M175+N175</f>
        <v>81757.81</v>
      </c>
      <c r="P175" s="14">
        <f>IFERROR(ROUND(SUM(S176,S177)/I175, 2),0)</f>
        <v>162.09</v>
      </c>
      <c r="Q175" s="15">
        <v>428</v>
      </c>
      <c r="R175" s="14">
        <f>P175+ROUND(Q175, 2)</f>
        <v>590.09</v>
      </c>
      <c r="S175" s="14">
        <f>ROUND(P175*I175, 2)</f>
        <v>16435.93</v>
      </c>
      <c r="T175" s="14">
        <f>ROUND(I175*ROUND(Q175, 2), 2)</f>
        <v>43399.199999999997</v>
      </c>
      <c r="U175" s="14">
        <f>S175+T175</f>
        <v>59835.13</v>
      </c>
      <c r="V175" s="9">
        <f>ROUND(P175 / 1.2, 2)</f>
        <v>135.08000000000001</v>
      </c>
      <c r="W175" s="9">
        <f>ROUND(Q175 / 1.2, 2)</f>
        <v>356.67</v>
      </c>
      <c r="X175" s="9">
        <f>ROUND(R175 / 1.2, 2)</f>
        <v>491.74</v>
      </c>
      <c r="Y175" s="9">
        <f t="shared" si="10"/>
        <v>13696.61</v>
      </c>
      <c r="Z175" s="9">
        <f>ROUND(T175 / 1.2, 2)</f>
        <v>36166</v>
      </c>
      <c r="AA175" s="9">
        <f>Y175+Z175</f>
        <v>49862.61</v>
      </c>
      <c r="AD175" s="4">
        <v>282589012</v>
      </c>
      <c r="AE175" s="4">
        <v>20300714</v>
      </c>
      <c r="AG175" s="4" t="s">
        <v>635</v>
      </c>
      <c r="AH175" s="4" t="s">
        <v>636</v>
      </c>
      <c r="AI175" s="4" t="s">
        <v>170</v>
      </c>
    </row>
    <row r="176" spans="1:35" ht="37.5" x14ac:dyDescent="0.25">
      <c r="A176" s="10" t="s">
        <v>671</v>
      </c>
      <c r="B176" s="10"/>
      <c r="C176" s="16" t="s">
        <v>383</v>
      </c>
      <c r="D176" s="12"/>
      <c r="E176" s="12"/>
      <c r="F176" s="17" t="s">
        <v>173</v>
      </c>
      <c r="G176" s="18">
        <v>0.15</v>
      </c>
      <c r="H176" s="18"/>
      <c r="I176" s="18">
        <v>15.21</v>
      </c>
      <c r="J176" s="19">
        <v>88.8</v>
      </c>
      <c r="M176" s="20">
        <f>ROUND(ROUND(J176, 2)*I176, 2)</f>
        <v>1350.65</v>
      </c>
      <c r="P176" s="19">
        <v>88.8</v>
      </c>
      <c r="S176" s="20">
        <f>ROUND(ROUND(P176, 2)*I176, 2)</f>
        <v>1350.65</v>
      </c>
      <c r="V176" s="9">
        <f>ROUND(ROUND(P176, 2)/1.2, 2)</f>
        <v>74</v>
      </c>
      <c r="Y176" s="9">
        <f t="shared" si="10"/>
        <v>1125.54</v>
      </c>
      <c r="AD176" s="4" t="s">
        <v>672</v>
      </c>
      <c r="AE176" s="4" t="s">
        <v>673</v>
      </c>
      <c r="AF176" s="4" t="s">
        <v>386</v>
      </c>
    </row>
    <row r="177" spans="1:35" ht="37.5" x14ac:dyDescent="0.25">
      <c r="A177" s="10" t="s">
        <v>674</v>
      </c>
      <c r="B177" s="10"/>
      <c r="C177" s="16" t="s">
        <v>641</v>
      </c>
      <c r="D177" s="12"/>
      <c r="E177" s="12"/>
      <c r="F177" s="17" t="s">
        <v>173</v>
      </c>
      <c r="G177" s="18">
        <v>0.3</v>
      </c>
      <c r="H177" s="18"/>
      <c r="I177" s="18">
        <v>30.42</v>
      </c>
      <c r="J177" s="19">
        <v>1216.56</v>
      </c>
      <c r="M177" s="20">
        <f>ROUND(ROUND(J177, 2)*I177, 2)</f>
        <v>37007.760000000002</v>
      </c>
      <c r="P177" s="19">
        <v>495.9</v>
      </c>
      <c r="S177" s="20">
        <f>ROUND(ROUND(P177, 2)*I177, 2)</f>
        <v>15085.28</v>
      </c>
      <c r="V177" s="9">
        <f>ROUND(ROUND(P177, 2)/1.2, 2)</f>
        <v>413.25</v>
      </c>
      <c r="Y177" s="9">
        <f t="shared" si="10"/>
        <v>12571.07</v>
      </c>
      <c r="AD177" s="4" t="s">
        <v>675</v>
      </c>
      <c r="AE177" s="4" t="s">
        <v>676</v>
      </c>
      <c r="AF177" s="4" t="s">
        <v>644</v>
      </c>
    </row>
    <row r="178" spans="1:35" ht="112.5" x14ac:dyDescent="0.25">
      <c r="A178" s="10" t="s">
        <v>677</v>
      </c>
      <c r="B178" s="10" t="s">
        <v>632</v>
      </c>
      <c r="C178" s="11" t="s">
        <v>633</v>
      </c>
      <c r="D178" s="12"/>
      <c r="E178" s="12" t="s">
        <v>678</v>
      </c>
      <c r="F178" s="12" t="s">
        <v>59</v>
      </c>
      <c r="G178" s="13">
        <v>1</v>
      </c>
      <c r="H178" s="13"/>
      <c r="I178" s="13">
        <v>23.1</v>
      </c>
      <c r="J178" s="14">
        <f>IFERROR(ROUND(SUM(M179,M180)/I178, 2),0)</f>
        <v>378.29</v>
      </c>
      <c r="K178" s="15">
        <v>428</v>
      </c>
      <c r="L178" s="14">
        <f>J178+ROUND(K178, 2)</f>
        <v>806.29</v>
      </c>
      <c r="M178" s="14">
        <f>ROUND(J178*I178, 2)</f>
        <v>8738.5</v>
      </c>
      <c r="N178" s="14">
        <f>ROUND(I178*ROUND(K178, 2), 2)</f>
        <v>9886.7999999999993</v>
      </c>
      <c r="O178" s="14">
        <f>M178+N178</f>
        <v>18625.3</v>
      </c>
      <c r="P178" s="14">
        <f>IFERROR(ROUND(SUM(S179,S180)/I178, 2),0)</f>
        <v>162.09</v>
      </c>
      <c r="Q178" s="15">
        <v>428</v>
      </c>
      <c r="R178" s="14">
        <f>P178+ROUND(Q178, 2)</f>
        <v>590.09</v>
      </c>
      <c r="S178" s="14">
        <f>ROUND(P178*I178, 2)</f>
        <v>3744.28</v>
      </c>
      <c r="T178" s="14">
        <f>ROUND(I178*ROUND(Q178, 2), 2)</f>
        <v>9886.7999999999993</v>
      </c>
      <c r="U178" s="14">
        <f>S178+T178</f>
        <v>13631.08</v>
      </c>
      <c r="V178" s="9">
        <f>ROUND(P178 / 1.2, 2)</f>
        <v>135.08000000000001</v>
      </c>
      <c r="W178" s="9">
        <f>ROUND(Q178 / 1.2, 2)</f>
        <v>356.67</v>
      </c>
      <c r="X178" s="9">
        <f>ROUND(R178 / 1.2, 2)</f>
        <v>491.74</v>
      </c>
      <c r="Y178" s="9">
        <f t="shared" si="10"/>
        <v>3120.23</v>
      </c>
      <c r="Z178" s="9">
        <f>ROUND(T178 / 1.2, 2)</f>
        <v>8239</v>
      </c>
      <c r="AA178" s="9">
        <f>Y178+Z178</f>
        <v>11359.23</v>
      </c>
      <c r="AD178" s="4">
        <v>282589013</v>
      </c>
      <c r="AE178" s="4">
        <v>20300715</v>
      </c>
      <c r="AG178" s="4" t="s">
        <v>635</v>
      </c>
      <c r="AH178" s="4" t="s">
        <v>636</v>
      </c>
      <c r="AI178" s="4" t="s">
        <v>170</v>
      </c>
    </row>
    <row r="179" spans="1:35" ht="37.5" x14ac:dyDescent="0.25">
      <c r="A179" s="10" t="s">
        <v>679</v>
      </c>
      <c r="B179" s="10"/>
      <c r="C179" s="16" t="s">
        <v>641</v>
      </c>
      <c r="D179" s="12"/>
      <c r="E179" s="12"/>
      <c r="F179" s="17" t="s">
        <v>173</v>
      </c>
      <c r="G179" s="18">
        <v>0.3</v>
      </c>
      <c r="H179" s="18"/>
      <c r="I179" s="18">
        <v>6.93</v>
      </c>
      <c r="J179" s="19">
        <v>1216.56</v>
      </c>
      <c r="M179" s="20">
        <f>ROUND(ROUND(J179, 2)*I179, 2)</f>
        <v>8430.76</v>
      </c>
      <c r="P179" s="19">
        <v>495.9</v>
      </c>
      <c r="S179" s="20">
        <f>ROUND(ROUND(P179, 2)*I179, 2)</f>
        <v>3436.59</v>
      </c>
      <c r="V179" s="9">
        <f>ROUND(ROUND(P179, 2)/1.2, 2)</f>
        <v>413.25</v>
      </c>
      <c r="Y179" s="9">
        <f t="shared" si="10"/>
        <v>2863.83</v>
      </c>
      <c r="AD179" s="4" t="s">
        <v>680</v>
      </c>
      <c r="AE179" s="4" t="s">
        <v>681</v>
      </c>
      <c r="AF179" s="4" t="s">
        <v>644</v>
      </c>
    </row>
    <row r="180" spans="1:35" ht="37.5" x14ac:dyDescent="0.25">
      <c r="A180" s="10" t="s">
        <v>682</v>
      </c>
      <c r="B180" s="10"/>
      <c r="C180" s="16" t="s">
        <v>383</v>
      </c>
      <c r="D180" s="12"/>
      <c r="E180" s="12"/>
      <c r="F180" s="17" t="s">
        <v>173</v>
      </c>
      <c r="G180" s="18">
        <v>0.15</v>
      </c>
      <c r="H180" s="18"/>
      <c r="I180" s="18">
        <v>3.4649999999999999</v>
      </c>
      <c r="J180" s="19">
        <v>88.8</v>
      </c>
      <c r="M180" s="20">
        <f>ROUND(ROUND(J180, 2)*I180, 2)</f>
        <v>307.69</v>
      </c>
      <c r="P180" s="19">
        <v>88.8</v>
      </c>
      <c r="S180" s="20">
        <f>ROUND(ROUND(P180, 2)*I180, 2)</f>
        <v>307.69</v>
      </c>
      <c r="V180" s="9">
        <f>ROUND(ROUND(P180, 2)/1.2, 2)</f>
        <v>74</v>
      </c>
      <c r="Y180" s="9">
        <f t="shared" ref="Y180:Y211" si="11">ROUND(S180 / 1.2, 2)</f>
        <v>256.41000000000003</v>
      </c>
      <c r="AD180" s="4" t="s">
        <v>683</v>
      </c>
      <c r="AE180" s="4" t="s">
        <v>684</v>
      </c>
      <c r="AF180" s="4" t="s">
        <v>386</v>
      </c>
    </row>
    <row r="181" spans="1:35" ht="112.5" x14ac:dyDescent="0.25">
      <c r="A181" s="10" t="s">
        <v>685</v>
      </c>
      <c r="B181" s="10" t="s">
        <v>632</v>
      </c>
      <c r="C181" s="11" t="s">
        <v>633</v>
      </c>
      <c r="D181" s="12"/>
      <c r="E181" s="12" t="s">
        <v>686</v>
      </c>
      <c r="F181" s="12" t="s">
        <v>59</v>
      </c>
      <c r="G181" s="13">
        <v>1</v>
      </c>
      <c r="H181" s="13"/>
      <c r="I181" s="13">
        <v>18.5</v>
      </c>
      <c r="J181" s="14">
        <f>IFERROR(ROUND(SUM(M182,M183)/I181, 2),0)</f>
        <v>378.29</v>
      </c>
      <c r="K181" s="15">
        <v>428</v>
      </c>
      <c r="L181" s="14">
        <f>J181+ROUND(K181, 2)</f>
        <v>806.29</v>
      </c>
      <c r="M181" s="14">
        <f>ROUND(J181*I181, 2)</f>
        <v>6998.37</v>
      </c>
      <c r="N181" s="14">
        <f>ROUND(I181*ROUND(K181, 2), 2)</f>
        <v>7918</v>
      </c>
      <c r="O181" s="14">
        <f>M181+N181</f>
        <v>14916.369999999999</v>
      </c>
      <c r="P181" s="14">
        <f>IFERROR(ROUND(SUM(S182,S183)/I181, 2),0)</f>
        <v>162.09</v>
      </c>
      <c r="Q181" s="15">
        <v>428</v>
      </c>
      <c r="R181" s="14">
        <f>P181+ROUND(Q181, 2)</f>
        <v>590.09</v>
      </c>
      <c r="S181" s="14">
        <f>ROUND(P181*I181, 2)</f>
        <v>2998.67</v>
      </c>
      <c r="T181" s="14">
        <f>ROUND(I181*ROUND(Q181, 2), 2)</f>
        <v>7918</v>
      </c>
      <c r="U181" s="14">
        <f>S181+T181</f>
        <v>10916.67</v>
      </c>
      <c r="V181" s="9">
        <f>ROUND(P181 / 1.2, 2)</f>
        <v>135.08000000000001</v>
      </c>
      <c r="W181" s="9">
        <f>ROUND(Q181 / 1.2, 2)</f>
        <v>356.67</v>
      </c>
      <c r="X181" s="9">
        <f>ROUND(R181 / 1.2, 2)</f>
        <v>491.74</v>
      </c>
      <c r="Y181" s="9">
        <f t="shared" si="11"/>
        <v>2498.89</v>
      </c>
      <c r="Z181" s="9">
        <f>ROUND(T181 / 1.2, 2)</f>
        <v>6598.33</v>
      </c>
      <c r="AA181" s="9">
        <f>Y181+Z181</f>
        <v>9097.2199999999993</v>
      </c>
      <c r="AD181" s="4">
        <v>282589014</v>
      </c>
      <c r="AE181" s="4">
        <v>20300709</v>
      </c>
      <c r="AG181" s="4" t="s">
        <v>635</v>
      </c>
      <c r="AH181" s="4" t="s">
        <v>636</v>
      </c>
      <c r="AI181" s="4" t="s">
        <v>170</v>
      </c>
    </row>
    <row r="182" spans="1:35" ht="37.5" x14ac:dyDescent="0.25">
      <c r="A182" s="10" t="s">
        <v>687</v>
      </c>
      <c r="B182" s="10"/>
      <c r="C182" s="16" t="s">
        <v>383</v>
      </c>
      <c r="D182" s="12"/>
      <c r="E182" s="12"/>
      <c r="F182" s="17" t="s">
        <v>173</v>
      </c>
      <c r="G182" s="18">
        <v>0.15</v>
      </c>
      <c r="H182" s="18"/>
      <c r="I182" s="18">
        <v>2.7749999999999999</v>
      </c>
      <c r="J182" s="19">
        <v>88.8</v>
      </c>
      <c r="M182" s="20">
        <f>ROUND(ROUND(J182, 2)*I182, 2)</f>
        <v>246.42</v>
      </c>
      <c r="P182" s="19">
        <v>88.8</v>
      </c>
      <c r="S182" s="20">
        <f>ROUND(ROUND(P182, 2)*I182, 2)</f>
        <v>246.42</v>
      </c>
      <c r="V182" s="9">
        <f>ROUND(ROUND(P182, 2)/1.2, 2)</f>
        <v>74</v>
      </c>
      <c r="Y182" s="9">
        <f t="shared" si="11"/>
        <v>205.35</v>
      </c>
      <c r="AD182" s="4" t="s">
        <v>688</v>
      </c>
      <c r="AE182" s="4" t="s">
        <v>689</v>
      </c>
      <c r="AF182" s="4" t="s">
        <v>386</v>
      </c>
    </row>
    <row r="183" spans="1:35" ht="37.5" x14ac:dyDescent="0.25">
      <c r="A183" s="10" t="s">
        <v>690</v>
      </c>
      <c r="B183" s="10"/>
      <c r="C183" s="16" t="s">
        <v>641</v>
      </c>
      <c r="D183" s="12"/>
      <c r="E183" s="12"/>
      <c r="F183" s="17" t="s">
        <v>173</v>
      </c>
      <c r="G183" s="18">
        <v>0.3</v>
      </c>
      <c r="H183" s="18"/>
      <c r="I183" s="18">
        <v>5.55</v>
      </c>
      <c r="J183" s="19">
        <v>1216.56</v>
      </c>
      <c r="M183" s="20">
        <f>ROUND(ROUND(J183, 2)*I183, 2)</f>
        <v>6751.91</v>
      </c>
      <c r="P183" s="19">
        <v>495.9</v>
      </c>
      <c r="S183" s="20">
        <f>ROUND(ROUND(P183, 2)*I183, 2)</f>
        <v>2752.25</v>
      </c>
      <c r="V183" s="9">
        <f>ROUND(ROUND(P183, 2)/1.2, 2)</f>
        <v>413.25</v>
      </c>
      <c r="Y183" s="9">
        <f t="shared" si="11"/>
        <v>2293.54</v>
      </c>
      <c r="AD183" s="4" t="s">
        <v>691</v>
      </c>
      <c r="AE183" s="4" t="s">
        <v>692</v>
      </c>
      <c r="AF183" s="4" t="s">
        <v>644</v>
      </c>
    </row>
    <row r="184" spans="1:35" ht="56.25" x14ac:dyDescent="0.25">
      <c r="A184" s="10" t="s">
        <v>693</v>
      </c>
      <c r="B184" s="10" t="s">
        <v>632</v>
      </c>
      <c r="C184" s="11" t="s">
        <v>633</v>
      </c>
      <c r="D184" s="12"/>
      <c r="E184" s="12" t="s">
        <v>694</v>
      </c>
      <c r="F184" s="12" t="s">
        <v>59</v>
      </c>
      <c r="G184" s="13">
        <v>1</v>
      </c>
      <c r="H184" s="13"/>
      <c r="I184" s="13">
        <v>253.5</v>
      </c>
      <c r="J184" s="14">
        <f>IFERROR(ROUND(SUM(M185,M186)/I184, 2),0)</f>
        <v>378.29</v>
      </c>
      <c r="K184" s="15">
        <v>428</v>
      </c>
      <c r="L184" s="14">
        <f>J184+ROUND(K184, 2)</f>
        <v>806.29</v>
      </c>
      <c r="M184" s="14">
        <f>ROUND(J184*I184, 2)</f>
        <v>95896.52</v>
      </c>
      <c r="N184" s="14">
        <f>ROUND(I184*ROUND(K184, 2), 2)</f>
        <v>108498</v>
      </c>
      <c r="O184" s="14">
        <f>M184+N184</f>
        <v>204394.52000000002</v>
      </c>
      <c r="P184" s="14">
        <f>IFERROR(ROUND(SUM(S185,S186)/I184, 2),0)</f>
        <v>162.09</v>
      </c>
      <c r="Q184" s="15">
        <v>428</v>
      </c>
      <c r="R184" s="14">
        <f>P184+ROUND(Q184, 2)</f>
        <v>590.09</v>
      </c>
      <c r="S184" s="14">
        <f>ROUND(P184*I184, 2)</f>
        <v>41089.82</v>
      </c>
      <c r="T184" s="14">
        <f>ROUND(I184*ROUND(Q184, 2), 2)</f>
        <v>108498</v>
      </c>
      <c r="U184" s="14">
        <f>S184+T184</f>
        <v>149587.82</v>
      </c>
      <c r="V184" s="9">
        <f>ROUND(P184 / 1.2, 2)</f>
        <v>135.08000000000001</v>
      </c>
      <c r="W184" s="9">
        <f>ROUND(Q184 / 1.2, 2)</f>
        <v>356.67</v>
      </c>
      <c r="X184" s="9">
        <f>ROUND(R184 / 1.2, 2)</f>
        <v>491.74</v>
      </c>
      <c r="Y184" s="9">
        <f t="shared" si="11"/>
        <v>34241.519999999997</v>
      </c>
      <c r="Z184" s="9">
        <f>ROUND(T184 / 1.2, 2)</f>
        <v>90415</v>
      </c>
      <c r="AA184" s="9">
        <f>Y184+Z184</f>
        <v>124656.51999999999</v>
      </c>
      <c r="AD184" s="4">
        <v>282589015</v>
      </c>
      <c r="AE184" s="4">
        <v>20300710</v>
      </c>
      <c r="AG184" s="4" t="s">
        <v>635</v>
      </c>
      <c r="AH184" s="4" t="s">
        <v>636</v>
      </c>
      <c r="AI184" s="4" t="s">
        <v>170</v>
      </c>
    </row>
    <row r="185" spans="1:35" ht="37.5" x14ac:dyDescent="0.25">
      <c r="A185" s="10" t="s">
        <v>695</v>
      </c>
      <c r="B185" s="10"/>
      <c r="C185" s="16" t="s">
        <v>641</v>
      </c>
      <c r="D185" s="12"/>
      <c r="E185" s="12"/>
      <c r="F185" s="17" t="s">
        <v>173</v>
      </c>
      <c r="G185" s="18">
        <v>0.3</v>
      </c>
      <c r="H185" s="18"/>
      <c r="I185" s="18">
        <v>76.05</v>
      </c>
      <c r="J185" s="19">
        <v>1216.56</v>
      </c>
      <c r="M185" s="20">
        <f>ROUND(ROUND(J185, 2)*I185, 2)</f>
        <v>92519.39</v>
      </c>
      <c r="P185" s="19">
        <v>495.9</v>
      </c>
      <c r="S185" s="20">
        <f>ROUND(ROUND(P185, 2)*I185, 2)</f>
        <v>37713.199999999997</v>
      </c>
      <c r="V185" s="9">
        <f>ROUND(ROUND(P185, 2)/1.2, 2)</f>
        <v>413.25</v>
      </c>
      <c r="Y185" s="9">
        <f t="shared" si="11"/>
        <v>31427.67</v>
      </c>
      <c r="AD185" s="4" t="s">
        <v>696</v>
      </c>
      <c r="AE185" s="4" t="s">
        <v>697</v>
      </c>
      <c r="AF185" s="4" t="s">
        <v>644</v>
      </c>
    </row>
    <row r="186" spans="1:35" ht="37.5" x14ac:dyDescent="0.25">
      <c r="A186" s="10" t="s">
        <v>698</v>
      </c>
      <c r="B186" s="10"/>
      <c r="C186" s="16" t="s">
        <v>383</v>
      </c>
      <c r="D186" s="12"/>
      <c r="E186" s="12"/>
      <c r="F186" s="17" t="s">
        <v>173</v>
      </c>
      <c r="G186" s="18">
        <v>0.15</v>
      </c>
      <c r="H186" s="18"/>
      <c r="I186" s="18">
        <v>38.024999999999999</v>
      </c>
      <c r="J186" s="19">
        <v>88.8</v>
      </c>
      <c r="M186" s="20">
        <f>ROUND(ROUND(J186, 2)*I186, 2)</f>
        <v>3376.62</v>
      </c>
      <c r="P186" s="19">
        <v>88.8</v>
      </c>
      <c r="S186" s="20">
        <f>ROUND(ROUND(P186, 2)*I186, 2)</f>
        <v>3376.62</v>
      </c>
      <c r="V186" s="9">
        <f>ROUND(ROUND(P186, 2)/1.2, 2)</f>
        <v>74</v>
      </c>
      <c r="Y186" s="9">
        <f t="shared" si="11"/>
        <v>2813.85</v>
      </c>
      <c r="AD186" s="4" t="s">
        <v>699</v>
      </c>
      <c r="AE186" s="4" t="s">
        <v>700</v>
      </c>
      <c r="AF186" s="4" t="s">
        <v>386</v>
      </c>
    </row>
    <row r="187" spans="1:35" ht="112.5" x14ac:dyDescent="0.25">
      <c r="A187" s="10" t="s">
        <v>701</v>
      </c>
      <c r="B187" s="10" t="s">
        <v>702</v>
      </c>
      <c r="C187" s="11" t="s">
        <v>703</v>
      </c>
      <c r="D187" s="12"/>
      <c r="E187" s="12" t="s">
        <v>704</v>
      </c>
      <c r="F187" s="12" t="s">
        <v>59</v>
      </c>
      <c r="G187" s="13">
        <v>1</v>
      </c>
      <c r="H187" s="13"/>
      <c r="I187" s="13">
        <v>170.8</v>
      </c>
      <c r="J187" s="14">
        <f>IFERROR(ROUND(SUM(M188,M189)/I187, 2),0)</f>
        <v>290.51</v>
      </c>
      <c r="K187" s="15">
        <v>472</v>
      </c>
      <c r="L187" s="14">
        <f>J187+ROUND(K187, 2)</f>
        <v>762.51</v>
      </c>
      <c r="M187" s="14">
        <f>ROUND(J187*I187, 2)</f>
        <v>49619.11</v>
      </c>
      <c r="N187" s="14">
        <f>ROUND(I187*ROUND(K187, 2), 2)</f>
        <v>80617.600000000006</v>
      </c>
      <c r="O187" s="14">
        <f>M187+N187</f>
        <v>130236.71</v>
      </c>
      <c r="P187" s="14">
        <f>IFERROR(ROUND(SUM(S188,S189)/I187, 2),0)</f>
        <v>157.65</v>
      </c>
      <c r="Q187" s="15">
        <v>472</v>
      </c>
      <c r="R187" s="14">
        <f>P187+ROUND(Q187, 2)</f>
        <v>629.65</v>
      </c>
      <c r="S187" s="14">
        <f>ROUND(P187*I187, 2)</f>
        <v>26926.62</v>
      </c>
      <c r="T187" s="14">
        <f>ROUND(I187*ROUND(Q187, 2), 2)</f>
        <v>80617.600000000006</v>
      </c>
      <c r="U187" s="14">
        <f>S187+T187</f>
        <v>107544.22</v>
      </c>
      <c r="V187" s="9">
        <f>ROUND(P187 / 1.2, 2)</f>
        <v>131.38</v>
      </c>
      <c r="W187" s="9">
        <f>ROUND(Q187 / 1.2, 2)</f>
        <v>393.33</v>
      </c>
      <c r="X187" s="9">
        <f>ROUND(R187 / 1.2, 2)</f>
        <v>524.71</v>
      </c>
      <c r="Y187" s="9">
        <f t="shared" si="11"/>
        <v>22438.85</v>
      </c>
      <c r="Z187" s="9">
        <f>ROUND(T187 / 1.2, 2)</f>
        <v>67181.33</v>
      </c>
      <c r="AA187" s="9">
        <f>Y187+Z187</f>
        <v>89620.18</v>
      </c>
      <c r="AD187" s="4">
        <v>282588961</v>
      </c>
      <c r="AE187" s="4">
        <v>20300711</v>
      </c>
      <c r="AG187" s="4" t="s">
        <v>705</v>
      </c>
      <c r="AH187" s="4" t="s">
        <v>706</v>
      </c>
      <c r="AI187" s="4" t="s">
        <v>170</v>
      </c>
    </row>
    <row r="188" spans="1:35" ht="18.75" x14ac:dyDescent="0.25">
      <c r="A188" s="10" t="s">
        <v>707</v>
      </c>
      <c r="B188" s="10"/>
      <c r="C188" s="16" t="s">
        <v>708</v>
      </c>
      <c r="D188" s="12"/>
      <c r="E188" s="12"/>
      <c r="F188" s="17" t="s">
        <v>173</v>
      </c>
      <c r="G188" s="18">
        <v>0.3</v>
      </c>
      <c r="H188" s="18"/>
      <c r="I188" s="18">
        <v>51.24</v>
      </c>
      <c r="J188" s="19">
        <v>938.78</v>
      </c>
      <c r="M188" s="20">
        <f>ROUND(ROUND(J188, 2)*I188, 2)</f>
        <v>48103.09</v>
      </c>
      <c r="P188" s="19">
        <v>495.9</v>
      </c>
      <c r="S188" s="20">
        <f>ROUND(ROUND(P188, 2)*I188, 2)</f>
        <v>25409.919999999998</v>
      </c>
      <c r="V188" s="9">
        <f>ROUND(ROUND(P188, 2)/1.2, 2)</f>
        <v>413.25</v>
      </c>
      <c r="Y188" s="9">
        <f t="shared" si="11"/>
        <v>21174.93</v>
      </c>
      <c r="AD188" s="4" t="s">
        <v>709</v>
      </c>
      <c r="AE188" s="4" t="s">
        <v>710</v>
      </c>
      <c r="AF188" s="4" t="s">
        <v>711</v>
      </c>
    </row>
    <row r="189" spans="1:35" ht="37.5" x14ac:dyDescent="0.25">
      <c r="A189" s="10" t="s">
        <v>712</v>
      </c>
      <c r="B189" s="10"/>
      <c r="C189" s="16" t="s">
        <v>383</v>
      </c>
      <c r="D189" s="12"/>
      <c r="E189" s="12"/>
      <c r="F189" s="17" t="s">
        <v>173</v>
      </c>
      <c r="G189" s="18">
        <v>0.1</v>
      </c>
      <c r="H189" s="18"/>
      <c r="I189" s="18">
        <v>17.079999999999998</v>
      </c>
      <c r="J189" s="19">
        <v>88.8</v>
      </c>
      <c r="M189" s="20">
        <f>ROUND(ROUND(J189, 2)*I189, 2)</f>
        <v>1516.7</v>
      </c>
      <c r="P189" s="19">
        <v>88.8</v>
      </c>
      <c r="S189" s="20">
        <f>ROUND(ROUND(P189, 2)*I189, 2)</f>
        <v>1516.7</v>
      </c>
      <c r="V189" s="9">
        <f>ROUND(ROUND(P189, 2)/1.2, 2)</f>
        <v>74</v>
      </c>
      <c r="Y189" s="9">
        <f t="shared" si="11"/>
        <v>1263.92</v>
      </c>
      <c r="AD189" s="4" t="s">
        <v>713</v>
      </c>
      <c r="AE189" s="4" t="s">
        <v>714</v>
      </c>
      <c r="AF189" s="4" t="s">
        <v>386</v>
      </c>
    </row>
    <row r="190" spans="1:35" ht="56.25" x14ac:dyDescent="0.25">
      <c r="A190" s="10" t="s">
        <v>715</v>
      </c>
      <c r="B190" s="10" t="s">
        <v>716</v>
      </c>
      <c r="C190" s="11" t="s">
        <v>717</v>
      </c>
      <c r="D190" s="12"/>
      <c r="E190" s="12" t="s">
        <v>718</v>
      </c>
      <c r="F190" s="12" t="s">
        <v>59</v>
      </c>
      <c r="G190" s="13">
        <v>1</v>
      </c>
      <c r="H190" s="13"/>
      <c r="I190" s="13">
        <v>1163</v>
      </c>
      <c r="J190" s="14">
        <f>IFERROR(ROUND(SUM(M191,M192,M193,M194)/I190, 2),0)</f>
        <v>1522.58</v>
      </c>
      <c r="K190" s="15">
        <v>2364</v>
      </c>
      <c r="L190" s="14">
        <f>J190+ROUND(K190, 2)</f>
        <v>3886.58</v>
      </c>
      <c r="M190" s="14">
        <f>ROUND(J190*I190, 2)</f>
        <v>1770760.54</v>
      </c>
      <c r="N190" s="14">
        <f>ROUND(I190*ROUND(K190, 2), 2)</f>
        <v>2749332</v>
      </c>
      <c r="O190" s="14">
        <f>M190+N190</f>
        <v>4520092.54</v>
      </c>
      <c r="P190" s="14">
        <f>IFERROR(ROUND(SUM(S191,S192,S193,S194)/I190, 2),0)</f>
        <v>624.15</v>
      </c>
      <c r="Q190" s="15">
        <v>2364</v>
      </c>
      <c r="R190" s="14">
        <f>P190+ROUND(Q190, 2)</f>
        <v>2988.15</v>
      </c>
      <c r="S190" s="14">
        <f>ROUND(P190*I190, 2)</f>
        <v>725886.45</v>
      </c>
      <c r="T190" s="14">
        <f>ROUND(I190*ROUND(Q190, 2), 2)</f>
        <v>2749332</v>
      </c>
      <c r="U190" s="14">
        <f>S190+T190</f>
        <v>3475218.45</v>
      </c>
      <c r="V190" s="9">
        <f>ROUND(P190 / 1.2, 2)</f>
        <v>520.13</v>
      </c>
      <c r="W190" s="9">
        <f>ROUND(Q190 / 1.2, 2)</f>
        <v>1970</v>
      </c>
      <c r="X190" s="9">
        <f>ROUND(R190 / 1.2, 2)</f>
        <v>2490.13</v>
      </c>
      <c r="Y190" s="9">
        <f t="shared" si="11"/>
        <v>604905.38</v>
      </c>
      <c r="Z190" s="9">
        <f>ROUND(T190 / 1.2, 2)</f>
        <v>2291110</v>
      </c>
      <c r="AA190" s="9">
        <f>Y190+Z190</f>
        <v>2896015.38</v>
      </c>
      <c r="AD190" s="4">
        <v>282588963</v>
      </c>
      <c r="AE190" s="4">
        <v>20336106</v>
      </c>
      <c r="AG190" s="4" t="s">
        <v>719</v>
      </c>
      <c r="AH190" s="4" t="s">
        <v>720</v>
      </c>
      <c r="AI190" s="4" t="s">
        <v>170</v>
      </c>
    </row>
    <row r="191" spans="1:35" ht="37.5" x14ac:dyDescent="0.25">
      <c r="A191" s="10" t="s">
        <v>721</v>
      </c>
      <c r="B191" s="10"/>
      <c r="C191" s="16" t="s">
        <v>432</v>
      </c>
      <c r="D191" s="12"/>
      <c r="E191" s="12"/>
      <c r="F191" s="17" t="s">
        <v>173</v>
      </c>
      <c r="G191" s="18">
        <v>0.25</v>
      </c>
      <c r="H191" s="22"/>
      <c r="I191" s="22">
        <v>290.75</v>
      </c>
      <c r="J191" s="19">
        <v>40.270000000000003</v>
      </c>
      <c r="M191" s="20">
        <f>ROUND(ROUND(J191, 2)*I191, 2)</f>
        <v>11708.5</v>
      </c>
      <c r="P191" s="19">
        <v>40.270000000000003</v>
      </c>
      <c r="S191" s="20">
        <f>ROUND(ROUND(P191, 2)*I191, 2)</f>
        <v>11708.5</v>
      </c>
      <c r="V191" s="9">
        <f>ROUND(ROUND(P191, 2)/1.2, 2)</f>
        <v>33.56</v>
      </c>
      <c r="Y191" s="9">
        <f t="shared" si="11"/>
        <v>9757.08</v>
      </c>
      <c r="AD191" s="4" t="s">
        <v>722</v>
      </c>
      <c r="AE191" s="4" t="s">
        <v>723</v>
      </c>
      <c r="AF191" s="4" t="s">
        <v>435</v>
      </c>
    </row>
    <row r="192" spans="1:35" ht="37.5" x14ac:dyDescent="0.25">
      <c r="A192" s="10" t="s">
        <v>724</v>
      </c>
      <c r="B192" s="10"/>
      <c r="C192" s="16" t="s">
        <v>725</v>
      </c>
      <c r="D192" s="12"/>
      <c r="E192" s="12"/>
      <c r="F192" s="17" t="s">
        <v>173</v>
      </c>
      <c r="G192" s="18">
        <v>0.15</v>
      </c>
      <c r="H192" s="18"/>
      <c r="I192" s="18">
        <v>174.45</v>
      </c>
      <c r="J192" s="19">
        <v>68.400000000000006</v>
      </c>
      <c r="M192" s="20">
        <f>ROUND(ROUND(J192, 2)*I192, 2)</f>
        <v>11932.38</v>
      </c>
      <c r="P192" s="19">
        <v>68.400000000000006</v>
      </c>
      <c r="S192" s="20">
        <f>ROUND(ROUND(P192, 2)*I192, 2)</f>
        <v>11932.38</v>
      </c>
      <c r="V192" s="9">
        <f>ROUND(ROUND(P192, 2)/1.2, 2)</f>
        <v>57</v>
      </c>
      <c r="Y192" s="9">
        <f t="shared" si="11"/>
        <v>9943.65</v>
      </c>
      <c r="AD192" s="4" t="s">
        <v>726</v>
      </c>
      <c r="AE192" s="4" t="s">
        <v>727</v>
      </c>
      <c r="AF192" s="4" t="s">
        <v>728</v>
      </c>
    </row>
    <row r="193" spans="1:35" ht="37.5" x14ac:dyDescent="0.25">
      <c r="A193" s="10" t="s">
        <v>729</v>
      </c>
      <c r="B193" s="10"/>
      <c r="C193" s="21" t="s">
        <v>446</v>
      </c>
      <c r="D193" s="12"/>
      <c r="E193" s="12"/>
      <c r="F193" s="17" t="s">
        <v>173</v>
      </c>
      <c r="G193" s="18">
        <v>1.2</v>
      </c>
      <c r="H193" s="22"/>
      <c r="I193" s="22">
        <v>1395.6</v>
      </c>
      <c r="J193" s="19">
        <v>16.96</v>
      </c>
      <c r="M193" s="20">
        <f>ROUND(ROUND(J193, 2)*I193, 2)</f>
        <v>23669.38</v>
      </c>
      <c r="P193" s="19">
        <v>16.96</v>
      </c>
      <c r="S193" s="20">
        <f>ROUND(ROUND(P193, 2)*I193, 2)</f>
        <v>23669.38</v>
      </c>
      <c r="V193" s="9">
        <f>ROUND(ROUND(P193, 2)/1.2, 2)</f>
        <v>14.13</v>
      </c>
      <c r="Y193" s="9">
        <f t="shared" si="11"/>
        <v>19724.48</v>
      </c>
      <c r="AD193" s="4" t="s">
        <v>730</v>
      </c>
      <c r="AE193" s="4" t="s">
        <v>731</v>
      </c>
      <c r="AF193" s="4" t="s">
        <v>449</v>
      </c>
    </row>
    <row r="194" spans="1:35" ht="93.75" x14ac:dyDescent="0.25">
      <c r="A194" s="10" t="s">
        <v>732</v>
      </c>
      <c r="B194" s="10"/>
      <c r="C194" s="21" t="s">
        <v>733</v>
      </c>
      <c r="D194" s="12"/>
      <c r="E194" s="12" t="s">
        <v>427</v>
      </c>
      <c r="F194" s="17" t="s">
        <v>59</v>
      </c>
      <c r="G194" s="18">
        <v>1.07</v>
      </c>
      <c r="H194" s="22"/>
      <c r="I194" s="22">
        <v>1244.4100000000001</v>
      </c>
      <c r="J194" s="19">
        <v>1384.95</v>
      </c>
      <c r="M194" s="20">
        <f>ROUND(ROUND(J194, 2)*I194, 2)</f>
        <v>1723445.63</v>
      </c>
      <c r="P194" s="19">
        <v>545.29999999999995</v>
      </c>
      <c r="S194" s="20">
        <f>ROUND(ROUND(P194, 2)*I194, 2)</f>
        <v>678576.77</v>
      </c>
      <c r="V194" s="9">
        <f>ROUND(ROUND(P194, 2)/1.2, 2)</f>
        <v>454.42</v>
      </c>
      <c r="Y194" s="9">
        <f t="shared" si="11"/>
        <v>565480.64</v>
      </c>
      <c r="AD194" s="4" t="s">
        <v>734</v>
      </c>
      <c r="AE194" s="4" t="s">
        <v>735</v>
      </c>
      <c r="AF194" s="4" t="s">
        <v>736</v>
      </c>
    </row>
    <row r="195" spans="1:35" ht="56.25" x14ac:dyDescent="0.25">
      <c r="A195" s="10" t="s">
        <v>737</v>
      </c>
      <c r="B195" s="10" t="s">
        <v>716</v>
      </c>
      <c r="C195" s="11" t="s">
        <v>717</v>
      </c>
      <c r="D195" s="12"/>
      <c r="E195" s="12" t="s">
        <v>738</v>
      </c>
      <c r="F195" s="12" t="s">
        <v>59</v>
      </c>
      <c r="G195" s="13">
        <v>1</v>
      </c>
      <c r="H195" s="13"/>
      <c r="I195" s="13">
        <v>593.5</v>
      </c>
      <c r="J195" s="14">
        <f>IFERROR(ROUND(SUM(M196,M197,M198,M199)/I195, 2),0)</f>
        <v>1051.83</v>
      </c>
      <c r="K195" s="15">
        <v>2364</v>
      </c>
      <c r="L195" s="14">
        <f>J195+ROUND(K195, 2)</f>
        <v>3415.83</v>
      </c>
      <c r="M195" s="14">
        <f>ROUND(J195*I195, 2)</f>
        <v>624261.11</v>
      </c>
      <c r="N195" s="14">
        <f>ROUND(I195*ROUND(K195, 2), 2)</f>
        <v>1403034</v>
      </c>
      <c r="O195" s="14">
        <f>M195+N195</f>
        <v>2027295.1099999999</v>
      </c>
      <c r="P195" s="14">
        <f>IFERROR(ROUND(SUM(S196,S197,S198,S199)/I195, 2),0)</f>
        <v>1051.83</v>
      </c>
      <c r="Q195" s="15">
        <v>2364</v>
      </c>
      <c r="R195" s="14">
        <f>P195+ROUND(Q195, 2)</f>
        <v>3415.83</v>
      </c>
      <c r="S195" s="14">
        <f>ROUND(P195*I195, 2)</f>
        <v>624261.11</v>
      </c>
      <c r="T195" s="14">
        <f>ROUND(I195*ROUND(Q195, 2), 2)</f>
        <v>1403034</v>
      </c>
      <c r="U195" s="14">
        <f>S195+T195</f>
        <v>2027295.1099999999</v>
      </c>
      <c r="V195" s="9">
        <f>ROUND(P195 / 1.2, 2)</f>
        <v>876.53</v>
      </c>
      <c r="W195" s="9">
        <f>ROUND(Q195 / 1.2, 2)</f>
        <v>1970</v>
      </c>
      <c r="X195" s="9">
        <f>ROUND(R195 / 1.2, 2)</f>
        <v>2846.53</v>
      </c>
      <c r="Y195" s="9">
        <f t="shared" si="11"/>
        <v>520217.59</v>
      </c>
      <c r="Z195" s="9">
        <f>ROUND(T195 / 1.2, 2)</f>
        <v>1169195</v>
      </c>
      <c r="AA195" s="9">
        <f>Y195+Z195</f>
        <v>1689412.59</v>
      </c>
      <c r="AD195" s="4">
        <v>282589016</v>
      </c>
      <c r="AE195" s="4">
        <v>20867052</v>
      </c>
      <c r="AG195" s="4" t="s">
        <v>719</v>
      </c>
      <c r="AH195" s="4" t="s">
        <v>720</v>
      </c>
      <c r="AI195" s="4" t="s">
        <v>170</v>
      </c>
    </row>
    <row r="196" spans="1:35" ht="37.5" x14ac:dyDescent="0.25">
      <c r="A196" s="10" t="s">
        <v>739</v>
      </c>
      <c r="B196" s="10"/>
      <c r="C196" s="21" t="s">
        <v>740</v>
      </c>
      <c r="D196" s="12"/>
      <c r="E196" s="12"/>
      <c r="F196" s="17" t="s">
        <v>59</v>
      </c>
      <c r="G196" s="18">
        <v>1.07</v>
      </c>
      <c r="H196" s="22"/>
      <c r="I196" s="22">
        <v>635.04499999999996</v>
      </c>
      <c r="J196" s="19">
        <v>945</v>
      </c>
      <c r="M196" s="20">
        <f>ROUND(ROUND(J196, 2)*I196, 2)</f>
        <v>600117.53</v>
      </c>
      <c r="P196" s="19">
        <v>945</v>
      </c>
      <c r="S196" s="20">
        <f>ROUND(ROUND(P196, 2)*I196, 2)</f>
        <v>600117.53</v>
      </c>
      <c r="V196" s="9">
        <f>ROUND(ROUND(P196, 2)/1.2, 2)</f>
        <v>787.5</v>
      </c>
      <c r="Y196" s="9">
        <f t="shared" si="11"/>
        <v>500097.94</v>
      </c>
      <c r="AD196" s="4" t="s">
        <v>741</v>
      </c>
      <c r="AE196" s="4" t="s">
        <v>742</v>
      </c>
      <c r="AF196" s="4" t="s">
        <v>743</v>
      </c>
    </row>
    <row r="197" spans="1:35" ht="37.5" x14ac:dyDescent="0.25">
      <c r="A197" s="10" t="s">
        <v>744</v>
      </c>
      <c r="B197" s="10"/>
      <c r="C197" s="21" t="s">
        <v>446</v>
      </c>
      <c r="D197" s="12"/>
      <c r="E197" s="12"/>
      <c r="F197" s="17" t="s">
        <v>173</v>
      </c>
      <c r="G197" s="18">
        <v>1.2</v>
      </c>
      <c r="H197" s="22"/>
      <c r="I197" s="22">
        <v>712.2</v>
      </c>
      <c r="J197" s="19">
        <v>16.96</v>
      </c>
      <c r="M197" s="20">
        <f>ROUND(ROUND(J197, 2)*I197, 2)</f>
        <v>12078.91</v>
      </c>
      <c r="P197" s="19">
        <v>16.96</v>
      </c>
      <c r="S197" s="20">
        <f>ROUND(ROUND(P197, 2)*I197, 2)</f>
        <v>12078.91</v>
      </c>
      <c r="V197" s="9">
        <f>ROUND(ROUND(P197, 2)/1.2, 2)</f>
        <v>14.13</v>
      </c>
      <c r="Y197" s="9">
        <f t="shared" si="11"/>
        <v>10065.76</v>
      </c>
      <c r="AD197" s="4" t="s">
        <v>745</v>
      </c>
      <c r="AE197" s="4" t="s">
        <v>746</v>
      </c>
      <c r="AF197" s="4" t="s">
        <v>449</v>
      </c>
    </row>
    <row r="198" spans="1:35" ht="37.5" x14ac:dyDescent="0.25">
      <c r="A198" s="10" t="s">
        <v>747</v>
      </c>
      <c r="B198" s="10"/>
      <c r="C198" s="16" t="s">
        <v>725</v>
      </c>
      <c r="D198" s="12"/>
      <c r="E198" s="12"/>
      <c r="F198" s="17" t="s">
        <v>173</v>
      </c>
      <c r="G198" s="18">
        <v>0.15</v>
      </c>
      <c r="H198" s="18"/>
      <c r="I198" s="18">
        <v>89.025000000000006</v>
      </c>
      <c r="J198" s="19">
        <v>68.400000000000006</v>
      </c>
      <c r="M198" s="20">
        <f>ROUND(ROUND(J198, 2)*I198, 2)</f>
        <v>6089.31</v>
      </c>
      <c r="P198" s="19">
        <v>68.400000000000006</v>
      </c>
      <c r="S198" s="20">
        <f>ROUND(ROUND(P198, 2)*I198, 2)</f>
        <v>6089.31</v>
      </c>
      <c r="V198" s="9">
        <f>ROUND(ROUND(P198, 2)/1.2, 2)</f>
        <v>57</v>
      </c>
      <c r="Y198" s="9">
        <f t="shared" si="11"/>
        <v>5074.43</v>
      </c>
      <c r="AD198" s="4" t="s">
        <v>748</v>
      </c>
      <c r="AE198" s="4" t="s">
        <v>749</v>
      </c>
      <c r="AF198" s="4" t="s">
        <v>728</v>
      </c>
    </row>
    <row r="199" spans="1:35" ht="37.5" x14ac:dyDescent="0.25">
      <c r="A199" s="10" t="s">
        <v>750</v>
      </c>
      <c r="B199" s="10"/>
      <c r="C199" s="16" t="s">
        <v>432</v>
      </c>
      <c r="D199" s="12"/>
      <c r="E199" s="12"/>
      <c r="F199" s="17" t="s">
        <v>173</v>
      </c>
      <c r="G199" s="18">
        <v>0.25</v>
      </c>
      <c r="H199" s="22"/>
      <c r="I199" s="22">
        <v>148.375</v>
      </c>
      <c r="J199" s="19">
        <v>40.270000000000003</v>
      </c>
      <c r="M199" s="20">
        <f>ROUND(ROUND(J199, 2)*I199, 2)</f>
        <v>5975.06</v>
      </c>
      <c r="P199" s="19">
        <v>40.270000000000003</v>
      </c>
      <c r="S199" s="20">
        <f>ROUND(ROUND(P199, 2)*I199, 2)</f>
        <v>5975.06</v>
      </c>
      <c r="V199" s="9">
        <f>ROUND(ROUND(P199, 2)/1.2, 2)</f>
        <v>33.56</v>
      </c>
      <c r="Y199" s="9">
        <f t="shared" si="11"/>
        <v>4979.22</v>
      </c>
      <c r="AD199" s="4" t="s">
        <v>751</v>
      </c>
      <c r="AE199" s="4" t="s">
        <v>752</v>
      </c>
      <c r="AF199" s="4" t="s">
        <v>435</v>
      </c>
    </row>
    <row r="200" spans="1:35" ht="56.25" x14ac:dyDescent="0.25">
      <c r="A200" s="10" t="s">
        <v>753</v>
      </c>
      <c r="B200" s="10" t="s">
        <v>716</v>
      </c>
      <c r="C200" s="11" t="s">
        <v>717</v>
      </c>
      <c r="D200" s="12"/>
      <c r="E200" s="12" t="s">
        <v>754</v>
      </c>
      <c r="F200" s="12" t="s">
        <v>59</v>
      </c>
      <c r="G200" s="13">
        <v>1</v>
      </c>
      <c r="H200" s="13"/>
      <c r="I200" s="13">
        <v>46</v>
      </c>
      <c r="J200" s="14">
        <f>IFERROR(ROUND(SUM(M201,M202,M203,M204)/I200, 2),0)</f>
        <v>1522.58</v>
      </c>
      <c r="K200" s="15">
        <v>2364</v>
      </c>
      <c r="L200" s="14">
        <f>J200+ROUND(K200, 2)</f>
        <v>3886.58</v>
      </c>
      <c r="M200" s="14">
        <f>ROUND(J200*I200, 2)</f>
        <v>70038.679999999993</v>
      </c>
      <c r="N200" s="14">
        <f>ROUND(I200*ROUND(K200, 2), 2)</f>
        <v>108744</v>
      </c>
      <c r="O200" s="14">
        <f>M200+N200</f>
        <v>178782.68</v>
      </c>
      <c r="P200" s="14">
        <f>IFERROR(ROUND(SUM(S201,S202,S203,S204)/I200, 2),0)</f>
        <v>1522.58</v>
      </c>
      <c r="Q200" s="15">
        <v>2364</v>
      </c>
      <c r="R200" s="14">
        <f>P200+ROUND(Q200, 2)</f>
        <v>3886.58</v>
      </c>
      <c r="S200" s="14">
        <f>ROUND(P200*I200, 2)</f>
        <v>70038.679999999993</v>
      </c>
      <c r="T200" s="14">
        <f>ROUND(I200*ROUND(Q200, 2), 2)</f>
        <v>108744</v>
      </c>
      <c r="U200" s="14">
        <f>S200+T200</f>
        <v>178782.68</v>
      </c>
      <c r="V200" s="9">
        <f>ROUND(P200 / 1.2, 2)</f>
        <v>1268.82</v>
      </c>
      <c r="W200" s="9">
        <f>ROUND(Q200 / 1.2, 2)</f>
        <v>1970</v>
      </c>
      <c r="X200" s="9">
        <f>ROUND(R200 / 1.2, 2)</f>
        <v>3238.82</v>
      </c>
      <c r="Y200" s="9">
        <f t="shared" si="11"/>
        <v>58365.57</v>
      </c>
      <c r="Z200" s="9">
        <f>ROUND(T200 / 1.2, 2)</f>
        <v>90620</v>
      </c>
      <c r="AA200" s="9">
        <f>Y200+Z200</f>
        <v>148985.57</v>
      </c>
      <c r="AD200" s="4">
        <v>282589017</v>
      </c>
      <c r="AE200" s="4">
        <v>20867050</v>
      </c>
      <c r="AG200" s="4" t="s">
        <v>719</v>
      </c>
      <c r="AH200" s="4" t="s">
        <v>720</v>
      </c>
      <c r="AI200" s="4" t="s">
        <v>170</v>
      </c>
    </row>
    <row r="201" spans="1:35" ht="37.5" x14ac:dyDescent="0.25">
      <c r="A201" s="10" t="s">
        <v>755</v>
      </c>
      <c r="B201" s="10"/>
      <c r="C201" s="16" t="s">
        <v>432</v>
      </c>
      <c r="D201" s="12"/>
      <c r="E201" s="12"/>
      <c r="F201" s="17" t="s">
        <v>173</v>
      </c>
      <c r="G201" s="18">
        <v>0.25</v>
      </c>
      <c r="H201" s="22"/>
      <c r="I201" s="22">
        <v>11.5</v>
      </c>
      <c r="J201" s="19">
        <v>40.270000000000003</v>
      </c>
      <c r="M201" s="20">
        <f>ROUND(ROUND(J201, 2)*I201, 2)</f>
        <v>463.11</v>
      </c>
      <c r="P201" s="19">
        <v>40.270000000000003</v>
      </c>
      <c r="S201" s="20">
        <f>ROUND(ROUND(P201, 2)*I201, 2)</f>
        <v>463.11</v>
      </c>
      <c r="V201" s="9">
        <f>ROUND(ROUND(P201, 2)/1.2, 2)</f>
        <v>33.56</v>
      </c>
      <c r="Y201" s="9">
        <f t="shared" si="11"/>
        <v>385.93</v>
      </c>
      <c r="AD201" s="4" t="s">
        <v>756</v>
      </c>
      <c r="AE201" s="4" t="s">
        <v>757</v>
      </c>
      <c r="AF201" s="4" t="s">
        <v>435</v>
      </c>
    </row>
    <row r="202" spans="1:35" ht="37.5" x14ac:dyDescent="0.25">
      <c r="A202" s="10" t="s">
        <v>758</v>
      </c>
      <c r="B202" s="10"/>
      <c r="C202" s="16" t="s">
        <v>725</v>
      </c>
      <c r="D202" s="12"/>
      <c r="E202" s="12"/>
      <c r="F202" s="17" t="s">
        <v>173</v>
      </c>
      <c r="G202" s="18">
        <v>0.15</v>
      </c>
      <c r="H202" s="18"/>
      <c r="I202" s="18">
        <v>6.9</v>
      </c>
      <c r="J202" s="19">
        <v>68.400000000000006</v>
      </c>
      <c r="M202" s="20">
        <f>ROUND(ROUND(J202, 2)*I202, 2)</f>
        <v>471.96</v>
      </c>
      <c r="P202" s="19">
        <v>68.400000000000006</v>
      </c>
      <c r="S202" s="20">
        <f>ROUND(ROUND(P202, 2)*I202, 2)</f>
        <v>471.96</v>
      </c>
      <c r="V202" s="9">
        <f>ROUND(ROUND(P202, 2)/1.2, 2)</f>
        <v>57</v>
      </c>
      <c r="Y202" s="9">
        <f t="shared" si="11"/>
        <v>393.3</v>
      </c>
      <c r="AD202" s="4" t="s">
        <v>759</v>
      </c>
      <c r="AE202" s="4" t="s">
        <v>760</v>
      </c>
      <c r="AF202" s="4" t="s">
        <v>728</v>
      </c>
    </row>
    <row r="203" spans="1:35" ht="37.5" x14ac:dyDescent="0.25">
      <c r="A203" s="10" t="s">
        <v>761</v>
      </c>
      <c r="B203" s="10"/>
      <c r="C203" s="21" t="s">
        <v>446</v>
      </c>
      <c r="D203" s="12"/>
      <c r="E203" s="12"/>
      <c r="F203" s="17" t="s">
        <v>173</v>
      </c>
      <c r="G203" s="18">
        <v>1.2</v>
      </c>
      <c r="H203" s="22"/>
      <c r="I203" s="22">
        <v>55.2</v>
      </c>
      <c r="J203" s="19">
        <v>16.96</v>
      </c>
      <c r="M203" s="20">
        <f>ROUND(ROUND(J203, 2)*I203, 2)</f>
        <v>936.19</v>
      </c>
      <c r="P203" s="19">
        <v>16.96</v>
      </c>
      <c r="S203" s="20">
        <f>ROUND(ROUND(P203, 2)*I203, 2)</f>
        <v>936.19</v>
      </c>
      <c r="V203" s="9">
        <f>ROUND(ROUND(P203, 2)/1.2, 2)</f>
        <v>14.13</v>
      </c>
      <c r="Y203" s="9">
        <f t="shared" si="11"/>
        <v>780.16</v>
      </c>
      <c r="AD203" s="4" t="s">
        <v>762</v>
      </c>
      <c r="AE203" s="4" t="s">
        <v>763</v>
      </c>
      <c r="AF203" s="4" t="s">
        <v>449</v>
      </c>
    </row>
    <row r="204" spans="1:35" ht="37.5" x14ac:dyDescent="0.25">
      <c r="A204" s="10" t="s">
        <v>764</v>
      </c>
      <c r="B204" s="10"/>
      <c r="C204" s="21" t="s">
        <v>733</v>
      </c>
      <c r="D204" s="12"/>
      <c r="E204" s="12"/>
      <c r="F204" s="17" t="s">
        <v>59</v>
      </c>
      <c r="G204" s="18">
        <v>1.07</v>
      </c>
      <c r="H204" s="22"/>
      <c r="I204" s="22">
        <v>49.22</v>
      </c>
      <c r="J204" s="19">
        <v>1384.95</v>
      </c>
      <c r="M204" s="20">
        <f>ROUND(ROUND(J204, 2)*I204, 2)</f>
        <v>68167.240000000005</v>
      </c>
      <c r="P204" s="19">
        <v>1384.95</v>
      </c>
      <c r="S204" s="20">
        <f>ROUND(ROUND(P204, 2)*I204, 2)</f>
        <v>68167.240000000005</v>
      </c>
      <c r="V204" s="9">
        <f>ROUND(ROUND(P204, 2)/1.2, 2)</f>
        <v>1154.1300000000001</v>
      </c>
      <c r="Y204" s="9">
        <f t="shared" si="11"/>
        <v>56806.03</v>
      </c>
      <c r="AD204" s="4" t="s">
        <v>765</v>
      </c>
      <c r="AE204" s="4" t="s">
        <v>766</v>
      </c>
      <c r="AF204" s="4" t="s">
        <v>736</v>
      </c>
    </row>
    <row r="205" spans="1:35" ht="56.25" x14ac:dyDescent="0.25">
      <c r="A205" s="10" t="s">
        <v>767</v>
      </c>
      <c r="B205" s="10" t="s">
        <v>768</v>
      </c>
      <c r="C205" s="11" t="s">
        <v>769</v>
      </c>
      <c r="D205" s="12"/>
      <c r="E205" s="12" t="s">
        <v>770</v>
      </c>
      <c r="F205" s="12" t="s">
        <v>59</v>
      </c>
      <c r="G205" s="13">
        <v>1</v>
      </c>
      <c r="H205" s="13"/>
      <c r="I205" s="13">
        <v>320.39999999999998</v>
      </c>
      <c r="J205" s="14">
        <f>IFERROR(ROUND(SUM(M206,M207,M208,M209)/I205, 2),0)</f>
        <v>2282.5300000000002</v>
      </c>
      <c r="K205" s="15">
        <v>2983</v>
      </c>
      <c r="L205" s="14">
        <f>J205+ROUND(K205, 2)</f>
        <v>5265.5300000000007</v>
      </c>
      <c r="M205" s="14">
        <f>ROUND(J205*I205, 2)</f>
        <v>731322.61</v>
      </c>
      <c r="N205" s="14">
        <f>ROUND(I205*ROUND(K205, 2), 2)</f>
        <v>955753.2</v>
      </c>
      <c r="O205" s="14">
        <f>M205+N205</f>
        <v>1687075.81</v>
      </c>
      <c r="P205" s="14">
        <f>IFERROR(ROUND(SUM(S206,S207,S208,S209)/I205, 2),0)</f>
        <v>1253.43</v>
      </c>
      <c r="Q205" s="15">
        <v>2983</v>
      </c>
      <c r="R205" s="14">
        <f>P205+ROUND(Q205, 2)</f>
        <v>4236.43</v>
      </c>
      <c r="S205" s="14">
        <f>ROUND(P205*I205, 2)</f>
        <v>401598.97</v>
      </c>
      <c r="T205" s="14">
        <f>ROUND(I205*ROUND(Q205, 2), 2)</f>
        <v>955753.2</v>
      </c>
      <c r="U205" s="14">
        <f>S205+T205</f>
        <v>1357352.17</v>
      </c>
      <c r="V205" s="9">
        <f>ROUND(P205 / 1.2, 2)</f>
        <v>1044.53</v>
      </c>
      <c r="W205" s="9">
        <f>ROUND(Q205 / 1.2, 2)</f>
        <v>2485.83</v>
      </c>
      <c r="X205" s="9">
        <f>ROUND(R205 / 1.2, 2)</f>
        <v>3530.36</v>
      </c>
      <c r="Y205" s="9">
        <f t="shared" si="11"/>
        <v>334665.81</v>
      </c>
      <c r="Z205" s="9">
        <f>ROUND(T205 / 1.2, 2)</f>
        <v>796461</v>
      </c>
      <c r="AA205" s="9">
        <f>Y205+Z205</f>
        <v>1131126.81</v>
      </c>
      <c r="AD205" s="4">
        <v>282588964</v>
      </c>
      <c r="AE205" s="4">
        <v>20335430</v>
      </c>
      <c r="AG205" s="4" t="s">
        <v>771</v>
      </c>
      <c r="AH205" s="4" t="s">
        <v>772</v>
      </c>
      <c r="AI205" s="4" t="s">
        <v>170</v>
      </c>
    </row>
    <row r="206" spans="1:35" ht="75" x14ac:dyDescent="0.25">
      <c r="A206" s="10" t="s">
        <v>773</v>
      </c>
      <c r="B206" s="10"/>
      <c r="C206" s="21" t="s">
        <v>774</v>
      </c>
      <c r="D206" s="12"/>
      <c r="E206" s="12" t="s">
        <v>775</v>
      </c>
      <c r="F206" s="17" t="s">
        <v>59</v>
      </c>
      <c r="G206" s="18">
        <v>1.1000000000000001</v>
      </c>
      <c r="H206" s="22"/>
      <c r="I206" s="22">
        <v>352.44</v>
      </c>
      <c r="J206" s="19">
        <v>2038.05</v>
      </c>
      <c r="M206" s="20">
        <f>ROUND(ROUND(J206, 2)*I206, 2)</f>
        <v>718290.34</v>
      </c>
      <c r="P206" s="19">
        <v>1102.5</v>
      </c>
      <c r="S206" s="20">
        <f>ROUND(ROUND(P206, 2)*I206, 2)</f>
        <v>388565.1</v>
      </c>
      <c r="V206" s="9">
        <f>ROUND(ROUND(P206, 2)/1.2, 2)</f>
        <v>918.75</v>
      </c>
      <c r="Y206" s="9">
        <f t="shared" si="11"/>
        <v>323804.25</v>
      </c>
      <c r="AD206" s="4" t="s">
        <v>776</v>
      </c>
      <c r="AE206" s="4" t="s">
        <v>777</v>
      </c>
      <c r="AF206" s="4" t="s">
        <v>778</v>
      </c>
    </row>
    <row r="207" spans="1:35" ht="37.5" x14ac:dyDescent="0.25">
      <c r="A207" s="10" t="s">
        <v>779</v>
      </c>
      <c r="B207" s="10"/>
      <c r="C207" s="21" t="s">
        <v>446</v>
      </c>
      <c r="D207" s="12"/>
      <c r="E207" s="12"/>
      <c r="F207" s="17" t="s">
        <v>173</v>
      </c>
      <c r="G207" s="18">
        <v>1.2</v>
      </c>
      <c r="H207" s="22"/>
      <c r="I207" s="22">
        <v>384.48</v>
      </c>
      <c r="J207" s="19">
        <v>16.96</v>
      </c>
      <c r="M207" s="20">
        <f>ROUND(ROUND(J207, 2)*I207, 2)</f>
        <v>6520.78</v>
      </c>
      <c r="P207" s="19">
        <v>16.96</v>
      </c>
      <c r="S207" s="20">
        <f>ROUND(ROUND(P207, 2)*I207, 2)</f>
        <v>6520.78</v>
      </c>
      <c r="V207" s="9">
        <f>ROUND(ROUND(P207, 2)/1.2, 2)</f>
        <v>14.13</v>
      </c>
      <c r="Y207" s="9">
        <f t="shared" si="11"/>
        <v>5433.98</v>
      </c>
      <c r="AD207" s="4" t="s">
        <v>780</v>
      </c>
      <c r="AE207" s="4" t="s">
        <v>781</v>
      </c>
      <c r="AF207" s="4" t="s">
        <v>449</v>
      </c>
    </row>
    <row r="208" spans="1:35" ht="37.5" x14ac:dyDescent="0.25">
      <c r="A208" s="10" t="s">
        <v>782</v>
      </c>
      <c r="B208" s="10"/>
      <c r="C208" s="16" t="s">
        <v>432</v>
      </c>
      <c r="D208" s="12"/>
      <c r="E208" s="12"/>
      <c r="F208" s="17" t="s">
        <v>173</v>
      </c>
      <c r="G208" s="18">
        <v>0.25</v>
      </c>
      <c r="H208" s="22"/>
      <c r="I208" s="22">
        <v>80.099999999999994</v>
      </c>
      <c r="J208" s="19">
        <v>40.270000000000003</v>
      </c>
      <c r="M208" s="20">
        <f>ROUND(ROUND(J208, 2)*I208, 2)</f>
        <v>3225.63</v>
      </c>
      <c r="P208" s="19">
        <v>40.270000000000003</v>
      </c>
      <c r="S208" s="20">
        <f>ROUND(ROUND(P208, 2)*I208, 2)</f>
        <v>3225.63</v>
      </c>
      <c r="V208" s="9">
        <f>ROUND(ROUND(P208, 2)/1.2, 2)</f>
        <v>33.56</v>
      </c>
      <c r="Y208" s="9">
        <f t="shared" si="11"/>
        <v>2688.03</v>
      </c>
      <c r="AD208" s="4" t="s">
        <v>783</v>
      </c>
      <c r="AE208" s="4" t="s">
        <v>784</v>
      </c>
      <c r="AF208" s="4" t="s">
        <v>435</v>
      </c>
    </row>
    <row r="209" spans="1:35" ht="37.5" x14ac:dyDescent="0.25">
      <c r="A209" s="10" t="s">
        <v>785</v>
      </c>
      <c r="B209" s="10"/>
      <c r="C209" s="16" t="s">
        <v>725</v>
      </c>
      <c r="D209" s="12"/>
      <c r="E209" s="12"/>
      <c r="F209" s="17" t="s">
        <v>173</v>
      </c>
      <c r="G209" s="18">
        <v>0.15</v>
      </c>
      <c r="H209" s="18"/>
      <c r="I209" s="18">
        <v>48.06</v>
      </c>
      <c r="J209" s="19">
        <v>68.400000000000006</v>
      </c>
      <c r="M209" s="20">
        <f>ROUND(ROUND(J209, 2)*I209, 2)</f>
        <v>3287.3</v>
      </c>
      <c r="P209" s="19">
        <v>68.400000000000006</v>
      </c>
      <c r="S209" s="20">
        <f>ROUND(ROUND(P209, 2)*I209, 2)</f>
        <v>3287.3</v>
      </c>
      <c r="V209" s="9">
        <f>ROUND(ROUND(P209, 2)/1.2, 2)</f>
        <v>57</v>
      </c>
      <c r="Y209" s="9">
        <f t="shared" si="11"/>
        <v>2739.42</v>
      </c>
      <c r="AD209" s="4" t="s">
        <v>786</v>
      </c>
      <c r="AE209" s="4" t="s">
        <v>787</v>
      </c>
      <c r="AF209" s="4" t="s">
        <v>728</v>
      </c>
    </row>
    <row r="210" spans="1:35" ht="56.25" x14ac:dyDescent="0.25">
      <c r="A210" s="10" t="s">
        <v>788</v>
      </c>
      <c r="B210" s="10" t="s">
        <v>768</v>
      </c>
      <c r="C210" s="11" t="s">
        <v>769</v>
      </c>
      <c r="D210" s="12"/>
      <c r="E210" s="12" t="s">
        <v>789</v>
      </c>
      <c r="F210" s="12" t="s">
        <v>59</v>
      </c>
      <c r="G210" s="13">
        <v>1</v>
      </c>
      <c r="H210" s="13"/>
      <c r="I210" s="13">
        <v>249.1</v>
      </c>
      <c r="J210" s="14">
        <f>IFERROR(ROUND(SUM(M211,M212,M213,M214)/I210, 2),0)</f>
        <v>2282.5300000000002</v>
      </c>
      <c r="K210" s="15">
        <v>2983</v>
      </c>
      <c r="L210" s="14">
        <f>J210+ROUND(K210, 2)</f>
        <v>5265.5300000000007</v>
      </c>
      <c r="M210" s="14">
        <f>ROUND(J210*I210, 2)</f>
        <v>568578.22</v>
      </c>
      <c r="N210" s="14">
        <f>ROUND(I210*ROUND(K210, 2), 2)</f>
        <v>743065.3</v>
      </c>
      <c r="O210" s="14">
        <f>M210+N210</f>
        <v>1311643.52</v>
      </c>
      <c r="P210" s="14">
        <f>IFERROR(ROUND(SUM(S211,S212,S213,S214)/I210, 2),0)</f>
        <v>1253.43</v>
      </c>
      <c r="Q210" s="15">
        <v>2983</v>
      </c>
      <c r="R210" s="14">
        <f>P210+ROUND(Q210, 2)</f>
        <v>4236.43</v>
      </c>
      <c r="S210" s="14">
        <f>ROUND(P210*I210, 2)</f>
        <v>312229.40999999997</v>
      </c>
      <c r="T210" s="14">
        <f>ROUND(I210*ROUND(Q210, 2), 2)</f>
        <v>743065.3</v>
      </c>
      <c r="U210" s="14">
        <f>S210+T210</f>
        <v>1055294.71</v>
      </c>
      <c r="V210" s="9">
        <f>ROUND(P210 / 1.2, 2)</f>
        <v>1044.53</v>
      </c>
      <c r="W210" s="9">
        <f>ROUND(Q210 / 1.2, 2)</f>
        <v>2485.83</v>
      </c>
      <c r="X210" s="9">
        <f>ROUND(R210 / 1.2, 2)</f>
        <v>3530.36</v>
      </c>
      <c r="Y210" s="9">
        <f t="shared" si="11"/>
        <v>260191.18</v>
      </c>
      <c r="Z210" s="9">
        <f>ROUND(T210 / 1.2, 2)</f>
        <v>619221.07999999996</v>
      </c>
      <c r="AA210" s="9">
        <f>Y210+Z210</f>
        <v>879412.26</v>
      </c>
      <c r="AD210" s="4">
        <v>282589018</v>
      </c>
      <c r="AE210" s="4">
        <v>20336104</v>
      </c>
      <c r="AG210" s="4" t="s">
        <v>771</v>
      </c>
      <c r="AH210" s="4" t="s">
        <v>772</v>
      </c>
      <c r="AI210" s="4" t="s">
        <v>170</v>
      </c>
    </row>
    <row r="211" spans="1:35" ht="37.5" x14ac:dyDescent="0.25">
      <c r="A211" s="10" t="s">
        <v>790</v>
      </c>
      <c r="B211" s="10"/>
      <c r="C211" s="16" t="s">
        <v>725</v>
      </c>
      <c r="D211" s="12"/>
      <c r="E211" s="12"/>
      <c r="F211" s="17" t="s">
        <v>173</v>
      </c>
      <c r="G211" s="18">
        <v>0.15</v>
      </c>
      <c r="H211" s="18"/>
      <c r="I211" s="18">
        <v>37.365000000000002</v>
      </c>
      <c r="J211" s="19">
        <v>68.400000000000006</v>
      </c>
      <c r="M211" s="20">
        <f>ROUND(ROUND(J211, 2)*I211, 2)</f>
        <v>2555.77</v>
      </c>
      <c r="P211" s="19">
        <v>68.400000000000006</v>
      </c>
      <c r="S211" s="20">
        <f>ROUND(ROUND(P211, 2)*I211, 2)</f>
        <v>2555.77</v>
      </c>
      <c r="V211" s="9">
        <f>ROUND(ROUND(P211, 2)/1.2, 2)</f>
        <v>57</v>
      </c>
      <c r="Y211" s="9">
        <f t="shared" si="11"/>
        <v>2129.81</v>
      </c>
      <c r="AD211" s="4" t="s">
        <v>791</v>
      </c>
      <c r="AE211" s="4" t="s">
        <v>792</v>
      </c>
      <c r="AF211" s="4" t="s">
        <v>728</v>
      </c>
    </row>
    <row r="212" spans="1:35" ht="37.5" x14ac:dyDescent="0.25">
      <c r="A212" s="10" t="s">
        <v>793</v>
      </c>
      <c r="B212" s="10"/>
      <c r="C212" s="16" t="s">
        <v>432</v>
      </c>
      <c r="D212" s="12"/>
      <c r="E212" s="12"/>
      <c r="F212" s="17" t="s">
        <v>173</v>
      </c>
      <c r="G212" s="18">
        <v>0.25</v>
      </c>
      <c r="H212" s="22"/>
      <c r="I212" s="22">
        <v>62.274999999999999</v>
      </c>
      <c r="J212" s="19">
        <v>40.270000000000003</v>
      </c>
      <c r="M212" s="20">
        <f>ROUND(ROUND(J212, 2)*I212, 2)</f>
        <v>2507.81</v>
      </c>
      <c r="P212" s="19">
        <v>40.270000000000003</v>
      </c>
      <c r="S212" s="20">
        <f>ROUND(ROUND(P212, 2)*I212, 2)</f>
        <v>2507.81</v>
      </c>
      <c r="V212" s="9">
        <f>ROUND(ROUND(P212, 2)/1.2, 2)</f>
        <v>33.56</v>
      </c>
      <c r="Y212" s="9">
        <f t="shared" ref="Y212:Y224" si="12">ROUND(S212 / 1.2, 2)</f>
        <v>2089.84</v>
      </c>
      <c r="AD212" s="4" t="s">
        <v>794</v>
      </c>
      <c r="AE212" s="4" t="s">
        <v>795</v>
      </c>
      <c r="AF212" s="4" t="s">
        <v>435</v>
      </c>
    </row>
    <row r="213" spans="1:35" ht="37.5" x14ac:dyDescent="0.25">
      <c r="A213" s="10" t="s">
        <v>796</v>
      </c>
      <c r="B213" s="10"/>
      <c r="C213" s="21" t="s">
        <v>446</v>
      </c>
      <c r="D213" s="12"/>
      <c r="E213" s="12"/>
      <c r="F213" s="17" t="s">
        <v>173</v>
      </c>
      <c r="G213" s="18">
        <v>1.2</v>
      </c>
      <c r="H213" s="22"/>
      <c r="I213" s="22">
        <v>298.92</v>
      </c>
      <c r="J213" s="19">
        <v>16.96</v>
      </c>
      <c r="M213" s="20">
        <f>ROUND(ROUND(J213, 2)*I213, 2)</f>
        <v>5069.68</v>
      </c>
      <c r="P213" s="19">
        <v>16.96</v>
      </c>
      <c r="S213" s="20">
        <f>ROUND(ROUND(P213, 2)*I213, 2)</f>
        <v>5069.68</v>
      </c>
      <c r="V213" s="9">
        <f>ROUND(ROUND(P213, 2)/1.2, 2)</f>
        <v>14.13</v>
      </c>
      <c r="Y213" s="9">
        <f t="shared" si="12"/>
        <v>4224.7299999999996</v>
      </c>
      <c r="AD213" s="4" t="s">
        <v>797</v>
      </c>
      <c r="AE213" s="4" t="s">
        <v>798</v>
      </c>
      <c r="AF213" s="4" t="s">
        <v>449</v>
      </c>
    </row>
    <row r="214" spans="1:35" ht="75" x14ac:dyDescent="0.25">
      <c r="A214" s="10" t="s">
        <v>799</v>
      </c>
      <c r="B214" s="10"/>
      <c r="C214" s="21" t="s">
        <v>774</v>
      </c>
      <c r="D214" s="12"/>
      <c r="E214" s="12" t="s">
        <v>800</v>
      </c>
      <c r="F214" s="17" t="s">
        <v>59</v>
      </c>
      <c r="G214" s="18">
        <v>1.1000000000000001</v>
      </c>
      <c r="H214" s="22"/>
      <c r="I214" s="22">
        <v>274.01</v>
      </c>
      <c r="J214" s="19">
        <v>2038.05</v>
      </c>
      <c r="M214" s="20">
        <f>ROUND(ROUND(J214, 2)*I214, 2)</f>
        <v>558446.07999999996</v>
      </c>
      <c r="P214" s="19">
        <v>1102.5</v>
      </c>
      <c r="S214" s="20">
        <f>ROUND(ROUND(P214, 2)*I214, 2)</f>
        <v>302096.03000000003</v>
      </c>
      <c r="V214" s="9">
        <f>ROUND(ROUND(P214, 2)/1.2, 2)</f>
        <v>918.75</v>
      </c>
      <c r="Y214" s="9">
        <f t="shared" si="12"/>
        <v>251746.69</v>
      </c>
      <c r="AD214" s="4" t="s">
        <v>801</v>
      </c>
      <c r="AE214" s="4" t="s">
        <v>802</v>
      </c>
      <c r="AF214" s="4" t="s">
        <v>778</v>
      </c>
    </row>
    <row r="215" spans="1:35" ht="56.25" x14ac:dyDescent="0.25">
      <c r="A215" s="10" t="s">
        <v>803</v>
      </c>
      <c r="B215" s="10" t="s">
        <v>768</v>
      </c>
      <c r="C215" s="11" t="s">
        <v>769</v>
      </c>
      <c r="D215" s="12"/>
      <c r="E215" s="12" t="s">
        <v>804</v>
      </c>
      <c r="F215" s="12" t="s">
        <v>59</v>
      </c>
      <c r="G215" s="13">
        <v>1</v>
      </c>
      <c r="H215" s="13"/>
      <c r="I215" s="13">
        <v>238.4</v>
      </c>
      <c r="J215" s="14">
        <f>IFERROR(ROUND(SUM(M216,M217,M218,M219)/I215, 2),0)</f>
        <v>2282.5300000000002</v>
      </c>
      <c r="K215" s="15">
        <v>2983</v>
      </c>
      <c r="L215" s="14">
        <f>J215+ROUND(K215, 2)</f>
        <v>5265.5300000000007</v>
      </c>
      <c r="M215" s="14">
        <f>ROUND(J215*I215, 2)</f>
        <v>544155.15</v>
      </c>
      <c r="N215" s="14">
        <f>ROUND(I215*ROUND(K215, 2), 2)</f>
        <v>711147.2</v>
      </c>
      <c r="O215" s="14">
        <f>M215+N215</f>
        <v>1255302.3500000001</v>
      </c>
      <c r="P215" s="14">
        <f>IFERROR(ROUND(SUM(S216,S217,S218,S219)/I215, 2),0)</f>
        <v>1253.43</v>
      </c>
      <c r="Q215" s="15">
        <v>2983</v>
      </c>
      <c r="R215" s="14">
        <f>P215+ROUND(Q215, 2)</f>
        <v>4236.43</v>
      </c>
      <c r="S215" s="14">
        <f>ROUND(P215*I215, 2)</f>
        <v>298817.71000000002</v>
      </c>
      <c r="T215" s="14">
        <f>ROUND(I215*ROUND(Q215, 2), 2)</f>
        <v>711147.2</v>
      </c>
      <c r="U215" s="14">
        <f>S215+T215</f>
        <v>1009964.9099999999</v>
      </c>
      <c r="V215" s="9">
        <f>ROUND(P215 / 1.2, 2)</f>
        <v>1044.53</v>
      </c>
      <c r="W215" s="9">
        <f>ROUND(Q215 / 1.2, 2)</f>
        <v>2485.83</v>
      </c>
      <c r="X215" s="9">
        <f>ROUND(R215 / 1.2, 2)</f>
        <v>3530.36</v>
      </c>
      <c r="Y215" s="9">
        <f t="shared" si="12"/>
        <v>249014.76</v>
      </c>
      <c r="Z215" s="9">
        <f>ROUND(T215 / 1.2, 2)</f>
        <v>592622.67000000004</v>
      </c>
      <c r="AA215" s="9">
        <f>Y215+Z215</f>
        <v>841637.43</v>
      </c>
      <c r="AD215" s="4">
        <v>282589019</v>
      </c>
      <c r="AE215" s="4">
        <v>20336105</v>
      </c>
      <c r="AG215" s="4" t="s">
        <v>771</v>
      </c>
      <c r="AH215" s="4" t="s">
        <v>772</v>
      </c>
      <c r="AI215" s="4" t="s">
        <v>170</v>
      </c>
    </row>
    <row r="216" spans="1:35" ht="75" x14ac:dyDescent="0.25">
      <c r="A216" s="10" t="s">
        <v>805</v>
      </c>
      <c r="B216" s="10"/>
      <c r="C216" s="21" t="s">
        <v>774</v>
      </c>
      <c r="D216" s="12"/>
      <c r="E216" s="12" t="s">
        <v>501</v>
      </c>
      <c r="F216" s="17" t="s">
        <v>59</v>
      </c>
      <c r="G216" s="18">
        <v>1.1000000000000001</v>
      </c>
      <c r="H216" s="22"/>
      <c r="I216" s="22">
        <v>262.24</v>
      </c>
      <c r="J216" s="19">
        <v>2038.05</v>
      </c>
      <c r="M216" s="20">
        <f>ROUND(ROUND(J216, 2)*I216, 2)</f>
        <v>534458.23</v>
      </c>
      <c r="P216" s="19">
        <v>1102.5</v>
      </c>
      <c r="S216" s="20">
        <f>ROUND(ROUND(P216, 2)*I216, 2)</f>
        <v>289119.59999999998</v>
      </c>
      <c r="V216" s="9">
        <f>ROUND(ROUND(P216, 2)/1.2, 2)</f>
        <v>918.75</v>
      </c>
      <c r="Y216" s="9">
        <f t="shared" si="12"/>
        <v>240933</v>
      </c>
      <c r="AD216" s="4" t="s">
        <v>806</v>
      </c>
      <c r="AE216" s="4" t="s">
        <v>807</v>
      </c>
      <c r="AF216" s="4" t="s">
        <v>778</v>
      </c>
    </row>
    <row r="217" spans="1:35" ht="37.5" x14ac:dyDescent="0.25">
      <c r="A217" s="10" t="s">
        <v>808</v>
      </c>
      <c r="B217" s="10"/>
      <c r="C217" s="21" t="s">
        <v>446</v>
      </c>
      <c r="D217" s="12"/>
      <c r="E217" s="12"/>
      <c r="F217" s="17" t="s">
        <v>173</v>
      </c>
      <c r="G217" s="18">
        <v>1.2</v>
      </c>
      <c r="H217" s="22"/>
      <c r="I217" s="22">
        <v>286.08</v>
      </c>
      <c r="J217" s="19">
        <v>16.96</v>
      </c>
      <c r="M217" s="20">
        <f>ROUND(ROUND(J217, 2)*I217, 2)</f>
        <v>4851.92</v>
      </c>
      <c r="P217" s="19">
        <v>16.96</v>
      </c>
      <c r="S217" s="20">
        <f>ROUND(ROUND(P217, 2)*I217, 2)</f>
        <v>4851.92</v>
      </c>
      <c r="V217" s="9">
        <f>ROUND(ROUND(P217, 2)/1.2, 2)</f>
        <v>14.13</v>
      </c>
      <c r="Y217" s="9">
        <f t="shared" si="12"/>
        <v>4043.27</v>
      </c>
      <c r="AD217" s="4" t="s">
        <v>809</v>
      </c>
      <c r="AE217" s="4" t="s">
        <v>810</v>
      </c>
      <c r="AF217" s="4" t="s">
        <v>449</v>
      </c>
    </row>
    <row r="218" spans="1:35" ht="37.5" x14ac:dyDescent="0.25">
      <c r="A218" s="10" t="s">
        <v>811</v>
      </c>
      <c r="B218" s="10"/>
      <c r="C218" s="16" t="s">
        <v>432</v>
      </c>
      <c r="D218" s="12"/>
      <c r="E218" s="12"/>
      <c r="F218" s="17" t="s">
        <v>173</v>
      </c>
      <c r="G218" s="18">
        <v>0.25</v>
      </c>
      <c r="H218" s="22"/>
      <c r="I218" s="22">
        <v>59.6</v>
      </c>
      <c r="J218" s="19">
        <v>40.270000000000003</v>
      </c>
      <c r="M218" s="20">
        <f>ROUND(ROUND(J218, 2)*I218, 2)</f>
        <v>2400.09</v>
      </c>
      <c r="P218" s="19">
        <v>40.270000000000003</v>
      </c>
      <c r="S218" s="20">
        <f>ROUND(ROUND(P218, 2)*I218, 2)</f>
        <v>2400.09</v>
      </c>
      <c r="V218" s="9">
        <f>ROUND(ROUND(P218, 2)/1.2, 2)</f>
        <v>33.56</v>
      </c>
      <c r="Y218" s="9">
        <f t="shared" si="12"/>
        <v>2000.08</v>
      </c>
      <c r="AD218" s="4" t="s">
        <v>812</v>
      </c>
      <c r="AE218" s="4" t="s">
        <v>813</v>
      </c>
      <c r="AF218" s="4" t="s">
        <v>435</v>
      </c>
    </row>
    <row r="219" spans="1:35" ht="37.5" x14ac:dyDescent="0.25">
      <c r="A219" s="10" t="s">
        <v>814</v>
      </c>
      <c r="B219" s="10"/>
      <c r="C219" s="16" t="s">
        <v>725</v>
      </c>
      <c r="D219" s="12"/>
      <c r="E219" s="12"/>
      <c r="F219" s="17" t="s">
        <v>173</v>
      </c>
      <c r="G219" s="18">
        <v>0.15</v>
      </c>
      <c r="H219" s="18"/>
      <c r="I219" s="18">
        <v>35.76</v>
      </c>
      <c r="J219" s="19">
        <v>68.400000000000006</v>
      </c>
      <c r="M219" s="20">
        <f>ROUND(ROUND(J219, 2)*I219, 2)</f>
        <v>2445.98</v>
      </c>
      <c r="P219" s="19">
        <v>68.400000000000006</v>
      </c>
      <c r="S219" s="20">
        <f>ROUND(ROUND(P219, 2)*I219, 2)</f>
        <v>2445.98</v>
      </c>
      <c r="V219" s="9">
        <f>ROUND(ROUND(P219, 2)/1.2, 2)</f>
        <v>57</v>
      </c>
      <c r="Y219" s="9">
        <f t="shared" si="12"/>
        <v>2038.32</v>
      </c>
      <c r="AD219" s="4" t="s">
        <v>815</v>
      </c>
      <c r="AE219" s="4" t="s">
        <v>816</v>
      </c>
      <c r="AF219" s="4" t="s">
        <v>728</v>
      </c>
    </row>
    <row r="220" spans="1:35" ht="56.25" x14ac:dyDescent="0.25">
      <c r="A220" s="10" t="s">
        <v>817</v>
      </c>
      <c r="B220" s="10" t="s">
        <v>768</v>
      </c>
      <c r="C220" s="11" t="s">
        <v>769</v>
      </c>
      <c r="D220" s="12"/>
      <c r="E220" s="12" t="s">
        <v>818</v>
      </c>
      <c r="F220" s="12" t="s">
        <v>59</v>
      </c>
      <c r="G220" s="13">
        <v>1</v>
      </c>
      <c r="H220" s="13"/>
      <c r="I220" s="13">
        <v>6.1</v>
      </c>
      <c r="J220" s="14">
        <f>IFERROR(ROUND(SUM(M221,M222,M223,M224)/I220, 2),0)</f>
        <v>2282.54</v>
      </c>
      <c r="K220" s="15">
        <v>2983</v>
      </c>
      <c r="L220" s="14">
        <f>J220+ROUND(K220, 2)</f>
        <v>5265.54</v>
      </c>
      <c r="M220" s="14">
        <f>ROUND(J220*I220, 2)</f>
        <v>13923.49</v>
      </c>
      <c r="N220" s="14">
        <f>ROUND(I220*ROUND(K220, 2), 2)</f>
        <v>18196.3</v>
      </c>
      <c r="O220" s="14">
        <f>M220+N220</f>
        <v>32119.79</v>
      </c>
      <c r="P220" s="14">
        <f>IFERROR(ROUND(SUM(S221,S222,S223,S224)/I220, 2),0)</f>
        <v>1253.43</v>
      </c>
      <c r="Q220" s="15">
        <v>2983</v>
      </c>
      <c r="R220" s="14">
        <f>P220+ROUND(Q220, 2)</f>
        <v>4236.43</v>
      </c>
      <c r="S220" s="14">
        <f>ROUND(P220*I220, 2)</f>
        <v>7645.92</v>
      </c>
      <c r="T220" s="14">
        <f>ROUND(I220*ROUND(Q220, 2), 2)</f>
        <v>18196.3</v>
      </c>
      <c r="U220" s="14">
        <f>S220+T220</f>
        <v>25842.22</v>
      </c>
      <c r="V220" s="9">
        <f>ROUND(P220 / 1.2, 2)</f>
        <v>1044.53</v>
      </c>
      <c r="W220" s="9">
        <f>ROUND(Q220 / 1.2, 2)</f>
        <v>2485.83</v>
      </c>
      <c r="X220" s="9">
        <f>ROUND(R220 / 1.2, 2)</f>
        <v>3530.36</v>
      </c>
      <c r="Y220" s="9">
        <f t="shared" si="12"/>
        <v>6371.6</v>
      </c>
      <c r="Z220" s="9">
        <f>ROUND(T220 / 1.2, 2)</f>
        <v>15163.58</v>
      </c>
      <c r="AA220" s="9">
        <f>Y220+Z220</f>
        <v>21535.18</v>
      </c>
      <c r="AD220" s="4">
        <v>282589020</v>
      </c>
      <c r="AE220" s="4">
        <v>20336103</v>
      </c>
      <c r="AG220" s="4" t="s">
        <v>771</v>
      </c>
      <c r="AH220" s="4" t="s">
        <v>772</v>
      </c>
      <c r="AI220" s="4" t="s">
        <v>170</v>
      </c>
    </row>
    <row r="221" spans="1:35" ht="37.5" x14ac:dyDescent="0.25">
      <c r="A221" s="10" t="s">
        <v>819</v>
      </c>
      <c r="B221" s="10"/>
      <c r="C221" s="16" t="s">
        <v>725</v>
      </c>
      <c r="D221" s="12"/>
      <c r="E221" s="12"/>
      <c r="F221" s="17" t="s">
        <v>173</v>
      </c>
      <c r="G221" s="18">
        <v>0.15</v>
      </c>
      <c r="H221" s="18"/>
      <c r="I221" s="18">
        <v>0.91500000000000004</v>
      </c>
      <c r="J221" s="19">
        <v>68.400000000000006</v>
      </c>
      <c r="M221" s="20">
        <f>ROUND(ROUND(J221, 2)*I221, 2)</f>
        <v>62.59</v>
      </c>
      <c r="P221" s="19">
        <v>68.400000000000006</v>
      </c>
      <c r="S221" s="20">
        <f>ROUND(ROUND(P221, 2)*I221, 2)</f>
        <v>62.59</v>
      </c>
      <c r="V221" s="9">
        <f>ROUND(ROUND(P221, 2)/1.2, 2)</f>
        <v>57</v>
      </c>
      <c r="Y221" s="9">
        <f t="shared" si="12"/>
        <v>52.16</v>
      </c>
      <c r="AD221" s="4" t="s">
        <v>820</v>
      </c>
      <c r="AE221" s="4" t="s">
        <v>821</v>
      </c>
      <c r="AF221" s="4" t="s">
        <v>728</v>
      </c>
    </row>
    <row r="222" spans="1:35" ht="37.5" x14ac:dyDescent="0.25">
      <c r="A222" s="10" t="s">
        <v>822</v>
      </c>
      <c r="B222" s="10"/>
      <c r="C222" s="16" t="s">
        <v>432</v>
      </c>
      <c r="D222" s="12"/>
      <c r="E222" s="12"/>
      <c r="F222" s="17" t="s">
        <v>173</v>
      </c>
      <c r="G222" s="18">
        <v>0.25</v>
      </c>
      <c r="H222" s="22"/>
      <c r="I222" s="22">
        <v>1.5249999999999999</v>
      </c>
      <c r="J222" s="19">
        <v>40.270000000000003</v>
      </c>
      <c r="M222" s="20">
        <f>ROUND(ROUND(J222, 2)*I222, 2)</f>
        <v>61.41</v>
      </c>
      <c r="P222" s="19">
        <v>40.270000000000003</v>
      </c>
      <c r="S222" s="20">
        <f>ROUND(ROUND(P222, 2)*I222, 2)</f>
        <v>61.41</v>
      </c>
      <c r="V222" s="9">
        <f>ROUND(ROUND(P222, 2)/1.2, 2)</f>
        <v>33.56</v>
      </c>
      <c r="Y222" s="9">
        <f t="shared" si="12"/>
        <v>51.18</v>
      </c>
      <c r="AD222" s="4" t="s">
        <v>823</v>
      </c>
      <c r="AE222" s="4" t="s">
        <v>824</v>
      </c>
      <c r="AF222" s="4" t="s">
        <v>435</v>
      </c>
    </row>
    <row r="223" spans="1:35" ht="37.5" x14ac:dyDescent="0.25">
      <c r="A223" s="10" t="s">
        <v>825</v>
      </c>
      <c r="B223" s="10"/>
      <c r="C223" s="21" t="s">
        <v>446</v>
      </c>
      <c r="D223" s="12"/>
      <c r="E223" s="12"/>
      <c r="F223" s="17" t="s">
        <v>173</v>
      </c>
      <c r="G223" s="18">
        <v>1.2</v>
      </c>
      <c r="H223" s="22"/>
      <c r="I223" s="22">
        <v>7.32</v>
      </c>
      <c r="J223" s="19">
        <v>16.96</v>
      </c>
      <c r="M223" s="20">
        <f>ROUND(ROUND(J223, 2)*I223, 2)</f>
        <v>124.15</v>
      </c>
      <c r="P223" s="19">
        <v>16.96</v>
      </c>
      <c r="S223" s="20">
        <f>ROUND(ROUND(P223, 2)*I223, 2)</f>
        <v>124.15</v>
      </c>
      <c r="V223" s="9">
        <f>ROUND(ROUND(P223, 2)/1.2, 2)</f>
        <v>14.13</v>
      </c>
      <c r="Y223" s="9">
        <f t="shared" si="12"/>
        <v>103.46</v>
      </c>
      <c r="AD223" s="4" t="s">
        <v>826</v>
      </c>
      <c r="AE223" s="4" t="s">
        <v>827</v>
      </c>
      <c r="AF223" s="4" t="s">
        <v>449</v>
      </c>
    </row>
    <row r="224" spans="1:35" ht="37.5" x14ac:dyDescent="0.25">
      <c r="A224" s="10" t="s">
        <v>828</v>
      </c>
      <c r="B224" s="10"/>
      <c r="C224" s="21" t="s">
        <v>774</v>
      </c>
      <c r="D224" s="12"/>
      <c r="E224" s="12"/>
      <c r="F224" s="17" t="s">
        <v>59</v>
      </c>
      <c r="G224" s="18">
        <v>1.1000000000000001</v>
      </c>
      <c r="H224" s="22"/>
      <c r="I224" s="22">
        <v>6.71</v>
      </c>
      <c r="J224" s="19">
        <v>2038.05</v>
      </c>
      <c r="M224" s="20">
        <f>ROUND(ROUND(J224, 2)*I224, 2)</f>
        <v>13675.32</v>
      </c>
      <c r="P224" s="19">
        <v>1102.5</v>
      </c>
      <c r="S224" s="20">
        <f>ROUND(ROUND(P224, 2)*I224, 2)</f>
        <v>7397.78</v>
      </c>
      <c r="V224" s="9">
        <f>ROUND(ROUND(P224, 2)/1.2, 2)</f>
        <v>918.75</v>
      </c>
      <c r="Y224" s="9">
        <f t="shared" si="12"/>
        <v>6164.82</v>
      </c>
      <c r="AD224" s="4" t="s">
        <v>829</v>
      </c>
      <c r="AE224" s="4" t="s">
        <v>830</v>
      </c>
      <c r="AF224" s="4" t="s">
        <v>778</v>
      </c>
    </row>
    <row r="225" spans="1:35" ht="17.100000000000001" customHeight="1" x14ac:dyDescent="0.25">
      <c r="A225" s="10" t="s">
        <v>831</v>
      </c>
      <c r="B225" s="10" t="s">
        <v>832</v>
      </c>
      <c r="C225" s="33" t="s">
        <v>833</v>
      </c>
      <c r="D225" s="34"/>
      <c r="E225" s="34"/>
      <c r="F225" s="34"/>
      <c r="G225" s="34"/>
      <c r="H225" s="34"/>
      <c r="I225" s="35"/>
      <c r="M225" s="6">
        <f>SUM(M226,M231)</f>
        <v>294158.3</v>
      </c>
      <c r="N225" s="6">
        <f>SUM(N226,N231)</f>
        <v>704676.7</v>
      </c>
      <c r="O225" s="6">
        <f>SUM(O226,O231)</f>
        <v>998835</v>
      </c>
      <c r="S225" s="6">
        <f>SUM(S226,S231)</f>
        <v>411347.02</v>
      </c>
      <c r="T225" s="6">
        <f>SUM(T226,T231)</f>
        <v>704676.7</v>
      </c>
      <c r="U225" s="6">
        <f>SUM(U226,U231)</f>
        <v>1116023.72</v>
      </c>
      <c r="Y225" s="9">
        <f>SUM(Y226,Y231)</f>
        <v>342789.19</v>
      </c>
      <c r="Z225" s="9">
        <f>SUM(Z226,Z231)</f>
        <v>587230.59</v>
      </c>
      <c r="AA225" s="9">
        <f>SUM(AA226,AA231)</f>
        <v>930019.78</v>
      </c>
      <c r="AD225" s="4">
        <v>282588965</v>
      </c>
      <c r="AE225" s="4">
        <v>20338501</v>
      </c>
    </row>
    <row r="226" spans="1:35" ht="93.75" x14ac:dyDescent="0.25">
      <c r="A226" s="10" t="s">
        <v>834</v>
      </c>
      <c r="B226" s="10" t="s">
        <v>835</v>
      </c>
      <c r="C226" s="11" t="s">
        <v>836</v>
      </c>
      <c r="D226" s="12"/>
      <c r="E226" s="12" t="s">
        <v>837</v>
      </c>
      <c r="F226" s="12" t="s">
        <v>59</v>
      </c>
      <c r="G226" s="13">
        <v>1</v>
      </c>
      <c r="H226" s="13"/>
      <c r="I226" s="13">
        <v>118.4</v>
      </c>
      <c r="J226" s="14">
        <f>IFERROR(ROUND(SUM(M227,M228,M229,M230)/I226, 2),0)</f>
        <v>360.42</v>
      </c>
      <c r="K226" s="15">
        <v>1477</v>
      </c>
      <c r="L226" s="14">
        <f>J226+ROUND(K226, 2)</f>
        <v>1837.42</v>
      </c>
      <c r="M226" s="14">
        <f>ROUND(J226*I226, 2)</f>
        <v>42673.73</v>
      </c>
      <c r="N226" s="14">
        <f>ROUND(I226*ROUND(K226, 2), 2)</f>
        <v>174876.79999999999</v>
      </c>
      <c r="O226" s="14">
        <f>M226+N226</f>
        <v>217550.53</v>
      </c>
      <c r="P226" s="14">
        <f>IFERROR(ROUND(SUM(S227,S228,S229,S230)/I226, 2),0)</f>
        <v>2032.78</v>
      </c>
      <c r="Q226" s="15">
        <v>1477</v>
      </c>
      <c r="R226" s="14">
        <f>P226+ROUND(Q226, 2)</f>
        <v>3509.7799999999997</v>
      </c>
      <c r="S226" s="14">
        <f>ROUND(P226*I226, 2)</f>
        <v>240681.15</v>
      </c>
      <c r="T226" s="14">
        <f>ROUND(I226*ROUND(Q226, 2), 2)</f>
        <v>174876.79999999999</v>
      </c>
      <c r="U226" s="14">
        <f>S226+T226</f>
        <v>415557.94999999995</v>
      </c>
      <c r="V226" s="9">
        <f>ROUND(P226 / 1.2, 2)</f>
        <v>1693.98</v>
      </c>
      <c r="W226" s="9">
        <f>ROUND(Q226 / 1.2, 2)</f>
        <v>1230.83</v>
      </c>
      <c r="X226" s="9">
        <f>ROUND(R226 / 1.2, 2)</f>
        <v>2924.82</v>
      </c>
      <c r="Y226" s="9">
        <f>ROUND(S226 / 1.2, 2)</f>
        <v>200567.63</v>
      </c>
      <c r="Z226" s="9">
        <f>ROUND(T226 / 1.2, 2)</f>
        <v>145730.67000000001</v>
      </c>
      <c r="AA226" s="9">
        <f>Y226+Z226</f>
        <v>346298.30000000005</v>
      </c>
      <c r="AD226" s="4">
        <v>282588967</v>
      </c>
      <c r="AE226" s="4">
        <v>20343922</v>
      </c>
      <c r="AG226" s="4" t="s">
        <v>838</v>
      </c>
      <c r="AH226" s="4" t="s">
        <v>839</v>
      </c>
      <c r="AI226" s="4" t="s">
        <v>170</v>
      </c>
    </row>
    <row r="227" spans="1:35" ht="18.75" x14ac:dyDescent="0.25">
      <c r="A227" s="10" t="s">
        <v>840</v>
      </c>
      <c r="B227" s="10"/>
      <c r="C227" s="16" t="s">
        <v>841</v>
      </c>
      <c r="D227" s="12"/>
      <c r="E227" s="12"/>
      <c r="F227" s="17" t="s">
        <v>222</v>
      </c>
      <c r="G227" s="18">
        <v>1</v>
      </c>
      <c r="H227" s="22"/>
      <c r="I227" s="22">
        <v>123</v>
      </c>
      <c r="J227" s="19">
        <v>80</v>
      </c>
      <c r="M227" s="20">
        <f>ROUND(ROUND(J227, 2)*I227, 2)</f>
        <v>9840</v>
      </c>
      <c r="P227" s="19">
        <v>80</v>
      </c>
      <c r="S227" s="20">
        <f>ROUND(ROUND(P227, 2)*I227, 2)</f>
        <v>9840</v>
      </c>
      <c r="V227" s="9">
        <f>ROUND(ROUND(P227, 2)/1.2, 2)</f>
        <v>66.67</v>
      </c>
      <c r="Y227" s="9">
        <f t="shared" ref="Y227:Y235" si="13">ROUND(S227 / 1.2, 2)</f>
        <v>8200</v>
      </c>
      <c r="AD227" s="4" t="s">
        <v>842</v>
      </c>
      <c r="AE227" s="4" t="s">
        <v>843</v>
      </c>
      <c r="AF227" s="4" t="s">
        <v>844</v>
      </c>
    </row>
    <row r="228" spans="1:35" ht="18.75" x14ac:dyDescent="0.25">
      <c r="A228" s="10" t="s">
        <v>845</v>
      </c>
      <c r="B228" s="10"/>
      <c r="C228" s="16" t="s">
        <v>846</v>
      </c>
      <c r="D228" s="12"/>
      <c r="E228" s="12"/>
      <c r="F228" s="17" t="s">
        <v>76</v>
      </c>
      <c r="G228" s="18">
        <v>1</v>
      </c>
      <c r="H228" s="22"/>
      <c r="I228" s="22">
        <v>592</v>
      </c>
      <c r="J228" s="19">
        <v>44.71</v>
      </c>
      <c r="M228" s="20">
        <f>ROUND(ROUND(J228, 2)*I228, 2)</f>
        <v>26468.32</v>
      </c>
      <c r="P228" s="19">
        <v>44.71</v>
      </c>
      <c r="S228" s="20">
        <f>ROUND(ROUND(P228, 2)*I228, 2)</f>
        <v>26468.32</v>
      </c>
      <c r="V228" s="9">
        <f>ROUND(ROUND(P228, 2)/1.2, 2)</f>
        <v>37.26</v>
      </c>
      <c r="Y228" s="9">
        <f t="shared" si="13"/>
        <v>22056.93</v>
      </c>
      <c r="AD228" s="4" t="s">
        <v>847</v>
      </c>
      <c r="AE228" s="4" t="s">
        <v>848</v>
      </c>
      <c r="AF228" s="4" t="s">
        <v>849</v>
      </c>
    </row>
    <row r="229" spans="1:35" ht="18.75" x14ac:dyDescent="0.25">
      <c r="A229" s="10" t="s">
        <v>850</v>
      </c>
      <c r="B229" s="10"/>
      <c r="C229" s="16" t="s">
        <v>123</v>
      </c>
      <c r="D229" s="12"/>
      <c r="E229" s="12"/>
      <c r="F229" s="17" t="s">
        <v>76</v>
      </c>
      <c r="G229" s="18">
        <v>1</v>
      </c>
      <c r="H229" s="22"/>
      <c r="I229" s="22">
        <v>178</v>
      </c>
      <c r="J229" s="19">
        <v>35.76</v>
      </c>
      <c r="M229" s="20">
        <f>ROUND(ROUND(J229, 2)*I229, 2)</f>
        <v>6365.28</v>
      </c>
      <c r="P229" s="19">
        <v>35.76</v>
      </c>
      <c r="S229" s="20">
        <f>ROUND(ROUND(P229, 2)*I229, 2)</f>
        <v>6365.28</v>
      </c>
      <c r="V229" s="9">
        <f>ROUND(ROUND(P229, 2)/1.2, 2)</f>
        <v>29.8</v>
      </c>
      <c r="Y229" s="9">
        <f t="shared" si="13"/>
        <v>5304.4</v>
      </c>
      <c r="AD229" s="4" t="s">
        <v>851</v>
      </c>
      <c r="AE229" s="4" t="s">
        <v>852</v>
      </c>
      <c r="AF229" s="4" t="s">
        <v>126</v>
      </c>
    </row>
    <row r="230" spans="1:35" ht="37.5" x14ac:dyDescent="0.25">
      <c r="A230" s="10" t="s">
        <v>853</v>
      </c>
      <c r="B230" s="10"/>
      <c r="C230" s="16" t="s">
        <v>854</v>
      </c>
      <c r="D230" s="12"/>
      <c r="E230" s="12"/>
      <c r="F230" s="17" t="s">
        <v>59</v>
      </c>
      <c r="G230" s="18">
        <v>1.1000000000000001</v>
      </c>
      <c r="H230" s="22"/>
      <c r="I230" s="22">
        <v>130.24</v>
      </c>
      <c r="J230" s="19">
        <v>0</v>
      </c>
      <c r="M230" s="20">
        <f>ROUND(ROUND(J230, 2)*I230, 2)</f>
        <v>0</v>
      </c>
      <c r="P230" s="19">
        <v>1520.33</v>
      </c>
      <c r="S230" s="20">
        <f>ROUND(ROUND(P230, 2)*I230, 2)</f>
        <v>198007.78</v>
      </c>
      <c r="V230" s="9">
        <f>ROUND(ROUND(P230, 2)/1.2, 2)</f>
        <v>1266.94</v>
      </c>
      <c r="Y230" s="9">
        <f t="shared" si="13"/>
        <v>165006.48000000001</v>
      </c>
      <c r="AD230" s="4" t="s">
        <v>855</v>
      </c>
      <c r="AE230" s="4" t="s">
        <v>856</v>
      </c>
      <c r="AF230" s="4" t="s">
        <v>857</v>
      </c>
    </row>
    <row r="231" spans="1:35" ht="187.5" x14ac:dyDescent="0.25">
      <c r="A231" s="10" t="s">
        <v>858</v>
      </c>
      <c r="B231" s="10" t="s">
        <v>835</v>
      </c>
      <c r="C231" s="11" t="s">
        <v>836</v>
      </c>
      <c r="D231" s="12"/>
      <c r="E231" s="12" t="s">
        <v>859</v>
      </c>
      <c r="F231" s="12" t="s">
        <v>59</v>
      </c>
      <c r="G231" s="13">
        <v>1</v>
      </c>
      <c r="H231" s="13"/>
      <c r="I231" s="13">
        <v>358.7</v>
      </c>
      <c r="J231" s="14">
        <f>IFERROR(ROUND(SUM(M232,M233,M234,M235)/I231, 2),0)</f>
        <v>701.1</v>
      </c>
      <c r="K231" s="15">
        <v>1477</v>
      </c>
      <c r="L231" s="14">
        <f>J231+ROUND(K231, 2)</f>
        <v>2178.1</v>
      </c>
      <c r="M231" s="14">
        <f>ROUND(J231*I231, 2)</f>
        <v>251484.57</v>
      </c>
      <c r="N231" s="14">
        <f>ROUND(I231*ROUND(K231, 2), 2)</f>
        <v>529799.9</v>
      </c>
      <c r="O231" s="14">
        <f>M231+N231</f>
        <v>781284.47</v>
      </c>
      <c r="P231" s="14">
        <f>IFERROR(ROUND(SUM(S232,S233,S234,S235)/I231, 2),0)</f>
        <v>475.79</v>
      </c>
      <c r="Q231" s="15">
        <v>1477</v>
      </c>
      <c r="R231" s="14">
        <f>P231+ROUND(Q231, 2)</f>
        <v>1952.79</v>
      </c>
      <c r="S231" s="14">
        <f>ROUND(P231*I231, 2)</f>
        <v>170665.87</v>
      </c>
      <c r="T231" s="14">
        <f>ROUND(I231*ROUND(Q231, 2), 2)</f>
        <v>529799.9</v>
      </c>
      <c r="U231" s="14">
        <f>S231+T231</f>
        <v>700465.77</v>
      </c>
      <c r="V231" s="9">
        <f>ROUND(P231 / 1.2, 2)</f>
        <v>396.49</v>
      </c>
      <c r="W231" s="9">
        <f>ROUND(Q231 / 1.2, 2)</f>
        <v>1230.83</v>
      </c>
      <c r="X231" s="9">
        <f>ROUND(R231 / 1.2, 2)</f>
        <v>1627.33</v>
      </c>
      <c r="Y231" s="9">
        <f t="shared" si="13"/>
        <v>142221.56</v>
      </c>
      <c r="Z231" s="9">
        <f>ROUND(T231 / 1.2, 2)</f>
        <v>441499.92</v>
      </c>
      <c r="AA231" s="9">
        <f>Y231+Z231</f>
        <v>583721.48</v>
      </c>
      <c r="AD231" s="4">
        <v>282589021</v>
      </c>
      <c r="AE231" s="4">
        <v>20344047</v>
      </c>
      <c r="AG231" s="4" t="s">
        <v>838</v>
      </c>
      <c r="AH231" s="4" t="s">
        <v>839</v>
      </c>
      <c r="AI231" s="4" t="s">
        <v>170</v>
      </c>
    </row>
    <row r="232" spans="1:35" ht="18.75" x14ac:dyDescent="0.25">
      <c r="A232" s="10" t="s">
        <v>860</v>
      </c>
      <c r="B232" s="10"/>
      <c r="C232" s="21" t="s">
        <v>861</v>
      </c>
      <c r="D232" s="12"/>
      <c r="E232" s="12"/>
      <c r="F232" s="17" t="s">
        <v>59</v>
      </c>
      <c r="G232" s="18">
        <v>1.1000000000000001</v>
      </c>
      <c r="H232" s="22"/>
      <c r="I232" s="22">
        <v>394.57</v>
      </c>
      <c r="J232" s="19">
        <v>309.39999999999998</v>
      </c>
      <c r="M232" s="20">
        <f>ROUND(ROUND(J232, 2)*I232, 2)</f>
        <v>122079.96</v>
      </c>
      <c r="P232" s="19">
        <v>104.57</v>
      </c>
      <c r="S232" s="20">
        <f>ROUND(ROUND(P232, 2)*I232, 2)</f>
        <v>41260.18</v>
      </c>
      <c r="V232" s="9">
        <f>ROUND(ROUND(P232, 2)/1.2, 2)</f>
        <v>87.14</v>
      </c>
      <c r="Y232" s="9">
        <f t="shared" si="13"/>
        <v>34383.480000000003</v>
      </c>
      <c r="AD232" s="4" t="s">
        <v>862</v>
      </c>
      <c r="AE232" s="4" t="s">
        <v>863</v>
      </c>
      <c r="AF232" s="4" t="s">
        <v>864</v>
      </c>
    </row>
    <row r="233" spans="1:35" ht="18.75" x14ac:dyDescent="0.25">
      <c r="A233" s="10" t="s">
        <v>865</v>
      </c>
      <c r="B233" s="10"/>
      <c r="C233" s="16" t="s">
        <v>846</v>
      </c>
      <c r="D233" s="12"/>
      <c r="E233" s="12"/>
      <c r="F233" s="17" t="s">
        <v>76</v>
      </c>
      <c r="G233" s="18">
        <v>1</v>
      </c>
      <c r="H233" s="22"/>
      <c r="I233" s="22">
        <v>1794</v>
      </c>
      <c r="J233" s="19">
        <v>44.71</v>
      </c>
      <c r="M233" s="20">
        <f>ROUND(ROUND(J233, 2)*I233, 2)</f>
        <v>80209.740000000005</v>
      </c>
      <c r="P233" s="19">
        <v>44.71</v>
      </c>
      <c r="S233" s="20">
        <f>ROUND(ROUND(P233, 2)*I233, 2)</f>
        <v>80209.740000000005</v>
      </c>
      <c r="V233" s="9">
        <f>ROUND(ROUND(P233, 2)/1.2, 2)</f>
        <v>37.26</v>
      </c>
      <c r="Y233" s="9">
        <f t="shared" si="13"/>
        <v>66841.45</v>
      </c>
      <c r="AD233" s="4" t="s">
        <v>866</v>
      </c>
      <c r="AE233" s="4" t="s">
        <v>867</v>
      </c>
      <c r="AF233" s="4" t="s">
        <v>849</v>
      </c>
    </row>
    <row r="234" spans="1:35" ht="18.75" x14ac:dyDescent="0.25">
      <c r="A234" s="10" t="s">
        <v>868</v>
      </c>
      <c r="B234" s="10"/>
      <c r="C234" s="16" t="s">
        <v>123</v>
      </c>
      <c r="D234" s="12"/>
      <c r="E234" s="12"/>
      <c r="F234" s="17" t="s">
        <v>76</v>
      </c>
      <c r="G234" s="18">
        <v>1</v>
      </c>
      <c r="H234" s="22"/>
      <c r="I234" s="22">
        <v>539</v>
      </c>
      <c r="J234" s="19">
        <v>35.76</v>
      </c>
      <c r="M234" s="20">
        <f>ROUND(ROUND(J234, 2)*I234, 2)</f>
        <v>19274.64</v>
      </c>
      <c r="P234" s="19">
        <v>35.76</v>
      </c>
      <c r="S234" s="20">
        <f>ROUND(ROUND(P234, 2)*I234, 2)</f>
        <v>19274.64</v>
      </c>
      <c r="V234" s="9">
        <f>ROUND(ROUND(P234, 2)/1.2, 2)</f>
        <v>29.8</v>
      </c>
      <c r="Y234" s="9">
        <f t="shared" si="13"/>
        <v>16062.2</v>
      </c>
      <c r="AD234" s="4" t="s">
        <v>869</v>
      </c>
      <c r="AE234" s="4" t="s">
        <v>870</v>
      </c>
      <c r="AF234" s="4" t="s">
        <v>126</v>
      </c>
    </row>
    <row r="235" spans="1:35" ht="18.75" x14ac:dyDescent="0.25">
      <c r="A235" s="10" t="s">
        <v>871</v>
      </c>
      <c r="B235" s="10"/>
      <c r="C235" s="16" t="s">
        <v>841</v>
      </c>
      <c r="D235" s="12"/>
      <c r="E235" s="12"/>
      <c r="F235" s="17" t="s">
        <v>222</v>
      </c>
      <c r="G235" s="18">
        <v>1</v>
      </c>
      <c r="H235" s="22"/>
      <c r="I235" s="22">
        <v>374</v>
      </c>
      <c r="J235" s="19">
        <v>80</v>
      </c>
      <c r="M235" s="20">
        <f>ROUND(ROUND(J235, 2)*I235, 2)</f>
        <v>29920</v>
      </c>
      <c r="P235" s="19">
        <v>80</v>
      </c>
      <c r="S235" s="20">
        <f>ROUND(ROUND(P235, 2)*I235, 2)</f>
        <v>29920</v>
      </c>
      <c r="V235" s="9">
        <f>ROUND(ROUND(P235, 2)/1.2, 2)</f>
        <v>66.67</v>
      </c>
      <c r="Y235" s="9">
        <f t="shared" si="13"/>
        <v>24933.33</v>
      </c>
      <c r="AD235" s="4" t="s">
        <v>872</v>
      </c>
      <c r="AE235" s="4" t="s">
        <v>873</v>
      </c>
      <c r="AF235" s="4" t="s">
        <v>844</v>
      </c>
    </row>
    <row r="236" spans="1:35" ht="17.100000000000001" customHeight="1" x14ac:dyDescent="0.25">
      <c r="A236" s="10" t="s">
        <v>874</v>
      </c>
      <c r="B236" s="10" t="s">
        <v>875</v>
      </c>
      <c r="C236" s="33" t="s">
        <v>876</v>
      </c>
      <c r="D236" s="34"/>
      <c r="E236" s="34"/>
      <c r="F236" s="34"/>
      <c r="G236" s="34"/>
      <c r="H236" s="34"/>
      <c r="I236" s="35"/>
      <c r="M236" s="6">
        <f>SUM(M237,M244)</f>
        <v>2330512.66</v>
      </c>
      <c r="N236" s="6">
        <f>SUM(N237,N244)</f>
        <v>6153445.0999999996</v>
      </c>
      <c r="O236" s="6">
        <f>SUM(O237,O244)</f>
        <v>8483957.7599999998</v>
      </c>
      <c r="S236" s="6">
        <f>SUM(S237,S244)</f>
        <v>1172631.94</v>
      </c>
      <c r="T236" s="6">
        <f>SUM(T237,T244)</f>
        <v>6153445.0999999996</v>
      </c>
      <c r="U236" s="6">
        <f>SUM(U237,U244)</f>
        <v>7326077.040000001</v>
      </c>
      <c r="Y236" s="9">
        <f>SUM(Y237,Y244)</f>
        <v>977193.29</v>
      </c>
      <c r="Z236" s="9">
        <f>SUM(Z237,Z244)</f>
        <v>5127870.92</v>
      </c>
      <c r="AA236" s="9">
        <f>SUM(AA237,AA244)</f>
        <v>6105064.209999999</v>
      </c>
      <c r="AD236" s="4">
        <v>282588968</v>
      </c>
      <c r="AE236" s="4">
        <v>20300800</v>
      </c>
    </row>
    <row r="237" spans="1:35" ht="17.100000000000001" customHeight="1" x14ac:dyDescent="0.25">
      <c r="A237" s="10" t="s">
        <v>877</v>
      </c>
      <c r="B237" s="10" t="s">
        <v>878</v>
      </c>
      <c r="C237" s="33" t="s">
        <v>879</v>
      </c>
      <c r="D237" s="34"/>
      <c r="E237" s="34"/>
      <c r="F237" s="34"/>
      <c r="G237" s="34"/>
      <c r="H237" s="34"/>
      <c r="I237" s="35"/>
      <c r="M237" s="6">
        <f>SUM(M238,M241)</f>
        <v>304542.73</v>
      </c>
      <c r="N237" s="6">
        <f>SUM(N238,N241)</f>
        <v>3668446.7</v>
      </c>
      <c r="O237" s="6">
        <f>SUM(O238,O241)</f>
        <v>3972989.4299999997</v>
      </c>
      <c r="S237" s="6">
        <f>SUM(S238,S241)</f>
        <v>304542.73</v>
      </c>
      <c r="T237" s="6">
        <f>SUM(T238,T241)</f>
        <v>3668446.7</v>
      </c>
      <c r="U237" s="6">
        <f>SUM(U238,U241)</f>
        <v>3972989.4299999997</v>
      </c>
      <c r="Y237" s="9">
        <f>SUM(Y238,Y241)</f>
        <v>253785.61000000002</v>
      </c>
      <c r="Z237" s="9">
        <f>SUM(Z238,Z241)</f>
        <v>3057038.92</v>
      </c>
      <c r="AA237" s="9">
        <f>SUM(AA238,AA241)</f>
        <v>3310824.53</v>
      </c>
      <c r="AD237" s="4">
        <v>282588969</v>
      </c>
      <c r="AE237" s="4">
        <v>20324128</v>
      </c>
    </row>
    <row r="238" spans="1:35" ht="75" x14ac:dyDescent="0.25">
      <c r="A238" s="10" t="s">
        <v>880</v>
      </c>
      <c r="B238" s="10" t="s">
        <v>881</v>
      </c>
      <c r="C238" s="11" t="s">
        <v>882</v>
      </c>
      <c r="D238" s="12"/>
      <c r="E238" s="12" t="s">
        <v>883</v>
      </c>
      <c r="F238" s="12" t="s">
        <v>59</v>
      </c>
      <c r="G238" s="13">
        <v>1</v>
      </c>
      <c r="H238" s="13"/>
      <c r="I238" s="13">
        <v>3898.4</v>
      </c>
      <c r="J238" s="14">
        <f>IFERROR(ROUND(SUM(M239,M240)/I238, 2),0)</f>
        <v>70.47</v>
      </c>
      <c r="K238" s="15">
        <v>790</v>
      </c>
      <c r="L238" s="14">
        <f>J238+ROUND(K238, 2)</f>
        <v>860.47</v>
      </c>
      <c r="M238" s="14">
        <f>ROUND(J238*I238, 2)</f>
        <v>274720.25</v>
      </c>
      <c r="N238" s="14">
        <f>ROUND(I238*ROUND(K238, 2), 2)</f>
        <v>3079736</v>
      </c>
      <c r="O238" s="14">
        <f>M238+N238</f>
        <v>3354456.25</v>
      </c>
      <c r="P238" s="14">
        <f>IFERROR(ROUND(SUM(S239,S240)/I238, 2),0)</f>
        <v>70.47</v>
      </c>
      <c r="Q238" s="15">
        <v>790</v>
      </c>
      <c r="R238" s="14">
        <f>P238+ROUND(Q238, 2)</f>
        <v>860.47</v>
      </c>
      <c r="S238" s="14">
        <f>ROUND(P238*I238, 2)</f>
        <v>274720.25</v>
      </c>
      <c r="T238" s="14">
        <f>ROUND(I238*ROUND(Q238, 2), 2)</f>
        <v>3079736</v>
      </c>
      <c r="U238" s="14">
        <f>S238+T238</f>
        <v>3354456.25</v>
      </c>
      <c r="V238" s="9">
        <f>ROUND(P238 / 1.2, 2)</f>
        <v>58.73</v>
      </c>
      <c r="W238" s="9">
        <f>ROUND(Q238 / 1.2, 2)</f>
        <v>658.33</v>
      </c>
      <c r="X238" s="9">
        <f>ROUND(R238 / 1.2, 2)</f>
        <v>717.06</v>
      </c>
      <c r="Y238" s="9">
        <f>ROUND(S238 / 1.2, 2)</f>
        <v>228933.54</v>
      </c>
      <c r="Z238" s="9">
        <f>ROUND(T238 / 1.2, 2)</f>
        <v>2566446.67</v>
      </c>
      <c r="AA238" s="9">
        <f>Y238+Z238</f>
        <v>2795380.21</v>
      </c>
      <c r="AD238" s="4">
        <v>282588971</v>
      </c>
      <c r="AE238" s="4">
        <v>20324131</v>
      </c>
      <c r="AG238" s="4" t="s">
        <v>884</v>
      </c>
      <c r="AH238" s="4" t="s">
        <v>885</v>
      </c>
      <c r="AI238" s="4" t="s">
        <v>170</v>
      </c>
    </row>
    <row r="239" spans="1:35" ht="56.25" x14ac:dyDescent="0.25">
      <c r="A239" s="10" t="s">
        <v>886</v>
      </c>
      <c r="B239" s="10"/>
      <c r="C239" s="21" t="s">
        <v>887</v>
      </c>
      <c r="D239" s="12"/>
      <c r="E239" s="12"/>
      <c r="F239" s="17" t="s">
        <v>173</v>
      </c>
      <c r="G239" s="18">
        <v>4.5</v>
      </c>
      <c r="H239" s="18"/>
      <c r="I239" s="18">
        <v>17542.8</v>
      </c>
      <c r="J239" s="19">
        <v>12.7</v>
      </c>
      <c r="M239" s="20">
        <f>ROUND(ROUND(J239, 2)*I239, 2)</f>
        <v>222793.56</v>
      </c>
      <c r="P239" s="19">
        <v>12.7</v>
      </c>
      <c r="S239" s="20">
        <f>ROUND(ROUND(P239, 2)*I239, 2)</f>
        <v>222793.56</v>
      </c>
      <c r="V239" s="9">
        <f>ROUND(ROUND(P239, 2)/1.2, 2)</f>
        <v>10.58</v>
      </c>
      <c r="Y239" s="9">
        <f>ROUND(S239 / 1.2, 2)</f>
        <v>185661.3</v>
      </c>
      <c r="AD239" s="4" t="s">
        <v>888</v>
      </c>
      <c r="AE239" s="4" t="s">
        <v>889</v>
      </c>
      <c r="AF239" s="4" t="s">
        <v>890</v>
      </c>
    </row>
    <row r="240" spans="1:35" ht="37.5" x14ac:dyDescent="0.25">
      <c r="A240" s="10" t="s">
        <v>891</v>
      </c>
      <c r="B240" s="10"/>
      <c r="C240" s="16" t="s">
        <v>383</v>
      </c>
      <c r="D240" s="12"/>
      <c r="E240" s="12"/>
      <c r="F240" s="17" t="s">
        <v>173</v>
      </c>
      <c r="G240" s="18">
        <v>0.15</v>
      </c>
      <c r="H240" s="18"/>
      <c r="I240" s="18">
        <v>584.76</v>
      </c>
      <c r="J240" s="19">
        <v>88.8</v>
      </c>
      <c r="M240" s="20">
        <f>ROUND(ROUND(J240, 2)*I240, 2)</f>
        <v>51926.69</v>
      </c>
      <c r="P240" s="19">
        <v>88.8</v>
      </c>
      <c r="S240" s="20">
        <f>ROUND(ROUND(P240, 2)*I240, 2)</f>
        <v>51926.69</v>
      </c>
      <c r="V240" s="9">
        <f>ROUND(ROUND(P240, 2)/1.2, 2)</f>
        <v>74</v>
      </c>
      <c r="Y240" s="9">
        <f>ROUND(S240 / 1.2, 2)</f>
        <v>43272.24</v>
      </c>
      <c r="AD240" s="4" t="s">
        <v>892</v>
      </c>
      <c r="AE240" s="4" t="s">
        <v>893</v>
      </c>
      <c r="AF240" s="4" t="s">
        <v>386</v>
      </c>
    </row>
    <row r="241" spans="1:35" ht="37.5" x14ac:dyDescent="0.25">
      <c r="A241" s="10" t="s">
        <v>894</v>
      </c>
      <c r="B241" s="10" t="s">
        <v>895</v>
      </c>
      <c r="C241" s="11" t="s">
        <v>896</v>
      </c>
      <c r="D241" s="12"/>
      <c r="E241" s="12" t="s">
        <v>897</v>
      </c>
      <c r="F241" s="12" t="s">
        <v>59</v>
      </c>
      <c r="G241" s="13">
        <v>1</v>
      </c>
      <c r="H241" s="13"/>
      <c r="I241" s="13">
        <v>921.3</v>
      </c>
      <c r="J241" s="14">
        <f>IFERROR(ROUND(SUM(M242,M243)/I241, 2),0)</f>
        <v>32.369999999999997</v>
      </c>
      <c r="K241" s="15">
        <v>639</v>
      </c>
      <c r="L241" s="14">
        <f>J241+ROUND(K241, 2)</f>
        <v>671.37</v>
      </c>
      <c r="M241" s="14">
        <f>ROUND(J241*I241, 2)</f>
        <v>29822.48</v>
      </c>
      <c r="N241" s="14">
        <f>ROUND(I241*ROUND(K241, 2), 2)</f>
        <v>588710.69999999995</v>
      </c>
      <c r="O241" s="14">
        <f>M241+N241</f>
        <v>618533.17999999993</v>
      </c>
      <c r="P241" s="14">
        <f>IFERROR(ROUND(SUM(S242,S243)/I241, 2),0)</f>
        <v>32.369999999999997</v>
      </c>
      <c r="Q241" s="15">
        <v>639</v>
      </c>
      <c r="R241" s="14">
        <f>P241+ROUND(Q241, 2)</f>
        <v>671.37</v>
      </c>
      <c r="S241" s="14">
        <f>ROUND(P241*I241, 2)</f>
        <v>29822.48</v>
      </c>
      <c r="T241" s="14">
        <f>ROUND(I241*ROUND(Q241, 2), 2)</f>
        <v>588710.69999999995</v>
      </c>
      <c r="U241" s="14">
        <f>S241+T241</f>
        <v>618533.17999999993</v>
      </c>
      <c r="V241" s="9">
        <f>ROUND(P241 / 1.2, 2)</f>
        <v>26.98</v>
      </c>
      <c r="W241" s="9">
        <f>ROUND(Q241 / 1.2, 2)</f>
        <v>532.5</v>
      </c>
      <c r="X241" s="9">
        <f>ROUND(R241 / 1.2, 2)</f>
        <v>559.48</v>
      </c>
      <c r="Y241" s="9">
        <f>ROUND(S241 / 1.2, 2)</f>
        <v>24852.07</v>
      </c>
      <c r="Z241" s="9">
        <f>ROUND(T241 / 1.2, 2)</f>
        <v>490592.25</v>
      </c>
      <c r="AA241" s="9">
        <f>Y241+Z241</f>
        <v>515444.32</v>
      </c>
      <c r="AD241" s="4">
        <v>282588972</v>
      </c>
      <c r="AE241" s="4">
        <v>21107425</v>
      </c>
      <c r="AG241" s="4" t="s">
        <v>898</v>
      </c>
      <c r="AH241" s="4" t="s">
        <v>899</v>
      </c>
      <c r="AI241" s="4" t="s">
        <v>170</v>
      </c>
    </row>
    <row r="242" spans="1:35" ht="56.25" x14ac:dyDescent="0.25">
      <c r="A242" s="10" t="s">
        <v>900</v>
      </c>
      <c r="B242" s="10"/>
      <c r="C242" s="21" t="s">
        <v>887</v>
      </c>
      <c r="D242" s="12"/>
      <c r="E242" s="12"/>
      <c r="F242" s="17" t="s">
        <v>173</v>
      </c>
      <c r="G242" s="18">
        <v>1.5</v>
      </c>
      <c r="H242" s="18"/>
      <c r="I242" s="18">
        <v>1381.95</v>
      </c>
      <c r="J242" s="19">
        <v>12.7</v>
      </c>
      <c r="M242" s="20">
        <f>ROUND(ROUND(J242, 2)*I242, 2)</f>
        <v>17550.77</v>
      </c>
      <c r="P242" s="19">
        <v>12.7</v>
      </c>
      <c r="S242" s="20">
        <f>ROUND(ROUND(P242, 2)*I242, 2)</f>
        <v>17550.77</v>
      </c>
      <c r="V242" s="9">
        <f>ROUND(ROUND(P242, 2)/1.2, 2)</f>
        <v>10.58</v>
      </c>
      <c r="Y242" s="9">
        <f>ROUND(S242 / 1.2, 2)</f>
        <v>14625.64</v>
      </c>
      <c r="AD242" s="4" t="s">
        <v>901</v>
      </c>
      <c r="AE242" s="4" t="s">
        <v>902</v>
      </c>
      <c r="AF242" s="4" t="s">
        <v>890</v>
      </c>
    </row>
    <row r="243" spans="1:35" ht="37.5" x14ac:dyDescent="0.25">
      <c r="A243" s="10" t="s">
        <v>903</v>
      </c>
      <c r="B243" s="10"/>
      <c r="C243" s="16" t="s">
        <v>383</v>
      </c>
      <c r="D243" s="12"/>
      <c r="E243" s="12"/>
      <c r="F243" s="17" t="s">
        <v>173</v>
      </c>
      <c r="G243" s="18">
        <v>0.15</v>
      </c>
      <c r="H243" s="18"/>
      <c r="I243" s="18">
        <v>138.19499999999999</v>
      </c>
      <c r="J243" s="19">
        <v>88.8</v>
      </c>
      <c r="M243" s="20">
        <f>ROUND(ROUND(J243, 2)*I243, 2)</f>
        <v>12271.72</v>
      </c>
      <c r="P243" s="19">
        <v>88.8</v>
      </c>
      <c r="S243" s="20">
        <f>ROUND(ROUND(P243, 2)*I243, 2)</f>
        <v>12271.72</v>
      </c>
      <c r="V243" s="9">
        <f>ROUND(ROUND(P243, 2)/1.2, 2)</f>
        <v>74</v>
      </c>
      <c r="Y243" s="9">
        <f>ROUND(S243 / 1.2, 2)</f>
        <v>10226.43</v>
      </c>
      <c r="AD243" s="4" t="s">
        <v>904</v>
      </c>
      <c r="AE243" s="4" t="s">
        <v>905</v>
      </c>
      <c r="AF243" s="4" t="s">
        <v>386</v>
      </c>
    </row>
    <row r="244" spans="1:35" ht="17.100000000000001" customHeight="1" x14ac:dyDescent="0.25">
      <c r="A244" s="10" t="s">
        <v>906</v>
      </c>
      <c r="B244" s="10" t="s">
        <v>907</v>
      </c>
      <c r="C244" s="33" t="s">
        <v>908</v>
      </c>
      <c r="D244" s="34"/>
      <c r="E244" s="34"/>
      <c r="F244" s="34"/>
      <c r="G244" s="34"/>
      <c r="H244" s="34"/>
      <c r="I244" s="35"/>
      <c r="M244" s="6">
        <f>SUM(M245,M248,M251,M254)</f>
        <v>2025969.9300000002</v>
      </c>
      <c r="N244" s="6">
        <f>SUM(N245,N248,N251,N254)</f>
        <v>2484998.4</v>
      </c>
      <c r="O244" s="6">
        <f>SUM(O245,O248,O251,O254)</f>
        <v>4510968.33</v>
      </c>
      <c r="S244" s="6">
        <f>SUM(S245,S248,S251,S254)</f>
        <v>868089.21000000008</v>
      </c>
      <c r="T244" s="6">
        <f>SUM(T245,T248,T251,T254)</f>
        <v>2484998.4</v>
      </c>
      <c r="U244" s="6">
        <f>SUM(U245,U248,U251,U254)</f>
        <v>3353087.6100000008</v>
      </c>
      <c r="Y244" s="9">
        <f>SUM(Y245,Y248,Y251,Y254)</f>
        <v>723407.68</v>
      </c>
      <c r="Z244" s="9">
        <f>SUM(Z245,Z248,Z251,Z254)</f>
        <v>2070832</v>
      </c>
      <c r="AA244" s="9">
        <f>SUM(AA245,AA248,AA251,AA254)</f>
        <v>2794239.6799999997</v>
      </c>
      <c r="AD244" s="4">
        <v>282588973</v>
      </c>
      <c r="AE244" s="4">
        <v>20300804</v>
      </c>
    </row>
    <row r="245" spans="1:35" ht="187.5" x14ac:dyDescent="0.25">
      <c r="A245" s="10" t="s">
        <v>909</v>
      </c>
      <c r="B245" s="10" t="s">
        <v>910</v>
      </c>
      <c r="C245" s="11" t="s">
        <v>911</v>
      </c>
      <c r="D245" s="12"/>
      <c r="E245" s="12" t="s">
        <v>912</v>
      </c>
      <c r="F245" s="12" t="s">
        <v>59</v>
      </c>
      <c r="G245" s="13">
        <v>1</v>
      </c>
      <c r="H245" s="13"/>
      <c r="I245" s="13">
        <v>3898.4</v>
      </c>
      <c r="J245" s="14">
        <f>IFERROR(ROUND(SUM(M246,M247)/I245, 2),0)</f>
        <v>378.29</v>
      </c>
      <c r="K245" s="15">
        <v>464</v>
      </c>
      <c r="L245" s="14">
        <f>J245+ROUND(K245, 2)</f>
        <v>842.29</v>
      </c>
      <c r="M245" s="14">
        <f>ROUND(J245*I245, 2)</f>
        <v>1474725.74</v>
      </c>
      <c r="N245" s="14">
        <f>ROUND(I245*ROUND(K245, 2), 2)</f>
        <v>1808857.6</v>
      </c>
      <c r="O245" s="14">
        <f>M245+N245</f>
        <v>3283583.34</v>
      </c>
      <c r="P245" s="14">
        <f>IFERROR(ROUND(SUM(S246,S247)/I245, 2),0)</f>
        <v>162.09</v>
      </c>
      <c r="Q245" s="15">
        <v>464</v>
      </c>
      <c r="R245" s="14">
        <f>P245+ROUND(Q245, 2)</f>
        <v>626.09</v>
      </c>
      <c r="S245" s="14">
        <f>ROUND(P245*I245, 2)</f>
        <v>631891.66</v>
      </c>
      <c r="T245" s="14">
        <f>ROUND(I245*ROUND(Q245, 2), 2)</f>
        <v>1808857.6</v>
      </c>
      <c r="U245" s="14">
        <f>S245+T245</f>
        <v>2440749.2600000002</v>
      </c>
      <c r="V245" s="9">
        <f>ROUND(P245 / 1.2, 2)</f>
        <v>135.08000000000001</v>
      </c>
      <c r="W245" s="9">
        <f>ROUND(Q245 / 1.2, 2)</f>
        <v>386.67</v>
      </c>
      <c r="X245" s="9">
        <f>ROUND(R245 / 1.2, 2)</f>
        <v>521.74</v>
      </c>
      <c r="Y245" s="9">
        <f>ROUND(S245 / 1.2, 2)</f>
        <v>526576.38</v>
      </c>
      <c r="Z245" s="9">
        <f>ROUND(T245 / 1.2, 2)</f>
        <v>1507381.33</v>
      </c>
      <c r="AA245" s="9">
        <f>Y245+Z245</f>
        <v>2033957.71</v>
      </c>
      <c r="AD245" s="4">
        <v>282588975</v>
      </c>
      <c r="AE245" s="4">
        <v>20344955</v>
      </c>
      <c r="AG245" s="4" t="s">
        <v>913</v>
      </c>
      <c r="AH245" s="4" t="s">
        <v>914</v>
      </c>
      <c r="AI245" s="4" t="s">
        <v>170</v>
      </c>
    </row>
    <row r="246" spans="1:35" ht="75" x14ac:dyDescent="0.25">
      <c r="A246" s="10" t="s">
        <v>915</v>
      </c>
      <c r="B246" s="10"/>
      <c r="C246" s="16" t="s">
        <v>641</v>
      </c>
      <c r="D246" s="12"/>
      <c r="E246" s="12" t="s">
        <v>916</v>
      </c>
      <c r="F246" s="17" t="s">
        <v>173</v>
      </c>
      <c r="G246" s="18">
        <v>0.3</v>
      </c>
      <c r="H246" s="18"/>
      <c r="I246" s="18">
        <v>1169.52</v>
      </c>
      <c r="J246" s="19">
        <v>1216.56</v>
      </c>
      <c r="M246" s="20">
        <f>ROUND(ROUND(J246, 2)*I246, 2)</f>
        <v>1422791.25</v>
      </c>
      <c r="P246" s="19">
        <v>495.9</v>
      </c>
      <c r="S246" s="20">
        <f>ROUND(ROUND(P246, 2)*I246, 2)</f>
        <v>579964.97</v>
      </c>
      <c r="V246" s="9">
        <f>ROUND(ROUND(P246, 2)/1.2, 2)</f>
        <v>413.25</v>
      </c>
      <c r="Y246" s="9">
        <f t="shared" ref="Y246:Y256" si="14">ROUND(S246 / 1.2, 2)</f>
        <v>483304.14</v>
      </c>
      <c r="AD246" s="4" t="s">
        <v>917</v>
      </c>
      <c r="AE246" s="4" t="s">
        <v>918</v>
      </c>
      <c r="AF246" s="4" t="s">
        <v>644</v>
      </c>
    </row>
    <row r="247" spans="1:35" ht="37.5" x14ac:dyDescent="0.25">
      <c r="A247" s="10" t="s">
        <v>919</v>
      </c>
      <c r="B247" s="10"/>
      <c r="C247" s="16" t="s">
        <v>383</v>
      </c>
      <c r="D247" s="12"/>
      <c r="E247" s="12"/>
      <c r="F247" s="17" t="s">
        <v>173</v>
      </c>
      <c r="G247" s="18">
        <v>0.15</v>
      </c>
      <c r="H247" s="18"/>
      <c r="I247" s="18">
        <v>584.76</v>
      </c>
      <c r="J247" s="19">
        <v>88.8</v>
      </c>
      <c r="M247" s="20">
        <f>ROUND(ROUND(J247, 2)*I247, 2)</f>
        <v>51926.69</v>
      </c>
      <c r="P247" s="19">
        <v>88.8</v>
      </c>
      <c r="S247" s="20">
        <f>ROUND(ROUND(P247, 2)*I247, 2)</f>
        <v>51926.69</v>
      </c>
      <c r="V247" s="9">
        <f>ROUND(ROUND(P247, 2)/1.2, 2)</f>
        <v>74</v>
      </c>
      <c r="Y247" s="9">
        <f t="shared" si="14"/>
        <v>43272.24</v>
      </c>
      <c r="AD247" s="4" t="s">
        <v>920</v>
      </c>
      <c r="AE247" s="4" t="s">
        <v>921</v>
      </c>
      <c r="AF247" s="4" t="s">
        <v>386</v>
      </c>
    </row>
    <row r="248" spans="1:35" ht="56.25" x14ac:dyDescent="0.25">
      <c r="A248" s="10" t="s">
        <v>922</v>
      </c>
      <c r="B248" s="10" t="s">
        <v>910</v>
      </c>
      <c r="C248" s="11" t="s">
        <v>911</v>
      </c>
      <c r="D248" s="12"/>
      <c r="E248" s="12" t="s">
        <v>923</v>
      </c>
      <c r="F248" s="12" t="s">
        <v>59</v>
      </c>
      <c r="G248" s="13">
        <v>1</v>
      </c>
      <c r="H248" s="13"/>
      <c r="I248" s="13">
        <v>921.3</v>
      </c>
      <c r="J248" s="14">
        <f>IFERROR(ROUND(SUM(M249,M250)/I248, 2),0)</f>
        <v>378.29</v>
      </c>
      <c r="K248" s="15">
        <v>464</v>
      </c>
      <c r="L248" s="14">
        <f>J248+ROUND(K248, 2)</f>
        <v>842.29</v>
      </c>
      <c r="M248" s="14">
        <f>ROUND(J248*I248, 2)</f>
        <v>348518.58</v>
      </c>
      <c r="N248" s="14">
        <f>ROUND(I248*ROUND(K248, 2), 2)</f>
        <v>427483.2</v>
      </c>
      <c r="O248" s="14">
        <f>M248+N248</f>
        <v>776001.78</v>
      </c>
      <c r="P248" s="14">
        <f>IFERROR(ROUND(SUM(S249,S250)/I248, 2),0)</f>
        <v>162.09</v>
      </c>
      <c r="Q248" s="15">
        <v>464</v>
      </c>
      <c r="R248" s="14">
        <f>P248+ROUND(Q248, 2)</f>
        <v>626.09</v>
      </c>
      <c r="S248" s="14">
        <f>ROUND(P248*I248, 2)</f>
        <v>149333.51999999999</v>
      </c>
      <c r="T248" s="14">
        <f>ROUND(I248*ROUND(Q248, 2), 2)</f>
        <v>427483.2</v>
      </c>
      <c r="U248" s="14">
        <f>S248+T248</f>
        <v>576816.72</v>
      </c>
      <c r="V248" s="9">
        <f>ROUND(P248 / 1.2, 2)</f>
        <v>135.08000000000001</v>
      </c>
      <c r="W248" s="9">
        <f>ROUND(Q248 / 1.2, 2)</f>
        <v>386.67</v>
      </c>
      <c r="X248" s="9">
        <f>ROUND(R248 / 1.2, 2)</f>
        <v>521.74</v>
      </c>
      <c r="Y248" s="9">
        <f t="shared" si="14"/>
        <v>124444.6</v>
      </c>
      <c r="Z248" s="9">
        <f>ROUND(T248 / 1.2, 2)</f>
        <v>356236</v>
      </c>
      <c r="AA248" s="9">
        <f>Y248+Z248</f>
        <v>480680.6</v>
      </c>
      <c r="AD248" s="4">
        <v>282589022</v>
      </c>
      <c r="AE248" s="4">
        <v>20344956</v>
      </c>
      <c r="AG248" s="4" t="s">
        <v>913</v>
      </c>
      <c r="AH248" s="4" t="s">
        <v>914</v>
      </c>
      <c r="AI248" s="4" t="s">
        <v>170</v>
      </c>
    </row>
    <row r="249" spans="1:35" ht="37.5" x14ac:dyDescent="0.25">
      <c r="A249" s="10" t="s">
        <v>924</v>
      </c>
      <c r="B249" s="10"/>
      <c r="C249" s="16" t="s">
        <v>383</v>
      </c>
      <c r="D249" s="12"/>
      <c r="E249" s="12"/>
      <c r="F249" s="17" t="s">
        <v>173</v>
      </c>
      <c r="G249" s="18">
        <v>0.15</v>
      </c>
      <c r="H249" s="18"/>
      <c r="I249" s="18">
        <v>138.19499999999999</v>
      </c>
      <c r="J249" s="19">
        <v>88.8</v>
      </c>
      <c r="M249" s="20">
        <f>ROUND(ROUND(J249, 2)*I249, 2)</f>
        <v>12271.72</v>
      </c>
      <c r="P249" s="19">
        <v>88.8</v>
      </c>
      <c r="S249" s="20">
        <f>ROUND(ROUND(P249, 2)*I249, 2)</f>
        <v>12271.72</v>
      </c>
      <c r="V249" s="9">
        <f>ROUND(ROUND(P249, 2)/1.2, 2)</f>
        <v>74</v>
      </c>
      <c r="Y249" s="9">
        <f t="shared" si="14"/>
        <v>10226.43</v>
      </c>
      <c r="AD249" s="4" t="s">
        <v>925</v>
      </c>
      <c r="AE249" s="4" t="s">
        <v>926</v>
      </c>
      <c r="AF249" s="4" t="s">
        <v>386</v>
      </c>
    </row>
    <row r="250" spans="1:35" ht="37.5" x14ac:dyDescent="0.25">
      <c r="A250" s="10" t="s">
        <v>927</v>
      </c>
      <c r="B250" s="10"/>
      <c r="C250" s="16" t="s">
        <v>641</v>
      </c>
      <c r="D250" s="12"/>
      <c r="E250" s="12"/>
      <c r="F250" s="17" t="s">
        <v>173</v>
      </c>
      <c r="G250" s="18">
        <v>0.3</v>
      </c>
      <c r="H250" s="18"/>
      <c r="I250" s="18">
        <v>276.39</v>
      </c>
      <c r="J250" s="19">
        <v>1216.56</v>
      </c>
      <c r="M250" s="20">
        <f>ROUND(ROUND(J250, 2)*I250, 2)</f>
        <v>336245.02</v>
      </c>
      <c r="P250" s="19">
        <v>495.9</v>
      </c>
      <c r="S250" s="20">
        <f>ROUND(ROUND(P250, 2)*I250, 2)</f>
        <v>137061.79999999999</v>
      </c>
      <c r="V250" s="9">
        <f>ROUND(ROUND(P250, 2)/1.2, 2)</f>
        <v>413.25</v>
      </c>
      <c r="Y250" s="9">
        <f t="shared" si="14"/>
        <v>114218.17</v>
      </c>
      <c r="AD250" s="4" t="s">
        <v>928</v>
      </c>
      <c r="AE250" s="4" t="s">
        <v>929</v>
      </c>
      <c r="AF250" s="4" t="s">
        <v>644</v>
      </c>
    </row>
    <row r="251" spans="1:35" ht="187.5" x14ac:dyDescent="0.25">
      <c r="A251" s="10" t="s">
        <v>930</v>
      </c>
      <c r="B251" s="10" t="s">
        <v>910</v>
      </c>
      <c r="C251" s="11" t="s">
        <v>911</v>
      </c>
      <c r="D251" s="12"/>
      <c r="E251" s="12" t="s">
        <v>931</v>
      </c>
      <c r="F251" s="12" t="s">
        <v>59</v>
      </c>
      <c r="G251" s="13">
        <v>1</v>
      </c>
      <c r="H251" s="13"/>
      <c r="I251" s="13">
        <v>272.2</v>
      </c>
      <c r="J251" s="14">
        <f>IFERROR(ROUND(SUM(M252,M253)/I251, 2),0)</f>
        <v>378.29</v>
      </c>
      <c r="K251" s="15">
        <v>464</v>
      </c>
      <c r="L251" s="14">
        <f>J251+ROUND(K251, 2)</f>
        <v>842.29</v>
      </c>
      <c r="M251" s="14">
        <f>ROUND(J251*I251, 2)</f>
        <v>102970.54</v>
      </c>
      <c r="N251" s="14">
        <f>ROUND(I251*ROUND(K251, 2), 2)</f>
        <v>126300.8</v>
      </c>
      <c r="O251" s="14">
        <f>M251+N251</f>
        <v>229271.34</v>
      </c>
      <c r="P251" s="14">
        <f>IFERROR(ROUND(SUM(S252,S253)/I251, 2),0)</f>
        <v>162.09</v>
      </c>
      <c r="Q251" s="15">
        <v>464</v>
      </c>
      <c r="R251" s="14">
        <f>P251+ROUND(Q251, 2)</f>
        <v>626.09</v>
      </c>
      <c r="S251" s="14">
        <f>ROUND(P251*I251, 2)</f>
        <v>44120.9</v>
      </c>
      <c r="T251" s="14">
        <f>ROUND(I251*ROUND(Q251, 2), 2)</f>
        <v>126300.8</v>
      </c>
      <c r="U251" s="14">
        <f>S251+T251</f>
        <v>170421.7</v>
      </c>
      <c r="V251" s="9">
        <f>ROUND(P251 / 1.2, 2)</f>
        <v>135.08000000000001</v>
      </c>
      <c r="W251" s="9">
        <f>ROUND(Q251 / 1.2, 2)</f>
        <v>386.67</v>
      </c>
      <c r="X251" s="9">
        <f>ROUND(R251 / 1.2, 2)</f>
        <v>521.74</v>
      </c>
      <c r="Y251" s="9">
        <f t="shared" si="14"/>
        <v>36767.42</v>
      </c>
      <c r="Z251" s="9">
        <f>ROUND(T251 / 1.2, 2)</f>
        <v>105250.67</v>
      </c>
      <c r="AA251" s="9">
        <f>Y251+Z251</f>
        <v>142018.09</v>
      </c>
      <c r="AD251" s="4">
        <v>282589023</v>
      </c>
      <c r="AE251" s="4">
        <v>20345081</v>
      </c>
      <c r="AG251" s="4" t="s">
        <v>913</v>
      </c>
      <c r="AH251" s="4" t="s">
        <v>914</v>
      </c>
      <c r="AI251" s="4" t="s">
        <v>170</v>
      </c>
    </row>
    <row r="252" spans="1:35" ht="56.25" x14ac:dyDescent="0.25">
      <c r="A252" s="10" t="s">
        <v>932</v>
      </c>
      <c r="B252" s="10"/>
      <c r="C252" s="16" t="s">
        <v>641</v>
      </c>
      <c r="D252" s="12"/>
      <c r="E252" s="12" t="s">
        <v>933</v>
      </c>
      <c r="F252" s="17" t="s">
        <v>173</v>
      </c>
      <c r="G252" s="18">
        <v>0.3</v>
      </c>
      <c r="H252" s="18"/>
      <c r="I252" s="18">
        <v>81.66</v>
      </c>
      <c r="J252" s="19">
        <v>1216.56</v>
      </c>
      <c r="M252" s="20">
        <f>ROUND(ROUND(J252, 2)*I252, 2)</f>
        <v>99344.29</v>
      </c>
      <c r="P252" s="19">
        <v>495.9</v>
      </c>
      <c r="S252" s="20">
        <f>ROUND(ROUND(P252, 2)*I252, 2)</f>
        <v>40495.19</v>
      </c>
      <c r="V252" s="9">
        <f>ROUND(ROUND(P252, 2)/1.2, 2)</f>
        <v>413.25</v>
      </c>
      <c r="Y252" s="9">
        <f t="shared" si="14"/>
        <v>33745.99</v>
      </c>
      <c r="AD252" s="4" t="s">
        <v>934</v>
      </c>
      <c r="AE252" s="4" t="s">
        <v>935</v>
      </c>
      <c r="AF252" s="4" t="s">
        <v>644</v>
      </c>
    </row>
    <row r="253" spans="1:35" ht="37.5" x14ac:dyDescent="0.25">
      <c r="A253" s="10" t="s">
        <v>936</v>
      </c>
      <c r="B253" s="10"/>
      <c r="C253" s="16" t="s">
        <v>383</v>
      </c>
      <c r="D253" s="12"/>
      <c r="E253" s="12"/>
      <c r="F253" s="17" t="s">
        <v>173</v>
      </c>
      <c r="G253" s="18">
        <v>0.15</v>
      </c>
      <c r="H253" s="18"/>
      <c r="I253" s="18">
        <v>40.83</v>
      </c>
      <c r="J253" s="19">
        <v>88.8</v>
      </c>
      <c r="M253" s="20">
        <f>ROUND(ROUND(J253, 2)*I253, 2)</f>
        <v>3625.7</v>
      </c>
      <c r="P253" s="19">
        <v>88.8</v>
      </c>
      <c r="S253" s="20">
        <f>ROUND(ROUND(P253, 2)*I253, 2)</f>
        <v>3625.7</v>
      </c>
      <c r="V253" s="9">
        <f>ROUND(ROUND(P253, 2)/1.2, 2)</f>
        <v>74</v>
      </c>
      <c r="Y253" s="9">
        <f t="shared" si="14"/>
        <v>3021.42</v>
      </c>
      <c r="AD253" s="4" t="s">
        <v>937</v>
      </c>
      <c r="AE253" s="4" t="s">
        <v>938</v>
      </c>
      <c r="AF253" s="4" t="s">
        <v>386</v>
      </c>
    </row>
    <row r="254" spans="1:35" ht="187.5" x14ac:dyDescent="0.25">
      <c r="A254" s="10" t="s">
        <v>939</v>
      </c>
      <c r="B254" s="10" t="s">
        <v>910</v>
      </c>
      <c r="C254" s="11" t="s">
        <v>911</v>
      </c>
      <c r="D254" s="12"/>
      <c r="E254" s="12" t="s">
        <v>940</v>
      </c>
      <c r="F254" s="12" t="s">
        <v>59</v>
      </c>
      <c r="G254" s="13">
        <v>1</v>
      </c>
      <c r="H254" s="13"/>
      <c r="I254" s="13">
        <v>263.7</v>
      </c>
      <c r="J254" s="14">
        <f>IFERROR(ROUND(SUM(M255,M256)/I254, 2),0)</f>
        <v>378.29</v>
      </c>
      <c r="K254" s="15">
        <v>464</v>
      </c>
      <c r="L254" s="14">
        <f>J254+ROUND(K254, 2)</f>
        <v>842.29</v>
      </c>
      <c r="M254" s="14">
        <f>ROUND(J254*I254, 2)</f>
        <v>99755.07</v>
      </c>
      <c r="N254" s="14">
        <f>ROUND(I254*ROUND(K254, 2), 2)</f>
        <v>122356.8</v>
      </c>
      <c r="O254" s="14">
        <f>M254+N254</f>
        <v>222111.87</v>
      </c>
      <c r="P254" s="14">
        <f>IFERROR(ROUND(SUM(S255,S256)/I254, 2),0)</f>
        <v>162.09</v>
      </c>
      <c r="Q254" s="15">
        <v>464</v>
      </c>
      <c r="R254" s="14">
        <f>P254+ROUND(Q254, 2)</f>
        <v>626.09</v>
      </c>
      <c r="S254" s="14">
        <f>ROUND(P254*I254, 2)</f>
        <v>42743.13</v>
      </c>
      <c r="T254" s="14">
        <f>ROUND(I254*ROUND(Q254, 2), 2)</f>
        <v>122356.8</v>
      </c>
      <c r="U254" s="14">
        <f>S254+T254</f>
        <v>165099.93</v>
      </c>
      <c r="V254" s="9">
        <f>ROUND(P254 / 1.2, 2)</f>
        <v>135.08000000000001</v>
      </c>
      <c r="W254" s="9">
        <f>ROUND(Q254 / 1.2, 2)</f>
        <v>386.67</v>
      </c>
      <c r="X254" s="9">
        <f>ROUND(R254 / 1.2, 2)</f>
        <v>521.74</v>
      </c>
      <c r="Y254" s="9">
        <f t="shared" si="14"/>
        <v>35619.279999999999</v>
      </c>
      <c r="Z254" s="9">
        <f>ROUND(T254 / 1.2, 2)</f>
        <v>101964</v>
      </c>
      <c r="AA254" s="9">
        <f>Y254+Z254</f>
        <v>137583.28</v>
      </c>
      <c r="AD254" s="4">
        <v>282589024</v>
      </c>
      <c r="AE254" s="4">
        <v>20345310</v>
      </c>
      <c r="AG254" s="4" t="s">
        <v>913</v>
      </c>
      <c r="AH254" s="4" t="s">
        <v>914</v>
      </c>
      <c r="AI254" s="4" t="s">
        <v>170</v>
      </c>
    </row>
    <row r="255" spans="1:35" ht="37.5" x14ac:dyDescent="0.25">
      <c r="A255" s="10" t="s">
        <v>941</v>
      </c>
      <c r="B255" s="10"/>
      <c r="C255" s="16" t="s">
        <v>383</v>
      </c>
      <c r="D255" s="12"/>
      <c r="E255" s="12"/>
      <c r="F255" s="17" t="s">
        <v>173</v>
      </c>
      <c r="G255" s="18">
        <v>0.15</v>
      </c>
      <c r="H255" s="18"/>
      <c r="I255" s="18">
        <v>39.555</v>
      </c>
      <c r="J255" s="19">
        <v>88.8</v>
      </c>
      <c r="M255" s="20">
        <f>ROUND(ROUND(J255, 2)*I255, 2)</f>
        <v>3512.48</v>
      </c>
      <c r="P255" s="19">
        <v>88.8</v>
      </c>
      <c r="S255" s="20">
        <f>ROUND(ROUND(P255, 2)*I255, 2)</f>
        <v>3512.48</v>
      </c>
      <c r="V255" s="9">
        <f>ROUND(ROUND(P255, 2)/1.2, 2)</f>
        <v>74</v>
      </c>
      <c r="Y255" s="9">
        <f t="shared" si="14"/>
        <v>2927.07</v>
      </c>
      <c r="AD255" s="4" t="s">
        <v>942</v>
      </c>
      <c r="AE255" s="4" t="s">
        <v>943</v>
      </c>
      <c r="AF255" s="4" t="s">
        <v>386</v>
      </c>
    </row>
    <row r="256" spans="1:35" ht="93.75" x14ac:dyDescent="0.25">
      <c r="A256" s="10" t="s">
        <v>944</v>
      </c>
      <c r="B256" s="10"/>
      <c r="C256" s="16" t="s">
        <v>641</v>
      </c>
      <c r="D256" s="12"/>
      <c r="E256" s="12" t="s">
        <v>945</v>
      </c>
      <c r="F256" s="17" t="s">
        <v>173</v>
      </c>
      <c r="G256" s="18">
        <v>0.3</v>
      </c>
      <c r="H256" s="18"/>
      <c r="I256" s="18">
        <v>79.11</v>
      </c>
      <c r="J256" s="19">
        <v>1216.56</v>
      </c>
      <c r="M256" s="20">
        <f>ROUND(ROUND(J256, 2)*I256, 2)</f>
        <v>96242.06</v>
      </c>
      <c r="P256" s="19">
        <v>495.9</v>
      </c>
      <c r="S256" s="20">
        <f>ROUND(ROUND(P256, 2)*I256, 2)</f>
        <v>39230.65</v>
      </c>
      <c r="V256" s="9">
        <f>ROUND(ROUND(P256, 2)/1.2, 2)</f>
        <v>413.25</v>
      </c>
      <c r="Y256" s="9">
        <f t="shared" si="14"/>
        <v>32692.21</v>
      </c>
      <c r="AD256" s="4" t="s">
        <v>946</v>
      </c>
      <c r="AE256" s="4" t="s">
        <v>947</v>
      </c>
      <c r="AF256" s="4" t="s">
        <v>644</v>
      </c>
    </row>
    <row r="257" spans="1:35" ht="17.100000000000001" customHeight="1" x14ac:dyDescent="0.25">
      <c r="A257" s="10" t="s">
        <v>948</v>
      </c>
      <c r="B257" s="10" t="s">
        <v>949</v>
      </c>
      <c r="C257" s="33" t="s">
        <v>950</v>
      </c>
      <c r="D257" s="34"/>
      <c r="E257" s="34"/>
      <c r="F257" s="34"/>
      <c r="G257" s="34"/>
      <c r="H257" s="34"/>
      <c r="I257" s="35"/>
      <c r="M257" s="6">
        <f>SUM(M258,M262,M264,M266,M268,M269,M271,M285,M287,M289,M291)</f>
        <v>4448772.3899999997</v>
      </c>
      <c r="N257" s="6">
        <f>SUM(N258,N262,N264,N266,N268,N269,N271,N285,N287,N289,N291)</f>
        <v>4990440.8</v>
      </c>
      <c r="O257" s="6">
        <f>SUM(O258,O262,O264,O266,O268,O269,O271,O285,O287,O289,O291)</f>
        <v>9439213.1900000013</v>
      </c>
      <c r="S257" s="6">
        <f>SUM(S258,S262,S264,S266,S268,S269,S271,S285,S287,S289,S291)</f>
        <v>5999863.25</v>
      </c>
      <c r="T257" s="6">
        <f>SUM(T258,T262,T264,T266,T268,T269,T271,T285,T287,T289,T291)</f>
        <v>4990440.8</v>
      </c>
      <c r="U257" s="6">
        <f>SUM(U258,U262,U264,U266,U268,U269,U271,U285,U287,U289,U291)</f>
        <v>10990304.050000001</v>
      </c>
      <c r="Y257" s="9">
        <f>SUM(Y258,Y262,Y264,Y266,Y268,Y269,Y271,Y285,Y287,Y289,Y291)</f>
        <v>4999886.05</v>
      </c>
      <c r="Z257" s="9">
        <f>SUM(Z258,Z262,Z264,Z266,Z268,Z269,Z271,Z285,Z287,Z289,Z291)</f>
        <v>4158700.67</v>
      </c>
      <c r="AA257" s="9">
        <f>SUM(AA258,AA262,AA264,AA266,AA268,AA269,AA271,AA285,AA287,AA289,AA291)</f>
        <v>9158586.7199999988</v>
      </c>
      <c r="AD257" s="4">
        <v>282588976</v>
      </c>
      <c r="AE257" s="4">
        <v>20300959</v>
      </c>
    </row>
    <row r="258" spans="1:35" ht="225" x14ac:dyDescent="0.25">
      <c r="A258" s="10" t="s">
        <v>951</v>
      </c>
      <c r="B258" s="10" t="s">
        <v>952</v>
      </c>
      <c r="C258" s="11" t="s">
        <v>953</v>
      </c>
      <c r="D258" s="12"/>
      <c r="E258" s="12" t="s">
        <v>954</v>
      </c>
      <c r="F258" s="12" t="s">
        <v>59</v>
      </c>
      <c r="G258" s="13">
        <v>1</v>
      </c>
      <c r="H258" s="13"/>
      <c r="I258" s="13">
        <v>34.200000000000003</v>
      </c>
      <c r="J258" s="14">
        <f>IFERROR(ROUND(SUM(M259,M260,M261)/I258, 2),0)</f>
        <v>988.99</v>
      </c>
      <c r="K258" s="15">
        <v>1359</v>
      </c>
      <c r="L258" s="14">
        <f>J258+ROUND(K258, 2)</f>
        <v>2347.9899999999998</v>
      </c>
      <c r="M258" s="14">
        <f>ROUND(J258*I258, 2)</f>
        <v>33823.46</v>
      </c>
      <c r="N258" s="14">
        <f>ROUND(I258*ROUND(K258, 2), 2)</f>
        <v>46477.8</v>
      </c>
      <c r="O258" s="14">
        <f>M258+N258</f>
        <v>80301.260000000009</v>
      </c>
      <c r="P258" s="14">
        <f>IFERROR(ROUND(SUM(S259,S260,S261)/I258, 2),0)</f>
        <v>1231.99</v>
      </c>
      <c r="Q258" s="15">
        <v>1359</v>
      </c>
      <c r="R258" s="14">
        <f>P258+ROUND(Q258, 2)</f>
        <v>2590.9899999999998</v>
      </c>
      <c r="S258" s="14">
        <f>ROUND(P258*I258, 2)</f>
        <v>42134.06</v>
      </c>
      <c r="T258" s="14">
        <f>ROUND(I258*ROUND(Q258, 2), 2)</f>
        <v>46477.8</v>
      </c>
      <c r="U258" s="14">
        <f>S258+T258</f>
        <v>88611.86</v>
      </c>
      <c r="V258" s="9">
        <f>ROUND(P258 / 1.2, 2)</f>
        <v>1026.6600000000001</v>
      </c>
      <c r="W258" s="9">
        <f>ROUND(Q258 / 1.2, 2)</f>
        <v>1132.5</v>
      </c>
      <c r="X258" s="9">
        <f>ROUND(R258 / 1.2, 2)</f>
        <v>2159.16</v>
      </c>
      <c r="Y258" s="9">
        <f>ROUND(S258 / 1.2, 2)</f>
        <v>35111.72</v>
      </c>
      <c r="Z258" s="9">
        <f>ROUND(T258 / 1.2, 2)</f>
        <v>38731.5</v>
      </c>
      <c r="AA258" s="9">
        <f>Y258+Z258</f>
        <v>73843.22</v>
      </c>
      <c r="AD258" s="4">
        <v>282588978</v>
      </c>
      <c r="AE258" s="4">
        <v>20300962</v>
      </c>
      <c r="AG258" s="4" t="s">
        <v>955</v>
      </c>
      <c r="AH258" s="4" t="s">
        <v>956</v>
      </c>
      <c r="AI258" s="4" t="s">
        <v>170</v>
      </c>
    </row>
    <row r="259" spans="1:35" ht="18.75" x14ac:dyDescent="0.25">
      <c r="A259" s="10" t="s">
        <v>957</v>
      </c>
      <c r="B259" s="10"/>
      <c r="C259" s="16" t="s">
        <v>958</v>
      </c>
      <c r="D259" s="12"/>
      <c r="E259" s="12"/>
      <c r="F259" s="17" t="s">
        <v>65</v>
      </c>
      <c r="G259" s="18">
        <v>1</v>
      </c>
      <c r="H259" s="18"/>
      <c r="I259" s="18">
        <v>34.200000000000003</v>
      </c>
      <c r="J259" s="19">
        <v>109</v>
      </c>
      <c r="M259" s="20">
        <f>ROUND(ROUND(J259, 2)*I259, 2)</f>
        <v>3727.8</v>
      </c>
      <c r="P259" s="19">
        <v>109</v>
      </c>
      <c r="S259" s="20">
        <f>ROUND(ROUND(P259, 2)*I259, 2)</f>
        <v>3727.8</v>
      </c>
      <c r="V259" s="9">
        <f>ROUND(ROUND(P259, 2)/1.2, 2)</f>
        <v>90.83</v>
      </c>
      <c r="Y259" s="9">
        <f t="shared" ref="Y259:Y267" si="15">ROUND(S259 / 1.2, 2)</f>
        <v>3106.5</v>
      </c>
      <c r="AD259" s="4" t="s">
        <v>959</v>
      </c>
      <c r="AE259" s="4" t="s">
        <v>960</v>
      </c>
      <c r="AF259" s="4" t="s">
        <v>961</v>
      </c>
    </row>
    <row r="260" spans="1:35" ht="18.75" x14ac:dyDescent="0.25">
      <c r="A260" s="10" t="s">
        <v>962</v>
      </c>
      <c r="B260" s="10"/>
      <c r="C260" s="16" t="s">
        <v>963</v>
      </c>
      <c r="D260" s="12"/>
      <c r="E260" s="12"/>
      <c r="F260" s="17" t="s">
        <v>59</v>
      </c>
      <c r="G260" s="18">
        <v>1.05</v>
      </c>
      <c r="H260" s="18"/>
      <c r="I260" s="18">
        <v>35.909999999999997</v>
      </c>
      <c r="J260" s="19">
        <v>838.09</v>
      </c>
      <c r="M260" s="20">
        <f>ROUND(ROUND(J260, 2)*I260, 2)</f>
        <v>30095.81</v>
      </c>
      <c r="P260" s="19">
        <v>838.09</v>
      </c>
      <c r="S260" s="20">
        <f>ROUND(ROUND(P260, 2)*I260, 2)</f>
        <v>30095.81</v>
      </c>
      <c r="V260" s="9">
        <f>ROUND(ROUND(P260, 2)/1.2, 2)</f>
        <v>698.41</v>
      </c>
      <c r="Y260" s="9">
        <f t="shared" si="15"/>
        <v>25079.84</v>
      </c>
      <c r="AD260" s="4" t="s">
        <v>964</v>
      </c>
      <c r="AE260" s="4" t="s">
        <v>965</v>
      </c>
      <c r="AF260" s="4" t="s">
        <v>966</v>
      </c>
    </row>
    <row r="261" spans="1:35" ht="18.75" x14ac:dyDescent="0.25">
      <c r="A261" s="10" t="s">
        <v>967</v>
      </c>
      <c r="B261" s="10"/>
      <c r="C261" s="16" t="s">
        <v>968</v>
      </c>
      <c r="D261" s="12"/>
      <c r="E261" s="12"/>
      <c r="F261" s="17" t="s">
        <v>65</v>
      </c>
      <c r="G261" s="18">
        <v>1</v>
      </c>
      <c r="H261" s="18"/>
      <c r="I261" s="18">
        <v>34.200000000000003</v>
      </c>
      <c r="J261" s="19">
        <v>0</v>
      </c>
      <c r="M261" s="20">
        <f>ROUND(ROUND(J261, 2)*I261, 2)</f>
        <v>0</v>
      </c>
      <c r="P261" s="19">
        <v>243</v>
      </c>
      <c r="S261" s="20">
        <f>ROUND(ROUND(P261, 2)*I261, 2)</f>
        <v>8310.6</v>
      </c>
      <c r="V261" s="9">
        <f>ROUND(ROUND(P261, 2)/1.2, 2)</f>
        <v>202.5</v>
      </c>
      <c r="Y261" s="9">
        <f t="shared" si="15"/>
        <v>6925.5</v>
      </c>
      <c r="AD261" s="4" t="s">
        <v>969</v>
      </c>
      <c r="AE261" s="4" t="s">
        <v>970</v>
      </c>
      <c r="AF261" s="4" t="s">
        <v>971</v>
      </c>
    </row>
    <row r="262" spans="1:35" ht="93.75" x14ac:dyDescent="0.25">
      <c r="A262" s="10" t="s">
        <v>972</v>
      </c>
      <c r="B262" s="10" t="s">
        <v>973</v>
      </c>
      <c r="C262" s="11" t="s">
        <v>974</v>
      </c>
      <c r="D262" s="12"/>
      <c r="E262" s="12" t="s">
        <v>975</v>
      </c>
      <c r="F262" s="12" t="s">
        <v>59</v>
      </c>
      <c r="G262" s="13">
        <v>1</v>
      </c>
      <c r="H262" s="13"/>
      <c r="I262" s="13">
        <v>6</v>
      </c>
      <c r="J262" s="14">
        <f>IFERROR(ROUND(SUM(M263)/I262, 2),0)</f>
        <v>1280.4000000000001</v>
      </c>
      <c r="K262" s="15">
        <v>837</v>
      </c>
      <c r="L262" s="14">
        <f>J262+ROUND(K262, 2)</f>
        <v>2117.4</v>
      </c>
      <c r="M262" s="14">
        <f>ROUND(J262*I262, 2)</f>
        <v>7682.4</v>
      </c>
      <c r="N262" s="14">
        <f>ROUND(I262*ROUND(K262, 2), 2)</f>
        <v>5022</v>
      </c>
      <c r="O262" s="14">
        <f>M262+N262</f>
        <v>12704.4</v>
      </c>
      <c r="P262" s="14">
        <f>IFERROR(ROUND(SUM(S263)/I262, 2),0)</f>
        <v>1280.4000000000001</v>
      </c>
      <c r="Q262" s="15">
        <v>837</v>
      </c>
      <c r="R262" s="14">
        <f>P262+ROUND(Q262, 2)</f>
        <v>2117.4</v>
      </c>
      <c r="S262" s="14">
        <f>ROUND(P262*I262, 2)</f>
        <v>7682.4</v>
      </c>
      <c r="T262" s="14">
        <f>ROUND(I262*ROUND(Q262, 2), 2)</f>
        <v>5022</v>
      </c>
      <c r="U262" s="14">
        <f>S262+T262</f>
        <v>12704.4</v>
      </c>
      <c r="V262" s="9">
        <f>ROUND(P262 / 1.2, 2)</f>
        <v>1067</v>
      </c>
      <c r="W262" s="9">
        <f>ROUND(Q262 / 1.2, 2)</f>
        <v>697.5</v>
      </c>
      <c r="X262" s="9">
        <f>ROUND(R262 / 1.2, 2)</f>
        <v>1764.5</v>
      </c>
      <c r="Y262" s="9">
        <f t="shared" si="15"/>
        <v>6402</v>
      </c>
      <c r="Z262" s="9">
        <f>ROUND(T262 / 1.2, 2)</f>
        <v>4185</v>
      </c>
      <c r="AA262" s="9">
        <f>Y262+Z262</f>
        <v>10587</v>
      </c>
      <c r="AD262" s="4">
        <v>282588979</v>
      </c>
      <c r="AE262" s="4">
        <v>20300961</v>
      </c>
      <c r="AG262" s="4" t="s">
        <v>976</v>
      </c>
      <c r="AH262" s="4" t="s">
        <v>977</v>
      </c>
      <c r="AI262" s="4" t="s">
        <v>170</v>
      </c>
    </row>
    <row r="263" spans="1:35" ht="18.75" x14ac:dyDescent="0.25">
      <c r="A263" s="10" t="s">
        <v>978</v>
      </c>
      <c r="B263" s="10"/>
      <c r="C263" s="16" t="s">
        <v>979</v>
      </c>
      <c r="D263" s="12"/>
      <c r="E263" s="12"/>
      <c r="F263" s="17" t="s">
        <v>59</v>
      </c>
      <c r="G263" s="18">
        <v>1.1000000000000001</v>
      </c>
      <c r="H263" s="22"/>
      <c r="I263" s="22">
        <v>6.6</v>
      </c>
      <c r="J263" s="19">
        <v>1164</v>
      </c>
      <c r="M263" s="20">
        <f>ROUND(ROUND(J263, 2)*I263, 2)</f>
        <v>7682.4</v>
      </c>
      <c r="P263" s="19">
        <v>1164</v>
      </c>
      <c r="S263" s="20">
        <f>ROUND(ROUND(P263, 2)*I263, 2)</f>
        <v>7682.4</v>
      </c>
      <c r="V263" s="9">
        <f>ROUND(ROUND(P263, 2)/1.2, 2)</f>
        <v>970</v>
      </c>
      <c r="Y263" s="9">
        <f t="shared" si="15"/>
        <v>6402</v>
      </c>
      <c r="AD263" s="4" t="s">
        <v>980</v>
      </c>
      <c r="AE263" s="4" t="s">
        <v>981</v>
      </c>
      <c r="AF263" s="4" t="s">
        <v>982</v>
      </c>
    </row>
    <row r="264" spans="1:35" ht="93.75" x14ac:dyDescent="0.25">
      <c r="A264" s="10" t="s">
        <v>983</v>
      </c>
      <c r="B264" s="10" t="s">
        <v>973</v>
      </c>
      <c r="C264" s="11" t="s">
        <v>974</v>
      </c>
      <c r="D264" s="12"/>
      <c r="E264" s="12" t="s">
        <v>984</v>
      </c>
      <c r="F264" s="12" t="s">
        <v>59</v>
      </c>
      <c r="G264" s="13">
        <v>1</v>
      </c>
      <c r="H264" s="13"/>
      <c r="I264" s="13">
        <v>1549.1</v>
      </c>
      <c r="J264" s="14">
        <f>IFERROR(ROUND(SUM(M265)/I264, 2),0)</f>
        <v>1280.4000000000001</v>
      </c>
      <c r="K264" s="15">
        <v>837</v>
      </c>
      <c r="L264" s="14">
        <f>J264+ROUND(K264, 2)</f>
        <v>2117.4</v>
      </c>
      <c r="M264" s="14">
        <f>ROUND(J264*I264, 2)</f>
        <v>1983467.64</v>
      </c>
      <c r="N264" s="14">
        <f>ROUND(I264*ROUND(K264, 2), 2)</f>
        <v>1296596.7</v>
      </c>
      <c r="O264" s="14">
        <f>M264+N264</f>
        <v>3280064.34</v>
      </c>
      <c r="P264" s="14">
        <f>IFERROR(ROUND(SUM(S265)/I264, 2),0)</f>
        <v>1280.4000000000001</v>
      </c>
      <c r="Q264" s="15">
        <v>837</v>
      </c>
      <c r="R264" s="14">
        <f>P264+ROUND(Q264, 2)</f>
        <v>2117.4</v>
      </c>
      <c r="S264" s="14">
        <f>ROUND(P264*I264, 2)</f>
        <v>1983467.64</v>
      </c>
      <c r="T264" s="14">
        <f>ROUND(I264*ROUND(Q264, 2), 2)</f>
        <v>1296596.7</v>
      </c>
      <c r="U264" s="14">
        <f>S264+T264</f>
        <v>3280064.34</v>
      </c>
      <c r="V264" s="9">
        <f>ROUND(P264 / 1.2, 2)</f>
        <v>1067</v>
      </c>
      <c r="W264" s="9">
        <f>ROUND(Q264 / 1.2, 2)</f>
        <v>697.5</v>
      </c>
      <c r="X264" s="9">
        <f>ROUND(R264 / 1.2, 2)</f>
        <v>1764.5</v>
      </c>
      <c r="Y264" s="9">
        <f t="shared" si="15"/>
        <v>1652889.7</v>
      </c>
      <c r="Z264" s="9">
        <f>ROUND(T264 / 1.2, 2)</f>
        <v>1080497.25</v>
      </c>
      <c r="AA264" s="9">
        <f>Y264+Z264</f>
        <v>2733386.95</v>
      </c>
      <c r="AD264" s="4">
        <v>282589025</v>
      </c>
      <c r="AE264" s="4">
        <v>20301990</v>
      </c>
      <c r="AG264" s="4" t="s">
        <v>976</v>
      </c>
      <c r="AH264" s="4" t="s">
        <v>977</v>
      </c>
      <c r="AI264" s="4" t="s">
        <v>170</v>
      </c>
    </row>
    <row r="265" spans="1:35" ht="18.75" x14ac:dyDescent="0.25">
      <c r="A265" s="10" t="s">
        <v>985</v>
      </c>
      <c r="B265" s="10"/>
      <c r="C265" s="16" t="s">
        <v>979</v>
      </c>
      <c r="D265" s="12"/>
      <c r="E265" s="12" t="s">
        <v>986</v>
      </c>
      <c r="F265" s="17" t="s">
        <v>59</v>
      </c>
      <c r="G265" s="18">
        <v>1.1000000000000001</v>
      </c>
      <c r="H265" s="22"/>
      <c r="I265" s="22">
        <v>1704.01</v>
      </c>
      <c r="J265" s="19">
        <v>1164</v>
      </c>
      <c r="M265" s="20">
        <f>ROUND(ROUND(J265, 2)*I265, 2)</f>
        <v>1983467.64</v>
      </c>
      <c r="P265" s="19">
        <v>1164</v>
      </c>
      <c r="S265" s="20">
        <f>ROUND(ROUND(P265, 2)*I265, 2)</f>
        <v>1983467.64</v>
      </c>
      <c r="V265" s="9">
        <f>ROUND(ROUND(P265, 2)/1.2, 2)</f>
        <v>970</v>
      </c>
      <c r="Y265" s="9">
        <f t="shared" si="15"/>
        <v>1652889.7</v>
      </c>
      <c r="AD265" s="4" t="s">
        <v>987</v>
      </c>
      <c r="AE265" s="4" t="s">
        <v>988</v>
      </c>
      <c r="AF265" s="4" t="s">
        <v>982</v>
      </c>
    </row>
    <row r="266" spans="1:35" ht="112.5" x14ac:dyDescent="0.25">
      <c r="A266" s="10" t="s">
        <v>989</v>
      </c>
      <c r="B266" s="10" t="s">
        <v>973</v>
      </c>
      <c r="C266" s="11" t="s">
        <v>974</v>
      </c>
      <c r="D266" s="12"/>
      <c r="E266" s="12" t="s">
        <v>990</v>
      </c>
      <c r="F266" s="12" t="s">
        <v>59</v>
      </c>
      <c r="G266" s="13">
        <v>1</v>
      </c>
      <c r="H266" s="13"/>
      <c r="I266" s="13">
        <v>242</v>
      </c>
      <c r="J266" s="14">
        <f>IFERROR(ROUND(SUM(M267)/I266, 2),0)</f>
        <v>1280.4000000000001</v>
      </c>
      <c r="K266" s="15">
        <v>837</v>
      </c>
      <c r="L266" s="14">
        <f>J266+ROUND(K266, 2)</f>
        <v>2117.4</v>
      </c>
      <c r="M266" s="14">
        <f>ROUND(J266*I266, 2)</f>
        <v>309856.8</v>
      </c>
      <c r="N266" s="14">
        <f>ROUND(I266*ROUND(K266, 2), 2)</f>
        <v>202554</v>
      </c>
      <c r="O266" s="14">
        <f>M266+N266</f>
        <v>512410.8</v>
      </c>
      <c r="P266" s="14">
        <f>IFERROR(ROUND(SUM(S267)/I266, 2),0)</f>
        <v>1280.4000000000001</v>
      </c>
      <c r="Q266" s="15">
        <v>837</v>
      </c>
      <c r="R266" s="14">
        <f>P266+ROUND(Q266, 2)</f>
        <v>2117.4</v>
      </c>
      <c r="S266" s="14">
        <f>ROUND(P266*I266, 2)</f>
        <v>309856.8</v>
      </c>
      <c r="T266" s="14">
        <f>ROUND(I266*ROUND(Q266, 2), 2)</f>
        <v>202554</v>
      </c>
      <c r="U266" s="14">
        <f>S266+T266</f>
        <v>512410.8</v>
      </c>
      <c r="V266" s="9">
        <f>ROUND(P266 / 1.2, 2)</f>
        <v>1067</v>
      </c>
      <c r="W266" s="9">
        <f>ROUND(Q266 / 1.2, 2)</f>
        <v>697.5</v>
      </c>
      <c r="X266" s="9">
        <f>ROUND(R266 / 1.2, 2)</f>
        <v>1764.5</v>
      </c>
      <c r="Y266" s="9">
        <f t="shared" si="15"/>
        <v>258214</v>
      </c>
      <c r="Z266" s="9">
        <f>ROUND(T266 / 1.2, 2)</f>
        <v>168795</v>
      </c>
      <c r="AA266" s="9">
        <f>Y266+Z266</f>
        <v>427009</v>
      </c>
      <c r="AD266" s="4">
        <v>282589026</v>
      </c>
      <c r="AE266" s="4">
        <v>20301991</v>
      </c>
      <c r="AG266" s="4" t="s">
        <v>976</v>
      </c>
      <c r="AH266" s="4" t="s">
        <v>977</v>
      </c>
      <c r="AI266" s="4" t="s">
        <v>170</v>
      </c>
    </row>
    <row r="267" spans="1:35" ht="18.75" x14ac:dyDescent="0.25">
      <c r="A267" s="10" t="s">
        <v>991</v>
      </c>
      <c r="B267" s="10"/>
      <c r="C267" s="16" t="s">
        <v>979</v>
      </c>
      <c r="D267" s="12"/>
      <c r="E267" s="12"/>
      <c r="F267" s="17" t="s">
        <v>59</v>
      </c>
      <c r="G267" s="18">
        <v>1.1000000000000001</v>
      </c>
      <c r="H267" s="22"/>
      <c r="I267" s="22">
        <v>266.2</v>
      </c>
      <c r="J267" s="19">
        <v>1164</v>
      </c>
      <c r="M267" s="20">
        <f>ROUND(ROUND(J267, 2)*I267, 2)</f>
        <v>309856.8</v>
      </c>
      <c r="P267" s="19">
        <v>1164</v>
      </c>
      <c r="S267" s="20">
        <f>ROUND(ROUND(P267, 2)*I267, 2)</f>
        <v>309856.8</v>
      </c>
      <c r="V267" s="9">
        <f>ROUND(ROUND(P267, 2)/1.2, 2)</f>
        <v>970</v>
      </c>
      <c r="Y267" s="9">
        <f t="shared" si="15"/>
        <v>258214</v>
      </c>
      <c r="AD267" s="4" t="s">
        <v>992</v>
      </c>
      <c r="AE267" s="4" t="s">
        <v>993</v>
      </c>
      <c r="AF267" s="4" t="s">
        <v>982</v>
      </c>
    </row>
    <row r="268" spans="1:35" ht="56.25" x14ac:dyDescent="0.25">
      <c r="A268" s="10" t="s">
        <v>994</v>
      </c>
      <c r="B268" s="10" t="s">
        <v>995</v>
      </c>
      <c r="C268" s="11" t="s">
        <v>996</v>
      </c>
      <c r="D268" s="12"/>
      <c r="E268" s="12"/>
      <c r="F268" s="12" t="s">
        <v>59</v>
      </c>
      <c r="G268" s="13">
        <v>1</v>
      </c>
      <c r="H268" s="13"/>
      <c r="I268" s="13">
        <v>2000</v>
      </c>
      <c r="J268" s="14">
        <v>0</v>
      </c>
      <c r="K268" s="15">
        <v>121</v>
      </c>
      <c r="L268" s="14">
        <f>J268+ROUND(K268, 2)</f>
        <v>121</v>
      </c>
      <c r="M268" s="14">
        <v>0</v>
      </c>
      <c r="N268" s="14">
        <f>ROUND(I268*ROUND(K268, 2), 2)</f>
        <v>242000</v>
      </c>
      <c r="O268" s="14">
        <f>M268+N268</f>
        <v>242000</v>
      </c>
      <c r="P268" s="14">
        <v>0</v>
      </c>
      <c r="Q268" s="15">
        <v>121</v>
      </c>
      <c r="R268" s="14">
        <f>P268+ROUND(Q268, 2)</f>
        <v>121</v>
      </c>
      <c r="S268" s="14">
        <v>0</v>
      </c>
      <c r="T268" s="14">
        <f>ROUND(I268*ROUND(Q268, 2), 2)</f>
        <v>242000</v>
      </c>
      <c r="U268" s="14">
        <f>S268+T268</f>
        <v>242000</v>
      </c>
      <c r="V268" s="9"/>
      <c r="W268" s="9">
        <f>ROUND(Q268 / 1.2, 2)</f>
        <v>100.83</v>
      </c>
      <c r="X268" s="9">
        <f>ROUND(R268 / 1.2, 2)</f>
        <v>100.83</v>
      </c>
      <c r="Y268" s="9"/>
      <c r="Z268" s="9">
        <f>ROUND(T268 / 1.2, 2)</f>
        <v>201666.67</v>
      </c>
      <c r="AA268" s="9">
        <f>Y268+Z268</f>
        <v>201666.67</v>
      </c>
      <c r="AD268" s="4">
        <v>282588981</v>
      </c>
      <c r="AE268" s="4">
        <v>20302456</v>
      </c>
      <c r="AG268" s="4" t="s">
        <v>997</v>
      </c>
      <c r="AH268" s="4" t="s">
        <v>998</v>
      </c>
      <c r="AI268" s="4" t="s">
        <v>170</v>
      </c>
    </row>
    <row r="269" spans="1:35" ht="112.5" x14ac:dyDescent="0.25">
      <c r="A269" s="10" t="s">
        <v>999</v>
      </c>
      <c r="B269" s="10" t="s">
        <v>1000</v>
      </c>
      <c r="C269" s="11" t="s">
        <v>1001</v>
      </c>
      <c r="D269" s="12"/>
      <c r="E269" s="12" t="s">
        <v>1002</v>
      </c>
      <c r="F269" s="12" t="s">
        <v>59</v>
      </c>
      <c r="G269" s="13">
        <v>1</v>
      </c>
      <c r="H269" s="13"/>
      <c r="I269" s="13">
        <v>13.5</v>
      </c>
      <c r="J269" s="14">
        <f>IFERROR(ROUND(SUM(M270)/I269, 2),0)</f>
        <v>0</v>
      </c>
      <c r="K269" s="15">
        <v>1724</v>
      </c>
      <c r="L269" s="14">
        <f>J269+ROUND(K269, 2)</f>
        <v>1724</v>
      </c>
      <c r="M269" s="14">
        <f>ROUND(J269*I269, 2)</f>
        <v>0</v>
      </c>
      <c r="N269" s="14">
        <f>ROUND(I269*ROUND(K269, 2), 2)</f>
        <v>23274</v>
      </c>
      <c r="O269" s="14">
        <f>M269+N269</f>
        <v>23274</v>
      </c>
      <c r="P269" s="14">
        <f>IFERROR(ROUND(SUM(S270)/I269, 2),0)</f>
        <v>1310</v>
      </c>
      <c r="Q269" s="15">
        <v>1724</v>
      </c>
      <c r="R269" s="14">
        <f>P269+ROUND(Q269, 2)</f>
        <v>3034</v>
      </c>
      <c r="S269" s="14">
        <f>ROUND(P269*I269, 2)</f>
        <v>17685</v>
      </c>
      <c r="T269" s="14">
        <f>ROUND(I269*ROUND(Q269, 2), 2)</f>
        <v>23274</v>
      </c>
      <c r="U269" s="14">
        <f>S269+T269</f>
        <v>40959</v>
      </c>
      <c r="V269" s="9">
        <f>ROUND(P269 / 1.2, 2)</f>
        <v>1091.67</v>
      </c>
      <c r="W269" s="9">
        <f>ROUND(Q269 / 1.2, 2)</f>
        <v>1436.67</v>
      </c>
      <c r="X269" s="9">
        <f>ROUND(R269 / 1.2, 2)</f>
        <v>2528.33</v>
      </c>
      <c r="Y269" s="9">
        <f t="shared" ref="Y269:Y292" si="16">ROUND(S269 / 1.2, 2)</f>
        <v>14737.5</v>
      </c>
      <c r="Z269" s="9">
        <f>ROUND(T269 / 1.2, 2)</f>
        <v>19395</v>
      </c>
      <c r="AA269" s="9">
        <f>Y269+Z269</f>
        <v>34132.5</v>
      </c>
      <c r="AD269" s="4">
        <v>282588983</v>
      </c>
      <c r="AE269" s="4">
        <v>20347730</v>
      </c>
      <c r="AG269" s="4" t="s">
        <v>1003</v>
      </c>
      <c r="AH269" s="4" t="s">
        <v>1004</v>
      </c>
      <c r="AI269" s="4" t="s">
        <v>170</v>
      </c>
    </row>
    <row r="270" spans="1:35" ht="37.5" x14ac:dyDescent="0.25">
      <c r="A270" s="10" t="s">
        <v>1005</v>
      </c>
      <c r="B270" s="10"/>
      <c r="C270" s="16" t="s">
        <v>1006</v>
      </c>
      <c r="D270" s="12"/>
      <c r="E270" s="12"/>
      <c r="F270" s="17" t="s">
        <v>59</v>
      </c>
      <c r="G270" s="18">
        <v>1</v>
      </c>
      <c r="H270" s="18"/>
      <c r="I270" s="18">
        <v>13.5</v>
      </c>
      <c r="J270" s="19">
        <v>0</v>
      </c>
      <c r="M270" s="20">
        <f>ROUND(ROUND(J270, 2)*I270, 2)</f>
        <v>0</v>
      </c>
      <c r="P270" s="19">
        <v>1310</v>
      </c>
      <c r="S270" s="20">
        <f>ROUND(ROUND(P270, 2)*I270, 2)</f>
        <v>17685</v>
      </c>
      <c r="V270" s="9">
        <f>ROUND(ROUND(P270, 2)/1.2, 2)</f>
        <v>1091.67</v>
      </c>
      <c r="Y270" s="9">
        <f t="shared" si="16"/>
        <v>14737.5</v>
      </c>
      <c r="AD270" s="4" t="s">
        <v>1007</v>
      </c>
      <c r="AE270" s="4" t="s">
        <v>1008</v>
      </c>
      <c r="AF270" s="4" t="s">
        <v>1009</v>
      </c>
    </row>
    <row r="271" spans="1:35" ht="243.75" x14ac:dyDescent="0.25">
      <c r="A271" s="10" t="s">
        <v>1010</v>
      </c>
      <c r="B271" s="10" t="s">
        <v>1011</v>
      </c>
      <c r="C271" s="11" t="s">
        <v>1012</v>
      </c>
      <c r="D271" s="12"/>
      <c r="E271" s="12" t="s">
        <v>1013</v>
      </c>
      <c r="F271" s="12" t="s">
        <v>59</v>
      </c>
      <c r="G271" s="13">
        <v>1</v>
      </c>
      <c r="H271" s="13"/>
      <c r="I271" s="13">
        <v>921.3</v>
      </c>
      <c r="J271" s="14">
        <f>IFERROR(ROUND(SUM(M272,M273,M274,M275,M276,M277,M278,M279,M280,M281,M282,M283,M284)/I271, 2),0)</f>
        <v>480.18</v>
      </c>
      <c r="K271" s="15">
        <v>1379</v>
      </c>
      <c r="L271" s="14">
        <f>J271+ROUND(K271, 2)</f>
        <v>1859.18</v>
      </c>
      <c r="M271" s="14">
        <f>ROUND(J271*I271, 2)</f>
        <v>442389.83</v>
      </c>
      <c r="N271" s="14">
        <f>ROUND(I271*ROUND(K271, 2), 2)</f>
        <v>1270472.7</v>
      </c>
      <c r="O271" s="14">
        <f>M271+N271</f>
        <v>1712862.53</v>
      </c>
      <c r="P271" s="14">
        <f>IFERROR(ROUND(SUM(S272,S273,S274,S275,S276,S277,S278,S279,S280,S281,S282,S283,S284)/I271, 2),0)</f>
        <v>2076.5300000000002</v>
      </c>
      <c r="Q271" s="15">
        <v>1379</v>
      </c>
      <c r="R271" s="14">
        <f>P271+ROUND(Q271, 2)</f>
        <v>3455.53</v>
      </c>
      <c r="S271" s="14">
        <f>ROUND(P271*I271, 2)</f>
        <v>1913107.09</v>
      </c>
      <c r="T271" s="14">
        <f>ROUND(I271*ROUND(Q271, 2), 2)</f>
        <v>1270472.7</v>
      </c>
      <c r="U271" s="14">
        <f>S271+T271</f>
        <v>3183579.79</v>
      </c>
      <c r="V271" s="9">
        <f>ROUND(P271 / 1.2, 2)</f>
        <v>1730.44</v>
      </c>
      <c r="W271" s="9">
        <f>ROUND(Q271 / 1.2, 2)</f>
        <v>1149.17</v>
      </c>
      <c r="X271" s="9">
        <f>ROUND(R271 / 1.2, 2)</f>
        <v>2879.61</v>
      </c>
      <c r="Y271" s="9">
        <f t="shared" si="16"/>
        <v>1594255.91</v>
      </c>
      <c r="Z271" s="9">
        <f>ROUND(T271 / 1.2, 2)</f>
        <v>1058727.25</v>
      </c>
      <c r="AA271" s="9">
        <f>Y271+Z271</f>
        <v>2652983.16</v>
      </c>
      <c r="AD271" s="4">
        <v>282588984</v>
      </c>
      <c r="AE271" s="4">
        <v>20347725</v>
      </c>
      <c r="AG271" s="4" t="s">
        <v>1014</v>
      </c>
      <c r="AH271" s="4" t="s">
        <v>1015</v>
      </c>
      <c r="AI271" s="4" t="s">
        <v>170</v>
      </c>
    </row>
    <row r="272" spans="1:35" ht="18.75" x14ac:dyDescent="0.25">
      <c r="A272" s="10" t="s">
        <v>1016</v>
      </c>
      <c r="B272" s="10"/>
      <c r="C272" s="16" t="s">
        <v>1017</v>
      </c>
      <c r="D272" s="12"/>
      <c r="E272" s="12"/>
      <c r="F272" s="17" t="s">
        <v>222</v>
      </c>
      <c r="G272" s="18">
        <v>0.3</v>
      </c>
      <c r="H272" s="18"/>
      <c r="I272" s="18">
        <v>276.39</v>
      </c>
      <c r="J272" s="19">
        <v>5.6</v>
      </c>
      <c r="M272" s="20">
        <f t="shared" ref="M272:M284" si="17">ROUND(ROUND(J272, 2)*I272, 2)</f>
        <v>1547.78</v>
      </c>
      <c r="P272" s="19">
        <v>5.6</v>
      </c>
      <c r="S272" s="20">
        <f t="shared" ref="S272:S284" si="18">ROUND(ROUND(P272, 2)*I272, 2)</f>
        <v>1547.78</v>
      </c>
      <c r="V272" s="9">
        <f t="shared" ref="V272:V284" si="19">ROUND(ROUND(P272, 2)/1.2, 2)</f>
        <v>4.67</v>
      </c>
      <c r="Y272" s="9">
        <f t="shared" si="16"/>
        <v>1289.82</v>
      </c>
      <c r="AD272" s="4" t="s">
        <v>1018</v>
      </c>
      <c r="AE272" s="4" t="s">
        <v>1019</v>
      </c>
      <c r="AF272" s="4" t="s">
        <v>1020</v>
      </c>
    </row>
    <row r="273" spans="1:35" ht="37.5" x14ac:dyDescent="0.25">
      <c r="A273" s="10" t="s">
        <v>1021</v>
      </c>
      <c r="B273" s="10"/>
      <c r="C273" s="21" t="s">
        <v>1022</v>
      </c>
      <c r="D273" s="12"/>
      <c r="E273" s="12"/>
      <c r="F273" s="17" t="s">
        <v>222</v>
      </c>
      <c r="G273" s="18">
        <v>3.6</v>
      </c>
      <c r="H273" s="18"/>
      <c r="I273" s="18">
        <v>3316.68</v>
      </c>
      <c r="J273" s="19">
        <v>15.9</v>
      </c>
      <c r="M273" s="20">
        <f t="shared" si="17"/>
        <v>52735.21</v>
      </c>
      <c r="P273" s="19">
        <v>15.9</v>
      </c>
      <c r="S273" s="20">
        <f t="shared" si="18"/>
        <v>52735.21</v>
      </c>
      <c r="V273" s="9">
        <f t="shared" si="19"/>
        <v>13.25</v>
      </c>
      <c r="Y273" s="9">
        <f t="shared" si="16"/>
        <v>43946.01</v>
      </c>
      <c r="AD273" s="4" t="s">
        <v>1023</v>
      </c>
      <c r="AE273" s="4" t="s">
        <v>1024</v>
      </c>
      <c r="AF273" s="4" t="s">
        <v>1025</v>
      </c>
    </row>
    <row r="274" spans="1:35" ht="18.75" x14ac:dyDescent="0.25">
      <c r="A274" s="10" t="s">
        <v>1026</v>
      </c>
      <c r="B274" s="10"/>
      <c r="C274" s="16" t="s">
        <v>1027</v>
      </c>
      <c r="D274" s="12"/>
      <c r="E274" s="12"/>
      <c r="F274" s="17" t="s">
        <v>76</v>
      </c>
      <c r="G274" s="18">
        <v>1.2</v>
      </c>
      <c r="H274" s="18"/>
      <c r="I274" s="18">
        <v>1105.56</v>
      </c>
      <c r="J274" s="19">
        <v>22.82</v>
      </c>
      <c r="M274" s="20">
        <f t="shared" si="17"/>
        <v>25228.880000000001</v>
      </c>
      <c r="P274" s="19">
        <v>22.82</v>
      </c>
      <c r="S274" s="20">
        <f t="shared" si="18"/>
        <v>25228.880000000001</v>
      </c>
      <c r="V274" s="9">
        <f t="shared" si="19"/>
        <v>19.02</v>
      </c>
      <c r="Y274" s="9">
        <f t="shared" si="16"/>
        <v>21024.07</v>
      </c>
      <c r="AD274" s="4" t="s">
        <v>1028</v>
      </c>
      <c r="AE274" s="4" t="s">
        <v>1029</v>
      </c>
      <c r="AF274" s="4" t="s">
        <v>1030</v>
      </c>
    </row>
    <row r="275" spans="1:35" ht="18.75" x14ac:dyDescent="0.25">
      <c r="A275" s="10" t="s">
        <v>1031</v>
      </c>
      <c r="B275" s="10"/>
      <c r="C275" s="16" t="s">
        <v>1032</v>
      </c>
      <c r="D275" s="12"/>
      <c r="E275" s="12"/>
      <c r="F275" s="17" t="s">
        <v>76</v>
      </c>
      <c r="G275" s="18">
        <v>4.7</v>
      </c>
      <c r="H275" s="18"/>
      <c r="I275" s="18">
        <v>4330.1099999999997</v>
      </c>
      <c r="J275" s="19">
        <v>66.98</v>
      </c>
      <c r="M275" s="20">
        <f t="shared" si="17"/>
        <v>290030.77</v>
      </c>
      <c r="P275" s="19">
        <v>66.98</v>
      </c>
      <c r="S275" s="20">
        <f t="shared" si="18"/>
        <v>290030.77</v>
      </c>
      <c r="V275" s="9">
        <f t="shared" si="19"/>
        <v>55.82</v>
      </c>
      <c r="Y275" s="9">
        <f t="shared" si="16"/>
        <v>241692.31</v>
      </c>
      <c r="AD275" s="4" t="s">
        <v>1033</v>
      </c>
      <c r="AE275" s="4" t="s">
        <v>1034</v>
      </c>
      <c r="AF275" s="4" t="s">
        <v>1035</v>
      </c>
    </row>
    <row r="276" spans="1:35" ht="18.75" x14ac:dyDescent="0.25">
      <c r="A276" s="10" t="s">
        <v>1036</v>
      </c>
      <c r="B276" s="10"/>
      <c r="C276" s="16" t="s">
        <v>1037</v>
      </c>
      <c r="D276" s="12"/>
      <c r="E276" s="12"/>
      <c r="F276" s="17" t="s">
        <v>222</v>
      </c>
      <c r="G276" s="18">
        <v>15</v>
      </c>
      <c r="H276" s="18"/>
      <c r="I276" s="18">
        <v>13819.5</v>
      </c>
      <c r="J276" s="19">
        <v>0.95</v>
      </c>
      <c r="M276" s="20">
        <f t="shared" si="17"/>
        <v>13128.53</v>
      </c>
      <c r="P276" s="19">
        <v>0.95</v>
      </c>
      <c r="S276" s="20">
        <f t="shared" si="18"/>
        <v>13128.53</v>
      </c>
      <c r="V276" s="9">
        <f t="shared" si="19"/>
        <v>0.79</v>
      </c>
      <c r="Y276" s="9">
        <f t="shared" si="16"/>
        <v>10940.44</v>
      </c>
      <c r="AD276" s="4" t="s">
        <v>1038</v>
      </c>
      <c r="AE276" s="4" t="s">
        <v>1039</v>
      </c>
      <c r="AF276" s="4" t="s">
        <v>1040</v>
      </c>
    </row>
    <row r="277" spans="1:35" ht="37.5" x14ac:dyDescent="0.25">
      <c r="A277" s="10" t="s">
        <v>1041</v>
      </c>
      <c r="B277" s="10"/>
      <c r="C277" s="21" t="s">
        <v>1042</v>
      </c>
      <c r="D277" s="12"/>
      <c r="E277" s="12"/>
      <c r="F277" s="17" t="s">
        <v>222</v>
      </c>
      <c r="G277" s="18">
        <v>4.2</v>
      </c>
      <c r="H277" s="18"/>
      <c r="I277" s="18">
        <v>3869.46</v>
      </c>
      <c r="J277" s="19">
        <v>4.92</v>
      </c>
      <c r="M277" s="20">
        <f t="shared" si="17"/>
        <v>19037.740000000002</v>
      </c>
      <c r="P277" s="19">
        <v>4.92</v>
      </c>
      <c r="S277" s="20">
        <f t="shared" si="18"/>
        <v>19037.740000000002</v>
      </c>
      <c r="V277" s="9">
        <f t="shared" si="19"/>
        <v>4.0999999999999996</v>
      </c>
      <c r="Y277" s="9">
        <f t="shared" si="16"/>
        <v>15864.78</v>
      </c>
      <c r="AD277" s="4" t="s">
        <v>1043</v>
      </c>
      <c r="AE277" s="4" t="s">
        <v>1044</v>
      </c>
      <c r="AF277" s="4" t="s">
        <v>1045</v>
      </c>
    </row>
    <row r="278" spans="1:35" ht="18.75" x14ac:dyDescent="0.25">
      <c r="A278" s="10" t="s">
        <v>1046</v>
      </c>
      <c r="B278" s="10"/>
      <c r="C278" s="16" t="s">
        <v>1047</v>
      </c>
      <c r="D278" s="12"/>
      <c r="E278" s="12"/>
      <c r="F278" s="17" t="s">
        <v>222</v>
      </c>
      <c r="G278" s="18">
        <v>30</v>
      </c>
      <c r="H278" s="18"/>
      <c r="I278" s="18">
        <v>27639</v>
      </c>
      <c r="J278" s="19">
        <v>0.28000000000000003</v>
      </c>
      <c r="M278" s="20">
        <f t="shared" si="17"/>
        <v>7738.92</v>
      </c>
      <c r="P278" s="19">
        <v>0.28000000000000003</v>
      </c>
      <c r="S278" s="20">
        <f t="shared" si="18"/>
        <v>7738.92</v>
      </c>
      <c r="V278" s="9">
        <f t="shared" si="19"/>
        <v>0.23</v>
      </c>
      <c r="Y278" s="9">
        <f t="shared" si="16"/>
        <v>6449.1</v>
      </c>
      <c r="AD278" s="4" t="s">
        <v>1048</v>
      </c>
      <c r="AE278" s="4" t="s">
        <v>1049</v>
      </c>
      <c r="AF278" s="4" t="s">
        <v>1050</v>
      </c>
    </row>
    <row r="279" spans="1:35" ht="37.5" x14ac:dyDescent="0.25">
      <c r="A279" s="10" t="s">
        <v>1051</v>
      </c>
      <c r="B279" s="10"/>
      <c r="C279" s="16" t="s">
        <v>1052</v>
      </c>
      <c r="D279" s="12"/>
      <c r="E279" s="12"/>
      <c r="F279" s="17" t="s">
        <v>173</v>
      </c>
      <c r="G279" s="18">
        <v>0.35</v>
      </c>
      <c r="H279" s="18"/>
      <c r="I279" s="18">
        <v>322.45499999999998</v>
      </c>
      <c r="J279" s="19">
        <v>55</v>
      </c>
      <c r="M279" s="20">
        <f t="shared" si="17"/>
        <v>17735.03</v>
      </c>
      <c r="P279" s="19">
        <v>55</v>
      </c>
      <c r="S279" s="20">
        <f t="shared" si="18"/>
        <v>17735.03</v>
      </c>
      <c r="V279" s="9">
        <f t="shared" si="19"/>
        <v>45.83</v>
      </c>
      <c r="Y279" s="9">
        <f t="shared" si="16"/>
        <v>14779.19</v>
      </c>
      <c r="AD279" s="4" t="s">
        <v>1053</v>
      </c>
      <c r="AE279" s="4" t="s">
        <v>1054</v>
      </c>
      <c r="AF279" s="4" t="s">
        <v>1055</v>
      </c>
    </row>
    <row r="280" spans="1:35" ht="37.5" x14ac:dyDescent="0.25">
      <c r="A280" s="10" t="s">
        <v>1056</v>
      </c>
      <c r="B280" s="10"/>
      <c r="C280" s="16" t="s">
        <v>854</v>
      </c>
      <c r="D280" s="12"/>
      <c r="E280" s="12"/>
      <c r="F280" s="17" t="s">
        <v>59</v>
      </c>
      <c r="G280" s="18">
        <v>1.05</v>
      </c>
      <c r="H280" s="18"/>
      <c r="I280" s="18">
        <v>967.36500000000001</v>
      </c>
      <c r="J280" s="19">
        <v>0</v>
      </c>
      <c r="M280" s="20">
        <f t="shared" si="17"/>
        <v>0</v>
      </c>
      <c r="P280" s="19">
        <v>1520.33</v>
      </c>
      <c r="S280" s="20">
        <f t="shared" si="18"/>
        <v>1470714.03</v>
      </c>
      <c r="V280" s="9">
        <f t="shared" si="19"/>
        <v>1266.94</v>
      </c>
      <c r="Y280" s="9">
        <f t="shared" si="16"/>
        <v>1225595.03</v>
      </c>
      <c r="AD280" s="4" t="s">
        <v>1057</v>
      </c>
      <c r="AE280" s="4" t="s">
        <v>1058</v>
      </c>
      <c r="AF280" s="4" t="s">
        <v>857</v>
      </c>
    </row>
    <row r="281" spans="1:35" ht="18.75" x14ac:dyDescent="0.25">
      <c r="A281" s="10" t="s">
        <v>1059</v>
      </c>
      <c r="B281" s="10"/>
      <c r="C281" s="16" t="s">
        <v>1060</v>
      </c>
      <c r="D281" s="12"/>
      <c r="E281" s="12"/>
      <c r="F281" s="17" t="s">
        <v>76</v>
      </c>
      <c r="G281" s="18">
        <v>1.05</v>
      </c>
      <c r="H281" s="18"/>
      <c r="I281" s="18">
        <v>967.36500000000001</v>
      </c>
      <c r="J281" s="19">
        <v>4.5999999999999996</v>
      </c>
      <c r="M281" s="20">
        <f t="shared" si="17"/>
        <v>4449.88</v>
      </c>
      <c r="P281" s="19">
        <v>4.5999999999999996</v>
      </c>
      <c r="S281" s="20">
        <f t="shared" si="18"/>
        <v>4449.88</v>
      </c>
      <c r="V281" s="9">
        <f t="shared" si="19"/>
        <v>3.83</v>
      </c>
      <c r="Y281" s="9">
        <f t="shared" si="16"/>
        <v>3708.23</v>
      </c>
      <c r="AD281" s="4" t="s">
        <v>1061</v>
      </c>
      <c r="AE281" s="4" t="s">
        <v>1062</v>
      </c>
      <c r="AF281" s="4" t="s">
        <v>1063</v>
      </c>
    </row>
    <row r="282" spans="1:35" ht="18.75" x14ac:dyDescent="0.25">
      <c r="A282" s="10" t="s">
        <v>1064</v>
      </c>
      <c r="B282" s="10"/>
      <c r="C282" s="16" t="s">
        <v>1065</v>
      </c>
      <c r="D282" s="12"/>
      <c r="E282" s="12"/>
      <c r="F282" s="17" t="s">
        <v>76</v>
      </c>
      <c r="G282" s="18">
        <v>0.25</v>
      </c>
      <c r="H282" s="18"/>
      <c r="I282" s="18">
        <v>230.32499999999999</v>
      </c>
      <c r="J282" s="19">
        <v>2.8</v>
      </c>
      <c r="M282" s="20">
        <f t="shared" si="17"/>
        <v>644.91</v>
      </c>
      <c r="P282" s="19">
        <v>2.8</v>
      </c>
      <c r="S282" s="20">
        <f t="shared" si="18"/>
        <v>644.91</v>
      </c>
      <c r="V282" s="9">
        <f t="shared" si="19"/>
        <v>2.33</v>
      </c>
      <c r="Y282" s="9">
        <f t="shared" si="16"/>
        <v>537.42999999999995</v>
      </c>
      <c r="AD282" s="4" t="s">
        <v>1066</v>
      </c>
      <c r="AE282" s="4" t="s">
        <v>1067</v>
      </c>
      <c r="AF282" s="4" t="s">
        <v>1068</v>
      </c>
    </row>
    <row r="283" spans="1:35" ht="37.5" x14ac:dyDescent="0.25">
      <c r="A283" s="10" t="s">
        <v>1069</v>
      </c>
      <c r="B283" s="10"/>
      <c r="C283" s="16" t="s">
        <v>324</v>
      </c>
      <c r="D283" s="12"/>
      <c r="E283" s="12"/>
      <c r="F283" s="17" t="s">
        <v>173</v>
      </c>
      <c r="G283" s="18">
        <v>0.1</v>
      </c>
      <c r="H283" s="18"/>
      <c r="I283" s="18">
        <v>92.13</v>
      </c>
      <c r="J283" s="19">
        <v>88.8</v>
      </c>
      <c r="M283" s="20">
        <f t="shared" si="17"/>
        <v>8181.14</v>
      </c>
      <c r="P283" s="19">
        <v>88.8</v>
      </c>
      <c r="S283" s="20">
        <f t="shared" si="18"/>
        <v>8181.14</v>
      </c>
      <c r="V283" s="9">
        <f t="shared" si="19"/>
        <v>74</v>
      </c>
      <c r="Y283" s="9">
        <f t="shared" si="16"/>
        <v>6817.62</v>
      </c>
      <c r="AD283" s="4" t="s">
        <v>1070</v>
      </c>
      <c r="AE283" s="4" t="s">
        <v>1071</v>
      </c>
      <c r="AF283" s="4" t="s">
        <v>327</v>
      </c>
    </row>
    <row r="284" spans="1:35" ht="18.75" x14ac:dyDescent="0.25">
      <c r="A284" s="10" t="s">
        <v>1072</v>
      </c>
      <c r="B284" s="10"/>
      <c r="C284" s="16" t="s">
        <v>1073</v>
      </c>
      <c r="D284" s="12"/>
      <c r="E284" s="12"/>
      <c r="F284" s="17" t="s">
        <v>222</v>
      </c>
      <c r="G284" s="18">
        <v>0.75</v>
      </c>
      <c r="H284" s="18"/>
      <c r="I284" s="18">
        <v>690.97500000000002</v>
      </c>
      <c r="J284" s="19">
        <v>2.8</v>
      </c>
      <c r="M284" s="20">
        <f t="shared" si="17"/>
        <v>1934.73</v>
      </c>
      <c r="P284" s="19">
        <v>2.8</v>
      </c>
      <c r="S284" s="20">
        <f t="shared" si="18"/>
        <v>1934.73</v>
      </c>
      <c r="V284" s="9">
        <f t="shared" si="19"/>
        <v>2.33</v>
      </c>
      <c r="Y284" s="9">
        <f t="shared" si="16"/>
        <v>1612.28</v>
      </c>
      <c r="AD284" s="4" t="s">
        <v>1074</v>
      </c>
      <c r="AE284" s="4" t="s">
        <v>1075</v>
      </c>
      <c r="AF284" s="4" t="s">
        <v>1076</v>
      </c>
    </row>
    <row r="285" spans="1:35" ht="56.25" x14ac:dyDescent="0.25">
      <c r="A285" s="10" t="s">
        <v>1077</v>
      </c>
      <c r="B285" s="10" t="s">
        <v>1078</v>
      </c>
      <c r="C285" s="11" t="s">
        <v>1079</v>
      </c>
      <c r="D285" s="12"/>
      <c r="E285" s="12" t="s">
        <v>1080</v>
      </c>
      <c r="F285" s="12" t="s">
        <v>59</v>
      </c>
      <c r="G285" s="13">
        <v>1</v>
      </c>
      <c r="H285" s="13"/>
      <c r="I285" s="13">
        <v>716.1</v>
      </c>
      <c r="J285" s="14">
        <f>IFERROR(ROUND(SUM(M286)/I285, 2),0)</f>
        <v>902.98</v>
      </c>
      <c r="K285" s="15">
        <v>963</v>
      </c>
      <c r="L285" s="14">
        <f>J285+ROUND(K285, 2)</f>
        <v>1865.98</v>
      </c>
      <c r="M285" s="14">
        <f>ROUND(J285*I285, 2)</f>
        <v>646623.98</v>
      </c>
      <c r="N285" s="14">
        <f>ROUND(I285*ROUND(K285, 2), 2)</f>
        <v>689604.3</v>
      </c>
      <c r="O285" s="14">
        <f>M285+N285</f>
        <v>1336228.28</v>
      </c>
      <c r="P285" s="14">
        <f>IFERROR(ROUND(SUM(S286)/I285, 2),0)</f>
        <v>902.98</v>
      </c>
      <c r="Q285" s="15">
        <v>963</v>
      </c>
      <c r="R285" s="14">
        <f>P285+ROUND(Q285, 2)</f>
        <v>1865.98</v>
      </c>
      <c r="S285" s="14">
        <f>ROUND(P285*I285, 2)</f>
        <v>646623.98</v>
      </c>
      <c r="T285" s="14">
        <f>ROUND(I285*ROUND(Q285, 2), 2)</f>
        <v>689604.3</v>
      </c>
      <c r="U285" s="14">
        <f>S285+T285</f>
        <v>1336228.28</v>
      </c>
      <c r="V285" s="9">
        <f>ROUND(P285 / 1.2, 2)</f>
        <v>752.48</v>
      </c>
      <c r="W285" s="9">
        <f>ROUND(Q285 / 1.2, 2)</f>
        <v>802.5</v>
      </c>
      <c r="X285" s="9">
        <f>ROUND(R285 / 1.2, 2)</f>
        <v>1554.98</v>
      </c>
      <c r="Y285" s="9">
        <f t="shared" si="16"/>
        <v>538853.31999999995</v>
      </c>
      <c r="Z285" s="9">
        <f>ROUND(T285 / 1.2, 2)</f>
        <v>574670.25</v>
      </c>
      <c r="AA285" s="9">
        <f>Y285+Z285</f>
        <v>1113523.5699999998</v>
      </c>
      <c r="AD285" s="4">
        <v>282588985</v>
      </c>
      <c r="AE285" s="4">
        <v>20347726</v>
      </c>
      <c r="AG285" s="4" t="s">
        <v>1081</v>
      </c>
      <c r="AH285" s="4" t="s">
        <v>1082</v>
      </c>
      <c r="AI285" s="4" t="s">
        <v>170</v>
      </c>
    </row>
    <row r="286" spans="1:35" ht="37.5" x14ac:dyDescent="0.25">
      <c r="A286" s="10" t="s">
        <v>1083</v>
      </c>
      <c r="B286" s="10"/>
      <c r="C286" s="21" t="s">
        <v>1084</v>
      </c>
      <c r="D286" s="12"/>
      <c r="E286" s="12"/>
      <c r="F286" s="17" t="s">
        <v>59</v>
      </c>
      <c r="G286" s="18">
        <v>1.1000000000000001</v>
      </c>
      <c r="H286" s="22"/>
      <c r="I286" s="22">
        <v>787.71</v>
      </c>
      <c r="J286" s="19">
        <v>820.89</v>
      </c>
      <c r="M286" s="20">
        <f>ROUND(ROUND(J286, 2)*I286, 2)</f>
        <v>646623.26</v>
      </c>
      <c r="P286" s="19">
        <v>820.89</v>
      </c>
      <c r="S286" s="20">
        <f>ROUND(ROUND(P286, 2)*I286, 2)</f>
        <v>646623.26</v>
      </c>
      <c r="V286" s="9">
        <f>ROUND(ROUND(P286, 2)/1.2, 2)</f>
        <v>684.08</v>
      </c>
      <c r="Y286" s="9">
        <f t="shared" si="16"/>
        <v>538852.72</v>
      </c>
      <c r="AD286" s="4" t="s">
        <v>1085</v>
      </c>
      <c r="AE286" s="4" t="s">
        <v>1086</v>
      </c>
      <c r="AF286" s="4" t="s">
        <v>1087</v>
      </c>
    </row>
    <row r="287" spans="1:35" ht="75" x14ac:dyDescent="0.25">
      <c r="A287" s="10" t="s">
        <v>1088</v>
      </c>
      <c r="B287" s="10" t="s">
        <v>1078</v>
      </c>
      <c r="C287" s="11" t="s">
        <v>1079</v>
      </c>
      <c r="D287" s="12"/>
      <c r="E287" s="12" t="s">
        <v>1089</v>
      </c>
      <c r="F287" s="12" t="s">
        <v>59</v>
      </c>
      <c r="G287" s="13">
        <v>1</v>
      </c>
      <c r="H287" s="13"/>
      <c r="I287" s="13">
        <v>1176</v>
      </c>
      <c r="J287" s="14">
        <f>IFERROR(ROUND(SUM(M288)/I287, 2),0)</f>
        <v>855.89</v>
      </c>
      <c r="K287" s="15">
        <v>963</v>
      </c>
      <c r="L287" s="14">
        <f>J287+ROUND(K287, 2)</f>
        <v>1818.8899999999999</v>
      </c>
      <c r="M287" s="14">
        <f>ROUND(J287*I287, 2)</f>
        <v>1006526.64</v>
      </c>
      <c r="N287" s="14">
        <f>ROUND(I287*ROUND(K287, 2), 2)</f>
        <v>1132488</v>
      </c>
      <c r="O287" s="14">
        <f>M287+N287</f>
        <v>2139014.64</v>
      </c>
      <c r="P287" s="14">
        <f>IFERROR(ROUND(SUM(S288)/I287, 2),0)</f>
        <v>855.89</v>
      </c>
      <c r="Q287" s="15">
        <v>963</v>
      </c>
      <c r="R287" s="14">
        <f>P287+ROUND(Q287, 2)</f>
        <v>1818.8899999999999</v>
      </c>
      <c r="S287" s="14">
        <f>ROUND(P287*I287, 2)</f>
        <v>1006526.64</v>
      </c>
      <c r="T287" s="14">
        <f>ROUND(I287*ROUND(Q287, 2), 2)</f>
        <v>1132488</v>
      </c>
      <c r="U287" s="14">
        <f>S287+T287</f>
        <v>2139014.64</v>
      </c>
      <c r="V287" s="9">
        <f>ROUND(P287 / 1.2, 2)</f>
        <v>713.24</v>
      </c>
      <c r="W287" s="9">
        <f>ROUND(Q287 / 1.2, 2)</f>
        <v>802.5</v>
      </c>
      <c r="X287" s="9">
        <f>ROUND(R287 / 1.2, 2)</f>
        <v>1515.74</v>
      </c>
      <c r="Y287" s="9">
        <f t="shared" si="16"/>
        <v>838772.2</v>
      </c>
      <c r="Z287" s="9">
        <f>ROUND(T287 / 1.2, 2)</f>
        <v>943740</v>
      </c>
      <c r="AA287" s="9">
        <f>Y287+Z287</f>
        <v>1782512.2</v>
      </c>
      <c r="AD287" s="4">
        <v>282589027</v>
      </c>
      <c r="AE287" s="4">
        <v>20347727</v>
      </c>
      <c r="AG287" s="4" t="s">
        <v>1081</v>
      </c>
      <c r="AH287" s="4" t="s">
        <v>1082</v>
      </c>
      <c r="AI287" s="4" t="s">
        <v>170</v>
      </c>
    </row>
    <row r="288" spans="1:35" ht="18.75" x14ac:dyDescent="0.25">
      <c r="A288" s="10" t="s">
        <v>1090</v>
      </c>
      <c r="B288" s="10"/>
      <c r="C288" s="21" t="s">
        <v>1091</v>
      </c>
      <c r="D288" s="12"/>
      <c r="E288" s="12"/>
      <c r="F288" s="17" t="s">
        <v>59</v>
      </c>
      <c r="G288" s="18">
        <v>1.1000000000000001</v>
      </c>
      <c r="H288" s="22"/>
      <c r="I288" s="22">
        <v>1293.5999999999999</v>
      </c>
      <c r="J288" s="19">
        <v>778.08</v>
      </c>
      <c r="M288" s="20">
        <f>ROUND(ROUND(J288, 2)*I288, 2)</f>
        <v>1006524.29</v>
      </c>
      <c r="P288" s="19">
        <v>778.08</v>
      </c>
      <c r="S288" s="20">
        <f>ROUND(ROUND(P288, 2)*I288, 2)</f>
        <v>1006524.29</v>
      </c>
      <c r="V288" s="9">
        <f>ROUND(ROUND(P288, 2)/1.2, 2)</f>
        <v>648.4</v>
      </c>
      <c r="Y288" s="9">
        <f t="shared" si="16"/>
        <v>838770.24</v>
      </c>
      <c r="AD288" s="4" t="s">
        <v>1092</v>
      </c>
      <c r="AE288" s="4" t="s">
        <v>1093</v>
      </c>
      <c r="AF288" s="4" t="s">
        <v>1094</v>
      </c>
    </row>
    <row r="289" spans="1:35" ht="93.75" x14ac:dyDescent="0.25">
      <c r="A289" s="10" t="s">
        <v>1095</v>
      </c>
      <c r="B289" s="10" t="s">
        <v>1078</v>
      </c>
      <c r="C289" s="11" t="s">
        <v>1079</v>
      </c>
      <c r="D289" s="12"/>
      <c r="E289" s="12" t="s">
        <v>1096</v>
      </c>
      <c r="F289" s="12" t="s">
        <v>59</v>
      </c>
      <c r="G289" s="13">
        <v>1</v>
      </c>
      <c r="H289" s="13"/>
      <c r="I289" s="13">
        <v>21.5</v>
      </c>
      <c r="J289" s="14">
        <f>IFERROR(ROUND(SUM(M290)/I289, 2),0)</f>
        <v>855.89</v>
      </c>
      <c r="K289" s="15">
        <v>963</v>
      </c>
      <c r="L289" s="14">
        <f>J289+ROUND(K289, 2)</f>
        <v>1818.8899999999999</v>
      </c>
      <c r="M289" s="14">
        <f>ROUND(J289*I289, 2)</f>
        <v>18401.64</v>
      </c>
      <c r="N289" s="14">
        <f>ROUND(I289*ROUND(K289, 2), 2)</f>
        <v>20704.5</v>
      </c>
      <c r="O289" s="14">
        <f>M289+N289</f>
        <v>39106.14</v>
      </c>
      <c r="P289" s="14">
        <f>IFERROR(ROUND(SUM(S290)/I289, 2),0)</f>
        <v>855.89</v>
      </c>
      <c r="Q289" s="15">
        <v>963</v>
      </c>
      <c r="R289" s="14">
        <f>P289+ROUND(Q289, 2)</f>
        <v>1818.8899999999999</v>
      </c>
      <c r="S289" s="14">
        <f>ROUND(P289*I289, 2)</f>
        <v>18401.64</v>
      </c>
      <c r="T289" s="14">
        <f>ROUND(I289*ROUND(Q289, 2), 2)</f>
        <v>20704.5</v>
      </c>
      <c r="U289" s="14">
        <f>S289+T289</f>
        <v>39106.14</v>
      </c>
      <c r="V289" s="9">
        <f>ROUND(P289 / 1.2, 2)</f>
        <v>713.24</v>
      </c>
      <c r="W289" s="9">
        <f>ROUND(Q289 / 1.2, 2)</f>
        <v>802.5</v>
      </c>
      <c r="X289" s="9">
        <f>ROUND(R289 / 1.2, 2)</f>
        <v>1515.74</v>
      </c>
      <c r="Y289" s="9">
        <f t="shared" si="16"/>
        <v>15334.7</v>
      </c>
      <c r="Z289" s="9">
        <f>ROUND(T289 / 1.2, 2)</f>
        <v>17253.75</v>
      </c>
      <c r="AA289" s="9">
        <f>Y289+Z289</f>
        <v>32588.45</v>
      </c>
      <c r="AD289" s="4">
        <v>282589028</v>
      </c>
      <c r="AE289" s="4">
        <v>20347722</v>
      </c>
      <c r="AG289" s="4" t="s">
        <v>1081</v>
      </c>
      <c r="AH289" s="4" t="s">
        <v>1082</v>
      </c>
      <c r="AI289" s="4" t="s">
        <v>170</v>
      </c>
    </row>
    <row r="290" spans="1:35" ht="18.75" x14ac:dyDescent="0.25">
      <c r="A290" s="10" t="s">
        <v>1097</v>
      </c>
      <c r="B290" s="10"/>
      <c r="C290" s="21" t="s">
        <v>1091</v>
      </c>
      <c r="D290" s="12"/>
      <c r="E290" s="12"/>
      <c r="F290" s="17" t="s">
        <v>59</v>
      </c>
      <c r="G290" s="18">
        <v>1.1000000000000001</v>
      </c>
      <c r="H290" s="22"/>
      <c r="I290" s="22">
        <v>23.65</v>
      </c>
      <c r="J290" s="19">
        <v>778.08</v>
      </c>
      <c r="M290" s="20">
        <f>ROUND(ROUND(J290, 2)*I290, 2)</f>
        <v>18401.59</v>
      </c>
      <c r="P290" s="19">
        <v>778.08</v>
      </c>
      <c r="S290" s="20">
        <f>ROUND(ROUND(P290, 2)*I290, 2)</f>
        <v>18401.59</v>
      </c>
      <c r="V290" s="9">
        <f>ROUND(ROUND(P290, 2)/1.2, 2)</f>
        <v>648.4</v>
      </c>
      <c r="Y290" s="9">
        <f t="shared" si="16"/>
        <v>15334.66</v>
      </c>
      <c r="AD290" s="4" t="s">
        <v>1098</v>
      </c>
      <c r="AE290" s="4" t="s">
        <v>1099</v>
      </c>
      <c r="AF290" s="4" t="s">
        <v>1094</v>
      </c>
    </row>
    <row r="291" spans="1:35" ht="206.25" x14ac:dyDescent="0.25">
      <c r="A291" s="10" t="s">
        <v>1100</v>
      </c>
      <c r="B291" s="10" t="s">
        <v>1078</v>
      </c>
      <c r="C291" s="11" t="s">
        <v>1079</v>
      </c>
      <c r="D291" s="12"/>
      <c r="E291" s="12" t="s">
        <v>1101</v>
      </c>
      <c r="F291" s="12" t="s">
        <v>59</v>
      </c>
      <c r="G291" s="13">
        <v>1</v>
      </c>
      <c r="H291" s="13"/>
      <c r="I291" s="13">
        <v>63.6</v>
      </c>
      <c r="J291" s="14">
        <f>IFERROR(ROUND(SUM(M292)/I291, 2),0)</f>
        <v>0</v>
      </c>
      <c r="K291" s="15">
        <v>963</v>
      </c>
      <c r="L291" s="14">
        <f>J291+ROUND(K291, 2)</f>
        <v>963</v>
      </c>
      <c r="M291" s="14">
        <f>ROUND(J291*I291, 2)</f>
        <v>0</v>
      </c>
      <c r="N291" s="14">
        <f>ROUND(I291*ROUND(K291, 2), 2)</f>
        <v>61246.8</v>
      </c>
      <c r="O291" s="14">
        <f>M291+N291</f>
        <v>61246.8</v>
      </c>
      <c r="P291" s="14">
        <f>IFERROR(ROUND(SUM(S292)/I291, 2),0)</f>
        <v>855</v>
      </c>
      <c r="Q291" s="15">
        <v>963</v>
      </c>
      <c r="R291" s="14">
        <f>P291+ROUND(Q291, 2)</f>
        <v>1818</v>
      </c>
      <c r="S291" s="14">
        <f>ROUND(P291*I291, 2)</f>
        <v>54378</v>
      </c>
      <c r="T291" s="14">
        <f>ROUND(I291*ROUND(Q291, 2), 2)</f>
        <v>61246.8</v>
      </c>
      <c r="U291" s="14">
        <f>S291+T291</f>
        <v>115624.8</v>
      </c>
      <c r="V291" s="9">
        <f>ROUND(P291 / 1.2, 2)</f>
        <v>712.5</v>
      </c>
      <c r="W291" s="9">
        <f>ROUND(Q291 / 1.2, 2)</f>
        <v>802.5</v>
      </c>
      <c r="X291" s="9">
        <f>ROUND(R291 / 1.2, 2)</f>
        <v>1515</v>
      </c>
      <c r="Y291" s="9">
        <f t="shared" si="16"/>
        <v>45315</v>
      </c>
      <c r="Z291" s="9">
        <f>ROUND(T291 / 1.2, 2)</f>
        <v>51039</v>
      </c>
      <c r="AA291" s="9">
        <f>Y291+Z291</f>
        <v>96354</v>
      </c>
      <c r="AD291" s="4">
        <v>282589029</v>
      </c>
      <c r="AE291" s="4">
        <v>21107984</v>
      </c>
      <c r="AG291" s="4" t="s">
        <v>1081</v>
      </c>
      <c r="AH291" s="4" t="s">
        <v>1082</v>
      </c>
      <c r="AI291" s="4" t="s">
        <v>170</v>
      </c>
    </row>
    <row r="292" spans="1:35" ht="18.75" x14ac:dyDescent="0.25">
      <c r="A292" s="10" t="s">
        <v>1102</v>
      </c>
      <c r="B292" s="10"/>
      <c r="C292" s="16" t="s">
        <v>1103</v>
      </c>
      <c r="D292" s="12"/>
      <c r="E292" s="12"/>
      <c r="F292" s="17" t="s">
        <v>59</v>
      </c>
      <c r="G292" s="18">
        <v>1</v>
      </c>
      <c r="H292" s="22"/>
      <c r="I292" s="22">
        <v>63.6</v>
      </c>
      <c r="J292" s="19">
        <v>0</v>
      </c>
      <c r="M292" s="20">
        <f>ROUND(ROUND(J292, 2)*I292, 2)</f>
        <v>0</v>
      </c>
      <c r="P292" s="19">
        <v>855</v>
      </c>
      <c r="S292" s="20">
        <f>ROUND(ROUND(P292, 2)*I292, 2)</f>
        <v>54378</v>
      </c>
      <c r="V292" s="9">
        <f>ROUND(ROUND(P292, 2)/1.2, 2)</f>
        <v>712.5</v>
      </c>
      <c r="Y292" s="9">
        <f t="shared" si="16"/>
        <v>45315</v>
      </c>
      <c r="AD292" s="4" t="s">
        <v>1104</v>
      </c>
      <c r="AE292" s="4" t="s">
        <v>1105</v>
      </c>
      <c r="AF292" s="4" t="s">
        <v>1106</v>
      </c>
    </row>
    <row r="293" spans="1:35" ht="24" customHeight="1" x14ac:dyDescent="0.25">
      <c r="A293" s="24"/>
      <c r="B293" s="24"/>
      <c r="C293" s="24"/>
      <c r="D293" s="25" t="s">
        <v>1107</v>
      </c>
      <c r="E293" s="24"/>
      <c r="F293" s="24"/>
      <c r="G293" s="24"/>
      <c r="H293" s="24"/>
      <c r="I293" s="24"/>
      <c r="J293" s="24"/>
      <c r="K293" s="24"/>
      <c r="L293" s="24"/>
      <c r="M293" s="26">
        <f>SUM(M8)</f>
        <v>26760871.57</v>
      </c>
      <c r="N293" s="26">
        <f>SUM(N8)</f>
        <v>31630464.810000002</v>
      </c>
      <c r="O293" s="26">
        <f>M293+N293</f>
        <v>58391336.380000003</v>
      </c>
      <c r="P293" s="24"/>
      <c r="Q293" s="24"/>
      <c r="R293" s="24"/>
      <c r="S293" s="26">
        <f>SUM(S8)</f>
        <v>25322784.150000002</v>
      </c>
      <c r="T293" s="26">
        <f>SUM(T8)</f>
        <v>31630464.810000002</v>
      </c>
      <c r="U293" s="26">
        <f>S293+T293</f>
        <v>56953248.960000008</v>
      </c>
      <c r="Y293" s="9">
        <f>SUM(Y8)</f>
        <v>21102320.170000002</v>
      </c>
      <c r="Z293" s="9">
        <f>SUM(Z8)</f>
        <v>26358720.690000005</v>
      </c>
      <c r="AA293" s="9">
        <f>Y293+Z293</f>
        <v>47461040.860000007</v>
      </c>
    </row>
    <row r="294" spans="1:35" ht="22.5" x14ac:dyDescent="0.25">
      <c r="A294" s="36" t="s">
        <v>1108</v>
      </c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8"/>
    </row>
    <row r="295" spans="1:35" ht="15.75" x14ac:dyDescent="0.25">
      <c r="A295" s="28"/>
      <c r="B295" s="5" t="s">
        <v>1109</v>
      </c>
      <c r="C295" s="27" t="s">
        <v>1110</v>
      </c>
      <c r="D295" s="27" t="s">
        <v>1111</v>
      </c>
      <c r="E295" s="29"/>
      <c r="F295" s="29"/>
      <c r="G295" s="29"/>
      <c r="H295" s="30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2"/>
    </row>
    <row r="296" spans="1:35" ht="15.75" x14ac:dyDescent="0.25">
      <c r="A296" s="28"/>
      <c r="B296" s="5" t="s">
        <v>1112</v>
      </c>
      <c r="C296" s="27" t="s">
        <v>1113</v>
      </c>
      <c r="D296" s="27" t="s">
        <v>1114</v>
      </c>
      <c r="E296" s="29"/>
      <c r="F296" s="29"/>
      <c r="G296" s="29"/>
      <c r="H296" s="30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2"/>
    </row>
    <row r="297" spans="1:35" ht="31.5" x14ac:dyDescent="0.25">
      <c r="A297" s="28"/>
      <c r="B297" s="5" t="s">
        <v>1115</v>
      </c>
      <c r="C297" s="27" t="s">
        <v>1116</v>
      </c>
      <c r="D297" s="27" t="s">
        <v>1117</v>
      </c>
      <c r="E297" s="29"/>
      <c r="F297" s="29"/>
      <c r="G297" s="29"/>
      <c r="H297" s="30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2"/>
    </row>
    <row r="298" spans="1:35" ht="15.75" x14ac:dyDescent="0.25">
      <c r="A298" s="28"/>
      <c r="B298" s="5" t="s">
        <v>1118</v>
      </c>
      <c r="C298" s="27" t="s">
        <v>1119</v>
      </c>
      <c r="D298" s="27" t="s">
        <v>1120</v>
      </c>
      <c r="E298" s="29"/>
      <c r="F298" s="29"/>
      <c r="G298" s="29"/>
      <c r="H298" s="30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2"/>
    </row>
    <row r="299" spans="1:35" ht="15.75" x14ac:dyDescent="0.25">
      <c r="A299" s="28"/>
      <c r="B299" s="5" t="s">
        <v>1121</v>
      </c>
      <c r="C299" s="27" t="s">
        <v>1122</v>
      </c>
      <c r="D299" s="27" t="s">
        <v>1114</v>
      </c>
      <c r="E299" s="29"/>
      <c r="F299" s="29"/>
      <c r="G299" s="29"/>
      <c r="H299" s="30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2"/>
    </row>
    <row r="300" spans="1:35" ht="31.5" x14ac:dyDescent="0.25">
      <c r="A300" s="28"/>
      <c r="B300" s="5" t="s">
        <v>1123</v>
      </c>
      <c r="C300" s="27" t="s">
        <v>1124</v>
      </c>
      <c r="D300" s="27" t="s">
        <v>1125</v>
      </c>
      <c r="E300" s="29"/>
      <c r="F300" s="29"/>
      <c r="G300" s="29"/>
      <c r="H300" s="30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2"/>
    </row>
    <row r="301" spans="1:35" ht="31.5" x14ac:dyDescent="0.25">
      <c r="A301" s="28"/>
      <c r="B301" s="5" t="s">
        <v>1126</v>
      </c>
      <c r="C301" s="27" t="s">
        <v>1127</v>
      </c>
      <c r="D301" s="27" t="s">
        <v>1128</v>
      </c>
      <c r="E301" s="29"/>
      <c r="F301" s="29"/>
      <c r="G301" s="29"/>
      <c r="H301" s="30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2"/>
    </row>
    <row r="302" spans="1:35" ht="15.75" x14ac:dyDescent="0.25">
      <c r="A302" s="28"/>
      <c r="B302" s="5" t="s">
        <v>1129</v>
      </c>
      <c r="C302" s="27" t="s">
        <v>1130</v>
      </c>
      <c r="D302" s="27" t="s">
        <v>1131</v>
      </c>
      <c r="E302" s="29"/>
      <c r="F302" s="29"/>
      <c r="G302" s="29"/>
      <c r="H302" s="30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2"/>
    </row>
    <row r="303" spans="1:35" ht="15.75" x14ac:dyDescent="0.25">
      <c r="A303" s="28"/>
      <c r="B303" s="5" t="s">
        <v>1132</v>
      </c>
      <c r="C303" s="27" t="s">
        <v>1133</v>
      </c>
      <c r="D303" s="27" t="s">
        <v>1134</v>
      </c>
      <c r="E303" s="29"/>
      <c r="F303" s="29"/>
      <c r="G303" s="29"/>
      <c r="H303" s="30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2"/>
    </row>
    <row r="304" spans="1:35" ht="31.5" x14ac:dyDescent="0.25">
      <c r="A304" s="28"/>
      <c r="B304" s="5" t="s">
        <v>1135</v>
      </c>
      <c r="C304" s="27" t="s">
        <v>1136</v>
      </c>
      <c r="D304" s="27" t="s">
        <v>1137</v>
      </c>
      <c r="E304" s="29"/>
      <c r="F304" s="29"/>
      <c r="G304" s="29"/>
      <c r="H304" s="30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2"/>
    </row>
    <row r="305" spans="1:21" ht="47.25" x14ac:dyDescent="0.25">
      <c r="A305" s="28"/>
      <c r="B305" s="5" t="s">
        <v>1138</v>
      </c>
      <c r="C305" s="27" t="s">
        <v>1139</v>
      </c>
      <c r="D305" s="27" t="s">
        <v>1140</v>
      </c>
      <c r="E305" s="29"/>
      <c r="F305" s="29"/>
      <c r="G305" s="29"/>
      <c r="H305" s="30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2"/>
    </row>
    <row r="306" spans="1:21" ht="31.5" x14ac:dyDescent="0.25">
      <c r="A306" s="28"/>
      <c r="B306" s="5" t="s">
        <v>1141</v>
      </c>
      <c r="C306" s="27" t="s">
        <v>1142</v>
      </c>
      <c r="D306" s="27" t="s">
        <v>1143</v>
      </c>
      <c r="E306" s="29"/>
      <c r="F306" s="29"/>
      <c r="G306" s="29"/>
      <c r="H306" s="30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2"/>
    </row>
    <row r="307" spans="1:21" ht="15.75" x14ac:dyDescent="0.25">
      <c r="A307" s="28"/>
      <c r="B307" s="5" t="s">
        <v>1144</v>
      </c>
      <c r="C307" s="27" t="s">
        <v>1145</v>
      </c>
      <c r="D307" s="27" t="s">
        <v>1146</v>
      </c>
      <c r="E307" s="29"/>
      <c r="F307" s="29"/>
      <c r="G307" s="29"/>
      <c r="H307" s="30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2"/>
    </row>
    <row r="308" spans="1:21" ht="48" customHeight="1" x14ac:dyDescent="0.25">
      <c r="A308" s="28"/>
      <c r="B308" s="5" t="s">
        <v>1147</v>
      </c>
      <c r="C308" s="27" t="s">
        <v>1148</v>
      </c>
      <c r="D308" s="27" t="s">
        <v>1149</v>
      </c>
      <c r="E308" s="29"/>
      <c r="F308" s="29"/>
      <c r="G308" s="29"/>
      <c r="H308" s="30" t="s">
        <v>1150</v>
      </c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2"/>
    </row>
    <row r="309" spans="1:21" ht="15.75" x14ac:dyDescent="0.25">
      <c r="A309" s="28"/>
      <c r="B309" s="5" t="s">
        <v>1151</v>
      </c>
      <c r="C309" s="27" t="s">
        <v>1152</v>
      </c>
      <c r="D309" s="27" t="s">
        <v>1153</v>
      </c>
      <c r="E309" s="29"/>
      <c r="F309" s="29"/>
      <c r="G309" s="29"/>
      <c r="H309" s="30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2"/>
    </row>
    <row r="310" spans="1:21" ht="31.5" x14ac:dyDescent="0.25">
      <c r="A310" s="28"/>
      <c r="B310" s="5" t="s">
        <v>1154</v>
      </c>
      <c r="C310" s="27" t="s">
        <v>1155</v>
      </c>
      <c r="D310" s="29"/>
      <c r="E310" s="29"/>
      <c r="F310" s="29"/>
      <c r="G310" s="29"/>
      <c r="H310" s="30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2"/>
    </row>
    <row r="311" spans="1:21" ht="15.75" x14ac:dyDescent="0.25">
      <c r="A311" s="28"/>
      <c r="B311" s="5" t="s">
        <v>1156</v>
      </c>
      <c r="C311" s="27" t="s">
        <v>1157</v>
      </c>
      <c r="D311" s="29"/>
      <c r="E311" s="29"/>
      <c r="F311" s="29"/>
      <c r="G311" s="29"/>
      <c r="H311" s="30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2"/>
    </row>
    <row r="312" spans="1:21" ht="15.75" x14ac:dyDescent="0.25">
      <c r="A312" s="28"/>
      <c r="B312" s="5" t="s">
        <v>1158</v>
      </c>
      <c r="C312" s="27" t="s">
        <v>1159</v>
      </c>
      <c r="D312" s="29"/>
      <c r="E312" s="29"/>
      <c r="F312" s="29"/>
      <c r="G312" s="29"/>
      <c r="H312" s="30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2"/>
    </row>
  </sheetData>
  <sheetProtection password="C644" sheet="1" formatColumns="0" autoFilter="0"/>
  <autoFilter ref="A7:U7"/>
  <mergeCells count="63">
    <mergeCell ref="A2:U2"/>
    <mergeCell ref="A3:U3"/>
    <mergeCell ref="A4:U4"/>
    <mergeCell ref="J5:O5"/>
    <mergeCell ref="P5:R5"/>
    <mergeCell ref="S5:U5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6:K6"/>
    <mergeCell ref="S6:T6"/>
    <mergeCell ref="U6:U7"/>
    <mergeCell ref="A8:I8"/>
    <mergeCell ref="C9:I9"/>
    <mergeCell ref="C10:I10"/>
    <mergeCell ref="L6:L7"/>
    <mergeCell ref="M6:N6"/>
    <mergeCell ref="O6:O7"/>
    <mergeCell ref="P6:Q6"/>
    <mergeCell ref="R6:R7"/>
    <mergeCell ref="C11:I11"/>
    <mergeCell ref="C12:I12"/>
    <mergeCell ref="C13:I13"/>
    <mergeCell ref="C14:I14"/>
    <mergeCell ref="C35:I35"/>
    <mergeCell ref="C36:I36"/>
    <mergeCell ref="C37:I37"/>
    <mergeCell ref="C38:I38"/>
    <mergeCell ref="C39:I39"/>
    <mergeCell ref="C138:I138"/>
    <mergeCell ref="C141:I141"/>
    <mergeCell ref="C142:I142"/>
    <mergeCell ref="C146:I146"/>
    <mergeCell ref="C225:I225"/>
    <mergeCell ref="C236:I236"/>
    <mergeCell ref="C237:I237"/>
    <mergeCell ref="C244:I244"/>
    <mergeCell ref="C257:I257"/>
    <mergeCell ref="A294:U294"/>
    <mergeCell ref="H295:U295"/>
    <mergeCell ref="H296:U296"/>
    <mergeCell ref="H297:U297"/>
    <mergeCell ref="H298:U298"/>
    <mergeCell ref="H299:U299"/>
    <mergeCell ref="H300:U300"/>
    <mergeCell ref="H301:U301"/>
    <mergeCell ref="H302:U302"/>
    <mergeCell ref="H303:U303"/>
    <mergeCell ref="H304:U304"/>
    <mergeCell ref="H305:U305"/>
    <mergeCell ref="H311:U311"/>
    <mergeCell ref="H312:U312"/>
    <mergeCell ref="H306:U306"/>
    <mergeCell ref="H307:U307"/>
    <mergeCell ref="H308:U308"/>
    <mergeCell ref="H309:U309"/>
    <mergeCell ref="H310:U3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12"/>
  <sheetViews>
    <sheetView tabSelected="1" topLeftCell="A219" zoomScale="70" zoomScaleNormal="70" workbookViewId="0">
      <selection activeCell="D231" sqref="D231"/>
    </sheetView>
  </sheetViews>
  <sheetFormatPr defaultRowHeight="15" x14ac:dyDescent="0.25"/>
  <cols>
    <col min="1" max="1" width="20" customWidth="1"/>
    <col min="2" max="2" width="21.7109375" bestFit="1" customWidth="1"/>
    <col min="3" max="3" width="55.5703125" customWidth="1"/>
    <col min="4" max="4" width="20.42578125" customWidth="1"/>
    <col min="5" max="5" width="68.5703125" customWidth="1"/>
    <col min="6" max="7" width="16.42578125" customWidth="1"/>
    <col min="8" max="8" width="16" customWidth="1"/>
    <col min="9" max="9" width="16.85546875" customWidth="1"/>
    <col min="10" max="10" width="16" customWidth="1"/>
    <col min="11" max="11" width="17" customWidth="1"/>
    <col min="12" max="12" width="17.5703125" customWidth="1"/>
    <col min="13" max="13" width="18" customWidth="1"/>
    <col min="14" max="14" width="18.85546875" customWidth="1"/>
    <col min="15" max="15" width="23.5703125" customWidth="1"/>
    <col min="16" max="16" width="16" customWidth="1"/>
    <col min="17" max="17" width="17" customWidth="1"/>
    <col min="18" max="18" width="17.5703125" customWidth="1"/>
    <col min="19" max="19" width="18" customWidth="1"/>
    <col min="20" max="20" width="18.85546875" customWidth="1"/>
    <col min="21" max="21" width="23.5703125" customWidth="1"/>
  </cols>
  <sheetData>
    <row r="1" spans="1:35" ht="15" customHeight="1" x14ac:dyDescent="0.25">
      <c r="A1" s="1" t="s">
        <v>0</v>
      </c>
      <c r="B1" s="3"/>
      <c r="C1" s="3"/>
      <c r="D1" s="2" t="s">
        <v>1</v>
      </c>
      <c r="E1" s="2" t="s">
        <v>3</v>
      </c>
      <c r="F1" s="2" t="s">
        <v>2</v>
      </c>
      <c r="G1" s="2" t="s">
        <v>10</v>
      </c>
      <c r="H1" s="2" t="s">
        <v>11</v>
      </c>
      <c r="I1" s="2" t="s">
        <v>12</v>
      </c>
      <c r="J1" s="2" t="s">
        <v>13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AC1" s="4" t="s">
        <v>14</v>
      </c>
      <c r="AD1" s="4" t="s">
        <v>15</v>
      </c>
      <c r="AE1" s="4" t="s">
        <v>16</v>
      </c>
      <c r="AF1" s="4" t="s">
        <v>17</v>
      </c>
      <c r="AG1" s="4" t="s">
        <v>18</v>
      </c>
      <c r="AH1" s="4" t="s">
        <v>19</v>
      </c>
      <c r="AI1" s="4" t="s">
        <v>20</v>
      </c>
    </row>
    <row r="2" spans="1:35" ht="30.75" customHeight="1" x14ac:dyDescent="0.25">
      <c r="A2" s="41" t="s">
        <v>4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</row>
    <row r="3" spans="1:35" ht="15" customHeight="1" x14ac:dyDescent="0.25">
      <c r="A3" s="42" t="s">
        <v>5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</row>
    <row r="4" spans="1:35" ht="15" customHeight="1" x14ac:dyDescent="0.25">
      <c r="A4" s="43" t="s">
        <v>6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</row>
    <row r="5" spans="1:35" ht="40.700000000000003" customHeight="1" x14ac:dyDescent="0.25">
      <c r="A5" s="39" t="s">
        <v>21</v>
      </c>
      <c r="B5" s="39" t="s">
        <v>22</v>
      </c>
      <c r="C5" s="39" t="s">
        <v>23</v>
      </c>
      <c r="D5" s="39" t="s">
        <v>24</v>
      </c>
      <c r="E5" s="39" t="s">
        <v>25</v>
      </c>
      <c r="F5" s="39" t="s">
        <v>26</v>
      </c>
      <c r="G5" s="39" t="s">
        <v>27</v>
      </c>
      <c r="H5" s="39" t="s">
        <v>28</v>
      </c>
      <c r="I5" s="39" t="s">
        <v>29</v>
      </c>
      <c r="J5" s="44" t="s">
        <v>7</v>
      </c>
      <c r="K5" s="45"/>
      <c r="L5" s="45"/>
      <c r="M5" s="45"/>
      <c r="N5" s="45"/>
      <c r="O5" s="46"/>
      <c r="P5" s="47" t="s">
        <v>8</v>
      </c>
      <c r="Q5" s="48"/>
      <c r="R5" s="49"/>
      <c r="S5" s="47" t="s">
        <v>9</v>
      </c>
      <c r="T5" s="48"/>
      <c r="U5" s="49"/>
    </row>
    <row r="6" spans="1:35" ht="15.75" customHeight="1" x14ac:dyDescent="0.25">
      <c r="A6" s="50"/>
      <c r="B6" s="50"/>
      <c r="C6" s="50"/>
      <c r="D6" s="50"/>
      <c r="E6" s="50"/>
      <c r="F6" s="50"/>
      <c r="G6" s="50"/>
      <c r="H6" s="50"/>
      <c r="I6" s="50"/>
      <c r="J6" s="30" t="s">
        <v>30</v>
      </c>
      <c r="K6" s="32"/>
      <c r="L6" s="39" t="s">
        <v>30</v>
      </c>
      <c r="M6" s="30" t="s">
        <v>33</v>
      </c>
      <c r="N6" s="32"/>
      <c r="O6" s="39" t="s">
        <v>34</v>
      </c>
      <c r="P6" s="30" t="s">
        <v>30</v>
      </c>
      <c r="Q6" s="32"/>
      <c r="R6" s="39" t="s">
        <v>30</v>
      </c>
      <c r="S6" s="30" t="s">
        <v>33</v>
      </c>
      <c r="T6" s="32"/>
      <c r="U6" s="39" t="s">
        <v>34</v>
      </c>
    </row>
    <row r="7" spans="1:35" ht="31.35" customHeight="1" x14ac:dyDescent="0.25">
      <c r="A7" s="40"/>
      <c r="B7" s="40"/>
      <c r="C7" s="40"/>
      <c r="D7" s="40"/>
      <c r="E7" s="40"/>
      <c r="F7" s="40"/>
      <c r="G7" s="40"/>
      <c r="H7" s="40"/>
      <c r="I7" s="40"/>
      <c r="J7" s="5" t="s">
        <v>31</v>
      </c>
      <c r="K7" s="5" t="s">
        <v>32</v>
      </c>
      <c r="L7" s="40"/>
      <c r="M7" s="5" t="s">
        <v>31</v>
      </c>
      <c r="N7" s="5" t="s">
        <v>32</v>
      </c>
      <c r="O7" s="40"/>
      <c r="P7" s="5" t="s">
        <v>31</v>
      </c>
      <c r="Q7" s="5" t="s">
        <v>32</v>
      </c>
      <c r="R7" s="40"/>
      <c r="S7" s="5" t="s">
        <v>31</v>
      </c>
      <c r="T7" s="5" t="s">
        <v>32</v>
      </c>
      <c r="U7" s="40"/>
    </row>
    <row r="8" spans="1:35" ht="30" customHeight="1" x14ac:dyDescent="0.25">
      <c r="A8" s="36" t="s">
        <v>35</v>
      </c>
      <c r="B8" s="37"/>
      <c r="C8" s="37"/>
      <c r="D8" s="37"/>
      <c r="E8" s="37"/>
      <c r="F8" s="37"/>
      <c r="G8" s="37"/>
      <c r="H8" s="37"/>
      <c r="I8" s="38"/>
      <c r="J8" s="7"/>
      <c r="K8" s="7"/>
      <c r="L8" s="7"/>
      <c r="M8" s="8">
        <f>SUM(M9)</f>
        <v>26760871.57</v>
      </c>
      <c r="N8" s="8">
        <f>SUM(N9)</f>
        <v>31630464.810000002</v>
      </c>
      <c r="O8" s="8">
        <f>SUM(O9)</f>
        <v>58391336.380000003</v>
      </c>
      <c r="P8" s="7"/>
      <c r="Q8" s="7"/>
      <c r="R8" s="7"/>
      <c r="S8" s="8">
        <f>SUM(S9)</f>
        <v>25322784.150000002</v>
      </c>
      <c r="T8" s="8">
        <f>SUM(T9)</f>
        <v>31630464.810000002</v>
      </c>
      <c r="U8" s="8">
        <f>SUM(U9)</f>
        <v>56953248.959999993</v>
      </c>
      <c r="Y8" s="9">
        <f>SUM(Y9)</f>
        <v>21102320.170000002</v>
      </c>
      <c r="Z8" s="9">
        <f>SUM(Z9)</f>
        <v>26358720.690000005</v>
      </c>
      <c r="AA8" s="9">
        <f>SUM(AA9)</f>
        <v>47461040.859999999</v>
      </c>
      <c r="AC8" s="4" t="s">
        <v>36</v>
      </c>
    </row>
    <row r="9" spans="1:35" ht="17.100000000000001" customHeight="1" x14ac:dyDescent="0.25">
      <c r="A9" s="10" t="s">
        <v>37</v>
      </c>
      <c r="B9" s="10" t="s">
        <v>38</v>
      </c>
      <c r="C9" s="33" t="s">
        <v>39</v>
      </c>
      <c r="D9" s="34"/>
      <c r="E9" s="34"/>
      <c r="F9" s="34"/>
      <c r="G9" s="34"/>
      <c r="H9" s="34"/>
      <c r="I9" s="35"/>
      <c r="M9" s="6">
        <f>SUM(M10,M35)</f>
        <v>26760871.57</v>
      </c>
      <c r="N9" s="6">
        <f>SUM(N10,N35)</f>
        <v>31630464.810000002</v>
      </c>
      <c r="O9" s="6">
        <f>SUM(O10,O35)</f>
        <v>58391336.380000003</v>
      </c>
      <c r="S9" s="6">
        <f>SUM(S10,S35)</f>
        <v>25322784.150000002</v>
      </c>
      <c r="T9" s="6">
        <f>SUM(T10,T35)</f>
        <v>31630464.810000002</v>
      </c>
      <c r="U9" s="6">
        <f>SUM(U10,U35)</f>
        <v>56953248.959999993</v>
      </c>
      <c r="Y9" s="9">
        <f>SUM(Y10,Y35)</f>
        <v>21102320.170000002</v>
      </c>
      <c r="Z9" s="9">
        <f>SUM(Z10,Z35)</f>
        <v>26358720.690000005</v>
      </c>
      <c r="AA9" s="9">
        <f>SUM(AA10,AA35)</f>
        <v>47461040.859999999</v>
      </c>
      <c r="AD9" s="4">
        <v>282588917</v>
      </c>
      <c r="AE9" s="4">
        <v>20296121</v>
      </c>
    </row>
    <row r="10" spans="1:35" ht="17.100000000000001" customHeight="1" x14ac:dyDescent="0.25">
      <c r="A10" s="10" t="s">
        <v>40</v>
      </c>
      <c r="B10" s="10" t="s">
        <v>41</v>
      </c>
      <c r="C10" s="33" t="s">
        <v>42</v>
      </c>
      <c r="D10" s="34"/>
      <c r="E10" s="34"/>
      <c r="F10" s="34"/>
      <c r="G10" s="34"/>
      <c r="H10" s="34"/>
      <c r="I10" s="35"/>
      <c r="M10" s="6">
        <f t="shared" ref="M10:O13" si="0">SUM(M11)</f>
        <v>42344.369999999995</v>
      </c>
      <c r="N10" s="6">
        <f t="shared" si="0"/>
        <v>128833.69999999998</v>
      </c>
      <c r="O10" s="6">
        <f t="shared" si="0"/>
        <v>171178.07</v>
      </c>
      <c r="S10" s="6">
        <f t="shared" ref="S10:U13" si="1">SUM(S11)</f>
        <v>116209.60000000001</v>
      </c>
      <c r="T10" s="6">
        <f t="shared" si="1"/>
        <v>128833.69999999998</v>
      </c>
      <c r="U10" s="6">
        <f t="shared" si="1"/>
        <v>245043.30000000002</v>
      </c>
      <c r="Y10" s="9">
        <f t="shared" ref="Y10:AA13" si="2">SUM(Y11)</f>
        <v>96841.329999999987</v>
      </c>
      <c r="Z10" s="9">
        <f t="shared" si="2"/>
        <v>107361.42</v>
      </c>
      <c r="AA10" s="9">
        <f t="shared" si="2"/>
        <v>204202.75000000003</v>
      </c>
      <c r="AD10" s="4">
        <v>282588918</v>
      </c>
      <c r="AE10" s="4">
        <v>20296136</v>
      </c>
    </row>
    <row r="11" spans="1:35" ht="17.100000000000001" customHeight="1" x14ac:dyDescent="0.25">
      <c r="A11" s="10" t="s">
        <v>43</v>
      </c>
      <c r="B11" s="10" t="s">
        <v>44</v>
      </c>
      <c r="C11" s="33" t="s">
        <v>45</v>
      </c>
      <c r="D11" s="34"/>
      <c r="E11" s="34"/>
      <c r="F11" s="34"/>
      <c r="G11" s="34"/>
      <c r="H11" s="34"/>
      <c r="I11" s="35"/>
      <c r="M11" s="6">
        <f t="shared" si="0"/>
        <v>42344.369999999995</v>
      </c>
      <c r="N11" s="6">
        <f t="shared" si="0"/>
        <v>128833.69999999998</v>
      </c>
      <c r="O11" s="6">
        <f t="shared" si="0"/>
        <v>171178.07</v>
      </c>
      <c r="S11" s="6">
        <f t="shared" si="1"/>
        <v>116209.60000000001</v>
      </c>
      <c r="T11" s="6">
        <f t="shared" si="1"/>
        <v>128833.69999999998</v>
      </c>
      <c r="U11" s="6">
        <f t="shared" si="1"/>
        <v>245043.30000000002</v>
      </c>
      <c r="Y11" s="9">
        <f t="shared" si="2"/>
        <v>96841.329999999987</v>
      </c>
      <c r="Z11" s="9">
        <f t="shared" si="2"/>
        <v>107361.42</v>
      </c>
      <c r="AA11" s="9">
        <f t="shared" si="2"/>
        <v>204202.75000000003</v>
      </c>
      <c r="AD11" s="4">
        <v>282588919</v>
      </c>
      <c r="AE11" s="4">
        <v>20297658</v>
      </c>
    </row>
    <row r="12" spans="1:35" ht="17.100000000000001" customHeight="1" x14ac:dyDescent="0.25">
      <c r="A12" s="10" t="s">
        <v>46</v>
      </c>
      <c r="B12" s="10" t="s">
        <v>47</v>
      </c>
      <c r="C12" s="33" t="s">
        <v>48</v>
      </c>
      <c r="D12" s="34"/>
      <c r="E12" s="34"/>
      <c r="F12" s="34"/>
      <c r="G12" s="34"/>
      <c r="H12" s="34"/>
      <c r="I12" s="35"/>
      <c r="M12" s="6">
        <f t="shared" si="0"/>
        <v>42344.369999999995</v>
      </c>
      <c r="N12" s="6">
        <f t="shared" si="0"/>
        <v>128833.69999999998</v>
      </c>
      <c r="O12" s="6">
        <f t="shared" si="0"/>
        <v>171178.07</v>
      </c>
      <c r="S12" s="6">
        <f t="shared" si="1"/>
        <v>116209.60000000001</v>
      </c>
      <c r="T12" s="6">
        <f t="shared" si="1"/>
        <v>128833.69999999998</v>
      </c>
      <c r="U12" s="6">
        <f t="shared" si="1"/>
        <v>245043.30000000002</v>
      </c>
      <c r="Y12" s="9">
        <f t="shared" si="2"/>
        <v>96841.329999999987</v>
      </c>
      <c r="Z12" s="9">
        <f t="shared" si="2"/>
        <v>107361.42</v>
      </c>
      <c r="AA12" s="9">
        <f t="shared" si="2"/>
        <v>204202.75000000003</v>
      </c>
      <c r="AD12" s="4">
        <v>282588920</v>
      </c>
      <c r="AE12" s="4">
        <v>20344597</v>
      </c>
    </row>
    <row r="13" spans="1:35" ht="17.100000000000001" customHeight="1" x14ac:dyDescent="0.25">
      <c r="A13" s="10" t="s">
        <v>49</v>
      </c>
      <c r="B13" s="10" t="s">
        <v>50</v>
      </c>
      <c r="C13" s="33" t="s">
        <v>51</v>
      </c>
      <c r="D13" s="34"/>
      <c r="E13" s="34"/>
      <c r="F13" s="34"/>
      <c r="G13" s="34"/>
      <c r="H13" s="34"/>
      <c r="I13" s="35"/>
      <c r="M13" s="6">
        <f t="shared" si="0"/>
        <v>42344.369999999995</v>
      </c>
      <c r="N13" s="6">
        <f t="shared" si="0"/>
        <v>128833.69999999998</v>
      </c>
      <c r="O13" s="6">
        <f t="shared" si="0"/>
        <v>171178.07</v>
      </c>
      <c r="S13" s="6">
        <f t="shared" si="1"/>
        <v>116209.60000000001</v>
      </c>
      <c r="T13" s="6">
        <f t="shared" si="1"/>
        <v>128833.69999999998</v>
      </c>
      <c r="U13" s="6">
        <f t="shared" si="1"/>
        <v>245043.30000000002</v>
      </c>
      <c r="Y13" s="9">
        <f t="shared" si="2"/>
        <v>96841.329999999987</v>
      </c>
      <c r="Z13" s="9">
        <f t="shared" si="2"/>
        <v>107361.42</v>
      </c>
      <c r="AA13" s="9">
        <f t="shared" si="2"/>
        <v>204202.75000000003</v>
      </c>
      <c r="AD13" s="4">
        <v>282588921</v>
      </c>
      <c r="AE13" s="4">
        <v>20344601</v>
      </c>
    </row>
    <row r="14" spans="1:35" ht="17.100000000000001" customHeight="1" x14ac:dyDescent="0.25">
      <c r="A14" s="10" t="s">
        <v>52</v>
      </c>
      <c r="B14" s="10" t="s">
        <v>53</v>
      </c>
      <c r="C14" s="33" t="s">
        <v>54</v>
      </c>
      <c r="D14" s="34"/>
      <c r="E14" s="34"/>
      <c r="F14" s="34"/>
      <c r="G14" s="34"/>
      <c r="H14" s="34"/>
      <c r="I14" s="35"/>
      <c r="M14" s="6">
        <f>SUM(M15,M20,M25,M30)</f>
        <v>42344.369999999995</v>
      </c>
      <c r="N14" s="6">
        <f>SUM(N15,N20,N25,N30)</f>
        <v>128833.69999999998</v>
      </c>
      <c r="O14" s="6">
        <f>SUM(O15,O20,O25,O30)</f>
        <v>171178.07</v>
      </c>
      <c r="S14" s="6">
        <f>SUM(S15,S20,S25,S30)</f>
        <v>116209.60000000001</v>
      </c>
      <c r="T14" s="6">
        <f>SUM(T15,T20,T25,T30)</f>
        <v>128833.69999999998</v>
      </c>
      <c r="U14" s="6">
        <f>SUM(U15,U20,U25,U30)</f>
        <v>245043.30000000002</v>
      </c>
      <c r="Y14" s="9">
        <f>SUM(Y15,Y20,Y25,Y30)</f>
        <v>96841.329999999987</v>
      </c>
      <c r="Z14" s="9">
        <f>SUM(Z15,Z20,Z25,Z30)</f>
        <v>107361.42</v>
      </c>
      <c r="AA14" s="9">
        <f>SUM(AA15,AA20,AA25,AA30)</f>
        <v>204202.75000000003</v>
      </c>
      <c r="AD14" s="4">
        <v>282588922</v>
      </c>
      <c r="AE14" s="4">
        <v>20344598</v>
      </c>
    </row>
    <row r="15" spans="1:35" ht="112.5" x14ac:dyDescent="0.25">
      <c r="A15" s="10" t="s">
        <v>55</v>
      </c>
      <c r="B15" s="10" t="s">
        <v>56</v>
      </c>
      <c r="C15" s="11" t="s">
        <v>57</v>
      </c>
      <c r="D15" s="12"/>
      <c r="E15" s="12" t="s">
        <v>58</v>
      </c>
      <c r="F15" s="12" t="s">
        <v>59</v>
      </c>
      <c r="G15" s="13">
        <v>1</v>
      </c>
      <c r="H15" s="13"/>
      <c r="I15" s="13">
        <v>6.3</v>
      </c>
      <c r="J15" s="14">
        <f>IFERROR(ROUND(SUM(M16,M17,M18,M19)/I15, 2),0)</f>
        <v>877.6</v>
      </c>
      <c r="K15" s="15">
        <v>2293</v>
      </c>
      <c r="L15" s="14">
        <f>J15+ROUND(K15, 2)</f>
        <v>3170.6</v>
      </c>
      <c r="M15" s="14">
        <f>ROUND(J15*I15, 2)</f>
        <v>5528.88</v>
      </c>
      <c r="N15" s="14">
        <f>ROUND(I15*ROUND(K15, 2), 2)</f>
        <v>14445.9</v>
      </c>
      <c r="O15" s="14">
        <f>M15+N15</f>
        <v>19974.78</v>
      </c>
      <c r="P15" s="14">
        <f>IFERROR(ROUND(SUM(S16,S17,S18,S19)/I15, 2),0)</f>
        <v>877.6</v>
      </c>
      <c r="Q15" s="15">
        <v>2293</v>
      </c>
      <c r="R15" s="14">
        <f>P15+ROUND(Q15, 2)</f>
        <v>3170.6</v>
      </c>
      <c r="S15" s="14">
        <f>ROUND(P15*I15, 2)</f>
        <v>5528.88</v>
      </c>
      <c r="T15" s="14">
        <f>ROUND(I15*ROUND(Q15, 2), 2)</f>
        <v>14445.9</v>
      </c>
      <c r="U15" s="14">
        <f>S15+T15</f>
        <v>19974.78</v>
      </c>
      <c r="V15" s="9">
        <f>ROUND(P15 / 1.2, 2)</f>
        <v>731.33</v>
      </c>
      <c r="W15" s="9">
        <f>ROUND(Q15 / 1.2, 2)</f>
        <v>1910.83</v>
      </c>
      <c r="X15" s="9">
        <f>ROUND(R15 / 1.2, 2)</f>
        <v>2642.17</v>
      </c>
      <c r="Y15" s="9">
        <f>ROUND(S15 / 1.2, 2)</f>
        <v>4607.3999999999996</v>
      </c>
      <c r="Z15" s="9">
        <f>ROUND(T15 / 1.2, 2)</f>
        <v>12038.25</v>
      </c>
      <c r="AA15" s="9">
        <f>Y15+Z15</f>
        <v>16645.650000000001</v>
      </c>
      <c r="AD15" s="4">
        <v>282588924</v>
      </c>
      <c r="AE15" s="4">
        <v>20344603</v>
      </c>
      <c r="AG15" s="4" t="s">
        <v>60</v>
      </c>
      <c r="AH15" s="4" t="s">
        <v>61</v>
      </c>
      <c r="AI15" s="4" t="s">
        <v>62</v>
      </c>
    </row>
    <row r="16" spans="1:35" ht="75" x14ac:dyDescent="0.25">
      <c r="A16" s="10" t="s">
        <v>63</v>
      </c>
      <c r="B16" s="10"/>
      <c r="C16" s="16" t="s">
        <v>64</v>
      </c>
      <c r="D16" s="12"/>
      <c r="E16" s="12"/>
      <c r="F16" s="17" t="s">
        <v>65</v>
      </c>
      <c r="G16" s="18">
        <v>1</v>
      </c>
      <c r="H16" s="18"/>
      <c r="I16" s="18">
        <v>6.3</v>
      </c>
      <c r="J16" s="19">
        <v>102.33</v>
      </c>
      <c r="M16" s="20">
        <f>ROUND(ROUND(J16, 2)*I16, 2)</f>
        <v>644.67999999999995</v>
      </c>
      <c r="P16" s="19">
        <v>102.33</v>
      </c>
      <c r="S16" s="20">
        <f>ROUND(ROUND(P16, 2)*I16, 2)</f>
        <v>644.67999999999995</v>
      </c>
      <c r="V16" s="9">
        <f>ROUND(ROUND(P16, 2)/1.2, 2)</f>
        <v>85.28</v>
      </c>
      <c r="Y16" s="9">
        <f t="shared" ref="Y16:Y34" si="3">ROUND(S16 / 1.2, 2)</f>
        <v>537.23</v>
      </c>
      <c r="AD16" s="4" t="s">
        <v>66</v>
      </c>
      <c r="AE16" s="4" t="s">
        <v>67</v>
      </c>
      <c r="AF16" s="4" t="s">
        <v>68</v>
      </c>
    </row>
    <row r="17" spans="1:35" ht="37.5" x14ac:dyDescent="0.25">
      <c r="A17" s="10" t="s">
        <v>69</v>
      </c>
      <c r="B17" s="10"/>
      <c r="C17" s="21" t="s">
        <v>70</v>
      </c>
      <c r="D17" s="12"/>
      <c r="E17" s="12"/>
      <c r="F17" s="17" t="s">
        <v>59</v>
      </c>
      <c r="G17" s="18">
        <v>4.2</v>
      </c>
      <c r="H17" s="18"/>
      <c r="I17" s="18">
        <v>26.46</v>
      </c>
      <c r="J17" s="19">
        <v>104.57</v>
      </c>
      <c r="M17" s="20">
        <f>ROUND(ROUND(J17, 2)*I17, 2)</f>
        <v>2766.92</v>
      </c>
      <c r="P17" s="19">
        <v>104.57</v>
      </c>
      <c r="S17" s="20">
        <f>ROUND(ROUND(P17, 2)*I17, 2)</f>
        <v>2766.92</v>
      </c>
      <c r="V17" s="9">
        <f>ROUND(ROUND(P17, 2)/1.2, 2)</f>
        <v>87.14</v>
      </c>
      <c r="Y17" s="9">
        <f t="shared" si="3"/>
        <v>2305.77</v>
      </c>
      <c r="AD17" s="4" t="s">
        <v>71</v>
      </c>
      <c r="AE17" s="4" t="s">
        <v>72</v>
      </c>
      <c r="AF17" s="4" t="s">
        <v>73</v>
      </c>
    </row>
    <row r="18" spans="1:35" ht="18.75" x14ac:dyDescent="0.25">
      <c r="A18" s="10" t="s">
        <v>74</v>
      </c>
      <c r="B18" s="10"/>
      <c r="C18" s="21" t="s">
        <v>75</v>
      </c>
      <c r="D18" s="12"/>
      <c r="E18" s="12"/>
      <c r="F18" s="17" t="s">
        <v>76</v>
      </c>
      <c r="G18" s="18">
        <v>4.07</v>
      </c>
      <c r="H18" s="22"/>
      <c r="I18" s="22">
        <v>25.640999999999998</v>
      </c>
      <c r="J18" s="19">
        <v>64.56</v>
      </c>
      <c r="M18" s="20">
        <f>ROUND(ROUND(J18, 2)*I18, 2)</f>
        <v>1655.38</v>
      </c>
      <c r="P18" s="19">
        <v>64.56</v>
      </c>
      <c r="S18" s="20">
        <f>ROUND(ROUND(P18, 2)*I18, 2)</f>
        <v>1655.38</v>
      </c>
      <c r="V18" s="9">
        <f>ROUND(ROUND(P18, 2)/1.2, 2)</f>
        <v>53.8</v>
      </c>
      <c r="Y18" s="9">
        <f t="shared" si="3"/>
        <v>1379.48</v>
      </c>
      <c r="AD18" s="4" t="s">
        <v>77</v>
      </c>
      <c r="AE18" s="4" t="s">
        <v>78</v>
      </c>
      <c r="AF18" s="4" t="s">
        <v>79</v>
      </c>
    </row>
    <row r="19" spans="1:35" ht="18.75" x14ac:dyDescent="0.25">
      <c r="A19" s="10" t="s">
        <v>80</v>
      </c>
      <c r="B19" s="10"/>
      <c r="C19" s="21" t="s">
        <v>81</v>
      </c>
      <c r="D19" s="12"/>
      <c r="E19" s="12"/>
      <c r="F19" s="17" t="s">
        <v>76</v>
      </c>
      <c r="G19" s="18">
        <v>1.42</v>
      </c>
      <c r="H19" s="22"/>
      <c r="I19" s="22">
        <v>8.9459999999999997</v>
      </c>
      <c r="J19" s="19">
        <v>51.63</v>
      </c>
      <c r="M19" s="20">
        <f>ROUND(ROUND(J19, 2)*I19, 2)</f>
        <v>461.88</v>
      </c>
      <c r="P19" s="19">
        <v>51.63</v>
      </c>
      <c r="S19" s="20">
        <f>ROUND(ROUND(P19, 2)*I19, 2)</f>
        <v>461.88</v>
      </c>
      <c r="V19" s="9">
        <f>ROUND(ROUND(P19, 2)/1.2, 2)</f>
        <v>43.03</v>
      </c>
      <c r="Y19" s="9">
        <f t="shared" si="3"/>
        <v>384.9</v>
      </c>
      <c r="AD19" s="4" t="s">
        <v>82</v>
      </c>
      <c r="AE19" s="4" t="s">
        <v>83</v>
      </c>
      <c r="AF19" s="4" t="s">
        <v>84</v>
      </c>
    </row>
    <row r="20" spans="1:35" ht="131.25" x14ac:dyDescent="0.25">
      <c r="A20" s="10" t="s">
        <v>85</v>
      </c>
      <c r="B20" s="10" t="s">
        <v>56</v>
      </c>
      <c r="C20" s="11" t="s">
        <v>57</v>
      </c>
      <c r="D20" s="12"/>
      <c r="E20" s="12" t="s">
        <v>86</v>
      </c>
      <c r="F20" s="12" t="s">
        <v>59</v>
      </c>
      <c r="G20" s="13">
        <v>1</v>
      </c>
      <c r="H20" s="13"/>
      <c r="I20" s="13">
        <v>25.4</v>
      </c>
      <c r="J20" s="14">
        <f>IFERROR(ROUND(SUM(M21,M22,M23,M24)/I20, 2),0)</f>
        <v>723.02</v>
      </c>
      <c r="K20" s="15">
        <v>2293</v>
      </c>
      <c r="L20" s="14">
        <f>J20+ROUND(K20, 2)</f>
        <v>3016.02</v>
      </c>
      <c r="M20" s="14">
        <f>ROUND(J20*I20, 2)</f>
        <v>18364.71</v>
      </c>
      <c r="N20" s="14">
        <f>ROUND(I20*ROUND(K20, 2), 2)</f>
        <v>58242.2</v>
      </c>
      <c r="O20" s="14">
        <f>M20+N20</f>
        <v>76606.91</v>
      </c>
      <c r="P20" s="14">
        <f>IFERROR(ROUND(SUM(S21,S22,S23,S24)/I20, 2),0)</f>
        <v>3631.1</v>
      </c>
      <c r="Q20" s="15">
        <v>2293</v>
      </c>
      <c r="R20" s="14">
        <f>P20+ROUND(Q20, 2)</f>
        <v>5924.1</v>
      </c>
      <c r="S20" s="14">
        <f>ROUND(P20*I20, 2)</f>
        <v>92229.94</v>
      </c>
      <c r="T20" s="14">
        <f>ROUND(I20*ROUND(Q20, 2), 2)</f>
        <v>58242.2</v>
      </c>
      <c r="U20" s="14">
        <f>S20+T20</f>
        <v>150472.14000000001</v>
      </c>
      <c r="V20" s="9">
        <f>ROUND(P20 / 1.2, 2)</f>
        <v>3025.92</v>
      </c>
      <c r="W20" s="9">
        <f>ROUND(Q20 / 1.2, 2)</f>
        <v>1910.83</v>
      </c>
      <c r="X20" s="9">
        <f>ROUND(R20 / 1.2, 2)</f>
        <v>4936.75</v>
      </c>
      <c r="Y20" s="9">
        <f t="shared" si="3"/>
        <v>76858.28</v>
      </c>
      <c r="Z20" s="9">
        <f>ROUND(T20 / 1.2, 2)</f>
        <v>48535.17</v>
      </c>
      <c r="AA20" s="9">
        <f>Y20+Z20</f>
        <v>125393.45</v>
      </c>
      <c r="AD20" s="4">
        <v>282588986</v>
      </c>
      <c r="AE20" s="4">
        <v>20839230</v>
      </c>
      <c r="AG20" s="4" t="s">
        <v>60</v>
      </c>
      <c r="AH20" s="4" t="s">
        <v>61</v>
      </c>
      <c r="AI20" s="4" t="s">
        <v>62</v>
      </c>
    </row>
    <row r="21" spans="1:35" ht="18.75" x14ac:dyDescent="0.25">
      <c r="A21" s="10" t="s">
        <v>87</v>
      </c>
      <c r="B21" s="10"/>
      <c r="C21" s="21" t="s">
        <v>75</v>
      </c>
      <c r="D21" s="12"/>
      <c r="E21" s="12"/>
      <c r="F21" s="17" t="s">
        <v>76</v>
      </c>
      <c r="G21" s="18">
        <v>4.07</v>
      </c>
      <c r="H21" s="22"/>
      <c r="I21" s="22">
        <v>103.378</v>
      </c>
      <c r="J21" s="19">
        <v>64.56</v>
      </c>
      <c r="M21" s="20">
        <f>ROUND(ROUND(J21, 2)*I21, 2)</f>
        <v>6674.08</v>
      </c>
      <c r="P21" s="19">
        <v>64.56</v>
      </c>
      <c r="S21" s="20">
        <f>ROUND(ROUND(P21, 2)*I21, 2)</f>
        <v>6674.08</v>
      </c>
      <c r="V21" s="9">
        <f>ROUND(ROUND(P21, 2)/1.2, 2)</f>
        <v>53.8</v>
      </c>
      <c r="Y21" s="9">
        <f t="shared" si="3"/>
        <v>5561.73</v>
      </c>
      <c r="AD21" s="4" t="s">
        <v>88</v>
      </c>
      <c r="AE21" s="4" t="s">
        <v>89</v>
      </c>
      <c r="AF21" s="4" t="s">
        <v>79</v>
      </c>
    </row>
    <row r="22" spans="1:35" ht="18.75" x14ac:dyDescent="0.25">
      <c r="A22" s="10" t="s">
        <v>90</v>
      </c>
      <c r="B22" s="10"/>
      <c r="C22" s="21" t="s">
        <v>81</v>
      </c>
      <c r="D22" s="12"/>
      <c r="E22" s="12"/>
      <c r="F22" s="17" t="s">
        <v>76</v>
      </c>
      <c r="G22" s="18">
        <v>1.42</v>
      </c>
      <c r="H22" s="22"/>
      <c r="I22" s="22">
        <v>36.067999999999998</v>
      </c>
      <c r="J22" s="19">
        <v>51.63</v>
      </c>
      <c r="M22" s="20">
        <f>ROUND(ROUND(J22, 2)*I22, 2)</f>
        <v>1862.19</v>
      </c>
      <c r="P22" s="19">
        <v>51.63</v>
      </c>
      <c r="S22" s="20">
        <f>ROUND(ROUND(P22, 2)*I22, 2)</f>
        <v>1862.19</v>
      </c>
      <c r="V22" s="9">
        <f>ROUND(ROUND(P22, 2)/1.2, 2)</f>
        <v>43.03</v>
      </c>
      <c r="Y22" s="9">
        <f t="shared" si="3"/>
        <v>1551.83</v>
      </c>
      <c r="AD22" s="4" t="s">
        <v>91</v>
      </c>
      <c r="AE22" s="4" t="s">
        <v>92</v>
      </c>
      <c r="AF22" s="4" t="s">
        <v>84</v>
      </c>
    </row>
    <row r="23" spans="1:35" ht="37.5" x14ac:dyDescent="0.25">
      <c r="A23" s="10" t="s">
        <v>93</v>
      </c>
      <c r="B23" s="10"/>
      <c r="C23" s="16" t="s">
        <v>94</v>
      </c>
      <c r="D23" s="12"/>
      <c r="E23" s="12" t="s">
        <v>95</v>
      </c>
      <c r="F23" s="17" t="s">
        <v>59</v>
      </c>
      <c r="G23" s="18">
        <v>2.1</v>
      </c>
      <c r="H23" s="18"/>
      <c r="I23" s="18">
        <v>53.34</v>
      </c>
      <c r="J23" s="19">
        <v>135.53</v>
      </c>
      <c r="M23" s="20">
        <f>ROUND(ROUND(J23, 2)*I23, 2)</f>
        <v>7229.17</v>
      </c>
      <c r="P23" s="19">
        <v>1520.33</v>
      </c>
      <c r="S23" s="20">
        <f>ROUND(ROUND(P23, 2)*I23, 2)</f>
        <v>81094.399999999994</v>
      </c>
      <c r="V23" s="9">
        <f>ROUND(ROUND(P23, 2)/1.2, 2)</f>
        <v>1266.94</v>
      </c>
      <c r="Y23" s="9">
        <f t="shared" si="3"/>
        <v>67578.67</v>
      </c>
      <c r="AD23" s="4" t="s">
        <v>96</v>
      </c>
      <c r="AE23" s="4" t="s">
        <v>97</v>
      </c>
      <c r="AF23" s="4" t="s">
        <v>98</v>
      </c>
    </row>
    <row r="24" spans="1:35" ht="75" x14ac:dyDescent="0.25">
      <c r="A24" s="10" t="s">
        <v>99</v>
      </c>
      <c r="B24" s="10"/>
      <c r="C24" s="16" t="s">
        <v>64</v>
      </c>
      <c r="D24" s="12"/>
      <c r="E24" s="12"/>
      <c r="F24" s="17" t="s">
        <v>65</v>
      </c>
      <c r="G24" s="18">
        <v>1</v>
      </c>
      <c r="H24" s="18"/>
      <c r="I24" s="18">
        <v>25.4</v>
      </c>
      <c r="J24" s="19">
        <v>102.33</v>
      </c>
      <c r="M24" s="20">
        <f>ROUND(ROUND(J24, 2)*I24, 2)</f>
        <v>2599.1799999999998</v>
      </c>
      <c r="P24" s="19">
        <v>102.33</v>
      </c>
      <c r="S24" s="20">
        <f>ROUND(ROUND(P24, 2)*I24, 2)</f>
        <v>2599.1799999999998</v>
      </c>
      <c r="V24" s="9">
        <f>ROUND(ROUND(P24, 2)/1.2, 2)</f>
        <v>85.28</v>
      </c>
      <c r="Y24" s="9">
        <f t="shared" si="3"/>
        <v>2165.98</v>
      </c>
      <c r="AD24" s="4" t="s">
        <v>100</v>
      </c>
      <c r="AE24" s="4" t="s">
        <v>101</v>
      </c>
      <c r="AF24" s="4" t="s">
        <v>68</v>
      </c>
    </row>
    <row r="25" spans="1:35" ht="93.75" x14ac:dyDescent="0.25">
      <c r="A25" s="10" t="s">
        <v>102</v>
      </c>
      <c r="B25" s="10" t="s">
        <v>103</v>
      </c>
      <c r="C25" s="11" t="s">
        <v>104</v>
      </c>
      <c r="D25" s="12" t="s">
        <v>105</v>
      </c>
      <c r="E25" s="12" t="s">
        <v>106</v>
      </c>
      <c r="F25" s="12" t="s">
        <v>59</v>
      </c>
      <c r="G25" s="13">
        <v>1</v>
      </c>
      <c r="H25" s="13"/>
      <c r="I25" s="13">
        <v>45.4</v>
      </c>
      <c r="J25" s="14">
        <f>IFERROR(ROUND(SUM(M26,M27,M28,M29)/I25, 2),0)</f>
        <v>333.37</v>
      </c>
      <c r="K25" s="15">
        <v>1064</v>
      </c>
      <c r="L25" s="14">
        <f>J25+ROUND(K25, 2)</f>
        <v>1397.37</v>
      </c>
      <c r="M25" s="14">
        <f>ROUND(J25*I25, 2)</f>
        <v>15135</v>
      </c>
      <c r="N25" s="14">
        <f>ROUND(I25*ROUND(K25, 2), 2)</f>
        <v>48305.599999999999</v>
      </c>
      <c r="O25" s="14">
        <f>M25+N25</f>
        <v>63440.6</v>
      </c>
      <c r="P25" s="14">
        <f>IFERROR(ROUND(SUM(S26,S27,S28,S29)/I25, 2),0)</f>
        <v>333.37</v>
      </c>
      <c r="Q25" s="15">
        <v>1064</v>
      </c>
      <c r="R25" s="14">
        <f>P25+ROUND(Q25, 2)</f>
        <v>1397.37</v>
      </c>
      <c r="S25" s="14">
        <f>ROUND(P25*I25, 2)</f>
        <v>15135</v>
      </c>
      <c r="T25" s="14">
        <f>ROUND(I25*ROUND(Q25, 2), 2)</f>
        <v>48305.599999999999</v>
      </c>
      <c r="U25" s="14">
        <f>S25+T25</f>
        <v>63440.6</v>
      </c>
      <c r="V25" s="9">
        <f>ROUND(P25 / 1.2, 2)</f>
        <v>277.81</v>
      </c>
      <c r="W25" s="9">
        <f>ROUND(Q25 / 1.2, 2)</f>
        <v>886.67</v>
      </c>
      <c r="X25" s="9">
        <f>ROUND(R25 / 1.2, 2)</f>
        <v>1164.48</v>
      </c>
      <c r="Y25" s="9">
        <f t="shared" si="3"/>
        <v>12612.5</v>
      </c>
      <c r="Z25" s="9">
        <f>ROUND(T25 / 1.2, 2)</f>
        <v>40254.67</v>
      </c>
      <c r="AA25" s="9">
        <f>Y25+Z25</f>
        <v>52867.17</v>
      </c>
      <c r="AD25" s="4">
        <v>282588926</v>
      </c>
      <c r="AE25" s="4">
        <v>21096611</v>
      </c>
      <c r="AG25" s="4" t="s">
        <v>107</v>
      </c>
      <c r="AH25" s="4" t="s">
        <v>108</v>
      </c>
      <c r="AI25" s="4" t="s">
        <v>62</v>
      </c>
    </row>
    <row r="26" spans="1:35" ht="75" x14ac:dyDescent="0.25">
      <c r="A26" s="10" t="s">
        <v>109</v>
      </c>
      <c r="B26" s="10"/>
      <c r="C26" s="16" t="s">
        <v>110</v>
      </c>
      <c r="D26" s="12"/>
      <c r="E26" s="12"/>
      <c r="F26" s="17" t="s">
        <v>65</v>
      </c>
      <c r="G26" s="18">
        <v>1</v>
      </c>
      <c r="H26" s="18"/>
      <c r="I26" s="18">
        <v>45.4</v>
      </c>
      <c r="J26" s="19">
        <v>43.7</v>
      </c>
      <c r="M26" s="20">
        <f>ROUND(ROUND(J26, 2)*I26, 2)</f>
        <v>1983.98</v>
      </c>
      <c r="P26" s="19">
        <v>43.7</v>
      </c>
      <c r="S26" s="20">
        <f>ROUND(ROUND(P26, 2)*I26, 2)</f>
        <v>1983.98</v>
      </c>
      <c r="V26" s="9">
        <f>ROUND(ROUND(P26, 2)/1.2, 2)</f>
        <v>36.42</v>
      </c>
      <c r="Y26" s="9">
        <f t="shared" si="3"/>
        <v>1653.32</v>
      </c>
      <c r="AD26" s="4" t="s">
        <v>111</v>
      </c>
      <c r="AE26" s="4" t="s">
        <v>112</v>
      </c>
      <c r="AF26" s="4" t="s">
        <v>113</v>
      </c>
    </row>
    <row r="27" spans="1:35" ht="37.5" x14ac:dyDescent="0.25">
      <c r="A27" s="10" t="s">
        <v>114</v>
      </c>
      <c r="B27" s="10"/>
      <c r="C27" s="21" t="s">
        <v>115</v>
      </c>
      <c r="D27" s="12"/>
      <c r="E27" s="12"/>
      <c r="F27" s="17" t="s">
        <v>59</v>
      </c>
      <c r="G27" s="18">
        <v>1.2</v>
      </c>
      <c r="H27" s="18"/>
      <c r="I27" s="18">
        <v>54.48</v>
      </c>
      <c r="J27" s="19">
        <v>104.57</v>
      </c>
      <c r="M27" s="20">
        <f>ROUND(ROUND(J27, 2)*I27, 2)</f>
        <v>5696.97</v>
      </c>
      <c r="P27" s="19">
        <v>104.57</v>
      </c>
      <c r="S27" s="20">
        <f>ROUND(ROUND(P27, 2)*I27, 2)</f>
        <v>5696.97</v>
      </c>
      <c r="V27" s="9">
        <f>ROUND(ROUND(P27, 2)/1.2, 2)</f>
        <v>87.14</v>
      </c>
      <c r="Y27" s="9">
        <f t="shared" si="3"/>
        <v>4747.4799999999996</v>
      </c>
      <c r="AD27" s="4" t="s">
        <v>116</v>
      </c>
      <c r="AE27" s="4" t="s">
        <v>117</v>
      </c>
      <c r="AF27" s="4" t="s">
        <v>118</v>
      </c>
    </row>
    <row r="28" spans="1:35" ht="18.75" x14ac:dyDescent="0.25">
      <c r="A28" s="10" t="s">
        <v>119</v>
      </c>
      <c r="B28" s="10"/>
      <c r="C28" s="21" t="s">
        <v>75</v>
      </c>
      <c r="D28" s="12"/>
      <c r="E28" s="12"/>
      <c r="F28" s="17" t="s">
        <v>76</v>
      </c>
      <c r="G28" s="18">
        <v>2.1</v>
      </c>
      <c r="H28" s="18"/>
      <c r="I28" s="18">
        <v>95.34</v>
      </c>
      <c r="J28" s="19">
        <v>64.56</v>
      </c>
      <c r="M28" s="20">
        <f>ROUND(ROUND(J28, 2)*I28, 2)</f>
        <v>6155.15</v>
      </c>
      <c r="P28" s="19">
        <v>64.56</v>
      </c>
      <c r="S28" s="20">
        <f>ROUND(ROUND(P28, 2)*I28, 2)</f>
        <v>6155.15</v>
      </c>
      <c r="V28" s="9">
        <f>ROUND(ROUND(P28, 2)/1.2, 2)</f>
        <v>53.8</v>
      </c>
      <c r="Y28" s="9">
        <f t="shared" si="3"/>
        <v>5129.29</v>
      </c>
      <c r="AD28" s="4" t="s">
        <v>120</v>
      </c>
      <c r="AE28" s="4" t="s">
        <v>121</v>
      </c>
      <c r="AF28" s="4" t="s">
        <v>79</v>
      </c>
    </row>
    <row r="29" spans="1:35" ht="18.75" x14ac:dyDescent="0.25">
      <c r="A29" s="10" t="s">
        <v>122</v>
      </c>
      <c r="B29" s="10"/>
      <c r="C29" s="16" t="s">
        <v>123</v>
      </c>
      <c r="D29" s="12"/>
      <c r="E29" s="12"/>
      <c r="F29" s="17" t="s">
        <v>76</v>
      </c>
      <c r="G29" s="18">
        <v>0.8</v>
      </c>
      <c r="H29" s="18"/>
      <c r="I29" s="18">
        <v>36.32</v>
      </c>
      <c r="J29" s="19">
        <v>35.76</v>
      </c>
      <c r="M29" s="20">
        <f>ROUND(ROUND(J29, 2)*I29, 2)</f>
        <v>1298.8</v>
      </c>
      <c r="P29" s="19">
        <v>35.76</v>
      </c>
      <c r="S29" s="20">
        <f>ROUND(ROUND(P29, 2)*I29, 2)</f>
        <v>1298.8</v>
      </c>
      <c r="V29" s="9">
        <f>ROUND(ROUND(P29, 2)/1.2, 2)</f>
        <v>29.8</v>
      </c>
      <c r="Y29" s="9">
        <f t="shared" si="3"/>
        <v>1082.33</v>
      </c>
      <c r="AD29" s="4" t="s">
        <v>124</v>
      </c>
      <c r="AE29" s="4" t="s">
        <v>125</v>
      </c>
      <c r="AF29" s="4" t="s">
        <v>126</v>
      </c>
    </row>
    <row r="30" spans="1:35" ht="75" x14ac:dyDescent="0.25">
      <c r="A30" s="10" t="s">
        <v>127</v>
      </c>
      <c r="B30" s="10" t="s">
        <v>128</v>
      </c>
      <c r="C30" s="11" t="s">
        <v>129</v>
      </c>
      <c r="D30" s="12" t="s">
        <v>105</v>
      </c>
      <c r="E30" s="12" t="s">
        <v>130</v>
      </c>
      <c r="F30" s="12" t="s">
        <v>59</v>
      </c>
      <c r="G30" s="13">
        <v>1</v>
      </c>
      <c r="H30" s="13"/>
      <c r="I30" s="13">
        <v>6.4</v>
      </c>
      <c r="J30" s="14">
        <f>IFERROR(ROUND(SUM(M31,M32,M33,M34)/I30, 2),0)</f>
        <v>518.09</v>
      </c>
      <c r="K30" s="15">
        <v>1225</v>
      </c>
      <c r="L30" s="14">
        <f>J30+ROUND(K30, 2)</f>
        <v>1743.0900000000001</v>
      </c>
      <c r="M30" s="14">
        <f>ROUND(J30*I30, 2)</f>
        <v>3315.78</v>
      </c>
      <c r="N30" s="14">
        <f>ROUND(I30*ROUND(K30, 2), 2)</f>
        <v>7840</v>
      </c>
      <c r="O30" s="14">
        <f>M30+N30</f>
        <v>11155.78</v>
      </c>
      <c r="P30" s="14">
        <f>IFERROR(ROUND(SUM(S31,S32,S33,S34)/I30, 2),0)</f>
        <v>518.09</v>
      </c>
      <c r="Q30" s="15">
        <v>1225</v>
      </c>
      <c r="R30" s="14">
        <f>P30+ROUND(Q30, 2)</f>
        <v>1743.0900000000001</v>
      </c>
      <c r="S30" s="14">
        <f>ROUND(P30*I30, 2)</f>
        <v>3315.78</v>
      </c>
      <c r="T30" s="14">
        <f>ROUND(I30*ROUND(Q30, 2), 2)</f>
        <v>7840</v>
      </c>
      <c r="U30" s="14">
        <f>S30+T30</f>
        <v>11155.78</v>
      </c>
      <c r="V30" s="9">
        <f>ROUND(P30 / 1.2, 2)</f>
        <v>431.74</v>
      </c>
      <c r="W30" s="9">
        <f>ROUND(Q30 / 1.2, 2)</f>
        <v>1020.83</v>
      </c>
      <c r="X30" s="9">
        <f>ROUND(R30 / 1.2, 2)</f>
        <v>1452.58</v>
      </c>
      <c r="Y30" s="9">
        <f t="shared" si="3"/>
        <v>2763.15</v>
      </c>
      <c r="Z30" s="9">
        <f>ROUND(T30 / 1.2, 2)</f>
        <v>6533.33</v>
      </c>
      <c r="AA30" s="9">
        <f>Y30+Z30</f>
        <v>9296.48</v>
      </c>
      <c r="AD30" s="4">
        <v>282588927</v>
      </c>
      <c r="AE30" s="4">
        <v>21096613</v>
      </c>
      <c r="AG30" s="4" t="s">
        <v>131</v>
      </c>
      <c r="AH30" s="4" t="s">
        <v>132</v>
      </c>
      <c r="AI30" s="4" t="s">
        <v>62</v>
      </c>
    </row>
    <row r="31" spans="1:35" ht="75" x14ac:dyDescent="0.25">
      <c r="A31" s="10" t="s">
        <v>133</v>
      </c>
      <c r="B31" s="10"/>
      <c r="C31" s="16" t="s">
        <v>134</v>
      </c>
      <c r="D31" s="12"/>
      <c r="E31" s="12"/>
      <c r="F31" s="17" t="s">
        <v>65</v>
      </c>
      <c r="G31" s="18">
        <v>1</v>
      </c>
      <c r="H31" s="18"/>
      <c r="I31" s="18">
        <v>6.4</v>
      </c>
      <c r="J31" s="19">
        <v>111.15</v>
      </c>
      <c r="M31" s="20">
        <f>ROUND(ROUND(J31, 2)*I31, 2)</f>
        <v>711.36</v>
      </c>
      <c r="P31" s="19">
        <v>111.15</v>
      </c>
      <c r="S31" s="20">
        <f>ROUND(ROUND(P31, 2)*I31, 2)</f>
        <v>711.36</v>
      </c>
      <c r="V31" s="9">
        <f>ROUND(ROUND(P31, 2)/1.2, 2)</f>
        <v>92.63</v>
      </c>
      <c r="Y31" s="9">
        <f t="shared" si="3"/>
        <v>592.79999999999995</v>
      </c>
      <c r="AD31" s="4" t="s">
        <v>135</v>
      </c>
      <c r="AE31" s="4" t="s">
        <v>136</v>
      </c>
      <c r="AF31" s="4" t="s">
        <v>137</v>
      </c>
    </row>
    <row r="32" spans="1:35" ht="18.75" x14ac:dyDescent="0.25">
      <c r="A32" s="10" t="s">
        <v>138</v>
      </c>
      <c r="B32" s="10"/>
      <c r="C32" s="21" t="s">
        <v>75</v>
      </c>
      <c r="D32" s="12"/>
      <c r="E32" s="12"/>
      <c r="F32" s="17" t="s">
        <v>76</v>
      </c>
      <c r="G32" s="18">
        <v>2.1</v>
      </c>
      <c r="H32" s="18"/>
      <c r="I32" s="18">
        <v>13.44</v>
      </c>
      <c r="J32" s="19">
        <v>64.56</v>
      </c>
      <c r="M32" s="20">
        <f>ROUND(ROUND(J32, 2)*I32, 2)</f>
        <v>867.69</v>
      </c>
      <c r="P32" s="19">
        <v>64.56</v>
      </c>
      <c r="S32" s="20">
        <f>ROUND(ROUND(P32, 2)*I32, 2)</f>
        <v>867.69</v>
      </c>
      <c r="V32" s="9">
        <f>ROUND(ROUND(P32, 2)/1.2, 2)</f>
        <v>53.8</v>
      </c>
      <c r="Y32" s="9">
        <f t="shared" si="3"/>
        <v>723.08</v>
      </c>
      <c r="AD32" s="4" t="s">
        <v>139</v>
      </c>
      <c r="AE32" s="4" t="s">
        <v>140</v>
      </c>
      <c r="AF32" s="4" t="s">
        <v>79</v>
      </c>
    </row>
    <row r="33" spans="1:35" ht="18.75" x14ac:dyDescent="0.25">
      <c r="A33" s="10" t="s">
        <v>141</v>
      </c>
      <c r="B33" s="10"/>
      <c r="C33" s="21" t="s">
        <v>81</v>
      </c>
      <c r="D33" s="12"/>
      <c r="E33" s="12"/>
      <c r="F33" s="17" t="s">
        <v>76</v>
      </c>
      <c r="G33" s="18">
        <v>0.8</v>
      </c>
      <c r="H33" s="18"/>
      <c r="I33" s="18">
        <v>5.12</v>
      </c>
      <c r="J33" s="19">
        <v>51.63</v>
      </c>
      <c r="M33" s="20">
        <f>ROUND(ROUND(J33, 2)*I33, 2)</f>
        <v>264.35000000000002</v>
      </c>
      <c r="P33" s="19">
        <v>51.63</v>
      </c>
      <c r="S33" s="20">
        <f>ROUND(ROUND(P33, 2)*I33, 2)</f>
        <v>264.35000000000002</v>
      </c>
      <c r="V33" s="9">
        <f>ROUND(ROUND(P33, 2)/1.2, 2)</f>
        <v>43.03</v>
      </c>
      <c r="Y33" s="9">
        <f t="shared" si="3"/>
        <v>220.29</v>
      </c>
      <c r="AD33" s="4" t="s">
        <v>142</v>
      </c>
      <c r="AE33" s="4" t="s">
        <v>143</v>
      </c>
      <c r="AF33" s="4" t="s">
        <v>84</v>
      </c>
    </row>
    <row r="34" spans="1:35" ht="37.5" x14ac:dyDescent="0.25">
      <c r="A34" s="10" t="s">
        <v>144</v>
      </c>
      <c r="B34" s="10"/>
      <c r="C34" s="21" t="s">
        <v>70</v>
      </c>
      <c r="D34" s="12"/>
      <c r="E34" s="12"/>
      <c r="F34" s="17" t="s">
        <v>59</v>
      </c>
      <c r="G34" s="18">
        <v>2.2000000000000002</v>
      </c>
      <c r="H34" s="18"/>
      <c r="I34" s="18">
        <v>14.08</v>
      </c>
      <c r="J34" s="19">
        <v>104.57</v>
      </c>
      <c r="M34" s="20">
        <f>ROUND(ROUND(J34, 2)*I34, 2)</f>
        <v>1472.35</v>
      </c>
      <c r="P34" s="19">
        <v>104.57</v>
      </c>
      <c r="S34" s="20">
        <f>ROUND(ROUND(P34, 2)*I34, 2)</f>
        <v>1472.35</v>
      </c>
      <c r="V34" s="9">
        <f>ROUND(ROUND(P34, 2)/1.2, 2)</f>
        <v>87.14</v>
      </c>
      <c r="Y34" s="9">
        <f t="shared" si="3"/>
        <v>1226.96</v>
      </c>
      <c r="AD34" s="4" t="s">
        <v>145</v>
      </c>
      <c r="AE34" s="4" t="s">
        <v>146</v>
      </c>
      <c r="AF34" s="4" t="s">
        <v>147</v>
      </c>
    </row>
    <row r="35" spans="1:35" ht="17.100000000000001" customHeight="1" x14ac:dyDescent="0.25">
      <c r="A35" s="10" t="s">
        <v>148</v>
      </c>
      <c r="B35" s="10" t="s">
        <v>149</v>
      </c>
      <c r="C35" s="33" t="s">
        <v>150</v>
      </c>
      <c r="D35" s="34"/>
      <c r="E35" s="34"/>
      <c r="F35" s="34"/>
      <c r="G35" s="34"/>
      <c r="H35" s="34"/>
      <c r="I35" s="35"/>
      <c r="M35" s="6">
        <f t="shared" ref="M35:O36" si="4">SUM(M36)</f>
        <v>26718527.199999999</v>
      </c>
      <c r="N35" s="6">
        <f t="shared" si="4"/>
        <v>31501631.110000003</v>
      </c>
      <c r="O35" s="6">
        <f t="shared" si="4"/>
        <v>58220158.310000002</v>
      </c>
      <c r="S35" s="6">
        <f t="shared" ref="S35:U36" si="5">SUM(S36)</f>
        <v>25206574.550000001</v>
      </c>
      <c r="T35" s="6">
        <f t="shared" si="5"/>
        <v>31501631.110000003</v>
      </c>
      <c r="U35" s="6">
        <f t="shared" si="5"/>
        <v>56708205.659999996</v>
      </c>
      <c r="Y35" s="9">
        <f t="shared" ref="Y35:AA36" si="6">SUM(Y36)</f>
        <v>21005478.840000004</v>
      </c>
      <c r="Z35" s="9">
        <f t="shared" si="6"/>
        <v>26251359.270000003</v>
      </c>
      <c r="AA35" s="9">
        <f t="shared" si="6"/>
        <v>47256838.109999999</v>
      </c>
      <c r="AD35" s="4">
        <v>282588928</v>
      </c>
      <c r="AE35" s="4">
        <v>20296909</v>
      </c>
    </row>
    <row r="36" spans="1:35" ht="17.100000000000001" customHeight="1" x14ac:dyDescent="0.25">
      <c r="A36" s="10" t="s">
        <v>151</v>
      </c>
      <c r="B36" s="10" t="s">
        <v>152</v>
      </c>
      <c r="C36" s="33" t="s">
        <v>153</v>
      </c>
      <c r="D36" s="34"/>
      <c r="E36" s="34"/>
      <c r="F36" s="34"/>
      <c r="G36" s="34"/>
      <c r="H36" s="34"/>
      <c r="I36" s="35"/>
      <c r="M36" s="6">
        <f t="shared" si="4"/>
        <v>26718527.199999999</v>
      </c>
      <c r="N36" s="6">
        <f t="shared" si="4"/>
        <v>31501631.110000003</v>
      </c>
      <c r="O36" s="6">
        <f t="shared" si="4"/>
        <v>58220158.310000002</v>
      </c>
      <c r="S36" s="6">
        <f t="shared" si="5"/>
        <v>25206574.550000001</v>
      </c>
      <c r="T36" s="6">
        <f t="shared" si="5"/>
        <v>31501631.110000003</v>
      </c>
      <c r="U36" s="6">
        <f t="shared" si="5"/>
        <v>56708205.659999996</v>
      </c>
      <c r="Y36" s="9">
        <f t="shared" si="6"/>
        <v>21005478.840000004</v>
      </c>
      <c r="Z36" s="9">
        <f t="shared" si="6"/>
        <v>26251359.270000003</v>
      </c>
      <c r="AA36" s="9">
        <f t="shared" si="6"/>
        <v>47256838.109999999</v>
      </c>
      <c r="AD36" s="4">
        <v>282588929</v>
      </c>
      <c r="AE36" s="4">
        <v>20296911</v>
      </c>
    </row>
    <row r="37" spans="1:35" ht="17.100000000000001" customHeight="1" x14ac:dyDescent="0.25">
      <c r="A37" s="10" t="s">
        <v>154</v>
      </c>
      <c r="B37" s="10" t="s">
        <v>155</v>
      </c>
      <c r="C37" s="33" t="s">
        <v>156</v>
      </c>
      <c r="D37" s="34"/>
      <c r="E37" s="34"/>
      <c r="F37" s="34"/>
      <c r="G37" s="34"/>
      <c r="H37" s="34"/>
      <c r="I37" s="35"/>
      <c r="M37" s="6">
        <f>SUM(M38,M141,M236,M257)</f>
        <v>26718527.199999999</v>
      </c>
      <c r="N37" s="6">
        <f>SUM(N38,N141,N236,N257)</f>
        <v>31501631.110000003</v>
      </c>
      <c r="O37" s="6">
        <f>SUM(O38,O141,O236,O257)</f>
        <v>58220158.310000002</v>
      </c>
      <c r="S37" s="6">
        <f>SUM(S38,S141,S236,S257)</f>
        <v>25206574.550000001</v>
      </c>
      <c r="T37" s="6">
        <f>SUM(T38,T141,T236,T257)</f>
        <v>31501631.110000003</v>
      </c>
      <c r="U37" s="6">
        <f>SUM(U38,U141,U236,U257)</f>
        <v>56708205.659999996</v>
      </c>
      <c r="Y37" s="9">
        <f>SUM(Y38,Y141,Y236,Y257)</f>
        <v>21005478.840000004</v>
      </c>
      <c r="Z37" s="9">
        <f>SUM(Z38,Z141,Z236,Z257)</f>
        <v>26251359.270000003</v>
      </c>
      <c r="AA37" s="9">
        <f>SUM(AA38,AA141,AA236,AA257)</f>
        <v>47256838.109999999</v>
      </c>
      <c r="AD37" s="4">
        <v>282588930</v>
      </c>
      <c r="AE37" s="4">
        <v>20296917</v>
      </c>
    </row>
    <row r="38" spans="1:35" ht="17.100000000000001" customHeight="1" x14ac:dyDescent="0.25">
      <c r="A38" s="10" t="s">
        <v>157</v>
      </c>
      <c r="B38" s="10" t="s">
        <v>158</v>
      </c>
      <c r="C38" s="33" t="s">
        <v>159</v>
      </c>
      <c r="D38" s="34"/>
      <c r="E38" s="34"/>
      <c r="F38" s="34"/>
      <c r="G38" s="34"/>
      <c r="H38" s="34"/>
      <c r="I38" s="35"/>
      <c r="M38" s="6">
        <f>SUM(M39,M138)</f>
        <v>14134105.24</v>
      </c>
      <c r="N38" s="6">
        <f>SUM(N39,N138)</f>
        <v>11179170.51</v>
      </c>
      <c r="O38" s="6">
        <f>SUM(O39,O138)</f>
        <v>25313275.75</v>
      </c>
      <c r="S38" s="6">
        <f>SUM(S39,S138)</f>
        <v>14527737.030000001</v>
      </c>
      <c r="T38" s="6">
        <f>SUM(T39,T138)</f>
        <v>11179170.51</v>
      </c>
      <c r="U38" s="6">
        <f>SUM(U39,U138)</f>
        <v>25706907.539999995</v>
      </c>
      <c r="Y38" s="9">
        <f>SUM(Y39,Y138)</f>
        <v>12106447.530000001</v>
      </c>
      <c r="Z38" s="9">
        <f>SUM(Z39,Z138)</f>
        <v>9315975.4199999999</v>
      </c>
      <c r="AA38" s="9">
        <f>SUM(AA39,AA138)</f>
        <v>21422422.950000003</v>
      </c>
      <c r="AD38" s="4">
        <v>282588931</v>
      </c>
      <c r="AE38" s="4">
        <v>20296918</v>
      </c>
    </row>
    <row r="39" spans="1:35" ht="17.100000000000001" customHeight="1" x14ac:dyDescent="0.25">
      <c r="A39" s="10" t="s">
        <v>160</v>
      </c>
      <c r="B39" s="10" t="s">
        <v>161</v>
      </c>
      <c r="C39" s="33" t="s">
        <v>162</v>
      </c>
      <c r="D39" s="34"/>
      <c r="E39" s="34"/>
      <c r="F39" s="34"/>
      <c r="G39" s="34"/>
      <c r="H39" s="34"/>
      <c r="I39" s="35"/>
      <c r="M39" s="6">
        <f>SUM(M40,M44,M48,M52,M55,M58,M61,M64,M67,M70,M72,M74,M79,M84,M89,M94,M99,M103,M108,M113,M118,M123,M128,M133)</f>
        <v>13804455.24</v>
      </c>
      <c r="N39" s="6">
        <f>SUM(N40,N44,N48,N52,N55,N58,N61,N64,N67,N70,N72,N74,N79,N84,N89,N94,N99,N103,N108,N113,N118,N123,N128,N133)</f>
        <v>11150161.310000001</v>
      </c>
      <c r="O39" s="6">
        <f>SUM(O40,O44,O48,O52,O55,O58,O61,O64,O67,O70,O72,O74,O79,O84,O89,O94,O99,O103,O108,O113,O118,O123,O128,O133)</f>
        <v>24954616.550000001</v>
      </c>
      <c r="S39" s="6">
        <f>SUM(S40,S44,S48,S52,S55,S58,S61,S64,S67,S70,S72,S74,S79,S84,S89,S94,S99,S103,S108,S113,S118,S123,S128,S133)</f>
        <v>14198087.030000001</v>
      </c>
      <c r="T39" s="6">
        <f>SUM(T40,T44,T48,T52,T55,T58,T61,T64,T67,T70,T72,T74,T79,T84,T89,T94,T99,T103,T108,T113,T118,T123,T128,T133)</f>
        <v>11150161.310000001</v>
      </c>
      <c r="U39" s="6">
        <f>SUM(U40,U44,U48,U52,U55,U58,U61,U64,U67,U70,U72,U74,U79,U84,U89,U94,U99,U103,U108,U113,U118,U123,U128,U133)</f>
        <v>25348248.339999996</v>
      </c>
      <c r="Y39" s="9">
        <f>SUM(Y40,Y44,Y48,Y52,Y55,Y58,Y61,Y64,Y67,Y70,Y72,Y74,Y79,Y84,Y89,Y94,Y99,Y103,Y108,Y113,Y118,Y123,Y128,Y133)</f>
        <v>11831739.200000001</v>
      </c>
      <c r="Z39" s="9">
        <f>SUM(Z40,Z44,Z48,Z52,Z55,Z58,Z61,Z64,Z67,Z70,Z72,Z74,Z79,Z84,Z89,Z94,Z99,Z103,Z108,Z113,Z118,Z123,Z128,Z133)</f>
        <v>9291801.0899999999</v>
      </c>
      <c r="AA39" s="9">
        <f>SUM(AA40,AA44,AA48,AA52,AA55,AA58,AA61,AA64,AA67,AA70,AA72,AA74,AA79,AA84,AA89,AA94,AA99,AA103,AA108,AA113,AA118,AA123,AA128,AA133)</f>
        <v>21123540.290000003</v>
      </c>
      <c r="AD39" s="4">
        <v>282588932</v>
      </c>
      <c r="AE39" s="4">
        <v>20297376</v>
      </c>
    </row>
    <row r="40" spans="1:35" ht="37.5" x14ac:dyDescent="0.25">
      <c r="A40" s="10" t="s">
        <v>163</v>
      </c>
      <c r="B40" s="10" t="s">
        <v>164</v>
      </c>
      <c r="C40" s="11" t="s">
        <v>165</v>
      </c>
      <c r="D40" s="12" t="s">
        <v>166</v>
      </c>
      <c r="E40" s="12" t="s">
        <v>167</v>
      </c>
      <c r="F40" s="12" t="s">
        <v>59</v>
      </c>
      <c r="G40" s="13">
        <v>1</v>
      </c>
      <c r="H40" s="13"/>
      <c r="I40" s="13">
        <v>435.4</v>
      </c>
      <c r="J40" s="14">
        <f>IFERROR(ROUND(SUM(M41,M42,M43)/I40, 2),0)</f>
        <v>1580.6</v>
      </c>
      <c r="K40" s="15">
        <v>556</v>
      </c>
      <c r="L40" s="14">
        <f>J40+ROUND(K40, 2)</f>
        <v>2136.6</v>
      </c>
      <c r="M40" s="14">
        <f>ROUND(J40*I40, 2)</f>
        <v>688193.24</v>
      </c>
      <c r="N40" s="14">
        <f>ROUND(I40*ROUND(K40, 2), 2)</f>
        <v>242082.4</v>
      </c>
      <c r="O40" s="14">
        <f>M40+N40</f>
        <v>930275.64</v>
      </c>
      <c r="P40" s="14">
        <f>IFERROR(ROUND(SUM(S41,S42,S43)/I40, 2),0)</f>
        <v>1580.6</v>
      </c>
      <c r="Q40" s="15">
        <v>556</v>
      </c>
      <c r="R40" s="14">
        <f>P40+ROUND(Q40, 2)</f>
        <v>2136.6</v>
      </c>
      <c r="S40" s="14">
        <f>ROUND(P40*I40, 2)</f>
        <v>688193.24</v>
      </c>
      <c r="T40" s="14">
        <f>ROUND(I40*ROUND(Q40, 2), 2)</f>
        <v>242082.4</v>
      </c>
      <c r="U40" s="14">
        <f>S40+T40</f>
        <v>930275.64</v>
      </c>
      <c r="V40" s="9">
        <f>ROUND(P40 / 1.2, 2)</f>
        <v>1317.17</v>
      </c>
      <c r="W40" s="9">
        <f>ROUND(Q40 / 1.2, 2)</f>
        <v>463.33</v>
      </c>
      <c r="X40" s="9">
        <f>ROUND(R40 / 1.2, 2)</f>
        <v>1780.5</v>
      </c>
      <c r="Y40" s="9">
        <f>ROUND(S40 / 1.2, 2)</f>
        <v>573494.37</v>
      </c>
      <c r="Z40" s="9">
        <f>ROUND(T40 / 1.2, 2)</f>
        <v>201735.33</v>
      </c>
      <c r="AA40" s="9">
        <f>Y40+Z40</f>
        <v>775229.7</v>
      </c>
      <c r="AD40" s="4">
        <v>282588934</v>
      </c>
      <c r="AE40" s="4">
        <v>20297393</v>
      </c>
      <c r="AG40" s="4" t="s">
        <v>168</v>
      </c>
      <c r="AH40" s="4" t="s">
        <v>169</v>
      </c>
      <c r="AI40" s="4" t="s">
        <v>170</v>
      </c>
    </row>
    <row r="41" spans="1:35" ht="18.75" x14ac:dyDescent="0.25">
      <c r="A41" s="10" t="s">
        <v>171</v>
      </c>
      <c r="B41" s="10"/>
      <c r="C41" s="16" t="s">
        <v>172</v>
      </c>
      <c r="D41" s="12"/>
      <c r="E41" s="12"/>
      <c r="F41" s="17" t="s">
        <v>173</v>
      </c>
      <c r="G41" s="18">
        <v>0.3</v>
      </c>
      <c r="H41" s="18"/>
      <c r="I41" s="18">
        <v>130.62</v>
      </c>
      <c r="J41" s="19">
        <v>220</v>
      </c>
      <c r="M41" s="20">
        <f>ROUND(ROUND(J41, 2)*I41, 2)</f>
        <v>28736.400000000001</v>
      </c>
      <c r="P41" s="19">
        <v>220</v>
      </c>
      <c r="S41" s="20">
        <f>ROUND(ROUND(P41, 2)*I41, 2)</f>
        <v>28736.400000000001</v>
      </c>
      <c r="V41" s="9">
        <f>ROUND(ROUND(P41, 2)/1.2, 2)</f>
        <v>183.33</v>
      </c>
      <c r="Y41" s="9">
        <f t="shared" ref="Y41:Y104" si="7">ROUND(S41 / 1.2, 2)</f>
        <v>23947</v>
      </c>
      <c r="AD41" s="4" t="s">
        <v>174</v>
      </c>
      <c r="AE41" s="4" t="s">
        <v>175</v>
      </c>
      <c r="AF41" s="4" t="s">
        <v>176</v>
      </c>
    </row>
    <row r="42" spans="1:35" ht="75" x14ac:dyDescent="0.25">
      <c r="A42" s="10" t="s">
        <v>177</v>
      </c>
      <c r="B42" s="10"/>
      <c r="C42" s="21" t="s">
        <v>178</v>
      </c>
      <c r="D42" s="12"/>
      <c r="E42" s="12"/>
      <c r="F42" s="17" t="s">
        <v>76</v>
      </c>
      <c r="G42" s="18">
        <v>1</v>
      </c>
      <c r="H42" s="22"/>
      <c r="I42" s="22">
        <v>356</v>
      </c>
      <c r="J42" s="19">
        <v>51</v>
      </c>
      <c r="M42" s="20">
        <f>ROUND(ROUND(J42, 2)*I42, 2)</f>
        <v>18156</v>
      </c>
      <c r="P42" s="19">
        <v>51</v>
      </c>
      <c r="S42" s="20">
        <f>ROUND(ROUND(P42, 2)*I42, 2)</f>
        <v>18156</v>
      </c>
      <c r="V42" s="9">
        <f>ROUND(ROUND(P42, 2)/1.2, 2)</f>
        <v>42.5</v>
      </c>
      <c r="Y42" s="9">
        <f t="shared" si="7"/>
        <v>15130</v>
      </c>
      <c r="AD42" s="4" t="s">
        <v>179</v>
      </c>
      <c r="AE42" s="4" t="s">
        <v>180</v>
      </c>
      <c r="AF42" s="4" t="s">
        <v>181</v>
      </c>
    </row>
    <row r="43" spans="1:35" ht="75" x14ac:dyDescent="0.25">
      <c r="A43" s="10" t="s">
        <v>182</v>
      </c>
      <c r="B43" s="10"/>
      <c r="C43" s="21" t="s">
        <v>183</v>
      </c>
      <c r="D43" s="12"/>
      <c r="E43" s="12" t="s">
        <v>184</v>
      </c>
      <c r="F43" s="17" t="s">
        <v>59</v>
      </c>
      <c r="G43" s="18">
        <v>1.1000000000000001</v>
      </c>
      <c r="H43" s="22"/>
      <c r="I43" s="22">
        <v>478.94</v>
      </c>
      <c r="J43" s="19">
        <v>1339</v>
      </c>
      <c r="M43" s="20">
        <f>ROUND(ROUND(J43, 2)*I43, 2)</f>
        <v>641300.66</v>
      </c>
      <c r="P43" s="19">
        <v>1339</v>
      </c>
      <c r="S43" s="20">
        <f>ROUND(ROUND(P43, 2)*I43, 2)</f>
        <v>641300.66</v>
      </c>
      <c r="V43" s="9">
        <f>ROUND(ROUND(P43, 2)/1.2, 2)</f>
        <v>1115.83</v>
      </c>
      <c r="Y43" s="9">
        <f t="shared" si="7"/>
        <v>534417.22</v>
      </c>
      <c r="AD43" s="4" t="s">
        <v>185</v>
      </c>
      <c r="AE43" s="4" t="s">
        <v>186</v>
      </c>
      <c r="AF43" s="4" t="s">
        <v>187</v>
      </c>
    </row>
    <row r="44" spans="1:35" ht="37.5" x14ac:dyDescent="0.25">
      <c r="A44" s="10" t="s">
        <v>188</v>
      </c>
      <c r="B44" s="10" t="s">
        <v>164</v>
      </c>
      <c r="C44" s="11" t="s">
        <v>165</v>
      </c>
      <c r="D44" s="12" t="s">
        <v>166</v>
      </c>
      <c r="E44" s="12" t="s">
        <v>189</v>
      </c>
      <c r="F44" s="12" t="s">
        <v>59</v>
      </c>
      <c r="G44" s="13">
        <v>1</v>
      </c>
      <c r="H44" s="13"/>
      <c r="I44" s="13">
        <v>1236</v>
      </c>
      <c r="J44" s="14">
        <f>IFERROR(ROUND(SUM(M45,M46,M47)/I44, 2),0)</f>
        <v>1562.05</v>
      </c>
      <c r="K44" s="15">
        <v>556</v>
      </c>
      <c r="L44" s="14">
        <f>J44+ROUND(K44, 2)</f>
        <v>2118.0500000000002</v>
      </c>
      <c r="M44" s="14">
        <f>ROUND(J44*I44, 2)</f>
        <v>1930693.8</v>
      </c>
      <c r="N44" s="14">
        <f>ROUND(I44*ROUND(K44, 2), 2)</f>
        <v>687216</v>
      </c>
      <c r="O44" s="14">
        <f>M44+N44</f>
        <v>2617909.7999999998</v>
      </c>
      <c r="P44" s="14">
        <f>IFERROR(ROUND(SUM(S45,S46,S47)/I44, 2),0)</f>
        <v>1562.05</v>
      </c>
      <c r="Q44" s="15">
        <v>556</v>
      </c>
      <c r="R44" s="14">
        <f>P44+ROUND(Q44, 2)</f>
        <v>2118.0500000000002</v>
      </c>
      <c r="S44" s="14">
        <f>ROUND(P44*I44, 2)</f>
        <v>1930693.8</v>
      </c>
      <c r="T44" s="14">
        <f>ROUND(I44*ROUND(Q44, 2), 2)</f>
        <v>687216</v>
      </c>
      <c r="U44" s="14">
        <f>S44+T44</f>
        <v>2617909.7999999998</v>
      </c>
      <c r="V44" s="9">
        <f>ROUND(P44 / 1.2, 2)</f>
        <v>1301.71</v>
      </c>
      <c r="W44" s="9">
        <f>ROUND(Q44 / 1.2, 2)</f>
        <v>463.33</v>
      </c>
      <c r="X44" s="9">
        <f>ROUND(R44 / 1.2, 2)</f>
        <v>1765.04</v>
      </c>
      <c r="Y44" s="9">
        <f t="shared" si="7"/>
        <v>1608911.5</v>
      </c>
      <c r="Z44" s="9">
        <f>ROUND(T44 / 1.2, 2)</f>
        <v>572680</v>
      </c>
      <c r="AA44" s="9">
        <f>Y44+Z44</f>
        <v>2181591.5</v>
      </c>
      <c r="AD44" s="4">
        <v>282588987</v>
      </c>
      <c r="AE44" s="4">
        <v>20297494</v>
      </c>
      <c r="AG44" s="4" t="s">
        <v>168</v>
      </c>
      <c r="AH44" s="4" t="s">
        <v>169</v>
      </c>
      <c r="AI44" s="4" t="s">
        <v>170</v>
      </c>
    </row>
    <row r="45" spans="1:35" ht="56.25" x14ac:dyDescent="0.25">
      <c r="A45" s="10" t="s">
        <v>190</v>
      </c>
      <c r="B45" s="10"/>
      <c r="C45" s="21" t="s">
        <v>191</v>
      </c>
      <c r="D45" s="12"/>
      <c r="E45" s="12"/>
      <c r="F45" s="17" t="s">
        <v>59</v>
      </c>
      <c r="G45" s="18">
        <v>1.1000000000000001</v>
      </c>
      <c r="H45" s="22"/>
      <c r="I45" s="22">
        <v>1359.6</v>
      </c>
      <c r="J45" s="19">
        <v>1339</v>
      </c>
      <c r="M45" s="20">
        <f>ROUND(ROUND(J45, 2)*I45, 2)</f>
        <v>1820504.4</v>
      </c>
      <c r="P45" s="19">
        <v>1339</v>
      </c>
      <c r="S45" s="20">
        <f>ROUND(ROUND(P45, 2)*I45, 2)</f>
        <v>1820504.4</v>
      </c>
      <c r="V45" s="9">
        <f>ROUND(ROUND(P45, 2)/1.2, 2)</f>
        <v>1115.83</v>
      </c>
      <c r="Y45" s="9">
        <f t="shared" si="7"/>
        <v>1517087</v>
      </c>
      <c r="AD45" s="4" t="s">
        <v>192</v>
      </c>
      <c r="AE45" s="4" t="s">
        <v>193</v>
      </c>
      <c r="AF45" s="4" t="s">
        <v>194</v>
      </c>
    </row>
    <row r="46" spans="1:35" ht="75" x14ac:dyDescent="0.25">
      <c r="A46" s="10" t="s">
        <v>195</v>
      </c>
      <c r="B46" s="10"/>
      <c r="C46" s="21" t="s">
        <v>196</v>
      </c>
      <c r="D46" s="12"/>
      <c r="E46" s="12"/>
      <c r="F46" s="17" t="s">
        <v>76</v>
      </c>
      <c r="G46" s="18">
        <v>1</v>
      </c>
      <c r="H46" s="22"/>
      <c r="I46" s="22">
        <v>561</v>
      </c>
      <c r="J46" s="19">
        <v>51</v>
      </c>
      <c r="M46" s="20">
        <f>ROUND(ROUND(J46, 2)*I46, 2)</f>
        <v>28611</v>
      </c>
      <c r="P46" s="19">
        <v>51</v>
      </c>
      <c r="S46" s="20">
        <f>ROUND(ROUND(P46, 2)*I46, 2)</f>
        <v>28611</v>
      </c>
      <c r="V46" s="9">
        <f>ROUND(ROUND(P46, 2)/1.2, 2)</f>
        <v>42.5</v>
      </c>
      <c r="Y46" s="9">
        <f t="shared" si="7"/>
        <v>23842.5</v>
      </c>
      <c r="AD46" s="4" t="s">
        <v>197</v>
      </c>
      <c r="AE46" s="4" t="s">
        <v>198</v>
      </c>
      <c r="AF46" s="4" t="s">
        <v>199</v>
      </c>
    </row>
    <row r="47" spans="1:35" ht="18.75" x14ac:dyDescent="0.25">
      <c r="A47" s="10" t="s">
        <v>200</v>
      </c>
      <c r="B47" s="10"/>
      <c r="C47" s="16" t="s">
        <v>172</v>
      </c>
      <c r="D47" s="12"/>
      <c r="E47" s="12"/>
      <c r="F47" s="17" t="s">
        <v>173</v>
      </c>
      <c r="G47" s="18">
        <v>0.3</v>
      </c>
      <c r="H47" s="18"/>
      <c r="I47" s="18">
        <v>370.8</v>
      </c>
      <c r="J47" s="19">
        <v>220</v>
      </c>
      <c r="M47" s="20">
        <f>ROUND(ROUND(J47, 2)*I47, 2)</f>
        <v>81576</v>
      </c>
      <c r="P47" s="19">
        <v>220</v>
      </c>
      <c r="S47" s="20">
        <f>ROUND(ROUND(P47, 2)*I47, 2)</f>
        <v>81576</v>
      </c>
      <c r="V47" s="9">
        <f>ROUND(ROUND(P47, 2)/1.2, 2)</f>
        <v>183.33</v>
      </c>
      <c r="Y47" s="9">
        <f t="shared" si="7"/>
        <v>67980</v>
      </c>
      <c r="AD47" s="4" t="s">
        <v>201</v>
      </c>
      <c r="AE47" s="4" t="s">
        <v>202</v>
      </c>
      <c r="AF47" s="4" t="s">
        <v>176</v>
      </c>
    </row>
    <row r="48" spans="1:35" ht="37.5" x14ac:dyDescent="0.25">
      <c r="A48" s="10" t="s">
        <v>203</v>
      </c>
      <c r="B48" s="10" t="s">
        <v>164</v>
      </c>
      <c r="C48" s="11" t="s">
        <v>165</v>
      </c>
      <c r="D48" s="12" t="s">
        <v>166</v>
      </c>
      <c r="E48" s="12" t="s">
        <v>204</v>
      </c>
      <c r="F48" s="12" t="s">
        <v>59</v>
      </c>
      <c r="G48" s="13">
        <v>1</v>
      </c>
      <c r="H48" s="13"/>
      <c r="I48" s="13">
        <v>2276</v>
      </c>
      <c r="J48" s="14">
        <f>IFERROR(ROUND(SUM(M49,M50,M51)/I48, 2),0)</f>
        <v>1562.05</v>
      </c>
      <c r="K48" s="15">
        <v>556</v>
      </c>
      <c r="L48" s="14">
        <f>J48+ROUND(K48, 2)</f>
        <v>2118.0500000000002</v>
      </c>
      <c r="M48" s="14">
        <f>ROUND(J48*I48, 2)</f>
        <v>3555225.8</v>
      </c>
      <c r="N48" s="14">
        <f>ROUND(I48*ROUND(K48, 2), 2)</f>
        <v>1265456</v>
      </c>
      <c r="O48" s="14">
        <f>M48+N48</f>
        <v>4820681.8</v>
      </c>
      <c r="P48" s="14">
        <f>IFERROR(ROUND(SUM(S49,S50,S51)/I48, 2),0)</f>
        <v>1562.05</v>
      </c>
      <c r="Q48" s="15">
        <v>556</v>
      </c>
      <c r="R48" s="14">
        <f>P48+ROUND(Q48, 2)</f>
        <v>2118.0500000000002</v>
      </c>
      <c r="S48" s="14">
        <f>ROUND(P48*I48, 2)</f>
        <v>3555225.8</v>
      </c>
      <c r="T48" s="14">
        <f>ROUND(I48*ROUND(Q48, 2), 2)</f>
        <v>1265456</v>
      </c>
      <c r="U48" s="14">
        <f>S48+T48</f>
        <v>4820681.8</v>
      </c>
      <c r="V48" s="9">
        <f>ROUND(P48 / 1.2, 2)</f>
        <v>1301.71</v>
      </c>
      <c r="W48" s="9">
        <f>ROUND(Q48 / 1.2, 2)</f>
        <v>463.33</v>
      </c>
      <c r="X48" s="9">
        <f>ROUND(R48 / 1.2, 2)</f>
        <v>1765.04</v>
      </c>
      <c r="Y48" s="9">
        <f t="shared" si="7"/>
        <v>2962688.17</v>
      </c>
      <c r="Z48" s="9">
        <f>ROUND(T48 / 1.2, 2)</f>
        <v>1054546.67</v>
      </c>
      <c r="AA48" s="9">
        <f>Y48+Z48</f>
        <v>4017234.84</v>
      </c>
      <c r="AD48" s="4">
        <v>282588988</v>
      </c>
      <c r="AE48" s="4">
        <v>20297502</v>
      </c>
      <c r="AG48" s="4" t="s">
        <v>168</v>
      </c>
      <c r="AH48" s="4" t="s">
        <v>169</v>
      </c>
      <c r="AI48" s="4" t="s">
        <v>170</v>
      </c>
    </row>
    <row r="49" spans="1:35" ht="18.75" x14ac:dyDescent="0.25">
      <c r="A49" s="10" t="s">
        <v>205</v>
      </c>
      <c r="B49" s="10"/>
      <c r="C49" s="16" t="s">
        <v>172</v>
      </c>
      <c r="D49" s="12"/>
      <c r="E49" s="12"/>
      <c r="F49" s="17" t="s">
        <v>173</v>
      </c>
      <c r="G49" s="18">
        <v>0.3</v>
      </c>
      <c r="H49" s="18"/>
      <c r="I49" s="18">
        <v>682.8</v>
      </c>
      <c r="J49" s="19">
        <v>220</v>
      </c>
      <c r="M49" s="20">
        <f>ROUND(ROUND(J49, 2)*I49, 2)</f>
        <v>150216</v>
      </c>
      <c r="P49" s="19">
        <v>220</v>
      </c>
      <c r="S49" s="20">
        <f>ROUND(ROUND(P49, 2)*I49, 2)</f>
        <v>150216</v>
      </c>
      <c r="V49" s="9">
        <f>ROUND(ROUND(P49, 2)/1.2, 2)</f>
        <v>183.33</v>
      </c>
      <c r="Y49" s="9">
        <f t="shared" si="7"/>
        <v>125180</v>
      </c>
      <c r="AD49" s="4" t="s">
        <v>206</v>
      </c>
      <c r="AE49" s="4" t="s">
        <v>207</v>
      </c>
      <c r="AF49" s="4" t="s">
        <v>176</v>
      </c>
    </row>
    <row r="50" spans="1:35" ht="75" x14ac:dyDescent="0.25">
      <c r="A50" s="10" t="s">
        <v>208</v>
      </c>
      <c r="B50" s="10"/>
      <c r="C50" s="21" t="s">
        <v>196</v>
      </c>
      <c r="D50" s="12"/>
      <c r="E50" s="12"/>
      <c r="F50" s="17" t="s">
        <v>76</v>
      </c>
      <c r="G50" s="18">
        <v>1</v>
      </c>
      <c r="H50" s="22"/>
      <c r="I50" s="22">
        <v>1033</v>
      </c>
      <c r="J50" s="19">
        <v>51</v>
      </c>
      <c r="M50" s="20">
        <f>ROUND(ROUND(J50, 2)*I50, 2)</f>
        <v>52683</v>
      </c>
      <c r="P50" s="19">
        <v>51</v>
      </c>
      <c r="S50" s="20">
        <f>ROUND(ROUND(P50, 2)*I50, 2)</f>
        <v>52683</v>
      </c>
      <c r="V50" s="9">
        <f>ROUND(ROUND(P50, 2)/1.2, 2)</f>
        <v>42.5</v>
      </c>
      <c r="Y50" s="9">
        <f t="shared" si="7"/>
        <v>43902.5</v>
      </c>
      <c r="AD50" s="4" t="s">
        <v>209</v>
      </c>
      <c r="AE50" s="4" t="s">
        <v>210</v>
      </c>
      <c r="AF50" s="4" t="s">
        <v>199</v>
      </c>
    </row>
    <row r="51" spans="1:35" ht="56.25" x14ac:dyDescent="0.25">
      <c r="A51" s="10" t="s">
        <v>211</v>
      </c>
      <c r="B51" s="10"/>
      <c r="C51" s="21" t="s">
        <v>191</v>
      </c>
      <c r="D51" s="12"/>
      <c r="E51" s="12"/>
      <c r="F51" s="17" t="s">
        <v>59</v>
      </c>
      <c r="G51" s="18">
        <v>1.1000000000000001</v>
      </c>
      <c r="H51" s="22"/>
      <c r="I51" s="22">
        <v>2503.6</v>
      </c>
      <c r="J51" s="19">
        <v>1339</v>
      </c>
      <c r="M51" s="20">
        <f>ROUND(ROUND(J51, 2)*I51, 2)</f>
        <v>3352320.4</v>
      </c>
      <c r="P51" s="19">
        <v>1339</v>
      </c>
      <c r="S51" s="20">
        <f>ROUND(ROUND(P51, 2)*I51, 2)</f>
        <v>3352320.4</v>
      </c>
      <c r="V51" s="9">
        <f>ROUND(ROUND(P51, 2)/1.2, 2)</f>
        <v>1115.83</v>
      </c>
      <c r="Y51" s="9">
        <f t="shared" si="7"/>
        <v>2793600.33</v>
      </c>
      <c r="AD51" s="4" t="s">
        <v>212</v>
      </c>
      <c r="AE51" s="4" t="s">
        <v>213</v>
      </c>
      <c r="AF51" s="4" t="s">
        <v>194</v>
      </c>
    </row>
    <row r="52" spans="1:35" ht="37.5" x14ac:dyDescent="0.25">
      <c r="A52" s="10" t="s">
        <v>214</v>
      </c>
      <c r="B52" s="10" t="s">
        <v>215</v>
      </c>
      <c r="C52" s="11" t="s">
        <v>216</v>
      </c>
      <c r="D52" s="12"/>
      <c r="E52" s="12" t="s">
        <v>217</v>
      </c>
      <c r="F52" s="12" t="s">
        <v>76</v>
      </c>
      <c r="G52" s="13">
        <v>1</v>
      </c>
      <c r="H52" s="13"/>
      <c r="I52" s="13">
        <v>25</v>
      </c>
      <c r="J52" s="14">
        <f>IFERROR(ROUND(SUM(M53,M54)/I52, 2),0)</f>
        <v>9</v>
      </c>
      <c r="K52" s="15">
        <v>200</v>
      </c>
      <c r="L52" s="14">
        <f>J52+ROUND(K52, 2)</f>
        <v>209</v>
      </c>
      <c r="M52" s="14">
        <f>ROUND(J52*I52, 2)</f>
        <v>225</v>
      </c>
      <c r="N52" s="14">
        <f>ROUND(I52*ROUND(K52, 2), 2)</f>
        <v>5000</v>
      </c>
      <c r="O52" s="14">
        <f>M52+N52</f>
        <v>5225</v>
      </c>
      <c r="P52" s="14">
        <f>IFERROR(ROUND(SUM(S53,S54)/I52, 2),0)</f>
        <v>577.48</v>
      </c>
      <c r="Q52" s="15">
        <v>200</v>
      </c>
      <c r="R52" s="14">
        <f>P52+ROUND(Q52, 2)</f>
        <v>777.48</v>
      </c>
      <c r="S52" s="14">
        <f>ROUND(P52*I52, 2)</f>
        <v>14437</v>
      </c>
      <c r="T52" s="14">
        <f>ROUND(I52*ROUND(Q52, 2), 2)</f>
        <v>5000</v>
      </c>
      <c r="U52" s="14">
        <f>S52+T52</f>
        <v>19437</v>
      </c>
      <c r="V52" s="9">
        <f>ROUND(P52 / 1.2, 2)</f>
        <v>481.23</v>
      </c>
      <c r="W52" s="9">
        <f>ROUND(Q52 / 1.2, 2)</f>
        <v>166.67</v>
      </c>
      <c r="X52" s="9">
        <f>ROUND(R52 / 1.2, 2)</f>
        <v>647.9</v>
      </c>
      <c r="Y52" s="9">
        <f t="shared" si="7"/>
        <v>12030.83</v>
      </c>
      <c r="Z52" s="9">
        <f>ROUND(T52 / 1.2, 2)</f>
        <v>4166.67</v>
      </c>
      <c r="AA52" s="9">
        <f>Y52+Z52</f>
        <v>16197.5</v>
      </c>
      <c r="AD52" s="4">
        <v>282588936</v>
      </c>
      <c r="AE52" s="4">
        <v>20298510</v>
      </c>
      <c r="AG52" s="4" t="s">
        <v>218</v>
      </c>
      <c r="AH52" s="4" t="s">
        <v>219</v>
      </c>
      <c r="AI52" s="4" t="s">
        <v>170</v>
      </c>
    </row>
    <row r="53" spans="1:35" ht="18.75" x14ac:dyDescent="0.25">
      <c r="A53" s="10" t="s">
        <v>220</v>
      </c>
      <c r="B53" s="10"/>
      <c r="C53" s="16" t="s">
        <v>221</v>
      </c>
      <c r="D53" s="12"/>
      <c r="E53" s="12"/>
      <c r="F53" s="17" t="s">
        <v>222</v>
      </c>
      <c r="G53" s="23">
        <v>0.09</v>
      </c>
      <c r="H53" s="18"/>
      <c r="I53" s="18">
        <v>2.25</v>
      </c>
      <c r="J53" s="19">
        <v>100</v>
      </c>
      <c r="M53" s="20">
        <f>ROUND(ROUND(J53, 2)*I53, 2)</f>
        <v>225</v>
      </c>
      <c r="P53" s="19">
        <v>100</v>
      </c>
      <c r="S53" s="20">
        <f>ROUND(ROUND(P53, 2)*I53, 2)</f>
        <v>225</v>
      </c>
      <c r="V53" s="9">
        <f>ROUND(ROUND(P53, 2)/1.2, 2)</f>
        <v>83.33</v>
      </c>
      <c r="Y53" s="9">
        <f t="shared" si="7"/>
        <v>187.5</v>
      </c>
      <c r="AD53" s="4" t="s">
        <v>223</v>
      </c>
      <c r="AE53" s="4" t="s">
        <v>224</v>
      </c>
      <c r="AF53" s="4" t="s">
        <v>225</v>
      </c>
    </row>
    <row r="54" spans="1:35" ht="37.5" x14ac:dyDescent="0.25">
      <c r="A54" s="10" t="s">
        <v>226</v>
      </c>
      <c r="B54" s="10"/>
      <c r="C54" s="16" t="s">
        <v>227</v>
      </c>
      <c r="D54" s="12"/>
      <c r="E54" s="12"/>
      <c r="F54" s="17" t="s">
        <v>76</v>
      </c>
      <c r="G54" s="18">
        <v>1.1000000000000001</v>
      </c>
      <c r="H54" s="22"/>
      <c r="I54" s="22">
        <v>27.5</v>
      </c>
      <c r="J54" s="19">
        <v>0</v>
      </c>
      <c r="M54" s="20">
        <f>ROUND(ROUND(J54, 2)*I54, 2)</f>
        <v>0</v>
      </c>
      <c r="P54" s="19">
        <v>516.79999999999995</v>
      </c>
      <c r="S54" s="20">
        <f>ROUND(ROUND(P54, 2)*I54, 2)</f>
        <v>14212</v>
      </c>
      <c r="V54" s="9">
        <f>ROUND(ROUND(P54, 2)/1.2, 2)</f>
        <v>430.67</v>
      </c>
      <c r="Y54" s="9">
        <f t="shared" si="7"/>
        <v>11843.33</v>
      </c>
      <c r="AD54" s="4" t="s">
        <v>228</v>
      </c>
      <c r="AE54" s="4" t="s">
        <v>229</v>
      </c>
      <c r="AF54" s="4" t="s">
        <v>230</v>
      </c>
    </row>
    <row r="55" spans="1:35" ht="37.5" x14ac:dyDescent="0.25">
      <c r="A55" s="10" t="s">
        <v>231</v>
      </c>
      <c r="B55" s="10" t="s">
        <v>215</v>
      </c>
      <c r="C55" s="11" t="s">
        <v>216</v>
      </c>
      <c r="D55" s="12"/>
      <c r="E55" s="12" t="s">
        <v>232</v>
      </c>
      <c r="F55" s="12" t="s">
        <v>76</v>
      </c>
      <c r="G55" s="13">
        <v>1</v>
      </c>
      <c r="H55" s="13"/>
      <c r="I55" s="13">
        <v>8.1</v>
      </c>
      <c r="J55" s="14">
        <f>IFERROR(ROUND(SUM(M56,M57)/I55, 2),0)</f>
        <v>9</v>
      </c>
      <c r="K55" s="15">
        <v>200</v>
      </c>
      <c r="L55" s="14">
        <f>J55+ROUND(K55, 2)</f>
        <v>209</v>
      </c>
      <c r="M55" s="14">
        <f>ROUND(J55*I55, 2)</f>
        <v>72.900000000000006</v>
      </c>
      <c r="N55" s="14">
        <f>ROUND(I55*ROUND(K55, 2), 2)</f>
        <v>1620</v>
      </c>
      <c r="O55" s="14">
        <f>M55+N55</f>
        <v>1692.9</v>
      </c>
      <c r="P55" s="14">
        <f>IFERROR(ROUND(SUM(S56,S57)/I55, 2),0)</f>
        <v>577.48</v>
      </c>
      <c r="Q55" s="15">
        <v>200</v>
      </c>
      <c r="R55" s="14">
        <f>P55+ROUND(Q55, 2)</f>
        <v>777.48</v>
      </c>
      <c r="S55" s="14">
        <f>ROUND(P55*I55, 2)</f>
        <v>4677.59</v>
      </c>
      <c r="T55" s="14">
        <f>ROUND(I55*ROUND(Q55, 2), 2)</f>
        <v>1620</v>
      </c>
      <c r="U55" s="14">
        <f>S55+T55</f>
        <v>6297.59</v>
      </c>
      <c r="V55" s="9">
        <f>ROUND(P55 / 1.2, 2)</f>
        <v>481.23</v>
      </c>
      <c r="W55" s="9">
        <f>ROUND(Q55 / 1.2, 2)</f>
        <v>166.67</v>
      </c>
      <c r="X55" s="9">
        <f>ROUND(R55 / 1.2, 2)</f>
        <v>647.9</v>
      </c>
      <c r="Y55" s="9">
        <f t="shared" si="7"/>
        <v>3897.99</v>
      </c>
      <c r="Z55" s="9">
        <f>ROUND(T55 / 1.2, 2)</f>
        <v>1350</v>
      </c>
      <c r="AA55" s="9">
        <f>Y55+Z55</f>
        <v>5247.99</v>
      </c>
      <c r="AD55" s="4">
        <v>282588989</v>
      </c>
      <c r="AE55" s="4">
        <v>20298511</v>
      </c>
      <c r="AG55" s="4" t="s">
        <v>218</v>
      </c>
      <c r="AH55" s="4" t="s">
        <v>219</v>
      </c>
      <c r="AI55" s="4" t="s">
        <v>170</v>
      </c>
    </row>
    <row r="56" spans="1:35" ht="37.5" x14ac:dyDescent="0.25">
      <c r="A56" s="10" t="s">
        <v>233</v>
      </c>
      <c r="B56" s="10"/>
      <c r="C56" s="16" t="s">
        <v>227</v>
      </c>
      <c r="D56" s="12"/>
      <c r="E56" s="12"/>
      <c r="F56" s="17" t="s">
        <v>76</v>
      </c>
      <c r="G56" s="18">
        <v>1.1000000000000001</v>
      </c>
      <c r="H56" s="22"/>
      <c r="I56" s="22">
        <v>8.91</v>
      </c>
      <c r="J56" s="19">
        <v>0</v>
      </c>
      <c r="M56" s="20">
        <f>ROUND(ROUND(J56, 2)*I56, 2)</f>
        <v>0</v>
      </c>
      <c r="P56" s="19">
        <v>516.79999999999995</v>
      </c>
      <c r="S56" s="20">
        <f>ROUND(ROUND(P56, 2)*I56, 2)</f>
        <v>4604.6899999999996</v>
      </c>
      <c r="V56" s="9">
        <f>ROUND(ROUND(P56, 2)/1.2, 2)</f>
        <v>430.67</v>
      </c>
      <c r="Y56" s="9">
        <f t="shared" si="7"/>
        <v>3837.24</v>
      </c>
      <c r="AD56" s="4" t="s">
        <v>234</v>
      </c>
      <c r="AE56" s="4" t="s">
        <v>235</v>
      </c>
      <c r="AF56" s="4" t="s">
        <v>230</v>
      </c>
    </row>
    <row r="57" spans="1:35" ht="18.75" x14ac:dyDescent="0.25">
      <c r="A57" s="10" t="s">
        <v>236</v>
      </c>
      <c r="B57" s="10"/>
      <c r="C57" s="16" t="s">
        <v>221</v>
      </c>
      <c r="D57" s="12"/>
      <c r="E57" s="12"/>
      <c r="F57" s="17" t="s">
        <v>222</v>
      </c>
      <c r="G57" s="23">
        <v>0.09</v>
      </c>
      <c r="H57" s="18"/>
      <c r="I57" s="18">
        <v>0.72899999999999998</v>
      </c>
      <c r="J57" s="19">
        <v>100</v>
      </c>
      <c r="M57" s="20">
        <f>ROUND(ROUND(J57, 2)*I57, 2)</f>
        <v>72.900000000000006</v>
      </c>
      <c r="P57" s="19">
        <v>100</v>
      </c>
      <c r="S57" s="20">
        <f>ROUND(ROUND(P57, 2)*I57, 2)</f>
        <v>72.900000000000006</v>
      </c>
      <c r="V57" s="9">
        <f>ROUND(ROUND(P57, 2)/1.2, 2)</f>
        <v>83.33</v>
      </c>
      <c r="Y57" s="9">
        <f t="shared" si="7"/>
        <v>60.75</v>
      </c>
      <c r="AD57" s="4" t="s">
        <v>237</v>
      </c>
      <c r="AE57" s="4" t="s">
        <v>238</v>
      </c>
      <c r="AF57" s="4" t="s">
        <v>225</v>
      </c>
    </row>
    <row r="58" spans="1:35" ht="37.5" x14ac:dyDescent="0.25">
      <c r="A58" s="10" t="s">
        <v>239</v>
      </c>
      <c r="B58" s="10" t="s">
        <v>215</v>
      </c>
      <c r="C58" s="11" t="s">
        <v>216</v>
      </c>
      <c r="D58" s="12"/>
      <c r="E58" s="12" t="s">
        <v>240</v>
      </c>
      <c r="F58" s="12" t="s">
        <v>76</v>
      </c>
      <c r="G58" s="13">
        <v>1</v>
      </c>
      <c r="H58" s="13"/>
      <c r="I58" s="13">
        <v>11</v>
      </c>
      <c r="J58" s="14">
        <f>IFERROR(ROUND(SUM(M59,M60)/I58, 2),0)</f>
        <v>9</v>
      </c>
      <c r="K58" s="15">
        <v>200</v>
      </c>
      <c r="L58" s="14">
        <f>J58+ROUND(K58, 2)</f>
        <v>209</v>
      </c>
      <c r="M58" s="14">
        <f>ROUND(J58*I58, 2)</f>
        <v>99</v>
      </c>
      <c r="N58" s="14">
        <f>ROUND(I58*ROUND(K58, 2), 2)</f>
        <v>2200</v>
      </c>
      <c r="O58" s="14">
        <f>M58+N58</f>
        <v>2299</v>
      </c>
      <c r="P58" s="14">
        <f>IFERROR(ROUND(SUM(S59,S60)/I58, 2),0)</f>
        <v>577.48</v>
      </c>
      <c r="Q58" s="15">
        <v>200</v>
      </c>
      <c r="R58" s="14">
        <f>P58+ROUND(Q58, 2)</f>
        <v>777.48</v>
      </c>
      <c r="S58" s="14">
        <f>ROUND(P58*I58, 2)</f>
        <v>6352.28</v>
      </c>
      <c r="T58" s="14">
        <f>ROUND(I58*ROUND(Q58, 2), 2)</f>
        <v>2200</v>
      </c>
      <c r="U58" s="14">
        <f>S58+T58</f>
        <v>8552.2799999999988</v>
      </c>
      <c r="V58" s="9">
        <f>ROUND(P58 / 1.2, 2)</f>
        <v>481.23</v>
      </c>
      <c r="W58" s="9">
        <f>ROUND(Q58 / 1.2, 2)</f>
        <v>166.67</v>
      </c>
      <c r="X58" s="9">
        <f>ROUND(R58 / 1.2, 2)</f>
        <v>647.9</v>
      </c>
      <c r="Y58" s="9">
        <f t="shared" si="7"/>
        <v>5293.57</v>
      </c>
      <c r="Z58" s="9">
        <f>ROUND(T58 / 1.2, 2)</f>
        <v>1833.33</v>
      </c>
      <c r="AA58" s="9">
        <f>Y58+Z58</f>
        <v>7126.9</v>
      </c>
      <c r="AD58" s="4">
        <v>282588990</v>
      </c>
      <c r="AE58" s="4">
        <v>20298519</v>
      </c>
      <c r="AG58" s="4" t="s">
        <v>218</v>
      </c>
      <c r="AH58" s="4" t="s">
        <v>219</v>
      </c>
      <c r="AI58" s="4" t="s">
        <v>170</v>
      </c>
    </row>
    <row r="59" spans="1:35" ht="18.75" x14ac:dyDescent="0.25">
      <c r="A59" s="10" t="s">
        <v>241</v>
      </c>
      <c r="B59" s="10"/>
      <c r="C59" s="16" t="s">
        <v>221</v>
      </c>
      <c r="D59" s="12"/>
      <c r="E59" s="12"/>
      <c r="F59" s="17" t="s">
        <v>222</v>
      </c>
      <c r="G59" s="23">
        <v>0.09</v>
      </c>
      <c r="H59" s="18"/>
      <c r="I59" s="18">
        <v>0.99</v>
      </c>
      <c r="J59" s="19">
        <v>100</v>
      </c>
      <c r="M59" s="20">
        <f>ROUND(ROUND(J59, 2)*I59, 2)</f>
        <v>99</v>
      </c>
      <c r="P59" s="19">
        <v>100</v>
      </c>
      <c r="S59" s="20">
        <f>ROUND(ROUND(P59, 2)*I59, 2)</f>
        <v>99</v>
      </c>
      <c r="V59" s="9">
        <f>ROUND(ROUND(P59, 2)/1.2, 2)</f>
        <v>83.33</v>
      </c>
      <c r="Y59" s="9">
        <f t="shared" si="7"/>
        <v>82.5</v>
      </c>
      <c r="AD59" s="4" t="s">
        <v>242</v>
      </c>
      <c r="AE59" s="4" t="s">
        <v>243</v>
      </c>
      <c r="AF59" s="4" t="s">
        <v>225</v>
      </c>
    </row>
    <row r="60" spans="1:35" ht="37.5" x14ac:dyDescent="0.25">
      <c r="A60" s="10" t="s">
        <v>244</v>
      </c>
      <c r="B60" s="10"/>
      <c r="C60" s="16" t="s">
        <v>227</v>
      </c>
      <c r="D60" s="12"/>
      <c r="E60" s="12"/>
      <c r="F60" s="17" t="s">
        <v>76</v>
      </c>
      <c r="G60" s="18">
        <v>1.1000000000000001</v>
      </c>
      <c r="H60" s="22"/>
      <c r="I60" s="22">
        <v>12.1</v>
      </c>
      <c r="J60" s="19">
        <v>0</v>
      </c>
      <c r="M60" s="20">
        <f>ROUND(ROUND(J60, 2)*I60, 2)</f>
        <v>0</v>
      </c>
      <c r="P60" s="19">
        <v>516.79999999999995</v>
      </c>
      <c r="S60" s="20">
        <f>ROUND(ROUND(P60, 2)*I60, 2)</f>
        <v>6253.28</v>
      </c>
      <c r="V60" s="9">
        <f>ROUND(ROUND(P60, 2)/1.2, 2)</f>
        <v>430.67</v>
      </c>
      <c r="Y60" s="9">
        <f t="shared" si="7"/>
        <v>5211.07</v>
      </c>
      <c r="AD60" s="4" t="s">
        <v>245</v>
      </c>
      <c r="AE60" s="4" t="s">
        <v>246</v>
      </c>
      <c r="AF60" s="4" t="s">
        <v>230</v>
      </c>
    </row>
    <row r="61" spans="1:35" ht="18.75" x14ac:dyDescent="0.25">
      <c r="A61" s="10" t="s">
        <v>247</v>
      </c>
      <c r="B61" s="10" t="s">
        <v>215</v>
      </c>
      <c r="C61" s="11" t="s">
        <v>216</v>
      </c>
      <c r="D61" s="12"/>
      <c r="E61" s="12" t="s">
        <v>248</v>
      </c>
      <c r="F61" s="12" t="s">
        <v>76</v>
      </c>
      <c r="G61" s="13">
        <v>1</v>
      </c>
      <c r="H61" s="13"/>
      <c r="I61" s="13">
        <v>106.7</v>
      </c>
      <c r="J61" s="14">
        <f>IFERROR(ROUND(SUM(M62,M63)/I61, 2),0)</f>
        <v>99.86</v>
      </c>
      <c r="K61" s="15">
        <v>200</v>
      </c>
      <c r="L61" s="14">
        <f>J61+ROUND(K61, 2)</f>
        <v>299.86</v>
      </c>
      <c r="M61" s="14">
        <f>ROUND(J61*I61, 2)</f>
        <v>10655.06</v>
      </c>
      <c r="N61" s="14">
        <f>ROUND(I61*ROUND(K61, 2), 2)</f>
        <v>21340</v>
      </c>
      <c r="O61" s="14">
        <f>M61+N61</f>
        <v>31995.059999999998</v>
      </c>
      <c r="P61" s="14">
        <f>IFERROR(ROUND(SUM(S62,S63)/I61, 2),0)</f>
        <v>99.86</v>
      </c>
      <c r="Q61" s="15">
        <v>200</v>
      </c>
      <c r="R61" s="14">
        <f>P61+ROUND(Q61, 2)</f>
        <v>299.86</v>
      </c>
      <c r="S61" s="14">
        <f>ROUND(P61*I61, 2)</f>
        <v>10655.06</v>
      </c>
      <c r="T61" s="14">
        <f>ROUND(I61*ROUND(Q61, 2), 2)</f>
        <v>21340</v>
      </c>
      <c r="U61" s="14">
        <f>S61+T61</f>
        <v>31995.059999999998</v>
      </c>
      <c r="V61" s="9">
        <f>ROUND(P61 / 1.2, 2)</f>
        <v>83.22</v>
      </c>
      <c r="W61" s="9">
        <f>ROUND(Q61 / 1.2, 2)</f>
        <v>166.67</v>
      </c>
      <c r="X61" s="9">
        <f>ROUND(R61 / 1.2, 2)</f>
        <v>249.88</v>
      </c>
      <c r="Y61" s="9">
        <f t="shared" si="7"/>
        <v>8879.2199999999993</v>
      </c>
      <c r="Z61" s="9">
        <f>ROUND(T61 / 1.2, 2)</f>
        <v>17783.330000000002</v>
      </c>
      <c r="AA61" s="9">
        <f>Y61+Z61</f>
        <v>26662.550000000003</v>
      </c>
      <c r="AD61" s="4">
        <v>282588991</v>
      </c>
      <c r="AE61" s="4">
        <v>20298509</v>
      </c>
      <c r="AG61" s="4" t="s">
        <v>218</v>
      </c>
      <c r="AH61" s="4" t="s">
        <v>219</v>
      </c>
      <c r="AI61" s="4" t="s">
        <v>170</v>
      </c>
    </row>
    <row r="62" spans="1:35" ht="18.75" x14ac:dyDescent="0.25">
      <c r="A62" s="10" t="s">
        <v>249</v>
      </c>
      <c r="B62" s="10"/>
      <c r="C62" s="21" t="s">
        <v>250</v>
      </c>
      <c r="D62" s="12"/>
      <c r="E62" s="12"/>
      <c r="F62" s="17" t="s">
        <v>76</v>
      </c>
      <c r="G62" s="18">
        <v>1.05</v>
      </c>
      <c r="H62" s="22"/>
      <c r="I62" s="22">
        <v>68.984999999999999</v>
      </c>
      <c r="J62" s="19">
        <v>140.54</v>
      </c>
      <c r="M62" s="20">
        <f>ROUND(ROUND(J62, 2)*I62, 2)</f>
        <v>9695.15</v>
      </c>
      <c r="P62" s="19">
        <v>140.54</v>
      </c>
      <c r="S62" s="20">
        <f>ROUND(ROUND(P62, 2)*I62, 2)</f>
        <v>9695.15</v>
      </c>
      <c r="V62" s="9">
        <f>ROUND(ROUND(P62, 2)/1.2, 2)</f>
        <v>117.12</v>
      </c>
      <c r="Y62" s="9">
        <f t="shared" si="7"/>
        <v>8079.29</v>
      </c>
      <c r="AD62" s="4" t="s">
        <v>251</v>
      </c>
      <c r="AE62" s="4" t="s">
        <v>252</v>
      </c>
      <c r="AF62" s="4" t="s">
        <v>253</v>
      </c>
    </row>
    <row r="63" spans="1:35" ht="18.75" x14ac:dyDescent="0.25">
      <c r="A63" s="10" t="s">
        <v>254</v>
      </c>
      <c r="B63" s="10"/>
      <c r="C63" s="16" t="s">
        <v>221</v>
      </c>
      <c r="D63" s="12"/>
      <c r="E63" s="12"/>
      <c r="F63" s="17" t="s">
        <v>222</v>
      </c>
      <c r="G63" s="23">
        <v>0.09</v>
      </c>
      <c r="H63" s="18"/>
      <c r="I63" s="18">
        <v>9.6029999999999998</v>
      </c>
      <c r="J63" s="19">
        <v>100</v>
      </c>
      <c r="M63" s="20">
        <f>ROUND(ROUND(J63, 2)*I63, 2)</f>
        <v>960.3</v>
      </c>
      <c r="P63" s="19">
        <v>100</v>
      </c>
      <c r="S63" s="20">
        <f>ROUND(ROUND(P63, 2)*I63, 2)</f>
        <v>960.3</v>
      </c>
      <c r="V63" s="9">
        <f>ROUND(ROUND(P63, 2)/1.2, 2)</f>
        <v>83.33</v>
      </c>
      <c r="Y63" s="9">
        <f t="shared" si="7"/>
        <v>800.25</v>
      </c>
      <c r="AD63" s="4" t="s">
        <v>255</v>
      </c>
      <c r="AE63" s="4" t="s">
        <v>256</v>
      </c>
      <c r="AF63" s="4" t="s">
        <v>225</v>
      </c>
    </row>
    <row r="64" spans="1:35" ht="56.25" x14ac:dyDescent="0.25">
      <c r="A64" s="10" t="s">
        <v>257</v>
      </c>
      <c r="B64" s="10" t="s">
        <v>258</v>
      </c>
      <c r="C64" s="11" t="s">
        <v>259</v>
      </c>
      <c r="D64" s="12"/>
      <c r="E64" s="12" t="s">
        <v>260</v>
      </c>
      <c r="F64" s="12" t="s">
        <v>59</v>
      </c>
      <c r="G64" s="13">
        <v>1</v>
      </c>
      <c r="H64" s="13"/>
      <c r="I64" s="13">
        <v>245.2</v>
      </c>
      <c r="J64" s="14">
        <f>IFERROR(ROUND(SUM(M65,M66)/I64, 2),0)</f>
        <v>0</v>
      </c>
      <c r="K64" s="15">
        <v>661</v>
      </c>
      <c r="L64" s="14">
        <f>J64+ROUND(K64, 2)</f>
        <v>661</v>
      </c>
      <c r="M64" s="14">
        <f>ROUND(J64*I64, 2)</f>
        <v>0</v>
      </c>
      <c r="N64" s="14">
        <f>ROUND(I64*ROUND(K64, 2), 2)</f>
        <v>162077.20000000001</v>
      </c>
      <c r="O64" s="14">
        <f>M64+N64</f>
        <v>162077.20000000001</v>
      </c>
      <c r="P64" s="14">
        <f>IFERROR(ROUND(SUM(S65,S66)/I64, 2),0)</f>
        <v>2510.19</v>
      </c>
      <c r="Q64" s="15">
        <v>661</v>
      </c>
      <c r="R64" s="14">
        <f>P64+ROUND(Q64, 2)</f>
        <v>3171.19</v>
      </c>
      <c r="S64" s="14">
        <f>ROUND(P64*I64, 2)</f>
        <v>615498.59</v>
      </c>
      <c r="T64" s="14">
        <f>ROUND(I64*ROUND(Q64, 2), 2)</f>
        <v>162077.20000000001</v>
      </c>
      <c r="U64" s="14">
        <f>S64+T64</f>
        <v>777575.79</v>
      </c>
      <c r="V64" s="9">
        <f>ROUND(P64 / 1.2, 2)</f>
        <v>2091.83</v>
      </c>
      <c r="W64" s="9">
        <f>ROUND(Q64 / 1.2, 2)</f>
        <v>550.83000000000004</v>
      </c>
      <c r="X64" s="9">
        <f>ROUND(R64 / 1.2, 2)</f>
        <v>2642.66</v>
      </c>
      <c r="Y64" s="9">
        <f t="shared" si="7"/>
        <v>512915.49</v>
      </c>
      <c r="Z64" s="9">
        <f>ROUND(T64 / 1.2, 2)</f>
        <v>135064.32999999999</v>
      </c>
      <c r="AA64" s="9">
        <f>Y64+Z64</f>
        <v>647979.81999999995</v>
      </c>
      <c r="AD64" s="4">
        <v>282588938</v>
      </c>
      <c r="AE64" s="4">
        <v>20299703</v>
      </c>
      <c r="AG64" s="4" t="s">
        <v>261</v>
      </c>
      <c r="AH64" s="4" t="s">
        <v>262</v>
      </c>
      <c r="AI64" s="4" t="s">
        <v>170</v>
      </c>
    </row>
    <row r="65" spans="1:35" ht="93.75" x14ac:dyDescent="0.25">
      <c r="A65" s="10" t="s">
        <v>263</v>
      </c>
      <c r="B65" s="10"/>
      <c r="C65" s="16" t="s">
        <v>264</v>
      </c>
      <c r="D65" s="12"/>
      <c r="E65" s="12" t="s">
        <v>265</v>
      </c>
      <c r="F65" s="17" t="s">
        <v>222</v>
      </c>
      <c r="G65" s="18">
        <v>1</v>
      </c>
      <c r="H65" s="22"/>
      <c r="I65" s="22">
        <v>28.45</v>
      </c>
      <c r="J65" s="19">
        <v>0</v>
      </c>
      <c r="M65" s="20">
        <f>ROUND(ROUND(J65, 2)*I65, 2)</f>
        <v>0</v>
      </c>
      <c r="P65" s="19">
        <v>3880</v>
      </c>
      <c r="S65" s="20">
        <f>ROUND(ROUND(P65, 2)*I65, 2)</f>
        <v>110386</v>
      </c>
      <c r="V65" s="9">
        <f>ROUND(ROUND(P65, 2)/1.2, 2)</f>
        <v>3233.33</v>
      </c>
      <c r="Y65" s="9">
        <f t="shared" si="7"/>
        <v>91988.33</v>
      </c>
      <c r="AD65" s="4" t="s">
        <v>266</v>
      </c>
      <c r="AE65" s="4" t="s">
        <v>267</v>
      </c>
      <c r="AF65" s="4" t="s">
        <v>268</v>
      </c>
    </row>
    <row r="66" spans="1:35" ht="37.5" x14ac:dyDescent="0.25">
      <c r="A66" s="10" t="s">
        <v>269</v>
      </c>
      <c r="B66" s="10"/>
      <c r="C66" s="16" t="s">
        <v>270</v>
      </c>
      <c r="D66" s="12"/>
      <c r="E66" s="12" t="s">
        <v>271</v>
      </c>
      <c r="F66" s="17" t="s">
        <v>59</v>
      </c>
      <c r="G66" s="18">
        <v>1.03</v>
      </c>
      <c r="H66" s="22"/>
      <c r="I66" s="22">
        <v>252.55600000000001</v>
      </c>
      <c r="J66" s="19">
        <v>0</v>
      </c>
      <c r="M66" s="20">
        <f>ROUND(ROUND(J66, 2)*I66, 2)</f>
        <v>0</v>
      </c>
      <c r="P66" s="19">
        <v>2000</v>
      </c>
      <c r="S66" s="20">
        <f>ROUND(ROUND(P66, 2)*I66, 2)</f>
        <v>505112</v>
      </c>
      <c r="V66" s="9">
        <f>ROUND(ROUND(P66, 2)/1.2, 2)</f>
        <v>1666.67</v>
      </c>
      <c r="Y66" s="9">
        <f t="shared" si="7"/>
        <v>420926.67</v>
      </c>
      <c r="AD66" s="4" t="s">
        <v>272</v>
      </c>
      <c r="AE66" s="4" t="s">
        <v>273</v>
      </c>
      <c r="AF66" s="4" t="s">
        <v>274</v>
      </c>
    </row>
    <row r="67" spans="1:35" ht="75" x14ac:dyDescent="0.25">
      <c r="A67" s="10" t="s">
        <v>275</v>
      </c>
      <c r="B67" s="10" t="s">
        <v>258</v>
      </c>
      <c r="C67" s="11" t="s">
        <v>259</v>
      </c>
      <c r="D67" s="12"/>
      <c r="E67" s="12" t="s">
        <v>276</v>
      </c>
      <c r="F67" s="12" t="s">
        <v>59</v>
      </c>
      <c r="G67" s="13">
        <v>1</v>
      </c>
      <c r="H67" s="13"/>
      <c r="I67" s="13">
        <v>45.7</v>
      </c>
      <c r="J67" s="14">
        <f>IFERROR(ROUND(SUM(M68,M69)/I67, 2),0)</f>
        <v>0</v>
      </c>
      <c r="K67" s="15">
        <v>661</v>
      </c>
      <c r="L67" s="14">
        <f>J67+ROUND(K67, 2)</f>
        <v>661</v>
      </c>
      <c r="M67" s="14">
        <f>ROUND(J67*I67, 2)</f>
        <v>0</v>
      </c>
      <c r="N67" s="14">
        <f>ROUND(I67*ROUND(K67, 2), 2)</f>
        <v>30207.7</v>
      </c>
      <c r="O67" s="14">
        <f>M67+N67</f>
        <v>30207.7</v>
      </c>
      <c r="P67" s="14">
        <f>IFERROR(ROUND(SUM(S68,S69)/I67, 2),0)</f>
        <v>2509.98</v>
      </c>
      <c r="Q67" s="15">
        <v>661</v>
      </c>
      <c r="R67" s="14">
        <f>P67+ROUND(Q67, 2)</f>
        <v>3170.98</v>
      </c>
      <c r="S67" s="14">
        <f>ROUND(P67*I67, 2)</f>
        <v>114706.09</v>
      </c>
      <c r="T67" s="14">
        <f>ROUND(I67*ROUND(Q67, 2), 2)</f>
        <v>30207.7</v>
      </c>
      <c r="U67" s="14">
        <f>S67+T67</f>
        <v>144913.79</v>
      </c>
      <c r="V67" s="9">
        <f>ROUND(P67 / 1.2, 2)</f>
        <v>2091.65</v>
      </c>
      <c r="W67" s="9">
        <f>ROUND(Q67 / 1.2, 2)</f>
        <v>550.83000000000004</v>
      </c>
      <c r="X67" s="9">
        <f>ROUND(R67 / 1.2, 2)</f>
        <v>2642.48</v>
      </c>
      <c r="Y67" s="9">
        <f t="shared" si="7"/>
        <v>95588.41</v>
      </c>
      <c r="Z67" s="9">
        <f>ROUND(T67 / 1.2, 2)</f>
        <v>25173.08</v>
      </c>
      <c r="AA67" s="9">
        <f>Y67+Z67</f>
        <v>120761.49</v>
      </c>
      <c r="AD67" s="4">
        <v>282588992</v>
      </c>
      <c r="AE67" s="4">
        <v>20299702</v>
      </c>
      <c r="AG67" s="4" t="s">
        <v>261</v>
      </c>
      <c r="AH67" s="4" t="s">
        <v>262</v>
      </c>
      <c r="AI67" s="4" t="s">
        <v>170</v>
      </c>
    </row>
    <row r="68" spans="1:35" ht="37.5" x14ac:dyDescent="0.25">
      <c r="A68" s="10" t="s">
        <v>277</v>
      </c>
      <c r="B68" s="10"/>
      <c r="C68" s="16" t="s">
        <v>270</v>
      </c>
      <c r="D68" s="12"/>
      <c r="E68" s="12"/>
      <c r="F68" s="17" t="s">
        <v>59</v>
      </c>
      <c r="G68" s="18">
        <v>1.03</v>
      </c>
      <c r="H68" s="22"/>
      <c r="I68" s="22">
        <v>47.070999999999998</v>
      </c>
      <c r="J68" s="19">
        <v>0</v>
      </c>
      <c r="M68" s="20">
        <f>ROUND(ROUND(J68, 2)*I68, 2)</f>
        <v>0</v>
      </c>
      <c r="P68" s="19">
        <v>2000</v>
      </c>
      <c r="S68" s="20">
        <f>ROUND(ROUND(P68, 2)*I68, 2)</f>
        <v>94142</v>
      </c>
      <c r="V68" s="9">
        <f>ROUND(ROUND(P68, 2)/1.2, 2)</f>
        <v>1666.67</v>
      </c>
      <c r="Y68" s="9">
        <f t="shared" si="7"/>
        <v>78451.67</v>
      </c>
      <c r="AD68" s="4" t="s">
        <v>278</v>
      </c>
      <c r="AE68" s="4" t="s">
        <v>279</v>
      </c>
      <c r="AF68" s="4" t="s">
        <v>274</v>
      </c>
    </row>
    <row r="69" spans="1:35" ht="93.75" x14ac:dyDescent="0.25">
      <c r="A69" s="10" t="s">
        <v>280</v>
      </c>
      <c r="B69" s="10"/>
      <c r="C69" s="16" t="s">
        <v>264</v>
      </c>
      <c r="D69" s="12"/>
      <c r="E69" s="12"/>
      <c r="F69" s="17" t="s">
        <v>222</v>
      </c>
      <c r="G69" s="18">
        <v>1</v>
      </c>
      <c r="H69" s="22"/>
      <c r="I69" s="22">
        <v>5.3</v>
      </c>
      <c r="J69" s="19">
        <v>0</v>
      </c>
      <c r="M69" s="20">
        <f>ROUND(ROUND(J69, 2)*I69, 2)</f>
        <v>0</v>
      </c>
      <c r="P69" s="19">
        <v>3880</v>
      </c>
      <c r="S69" s="20">
        <f>ROUND(ROUND(P69, 2)*I69, 2)</f>
        <v>20564</v>
      </c>
      <c r="V69" s="9">
        <f>ROUND(ROUND(P69, 2)/1.2, 2)</f>
        <v>3233.33</v>
      </c>
      <c r="Y69" s="9">
        <f t="shared" si="7"/>
        <v>17136.669999999998</v>
      </c>
      <c r="AD69" s="4" t="s">
        <v>281</v>
      </c>
      <c r="AE69" s="4" t="s">
        <v>282</v>
      </c>
      <c r="AF69" s="4" t="s">
        <v>268</v>
      </c>
    </row>
    <row r="70" spans="1:35" ht="37.5" x14ac:dyDescent="0.25">
      <c r="A70" s="10" t="s">
        <v>283</v>
      </c>
      <c r="B70" s="10" t="s">
        <v>284</v>
      </c>
      <c r="C70" s="11" t="s">
        <v>285</v>
      </c>
      <c r="D70" s="12"/>
      <c r="E70" s="12" t="s">
        <v>286</v>
      </c>
      <c r="F70" s="12" t="s">
        <v>76</v>
      </c>
      <c r="G70" s="13">
        <v>1</v>
      </c>
      <c r="H70" s="13"/>
      <c r="I70" s="13">
        <v>1012.89</v>
      </c>
      <c r="J70" s="14">
        <f>IFERROR(ROUND(SUM(M71)/I70, 2),0)</f>
        <v>0</v>
      </c>
      <c r="K70" s="15">
        <v>210</v>
      </c>
      <c r="L70" s="14">
        <f>J70+ROUND(K70, 2)</f>
        <v>210</v>
      </c>
      <c r="M70" s="14">
        <f>ROUND(J70*I70, 2)</f>
        <v>0</v>
      </c>
      <c r="N70" s="14">
        <f>ROUND(I70*ROUND(K70, 2), 2)</f>
        <v>212706.9</v>
      </c>
      <c r="O70" s="14">
        <f>M70+N70</f>
        <v>212706.9</v>
      </c>
      <c r="P70" s="14">
        <f>IFERROR(ROUND(SUM(S71)/I70, 2),0)</f>
        <v>409.64</v>
      </c>
      <c r="Q70" s="15">
        <v>210</v>
      </c>
      <c r="R70" s="14">
        <f>P70+ROUND(Q70, 2)</f>
        <v>619.64</v>
      </c>
      <c r="S70" s="14">
        <f>ROUND(P70*I70, 2)</f>
        <v>414920.26</v>
      </c>
      <c r="T70" s="14">
        <f>ROUND(I70*ROUND(Q70, 2), 2)</f>
        <v>212706.9</v>
      </c>
      <c r="U70" s="14">
        <f>S70+T70</f>
        <v>627627.16</v>
      </c>
      <c r="V70" s="9">
        <f>ROUND(P70 / 1.2, 2)</f>
        <v>341.37</v>
      </c>
      <c r="W70" s="9">
        <f>ROUND(Q70 / 1.2, 2)</f>
        <v>175</v>
      </c>
      <c r="X70" s="9">
        <f>ROUND(R70 / 1.2, 2)</f>
        <v>516.37</v>
      </c>
      <c r="Y70" s="9">
        <f t="shared" si="7"/>
        <v>345766.88</v>
      </c>
      <c r="Z70" s="9">
        <f>ROUND(T70 / 1.2, 2)</f>
        <v>177255.75</v>
      </c>
      <c r="AA70" s="9">
        <f>Y70+Z70</f>
        <v>523022.63</v>
      </c>
      <c r="AD70" s="4">
        <v>282588940</v>
      </c>
      <c r="AE70" s="4">
        <v>20322538</v>
      </c>
      <c r="AG70" s="4" t="s">
        <v>287</v>
      </c>
      <c r="AH70" s="4" t="s">
        <v>288</v>
      </c>
      <c r="AI70" s="4" t="s">
        <v>170</v>
      </c>
    </row>
    <row r="71" spans="1:35" ht="75" x14ac:dyDescent="0.25">
      <c r="A71" s="10" t="s">
        <v>289</v>
      </c>
      <c r="B71" s="10"/>
      <c r="C71" s="16" t="s">
        <v>290</v>
      </c>
      <c r="D71" s="12"/>
      <c r="E71" s="12" t="s">
        <v>291</v>
      </c>
      <c r="F71" s="17" t="s">
        <v>76</v>
      </c>
      <c r="G71" s="18">
        <v>1.1000000000000001</v>
      </c>
      <c r="H71" s="22"/>
      <c r="I71" s="22">
        <v>1114.1790000000001</v>
      </c>
      <c r="J71" s="19">
        <v>0</v>
      </c>
      <c r="M71" s="20">
        <f>ROUND(ROUND(J71, 2)*I71, 2)</f>
        <v>0</v>
      </c>
      <c r="P71" s="19">
        <v>372.4</v>
      </c>
      <c r="S71" s="20">
        <f>ROUND(ROUND(P71, 2)*I71, 2)</f>
        <v>414920.26</v>
      </c>
      <c r="V71" s="9">
        <f>ROUND(ROUND(P71, 2)/1.2, 2)</f>
        <v>310.33</v>
      </c>
      <c r="Y71" s="9">
        <f t="shared" si="7"/>
        <v>345766.88</v>
      </c>
      <c r="AD71" s="4" t="s">
        <v>292</v>
      </c>
      <c r="AE71" s="4" t="s">
        <v>293</v>
      </c>
      <c r="AF71" s="4" t="s">
        <v>294</v>
      </c>
    </row>
    <row r="72" spans="1:35" ht="37.5" x14ac:dyDescent="0.25">
      <c r="A72" s="10" t="s">
        <v>295</v>
      </c>
      <c r="B72" s="10" t="s">
        <v>284</v>
      </c>
      <c r="C72" s="11" t="s">
        <v>285</v>
      </c>
      <c r="D72" s="12"/>
      <c r="E72" s="12" t="s">
        <v>296</v>
      </c>
      <c r="F72" s="12" t="s">
        <v>76</v>
      </c>
      <c r="G72" s="13">
        <v>1</v>
      </c>
      <c r="H72" s="13"/>
      <c r="I72" s="13">
        <v>409.31</v>
      </c>
      <c r="J72" s="14">
        <f>IFERROR(ROUND(SUM(M73)/I72, 2),0)</f>
        <v>0</v>
      </c>
      <c r="K72" s="15">
        <v>210</v>
      </c>
      <c r="L72" s="14">
        <f>J72+ROUND(K72, 2)</f>
        <v>210</v>
      </c>
      <c r="M72" s="14">
        <f>ROUND(J72*I72, 2)</f>
        <v>0</v>
      </c>
      <c r="N72" s="14">
        <f>ROUND(I72*ROUND(K72, 2), 2)</f>
        <v>85955.1</v>
      </c>
      <c r="O72" s="14">
        <f>M72+N72</f>
        <v>85955.1</v>
      </c>
      <c r="P72" s="14">
        <f>IFERROR(ROUND(SUM(S73)/I72, 2),0)</f>
        <v>409.64</v>
      </c>
      <c r="Q72" s="15">
        <v>210</v>
      </c>
      <c r="R72" s="14">
        <f>P72+ROUND(Q72, 2)</f>
        <v>619.64</v>
      </c>
      <c r="S72" s="14">
        <f>ROUND(P72*I72, 2)</f>
        <v>167669.75</v>
      </c>
      <c r="T72" s="14">
        <f>ROUND(I72*ROUND(Q72, 2), 2)</f>
        <v>85955.1</v>
      </c>
      <c r="U72" s="14">
        <f>S72+T72</f>
        <v>253624.85</v>
      </c>
      <c r="V72" s="9">
        <f>ROUND(P72 / 1.2, 2)</f>
        <v>341.37</v>
      </c>
      <c r="W72" s="9">
        <f>ROUND(Q72 / 1.2, 2)</f>
        <v>175</v>
      </c>
      <c r="X72" s="9">
        <f>ROUND(R72 / 1.2, 2)</f>
        <v>516.37</v>
      </c>
      <c r="Y72" s="9">
        <f t="shared" si="7"/>
        <v>139724.79</v>
      </c>
      <c r="Z72" s="9">
        <f>ROUND(T72 / 1.2, 2)</f>
        <v>71629.25</v>
      </c>
      <c r="AA72" s="9">
        <f>Y72+Z72</f>
        <v>211354.04</v>
      </c>
      <c r="AD72" s="4">
        <v>282588993</v>
      </c>
      <c r="AE72" s="4">
        <v>20322539</v>
      </c>
      <c r="AG72" s="4" t="s">
        <v>287</v>
      </c>
      <c r="AH72" s="4" t="s">
        <v>288</v>
      </c>
      <c r="AI72" s="4" t="s">
        <v>170</v>
      </c>
    </row>
    <row r="73" spans="1:35" ht="75" x14ac:dyDescent="0.25">
      <c r="A73" s="10" t="s">
        <v>297</v>
      </c>
      <c r="B73" s="10"/>
      <c r="C73" s="16" t="s">
        <v>290</v>
      </c>
      <c r="D73" s="12"/>
      <c r="E73" s="12" t="s">
        <v>298</v>
      </c>
      <c r="F73" s="17" t="s">
        <v>76</v>
      </c>
      <c r="G73" s="18">
        <v>1.1000000000000001</v>
      </c>
      <c r="H73" s="22"/>
      <c r="I73" s="22">
        <v>450.24099999999999</v>
      </c>
      <c r="J73" s="19">
        <v>0</v>
      </c>
      <c r="M73" s="20">
        <f>ROUND(ROUND(J73, 2)*I73, 2)</f>
        <v>0</v>
      </c>
      <c r="P73" s="19">
        <v>372.4</v>
      </c>
      <c r="S73" s="20">
        <f>ROUND(ROUND(P73, 2)*I73, 2)</f>
        <v>167669.75</v>
      </c>
      <c r="V73" s="9">
        <f>ROUND(ROUND(P73, 2)/1.2, 2)</f>
        <v>310.33</v>
      </c>
      <c r="Y73" s="9">
        <f t="shared" si="7"/>
        <v>139724.79</v>
      </c>
      <c r="AD73" s="4" t="s">
        <v>299</v>
      </c>
      <c r="AE73" s="4" t="s">
        <v>300</v>
      </c>
      <c r="AF73" s="4" t="s">
        <v>294</v>
      </c>
    </row>
    <row r="74" spans="1:35" ht="37.5" x14ac:dyDescent="0.25">
      <c r="A74" s="10" t="s">
        <v>301</v>
      </c>
      <c r="B74" s="10" t="s">
        <v>302</v>
      </c>
      <c r="C74" s="11" t="s">
        <v>303</v>
      </c>
      <c r="D74" s="12"/>
      <c r="E74" s="12" t="s">
        <v>304</v>
      </c>
      <c r="F74" s="12" t="s">
        <v>59</v>
      </c>
      <c r="G74" s="13">
        <v>1</v>
      </c>
      <c r="H74" s="13"/>
      <c r="I74" s="13">
        <v>338.3</v>
      </c>
      <c r="J74" s="14">
        <f>IFERROR(ROUND(SUM(M75,M76,M77,M78)/I74, 2),0)</f>
        <v>1629.53</v>
      </c>
      <c r="K74" s="15">
        <v>2310</v>
      </c>
      <c r="L74" s="14">
        <f>J74+ROUND(K74, 2)</f>
        <v>3939.5299999999997</v>
      </c>
      <c r="M74" s="14">
        <f>ROUND(J74*I74, 2)</f>
        <v>551270</v>
      </c>
      <c r="N74" s="14">
        <f>ROUND(I74*ROUND(K74, 2), 2)</f>
        <v>781473</v>
      </c>
      <c r="O74" s="14">
        <f>M74+N74</f>
        <v>1332743</v>
      </c>
      <c r="P74" s="14">
        <f>IFERROR(ROUND(SUM(S75,S76,S77,S78)/I74, 2),0)</f>
        <v>1629.53</v>
      </c>
      <c r="Q74" s="15">
        <v>2310</v>
      </c>
      <c r="R74" s="14">
        <f>P74+ROUND(Q74, 2)</f>
        <v>3939.5299999999997</v>
      </c>
      <c r="S74" s="14">
        <f>ROUND(P74*I74, 2)</f>
        <v>551270</v>
      </c>
      <c r="T74" s="14">
        <f>ROUND(I74*ROUND(Q74, 2), 2)</f>
        <v>781473</v>
      </c>
      <c r="U74" s="14">
        <f>S74+T74</f>
        <v>1332743</v>
      </c>
      <c r="V74" s="9">
        <f>ROUND(P74 / 1.2, 2)</f>
        <v>1357.94</v>
      </c>
      <c r="W74" s="9">
        <f>ROUND(Q74 / 1.2, 2)</f>
        <v>1925</v>
      </c>
      <c r="X74" s="9">
        <f>ROUND(R74 / 1.2, 2)</f>
        <v>3282.94</v>
      </c>
      <c r="Y74" s="9">
        <f t="shared" si="7"/>
        <v>459391.67</v>
      </c>
      <c r="Z74" s="9">
        <f>ROUND(T74 / 1.2, 2)</f>
        <v>651227.5</v>
      </c>
      <c r="AA74" s="9">
        <f>Y74+Z74</f>
        <v>1110619.17</v>
      </c>
      <c r="AD74" s="4">
        <v>282588942</v>
      </c>
      <c r="AE74" s="4">
        <v>20865471</v>
      </c>
      <c r="AG74" s="4" t="s">
        <v>305</v>
      </c>
      <c r="AH74" s="4" t="s">
        <v>306</v>
      </c>
      <c r="AI74" s="4" t="s">
        <v>170</v>
      </c>
    </row>
    <row r="75" spans="1:35" ht="56.25" x14ac:dyDescent="0.25">
      <c r="A75" s="10" t="s">
        <v>307</v>
      </c>
      <c r="B75" s="10"/>
      <c r="C75" s="21" t="s">
        <v>308</v>
      </c>
      <c r="D75" s="12"/>
      <c r="E75" s="12" t="s">
        <v>309</v>
      </c>
      <c r="F75" s="17" t="s">
        <v>222</v>
      </c>
      <c r="G75" s="18">
        <v>4</v>
      </c>
      <c r="H75" s="18"/>
      <c r="I75" s="18">
        <v>1353.2</v>
      </c>
      <c r="J75" s="19">
        <v>396</v>
      </c>
      <c r="M75" s="20">
        <f>ROUND(ROUND(J75, 2)*I75, 2)</f>
        <v>535867.19999999995</v>
      </c>
      <c r="P75" s="19">
        <v>396</v>
      </c>
      <c r="S75" s="20">
        <f>ROUND(ROUND(P75, 2)*I75, 2)</f>
        <v>535867.19999999995</v>
      </c>
      <c r="V75" s="9">
        <f>ROUND(ROUND(P75, 2)/1.2, 2)</f>
        <v>330</v>
      </c>
      <c r="Y75" s="9">
        <f t="shared" si="7"/>
        <v>446556</v>
      </c>
      <c r="AD75" s="4" t="s">
        <v>310</v>
      </c>
      <c r="AE75" s="4" t="s">
        <v>311</v>
      </c>
      <c r="AF75" s="4" t="s">
        <v>312</v>
      </c>
    </row>
    <row r="76" spans="1:35" ht="37.5" x14ac:dyDescent="0.25">
      <c r="A76" s="10" t="s">
        <v>313</v>
      </c>
      <c r="B76" s="10"/>
      <c r="C76" s="21" t="s">
        <v>314</v>
      </c>
      <c r="D76" s="12"/>
      <c r="E76" s="12"/>
      <c r="F76" s="17" t="s">
        <v>173</v>
      </c>
      <c r="G76" s="18">
        <v>1.2</v>
      </c>
      <c r="H76" s="22"/>
      <c r="I76" s="22">
        <v>405.96</v>
      </c>
      <c r="J76" s="19">
        <v>16.96</v>
      </c>
      <c r="M76" s="20">
        <f>ROUND(ROUND(J76, 2)*I76, 2)</f>
        <v>6885.08</v>
      </c>
      <c r="P76" s="19">
        <v>16.96</v>
      </c>
      <c r="S76" s="20">
        <f>ROUND(ROUND(P76, 2)*I76, 2)</f>
        <v>6885.08</v>
      </c>
      <c r="V76" s="9">
        <f>ROUND(ROUND(P76, 2)/1.2, 2)</f>
        <v>14.13</v>
      </c>
      <c r="Y76" s="9">
        <f t="shared" si="7"/>
        <v>5737.57</v>
      </c>
      <c r="AD76" s="4" t="s">
        <v>315</v>
      </c>
      <c r="AE76" s="4" t="s">
        <v>316</v>
      </c>
      <c r="AF76" s="4" t="s">
        <v>317</v>
      </c>
    </row>
    <row r="77" spans="1:35" ht="18.75" x14ac:dyDescent="0.25">
      <c r="A77" s="10" t="s">
        <v>318</v>
      </c>
      <c r="B77" s="10"/>
      <c r="C77" s="16" t="s">
        <v>319</v>
      </c>
      <c r="D77" s="12"/>
      <c r="E77" s="12"/>
      <c r="F77" s="17" t="s">
        <v>173</v>
      </c>
      <c r="G77" s="18">
        <v>0.25</v>
      </c>
      <c r="H77" s="18"/>
      <c r="I77" s="18">
        <v>84.575000000000003</v>
      </c>
      <c r="J77" s="19">
        <v>47.44</v>
      </c>
      <c r="M77" s="20">
        <f>ROUND(ROUND(J77, 2)*I77, 2)</f>
        <v>4012.24</v>
      </c>
      <c r="P77" s="19">
        <v>47.44</v>
      </c>
      <c r="S77" s="20">
        <f>ROUND(ROUND(P77, 2)*I77, 2)</f>
        <v>4012.24</v>
      </c>
      <c r="V77" s="9">
        <f>ROUND(ROUND(P77, 2)/1.2, 2)</f>
        <v>39.53</v>
      </c>
      <c r="Y77" s="9">
        <f t="shared" si="7"/>
        <v>3343.53</v>
      </c>
      <c r="AD77" s="4" t="s">
        <v>320</v>
      </c>
      <c r="AE77" s="4" t="s">
        <v>321</v>
      </c>
      <c r="AF77" s="4" t="s">
        <v>322</v>
      </c>
    </row>
    <row r="78" spans="1:35" ht="37.5" x14ac:dyDescent="0.25">
      <c r="A78" s="10" t="s">
        <v>323</v>
      </c>
      <c r="B78" s="10"/>
      <c r="C78" s="16" t="s">
        <v>324</v>
      </c>
      <c r="D78" s="12"/>
      <c r="E78" s="12"/>
      <c r="F78" s="17" t="s">
        <v>173</v>
      </c>
      <c r="G78" s="18">
        <v>0.15</v>
      </c>
      <c r="H78" s="18"/>
      <c r="I78" s="18">
        <v>50.744999999999997</v>
      </c>
      <c r="J78" s="19">
        <v>88.8</v>
      </c>
      <c r="M78" s="20">
        <f>ROUND(ROUND(J78, 2)*I78, 2)</f>
        <v>4506.16</v>
      </c>
      <c r="P78" s="19">
        <v>88.8</v>
      </c>
      <c r="S78" s="20">
        <f>ROUND(ROUND(P78, 2)*I78, 2)</f>
        <v>4506.16</v>
      </c>
      <c r="V78" s="9">
        <f>ROUND(ROUND(P78, 2)/1.2, 2)</f>
        <v>74</v>
      </c>
      <c r="Y78" s="9">
        <f t="shared" si="7"/>
        <v>3755.13</v>
      </c>
      <c r="AD78" s="4" t="s">
        <v>325</v>
      </c>
      <c r="AE78" s="4" t="s">
        <v>326</v>
      </c>
      <c r="AF78" s="4" t="s">
        <v>327</v>
      </c>
    </row>
    <row r="79" spans="1:35" ht="37.5" x14ac:dyDescent="0.25">
      <c r="A79" s="10" t="s">
        <v>328</v>
      </c>
      <c r="B79" s="10" t="s">
        <v>302</v>
      </c>
      <c r="C79" s="11" t="s">
        <v>303</v>
      </c>
      <c r="D79" s="12"/>
      <c r="E79" s="12" t="s">
        <v>329</v>
      </c>
      <c r="F79" s="12" t="s">
        <v>59</v>
      </c>
      <c r="G79" s="13">
        <v>1</v>
      </c>
      <c r="H79" s="13"/>
      <c r="I79" s="13">
        <v>190.6</v>
      </c>
      <c r="J79" s="14">
        <f>IFERROR(ROUND(SUM(M80,M81,M82,M83)/I79, 2),0)</f>
        <v>1469.97</v>
      </c>
      <c r="K79" s="15">
        <v>2310</v>
      </c>
      <c r="L79" s="14">
        <f>J79+ROUND(K79, 2)</f>
        <v>3779.9700000000003</v>
      </c>
      <c r="M79" s="14">
        <f>ROUND(J79*I79, 2)</f>
        <v>280176.28000000003</v>
      </c>
      <c r="N79" s="14">
        <f>ROUND(I79*ROUND(K79, 2), 2)</f>
        <v>440286</v>
      </c>
      <c r="O79" s="14">
        <f>M79+N79</f>
        <v>720462.28</v>
      </c>
      <c r="P79" s="14">
        <f>IFERROR(ROUND(SUM(S80,S81,S82,S83)/I79, 2),0)</f>
        <v>1469.97</v>
      </c>
      <c r="Q79" s="15">
        <v>2310</v>
      </c>
      <c r="R79" s="14">
        <f>P79+ROUND(Q79, 2)</f>
        <v>3779.9700000000003</v>
      </c>
      <c r="S79" s="14">
        <f>ROUND(P79*I79, 2)</f>
        <v>280176.28000000003</v>
      </c>
      <c r="T79" s="14">
        <f>ROUND(I79*ROUND(Q79, 2), 2)</f>
        <v>440286</v>
      </c>
      <c r="U79" s="14">
        <f>S79+T79</f>
        <v>720462.28</v>
      </c>
      <c r="V79" s="9">
        <f>ROUND(P79 / 1.2, 2)</f>
        <v>1224.98</v>
      </c>
      <c r="W79" s="9">
        <f>ROUND(Q79 / 1.2, 2)</f>
        <v>1925</v>
      </c>
      <c r="X79" s="9">
        <f>ROUND(R79 / 1.2, 2)</f>
        <v>3149.98</v>
      </c>
      <c r="Y79" s="9">
        <f t="shared" si="7"/>
        <v>233480.23</v>
      </c>
      <c r="Z79" s="9">
        <f>ROUND(T79 / 1.2, 2)</f>
        <v>366905</v>
      </c>
      <c r="AA79" s="9">
        <f>Y79+Z79</f>
        <v>600385.23</v>
      </c>
      <c r="AD79" s="4">
        <v>282588994</v>
      </c>
      <c r="AE79" s="4">
        <v>20865472</v>
      </c>
      <c r="AG79" s="4" t="s">
        <v>305</v>
      </c>
      <c r="AH79" s="4" t="s">
        <v>306</v>
      </c>
      <c r="AI79" s="4" t="s">
        <v>170</v>
      </c>
    </row>
    <row r="80" spans="1:35" ht="37.5" x14ac:dyDescent="0.25">
      <c r="A80" s="10" t="s">
        <v>330</v>
      </c>
      <c r="B80" s="10"/>
      <c r="C80" s="16" t="s">
        <v>324</v>
      </c>
      <c r="D80" s="12"/>
      <c r="E80" s="12"/>
      <c r="F80" s="17" t="s">
        <v>173</v>
      </c>
      <c r="G80" s="18">
        <v>0.15</v>
      </c>
      <c r="H80" s="18"/>
      <c r="I80" s="18">
        <v>28.59</v>
      </c>
      <c r="J80" s="19">
        <v>88.8</v>
      </c>
      <c r="M80" s="20">
        <f>ROUND(ROUND(J80, 2)*I80, 2)</f>
        <v>2538.79</v>
      </c>
      <c r="P80" s="19">
        <v>88.8</v>
      </c>
      <c r="S80" s="20">
        <f>ROUND(ROUND(P80, 2)*I80, 2)</f>
        <v>2538.79</v>
      </c>
      <c r="V80" s="9">
        <f>ROUND(ROUND(P80, 2)/1.2, 2)</f>
        <v>74</v>
      </c>
      <c r="Y80" s="9">
        <f t="shared" si="7"/>
        <v>2115.66</v>
      </c>
      <c r="AD80" s="4" t="s">
        <v>331</v>
      </c>
      <c r="AE80" s="4" t="s">
        <v>332</v>
      </c>
      <c r="AF80" s="4" t="s">
        <v>327</v>
      </c>
    </row>
    <row r="81" spans="1:35" ht="18.75" x14ac:dyDescent="0.25">
      <c r="A81" s="10" t="s">
        <v>333</v>
      </c>
      <c r="B81" s="10"/>
      <c r="C81" s="16" t="s">
        <v>319</v>
      </c>
      <c r="D81" s="12"/>
      <c r="E81" s="12"/>
      <c r="F81" s="17" t="s">
        <v>173</v>
      </c>
      <c r="G81" s="18">
        <v>0.25</v>
      </c>
      <c r="H81" s="18"/>
      <c r="I81" s="18">
        <v>47.65</v>
      </c>
      <c r="J81" s="19">
        <v>47.44</v>
      </c>
      <c r="M81" s="20">
        <f>ROUND(ROUND(J81, 2)*I81, 2)</f>
        <v>2260.52</v>
      </c>
      <c r="P81" s="19">
        <v>47.44</v>
      </c>
      <c r="S81" s="20">
        <f>ROUND(ROUND(P81, 2)*I81, 2)</f>
        <v>2260.52</v>
      </c>
      <c r="V81" s="9">
        <f>ROUND(ROUND(P81, 2)/1.2, 2)</f>
        <v>39.53</v>
      </c>
      <c r="Y81" s="9">
        <f t="shared" si="7"/>
        <v>1883.77</v>
      </c>
      <c r="AD81" s="4" t="s">
        <v>334</v>
      </c>
      <c r="AE81" s="4" t="s">
        <v>335</v>
      </c>
      <c r="AF81" s="4" t="s">
        <v>322</v>
      </c>
    </row>
    <row r="82" spans="1:35" ht="37.5" x14ac:dyDescent="0.25">
      <c r="A82" s="10" t="s">
        <v>336</v>
      </c>
      <c r="B82" s="10"/>
      <c r="C82" s="21" t="s">
        <v>314</v>
      </c>
      <c r="D82" s="12"/>
      <c r="E82" s="12"/>
      <c r="F82" s="17" t="s">
        <v>173</v>
      </c>
      <c r="G82" s="18">
        <v>1.2</v>
      </c>
      <c r="H82" s="22"/>
      <c r="I82" s="22">
        <v>228.72</v>
      </c>
      <c r="J82" s="19">
        <v>16.96</v>
      </c>
      <c r="M82" s="20">
        <f>ROUND(ROUND(J82, 2)*I82, 2)</f>
        <v>3879.09</v>
      </c>
      <c r="P82" s="19">
        <v>16.96</v>
      </c>
      <c r="S82" s="20">
        <f>ROUND(ROUND(P82, 2)*I82, 2)</f>
        <v>3879.09</v>
      </c>
      <c r="V82" s="9">
        <f>ROUND(ROUND(P82, 2)/1.2, 2)</f>
        <v>14.13</v>
      </c>
      <c r="Y82" s="9">
        <f t="shared" si="7"/>
        <v>3232.58</v>
      </c>
      <c r="AD82" s="4" t="s">
        <v>337</v>
      </c>
      <c r="AE82" s="4" t="s">
        <v>338</v>
      </c>
      <c r="AF82" s="4" t="s">
        <v>317</v>
      </c>
    </row>
    <row r="83" spans="1:35" ht="56.25" x14ac:dyDescent="0.25">
      <c r="A83" s="10" t="s">
        <v>339</v>
      </c>
      <c r="B83" s="10"/>
      <c r="C83" s="16" t="s">
        <v>340</v>
      </c>
      <c r="D83" s="12"/>
      <c r="E83" s="12" t="s">
        <v>341</v>
      </c>
      <c r="F83" s="17" t="s">
        <v>222</v>
      </c>
      <c r="G83" s="18">
        <v>4</v>
      </c>
      <c r="H83" s="18"/>
      <c r="I83" s="18">
        <v>762.4</v>
      </c>
      <c r="J83" s="19">
        <v>356.11</v>
      </c>
      <c r="M83" s="20">
        <f>ROUND(ROUND(J83, 2)*I83, 2)</f>
        <v>271498.26</v>
      </c>
      <c r="P83" s="19">
        <v>356.11</v>
      </c>
      <c r="S83" s="20">
        <f>ROUND(ROUND(P83, 2)*I83, 2)</f>
        <v>271498.26</v>
      </c>
      <c r="V83" s="9">
        <f>ROUND(ROUND(P83, 2)/1.2, 2)</f>
        <v>296.76</v>
      </c>
      <c r="Y83" s="9">
        <f t="shared" si="7"/>
        <v>226248.55</v>
      </c>
      <c r="AD83" s="4" t="s">
        <v>342</v>
      </c>
      <c r="AE83" s="4" t="s">
        <v>343</v>
      </c>
      <c r="AF83" s="4" t="s">
        <v>344</v>
      </c>
    </row>
    <row r="84" spans="1:35" ht="37.5" x14ac:dyDescent="0.25">
      <c r="A84" s="10" t="s">
        <v>345</v>
      </c>
      <c r="B84" s="10" t="s">
        <v>302</v>
      </c>
      <c r="C84" s="11" t="s">
        <v>303</v>
      </c>
      <c r="D84" s="12"/>
      <c r="E84" s="12" t="s">
        <v>346</v>
      </c>
      <c r="F84" s="12" t="s">
        <v>59</v>
      </c>
      <c r="G84" s="13">
        <v>1</v>
      </c>
      <c r="H84" s="13"/>
      <c r="I84" s="13">
        <v>129.4</v>
      </c>
      <c r="J84" s="14">
        <f>IFERROR(ROUND(SUM(M85,M86,M87,M88)/I84, 2),0)</f>
        <v>4447.13</v>
      </c>
      <c r="K84" s="15">
        <v>2310</v>
      </c>
      <c r="L84" s="14">
        <f>J84+ROUND(K84, 2)</f>
        <v>6757.13</v>
      </c>
      <c r="M84" s="14">
        <f>ROUND(J84*I84, 2)</f>
        <v>575458.62</v>
      </c>
      <c r="N84" s="14">
        <f>ROUND(I84*ROUND(K84, 2), 2)</f>
        <v>298914</v>
      </c>
      <c r="O84" s="14">
        <f>M84+N84</f>
        <v>874372.62</v>
      </c>
      <c r="P84" s="14">
        <f>IFERROR(ROUND(SUM(S85,S86,S87,S88)/I84, 2),0)</f>
        <v>4447.13</v>
      </c>
      <c r="Q84" s="15">
        <v>2310</v>
      </c>
      <c r="R84" s="14">
        <f>P84+ROUND(Q84, 2)</f>
        <v>6757.13</v>
      </c>
      <c r="S84" s="14">
        <f>ROUND(P84*I84, 2)</f>
        <v>575458.62</v>
      </c>
      <c r="T84" s="14">
        <f>ROUND(I84*ROUND(Q84, 2), 2)</f>
        <v>298914</v>
      </c>
      <c r="U84" s="14">
        <f>S84+T84</f>
        <v>874372.62</v>
      </c>
      <c r="V84" s="9">
        <f>ROUND(P84 / 1.2, 2)</f>
        <v>3705.94</v>
      </c>
      <c r="W84" s="9">
        <f>ROUND(Q84 / 1.2, 2)</f>
        <v>1925</v>
      </c>
      <c r="X84" s="9">
        <f>ROUND(R84 / 1.2, 2)</f>
        <v>5630.94</v>
      </c>
      <c r="Y84" s="9">
        <f t="shared" si="7"/>
        <v>479548.85</v>
      </c>
      <c r="Z84" s="9">
        <f>ROUND(T84 / 1.2, 2)</f>
        <v>249095</v>
      </c>
      <c r="AA84" s="9">
        <f>Y84+Z84</f>
        <v>728643.85</v>
      </c>
      <c r="AD84" s="4">
        <v>282588995</v>
      </c>
      <c r="AE84" s="4">
        <v>20865473</v>
      </c>
      <c r="AG84" s="4" t="s">
        <v>305</v>
      </c>
      <c r="AH84" s="4" t="s">
        <v>306</v>
      </c>
      <c r="AI84" s="4" t="s">
        <v>170</v>
      </c>
    </row>
    <row r="85" spans="1:35" ht="56.25" x14ac:dyDescent="0.25">
      <c r="A85" s="10" t="s">
        <v>347</v>
      </c>
      <c r="B85" s="10"/>
      <c r="C85" s="21" t="s">
        <v>348</v>
      </c>
      <c r="D85" s="12"/>
      <c r="E85" s="12" t="s">
        <v>349</v>
      </c>
      <c r="F85" s="17" t="s">
        <v>222</v>
      </c>
      <c r="G85" s="18">
        <v>4</v>
      </c>
      <c r="H85" s="18"/>
      <c r="I85" s="18">
        <v>517.6</v>
      </c>
      <c r="J85" s="19">
        <v>1100.4000000000001</v>
      </c>
      <c r="M85" s="20">
        <f>ROUND(ROUND(J85, 2)*I85, 2)</f>
        <v>569567.04</v>
      </c>
      <c r="P85" s="19">
        <v>1100.4000000000001</v>
      </c>
      <c r="S85" s="20">
        <f>ROUND(ROUND(P85, 2)*I85, 2)</f>
        <v>569567.04</v>
      </c>
      <c r="V85" s="9">
        <f>ROUND(ROUND(P85, 2)/1.2, 2)</f>
        <v>917</v>
      </c>
      <c r="Y85" s="9">
        <f t="shared" si="7"/>
        <v>474639.2</v>
      </c>
      <c r="AD85" s="4" t="s">
        <v>350</v>
      </c>
      <c r="AE85" s="4" t="s">
        <v>351</v>
      </c>
      <c r="AF85" s="4" t="s">
        <v>352</v>
      </c>
    </row>
    <row r="86" spans="1:35" ht="37.5" x14ac:dyDescent="0.25">
      <c r="A86" s="10" t="s">
        <v>353</v>
      </c>
      <c r="B86" s="10"/>
      <c r="C86" s="21" t="s">
        <v>314</v>
      </c>
      <c r="D86" s="12"/>
      <c r="E86" s="12"/>
      <c r="F86" s="17" t="s">
        <v>173</v>
      </c>
      <c r="G86" s="18">
        <v>1.2</v>
      </c>
      <c r="H86" s="22"/>
      <c r="I86" s="22">
        <v>155.28</v>
      </c>
      <c r="J86" s="19">
        <v>16.96</v>
      </c>
      <c r="M86" s="20">
        <f>ROUND(ROUND(J86, 2)*I86, 2)</f>
        <v>2633.55</v>
      </c>
      <c r="P86" s="19">
        <v>16.96</v>
      </c>
      <c r="S86" s="20">
        <f>ROUND(ROUND(P86, 2)*I86, 2)</f>
        <v>2633.55</v>
      </c>
      <c r="V86" s="9">
        <f>ROUND(ROUND(P86, 2)/1.2, 2)</f>
        <v>14.13</v>
      </c>
      <c r="Y86" s="9">
        <f t="shared" si="7"/>
        <v>2194.63</v>
      </c>
      <c r="AD86" s="4" t="s">
        <v>354</v>
      </c>
      <c r="AE86" s="4" t="s">
        <v>355</v>
      </c>
      <c r="AF86" s="4" t="s">
        <v>317</v>
      </c>
    </row>
    <row r="87" spans="1:35" ht="18.75" x14ac:dyDescent="0.25">
      <c r="A87" s="10" t="s">
        <v>356</v>
      </c>
      <c r="B87" s="10"/>
      <c r="C87" s="16" t="s">
        <v>319</v>
      </c>
      <c r="D87" s="12"/>
      <c r="E87" s="12"/>
      <c r="F87" s="17" t="s">
        <v>173</v>
      </c>
      <c r="G87" s="18">
        <v>0.25</v>
      </c>
      <c r="H87" s="18"/>
      <c r="I87" s="18">
        <v>32.35</v>
      </c>
      <c r="J87" s="19">
        <v>47.44</v>
      </c>
      <c r="M87" s="20">
        <f>ROUND(ROUND(J87, 2)*I87, 2)</f>
        <v>1534.68</v>
      </c>
      <c r="P87" s="19">
        <v>47.44</v>
      </c>
      <c r="S87" s="20">
        <f>ROUND(ROUND(P87, 2)*I87, 2)</f>
        <v>1534.68</v>
      </c>
      <c r="V87" s="9">
        <f>ROUND(ROUND(P87, 2)/1.2, 2)</f>
        <v>39.53</v>
      </c>
      <c r="Y87" s="9">
        <f t="shared" si="7"/>
        <v>1278.9000000000001</v>
      </c>
      <c r="AD87" s="4" t="s">
        <v>357</v>
      </c>
      <c r="AE87" s="4" t="s">
        <v>358</v>
      </c>
      <c r="AF87" s="4" t="s">
        <v>322</v>
      </c>
    </row>
    <row r="88" spans="1:35" ht="37.5" x14ac:dyDescent="0.25">
      <c r="A88" s="10" t="s">
        <v>359</v>
      </c>
      <c r="B88" s="10"/>
      <c r="C88" s="16" t="s">
        <v>324</v>
      </c>
      <c r="D88" s="12"/>
      <c r="E88" s="12"/>
      <c r="F88" s="17" t="s">
        <v>173</v>
      </c>
      <c r="G88" s="18">
        <v>0.15</v>
      </c>
      <c r="H88" s="18"/>
      <c r="I88" s="18">
        <v>19.41</v>
      </c>
      <c r="J88" s="19">
        <v>88.8</v>
      </c>
      <c r="M88" s="20">
        <f>ROUND(ROUND(J88, 2)*I88, 2)</f>
        <v>1723.61</v>
      </c>
      <c r="P88" s="19">
        <v>88.8</v>
      </c>
      <c r="S88" s="20">
        <f>ROUND(ROUND(P88, 2)*I88, 2)</f>
        <v>1723.61</v>
      </c>
      <c r="V88" s="9">
        <f>ROUND(ROUND(P88, 2)/1.2, 2)</f>
        <v>74</v>
      </c>
      <c r="Y88" s="9">
        <f t="shared" si="7"/>
        <v>1436.34</v>
      </c>
      <c r="AD88" s="4" t="s">
        <v>360</v>
      </c>
      <c r="AE88" s="4" t="s">
        <v>361</v>
      </c>
      <c r="AF88" s="4" t="s">
        <v>327</v>
      </c>
    </row>
    <row r="89" spans="1:35" ht="37.5" x14ac:dyDescent="0.25">
      <c r="A89" s="10" t="s">
        <v>362</v>
      </c>
      <c r="B89" s="10" t="s">
        <v>363</v>
      </c>
      <c r="C89" s="11" t="s">
        <v>364</v>
      </c>
      <c r="D89" s="12"/>
      <c r="E89" s="12" t="s">
        <v>365</v>
      </c>
      <c r="F89" s="12" t="s">
        <v>76</v>
      </c>
      <c r="G89" s="13">
        <v>1</v>
      </c>
      <c r="H89" s="13"/>
      <c r="I89" s="13">
        <v>103.54</v>
      </c>
      <c r="J89" s="14">
        <f>IFERROR(ROUND(SUM(M90,M91,M92,M93)/I89, 2),0)</f>
        <v>844.85</v>
      </c>
      <c r="K89" s="15">
        <v>473</v>
      </c>
      <c r="L89" s="14">
        <f>J89+ROUND(K89, 2)</f>
        <v>1317.85</v>
      </c>
      <c r="M89" s="14">
        <f>ROUND(J89*I89, 2)</f>
        <v>87475.77</v>
      </c>
      <c r="N89" s="14">
        <f>ROUND(I89*ROUND(K89, 2), 2)</f>
        <v>48974.42</v>
      </c>
      <c r="O89" s="14">
        <f>M89+N89</f>
        <v>136450.19</v>
      </c>
      <c r="P89" s="14">
        <f>IFERROR(ROUND(SUM(S90,S91,S92,S93)/I89, 2),0)</f>
        <v>844.85</v>
      </c>
      <c r="Q89" s="15">
        <v>473</v>
      </c>
      <c r="R89" s="14">
        <f>P89+ROUND(Q89, 2)</f>
        <v>1317.85</v>
      </c>
      <c r="S89" s="14">
        <f>ROUND(P89*I89, 2)</f>
        <v>87475.77</v>
      </c>
      <c r="T89" s="14">
        <f>ROUND(I89*ROUND(Q89, 2), 2)</f>
        <v>48974.42</v>
      </c>
      <c r="U89" s="14">
        <f>S89+T89</f>
        <v>136450.19</v>
      </c>
      <c r="V89" s="9">
        <f>ROUND(P89 / 1.2, 2)</f>
        <v>704.04</v>
      </c>
      <c r="W89" s="9">
        <f>ROUND(Q89 / 1.2, 2)</f>
        <v>394.17</v>
      </c>
      <c r="X89" s="9">
        <f>ROUND(R89 / 1.2, 2)</f>
        <v>1098.21</v>
      </c>
      <c r="Y89" s="9">
        <f t="shared" si="7"/>
        <v>72896.479999999996</v>
      </c>
      <c r="Z89" s="9">
        <f>ROUND(T89 / 1.2, 2)</f>
        <v>40812.019999999997</v>
      </c>
      <c r="AA89" s="9">
        <f>Y89+Z89</f>
        <v>113708.5</v>
      </c>
      <c r="AD89" s="4">
        <v>282588944</v>
      </c>
      <c r="AE89" s="4">
        <v>20322535</v>
      </c>
      <c r="AG89" s="4" t="s">
        <v>366</v>
      </c>
      <c r="AH89" s="4" t="s">
        <v>367</v>
      </c>
      <c r="AI89" s="4" t="s">
        <v>170</v>
      </c>
    </row>
    <row r="90" spans="1:35" ht="56.25" x14ac:dyDescent="0.25">
      <c r="A90" s="10" t="s">
        <v>368</v>
      </c>
      <c r="B90" s="10"/>
      <c r="C90" s="16" t="s">
        <v>369</v>
      </c>
      <c r="D90" s="12"/>
      <c r="E90" s="12" t="s">
        <v>370</v>
      </c>
      <c r="F90" s="17" t="s">
        <v>222</v>
      </c>
      <c r="G90" s="18">
        <v>1.84</v>
      </c>
      <c r="H90" s="22"/>
      <c r="I90" s="22">
        <v>190.51400000000001</v>
      </c>
      <c r="J90" s="19">
        <v>450.95</v>
      </c>
      <c r="M90" s="20">
        <f>ROUND(ROUND(J90, 2)*I90, 2)</f>
        <v>85912.29</v>
      </c>
      <c r="P90" s="19">
        <v>450.95</v>
      </c>
      <c r="S90" s="20">
        <f>ROUND(ROUND(P90, 2)*I90, 2)</f>
        <v>85912.29</v>
      </c>
      <c r="V90" s="9">
        <f>ROUND(ROUND(P90, 2)/1.2, 2)</f>
        <v>375.79</v>
      </c>
      <c r="Y90" s="9">
        <f t="shared" si="7"/>
        <v>71593.58</v>
      </c>
      <c r="AD90" s="4" t="s">
        <v>371</v>
      </c>
      <c r="AE90" s="4" t="s">
        <v>372</v>
      </c>
      <c r="AF90" s="4" t="s">
        <v>373</v>
      </c>
    </row>
    <row r="91" spans="1:35" ht="37.5" x14ac:dyDescent="0.25">
      <c r="A91" s="10" t="s">
        <v>374</v>
      </c>
      <c r="B91" s="10"/>
      <c r="C91" s="21" t="s">
        <v>375</v>
      </c>
      <c r="D91" s="12"/>
      <c r="E91" s="12"/>
      <c r="F91" s="17" t="s">
        <v>173</v>
      </c>
      <c r="G91" s="18">
        <v>0.7</v>
      </c>
      <c r="H91" s="22"/>
      <c r="I91" s="22">
        <v>72.477999999999994</v>
      </c>
      <c r="J91" s="19">
        <v>16.96</v>
      </c>
      <c r="M91" s="20">
        <f>ROUND(ROUND(J91, 2)*I91, 2)</f>
        <v>1229.23</v>
      </c>
      <c r="P91" s="19">
        <v>16.96</v>
      </c>
      <c r="S91" s="20">
        <f>ROUND(ROUND(P91, 2)*I91, 2)</f>
        <v>1229.23</v>
      </c>
      <c r="V91" s="9">
        <f>ROUND(ROUND(P91, 2)/1.2, 2)</f>
        <v>14.13</v>
      </c>
      <c r="Y91" s="9">
        <f t="shared" si="7"/>
        <v>1024.3599999999999</v>
      </c>
      <c r="AD91" s="4" t="s">
        <v>376</v>
      </c>
      <c r="AE91" s="4" t="s">
        <v>377</v>
      </c>
      <c r="AF91" s="4" t="s">
        <v>378</v>
      </c>
    </row>
    <row r="92" spans="1:35" ht="18.75" x14ac:dyDescent="0.25">
      <c r="A92" s="10" t="s">
        <v>379</v>
      </c>
      <c r="B92" s="10"/>
      <c r="C92" s="16" t="s">
        <v>319</v>
      </c>
      <c r="D92" s="12"/>
      <c r="E92" s="12"/>
      <c r="F92" s="17" t="s">
        <v>173</v>
      </c>
      <c r="G92" s="18">
        <v>0.04</v>
      </c>
      <c r="H92" s="18"/>
      <c r="I92" s="18">
        <v>4.1420000000000003</v>
      </c>
      <c r="J92" s="19">
        <v>47.44</v>
      </c>
      <c r="M92" s="20">
        <f>ROUND(ROUND(J92, 2)*I92, 2)</f>
        <v>196.5</v>
      </c>
      <c r="P92" s="19">
        <v>47.44</v>
      </c>
      <c r="S92" s="20">
        <f>ROUND(ROUND(P92, 2)*I92, 2)</f>
        <v>196.5</v>
      </c>
      <c r="V92" s="9">
        <f>ROUND(ROUND(P92, 2)/1.2, 2)</f>
        <v>39.53</v>
      </c>
      <c r="Y92" s="9">
        <f t="shared" si="7"/>
        <v>163.75</v>
      </c>
      <c r="AD92" s="4" t="s">
        <v>380</v>
      </c>
      <c r="AE92" s="4" t="s">
        <v>381</v>
      </c>
      <c r="AF92" s="4" t="s">
        <v>322</v>
      </c>
    </row>
    <row r="93" spans="1:35" ht="37.5" x14ac:dyDescent="0.25">
      <c r="A93" s="10" t="s">
        <v>382</v>
      </c>
      <c r="B93" s="10"/>
      <c r="C93" s="16" t="s">
        <v>383</v>
      </c>
      <c r="D93" s="12"/>
      <c r="E93" s="12"/>
      <c r="F93" s="17" t="s">
        <v>173</v>
      </c>
      <c r="G93" s="18">
        <v>1.4999999999999999E-2</v>
      </c>
      <c r="H93" s="18"/>
      <c r="I93" s="18">
        <v>1.5529999999999999</v>
      </c>
      <c r="J93" s="19">
        <v>88.8</v>
      </c>
      <c r="M93" s="20">
        <f>ROUND(ROUND(J93, 2)*I93, 2)</f>
        <v>137.91</v>
      </c>
      <c r="P93" s="19">
        <v>88.8</v>
      </c>
      <c r="S93" s="20">
        <f>ROUND(ROUND(P93, 2)*I93, 2)</f>
        <v>137.91</v>
      </c>
      <c r="V93" s="9">
        <f>ROUND(ROUND(P93, 2)/1.2, 2)</f>
        <v>74</v>
      </c>
      <c r="Y93" s="9">
        <f t="shared" si="7"/>
        <v>114.93</v>
      </c>
      <c r="AD93" s="4" t="s">
        <v>384</v>
      </c>
      <c r="AE93" s="4" t="s">
        <v>385</v>
      </c>
      <c r="AF93" s="4" t="s">
        <v>386</v>
      </c>
    </row>
    <row r="94" spans="1:35" ht="37.5" x14ac:dyDescent="0.25">
      <c r="A94" s="10" t="s">
        <v>387</v>
      </c>
      <c r="B94" s="10" t="s">
        <v>363</v>
      </c>
      <c r="C94" s="11" t="s">
        <v>364</v>
      </c>
      <c r="D94" s="12"/>
      <c r="E94" s="12" t="s">
        <v>388</v>
      </c>
      <c r="F94" s="12" t="s">
        <v>76</v>
      </c>
      <c r="G94" s="13">
        <v>1</v>
      </c>
      <c r="H94" s="13"/>
      <c r="I94" s="13">
        <v>379.83</v>
      </c>
      <c r="J94" s="14">
        <f>IFERROR(ROUND(SUM(M95,M96,M97,M98)/I94, 2),0)</f>
        <v>844.85</v>
      </c>
      <c r="K94" s="15">
        <v>473</v>
      </c>
      <c r="L94" s="14">
        <f>J94+ROUND(K94, 2)</f>
        <v>1317.85</v>
      </c>
      <c r="M94" s="14">
        <f>ROUND(J94*I94, 2)</f>
        <v>320899.38</v>
      </c>
      <c r="N94" s="14">
        <f>ROUND(I94*ROUND(K94, 2), 2)</f>
        <v>179659.59</v>
      </c>
      <c r="O94" s="14">
        <f>M94+N94</f>
        <v>500558.97</v>
      </c>
      <c r="P94" s="14">
        <f>IFERROR(ROUND(SUM(S95,S96,S97,S98)/I94, 2),0)</f>
        <v>844.85</v>
      </c>
      <c r="Q94" s="15">
        <v>473</v>
      </c>
      <c r="R94" s="14">
        <f>P94+ROUND(Q94, 2)</f>
        <v>1317.85</v>
      </c>
      <c r="S94" s="14">
        <f>ROUND(P94*I94, 2)</f>
        <v>320899.38</v>
      </c>
      <c r="T94" s="14">
        <f>ROUND(I94*ROUND(Q94, 2), 2)</f>
        <v>179659.59</v>
      </c>
      <c r="U94" s="14">
        <f>S94+T94</f>
        <v>500558.97</v>
      </c>
      <c r="V94" s="9">
        <f>ROUND(P94 / 1.2, 2)</f>
        <v>704.04</v>
      </c>
      <c r="W94" s="9">
        <f>ROUND(Q94 / 1.2, 2)</f>
        <v>394.17</v>
      </c>
      <c r="X94" s="9">
        <f>ROUND(R94 / 1.2, 2)</f>
        <v>1098.21</v>
      </c>
      <c r="Y94" s="9">
        <f t="shared" si="7"/>
        <v>267416.15000000002</v>
      </c>
      <c r="Z94" s="9">
        <f>ROUND(T94 / 1.2, 2)</f>
        <v>149716.32999999999</v>
      </c>
      <c r="AA94" s="9">
        <f>Y94+Z94</f>
        <v>417132.48</v>
      </c>
      <c r="AD94" s="4">
        <v>282588996</v>
      </c>
      <c r="AE94" s="4">
        <v>20322536</v>
      </c>
      <c r="AG94" s="4" t="s">
        <v>366</v>
      </c>
      <c r="AH94" s="4" t="s">
        <v>367</v>
      </c>
      <c r="AI94" s="4" t="s">
        <v>170</v>
      </c>
    </row>
    <row r="95" spans="1:35" ht="37.5" x14ac:dyDescent="0.25">
      <c r="A95" s="10" t="s">
        <v>389</v>
      </c>
      <c r="B95" s="10"/>
      <c r="C95" s="16" t="s">
        <v>383</v>
      </c>
      <c r="D95" s="12"/>
      <c r="E95" s="12"/>
      <c r="F95" s="17" t="s">
        <v>173</v>
      </c>
      <c r="G95" s="18">
        <v>1.4999999999999999E-2</v>
      </c>
      <c r="H95" s="18"/>
      <c r="I95" s="18">
        <v>5.6970000000000001</v>
      </c>
      <c r="J95" s="19">
        <v>88.8</v>
      </c>
      <c r="M95" s="20">
        <f>ROUND(ROUND(J95, 2)*I95, 2)</f>
        <v>505.89</v>
      </c>
      <c r="P95" s="19">
        <v>88.8</v>
      </c>
      <c r="S95" s="20">
        <f>ROUND(ROUND(P95, 2)*I95, 2)</f>
        <v>505.89</v>
      </c>
      <c r="V95" s="9">
        <f>ROUND(ROUND(P95, 2)/1.2, 2)</f>
        <v>74</v>
      </c>
      <c r="Y95" s="9">
        <f t="shared" si="7"/>
        <v>421.58</v>
      </c>
      <c r="AD95" s="4" t="s">
        <v>390</v>
      </c>
      <c r="AE95" s="4" t="s">
        <v>391</v>
      </c>
      <c r="AF95" s="4" t="s">
        <v>386</v>
      </c>
    </row>
    <row r="96" spans="1:35" ht="18.75" x14ac:dyDescent="0.25">
      <c r="A96" s="10" t="s">
        <v>392</v>
      </c>
      <c r="B96" s="10"/>
      <c r="C96" s="16" t="s">
        <v>319</v>
      </c>
      <c r="D96" s="12"/>
      <c r="E96" s="12"/>
      <c r="F96" s="17" t="s">
        <v>173</v>
      </c>
      <c r="G96" s="18">
        <v>0.04</v>
      </c>
      <c r="H96" s="18"/>
      <c r="I96" s="18">
        <v>15.193</v>
      </c>
      <c r="J96" s="19">
        <v>47.44</v>
      </c>
      <c r="M96" s="20">
        <f>ROUND(ROUND(J96, 2)*I96, 2)</f>
        <v>720.76</v>
      </c>
      <c r="P96" s="19">
        <v>47.44</v>
      </c>
      <c r="S96" s="20">
        <f>ROUND(ROUND(P96, 2)*I96, 2)</f>
        <v>720.76</v>
      </c>
      <c r="V96" s="9">
        <f>ROUND(ROUND(P96, 2)/1.2, 2)</f>
        <v>39.53</v>
      </c>
      <c r="Y96" s="9">
        <f t="shared" si="7"/>
        <v>600.63</v>
      </c>
      <c r="AD96" s="4" t="s">
        <v>393</v>
      </c>
      <c r="AE96" s="4" t="s">
        <v>394</v>
      </c>
      <c r="AF96" s="4" t="s">
        <v>322</v>
      </c>
    </row>
    <row r="97" spans="1:35" ht="37.5" x14ac:dyDescent="0.25">
      <c r="A97" s="10" t="s">
        <v>395</v>
      </c>
      <c r="B97" s="10"/>
      <c r="C97" s="21" t="s">
        <v>375</v>
      </c>
      <c r="D97" s="12"/>
      <c r="E97" s="12"/>
      <c r="F97" s="17" t="s">
        <v>173</v>
      </c>
      <c r="G97" s="18">
        <v>0.7</v>
      </c>
      <c r="H97" s="22"/>
      <c r="I97" s="22">
        <v>265.88099999999997</v>
      </c>
      <c r="J97" s="19">
        <v>16.96</v>
      </c>
      <c r="M97" s="20">
        <f>ROUND(ROUND(J97, 2)*I97, 2)</f>
        <v>4509.34</v>
      </c>
      <c r="P97" s="19">
        <v>16.96</v>
      </c>
      <c r="S97" s="20">
        <f>ROUND(ROUND(P97, 2)*I97, 2)</f>
        <v>4509.34</v>
      </c>
      <c r="V97" s="9">
        <f>ROUND(ROUND(P97, 2)/1.2, 2)</f>
        <v>14.13</v>
      </c>
      <c r="Y97" s="9">
        <f t="shared" si="7"/>
        <v>3757.78</v>
      </c>
      <c r="AD97" s="4" t="s">
        <v>396</v>
      </c>
      <c r="AE97" s="4" t="s">
        <v>397</v>
      </c>
      <c r="AF97" s="4" t="s">
        <v>378</v>
      </c>
    </row>
    <row r="98" spans="1:35" ht="56.25" x14ac:dyDescent="0.25">
      <c r="A98" s="10" t="s">
        <v>398</v>
      </c>
      <c r="B98" s="10"/>
      <c r="C98" s="16" t="s">
        <v>369</v>
      </c>
      <c r="D98" s="12"/>
      <c r="E98" s="12" t="s">
        <v>399</v>
      </c>
      <c r="F98" s="17" t="s">
        <v>222</v>
      </c>
      <c r="G98" s="18">
        <v>1.84</v>
      </c>
      <c r="H98" s="22"/>
      <c r="I98" s="22">
        <v>698.88699999999994</v>
      </c>
      <c r="J98" s="19">
        <v>450.95</v>
      </c>
      <c r="M98" s="20">
        <f>ROUND(ROUND(J98, 2)*I98, 2)</f>
        <v>315163.09000000003</v>
      </c>
      <c r="P98" s="19">
        <v>450.95</v>
      </c>
      <c r="S98" s="20">
        <f>ROUND(ROUND(P98, 2)*I98, 2)</f>
        <v>315163.09000000003</v>
      </c>
      <c r="V98" s="9">
        <f>ROUND(ROUND(P98, 2)/1.2, 2)</f>
        <v>375.79</v>
      </c>
      <c r="Y98" s="9">
        <f t="shared" si="7"/>
        <v>262635.90999999997</v>
      </c>
      <c r="AD98" s="4" t="s">
        <v>400</v>
      </c>
      <c r="AE98" s="4" t="s">
        <v>401</v>
      </c>
      <c r="AF98" s="4" t="s">
        <v>373</v>
      </c>
    </row>
    <row r="99" spans="1:35" ht="37.5" x14ac:dyDescent="0.25">
      <c r="A99" s="10" t="s">
        <v>402</v>
      </c>
      <c r="B99" s="10" t="s">
        <v>363</v>
      </c>
      <c r="C99" s="11" t="s">
        <v>364</v>
      </c>
      <c r="D99" s="12"/>
      <c r="E99" s="12" t="s">
        <v>403</v>
      </c>
      <c r="F99" s="12" t="s">
        <v>76</v>
      </c>
      <c r="G99" s="13">
        <v>1</v>
      </c>
      <c r="H99" s="13"/>
      <c r="I99" s="13">
        <v>78</v>
      </c>
      <c r="J99" s="14">
        <f>IFERROR(ROUND(SUM(M100,M101,M102)/I99, 2),0)</f>
        <v>842.95</v>
      </c>
      <c r="K99" s="15">
        <v>473</v>
      </c>
      <c r="L99" s="14">
        <f>J99+ROUND(K99, 2)</f>
        <v>1315.95</v>
      </c>
      <c r="M99" s="14">
        <f>ROUND(J99*I99, 2)</f>
        <v>65750.100000000006</v>
      </c>
      <c r="N99" s="14">
        <f>ROUND(I99*ROUND(K99, 2), 2)</f>
        <v>36894</v>
      </c>
      <c r="O99" s="14">
        <f>M99+N99</f>
        <v>102644.1</v>
      </c>
      <c r="P99" s="14">
        <f>IFERROR(ROUND(SUM(S100,S101,S102)/I99, 2),0)</f>
        <v>842.95</v>
      </c>
      <c r="Q99" s="15">
        <v>473</v>
      </c>
      <c r="R99" s="14">
        <f>P99+ROUND(Q99, 2)</f>
        <v>1315.95</v>
      </c>
      <c r="S99" s="14">
        <f>ROUND(P99*I99, 2)</f>
        <v>65750.100000000006</v>
      </c>
      <c r="T99" s="14">
        <f>ROUND(I99*ROUND(Q99, 2), 2)</f>
        <v>36894</v>
      </c>
      <c r="U99" s="14">
        <f>S99+T99</f>
        <v>102644.1</v>
      </c>
      <c r="V99" s="9">
        <f>ROUND(P99 / 1.2, 2)</f>
        <v>702.46</v>
      </c>
      <c r="W99" s="9">
        <f>ROUND(Q99 / 1.2, 2)</f>
        <v>394.17</v>
      </c>
      <c r="X99" s="9">
        <f>ROUND(R99 / 1.2, 2)</f>
        <v>1096.6300000000001</v>
      </c>
      <c r="Y99" s="9">
        <f t="shared" si="7"/>
        <v>54791.75</v>
      </c>
      <c r="Z99" s="9">
        <f>ROUND(T99 / 1.2, 2)</f>
        <v>30745</v>
      </c>
      <c r="AA99" s="9">
        <f>Y99+Z99</f>
        <v>85536.75</v>
      </c>
      <c r="AD99" s="4">
        <v>282588997</v>
      </c>
      <c r="AE99" s="4">
        <v>20322537</v>
      </c>
      <c r="AG99" s="4" t="s">
        <v>366</v>
      </c>
      <c r="AH99" s="4" t="s">
        <v>367</v>
      </c>
      <c r="AI99" s="4" t="s">
        <v>170</v>
      </c>
    </row>
    <row r="100" spans="1:35" ht="37.5" x14ac:dyDescent="0.25">
      <c r="A100" s="10" t="s">
        <v>404</v>
      </c>
      <c r="B100" s="10"/>
      <c r="C100" s="16" t="s">
        <v>369</v>
      </c>
      <c r="D100" s="12"/>
      <c r="E100" s="12" t="s">
        <v>405</v>
      </c>
      <c r="F100" s="17" t="s">
        <v>222</v>
      </c>
      <c r="G100" s="18">
        <v>1.84</v>
      </c>
      <c r="H100" s="22"/>
      <c r="I100" s="22">
        <v>143.52000000000001</v>
      </c>
      <c r="J100" s="19">
        <v>450.95</v>
      </c>
      <c r="M100" s="20">
        <f>ROUND(ROUND(J100, 2)*I100, 2)</f>
        <v>64720.34</v>
      </c>
      <c r="P100" s="19">
        <v>450.95</v>
      </c>
      <c r="S100" s="20">
        <f>ROUND(ROUND(P100, 2)*I100, 2)</f>
        <v>64720.34</v>
      </c>
      <c r="V100" s="9">
        <f>ROUND(ROUND(P100, 2)/1.2, 2)</f>
        <v>375.79</v>
      </c>
      <c r="Y100" s="9">
        <f t="shared" si="7"/>
        <v>53933.62</v>
      </c>
      <c r="AD100" s="4" t="s">
        <v>406</v>
      </c>
      <c r="AE100" s="4" t="s">
        <v>407</v>
      </c>
      <c r="AF100" s="4" t="s">
        <v>373</v>
      </c>
    </row>
    <row r="101" spans="1:35" ht="37.5" x14ac:dyDescent="0.25">
      <c r="A101" s="10" t="s">
        <v>408</v>
      </c>
      <c r="B101" s="10"/>
      <c r="C101" s="21" t="s">
        <v>375</v>
      </c>
      <c r="D101" s="12"/>
      <c r="E101" s="12"/>
      <c r="F101" s="17" t="s">
        <v>173</v>
      </c>
      <c r="G101" s="18">
        <v>0.7</v>
      </c>
      <c r="H101" s="22"/>
      <c r="I101" s="22">
        <v>54.6</v>
      </c>
      <c r="J101" s="19">
        <v>16.96</v>
      </c>
      <c r="M101" s="20">
        <f>ROUND(ROUND(J101, 2)*I101, 2)</f>
        <v>926.02</v>
      </c>
      <c r="P101" s="19">
        <v>16.96</v>
      </c>
      <c r="S101" s="20">
        <f>ROUND(ROUND(P101, 2)*I101, 2)</f>
        <v>926.02</v>
      </c>
      <c r="V101" s="9">
        <f>ROUND(ROUND(P101, 2)/1.2, 2)</f>
        <v>14.13</v>
      </c>
      <c r="Y101" s="9">
        <f t="shared" si="7"/>
        <v>771.68</v>
      </c>
      <c r="AD101" s="4" t="s">
        <v>409</v>
      </c>
      <c r="AE101" s="4" t="s">
        <v>410</v>
      </c>
      <c r="AF101" s="4" t="s">
        <v>378</v>
      </c>
    </row>
    <row r="102" spans="1:35" ht="37.5" x14ac:dyDescent="0.25">
      <c r="A102" s="10" t="s">
        <v>411</v>
      </c>
      <c r="B102" s="10"/>
      <c r="C102" s="16" t="s">
        <v>383</v>
      </c>
      <c r="D102" s="12"/>
      <c r="E102" s="12"/>
      <c r="F102" s="17" t="s">
        <v>173</v>
      </c>
      <c r="G102" s="18">
        <v>1.4999999999999999E-2</v>
      </c>
      <c r="H102" s="18"/>
      <c r="I102" s="18">
        <v>1.17</v>
      </c>
      <c r="J102" s="19">
        <v>88.8</v>
      </c>
      <c r="M102" s="20">
        <f>ROUND(ROUND(J102, 2)*I102, 2)</f>
        <v>103.9</v>
      </c>
      <c r="P102" s="19">
        <v>88.8</v>
      </c>
      <c r="S102" s="20">
        <f>ROUND(ROUND(P102, 2)*I102, 2)</f>
        <v>103.9</v>
      </c>
      <c r="V102" s="9">
        <f>ROUND(ROUND(P102, 2)/1.2, 2)</f>
        <v>74</v>
      </c>
      <c r="Y102" s="9">
        <f t="shared" si="7"/>
        <v>86.58</v>
      </c>
      <c r="AD102" s="4" t="s">
        <v>412</v>
      </c>
      <c r="AE102" s="4" t="s">
        <v>413</v>
      </c>
      <c r="AF102" s="4" t="s">
        <v>386</v>
      </c>
    </row>
    <row r="103" spans="1:35" ht="56.25" x14ac:dyDescent="0.25">
      <c r="A103" s="10" t="s">
        <v>414</v>
      </c>
      <c r="B103" s="10" t="s">
        <v>415</v>
      </c>
      <c r="C103" s="11" t="s">
        <v>416</v>
      </c>
      <c r="D103" s="12"/>
      <c r="E103" s="12" t="s">
        <v>417</v>
      </c>
      <c r="F103" s="12" t="s">
        <v>59</v>
      </c>
      <c r="G103" s="13">
        <v>1</v>
      </c>
      <c r="H103" s="13"/>
      <c r="I103" s="13">
        <v>370.9</v>
      </c>
      <c r="J103" s="14">
        <f>IFERROR(ROUND(SUM(M104,M105,M106,M107)/I103, 2),0)</f>
        <v>1046.53</v>
      </c>
      <c r="K103" s="15">
        <v>1655</v>
      </c>
      <c r="L103" s="14">
        <f>J103+ROUND(K103, 2)</f>
        <v>2701.5299999999997</v>
      </c>
      <c r="M103" s="14">
        <f>ROUND(J103*I103, 2)</f>
        <v>388157.98</v>
      </c>
      <c r="N103" s="14">
        <f>ROUND(I103*ROUND(K103, 2), 2)</f>
        <v>613839.5</v>
      </c>
      <c r="O103" s="14">
        <f>M103+N103</f>
        <v>1001997.48</v>
      </c>
      <c r="P103" s="14">
        <f>IFERROR(ROUND(SUM(S104,S105,S106,S107)/I103, 2),0)</f>
        <v>1046.53</v>
      </c>
      <c r="Q103" s="15">
        <v>1655</v>
      </c>
      <c r="R103" s="14">
        <f>P103+ROUND(Q103, 2)</f>
        <v>2701.5299999999997</v>
      </c>
      <c r="S103" s="14">
        <f>ROUND(P103*I103, 2)</f>
        <v>388157.98</v>
      </c>
      <c r="T103" s="14">
        <f>ROUND(I103*ROUND(Q103, 2), 2)</f>
        <v>613839.5</v>
      </c>
      <c r="U103" s="14">
        <f>S103+T103</f>
        <v>1001997.48</v>
      </c>
      <c r="V103" s="9">
        <f>ROUND(P103 / 1.2, 2)</f>
        <v>872.11</v>
      </c>
      <c r="W103" s="9">
        <f>ROUND(Q103 / 1.2, 2)</f>
        <v>1379.17</v>
      </c>
      <c r="X103" s="9">
        <f>ROUND(R103 / 1.2, 2)</f>
        <v>2251.2800000000002</v>
      </c>
      <c r="Y103" s="9">
        <f t="shared" si="7"/>
        <v>323464.98</v>
      </c>
      <c r="Z103" s="9">
        <f>ROUND(T103 / 1.2, 2)</f>
        <v>511532.92</v>
      </c>
      <c r="AA103" s="9">
        <f>Y103+Z103</f>
        <v>834997.89999999991</v>
      </c>
      <c r="AD103" s="4">
        <v>282588946</v>
      </c>
      <c r="AE103" s="4">
        <v>20317965</v>
      </c>
      <c r="AG103" s="4" t="s">
        <v>418</v>
      </c>
      <c r="AH103" s="4" t="s">
        <v>419</v>
      </c>
      <c r="AI103" s="4" t="s">
        <v>170</v>
      </c>
    </row>
    <row r="104" spans="1:35" ht="37.5" x14ac:dyDescent="0.25">
      <c r="A104" s="10" t="s">
        <v>420</v>
      </c>
      <c r="B104" s="10"/>
      <c r="C104" s="21" t="s">
        <v>421</v>
      </c>
      <c r="D104" s="12"/>
      <c r="E104" s="12"/>
      <c r="F104" s="17" t="s">
        <v>173</v>
      </c>
      <c r="G104" s="18">
        <v>7</v>
      </c>
      <c r="H104" s="18"/>
      <c r="I104" s="18">
        <v>2596.3000000000002</v>
      </c>
      <c r="J104" s="19">
        <v>16.96</v>
      </c>
      <c r="M104" s="20">
        <f>ROUND(ROUND(J104, 2)*I104, 2)</f>
        <v>44033.25</v>
      </c>
      <c r="P104" s="19">
        <v>16.96</v>
      </c>
      <c r="S104" s="20">
        <f>ROUND(ROUND(P104, 2)*I104, 2)</f>
        <v>44033.25</v>
      </c>
      <c r="V104" s="9">
        <f>ROUND(ROUND(P104, 2)/1.2, 2)</f>
        <v>14.13</v>
      </c>
      <c r="Y104" s="9">
        <f t="shared" si="7"/>
        <v>36694.379999999997</v>
      </c>
      <c r="AD104" s="4" t="s">
        <v>422</v>
      </c>
      <c r="AE104" s="4" t="s">
        <v>423</v>
      </c>
      <c r="AF104" s="4" t="s">
        <v>424</v>
      </c>
    </row>
    <row r="105" spans="1:35" ht="56.25" x14ac:dyDescent="0.25">
      <c r="A105" s="10" t="s">
        <v>425</v>
      </c>
      <c r="B105" s="10"/>
      <c r="C105" s="16" t="s">
        <v>426</v>
      </c>
      <c r="D105" s="12"/>
      <c r="E105" s="12" t="s">
        <v>427</v>
      </c>
      <c r="F105" s="17" t="s">
        <v>59</v>
      </c>
      <c r="G105" s="18">
        <v>1.07</v>
      </c>
      <c r="H105" s="22"/>
      <c r="I105" s="22">
        <v>396.863</v>
      </c>
      <c r="J105" s="19">
        <v>845.25</v>
      </c>
      <c r="M105" s="20">
        <f>ROUND(ROUND(J105, 2)*I105, 2)</f>
        <v>335448.45</v>
      </c>
      <c r="P105" s="19">
        <v>845.25</v>
      </c>
      <c r="S105" s="20">
        <f>ROUND(ROUND(P105, 2)*I105, 2)</f>
        <v>335448.45</v>
      </c>
      <c r="V105" s="9">
        <f>ROUND(ROUND(P105, 2)/1.2, 2)</f>
        <v>704.38</v>
      </c>
      <c r="Y105" s="9">
        <f t="shared" ref="Y105:Y137" si="8">ROUND(S105 / 1.2, 2)</f>
        <v>279540.38</v>
      </c>
      <c r="AD105" s="4" t="s">
        <v>428</v>
      </c>
      <c r="AE105" s="4" t="s">
        <v>429</v>
      </c>
      <c r="AF105" s="4" t="s">
        <v>430</v>
      </c>
    </row>
    <row r="106" spans="1:35" ht="37.5" x14ac:dyDescent="0.25">
      <c r="A106" s="10" t="s">
        <v>431</v>
      </c>
      <c r="B106" s="10"/>
      <c r="C106" s="16" t="s">
        <v>432</v>
      </c>
      <c r="D106" s="12"/>
      <c r="E106" s="12"/>
      <c r="F106" s="17" t="s">
        <v>173</v>
      </c>
      <c r="G106" s="18">
        <v>0.25</v>
      </c>
      <c r="H106" s="22"/>
      <c r="I106" s="22">
        <v>92.724999999999994</v>
      </c>
      <c r="J106" s="19">
        <v>40.270000000000003</v>
      </c>
      <c r="M106" s="20">
        <f>ROUND(ROUND(J106, 2)*I106, 2)</f>
        <v>3734.04</v>
      </c>
      <c r="P106" s="19">
        <v>40.270000000000003</v>
      </c>
      <c r="S106" s="20">
        <f>ROUND(ROUND(P106, 2)*I106, 2)</f>
        <v>3734.04</v>
      </c>
      <c r="V106" s="9">
        <f>ROUND(ROUND(P106, 2)/1.2, 2)</f>
        <v>33.56</v>
      </c>
      <c r="Y106" s="9">
        <f t="shared" si="8"/>
        <v>3111.7</v>
      </c>
      <c r="AD106" s="4" t="s">
        <v>433</v>
      </c>
      <c r="AE106" s="4" t="s">
        <v>434</v>
      </c>
      <c r="AF106" s="4" t="s">
        <v>435</v>
      </c>
    </row>
    <row r="107" spans="1:35" ht="37.5" x14ac:dyDescent="0.25">
      <c r="A107" s="10" t="s">
        <v>436</v>
      </c>
      <c r="B107" s="10"/>
      <c r="C107" s="16" t="s">
        <v>383</v>
      </c>
      <c r="D107" s="12"/>
      <c r="E107" s="12"/>
      <c r="F107" s="17" t="s">
        <v>173</v>
      </c>
      <c r="G107" s="18">
        <v>0.15</v>
      </c>
      <c r="H107" s="18"/>
      <c r="I107" s="18">
        <v>55.634999999999998</v>
      </c>
      <c r="J107" s="19">
        <v>88.8</v>
      </c>
      <c r="M107" s="20">
        <f>ROUND(ROUND(J107, 2)*I107, 2)</f>
        <v>4940.3900000000003</v>
      </c>
      <c r="P107" s="19">
        <v>88.8</v>
      </c>
      <c r="S107" s="20">
        <f>ROUND(ROUND(P107, 2)*I107, 2)</f>
        <v>4940.3900000000003</v>
      </c>
      <c r="V107" s="9">
        <f>ROUND(ROUND(P107, 2)/1.2, 2)</f>
        <v>74</v>
      </c>
      <c r="Y107" s="9">
        <f t="shared" si="8"/>
        <v>4116.99</v>
      </c>
      <c r="AD107" s="4" t="s">
        <v>437</v>
      </c>
      <c r="AE107" s="4" t="s">
        <v>438</v>
      </c>
      <c r="AF107" s="4" t="s">
        <v>386</v>
      </c>
    </row>
    <row r="108" spans="1:35" ht="56.25" x14ac:dyDescent="0.25">
      <c r="A108" s="10" t="s">
        <v>439</v>
      </c>
      <c r="B108" s="10" t="s">
        <v>440</v>
      </c>
      <c r="C108" s="11" t="s">
        <v>441</v>
      </c>
      <c r="D108" s="12"/>
      <c r="E108" s="12" t="s">
        <v>442</v>
      </c>
      <c r="F108" s="12" t="s">
        <v>59</v>
      </c>
      <c r="G108" s="13">
        <v>1</v>
      </c>
      <c r="H108" s="13"/>
      <c r="I108" s="13">
        <v>1132.5</v>
      </c>
      <c r="J108" s="14">
        <f>IFERROR(ROUND(SUM(M109,M110,M111,M112)/I108, 2),0)</f>
        <v>2469.2399999999998</v>
      </c>
      <c r="K108" s="15">
        <v>2785</v>
      </c>
      <c r="L108" s="14">
        <f>J108+ROUND(K108, 2)</f>
        <v>5254.24</v>
      </c>
      <c r="M108" s="14">
        <f>ROUND(J108*I108, 2)</f>
        <v>2796414.3</v>
      </c>
      <c r="N108" s="14">
        <f>ROUND(I108*ROUND(K108, 2), 2)</f>
        <v>3154012.5</v>
      </c>
      <c r="O108" s="14">
        <f>M108+N108</f>
        <v>5950426.7999999998</v>
      </c>
      <c r="P108" s="14">
        <f>IFERROR(ROUND(SUM(S109,S110,S111,S112)/I108, 2),0)</f>
        <v>2064.9</v>
      </c>
      <c r="Q108" s="15">
        <v>2785</v>
      </c>
      <c r="R108" s="14">
        <f>P108+ROUND(Q108, 2)</f>
        <v>4849.8999999999996</v>
      </c>
      <c r="S108" s="14">
        <f>ROUND(P108*I108, 2)</f>
        <v>2338499.25</v>
      </c>
      <c r="T108" s="14">
        <f>ROUND(I108*ROUND(Q108, 2), 2)</f>
        <v>3154012.5</v>
      </c>
      <c r="U108" s="14">
        <f>S108+T108</f>
        <v>5492511.75</v>
      </c>
      <c r="V108" s="9">
        <f>ROUND(P108 / 1.2, 2)</f>
        <v>1720.75</v>
      </c>
      <c r="W108" s="9">
        <f>ROUND(Q108 / 1.2, 2)</f>
        <v>2320.83</v>
      </c>
      <c r="X108" s="9">
        <f>ROUND(R108 / 1.2, 2)</f>
        <v>4041.58</v>
      </c>
      <c r="Y108" s="9">
        <f t="shared" si="8"/>
        <v>1948749.38</v>
      </c>
      <c r="Z108" s="9">
        <f>ROUND(T108 / 1.2, 2)</f>
        <v>2628343.75</v>
      </c>
      <c r="AA108" s="9">
        <f>Y108+Z108</f>
        <v>4577093.13</v>
      </c>
      <c r="AD108" s="4">
        <v>282588947</v>
      </c>
      <c r="AE108" s="4">
        <v>20317960</v>
      </c>
      <c r="AG108" s="4" t="s">
        <v>443</v>
      </c>
      <c r="AH108" s="4" t="s">
        <v>444</v>
      </c>
      <c r="AI108" s="4" t="s">
        <v>170</v>
      </c>
    </row>
    <row r="109" spans="1:35" ht="37.5" x14ac:dyDescent="0.25">
      <c r="A109" s="10" t="s">
        <v>445</v>
      </c>
      <c r="B109" s="10"/>
      <c r="C109" s="21" t="s">
        <v>446</v>
      </c>
      <c r="D109" s="12"/>
      <c r="E109" s="12"/>
      <c r="F109" s="17" t="s">
        <v>173</v>
      </c>
      <c r="G109" s="18">
        <v>1.2</v>
      </c>
      <c r="H109" s="22"/>
      <c r="I109" s="22">
        <v>1359</v>
      </c>
      <c r="J109" s="19">
        <v>16.96</v>
      </c>
      <c r="M109" s="20">
        <f>ROUND(ROUND(J109, 2)*I109, 2)</f>
        <v>23048.639999999999</v>
      </c>
      <c r="P109" s="19">
        <v>16.96</v>
      </c>
      <c r="S109" s="20">
        <f>ROUND(ROUND(P109, 2)*I109, 2)</f>
        <v>23048.639999999999</v>
      </c>
      <c r="V109" s="9">
        <f>ROUND(ROUND(P109, 2)/1.2, 2)</f>
        <v>14.13</v>
      </c>
      <c r="Y109" s="9">
        <f t="shared" si="8"/>
        <v>19207.2</v>
      </c>
      <c r="AD109" s="4" t="s">
        <v>447</v>
      </c>
      <c r="AE109" s="4" t="s">
        <v>448</v>
      </c>
      <c r="AF109" s="4" t="s">
        <v>449</v>
      </c>
    </row>
    <row r="110" spans="1:35" ht="56.25" x14ac:dyDescent="0.25">
      <c r="A110" s="10" t="s">
        <v>450</v>
      </c>
      <c r="B110" s="10"/>
      <c r="C110" s="16" t="s">
        <v>451</v>
      </c>
      <c r="D110" s="12"/>
      <c r="E110" s="12" t="s">
        <v>452</v>
      </c>
      <c r="F110" s="17" t="s">
        <v>59</v>
      </c>
      <c r="G110" s="18">
        <v>1.2</v>
      </c>
      <c r="H110" s="22"/>
      <c r="I110" s="22">
        <v>1359</v>
      </c>
      <c r="J110" s="19">
        <v>2021.25</v>
      </c>
      <c r="M110" s="20">
        <f>ROUND(ROUND(J110, 2)*I110, 2)</f>
        <v>2746878.75</v>
      </c>
      <c r="P110" s="19">
        <v>1684.3</v>
      </c>
      <c r="S110" s="20">
        <f>ROUND(ROUND(P110, 2)*I110, 2)</f>
        <v>2288963.7000000002</v>
      </c>
      <c r="V110" s="9">
        <f>ROUND(ROUND(P110, 2)/1.2, 2)</f>
        <v>1403.58</v>
      </c>
      <c r="Y110" s="9">
        <f t="shared" si="8"/>
        <v>1907469.75</v>
      </c>
      <c r="AD110" s="4" t="s">
        <v>453</v>
      </c>
      <c r="AE110" s="4" t="s">
        <v>454</v>
      </c>
      <c r="AF110" s="4" t="s">
        <v>455</v>
      </c>
    </row>
    <row r="111" spans="1:35" ht="37.5" x14ac:dyDescent="0.25">
      <c r="A111" s="10" t="s">
        <v>456</v>
      </c>
      <c r="B111" s="10"/>
      <c r="C111" s="16" t="s">
        <v>432</v>
      </c>
      <c r="D111" s="12"/>
      <c r="E111" s="12"/>
      <c r="F111" s="17" t="s">
        <v>173</v>
      </c>
      <c r="G111" s="18">
        <v>0.25</v>
      </c>
      <c r="H111" s="22"/>
      <c r="I111" s="22">
        <v>283.125</v>
      </c>
      <c r="J111" s="19">
        <v>40.270000000000003</v>
      </c>
      <c r="M111" s="20">
        <f>ROUND(ROUND(J111, 2)*I111, 2)</f>
        <v>11401.44</v>
      </c>
      <c r="P111" s="19">
        <v>40.270000000000003</v>
      </c>
      <c r="S111" s="20">
        <f>ROUND(ROUND(P111, 2)*I111, 2)</f>
        <v>11401.44</v>
      </c>
      <c r="V111" s="9">
        <f>ROUND(ROUND(P111, 2)/1.2, 2)</f>
        <v>33.56</v>
      </c>
      <c r="Y111" s="9">
        <f t="shared" si="8"/>
        <v>9501.2000000000007</v>
      </c>
      <c r="AD111" s="4" t="s">
        <v>457</v>
      </c>
      <c r="AE111" s="4" t="s">
        <v>458</v>
      </c>
      <c r="AF111" s="4" t="s">
        <v>435</v>
      </c>
    </row>
    <row r="112" spans="1:35" ht="37.5" x14ac:dyDescent="0.25">
      <c r="A112" s="10" t="s">
        <v>459</v>
      </c>
      <c r="B112" s="10"/>
      <c r="C112" s="16" t="s">
        <v>383</v>
      </c>
      <c r="D112" s="12"/>
      <c r="E112" s="12"/>
      <c r="F112" s="17" t="s">
        <v>173</v>
      </c>
      <c r="G112" s="18">
        <v>0.15</v>
      </c>
      <c r="H112" s="18"/>
      <c r="I112" s="18">
        <v>169.875</v>
      </c>
      <c r="J112" s="19">
        <v>88.8</v>
      </c>
      <c r="M112" s="20">
        <f>ROUND(ROUND(J112, 2)*I112, 2)</f>
        <v>15084.9</v>
      </c>
      <c r="P112" s="19">
        <v>88.8</v>
      </c>
      <c r="S112" s="20">
        <f>ROUND(ROUND(P112, 2)*I112, 2)</f>
        <v>15084.9</v>
      </c>
      <c r="V112" s="9">
        <f>ROUND(ROUND(P112, 2)/1.2, 2)</f>
        <v>74</v>
      </c>
      <c r="Y112" s="9">
        <f t="shared" si="8"/>
        <v>12570.75</v>
      </c>
      <c r="AD112" s="4" t="s">
        <v>460</v>
      </c>
      <c r="AE112" s="4" t="s">
        <v>461</v>
      </c>
      <c r="AF112" s="4" t="s">
        <v>386</v>
      </c>
    </row>
    <row r="113" spans="1:35" ht="56.25" x14ac:dyDescent="0.25">
      <c r="A113" s="10" t="s">
        <v>462</v>
      </c>
      <c r="B113" s="10" t="s">
        <v>440</v>
      </c>
      <c r="C113" s="11" t="s">
        <v>441</v>
      </c>
      <c r="D113" s="12"/>
      <c r="E113" s="12" t="s">
        <v>463</v>
      </c>
      <c r="F113" s="12" t="s">
        <v>59</v>
      </c>
      <c r="G113" s="13">
        <v>1</v>
      </c>
      <c r="H113" s="13"/>
      <c r="I113" s="13">
        <v>31.2</v>
      </c>
      <c r="J113" s="14">
        <f>IFERROR(ROUND(SUM(M114,M115,M116,M117)/I113, 2),0)</f>
        <v>2469.2399999999998</v>
      </c>
      <c r="K113" s="15">
        <v>2785</v>
      </c>
      <c r="L113" s="14">
        <f>J113+ROUND(K113, 2)</f>
        <v>5254.24</v>
      </c>
      <c r="M113" s="14">
        <f>ROUND(J113*I113, 2)</f>
        <v>77040.289999999994</v>
      </c>
      <c r="N113" s="14">
        <f>ROUND(I113*ROUND(K113, 2), 2)</f>
        <v>86892</v>
      </c>
      <c r="O113" s="14">
        <f>M113+N113</f>
        <v>163932.28999999998</v>
      </c>
      <c r="P113" s="14">
        <f>IFERROR(ROUND(SUM(S114,S115,S116,S117)/I113, 2),0)</f>
        <v>2054.6999999999998</v>
      </c>
      <c r="Q113" s="15">
        <v>2785</v>
      </c>
      <c r="R113" s="14">
        <f>P113+ROUND(Q113, 2)</f>
        <v>4839.7</v>
      </c>
      <c r="S113" s="14">
        <f>ROUND(P113*I113, 2)</f>
        <v>64106.64</v>
      </c>
      <c r="T113" s="14">
        <f>ROUND(I113*ROUND(Q113, 2), 2)</f>
        <v>86892</v>
      </c>
      <c r="U113" s="14">
        <f>S113+T113</f>
        <v>150998.64000000001</v>
      </c>
      <c r="V113" s="9">
        <f>ROUND(P113 / 1.2, 2)</f>
        <v>1712.25</v>
      </c>
      <c r="W113" s="9">
        <f>ROUND(Q113 / 1.2, 2)</f>
        <v>2320.83</v>
      </c>
      <c r="X113" s="9">
        <f>ROUND(R113 / 1.2, 2)</f>
        <v>4033.08</v>
      </c>
      <c r="Y113" s="9">
        <f t="shared" si="8"/>
        <v>53422.2</v>
      </c>
      <c r="Z113" s="9">
        <f>ROUND(T113 / 1.2, 2)</f>
        <v>72410</v>
      </c>
      <c r="AA113" s="9">
        <f>Y113+Z113</f>
        <v>125832.2</v>
      </c>
      <c r="AD113" s="4">
        <v>282588998</v>
      </c>
      <c r="AE113" s="4">
        <v>20317962</v>
      </c>
      <c r="AG113" s="4" t="s">
        <v>443</v>
      </c>
      <c r="AH113" s="4" t="s">
        <v>444</v>
      </c>
      <c r="AI113" s="4" t="s">
        <v>170</v>
      </c>
    </row>
    <row r="114" spans="1:35" ht="37.5" x14ac:dyDescent="0.25">
      <c r="A114" s="10" t="s">
        <v>464</v>
      </c>
      <c r="B114" s="10"/>
      <c r="C114" s="16" t="s">
        <v>383</v>
      </c>
      <c r="D114" s="12"/>
      <c r="E114" s="12"/>
      <c r="F114" s="17" t="s">
        <v>173</v>
      </c>
      <c r="G114" s="18">
        <v>0.15</v>
      </c>
      <c r="H114" s="18"/>
      <c r="I114" s="18">
        <v>4.68</v>
      </c>
      <c r="J114" s="19">
        <v>88.8</v>
      </c>
      <c r="M114" s="20">
        <f>ROUND(ROUND(J114, 2)*I114, 2)</f>
        <v>415.58</v>
      </c>
      <c r="P114" s="19">
        <v>88.8</v>
      </c>
      <c r="S114" s="20">
        <f>ROUND(ROUND(P114, 2)*I114, 2)</f>
        <v>415.58</v>
      </c>
      <c r="V114" s="9">
        <f>ROUND(ROUND(P114, 2)/1.2, 2)</f>
        <v>74</v>
      </c>
      <c r="Y114" s="9">
        <f t="shared" si="8"/>
        <v>346.32</v>
      </c>
      <c r="AD114" s="4" t="s">
        <v>465</v>
      </c>
      <c r="AE114" s="4" t="s">
        <v>466</v>
      </c>
      <c r="AF114" s="4" t="s">
        <v>386</v>
      </c>
    </row>
    <row r="115" spans="1:35" ht="37.5" x14ac:dyDescent="0.25">
      <c r="A115" s="10" t="s">
        <v>467</v>
      </c>
      <c r="B115" s="10"/>
      <c r="C115" s="16" t="s">
        <v>432</v>
      </c>
      <c r="D115" s="12"/>
      <c r="E115" s="12"/>
      <c r="F115" s="17" t="s">
        <v>173</v>
      </c>
      <c r="G115" s="18">
        <v>0.25</v>
      </c>
      <c r="H115" s="22"/>
      <c r="I115" s="22">
        <v>7.8</v>
      </c>
      <c r="J115" s="19">
        <v>40.270000000000003</v>
      </c>
      <c r="M115" s="20">
        <f>ROUND(ROUND(J115, 2)*I115, 2)</f>
        <v>314.11</v>
      </c>
      <c r="P115" s="19">
        <v>40.270000000000003</v>
      </c>
      <c r="S115" s="20">
        <f>ROUND(ROUND(P115, 2)*I115, 2)</f>
        <v>314.11</v>
      </c>
      <c r="V115" s="9">
        <f>ROUND(ROUND(P115, 2)/1.2, 2)</f>
        <v>33.56</v>
      </c>
      <c r="Y115" s="9">
        <f t="shared" si="8"/>
        <v>261.76</v>
      </c>
      <c r="AD115" s="4" t="s">
        <v>468</v>
      </c>
      <c r="AE115" s="4" t="s">
        <v>469</v>
      </c>
      <c r="AF115" s="4" t="s">
        <v>435</v>
      </c>
    </row>
    <row r="116" spans="1:35" ht="56.25" x14ac:dyDescent="0.25">
      <c r="A116" s="10" t="s">
        <v>470</v>
      </c>
      <c r="B116" s="10"/>
      <c r="C116" s="16" t="s">
        <v>451</v>
      </c>
      <c r="D116" s="12"/>
      <c r="E116" s="12" t="s">
        <v>471</v>
      </c>
      <c r="F116" s="17" t="s">
        <v>59</v>
      </c>
      <c r="G116" s="18">
        <v>1.2</v>
      </c>
      <c r="H116" s="22"/>
      <c r="I116" s="22">
        <v>37.44</v>
      </c>
      <c r="J116" s="19">
        <v>2021.25</v>
      </c>
      <c r="M116" s="20">
        <f>ROUND(ROUND(J116, 2)*I116, 2)</f>
        <v>75675.600000000006</v>
      </c>
      <c r="P116" s="19">
        <v>1675.8</v>
      </c>
      <c r="S116" s="20">
        <f>ROUND(ROUND(P116, 2)*I116, 2)</f>
        <v>62741.95</v>
      </c>
      <c r="V116" s="9">
        <f>ROUND(ROUND(P116, 2)/1.2, 2)</f>
        <v>1396.5</v>
      </c>
      <c r="Y116" s="9">
        <f t="shared" si="8"/>
        <v>52284.959999999999</v>
      </c>
      <c r="AD116" s="4" t="s">
        <v>472</v>
      </c>
      <c r="AE116" s="4" t="s">
        <v>473</v>
      </c>
      <c r="AF116" s="4" t="s">
        <v>455</v>
      </c>
    </row>
    <row r="117" spans="1:35" ht="37.5" x14ac:dyDescent="0.25">
      <c r="A117" s="10" t="s">
        <v>474</v>
      </c>
      <c r="B117" s="10"/>
      <c r="C117" s="21" t="s">
        <v>446</v>
      </c>
      <c r="D117" s="12"/>
      <c r="E117" s="12"/>
      <c r="F117" s="17" t="s">
        <v>173</v>
      </c>
      <c r="G117" s="18">
        <v>1.2</v>
      </c>
      <c r="H117" s="22"/>
      <c r="I117" s="22">
        <v>37.44</v>
      </c>
      <c r="J117" s="19">
        <v>16.96</v>
      </c>
      <c r="M117" s="20">
        <f>ROUND(ROUND(J117, 2)*I117, 2)</f>
        <v>634.98</v>
      </c>
      <c r="P117" s="19">
        <v>16.96</v>
      </c>
      <c r="S117" s="20">
        <f>ROUND(ROUND(P117, 2)*I117, 2)</f>
        <v>634.98</v>
      </c>
      <c r="V117" s="9">
        <f>ROUND(ROUND(P117, 2)/1.2, 2)</f>
        <v>14.13</v>
      </c>
      <c r="Y117" s="9">
        <f t="shared" si="8"/>
        <v>529.15</v>
      </c>
      <c r="AD117" s="4" t="s">
        <v>475</v>
      </c>
      <c r="AE117" s="4" t="s">
        <v>476</v>
      </c>
      <c r="AF117" s="4" t="s">
        <v>449</v>
      </c>
    </row>
    <row r="118" spans="1:35" ht="56.25" x14ac:dyDescent="0.25">
      <c r="A118" s="10" t="s">
        <v>477</v>
      </c>
      <c r="B118" s="10" t="s">
        <v>440</v>
      </c>
      <c r="C118" s="11" t="s">
        <v>441</v>
      </c>
      <c r="D118" s="12"/>
      <c r="E118" s="12" t="s">
        <v>478</v>
      </c>
      <c r="F118" s="12" t="s">
        <v>59</v>
      </c>
      <c r="G118" s="13">
        <v>1</v>
      </c>
      <c r="H118" s="13"/>
      <c r="I118" s="13">
        <v>560.4</v>
      </c>
      <c r="J118" s="14">
        <f>IFERROR(ROUND(SUM(M119,M120,M121,M122)/I118, 2),0)</f>
        <v>2469.2399999999998</v>
      </c>
      <c r="K118" s="15">
        <v>2785</v>
      </c>
      <c r="L118" s="14">
        <f>J118+ROUND(K118, 2)</f>
        <v>5254.24</v>
      </c>
      <c r="M118" s="14">
        <f>ROUND(J118*I118, 2)</f>
        <v>1383762.1</v>
      </c>
      <c r="N118" s="14">
        <f>ROUND(I118*ROUND(K118, 2), 2)</f>
        <v>1560714</v>
      </c>
      <c r="O118" s="14">
        <f>M118+N118</f>
        <v>2944476.1</v>
      </c>
      <c r="P118" s="14">
        <f>IFERROR(ROUND(SUM(S119,S120,S121,S122)/I118, 2),0)</f>
        <v>1990.74</v>
      </c>
      <c r="Q118" s="15">
        <v>2785</v>
      </c>
      <c r="R118" s="14">
        <f>P118+ROUND(Q118, 2)</f>
        <v>4775.74</v>
      </c>
      <c r="S118" s="14">
        <f>ROUND(P118*I118, 2)</f>
        <v>1115610.7</v>
      </c>
      <c r="T118" s="14">
        <f>ROUND(I118*ROUND(Q118, 2), 2)</f>
        <v>1560714</v>
      </c>
      <c r="U118" s="14">
        <f>S118+T118</f>
        <v>2676324.7000000002</v>
      </c>
      <c r="V118" s="9">
        <f>ROUND(P118 / 1.2, 2)</f>
        <v>1658.95</v>
      </c>
      <c r="W118" s="9">
        <f>ROUND(Q118 / 1.2, 2)</f>
        <v>2320.83</v>
      </c>
      <c r="X118" s="9">
        <f>ROUND(R118 / 1.2, 2)</f>
        <v>3979.78</v>
      </c>
      <c r="Y118" s="9">
        <f t="shared" si="8"/>
        <v>929675.58</v>
      </c>
      <c r="Z118" s="9">
        <f>ROUND(T118 / 1.2, 2)</f>
        <v>1300595</v>
      </c>
      <c r="AA118" s="9">
        <f>Y118+Z118</f>
        <v>2230270.58</v>
      </c>
      <c r="AD118" s="4">
        <v>282588999</v>
      </c>
      <c r="AE118" s="4">
        <v>20317963</v>
      </c>
      <c r="AG118" s="4" t="s">
        <v>443</v>
      </c>
      <c r="AH118" s="4" t="s">
        <v>444</v>
      </c>
      <c r="AI118" s="4" t="s">
        <v>170</v>
      </c>
    </row>
    <row r="119" spans="1:35" ht="37.5" x14ac:dyDescent="0.25">
      <c r="A119" s="10" t="s">
        <v>479</v>
      </c>
      <c r="B119" s="10"/>
      <c r="C119" s="21" t="s">
        <v>446</v>
      </c>
      <c r="D119" s="12"/>
      <c r="E119" s="12"/>
      <c r="F119" s="17" t="s">
        <v>173</v>
      </c>
      <c r="G119" s="18">
        <v>1.2</v>
      </c>
      <c r="H119" s="22"/>
      <c r="I119" s="22">
        <v>672.48</v>
      </c>
      <c r="J119" s="19">
        <v>16.96</v>
      </c>
      <c r="M119" s="20">
        <f>ROUND(ROUND(J119, 2)*I119, 2)</f>
        <v>11405.26</v>
      </c>
      <c r="P119" s="19">
        <v>16.96</v>
      </c>
      <c r="S119" s="20">
        <f>ROUND(ROUND(P119, 2)*I119, 2)</f>
        <v>11405.26</v>
      </c>
      <c r="V119" s="9">
        <f>ROUND(ROUND(P119, 2)/1.2, 2)</f>
        <v>14.13</v>
      </c>
      <c r="Y119" s="9">
        <f t="shared" si="8"/>
        <v>9504.3799999999992</v>
      </c>
      <c r="AD119" s="4" t="s">
        <v>480</v>
      </c>
      <c r="AE119" s="4" t="s">
        <v>481</v>
      </c>
      <c r="AF119" s="4" t="s">
        <v>449</v>
      </c>
    </row>
    <row r="120" spans="1:35" ht="56.25" x14ac:dyDescent="0.25">
      <c r="A120" s="10" t="s">
        <v>482</v>
      </c>
      <c r="B120" s="10"/>
      <c r="C120" s="16" t="s">
        <v>451</v>
      </c>
      <c r="D120" s="12"/>
      <c r="E120" s="12" t="s">
        <v>483</v>
      </c>
      <c r="F120" s="17" t="s">
        <v>59</v>
      </c>
      <c r="G120" s="18">
        <v>1.2</v>
      </c>
      <c r="H120" s="22"/>
      <c r="I120" s="22">
        <v>672.48</v>
      </c>
      <c r="J120" s="19">
        <v>2021.25</v>
      </c>
      <c r="M120" s="20">
        <f>ROUND(ROUND(J120, 2)*I120, 2)</f>
        <v>1359250.2</v>
      </c>
      <c r="P120" s="19">
        <v>1622.5</v>
      </c>
      <c r="S120" s="20">
        <f>ROUND(ROUND(P120, 2)*I120, 2)</f>
        <v>1091098.8</v>
      </c>
      <c r="V120" s="9">
        <f>ROUND(ROUND(P120, 2)/1.2, 2)</f>
        <v>1352.08</v>
      </c>
      <c r="Y120" s="9">
        <f t="shared" si="8"/>
        <v>909249</v>
      </c>
      <c r="AD120" s="4" t="s">
        <v>484</v>
      </c>
      <c r="AE120" s="4" t="s">
        <v>485</v>
      </c>
      <c r="AF120" s="4" t="s">
        <v>455</v>
      </c>
    </row>
    <row r="121" spans="1:35" ht="37.5" x14ac:dyDescent="0.25">
      <c r="A121" s="10" t="s">
        <v>486</v>
      </c>
      <c r="B121" s="10"/>
      <c r="C121" s="16" t="s">
        <v>432</v>
      </c>
      <c r="D121" s="12"/>
      <c r="E121" s="12"/>
      <c r="F121" s="17" t="s">
        <v>173</v>
      </c>
      <c r="G121" s="18">
        <v>0.25</v>
      </c>
      <c r="H121" s="22"/>
      <c r="I121" s="22">
        <v>140.1</v>
      </c>
      <c r="J121" s="19">
        <v>40.270000000000003</v>
      </c>
      <c r="M121" s="20">
        <f>ROUND(ROUND(J121, 2)*I121, 2)</f>
        <v>5641.83</v>
      </c>
      <c r="P121" s="19">
        <v>40.270000000000003</v>
      </c>
      <c r="S121" s="20">
        <f>ROUND(ROUND(P121, 2)*I121, 2)</f>
        <v>5641.83</v>
      </c>
      <c r="V121" s="9">
        <f>ROUND(ROUND(P121, 2)/1.2, 2)</f>
        <v>33.56</v>
      </c>
      <c r="Y121" s="9">
        <f t="shared" si="8"/>
        <v>4701.53</v>
      </c>
      <c r="AD121" s="4" t="s">
        <v>487</v>
      </c>
      <c r="AE121" s="4" t="s">
        <v>488</v>
      </c>
      <c r="AF121" s="4" t="s">
        <v>435</v>
      </c>
    </row>
    <row r="122" spans="1:35" ht="37.5" x14ac:dyDescent="0.25">
      <c r="A122" s="10" t="s">
        <v>489</v>
      </c>
      <c r="B122" s="10"/>
      <c r="C122" s="16" t="s">
        <v>383</v>
      </c>
      <c r="D122" s="12"/>
      <c r="E122" s="12"/>
      <c r="F122" s="17" t="s">
        <v>173</v>
      </c>
      <c r="G122" s="18">
        <v>0.15</v>
      </c>
      <c r="H122" s="18"/>
      <c r="I122" s="18">
        <v>84.06</v>
      </c>
      <c r="J122" s="19">
        <v>88.8</v>
      </c>
      <c r="M122" s="20">
        <f>ROUND(ROUND(J122, 2)*I122, 2)</f>
        <v>7464.53</v>
      </c>
      <c r="P122" s="19">
        <v>88.8</v>
      </c>
      <c r="S122" s="20">
        <f>ROUND(ROUND(P122, 2)*I122, 2)</f>
        <v>7464.53</v>
      </c>
      <c r="V122" s="9">
        <f>ROUND(ROUND(P122, 2)/1.2, 2)</f>
        <v>74</v>
      </c>
      <c r="Y122" s="9">
        <f t="shared" si="8"/>
        <v>6220.44</v>
      </c>
      <c r="AD122" s="4" t="s">
        <v>490</v>
      </c>
      <c r="AE122" s="4" t="s">
        <v>491</v>
      </c>
      <c r="AF122" s="4" t="s">
        <v>386</v>
      </c>
    </row>
    <row r="123" spans="1:35" ht="56.25" x14ac:dyDescent="0.25">
      <c r="A123" s="10" t="s">
        <v>492</v>
      </c>
      <c r="B123" s="10" t="s">
        <v>440</v>
      </c>
      <c r="C123" s="11" t="s">
        <v>441</v>
      </c>
      <c r="D123" s="12"/>
      <c r="E123" s="12" t="s">
        <v>493</v>
      </c>
      <c r="F123" s="12" t="s">
        <v>59</v>
      </c>
      <c r="G123" s="13">
        <v>1</v>
      </c>
      <c r="H123" s="13"/>
      <c r="I123" s="13">
        <v>28</v>
      </c>
      <c r="J123" s="14">
        <f>IFERROR(ROUND(SUM(M124,M125,M126,M127)/I123, 2),0)</f>
        <v>2469.2399999999998</v>
      </c>
      <c r="K123" s="15">
        <v>2785</v>
      </c>
      <c r="L123" s="14">
        <f>J123+ROUND(K123, 2)</f>
        <v>5254.24</v>
      </c>
      <c r="M123" s="14">
        <f>ROUND(J123*I123, 2)</f>
        <v>69138.720000000001</v>
      </c>
      <c r="N123" s="14">
        <f>ROUND(I123*ROUND(K123, 2), 2)</f>
        <v>77980</v>
      </c>
      <c r="O123" s="14">
        <f>M123+N123</f>
        <v>147118.72</v>
      </c>
      <c r="P123" s="14">
        <f>IFERROR(ROUND(SUM(S124,S125,S126,S127)/I123, 2),0)</f>
        <v>2075.46</v>
      </c>
      <c r="Q123" s="15">
        <v>2785</v>
      </c>
      <c r="R123" s="14">
        <f>P123+ROUND(Q123, 2)</f>
        <v>4860.46</v>
      </c>
      <c r="S123" s="14">
        <f>ROUND(P123*I123, 2)</f>
        <v>58112.88</v>
      </c>
      <c r="T123" s="14">
        <f>ROUND(I123*ROUND(Q123, 2), 2)</f>
        <v>77980</v>
      </c>
      <c r="U123" s="14">
        <f>S123+T123</f>
        <v>136092.88</v>
      </c>
      <c r="V123" s="9">
        <f>ROUND(P123 / 1.2, 2)</f>
        <v>1729.55</v>
      </c>
      <c r="W123" s="9">
        <f>ROUND(Q123 / 1.2, 2)</f>
        <v>2320.83</v>
      </c>
      <c r="X123" s="9">
        <f>ROUND(R123 / 1.2, 2)</f>
        <v>4050.38</v>
      </c>
      <c r="Y123" s="9">
        <f t="shared" si="8"/>
        <v>48427.4</v>
      </c>
      <c r="Z123" s="9">
        <f>ROUND(T123 / 1.2, 2)</f>
        <v>64983.33</v>
      </c>
      <c r="AA123" s="9">
        <f>Y123+Z123</f>
        <v>113410.73000000001</v>
      </c>
      <c r="AD123" s="4">
        <v>282589000</v>
      </c>
      <c r="AE123" s="4">
        <v>20317964</v>
      </c>
      <c r="AG123" s="4" t="s">
        <v>443</v>
      </c>
      <c r="AH123" s="4" t="s">
        <v>444</v>
      </c>
      <c r="AI123" s="4" t="s">
        <v>170</v>
      </c>
    </row>
    <row r="124" spans="1:35" ht="37.5" x14ac:dyDescent="0.25">
      <c r="A124" s="10" t="s">
        <v>494</v>
      </c>
      <c r="B124" s="10"/>
      <c r="C124" s="16" t="s">
        <v>383</v>
      </c>
      <c r="D124" s="12"/>
      <c r="E124" s="12"/>
      <c r="F124" s="17" t="s">
        <v>173</v>
      </c>
      <c r="G124" s="18">
        <v>0.15</v>
      </c>
      <c r="H124" s="18"/>
      <c r="I124" s="18">
        <v>4.2</v>
      </c>
      <c r="J124" s="19">
        <v>88.8</v>
      </c>
      <c r="M124" s="20">
        <f>ROUND(ROUND(J124, 2)*I124, 2)</f>
        <v>372.96</v>
      </c>
      <c r="P124" s="19">
        <v>88.8</v>
      </c>
      <c r="S124" s="20">
        <f>ROUND(ROUND(P124, 2)*I124, 2)</f>
        <v>372.96</v>
      </c>
      <c r="V124" s="9">
        <f>ROUND(ROUND(P124, 2)/1.2, 2)</f>
        <v>74</v>
      </c>
      <c r="Y124" s="9">
        <f t="shared" si="8"/>
        <v>310.8</v>
      </c>
      <c r="AD124" s="4" t="s">
        <v>495</v>
      </c>
      <c r="AE124" s="4" t="s">
        <v>496</v>
      </c>
      <c r="AF124" s="4" t="s">
        <v>386</v>
      </c>
    </row>
    <row r="125" spans="1:35" ht="37.5" x14ac:dyDescent="0.25">
      <c r="A125" s="10" t="s">
        <v>497</v>
      </c>
      <c r="B125" s="10"/>
      <c r="C125" s="16" t="s">
        <v>432</v>
      </c>
      <c r="D125" s="12"/>
      <c r="E125" s="12"/>
      <c r="F125" s="17" t="s">
        <v>173</v>
      </c>
      <c r="G125" s="18">
        <v>0.25</v>
      </c>
      <c r="H125" s="22"/>
      <c r="I125" s="22">
        <v>7</v>
      </c>
      <c r="J125" s="19">
        <v>40.270000000000003</v>
      </c>
      <c r="M125" s="20">
        <f>ROUND(ROUND(J125, 2)*I125, 2)</f>
        <v>281.89</v>
      </c>
      <c r="P125" s="19">
        <v>40.270000000000003</v>
      </c>
      <c r="S125" s="20">
        <f>ROUND(ROUND(P125, 2)*I125, 2)</f>
        <v>281.89</v>
      </c>
      <c r="V125" s="9">
        <f>ROUND(ROUND(P125, 2)/1.2, 2)</f>
        <v>33.56</v>
      </c>
      <c r="Y125" s="9">
        <f t="shared" si="8"/>
        <v>234.91</v>
      </c>
      <c r="AD125" s="4" t="s">
        <v>498</v>
      </c>
      <c r="AE125" s="4" t="s">
        <v>499</v>
      </c>
      <c r="AF125" s="4" t="s">
        <v>435</v>
      </c>
    </row>
    <row r="126" spans="1:35" ht="56.25" x14ac:dyDescent="0.25">
      <c r="A126" s="10" t="s">
        <v>500</v>
      </c>
      <c r="B126" s="10"/>
      <c r="C126" s="16" t="s">
        <v>451</v>
      </c>
      <c r="D126" s="12"/>
      <c r="E126" s="12" t="s">
        <v>501</v>
      </c>
      <c r="F126" s="17" t="s">
        <v>59</v>
      </c>
      <c r="G126" s="18">
        <v>1.2</v>
      </c>
      <c r="H126" s="22"/>
      <c r="I126" s="22">
        <v>33.6</v>
      </c>
      <c r="J126" s="19">
        <v>2021.25</v>
      </c>
      <c r="M126" s="20">
        <f>ROUND(ROUND(J126, 2)*I126, 2)</f>
        <v>67914</v>
      </c>
      <c r="P126" s="19">
        <v>1693.1</v>
      </c>
      <c r="S126" s="20">
        <f>ROUND(ROUND(P126, 2)*I126, 2)</f>
        <v>56888.160000000003</v>
      </c>
      <c r="V126" s="9">
        <f>ROUND(ROUND(P126, 2)/1.2, 2)</f>
        <v>1410.92</v>
      </c>
      <c r="Y126" s="9">
        <f t="shared" si="8"/>
        <v>47406.8</v>
      </c>
      <c r="AD126" s="4" t="s">
        <v>502</v>
      </c>
      <c r="AE126" s="4" t="s">
        <v>503</v>
      </c>
      <c r="AF126" s="4" t="s">
        <v>455</v>
      </c>
    </row>
    <row r="127" spans="1:35" ht="37.5" x14ac:dyDescent="0.25">
      <c r="A127" s="10" t="s">
        <v>504</v>
      </c>
      <c r="B127" s="10"/>
      <c r="C127" s="21" t="s">
        <v>446</v>
      </c>
      <c r="D127" s="12"/>
      <c r="E127" s="12"/>
      <c r="F127" s="17" t="s">
        <v>173</v>
      </c>
      <c r="G127" s="18">
        <v>1.2</v>
      </c>
      <c r="H127" s="22"/>
      <c r="I127" s="22">
        <v>33.6</v>
      </c>
      <c r="J127" s="19">
        <v>16.96</v>
      </c>
      <c r="M127" s="20">
        <f>ROUND(ROUND(J127, 2)*I127, 2)</f>
        <v>569.86</v>
      </c>
      <c r="P127" s="19">
        <v>16.96</v>
      </c>
      <c r="S127" s="20">
        <f>ROUND(ROUND(P127, 2)*I127, 2)</f>
        <v>569.86</v>
      </c>
      <c r="V127" s="9">
        <f>ROUND(ROUND(P127, 2)/1.2, 2)</f>
        <v>14.13</v>
      </c>
      <c r="Y127" s="9">
        <f t="shared" si="8"/>
        <v>474.88</v>
      </c>
      <c r="AD127" s="4" t="s">
        <v>505</v>
      </c>
      <c r="AE127" s="4" t="s">
        <v>506</v>
      </c>
      <c r="AF127" s="4" t="s">
        <v>449</v>
      </c>
    </row>
    <row r="128" spans="1:35" ht="56.25" x14ac:dyDescent="0.25">
      <c r="A128" s="10" t="s">
        <v>507</v>
      </c>
      <c r="B128" s="10" t="s">
        <v>440</v>
      </c>
      <c r="C128" s="11" t="s">
        <v>441</v>
      </c>
      <c r="D128" s="12"/>
      <c r="E128" s="12" t="s">
        <v>508</v>
      </c>
      <c r="F128" s="12" t="s">
        <v>59</v>
      </c>
      <c r="G128" s="13">
        <v>1</v>
      </c>
      <c r="H128" s="13"/>
      <c r="I128" s="13">
        <v>207.1</v>
      </c>
      <c r="J128" s="14">
        <f>IFERROR(ROUND(SUM(M129,M130,M131,M132)/I128, 2),0)</f>
        <v>2469.2399999999998</v>
      </c>
      <c r="K128" s="15">
        <v>2785</v>
      </c>
      <c r="L128" s="14">
        <f>J128+ROUND(K128, 2)</f>
        <v>5254.24</v>
      </c>
      <c r="M128" s="14">
        <f>ROUND(J128*I128, 2)</f>
        <v>511379.6</v>
      </c>
      <c r="N128" s="14">
        <f>ROUND(I128*ROUND(K128, 2), 2)</f>
        <v>576773.5</v>
      </c>
      <c r="O128" s="14">
        <f>M128+N128</f>
        <v>1088153.1000000001</v>
      </c>
      <c r="P128" s="14">
        <f>IFERROR(ROUND(SUM(S129,S130,S131,S132)/I128, 2),0)</f>
        <v>2000.82</v>
      </c>
      <c r="Q128" s="15">
        <v>2785</v>
      </c>
      <c r="R128" s="14">
        <f>P128+ROUND(Q128, 2)</f>
        <v>4785.82</v>
      </c>
      <c r="S128" s="14">
        <f>ROUND(P128*I128, 2)</f>
        <v>414369.82</v>
      </c>
      <c r="T128" s="14">
        <f>ROUND(I128*ROUND(Q128, 2), 2)</f>
        <v>576773.5</v>
      </c>
      <c r="U128" s="14">
        <f>S128+T128</f>
        <v>991143.32000000007</v>
      </c>
      <c r="V128" s="9">
        <f>ROUND(P128 / 1.2, 2)</f>
        <v>1667.35</v>
      </c>
      <c r="W128" s="9">
        <f>ROUND(Q128 / 1.2, 2)</f>
        <v>2320.83</v>
      </c>
      <c r="X128" s="9">
        <f>ROUND(R128 / 1.2, 2)</f>
        <v>3988.18</v>
      </c>
      <c r="Y128" s="9">
        <f t="shared" si="8"/>
        <v>345308.18</v>
      </c>
      <c r="Z128" s="9">
        <f>ROUND(T128 / 1.2, 2)</f>
        <v>480644.58</v>
      </c>
      <c r="AA128" s="9">
        <f>Y128+Z128</f>
        <v>825952.76</v>
      </c>
      <c r="AD128" s="4">
        <v>282589001</v>
      </c>
      <c r="AE128" s="4">
        <v>20317961</v>
      </c>
      <c r="AG128" s="4" t="s">
        <v>443</v>
      </c>
      <c r="AH128" s="4" t="s">
        <v>444</v>
      </c>
      <c r="AI128" s="4" t="s">
        <v>170</v>
      </c>
    </row>
    <row r="129" spans="1:35" ht="37.5" x14ac:dyDescent="0.25">
      <c r="A129" s="10" t="s">
        <v>509</v>
      </c>
      <c r="B129" s="10"/>
      <c r="C129" s="21" t="s">
        <v>446</v>
      </c>
      <c r="D129" s="12"/>
      <c r="E129" s="12"/>
      <c r="F129" s="17" t="s">
        <v>173</v>
      </c>
      <c r="G129" s="18">
        <v>1.2</v>
      </c>
      <c r="H129" s="22"/>
      <c r="I129" s="22">
        <v>248.52</v>
      </c>
      <c r="J129" s="19">
        <v>16.96</v>
      </c>
      <c r="M129" s="20">
        <f>ROUND(ROUND(J129, 2)*I129, 2)</f>
        <v>4214.8999999999996</v>
      </c>
      <c r="P129" s="19">
        <v>16.96</v>
      </c>
      <c r="S129" s="20">
        <f>ROUND(ROUND(P129, 2)*I129, 2)</f>
        <v>4214.8999999999996</v>
      </c>
      <c r="V129" s="9">
        <f>ROUND(ROUND(P129, 2)/1.2, 2)</f>
        <v>14.13</v>
      </c>
      <c r="Y129" s="9">
        <f t="shared" si="8"/>
        <v>3512.42</v>
      </c>
      <c r="AD129" s="4" t="s">
        <v>510</v>
      </c>
      <c r="AE129" s="4" t="s">
        <v>511</v>
      </c>
      <c r="AF129" s="4" t="s">
        <v>449</v>
      </c>
    </row>
    <row r="130" spans="1:35" ht="56.25" x14ac:dyDescent="0.25">
      <c r="A130" s="10" t="s">
        <v>512</v>
      </c>
      <c r="B130" s="10"/>
      <c r="C130" s="16" t="s">
        <v>451</v>
      </c>
      <c r="D130" s="12"/>
      <c r="E130" s="12" t="s">
        <v>513</v>
      </c>
      <c r="F130" s="17" t="s">
        <v>59</v>
      </c>
      <c r="G130" s="18">
        <v>1.2</v>
      </c>
      <c r="H130" s="22"/>
      <c r="I130" s="22">
        <v>248.52</v>
      </c>
      <c r="J130" s="19">
        <v>2021.25</v>
      </c>
      <c r="M130" s="20">
        <f>ROUND(ROUND(J130, 2)*I130, 2)</f>
        <v>502321.05</v>
      </c>
      <c r="P130" s="19">
        <v>1630.9</v>
      </c>
      <c r="S130" s="20">
        <f>ROUND(ROUND(P130, 2)*I130, 2)</f>
        <v>405311.27</v>
      </c>
      <c r="V130" s="9">
        <f>ROUND(ROUND(P130, 2)/1.2, 2)</f>
        <v>1359.08</v>
      </c>
      <c r="Y130" s="9">
        <f t="shared" si="8"/>
        <v>337759.39</v>
      </c>
      <c r="AD130" s="4" t="s">
        <v>514</v>
      </c>
      <c r="AE130" s="4" t="s">
        <v>515</v>
      </c>
      <c r="AF130" s="4" t="s">
        <v>455</v>
      </c>
    </row>
    <row r="131" spans="1:35" ht="37.5" x14ac:dyDescent="0.25">
      <c r="A131" s="10" t="s">
        <v>516</v>
      </c>
      <c r="B131" s="10"/>
      <c r="C131" s="16" t="s">
        <v>432</v>
      </c>
      <c r="D131" s="12"/>
      <c r="E131" s="12"/>
      <c r="F131" s="17" t="s">
        <v>173</v>
      </c>
      <c r="G131" s="18">
        <v>0.25</v>
      </c>
      <c r="H131" s="22"/>
      <c r="I131" s="22">
        <v>51.774999999999999</v>
      </c>
      <c r="J131" s="19">
        <v>40.270000000000003</v>
      </c>
      <c r="M131" s="20">
        <f>ROUND(ROUND(J131, 2)*I131, 2)</f>
        <v>2084.98</v>
      </c>
      <c r="P131" s="19">
        <v>40.270000000000003</v>
      </c>
      <c r="S131" s="20">
        <f>ROUND(ROUND(P131, 2)*I131, 2)</f>
        <v>2084.98</v>
      </c>
      <c r="V131" s="9">
        <f>ROUND(ROUND(P131, 2)/1.2, 2)</f>
        <v>33.56</v>
      </c>
      <c r="Y131" s="9">
        <f t="shared" si="8"/>
        <v>1737.48</v>
      </c>
      <c r="AD131" s="4" t="s">
        <v>517</v>
      </c>
      <c r="AE131" s="4" t="s">
        <v>518</v>
      </c>
      <c r="AF131" s="4" t="s">
        <v>435</v>
      </c>
    </row>
    <row r="132" spans="1:35" ht="37.5" x14ac:dyDescent="0.25">
      <c r="A132" s="10" t="s">
        <v>519</v>
      </c>
      <c r="B132" s="10"/>
      <c r="C132" s="16" t="s">
        <v>383</v>
      </c>
      <c r="D132" s="12"/>
      <c r="E132" s="12"/>
      <c r="F132" s="17" t="s">
        <v>173</v>
      </c>
      <c r="G132" s="18">
        <v>0.15</v>
      </c>
      <c r="H132" s="18"/>
      <c r="I132" s="18">
        <v>31.065000000000001</v>
      </c>
      <c r="J132" s="19">
        <v>88.8</v>
      </c>
      <c r="M132" s="20">
        <f>ROUND(ROUND(J132, 2)*I132, 2)</f>
        <v>2758.57</v>
      </c>
      <c r="P132" s="19">
        <v>88.8</v>
      </c>
      <c r="S132" s="20">
        <f>ROUND(ROUND(P132, 2)*I132, 2)</f>
        <v>2758.57</v>
      </c>
      <c r="V132" s="9">
        <f>ROUND(ROUND(P132, 2)/1.2, 2)</f>
        <v>74</v>
      </c>
      <c r="Y132" s="9">
        <f t="shared" si="8"/>
        <v>2298.81</v>
      </c>
      <c r="AD132" s="4" t="s">
        <v>520</v>
      </c>
      <c r="AE132" s="4" t="s">
        <v>521</v>
      </c>
      <c r="AF132" s="4" t="s">
        <v>386</v>
      </c>
    </row>
    <row r="133" spans="1:35" ht="56.25" x14ac:dyDescent="0.25">
      <c r="A133" s="10" t="s">
        <v>522</v>
      </c>
      <c r="B133" s="10" t="s">
        <v>440</v>
      </c>
      <c r="C133" s="11" t="s">
        <v>441</v>
      </c>
      <c r="D133" s="12"/>
      <c r="E133" s="12" t="s">
        <v>523</v>
      </c>
      <c r="F133" s="12" t="s">
        <v>59</v>
      </c>
      <c r="G133" s="13">
        <v>1</v>
      </c>
      <c r="H133" s="13"/>
      <c r="I133" s="13">
        <v>207.5</v>
      </c>
      <c r="J133" s="14">
        <f>IFERROR(ROUND(SUM(M134,M135,M136,M137)/I133, 2),0)</f>
        <v>2469.2399999999998</v>
      </c>
      <c r="K133" s="15">
        <v>2785</v>
      </c>
      <c r="L133" s="14">
        <f>J133+ROUND(K133, 2)</f>
        <v>5254.24</v>
      </c>
      <c r="M133" s="14">
        <f>ROUND(J133*I133, 2)</f>
        <v>512367.3</v>
      </c>
      <c r="N133" s="14">
        <f>ROUND(I133*ROUND(K133, 2), 2)</f>
        <v>577887.5</v>
      </c>
      <c r="O133" s="14">
        <f>M133+N133</f>
        <v>1090254.8</v>
      </c>
      <c r="P133" s="14">
        <f>IFERROR(ROUND(SUM(S134,S135,S136,S137)/I133, 2),0)</f>
        <v>2000.82</v>
      </c>
      <c r="Q133" s="15">
        <v>2785</v>
      </c>
      <c r="R133" s="14">
        <f>P133+ROUND(Q133, 2)</f>
        <v>4785.82</v>
      </c>
      <c r="S133" s="14">
        <f>ROUND(P133*I133, 2)</f>
        <v>415170.15</v>
      </c>
      <c r="T133" s="14">
        <f>ROUND(I133*ROUND(Q133, 2), 2)</f>
        <v>577887.5</v>
      </c>
      <c r="U133" s="14">
        <f>S133+T133</f>
        <v>993057.65</v>
      </c>
      <c r="V133" s="9">
        <f>ROUND(P133 / 1.2, 2)</f>
        <v>1667.35</v>
      </c>
      <c r="W133" s="9">
        <f>ROUND(Q133 / 1.2, 2)</f>
        <v>2320.83</v>
      </c>
      <c r="X133" s="9">
        <f>ROUND(R133 / 1.2, 2)</f>
        <v>3988.18</v>
      </c>
      <c r="Y133" s="9">
        <f t="shared" si="8"/>
        <v>345975.13</v>
      </c>
      <c r="Z133" s="9">
        <f>ROUND(T133 / 1.2, 2)</f>
        <v>481572.92</v>
      </c>
      <c r="AA133" s="9">
        <f>Y133+Z133</f>
        <v>827548.05</v>
      </c>
      <c r="AD133" s="4">
        <v>282589002</v>
      </c>
      <c r="AE133" s="4">
        <v>20321878</v>
      </c>
      <c r="AG133" s="4" t="s">
        <v>443</v>
      </c>
      <c r="AH133" s="4" t="s">
        <v>444</v>
      </c>
      <c r="AI133" s="4" t="s">
        <v>170</v>
      </c>
    </row>
    <row r="134" spans="1:35" ht="37.5" x14ac:dyDescent="0.25">
      <c r="A134" s="10" t="s">
        <v>524</v>
      </c>
      <c r="B134" s="10"/>
      <c r="C134" s="16" t="s">
        <v>383</v>
      </c>
      <c r="D134" s="12"/>
      <c r="E134" s="12"/>
      <c r="F134" s="17" t="s">
        <v>173</v>
      </c>
      <c r="G134" s="18">
        <v>0.15</v>
      </c>
      <c r="H134" s="18"/>
      <c r="I134" s="18">
        <v>31.125</v>
      </c>
      <c r="J134" s="19">
        <v>88.8</v>
      </c>
      <c r="M134" s="20">
        <f>ROUND(ROUND(J134, 2)*I134, 2)</f>
        <v>2763.9</v>
      </c>
      <c r="P134" s="19">
        <v>88.8</v>
      </c>
      <c r="S134" s="20">
        <f>ROUND(ROUND(P134, 2)*I134, 2)</f>
        <v>2763.9</v>
      </c>
      <c r="V134" s="9">
        <f>ROUND(ROUND(P134, 2)/1.2, 2)</f>
        <v>74</v>
      </c>
      <c r="Y134" s="9">
        <f t="shared" si="8"/>
        <v>2303.25</v>
      </c>
      <c r="AD134" s="4" t="s">
        <v>525</v>
      </c>
      <c r="AE134" s="4" t="s">
        <v>526</v>
      </c>
      <c r="AF134" s="4" t="s">
        <v>386</v>
      </c>
    </row>
    <row r="135" spans="1:35" ht="37.5" x14ac:dyDescent="0.25">
      <c r="A135" s="10" t="s">
        <v>527</v>
      </c>
      <c r="B135" s="10"/>
      <c r="C135" s="16" t="s">
        <v>432</v>
      </c>
      <c r="D135" s="12"/>
      <c r="E135" s="12"/>
      <c r="F135" s="17" t="s">
        <v>173</v>
      </c>
      <c r="G135" s="18">
        <v>0.25</v>
      </c>
      <c r="H135" s="22"/>
      <c r="I135" s="22">
        <v>51.875</v>
      </c>
      <c r="J135" s="19">
        <v>40.270000000000003</v>
      </c>
      <c r="M135" s="20">
        <f>ROUND(ROUND(J135, 2)*I135, 2)</f>
        <v>2089.0100000000002</v>
      </c>
      <c r="P135" s="19">
        <v>40.270000000000003</v>
      </c>
      <c r="S135" s="20">
        <f>ROUND(ROUND(P135, 2)*I135, 2)</f>
        <v>2089.0100000000002</v>
      </c>
      <c r="V135" s="9">
        <f>ROUND(ROUND(P135, 2)/1.2, 2)</f>
        <v>33.56</v>
      </c>
      <c r="Y135" s="9">
        <f t="shared" si="8"/>
        <v>1740.84</v>
      </c>
      <c r="AD135" s="4" t="s">
        <v>528</v>
      </c>
      <c r="AE135" s="4" t="s">
        <v>529</v>
      </c>
      <c r="AF135" s="4" t="s">
        <v>435</v>
      </c>
    </row>
    <row r="136" spans="1:35" ht="56.25" x14ac:dyDescent="0.25">
      <c r="A136" s="10" t="s">
        <v>530</v>
      </c>
      <c r="B136" s="10"/>
      <c r="C136" s="16" t="s">
        <v>451</v>
      </c>
      <c r="D136" s="12"/>
      <c r="E136" s="12" t="s">
        <v>531</v>
      </c>
      <c r="F136" s="17" t="s">
        <v>59</v>
      </c>
      <c r="G136" s="18">
        <v>1.2</v>
      </c>
      <c r="H136" s="22"/>
      <c r="I136" s="22">
        <v>249</v>
      </c>
      <c r="J136" s="19">
        <v>2021.25</v>
      </c>
      <c r="M136" s="20">
        <f>ROUND(ROUND(J136, 2)*I136, 2)</f>
        <v>503291.25</v>
      </c>
      <c r="P136" s="19">
        <v>1630.9</v>
      </c>
      <c r="S136" s="20">
        <f>ROUND(ROUND(P136, 2)*I136, 2)</f>
        <v>406094.1</v>
      </c>
      <c r="V136" s="9">
        <f>ROUND(ROUND(P136, 2)/1.2, 2)</f>
        <v>1359.08</v>
      </c>
      <c r="Y136" s="9">
        <f t="shared" si="8"/>
        <v>338411.75</v>
      </c>
      <c r="AD136" s="4" t="s">
        <v>532</v>
      </c>
      <c r="AE136" s="4" t="s">
        <v>533</v>
      </c>
      <c r="AF136" s="4" t="s">
        <v>455</v>
      </c>
    </row>
    <row r="137" spans="1:35" ht="37.5" x14ac:dyDescent="0.25">
      <c r="A137" s="10" t="s">
        <v>534</v>
      </c>
      <c r="B137" s="10"/>
      <c r="C137" s="21" t="s">
        <v>446</v>
      </c>
      <c r="D137" s="12"/>
      <c r="E137" s="12"/>
      <c r="F137" s="17" t="s">
        <v>173</v>
      </c>
      <c r="G137" s="18">
        <v>1.2</v>
      </c>
      <c r="H137" s="22"/>
      <c r="I137" s="22">
        <v>249</v>
      </c>
      <c r="J137" s="19">
        <v>16.96</v>
      </c>
      <c r="M137" s="20">
        <f>ROUND(ROUND(J137, 2)*I137, 2)</f>
        <v>4223.04</v>
      </c>
      <c r="P137" s="19">
        <v>16.96</v>
      </c>
      <c r="S137" s="20">
        <f>ROUND(ROUND(P137, 2)*I137, 2)</f>
        <v>4223.04</v>
      </c>
      <c r="V137" s="9">
        <f>ROUND(ROUND(P137, 2)/1.2, 2)</f>
        <v>14.13</v>
      </c>
      <c r="Y137" s="9">
        <f t="shared" si="8"/>
        <v>3519.2</v>
      </c>
      <c r="AD137" s="4" t="s">
        <v>535</v>
      </c>
      <c r="AE137" s="4" t="s">
        <v>536</v>
      </c>
      <c r="AF137" s="4" t="s">
        <v>449</v>
      </c>
    </row>
    <row r="138" spans="1:35" ht="17.100000000000001" customHeight="1" x14ac:dyDescent="0.25">
      <c r="A138" s="10" t="s">
        <v>537</v>
      </c>
      <c r="B138" s="10" t="s">
        <v>538</v>
      </c>
      <c r="C138" s="33" t="s">
        <v>539</v>
      </c>
      <c r="D138" s="34"/>
      <c r="E138" s="34"/>
      <c r="F138" s="34"/>
      <c r="G138" s="34"/>
      <c r="H138" s="34"/>
      <c r="I138" s="35"/>
      <c r="M138" s="6">
        <f>SUM(M139)</f>
        <v>329650</v>
      </c>
      <c r="N138" s="6">
        <f>SUM(N139)</f>
        <v>29009.200000000001</v>
      </c>
      <c r="O138" s="6">
        <f>SUM(O139)</f>
        <v>358659.2</v>
      </c>
      <c r="S138" s="6">
        <f>SUM(S139)</f>
        <v>329650</v>
      </c>
      <c r="T138" s="6">
        <f>SUM(T139)</f>
        <v>29009.200000000001</v>
      </c>
      <c r="U138" s="6">
        <f>SUM(U139)</f>
        <v>358659.2</v>
      </c>
      <c r="Y138" s="9">
        <f>SUM(Y139)</f>
        <v>274708.33</v>
      </c>
      <c r="Z138" s="9">
        <f>SUM(Z139)</f>
        <v>24174.33</v>
      </c>
      <c r="AA138" s="9">
        <f>SUM(AA139)</f>
        <v>298882.66000000003</v>
      </c>
      <c r="AD138" s="4">
        <v>282588948</v>
      </c>
      <c r="AE138" s="4">
        <v>20297490</v>
      </c>
    </row>
    <row r="139" spans="1:35" ht="18.75" x14ac:dyDescent="0.25">
      <c r="A139" s="10" t="s">
        <v>540</v>
      </c>
      <c r="B139" s="10" t="s">
        <v>541</v>
      </c>
      <c r="C139" s="11" t="s">
        <v>542</v>
      </c>
      <c r="D139" s="12"/>
      <c r="E139" s="12" t="s">
        <v>543</v>
      </c>
      <c r="F139" s="12" t="s">
        <v>59</v>
      </c>
      <c r="G139" s="13">
        <v>1</v>
      </c>
      <c r="H139" s="13"/>
      <c r="I139" s="13">
        <v>34.700000000000003</v>
      </c>
      <c r="J139" s="14">
        <f>IFERROR(ROUND(SUM(M140)/I139, 2),0)</f>
        <v>9500</v>
      </c>
      <c r="K139" s="15">
        <v>836</v>
      </c>
      <c r="L139" s="14">
        <f>J139+ROUND(K139, 2)</f>
        <v>10336</v>
      </c>
      <c r="M139" s="14">
        <f>ROUND(J139*I139, 2)</f>
        <v>329650</v>
      </c>
      <c r="N139" s="14">
        <f>ROUND(I139*ROUND(K139, 2), 2)</f>
        <v>29009.200000000001</v>
      </c>
      <c r="O139" s="14">
        <f>M139+N139</f>
        <v>358659.2</v>
      </c>
      <c r="P139" s="14">
        <f>IFERROR(ROUND(SUM(S140)/I139, 2),0)</f>
        <v>9500</v>
      </c>
      <c r="Q139" s="15">
        <v>836</v>
      </c>
      <c r="R139" s="14">
        <f>P139+ROUND(Q139, 2)</f>
        <v>10336</v>
      </c>
      <c r="S139" s="14">
        <f>ROUND(P139*I139, 2)</f>
        <v>329650</v>
      </c>
      <c r="T139" s="14">
        <f>ROUND(I139*ROUND(Q139, 2), 2)</f>
        <v>29009.200000000001</v>
      </c>
      <c r="U139" s="14">
        <f>S139+T139</f>
        <v>358659.2</v>
      </c>
      <c r="V139" s="9">
        <f>ROUND(P139 / 1.2, 2)</f>
        <v>7916.67</v>
      </c>
      <c r="W139" s="9">
        <f>ROUND(Q139 / 1.2, 2)</f>
        <v>696.67</v>
      </c>
      <c r="X139" s="9">
        <f>ROUND(R139 / 1.2, 2)</f>
        <v>8613.33</v>
      </c>
      <c r="Y139" s="9">
        <f>ROUND(S139 / 1.2, 2)</f>
        <v>274708.33</v>
      </c>
      <c r="Z139" s="9">
        <f>ROUND(T139 / 1.2, 2)</f>
        <v>24174.33</v>
      </c>
      <c r="AA139" s="9">
        <f>Y139+Z139</f>
        <v>298882.66000000003</v>
      </c>
      <c r="AD139" s="4">
        <v>282588950</v>
      </c>
      <c r="AE139" s="4">
        <v>20297493</v>
      </c>
      <c r="AG139" s="4" t="s">
        <v>544</v>
      </c>
      <c r="AH139" s="4" t="s">
        <v>545</v>
      </c>
      <c r="AI139" s="4" t="s">
        <v>170</v>
      </c>
    </row>
    <row r="140" spans="1:35" ht="75" x14ac:dyDescent="0.25">
      <c r="A140" s="10" t="s">
        <v>546</v>
      </c>
      <c r="B140" s="10"/>
      <c r="C140" s="16" t="s">
        <v>547</v>
      </c>
      <c r="D140" s="12"/>
      <c r="E140" s="12" t="s">
        <v>548</v>
      </c>
      <c r="F140" s="17" t="s">
        <v>59</v>
      </c>
      <c r="G140" s="18">
        <v>1</v>
      </c>
      <c r="H140" s="18"/>
      <c r="I140" s="18">
        <v>34.700000000000003</v>
      </c>
      <c r="J140" s="19">
        <v>9500</v>
      </c>
      <c r="M140" s="20">
        <f>ROUND(ROUND(J140, 2)*I140, 2)</f>
        <v>329650</v>
      </c>
      <c r="P140" s="19">
        <v>9500</v>
      </c>
      <c r="S140" s="20">
        <f>ROUND(ROUND(P140, 2)*I140, 2)</f>
        <v>329650</v>
      </c>
      <c r="V140" s="9">
        <f>ROUND(ROUND(P140, 2)/1.2, 2)</f>
        <v>7916.67</v>
      </c>
      <c r="Y140" s="9">
        <f>ROUND(S140 / 1.2, 2)</f>
        <v>274708.33</v>
      </c>
      <c r="AD140" s="4" t="s">
        <v>549</v>
      </c>
      <c r="AE140" s="4" t="s">
        <v>550</v>
      </c>
      <c r="AF140" s="4" t="s">
        <v>551</v>
      </c>
    </row>
    <row r="141" spans="1:35" ht="17.100000000000001" customHeight="1" x14ac:dyDescent="0.25">
      <c r="A141" s="10" t="s">
        <v>552</v>
      </c>
      <c r="B141" s="10" t="s">
        <v>553</v>
      </c>
      <c r="C141" s="33" t="s">
        <v>554</v>
      </c>
      <c r="D141" s="34"/>
      <c r="E141" s="34"/>
      <c r="F141" s="34"/>
      <c r="G141" s="34"/>
      <c r="H141" s="34"/>
      <c r="I141" s="35"/>
      <c r="M141" s="6">
        <f>SUM(M142,M146,M225)</f>
        <v>5805136.9100000001</v>
      </c>
      <c r="N141" s="6">
        <f>SUM(N142,N146,N225)</f>
        <v>9178574.6999999993</v>
      </c>
      <c r="O141" s="6">
        <f>SUM(O142,O146,O225)</f>
        <v>14983711.609999999</v>
      </c>
      <c r="S141" s="6">
        <f>SUM(S142,S146,S225)</f>
        <v>3506342.33</v>
      </c>
      <c r="T141" s="6">
        <f>SUM(T142,T146,T225)</f>
        <v>9178574.6999999993</v>
      </c>
      <c r="U141" s="6">
        <f>SUM(U142,U146,U225)</f>
        <v>12684917.030000003</v>
      </c>
      <c r="Y141" s="9">
        <f>SUM(Y142,Y146,Y225)</f>
        <v>2921951.97</v>
      </c>
      <c r="Z141" s="9">
        <f>SUM(Z142,Z146,Z225)</f>
        <v>7648812.2599999998</v>
      </c>
      <c r="AA141" s="9">
        <f>SUM(AA142,AA146,AA225)</f>
        <v>10570764.229999999</v>
      </c>
      <c r="AD141" s="4">
        <v>282588951</v>
      </c>
      <c r="AE141" s="4">
        <v>20297474</v>
      </c>
    </row>
    <row r="142" spans="1:35" ht="17.100000000000001" customHeight="1" x14ac:dyDescent="0.25">
      <c r="A142" s="10" t="s">
        <v>555</v>
      </c>
      <c r="B142" s="10" t="s">
        <v>556</v>
      </c>
      <c r="C142" s="33" t="s">
        <v>557</v>
      </c>
      <c r="D142" s="34"/>
      <c r="E142" s="34"/>
      <c r="F142" s="34"/>
      <c r="G142" s="34"/>
      <c r="H142" s="34"/>
      <c r="I142" s="35"/>
      <c r="M142" s="6">
        <f>SUM(M143)</f>
        <v>1902.81</v>
      </c>
      <c r="N142" s="6">
        <f>SUM(N143)</f>
        <v>80682</v>
      </c>
      <c r="O142" s="6">
        <f>SUM(O143)</f>
        <v>82584.81</v>
      </c>
      <c r="S142" s="6">
        <f>SUM(S143)</f>
        <v>1902.81</v>
      </c>
      <c r="T142" s="6">
        <f>SUM(T143)</f>
        <v>80682</v>
      </c>
      <c r="U142" s="6">
        <f>SUM(U143)</f>
        <v>82584.81</v>
      </c>
      <c r="Y142" s="9">
        <f>SUM(Y143)</f>
        <v>1585.68</v>
      </c>
      <c r="Z142" s="9">
        <f>SUM(Z143)</f>
        <v>67235</v>
      </c>
      <c r="AA142" s="9">
        <f>SUM(AA143)</f>
        <v>68820.679999999993</v>
      </c>
      <c r="AD142" s="4">
        <v>282588952</v>
      </c>
      <c r="AE142" s="4">
        <v>20297483</v>
      </c>
    </row>
    <row r="143" spans="1:35" ht="37.5" x14ac:dyDescent="0.25">
      <c r="A143" s="10" t="s">
        <v>558</v>
      </c>
      <c r="B143" s="10" t="s">
        <v>559</v>
      </c>
      <c r="C143" s="11" t="s">
        <v>560</v>
      </c>
      <c r="D143" s="12"/>
      <c r="E143" s="12" t="s">
        <v>561</v>
      </c>
      <c r="F143" s="12" t="s">
        <v>222</v>
      </c>
      <c r="G143" s="13">
        <v>1</v>
      </c>
      <c r="H143" s="13"/>
      <c r="I143" s="13">
        <v>357</v>
      </c>
      <c r="J143" s="14">
        <f>IFERROR(ROUND(SUM(M144,M145)/I143, 2),0)</f>
        <v>5.33</v>
      </c>
      <c r="K143" s="15">
        <v>226</v>
      </c>
      <c r="L143" s="14">
        <f>J143+ROUND(K143, 2)</f>
        <v>231.33</v>
      </c>
      <c r="M143" s="14">
        <f>ROUND(J143*I143, 2)</f>
        <v>1902.81</v>
      </c>
      <c r="N143" s="14">
        <f>ROUND(I143*ROUND(K143, 2), 2)</f>
        <v>80682</v>
      </c>
      <c r="O143" s="14">
        <f>M143+N143</f>
        <v>82584.81</v>
      </c>
      <c r="P143" s="14">
        <f>IFERROR(ROUND(SUM(S144,S145)/I143, 2),0)</f>
        <v>5.33</v>
      </c>
      <c r="Q143" s="15">
        <v>226</v>
      </c>
      <c r="R143" s="14">
        <f>P143+ROUND(Q143, 2)</f>
        <v>231.33</v>
      </c>
      <c r="S143" s="14">
        <f>ROUND(P143*I143, 2)</f>
        <v>1902.81</v>
      </c>
      <c r="T143" s="14">
        <f>ROUND(I143*ROUND(Q143, 2), 2)</f>
        <v>80682</v>
      </c>
      <c r="U143" s="14">
        <f>S143+T143</f>
        <v>82584.81</v>
      </c>
      <c r="V143" s="9">
        <f>ROUND(P143 / 1.2, 2)</f>
        <v>4.4400000000000004</v>
      </c>
      <c r="W143" s="9">
        <f>ROUND(Q143 / 1.2, 2)</f>
        <v>188.33</v>
      </c>
      <c r="X143" s="9">
        <f>ROUND(R143 / 1.2, 2)</f>
        <v>192.78</v>
      </c>
      <c r="Y143" s="9">
        <f>ROUND(S143 / 1.2, 2)</f>
        <v>1585.68</v>
      </c>
      <c r="Z143" s="9">
        <f>ROUND(T143 / 1.2, 2)</f>
        <v>67235</v>
      </c>
      <c r="AA143" s="9">
        <f>Y143+Z143</f>
        <v>68820.679999999993</v>
      </c>
      <c r="AD143" s="4">
        <v>282588954</v>
      </c>
      <c r="AE143" s="4">
        <v>20297507</v>
      </c>
      <c r="AG143" s="4" t="s">
        <v>562</v>
      </c>
      <c r="AH143" s="4" t="s">
        <v>563</v>
      </c>
      <c r="AI143" s="4" t="s">
        <v>170</v>
      </c>
    </row>
    <row r="144" spans="1:35" ht="18.75" x14ac:dyDescent="0.25">
      <c r="A144" s="10" t="s">
        <v>564</v>
      </c>
      <c r="B144" s="10"/>
      <c r="C144" s="16" t="s">
        <v>565</v>
      </c>
      <c r="D144" s="12"/>
      <c r="E144" s="12"/>
      <c r="F144" s="17" t="s">
        <v>566</v>
      </c>
      <c r="G144" s="18">
        <v>1E-3</v>
      </c>
      <c r="H144" s="22"/>
      <c r="I144" s="22">
        <v>0.35699999999999998</v>
      </c>
      <c r="J144" s="19">
        <v>2800</v>
      </c>
      <c r="M144" s="20">
        <f>ROUND(ROUND(J144, 2)*I144, 2)</f>
        <v>999.6</v>
      </c>
      <c r="P144" s="19">
        <v>2800</v>
      </c>
      <c r="S144" s="20">
        <f>ROUND(ROUND(P144, 2)*I144, 2)</f>
        <v>999.6</v>
      </c>
      <c r="V144" s="9">
        <f>ROUND(ROUND(P144, 2)/1.2, 2)</f>
        <v>2333.33</v>
      </c>
      <c r="Y144" s="9">
        <f>ROUND(S144 / 1.2, 2)</f>
        <v>833</v>
      </c>
      <c r="AD144" s="4" t="s">
        <v>567</v>
      </c>
      <c r="AE144" s="4" t="s">
        <v>568</v>
      </c>
      <c r="AF144" s="4" t="s">
        <v>569</v>
      </c>
    </row>
    <row r="145" spans="1:35" ht="18.75" x14ac:dyDescent="0.25">
      <c r="A145" s="10" t="s">
        <v>570</v>
      </c>
      <c r="B145" s="10"/>
      <c r="C145" s="16" t="s">
        <v>571</v>
      </c>
      <c r="D145" s="12"/>
      <c r="E145" s="12"/>
      <c r="F145" s="17" t="s">
        <v>173</v>
      </c>
      <c r="G145" s="18">
        <v>0.41</v>
      </c>
      <c r="H145" s="22"/>
      <c r="I145" s="22">
        <v>146.37</v>
      </c>
      <c r="J145" s="19">
        <v>6.17</v>
      </c>
      <c r="M145" s="20">
        <f>ROUND(ROUND(J145, 2)*I145, 2)</f>
        <v>903.1</v>
      </c>
      <c r="P145" s="19">
        <v>6.17</v>
      </c>
      <c r="S145" s="20">
        <f>ROUND(ROUND(P145, 2)*I145, 2)</f>
        <v>903.1</v>
      </c>
      <c r="V145" s="9">
        <f>ROUND(ROUND(P145, 2)/1.2, 2)</f>
        <v>5.14</v>
      </c>
      <c r="Y145" s="9">
        <f>ROUND(S145 / 1.2, 2)</f>
        <v>752.58</v>
      </c>
      <c r="AD145" s="4" t="s">
        <v>572</v>
      </c>
      <c r="AE145" s="4" t="s">
        <v>573</v>
      </c>
      <c r="AF145" s="4" t="s">
        <v>574</v>
      </c>
    </row>
    <row r="146" spans="1:35" ht="17.100000000000001" customHeight="1" x14ac:dyDescent="0.25">
      <c r="A146" s="10" t="s">
        <v>575</v>
      </c>
      <c r="B146" s="10" t="s">
        <v>576</v>
      </c>
      <c r="C146" s="33" t="s">
        <v>577</v>
      </c>
      <c r="D146" s="34"/>
      <c r="E146" s="34"/>
      <c r="F146" s="34"/>
      <c r="G146" s="34"/>
      <c r="H146" s="34"/>
      <c r="I146" s="35"/>
      <c r="M146" s="6">
        <f>SUM(M147,M149,M151,M153,M155,M157,M159,M161,M163,M166,M169,M172,M175,M178,M181,M184,M187,M190,M195,M200,M205,M210,M215,M220)</f>
        <v>5509075.8000000007</v>
      </c>
      <c r="N146" s="6">
        <f>SUM(N147,N149,N151,N153,N155,N157,N159,N161,N163,N166,N169,N172,N175,N178,N181,N184,N187,N190,N195,N200,N205,N210,N215,N220)</f>
        <v>8393216</v>
      </c>
      <c r="O146" s="6">
        <f>SUM(O147,O149,O151,O153,O155,O157,O159,O161,O163,O166,O169,O172,O175,O178,O181,O184,O187,O190,O195,O200,O205,O210,O215,O220)</f>
        <v>13902291.799999999</v>
      </c>
      <c r="S146" s="6">
        <f>SUM(S147,S149,S151,S153,S155,S157,S159,S161,S163,S166,S169,S172,S175,S178,S181,S184,S187,S190,S195,S200,S205,S210,S215,S220)</f>
        <v>3093092.5</v>
      </c>
      <c r="T146" s="6">
        <f>SUM(T147,T149,T151,T153,T155,T157,T159,T161,T163,T166,T169,T172,T175,T178,T181,T184,T187,T190,T195,T200,T205,T210,T215,T220)</f>
        <v>8393216</v>
      </c>
      <c r="U146" s="6">
        <f>SUM(U147,U149,U151,U153,U155,U157,U159,U161,U163,U166,U169,U172,U175,U178,U181,U184,U187,U190,U195,U200,U205,U210,U215,U220)</f>
        <v>11486308.500000002</v>
      </c>
      <c r="Y146" s="9">
        <f>SUM(Y147,Y149,Y151,Y153,Y155,Y157,Y159,Y161,Y163,Y166,Y169,Y172,Y175,Y178,Y181,Y184,Y187,Y190,Y195,Y200,Y205,Y210,Y215,Y220)</f>
        <v>2577577.1</v>
      </c>
      <c r="Z146" s="9">
        <f>SUM(Z147,Z149,Z151,Z153,Z155,Z157,Z159,Z161,Z163,Z166,Z169,Z172,Z175,Z178,Z181,Z184,Z187,Z190,Z195,Z200,Z205,Z210,Z215,Z220)</f>
        <v>6994346.6699999999</v>
      </c>
      <c r="AA146" s="9">
        <f>SUM(AA147,AA149,AA151,AA153,AA155,AA157,AA159,AA161,AA163,AA166,AA169,AA172,AA175,AA178,AA181,AA184,AA187,AA190,AA195,AA200,AA205,AA210,AA215,AA220)</f>
        <v>9571923.7699999996</v>
      </c>
      <c r="AD146" s="4">
        <v>282588955</v>
      </c>
      <c r="AE146" s="4">
        <v>20299756</v>
      </c>
    </row>
    <row r="147" spans="1:35" ht="18.75" x14ac:dyDescent="0.25">
      <c r="A147" s="10" t="s">
        <v>578</v>
      </c>
      <c r="B147" s="10" t="s">
        <v>579</v>
      </c>
      <c r="C147" s="11" t="s">
        <v>580</v>
      </c>
      <c r="D147" s="12"/>
      <c r="E147" s="12" t="s">
        <v>581</v>
      </c>
      <c r="F147" s="12" t="s">
        <v>59</v>
      </c>
      <c r="G147" s="13">
        <v>1</v>
      </c>
      <c r="H147" s="13"/>
      <c r="I147" s="13">
        <v>195.1</v>
      </c>
      <c r="J147" s="14">
        <f>IFERROR(ROUND(SUM(M148)/I147, 2),0)</f>
        <v>390</v>
      </c>
      <c r="K147" s="15">
        <v>1010</v>
      </c>
      <c r="L147" s="14">
        <f>J147+ROUND(K147, 2)</f>
        <v>1400</v>
      </c>
      <c r="M147" s="14">
        <f>ROUND(J147*I147, 2)</f>
        <v>76089</v>
      </c>
      <c r="N147" s="14">
        <f>ROUND(I147*ROUND(K147, 2), 2)</f>
        <v>197051</v>
      </c>
      <c r="O147" s="14">
        <f>M147+N147</f>
        <v>273140</v>
      </c>
      <c r="P147" s="14">
        <f>IFERROR(ROUND(SUM(S148)/I147, 2),0)</f>
        <v>390</v>
      </c>
      <c r="Q147" s="15">
        <v>1010</v>
      </c>
      <c r="R147" s="14">
        <f>P147+ROUND(Q147, 2)</f>
        <v>1400</v>
      </c>
      <c r="S147" s="14">
        <f>ROUND(P147*I147, 2)</f>
        <v>76089</v>
      </c>
      <c r="T147" s="14">
        <f>ROUND(I147*ROUND(Q147, 2), 2)</f>
        <v>197051</v>
      </c>
      <c r="U147" s="14">
        <f>S147+T147</f>
        <v>273140</v>
      </c>
      <c r="V147" s="9">
        <f>ROUND(P147 / 1.2, 2)</f>
        <v>325</v>
      </c>
      <c r="W147" s="9">
        <f>ROUND(Q147 / 1.2, 2)</f>
        <v>841.67</v>
      </c>
      <c r="X147" s="9">
        <f>ROUND(R147 / 1.2, 2)</f>
        <v>1166.67</v>
      </c>
      <c r="Y147" s="9">
        <f>ROUND(S147 / 1.2, 2)</f>
        <v>63407.5</v>
      </c>
      <c r="Z147" s="9">
        <f>ROUND(T147 / 1.2, 2)</f>
        <v>164209.17000000001</v>
      </c>
      <c r="AA147" s="9">
        <f>Y147+Z147</f>
        <v>227616.67</v>
      </c>
      <c r="AD147" s="4">
        <v>282588957</v>
      </c>
      <c r="AE147" s="4">
        <v>20300514</v>
      </c>
      <c r="AG147" s="4" t="s">
        <v>582</v>
      </c>
      <c r="AH147" s="4" t="s">
        <v>583</v>
      </c>
      <c r="AI147" s="4" t="s">
        <v>170</v>
      </c>
    </row>
    <row r="148" spans="1:35" ht="37.5" x14ac:dyDescent="0.25">
      <c r="A148" s="10" t="s">
        <v>584</v>
      </c>
      <c r="B148" s="10"/>
      <c r="C148" s="16" t="s">
        <v>585</v>
      </c>
      <c r="D148" s="12"/>
      <c r="E148" s="12"/>
      <c r="F148" s="17" t="s">
        <v>222</v>
      </c>
      <c r="G148" s="18">
        <v>1.5</v>
      </c>
      <c r="H148" s="18"/>
      <c r="I148" s="18">
        <v>292.64999999999998</v>
      </c>
      <c r="J148" s="19">
        <v>260</v>
      </c>
      <c r="M148" s="20">
        <f>ROUND(ROUND(J148, 2)*I148, 2)</f>
        <v>76089</v>
      </c>
      <c r="P148" s="19">
        <v>260</v>
      </c>
      <c r="S148" s="20">
        <f>ROUND(ROUND(P148, 2)*I148, 2)</f>
        <v>76089</v>
      </c>
      <c r="V148" s="9">
        <f>ROUND(ROUND(P148, 2)/1.2, 2)</f>
        <v>216.67</v>
      </c>
      <c r="Y148" s="9">
        <f t="shared" ref="Y148:Y211" si="9">ROUND(S148 / 1.2, 2)</f>
        <v>63407.5</v>
      </c>
      <c r="AD148" s="4" t="s">
        <v>586</v>
      </c>
      <c r="AE148" s="4" t="s">
        <v>587</v>
      </c>
      <c r="AF148" s="4" t="s">
        <v>588</v>
      </c>
    </row>
    <row r="149" spans="1:35" ht="18.75" x14ac:dyDescent="0.25">
      <c r="A149" s="10" t="s">
        <v>589</v>
      </c>
      <c r="B149" s="10" t="s">
        <v>579</v>
      </c>
      <c r="C149" s="11" t="s">
        <v>580</v>
      </c>
      <c r="D149" s="12"/>
      <c r="E149" s="12" t="s">
        <v>590</v>
      </c>
      <c r="F149" s="12" t="s">
        <v>59</v>
      </c>
      <c r="G149" s="13">
        <v>1</v>
      </c>
      <c r="H149" s="13"/>
      <c r="I149" s="13">
        <v>23.1</v>
      </c>
      <c r="J149" s="14">
        <f>IFERROR(ROUND(SUM(M150)/I149, 2),0)</f>
        <v>390</v>
      </c>
      <c r="K149" s="15">
        <v>1010</v>
      </c>
      <c r="L149" s="14">
        <f>J149+ROUND(K149, 2)</f>
        <v>1400</v>
      </c>
      <c r="M149" s="14">
        <f>ROUND(J149*I149, 2)</f>
        <v>9009</v>
      </c>
      <c r="N149" s="14">
        <f>ROUND(I149*ROUND(K149, 2), 2)</f>
        <v>23331</v>
      </c>
      <c r="O149" s="14">
        <f>M149+N149</f>
        <v>32340</v>
      </c>
      <c r="P149" s="14">
        <f>IFERROR(ROUND(SUM(S150)/I149, 2),0)</f>
        <v>390</v>
      </c>
      <c r="Q149" s="15">
        <v>1010</v>
      </c>
      <c r="R149" s="14">
        <f>P149+ROUND(Q149, 2)</f>
        <v>1400</v>
      </c>
      <c r="S149" s="14">
        <f>ROUND(P149*I149, 2)</f>
        <v>9009</v>
      </c>
      <c r="T149" s="14">
        <f>ROUND(I149*ROUND(Q149, 2), 2)</f>
        <v>23331</v>
      </c>
      <c r="U149" s="14">
        <f>S149+T149</f>
        <v>32340</v>
      </c>
      <c r="V149" s="9">
        <f>ROUND(P149 / 1.2, 2)</f>
        <v>325</v>
      </c>
      <c r="W149" s="9">
        <f>ROUND(Q149 / 1.2, 2)</f>
        <v>841.67</v>
      </c>
      <c r="X149" s="9">
        <f>ROUND(R149 / 1.2, 2)</f>
        <v>1166.67</v>
      </c>
      <c r="Y149" s="9">
        <f t="shared" si="9"/>
        <v>7507.5</v>
      </c>
      <c r="Z149" s="9">
        <f>ROUND(T149 / 1.2, 2)</f>
        <v>19442.5</v>
      </c>
      <c r="AA149" s="9">
        <f>Y149+Z149</f>
        <v>26950</v>
      </c>
      <c r="AD149" s="4">
        <v>282589003</v>
      </c>
      <c r="AE149" s="4">
        <v>20300510</v>
      </c>
      <c r="AG149" s="4" t="s">
        <v>582</v>
      </c>
      <c r="AH149" s="4" t="s">
        <v>583</v>
      </c>
      <c r="AI149" s="4" t="s">
        <v>170</v>
      </c>
    </row>
    <row r="150" spans="1:35" ht="37.5" x14ac:dyDescent="0.25">
      <c r="A150" s="10" t="s">
        <v>591</v>
      </c>
      <c r="B150" s="10"/>
      <c r="C150" s="16" t="s">
        <v>585</v>
      </c>
      <c r="D150" s="12"/>
      <c r="E150" s="12"/>
      <c r="F150" s="17" t="s">
        <v>222</v>
      </c>
      <c r="G150" s="18">
        <v>1.5</v>
      </c>
      <c r="H150" s="18"/>
      <c r="I150" s="18">
        <v>34.65</v>
      </c>
      <c r="J150" s="19">
        <v>260</v>
      </c>
      <c r="M150" s="20">
        <f>ROUND(ROUND(J150, 2)*I150, 2)</f>
        <v>9009</v>
      </c>
      <c r="P150" s="19">
        <v>260</v>
      </c>
      <c r="S150" s="20">
        <f>ROUND(ROUND(P150, 2)*I150, 2)</f>
        <v>9009</v>
      </c>
      <c r="V150" s="9">
        <f>ROUND(ROUND(P150, 2)/1.2, 2)</f>
        <v>216.67</v>
      </c>
      <c r="Y150" s="9">
        <f t="shared" si="9"/>
        <v>7507.5</v>
      </c>
      <c r="AD150" s="4" t="s">
        <v>592</v>
      </c>
      <c r="AE150" s="4" t="s">
        <v>593</v>
      </c>
      <c r="AF150" s="4" t="s">
        <v>588</v>
      </c>
    </row>
    <row r="151" spans="1:35" ht="18.75" x14ac:dyDescent="0.25">
      <c r="A151" s="10" t="s">
        <v>594</v>
      </c>
      <c r="B151" s="10" t="s">
        <v>579</v>
      </c>
      <c r="C151" s="11" t="s">
        <v>580</v>
      </c>
      <c r="D151" s="12"/>
      <c r="E151" s="12" t="s">
        <v>595</v>
      </c>
      <c r="F151" s="12" t="s">
        <v>59</v>
      </c>
      <c r="G151" s="13">
        <v>1</v>
      </c>
      <c r="H151" s="13"/>
      <c r="I151" s="13">
        <v>75</v>
      </c>
      <c r="J151" s="14">
        <f>IFERROR(ROUND(SUM(M152)/I151, 2),0)</f>
        <v>390</v>
      </c>
      <c r="K151" s="15">
        <v>1010</v>
      </c>
      <c r="L151" s="14">
        <f>J151+ROUND(K151, 2)</f>
        <v>1400</v>
      </c>
      <c r="M151" s="14">
        <f>ROUND(J151*I151, 2)</f>
        <v>29250</v>
      </c>
      <c r="N151" s="14">
        <f>ROUND(I151*ROUND(K151, 2), 2)</f>
        <v>75750</v>
      </c>
      <c r="O151" s="14">
        <f>M151+N151</f>
        <v>105000</v>
      </c>
      <c r="P151" s="14">
        <f>IFERROR(ROUND(SUM(S152)/I151, 2),0)</f>
        <v>390</v>
      </c>
      <c r="Q151" s="15">
        <v>1010</v>
      </c>
      <c r="R151" s="14">
        <f>P151+ROUND(Q151, 2)</f>
        <v>1400</v>
      </c>
      <c r="S151" s="14">
        <f>ROUND(P151*I151, 2)</f>
        <v>29250</v>
      </c>
      <c r="T151" s="14">
        <f>ROUND(I151*ROUND(Q151, 2), 2)</f>
        <v>75750</v>
      </c>
      <c r="U151" s="14">
        <f>S151+T151</f>
        <v>105000</v>
      </c>
      <c r="V151" s="9">
        <f>ROUND(P151 / 1.2, 2)</f>
        <v>325</v>
      </c>
      <c r="W151" s="9">
        <f>ROUND(Q151 / 1.2, 2)</f>
        <v>841.67</v>
      </c>
      <c r="X151" s="9">
        <f>ROUND(R151 / 1.2, 2)</f>
        <v>1166.67</v>
      </c>
      <c r="Y151" s="9">
        <f t="shared" si="9"/>
        <v>24375</v>
      </c>
      <c r="Z151" s="9">
        <f>ROUND(T151 / 1.2, 2)</f>
        <v>63125</v>
      </c>
      <c r="AA151" s="9">
        <f>Y151+Z151</f>
        <v>87500</v>
      </c>
      <c r="AD151" s="4">
        <v>282589004</v>
      </c>
      <c r="AE151" s="4">
        <v>20300512</v>
      </c>
      <c r="AG151" s="4" t="s">
        <v>582</v>
      </c>
      <c r="AH151" s="4" t="s">
        <v>583</v>
      </c>
      <c r="AI151" s="4" t="s">
        <v>170</v>
      </c>
    </row>
    <row r="152" spans="1:35" ht="37.5" x14ac:dyDescent="0.25">
      <c r="A152" s="10" t="s">
        <v>596</v>
      </c>
      <c r="B152" s="10"/>
      <c r="C152" s="16" t="s">
        <v>585</v>
      </c>
      <c r="D152" s="12"/>
      <c r="E152" s="12"/>
      <c r="F152" s="17" t="s">
        <v>222</v>
      </c>
      <c r="G152" s="18">
        <v>1.5</v>
      </c>
      <c r="H152" s="18"/>
      <c r="I152" s="18">
        <v>112.5</v>
      </c>
      <c r="J152" s="19">
        <v>260</v>
      </c>
      <c r="M152" s="20">
        <f>ROUND(ROUND(J152, 2)*I152, 2)</f>
        <v>29250</v>
      </c>
      <c r="P152" s="19">
        <v>260</v>
      </c>
      <c r="S152" s="20">
        <f>ROUND(ROUND(P152, 2)*I152, 2)</f>
        <v>29250</v>
      </c>
      <c r="V152" s="9">
        <f>ROUND(ROUND(P152, 2)/1.2, 2)</f>
        <v>216.67</v>
      </c>
      <c r="Y152" s="9">
        <f t="shared" si="9"/>
        <v>24375</v>
      </c>
      <c r="AD152" s="4" t="s">
        <v>597</v>
      </c>
      <c r="AE152" s="4" t="s">
        <v>598</v>
      </c>
      <c r="AF152" s="4" t="s">
        <v>588</v>
      </c>
    </row>
    <row r="153" spans="1:35" ht="18.75" x14ac:dyDescent="0.25">
      <c r="A153" s="10" t="s">
        <v>599</v>
      </c>
      <c r="B153" s="10" t="s">
        <v>579</v>
      </c>
      <c r="C153" s="11" t="s">
        <v>580</v>
      </c>
      <c r="D153" s="12"/>
      <c r="E153" s="12" t="s">
        <v>600</v>
      </c>
      <c r="F153" s="12" t="s">
        <v>59</v>
      </c>
      <c r="G153" s="13">
        <v>1</v>
      </c>
      <c r="H153" s="13"/>
      <c r="I153" s="13">
        <v>41.8</v>
      </c>
      <c r="J153" s="14">
        <f>IFERROR(ROUND(SUM(M154)/I153, 2),0)</f>
        <v>390</v>
      </c>
      <c r="K153" s="15">
        <v>1010</v>
      </c>
      <c r="L153" s="14">
        <f>J153+ROUND(K153, 2)</f>
        <v>1400</v>
      </c>
      <c r="M153" s="14">
        <f>ROUND(J153*I153, 2)</f>
        <v>16302</v>
      </c>
      <c r="N153" s="14">
        <f>ROUND(I153*ROUND(K153, 2), 2)</f>
        <v>42218</v>
      </c>
      <c r="O153" s="14">
        <f>M153+N153</f>
        <v>58520</v>
      </c>
      <c r="P153" s="14">
        <f>IFERROR(ROUND(SUM(S154)/I153, 2),0)</f>
        <v>390</v>
      </c>
      <c r="Q153" s="15">
        <v>1010</v>
      </c>
      <c r="R153" s="14">
        <f>P153+ROUND(Q153, 2)</f>
        <v>1400</v>
      </c>
      <c r="S153" s="14">
        <f>ROUND(P153*I153, 2)</f>
        <v>16302</v>
      </c>
      <c r="T153" s="14">
        <f>ROUND(I153*ROUND(Q153, 2), 2)</f>
        <v>42218</v>
      </c>
      <c r="U153" s="14">
        <f>S153+T153</f>
        <v>58520</v>
      </c>
      <c r="V153" s="9">
        <f>ROUND(P153 / 1.2, 2)</f>
        <v>325</v>
      </c>
      <c r="W153" s="9">
        <f>ROUND(Q153 / 1.2, 2)</f>
        <v>841.67</v>
      </c>
      <c r="X153" s="9">
        <f>ROUND(R153 / 1.2, 2)</f>
        <v>1166.67</v>
      </c>
      <c r="Y153" s="9">
        <f t="shared" si="9"/>
        <v>13585</v>
      </c>
      <c r="Z153" s="9">
        <f>ROUND(T153 / 1.2, 2)</f>
        <v>35181.67</v>
      </c>
      <c r="AA153" s="9">
        <f>Y153+Z153</f>
        <v>48766.67</v>
      </c>
      <c r="AD153" s="4">
        <v>282589005</v>
      </c>
      <c r="AE153" s="4">
        <v>20866627</v>
      </c>
      <c r="AG153" s="4" t="s">
        <v>582</v>
      </c>
      <c r="AH153" s="4" t="s">
        <v>583</v>
      </c>
      <c r="AI153" s="4" t="s">
        <v>170</v>
      </c>
    </row>
    <row r="154" spans="1:35" ht="37.5" x14ac:dyDescent="0.25">
      <c r="A154" s="10" t="s">
        <v>601</v>
      </c>
      <c r="B154" s="10"/>
      <c r="C154" s="16" t="s">
        <v>585</v>
      </c>
      <c r="D154" s="12"/>
      <c r="E154" s="12"/>
      <c r="F154" s="17" t="s">
        <v>222</v>
      </c>
      <c r="G154" s="18">
        <v>1.5</v>
      </c>
      <c r="H154" s="18"/>
      <c r="I154" s="18">
        <v>62.7</v>
      </c>
      <c r="J154" s="19">
        <v>260</v>
      </c>
      <c r="M154" s="20">
        <f>ROUND(ROUND(J154, 2)*I154, 2)</f>
        <v>16302</v>
      </c>
      <c r="P154" s="19">
        <v>260</v>
      </c>
      <c r="S154" s="20">
        <f>ROUND(ROUND(P154, 2)*I154, 2)</f>
        <v>16302</v>
      </c>
      <c r="V154" s="9">
        <f>ROUND(ROUND(P154, 2)/1.2, 2)</f>
        <v>216.67</v>
      </c>
      <c r="Y154" s="9">
        <f t="shared" si="9"/>
        <v>13585</v>
      </c>
      <c r="AD154" s="4" t="s">
        <v>602</v>
      </c>
      <c r="AE154" s="4" t="s">
        <v>603</v>
      </c>
      <c r="AF154" s="4" t="s">
        <v>588</v>
      </c>
    </row>
    <row r="155" spans="1:35" ht="18.75" x14ac:dyDescent="0.25">
      <c r="A155" s="10" t="s">
        <v>604</v>
      </c>
      <c r="B155" s="10" t="s">
        <v>579</v>
      </c>
      <c r="C155" s="11" t="s">
        <v>580</v>
      </c>
      <c r="D155" s="12"/>
      <c r="E155" s="12" t="s">
        <v>605</v>
      </c>
      <c r="F155" s="12" t="s">
        <v>59</v>
      </c>
      <c r="G155" s="13">
        <v>1</v>
      </c>
      <c r="H155" s="13"/>
      <c r="I155" s="13">
        <v>25.2</v>
      </c>
      <c r="J155" s="14">
        <f>IFERROR(ROUND(SUM(M156)/I155, 2),0)</f>
        <v>390</v>
      </c>
      <c r="K155" s="15">
        <v>1010</v>
      </c>
      <c r="L155" s="14">
        <f>J155+ROUND(K155, 2)</f>
        <v>1400</v>
      </c>
      <c r="M155" s="14">
        <f>ROUND(J155*I155, 2)</f>
        <v>9828</v>
      </c>
      <c r="N155" s="14">
        <f>ROUND(I155*ROUND(K155, 2), 2)</f>
        <v>25452</v>
      </c>
      <c r="O155" s="14">
        <f>M155+N155</f>
        <v>35280</v>
      </c>
      <c r="P155" s="14">
        <f>IFERROR(ROUND(SUM(S156)/I155, 2),0)</f>
        <v>390</v>
      </c>
      <c r="Q155" s="15">
        <v>1010</v>
      </c>
      <c r="R155" s="14">
        <f>P155+ROUND(Q155, 2)</f>
        <v>1400</v>
      </c>
      <c r="S155" s="14">
        <f>ROUND(P155*I155, 2)</f>
        <v>9828</v>
      </c>
      <c r="T155" s="14">
        <f>ROUND(I155*ROUND(Q155, 2), 2)</f>
        <v>25452</v>
      </c>
      <c r="U155" s="14">
        <f>S155+T155</f>
        <v>35280</v>
      </c>
      <c r="V155" s="9">
        <f>ROUND(P155 / 1.2, 2)</f>
        <v>325</v>
      </c>
      <c r="W155" s="9">
        <f>ROUND(Q155 / 1.2, 2)</f>
        <v>841.67</v>
      </c>
      <c r="X155" s="9">
        <f>ROUND(R155 / 1.2, 2)</f>
        <v>1166.67</v>
      </c>
      <c r="Y155" s="9">
        <f t="shared" si="9"/>
        <v>8190</v>
      </c>
      <c r="Z155" s="9">
        <f>ROUND(T155 / 1.2, 2)</f>
        <v>21210</v>
      </c>
      <c r="AA155" s="9">
        <f>Y155+Z155</f>
        <v>29400</v>
      </c>
      <c r="AD155" s="4">
        <v>282589006</v>
      </c>
      <c r="AE155" s="4">
        <v>20866620</v>
      </c>
      <c r="AG155" s="4" t="s">
        <v>582</v>
      </c>
      <c r="AH155" s="4" t="s">
        <v>583</v>
      </c>
      <c r="AI155" s="4" t="s">
        <v>170</v>
      </c>
    </row>
    <row r="156" spans="1:35" ht="37.5" x14ac:dyDescent="0.25">
      <c r="A156" s="10" t="s">
        <v>606</v>
      </c>
      <c r="B156" s="10"/>
      <c r="C156" s="16" t="s">
        <v>585</v>
      </c>
      <c r="D156" s="12"/>
      <c r="E156" s="12"/>
      <c r="F156" s="17" t="s">
        <v>222</v>
      </c>
      <c r="G156" s="18">
        <v>1.5</v>
      </c>
      <c r="H156" s="18"/>
      <c r="I156" s="18">
        <v>37.799999999999997</v>
      </c>
      <c r="J156" s="19">
        <v>260</v>
      </c>
      <c r="M156" s="20">
        <f>ROUND(ROUND(J156, 2)*I156, 2)</f>
        <v>9828</v>
      </c>
      <c r="P156" s="19">
        <v>260</v>
      </c>
      <c r="S156" s="20">
        <f>ROUND(ROUND(P156, 2)*I156, 2)</f>
        <v>9828</v>
      </c>
      <c r="V156" s="9">
        <f>ROUND(ROUND(P156, 2)/1.2, 2)</f>
        <v>216.67</v>
      </c>
      <c r="Y156" s="9">
        <f t="shared" si="9"/>
        <v>8190</v>
      </c>
      <c r="AD156" s="4" t="s">
        <v>607</v>
      </c>
      <c r="AE156" s="4" t="s">
        <v>608</v>
      </c>
      <c r="AF156" s="4" t="s">
        <v>588</v>
      </c>
    </row>
    <row r="157" spans="1:35" ht="75" x14ac:dyDescent="0.25">
      <c r="A157" s="10" t="s">
        <v>609</v>
      </c>
      <c r="B157" s="10" t="s">
        <v>579</v>
      </c>
      <c r="C157" s="11" t="s">
        <v>580</v>
      </c>
      <c r="D157" s="12"/>
      <c r="E157" s="12" t="s">
        <v>610</v>
      </c>
      <c r="F157" s="12" t="s">
        <v>59</v>
      </c>
      <c r="G157" s="13">
        <v>1</v>
      </c>
      <c r="H157" s="13"/>
      <c r="I157" s="13">
        <v>9.3000000000000007</v>
      </c>
      <c r="J157" s="14">
        <f>IFERROR(ROUND(SUM(M158)/I157, 2),0)</f>
        <v>390</v>
      </c>
      <c r="K157" s="15">
        <v>1010</v>
      </c>
      <c r="L157" s="14">
        <f>J157+ROUND(K157, 2)</f>
        <v>1400</v>
      </c>
      <c r="M157" s="14">
        <f>ROUND(J157*I157, 2)</f>
        <v>3627</v>
      </c>
      <c r="N157" s="14">
        <f>ROUND(I157*ROUND(K157, 2), 2)</f>
        <v>9393</v>
      </c>
      <c r="O157" s="14">
        <f>M157+N157</f>
        <v>13020</v>
      </c>
      <c r="P157" s="14">
        <f>IFERROR(ROUND(SUM(S158)/I157, 2),0)</f>
        <v>390</v>
      </c>
      <c r="Q157" s="15">
        <v>1010</v>
      </c>
      <c r="R157" s="14">
        <f>P157+ROUND(Q157, 2)</f>
        <v>1400</v>
      </c>
      <c r="S157" s="14">
        <f>ROUND(P157*I157, 2)</f>
        <v>3627</v>
      </c>
      <c r="T157" s="14">
        <f>ROUND(I157*ROUND(Q157, 2), 2)</f>
        <v>9393</v>
      </c>
      <c r="U157" s="14">
        <f>S157+T157</f>
        <v>13020</v>
      </c>
      <c r="V157" s="9">
        <f>ROUND(P157 / 1.2, 2)</f>
        <v>325</v>
      </c>
      <c r="W157" s="9">
        <f>ROUND(Q157 / 1.2, 2)</f>
        <v>841.67</v>
      </c>
      <c r="X157" s="9">
        <f>ROUND(R157 / 1.2, 2)</f>
        <v>1166.67</v>
      </c>
      <c r="Y157" s="9">
        <f t="shared" si="9"/>
        <v>3022.5</v>
      </c>
      <c r="Z157" s="9">
        <f>ROUND(T157 / 1.2, 2)</f>
        <v>7827.5</v>
      </c>
      <c r="AA157" s="9">
        <f>Y157+Z157</f>
        <v>10850</v>
      </c>
      <c r="AD157" s="4">
        <v>282589007</v>
      </c>
      <c r="AE157" s="4">
        <v>21180286</v>
      </c>
      <c r="AG157" s="4" t="s">
        <v>582</v>
      </c>
      <c r="AH157" s="4" t="s">
        <v>583</v>
      </c>
      <c r="AI157" s="4" t="s">
        <v>170</v>
      </c>
    </row>
    <row r="158" spans="1:35" ht="37.5" x14ac:dyDescent="0.25">
      <c r="A158" s="10" t="s">
        <v>611</v>
      </c>
      <c r="B158" s="10"/>
      <c r="C158" s="16" t="s">
        <v>585</v>
      </c>
      <c r="D158" s="12"/>
      <c r="E158" s="12"/>
      <c r="F158" s="17" t="s">
        <v>222</v>
      </c>
      <c r="G158" s="18">
        <v>1.5</v>
      </c>
      <c r="H158" s="18"/>
      <c r="I158" s="18">
        <v>13.95</v>
      </c>
      <c r="J158" s="19">
        <v>260</v>
      </c>
      <c r="M158" s="20">
        <f>ROUND(ROUND(J158, 2)*I158, 2)</f>
        <v>3627</v>
      </c>
      <c r="P158" s="19">
        <v>260</v>
      </c>
      <c r="S158" s="20">
        <f>ROUND(ROUND(P158, 2)*I158, 2)</f>
        <v>3627</v>
      </c>
      <c r="V158" s="9">
        <f>ROUND(ROUND(P158, 2)/1.2, 2)</f>
        <v>216.67</v>
      </c>
      <c r="Y158" s="9">
        <f t="shared" si="9"/>
        <v>3022.5</v>
      </c>
      <c r="AD158" s="4" t="s">
        <v>612</v>
      </c>
      <c r="AE158" s="4" t="s">
        <v>613</v>
      </c>
      <c r="AF158" s="4" t="s">
        <v>588</v>
      </c>
    </row>
    <row r="159" spans="1:35" ht="56.25" x14ac:dyDescent="0.25">
      <c r="A159" s="10" t="s">
        <v>614</v>
      </c>
      <c r="B159" s="10" t="s">
        <v>579</v>
      </c>
      <c r="C159" s="11" t="s">
        <v>580</v>
      </c>
      <c r="D159" s="12"/>
      <c r="E159" s="12" t="s">
        <v>615</v>
      </c>
      <c r="F159" s="12" t="s">
        <v>59</v>
      </c>
      <c r="G159" s="13">
        <v>1</v>
      </c>
      <c r="H159" s="13"/>
      <c r="I159" s="13">
        <v>9.4</v>
      </c>
      <c r="J159" s="14">
        <f>IFERROR(ROUND(SUM(M160)/I159, 2),0)</f>
        <v>390</v>
      </c>
      <c r="K159" s="15">
        <v>1010</v>
      </c>
      <c r="L159" s="14">
        <f>J159+ROUND(K159, 2)</f>
        <v>1400</v>
      </c>
      <c r="M159" s="14">
        <f>ROUND(J159*I159, 2)</f>
        <v>3666</v>
      </c>
      <c r="N159" s="14">
        <f>ROUND(I159*ROUND(K159, 2), 2)</f>
        <v>9494</v>
      </c>
      <c r="O159" s="14">
        <f>M159+N159</f>
        <v>13160</v>
      </c>
      <c r="P159" s="14">
        <f>IFERROR(ROUND(SUM(S160)/I159, 2),0)</f>
        <v>390</v>
      </c>
      <c r="Q159" s="15">
        <v>1010</v>
      </c>
      <c r="R159" s="14">
        <f>P159+ROUND(Q159, 2)</f>
        <v>1400</v>
      </c>
      <c r="S159" s="14">
        <f>ROUND(P159*I159, 2)</f>
        <v>3666</v>
      </c>
      <c r="T159" s="14">
        <f>ROUND(I159*ROUND(Q159, 2), 2)</f>
        <v>9494</v>
      </c>
      <c r="U159" s="14">
        <f>S159+T159</f>
        <v>13160</v>
      </c>
      <c r="V159" s="9">
        <f>ROUND(P159 / 1.2, 2)</f>
        <v>325</v>
      </c>
      <c r="W159" s="9">
        <f>ROUND(Q159 / 1.2, 2)</f>
        <v>841.67</v>
      </c>
      <c r="X159" s="9">
        <f>ROUND(R159 / 1.2, 2)</f>
        <v>1166.67</v>
      </c>
      <c r="Y159" s="9">
        <f t="shared" si="9"/>
        <v>3055</v>
      </c>
      <c r="Z159" s="9">
        <f>ROUND(T159 / 1.2, 2)</f>
        <v>7911.67</v>
      </c>
      <c r="AA159" s="9">
        <f>Y159+Z159</f>
        <v>10966.67</v>
      </c>
      <c r="AD159" s="4">
        <v>282589008</v>
      </c>
      <c r="AE159" s="4">
        <v>21180287</v>
      </c>
      <c r="AG159" s="4" t="s">
        <v>582</v>
      </c>
      <c r="AH159" s="4" t="s">
        <v>583</v>
      </c>
      <c r="AI159" s="4" t="s">
        <v>170</v>
      </c>
    </row>
    <row r="160" spans="1:35" ht="37.5" x14ac:dyDescent="0.25">
      <c r="A160" s="10" t="s">
        <v>616</v>
      </c>
      <c r="B160" s="10"/>
      <c r="C160" s="16" t="s">
        <v>585</v>
      </c>
      <c r="D160" s="12"/>
      <c r="E160" s="12"/>
      <c r="F160" s="17" t="s">
        <v>222</v>
      </c>
      <c r="G160" s="18">
        <v>1.5</v>
      </c>
      <c r="H160" s="18"/>
      <c r="I160" s="18">
        <v>14.1</v>
      </c>
      <c r="J160" s="19">
        <v>260</v>
      </c>
      <c r="M160" s="20">
        <f>ROUND(ROUND(J160, 2)*I160, 2)</f>
        <v>3666</v>
      </c>
      <c r="P160" s="19">
        <v>260</v>
      </c>
      <c r="S160" s="20">
        <f>ROUND(ROUND(P160, 2)*I160, 2)</f>
        <v>3666</v>
      </c>
      <c r="V160" s="9">
        <f>ROUND(ROUND(P160, 2)/1.2, 2)</f>
        <v>216.67</v>
      </c>
      <c r="Y160" s="9">
        <f t="shared" si="9"/>
        <v>3055</v>
      </c>
      <c r="AD160" s="4" t="s">
        <v>617</v>
      </c>
      <c r="AE160" s="4" t="s">
        <v>618</v>
      </c>
      <c r="AF160" s="4" t="s">
        <v>588</v>
      </c>
    </row>
    <row r="161" spans="1:35" ht="168.75" x14ac:dyDescent="0.25">
      <c r="A161" s="10" t="s">
        <v>619</v>
      </c>
      <c r="B161" s="10" t="s">
        <v>620</v>
      </c>
      <c r="C161" s="11" t="s">
        <v>621</v>
      </c>
      <c r="D161" s="12"/>
      <c r="E161" s="12" t="s">
        <v>622</v>
      </c>
      <c r="F161" s="12" t="s">
        <v>59</v>
      </c>
      <c r="G161" s="13">
        <v>1</v>
      </c>
      <c r="H161" s="13"/>
      <c r="I161" s="13">
        <v>227.3</v>
      </c>
      <c r="J161" s="14">
        <f>IFERROR(ROUND(SUM(M162)/I161, 2),0)</f>
        <v>418</v>
      </c>
      <c r="K161" s="15">
        <v>1010</v>
      </c>
      <c r="L161" s="14">
        <f>J161+ROUND(K161, 2)</f>
        <v>1428</v>
      </c>
      <c r="M161" s="14">
        <f>ROUND(J161*I161, 2)</f>
        <v>95011.4</v>
      </c>
      <c r="N161" s="14">
        <f>ROUND(I161*ROUND(K161, 2), 2)</f>
        <v>229573</v>
      </c>
      <c r="O161" s="14">
        <f>M161+N161</f>
        <v>324584.40000000002</v>
      </c>
      <c r="P161" s="14">
        <f>IFERROR(ROUND(SUM(S162)/I161, 2),0)</f>
        <v>418</v>
      </c>
      <c r="Q161" s="15">
        <v>1010</v>
      </c>
      <c r="R161" s="14">
        <f>P161+ROUND(Q161, 2)</f>
        <v>1428</v>
      </c>
      <c r="S161" s="14">
        <f>ROUND(P161*I161, 2)</f>
        <v>95011.4</v>
      </c>
      <c r="T161" s="14">
        <f>ROUND(I161*ROUND(Q161, 2), 2)</f>
        <v>229573</v>
      </c>
      <c r="U161" s="14">
        <f>S161+T161</f>
        <v>324584.40000000002</v>
      </c>
      <c r="V161" s="9">
        <f>ROUND(P161 / 1.2, 2)</f>
        <v>348.33</v>
      </c>
      <c r="W161" s="9">
        <f>ROUND(Q161 / 1.2, 2)</f>
        <v>841.67</v>
      </c>
      <c r="X161" s="9">
        <f>ROUND(R161 / 1.2, 2)</f>
        <v>1190</v>
      </c>
      <c r="Y161" s="9">
        <f t="shared" si="9"/>
        <v>79176.17</v>
      </c>
      <c r="Z161" s="9">
        <f>ROUND(T161 / 1.2, 2)</f>
        <v>191310.83</v>
      </c>
      <c r="AA161" s="9">
        <f>Y161+Z161</f>
        <v>270487</v>
      </c>
      <c r="AD161" s="4">
        <v>282588958</v>
      </c>
      <c r="AE161" s="4">
        <v>20348169</v>
      </c>
      <c r="AG161" s="4" t="s">
        <v>623</v>
      </c>
      <c r="AH161" s="4" t="s">
        <v>624</v>
      </c>
      <c r="AI161" s="4" t="s">
        <v>170</v>
      </c>
    </row>
    <row r="162" spans="1:35" ht="337.5" x14ac:dyDescent="0.25">
      <c r="A162" s="10" t="s">
        <v>625</v>
      </c>
      <c r="B162" s="10"/>
      <c r="C162" s="16" t="s">
        <v>626</v>
      </c>
      <c r="D162" s="12"/>
      <c r="E162" s="12" t="s">
        <v>627</v>
      </c>
      <c r="F162" s="17" t="s">
        <v>222</v>
      </c>
      <c r="G162" s="18">
        <v>1</v>
      </c>
      <c r="H162" s="18"/>
      <c r="I162" s="18">
        <v>227.3</v>
      </c>
      <c r="J162" s="19">
        <v>418</v>
      </c>
      <c r="M162" s="20">
        <f>ROUND(ROUND(J162, 2)*I162, 2)</f>
        <v>95011.4</v>
      </c>
      <c r="P162" s="19">
        <v>418</v>
      </c>
      <c r="S162" s="20">
        <f>ROUND(ROUND(P162, 2)*I162, 2)</f>
        <v>95011.4</v>
      </c>
      <c r="V162" s="9">
        <f>ROUND(ROUND(P162, 2)/1.2, 2)</f>
        <v>348.33</v>
      </c>
      <c r="Y162" s="9">
        <f t="shared" si="9"/>
        <v>79176.17</v>
      </c>
      <c r="AD162" s="4" t="s">
        <v>628</v>
      </c>
      <c r="AE162" s="4" t="s">
        <v>629</v>
      </c>
      <c r="AF162" s="4" t="s">
        <v>630</v>
      </c>
    </row>
    <row r="163" spans="1:35" ht="75" x14ac:dyDescent="0.25">
      <c r="A163" s="10" t="s">
        <v>631</v>
      </c>
      <c r="B163" s="10" t="s">
        <v>632</v>
      </c>
      <c r="C163" s="11" t="s">
        <v>633</v>
      </c>
      <c r="D163" s="12"/>
      <c r="E163" s="12" t="s">
        <v>634</v>
      </c>
      <c r="F163" s="12" t="s">
        <v>59</v>
      </c>
      <c r="G163" s="13">
        <v>1</v>
      </c>
      <c r="H163" s="13"/>
      <c r="I163" s="13">
        <v>276</v>
      </c>
      <c r="J163" s="14">
        <f>IFERROR(ROUND(SUM(M164,M165)/I163, 2),0)</f>
        <v>378.29</v>
      </c>
      <c r="K163" s="15">
        <v>428</v>
      </c>
      <c r="L163" s="14">
        <f>J163+ROUND(K163, 2)</f>
        <v>806.29</v>
      </c>
      <c r="M163" s="14">
        <f>ROUND(J163*I163, 2)</f>
        <v>104408.04</v>
      </c>
      <c r="N163" s="14">
        <f>ROUND(I163*ROUND(K163, 2), 2)</f>
        <v>118128</v>
      </c>
      <c r="O163" s="14">
        <f>M163+N163</f>
        <v>222536.03999999998</v>
      </c>
      <c r="P163" s="14">
        <f>IFERROR(ROUND(SUM(S164,S165)/I163, 2),0)</f>
        <v>162.09</v>
      </c>
      <c r="Q163" s="15">
        <v>428</v>
      </c>
      <c r="R163" s="14">
        <f>P163+ROUND(Q163, 2)</f>
        <v>590.09</v>
      </c>
      <c r="S163" s="14">
        <f>ROUND(P163*I163, 2)</f>
        <v>44736.84</v>
      </c>
      <c r="T163" s="14">
        <f>ROUND(I163*ROUND(Q163, 2), 2)</f>
        <v>118128</v>
      </c>
      <c r="U163" s="14">
        <f>S163+T163</f>
        <v>162864.84</v>
      </c>
      <c r="V163" s="9">
        <f>ROUND(P163 / 1.2, 2)</f>
        <v>135.08000000000001</v>
      </c>
      <c r="W163" s="9">
        <f>ROUND(Q163 / 1.2, 2)</f>
        <v>356.67</v>
      </c>
      <c r="X163" s="9">
        <f>ROUND(R163 / 1.2, 2)</f>
        <v>491.74</v>
      </c>
      <c r="Y163" s="9">
        <f t="shared" si="9"/>
        <v>37280.699999999997</v>
      </c>
      <c r="Z163" s="9">
        <f>ROUND(T163 / 1.2, 2)</f>
        <v>98440</v>
      </c>
      <c r="AA163" s="9">
        <f>Y163+Z163</f>
        <v>135720.70000000001</v>
      </c>
      <c r="AD163" s="4">
        <v>282588960</v>
      </c>
      <c r="AE163" s="4">
        <v>20300509</v>
      </c>
      <c r="AG163" s="4" t="s">
        <v>635</v>
      </c>
      <c r="AH163" s="4" t="s">
        <v>636</v>
      </c>
      <c r="AI163" s="4" t="s">
        <v>170</v>
      </c>
    </row>
    <row r="164" spans="1:35" ht="37.5" x14ac:dyDescent="0.25">
      <c r="A164" s="10" t="s">
        <v>637</v>
      </c>
      <c r="B164" s="10"/>
      <c r="C164" s="16" t="s">
        <v>383</v>
      </c>
      <c r="D164" s="12"/>
      <c r="E164" s="12"/>
      <c r="F164" s="17" t="s">
        <v>173</v>
      </c>
      <c r="G164" s="18">
        <v>0.15</v>
      </c>
      <c r="H164" s="18"/>
      <c r="I164" s="18">
        <v>41.4</v>
      </c>
      <c r="J164" s="19">
        <v>88.8</v>
      </c>
      <c r="M164" s="20">
        <f>ROUND(ROUND(J164, 2)*I164, 2)</f>
        <v>3676.32</v>
      </c>
      <c r="P164" s="19">
        <v>88.8</v>
      </c>
      <c r="S164" s="20">
        <f>ROUND(ROUND(P164, 2)*I164, 2)</f>
        <v>3676.32</v>
      </c>
      <c r="V164" s="9">
        <f>ROUND(ROUND(P164, 2)/1.2, 2)</f>
        <v>74</v>
      </c>
      <c r="Y164" s="9">
        <f t="shared" si="9"/>
        <v>3063.6</v>
      </c>
      <c r="AD164" s="4" t="s">
        <v>638</v>
      </c>
      <c r="AE164" s="4" t="s">
        <v>639</v>
      </c>
      <c r="AF164" s="4" t="s">
        <v>386</v>
      </c>
    </row>
    <row r="165" spans="1:35" ht="37.5" x14ac:dyDescent="0.25">
      <c r="A165" s="10" t="s">
        <v>640</v>
      </c>
      <c r="B165" s="10"/>
      <c r="C165" s="16" t="s">
        <v>641</v>
      </c>
      <c r="D165" s="12"/>
      <c r="E165" s="12"/>
      <c r="F165" s="17" t="s">
        <v>173</v>
      </c>
      <c r="G165" s="18">
        <v>0.3</v>
      </c>
      <c r="H165" s="18"/>
      <c r="I165" s="18">
        <v>82.8</v>
      </c>
      <c r="J165" s="19">
        <v>1216.56</v>
      </c>
      <c r="M165" s="20">
        <f>ROUND(ROUND(J165, 2)*I165, 2)</f>
        <v>100731.17</v>
      </c>
      <c r="P165" s="19">
        <v>495.9</v>
      </c>
      <c r="S165" s="20">
        <f>ROUND(ROUND(P165, 2)*I165, 2)</f>
        <v>41060.519999999997</v>
      </c>
      <c r="V165" s="9">
        <f>ROUND(ROUND(P165, 2)/1.2, 2)</f>
        <v>413.25</v>
      </c>
      <c r="Y165" s="9">
        <f t="shared" si="9"/>
        <v>34217.1</v>
      </c>
      <c r="AD165" s="4" t="s">
        <v>642</v>
      </c>
      <c r="AE165" s="4" t="s">
        <v>643</v>
      </c>
      <c r="AF165" s="4" t="s">
        <v>644</v>
      </c>
    </row>
    <row r="166" spans="1:35" ht="75" x14ac:dyDescent="0.25">
      <c r="A166" s="10" t="s">
        <v>645</v>
      </c>
      <c r="B166" s="10" t="s">
        <v>632</v>
      </c>
      <c r="C166" s="11" t="s">
        <v>633</v>
      </c>
      <c r="D166" s="12"/>
      <c r="E166" s="12" t="s">
        <v>646</v>
      </c>
      <c r="F166" s="12" t="s">
        <v>59</v>
      </c>
      <c r="G166" s="13">
        <v>1</v>
      </c>
      <c r="H166" s="13"/>
      <c r="I166" s="13">
        <v>224.5</v>
      </c>
      <c r="J166" s="14">
        <f>IFERROR(ROUND(SUM(M167,M168)/I166, 2),0)</f>
        <v>378.29</v>
      </c>
      <c r="K166" s="15">
        <v>428</v>
      </c>
      <c r="L166" s="14">
        <f>J166+ROUND(K166, 2)</f>
        <v>806.29</v>
      </c>
      <c r="M166" s="14">
        <f>ROUND(J166*I166, 2)</f>
        <v>84926.11</v>
      </c>
      <c r="N166" s="14">
        <f>ROUND(I166*ROUND(K166, 2), 2)</f>
        <v>96086</v>
      </c>
      <c r="O166" s="14">
        <f>M166+N166</f>
        <v>181012.11</v>
      </c>
      <c r="P166" s="14">
        <f>IFERROR(ROUND(SUM(S167,S168)/I166, 2),0)</f>
        <v>162.09</v>
      </c>
      <c r="Q166" s="15">
        <v>428</v>
      </c>
      <c r="R166" s="14">
        <f>P166+ROUND(Q166, 2)</f>
        <v>590.09</v>
      </c>
      <c r="S166" s="14">
        <f>ROUND(P166*I166, 2)</f>
        <v>36389.21</v>
      </c>
      <c r="T166" s="14">
        <f>ROUND(I166*ROUND(Q166, 2), 2)</f>
        <v>96086</v>
      </c>
      <c r="U166" s="14">
        <f>S166+T166</f>
        <v>132475.21</v>
      </c>
      <c r="V166" s="9">
        <f>ROUND(P166 / 1.2, 2)</f>
        <v>135.08000000000001</v>
      </c>
      <c r="W166" s="9">
        <f>ROUND(Q166 / 1.2, 2)</f>
        <v>356.67</v>
      </c>
      <c r="X166" s="9">
        <f>ROUND(R166 / 1.2, 2)</f>
        <v>491.74</v>
      </c>
      <c r="Y166" s="9">
        <f t="shared" si="9"/>
        <v>30324.34</v>
      </c>
      <c r="Z166" s="9">
        <f>ROUND(T166 / 1.2, 2)</f>
        <v>80071.67</v>
      </c>
      <c r="AA166" s="9">
        <f>Y166+Z166</f>
        <v>110396.01</v>
      </c>
      <c r="AD166" s="4">
        <v>282589009</v>
      </c>
      <c r="AE166" s="4">
        <v>20300511</v>
      </c>
      <c r="AG166" s="4" t="s">
        <v>635</v>
      </c>
      <c r="AH166" s="4" t="s">
        <v>636</v>
      </c>
      <c r="AI166" s="4" t="s">
        <v>170</v>
      </c>
    </row>
    <row r="167" spans="1:35" ht="37.5" x14ac:dyDescent="0.25">
      <c r="A167" s="10" t="s">
        <v>647</v>
      </c>
      <c r="B167" s="10"/>
      <c r="C167" s="16" t="s">
        <v>641</v>
      </c>
      <c r="D167" s="12"/>
      <c r="E167" s="12"/>
      <c r="F167" s="17" t="s">
        <v>173</v>
      </c>
      <c r="G167" s="18">
        <v>0.3</v>
      </c>
      <c r="H167" s="18"/>
      <c r="I167" s="18">
        <v>67.349999999999994</v>
      </c>
      <c r="J167" s="19">
        <v>1216.56</v>
      </c>
      <c r="M167" s="20">
        <f>ROUND(ROUND(J167, 2)*I167, 2)</f>
        <v>81935.320000000007</v>
      </c>
      <c r="P167" s="19">
        <v>495.9</v>
      </c>
      <c r="S167" s="20">
        <f>ROUND(ROUND(P167, 2)*I167, 2)</f>
        <v>33398.870000000003</v>
      </c>
      <c r="V167" s="9">
        <f>ROUND(ROUND(P167, 2)/1.2, 2)</f>
        <v>413.25</v>
      </c>
      <c r="Y167" s="9">
        <f t="shared" si="9"/>
        <v>27832.39</v>
      </c>
      <c r="AD167" s="4" t="s">
        <v>648</v>
      </c>
      <c r="AE167" s="4" t="s">
        <v>649</v>
      </c>
      <c r="AF167" s="4" t="s">
        <v>644</v>
      </c>
    </row>
    <row r="168" spans="1:35" ht="37.5" x14ac:dyDescent="0.25">
      <c r="A168" s="10" t="s">
        <v>650</v>
      </c>
      <c r="B168" s="10"/>
      <c r="C168" s="16" t="s">
        <v>383</v>
      </c>
      <c r="D168" s="12"/>
      <c r="E168" s="12"/>
      <c r="F168" s="17" t="s">
        <v>173</v>
      </c>
      <c r="G168" s="18">
        <v>0.15</v>
      </c>
      <c r="H168" s="18"/>
      <c r="I168" s="18">
        <v>33.674999999999997</v>
      </c>
      <c r="J168" s="19">
        <v>88.8</v>
      </c>
      <c r="M168" s="20">
        <f>ROUND(ROUND(J168, 2)*I168, 2)</f>
        <v>2990.34</v>
      </c>
      <c r="P168" s="19">
        <v>88.8</v>
      </c>
      <c r="S168" s="20">
        <f>ROUND(ROUND(P168, 2)*I168, 2)</f>
        <v>2990.34</v>
      </c>
      <c r="V168" s="9">
        <f>ROUND(ROUND(P168, 2)/1.2, 2)</f>
        <v>74</v>
      </c>
      <c r="Y168" s="9">
        <f t="shared" si="9"/>
        <v>2491.9499999999998</v>
      </c>
      <c r="AD168" s="4" t="s">
        <v>651</v>
      </c>
      <c r="AE168" s="4" t="s">
        <v>652</v>
      </c>
      <c r="AF168" s="4" t="s">
        <v>386</v>
      </c>
    </row>
    <row r="169" spans="1:35" ht="75" x14ac:dyDescent="0.25">
      <c r="A169" s="10" t="s">
        <v>653</v>
      </c>
      <c r="B169" s="10" t="s">
        <v>632</v>
      </c>
      <c r="C169" s="11" t="s">
        <v>633</v>
      </c>
      <c r="D169" s="12"/>
      <c r="E169" s="12" t="s">
        <v>654</v>
      </c>
      <c r="F169" s="12" t="s">
        <v>59</v>
      </c>
      <c r="G169" s="13">
        <v>1</v>
      </c>
      <c r="H169" s="13"/>
      <c r="I169" s="13">
        <v>180</v>
      </c>
      <c r="J169" s="14">
        <f>IFERROR(ROUND(SUM(M170,M171)/I169, 2),0)</f>
        <v>378.29</v>
      </c>
      <c r="K169" s="15">
        <v>428</v>
      </c>
      <c r="L169" s="14">
        <f>J169+ROUND(K169, 2)</f>
        <v>806.29</v>
      </c>
      <c r="M169" s="14">
        <f>ROUND(J169*I169, 2)</f>
        <v>68092.2</v>
      </c>
      <c r="N169" s="14">
        <f>ROUND(I169*ROUND(K169, 2), 2)</f>
        <v>77040</v>
      </c>
      <c r="O169" s="14">
        <f>M169+N169</f>
        <v>145132.20000000001</v>
      </c>
      <c r="P169" s="14">
        <f>IFERROR(ROUND(SUM(S170,S171)/I169, 2),0)</f>
        <v>162.09</v>
      </c>
      <c r="Q169" s="15">
        <v>428</v>
      </c>
      <c r="R169" s="14">
        <f>P169+ROUND(Q169, 2)</f>
        <v>590.09</v>
      </c>
      <c r="S169" s="14">
        <f>ROUND(P169*I169, 2)</f>
        <v>29176.2</v>
      </c>
      <c r="T169" s="14">
        <f>ROUND(I169*ROUND(Q169, 2), 2)</f>
        <v>77040</v>
      </c>
      <c r="U169" s="14">
        <f>S169+T169</f>
        <v>106216.2</v>
      </c>
      <c r="V169" s="9">
        <f>ROUND(P169 / 1.2, 2)</f>
        <v>135.08000000000001</v>
      </c>
      <c r="W169" s="9">
        <f>ROUND(Q169 / 1.2, 2)</f>
        <v>356.67</v>
      </c>
      <c r="X169" s="9">
        <f>ROUND(R169 / 1.2, 2)</f>
        <v>491.74</v>
      </c>
      <c r="Y169" s="9">
        <f t="shared" si="9"/>
        <v>24313.5</v>
      </c>
      <c r="Z169" s="9">
        <f>ROUND(T169 / 1.2, 2)</f>
        <v>64200</v>
      </c>
      <c r="AA169" s="9">
        <f>Y169+Z169</f>
        <v>88513.5</v>
      </c>
      <c r="AD169" s="4">
        <v>282589010</v>
      </c>
      <c r="AE169" s="4">
        <v>20300513</v>
      </c>
      <c r="AG169" s="4" t="s">
        <v>635</v>
      </c>
      <c r="AH169" s="4" t="s">
        <v>636</v>
      </c>
      <c r="AI169" s="4" t="s">
        <v>170</v>
      </c>
    </row>
    <row r="170" spans="1:35" ht="37.5" x14ac:dyDescent="0.25">
      <c r="A170" s="10" t="s">
        <v>655</v>
      </c>
      <c r="B170" s="10"/>
      <c r="C170" s="16" t="s">
        <v>383</v>
      </c>
      <c r="D170" s="12"/>
      <c r="E170" s="12"/>
      <c r="F170" s="17" t="s">
        <v>173</v>
      </c>
      <c r="G170" s="18">
        <v>0.15</v>
      </c>
      <c r="H170" s="18"/>
      <c r="I170" s="18">
        <v>27</v>
      </c>
      <c r="J170" s="19">
        <v>88.8</v>
      </c>
      <c r="M170" s="20">
        <f>ROUND(ROUND(J170, 2)*I170, 2)</f>
        <v>2397.6</v>
      </c>
      <c r="P170" s="19">
        <v>88.8</v>
      </c>
      <c r="S170" s="20">
        <f>ROUND(ROUND(P170, 2)*I170, 2)</f>
        <v>2397.6</v>
      </c>
      <c r="V170" s="9">
        <f>ROUND(ROUND(P170, 2)/1.2, 2)</f>
        <v>74</v>
      </c>
      <c r="Y170" s="9">
        <f t="shared" si="9"/>
        <v>1998</v>
      </c>
      <c r="AD170" s="4" t="s">
        <v>656</v>
      </c>
      <c r="AE170" s="4" t="s">
        <v>657</v>
      </c>
      <c r="AF170" s="4" t="s">
        <v>386</v>
      </c>
    </row>
    <row r="171" spans="1:35" ht="37.5" x14ac:dyDescent="0.25">
      <c r="A171" s="10" t="s">
        <v>658</v>
      </c>
      <c r="B171" s="10"/>
      <c r="C171" s="16" t="s">
        <v>641</v>
      </c>
      <c r="D171" s="12"/>
      <c r="E171" s="12"/>
      <c r="F171" s="17" t="s">
        <v>173</v>
      </c>
      <c r="G171" s="18">
        <v>0.3</v>
      </c>
      <c r="H171" s="18"/>
      <c r="I171" s="18">
        <v>54</v>
      </c>
      <c r="J171" s="19">
        <v>1216.56</v>
      </c>
      <c r="M171" s="20">
        <f>ROUND(ROUND(J171, 2)*I171, 2)</f>
        <v>65694.240000000005</v>
      </c>
      <c r="P171" s="19">
        <v>495.9</v>
      </c>
      <c r="S171" s="20">
        <f>ROUND(ROUND(P171, 2)*I171, 2)</f>
        <v>26778.6</v>
      </c>
      <c r="V171" s="9">
        <f>ROUND(ROUND(P171, 2)/1.2, 2)</f>
        <v>413.25</v>
      </c>
      <c r="Y171" s="9">
        <f t="shared" si="9"/>
        <v>22315.5</v>
      </c>
      <c r="AD171" s="4" t="s">
        <v>659</v>
      </c>
      <c r="AE171" s="4" t="s">
        <v>660</v>
      </c>
      <c r="AF171" s="4" t="s">
        <v>644</v>
      </c>
    </row>
    <row r="172" spans="1:35" ht="75" x14ac:dyDescent="0.25">
      <c r="A172" s="10" t="s">
        <v>661</v>
      </c>
      <c r="B172" s="10" t="s">
        <v>632</v>
      </c>
      <c r="C172" s="11" t="s">
        <v>633</v>
      </c>
      <c r="D172" s="12"/>
      <c r="E172" s="12" t="s">
        <v>662</v>
      </c>
      <c r="F172" s="12" t="s">
        <v>59</v>
      </c>
      <c r="G172" s="13">
        <v>1</v>
      </c>
      <c r="H172" s="13"/>
      <c r="I172" s="13">
        <v>1285.3</v>
      </c>
      <c r="J172" s="14">
        <f>IFERROR(ROUND(SUM(M173,M174)/I172, 2),0)</f>
        <v>378.29</v>
      </c>
      <c r="K172" s="15">
        <v>428</v>
      </c>
      <c r="L172" s="14">
        <f>J172+ROUND(K172, 2)</f>
        <v>806.29</v>
      </c>
      <c r="M172" s="14">
        <f>ROUND(J172*I172, 2)</f>
        <v>486216.14</v>
      </c>
      <c r="N172" s="14">
        <f>ROUND(I172*ROUND(K172, 2), 2)</f>
        <v>550108.4</v>
      </c>
      <c r="O172" s="14">
        <f>M172+N172</f>
        <v>1036324.54</v>
      </c>
      <c r="P172" s="14">
        <f>IFERROR(ROUND(SUM(S173,S174)/I172, 2),0)</f>
        <v>162.09</v>
      </c>
      <c r="Q172" s="15">
        <v>428</v>
      </c>
      <c r="R172" s="14">
        <f>P172+ROUND(Q172, 2)</f>
        <v>590.09</v>
      </c>
      <c r="S172" s="14">
        <f>ROUND(P172*I172, 2)</f>
        <v>208334.28</v>
      </c>
      <c r="T172" s="14">
        <f>ROUND(I172*ROUND(Q172, 2), 2)</f>
        <v>550108.4</v>
      </c>
      <c r="U172" s="14">
        <f>S172+T172</f>
        <v>758442.68</v>
      </c>
      <c r="V172" s="9">
        <f>ROUND(P172 / 1.2, 2)</f>
        <v>135.08000000000001</v>
      </c>
      <c r="W172" s="9">
        <f>ROUND(Q172 / 1.2, 2)</f>
        <v>356.67</v>
      </c>
      <c r="X172" s="9">
        <f>ROUND(R172 / 1.2, 2)</f>
        <v>491.74</v>
      </c>
      <c r="Y172" s="9">
        <f t="shared" si="9"/>
        <v>173611.9</v>
      </c>
      <c r="Z172" s="9">
        <f>ROUND(T172 / 1.2, 2)</f>
        <v>458423.67</v>
      </c>
      <c r="AA172" s="9">
        <f>Y172+Z172</f>
        <v>632035.56999999995</v>
      </c>
      <c r="AD172" s="4">
        <v>282589011</v>
      </c>
      <c r="AE172" s="4">
        <v>20300713</v>
      </c>
      <c r="AG172" s="4" t="s">
        <v>635</v>
      </c>
      <c r="AH172" s="4" t="s">
        <v>636</v>
      </c>
      <c r="AI172" s="4" t="s">
        <v>170</v>
      </c>
    </row>
    <row r="173" spans="1:35" ht="37.5" x14ac:dyDescent="0.25">
      <c r="A173" s="10" t="s">
        <v>663</v>
      </c>
      <c r="B173" s="10"/>
      <c r="C173" s="16" t="s">
        <v>641</v>
      </c>
      <c r="D173" s="12"/>
      <c r="E173" s="12"/>
      <c r="F173" s="17" t="s">
        <v>173</v>
      </c>
      <c r="G173" s="18">
        <v>0.3</v>
      </c>
      <c r="H173" s="18"/>
      <c r="I173" s="18">
        <v>385.59</v>
      </c>
      <c r="J173" s="19">
        <v>1216.56</v>
      </c>
      <c r="M173" s="20">
        <f>ROUND(ROUND(J173, 2)*I173, 2)</f>
        <v>469093.37</v>
      </c>
      <c r="P173" s="19">
        <v>495.9</v>
      </c>
      <c r="S173" s="20">
        <f>ROUND(ROUND(P173, 2)*I173, 2)</f>
        <v>191214.07999999999</v>
      </c>
      <c r="V173" s="9">
        <f>ROUND(ROUND(P173, 2)/1.2, 2)</f>
        <v>413.25</v>
      </c>
      <c r="Y173" s="9">
        <f t="shared" si="9"/>
        <v>159345.07</v>
      </c>
      <c r="AD173" s="4" t="s">
        <v>664</v>
      </c>
      <c r="AE173" s="4" t="s">
        <v>665</v>
      </c>
      <c r="AF173" s="4" t="s">
        <v>644</v>
      </c>
    </row>
    <row r="174" spans="1:35" ht="37.5" x14ac:dyDescent="0.25">
      <c r="A174" s="10" t="s">
        <v>666</v>
      </c>
      <c r="B174" s="10"/>
      <c r="C174" s="16" t="s">
        <v>383</v>
      </c>
      <c r="D174" s="12"/>
      <c r="E174" s="12"/>
      <c r="F174" s="17" t="s">
        <v>173</v>
      </c>
      <c r="G174" s="18">
        <v>0.15</v>
      </c>
      <c r="H174" s="18"/>
      <c r="I174" s="18">
        <v>192.79499999999999</v>
      </c>
      <c r="J174" s="19">
        <v>88.8</v>
      </c>
      <c r="M174" s="20">
        <f>ROUND(ROUND(J174, 2)*I174, 2)</f>
        <v>17120.2</v>
      </c>
      <c r="P174" s="19">
        <v>88.8</v>
      </c>
      <c r="S174" s="20">
        <f>ROUND(ROUND(P174, 2)*I174, 2)</f>
        <v>17120.2</v>
      </c>
      <c r="V174" s="9">
        <f>ROUND(ROUND(P174, 2)/1.2, 2)</f>
        <v>74</v>
      </c>
      <c r="Y174" s="9">
        <f t="shared" si="9"/>
        <v>14266.83</v>
      </c>
      <c r="AD174" s="4" t="s">
        <v>667</v>
      </c>
      <c r="AE174" s="4" t="s">
        <v>668</v>
      </c>
      <c r="AF174" s="4" t="s">
        <v>386</v>
      </c>
    </row>
    <row r="175" spans="1:35" ht="75" x14ac:dyDescent="0.25">
      <c r="A175" s="10" t="s">
        <v>669</v>
      </c>
      <c r="B175" s="10" t="s">
        <v>632</v>
      </c>
      <c r="C175" s="11" t="s">
        <v>633</v>
      </c>
      <c r="D175" s="12"/>
      <c r="E175" s="12" t="s">
        <v>670</v>
      </c>
      <c r="F175" s="12" t="s">
        <v>59</v>
      </c>
      <c r="G175" s="13">
        <v>1</v>
      </c>
      <c r="H175" s="13"/>
      <c r="I175" s="13">
        <v>101.4</v>
      </c>
      <c r="J175" s="14">
        <f>IFERROR(ROUND(SUM(M176,M177)/I175, 2),0)</f>
        <v>378.29</v>
      </c>
      <c r="K175" s="15">
        <v>428</v>
      </c>
      <c r="L175" s="14">
        <f>J175+ROUND(K175, 2)</f>
        <v>806.29</v>
      </c>
      <c r="M175" s="14">
        <f>ROUND(J175*I175, 2)</f>
        <v>38358.61</v>
      </c>
      <c r="N175" s="14">
        <f>ROUND(I175*ROUND(K175, 2), 2)</f>
        <v>43399.199999999997</v>
      </c>
      <c r="O175" s="14">
        <f>M175+N175</f>
        <v>81757.81</v>
      </c>
      <c r="P175" s="14">
        <f>IFERROR(ROUND(SUM(S176,S177)/I175, 2),0)</f>
        <v>162.09</v>
      </c>
      <c r="Q175" s="15">
        <v>428</v>
      </c>
      <c r="R175" s="14">
        <f>P175+ROUND(Q175, 2)</f>
        <v>590.09</v>
      </c>
      <c r="S175" s="14">
        <f>ROUND(P175*I175, 2)</f>
        <v>16435.93</v>
      </c>
      <c r="T175" s="14">
        <f>ROUND(I175*ROUND(Q175, 2), 2)</f>
        <v>43399.199999999997</v>
      </c>
      <c r="U175" s="14">
        <f>S175+T175</f>
        <v>59835.13</v>
      </c>
      <c r="V175" s="9">
        <f>ROUND(P175 / 1.2, 2)</f>
        <v>135.08000000000001</v>
      </c>
      <c r="W175" s="9">
        <f>ROUND(Q175 / 1.2, 2)</f>
        <v>356.67</v>
      </c>
      <c r="X175" s="9">
        <f>ROUND(R175 / 1.2, 2)</f>
        <v>491.74</v>
      </c>
      <c r="Y175" s="9">
        <f t="shared" si="9"/>
        <v>13696.61</v>
      </c>
      <c r="Z175" s="9">
        <f>ROUND(T175 / 1.2, 2)</f>
        <v>36166</v>
      </c>
      <c r="AA175" s="9">
        <f>Y175+Z175</f>
        <v>49862.61</v>
      </c>
      <c r="AD175" s="4">
        <v>282589012</v>
      </c>
      <c r="AE175" s="4">
        <v>20300714</v>
      </c>
      <c r="AG175" s="4" t="s">
        <v>635</v>
      </c>
      <c r="AH175" s="4" t="s">
        <v>636</v>
      </c>
      <c r="AI175" s="4" t="s">
        <v>170</v>
      </c>
    </row>
    <row r="176" spans="1:35" ht="37.5" x14ac:dyDescent="0.25">
      <c r="A176" s="10" t="s">
        <v>671</v>
      </c>
      <c r="B176" s="10"/>
      <c r="C176" s="16" t="s">
        <v>383</v>
      </c>
      <c r="D176" s="12"/>
      <c r="E176" s="12"/>
      <c r="F176" s="17" t="s">
        <v>173</v>
      </c>
      <c r="G176" s="18">
        <v>0.15</v>
      </c>
      <c r="H176" s="18"/>
      <c r="I176" s="18">
        <v>15.21</v>
      </c>
      <c r="J176" s="19">
        <v>88.8</v>
      </c>
      <c r="M176" s="20">
        <f>ROUND(ROUND(J176, 2)*I176, 2)</f>
        <v>1350.65</v>
      </c>
      <c r="P176" s="19">
        <v>88.8</v>
      </c>
      <c r="S176" s="20">
        <f>ROUND(ROUND(P176, 2)*I176, 2)</f>
        <v>1350.65</v>
      </c>
      <c r="V176" s="9">
        <f>ROUND(ROUND(P176, 2)/1.2, 2)</f>
        <v>74</v>
      </c>
      <c r="Y176" s="9">
        <f t="shared" si="9"/>
        <v>1125.54</v>
      </c>
      <c r="AD176" s="4" t="s">
        <v>672</v>
      </c>
      <c r="AE176" s="4" t="s">
        <v>673</v>
      </c>
      <c r="AF176" s="4" t="s">
        <v>386</v>
      </c>
    </row>
    <row r="177" spans="1:35" ht="37.5" x14ac:dyDescent="0.25">
      <c r="A177" s="10" t="s">
        <v>674</v>
      </c>
      <c r="B177" s="10"/>
      <c r="C177" s="16" t="s">
        <v>641</v>
      </c>
      <c r="D177" s="12"/>
      <c r="E177" s="12"/>
      <c r="F177" s="17" t="s">
        <v>173</v>
      </c>
      <c r="G177" s="18">
        <v>0.3</v>
      </c>
      <c r="H177" s="18"/>
      <c r="I177" s="18">
        <v>30.42</v>
      </c>
      <c r="J177" s="19">
        <v>1216.56</v>
      </c>
      <c r="M177" s="20">
        <f>ROUND(ROUND(J177, 2)*I177, 2)</f>
        <v>37007.760000000002</v>
      </c>
      <c r="P177" s="19">
        <v>495.9</v>
      </c>
      <c r="S177" s="20">
        <f>ROUND(ROUND(P177, 2)*I177, 2)</f>
        <v>15085.28</v>
      </c>
      <c r="V177" s="9">
        <f>ROUND(ROUND(P177, 2)/1.2, 2)</f>
        <v>413.25</v>
      </c>
      <c r="Y177" s="9">
        <f t="shared" si="9"/>
        <v>12571.07</v>
      </c>
      <c r="AD177" s="4" t="s">
        <v>675</v>
      </c>
      <c r="AE177" s="4" t="s">
        <v>676</v>
      </c>
      <c r="AF177" s="4" t="s">
        <v>644</v>
      </c>
    </row>
    <row r="178" spans="1:35" ht="75" x14ac:dyDescent="0.25">
      <c r="A178" s="10" t="s">
        <v>677</v>
      </c>
      <c r="B178" s="10" t="s">
        <v>632</v>
      </c>
      <c r="C178" s="11" t="s">
        <v>633</v>
      </c>
      <c r="D178" s="12"/>
      <c r="E178" s="12" t="s">
        <v>678</v>
      </c>
      <c r="F178" s="12" t="s">
        <v>59</v>
      </c>
      <c r="G178" s="13">
        <v>1</v>
      </c>
      <c r="H178" s="13"/>
      <c r="I178" s="13">
        <v>23.1</v>
      </c>
      <c r="J178" s="14">
        <f>IFERROR(ROUND(SUM(M179,M180)/I178, 2),0)</f>
        <v>378.29</v>
      </c>
      <c r="K178" s="15">
        <v>428</v>
      </c>
      <c r="L178" s="14">
        <f>J178+ROUND(K178, 2)</f>
        <v>806.29</v>
      </c>
      <c r="M178" s="14">
        <f>ROUND(J178*I178, 2)</f>
        <v>8738.5</v>
      </c>
      <c r="N178" s="14">
        <f>ROUND(I178*ROUND(K178, 2), 2)</f>
        <v>9886.7999999999993</v>
      </c>
      <c r="O178" s="14">
        <f>M178+N178</f>
        <v>18625.3</v>
      </c>
      <c r="P178" s="14">
        <f>IFERROR(ROUND(SUM(S179,S180)/I178, 2),0)</f>
        <v>162.09</v>
      </c>
      <c r="Q178" s="15">
        <v>428</v>
      </c>
      <c r="R178" s="14">
        <f>P178+ROUND(Q178, 2)</f>
        <v>590.09</v>
      </c>
      <c r="S178" s="14">
        <f>ROUND(P178*I178, 2)</f>
        <v>3744.28</v>
      </c>
      <c r="T178" s="14">
        <f>ROUND(I178*ROUND(Q178, 2), 2)</f>
        <v>9886.7999999999993</v>
      </c>
      <c r="U178" s="14">
        <f>S178+T178</f>
        <v>13631.08</v>
      </c>
      <c r="V178" s="9">
        <f>ROUND(P178 / 1.2, 2)</f>
        <v>135.08000000000001</v>
      </c>
      <c r="W178" s="9">
        <f>ROUND(Q178 / 1.2, 2)</f>
        <v>356.67</v>
      </c>
      <c r="X178" s="9">
        <f>ROUND(R178 / 1.2, 2)</f>
        <v>491.74</v>
      </c>
      <c r="Y178" s="9">
        <f t="shared" si="9"/>
        <v>3120.23</v>
      </c>
      <c r="Z178" s="9">
        <f>ROUND(T178 / 1.2, 2)</f>
        <v>8239</v>
      </c>
      <c r="AA178" s="9">
        <f>Y178+Z178</f>
        <v>11359.23</v>
      </c>
      <c r="AD178" s="4">
        <v>282589013</v>
      </c>
      <c r="AE178" s="4">
        <v>20300715</v>
      </c>
      <c r="AG178" s="4" t="s">
        <v>635</v>
      </c>
      <c r="AH178" s="4" t="s">
        <v>636</v>
      </c>
      <c r="AI178" s="4" t="s">
        <v>170</v>
      </c>
    </row>
    <row r="179" spans="1:35" ht="37.5" x14ac:dyDescent="0.25">
      <c r="A179" s="10" t="s">
        <v>679</v>
      </c>
      <c r="B179" s="10"/>
      <c r="C179" s="16" t="s">
        <v>641</v>
      </c>
      <c r="D179" s="12"/>
      <c r="E179" s="12"/>
      <c r="F179" s="17" t="s">
        <v>173</v>
      </c>
      <c r="G179" s="18">
        <v>0.3</v>
      </c>
      <c r="H179" s="18"/>
      <c r="I179" s="18">
        <v>6.93</v>
      </c>
      <c r="J179" s="19">
        <v>1216.56</v>
      </c>
      <c r="M179" s="20">
        <f>ROUND(ROUND(J179, 2)*I179, 2)</f>
        <v>8430.76</v>
      </c>
      <c r="P179" s="19">
        <v>495.9</v>
      </c>
      <c r="S179" s="20">
        <f>ROUND(ROUND(P179, 2)*I179, 2)</f>
        <v>3436.59</v>
      </c>
      <c r="V179" s="9">
        <f>ROUND(ROUND(P179, 2)/1.2, 2)</f>
        <v>413.25</v>
      </c>
      <c r="Y179" s="9">
        <f t="shared" si="9"/>
        <v>2863.83</v>
      </c>
      <c r="AD179" s="4" t="s">
        <v>680</v>
      </c>
      <c r="AE179" s="4" t="s">
        <v>681</v>
      </c>
      <c r="AF179" s="4" t="s">
        <v>644</v>
      </c>
    </row>
    <row r="180" spans="1:35" ht="37.5" x14ac:dyDescent="0.25">
      <c r="A180" s="10" t="s">
        <v>682</v>
      </c>
      <c r="B180" s="10"/>
      <c r="C180" s="16" t="s">
        <v>383</v>
      </c>
      <c r="D180" s="12"/>
      <c r="E180" s="12"/>
      <c r="F180" s="17" t="s">
        <v>173</v>
      </c>
      <c r="G180" s="18">
        <v>0.15</v>
      </c>
      <c r="H180" s="18"/>
      <c r="I180" s="18">
        <v>3.4649999999999999</v>
      </c>
      <c r="J180" s="19">
        <v>88.8</v>
      </c>
      <c r="M180" s="20">
        <f>ROUND(ROUND(J180, 2)*I180, 2)</f>
        <v>307.69</v>
      </c>
      <c r="P180" s="19">
        <v>88.8</v>
      </c>
      <c r="S180" s="20">
        <f>ROUND(ROUND(P180, 2)*I180, 2)</f>
        <v>307.69</v>
      </c>
      <c r="V180" s="9">
        <f>ROUND(ROUND(P180, 2)/1.2, 2)</f>
        <v>74</v>
      </c>
      <c r="Y180" s="9">
        <f t="shared" si="9"/>
        <v>256.41000000000003</v>
      </c>
      <c r="AD180" s="4" t="s">
        <v>683</v>
      </c>
      <c r="AE180" s="4" t="s">
        <v>684</v>
      </c>
      <c r="AF180" s="4" t="s">
        <v>386</v>
      </c>
    </row>
    <row r="181" spans="1:35" ht="75" x14ac:dyDescent="0.25">
      <c r="A181" s="10" t="s">
        <v>685</v>
      </c>
      <c r="B181" s="10" t="s">
        <v>632</v>
      </c>
      <c r="C181" s="11" t="s">
        <v>633</v>
      </c>
      <c r="D181" s="12"/>
      <c r="E181" s="12" t="s">
        <v>686</v>
      </c>
      <c r="F181" s="12" t="s">
        <v>59</v>
      </c>
      <c r="G181" s="13">
        <v>1</v>
      </c>
      <c r="H181" s="13"/>
      <c r="I181" s="13">
        <v>18.5</v>
      </c>
      <c r="J181" s="14">
        <f>IFERROR(ROUND(SUM(M182,M183)/I181, 2),0)</f>
        <v>378.29</v>
      </c>
      <c r="K181" s="15">
        <v>428</v>
      </c>
      <c r="L181" s="14">
        <f>J181+ROUND(K181, 2)</f>
        <v>806.29</v>
      </c>
      <c r="M181" s="14">
        <f>ROUND(J181*I181, 2)</f>
        <v>6998.37</v>
      </c>
      <c r="N181" s="14">
        <f>ROUND(I181*ROUND(K181, 2), 2)</f>
        <v>7918</v>
      </c>
      <c r="O181" s="14">
        <f>M181+N181</f>
        <v>14916.369999999999</v>
      </c>
      <c r="P181" s="14">
        <f>IFERROR(ROUND(SUM(S182,S183)/I181, 2),0)</f>
        <v>162.09</v>
      </c>
      <c r="Q181" s="15">
        <v>428</v>
      </c>
      <c r="R181" s="14">
        <f>P181+ROUND(Q181, 2)</f>
        <v>590.09</v>
      </c>
      <c r="S181" s="14">
        <f>ROUND(P181*I181, 2)</f>
        <v>2998.67</v>
      </c>
      <c r="T181" s="14">
        <f>ROUND(I181*ROUND(Q181, 2), 2)</f>
        <v>7918</v>
      </c>
      <c r="U181" s="14">
        <f>S181+T181</f>
        <v>10916.67</v>
      </c>
      <c r="V181" s="9">
        <f>ROUND(P181 / 1.2, 2)</f>
        <v>135.08000000000001</v>
      </c>
      <c r="W181" s="9">
        <f>ROUND(Q181 / 1.2, 2)</f>
        <v>356.67</v>
      </c>
      <c r="X181" s="9">
        <f>ROUND(R181 / 1.2, 2)</f>
        <v>491.74</v>
      </c>
      <c r="Y181" s="9">
        <f t="shared" si="9"/>
        <v>2498.89</v>
      </c>
      <c r="Z181" s="9">
        <f>ROUND(T181 / 1.2, 2)</f>
        <v>6598.33</v>
      </c>
      <c r="AA181" s="9">
        <f>Y181+Z181</f>
        <v>9097.2199999999993</v>
      </c>
      <c r="AD181" s="4">
        <v>282589014</v>
      </c>
      <c r="AE181" s="4">
        <v>20300709</v>
      </c>
      <c r="AG181" s="4" t="s">
        <v>635</v>
      </c>
      <c r="AH181" s="4" t="s">
        <v>636</v>
      </c>
      <c r="AI181" s="4" t="s">
        <v>170</v>
      </c>
    </row>
    <row r="182" spans="1:35" ht="37.5" x14ac:dyDescent="0.25">
      <c r="A182" s="10" t="s">
        <v>687</v>
      </c>
      <c r="B182" s="10"/>
      <c r="C182" s="16" t="s">
        <v>383</v>
      </c>
      <c r="D182" s="12"/>
      <c r="E182" s="12"/>
      <c r="F182" s="17" t="s">
        <v>173</v>
      </c>
      <c r="G182" s="18">
        <v>0.15</v>
      </c>
      <c r="H182" s="18"/>
      <c r="I182" s="18">
        <v>2.7749999999999999</v>
      </c>
      <c r="J182" s="19">
        <v>88.8</v>
      </c>
      <c r="M182" s="20">
        <f>ROUND(ROUND(J182, 2)*I182, 2)</f>
        <v>246.42</v>
      </c>
      <c r="P182" s="19">
        <v>88.8</v>
      </c>
      <c r="S182" s="20">
        <f>ROUND(ROUND(P182, 2)*I182, 2)</f>
        <v>246.42</v>
      </c>
      <c r="V182" s="9">
        <f>ROUND(ROUND(P182, 2)/1.2, 2)</f>
        <v>74</v>
      </c>
      <c r="Y182" s="9">
        <f t="shared" si="9"/>
        <v>205.35</v>
      </c>
      <c r="AD182" s="4" t="s">
        <v>688</v>
      </c>
      <c r="AE182" s="4" t="s">
        <v>689</v>
      </c>
      <c r="AF182" s="4" t="s">
        <v>386</v>
      </c>
    </row>
    <row r="183" spans="1:35" ht="37.5" x14ac:dyDescent="0.25">
      <c r="A183" s="10" t="s">
        <v>690</v>
      </c>
      <c r="B183" s="10"/>
      <c r="C183" s="16" t="s">
        <v>641</v>
      </c>
      <c r="D183" s="12"/>
      <c r="E183" s="12"/>
      <c r="F183" s="17" t="s">
        <v>173</v>
      </c>
      <c r="G183" s="18">
        <v>0.3</v>
      </c>
      <c r="H183" s="18"/>
      <c r="I183" s="18">
        <v>5.55</v>
      </c>
      <c r="J183" s="19">
        <v>1216.56</v>
      </c>
      <c r="M183" s="20">
        <f>ROUND(ROUND(J183, 2)*I183, 2)</f>
        <v>6751.91</v>
      </c>
      <c r="P183" s="19">
        <v>495.9</v>
      </c>
      <c r="S183" s="20">
        <f>ROUND(ROUND(P183, 2)*I183, 2)</f>
        <v>2752.25</v>
      </c>
      <c r="V183" s="9">
        <f>ROUND(ROUND(P183, 2)/1.2, 2)</f>
        <v>413.25</v>
      </c>
      <c r="Y183" s="9">
        <f t="shared" si="9"/>
        <v>2293.54</v>
      </c>
      <c r="AD183" s="4" t="s">
        <v>691</v>
      </c>
      <c r="AE183" s="4" t="s">
        <v>692</v>
      </c>
      <c r="AF183" s="4" t="s">
        <v>644</v>
      </c>
    </row>
    <row r="184" spans="1:35" ht="37.5" x14ac:dyDescent="0.25">
      <c r="A184" s="10" t="s">
        <v>693</v>
      </c>
      <c r="B184" s="10" t="s">
        <v>632</v>
      </c>
      <c r="C184" s="11" t="s">
        <v>633</v>
      </c>
      <c r="D184" s="12"/>
      <c r="E184" s="12" t="s">
        <v>694</v>
      </c>
      <c r="F184" s="12" t="s">
        <v>59</v>
      </c>
      <c r="G184" s="13">
        <v>1</v>
      </c>
      <c r="H184" s="13"/>
      <c r="I184" s="13">
        <v>253.5</v>
      </c>
      <c r="J184" s="14">
        <f>IFERROR(ROUND(SUM(M185,M186)/I184, 2),0)</f>
        <v>378.29</v>
      </c>
      <c r="K184" s="15">
        <v>428</v>
      </c>
      <c r="L184" s="14">
        <f>J184+ROUND(K184, 2)</f>
        <v>806.29</v>
      </c>
      <c r="M184" s="14">
        <f>ROUND(J184*I184, 2)</f>
        <v>95896.52</v>
      </c>
      <c r="N184" s="14">
        <f>ROUND(I184*ROUND(K184, 2), 2)</f>
        <v>108498</v>
      </c>
      <c r="O184" s="14">
        <f>M184+N184</f>
        <v>204394.52000000002</v>
      </c>
      <c r="P184" s="14">
        <f>IFERROR(ROUND(SUM(S185,S186)/I184, 2),0)</f>
        <v>162.09</v>
      </c>
      <c r="Q184" s="15">
        <v>428</v>
      </c>
      <c r="R184" s="14">
        <f>P184+ROUND(Q184, 2)</f>
        <v>590.09</v>
      </c>
      <c r="S184" s="14">
        <f>ROUND(P184*I184, 2)</f>
        <v>41089.82</v>
      </c>
      <c r="T184" s="14">
        <f>ROUND(I184*ROUND(Q184, 2), 2)</f>
        <v>108498</v>
      </c>
      <c r="U184" s="14">
        <f>S184+T184</f>
        <v>149587.82</v>
      </c>
      <c r="V184" s="9">
        <f>ROUND(P184 / 1.2, 2)</f>
        <v>135.08000000000001</v>
      </c>
      <c r="W184" s="9">
        <f>ROUND(Q184 / 1.2, 2)</f>
        <v>356.67</v>
      </c>
      <c r="X184" s="9">
        <f>ROUND(R184 / 1.2, 2)</f>
        <v>491.74</v>
      </c>
      <c r="Y184" s="9">
        <f t="shared" si="9"/>
        <v>34241.519999999997</v>
      </c>
      <c r="Z184" s="9">
        <f>ROUND(T184 / 1.2, 2)</f>
        <v>90415</v>
      </c>
      <c r="AA184" s="9">
        <f>Y184+Z184</f>
        <v>124656.51999999999</v>
      </c>
      <c r="AD184" s="4">
        <v>282589015</v>
      </c>
      <c r="AE184" s="4">
        <v>20300710</v>
      </c>
      <c r="AG184" s="4" t="s">
        <v>635</v>
      </c>
      <c r="AH184" s="4" t="s">
        <v>636</v>
      </c>
      <c r="AI184" s="4" t="s">
        <v>170</v>
      </c>
    </row>
    <row r="185" spans="1:35" ht="37.5" x14ac:dyDescent="0.25">
      <c r="A185" s="10" t="s">
        <v>695</v>
      </c>
      <c r="B185" s="10"/>
      <c r="C185" s="16" t="s">
        <v>641</v>
      </c>
      <c r="D185" s="12"/>
      <c r="E185" s="12"/>
      <c r="F185" s="17" t="s">
        <v>173</v>
      </c>
      <c r="G185" s="18">
        <v>0.3</v>
      </c>
      <c r="H185" s="18"/>
      <c r="I185" s="18">
        <v>76.05</v>
      </c>
      <c r="J185" s="19">
        <v>1216.56</v>
      </c>
      <c r="M185" s="20">
        <f>ROUND(ROUND(J185, 2)*I185, 2)</f>
        <v>92519.39</v>
      </c>
      <c r="P185" s="19">
        <v>495.9</v>
      </c>
      <c r="S185" s="20">
        <f>ROUND(ROUND(P185, 2)*I185, 2)</f>
        <v>37713.199999999997</v>
      </c>
      <c r="V185" s="9">
        <f>ROUND(ROUND(P185, 2)/1.2, 2)</f>
        <v>413.25</v>
      </c>
      <c r="Y185" s="9">
        <f t="shared" si="9"/>
        <v>31427.67</v>
      </c>
      <c r="AD185" s="4" t="s">
        <v>696</v>
      </c>
      <c r="AE185" s="4" t="s">
        <v>697</v>
      </c>
      <c r="AF185" s="4" t="s">
        <v>644</v>
      </c>
    </row>
    <row r="186" spans="1:35" ht="37.5" x14ac:dyDescent="0.25">
      <c r="A186" s="10" t="s">
        <v>698</v>
      </c>
      <c r="B186" s="10"/>
      <c r="C186" s="16" t="s">
        <v>383</v>
      </c>
      <c r="D186" s="12"/>
      <c r="E186" s="12"/>
      <c r="F186" s="17" t="s">
        <v>173</v>
      </c>
      <c r="G186" s="18">
        <v>0.15</v>
      </c>
      <c r="H186" s="18"/>
      <c r="I186" s="18">
        <v>38.024999999999999</v>
      </c>
      <c r="J186" s="19">
        <v>88.8</v>
      </c>
      <c r="M186" s="20">
        <f>ROUND(ROUND(J186, 2)*I186, 2)</f>
        <v>3376.62</v>
      </c>
      <c r="P186" s="19">
        <v>88.8</v>
      </c>
      <c r="S186" s="20">
        <f>ROUND(ROUND(P186, 2)*I186, 2)</f>
        <v>3376.62</v>
      </c>
      <c r="V186" s="9">
        <f>ROUND(ROUND(P186, 2)/1.2, 2)</f>
        <v>74</v>
      </c>
      <c r="Y186" s="9">
        <f t="shared" si="9"/>
        <v>2813.85</v>
      </c>
      <c r="AD186" s="4" t="s">
        <v>699</v>
      </c>
      <c r="AE186" s="4" t="s">
        <v>700</v>
      </c>
      <c r="AF186" s="4" t="s">
        <v>386</v>
      </c>
    </row>
    <row r="187" spans="1:35" ht="75" x14ac:dyDescent="0.25">
      <c r="A187" s="10" t="s">
        <v>701</v>
      </c>
      <c r="B187" s="10" t="s">
        <v>702</v>
      </c>
      <c r="C187" s="11" t="s">
        <v>703</v>
      </c>
      <c r="D187" s="12"/>
      <c r="E187" s="12" t="s">
        <v>704</v>
      </c>
      <c r="F187" s="12" t="s">
        <v>59</v>
      </c>
      <c r="G187" s="13">
        <v>1</v>
      </c>
      <c r="H187" s="13"/>
      <c r="I187" s="13">
        <v>170.8</v>
      </c>
      <c r="J187" s="14">
        <f>IFERROR(ROUND(SUM(M188,M189)/I187, 2),0)</f>
        <v>290.51</v>
      </c>
      <c r="K187" s="15">
        <v>472</v>
      </c>
      <c r="L187" s="14">
        <f>J187+ROUND(K187, 2)</f>
        <v>762.51</v>
      </c>
      <c r="M187" s="14">
        <f>ROUND(J187*I187, 2)</f>
        <v>49619.11</v>
      </c>
      <c r="N187" s="14">
        <f>ROUND(I187*ROUND(K187, 2), 2)</f>
        <v>80617.600000000006</v>
      </c>
      <c r="O187" s="14">
        <f>M187+N187</f>
        <v>130236.71</v>
      </c>
      <c r="P187" s="14">
        <f>IFERROR(ROUND(SUM(S188,S189)/I187, 2),0)</f>
        <v>157.65</v>
      </c>
      <c r="Q187" s="15">
        <v>472</v>
      </c>
      <c r="R187" s="14">
        <f>P187+ROUND(Q187, 2)</f>
        <v>629.65</v>
      </c>
      <c r="S187" s="14">
        <f>ROUND(P187*I187, 2)</f>
        <v>26926.62</v>
      </c>
      <c r="T187" s="14">
        <f>ROUND(I187*ROUND(Q187, 2), 2)</f>
        <v>80617.600000000006</v>
      </c>
      <c r="U187" s="14">
        <f>S187+T187</f>
        <v>107544.22</v>
      </c>
      <c r="V187" s="9">
        <f>ROUND(P187 / 1.2, 2)</f>
        <v>131.38</v>
      </c>
      <c r="W187" s="9">
        <f>ROUND(Q187 / 1.2, 2)</f>
        <v>393.33</v>
      </c>
      <c r="X187" s="9">
        <f>ROUND(R187 / 1.2, 2)</f>
        <v>524.71</v>
      </c>
      <c r="Y187" s="9">
        <f t="shared" si="9"/>
        <v>22438.85</v>
      </c>
      <c r="Z187" s="9">
        <f>ROUND(T187 / 1.2, 2)</f>
        <v>67181.33</v>
      </c>
      <c r="AA187" s="9">
        <f>Y187+Z187</f>
        <v>89620.18</v>
      </c>
      <c r="AD187" s="4">
        <v>282588961</v>
      </c>
      <c r="AE187" s="4">
        <v>20300711</v>
      </c>
      <c r="AG187" s="4" t="s">
        <v>705</v>
      </c>
      <c r="AH187" s="4" t="s">
        <v>706</v>
      </c>
      <c r="AI187" s="4" t="s">
        <v>170</v>
      </c>
    </row>
    <row r="188" spans="1:35" ht="18.75" x14ac:dyDescent="0.25">
      <c r="A188" s="10" t="s">
        <v>707</v>
      </c>
      <c r="B188" s="10"/>
      <c r="C188" s="16" t="s">
        <v>708</v>
      </c>
      <c r="D188" s="12"/>
      <c r="E188" s="12"/>
      <c r="F188" s="17" t="s">
        <v>173</v>
      </c>
      <c r="G188" s="18">
        <v>0.3</v>
      </c>
      <c r="H188" s="18"/>
      <c r="I188" s="18">
        <v>51.24</v>
      </c>
      <c r="J188" s="19">
        <v>938.78</v>
      </c>
      <c r="M188" s="20">
        <f>ROUND(ROUND(J188, 2)*I188, 2)</f>
        <v>48103.09</v>
      </c>
      <c r="P188" s="19">
        <v>495.9</v>
      </c>
      <c r="S188" s="20">
        <f>ROUND(ROUND(P188, 2)*I188, 2)</f>
        <v>25409.919999999998</v>
      </c>
      <c r="V188" s="9">
        <f>ROUND(ROUND(P188, 2)/1.2, 2)</f>
        <v>413.25</v>
      </c>
      <c r="Y188" s="9">
        <f t="shared" si="9"/>
        <v>21174.93</v>
      </c>
      <c r="AD188" s="4" t="s">
        <v>709</v>
      </c>
      <c r="AE188" s="4" t="s">
        <v>710</v>
      </c>
      <c r="AF188" s="4" t="s">
        <v>711</v>
      </c>
    </row>
    <row r="189" spans="1:35" ht="37.5" x14ac:dyDescent="0.25">
      <c r="A189" s="10" t="s">
        <v>712</v>
      </c>
      <c r="B189" s="10"/>
      <c r="C189" s="16" t="s">
        <v>383</v>
      </c>
      <c r="D189" s="12"/>
      <c r="E189" s="12"/>
      <c r="F189" s="17" t="s">
        <v>173</v>
      </c>
      <c r="G189" s="18">
        <v>0.1</v>
      </c>
      <c r="H189" s="18"/>
      <c r="I189" s="18">
        <v>17.079999999999998</v>
      </c>
      <c r="J189" s="19">
        <v>88.8</v>
      </c>
      <c r="M189" s="20">
        <f>ROUND(ROUND(J189, 2)*I189, 2)</f>
        <v>1516.7</v>
      </c>
      <c r="P189" s="19">
        <v>88.8</v>
      </c>
      <c r="S189" s="20">
        <f>ROUND(ROUND(P189, 2)*I189, 2)</f>
        <v>1516.7</v>
      </c>
      <c r="V189" s="9">
        <f>ROUND(ROUND(P189, 2)/1.2, 2)</f>
        <v>74</v>
      </c>
      <c r="Y189" s="9">
        <f t="shared" si="9"/>
        <v>1263.92</v>
      </c>
      <c r="AD189" s="4" t="s">
        <v>713</v>
      </c>
      <c r="AE189" s="4" t="s">
        <v>714</v>
      </c>
      <c r="AF189" s="4" t="s">
        <v>386</v>
      </c>
    </row>
    <row r="190" spans="1:35" ht="56.25" x14ac:dyDescent="0.25">
      <c r="A190" s="10" t="s">
        <v>715</v>
      </c>
      <c r="B190" s="10" t="s">
        <v>716</v>
      </c>
      <c r="C190" s="11" t="s">
        <v>717</v>
      </c>
      <c r="D190" s="12"/>
      <c r="E190" s="12" t="s">
        <v>718</v>
      </c>
      <c r="F190" s="12" t="s">
        <v>59</v>
      </c>
      <c r="G190" s="13">
        <v>1</v>
      </c>
      <c r="H190" s="13"/>
      <c r="I190" s="13">
        <v>1163</v>
      </c>
      <c r="J190" s="14">
        <f>IFERROR(ROUND(SUM(M191,M192,M193,M194)/I190, 2),0)</f>
        <v>1522.58</v>
      </c>
      <c r="K190" s="15">
        <v>2364</v>
      </c>
      <c r="L190" s="14">
        <f>J190+ROUND(K190, 2)</f>
        <v>3886.58</v>
      </c>
      <c r="M190" s="14">
        <f>ROUND(J190*I190, 2)</f>
        <v>1770760.54</v>
      </c>
      <c r="N190" s="14">
        <f>ROUND(I190*ROUND(K190, 2), 2)</f>
        <v>2749332</v>
      </c>
      <c r="O190" s="14">
        <f>M190+N190</f>
        <v>4520092.54</v>
      </c>
      <c r="P190" s="14">
        <f>IFERROR(ROUND(SUM(S191,S192,S193,S194)/I190, 2),0)</f>
        <v>624.15</v>
      </c>
      <c r="Q190" s="15">
        <v>2364</v>
      </c>
      <c r="R190" s="14">
        <f>P190+ROUND(Q190, 2)</f>
        <v>2988.15</v>
      </c>
      <c r="S190" s="14">
        <f>ROUND(P190*I190, 2)</f>
        <v>725886.45</v>
      </c>
      <c r="T190" s="14">
        <f>ROUND(I190*ROUND(Q190, 2), 2)</f>
        <v>2749332</v>
      </c>
      <c r="U190" s="14">
        <f>S190+T190</f>
        <v>3475218.45</v>
      </c>
      <c r="V190" s="9">
        <f>ROUND(P190 / 1.2, 2)</f>
        <v>520.13</v>
      </c>
      <c r="W190" s="9">
        <f>ROUND(Q190 / 1.2, 2)</f>
        <v>1970</v>
      </c>
      <c r="X190" s="9">
        <f>ROUND(R190 / 1.2, 2)</f>
        <v>2490.13</v>
      </c>
      <c r="Y190" s="9">
        <f t="shared" si="9"/>
        <v>604905.38</v>
      </c>
      <c r="Z190" s="9">
        <f>ROUND(T190 / 1.2, 2)</f>
        <v>2291110</v>
      </c>
      <c r="AA190" s="9">
        <f>Y190+Z190</f>
        <v>2896015.38</v>
      </c>
      <c r="AD190" s="4">
        <v>282588963</v>
      </c>
      <c r="AE190" s="4">
        <v>20336106</v>
      </c>
      <c r="AG190" s="4" t="s">
        <v>719</v>
      </c>
      <c r="AH190" s="4" t="s">
        <v>720</v>
      </c>
      <c r="AI190" s="4" t="s">
        <v>170</v>
      </c>
    </row>
    <row r="191" spans="1:35" ht="37.5" x14ac:dyDescent="0.25">
      <c r="A191" s="10" t="s">
        <v>721</v>
      </c>
      <c r="B191" s="10"/>
      <c r="C191" s="16" t="s">
        <v>432</v>
      </c>
      <c r="D191" s="12"/>
      <c r="E191" s="12"/>
      <c r="F191" s="17" t="s">
        <v>173</v>
      </c>
      <c r="G191" s="18">
        <v>0.25</v>
      </c>
      <c r="H191" s="22"/>
      <c r="I191" s="22">
        <v>290.75</v>
      </c>
      <c r="J191" s="19">
        <v>40.270000000000003</v>
      </c>
      <c r="M191" s="20">
        <f>ROUND(ROUND(J191, 2)*I191, 2)</f>
        <v>11708.5</v>
      </c>
      <c r="P191" s="19">
        <v>40.270000000000003</v>
      </c>
      <c r="S191" s="20">
        <f>ROUND(ROUND(P191, 2)*I191, 2)</f>
        <v>11708.5</v>
      </c>
      <c r="V191" s="9">
        <f>ROUND(ROUND(P191, 2)/1.2, 2)</f>
        <v>33.56</v>
      </c>
      <c r="Y191" s="9">
        <f t="shared" si="9"/>
        <v>9757.08</v>
      </c>
      <c r="AD191" s="4" t="s">
        <v>722</v>
      </c>
      <c r="AE191" s="4" t="s">
        <v>723</v>
      </c>
      <c r="AF191" s="4" t="s">
        <v>435</v>
      </c>
    </row>
    <row r="192" spans="1:35" ht="37.5" x14ac:dyDescent="0.25">
      <c r="A192" s="10" t="s">
        <v>724</v>
      </c>
      <c r="B192" s="10"/>
      <c r="C192" s="16" t="s">
        <v>725</v>
      </c>
      <c r="D192" s="12"/>
      <c r="E192" s="12"/>
      <c r="F192" s="17" t="s">
        <v>173</v>
      </c>
      <c r="G192" s="18">
        <v>0.15</v>
      </c>
      <c r="H192" s="18"/>
      <c r="I192" s="18">
        <v>174.45</v>
      </c>
      <c r="J192" s="19">
        <v>68.400000000000006</v>
      </c>
      <c r="M192" s="20">
        <f>ROUND(ROUND(J192, 2)*I192, 2)</f>
        <v>11932.38</v>
      </c>
      <c r="P192" s="19">
        <v>68.400000000000006</v>
      </c>
      <c r="S192" s="20">
        <f>ROUND(ROUND(P192, 2)*I192, 2)</f>
        <v>11932.38</v>
      </c>
      <c r="V192" s="9">
        <f>ROUND(ROUND(P192, 2)/1.2, 2)</f>
        <v>57</v>
      </c>
      <c r="Y192" s="9">
        <f t="shared" si="9"/>
        <v>9943.65</v>
      </c>
      <c r="AD192" s="4" t="s">
        <v>726</v>
      </c>
      <c r="AE192" s="4" t="s">
        <v>727</v>
      </c>
      <c r="AF192" s="4" t="s">
        <v>728</v>
      </c>
    </row>
    <row r="193" spans="1:35" ht="37.5" x14ac:dyDescent="0.25">
      <c r="A193" s="10" t="s">
        <v>729</v>
      </c>
      <c r="B193" s="10"/>
      <c r="C193" s="21" t="s">
        <v>446</v>
      </c>
      <c r="D193" s="12"/>
      <c r="E193" s="12"/>
      <c r="F193" s="17" t="s">
        <v>173</v>
      </c>
      <c r="G193" s="18">
        <v>1.2</v>
      </c>
      <c r="H193" s="22"/>
      <c r="I193" s="22">
        <v>1395.6</v>
      </c>
      <c r="J193" s="19">
        <v>16.96</v>
      </c>
      <c r="M193" s="20">
        <f>ROUND(ROUND(J193, 2)*I193, 2)</f>
        <v>23669.38</v>
      </c>
      <c r="P193" s="19">
        <v>16.96</v>
      </c>
      <c r="S193" s="20">
        <f>ROUND(ROUND(P193, 2)*I193, 2)</f>
        <v>23669.38</v>
      </c>
      <c r="V193" s="9">
        <f>ROUND(ROUND(P193, 2)/1.2, 2)</f>
        <v>14.13</v>
      </c>
      <c r="Y193" s="9">
        <f t="shared" si="9"/>
        <v>19724.48</v>
      </c>
      <c r="AD193" s="4" t="s">
        <v>730</v>
      </c>
      <c r="AE193" s="4" t="s">
        <v>731</v>
      </c>
      <c r="AF193" s="4" t="s">
        <v>449</v>
      </c>
    </row>
    <row r="194" spans="1:35" ht="56.25" x14ac:dyDescent="0.25">
      <c r="A194" s="10" t="s">
        <v>732</v>
      </c>
      <c r="B194" s="10"/>
      <c r="C194" s="21" t="s">
        <v>733</v>
      </c>
      <c r="D194" s="12"/>
      <c r="E194" s="12" t="s">
        <v>427</v>
      </c>
      <c r="F194" s="17" t="s">
        <v>59</v>
      </c>
      <c r="G194" s="18">
        <v>1.07</v>
      </c>
      <c r="H194" s="22"/>
      <c r="I194" s="22">
        <v>1244.4100000000001</v>
      </c>
      <c r="J194" s="19">
        <v>1384.95</v>
      </c>
      <c r="M194" s="20">
        <f>ROUND(ROUND(J194, 2)*I194, 2)</f>
        <v>1723445.63</v>
      </c>
      <c r="P194" s="19">
        <v>545.29999999999995</v>
      </c>
      <c r="S194" s="20">
        <f>ROUND(ROUND(P194, 2)*I194, 2)</f>
        <v>678576.77</v>
      </c>
      <c r="V194" s="9">
        <f>ROUND(ROUND(P194, 2)/1.2, 2)</f>
        <v>454.42</v>
      </c>
      <c r="Y194" s="9">
        <f t="shared" si="9"/>
        <v>565480.64</v>
      </c>
      <c r="AD194" s="4" t="s">
        <v>734</v>
      </c>
      <c r="AE194" s="4" t="s">
        <v>735</v>
      </c>
      <c r="AF194" s="4" t="s">
        <v>736</v>
      </c>
    </row>
    <row r="195" spans="1:35" ht="56.25" x14ac:dyDescent="0.25">
      <c r="A195" s="10" t="s">
        <v>737</v>
      </c>
      <c r="B195" s="10" t="s">
        <v>716</v>
      </c>
      <c r="C195" s="11" t="s">
        <v>717</v>
      </c>
      <c r="D195" s="12"/>
      <c r="E195" s="12" t="s">
        <v>738</v>
      </c>
      <c r="F195" s="12" t="s">
        <v>59</v>
      </c>
      <c r="G195" s="13">
        <v>1</v>
      </c>
      <c r="H195" s="13"/>
      <c r="I195" s="13">
        <v>593.5</v>
      </c>
      <c r="J195" s="14">
        <f>IFERROR(ROUND(SUM(M196,M197,M198,M199)/I195, 2),0)</f>
        <v>1051.83</v>
      </c>
      <c r="K195" s="15">
        <v>2364</v>
      </c>
      <c r="L195" s="14">
        <f>J195+ROUND(K195, 2)</f>
        <v>3415.83</v>
      </c>
      <c r="M195" s="14">
        <f>ROUND(J195*I195, 2)</f>
        <v>624261.11</v>
      </c>
      <c r="N195" s="14">
        <f>ROUND(I195*ROUND(K195, 2), 2)</f>
        <v>1403034</v>
      </c>
      <c r="O195" s="14">
        <f>M195+N195</f>
        <v>2027295.1099999999</v>
      </c>
      <c r="P195" s="14">
        <f>IFERROR(ROUND(SUM(S196,S197,S198,S199)/I195, 2),0)</f>
        <v>1051.83</v>
      </c>
      <c r="Q195" s="15">
        <v>2364</v>
      </c>
      <c r="R195" s="14">
        <f>P195+ROUND(Q195, 2)</f>
        <v>3415.83</v>
      </c>
      <c r="S195" s="14">
        <f>ROUND(P195*I195, 2)</f>
        <v>624261.11</v>
      </c>
      <c r="T195" s="14">
        <f>ROUND(I195*ROUND(Q195, 2), 2)</f>
        <v>1403034</v>
      </c>
      <c r="U195" s="14">
        <f>S195+T195</f>
        <v>2027295.1099999999</v>
      </c>
      <c r="V195" s="9">
        <f>ROUND(P195 / 1.2, 2)</f>
        <v>876.53</v>
      </c>
      <c r="W195" s="9">
        <f>ROUND(Q195 / 1.2, 2)</f>
        <v>1970</v>
      </c>
      <c r="X195" s="9">
        <f>ROUND(R195 / 1.2, 2)</f>
        <v>2846.53</v>
      </c>
      <c r="Y195" s="9">
        <f t="shared" si="9"/>
        <v>520217.59</v>
      </c>
      <c r="Z195" s="9">
        <f>ROUND(T195 / 1.2, 2)</f>
        <v>1169195</v>
      </c>
      <c r="AA195" s="9">
        <f>Y195+Z195</f>
        <v>1689412.59</v>
      </c>
      <c r="AD195" s="4">
        <v>282589016</v>
      </c>
      <c r="AE195" s="4">
        <v>20867052</v>
      </c>
      <c r="AG195" s="4" t="s">
        <v>719</v>
      </c>
      <c r="AH195" s="4" t="s">
        <v>720</v>
      </c>
      <c r="AI195" s="4" t="s">
        <v>170</v>
      </c>
    </row>
    <row r="196" spans="1:35" ht="37.5" x14ac:dyDescent="0.25">
      <c r="A196" s="10" t="s">
        <v>739</v>
      </c>
      <c r="B196" s="10"/>
      <c r="C196" s="21" t="s">
        <v>740</v>
      </c>
      <c r="D196" s="12"/>
      <c r="E196" s="12"/>
      <c r="F196" s="17" t="s">
        <v>59</v>
      </c>
      <c r="G196" s="18">
        <v>1.07</v>
      </c>
      <c r="H196" s="22"/>
      <c r="I196" s="22">
        <v>635.04499999999996</v>
      </c>
      <c r="J196" s="19">
        <v>945</v>
      </c>
      <c r="M196" s="20">
        <f>ROUND(ROUND(J196, 2)*I196, 2)</f>
        <v>600117.53</v>
      </c>
      <c r="P196" s="19">
        <v>945</v>
      </c>
      <c r="S196" s="20">
        <f>ROUND(ROUND(P196, 2)*I196, 2)</f>
        <v>600117.53</v>
      </c>
      <c r="V196" s="9">
        <f>ROUND(ROUND(P196, 2)/1.2, 2)</f>
        <v>787.5</v>
      </c>
      <c r="Y196" s="9">
        <f t="shared" si="9"/>
        <v>500097.94</v>
      </c>
      <c r="AD196" s="4" t="s">
        <v>741</v>
      </c>
      <c r="AE196" s="4" t="s">
        <v>742</v>
      </c>
      <c r="AF196" s="4" t="s">
        <v>743</v>
      </c>
    </row>
    <row r="197" spans="1:35" ht="37.5" x14ac:dyDescent="0.25">
      <c r="A197" s="10" t="s">
        <v>744</v>
      </c>
      <c r="B197" s="10"/>
      <c r="C197" s="21" t="s">
        <v>446</v>
      </c>
      <c r="D197" s="12"/>
      <c r="E197" s="12"/>
      <c r="F197" s="17" t="s">
        <v>173</v>
      </c>
      <c r="G197" s="18">
        <v>1.2</v>
      </c>
      <c r="H197" s="22"/>
      <c r="I197" s="22">
        <v>712.2</v>
      </c>
      <c r="J197" s="19">
        <v>16.96</v>
      </c>
      <c r="M197" s="20">
        <f>ROUND(ROUND(J197, 2)*I197, 2)</f>
        <v>12078.91</v>
      </c>
      <c r="P197" s="19">
        <v>16.96</v>
      </c>
      <c r="S197" s="20">
        <f>ROUND(ROUND(P197, 2)*I197, 2)</f>
        <v>12078.91</v>
      </c>
      <c r="V197" s="9">
        <f>ROUND(ROUND(P197, 2)/1.2, 2)</f>
        <v>14.13</v>
      </c>
      <c r="Y197" s="9">
        <f t="shared" si="9"/>
        <v>10065.76</v>
      </c>
      <c r="AD197" s="4" t="s">
        <v>745</v>
      </c>
      <c r="AE197" s="4" t="s">
        <v>746</v>
      </c>
      <c r="AF197" s="4" t="s">
        <v>449</v>
      </c>
    </row>
    <row r="198" spans="1:35" ht="37.5" x14ac:dyDescent="0.25">
      <c r="A198" s="10" t="s">
        <v>747</v>
      </c>
      <c r="B198" s="10"/>
      <c r="C198" s="16" t="s">
        <v>725</v>
      </c>
      <c r="D198" s="12"/>
      <c r="E198" s="12"/>
      <c r="F198" s="17" t="s">
        <v>173</v>
      </c>
      <c r="G198" s="18">
        <v>0.15</v>
      </c>
      <c r="H198" s="18"/>
      <c r="I198" s="18">
        <v>89.025000000000006</v>
      </c>
      <c r="J198" s="19">
        <v>68.400000000000006</v>
      </c>
      <c r="M198" s="20">
        <f>ROUND(ROUND(J198, 2)*I198, 2)</f>
        <v>6089.31</v>
      </c>
      <c r="P198" s="19">
        <v>68.400000000000006</v>
      </c>
      <c r="S198" s="20">
        <f>ROUND(ROUND(P198, 2)*I198, 2)</f>
        <v>6089.31</v>
      </c>
      <c r="V198" s="9">
        <f>ROUND(ROUND(P198, 2)/1.2, 2)</f>
        <v>57</v>
      </c>
      <c r="Y198" s="9">
        <f t="shared" si="9"/>
        <v>5074.43</v>
      </c>
      <c r="AD198" s="4" t="s">
        <v>748</v>
      </c>
      <c r="AE198" s="4" t="s">
        <v>749</v>
      </c>
      <c r="AF198" s="4" t="s">
        <v>728</v>
      </c>
    </row>
    <row r="199" spans="1:35" ht="37.5" x14ac:dyDescent="0.25">
      <c r="A199" s="10" t="s">
        <v>750</v>
      </c>
      <c r="B199" s="10"/>
      <c r="C199" s="16" t="s">
        <v>432</v>
      </c>
      <c r="D199" s="12"/>
      <c r="E199" s="12"/>
      <c r="F199" s="17" t="s">
        <v>173</v>
      </c>
      <c r="G199" s="18">
        <v>0.25</v>
      </c>
      <c r="H199" s="22"/>
      <c r="I199" s="22">
        <v>148.375</v>
      </c>
      <c r="J199" s="19">
        <v>40.270000000000003</v>
      </c>
      <c r="M199" s="20">
        <f>ROUND(ROUND(J199, 2)*I199, 2)</f>
        <v>5975.06</v>
      </c>
      <c r="P199" s="19">
        <v>40.270000000000003</v>
      </c>
      <c r="S199" s="20">
        <f>ROUND(ROUND(P199, 2)*I199, 2)</f>
        <v>5975.06</v>
      </c>
      <c r="V199" s="9">
        <f>ROUND(ROUND(P199, 2)/1.2, 2)</f>
        <v>33.56</v>
      </c>
      <c r="Y199" s="9">
        <f t="shared" si="9"/>
        <v>4979.22</v>
      </c>
      <c r="AD199" s="4" t="s">
        <v>751</v>
      </c>
      <c r="AE199" s="4" t="s">
        <v>752</v>
      </c>
      <c r="AF199" s="4" t="s">
        <v>435</v>
      </c>
    </row>
    <row r="200" spans="1:35" ht="56.25" x14ac:dyDescent="0.25">
      <c r="A200" s="10" t="s">
        <v>753</v>
      </c>
      <c r="B200" s="10" t="s">
        <v>716</v>
      </c>
      <c r="C200" s="11" t="s">
        <v>717</v>
      </c>
      <c r="D200" s="12"/>
      <c r="E200" s="12" t="s">
        <v>754</v>
      </c>
      <c r="F200" s="12" t="s">
        <v>59</v>
      </c>
      <c r="G200" s="13">
        <v>1</v>
      </c>
      <c r="H200" s="13"/>
      <c r="I200" s="13">
        <v>46</v>
      </c>
      <c r="J200" s="14">
        <f>IFERROR(ROUND(SUM(M201,M202,M203,M204)/I200, 2),0)</f>
        <v>1522.58</v>
      </c>
      <c r="K200" s="15">
        <v>2364</v>
      </c>
      <c r="L200" s="14">
        <f>J200+ROUND(K200, 2)</f>
        <v>3886.58</v>
      </c>
      <c r="M200" s="14">
        <f>ROUND(J200*I200, 2)</f>
        <v>70038.679999999993</v>
      </c>
      <c r="N200" s="14">
        <f>ROUND(I200*ROUND(K200, 2), 2)</f>
        <v>108744</v>
      </c>
      <c r="O200" s="14">
        <f>M200+N200</f>
        <v>178782.68</v>
      </c>
      <c r="P200" s="14">
        <f>IFERROR(ROUND(SUM(S201,S202,S203,S204)/I200, 2),0)</f>
        <v>1522.58</v>
      </c>
      <c r="Q200" s="15">
        <v>2364</v>
      </c>
      <c r="R200" s="14">
        <f>P200+ROUND(Q200, 2)</f>
        <v>3886.58</v>
      </c>
      <c r="S200" s="14">
        <f>ROUND(P200*I200, 2)</f>
        <v>70038.679999999993</v>
      </c>
      <c r="T200" s="14">
        <f>ROUND(I200*ROUND(Q200, 2), 2)</f>
        <v>108744</v>
      </c>
      <c r="U200" s="14">
        <f>S200+T200</f>
        <v>178782.68</v>
      </c>
      <c r="V200" s="9">
        <f>ROUND(P200 / 1.2, 2)</f>
        <v>1268.82</v>
      </c>
      <c r="W200" s="9">
        <f>ROUND(Q200 / 1.2, 2)</f>
        <v>1970</v>
      </c>
      <c r="X200" s="9">
        <f>ROUND(R200 / 1.2, 2)</f>
        <v>3238.82</v>
      </c>
      <c r="Y200" s="9">
        <f t="shared" si="9"/>
        <v>58365.57</v>
      </c>
      <c r="Z200" s="9">
        <f>ROUND(T200 / 1.2, 2)</f>
        <v>90620</v>
      </c>
      <c r="AA200" s="9">
        <f>Y200+Z200</f>
        <v>148985.57</v>
      </c>
      <c r="AD200" s="4">
        <v>282589017</v>
      </c>
      <c r="AE200" s="4">
        <v>20867050</v>
      </c>
      <c r="AG200" s="4" t="s">
        <v>719</v>
      </c>
      <c r="AH200" s="4" t="s">
        <v>720</v>
      </c>
      <c r="AI200" s="4" t="s">
        <v>170</v>
      </c>
    </row>
    <row r="201" spans="1:35" ht="37.5" x14ac:dyDescent="0.25">
      <c r="A201" s="10" t="s">
        <v>755</v>
      </c>
      <c r="B201" s="10"/>
      <c r="C201" s="16" t="s">
        <v>432</v>
      </c>
      <c r="D201" s="12"/>
      <c r="E201" s="12"/>
      <c r="F201" s="17" t="s">
        <v>173</v>
      </c>
      <c r="G201" s="18">
        <v>0.25</v>
      </c>
      <c r="H201" s="22"/>
      <c r="I201" s="22">
        <v>11.5</v>
      </c>
      <c r="J201" s="19">
        <v>40.270000000000003</v>
      </c>
      <c r="M201" s="20">
        <f>ROUND(ROUND(J201, 2)*I201, 2)</f>
        <v>463.11</v>
      </c>
      <c r="P201" s="19">
        <v>40.270000000000003</v>
      </c>
      <c r="S201" s="20">
        <f>ROUND(ROUND(P201, 2)*I201, 2)</f>
        <v>463.11</v>
      </c>
      <c r="V201" s="9">
        <f>ROUND(ROUND(P201, 2)/1.2, 2)</f>
        <v>33.56</v>
      </c>
      <c r="Y201" s="9">
        <f t="shared" si="9"/>
        <v>385.93</v>
      </c>
      <c r="AD201" s="4" t="s">
        <v>756</v>
      </c>
      <c r="AE201" s="4" t="s">
        <v>757</v>
      </c>
      <c r="AF201" s="4" t="s">
        <v>435</v>
      </c>
    </row>
    <row r="202" spans="1:35" ht="37.5" x14ac:dyDescent="0.25">
      <c r="A202" s="10" t="s">
        <v>758</v>
      </c>
      <c r="B202" s="10"/>
      <c r="C202" s="16" t="s">
        <v>725</v>
      </c>
      <c r="D202" s="12"/>
      <c r="E202" s="12"/>
      <c r="F202" s="17" t="s">
        <v>173</v>
      </c>
      <c r="G202" s="18">
        <v>0.15</v>
      </c>
      <c r="H202" s="18"/>
      <c r="I202" s="18">
        <v>6.9</v>
      </c>
      <c r="J202" s="19">
        <v>68.400000000000006</v>
      </c>
      <c r="M202" s="20">
        <f>ROUND(ROUND(J202, 2)*I202, 2)</f>
        <v>471.96</v>
      </c>
      <c r="P202" s="19">
        <v>68.400000000000006</v>
      </c>
      <c r="S202" s="20">
        <f>ROUND(ROUND(P202, 2)*I202, 2)</f>
        <v>471.96</v>
      </c>
      <c r="V202" s="9">
        <f>ROUND(ROUND(P202, 2)/1.2, 2)</f>
        <v>57</v>
      </c>
      <c r="Y202" s="9">
        <f t="shared" si="9"/>
        <v>393.3</v>
      </c>
      <c r="AD202" s="4" t="s">
        <v>759</v>
      </c>
      <c r="AE202" s="4" t="s">
        <v>760</v>
      </c>
      <c r="AF202" s="4" t="s">
        <v>728</v>
      </c>
    </row>
    <row r="203" spans="1:35" ht="37.5" x14ac:dyDescent="0.25">
      <c r="A203" s="10" t="s">
        <v>761</v>
      </c>
      <c r="B203" s="10"/>
      <c r="C203" s="21" t="s">
        <v>446</v>
      </c>
      <c r="D203" s="12"/>
      <c r="E203" s="12"/>
      <c r="F203" s="17" t="s">
        <v>173</v>
      </c>
      <c r="G203" s="18">
        <v>1.2</v>
      </c>
      <c r="H203" s="22"/>
      <c r="I203" s="22">
        <v>55.2</v>
      </c>
      <c r="J203" s="19">
        <v>16.96</v>
      </c>
      <c r="M203" s="20">
        <f>ROUND(ROUND(J203, 2)*I203, 2)</f>
        <v>936.19</v>
      </c>
      <c r="P203" s="19">
        <v>16.96</v>
      </c>
      <c r="S203" s="20">
        <f>ROUND(ROUND(P203, 2)*I203, 2)</f>
        <v>936.19</v>
      </c>
      <c r="V203" s="9">
        <f>ROUND(ROUND(P203, 2)/1.2, 2)</f>
        <v>14.13</v>
      </c>
      <c r="Y203" s="9">
        <f t="shared" si="9"/>
        <v>780.16</v>
      </c>
      <c r="AD203" s="4" t="s">
        <v>762</v>
      </c>
      <c r="AE203" s="4" t="s">
        <v>763</v>
      </c>
      <c r="AF203" s="4" t="s">
        <v>449</v>
      </c>
    </row>
    <row r="204" spans="1:35" ht="37.5" x14ac:dyDescent="0.25">
      <c r="A204" s="10" t="s">
        <v>764</v>
      </c>
      <c r="B204" s="10"/>
      <c r="C204" s="21" t="s">
        <v>733</v>
      </c>
      <c r="D204" s="12"/>
      <c r="E204" s="12"/>
      <c r="F204" s="17" t="s">
        <v>59</v>
      </c>
      <c r="G204" s="18">
        <v>1.07</v>
      </c>
      <c r="H204" s="22"/>
      <c r="I204" s="22">
        <v>49.22</v>
      </c>
      <c r="J204" s="19">
        <v>1384.95</v>
      </c>
      <c r="M204" s="20">
        <f>ROUND(ROUND(J204, 2)*I204, 2)</f>
        <v>68167.240000000005</v>
      </c>
      <c r="P204" s="19">
        <v>1384.95</v>
      </c>
      <c r="S204" s="20">
        <f>ROUND(ROUND(P204, 2)*I204, 2)</f>
        <v>68167.240000000005</v>
      </c>
      <c r="V204" s="9">
        <f>ROUND(ROUND(P204, 2)/1.2, 2)</f>
        <v>1154.1300000000001</v>
      </c>
      <c r="Y204" s="9">
        <f t="shared" si="9"/>
        <v>56806.03</v>
      </c>
      <c r="AD204" s="4" t="s">
        <v>765</v>
      </c>
      <c r="AE204" s="4" t="s">
        <v>766</v>
      </c>
      <c r="AF204" s="4" t="s">
        <v>736</v>
      </c>
    </row>
    <row r="205" spans="1:35" ht="56.25" x14ac:dyDescent="0.25">
      <c r="A205" s="10" t="s">
        <v>767</v>
      </c>
      <c r="B205" s="10" t="s">
        <v>768</v>
      </c>
      <c r="C205" s="11" t="s">
        <v>769</v>
      </c>
      <c r="D205" s="12"/>
      <c r="E205" s="12" t="s">
        <v>770</v>
      </c>
      <c r="F205" s="12" t="s">
        <v>59</v>
      </c>
      <c r="G205" s="13">
        <v>1</v>
      </c>
      <c r="H205" s="13"/>
      <c r="I205" s="13">
        <v>320.39999999999998</v>
      </c>
      <c r="J205" s="14">
        <f>IFERROR(ROUND(SUM(M206,M207,M208,M209)/I205, 2),0)</f>
        <v>2282.5300000000002</v>
      </c>
      <c r="K205" s="15">
        <v>2983</v>
      </c>
      <c r="L205" s="14">
        <f>J205+ROUND(K205, 2)</f>
        <v>5265.5300000000007</v>
      </c>
      <c r="M205" s="14">
        <f>ROUND(J205*I205, 2)</f>
        <v>731322.61</v>
      </c>
      <c r="N205" s="14">
        <f>ROUND(I205*ROUND(K205, 2), 2)</f>
        <v>955753.2</v>
      </c>
      <c r="O205" s="14">
        <f>M205+N205</f>
        <v>1687075.81</v>
      </c>
      <c r="P205" s="14">
        <f>IFERROR(ROUND(SUM(S206,S207,S208,S209)/I205, 2),0)</f>
        <v>1253.43</v>
      </c>
      <c r="Q205" s="15">
        <v>2983</v>
      </c>
      <c r="R205" s="14">
        <f>P205+ROUND(Q205, 2)</f>
        <v>4236.43</v>
      </c>
      <c r="S205" s="14">
        <f>ROUND(P205*I205, 2)</f>
        <v>401598.97</v>
      </c>
      <c r="T205" s="14">
        <f>ROUND(I205*ROUND(Q205, 2), 2)</f>
        <v>955753.2</v>
      </c>
      <c r="U205" s="14">
        <f>S205+T205</f>
        <v>1357352.17</v>
      </c>
      <c r="V205" s="9">
        <f>ROUND(P205 / 1.2, 2)</f>
        <v>1044.53</v>
      </c>
      <c r="W205" s="9">
        <f>ROUND(Q205 / 1.2, 2)</f>
        <v>2485.83</v>
      </c>
      <c r="X205" s="9">
        <f>ROUND(R205 / 1.2, 2)</f>
        <v>3530.36</v>
      </c>
      <c r="Y205" s="9">
        <f t="shared" si="9"/>
        <v>334665.81</v>
      </c>
      <c r="Z205" s="9">
        <f>ROUND(T205 / 1.2, 2)</f>
        <v>796461</v>
      </c>
      <c r="AA205" s="9">
        <f>Y205+Z205</f>
        <v>1131126.81</v>
      </c>
      <c r="AD205" s="4">
        <v>282588964</v>
      </c>
      <c r="AE205" s="4">
        <v>20335430</v>
      </c>
      <c r="AG205" s="4" t="s">
        <v>771</v>
      </c>
      <c r="AH205" s="4" t="s">
        <v>772</v>
      </c>
      <c r="AI205" s="4" t="s">
        <v>170</v>
      </c>
    </row>
    <row r="206" spans="1:35" ht="56.25" x14ac:dyDescent="0.25">
      <c r="A206" s="10" t="s">
        <v>773</v>
      </c>
      <c r="B206" s="10"/>
      <c r="C206" s="21" t="s">
        <v>774</v>
      </c>
      <c r="D206" s="12"/>
      <c r="E206" s="12" t="s">
        <v>775</v>
      </c>
      <c r="F206" s="17" t="s">
        <v>59</v>
      </c>
      <c r="G206" s="18">
        <v>1.1000000000000001</v>
      </c>
      <c r="H206" s="22"/>
      <c r="I206" s="22">
        <v>352.44</v>
      </c>
      <c r="J206" s="19">
        <v>2038.05</v>
      </c>
      <c r="M206" s="20">
        <f>ROUND(ROUND(J206, 2)*I206, 2)</f>
        <v>718290.34</v>
      </c>
      <c r="P206" s="19">
        <v>1102.5</v>
      </c>
      <c r="S206" s="20">
        <f>ROUND(ROUND(P206, 2)*I206, 2)</f>
        <v>388565.1</v>
      </c>
      <c r="V206" s="9">
        <f>ROUND(ROUND(P206, 2)/1.2, 2)</f>
        <v>918.75</v>
      </c>
      <c r="Y206" s="9">
        <f t="shared" si="9"/>
        <v>323804.25</v>
      </c>
      <c r="AD206" s="4" t="s">
        <v>776</v>
      </c>
      <c r="AE206" s="4" t="s">
        <v>777</v>
      </c>
      <c r="AF206" s="4" t="s">
        <v>778</v>
      </c>
    </row>
    <row r="207" spans="1:35" ht="37.5" x14ac:dyDescent="0.25">
      <c r="A207" s="10" t="s">
        <v>779</v>
      </c>
      <c r="B207" s="10"/>
      <c r="C207" s="21" t="s">
        <v>446</v>
      </c>
      <c r="D207" s="12"/>
      <c r="E207" s="12"/>
      <c r="F207" s="17" t="s">
        <v>173</v>
      </c>
      <c r="G207" s="18">
        <v>1.2</v>
      </c>
      <c r="H207" s="22"/>
      <c r="I207" s="22">
        <v>384.48</v>
      </c>
      <c r="J207" s="19">
        <v>16.96</v>
      </c>
      <c r="M207" s="20">
        <f>ROUND(ROUND(J207, 2)*I207, 2)</f>
        <v>6520.78</v>
      </c>
      <c r="P207" s="19">
        <v>16.96</v>
      </c>
      <c r="S207" s="20">
        <f>ROUND(ROUND(P207, 2)*I207, 2)</f>
        <v>6520.78</v>
      </c>
      <c r="V207" s="9">
        <f>ROUND(ROUND(P207, 2)/1.2, 2)</f>
        <v>14.13</v>
      </c>
      <c r="Y207" s="9">
        <f t="shared" si="9"/>
        <v>5433.98</v>
      </c>
      <c r="AD207" s="4" t="s">
        <v>780</v>
      </c>
      <c r="AE207" s="4" t="s">
        <v>781</v>
      </c>
      <c r="AF207" s="4" t="s">
        <v>449</v>
      </c>
    </row>
    <row r="208" spans="1:35" ht="37.5" x14ac:dyDescent="0.25">
      <c r="A208" s="10" t="s">
        <v>782</v>
      </c>
      <c r="B208" s="10"/>
      <c r="C208" s="16" t="s">
        <v>432</v>
      </c>
      <c r="D208" s="12"/>
      <c r="E208" s="12"/>
      <c r="F208" s="17" t="s">
        <v>173</v>
      </c>
      <c r="G208" s="18">
        <v>0.25</v>
      </c>
      <c r="H208" s="22"/>
      <c r="I208" s="22">
        <v>80.099999999999994</v>
      </c>
      <c r="J208" s="19">
        <v>40.270000000000003</v>
      </c>
      <c r="M208" s="20">
        <f>ROUND(ROUND(J208, 2)*I208, 2)</f>
        <v>3225.63</v>
      </c>
      <c r="P208" s="19">
        <v>40.270000000000003</v>
      </c>
      <c r="S208" s="20">
        <f>ROUND(ROUND(P208, 2)*I208, 2)</f>
        <v>3225.63</v>
      </c>
      <c r="V208" s="9">
        <f>ROUND(ROUND(P208, 2)/1.2, 2)</f>
        <v>33.56</v>
      </c>
      <c r="Y208" s="9">
        <f t="shared" si="9"/>
        <v>2688.03</v>
      </c>
      <c r="AD208" s="4" t="s">
        <v>783</v>
      </c>
      <c r="AE208" s="4" t="s">
        <v>784</v>
      </c>
      <c r="AF208" s="4" t="s">
        <v>435</v>
      </c>
    </row>
    <row r="209" spans="1:35" ht="37.5" x14ac:dyDescent="0.25">
      <c r="A209" s="10" t="s">
        <v>785</v>
      </c>
      <c r="B209" s="10"/>
      <c r="C209" s="16" t="s">
        <v>725</v>
      </c>
      <c r="D209" s="12"/>
      <c r="E209" s="12"/>
      <c r="F209" s="17" t="s">
        <v>173</v>
      </c>
      <c r="G209" s="18">
        <v>0.15</v>
      </c>
      <c r="H209" s="18"/>
      <c r="I209" s="18">
        <v>48.06</v>
      </c>
      <c r="J209" s="19">
        <v>68.400000000000006</v>
      </c>
      <c r="M209" s="20">
        <f>ROUND(ROUND(J209, 2)*I209, 2)</f>
        <v>3287.3</v>
      </c>
      <c r="P209" s="19">
        <v>68.400000000000006</v>
      </c>
      <c r="S209" s="20">
        <f>ROUND(ROUND(P209, 2)*I209, 2)</f>
        <v>3287.3</v>
      </c>
      <c r="V209" s="9">
        <f>ROUND(ROUND(P209, 2)/1.2, 2)</f>
        <v>57</v>
      </c>
      <c r="Y209" s="9">
        <f t="shared" si="9"/>
        <v>2739.42</v>
      </c>
      <c r="AD209" s="4" t="s">
        <v>786</v>
      </c>
      <c r="AE209" s="4" t="s">
        <v>787</v>
      </c>
      <c r="AF209" s="4" t="s">
        <v>728</v>
      </c>
    </row>
    <row r="210" spans="1:35" ht="56.25" x14ac:dyDescent="0.25">
      <c r="A210" s="10" t="s">
        <v>788</v>
      </c>
      <c r="B210" s="10" t="s">
        <v>768</v>
      </c>
      <c r="C210" s="11" t="s">
        <v>769</v>
      </c>
      <c r="D210" s="12"/>
      <c r="E210" s="12" t="s">
        <v>789</v>
      </c>
      <c r="F210" s="12" t="s">
        <v>59</v>
      </c>
      <c r="G210" s="13">
        <v>1</v>
      </c>
      <c r="H210" s="13"/>
      <c r="I210" s="13">
        <v>249.1</v>
      </c>
      <c r="J210" s="14">
        <f>IFERROR(ROUND(SUM(M211,M212,M213,M214)/I210, 2),0)</f>
        <v>2282.5300000000002</v>
      </c>
      <c r="K210" s="15">
        <v>2983</v>
      </c>
      <c r="L210" s="14">
        <f>J210+ROUND(K210, 2)</f>
        <v>5265.5300000000007</v>
      </c>
      <c r="M210" s="14">
        <f>ROUND(J210*I210, 2)</f>
        <v>568578.22</v>
      </c>
      <c r="N210" s="14">
        <f>ROUND(I210*ROUND(K210, 2), 2)</f>
        <v>743065.3</v>
      </c>
      <c r="O210" s="14">
        <f>M210+N210</f>
        <v>1311643.52</v>
      </c>
      <c r="P210" s="14">
        <f>IFERROR(ROUND(SUM(S211,S212,S213,S214)/I210, 2),0)</f>
        <v>1253.43</v>
      </c>
      <c r="Q210" s="15">
        <v>2983</v>
      </c>
      <c r="R210" s="14">
        <f>P210+ROUND(Q210, 2)</f>
        <v>4236.43</v>
      </c>
      <c r="S210" s="14">
        <f>ROUND(P210*I210, 2)</f>
        <v>312229.40999999997</v>
      </c>
      <c r="T210" s="14">
        <f>ROUND(I210*ROUND(Q210, 2), 2)</f>
        <v>743065.3</v>
      </c>
      <c r="U210" s="14">
        <f>S210+T210</f>
        <v>1055294.71</v>
      </c>
      <c r="V210" s="9">
        <f>ROUND(P210 / 1.2, 2)</f>
        <v>1044.53</v>
      </c>
      <c r="W210" s="9">
        <f>ROUND(Q210 / 1.2, 2)</f>
        <v>2485.83</v>
      </c>
      <c r="X210" s="9">
        <f>ROUND(R210 / 1.2, 2)</f>
        <v>3530.36</v>
      </c>
      <c r="Y210" s="9">
        <f t="shared" si="9"/>
        <v>260191.18</v>
      </c>
      <c r="Z210" s="9">
        <f>ROUND(T210 / 1.2, 2)</f>
        <v>619221.07999999996</v>
      </c>
      <c r="AA210" s="9">
        <f>Y210+Z210</f>
        <v>879412.26</v>
      </c>
      <c r="AD210" s="4">
        <v>282589018</v>
      </c>
      <c r="AE210" s="4">
        <v>20336104</v>
      </c>
      <c r="AG210" s="4" t="s">
        <v>771</v>
      </c>
      <c r="AH210" s="4" t="s">
        <v>772</v>
      </c>
      <c r="AI210" s="4" t="s">
        <v>170</v>
      </c>
    </row>
    <row r="211" spans="1:35" ht="37.5" x14ac:dyDescent="0.25">
      <c r="A211" s="10" t="s">
        <v>790</v>
      </c>
      <c r="B211" s="10"/>
      <c r="C211" s="16" t="s">
        <v>725</v>
      </c>
      <c r="D211" s="12"/>
      <c r="E211" s="12"/>
      <c r="F211" s="17" t="s">
        <v>173</v>
      </c>
      <c r="G211" s="18">
        <v>0.15</v>
      </c>
      <c r="H211" s="18"/>
      <c r="I211" s="18">
        <v>37.365000000000002</v>
      </c>
      <c r="J211" s="19">
        <v>68.400000000000006</v>
      </c>
      <c r="M211" s="20">
        <f>ROUND(ROUND(J211, 2)*I211, 2)</f>
        <v>2555.77</v>
      </c>
      <c r="P211" s="19">
        <v>68.400000000000006</v>
      </c>
      <c r="S211" s="20">
        <f>ROUND(ROUND(P211, 2)*I211, 2)</f>
        <v>2555.77</v>
      </c>
      <c r="V211" s="9">
        <f>ROUND(ROUND(P211, 2)/1.2, 2)</f>
        <v>57</v>
      </c>
      <c r="Y211" s="9">
        <f t="shared" si="9"/>
        <v>2129.81</v>
      </c>
      <c r="AD211" s="4" t="s">
        <v>791</v>
      </c>
      <c r="AE211" s="4" t="s">
        <v>792</v>
      </c>
      <c r="AF211" s="4" t="s">
        <v>728</v>
      </c>
    </row>
    <row r="212" spans="1:35" ht="37.5" x14ac:dyDescent="0.25">
      <c r="A212" s="10" t="s">
        <v>793</v>
      </c>
      <c r="B212" s="10"/>
      <c r="C212" s="16" t="s">
        <v>432</v>
      </c>
      <c r="D212" s="12"/>
      <c r="E212" s="12"/>
      <c r="F212" s="17" t="s">
        <v>173</v>
      </c>
      <c r="G212" s="18">
        <v>0.25</v>
      </c>
      <c r="H212" s="22"/>
      <c r="I212" s="22">
        <v>62.274999999999999</v>
      </c>
      <c r="J212" s="19">
        <v>40.270000000000003</v>
      </c>
      <c r="M212" s="20">
        <f>ROUND(ROUND(J212, 2)*I212, 2)</f>
        <v>2507.81</v>
      </c>
      <c r="P212" s="19">
        <v>40.270000000000003</v>
      </c>
      <c r="S212" s="20">
        <f>ROUND(ROUND(P212, 2)*I212, 2)</f>
        <v>2507.81</v>
      </c>
      <c r="V212" s="9">
        <f>ROUND(ROUND(P212, 2)/1.2, 2)</f>
        <v>33.56</v>
      </c>
      <c r="Y212" s="9">
        <f t="shared" ref="Y212:Y224" si="10">ROUND(S212 / 1.2, 2)</f>
        <v>2089.84</v>
      </c>
      <c r="AD212" s="4" t="s">
        <v>794</v>
      </c>
      <c r="AE212" s="4" t="s">
        <v>795</v>
      </c>
      <c r="AF212" s="4" t="s">
        <v>435</v>
      </c>
    </row>
    <row r="213" spans="1:35" ht="37.5" x14ac:dyDescent="0.25">
      <c r="A213" s="10" t="s">
        <v>796</v>
      </c>
      <c r="B213" s="10"/>
      <c r="C213" s="21" t="s">
        <v>446</v>
      </c>
      <c r="D213" s="12"/>
      <c r="E213" s="12"/>
      <c r="F213" s="17" t="s">
        <v>173</v>
      </c>
      <c r="G213" s="18">
        <v>1.2</v>
      </c>
      <c r="H213" s="22"/>
      <c r="I213" s="22">
        <v>298.92</v>
      </c>
      <c r="J213" s="19">
        <v>16.96</v>
      </c>
      <c r="M213" s="20">
        <f>ROUND(ROUND(J213, 2)*I213, 2)</f>
        <v>5069.68</v>
      </c>
      <c r="P213" s="19">
        <v>16.96</v>
      </c>
      <c r="S213" s="20">
        <f>ROUND(ROUND(P213, 2)*I213, 2)</f>
        <v>5069.68</v>
      </c>
      <c r="V213" s="9">
        <f>ROUND(ROUND(P213, 2)/1.2, 2)</f>
        <v>14.13</v>
      </c>
      <c r="Y213" s="9">
        <f t="shared" si="10"/>
        <v>4224.7299999999996</v>
      </c>
      <c r="AD213" s="4" t="s">
        <v>797</v>
      </c>
      <c r="AE213" s="4" t="s">
        <v>798</v>
      </c>
      <c r="AF213" s="4" t="s">
        <v>449</v>
      </c>
    </row>
    <row r="214" spans="1:35" ht="56.25" x14ac:dyDescent="0.25">
      <c r="A214" s="10" t="s">
        <v>799</v>
      </c>
      <c r="B214" s="10"/>
      <c r="C214" s="21" t="s">
        <v>774</v>
      </c>
      <c r="D214" s="12"/>
      <c r="E214" s="12" t="s">
        <v>800</v>
      </c>
      <c r="F214" s="17" t="s">
        <v>59</v>
      </c>
      <c r="G214" s="18">
        <v>1.1000000000000001</v>
      </c>
      <c r="H214" s="22"/>
      <c r="I214" s="22">
        <v>274.01</v>
      </c>
      <c r="J214" s="19">
        <v>2038.05</v>
      </c>
      <c r="M214" s="20">
        <f>ROUND(ROUND(J214, 2)*I214, 2)</f>
        <v>558446.07999999996</v>
      </c>
      <c r="P214" s="19">
        <v>1102.5</v>
      </c>
      <c r="S214" s="20">
        <f>ROUND(ROUND(P214, 2)*I214, 2)</f>
        <v>302096.03000000003</v>
      </c>
      <c r="V214" s="9">
        <f>ROUND(ROUND(P214, 2)/1.2, 2)</f>
        <v>918.75</v>
      </c>
      <c r="Y214" s="9">
        <f t="shared" si="10"/>
        <v>251746.69</v>
      </c>
      <c r="AD214" s="4" t="s">
        <v>801</v>
      </c>
      <c r="AE214" s="4" t="s">
        <v>802</v>
      </c>
      <c r="AF214" s="4" t="s">
        <v>778</v>
      </c>
    </row>
    <row r="215" spans="1:35" ht="56.25" x14ac:dyDescent="0.25">
      <c r="A215" s="10" t="s">
        <v>803</v>
      </c>
      <c r="B215" s="10" t="s">
        <v>768</v>
      </c>
      <c r="C215" s="11" t="s">
        <v>769</v>
      </c>
      <c r="D215" s="12"/>
      <c r="E215" s="12" t="s">
        <v>804</v>
      </c>
      <c r="F215" s="12" t="s">
        <v>59</v>
      </c>
      <c r="G215" s="13">
        <v>1</v>
      </c>
      <c r="H215" s="13"/>
      <c r="I215" s="13">
        <v>238.4</v>
      </c>
      <c r="J215" s="14">
        <f>IFERROR(ROUND(SUM(M216,M217,M218,M219)/I215, 2),0)</f>
        <v>2282.5300000000002</v>
      </c>
      <c r="K215" s="15">
        <v>2983</v>
      </c>
      <c r="L215" s="14">
        <f>J215+ROUND(K215, 2)</f>
        <v>5265.5300000000007</v>
      </c>
      <c r="M215" s="14">
        <f>ROUND(J215*I215, 2)</f>
        <v>544155.15</v>
      </c>
      <c r="N215" s="14">
        <f>ROUND(I215*ROUND(K215, 2), 2)</f>
        <v>711147.2</v>
      </c>
      <c r="O215" s="14">
        <f>M215+N215</f>
        <v>1255302.3500000001</v>
      </c>
      <c r="P215" s="14">
        <f>IFERROR(ROUND(SUM(S216,S217,S218,S219)/I215, 2),0)</f>
        <v>1253.43</v>
      </c>
      <c r="Q215" s="15">
        <v>2983</v>
      </c>
      <c r="R215" s="14">
        <f>P215+ROUND(Q215, 2)</f>
        <v>4236.43</v>
      </c>
      <c r="S215" s="14">
        <f>ROUND(P215*I215, 2)</f>
        <v>298817.71000000002</v>
      </c>
      <c r="T215" s="14">
        <f>ROUND(I215*ROUND(Q215, 2), 2)</f>
        <v>711147.2</v>
      </c>
      <c r="U215" s="14">
        <f>S215+T215</f>
        <v>1009964.9099999999</v>
      </c>
      <c r="V215" s="9">
        <f>ROUND(P215 / 1.2, 2)</f>
        <v>1044.53</v>
      </c>
      <c r="W215" s="9">
        <f>ROUND(Q215 / 1.2, 2)</f>
        <v>2485.83</v>
      </c>
      <c r="X215" s="9">
        <f>ROUND(R215 / 1.2, 2)</f>
        <v>3530.36</v>
      </c>
      <c r="Y215" s="9">
        <f t="shared" si="10"/>
        <v>249014.76</v>
      </c>
      <c r="Z215" s="9">
        <f>ROUND(T215 / 1.2, 2)</f>
        <v>592622.67000000004</v>
      </c>
      <c r="AA215" s="9">
        <f>Y215+Z215</f>
        <v>841637.43</v>
      </c>
      <c r="AD215" s="4">
        <v>282589019</v>
      </c>
      <c r="AE215" s="4">
        <v>20336105</v>
      </c>
      <c r="AG215" s="4" t="s">
        <v>771</v>
      </c>
      <c r="AH215" s="4" t="s">
        <v>772</v>
      </c>
      <c r="AI215" s="4" t="s">
        <v>170</v>
      </c>
    </row>
    <row r="216" spans="1:35" ht="56.25" x14ac:dyDescent="0.25">
      <c r="A216" s="10" t="s">
        <v>805</v>
      </c>
      <c r="B216" s="10"/>
      <c r="C216" s="21" t="s">
        <v>774</v>
      </c>
      <c r="D216" s="12"/>
      <c r="E216" s="12" t="s">
        <v>501</v>
      </c>
      <c r="F216" s="17" t="s">
        <v>59</v>
      </c>
      <c r="G216" s="18">
        <v>1.1000000000000001</v>
      </c>
      <c r="H216" s="22"/>
      <c r="I216" s="22">
        <v>262.24</v>
      </c>
      <c r="J216" s="19">
        <v>2038.05</v>
      </c>
      <c r="M216" s="20">
        <f>ROUND(ROUND(J216, 2)*I216, 2)</f>
        <v>534458.23</v>
      </c>
      <c r="P216" s="19">
        <v>1102.5</v>
      </c>
      <c r="S216" s="20">
        <f>ROUND(ROUND(P216, 2)*I216, 2)</f>
        <v>289119.59999999998</v>
      </c>
      <c r="V216" s="9">
        <f>ROUND(ROUND(P216, 2)/1.2, 2)</f>
        <v>918.75</v>
      </c>
      <c r="Y216" s="9">
        <f t="shared" si="10"/>
        <v>240933</v>
      </c>
      <c r="AD216" s="4" t="s">
        <v>806</v>
      </c>
      <c r="AE216" s="4" t="s">
        <v>807</v>
      </c>
      <c r="AF216" s="4" t="s">
        <v>778</v>
      </c>
    </row>
    <row r="217" spans="1:35" ht="37.5" x14ac:dyDescent="0.25">
      <c r="A217" s="10" t="s">
        <v>808</v>
      </c>
      <c r="B217" s="10"/>
      <c r="C217" s="21" t="s">
        <v>446</v>
      </c>
      <c r="D217" s="12"/>
      <c r="E217" s="12"/>
      <c r="F217" s="17" t="s">
        <v>173</v>
      </c>
      <c r="G217" s="18">
        <v>1.2</v>
      </c>
      <c r="H217" s="22"/>
      <c r="I217" s="22">
        <v>286.08</v>
      </c>
      <c r="J217" s="19">
        <v>16.96</v>
      </c>
      <c r="M217" s="20">
        <f>ROUND(ROUND(J217, 2)*I217, 2)</f>
        <v>4851.92</v>
      </c>
      <c r="P217" s="19">
        <v>16.96</v>
      </c>
      <c r="S217" s="20">
        <f>ROUND(ROUND(P217, 2)*I217, 2)</f>
        <v>4851.92</v>
      </c>
      <c r="V217" s="9">
        <f>ROUND(ROUND(P217, 2)/1.2, 2)</f>
        <v>14.13</v>
      </c>
      <c r="Y217" s="9">
        <f t="shared" si="10"/>
        <v>4043.27</v>
      </c>
      <c r="AD217" s="4" t="s">
        <v>809</v>
      </c>
      <c r="AE217" s="4" t="s">
        <v>810</v>
      </c>
      <c r="AF217" s="4" t="s">
        <v>449</v>
      </c>
    </row>
    <row r="218" spans="1:35" ht="37.5" x14ac:dyDescent="0.25">
      <c r="A218" s="10" t="s">
        <v>811</v>
      </c>
      <c r="B218" s="10"/>
      <c r="C218" s="16" t="s">
        <v>432</v>
      </c>
      <c r="D218" s="12"/>
      <c r="E218" s="12"/>
      <c r="F218" s="17" t="s">
        <v>173</v>
      </c>
      <c r="G218" s="18">
        <v>0.25</v>
      </c>
      <c r="H218" s="22"/>
      <c r="I218" s="22">
        <v>59.6</v>
      </c>
      <c r="J218" s="19">
        <v>40.270000000000003</v>
      </c>
      <c r="M218" s="20">
        <f>ROUND(ROUND(J218, 2)*I218, 2)</f>
        <v>2400.09</v>
      </c>
      <c r="P218" s="19">
        <v>40.270000000000003</v>
      </c>
      <c r="S218" s="20">
        <f>ROUND(ROUND(P218, 2)*I218, 2)</f>
        <v>2400.09</v>
      </c>
      <c r="V218" s="9">
        <f>ROUND(ROUND(P218, 2)/1.2, 2)</f>
        <v>33.56</v>
      </c>
      <c r="Y218" s="9">
        <f t="shared" si="10"/>
        <v>2000.08</v>
      </c>
      <c r="AD218" s="4" t="s">
        <v>812</v>
      </c>
      <c r="AE218" s="4" t="s">
        <v>813</v>
      </c>
      <c r="AF218" s="4" t="s">
        <v>435</v>
      </c>
    </row>
    <row r="219" spans="1:35" ht="37.5" x14ac:dyDescent="0.25">
      <c r="A219" s="10" t="s">
        <v>814</v>
      </c>
      <c r="B219" s="10"/>
      <c r="C219" s="16" t="s">
        <v>725</v>
      </c>
      <c r="D219" s="12"/>
      <c r="E219" s="12"/>
      <c r="F219" s="17" t="s">
        <v>173</v>
      </c>
      <c r="G219" s="18">
        <v>0.15</v>
      </c>
      <c r="H219" s="18"/>
      <c r="I219" s="18">
        <v>35.76</v>
      </c>
      <c r="J219" s="19">
        <v>68.400000000000006</v>
      </c>
      <c r="M219" s="20">
        <f>ROUND(ROUND(J219, 2)*I219, 2)</f>
        <v>2445.98</v>
      </c>
      <c r="P219" s="19">
        <v>68.400000000000006</v>
      </c>
      <c r="S219" s="20">
        <f>ROUND(ROUND(P219, 2)*I219, 2)</f>
        <v>2445.98</v>
      </c>
      <c r="V219" s="9">
        <f>ROUND(ROUND(P219, 2)/1.2, 2)</f>
        <v>57</v>
      </c>
      <c r="Y219" s="9">
        <f t="shared" si="10"/>
        <v>2038.32</v>
      </c>
      <c r="AD219" s="4" t="s">
        <v>815</v>
      </c>
      <c r="AE219" s="4" t="s">
        <v>816</v>
      </c>
      <c r="AF219" s="4" t="s">
        <v>728</v>
      </c>
    </row>
    <row r="220" spans="1:35" ht="56.25" x14ac:dyDescent="0.25">
      <c r="A220" s="10" t="s">
        <v>817</v>
      </c>
      <c r="B220" s="10" t="s">
        <v>768</v>
      </c>
      <c r="C220" s="11" t="s">
        <v>769</v>
      </c>
      <c r="D220" s="12"/>
      <c r="E220" s="12" t="s">
        <v>818</v>
      </c>
      <c r="F220" s="12" t="s">
        <v>59</v>
      </c>
      <c r="G220" s="13">
        <v>1</v>
      </c>
      <c r="H220" s="13"/>
      <c r="I220" s="13">
        <v>6.1</v>
      </c>
      <c r="J220" s="14">
        <f>IFERROR(ROUND(SUM(M221,M222,M223,M224)/I220, 2),0)</f>
        <v>2282.54</v>
      </c>
      <c r="K220" s="15">
        <v>2983</v>
      </c>
      <c r="L220" s="14">
        <f>J220+ROUND(K220, 2)</f>
        <v>5265.54</v>
      </c>
      <c r="M220" s="14">
        <f>ROUND(J220*I220, 2)</f>
        <v>13923.49</v>
      </c>
      <c r="N220" s="14">
        <f>ROUND(I220*ROUND(K220, 2), 2)</f>
        <v>18196.3</v>
      </c>
      <c r="O220" s="14">
        <f>M220+N220</f>
        <v>32119.79</v>
      </c>
      <c r="P220" s="14">
        <f>IFERROR(ROUND(SUM(S221,S222,S223,S224)/I220, 2),0)</f>
        <v>1253.43</v>
      </c>
      <c r="Q220" s="15">
        <v>2983</v>
      </c>
      <c r="R220" s="14">
        <f>P220+ROUND(Q220, 2)</f>
        <v>4236.43</v>
      </c>
      <c r="S220" s="14">
        <f>ROUND(P220*I220, 2)</f>
        <v>7645.92</v>
      </c>
      <c r="T220" s="14">
        <f>ROUND(I220*ROUND(Q220, 2), 2)</f>
        <v>18196.3</v>
      </c>
      <c r="U220" s="14">
        <f>S220+T220</f>
        <v>25842.22</v>
      </c>
      <c r="V220" s="9">
        <f>ROUND(P220 / 1.2, 2)</f>
        <v>1044.53</v>
      </c>
      <c r="W220" s="9">
        <f>ROUND(Q220 / 1.2, 2)</f>
        <v>2485.83</v>
      </c>
      <c r="X220" s="9">
        <f>ROUND(R220 / 1.2, 2)</f>
        <v>3530.36</v>
      </c>
      <c r="Y220" s="9">
        <f t="shared" si="10"/>
        <v>6371.6</v>
      </c>
      <c r="Z220" s="9">
        <f>ROUND(T220 / 1.2, 2)</f>
        <v>15163.58</v>
      </c>
      <c r="AA220" s="9">
        <f>Y220+Z220</f>
        <v>21535.18</v>
      </c>
      <c r="AD220" s="4">
        <v>282589020</v>
      </c>
      <c r="AE220" s="4">
        <v>20336103</v>
      </c>
      <c r="AG220" s="4" t="s">
        <v>771</v>
      </c>
      <c r="AH220" s="4" t="s">
        <v>772</v>
      </c>
      <c r="AI220" s="4" t="s">
        <v>170</v>
      </c>
    </row>
    <row r="221" spans="1:35" ht="37.5" x14ac:dyDescent="0.25">
      <c r="A221" s="10" t="s">
        <v>819</v>
      </c>
      <c r="B221" s="10"/>
      <c r="C221" s="16" t="s">
        <v>725</v>
      </c>
      <c r="D221" s="12"/>
      <c r="E221" s="12"/>
      <c r="F221" s="17" t="s">
        <v>173</v>
      </c>
      <c r="G221" s="18">
        <v>0.15</v>
      </c>
      <c r="H221" s="18"/>
      <c r="I221" s="18">
        <v>0.91500000000000004</v>
      </c>
      <c r="J221" s="19">
        <v>68.400000000000006</v>
      </c>
      <c r="M221" s="20">
        <f>ROUND(ROUND(J221, 2)*I221, 2)</f>
        <v>62.59</v>
      </c>
      <c r="P221" s="19">
        <v>68.400000000000006</v>
      </c>
      <c r="S221" s="20">
        <f>ROUND(ROUND(P221, 2)*I221, 2)</f>
        <v>62.59</v>
      </c>
      <c r="V221" s="9">
        <f>ROUND(ROUND(P221, 2)/1.2, 2)</f>
        <v>57</v>
      </c>
      <c r="Y221" s="9">
        <f t="shared" si="10"/>
        <v>52.16</v>
      </c>
      <c r="AD221" s="4" t="s">
        <v>820</v>
      </c>
      <c r="AE221" s="4" t="s">
        <v>821</v>
      </c>
      <c r="AF221" s="4" t="s">
        <v>728</v>
      </c>
    </row>
    <row r="222" spans="1:35" ht="37.5" x14ac:dyDescent="0.25">
      <c r="A222" s="10" t="s">
        <v>822</v>
      </c>
      <c r="B222" s="10"/>
      <c r="C222" s="16" t="s">
        <v>432</v>
      </c>
      <c r="D222" s="12"/>
      <c r="E222" s="12"/>
      <c r="F222" s="17" t="s">
        <v>173</v>
      </c>
      <c r="G222" s="18">
        <v>0.25</v>
      </c>
      <c r="H222" s="22"/>
      <c r="I222" s="22">
        <v>1.5249999999999999</v>
      </c>
      <c r="J222" s="19">
        <v>40.270000000000003</v>
      </c>
      <c r="M222" s="20">
        <f>ROUND(ROUND(J222, 2)*I222, 2)</f>
        <v>61.41</v>
      </c>
      <c r="P222" s="19">
        <v>40.270000000000003</v>
      </c>
      <c r="S222" s="20">
        <f>ROUND(ROUND(P222, 2)*I222, 2)</f>
        <v>61.41</v>
      </c>
      <c r="V222" s="9">
        <f>ROUND(ROUND(P222, 2)/1.2, 2)</f>
        <v>33.56</v>
      </c>
      <c r="Y222" s="9">
        <f t="shared" si="10"/>
        <v>51.18</v>
      </c>
      <c r="AD222" s="4" t="s">
        <v>823</v>
      </c>
      <c r="AE222" s="4" t="s">
        <v>824</v>
      </c>
      <c r="AF222" s="4" t="s">
        <v>435</v>
      </c>
    </row>
    <row r="223" spans="1:35" ht="37.5" x14ac:dyDescent="0.25">
      <c r="A223" s="10" t="s">
        <v>825</v>
      </c>
      <c r="B223" s="10"/>
      <c r="C223" s="21" t="s">
        <v>446</v>
      </c>
      <c r="D223" s="12"/>
      <c r="E223" s="12"/>
      <c r="F223" s="17" t="s">
        <v>173</v>
      </c>
      <c r="G223" s="18">
        <v>1.2</v>
      </c>
      <c r="H223" s="22"/>
      <c r="I223" s="22">
        <v>7.32</v>
      </c>
      <c r="J223" s="19">
        <v>16.96</v>
      </c>
      <c r="M223" s="20">
        <f>ROUND(ROUND(J223, 2)*I223, 2)</f>
        <v>124.15</v>
      </c>
      <c r="P223" s="19">
        <v>16.96</v>
      </c>
      <c r="S223" s="20">
        <f>ROUND(ROUND(P223, 2)*I223, 2)</f>
        <v>124.15</v>
      </c>
      <c r="V223" s="9">
        <f>ROUND(ROUND(P223, 2)/1.2, 2)</f>
        <v>14.13</v>
      </c>
      <c r="Y223" s="9">
        <f t="shared" si="10"/>
        <v>103.46</v>
      </c>
      <c r="AD223" s="4" t="s">
        <v>826</v>
      </c>
      <c r="AE223" s="4" t="s">
        <v>827</v>
      </c>
      <c r="AF223" s="4" t="s">
        <v>449</v>
      </c>
    </row>
    <row r="224" spans="1:35" ht="37.5" x14ac:dyDescent="0.25">
      <c r="A224" s="10" t="s">
        <v>828</v>
      </c>
      <c r="B224" s="10"/>
      <c r="C224" s="21" t="s">
        <v>774</v>
      </c>
      <c r="D224" s="12"/>
      <c r="E224" s="12"/>
      <c r="F224" s="17" t="s">
        <v>59</v>
      </c>
      <c r="G224" s="18">
        <v>1.1000000000000001</v>
      </c>
      <c r="H224" s="22"/>
      <c r="I224" s="22">
        <v>6.71</v>
      </c>
      <c r="J224" s="19">
        <v>2038.05</v>
      </c>
      <c r="M224" s="20">
        <f>ROUND(ROUND(J224, 2)*I224, 2)</f>
        <v>13675.32</v>
      </c>
      <c r="P224" s="19">
        <v>1102.5</v>
      </c>
      <c r="S224" s="20">
        <f>ROUND(ROUND(P224, 2)*I224, 2)</f>
        <v>7397.78</v>
      </c>
      <c r="V224" s="9">
        <f>ROUND(ROUND(P224, 2)/1.2, 2)</f>
        <v>918.75</v>
      </c>
      <c r="Y224" s="9">
        <f t="shared" si="10"/>
        <v>6164.82</v>
      </c>
      <c r="AD224" s="4" t="s">
        <v>829</v>
      </c>
      <c r="AE224" s="4" t="s">
        <v>830</v>
      </c>
      <c r="AF224" s="4" t="s">
        <v>778</v>
      </c>
    </row>
    <row r="225" spans="1:35" ht="17.100000000000001" customHeight="1" x14ac:dyDescent="0.25">
      <c r="A225" s="10" t="s">
        <v>831</v>
      </c>
      <c r="B225" s="10" t="s">
        <v>832</v>
      </c>
      <c r="C225" s="33" t="s">
        <v>833</v>
      </c>
      <c r="D225" s="34"/>
      <c r="E225" s="34"/>
      <c r="F225" s="34"/>
      <c r="G225" s="34"/>
      <c r="H225" s="34"/>
      <c r="I225" s="35"/>
      <c r="M225" s="6">
        <f>SUM(M226,M231)</f>
        <v>294158.3</v>
      </c>
      <c r="N225" s="6">
        <f>SUM(N226,N231)</f>
        <v>704676.7</v>
      </c>
      <c r="O225" s="6">
        <f>SUM(O226,O231)</f>
        <v>998835</v>
      </c>
      <c r="S225" s="6">
        <f>SUM(S226,S231)</f>
        <v>411347.02</v>
      </c>
      <c r="T225" s="6">
        <f>SUM(T226,T231)</f>
        <v>704676.7</v>
      </c>
      <c r="U225" s="6">
        <f>SUM(U226,U231)</f>
        <v>1116023.72</v>
      </c>
      <c r="Y225" s="9">
        <f>SUM(Y226,Y231)</f>
        <v>342789.19</v>
      </c>
      <c r="Z225" s="9">
        <f>SUM(Z226,Z231)</f>
        <v>587230.59</v>
      </c>
      <c r="AA225" s="9">
        <f>SUM(AA226,AA231)</f>
        <v>930019.78</v>
      </c>
      <c r="AD225" s="4">
        <v>282588965</v>
      </c>
      <c r="AE225" s="4">
        <v>20338501</v>
      </c>
    </row>
    <row r="226" spans="1:35" ht="56.25" x14ac:dyDescent="0.25">
      <c r="A226" s="10" t="s">
        <v>834</v>
      </c>
      <c r="B226" s="10" t="s">
        <v>835</v>
      </c>
      <c r="C226" s="11" t="s">
        <v>836</v>
      </c>
      <c r="D226" s="12"/>
      <c r="E226" s="12" t="s">
        <v>837</v>
      </c>
      <c r="F226" s="12" t="s">
        <v>59</v>
      </c>
      <c r="G226" s="13">
        <v>1</v>
      </c>
      <c r="H226" s="13"/>
      <c r="I226" s="13">
        <v>118.4</v>
      </c>
      <c r="J226" s="14">
        <f>IFERROR(ROUND(SUM(M227,M228,M229,M230)/I226, 2),0)</f>
        <v>360.42</v>
      </c>
      <c r="K226" s="15">
        <v>1477</v>
      </c>
      <c r="L226" s="14">
        <f>J226+ROUND(K226, 2)</f>
        <v>1837.42</v>
      </c>
      <c r="M226" s="14">
        <f>ROUND(J226*I226, 2)</f>
        <v>42673.73</v>
      </c>
      <c r="N226" s="14">
        <f>ROUND(I226*ROUND(K226, 2), 2)</f>
        <v>174876.79999999999</v>
      </c>
      <c r="O226" s="14">
        <f>M226+N226</f>
        <v>217550.53</v>
      </c>
      <c r="P226" s="14">
        <f>IFERROR(ROUND(SUM(S227,S228,S229,S230)/I226, 2),0)</f>
        <v>2032.78</v>
      </c>
      <c r="Q226" s="15">
        <v>1477</v>
      </c>
      <c r="R226" s="14">
        <f>P226+ROUND(Q226, 2)</f>
        <v>3509.7799999999997</v>
      </c>
      <c r="S226" s="14">
        <f>ROUND(P226*I226, 2)</f>
        <v>240681.15</v>
      </c>
      <c r="T226" s="14">
        <f>ROUND(I226*ROUND(Q226, 2), 2)</f>
        <v>174876.79999999999</v>
      </c>
      <c r="U226" s="14">
        <f>S226+T226</f>
        <v>415557.94999999995</v>
      </c>
      <c r="V226" s="9">
        <f>ROUND(P226 / 1.2, 2)</f>
        <v>1693.98</v>
      </c>
      <c r="W226" s="9">
        <f>ROUND(Q226 / 1.2, 2)</f>
        <v>1230.83</v>
      </c>
      <c r="X226" s="9">
        <f>ROUND(R226 / 1.2, 2)</f>
        <v>2924.82</v>
      </c>
      <c r="Y226" s="9">
        <f>ROUND(S226 / 1.2, 2)</f>
        <v>200567.63</v>
      </c>
      <c r="Z226" s="9">
        <f>ROUND(T226 / 1.2, 2)</f>
        <v>145730.67000000001</v>
      </c>
      <c r="AA226" s="9">
        <f>Y226+Z226</f>
        <v>346298.30000000005</v>
      </c>
      <c r="AD226" s="4">
        <v>282588967</v>
      </c>
      <c r="AE226" s="4">
        <v>20343922</v>
      </c>
      <c r="AG226" s="4" t="s">
        <v>838</v>
      </c>
      <c r="AH226" s="4" t="s">
        <v>839</v>
      </c>
      <c r="AI226" s="4" t="s">
        <v>170</v>
      </c>
    </row>
    <row r="227" spans="1:35" ht="18.75" x14ac:dyDescent="0.25">
      <c r="A227" s="10" t="s">
        <v>840</v>
      </c>
      <c r="B227" s="10"/>
      <c r="C227" s="16" t="s">
        <v>841</v>
      </c>
      <c r="D227" s="12"/>
      <c r="E227" s="12"/>
      <c r="F227" s="17" t="s">
        <v>222</v>
      </c>
      <c r="G227" s="18">
        <v>1</v>
      </c>
      <c r="H227" s="22"/>
      <c r="I227" s="22">
        <v>123</v>
      </c>
      <c r="J227" s="19">
        <v>80</v>
      </c>
      <c r="M227" s="20">
        <f>ROUND(ROUND(J227, 2)*I227, 2)</f>
        <v>9840</v>
      </c>
      <c r="P227" s="19">
        <v>80</v>
      </c>
      <c r="S227" s="20">
        <f>ROUND(ROUND(P227, 2)*I227, 2)</f>
        <v>9840</v>
      </c>
      <c r="V227" s="9">
        <f>ROUND(ROUND(P227, 2)/1.2, 2)</f>
        <v>66.67</v>
      </c>
      <c r="Y227" s="9">
        <f t="shared" ref="Y227:Y235" si="11">ROUND(S227 / 1.2, 2)</f>
        <v>8200</v>
      </c>
      <c r="AD227" s="4" t="s">
        <v>842</v>
      </c>
      <c r="AE227" s="4" t="s">
        <v>843</v>
      </c>
      <c r="AF227" s="4" t="s">
        <v>844</v>
      </c>
    </row>
    <row r="228" spans="1:35" ht="18.75" x14ac:dyDescent="0.25">
      <c r="A228" s="10" t="s">
        <v>845</v>
      </c>
      <c r="B228" s="10"/>
      <c r="C228" s="16" t="s">
        <v>846</v>
      </c>
      <c r="D228" s="12"/>
      <c r="E228" s="12"/>
      <c r="F228" s="17" t="s">
        <v>76</v>
      </c>
      <c r="G228" s="18">
        <v>1</v>
      </c>
      <c r="H228" s="22"/>
      <c r="I228" s="22">
        <v>592</v>
      </c>
      <c r="J228" s="19">
        <v>44.71</v>
      </c>
      <c r="M228" s="20">
        <f>ROUND(ROUND(J228, 2)*I228, 2)</f>
        <v>26468.32</v>
      </c>
      <c r="P228" s="19">
        <v>44.71</v>
      </c>
      <c r="S228" s="20">
        <f>ROUND(ROUND(P228, 2)*I228, 2)</f>
        <v>26468.32</v>
      </c>
      <c r="V228" s="9">
        <f>ROUND(ROUND(P228, 2)/1.2, 2)</f>
        <v>37.26</v>
      </c>
      <c r="Y228" s="9">
        <f t="shared" si="11"/>
        <v>22056.93</v>
      </c>
      <c r="AD228" s="4" t="s">
        <v>847</v>
      </c>
      <c r="AE228" s="4" t="s">
        <v>848</v>
      </c>
      <c r="AF228" s="4" t="s">
        <v>849</v>
      </c>
    </row>
    <row r="229" spans="1:35" ht="18.75" x14ac:dyDescent="0.25">
      <c r="A229" s="10" t="s">
        <v>850</v>
      </c>
      <c r="B229" s="10"/>
      <c r="C229" s="16" t="s">
        <v>123</v>
      </c>
      <c r="D229" s="12"/>
      <c r="E229" s="12"/>
      <c r="F229" s="17" t="s">
        <v>76</v>
      </c>
      <c r="G229" s="18">
        <v>1</v>
      </c>
      <c r="H229" s="22"/>
      <c r="I229" s="22">
        <v>178</v>
      </c>
      <c r="J229" s="19">
        <v>35.76</v>
      </c>
      <c r="M229" s="20">
        <f>ROUND(ROUND(J229, 2)*I229, 2)</f>
        <v>6365.28</v>
      </c>
      <c r="P229" s="19">
        <v>35.76</v>
      </c>
      <c r="S229" s="20">
        <f>ROUND(ROUND(P229, 2)*I229, 2)</f>
        <v>6365.28</v>
      </c>
      <c r="V229" s="9">
        <f>ROUND(ROUND(P229, 2)/1.2, 2)</f>
        <v>29.8</v>
      </c>
      <c r="Y229" s="9">
        <f t="shared" si="11"/>
        <v>5304.4</v>
      </c>
      <c r="AD229" s="4" t="s">
        <v>851</v>
      </c>
      <c r="AE229" s="4" t="s">
        <v>852</v>
      </c>
      <c r="AF229" s="4" t="s">
        <v>126</v>
      </c>
    </row>
    <row r="230" spans="1:35" ht="37.5" x14ac:dyDescent="0.25">
      <c r="A230" s="10" t="s">
        <v>853</v>
      </c>
      <c r="B230" s="10"/>
      <c r="C230" s="16" t="s">
        <v>854</v>
      </c>
      <c r="D230" s="12"/>
      <c r="E230" s="12"/>
      <c r="F230" s="17" t="s">
        <v>59</v>
      </c>
      <c r="G230" s="18">
        <v>1.1000000000000001</v>
      </c>
      <c r="H230" s="22"/>
      <c r="I230" s="22">
        <v>130.24</v>
      </c>
      <c r="J230" s="19">
        <v>0</v>
      </c>
      <c r="M230" s="20">
        <f>ROUND(ROUND(J230, 2)*I230, 2)</f>
        <v>0</v>
      </c>
      <c r="P230" s="19">
        <v>1520.33</v>
      </c>
      <c r="S230" s="20">
        <f>ROUND(ROUND(P230, 2)*I230, 2)</f>
        <v>198007.78</v>
      </c>
      <c r="V230" s="9">
        <f>ROUND(ROUND(P230, 2)/1.2, 2)</f>
        <v>1266.94</v>
      </c>
      <c r="Y230" s="9">
        <f t="shared" si="11"/>
        <v>165006.48000000001</v>
      </c>
      <c r="AD230" s="4" t="s">
        <v>855</v>
      </c>
      <c r="AE230" s="4" t="s">
        <v>856</v>
      </c>
      <c r="AF230" s="4" t="s">
        <v>857</v>
      </c>
    </row>
    <row r="231" spans="1:35" ht="112.5" x14ac:dyDescent="0.25">
      <c r="A231" s="10" t="s">
        <v>858</v>
      </c>
      <c r="B231" s="10" t="s">
        <v>835</v>
      </c>
      <c r="C231" s="11" t="s">
        <v>836</v>
      </c>
      <c r="D231" s="12"/>
      <c r="E231" s="12" t="s">
        <v>859</v>
      </c>
      <c r="F231" s="12" t="s">
        <v>59</v>
      </c>
      <c r="G231" s="13">
        <v>1</v>
      </c>
      <c r="H231" s="13"/>
      <c r="I231" s="13">
        <v>358.7</v>
      </c>
      <c r="J231" s="14">
        <f>IFERROR(ROUND(SUM(M232,M233,M234,M235)/I231, 2),0)</f>
        <v>701.1</v>
      </c>
      <c r="K231" s="15">
        <v>1477</v>
      </c>
      <c r="L231" s="14">
        <f>J231+ROUND(K231, 2)</f>
        <v>2178.1</v>
      </c>
      <c r="M231" s="14">
        <f>ROUND(J231*I231, 2)</f>
        <v>251484.57</v>
      </c>
      <c r="N231" s="14">
        <f>ROUND(I231*ROUND(K231, 2), 2)</f>
        <v>529799.9</v>
      </c>
      <c r="O231" s="14">
        <f>M231+N231</f>
        <v>781284.47</v>
      </c>
      <c r="P231" s="14">
        <f>IFERROR(ROUND(SUM(S232,S233,S234,S235)/I231, 2),0)</f>
        <v>475.79</v>
      </c>
      <c r="Q231" s="15">
        <v>1477</v>
      </c>
      <c r="R231" s="14">
        <f>P231+ROUND(Q231, 2)</f>
        <v>1952.79</v>
      </c>
      <c r="S231" s="14">
        <f>ROUND(P231*I231, 2)</f>
        <v>170665.87</v>
      </c>
      <c r="T231" s="14">
        <f>ROUND(I231*ROUND(Q231, 2), 2)</f>
        <v>529799.9</v>
      </c>
      <c r="U231" s="14">
        <f>S231+T231</f>
        <v>700465.77</v>
      </c>
      <c r="V231" s="9">
        <f>ROUND(P231 / 1.2, 2)</f>
        <v>396.49</v>
      </c>
      <c r="W231" s="9">
        <f>ROUND(Q231 / 1.2, 2)</f>
        <v>1230.83</v>
      </c>
      <c r="X231" s="9">
        <f>ROUND(R231 / 1.2, 2)</f>
        <v>1627.33</v>
      </c>
      <c r="Y231" s="9">
        <f t="shared" si="11"/>
        <v>142221.56</v>
      </c>
      <c r="Z231" s="9">
        <f>ROUND(T231 / 1.2, 2)</f>
        <v>441499.92</v>
      </c>
      <c r="AA231" s="9">
        <f>Y231+Z231</f>
        <v>583721.48</v>
      </c>
      <c r="AD231" s="4">
        <v>282589021</v>
      </c>
      <c r="AE231" s="4">
        <v>20344047</v>
      </c>
      <c r="AG231" s="4" t="s">
        <v>838</v>
      </c>
      <c r="AH231" s="4" t="s">
        <v>839</v>
      </c>
      <c r="AI231" s="4" t="s">
        <v>170</v>
      </c>
    </row>
    <row r="232" spans="1:35" ht="18.75" x14ac:dyDescent="0.25">
      <c r="A232" s="10" t="s">
        <v>860</v>
      </c>
      <c r="B232" s="10"/>
      <c r="C232" s="21" t="s">
        <v>861</v>
      </c>
      <c r="D232" s="12"/>
      <c r="E232" s="12"/>
      <c r="F232" s="17" t="s">
        <v>59</v>
      </c>
      <c r="G232" s="18">
        <v>1.1000000000000001</v>
      </c>
      <c r="H232" s="22"/>
      <c r="I232" s="22">
        <v>394.57</v>
      </c>
      <c r="J232" s="19">
        <v>309.39999999999998</v>
      </c>
      <c r="M232" s="20">
        <f>ROUND(ROUND(J232, 2)*I232, 2)</f>
        <v>122079.96</v>
      </c>
      <c r="P232" s="19">
        <v>104.57</v>
      </c>
      <c r="S232" s="20">
        <f>ROUND(ROUND(P232, 2)*I232, 2)</f>
        <v>41260.18</v>
      </c>
      <c r="V232" s="9">
        <f>ROUND(ROUND(P232, 2)/1.2, 2)</f>
        <v>87.14</v>
      </c>
      <c r="Y232" s="9">
        <f t="shared" si="11"/>
        <v>34383.480000000003</v>
      </c>
      <c r="AD232" s="4" t="s">
        <v>862</v>
      </c>
      <c r="AE232" s="4" t="s">
        <v>863</v>
      </c>
      <c r="AF232" s="4" t="s">
        <v>864</v>
      </c>
    </row>
    <row r="233" spans="1:35" ht="18.75" x14ac:dyDescent="0.25">
      <c r="A233" s="10" t="s">
        <v>865</v>
      </c>
      <c r="B233" s="10"/>
      <c r="C233" s="16" t="s">
        <v>846</v>
      </c>
      <c r="D233" s="12"/>
      <c r="E233" s="12"/>
      <c r="F233" s="17" t="s">
        <v>76</v>
      </c>
      <c r="G233" s="18">
        <v>1</v>
      </c>
      <c r="H233" s="22"/>
      <c r="I233" s="22">
        <v>1794</v>
      </c>
      <c r="J233" s="19">
        <v>44.71</v>
      </c>
      <c r="M233" s="20">
        <f>ROUND(ROUND(J233, 2)*I233, 2)</f>
        <v>80209.740000000005</v>
      </c>
      <c r="P233" s="19">
        <v>44.71</v>
      </c>
      <c r="S233" s="20">
        <f>ROUND(ROUND(P233, 2)*I233, 2)</f>
        <v>80209.740000000005</v>
      </c>
      <c r="V233" s="9">
        <f>ROUND(ROUND(P233, 2)/1.2, 2)</f>
        <v>37.26</v>
      </c>
      <c r="Y233" s="9">
        <f t="shared" si="11"/>
        <v>66841.45</v>
      </c>
      <c r="AD233" s="4" t="s">
        <v>866</v>
      </c>
      <c r="AE233" s="4" t="s">
        <v>867</v>
      </c>
      <c r="AF233" s="4" t="s">
        <v>849</v>
      </c>
    </row>
    <row r="234" spans="1:35" ht="18.75" x14ac:dyDescent="0.25">
      <c r="A234" s="10" t="s">
        <v>868</v>
      </c>
      <c r="B234" s="10"/>
      <c r="C234" s="16" t="s">
        <v>123</v>
      </c>
      <c r="D234" s="12"/>
      <c r="E234" s="12"/>
      <c r="F234" s="17" t="s">
        <v>76</v>
      </c>
      <c r="G234" s="18">
        <v>1</v>
      </c>
      <c r="H234" s="22"/>
      <c r="I234" s="22">
        <v>539</v>
      </c>
      <c r="J234" s="19">
        <v>35.76</v>
      </c>
      <c r="M234" s="20">
        <f>ROUND(ROUND(J234, 2)*I234, 2)</f>
        <v>19274.64</v>
      </c>
      <c r="P234" s="19">
        <v>35.76</v>
      </c>
      <c r="S234" s="20">
        <f>ROUND(ROUND(P234, 2)*I234, 2)</f>
        <v>19274.64</v>
      </c>
      <c r="V234" s="9">
        <f>ROUND(ROUND(P234, 2)/1.2, 2)</f>
        <v>29.8</v>
      </c>
      <c r="Y234" s="9">
        <f t="shared" si="11"/>
        <v>16062.2</v>
      </c>
      <c r="AD234" s="4" t="s">
        <v>869</v>
      </c>
      <c r="AE234" s="4" t="s">
        <v>870</v>
      </c>
      <c r="AF234" s="4" t="s">
        <v>126</v>
      </c>
    </row>
    <row r="235" spans="1:35" ht="18.75" x14ac:dyDescent="0.25">
      <c r="A235" s="10" t="s">
        <v>871</v>
      </c>
      <c r="B235" s="10"/>
      <c r="C235" s="16" t="s">
        <v>841</v>
      </c>
      <c r="D235" s="12"/>
      <c r="E235" s="12"/>
      <c r="F235" s="17" t="s">
        <v>222</v>
      </c>
      <c r="G235" s="18">
        <v>1</v>
      </c>
      <c r="H235" s="22"/>
      <c r="I235" s="22">
        <v>374</v>
      </c>
      <c r="J235" s="19">
        <v>80</v>
      </c>
      <c r="M235" s="20">
        <f>ROUND(ROUND(J235, 2)*I235, 2)</f>
        <v>29920</v>
      </c>
      <c r="P235" s="19">
        <v>80</v>
      </c>
      <c r="S235" s="20">
        <f>ROUND(ROUND(P235, 2)*I235, 2)</f>
        <v>29920</v>
      </c>
      <c r="V235" s="9">
        <f>ROUND(ROUND(P235, 2)/1.2, 2)</f>
        <v>66.67</v>
      </c>
      <c r="Y235" s="9">
        <f t="shared" si="11"/>
        <v>24933.33</v>
      </c>
      <c r="AD235" s="4" t="s">
        <v>872</v>
      </c>
      <c r="AE235" s="4" t="s">
        <v>873</v>
      </c>
      <c r="AF235" s="4" t="s">
        <v>844</v>
      </c>
    </row>
    <row r="236" spans="1:35" ht="17.100000000000001" customHeight="1" x14ac:dyDescent="0.25">
      <c r="A236" s="10" t="s">
        <v>874</v>
      </c>
      <c r="B236" s="10" t="s">
        <v>875</v>
      </c>
      <c r="C236" s="33" t="s">
        <v>876</v>
      </c>
      <c r="D236" s="34"/>
      <c r="E236" s="34"/>
      <c r="F236" s="34"/>
      <c r="G236" s="34"/>
      <c r="H236" s="34"/>
      <c r="I236" s="35"/>
      <c r="M236" s="6">
        <f>SUM(M237,M244)</f>
        <v>2330512.66</v>
      </c>
      <c r="N236" s="6">
        <f>SUM(N237,N244)</f>
        <v>6153445.0999999996</v>
      </c>
      <c r="O236" s="6">
        <f>SUM(O237,O244)</f>
        <v>8483957.7599999998</v>
      </c>
      <c r="S236" s="6">
        <f>SUM(S237,S244)</f>
        <v>1172631.94</v>
      </c>
      <c r="T236" s="6">
        <f>SUM(T237,T244)</f>
        <v>6153445.0999999996</v>
      </c>
      <c r="U236" s="6">
        <f>SUM(U237,U244)</f>
        <v>7326077.040000001</v>
      </c>
      <c r="Y236" s="9">
        <f>SUM(Y237,Y244)</f>
        <v>977193.29</v>
      </c>
      <c r="Z236" s="9">
        <f>SUM(Z237,Z244)</f>
        <v>5127870.92</v>
      </c>
      <c r="AA236" s="9">
        <f>SUM(AA237,AA244)</f>
        <v>6105064.209999999</v>
      </c>
      <c r="AD236" s="4">
        <v>282588968</v>
      </c>
      <c r="AE236" s="4">
        <v>20300800</v>
      </c>
    </row>
    <row r="237" spans="1:35" ht="17.100000000000001" customHeight="1" x14ac:dyDescent="0.25">
      <c r="A237" s="10" t="s">
        <v>877</v>
      </c>
      <c r="B237" s="10" t="s">
        <v>878</v>
      </c>
      <c r="C237" s="33" t="s">
        <v>879</v>
      </c>
      <c r="D237" s="34"/>
      <c r="E237" s="34"/>
      <c r="F237" s="34"/>
      <c r="G237" s="34"/>
      <c r="H237" s="34"/>
      <c r="I237" s="35"/>
      <c r="M237" s="6">
        <f>SUM(M238,M241)</f>
        <v>304542.73</v>
      </c>
      <c r="N237" s="6">
        <f>SUM(N238,N241)</f>
        <v>3668446.7</v>
      </c>
      <c r="O237" s="6">
        <f>SUM(O238,O241)</f>
        <v>3972989.4299999997</v>
      </c>
      <c r="S237" s="6">
        <f>SUM(S238,S241)</f>
        <v>304542.73</v>
      </c>
      <c r="T237" s="6">
        <f>SUM(T238,T241)</f>
        <v>3668446.7</v>
      </c>
      <c r="U237" s="6">
        <f>SUM(U238,U241)</f>
        <v>3972989.4299999997</v>
      </c>
      <c r="Y237" s="9">
        <f>SUM(Y238,Y241)</f>
        <v>253785.61000000002</v>
      </c>
      <c r="Z237" s="9">
        <f>SUM(Z238,Z241)</f>
        <v>3057038.92</v>
      </c>
      <c r="AA237" s="9">
        <f>SUM(AA238,AA241)</f>
        <v>3310824.53</v>
      </c>
      <c r="AD237" s="4">
        <v>282588969</v>
      </c>
      <c r="AE237" s="4">
        <v>20324128</v>
      </c>
    </row>
    <row r="238" spans="1:35" ht="37.5" x14ac:dyDescent="0.25">
      <c r="A238" s="10" t="s">
        <v>880</v>
      </c>
      <c r="B238" s="10" t="s">
        <v>881</v>
      </c>
      <c r="C238" s="11" t="s">
        <v>882</v>
      </c>
      <c r="D238" s="12"/>
      <c r="E238" s="12" t="s">
        <v>883</v>
      </c>
      <c r="F238" s="12" t="s">
        <v>59</v>
      </c>
      <c r="G238" s="13">
        <v>1</v>
      </c>
      <c r="H238" s="13"/>
      <c r="I238" s="13">
        <v>3898.4</v>
      </c>
      <c r="J238" s="14">
        <f>IFERROR(ROUND(SUM(M239,M240)/I238, 2),0)</f>
        <v>70.47</v>
      </c>
      <c r="K238" s="15">
        <v>790</v>
      </c>
      <c r="L238" s="14">
        <f>J238+ROUND(K238, 2)</f>
        <v>860.47</v>
      </c>
      <c r="M238" s="14">
        <f>ROUND(J238*I238, 2)</f>
        <v>274720.25</v>
      </c>
      <c r="N238" s="14">
        <f>ROUND(I238*ROUND(K238, 2), 2)</f>
        <v>3079736</v>
      </c>
      <c r="O238" s="14">
        <f>M238+N238</f>
        <v>3354456.25</v>
      </c>
      <c r="P238" s="14">
        <f>IFERROR(ROUND(SUM(S239,S240)/I238, 2),0)</f>
        <v>70.47</v>
      </c>
      <c r="Q238" s="15">
        <v>790</v>
      </c>
      <c r="R238" s="14">
        <f>P238+ROUND(Q238, 2)</f>
        <v>860.47</v>
      </c>
      <c r="S238" s="14">
        <f>ROUND(P238*I238, 2)</f>
        <v>274720.25</v>
      </c>
      <c r="T238" s="14">
        <f>ROUND(I238*ROUND(Q238, 2), 2)</f>
        <v>3079736</v>
      </c>
      <c r="U238" s="14">
        <f>S238+T238</f>
        <v>3354456.25</v>
      </c>
      <c r="V238" s="9">
        <f>ROUND(P238 / 1.2, 2)</f>
        <v>58.73</v>
      </c>
      <c r="W238" s="9">
        <f>ROUND(Q238 / 1.2, 2)</f>
        <v>658.33</v>
      </c>
      <c r="X238" s="9">
        <f>ROUND(R238 / 1.2, 2)</f>
        <v>717.06</v>
      </c>
      <c r="Y238" s="9">
        <f>ROUND(S238 / 1.2, 2)</f>
        <v>228933.54</v>
      </c>
      <c r="Z238" s="9">
        <f>ROUND(T238 / 1.2, 2)</f>
        <v>2566446.67</v>
      </c>
      <c r="AA238" s="9">
        <f>Y238+Z238</f>
        <v>2795380.21</v>
      </c>
      <c r="AD238" s="4">
        <v>282588971</v>
      </c>
      <c r="AE238" s="4">
        <v>20324131</v>
      </c>
      <c r="AG238" s="4" t="s">
        <v>884</v>
      </c>
      <c r="AH238" s="4" t="s">
        <v>885</v>
      </c>
      <c r="AI238" s="4" t="s">
        <v>170</v>
      </c>
    </row>
    <row r="239" spans="1:35" ht="37.5" x14ac:dyDescent="0.25">
      <c r="A239" s="10" t="s">
        <v>886</v>
      </c>
      <c r="B239" s="10"/>
      <c r="C239" s="21" t="s">
        <v>887</v>
      </c>
      <c r="D239" s="12"/>
      <c r="E239" s="12"/>
      <c r="F239" s="17" t="s">
        <v>173</v>
      </c>
      <c r="G239" s="18">
        <v>4.5</v>
      </c>
      <c r="H239" s="18"/>
      <c r="I239" s="18">
        <v>17542.8</v>
      </c>
      <c r="J239" s="19">
        <v>12.7</v>
      </c>
      <c r="M239" s="20">
        <f>ROUND(ROUND(J239, 2)*I239, 2)</f>
        <v>222793.56</v>
      </c>
      <c r="P239" s="19">
        <v>12.7</v>
      </c>
      <c r="S239" s="20">
        <f>ROUND(ROUND(P239, 2)*I239, 2)</f>
        <v>222793.56</v>
      </c>
      <c r="V239" s="9">
        <f>ROUND(ROUND(P239, 2)/1.2, 2)</f>
        <v>10.58</v>
      </c>
      <c r="Y239" s="9">
        <f>ROUND(S239 / 1.2, 2)</f>
        <v>185661.3</v>
      </c>
      <c r="AD239" s="4" t="s">
        <v>888</v>
      </c>
      <c r="AE239" s="4" t="s">
        <v>889</v>
      </c>
      <c r="AF239" s="4" t="s">
        <v>890</v>
      </c>
    </row>
    <row r="240" spans="1:35" ht="37.5" x14ac:dyDescent="0.25">
      <c r="A240" s="10" t="s">
        <v>891</v>
      </c>
      <c r="B240" s="10"/>
      <c r="C240" s="16" t="s">
        <v>383</v>
      </c>
      <c r="D240" s="12"/>
      <c r="E240" s="12"/>
      <c r="F240" s="17" t="s">
        <v>173</v>
      </c>
      <c r="G240" s="18">
        <v>0.15</v>
      </c>
      <c r="H240" s="18"/>
      <c r="I240" s="18">
        <v>584.76</v>
      </c>
      <c r="J240" s="19">
        <v>88.8</v>
      </c>
      <c r="M240" s="20">
        <f>ROUND(ROUND(J240, 2)*I240, 2)</f>
        <v>51926.69</v>
      </c>
      <c r="P240" s="19">
        <v>88.8</v>
      </c>
      <c r="S240" s="20">
        <f>ROUND(ROUND(P240, 2)*I240, 2)</f>
        <v>51926.69</v>
      </c>
      <c r="V240" s="9">
        <f>ROUND(ROUND(P240, 2)/1.2, 2)</f>
        <v>74</v>
      </c>
      <c r="Y240" s="9">
        <f>ROUND(S240 / 1.2, 2)</f>
        <v>43272.24</v>
      </c>
      <c r="AD240" s="4" t="s">
        <v>892</v>
      </c>
      <c r="AE240" s="4" t="s">
        <v>893</v>
      </c>
      <c r="AF240" s="4" t="s">
        <v>386</v>
      </c>
    </row>
    <row r="241" spans="1:35" ht="37.5" x14ac:dyDescent="0.25">
      <c r="A241" s="10" t="s">
        <v>894</v>
      </c>
      <c r="B241" s="10" t="s">
        <v>895</v>
      </c>
      <c r="C241" s="11" t="s">
        <v>896</v>
      </c>
      <c r="D241" s="12"/>
      <c r="E241" s="12" t="s">
        <v>897</v>
      </c>
      <c r="F241" s="12" t="s">
        <v>59</v>
      </c>
      <c r="G241" s="13">
        <v>1</v>
      </c>
      <c r="H241" s="13"/>
      <c r="I241" s="13">
        <v>921.3</v>
      </c>
      <c r="J241" s="14">
        <f>IFERROR(ROUND(SUM(M242,M243)/I241, 2),0)</f>
        <v>32.369999999999997</v>
      </c>
      <c r="K241" s="15">
        <v>639</v>
      </c>
      <c r="L241" s="14">
        <f>J241+ROUND(K241, 2)</f>
        <v>671.37</v>
      </c>
      <c r="M241" s="14">
        <f>ROUND(J241*I241, 2)</f>
        <v>29822.48</v>
      </c>
      <c r="N241" s="14">
        <f>ROUND(I241*ROUND(K241, 2), 2)</f>
        <v>588710.69999999995</v>
      </c>
      <c r="O241" s="14">
        <f>M241+N241</f>
        <v>618533.17999999993</v>
      </c>
      <c r="P241" s="14">
        <f>IFERROR(ROUND(SUM(S242,S243)/I241, 2),0)</f>
        <v>32.369999999999997</v>
      </c>
      <c r="Q241" s="15">
        <v>639</v>
      </c>
      <c r="R241" s="14">
        <f>P241+ROUND(Q241, 2)</f>
        <v>671.37</v>
      </c>
      <c r="S241" s="14">
        <f>ROUND(P241*I241, 2)</f>
        <v>29822.48</v>
      </c>
      <c r="T241" s="14">
        <f>ROUND(I241*ROUND(Q241, 2), 2)</f>
        <v>588710.69999999995</v>
      </c>
      <c r="U241" s="14">
        <f>S241+T241</f>
        <v>618533.17999999993</v>
      </c>
      <c r="V241" s="9">
        <f>ROUND(P241 / 1.2, 2)</f>
        <v>26.98</v>
      </c>
      <c r="W241" s="9">
        <f>ROUND(Q241 / 1.2, 2)</f>
        <v>532.5</v>
      </c>
      <c r="X241" s="9">
        <f>ROUND(R241 / 1.2, 2)</f>
        <v>559.48</v>
      </c>
      <c r="Y241" s="9">
        <f>ROUND(S241 / 1.2, 2)</f>
        <v>24852.07</v>
      </c>
      <c r="Z241" s="9">
        <f>ROUND(T241 / 1.2, 2)</f>
        <v>490592.25</v>
      </c>
      <c r="AA241" s="9">
        <f>Y241+Z241</f>
        <v>515444.32</v>
      </c>
      <c r="AD241" s="4">
        <v>282588972</v>
      </c>
      <c r="AE241" s="4">
        <v>21107425</v>
      </c>
      <c r="AG241" s="4" t="s">
        <v>898</v>
      </c>
      <c r="AH241" s="4" t="s">
        <v>899</v>
      </c>
      <c r="AI241" s="4" t="s">
        <v>170</v>
      </c>
    </row>
    <row r="242" spans="1:35" ht="37.5" x14ac:dyDescent="0.25">
      <c r="A242" s="10" t="s">
        <v>900</v>
      </c>
      <c r="B242" s="10"/>
      <c r="C242" s="21" t="s">
        <v>887</v>
      </c>
      <c r="D242" s="12"/>
      <c r="E242" s="12"/>
      <c r="F242" s="17" t="s">
        <v>173</v>
      </c>
      <c r="G242" s="18">
        <v>1.5</v>
      </c>
      <c r="H242" s="18"/>
      <c r="I242" s="18">
        <v>1381.95</v>
      </c>
      <c r="J242" s="19">
        <v>12.7</v>
      </c>
      <c r="M242" s="20">
        <f>ROUND(ROUND(J242, 2)*I242, 2)</f>
        <v>17550.77</v>
      </c>
      <c r="P242" s="19">
        <v>12.7</v>
      </c>
      <c r="S242" s="20">
        <f>ROUND(ROUND(P242, 2)*I242, 2)</f>
        <v>17550.77</v>
      </c>
      <c r="V242" s="9">
        <f>ROUND(ROUND(P242, 2)/1.2, 2)</f>
        <v>10.58</v>
      </c>
      <c r="Y242" s="9">
        <f>ROUND(S242 / 1.2, 2)</f>
        <v>14625.64</v>
      </c>
      <c r="AD242" s="4" t="s">
        <v>901</v>
      </c>
      <c r="AE242" s="4" t="s">
        <v>902</v>
      </c>
      <c r="AF242" s="4" t="s">
        <v>890</v>
      </c>
    </row>
    <row r="243" spans="1:35" ht="37.5" x14ac:dyDescent="0.25">
      <c r="A243" s="10" t="s">
        <v>903</v>
      </c>
      <c r="B243" s="10"/>
      <c r="C243" s="16" t="s">
        <v>383</v>
      </c>
      <c r="D243" s="12"/>
      <c r="E243" s="12"/>
      <c r="F243" s="17" t="s">
        <v>173</v>
      </c>
      <c r="G243" s="18">
        <v>0.15</v>
      </c>
      <c r="H243" s="18"/>
      <c r="I243" s="18">
        <v>138.19499999999999</v>
      </c>
      <c r="J243" s="19">
        <v>88.8</v>
      </c>
      <c r="M243" s="20">
        <f>ROUND(ROUND(J243, 2)*I243, 2)</f>
        <v>12271.72</v>
      </c>
      <c r="P243" s="19">
        <v>88.8</v>
      </c>
      <c r="S243" s="20">
        <f>ROUND(ROUND(P243, 2)*I243, 2)</f>
        <v>12271.72</v>
      </c>
      <c r="V243" s="9">
        <f>ROUND(ROUND(P243, 2)/1.2, 2)</f>
        <v>74</v>
      </c>
      <c r="Y243" s="9">
        <f>ROUND(S243 / 1.2, 2)</f>
        <v>10226.43</v>
      </c>
      <c r="AD243" s="4" t="s">
        <v>904</v>
      </c>
      <c r="AE243" s="4" t="s">
        <v>905</v>
      </c>
      <c r="AF243" s="4" t="s">
        <v>386</v>
      </c>
    </row>
    <row r="244" spans="1:35" ht="17.100000000000001" customHeight="1" x14ac:dyDescent="0.25">
      <c r="A244" s="10" t="s">
        <v>906</v>
      </c>
      <c r="B244" s="10" t="s">
        <v>907</v>
      </c>
      <c r="C244" s="33" t="s">
        <v>908</v>
      </c>
      <c r="D244" s="34"/>
      <c r="E244" s="34"/>
      <c r="F244" s="34"/>
      <c r="G244" s="34"/>
      <c r="H244" s="34"/>
      <c r="I244" s="35"/>
      <c r="M244" s="6">
        <f>SUM(M245,M248,M251,M254)</f>
        <v>2025969.9300000002</v>
      </c>
      <c r="N244" s="6">
        <f>SUM(N245,N248,N251,N254)</f>
        <v>2484998.4</v>
      </c>
      <c r="O244" s="6">
        <f>SUM(O245,O248,O251,O254)</f>
        <v>4510968.33</v>
      </c>
      <c r="S244" s="6">
        <f>SUM(S245,S248,S251,S254)</f>
        <v>868089.21000000008</v>
      </c>
      <c r="T244" s="6">
        <f>SUM(T245,T248,T251,T254)</f>
        <v>2484998.4</v>
      </c>
      <c r="U244" s="6">
        <f>SUM(U245,U248,U251,U254)</f>
        <v>3353087.6100000008</v>
      </c>
      <c r="Y244" s="9">
        <f>SUM(Y245,Y248,Y251,Y254)</f>
        <v>723407.68</v>
      </c>
      <c r="Z244" s="9">
        <f>SUM(Z245,Z248,Z251,Z254)</f>
        <v>2070832</v>
      </c>
      <c r="AA244" s="9">
        <f>SUM(AA245,AA248,AA251,AA254)</f>
        <v>2794239.6799999997</v>
      </c>
      <c r="AD244" s="4">
        <v>282588973</v>
      </c>
      <c r="AE244" s="4">
        <v>20300804</v>
      </c>
    </row>
    <row r="245" spans="1:35" ht="93.75" x14ac:dyDescent="0.25">
      <c r="A245" s="10" t="s">
        <v>909</v>
      </c>
      <c r="B245" s="10" t="s">
        <v>910</v>
      </c>
      <c r="C245" s="11" t="s">
        <v>911</v>
      </c>
      <c r="D245" s="12"/>
      <c r="E245" s="12" t="s">
        <v>912</v>
      </c>
      <c r="F245" s="12" t="s">
        <v>59</v>
      </c>
      <c r="G245" s="13">
        <v>1</v>
      </c>
      <c r="H245" s="13"/>
      <c r="I245" s="13">
        <v>3898.4</v>
      </c>
      <c r="J245" s="14">
        <f>IFERROR(ROUND(SUM(M246,M247)/I245, 2),0)</f>
        <v>378.29</v>
      </c>
      <c r="K245" s="15">
        <v>464</v>
      </c>
      <c r="L245" s="14">
        <f>J245+ROUND(K245, 2)</f>
        <v>842.29</v>
      </c>
      <c r="M245" s="14">
        <f>ROUND(J245*I245, 2)</f>
        <v>1474725.74</v>
      </c>
      <c r="N245" s="14">
        <f>ROUND(I245*ROUND(K245, 2), 2)</f>
        <v>1808857.6</v>
      </c>
      <c r="O245" s="14">
        <f>M245+N245</f>
        <v>3283583.34</v>
      </c>
      <c r="P245" s="14">
        <f>IFERROR(ROUND(SUM(S246,S247)/I245, 2),0)</f>
        <v>162.09</v>
      </c>
      <c r="Q245" s="15">
        <v>464</v>
      </c>
      <c r="R245" s="14">
        <f>P245+ROUND(Q245, 2)</f>
        <v>626.09</v>
      </c>
      <c r="S245" s="14">
        <f>ROUND(P245*I245, 2)</f>
        <v>631891.66</v>
      </c>
      <c r="T245" s="14">
        <f>ROUND(I245*ROUND(Q245, 2), 2)</f>
        <v>1808857.6</v>
      </c>
      <c r="U245" s="14">
        <f>S245+T245</f>
        <v>2440749.2600000002</v>
      </c>
      <c r="V245" s="9">
        <f>ROUND(P245 / 1.2, 2)</f>
        <v>135.08000000000001</v>
      </c>
      <c r="W245" s="9">
        <f>ROUND(Q245 / 1.2, 2)</f>
        <v>386.67</v>
      </c>
      <c r="X245" s="9">
        <f>ROUND(R245 / 1.2, 2)</f>
        <v>521.74</v>
      </c>
      <c r="Y245" s="9">
        <f>ROUND(S245 / 1.2, 2)</f>
        <v>526576.38</v>
      </c>
      <c r="Z245" s="9">
        <f>ROUND(T245 / 1.2, 2)</f>
        <v>1507381.33</v>
      </c>
      <c r="AA245" s="9">
        <f>Y245+Z245</f>
        <v>2033957.71</v>
      </c>
      <c r="AD245" s="4">
        <v>282588975</v>
      </c>
      <c r="AE245" s="4">
        <v>20344955</v>
      </c>
      <c r="AG245" s="4" t="s">
        <v>913</v>
      </c>
      <c r="AH245" s="4" t="s">
        <v>914</v>
      </c>
      <c r="AI245" s="4" t="s">
        <v>170</v>
      </c>
    </row>
    <row r="246" spans="1:35" ht="56.25" x14ac:dyDescent="0.25">
      <c r="A246" s="10" t="s">
        <v>915</v>
      </c>
      <c r="B246" s="10"/>
      <c r="C246" s="16" t="s">
        <v>641</v>
      </c>
      <c r="D246" s="12"/>
      <c r="E246" s="12" t="s">
        <v>916</v>
      </c>
      <c r="F246" s="17" t="s">
        <v>173</v>
      </c>
      <c r="G246" s="18">
        <v>0.3</v>
      </c>
      <c r="H246" s="18"/>
      <c r="I246" s="18">
        <v>1169.52</v>
      </c>
      <c r="J246" s="19">
        <v>1216.56</v>
      </c>
      <c r="M246" s="20">
        <f>ROUND(ROUND(J246, 2)*I246, 2)</f>
        <v>1422791.25</v>
      </c>
      <c r="P246" s="19">
        <v>495.9</v>
      </c>
      <c r="S246" s="20">
        <f>ROUND(ROUND(P246, 2)*I246, 2)</f>
        <v>579964.97</v>
      </c>
      <c r="V246" s="9">
        <f>ROUND(ROUND(P246, 2)/1.2, 2)</f>
        <v>413.25</v>
      </c>
      <c r="Y246" s="9">
        <f t="shared" ref="Y246:Y256" si="12">ROUND(S246 / 1.2, 2)</f>
        <v>483304.14</v>
      </c>
      <c r="AD246" s="4" t="s">
        <v>917</v>
      </c>
      <c r="AE246" s="4" t="s">
        <v>918</v>
      </c>
      <c r="AF246" s="4" t="s">
        <v>644</v>
      </c>
    </row>
    <row r="247" spans="1:35" ht="37.5" x14ac:dyDescent="0.25">
      <c r="A247" s="10" t="s">
        <v>919</v>
      </c>
      <c r="B247" s="10"/>
      <c r="C247" s="16" t="s">
        <v>383</v>
      </c>
      <c r="D247" s="12"/>
      <c r="E247" s="12"/>
      <c r="F247" s="17" t="s">
        <v>173</v>
      </c>
      <c r="G247" s="18">
        <v>0.15</v>
      </c>
      <c r="H247" s="18"/>
      <c r="I247" s="18">
        <v>584.76</v>
      </c>
      <c r="J247" s="19">
        <v>88.8</v>
      </c>
      <c r="M247" s="20">
        <f>ROUND(ROUND(J247, 2)*I247, 2)</f>
        <v>51926.69</v>
      </c>
      <c r="P247" s="19">
        <v>88.8</v>
      </c>
      <c r="S247" s="20">
        <f>ROUND(ROUND(P247, 2)*I247, 2)</f>
        <v>51926.69</v>
      </c>
      <c r="V247" s="9">
        <f>ROUND(ROUND(P247, 2)/1.2, 2)</f>
        <v>74</v>
      </c>
      <c r="Y247" s="9">
        <f t="shared" si="12"/>
        <v>43272.24</v>
      </c>
      <c r="AD247" s="4" t="s">
        <v>920</v>
      </c>
      <c r="AE247" s="4" t="s">
        <v>921</v>
      </c>
      <c r="AF247" s="4" t="s">
        <v>386</v>
      </c>
    </row>
    <row r="248" spans="1:35" ht="37.5" x14ac:dyDescent="0.25">
      <c r="A248" s="10" t="s">
        <v>922</v>
      </c>
      <c r="B248" s="10" t="s">
        <v>910</v>
      </c>
      <c r="C248" s="11" t="s">
        <v>911</v>
      </c>
      <c r="D248" s="12"/>
      <c r="E248" s="12" t="s">
        <v>923</v>
      </c>
      <c r="F248" s="12" t="s">
        <v>59</v>
      </c>
      <c r="G248" s="13">
        <v>1</v>
      </c>
      <c r="H248" s="13"/>
      <c r="I248" s="13">
        <v>921.3</v>
      </c>
      <c r="J248" s="14">
        <f>IFERROR(ROUND(SUM(M249,M250)/I248, 2),0)</f>
        <v>378.29</v>
      </c>
      <c r="K248" s="15">
        <v>464</v>
      </c>
      <c r="L248" s="14">
        <f>J248+ROUND(K248, 2)</f>
        <v>842.29</v>
      </c>
      <c r="M248" s="14">
        <f>ROUND(J248*I248, 2)</f>
        <v>348518.58</v>
      </c>
      <c r="N248" s="14">
        <f>ROUND(I248*ROUND(K248, 2), 2)</f>
        <v>427483.2</v>
      </c>
      <c r="O248" s="14">
        <f>M248+N248</f>
        <v>776001.78</v>
      </c>
      <c r="P248" s="14">
        <f>IFERROR(ROUND(SUM(S249,S250)/I248, 2),0)</f>
        <v>162.09</v>
      </c>
      <c r="Q248" s="15">
        <v>464</v>
      </c>
      <c r="R248" s="14">
        <f>P248+ROUND(Q248, 2)</f>
        <v>626.09</v>
      </c>
      <c r="S248" s="14">
        <f>ROUND(P248*I248, 2)</f>
        <v>149333.51999999999</v>
      </c>
      <c r="T248" s="14">
        <f>ROUND(I248*ROUND(Q248, 2), 2)</f>
        <v>427483.2</v>
      </c>
      <c r="U248" s="14">
        <f>S248+T248</f>
        <v>576816.72</v>
      </c>
      <c r="V248" s="9">
        <f>ROUND(P248 / 1.2, 2)</f>
        <v>135.08000000000001</v>
      </c>
      <c r="W248" s="9">
        <f>ROUND(Q248 / 1.2, 2)</f>
        <v>386.67</v>
      </c>
      <c r="X248" s="9">
        <f>ROUND(R248 / 1.2, 2)</f>
        <v>521.74</v>
      </c>
      <c r="Y248" s="9">
        <f t="shared" si="12"/>
        <v>124444.6</v>
      </c>
      <c r="Z248" s="9">
        <f>ROUND(T248 / 1.2, 2)</f>
        <v>356236</v>
      </c>
      <c r="AA248" s="9">
        <f>Y248+Z248</f>
        <v>480680.6</v>
      </c>
      <c r="AD248" s="4">
        <v>282589022</v>
      </c>
      <c r="AE248" s="4">
        <v>20344956</v>
      </c>
      <c r="AG248" s="4" t="s">
        <v>913</v>
      </c>
      <c r="AH248" s="4" t="s">
        <v>914</v>
      </c>
      <c r="AI248" s="4" t="s">
        <v>170</v>
      </c>
    </row>
    <row r="249" spans="1:35" ht="37.5" x14ac:dyDescent="0.25">
      <c r="A249" s="10" t="s">
        <v>924</v>
      </c>
      <c r="B249" s="10"/>
      <c r="C249" s="16" t="s">
        <v>383</v>
      </c>
      <c r="D249" s="12"/>
      <c r="E249" s="12"/>
      <c r="F249" s="17" t="s">
        <v>173</v>
      </c>
      <c r="G249" s="18">
        <v>0.15</v>
      </c>
      <c r="H249" s="18"/>
      <c r="I249" s="18">
        <v>138.19499999999999</v>
      </c>
      <c r="J249" s="19">
        <v>88.8</v>
      </c>
      <c r="M249" s="20">
        <f>ROUND(ROUND(J249, 2)*I249, 2)</f>
        <v>12271.72</v>
      </c>
      <c r="P249" s="19">
        <v>88.8</v>
      </c>
      <c r="S249" s="20">
        <f>ROUND(ROUND(P249, 2)*I249, 2)</f>
        <v>12271.72</v>
      </c>
      <c r="V249" s="9">
        <f>ROUND(ROUND(P249, 2)/1.2, 2)</f>
        <v>74</v>
      </c>
      <c r="Y249" s="9">
        <f t="shared" si="12"/>
        <v>10226.43</v>
      </c>
      <c r="AD249" s="4" t="s">
        <v>925</v>
      </c>
      <c r="AE249" s="4" t="s">
        <v>926</v>
      </c>
      <c r="AF249" s="4" t="s">
        <v>386</v>
      </c>
    </row>
    <row r="250" spans="1:35" ht="37.5" x14ac:dyDescent="0.25">
      <c r="A250" s="10" t="s">
        <v>927</v>
      </c>
      <c r="B250" s="10"/>
      <c r="C250" s="16" t="s">
        <v>641</v>
      </c>
      <c r="D250" s="12"/>
      <c r="E250" s="12"/>
      <c r="F250" s="17" t="s">
        <v>173</v>
      </c>
      <c r="G250" s="18">
        <v>0.3</v>
      </c>
      <c r="H250" s="18"/>
      <c r="I250" s="18">
        <v>276.39</v>
      </c>
      <c r="J250" s="19">
        <v>1216.56</v>
      </c>
      <c r="M250" s="20">
        <f>ROUND(ROUND(J250, 2)*I250, 2)</f>
        <v>336245.02</v>
      </c>
      <c r="P250" s="19">
        <v>495.9</v>
      </c>
      <c r="S250" s="20">
        <f>ROUND(ROUND(P250, 2)*I250, 2)</f>
        <v>137061.79999999999</v>
      </c>
      <c r="V250" s="9">
        <f>ROUND(ROUND(P250, 2)/1.2, 2)</f>
        <v>413.25</v>
      </c>
      <c r="Y250" s="9">
        <f t="shared" si="12"/>
        <v>114218.17</v>
      </c>
      <c r="AD250" s="4" t="s">
        <v>928</v>
      </c>
      <c r="AE250" s="4" t="s">
        <v>929</v>
      </c>
      <c r="AF250" s="4" t="s">
        <v>644</v>
      </c>
    </row>
    <row r="251" spans="1:35" ht="93.75" x14ac:dyDescent="0.25">
      <c r="A251" s="10" t="s">
        <v>930</v>
      </c>
      <c r="B251" s="10" t="s">
        <v>910</v>
      </c>
      <c r="C251" s="11" t="s">
        <v>911</v>
      </c>
      <c r="D251" s="12"/>
      <c r="E251" s="12" t="s">
        <v>931</v>
      </c>
      <c r="F251" s="12" t="s">
        <v>59</v>
      </c>
      <c r="G251" s="13">
        <v>1</v>
      </c>
      <c r="H251" s="13"/>
      <c r="I251" s="13">
        <v>272.2</v>
      </c>
      <c r="J251" s="14">
        <f>IFERROR(ROUND(SUM(M252,M253)/I251, 2),0)</f>
        <v>378.29</v>
      </c>
      <c r="K251" s="15">
        <v>464</v>
      </c>
      <c r="L251" s="14">
        <f>J251+ROUND(K251, 2)</f>
        <v>842.29</v>
      </c>
      <c r="M251" s="14">
        <f>ROUND(J251*I251, 2)</f>
        <v>102970.54</v>
      </c>
      <c r="N251" s="14">
        <f>ROUND(I251*ROUND(K251, 2), 2)</f>
        <v>126300.8</v>
      </c>
      <c r="O251" s="14">
        <f>M251+N251</f>
        <v>229271.34</v>
      </c>
      <c r="P251" s="14">
        <f>IFERROR(ROUND(SUM(S252,S253)/I251, 2),0)</f>
        <v>162.09</v>
      </c>
      <c r="Q251" s="15">
        <v>464</v>
      </c>
      <c r="R251" s="14">
        <f>P251+ROUND(Q251, 2)</f>
        <v>626.09</v>
      </c>
      <c r="S251" s="14">
        <f>ROUND(P251*I251, 2)</f>
        <v>44120.9</v>
      </c>
      <c r="T251" s="14">
        <f>ROUND(I251*ROUND(Q251, 2), 2)</f>
        <v>126300.8</v>
      </c>
      <c r="U251" s="14">
        <f>S251+T251</f>
        <v>170421.7</v>
      </c>
      <c r="V251" s="9">
        <f>ROUND(P251 / 1.2, 2)</f>
        <v>135.08000000000001</v>
      </c>
      <c r="W251" s="9">
        <f>ROUND(Q251 / 1.2, 2)</f>
        <v>386.67</v>
      </c>
      <c r="X251" s="9">
        <f>ROUND(R251 / 1.2, 2)</f>
        <v>521.74</v>
      </c>
      <c r="Y251" s="9">
        <f t="shared" si="12"/>
        <v>36767.42</v>
      </c>
      <c r="Z251" s="9">
        <f>ROUND(T251 / 1.2, 2)</f>
        <v>105250.67</v>
      </c>
      <c r="AA251" s="9">
        <f>Y251+Z251</f>
        <v>142018.09</v>
      </c>
      <c r="AD251" s="4">
        <v>282589023</v>
      </c>
      <c r="AE251" s="4">
        <v>20345081</v>
      </c>
      <c r="AG251" s="4" t="s">
        <v>913</v>
      </c>
      <c r="AH251" s="4" t="s">
        <v>914</v>
      </c>
      <c r="AI251" s="4" t="s">
        <v>170</v>
      </c>
    </row>
    <row r="252" spans="1:35" ht="37.5" x14ac:dyDescent="0.25">
      <c r="A252" s="10" t="s">
        <v>932</v>
      </c>
      <c r="B252" s="10"/>
      <c r="C252" s="16" t="s">
        <v>641</v>
      </c>
      <c r="D252" s="12"/>
      <c r="E252" s="12" t="s">
        <v>933</v>
      </c>
      <c r="F252" s="17" t="s">
        <v>173</v>
      </c>
      <c r="G252" s="18">
        <v>0.3</v>
      </c>
      <c r="H252" s="18"/>
      <c r="I252" s="18">
        <v>81.66</v>
      </c>
      <c r="J252" s="19">
        <v>1216.56</v>
      </c>
      <c r="M252" s="20">
        <f>ROUND(ROUND(J252, 2)*I252, 2)</f>
        <v>99344.29</v>
      </c>
      <c r="P252" s="19">
        <v>495.9</v>
      </c>
      <c r="S252" s="20">
        <f>ROUND(ROUND(P252, 2)*I252, 2)</f>
        <v>40495.19</v>
      </c>
      <c r="V252" s="9">
        <f>ROUND(ROUND(P252, 2)/1.2, 2)</f>
        <v>413.25</v>
      </c>
      <c r="Y252" s="9">
        <f t="shared" si="12"/>
        <v>33745.99</v>
      </c>
      <c r="AD252" s="4" t="s">
        <v>934</v>
      </c>
      <c r="AE252" s="4" t="s">
        <v>935</v>
      </c>
      <c r="AF252" s="4" t="s">
        <v>644</v>
      </c>
    </row>
    <row r="253" spans="1:35" ht="37.5" x14ac:dyDescent="0.25">
      <c r="A253" s="10" t="s">
        <v>936</v>
      </c>
      <c r="B253" s="10"/>
      <c r="C253" s="16" t="s">
        <v>383</v>
      </c>
      <c r="D253" s="12"/>
      <c r="E253" s="12"/>
      <c r="F253" s="17" t="s">
        <v>173</v>
      </c>
      <c r="G253" s="18">
        <v>0.15</v>
      </c>
      <c r="H253" s="18"/>
      <c r="I253" s="18">
        <v>40.83</v>
      </c>
      <c r="J253" s="19">
        <v>88.8</v>
      </c>
      <c r="M253" s="20">
        <f>ROUND(ROUND(J253, 2)*I253, 2)</f>
        <v>3625.7</v>
      </c>
      <c r="P253" s="19">
        <v>88.8</v>
      </c>
      <c r="S253" s="20">
        <f>ROUND(ROUND(P253, 2)*I253, 2)</f>
        <v>3625.7</v>
      </c>
      <c r="V253" s="9">
        <f>ROUND(ROUND(P253, 2)/1.2, 2)</f>
        <v>74</v>
      </c>
      <c r="Y253" s="9">
        <f t="shared" si="12"/>
        <v>3021.42</v>
      </c>
      <c r="AD253" s="4" t="s">
        <v>937</v>
      </c>
      <c r="AE253" s="4" t="s">
        <v>938</v>
      </c>
      <c r="AF253" s="4" t="s">
        <v>386</v>
      </c>
    </row>
    <row r="254" spans="1:35" ht="93.75" x14ac:dyDescent="0.25">
      <c r="A254" s="10" t="s">
        <v>939</v>
      </c>
      <c r="B254" s="10" t="s">
        <v>910</v>
      </c>
      <c r="C254" s="11" t="s">
        <v>911</v>
      </c>
      <c r="D254" s="12"/>
      <c r="E254" s="12" t="s">
        <v>940</v>
      </c>
      <c r="F254" s="12" t="s">
        <v>59</v>
      </c>
      <c r="G254" s="13">
        <v>1</v>
      </c>
      <c r="H254" s="13"/>
      <c r="I254" s="13">
        <v>263.7</v>
      </c>
      <c r="J254" s="14">
        <f>IFERROR(ROUND(SUM(M255,M256)/I254, 2),0)</f>
        <v>378.29</v>
      </c>
      <c r="K254" s="15">
        <v>464</v>
      </c>
      <c r="L254" s="14">
        <f>J254+ROUND(K254, 2)</f>
        <v>842.29</v>
      </c>
      <c r="M254" s="14">
        <f>ROUND(J254*I254, 2)</f>
        <v>99755.07</v>
      </c>
      <c r="N254" s="14">
        <f>ROUND(I254*ROUND(K254, 2), 2)</f>
        <v>122356.8</v>
      </c>
      <c r="O254" s="14">
        <f>M254+N254</f>
        <v>222111.87</v>
      </c>
      <c r="P254" s="14">
        <f>IFERROR(ROUND(SUM(S255,S256)/I254, 2),0)</f>
        <v>162.09</v>
      </c>
      <c r="Q254" s="15">
        <v>464</v>
      </c>
      <c r="R254" s="14">
        <f>P254+ROUND(Q254, 2)</f>
        <v>626.09</v>
      </c>
      <c r="S254" s="14">
        <f>ROUND(P254*I254, 2)</f>
        <v>42743.13</v>
      </c>
      <c r="T254" s="14">
        <f>ROUND(I254*ROUND(Q254, 2), 2)</f>
        <v>122356.8</v>
      </c>
      <c r="U254" s="14">
        <f>S254+T254</f>
        <v>165099.93</v>
      </c>
      <c r="V254" s="9">
        <f>ROUND(P254 / 1.2, 2)</f>
        <v>135.08000000000001</v>
      </c>
      <c r="W254" s="9">
        <f>ROUND(Q254 / 1.2, 2)</f>
        <v>386.67</v>
      </c>
      <c r="X254" s="9">
        <f>ROUND(R254 / 1.2, 2)</f>
        <v>521.74</v>
      </c>
      <c r="Y254" s="9">
        <f t="shared" si="12"/>
        <v>35619.279999999999</v>
      </c>
      <c r="Z254" s="9">
        <f>ROUND(T254 / 1.2, 2)</f>
        <v>101964</v>
      </c>
      <c r="AA254" s="9">
        <f>Y254+Z254</f>
        <v>137583.28</v>
      </c>
      <c r="AD254" s="4">
        <v>282589024</v>
      </c>
      <c r="AE254" s="4">
        <v>20345310</v>
      </c>
      <c r="AG254" s="4" t="s">
        <v>913</v>
      </c>
      <c r="AH254" s="4" t="s">
        <v>914</v>
      </c>
      <c r="AI254" s="4" t="s">
        <v>170</v>
      </c>
    </row>
    <row r="255" spans="1:35" ht="37.5" x14ac:dyDescent="0.25">
      <c r="A255" s="10" t="s">
        <v>941</v>
      </c>
      <c r="B255" s="10"/>
      <c r="C255" s="16" t="s">
        <v>383</v>
      </c>
      <c r="D255" s="12"/>
      <c r="E255" s="12"/>
      <c r="F255" s="17" t="s">
        <v>173</v>
      </c>
      <c r="G255" s="18">
        <v>0.15</v>
      </c>
      <c r="H255" s="18"/>
      <c r="I255" s="18">
        <v>39.555</v>
      </c>
      <c r="J255" s="19">
        <v>88.8</v>
      </c>
      <c r="M255" s="20">
        <f>ROUND(ROUND(J255, 2)*I255, 2)</f>
        <v>3512.48</v>
      </c>
      <c r="P255" s="19">
        <v>88.8</v>
      </c>
      <c r="S255" s="20">
        <f>ROUND(ROUND(P255, 2)*I255, 2)</f>
        <v>3512.48</v>
      </c>
      <c r="V255" s="9">
        <f>ROUND(ROUND(P255, 2)/1.2, 2)</f>
        <v>74</v>
      </c>
      <c r="Y255" s="9">
        <f t="shared" si="12"/>
        <v>2927.07</v>
      </c>
      <c r="AD255" s="4" t="s">
        <v>942</v>
      </c>
      <c r="AE255" s="4" t="s">
        <v>943</v>
      </c>
      <c r="AF255" s="4" t="s">
        <v>386</v>
      </c>
    </row>
    <row r="256" spans="1:35" ht="75" x14ac:dyDescent="0.25">
      <c r="A256" s="10" t="s">
        <v>944</v>
      </c>
      <c r="B256" s="10"/>
      <c r="C256" s="16" t="s">
        <v>641</v>
      </c>
      <c r="D256" s="12"/>
      <c r="E256" s="12" t="s">
        <v>945</v>
      </c>
      <c r="F256" s="17" t="s">
        <v>173</v>
      </c>
      <c r="G256" s="18">
        <v>0.3</v>
      </c>
      <c r="H256" s="18"/>
      <c r="I256" s="18">
        <v>79.11</v>
      </c>
      <c r="J256" s="19">
        <v>1216.56</v>
      </c>
      <c r="M256" s="20">
        <f>ROUND(ROUND(J256, 2)*I256, 2)</f>
        <v>96242.06</v>
      </c>
      <c r="P256" s="19">
        <v>495.9</v>
      </c>
      <c r="S256" s="20">
        <f>ROUND(ROUND(P256, 2)*I256, 2)</f>
        <v>39230.65</v>
      </c>
      <c r="V256" s="9">
        <f>ROUND(ROUND(P256, 2)/1.2, 2)</f>
        <v>413.25</v>
      </c>
      <c r="Y256" s="9">
        <f t="shared" si="12"/>
        <v>32692.21</v>
      </c>
      <c r="AD256" s="4" t="s">
        <v>946</v>
      </c>
      <c r="AE256" s="4" t="s">
        <v>947</v>
      </c>
      <c r="AF256" s="4" t="s">
        <v>644</v>
      </c>
    </row>
    <row r="257" spans="1:35" ht="17.100000000000001" customHeight="1" x14ac:dyDescent="0.25">
      <c r="A257" s="10" t="s">
        <v>948</v>
      </c>
      <c r="B257" s="10" t="s">
        <v>949</v>
      </c>
      <c r="C257" s="33" t="s">
        <v>950</v>
      </c>
      <c r="D257" s="34"/>
      <c r="E257" s="34"/>
      <c r="F257" s="34"/>
      <c r="G257" s="34"/>
      <c r="H257" s="34"/>
      <c r="I257" s="35"/>
      <c r="M257" s="6">
        <f>SUM(M258,M262,M264,M266,M268,M269,M271,M285,M287,M289,M291)</f>
        <v>4448772.3899999997</v>
      </c>
      <c r="N257" s="6">
        <f>SUM(N258,N262,N264,N266,N268,N269,N271,N285,N287,N289,N291)</f>
        <v>4990440.8</v>
      </c>
      <c r="O257" s="6">
        <f>SUM(O258,O262,O264,O266,O268,O269,O271,O285,O287,O289,O291)</f>
        <v>9439213.1900000013</v>
      </c>
      <c r="S257" s="6">
        <f>SUM(S258,S262,S264,S266,S268,S269,S271,S285,S287,S289,S291)</f>
        <v>5999863.25</v>
      </c>
      <c r="T257" s="6">
        <f>SUM(T258,T262,T264,T266,T268,T269,T271,T285,T287,T289,T291)</f>
        <v>4990440.8</v>
      </c>
      <c r="U257" s="6">
        <f>SUM(U258,U262,U264,U266,U268,U269,U271,U285,U287,U289,U291)</f>
        <v>10990304.050000001</v>
      </c>
      <c r="Y257" s="9">
        <f>SUM(Y258,Y262,Y264,Y266,Y268,Y269,Y271,Y285,Y287,Y289,Y291)</f>
        <v>4999886.05</v>
      </c>
      <c r="Z257" s="9">
        <f>SUM(Z258,Z262,Z264,Z266,Z268,Z269,Z271,Z285,Z287,Z289,Z291)</f>
        <v>4158700.67</v>
      </c>
      <c r="AA257" s="9">
        <f>SUM(AA258,AA262,AA264,AA266,AA268,AA269,AA271,AA285,AA287,AA289,AA291)</f>
        <v>9158586.7199999988</v>
      </c>
      <c r="AD257" s="4">
        <v>282588976</v>
      </c>
      <c r="AE257" s="4">
        <v>20300959</v>
      </c>
    </row>
    <row r="258" spans="1:35" ht="131.25" x14ac:dyDescent="0.25">
      <c r="A258" s="10" t="s">
        <v>951</v>
      </c>
      <c r="B258" s="10" t="s">
        <v>952</v>
      </c>
      <c r="C258" s="11" t="s">
        <v>953</v>
      </c>
      <c r="D258" s="12"/>
      <c r="E258" s="12" t="s">
        <v>954</v>
      </c>
      <c r="F258" s="12" t="s">
        <v>59</v>
      </c>
      <c r="G258" s="13">
        <v>1</v>
      </c>
      <c r="H258" s="13"/>
      <c r="I258" s="13">
        <v>34.200000000000003</v>
      </c>
      <c r="J258" s="14">
        <f>IFERROR(ROUND(SUM(M259,M260,M261)/I258, 2),0)</f>
        <v>988.99</v>
      </c>
      <c r="K258" s="15">
        <v>1359</v>
      </c>
      <c r="L258" s="14">
        <f>J258+ROUND(K258, 2)</f>
        <v>2347.9899999999998</v>
      </c>
      <c r="M258" s="14">
        <f>ROUND(J258*I258, 2)</f>
        <v>33823.46</v>
      </c>
      <c r="N258" s="14">
        <f>ROUND(I258*ROUND(K258, 2), 2)</f>
        <v>46477.8</v>
      </c>
      <c r="O258" s="14">
        <f>M258+N258</f>
        <v>80301.260000000009</v>
      </c>
      <c r="P258" s="14">
        <f>IFERROR(ROUND(SUM(S259,S260,S261)/I258, 2),0)</f>
        <v>1231.99</v>
      </c>
      <c r="Q258" s="15">
        <v>1359</v>
      </c>
      <c r="R258" s="14">
        <f>P258+ROUND(Q258, 2)</f>
        <v>2590.9899999999998</v>
      </c>
      <c r="S258" s="14">
        <f>ROUND(P258*I258, 2)</f>
        <v>42134.06</v>
      </c>
      <c r="T258" s="14">
        <f>ROUND(I258*ROUND(Q258, 2), 2)</f>
        <v>46477.8</v>
      </c>
      <c r="U258" s="14">
        <f>S258+T258</f>
        <v>88611.86</v>
      </c>
      <c r="V258" s="9">
        <f>ROUND(P258 / 1.2, 2)</f>
        <v>1026.6600000000001</v>
      </c>
      <c r="W258" s="9">
        <f>ROUND(Q258 / 1.2, 2)</f>
        <v>1132.5</v>
      </c>
      <c r="X258" s="9">
        <f>ROUND(R258 / 1.2, 2)</f>
        <v>2159.16</v>
      </c>
      <c r="Y258" s="9">
        <f>ROUND(S258 / 1.2, 2)</f>
        <v>35111.72</v>
      </c>
      <c r="Z258" s="9">
        <f>ROUND(T258 / 1.2, 2)</f>
        <v>38731.5</v>
      </c>
      <c r="AA258" s="9">
        <f>Y258+Z258</f>
        <v>73843.22</v>
      </c>
      <c r="AD258" s="4">
        <v>282588978</v>
      </c>
      <c r="AE258" s="4">
        <v>20300962</v>
      </c>
      <c r="AG258" s="4" t="s">
        <v>955</v>
      </c>
      <c r="AH258" s="4" t="s">
        <v>956</v>
      </c>
      <c r="AI258" s="4" t="s">
        <v>170</v>
      </c>
    </row>
    <row r="259" spans="1:35" ht="18.75" x14ac:dyDescent="0.25">
      <c r="A259" s="10" t="s">
        <v>957</v>
      </c>
      <c r="B259" s="10"/>
      <c r="C259" s="16" t="s">
        <v>958</v>
      </c>
      <c r="D259" s="12"/>
      <c r="E259" s="12"/>
      <c r="F259" s="17" t="s">
        <v>65</v>
      </c>
      <c r="G259" s="18">
        <v>1</v>
      </c>
      <c r="H259" s="18"/>
      <c r="I259" s="18">
        <v>34.200000000000003</v>
      </c>
      <c r="J259" s="19">
        <v>109</v>
      </c>
      <c r="M259" s="20">
        <f>ROUND(ROUND(J259, 2)*I259, 2)</f>
        <v>3727.8</v>
      </c>
      <c r="P259" s="19">
        <v>109</v>
      </c>
      <c r="S259" s="20">
        <f>ROUND(ROUND(P259, 2)*I259, 2)</f>
        <v>3727.8</v>
      </c>
      <c r="V259" s="9">
        <f>ROUND(ROUND(P259, 2)/1.2, 2)</f>
        <v>90.83</v>
      </c>
      <c r="Y259" s="9">
        <f t="shared" ref="Y259:Y267" si="13">ROUND(S259 / 1.2, 2)</f>
        <v>3106.5</v>
      </c>
      <c r="AD259" s="4" t="s">
        <v>959</v>
      </c>
      <c r="AE259" s="4" t="s">
        <v>960</v>
      </c>
      <c r="AF259" s="4" t="s">
        <v>961</v>
      </c>
    </row>
    <row r="260" spans="1:35" ht="18.75" x14ac:dyDescent="0.25">
      <c r="A260" s="10" t="s">
        <v>962</v>
      </c>
      <c r="B260" s="10"/>
      <c r="C260" s="16" t="s">
        <v>963</v>
      </c>
      <c r="D260" s="12"/>
      <c r="E260" s="12"/>
      <c r="F260" s="17" t="s">
        <v>59</v>
      </c>
      <c r="G260" s="18">
        <v>1.05</v>
      </c>
      <c r="H260" s="18"/>
      <c r="I260" s="18">
        <v>35.909999999999997</v>
      </c>
      <c r="J260" s="19">
        <v>838.09</v>
      </c>
      <c r="M260" s="20">
        <f>ROUND(ROUND(J260, 2)*I260, 2)</f>
        <v>30095.81</v>
      </c>
      <c r="P260" s="19">
        <v>838.09</v>
      </c>
      <c r="S260" s="20">
        <f>ROUND(ROUND(P260, 2)*I260, 2)</f>
        <v>30095.81</v>
      </c>
      <c r="V260" s="9">
        <f>ROUND(ROUND(P260, 2)/1.2, 2)</f>
        <v>698.41</v>
      </c>
      <c r="Y260" s="9">
        <f t="shared" si="13"/>
        <v>25079.84</v>
      </c>
      <c r="AD260" s="4" t="s">
        <v>964</v>
      </c>
      <c r="AE260" s="4" t="s">
        <v>965</v>
      </c>
      <c r="AF260" s="4" t="s">
        <v>966</v>
      </c>
    </row>
    <row r="261" spans="1:35" ht="18.75" x14ac:dyDescent="0.25">
      <c r="A261" s="10" t="s">
        <v>967</v>
      </c>
      <c r="B261" s="10"/>
      <c r="C261" s="16" t="s">
        <v>968</v>
      </c>
      <c r="D261" s="12"/>
      <c r="E261" s="12"/>
      <c r="F261" s="17" t="s">
        <v>65</v>
      </c>
      <c r="G261" s="18">
        <v>1</v>
      </c>
      <c r="H261" s="18"/>
      <c r="I261" s="18">
        <v>34.200000000000003</v>
      </c>
      <c r="J261" s="19">
        <v>0</v>
      </c>
      <c r="M261" s="20">
        <f>ROUND(ROUND(J261, 2)*I261, 2)</f>
        <v>0</v>
      </c>
      <c r="P261" s="19">
        <v>243</v>
      </c>
      <c r="S261" s="20">
        <f>ROUND(ROUND(P261, 2)*I261, 2)</f>
        <v>8310.6</v>
      </c>
      <c r="V261" s="9">
        <f>ROUND(ROUND(P261, 2)/1.2, 2)</f>
        <v>202.5</v>
      </c>
      <c r="Y261" s="9">
        <f t="shared" si="13"/>
        <v>6925.5</v>
      </c>
      <c r="AD261" s="4" t="s">
        <v>969</v>
      </c>
      <c r="AE261" s="4" t="s">
        <v>970</v>
      </c>
      <c r="AF261" s="4" t="s">
        <v>971</v>
      </c>
    </row>
    <row r="262" spans="1:35" ht="56.25" x14ac:dyDescent="0.25">
      <c r="A262" s="10" t="s">
        <v>972</v>
      </c>
      <c r="B262" s="10" t="s">
        <v>973</v>
      </c>
      <c r="C262" s="11" t="s">
        <v>974</v>
      </c>
      <c r="D262" s="12"/>
      <c r="E262" s="12" t="s">
        <v>975</v>
      </c>
      <c r="F262" s="12" t="s">
        <v>59</v>
      </c>
      <c r="G262" s="13">
        <v>1</v>
      </c>
      <c r="H262" s="13"/>
      <c r="I262" s="13">
        <v>6</v>
      </c>
      <c r="J262" s="14">
        <f>IFERROR(ROUND(SUM(M263)/I262, 2),0)</f>
        <v>1280.4000000000001</v>
      </c>
      <c r="K262" s="15">
        <v>837</v>
      </c>
      <c r="L262" s="14">
        <f>J262+ROUND(K262, 2)</f>
        <v>2117.4</v>
      </c>
      <c r="M262" s="14">
        <f>ROUND(J262*I262, 2)</f>
        <v>7682.4</v>
      </c>
      <c r="N262" s="14">
        <f>ROUND(I262*ROUND(K262, 2), 2)</f>
        <v>5022</v>
      </c>
      <c r="O262" s="14">
        <f>M262+N262</f>
        <v>12704.4</v>
      </c>
      <c r="P262" s="14">
        <f>IFERROR(ROUND(SUM(S263)/I262, 2),0)</f>
        <v>1280.4000000000001</v>
      </c>
      <c r="Q262" s="15">
        <v>837</v>
      </c>
      <c r="R262" s="14">
        <f>P262+ROUND(Q262, 2)</f>
        <v>2117.4</v>
      </c>
      <c r="S262" s="14">
        <f>ROUND(P262*I262, 2)</f>
        <v>7682.4</v>
      </c>
      <c r="T262" s="14">
        <f>ROUND(I262*ROUND(Q262, 2), 2)</f>
        <v>5022</v>
      </c>
      <c r="U262" s="14">
        <f>S262+T262</f>
        <v>12704.4</v>
      </c>
      <c r="V262" s="9">
        <f>ROUND(P262 / 1.2, 2)</f>
        <v>1067</v>
      </c>
      <c r="W262" s="9">
        <f>ROUND(Q262 / 1.2, 2)</f>
        <v>697.5</v>
      </c>
      <c r="X262" s="9">
        <f>ROUND(R262 / 1.2, 2)</f>
        <v>1764.5</v>
      </c>
      <c r="Y262" s="9">
        <f t="shared" si="13"/>
        <v>6402</v>
      </c>
      <c r="Z262" s="9">
        <f>ROUND(T262 / 1.2, 2)</f>
        <v>4185</v>
      </c>
      <c r="AA262" s="9">
        <f>Y262+Z262</f>
        <v>10587</v>
      </c>
      <c r="AD262" s="4">
        <v>282588979</v>
      </c>
      <c r="AE262" s="4">
        <v>20300961</v>
      </c>
      <c r="AG262" s="4" t="s">
        <v>976</v>
      </c>
      <c r="AH262" s="4" t="s">
        <v>977</v>
      </c>
      <c r="AI262" s="4" t="s">
        <v>170</v>
      </c>
    </row>
    <row r="263" spans="1:35" ht="18.75" x14ac:dyDescent="0.25">
      <c r="A263" s="10" t="s">
        <v>978</v>
      </c>
      <c r="B263" s="10"/>
      <c r="C263" s="16" t="s">
        <v>979</v>
      </c>
      <c r="D263" s="12"/>
      <c r="E263" s="12"/>
      <c r="F263" s="17" t="s">
        <v>59</v>
      </c>
      <c r="G263" s="18">
        <v>1.1000000000000001</v>
      </c>
      <c r="H263" s="22"/>
      <c r="I263" s="22">
        <v>6.6</v>
      </c>
      <c r="J263" s="19">
        <v>1164</v>
      </c>
      <c r="M263" s="20">
        <f>ROUND(ROUND(J263, 2)*I263, 2)</f>
        <v>7682.4</v>
      </c>
      <c r="P263" s="19">
        <v>1164</v>
      </c>
      <c r="S263" s="20">
        <f>ROUND(ROUND(P263, 2)*I263, 2)</f>
        <v>7682.4</v>
      </c>
      <c r="V263" s="9">
        <f>ROUND(ROUND(P263, 2)/1.2, 2)</f>
        <v>970</v>
      </c>
      <c r="Y263" s="9">
        <f t="shared" si="13"/>
        <v>6402</v>
      </c>
      <c r="AD263" s="4" t="s">
        <v>980</v>
      </c>
      <c r="AE263" s="4" t="s">
        <v>981</v>
      </c>
      <c r="AF263" s="4" t="s">
        <v>982</v>
      </c>
    </row>
    <row r="264" spans="1:35" ht="56.25" x14ac:dyDescent="0.25">
      <c r="A264" s="10" t="s">
        <v>983</v>
      </c>
      <c r="B264" s="10" t="s">
        <v>973</v>
      </c>
      <c r="C264" s="11" t="s">
        <v>974</v>
      </c>
      <c r="D264" s="12"/>
      <c r="E264" s="12" t="s">
        <v>984</v>
      </c>
      <c r="F264" s="12" t="s">
        <v>59</v>
      </c>
      <c r="G264" s="13">
        <v>1</v>
      </c>
      <c r="H264" s="13"/>
      <c r="I264" s="13">
        <v>1549.1</v>
      </c>
      <c r="J264" s="14">
        <f>IFERROR(ROUND(SUM(M265)/I264, 2),0)</f>
        <v>1280.4000000000001</v>
      </c>
      <c r="K264" s="15">
        <v>837</v>
      </c>
      <c r="L264" s="14">
        <f>J264+ROUND(K264, 2)</f>
        <v>2117.4</v>
      </c>
      <c r="M264" s="14">
        <f>ROUND(J264*I264, 2)</f>
        <v>1983467.64</v>
      </c>
      <c r="N264" s="14">
        <f>ROUND(I264*ROUND(K264, 2), 2)</f>
        <v>1296596.7</v>
      </c>
      <c r="O264" s="14">
        <f>M264+N264</f>
        <v>3280064.34</v>
      </c>
      <c r="P264" s="14">
        <f>IFERROR(ROUND(SUM(S265)/I264, 2),0)</f>
        <v>1280.4000000000001</v>
      </c>
      <c r="Q264" s="15">
        <v>837</v>
      </c>
      <c r="R264" s="14">
        <f>P264+ROUND(Q264, 2)</f>
        <v>2117.4</v>
      </c>
      <c r="S264" s="14">
        <f>ROUND(P264*I264, 2)</f>
        <v>1983467.64</v>
      </c>
      <c r="T264" s="14">
        <f>ROUND(I264*ROUND(Q264, 2), 2)</f>
        <v>1296596.7</v>
      </c>
      <c r="U264" s="14">
        <f>S264+T264</f>
        <v>3280064.34</v>
      </c>
      <c r="V264" s="9">
        <f>ROUND(P264 / 1.2, 2)</f>
        <v>1067</v>
      </c>
      <c r="W264" s="9">
        <f>ROUND(Q264 / 1.2, 2)</f>
        <v>697.5</v>
      </c>
      <c r="X264" s="9">
        <f>ROUND(R264 / 1.2, 2)</f>
        <v>1764.5</v>
      </c>
      <c r="Y264" s="9">
        <f t="shared" si="13"/>
        <v>1652889.7</v>
      </c>
      <c r="Z264" s="9">
        <f>ROUND(T264 / 1.2, 2)</f>
        <v>1080497.25</v>
      </c>
      <c r="AA264" s="9">
        <f>Y264+Z264</f>
        <v>2733386.95</v>
      </c>
      <c r="AD264" s="4">
        <v>282589025</v>
      </c>
      <c r="AE264" s="4">
        <v>20301990</v>
      </c>
      <c r="AG264" s="4" t="s">
        <v>976</v>
      </c>
      <c r="AH264" s="4" t="s">
        <v>977</v>
      </c>
      <c r="AI264" s="4" t="s">
        <v>170</v>
      </c>
    </row>
    <row r="265" spans="1:35" ht="18.75" x14ac:dyDescent="0.25">
      <c r="A265" s="10" t="s">
        <v>985</v>
      </c>
      <c r="B265" s="10"/>
      <c r="C265" s="16" t="s">
        <v>979</v>
      </c>
      <c r="D265" s="12"/>
      <c r="E265" s="12" t="s">
        <v>986</v>
      </c>
      <c r="F265" s="17" t="s">
        <v>59</v>
      </c>
      <c r="G265" s="18">
        <v>1.1000000000000001</v>
      </c>
      <c r="H265" s="22"/>
      <c r="I265" s="22">
        <v>1704.01</v>
      </c>
      <c r="J265" s="19">
        <v>1164</v>
      </c>
      <c r="M265" s="20">
        <f>ROUND(ROUND(J265, 2)*I265, 2)</f>
        <v>1983467.64</v>
      </c>
      <c r="P265" s="19">
        <v>1164</v>
      </c>
      <c r="S265" s="20">
        <f>ROUND(ROUND(P265, 2)*I265, 2)</f>
        <v>1983467.64</v>
      </c>
      <c r="V265" s="9">
        <f>ROUND(ROUND(P265, 2)/1.2, 2)</f>
        <v>970</v>
      </c>
      <c r="Y265" s="9">
        <f t="shared" si="13"/>
        <v>1652889.7</v>
      </c>
      <c r="AD265" s="4" t="s">
        <v>987</v>
      </c>
      <c r="AE265" s="4" t="s">
        <v>988</v>
      </c>
      <c r="AF265" s="4" t="s">
        <v>982</v>
      </c>
    </row>
    <row r="266" spans="1:35" ht="75" x14ac:dyDescent="0.25">
      <c r="A266" s="10" t="s">
        <v>989</v>
      </c>
      <c r="B266" s="10" t="s">
        <v>973</v>
      </c>
      <c r="C266" s="11" t="s">
        <v>974</v>
      </c>
      <c r="D266" s="12"/>
      <c r="E266" s="12" t="s">
        <v>990</v>
      </c>
      <c r="F266" s="12" t="s">
        <v>59</v>
      </c>
      <c r="G266" s="13">
        <v>1</v>
      </c>
      <c r="H266" s="13"/>
      <c r="I266" s="13">
        <v>242</v>
      </c>
      <c r="J266" s="14">
        <f>IFERROR(ROUND(SUM(M267)/I266, 2),0)</f>
        <v>1280.4000000000001</v>
      </c>
      <c r="K266" s="15">
        <v>837</v>
      </c>
      <c r="L266" s="14">
        <f>J266+ROUND(K266, 2)</f>
        <v>2117.4</v>
      </c>
      <c r="M266" s="14">
        <f>ROUND(J266*I266, 2)</f>
        <v>309856.8</v>
      </c>
      <c r="N266" s="14">
        <f>ROUND(I266*ROUND(K266, 2), 2)</f>
        <v>202554</v>
      </c>
      <c r="O266" s="14">
        <f>M266+N266</f>
        <v>512410.8</v>
      </c>
      <c r="P266" s="14">
        <f>IFERROR(ROUND(SUM(S267)/I266, 2),0)</f>
        <v>1280.4000000000001</v>
      </c>
      <c r="Q266" s="15">
        <v>837</v>
      </c>
      <c r="R266" s="14">
        <f>P266+ROUND(Q266, 2)</f>
        <v>2117.4</v>
      </c>
      <c r="S266" s="14">
        <f>ROUND(P266*I266, 2)</f>
        <v>309856.8</v>
      </c>
      <c r="T266" s="14">
        <f>ROUND(I266*ROUND(Q266, 2), 2)</f>
        <v>202554</v>
      </c>
      <c r="U266" s="14">
        <f>S266+T266</f>
        <v>512410.8</v>
      </c>
      <c r="V266" s="9">
        <f>ROUND(P266 / 1.2, 2)</f>
        <v>1067</v>
      </c>
      <c r="W266" s="9">
        <f>ROUND(Q266 / 1.2, 2)</f>
        <v>697.5</v>
      </c>
      <c r="X266" s="9">
        <f>ROUND(R266 / 1.2, 2)</f>
        <v>1764.5</v>
      </c>
      <c r="Y266" s="9">
        <f t="shared" si="13"/>
        <v>258214</v>
      </c>
      <c r="Z266" s="9">
        <f>ROUND(T266 / 1.2, 2)</f>
        <v>168795</v>
      </c>
      <c r="AA266" s="9">
        <f>Y266+Z266</f>
        <v>427009</v>
      </c>
      <c r="AD266" s="4">
        <v>282589026</v>
      </c>
      <c r="AE266" s="4">
        <v>20301991</v>
      </c>
      <c r="AG266" s="4" t="s">
        <v>976</v>
      </c>
      <c r="AH266" s="4" t="s">
        <v>977</v>
      </c>
      <c r="AI266" s="4" t="s">
        <v>170</v>
      </c>
    </row>
    <row r="267" spans="1:35" ht="18.75" x14ac:dyDescent="0.25">
      <c r="A267" s="10" t="s">
        <v>991</v>
      </c>
      <c r="B267" s="10"/>
      <c r="C267" s="16" t="s">
        <v>979</v>
      </c>
      <c r="D267" s="12"/>
      <c r="E267" s="12"/>
      <c r="F267" s="17" t="s">
        <v>59</v>
      </c>
      <c r="G267" s="18">
        <v>1.1000000000000001</v>
      </c>
      <c r="H267" s="22"/>
      <c r="I267" s="22">
        <v>266.2</v>
      </c>
      <c r="J267" s="19">
        <v>1164</v>
      </c>
      <c r="M267" s="20">
        <f>ROUND(ROUND(J267, 2)*I267, 2)</f>
        <v>309856.8</v>
      </c>
      <c r="P267" s="19">
        <v>1164</v>
      </c>
      <c r="S267" s="20">
        <f>ROUND(ROUND(P267, 2)*I267, 2)</f>
        <v>309856.8</v>
      </c>
      <c r="V267" s="9">
        <f>ROUND(ROUND(P267, 2)/1.2, 2)</f>
        <v>970</v>
      </c>
      <c r="Y267" s="9">
        <f t="shared" si="13"/>
        <v>258214</v>
      </c>
      <c r="AD267" s="4" t="s">
        <v>992</v>
      </c>
      <c r="AE267" s="4" t="s">
        <v>993</v>
      </c>
      <c r="AF267" s="4" t="s">
        <v>982</v>
      </c>
    </row>
    <row r="268" spans="1:35" ht="56.25" x14ac:dyDescent="0.25">
      <c r="A268" s="10" t="s">
        <v>994</v>
      </c>
      <c r="B268" s="10" t="s">
        <v>995</v>
      </c>
      <c r="C268" s="11" t="s">
        <v>996</v>
      </c>
      <c r="D268" s="12"/>
      <c r="E268" s="12"/>
      <c r="F268" s="12" t="s">
        <v>59</v>
      </c>
      <c r="G268" s="13">
        <v>1</v>
      </c>
      <c r="H268" s="13"/>
      <c r="I268" s="13">
        <v>2000</v>
      </c>
      <c r="J268" s="14">
        <v>0</v>
      </c>
      <c r="K268" s="15">
        <v>121</v>
      </c>
      <c r="L268" s="14">
        <f>J268+ROUND(K268, 2)</f>
        <v>121</v>
      </c>
      <c r="M268" s="14">
        <v>0</v>
      </c>
      <c r="N268" s="14">
        <f>ROUND(I268*ROUND(K268, 2), 2)</f>
        <v>242000</v>
      </c>
      <c r="O268" s="14">
        <f>M268+N268</f>
        <v>242000</v>
      </c>
      <c r="P268" s="14">
        <v>0</v>
      </c>
      <c r="Q268" s="15">
        <v>121</v>
      </c>
      <c r="R268" s="14">
        <f>P268+ROUND(Q268, 2)</f>
        <v>121</v>
      </c>
      <c r="S268" s="14">
        <v>0</v>
      </c>
      <c r="T268" s="14">
        <f>ROUND(I268*ROUND(Q268, 2), 2)</f>
        <v>242000</v>
      </c>
      <c r="U268" s="14">
        <f>S268+T268</f>
        <v>242000</v>
      </c>
      <c r="V268" s="9"/>
      <c r="W268" s="9">
        <f>ROUND(Q268 / 1.2, 2)</f>
        <v>100.83</v>
      </c>
      <c r="X268" s="9">
        <f>ROUND(R268 / 1.2, 2)</f>
        <v>100.83</v>
      </c>
      <c r="Y268" s="9"/>
      <c r="Z268" s="9">
        <f>ROUND(T268 / 1.2, 2)</f>
        <v>201666.67</v>
      </c>
      <c r="AA268" s="9">
        <f>Y268+Z268</f>
        <v>201666.67</v>
      </c>
      <c r="AD268" s="4">
        <v>282588981</v>
      </c>
      <c r="AE268" s="4">
        <v>20302456</v>
      </c>
      <c r="AG268" s="4" t="s">
        <v>997</v>
      </c>
      <c r="AH268" s="4" t="s">
        <v>998</v>
      </c>
      <c r="AI268" s="4" t="s">
        <v>170</v>
      </c>
    </row>
    <row r="269" spans="1:35" ht="75" x14ac:dyDescent="0.25">
      <c r="A269" s="10" t="s">
        <v>999</v>
      </c>
      <c r="B269" s="10" t="s">
        <v>1000</v>
      </c>
      <c r="C269" s="11" t="s">
        <v>1001</v>
      </c>
      <c r="D269" s="12"/>
      <c r="E269" s="12" t="s">
        <v>1002</v>
      </c>
      <c r="F269" s="12" t="s">
        <v>59</v>
      </c>
      <c r="G269" s="13">
        <v>1</v>
      </c>
      <c r="H269" s="13"/>
      <c r="I269" s="13">
        <v>13.5</v>
      </c>
      <c r="J269" s="14">
        <f>IFERROR(ROUND(SUM(M270)/I269, 2),0)</f>
        <v>0</v>
      </c>
      <c r="K269" s="15">
        <v>1724</v>
      </c>
      <c r="L269" s="14">
        <f>J269+ROUND(K269, 2)</f>
        <v>1724</v>
      </c>
      <c r="M269" s="14">
        <f>ROUND(J269*I269, 2)</f>
        <v>0</v>
      </c>
      <c r="N269" s="14">
        <f>ROUND(I269*ROUND(K269, 2), 2)</f>
        <v>23274</v>
      </c>
      <c r="O269" s="14">
        <f>M269+N269</f>
        <v>23274</v>
      </c>
      <c r="P269" s="14">
        <f>IFERROR(ROUND(SUM(S270)/I269, 2),0)</f>
        <v>1310</v>
      </c>
      <c r="Q269" s="15">
        <v>1724</v>
      </c>
      <c r="R269" s="14">
        <f>P269+ROUND(Q269, 2)</f>
        <v>3034</v>
      </c>
      <c r="S269" s="14">
        <f>ROUND(P269*I269, 2)</f>
        <v>17685</v>
      </c>
      <c r="T269" s="14">
        <f>ROUND(I269*ROUND(Q269, 2), 2)</f>
        <v>23274</v>
      </c>
      <c r="U269" s="14">
        <f>S269+T269</f>
        <v>40959</v>
      </c>
      <c r="V269" s="9">
        <f>ROUND(P269 / 1.2, 2)</f>
        <v>1091.67</v>
      </c>
      <c r="W269" s="9">
        <f>ROUND(Q269 / 1.2, 2)</f>
        <v>1436.67</v>
      </c>
      <c r="X269" s="9">
        <f>ROUND(R269 / 1.2, 2)</f>
        <v>2528.33</v>
      </c>
      <c r="Y269" s="9">
        <f t="shared" ref="Y269:Y292" si="14">ROUND(S269 / 1.2, 2)</f>
        <v>14737.5</v>
      </c>
      <c r="Z269" s="9">
        <f>ROUND(T269 / 1.2, 2)</f>
        <v>19395</v>
      </c>
      <c r="AA269" s="9">
        <f>Y269+Z269</f>
        <v>34132.5</v>
      </c>
      <c r="AD269" s="4">
        <v>282588983</v>
      </c>
      <c r="AE269" s="4">
        <v>20347730</v>
      </c>
      <c r="AG269" s="4" t="s">
        <v>1003</v>
      </c>
      <c r="AH269" s="4" t="s">
        <v>1004</v>
      </c>
      <c r="AI269" s="4" t="s">
        <v>170</v>
      </c>
    </row>
    <row r="270" spans="1:35" ht="37.5" x14ac:dyDescent="0.25">
      <c r="A270" s="10" t="s">
        <v>1005</v>
      </c>
      <c r="B270" s="10"/>
      <c r="C270" s="16" t="s">
        <v>1006</v>
      </c>
      <c r="D270" s="12"/>
      <c r="E270" s="12"/>
      <c r="F270" s="17" t="s">
        <v>59</v>
      </c>
      <c r="G270" s="18">
        <v>1</v>
      </c>
      <c r="H270" s="18"/>
      <c r="I270" s="18">
        <v>13.5</v>
      </c>
      <c r="J270" s="19">
        <v>0</v>
      </c>
      <c r="M270" s="20">
        <f>ROUND(ROUND(J270, 2)*I270, 2)</f>
        <v>0</v>
      </c>
      <c r="P270" s="19">
        <v>1310</v>
      </c>
      <c r="S270" s="20">
        <f>ROUND(ROUND(P270, 2)*I270, 2)</f>
        <v>17685</v>
      </c>
      <c r="V270" s="9">
        <f>ROUND(ROUND(P270, 2)/1.2, 2)</f>
        <v>1091.67</v>
      </c>
      <c r="Y270" s="9">
        <f t="shared" si="14"/>
        <v>14737.5</v>
      </c>
      <c r="AD270" s="4" t="s">
        <v>1007</v>
      </c>
      <c r="AE270" s="4" t="s">
        <v>1008</v>
      </c>
      <c r="AF270" s="4" t="s">
        <v>1009</v>
      </c>
    </row>
    <row r="271" spans="1:35" ht="150" x14ac:dyDescent="0.25">
      <c r="A271" s="10" t="s">
        <v>1010</v>
      </c>
      <c r="B271" s="10" t="s">
        <v>1011</v>
      </c>
      <c r="C271" s="11" t="s">
        <v>1012</v>
      </c>
      <c r="D271" s="12"/>
      <c r="E271" s="12" t="s">
        <v>1013</v>
      </c>
      <c r="F271" s="12" t="s">
        <v>59</v>
      </c>
      <c r="G271" s="13">
        <v>1</v>
      </c>
      <c r="H271" s="13"/>
      <c r="I271" s="13">
        <v>921.3</v>
      </c>
      <c r="J271" s="14">
        <f>IFERROR(ROUND(SUM(M272,M273,M274,M275,M276,M277,M278,M279,M280,M281,M282,M283,M284)/I271, 2),0)</f>
        <v>480.18</v>
      </c>
      <c r="K271" s="15">
        <v>1379</v>
      </c>
      <c r="L271" s="14">
        <f>J271+ROUND(K271, 2)</f>
        <v>1859.18</v>
      </c>
      <c r="M271" s="14">
        <f>ROUND(J271*I271, 2)</f>
        <v>442389.83</v>
      </c>
      <c r="N271" s="14">
        <f>ROUND(I271*ROUND(K271, 2), 2)</f>
        <v>1270472.7</v>
      </c>
      <c r="O271" s="14">
        <f>M271+N271</f>
        <v>1712862.53</v>
      </c>
      <c r="P271" s="14">
        <f>IFERROR(ROUND(SUM(S272,S273,S274,S275,S276,S277,S278,S279,S280,S281,S282,S283,S284)/I271, 2),0)</f>
        <v>2076.5300000000002</v>
      </c>
      <c r="Q271" s="15">
        <v>1379</v>
      </c>
      <c r="R271" s="14">
        <f>P271+ROUND(Q271, 2)</f>
        <v>3455.53</v>
      </c>
      <c r="S271" s="14">
        <f>ROUND(P271*I271, 2)</f>
        <v>1913107.09</v>
      </c>
      <c r="T271" s="14">
        <f>ROUND(I271*ROUND(Q271, 2), 2)</f>
        <v>1270472.7</v>
      </c>
      <c r="U271" s="14">
        <f>S271+T271</f>
        <v>3183579.79</v>
      </c>
      <c r="V271" s="9">
        <f>ROUND(P271 / 1.2, 2)</f>
        <v>1730.44</v>
      </c>
      <c r="W271" s="9">
        <f>ROUND(Q271 / 1.2, 2)</f>
        <v>1149.17</v>
      </c>
      <c r="X271" s="9">
        <f>ROUND(R271 / 1.2, 2)</f>
        <v>2879.61</v>
      </c>
      <c r="Y271" s="9">
        <f t="shared" si="14"/>
        <v>1594255.91</v>
      </c>
      <c r="Z271" s="9">
        <f>ROUND(T271 / 1.2, 2)</f>
        <v>1058727.25</v>
      </c>
      <c r="AA271" s="9">
        <f>Y271+Z271</f>
        <v>2652983.16</v>
      </c>
      <c r="AD271" s="4">
        <v>282588984</v>
      </c>
      <c r="AE271" s="4">
        <v>20347725</v>
      </c>
      <c r="AG271" s="4" t="s">
        <v>1014</v>
      </c>
      <c r="AH271" s="4" t="s">
        <v>1015</v>
      </c>
      <c r="AI271" s="4" t="s">
        <v>170</v>
      </c>
    </row>
    <row r="272" spans="1:35" ht="18.75" x14ac:dyDescent="0.25">
      <c r="A272" s="10" t="s">
        <v>1016</v>
      </c>
      <c r="B272" s="10"/>
      <c r="C272" s="16" t="s">
        <v>1017</v>
      </c>
      <c r="D272" s="12"/>
      <c r="E272" s="12"/>
      <c r="F272" s="17" t="s">
        <v>222</v>
      </c>
      <c r="G272" s="18">
        <v>0.3</v>
      </c>
      <c r="H272" s="18"/>
      <c r="I272" s="18">
        <v>276.39</v>
      </c>
      <c r="J272" s="19">
        <v>5.6</v>
      </c>
      <c r="M272" s="20">
        <f t="shared" ref="M272:M284" si="15">ROUND(ROUND(J272, 2)*I272, 2)</f>
        <v>1547.78</v>
      </c>
      <c r="P272" s="19">
        <v>5.6</v>
      </c>
      <c r="S272" s="20">
        <f t="shared" ref="S272:S284" si="16">ROUND(ROUND(P272, 2)*I272, 2)</f>
        <v>1547.78</v>
      </c>
      <c r="V272" s="9">
        <f t="shared" ref="V272:V284" si="17">ROUND(ROUND(P272, 2)/1.2, 2)</f>
        <v>4.67</v>
      </c>
      <c r="Y272" s="9">
        <f t="shared" si="14"/>
        <v>1289.82</v>
      </c>
      <c r="AD272" s="4" t="s">
        <v>1018</v>
      </c>
      <c r="AE272" s="4" t="s">
        <v>1019</v>
      </c>
      <c r="AF272" s="4" t="s">
        <v>1020</v>
      </c>
    </row>
    <row r="273" spans="1:35" ht="37.5" x14ac:dyDescent="0.25">
      <c r="A273" s="10" t="s">
        <v>1021</v>
      </c>
      <c r="B273" s="10"/>
      <c r="C273" s="21" t="s">
        <v>1022</v>
      </c>
      <c r="D273" s="12"/>
      <c r="E273" s="12"/>
      <c r="F273" s="17" t="s">
        <v>222</v>
      </c>
      <c r="G273" s="18">
        <v>3.6</v>
      </c>
      <c r="H273" s="18"/>
      <c r="I273" s="18">
        <v>3316.68</v>
      </c>
      <c r="J273" s="19">
        <v>15.9</v>
      </c>
      <c r="M273" s="20">
        <f t="shared" si="15"/>
        <v>52735.21</v>
      </c>
      <c r="P273" s="19">
        <v>15.9</v>
      </c>
      <c r="S273" s="20">
        <f t="shared" si="16"/>
        <v>52735.21</v>
      </c>
      <c r="V273" s="9">
        <f t="shared" si="17"/>
        <v>13.25</v>
      </c>
      <c r="Y273" s="9">
        <f t="shared" si="14"/>
        <v>43946.01</v>
      </c>
      <c r="AD273" s="4" t="s">
        <v>1023</v>
      </c>
      <c r="AE273" s="4" t="s">
        <v>1024</v>
      </c>
      <c r="AF273" s="4" t="s">
        <v>1025</v>
      </c>
    </row>
    <row r="274" spans="1:35" ht="18.75" x14ac:dyDescent="0.25">
      <c r="A274" s="10" t="s">
        <v>1026</v>
      </c>
      <c r="B274" s="10"/>
      <c r="C274" s="16" t="s">
        <v>1027</v>
      </c>
      <c r="D274" s="12"/>
      <c r="E274" s="12"/>
      <c r="F274" s="17" t="s">
        <v>76</v>
      </c>
      <c r="G274" s="18">
        <v>1.2</v>
      </c>
      <c r="H274" s="18"/>
      <c r="I274" s="18">
        <v>1105.56</v>
      </c>
      <c r="J274" s="19">
        <v>22.82</v>
      </c>
      <c r="M274" s="20">
        <f t="shared" si="15"/>
        <v>25228.880000000001</v>
      </c>
      <c r="P274" s="19">
        <v>22.82</v>
      </c>
      <c r="S274" s="20">
        <f t="shared" si="16"/>
        <v>25228.880000000001</v>
      </c>
      <c r="V274" s="9">
        <f t="shared" si="17"/>
        <v>19.02</v>
      </c>
      <c r="Y274" s="9">
        <f t="shared" si="14"/>
        <v>21024.07</v>
      </c>
      <c r="AD274" s="4" t="s">
        <v>1028</v>
      </c>
      <c r="AE274" s="4" t="s">
        <v>1029</v>
      </c>
      <c r="AF274" s="4" t="s">
        <v>1030</v>
      </c>
    </row>
    <row r="275" spans="1:35" ht="18.75" x14ac:dyDescent="0.25">
      <c r="A275" s="10" t="s">
        <v>1031</v>
      </c>
      <c r="B275" s="10"/>
      <c r="C275" s="16" t="s">
        <v>1032</v>
      </c>
      <c r="D275" s="12"/>
      <c r="E275" s="12"/>
      <c r="F275" s="17" t="s">
        <v>76</v>
      </c>
      <c r="G275" s="18">
        <v>4.7</v>
      </c>
      <c r="H275" s="18"/>
      <c r="I275" s="18">
        <v>4330.1099999999997</v>
      </c>
      <c r="J275" s="19">
        <v>66.98</v>
      </c>
      <c r="M275" s="20">
        <f t="shared" si="15"/>
        <v>290030.77</v>
      </c>
      <c r="P275" s="19">
        <v>66.98</v>
      </c>
      <c r="S275" s="20">
        <f t="shared" si="16"/>
        <v>290030.77</v>
      </c>
      <c r="V275" s="9">
        <f t="shared" si="17"/>
        <v>55.82</v>
      </c>
      <c r="Y275" s="9">
        <f t="shared" si="14"/>
        <v>241692.31</v>
      </c>
      <c r="AD275" s="4" t="s">
        <v>1033</v>
      </c>
      <c r="AE275" s="4" t="s">
        <v>1034</v>
      </c>
      <c r="AF275" s="4" t="s">
        <v>1035</v>
      </c>
    </row>
    <row r="276" spans="1:35" ht="18.75" x14ac:dyDescent="0.25">
      <c r="A276" s="10" t="s">
        <v>1036</v>
      </c>
      <c r="B276" s="10"/>
      <c r="C276" s="16" t="s">
        <v>1037</v>
      </c>
      <c r="D276" s="12"/>
      <c r="E276" s="12"/>
      <c r="F276" s="17" t="s">
        <v>222</v>
      </c>
      <c r="G276" s="18">
        <v>15</v>
      </c>
      <c r="H276" s="18"/>
      <c r="I276" s="18">
        <v>13819.5</v>
      </c>
      <c r="J276" s="19">
        <v>0.95</v>
      </c>
      <c r="M276" s="20">
        <f t="shared" si="15"/>
        <v>13128.53</v>
      </c>
      <c r="P276" s="19">
        <v>0.95</v>
      </c>
      <c r="S276" s="20">
        <f t="shared" si="16"/>
        <v>13128.53</v>
      </c>
      <c r="V276" s="9">
        <f t="shared" si="17"/>
        <v>0.79</v>
      </c>
      <c r="Y276" s="9">
        <f t="shared" si="14"/>
        <v>10940.44</v>
      </c>
      <c r="AD276" s="4" t="s">
        <v>1038</v>
      </c>
      <c r="AE276" s="4" t="s">
        <v>1039</v>
      </c>
      <c r="AF276" s="4" t="s">
        <v>1040</v>
      </c>
    </row>
    <row r="277" spans="1:35" ht="18.75" x14ac:dyDescent="0.25">
      <c r="A277" s="10" t="s">
        <v>1041</v>
      </c>
      <c r="B277" s="10"/>
      <c r="C277" s="21" t="s">
        <v>1042</v>
      </c>
      <c r="D277" s="12"/>
      <c r="E277" s="12"/>
      <c r="F277" s="17" t="s">
        <v>222</v>
      </c>
      <c r="G277" s="18">
        <v>4.2</v>
      </c>
      <c r="H277" s="18"/>
      <c r="I277" s="18">
        <v>3869.46</v>
      </c>
      <c r="J277" s="19">
        <v>4.92</v>
      </c>
      <c r="M277" s="20">
        <f t="shared" si="15"/>
        <v>19037.740000000002</v>
      </c>
      <c r="P277" s="19">
        <v>4.92</v>
      </c>
      <c r="S277" s="20">
        <f t="shared" si="16"/>
        <v>19037.740000000002</v>
      </c>
      <c r="V277" s="9">
        <f t="shared" si="17"/>
        <v>4.0999999999999996</v>
      </c>
      <c r="Y277" s="9">
        <f t="shared" si="14"/>
        <v>15864.78</v>
      </c>
      <c r="AD277" s="4" t="s">
        <v>1043</v>
      </c>
      <c r="AE277" s="4" t="s">
        <v>1044</v>
      </c>
      <c r="AF277" s="4" t="s">
        <v>1045</v>
      </c>
    </row>
    <row r="278" spans="1:35" ht="18.75" x14ac:dyDescent="0.25">
      <c r="A278" s="10" t="s">
        <v>1046</v>
      </c>
      <c r="B278" s="10"/>
      <c r="C278" s="16" t="s">
        <v>1047</v>
      </c>
      <c r="D278" s="12"/>
      <c r="E278" s="12"/>
      <c r="F278" s="17" t="s">
        <v>222</v>
      </c>
      <c r="G278" s="18">
        <v>30</v>
      </c>
      <c r="H278" s="18"/>
      <c r="I278" s="18">
        <v>27639</v>
      </c>
      <c r="J278" s="19">
        <v>0.28000000000000003</v>
      </c>
      <c r="M278" s="20">
        <f t="shared" si="15"/>
        <v>7738.92</v>
      </c>
      <c r="P278" s="19">
        <v>0.28000000000000003</v>
      </c>
      <c r="S278" s="20">
        <f t="shared" si="16"/>
        <v>7738.92</v>
      </c>
      <c r="V278" s="9">
        <f t="shared" si="17"/>
        <v>0.23</v>
      </c>
      <c r="Y278" s="9">
        <f t="shared" si="14"/>
        <v>6449.1</v>
      </c>
      <c r="AD278" s="4" t="s">
        <v>1048</v>
      </c>
      <c r="AE278" s="4" t="s">
        <v>1049</v>
      </c>
      <c r="AF278" s="4" t="s">
        <v>1050</v>
      </c>
    </row>
    <row r="279" spans="1:35" ht="37.5" x14ac:dyDescent="0.25">
      <c r="A279" s="10" t="s">
        <v>1051</v>
      </c>
      <c r="B279" s="10"/>
      <c r="C279" s="16" t="s">
        <v>1052</v>
      </c>
      <c r="D279" s="12"/>
      <c r="E279" s="12"/>
      <c r="F279" s="17" t="s">
        <v>173</v>
      </c>
      <c r="G279" s="18">
        <v>0.35</v>
      </c>
      <c r="H279" s="18"/>
      <c r="I279" s="18">
        <v>322.45499999999998</v>
      </c>
      <c r="J279" s="19">
        <v>55</v>
      </c>
      <c r="M279" s="20">
        <f t="shared" si="15"/>
        <v>17735.03</v>
      </c>
      <c r="P279" s="19">
        <v>55</v>
      </c>
      <c r="S279" s="20">
        <f t="shared" si="16"/>
        <v>17735.03</v>
      </c>
      <c r="V279" s="9">
        <f t="shared" si="17"/>
        <v>45.83</v>
      </c>
      <c r="Y279" s="9">
        <f t="shared" si="14"/>
        <v>14779.19</v>
      </c>
      <c r="AD279" s="4" t="s">
        <v>1053</v>
      </c>
      <c r="AE279" s="4" t="s">
        <v>1054</v>
      </c>
      <c r="AF279" s="4" t="s">
        <v>1055</v>
      </c>
    </row>
    <row r="280" spans="1:35" ht="37.5" x14ac:dyDescent="0.25">
      <c r="A280" s="10" t="s">
        <v>1056</v>
      </c>
      <c r="B280" s="10"/>
      <c r="C280" s="16" t="s">
        <v>854</v>
      </c>
      <c r="D280" s="12"/>
      <c r="E280" s="12"/>
      <c r="F280" s="17" t="s">
        <v>59</v>
      </c>
      <c r="G280" s="18">
        <v>1.05</v>
      </c>
      <c r="H280" s="18"/>
      <c r="I280" s="18">
        <v>967.36500000000001</v>
      </c>
      <c r="J280" s="19">
        <v>0</v>
      </c>
      <c r="M280" s="20">
        <f t="shared" si="15"/>
        <v>0</v>
      </c>
      <c r="P280" s="19">
        <v>1520.33</v>
      </c>
      <c r="S280" s="20">
        <f t="shared" si="16"/>
        <v>1470714.03</v>
      </c>
      <c r="V280" s="9">
        <f t="shared" si="17"/>
        <v>1266.94</v>
      </c>
      <c r="Y280" s="9">
        <f t="shared" si="14"/>
        <v>1225595.03</v>
      </c>
      <c r="AD280" s="4" t="s">
        <v>1057</v>
      </c>
      <c r="AE280" s="4" t="s">
        <v>1058</v>
      </c>
      <c r="AF280" s="4" t="s">
        <v>857</v>
      </c>
    </row>
    <row r="281" spans="1:35" ht="18.75" x14ac:dyDescent="0.25">
      <c r="A281" s="10" t="s">
        <v>1059</v>
      </c>
      <c r="B281" s="10"/>
      <c r="C281" s="16" t="s">
        <v>1060</v>
      </c>
      <c r="D281" s="12"/>
      <c r="E281" s="12"/>
      <c r="F281" s="17" t="s">
        <v>76</v>
      </c>
      <c r="G281" s="18">
        <v>1.05</v>
      </c>
      <c r="H281" s="18"/>
      <c r="I281" s="18">
        <v>967.36500000000001</v>
      </c>
      <c r="J281" s="19">
        <v>4.5999999999999996</v>
      </c>
      <c r="M281" s="20">
        <f t="shared" si="15"/>
        <v>4449.88</v>
      </c>
      <c r="P281" s="19">
        <v>4.5999999999999996</v>
      </c>
      <c r="S281" s="20">
        <f t="shared" si="16"/>
        <v>4449.88</v>
      </c>
      <c r="V281" s="9">
        <f t="shared" si="17"/>
        <v>3.83</v>
      </c>
      <c r="Y281" s="9">
        <f t="shared" si="14"/>
        <v>3708.23</v>
      </c>
      <c r="AD281" s="4" t="s">
        <v>1061</v>
      </c>
      <c r="AE281" s="4" t="s">
        <v>1062</v>
      </c>
      <c r="AF281" s="4" t="s">
        <v>1063</v>
      </c>
    </row>
    <row r="282" spans="1:35" ht="18.75" x14ac:dyDescent="0.25">
      <c r="A282" s="10" t="s">
        <v>1064</v>
      </c>
      <c r="B282" s="10"/>
      <c r="C282" s="16" t="s">
        <v>1065</v>
      </c>
      <c r="D282" s="12"/>
      <c r="E282" s="12"/>
      <c r="F282" s="17" t="s">
        <v>76</v>
      </c>
      <c r="G282" s="18">
        <v>0.25</v>
      </c>
      <c r="H282" s="18"/>
      <c r="I282" s="18">
        <v>230.32499999999999</v>
      </c>
      <c r="J282" s="19">
        <v>2.8</v>
      </c>
      <c r="M282" s="20">
        <f t="shared" si="15"/>
        <v>644.91</v>
      </c>
      <c r="P282" s="19">
        <v>2.8</v>
      </c>
      <c r="S282" s="20">
        <f t="shared" si="16"/>
        <v>644.91</v>
      </c>
      <c r="V282" s="9">
        <f t="shared" si="17"/>
        <v>2.33</v>
      </c>
      <c r="Y282" s="9">
        <f t="shared" si="14"/>
        <v>537.42999999999995</v>
      </c>
      <c r="AD282" s="4" t="s">
        <v>1066</v>
      </c>
      <c r="AE282" s="4" t="s">
        <v>1067</v>
      </c>
      <c r="AF282" s="4" t="s">
        <v>1068</v>
      </c>
    </row>
    <row r="283" spans="1:35" ht="37.5" x14ac:dyDescent="0.25">
      <c r="A283" s="10" t="s">
        <v>1069</v>
      </c>
      <c r="B283" s="10"/>
      <c r="C283" s="16" t="s">
        <v>324</v>
      </c>
      <c r="D283" s="12"/>
      <c r="E283" s="12"/>
      <c r="F283" s="17" t="s">
        <v>173</v>
      </c>
      <c r="G283" s="18">
        <v>0.1</v>
      </c>
      <c r="H283" s="18"/>
      <c r="I283" s="18">
        <v>92.13</v>
      </c>
      <c r="J283" s="19">
        <v>88.8</v>
      </c>
      <c r="M283" s="20">
        <f t="shared" si="15"/>
        <v>8181.14</v>
      </c>
      <c r="P283" s="19">
        <v>88.8</v>
      </c>
      <c r="S283" s="20">
        <f t="shared" si="16"/>
        <v>8181.14</v>
      </c>
      <c r="V283" s="9">
        <f t="shared" si="17"/>
        <v>74</v>
      </c>
      <c r="Y283" s="9">
        <f t="shared" si="14"/>
        <v>6817.62</v>
      </c>
      <c r="AD283" s="4" t="s">
        <v>1070</v>
      </c>
      <c r="AE283" s="4" t="s">
        <v>1071</v>
      </c>
      <c r="AF283" s="4" t="s">
        <v>327</v>
      </c>
    </row>
    <row r="284" spans="1:35" ht="18.75" x14ac:dyDescent="0.25">
      <c r="A284" s="10" t="s">
        <v>1072</v>
      </c>
      <c r="B284" s="10"/>
      <c r="C284" s="16" t="s">
        <v>1073</v>
      </c>
      <c r="D284" s="12"/>
      <c r="E284" s="12"/>
      <c r="F284" s="17" t="s">
        <v>222</v>
      </c>
      <c r="G284" s="18">
        <v>0.75</v>
      </c>
      <c r="H284" s="18"/>
      <c r="I284" s="18">
        <v>690.97500000000002</v>
      </c>
      <c r="J284" s="19">
        <v>2.8</v>
      </c>
      <c r="M284" s="20">
        <f t="shared" si="15"/>
        <v>1934.73</v>
      </c>
      <c r="P284" s="19">
        <v>2.8</v>
      </c>
      <c r="S284" s="20">
        <f t="shared" si="16"/>
        <v>1934.73</v>
      </c>
      <c r="V284" s="9">
        <f t="shared" si="17"/>
        <v>2.33</v>
      </c>
      <c r="Y284" s="9">
        <f t="shared" si="14"/>
        <v>1612.28</v>
      </c>
      <c r="AD284" s="4" t="s">
        <v>1074</v>
      </c>
      <c r="AE284" s="4" t="s">
        <v>1075</v>
      </c>
      <c r="AF284" s="4" t="s">
        <v>1076</v>
      </c>
    </row>
    <row r="285" spans="1:35" ht="37.5" x14ac:dyDescent="0.25">
      <c r="A285" s="10" t="s">
        <v>1077</v>
      </c>
      <c r="B285" s="10" t="s">
        <v>1078</v>
      </c>
      <c r="C285" s="11" t="s">
        <v>1079</v>
      </c>
      <c r="D285" s="12"/>
      <c r="E285" s="12" t="s">
        <v>1080</v>
      </c>
      <c r="F285" s="12" t="s">
        <v>59</v>
      </c>
      <c r="G285" s="13">
        <v>1</v>
      </c>
      <c r="H285" s="13"/>
      <c r="I285" s="13">
        <v>716.1</v>
      </c>
      <c r="J285" s="14">
        <f>IFERROR(ROUND(SUM(M286)/I285, 2),0)</f>
        <v>902.98</v>
      </c>
      <c r="K285" s="15">
        <v>963</v>
      </c>
      <c r="L285" s="14">
        <f>J285+ROUND(K285, 2)</f>
        <v>1865.98</v>
      </c>
      <c r="M285" s="14">
        <f>ROUND(J285*I285, 2)</f>
        <v>646623.98</v>
      </c>
      <c r="N285" s="14">
        <f>ROUND(I285*ROUND(K285, 2), 2)</f>
        <v>689604.3</v>
      </c>
      <c r="O285" s="14">
        <f>M285+N285</f>
        <v>1336228.28</v>
      </c>
      <c r="P285" s="14">
        <f>IFERROR(ROUND(SUM(S286)/I285, 2),0)</f>
        <v>902.98</v>
      </c>
      <c r="Q285" s="15">
        <v>963</v>
      </c>
      <c r="R285" s="14">
        <f>P285+ROUND(Q285, 2)</f>
        <v>1865.98</v>
      </c>
      <c r="S285" s="14">
        <f>ROUND(P285*I285, 2)</f>
        <v>646623.98</v>
      </c>
      <c r="T285" s="14">
        <f>ROUND(I285*ROUND(Q285, 2), 2)</f>
        <v>689604.3</v>
      </c>
      <c r="U285" s="14">
        <f>S285+T285</f>
        <v>1336228.28</v>
      </c>
      <c r="V285" s="9">
        <f>ROUND(P285 / 1.2, 2)</f>
        <v>752.48</v>
      </c>
      <c r="W285" s="9">
        <f>ROUND(Q285 / 1.2, 2)</f>
        <v>802.5</v>
      </c>
      <c r="X285" s="9">
        <f>ROUND(R285 / 1.2, 2)</f>
        <v>1554.98</v>
      </c>
      <c r="Y285" s="9">
        <f t="shared" si="14"/>
        <v>538853.31999999995</v>
      </c>
      <c r="Z285" s="9">
        <f>ROUND(T285 / 1.2, 2)</f>
        <v>574670.25</v>
      </c>
      <c r="AA285" s="9">
        <f>Y285+Z285</f>
        <v>1113523.5699999998</v>
      </c>
      <c r="AD285" s="4">
        <v>282588985</v>
      </c>
      <c r="AE285" s="4">
        <v>20347726</v>
      </c>
      <c r="AG285" s="4" t="s">
        <v>1081</v>
      </c>
      <c r="AH285" s="4" t="s">
        <v>1082</v>
      </c>
      <c r="AI285" s="4" t="s">
        <v>170</v>
      </c>
    </row>
    <row r="286" spans="1:35" ht="37.5" x14ac:dyDescent="0.25">
      <c r="A286" s="10" t="s">
        <v>1083</v>
      </c>
      <c r="B286" s="10"/>
      <c r="C286" s="21" t="s">
        <v>1084</v>
      </c>
      <c r="D286" s="12"/>
      <c r="E286" s="12"/>
      <c r="F286" s="17" t="s">
        <v>59</v>
      </c>
      <c r="G286" s="18">
        <v>1.1000000000000001</v>
      </c>
      <c r="H286" s="22"/>
      <c r="I286" s="22">
        <v>787.71</v>
      </c>
      <c r="J286" s="19">
        <v>820.89</v>
      </c>
      <c r="M286" s="20">
        <f>ROUND(ROUND(J286, 2)*I286, 2)</f>
        <v>646623.26</v>
      </c>
      <c r="P286" s="19">
        <v>820.89</v>
      </c>
      <c r="S286" s="20">
        <f>ROUND(ROUND(P286, 2)*I286, 2)</f>
        <v>646623.26</v>
      </c>
      <c r="V286" s="9">
        <f>ROUND(ROUND(P286, 2)/1.2, 2)</f>
        <v>684.08</v>
      </c>
      <c r="Y286" s="9">
        <f t="shared" si="14"/>
        <v>538852.72</v>
      </c>
      <c r="AD286" s="4" t="s">
        <v>1085</v>
      </c>
      <c r="AE286" s="4" t="s">
        <v>1086</v>
      </c>
      <c r="AF286" s="4" t="s">
        <v>1087</v>
      </c>
    </row>
    <row r="287" spans="1:35" ht="37.5" x14ac:dyDescent="0.25">
      <c r="A287" s="10" t="s">
        <v>1088</v>
      </c>
      <c r="B287" s="10" t="s">
        <v>1078</v>
      </c>
      <c r="C287" s="11" t="s">
        <v>1079</v>
      </c>
      <c r="D287" s="12"/>
      <c r="E287" s="12" t="s">
        <v>1089</v>
      </c>
      <c r="F287" s="12" t="s">
        <v>59</v>
      </c>
      <c r="G287" s="13">
        <v>1</v>
      </c>
      <c r="H287" s="13"/>
      <c r="I287" s="13">
        <v>1176</v>
      </c>
      <c r="J287" s="14">
        <f>IFERROR(ROUND(SUM(M288)/I287, 2),0)</f>
        <v>855.89</v>
      </c>
      <c r="K287" s="15">
        <v>963</v>
      </c>
      <c r="L287" s="14">
        <f>J287+ROUND(K287, 2)</f>
        <v>1818.8899999999999</v>
      </c>
      <c r="M287" s="14">
        <f>ROUND(J287*I287, 2)</f>
        <v>1006526.64</v>
      </c>
      <c r="N287" s="14">
        <f>ROUND(I287*ROUND(K287, 2), 2)</f>
        <v>1132488</v>
      </c>
      <c r="O287" s="14">
        <f>M287+N287</f>
        <v>2139014.64</v>
      </c>
      <c r="P287" s="14">
        <f>IFERROR(ROUND(SUM(S288)/I287, 2),0)</f>
        <v>855.89</v>
      </c>
      <c r="Q287" s="15">
        <v>963</v>
      </c>
      <c r="R287" s="14">
        <f>P287+ROUND(Q287, 2)</f>
        <v>1818.8899999999999</v>
      </c>
      <c r="S287" s="14">
        <f>ROUND(P287*I287, 2)</f>
        <v>1006526.64</v>
      </c>
      <c r="T287" s="14">
        <f>ROUND(I287*ROUND(Q287, 2), 2)</f>
        <v>1132488</v>
      </c>
      <c r="U287" s="14">
        <f>S287+T287</f>
        <v>2139014.64</v>
      </c>
      <c r="V287" s="9">
        <f>ROUND(P287 / 1.2, 2)</f>
        <v>713.24</v>
      </c>
      <c r="W287" s="9">
        <f>ROUND(Q287 / 1.2, 2)</f>
        <v>802.5</v>
      </c>
      <c r="X287" s="9">
        <f>ROUND(R287 / 1.2, 2)</f>
        <v>1515.74</v>
      </c>
      <c r="Y287" s="9">
        <f t="shared" si="14"/>
        <v>838772.2</v>
      </c>
      <c r="Z287" s="9">
        <f>ROUND(T287 / 1.2, 2)</f>
        <v>943740</v>
      </c>
      <c r="AA287" s="9">
        <f>Y287+Z287</f>
        <v>1782512.2</v>
      </c>
      <c r="AD287" s="4">
        <v>282589027</v>
      </c>
      <c r="AE287" s="4">
        <v>20347727</v>
      </c>
      <c r="AG287" s="4" t="s">
        <v>1081</v>
      </c>
      <c r="AH287" s="4" t="s">
        <v>1082</v>
      </c>
      <c r="AI287" s="4" t="s">
        <v>170</v>
      </c>
    </row>
    <row r="288" spans="1:35" ht="18.75" x14ac:dyDescent="0.25">
      <c r="A288" s="10" t="s">
        <v>1090</v>
      </c>
      <c r="B288" s="10"/>
      <c r="C288" s="21" t="s">
        <v>1091</v>
      </c>
      <c r="D288" s="12"/>
      <c r="E288" s="12"/>
      <c r="F288" s="17" t="s">
        <v>59</v>
      </c>
      <c r="G288" s="18">
        <v>1.1000000000000001</v>
      </c>
      <c r="H288" s="22"/>
      <c r="I288" s="22">
        <v>1293.5999999999999</v>
      </c>
      <c r="J288" s="19">
        <v>778.08</v>
      </c>
      <c r="M288" s="20">
        <f>ROUND(ROUND(J288, 2)*I288, 2)</f>
        <v>1006524.29</v>
      </c>
      <c r="P288" s="19">
        <v>778.08</v>
      </c>
      <c r="S288" s="20">
        <f>ROUND(ROUND(P288, 2)*I288, 2)</f>
        <v>1006524.29</v>
      </c>
      <c r="V288" s="9">
        <f>ROUND(ROUND(P288, 2)/1.2, 2)</f>
        <v>648.4</v>
      </c>
      <c r="Y288" s="9">
        <f t="shared" si="14"/>
        <v>838770.24</v>
      </c>
      <c r="AD288" s="4" t="s">
        <v>1092</v>
      </c>
      <c r="AE288" s="4" t="s">
        <v>1093</v>
      </c>
      <c r="AF288" s="4" t="s">
        <v>1094</v>
      </c>
    </row>
    <row r="289" spans="1:35" ht="56.25" x14ac:dyDescent="0.25">
      <c r="A289" s="10" t="s">
        <v>1095</v>
      </c>
      <c r="B289" s="10" t="s">
        <v>1078</v>
      </c>
      <c r="C289" s="11" t="s">
        <v>1079</v>
      </c>
      <c r="D289" s="12"/>
      <c r="E289" s="12" t="s">
        <v>1096</v>
      </c>
      <c r="F289" s="12" t="s">
        <v>59</v>
      </c>
      <c r="G289" s="13">
        <v>1</v>
      </c>
      <c r="H289" s="13"/>
      <c r="I289" s="13">
        <v>21.5</v>
      </c>
      <c r="J289" s="14">
        <f>IFERROR(ROUND(SUM(M290)/I289, 2),0)</f>
        <v>855.89</v>
      </c>
      <c r="K289" s="15">
        <v>963</v>
      </c>
      <c r="L289" s="14">
        <f>J289+ROUND(K289, 2)</f>
        <v>1818.8899999999999</v>
      </c>
      <c r="M289" s="14">
        <f>ROUND(J289*I289, 2)</f>
        <v>18401.64</v>
      </c>
      <c r="N289" s="14">
        <f>ROUND(I289*ROUND(K289, 2), 2)</f>
        <v>20704.5</v>
      </c>
      <c r="O289" s="14">
        <f>M289+N289</f>
        <v>39106.14</v>
      </c>
      <c r="P289" s="14">
        <f>IFERROR(ROUND(SUM(S290)/I289, 2),0)</f>
        <v>855.89</v>
      </c>
      <c r="Q289" s="15">
        <v>963</v>
      </c>
      <c r="R289" s="14">
        <f>P289+ROUND(Q289, 2)</f>
        <v>1818.8899999999999</v>
      </c>
      <c r="S289" s="14">
        <f>ROUND(P289*I289, 2)</f>
        <v>18401.64</v>
      </c>
      <c r="T289" s="14">
        <f>ROUND(I289*ROUND(Q289, 2), 2)</f>
        <v>20704.5</v>
      </c>
      <c r="U289" s="14">
        <f>S289+T289</f>
        <v>39106.14</v>
      </c>
      <c r="V289" s="9">
        <f>ROUND(P289 / 1.2, 2)</f>
        <v>713.24</v>
      </c>
      <c r="W289" s="9">
        <f>ROUND(Q289 / 1.2, 2)</f>
        <v>802.5</v>
      </c>
      <c r="X289" s="9">
        <f>ROUND(R289 / 1.2, 2)</f>
        <v>1515.74</v>
      </c>
      <c r="Y289" s="9">
        <f t="shared" si="14"/>
        <v>15334.7</v>
      </c>
      <c r="Z289" s="9">
        <f>ROUND(T289 / 1.2, 2)</f>
        <v>17253.75</v>
      </c>
      <c r="AA289" s="9">
        <f>Y289+Z289</f>
        <v>32588.45</v>
      </c>
      <c r="AD289" s="4">
        <v>282589028</v>
      </c>
      <c r="AE289" s="4">
        <v>20347722</v>
      </c>
      <c r="AG289" s="4" t="s">
        <v>1081</v>
      </c>
      <c r="AH289" s="4" t="s">
        <v>1082</v>
      </c>
      <c r="AI289" s="4" t="s">
        <v>170</v>
      </c>
    </row>
    <row r="290" spans="1:35" ht="18.75" x14ac:dyDescent="0.25">
      <c r="A290" s="10" t="s">
        <v>1097</v>
      </c>
      <c r="B290" s="10"/>
      <c r="C290" s="21" t="s">
        <v>1091</v>
      </c>
      <c r="D290" s="12"/>
      <c r="E290" s="12"/>
      <c r="F290" s="17" t="s">
        <v>59</v>
      </c>
      <c r="G290" s="18">
        <v>1.1000000000000001</v>
      </c>
      <c r="H290" s="22"/>
      <c r="I290" s="22">
        <v>23.65</v>
      </c>
      <c r="J290" s="19">
        <v>778.08</v>
      </c>
      <c r="M290" s="20">
        <f>ROUND(ROUND(J290, 2)*I290, 2)</f>
        <v>18401.59</v>
      </c>
      <c r="P290" s="19">
        <v>778.08</v>
      </c>
      <c r="S290" s="20">
        <f>ROUND(ROUND(P290, 2)*I290, 2)</f>
        <v>18401.59</v>
      </c>
      <c r="V290" s="9">
        <f>ROUND(ROUND(P290, 2)/1.2, 2)</f>
        <v>648.4</v>
      </c>
      <c r="Y290" s="9">
        <f t="shared" si="14"/>
        <v>15334.66</v>
      </c>
      <c r="AD290" s="4" t="s">
        <v>1098</v>
      </c>
      <c r="AE290" s="4" t="s">
        <v>1099</v>
      </c>
      <c r="AF290" s="4" t="s">
        <v>1094</v>
      </c>
    </row>
    <row r="291" spans="1:35" ht="131.25" x14ac:dyDescent="0.25">
      <c r="A291" s="10" t="s">
        <v>1100</v>
      </c>
      <c r="B291" s="10" t="s">
        <v>1078</v>
      </c>
      <c r="C291" s="11" t="s">
        <v>1079</v>
      </c>
      <c r="D291" s="12"/>
      <c r="E291" s="12" t="s">
        <v>1101</v>
      </c>
      <c r="F291" s="12" t="s">
        <v>59</v>
      </c>
      <c r="G291" s="13">
        <v>1</v>
      </c>
      <c r="H291" s="13"/>
      <c r="I291" s="13">
        <v>63.6</v>
      </c>
      <c r="J291" s="14">
        <f>IFERROR(ROUND(SUM(M292)/I291, 2),0)</f>
        <v>0</v>
      </c>
      <c r="K291" s="15">
        <v>963</v>
      </c>
      <c r="L291" s="14">
        <f>J291+ROUND(K291, 2)</f>
        <v>963</v>
      </c>
      <c r="M291" s="14">
        <f>ROUND(J291*I291, 2)</f>
        <v>0</v>
      </c>
      <c r="N291" s="14">
        <f>ROUND(I291*ROUND(K291, 2), 2)</f>
        <v>61246.8</v>
      </c>
      <c r="O291" s="14">
        <f>M291+N291</f>
        <v>61246.8</v>
      </c>
      <c r="P291" s="14">
        <f>IFERROR(ROUND(SUM(S292)/I291, 2),0)</f>
        <v>855</v>
      </c>
      <c r="Q291" s="15">
        <v>963</v>
      </c>
      <c r="R291" s="14">
        <f>P291+ROUND(Q291, 2)</f>
        <v>1818</v>
      </c>
      <c r="S291" s="14">
        <f>ROUND(P291*I291, 2)</f>
        <v>54378</v>
      </c>
      <c r="T291" s="14">
        <f>ROUND(I291*ROUND(Q291, 2), 2)</f>
        <v>61246.8</v>
      </c>
      <c r="U291" s="14">
        <f>S291+T291</f>
        <v>115624.8</v>
      </c>
      <c r="V291" s="9">
        <f>ROUND(P291 / 1.2, 2)</f>
        <v>712.5</v>
      </c>
      <c r="W291" s="9">
        <f>ROUND(Q291 / 1.2, 2)</f>
        <v>802.5</v>
      </c>
      <c r="X291" s="9">
        <f>ROUND(R291 / 1.2, 2)</f>
        <v>1515</v>
      </c>
      <c r="Y291" s="9">
        <f t="shared" si="14"/>
        <v>45315</v>
      </c>
      <c r="Z291" s="9">
        <f>ROUND(T291 / 1.2, 2)</f>
        <v>51039</v>
      </c>
      <c r="AA291" s="9">
        <f>Y291+Z291</f>
        <v>96354</v>
      </c>
      <c r="AD291" s="4">
        <v>282589029</v>
      </c>
      <c r="AE291" s="4">
        <v>21107984</v>
      </c>
      <c r="AG291" s="4" t="s">
        <v>1081</v>
      </c>
      <c r="AH291" s="4" t="s">
        <v>1082</v>
      </c>
      <c r="AI291" s="4" t="s">
        <v>170</v>
      </c>
    </row>
    <row r="292" spans="1:35" ht="18.75" x14ac:dyDescent="0.25">
      <c r="A292" s="10" t="s">
        <v>1102</v>
      </c>
      <c r="B292" s="10"/>
      <c r="C292" s="16" t="s">
        <v>1103</v>
      </c>
      <c r="D292" s="12"/>
      <c r="E292" s="12"/>
      <c r="F292" s="17" t="s">
        <v>59</v>
      </c>
      <c r="G292" s="18">
        <v>1</v>
      </c>
      <c r="H292" s="22"/>
      <c r="I292" s="22">
        <v>63.6</v>
      </c>
      <c r="J292" s="19">
        <v>0</v>
      </c>
      <c r="M292" s="20">
        <f>ROUND(ROUND(J292, 2)*I292, 2)</f>
        <v>0</v>
      </c>
      <c r="P292" s="19">
        <v>855</v>
      </c>
      <c r="S292" s="20">
        <f>ROUND(ROUND(P292, 2)*I292, 2)</f>
        <v>54378</v>
      </c>
      <c r="V292" s="9">
        <f>ROUND(ROUND(P292, 2)/1.2, 2)</f>
        <v>712.5</v>
      </c>
      <c r="Y292" s="9">
        <f t="shared" si="14"/>
        <v>45315</v>
      </c>
      <c r="AD292" s="4" t="s">
        <v>1104</v>
      </c>
      <c r="AE292" s="4" t="s">
        <v>1105</v>
      </c>
      <c r="AF292" s="4" t="s">
        <v>1106</v>
      </c>
    </row>
    <row r="293" spans="1:35" ht="24" customHeight="1" x14ac:dyDescent="0.25">
      <c r="A293" s="24"/>
      <c r="B293" s="24"/>
      <c r="C293" s="24"/>
      <c r="D293" s="25" t="s">
        <v>1107</v>
      </c>
      <c r="E293" s="24"/>
      <c r="F293" s="24"/>
      <c r="G293" s="24"/>
      <c r="H293" s="24"/>
      <c r="I293" s="24"/>
      <c r="J293" s="24"/>
      <c r="K293" s="24"/>
      <c r="L293" s="24"/>
      <c r="M293" s="26">
        <f>SUM(M8)</f>
        <v>26760871.57</v>
      </c>
      <c r="N293" s="26">
        <f>SUM(N8)</f>
        <v>31630464.810000002</v>
      </c>
      <c r="O293" s="26">
        <f>M293+N293</f>
        <v>58391336.380000003</v>
      </c>
      <c r="P293" s="24"/>
      <c r="Q293" s="24"/>
      <c r="R293" s="24"/>
      <c r="S293" s="26">
        <f>SUM(S8)</f>
        <v>25322784.150000002</v>
      </c>
      <c r="T293" s="26">
        <f>SUM(T8)</f>
        <v>31630464.810000002</v>
      </c>
      <c r="U293" s="26">
        <f>S293+T293</f>
        <v>56953248.960000008</v>
      </c>
      <c r="Y293" s="9">
        <f>SUM(Y8)</f>
        <v>21102320.170000002</v>
      </c>
      <c r="Z293" s="9">
        <f>SUM(Z8)</f>
        <v>26358720.690000005</v>
      </c>
      <c r="AA293" s="9">
        <f>Y293+Z293</f>
        <v>47461040.860000007</v>
      </c>
    </row>
    <row r="294" spans="1:35" ht="22.5" x14ac:dyDescent="0.25">
      <c r="A294" s="36" t="s">
        <v>1108</v>
      </c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8"/>
    </row>
    <row r="295" spans="1:35" ht="15.75" x14ac:dyDescent="0.25">
      <c r="A295" s="28"/>
      <c r="B295" s="5" t="s">
        <v>1109</v>
      </c>
      <c r="C295" s="27" t="s">
        <v>1110</v>
      </c>
      <c r="D295" s="27" t="s">
        <v>1111</v>
      </c>
      <c r="E295" s="29"/>
      <c r="F295" s="29"/>
      <c r="G295" s="29"/>
      <c r="H295" s="30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2"/>
    </row>
    <row r="296" spans="1:35" ht="15.75" x14ac:dyDescent="0.25">
      <c r="A296" s="28"/>
      <c r="B296" s="5" t="s">
        <v>1112</v>
      </c>
      <c r="C296" s="27" t="s">
        <v>1113</v>
      </c>
      <c r="D296" s="27" t="s">
        <v>1114</v>
      </c>
      <c r="E296" s="29"/>
      <c r="F296" s="29"/>
      <c r="G296" s="29"/>
      <c r="H296" s="30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2"/>
    </row>
    <row r="297" spans="1:35" ht="31.5" x14ac:dyDescent="0.25">
      <c r="A297" s="28"/>
      <c r="B297" s="5" t="s">
        <v>1115</v>
      </c>
      <c r="C297" s="27" t="s">
        <v>1116</v>
      </c>
      <c r="D297" s="27" t="s">
        <v>1117</v>
      </c>
      <c r="E297" s="29"/>
      <c r="F297" s="29"/>
      <c r="G297" s="29"/>
      <c r="H297" s="30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2"/>
    </row>
    <row r="298" spans="1:35" ht="15.75" x14ac:dyDescent="0.25">
      <c r="A298" s="28"/>
      <c r="B298" s="5" t="s">
        <v>1118</v>
      </c>
      <c r="C298" s="27" t="s">
        <v>1119</v>
      </c>
      <c r="D298" s="27" t="s">
        <v>1120</v>
      </c>
      <c r="E298" s="29"/>
      <c r="F298" s="29"/>
      <c r="G298" s="29"/>
      <c r="H298" s="30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2"/>
    </row>
    <row r="299" spans="1:35" ht="15.75" x14ac:dyDescent="0.25">
      <c r="A299" s="28"/>
      <c r="B299" s="5" t="s">
        <v>1121</v>
      </c>
      <c r="C299" s="27" t="s">
        <v>1122</v>
      </c>
      <c r="D299" s="27" t="s">
        <v>1114</v>
      </c>
      <c r="E299" s="29"/>
      <c r="F299" s="29"/>
      <c r="G299" s="29"/>
      <c r="H299" s="30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2"/>
    </row>
    <row r="300" spans="1:35" ht="31.5" x14ac:dyDescent="0.25">
      <c r="A300" s="28"/>
      <c r="B300" s="5" t="s">
        <v>1123</v>
      </c>
      <c r="C300" s="27" t="s">
        <v>1124</v>
      </c>
      <c r="D300" s="27" t="s">
        <v>1125</v>
      </c>
      <c r="E300" s="29"/>
      <c r="F300" s="29"/>
      <c r="G300" s="29"/>
      <c r="H300" s="30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2"/>
    </row>
    <row r="301" spans="1:35" ht="31.5" x14ac:dyDescent="0.25">
      <c r="A301" s="28"/>
      <c r="B301" s="5" t="s">
        <v>1126</v>
      </c>
      <c r="C301" s="27" t="s">
        <v>1127</v>
      </c>
      <c r="D301" s="27" t="s">
        <v>1128</v>
      </c>
      <c r="E301" s="29"/>
      <c r="F301" s="29"/>
      <c r="G301" s="29"/>
      <c r="H301" s="30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2"/>
    </row>
    <row r="302" spans="1:35" ht="15.75" x14ac:dyDescent="0.25">
      <c r="A302" s="28"/>
      <c r="B302" s="5" t="s">
        <v>1129</v>
      </c>
      <c r="C302" s="27" t="s">
        <v>1130</v>
      </c>
      <c r="D302" s="27" t="s">
        <v>1131</v>
      </c>
      <c r="E302" s="29"/>
      <c r="F302" s="29"/>
      <c r="G302" s="29"/>
      <c r="H302" s="30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2"/>
    </row>
    <row r="303" spans="1:35" ht="15.75" x14ac:dyDescent="0.25">
      <c r="A303" s="28"/>
      <c r="B303" s="5" t="s">
        <v>1132</v>
      </c>
      <c r="C303" s="27" t="s">
        <v>1133</v>
      </c>
      <c r="D303" s="27" t="s">
        <v>1134</v>
      </c>
      <c r="E303" s="29"/>
      <c r="F303" s="29"/>
      <c r="G303" s="29"/>
      <c r="H303" s="30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2"/>
    </row>
    <row r="304" spans="1:35" ht="47.25" x14ac:dyDescent="0.25">
      <c r="A304" s="28"/>
      <c r="B304" s="5" t="s">
        <v>1135</v>
      </c>
      <c r="C304" s="27" t="s">
        <v>1136</v>
      </c>
      <c r="D304" s="27" t="s">
        <v>1137</v>
      </c>
      <c r="E304" s="29"/>
      <c r="F304" s="29"/>
      <c r="G304" s="29"/>
      <c r="H304" s="30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2"/>
    </row>
    <row r="305" spans="1:21" ht="47.25" x14ac:dyDescent="0.25">
      <c r="A305" s="28"/>
      <c r="B305" s="5" t="s">
        <v>1138</v>
      </c>
      <c r="C305" s="27" t="s">
        <v>1139</v>
      </c>
      <c r="D305" s="27" t="s">
        <v>1140</v>
      </c>
      <c r="E305" s="29"/>
      <c r="F305" s="29"/>
      <c r="G305" s="29"/>
      <c r="H305" s="30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2"/>
    </row>
    <row r="306" spans="1:21" ht="31.5" x14ac:dyDescent="0.25">
      <c r="A306" s="28"/>
      <c r="B306" s="5" t="s">
        <v>1141</v>
      </c>
      <c r="C306" s="27" t="s">
        <v>1142</v>
      </c>
      <c r="D306" s="27" t="s">
        <v>1143</v>
      </c>
      <c r="E306" s="29"/>
      <c r="F306" s="29"/>
      <c r="G306" s="29"/>
      <c r="H306" s="30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2"/>
    </row>
    <row r="307" spans="1:21" ht="15.75" x14ac:dyDescent="0.25">
      <c r="A307" s="28"/>
      <c r="B307" s="5" t="s">
        <v>1144</v>
      </c>
      <c r="C307" s="27" t="s">
        <v>1145</v>
      </c>
      <c r="D307" s="27" t="s">
        <v>1146</v>
      </c>
      <c r="E307" s="29"/>
      <c r="F307" s="29"/>
      <c r="G307" s="29"/>
      <c r="H307" s="30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2"/>
    </row>
    <row r="308" spans="1:21" ht="47.25" x14ac:dyDescent="0.25">
      <c r="A308" s="28"/>
      <c r="B308" s="5" t="s">
        <v>1147</v>
      </c>
      <c r="C308" s="27" t="s">
        <v>1148</v>
      </c>
      <c r="D308" s="27" t="s">
        <v>1149</v>
      </c>
      <c r="E308" s="29"/>
      <c r="F308" s="29"/>
      <c r="G308" s="29"/>
      <c r="H308" s="30" t="s">
        <v>1150</v>
      </c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2"/>
    </row>
    <row r="309" spans="1:21" ht="15.75" x14ac:dyDescent="0.25">
      <c r="A309" s="28"/>
      <c r="B309" s="5" t="s">
        <v>1151</v>
      </c>
      <c r="C309" s="27" t="s">
        <v>1152</v>
      </c>
      <c r="D309" s="27" t="s">
        <v>1153</v>
      </c>
      <c r="E309" s="29"/>
      <c r="F309" s="29"/>
      <c r="G309" s="29"/>
      <c r="H309" s="30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2"/>
    </row>
    <row r="310" spans="1:21" ht="31.5" x14ac:dyDescent="0.25">
      <c r="A310" s="28"/>
      <c r="B310" s="5" t="s">
        <v>1154</v>
      </c>
      <c r="C310" s="27" t="s">
        <v>1155</v>
      </c>
      <c r="D310" s="29"/>
      <c r="E310" s="29"/>
      <c r="F310" s="29"/>
      <c r="G310" s="29"/>
      <c r="H310" s="30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2"/>
    </row>
    <row r="311" spans="1:21" ht="15.75" x14ac:dyDescent="0.25">
      <c r="A311" s="28"/>
      <c r="B311" s="5" t="s">
        <v>1156</v>
      </c>
      <c r="C311" s="27" t="s">
        <v>1157</v>
      </c>
      <c r="D311" s="29"/>
      <c r="E311" s="29"/>
      <c r="F311" s="29"/>
      <c r="G311" s="29"/>
      <c r="H311" s="30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2"/>
    </row>
    <row r="312" spans="1:21" ht="15.75" x14ac:dyDescent="0.25">
      <c r="A312" s="28"/>
      <c r="B312" s="5" t="s">
        <v>1158</v>
      </c>
      <c r="C312" s="27" t="s">
        <v>1159</v>
      </c>
      <c r="D312" s="29"/>
      <c r="E312" s="29"/>
      <c r="F312" s="29"/>
      <c r="G312" s="29"/>
      <c r="H312" s="30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2"/>
    </row>
  </sheetData>
  <mergeCells count="63">
    <mergeCell ref="H312:U312"/>
    <mergeCell ref="H306:U306"/>
    <mergeCell ref="H307:U307"/>
    <mergeCell ref="H308:U308"/>
    <mergeCell ref="H309:U309"/>
    <mergeCell ref="H310:U310"/>
    <mergeCell ref="H311:U311"/>
    <mergeCell ref="H300:U300"/>
    <mergeCell ref="H301:U301"/>
    <mergeCell ref="H302:U302"/>
    <mergeCell ref="H303:U303"/>
    <mergeCell ref="H304:U304"/>
    <mergeCell ref="H305:U305"/>
    <mergeCell ref="A294:U294"/>
    <mergeCell ref="H295:U295"/>
    <mergeCell ref="H296:U296"/>
    <mergeCell ref="H297:U297"/>
    <mergeCell ref="H298:U298"/>
    <mergeCell ref="H299:U299"/>
    <mergeCell ref="C146:I146"/>
    <mergeCell ref="C225:I225"/>
    <mergeCell ref="C236:I236"/>
    <mergeCell ref="C237:I237"/>
    <mergeCell ref="C244:I244"/>
    <mergeCell ref="C257:I257"/>
    <mergeCell ref="C37:I37"/>
    <mergeCell ref="C38:I38"/>
    <mergeCell ref="C39:I39"/>
    <mergeCell ref="C138:I138"/>
    <mergeCell ref="C141:I141"/>
    <mergeCell ref="C142:I142"/>
    <mergeCell ref="C11:I11"/>
    <mergeCell ref="C12:I12"/>
    <mergeCell ref="C13:I13"/>
    <mergeCell ref="C14:I14"/>
    <mergeCell ref="C35:I35"/>
    <mergeCell ref="C36:I36"/>
    <mergeCell ref="R6:R7"/>
    <mergeCell ref="S6:T6"/>
    <mergeCell ref="U6:U7"/>
    <mergeCell ref="A8:I8"/>
    <mergeCell ref="C9:I9"/>
    <mergeCell ref="C10:I10"/>
    <mergeCell ref="H5:H7"/>
    <mergeCell ref="I5:I7"/>
    <mergeCell ref="J5:O5"/>
    <mergeCell ref="P5:R5"/>
    <mergeCell ref="S5:U5"/>
    <mergeCell ref="J6:K6"/>
    <mergeCell ref="L6:L7"/>
    <mergeCell ref="M6:N6"/>
    <mergeCell ref="O6:O7"/>
    <mergeCell ref="P6:Q6"/>
    <mergeCell ref="A2:U2"/>
    <mergeCell ref="A3:U3"/>
    <mergeCell ref="A4:U4"/>
    <mergeCell ref="A5:A7"/>
    <mergeCell ref="B5:B7"/>
    <mergeCell ref="C5:C7"/>
    <mergeCell ref="D5:D7"/>
    <mergeCell ref="E5:E7"/>
    <mergeCell ref="F5:F7"/>
    <mergeCell ref="G5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ТКП</vt:lpstr>
      <vt:lpstr>Лист1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МирзаяновИИ</cp:lastModifiedBy>
  <dcterms:created xsi:type="dcterms:W3CDTF">2025-11-18T10:21:49Z</dcterms:created>
  <dcterms:modified xsi:type="dcterms:W3CDTF">2025-11-18T13:28:21Z</dcterms:modified>
  <cp:category/>
</cp:coreProperties>
</file>