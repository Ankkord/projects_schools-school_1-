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nux\Documents\schools\kronshtatsky\ceilling\"/>
    </mc:Choice>
  </mc:AlternateContent>
  <bookViews>
    <workbookView xWindow="0" yWindow="0" windowWidth="23040" windowHeight="10128"/>
  </bookViews>
  <sheets>
    <sheet name="1144" sheetId="22" r:id="rId1"/>
    <sheet name="1140" sheetId="21" r:id="rId2"/>
    <sheet name="1048" sheetId="18" r:id="rId3"/>
    <sheet name="1005" sheetId="17" r:id="rId4"/>
    <sheet name="971" sheetId="20" r:id="rId5"/>
    <sheet name="968" sheetId="19" r:id="rId6"/>
    <sheet name="965" sheetId="16" r:id="rId7"/>
    <sheet name="947" sheetId="15" r:id="rId8"/>
    <sheet name="CF6" sheetId="14" r:id="rId9"/>
    <sheet name="CF3" sheetId="13" r:id="rId10"/>
    <sheet name="CF4" sheetId="12" r:id="rId11"/>
    <sheet name="CF7,17" sheetId="11" r:id="rId12"/>
    <sheet name="CF1" sheetId="4" r:id="rId13"/>
    <sheet name="1.1-CF2_СКБ" sheetId="1" r:id="rId14"/>
    <sheet name="2.1-CF2_Краска" sheetId="2" r:id="rId15"/>
    <sheet name="3.1-CF2_Монтаж" sheetId="3" r:id="rId16"/>
    <sheet name="2.2-CF1_КрскДопСл" sheetId="10" r:id="rId17"/>
    <sheet name="2.2-CF1_Краск" sheetId="6" r:id="rId18"/>
    <sheet name="1.2-CF1_СКБ" sheetId="7" r:id="rId19"/>
    <sheet name="3.2-CF3_Монтаж" sheetId="8" r:id="rId20"/>
    <sheet name="3.3-CF4_Монтаж" sheetId="9" r:id="rId2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2" i="10" l="1"/>
  <c r="K28" i="10"/>
  <c r="C6" i="10"/>
  <c r="C43" i="10" s="1"/>
  <c r="K3" i="10" l="1"/>
  <c r="K16" i="9"/>
  <c r="G12" i="9"/>
  <c r="C10" i="9"/>
  <c r="K13" i="8"/>
  <c r="G22" i="8"/>
  <c r="C19" i="8"/>
  <c r="K3" i="8" s="1"/>
  <c r="K3" i="9" l="1"/>
  <c r="K3" i="7"/>
  <c r="G43" i="7"/>
  <c r="K32" i="7"/>
  <c r="K33" i="7" s="1"/>
  <c r="K28" i="7"/>
  <c r="C6" i="7"/>
  <c r="C44" i="7" s="1"/>
  <c r="K4" i="6"/>
  <c r="K3" i="6"/>
  <c r="K33" i="6"/>
  <c r="K34" i="6" s="1"/>
  <c r="G44" i="6"/>
  <c r="K29" i="6"/>
  <c r="C7" i="6"/>
  <c r="C45" i="6" s="1"/>
  <c r="C18" i="3" l="1"/>
  <c r="C22" i="3" s="1"/>
  <c r="K17" i="3"/>
  <c r="K20" i="3" s="1"/>
  <c r="G16" i="3"/>
  <c r="G19" i="3" s="1"/>
  <c r="C22" i="2"/>
  <c r="K20" i="2"/>
  <c r="K3" i="2" s="1"/>
  <c r="G19" i="2"/>
  <c r="C18" i="2"/>
  <c r="K17" i="2"/>
  <c r="G16" i="2"/>
  <c r="K17" i="1"/>
  <c r="K20" i="1"/>
  <c r="G16" i="1"/>
  <c r="G19" i="1" s="1"/>
  <c r="C18" i="1"/>
  <c r="C22" i="1" s="1"/>
  <c r="K3" i="3" l="1"/>
  <c r="K3" i="1"/>
</calcChain>
</file>

<file path=xl/sharedStrings.xml><?xml version="1.0" encoding="utf-8"?>
<sst xmlns="http://schemas.openxmlformats.org/spreadsheetml/2006/main" count="802" uniqueCount="205">
  <si>
    <t>Спецификация выполненных работ</t>
  </si>
  <si>
    <t>№ п.п.</t>
  </si>
  <si>
    <t>Наименование</t>
  </si>
  <si>
    <t>Описание</t>
  </si>
  <si>
    <t>Ед. изм.</t>
  </si>
  <si>
    <t>Объем</t>
  </si>
  <si>
    <t>м2</t>
  </si>
  <si>
    <t>Пом.:</t>
  </si>
  <si>
    <t>Объем, м²</t>
  </si>
  <si>
    <t>сумма:</t>
  </si>
  <si>
    <t>1, 2, 3 этажи. Шпаклевка базовая до 5 мм. Тип: CF2</t>
  </si>
  <si>
    <t>Подготовка поверхности СКБ / стен / ГКЛ, ПГП / 2мм</t>
  </si>
  <si>
    <t>1.01.</t>
  </si>
  <si>
    <t>1.04</t>
  </si>
  <si>
    <t>1.38</t>
  </si>
  <si>
    <t>1.59</t>
  </si>
  <si>
    <t>1.60</t>
  </si>
  <si>
    <t>1.64</t>
  </si>
  <si>
    <t>1.67</t>
  </si>
  <si>
    <t>1.68</t>
  </si>
  <si>
    <t>1.69</t>
  </si>
  <si>
    <t>1.70</t>
  </si>
  <si>
    <t>1.73</t>
  </si>
  <si>
    <t>1.74</t>
  </si>
  <si>
    <t>1.08</t>
  </si>
  <si>
    <t>1.09</t>
  </si>
  <si>
    <t>1.10</t>
  </si>
  <si>
    <t>1.11</t>
  </si>
  <si>
    <t>2.45</t>
  </si>
  <si>
    <t>2.37</t>
  </si>
  <si>
    <t>2.40</t>
  </si>
  <si>
    <t>2.41</t>
  </si>
  <si>
    <t>2.42</t>
  </si>
  <si>
    <t>2.44</t>
  </si>
  <si>
    <t>2.07</t>
  </si>
  <si>
    <t>2.01</t>
  </si>
  <si>
    <t>2.02</t>
  </si>
  <si>
    <t>2.03</t>
  </si>
  <si>
    <t>2.04</t>
  </si>
  <si>
    <t>2.05</t>
  </si>
  <si>
    <t>2.06</t>
  </si>
  <si>
    <t>3.25</t>
  </si>
  <si>
    <t>3.23</t>
  </si>
  <si>
    <t>3.26</t>
  </si>
  <si>
    <t>3.28</t>
  </si>
  <si>
    <t>3.29</t>
  </si>
  <si>
    <t>3.30</t>
  </si>
  <si>
    <t>3.01</t>
  </si>
  <si>
    <t>3.02</t>
  </si>
  <si>
    <t>3.03</t>
  </si>
  <si>
    <t>3.04</t>
  </si>
  <si>
    <t>3.05</t>
  </si>
  <si>
    <t>3.06</t>
  </si>
  <si>
    <t>3.07</t>
  </si>
  <si>
    <t>3.08</t>
  </si>
  <si>
    <t>Лакокрасочные работы СКБ / окраска потолков / в 2 слоя</t>
  </si>
  <si>
    <t>1, 2, 3 этажи. Тип: CF2 Покраска</t>
  </si>
  <si>
    <t>Монтаж подвесного потолка СКБ / из ГКЛ в 1 слой с применением профиля ПП</t>
  </si>
  <si>
    <t>1, 2, 3 этажи. Тип: CF2. Подвесной потолок из КНАУФ-листов тип П112 Knauff.</t>
  </si>
  <si>
    <t>Подготовка поверхности СКБ / потолка / ЖБ / 5 мм</t>
  </si>
  <si>
    <t>3.45</t>
  </si>
  <si>
    <t>3.44</t>
  </si>
  <si>
    <t>3.14</t>
  </si>
  <si>
    <t>3.15</t>
  </si>
  <si>
    <t>3.18</t>
  </si>
  <si>
    <t>3.16</t>
  </si>
  <si>
    <t>3.19</t>
  </si>
  <si>
    <t>3.09</t>
  </si>
  <si>
    <t>3.10</t>
  </si>
  <si>
    <t>3.11</t>
  </si>
  <si>
    <t>3.12</t>
  </si>
  <si>
    <t>3.13</t>
  </si>
  <si>
    <t>3.22</t>
  </si>
  <si>
    <t>3.36</t>
  </si>
  <si>
    <t>3.37</t>
  </si>
  <si>
    <t>3.39</t>
  </si>
  <si>
    <t>3.40</t>
  </si>
  <si>
    <t>3.41</t>
  </si>
  <si>
    <t>3.42</t>
  </si>
  <si>
    <t>3.27</t>
  </si>
  <si>
    <t>3.32</t>
  </si>
  <si>
    <t>3.34</t>
  </si>
  <si>
    <t>2.58</t>
  </si>
  <si>
    <t>2.27</t>
  </si>
  <si>
    <t>2.22</t>
  </si>
  <si>
    <t>2.23</t>
  </si>
  <si>
    <t>2.28</t>
  </si>
  <si>
    <t>2.29</t>
  </si>
  <si>
    <t>2.33</t>
  </si>
  <si>
    <t>2.30</t>
  </si>
  <si>
    <t>2.19</t>
  </si>
  <si>
    <t>2.24</t>
  </si>
  <si>
    <t>2.25</t>
  </si>
  <si>
    <t>2.26</t>
  </si>
  <si>
    <t>2.16</t>
  </si>
  <si>
    <t>2.17</t>
  </si>
  <si>
    <t>2.18</t>
  </si>
  <si>
    <t>2.12</t>
  </si>
  <si>
    <t>2.13</t>
  </si>
  <si>
    <t>2.14</t>
  </si>
  <si>
    <t>2.15</t>
  </si>
  <si>
    <t>2.08</t>
  </si>
  <si>
    <t>2.09</t>
  </si>
  <si>
    <t>2.10</t>
  </si>
  <si>
    <t>2.11</t>
  </si>
  <si>
    <t>2.36</t>
  </si>
  <si>
    <t>2.52</t>
  </si>
  <si>
    <t>2.53</t>
  </si>
  <si>
    <t>2.51</t>
  </si>
  <si>
    <t>2.55</t>
  </si>
  <si>
    <t>2.50</t>
  </si>
  <si>
    <t>2.38</t>
  </si>
  <si>
    <t>2.39</t>
  </si>
  <si>
    <t>2.56</t>
  </si>
  <si>
    <t>2.49</t>
  </si>
  <si>
    <t>2.43</t>
  </si>
  <si>
    <t>2.46</t>
  </si>
  <si>
    <t>2.47</t>
  </si>
  <si>
    <t>2.48</t>
  </si>
  <si>
    <t>1.02</t>
  </si>
  <si>
    <t>1.03</t>
  </si>
  <si>
    <t>1.06</t>
  </si>
  <si>
    <t>1.07</t>
  </si>
  <si>
    <t>1.24</t>
  </si>
  <si>
    <t>1.26</t>
  </si>
  <si>
    <t>1.25</t>
  </si>
  <si>
    <t>1.27</t>
  </si>
  <si>
    <t>1.28</t>
  </si>
  <si>
    <t>1.29</t>
  </si>
  <si>
    <t>1.30</t>
  </si>
  <si>
    <t>1.31</t>
  </si>
  <si>
    <t>1.36</t>
  </si>
  <si>
    <t>1.37</t>
  </si>
  <si>
    <t>1.13</t>
  </si>
  <si>
    <t>1.14</t>
  </si>
  <si>
    <t>1.15</t>
  </si>
  <si>
    <t>1.22</t>
  </si>
  <si>
    <t>1.23</t>
  </si>
  <si>
    <t>1.21</t>
  </si>
  <si>
    <t>1.20</t>
  </si>
  <si>
    <t>1.77</t>
  </si>
  <si>
    <t>1.63</t>
  </si>
  <si>
    <t>1.75</t>
  </si>
  <si>
    <t>1.76</t>
  </si>
  <si>
    <t>1.81</t>
  </si>
  <si>
    <t>1.62</t>
  </si>
  <si>
    <t>1.66</t>
  </si>
  <si>
    <t>1.78</t>
  </si>
  <si>
    <t>1.72</t>
  </si>
  <si>
    <t>1.61</t>
  </si>
  <si>
    <t>1.54</t>
  </si>
  <si>
    <t>1.52</t>
  </si>
  <si>
    <t>1.49</t>
  </si>
  <si>
    <t>98</t>
  </si>
  <si>
    <t>1.04 (CF13)</t>
  </si>
  <si>
    <t>1.04(CF1)</t>
  </si>
  <si>
    <t>ТИП: CF13</t>
  </si>
  <si>
    <t>1, 2, 3 этажи. Тип: CF1. Покраска жб плиты перекрытия</t>
  </si>
  <si>
    <t>1, 2, 3 этажи. Тип: CF13. Покраска жб плиты перекрытия</t>
  </si>
  <si>
    <t>1, 2, 3 этажи. Шпаклевка базовая до 5 мм. Тип: CF1; CF13</t>
  </si>
  <si>
    <t>Монтаж подвесного потолка СКБ / типа Армстронг, Грильято</t>
  </si>
  <si>
    <t>1, 2, 3 этажи. Тип: CF3. Потолки Грильято ячейки 100х100 АЛБЕС Белый</t>
  </si>
  <si>
    <t>1, 2, 3 этажи. Тип: CF4. Потолочная плита Рокфон Школа A15 1200х600х20</t>
  </si>
  <si>
    <t>1.12</t>
  </si>
  <si>
    <t>3.35</t>
  </si>
  <si>
    <t>3.33</t>
  </si>
  <si>
    <t>2</t>
  </si>
  <si>
    <t>4</t>
  </si>
  <si>
    <t>Лакокрасочные работы СКБ / окраска потолков</t>
  </si>
  <si>
    <t>1, 2, 3 этажи. Тип: CF1. Покраска Потолка</t>
  </si>
  <si>
    <t>АРОР "ЧИСТОВЫЕ отделочные работы" от 19.02.2026. CF7 и CF17. Подвесной кассетный потолок Albes с кромками Tegular. Кассета AP600A6/90-T-15, несущий профиль T 15-38 PRIM (L 3700мм), поперечный профиль T 15-29 PRIM (L 600мм), уголок PLL, подвес АП. Цвет: белый.</t>
  </si>
  <si>
    <t>CF7</t>
  </si>
  <si>
    <t>CF17</t>
  </si>
  <si>
    <t>1, 2, 3 этажи. Тип: CF4. Потолочная плита Baffle Acoustic (арт. BA 1200x600). Подвесная система -Alaid T24. Кромка не окрашена. Размер панели 1200х600х20, цвет белый</t>
  </si>
  <si>
    <t>CF4</t>
  </si>
  <si>
    <t>есть в РД</t>
  </si>
  <si>
    <t>1, 2, 3 этажи. Тип: CF3. Потолки грильято, кассетный GL-15 , металлическая решетка 600х600 с ячейками 100х100, AL 0,3-0,4 мм, h профиля (база) 37 мм; подвесная система Т-15/29 PRIM АЛБЕС Белый</t>
  </si>
  <si>
    <t>CF3</t>
  </si>
  <si>
    <t>новый</t>
  </si>
  <si>
    <t>старый</t>
  </si>
  <si>
    <t>CF6</t>
  </si>
  <si>
    <t>Простая штукатурка потолка сухими смесями с предварительной огрунтовкой поверхности / толщ. до 6,5 мм</t>
  </si>
  <si>
    <t>Подготовка поверхности СКБ / потолка / по штукатурке / 2мм</t>
  </si>
  <si>
    <t>Монтаж подвесного потолка / типа Армстронг, Грильято</t>
  </si>
  <si>
    <t>ЛК. Выравнивание цементными штукатурными смесями т.5 мм потолков по ж/б плите, низа площадок и лестничных маршей. Подвал</t>
  </si>
  <si>
    <t>1-й, 2-й, 3-й этажи. Выравнивание гипсовыми штукатурными смесями 5 мм в составе потолков  CF1, CF13 и стен запотолочного пространства CF1.3.</t>
  </si>
  <si>
    <t>ЛК. Выравнивание гипсовыми штукатурными смесями низа площадок и лестничных маршей, и потолка  CF15.1. 1-3 этажи</t>
  </si>
  <si>
    <t>Шпаклевка зашивных потолков под окраску гипсовая базовая CF2, CF14, CF19, CF25</t>
  </si>
  <si>
    <t>Подвал: шпаклевка цементными смесями потолков по ж/б плите, низа площадок и лестничных маршей. Базовый слой 2 мм.</t>
  </si>
  <si>
    <t>Потолки 1-й, 2-й и 3-й этаж: шпаклевка гипсовая базовая в составе потолков CF1, CF13 и стен запотолочного пространства CF1.3.</t>
  </si>
  <si>
    <t>Шпаклевка гипсовая базовая низа площадок и лестничных маршей, и потолка  CF15.1. 1-3 этаж</t>
  </si>
  <si>
    <t xml:space="preserve">1, 2, 3 этажи. Тип: CF15.1. Покраска жб плиты перекрытия и нижняя поверхность лестничных маршей и площадок. </t>
  </si>
  <si>
    <t xml:space="preserve">CF13. Покраска жб плиты перекрытия, включая инженерное оборудование, расположенное в зоне открытого потолка. </t>
  </si>
  <si>
    <t xml:space="preserve">CF1.1. Покраска балок. </t>
  </si>
  <si>
    <t xml:space="preserve">CF1.3. Покраска запотолочного пространства (стены). </t>
  </si>
  <si>
    <t xml:space="preserve">CF1.2. Покраска балок (стены). </t>
  </si>
  <si>
    <t xml:space="preserve">CF13.1. Покраска балок. </t>
  </si>
  <si>
    <t xml:space="preserve">CF13.2. Покраска балок (стены). </t>
  </si>
  <si>
    <t xml:space="preserve">CF15. Торцы лестничных маршей в ЛК: </t>
  </si>
  <si>
    <t xml:space="preserve">Подвал. Покраска потолка </t>
  </si>
  <si>
    <t>1, 2, 3 этажи. Тип: CF4. Потолочная плита. Подвесная система</t>
  </si>
  <si>
    <t>1, 2, 3 этажи. Тип: CF3. Потолки грильято. подвесная система.</t>
  </si>
  <si>
    <t xml:space="preserve">1, 2, 3 этажи. Тип: CF6. Кубообразный Потолки </t>
  </si>
  <si>
    <t>CF7 и CF17. Подвесной кассетный потолок с кромками Tegular.</t>
  </si>
  <si>
    <t>1, 2, 3 этажи. Тип: CF17 Подвесной металлический кассетный потолок.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</si>
</sst>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00"/>
  </numFmts>
  <fonts count="12" x14ac:knownFonts="1">
    <font>
      <sz val="11"/>
      <color theme="1"/>
      <name val="Calibri"/>
      <family val="2"/>
      <charset val="204"/>
      <scheme val="minor"/>
    </font>
    <font>
      <sz val="14"/>
      <color theme="1"/>
      <name val="ГОСТ тип А"/>
      <family val="2"/>
      <charset val="204"/>
    </font>
    <font>
      <sz val="12"/>
      <name val="XO Thames"/>
      <family val="1"/>
      <charset val="204"/>
    </font>
    <font>
      <sz val="14"/>
      <color rgb="FF000000"/>
      <name val="ГОСТ тип А"/>
      <family val="2"/>
      <charset val="204"/>
    </font>
    <font>
      <b/>
      <sz val="14"/>
      <color theme="1"/>
      <name val="ГОСТ тип А"/>
      <family val="2"/>
      <charset val="204"/>
    </font>
    <font>
      <b/>
      <sz val="14"/>
      <name val="ГОСТ тип А"/>
      <family val="2"/>
      <charset val="204"/>
    </font>
    <font>
      <sz val="14"/>
      <name val="ГОСТ тип А"/>
      <family val="2"/>
      <charset val="204"/>
    </font>
    <font>
      <b/>
      <sz val="16"/>
      <color rgb="FF000000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0"/>
      <color rgb="FFFF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9FF99"/>
        <bgColor indexed="64"/>
      </patternFill>
    </fill>
    <fill>
      <patternFill patternType="solid">
        <fgColor rgb="FF99FF99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66FF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NumberFormat="1" applyFont="1"/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top"/>
    </xf>
    <xf numFmtId="0" fontId="3" fillId="0" borderId="1" xfId="0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164" fontId="4" fillId="0" borderId="9" xfId="0" applyNumberFormat="1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" fontId="6" fillId="2" borderId="1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4" fontId="6" fillId="0" borderId="1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 wrapText="1"/>
    </xf>
    <xf numFmtId="164" fontId="1" fillId="0" borderId="1" xfId="0" applyNumberFormat="1" applyFont="1" applyFill="1" applyBorder="1" applyAlignment="1">
      <alignment horizontal="center" vertical="center"/>
    </xf>
    <xf numFmtId="4" fontId="6" fillId="2" borderId="2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" fontId="6" fillId="2" borderId="1" xfId="0" applyNumberFormat="1" applyFont="1" applyFill="1" applyBorder="1" applyAlignment="1">
      <alignment horizontal="center" vertical="center"/>
    </xf>
    <xf numFmtId="49" fontId="1" fillId="2" borderId="10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left" vertical="center" wrapText="1"/>
    </xf>
    <xf numFmtId="0" fontId="7" fillId="3" borderId="14" xfId="0" applyFont="1" applyFill="1" applyBorder="1" applyAlignment="1">
      <alignment horizontal="center" vertical="center" wrapText="1"/>
    </xf>
    <xf numFmtId="165" fontId="8" fillId="3" borderId="16" xfId="0" applyNumberFormat="1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left" vertical="center" wrapText="1"/>
    </xf>
    <xf numFmtId="0" fontId="9" fillId="3" borderId="14" xfId="0" applyFont="1" applyFill="1" applyBorder="1" applyAlignment="1">
      <alignment horizontal="center" vertical="center" wrapText="1"/>
    </xf>
    <xf numFmtId="165" fontId="10" fillId="3" borderId="14" xfId="0" applyNumberFormat="1" applyFont="1" applyFill="1" applyBorder="1" applyAlignment="1">
      <alignment horizontal="center" vertical="center" wrapText="1"/>
    </xf>
    <xf numFmtId="165" fontId="10" fillId="3" borderId="15" xfId="0" applyNumberFormat="1" applyFont="1" applyFill="1" applyBorder="1" applyAlignment="1">
      <alignment horizontal="center" vertical="center" wrapText="1"/>
    </xf>
    <xf numFmtId="165" fontId="11" fillId="3" borderId="16" xfId="0" applyNumberFormat="1" applyFont="1" applyFill="1" applyBorder="1" applyAlignment="1">
      <alignment horizontal="center" vertical="center" wrapText="1"/>
    </xf>
    <xf numFmtId="4" fontId="9" fillId="3" borderId="16" xfId="0" applyNumberFormat="1" applyFont="1" applyFill="1" applyBorder="1" applyAlignment="1">
      <alignment horizontal="center" vertical="center" wrapText="1"/>
    </xf>
    <xf numFmtId="4" fontId="9" fillId="4" borderId="16" xfId="0" applyNumberFormat="1" applyFont="1" applyFill="1" applyBorder="1" applyAlignment="1">
      <alignment horizontal="center" vertical="center" wrapText="1"/>
    </xf>
    <xf numFmtId="4" fontId="9" fillId="5" borderId="16" xfId="0" applyNumberFormat="1" applyFont="1" applyFill="1" applyBorder="1" applyAlignment="1">
      <alignment horizontal="center" vertical="center" wrapText="1"/>
    </xf>
    <xf numFmtId="4" fontId="9" fillId="6" borderId="16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center"/>
    </xf>
    <xf numFmtId="0" fontId="2" fillId="0" borderId="0" xfId="0" applyNumberFormat="1" applyFont="1" applyAlignment="1">
      <alignment horizontal="center"/>
    </xf>
    <xf numFmtId="0" fontId="3" fillId="0" borderId="0" xfId="0" applyFont="1" applyFill="1" applyBorder="1" applyAlignment="1">
      <alignment horizontal="center" vertical="top"/>
    </xf>
    <xf numFmtId="0" fontId="1" fillId="0" borderId="6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0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0" borderId="13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"/>
  <sheetViews>
    <sheetView tabSelected="1" zoomScale="55" zoomScaleNormal="55" workbookViewId="0">
      <selection activeCell="F19" sqref="F19"/>
    </sheetView>
  </sheetViews>
  <sheetFormatPr defaultRowHeight="14.4" x14ac:dyDescent="0.3"/>
  <cols>
    <col min="1" max="1" width="7.5546875" bestFit="1" customWidth="1"/>
    <col min="2" max="2" width="46.5546875" customWidth="1"/>
    <col min="3" max="3" width="42.5546875" customWidth="1"/>
    <col min="4" max="4" width="9.109375" bestFit="1" customWidth="1"/>
    <col min="5" max="5" width="10.21875" bestFit="1" customWidth="1"/>
  </cols>
  <sheetData>
    <row r="1" spans="1:5" ht="18" x14ac:dyDescent="0.3">
      <c r="A1" s="48" t="s">
        <v>0</v>
      </c>
      <c r="B1" s="48"/>
      <c r="C1" s="48"/>
      <c r="D1" s="48"/>
      <c r="E1" s="48"/>
    </row>
    <row r="2" spans="1:5" ht="18" x14ac:dyDescent="0.3">
      <c r="A2" s="47" t="s">
        <v>1</v>
      </c>
      <c r="B2" s="47" t="s">
        <v>2</v>
      </c>
      <c r="C2" s="47" t="s">
        <v>3</v>
      </c>
      <c r="D2" s="4" t="s">
        <v>4</v>
      </c>
      <c r="E2" s="4" t="s">
        <v>5</v>
      </c>
    </row>
    <row r="3" spans="1:5" ht="36" x14ac:dyDescent="0.3">
      <c r="A3" s="46">
        <v>1</v>
      </c>
      <c r="B3" s="46" t="s">
        <v>160</v>
      </c>
      <c r="C3" s="46" t="s">
        <v>203</v>
      </c>
      <c r="D3" s="4" t="s">
        <v>6</v>
      </c>
      <c r="E3" s="5">
        <v>455.1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9"/>
  <sheetViews>
    <sheetView zoomScale="55" zoomScaleNormal="55" workbookViewId="0">
      <selection activeCell="E3" activeCellId="1" sqref="E7:E10 E3"/>
    </sheetView>
  </sheetViews>
  <sheetFormatPr defaultRowHeight="14.4" x14ac:dyDescent="0.3"/>
  <cols>
    <col min="1" max="1" width="7.5546875" bestFit="1" customWidth="1"/>
    <col min="2" max="2" width="46.5546875" customWidth="1"/>
    <col min="3" max="3" width="45.21875" customWidth="1"/>
    <col min="4" max="4" width="9.109375" bestFit="1" customWidth="1"/>
    <col min="5" max="5" width="10.21875" bestFit="1" customWidth="1"/>
  </cols>
  <sheetData>
    <row r="1" spans="1:5" ht="18" x14ac:dyDescent="0.3">
      <c r="A1" s="48" t="s">
        <v>0</v>
      </c>
      <c r="B1" s="48"/>
      <c r="C1" s="48"/>
      <c r="D1" s="48"/>
      <c r="E1" s="48"/>
    </row>
    <row r="2" spans="1:5" ht="18" x14ac:dyDescent="0.3">
      <c r="A2" s="47" t="s">
        <v>1</v>
      </c>
      <c r="B2" s="47" t="s">
        <v>2</v>
      </c>
      <c r="C2" s="47" t="s">
        <v>3</v>
      </c>
      <c r="D2" s="4" t="s">
        <v>4</v>
      </c>
      <c r="E2" s="4" t="s">
        <v>5</v>
      </c>
    </row>
    <row r="3" spans="1:5" ht="36" x14ac:dyDescent="0.3">
      <c r="A3" s="46">
        <v>1</v>
      </c>
      <c r="B3" s="46" t="s">
        <v>160</v>
      </c>
      <c r="C3" s="46" t="s">
        <v>204</v>
      </c>
      <c r="D3" s="4" t="s">
        <v>6</v>
      </c>
      <c r="E3" s="5">
        <v>21.5</v>
      </c>
    </row>
    <row r="4" spans="1:5" ht="36" x14ac:dyDescent="0.3">
      <c r="A4" s="46">
        <v>2</v>
      </c>
      <c r="B4" s="46" t="s">
        <v>160</v>
      </c>
      <c r="C4" s="46" t="s">
        <v>203</v>
      </c>
      <c r="D4" s="4" t="s">
        <v>6</v>
      </c>
      <c r="E4" s="5">
        <v>455.1</v>
      </c>
    </row>
    <row r="7" spans="1:5" x14ac:dyDescent="0.3">
      <c r="E7">
        <v>411</v>
      </c>
    </row>
    <row r="8" spans="1:5" x14ac:dyDescent="0.3">
      <c r="E8">
        <v>11.4</v>
      </c>
    </row>
    <row r="9" spans="1:5" x14ac:dyDescent="0.3">
      <c r="E9">
        <v>11.4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5"/>
  <sheetViews>
    <sheetView zoomScale="55" zoomScaleNormal="55" workbookViewId="0">
      <selection activeCell="C4" sqref="C4"/>
    </sheetView>
  </sheetViews>
  <sheetFormatPr defaultRowHeight="14.4" x14ac:dyDescent="0.3"/>
  <cols>
    <col min="1" max="1" width="7.5546875" bestFit="1" customWidth="1"/>
    <col min="2" max="2" width="46.5546875" customWidth="1"/>
    <col min="3" max="3" width="45.21875" customWidth="1"/>
    <col min="4" max="4" width="9.109375" bestFit="1" customWidth="1"/>
    <col min="5" max="5" width="10.21875" bestFit="1" customWidth="1"/>
  </cols>
  <sheetData>
    <row r="1" spans="1:5" ht="18" x14ac:dyDescent="0.3">
      <c r="A1" s="48" t="s">
        <v>0</v>
      </c>
      <c r="B1" s="48"/>
      <c r="C1" s="48"/>
      <c r="D1" s="48"/>
      <c r="E1" s="48"/>
    </row>
    <row r="2" spans="1:5" ht="18" x14ac:dyDescent="0.3">
      <c r="A2" s="32" t="s">
        <v>1</v>
      </c>
      <c r="B2" s="32" t="s">
        <v>2</v>
      </c>
      <c r="C2" s="32" t="s">
        <v>3</v>
      </c>
      <c r="D2" s="4" t="s">
        <v>4</v>
      </c>
      <c r="E2" s="4" t="s">
        <v>5</v>
      </c>
    </row>
    <row r="3" spans="1:5" ht="36" x14ac:dyDescent="0.3">
      <c r="A3" s="46">
        <v>1</v>
      </c>
      <c r="B3" s="46" t="s">
        <v>183</v>
      </c>
      <c r="C3" s="46" t="s">
        <v>202</v>
      </c>
      <c r="D3" s="4" t="s">
        <v>6</v>
      </c>
      <c r="E3" s="5">
        <v>104.1</v>
      </c>
    </row>
    <row r="4" spans="1:5" ht="36" x14ac:dyDescent="0.3">
      <c r="A4" s="46">
        <v>2</v>
      </c>
      <c r="B4" s="46" t="s">
        <v>160</v>
      </c>
      <c r="C4" s="46" t="s">
        <v>201</v>
      </c>
      <c r="D4" s="4" t="s">
        <v>6</v>
      </c>
      <c r="E4" s="5">
        <v>10.7</v>
      </c>
    </row>
    <row r="5" spans="1:5" ht="36" x14ac:dyDescent="0.3">
      <c r="A5" s="46">
        <v>3</v>
      </c>
      <c r="B5" s="46" t="s">
        <v>160</v>
      </c>
      <c r="C5" s="46" t="s">
        <v>200</v>
      </c>
      <c r="D5" s="4" t="s">
        <v>6</v>
      </c>
      <c r="E5" s="5">
        <v>13.58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19"/>
  <sheetViews>
    <sheetView zoomScale="70" zoomScaleNormal="70" workbookViewId="0">
      <selection activeCell="C17" sqref="C17:C20"/>
    </sheetView>
  </sheetViews>
  <sheetFormatPr defaultRowHeight="14.4" x14ac:dyDescent="0.3"/>
  <cols>
    <col min="1" max="1" width="7.5546875" bestFit="1" customWidth="1"/>
    <col min="2" max="2" width="40.88671875" customWidth="1"/>
    <col min="3" max="3" width="55" customWidth="1"/>
    <col min="4" max="4" width="9.109375" bestFit="1" customWidth="1"/>
    <col min="5" max="5" width="10.21875" bestFit="1" customWidth="1"/>
  </cols>
  <sheetData>
    <row r="1" spans="1:7" ht="18" x14ac:dyDescent="0.3">
      <c r="A1" s="48" t="s">
        <v>0</v>
      </c>
      <c r="B1" s="48"/>
      <c r="C1" s="48"/>
      <c r="D1" s="48"/>
      <c r="E1" s="48"/>
    </row>
    <row r="2" spans="1:7" ht="18" x14ac:dyDescent="0.3">
      <c r="A2" s="32" t="s">
        <v>1</v>
      </c>
      <c r="B2" s="32" t="s">
        <v>2</v>
      </c>
      <c r="C2" s="32" t="s">
        <v>3</v>
      </c>
      <c r="D2" s="4" t="s">
        <v>4</v>
      </c>
      <c r="E2" s="4" t="s">
        <v>5</v>
      </c>
    </row>
    <row r="3" spans="1:7" ht="54" x14ac:dyDescent="0.3">
      <c r="A3" s="45">
        <v>1</v>
      </c>
      <c r="B3" s="46" t="s">
        <v>55</v>
      </c>
      <c r="C3" s="46" t="s">
        <v>191</v>
      </c>
      <c r="D3" s="4" t="s">
        <v>6</v>
      </c>
      <c r="E3" s="5">
        <v>325.39999999999998</v>
      </c>
      <c r="G3">
        <v>1005</v>
      </c>
    </row>
    <row r="4" spans="1:7" ht="54" x14ac:dyDescent="0.3">
      <c r="A4" s="45">
        <v>2</v>
      </c>
      <c r="B4" s="46" t="s">
        <v>55</v>
      </c>
      <c r="C4" s="46" t="s">
        <v>192</v>
      </c>
      <c r="D4" s="4" t="s">
        <v>6</v>
      </c>
      <c r="E4" s="5">
        <v>291.22000000000003</v>
      </c>
      <c r="G4">
        <v>1008</v>
      </c>
    </row>
    <row r="5" spans="1:7" ht="36" x14ac:dyDescent="0.3">
      <c r="A5" s="45">
        <v>3</v>
      </c>
      <c r="B5" s="46" t="s">
        <v>55</v>
      </c>
      <c r="C5" s="46" t="s">
        <v>193</v>
      </c>
      <c r="D5" s="4" t="s">
        <v>6</v>
      </c>
      <c r="E5" s="5">
        <v>34.049999999999997</v>
      </c>
      <c r="G5">
        <v>1011</v>
      </c>
    </row>
    <row r="6" spans="1:7" ht="36" x14ac:dyDescent="0.3">
      <c r="A6" s="45">
        <v>4</v>
      </c>
      <c r="B6" s="46" t="s">
        <v>55</v>
      </c>
      <c r="C6" s="46" t="s">
        <v>194</v>
      </c>
      <c r="D6" s="4" t="s">
        <v>6</v>
      </c>
      <c r="E6" s="5">
        <v>197.66300000000001</v>
      </c>
      <c r="G6">
        <v>1014</v>
      </c>
    </row>
    <row r="7" spans="1:7" ht="36" x14ac:dyDescent="0.3">
      <c r="A7" s="45">
        <v>5</v>
      </c>
      <c r="B7" s="46" t="s">
        <v>55</v>
      </c>
      <c r="C7" s="46" t="s">
        <v>195</v>
      </c>
      <c r="D7" s="4" t="s">
        <v>6</v>
      </c>
      <c r="E7" s="5">
        <v>39.417000000000002</v>
      </c>
      <c r="G7">
        <v>1017</v>
      </c>
    </row>
    <row r="8" spans="1:7" ht="36" x14ac:dyDescent="0.3">
      <c r="A8" s="45">
        <v>6</v>
      </c>
      <c r="B8" s="46" t="s">
        <v>55</v>
      </c>
      <c r="C8" s="46" t="s">
        <v>196</v>
      </c>
      <c r="D8" s="4" t="s">
        <v>6</v>
      </c>
      <c r="E8" s="5">
        <v>37.700000000000003</v>
      </c>
      <c r="G8">
        <v>1020</v>
      </c>
    </row>
    <row r="9" spans="1:7" ht="36" x14ac:dyDescent="0.3">
      <c r="A9" s="45">
        <v>7</v>
      </c>
      <c r="B9" s="46" t="s">
        <v>55</v>
      </c>
      <c r="C9" s="46" t="s">
        <v>197</v>
      </c>
      <c r="D9" s="4" t="s">
        <v>6</v>
      </c>
      <c r="E9" s="5">
        <v>80.900000000000006</v>
      </c>
      <c r="G9">
        <v>1023</v>
      </c>
    </row>
    <row r="10" spans="1:7" ht="36" x14ac:dyDescent="0.3">
      <c r="A10" s="45">
        <v>8</v>
      </c>
      <c r="B10" s="46" t="s">
        <v>55</v>
      </c>
      <c r="C10" s="46" t="s">
        <v>198</v>
      </c>
      <c r="D10" s="4" t="s">
        <v>6</v>
      </c>
      <c r="E10" s="5">
        <v>13.5</v>
      </c>
      <c r="G10">
        <v>1026</v>
      </c>
    </row>
    <row r="11" spans="1:7" ht="36" x14ac:dyDescent="0.3">
      <c r="A11" s="45">
        <v>9</v>
      </c>
      <c r="B11" s="46" t="s">
        <v>55</v>
      </c>
      <c r="C11" s="46" t="s">
        <v>199</v>
      </c>
      <c r="D11" s="4" t="s">
        <v>6</v>
      </c>
      <c r="E11" s="5">
        <v>40.700000000000003</v>
      </c>
      <c r="G11">
        <v>1029</v>
      </c>
    </row>
    <row r="15" spans="1:7" x14ac:dyDescent="0.3">
      <c r="E15">
        <v>119</v>
      </c>
    </row>
    <row r="17" spans="3:3" x14ac:dyDescent="0.3">
      <c r="C17">
        <v>169.7</v>
      </c>
    </row>
    <row r="18" spans="3:3" x14ac:dyDescent="0.3">
      <c r="C18">
        <v>37.700000000000003</v>
      </c>
    </row>
    <row r="19" spans="3:3" x14ac:dyDescent="0.3">
      <c r="C19">
        <v>80.900000000000006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"/>
  <sheetViews>
    <sheetView zoomScale="55" zoomScaleNormal="55" workbookViewId="0">
      <selection activeCell="B3" sqref="B3"/>
    </sheetView>
  </sheetViews>
  <sheetFormatPr defaultRowHeight="14.4" x14ac:dyDescent="0.3"/>
  <cols>
    <col min="1" max="1" width="7.5546875" bestFit="1" customWidth="1"/>
    <col min="2" max="2" width="46.5546875" customWidth="1"/>
    <col min="3" max="3" width="45.21875" customWidth="1"/>
    <col min="4" max="4" width="9.109375" bestFit="1" customWidth="1"/>
    <col min="5" max="5" width="10.21875" bestFit="1" customWidth="1"/>
  </cols>
  <sheetData>
    <row r="1" spans="1:5" ht="18" x14ac:dyDescent="0.3">
      <c r="A1" s="48" t="s">
        <v>0</v>
      </c>
      <c r="B1" s="48"/>
      <c r="C1" s="48"/>
      <c r="D1" s="48"/>
      <c r="E1" s="48"/>
    </row>
    <row r="2" spans="1:5" ht="18" x14ac:dyDescent="0.3">
      <c r="A2" s="45" t="s">
        <v>1</v>
      </c>
      <c r="B2" s="45" t="s">
        <v>2</v>
      </c>
      <c r="C2" s="45" t="s">
        <v>3</v>
      </c>
      <c r="D2" s="4" t="s">
        <v>4</v>
      </c>
      <c r="E2" s="4" t="s">
        <v>5</v>
      </c>
    </row>
    <row r="3" spans="1:5" ht="54" x14ac:dyDescent="0.3">
      <c r="A3" s="46">
        <v>1</v>
      </c>
      <c r="B3" s="46" t="s">
        <v>182</v>
      </c>
      <c r="C3" s="46" t="s">
        <v>188</v>
      </c>
      <c r="D3" s="4" t="s">
        <v>6</v>
      </c>
      <c r="E3" s="5">
        <v>66.17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5"/>
  <sheetViews>
    <sheetView zoomScale="60" zoomScaleNormal="60" workbookViewId="0">
      <selection activeCell="C29" sqref="C29"/>
    </sheetView>
  </sheetViews>
  <sheetFormatPr defaultRowHeight="14.4" x14ac:dyDescent="0.3"/>
  <cols>
    <col min="1" max="1" width="7.5546875" bestFit="1" customWidth="1"/>
    <col min="2" max="2" width="46.5546875" customWidth="1"/>
    <col min="3" max="3" width="40" customWidth="1"/>
    <col min="4" max="4" width="9.109375" bestFit="1" customWidth="1"/>
    <col min="5" max="5" width="10.21875" bestFit="1" customWidth="1"/>
  </cols>
  <sheetData>
    <row r="1" spans="1:5" ht="18" x14ac:dyDescent="0.3">
      <c r="A1" s="48" t="s">
        <v>0</v>
      </c>
      <c r="B1" s="48"/>
      <c r="C1" s="48"/>
      <c r="D1" s="48"/>
      <c r="E1" s="48"/>
    </row>
    <row r="2" spans="1:5" ht="18" x14ac:dyDescent="0.3">
      <c r="A2" s="45" t="s">
        <v>1</v>
      </c>
      <c r="B2" s="45" t="s">
        <v>2</v>
      </c>
      <c r="C2" s="45" t="s">
        <v>3</v>
      </c>
      <c r="D2" s="4" t="s">
        <v>4</v>
      </c>
      <c r="E2" s="4" t="s">
        <v>5</v>
      </c>
    </row>
    <row r="3" spans="1:5" ht="54" x14ac:dyDescent="0.3">
      <c r="A3" s="4">
        <v>1</v>
      </c>
      <c r="B3" s="46" t="s">
        <v>182</v>
      </c>
      <c r="C3" s="46" t="s">
        <v>187</v>
      </c>
      <c r="D3" s="4" t="s">
        <v>6</v>
      </c>
      <c r="E3" s="5">
        <v>997.6</v>
      </c>
    </row>
    <row r="4" spans="1:5" ht="72" x14ac:dyDescent="0.3">
      <c r="A4" s="4">
        <v>2</v>
      </c>
      <c r="B4" s="46" t="s">
        <v>182</v>
      </c>
      <c r="C4" s="46" t="s">
        <v>189</v>
      </c>
      <c r="D4" s="4" t="s">
        <v>6</v>
      </c>
      <c r="E4" s="5">
        <v>3648.56</v>
      </c>
    </row>
    <row r="5" spans="1:5" ht="54" x14ac:dyDescent="0.3">
      <c r="A5" s="4">
        <v>3</v>
      </c>
      <c r="B5" s="46" t="s">
        <v>182</v>
      </c>
      <c r="C5" s="46" t="s">
        <v>190</v>
      </c>
      <c r="D5" s="4" t="s">
        <v>6</v>
      </c>
      <c r="E5" s="5">
        <v>345.68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"/>
  <sheetViews>
    <sheetView zoomScale="55" zoomScaleNormal="55" workbookViewId="0">
      <selection activeCell="C3" sqref="C3"/>
    </sheetView>
  </sheetViews>
  <sheetFormatPr defaultRowHeight="14.4" x14ac:dyDescent="0.3"/>
  <cols>
    <col min="1" max="1" width="8" bestFit="1" customWidth="1"/>
    <col min="2" max="2" width="36.21875" customWidth="1"/>
    <col min="3" max="3" width="32.33203125" customWidth="1"/>
    <col min="4" max="4" width="9.109375" bestFit="1" customWidth="1"/>
    <col min="5" max="5" width="10.21875" bestFit="1" customWidth="1"/>
  </cols>
  <sheetData>
    <row r="1" spans="1:5" ht="18" x14ac:dyDescent="0.3">
      <c r="A1" s="48" t="s">
        <v>0</v>
      </c>
      <c r="B1" s="48"/>
      <c r="C1" s="48"/>
      <c r="D1" s="48"/>
      <c r="E1" s="48"/>
    </row>
    <row r="2" spans="1:5" ht="18" x14ac:dyDescent="0.3">
      <c r="A2" s="32" t="s">
        <v>1</v>
      </c>
      <c r="B2" s="32" t="s">
        <v>2</v>
      </c>
      <c r="C2" s="32" t="s">
        <v>3</v>
      </c>
      <c r="D2" s="4" t="s">
        <v>4</v>
      </c>
      <c r="E2" s="4" t="s">
        <v>5</v>
      </c>
    </row>
    <row r="3" spans="1:5" ht="36" x14ac:dyDescent="0.3">
      <c r="A3" s="4">
        <v>1</v>
      </c>
      <c r="B3" s="46" t="s">
        <v>11</v>
      </c>
      <c r="C3" s="46" t="s">
        <v>10</v>
      </c>
      <c r="D3" s="4" t="s">
        <v>6</v>
      </c>
      <c r="E3" s="5">
        <v>894.84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5"/>
  <sheetViews>
    <sheetView zoomScale="55" zoomScaleNormal="55" workbookViewId="0">
      <selection activeCell="C5" sqref="C5"/>
    </sheetView>
  </sheetViews>
  <sheetFormatPr defaultRowHeight="14.4" x14ac:dyDescent="0.3"/>
  <cols>
    <col min="1" max="1" width="7.5546875" bestFit="1" customWidth="1"/>
    <col min="2" max="2" width="46.5546875" customWidth="1"/>
    <col min="3" max="3" width="50.109375" customWidth="1"/>
    <col min="4" max="4" width="9.109375" bestFit="1" customWidth="1"/>
    <col min="5" max="5" width="10.21875" bestFit="1" customWidth="1"/>
  </cols>
  <sheetData>
    <row r="1" spans="1:5" ht="18" x14ac:dyDescent="0.3">
      <c r="A1" s="48" t="s">
        <v>0</v>
      </c>
      <c r="B1" s="48"/>
      <c r="C1" s="48"/>
      <c r="D1" s="48"/>
      <c r="E1" s="48"/>
    </row>
    <row r="2" spans="1:5" ht="18" x14ac:dyDescent="0.3">
      <c r="A2" s="32" t="s">
        <v>1</v>
      </c>
      <c r="B2" s="32" t="s">
        <v>2</v>
      </c>
      <c r="C2" s="32" t="s">
        <v>3</v>
      </c>
      <c r="D2" s="4" t="s">
        <v>4</v>
      </c>
      <c r="E2" s="4" t="s">
        <v>5</v>
      </c>
    </row>
    <row r="3" spans="1:5" ht="54" x14ac:dyDescent="0.3">
      <c r="A3" s="45">
        <v>1</v>
      </c>
      <c r="B3" s="46" t="s">
        <v>181</v>
      </c>
      <c r="C3" s="46" t="s">
        <v>186</v>
      </c>
      <c r="D3" s="4" t="s">
        <v>6</v>
      </c>
      <c r="E3" s="5">
        <v>303.92</v>
      </c>
    </row>
    <row r="4" spans="1:5" ht="72" x14ac:dyDescent="0.3">
      <c r="A4" s="45">
        <v>2</v>
      </c>
      <c r="B4" s="46" t="s">
        <v>181</v>
      </c>
      <c r="C4" s="46" t="s">
        <v>185</v>
      </c>
      <c r="D4" s="4" t="s">
        <v>6</v>
      </c>
      <c r="E4" s="5">
        <v>3849.47</v>
      </c>
    </row>
    <row r="5" spans="1:5" ht="54" x14ac:dyDescent="0.3">
      <c r="A5" s="45">
        <v>3</v>
      </c>
      <c r="B5" s="46" t="s">
        <v>181</v>
      </c>
      <c r="C5" s="46" t="s">
        <v>184</v>
      </c>
      <c r="D5" s="4" t="s">
        <v>6</v>
      </c>
      <c r="E5" s="5">
        <v>66.17</v>
      </c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17"/>
  <sheetViews>
    <sheetView zoomScale="85" zoomScaleNormal="85" workbookViewId="0">
      <selection activeCell="C13" sqref="C13"/>
    </sheetView>
  </sheetViews>
  <sheetFormatPr defaultRowHeight="14.4" x14ac:dyDescent="0.3"/>
  <cols>
    <col min="1" max="1" width="16.88671875" customWidth="1"/>
    <col min="2" max="2" width="26.5546875" customWidth="1"/>
    <col min="3" max="3" width="15.33203125" customWidth="1"/>
    <col min="4" max="4" width="20.44140625" customWidth="1"/>
  </cols>
  <sheetData>
    <row r="1" spans="1:13" ht="135.6" customHeight="1" x14ac:dyDescent="0.3">
      <c r="A1" s="36" t="s">
        <v>160</v>
      </c>
      <c r="B1" s="37"/>
      <c r="C1" s="37" t="s">
        <v>176</v>
      </c>
      <c r="D1" s="37" t="s">
        <v>6</v>
      </c>
      <c r="E1" s="38">
        <v>1</v>
      </c>
      <c r="F1" s="39"/>
      <c r="G1" s="40">
        <v>1548.3</v>
      </c>
      <c r="H1" s="41"/>
      <c r="I1" s="42">
        <v>104.1</v>
      </c>
      <c r="J1" s="41"/>
      <c r="K1" s="41"/>
      <c r="L1" s="43"/>
      <c r="M1" s="44">
        <v>104.1</v>
      </c>
    </row>
    <row r="6" spans="1:13" x14ac:dyDescent="0.3">
      <c r="A6" t="s">
        <v>180</v>
      </c>
      <c r="B6" t="s">
        <v>179</v>
      </c>
    </row>
    <row r="8" spans="1:13" x14ac:dyDescent="0.3">
      <c r="A8">
        <v>1</v>
      </c>
    </row>
    <row r="9" spans="1:13" x14ac:dyDescent="0.3">
      <c r="A9">
        <v>2</v>
      </c>
    </row>
    <row r="10" spans="1:13" x14ac:dyDescent="0.3">
      <c r="A10">
        <v>3</v>
      </c>
    </row>
    <row r="13" spans="1:13" x14ac:dyDescent="0.3">
      <c r="A13" t="s">
        <v>180</v>
      </c>
      <c r="B13" t="s">
        <v>178</v>
      </c>
    </row>
    <row r="15" spans="1:13" x14ac:dyDescent="0.3">
      <c r="A15">
        <v>1</v>
      </c>
      <c r="B15">
        <v>547.70000000000005</v>
      </c>
    </row>
    <row r="16" spans="1:13" x14ac:dyDescent="0.3">
      <c r="A16">
        <v>2</v>
      </c>
      <c r="B16">
        <v>583</v>
      </c>
    </row>
    <row r="17" spans="1:2" x14ac:dyDescent="0.3">
      <c r="A17">
        <v>3</v>
      </c>
      <c r="B17">
        <v>417.6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17"/>
  <sheetViews>
    <sheetView zoomScale="70" zoomScaleNormal="70" workbookViewId="0">
      <selection activeCell="B15" sqref="B15:B18"/>
    </sheetView>
  </sheetViews>
  <sheetFormatPr defaultRowHeight="14.4" x14ac:dyDescent="0.3"/>
  <cols>
    <col min="1" max="1" width="16.88671875" customWidth="1"/>
    <col min="2" max="2" width="26.5546875" customWidth="1"/>
    <col min="3" max="3" width="15.33203125" customWidth="1"/>
    <col min="4" max="4" width="20.44140625" customWidth="1"/>
  </cols>
  <sheetData>
    <row r="1" spans="1:13" ht="135.6" customHeight="1" x14ac:dyDescent="0.3">
      <c r="A1" s="36" t="s">
        <v>160</v>
      </c>
      <c r="B1" s="37"/>
      <c r="C1" s="37" t="s">
        <v>176</v>
      </c>
      <c r="D1" s="37" t="s">
        <v>6</v>
      </c>
      <c r="E1" s="38">
        <v>1</v>
      </c>
      <c r="F1" s="39"/>
      <c r="G1" s="40">
        <v>731.9</v>
      </c>
      <c r="H1" s="41">
        <v>17.439999999999941</v>
      </c>
      <c r="I1" s="42">
        <v>714.46</v>
      </c>
      <c r="J1" s="41"/>
      <c r="K1" s="41">
        <v>574</v>
      </c>
      <c r="L1" s="43"/>
      <c r="M1" s="44">
        <v>140.46</v>
      </c>
    </row>
    <row r="6" spans="1:13" x14ac:dyDescent="0.3">
      <c r="A6" t="s">
        <v>177</v>
      </c>
      <c r="B6" t="s">
        <v>179</v>
      </c>
    </row>
    <row r="8" spans="1:13" x14ac:dyDescent="0.3">
      <c r="A8">
        <v>1</v>
      </c>
      <c r="B8">
        <v>352</v>
      </c>
    </row>
    <row r="9" spans="1:13" x14ac:dyDescent="0.3">
      <c r="A9">
        <v>2</v>
      </c>
      <c r="B9">
        <v>257.2</v>
      </c>
    </row>
    <row r="10" spans="1:13" x14ac:dyDescent="0.3">
      <c r="A10">
        <v>3</v>
      </c>
      <c r="B10">
        <v>106.9</v>
      </c>
    </row>
    <row r="13" spans="1:13" x14ac:dyDescent="0.3">
      <c r="A13" t="s">
        <v>177</v>
      </c>
      <c r="B13" t="s">
        <v>178</v>
      </c>
    </row>
    <row r="15" spans="1:13" x14ac:dyDescent="0.3">
      <c r="A15">
        <v>1</v>
      </c>
      <c r="B15">
        <v>356.4</v>
      </c>
    </row>
    <row r="16" spans="1:13" x14ac:dyDescent="0.3">
      <c r="A16">
        <v>2</v>
      </c>
      <c r="B16">
        <v>257.2</v>
      </c>
    </row>
    <row r="17" spans="1:2" x14ac:dyDescent="0.3">
      <c r="A17">
        <v>3</v>
      </c>
      <c r="B17">
        <v>118.3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10"/>
  <sheetViews>
    <sheetView zoomScale="70" zoomScaleNormal="70" workbookViewId="0">
      <selection activeCell="B1" sqref="B1"/>
    </sheetView>
  </sheetViews>
  <sheetFormatPr defaultRowHeight="14.4" x14ac:dyDescent="0.3"/>
  <cols>
    <col min="1" max="1" width="16.88671875" customWidth="1"/>
    <col min="2" max="2" width="26.5546875" customWidth="1"/>
    <col min="3" max="3" width="15.33203125" customWidth="1"/>
    <col min="4" max="4" width="20.44140625" customWidth="1"/>
  </cols>
  <sheetData>
    <row r="1" spans="1:13" ht="135.6" customHeight="1" x14ac:dyDescent="0.3">
      <c r="A1" s="36" t="s">
        <v>160</v>
      </c>
      <c r="B1" s="37"/>
      <c r="C1" s="37" t="s">
        <v>173</v>
      </c>
      <c r="D1" s="37" t="s">
        <v>6</v>
      </c>
      <c r="E1" s="38">
        <v>1</v>
      </c>
      <c r="F1" s="39"/>
      <c r="G1" s="40">
        <v>1222.2</v>
      </c>
      <c r="H1" s="41">
        <v>50.6099999999999</v>
      </c>
      <c r="I1" s="42">
        <v>1171.5900000000001</v>
      </c>
      <c r="J1" s="41"/>
      <c r="K1" s="41">
        <v>705.6</v>
      </c>
      <c r="L1" s="43" t="s">
        <v>175</v>
      </c>
      <c r="M1" s="44">
        <v>465.99</v>
      </c>
    </row>
    <row r="6" spans="1:13" x14ac:dyDescent="0.3">
      <c r="A6" t="s">
        <v>174</v>
      </c>
    </row>
    <row r="8" spans="1:13" x14ac:dyDescent="0.3">
      <c r="A8">
        <v>1</v>
      </c>
      <c r="B8">
        <v>277.5</v>
      </c>
    </row>
    <row r="9" spans="1:13" x14ac:dyDescent="0.3">
      <c r="A9">
        <v>2</v>
      </c>
      <c r="B9">
        <v>348.3</v>
      </c>
    </row>
    <row r="10" spans="1:13" x14ac:dyDescent="0.3">
      <c r="A10">
        <v>3</v>
      </c>
      <c r="B10">
        <v>550.79999999999995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16"/>
  <sheetViews>
    <sheetView zoomScale="70" zoomScaleNormal="70" workbookViewId="0">
      <selection activeCell="B14" sqref="B14"/>
    </sheetView>
  </sheetViews>
  <sheetFormatPr defaultRowHeight="14.4" x14ac:dyDescent="0.3"/>
  <cols>
    <col min="1" max="1" width="16.88671875" customWidth="1"/>
    <col min="2" max="2" width="26.5546875" customWidth="1"/>
    <col min="3" max="3" width="15.33203125" customWidth="1"/>
    <col min="4" max="4" width="20.44140625" customWidth="1"/>
  </cols>
  <sheetData>
    <row r="1" spans="1:4" ht="135.6" customHeight="1" x14ac:dyDescent="0.3">
      <c r="A1" s="33" t="s">
        <v>160</v>
      </c>
      <c r="B1" s="34" t="s">
        <v>170</v>
      </c>
      <c r="C1" s="34" t="s">
        <v>6</v>
      </c>
      <c r="D1" s="35">
        <v>455.1</v>
      </c>
    </row>
    <row r="6" spans="1:4" x14ac:dyDescent="0.3">
      <c r="A6" t="s">
        <v>171</v>
      </c>
    </row>
    <row r="7" spans="1:4" x14ac:dyDescent="0.3">
      <c r="B7">
        <v>1</v>
      </c>
      <c r="C7">
        <v>2</v>
      </c>
      <c r="D7">
        <v>3</v>
      </c>
    </row>
    <row r="8" spans="1:4" x14ac:dyDescent="0.3">
      <c r="A8">
        <v>1</v>
      </c>
      <c r="B8">
        <v>399.5</v>
      </c>
    </row>
    <row r="9" spans="1:4" x14ac:dyDescent="0.3">
      <c r="A9">
        <v>2</v>
      </c>
      <c r="B9">
        <v>45.5</v>
      </c>
    </row>
    <row r="10" spans="1:4" x14ac:dyDescent="0.3">
      <c r="A10">
        <v>3</v>
      </c>
    </row>
    <row r="12" spans="1:4" x14ac:dyDescent="0.3">
      <c r="A12" t="s">
        <v>172</v>
      </c>
    </row>
    <row r="13" spans="1:4" x14ac:dyDescent="0.3">
      <c r="B13">
        <v>1</v>
      </c>
    </row>
    <row r="14" spans="1:4" x14ac:dyDescent="0.3">
      <c r="A14">
        <v>1</v>
      </c>
      <c r="B14">
        <v>21.5</v>
      </c>
    </row>
    <row r="15" spans="1:4" x14ac:dyDescent="0.3">
      <c r="A15">
        <v>2</v>
      </c>
    </row>
    <row r="16" spans="1:4" x14ac:dyDescent="0.3">
      <c r="A16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F8" sqref="F8"/>
    </sheetView>
  </sheetViews>
  <sheetFormatPr defaultRowHeight="14.4" x14ac:dyDescent="0.3"/>
  <sheetData>
    <row r="1" spans="1:3" x14ac:dyDescent="0.3">
      <c r="A1">
        <v>1</v>
      </c>
      <c r="B1">
        <v>2</v>
      </c>
      <c r="C1">
        <v>3</v>
      </c>
    </row>
    <row r="2" spans="1:3" x14ac:dyDescent="0.3">
      <c r="A2">
        <v>1310</v>
      </c>
      <c r="B2">
        <v>1186.5999999999999</v>
      </c>
      <c r="C2">
        <v>1161.2</v>
      </c>
    </row>
    <row r="3" spans="1:3" x14ac:dyDescent="0.3">
      <c r="A3">
        <v>33.799999999999997</v>
      </c>
      <c r="B3">
        <v>56.9</v>
      </c>
      <c r="C3">
        <v>22.5</v>
      </c>
    </row>
    <row r="4" spans="1:3" x14ac:dyDescent="0.3">
      <c r="A4">
        <v>37.200000000000003</v>
      </c>
      <c r="B4">
        <v>87.7</v>
      </c>
      <c r="C4">
        <v>31.6</v>
      </c>
    </row>
    <row r="5" spans="1:3" x14ac:dyDescent="0.3">
      <c r="A5">
        <v>256.39999999999998</v>
      </c>
      <c r="B5">
        <v>285.5</v>
      </c>
      <c r="C5">
        <v>242.9</v>
      </c>
    </row>
    <row r="8" spans="1:3" x14ac:dyDescent="0.3">
      <c r="A8">
        <v>1310</v>
      </c>
      <c r="B8">
        <v>1186.5999999999999</v>
      </c>
      <c r="C8">
        <v>1161.2</v>
      </c>
    </row>
    <row r="9" spans="1:3" x14ac:dyDescent="0.3">
      <c r="A9">
        <v>33.799999999999997</v>
      </c>
      <c r="B9">
        <v>56.9</v>
      </c>
      <c r="C9">
        <v>22.5</v>
      </c>
    </row>
    <row r="10" spans="1:3" x14ac:dyDescent="0.3">
      <c r="A10">
        <v>37.200000000000003</v>
      </c>
      <c r="B10">
        <v>87.7</v>
      </c>
      <c r="C10">
        <v>31.6</v>
      </c>
    </row>
    <row r="12" spans="1:3" x14ac:dyDescent="0.3">
      <c r="A12">
        <v>1360.4</v>
      </c>
      <c r="B12">
        <v>1350.9</v>
      </c>
      <c r="C12">
        <v>1187.0999999999999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sqref="A1:K1"/>
    </sheetView>
  </sheetViews>
  <sheetFormatPr defaultRowHeight="15" x14ac:dyDescent="0.25"/>
  <cols>
    <col min="1" max="2" width="8.88671875" style="1"/>
    <col min="3" max="3" width="13.21875" style="1" customWidth="1"/>
    <col min="4" max="4" width="4.5546875" style="1" customWidth="1"/>
    <col min="5" max="6" width="8.88671875" style="1"/>
    <col min="7" max="7" width="12" style="1" customWidth="1"/>
    <col min="8" max="8" width="4.21875" style="1" customWidth="1"/>
    <col min="9" max="9" width="10.88671875" style="1" customWidth="1"/>
    <col min="10" max="10" width="10.5546875" style="1" bestFit="1" customWidth="1"/>
    <col min="11" max="11" width="11.33203125" style="1" customWidth="1"/>
    <col min="12" max="16384" width="8.88671875" style="1"/>
  </cols>
  <sheetData>
    <row r="1" spans="1:11" ht="18" customHeight="1" x14ac:dyDescent="0.2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1" ht="18" customHeight="1" x14ac:dyDescent="0.25">
      <c r="A2" s="2" t="s">
        <v>1</v>
      </c>
      <c r="B2" s="48" t="s">
        <v>2</v>
      </c>
      <c r="C2" s="48"/>
      <c r="D2" s="48"/>
      <c r="E2" s="48"/>
      <c r="F2" s="48"/>
      <c r="G2" s="48" t="s">
        <v>3</v>
      </c>
      <c r="H2" s="48"/>
      <c r="I2" s="48"/>
      <c r="J2" s="3" t="s">
        <v>4</v>
      </c>
      <c r="K2" s="3" t="s">
        <v>5</v>
      </c>
    </row>
    <row r="3" spans="1:11" ht="51.6" customHeight="1" x14ac:dyDescent="0.25">
      <c r="A3" s="2">
        <v>1</v>
      </c>
      <c r="B3" s="54" t="s">
        <v>11</v>
      </c>
      <c r="C3" s="54"/>
      <c r="D3" s="54"/>
      <c r="E3" s="54"/>
      <c r="F3" s="54"/>
      <c r="G3" s="55" t="s">
        <v>10</v>
      </c>
      <c r="H3" s="55"/>
      <c r="I3" s="55"/>
      <c r="J3" s="4" t="s">
        <v>6</v>
      </c>
      <c r="K3" s="5">
        <f>K20+G19+C22</f>
        <v>894.84</v>
      </c>
    </row>
    <row r="4" spans="1:11" ht="18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</row>
    <row r="5" spans="1:11" ht="18" x14ac:dyDescent="0.25">
      <c r="A5" s="6" t="s">
        <v>1</v>
      </c>
      <c r="B5" s="7" t="s">
        <v>7</v>
      </c>
      <c r="C5" s="8" t="s">
        <v>8</v>
      </c>
      <c r="D5" s="53"/>
      <c r="E5" s="6" t="s">
        <v>1</v>
      </c>
      <c r="F5" s="7" t="s">
        <v>7</v>
      </c>
      <c r="G5" s="8" t="s">
        <v>8</v>
      </c>
      <c r="H5" s="51"/>
      <c r="I5" s="9" t="s">
        <v>1</v>
      </c>
      <c r="J5" s="10" t="s">
        <v>7</v>
      </c>
      <c r="K5" s="11" t="s">
        <v>8</v>
      </c>
    </row>
    <row r="6" spans="1:11" ht="18" x14ac:dyDescent="0.25">
      <c r="A6" s="12">
        <v>1</v>
      </c>
      <c r="B6" s="13" t="s">
        <v>12</v>
      </c>
      <c r="C6" s="14">
        <v>12.85</v>
      </c>
      <c r="D6" s="51"/>
      <c r="E6" s="12">
        <v>17</v>
      </c>
      <c r="F6" s="13" t="s">
        <v>35</v>
      </c>
      <c r="G6" s="14">
        <v>2.4500000000000002</v>
      </c>
      <c r="H6" s="51"/>
      <c r="I6" s="12">
        <v>30</v>
      </c>
      <c r="J6" s="13" t="s">
        <v>47</v>
      </c>
      <c r="K6" s="14">
        <v>2.95</v>
      </c>
    </row>
    <row r="7" spans="1:11" ht="18" x14ac:dyDescent="0.25">
      <c r="A7" s="15">
        <v>2</v>
      </c>
      <c r="B7" s="15" t="s">
        <v>13</v>
      </c>
      <c r="C7" s="16">
        <v>9.52</v>
      </c>
      <c r="D7" s="51"/>
      <c r="E7" s="15">
        <v>18</v>
      </c>
      <c r="F7" s="15" t="s">
        <v>36</v>
      </c>
      <c r="G7" s="16">
        <v>3.79</v>
      </c>
      <c r="H7" s="51"/>
      <c r="I7" s="15">
        <v>31</v>
      </c>
      <c r="J7" s="15" t="s">
        <v>48</v>
      </c>
      <c r="K7" s="16">
        <v>4.08</v>
      </c>
    </row>
    <row r="8" spans="1:11" ht="18" x14ac:dyDescent="0.25">
      <c r="A8" s="12">
        <v>3</v>
      </c>
      <c r="B8" s="13" t="s">
        <v>14</v>
      </c>
      <c r="C8" s="14">
        <v>17.600000000000001</v>
      </c>
      <c r="D8" s="51"/>
      <c r="E8" s="12">
        <v>19</v>
      </c>
      <c r="F8" s="13" t="s">
        <v>37</v>
      </c>
      <c r="G8" s="14">
        <v>1.56</v>
      </c>
      <c r="H8" s="51"/>
      <c r="I8" s="12">
        <v>32</v>
      </c>
      <c r="J8" s="13" t="s">
        <v>49</v>
      </c>
      <c r="K8" s="14">
        <v>1.33</v>
      </c>
    </row>
    <row r="9" spans="1:11" ht="18" x14ac:dyDescent="0.25">
      <c r="A9" s="15">
        <v>4</v>
      </c>
      <c r="B9" s="15" t="s">
        <v>24</v>
      </c>
      <c r="C9" s="16">
        <v>5.1100000000000003</v>
      </c>
      <c r="D9" s="51"/>
      <c r="E9" s="15">
        <v>20</v>
      </c>
      <c r="F9" s="15" t="s">
        <v>38</v>
      </c>
      <c r="G9" s="16">
        <v>2.54</v>
      </c>
      <c r="H9" s="51"/>
      <c r="I9" s="15">
        <v>33</v>
      </c>
      <c r="J9" s="15" t="s">
        <v>50</v>
      </c>
      <c r="K9" s="16">
        <v>2.85</v>
      </c>
    </row>
    <row r="10" spans="1:11" ht="18" x14ac:dyDescent="0.25">
      <c r="A10" s="12">
        <v>5</v>
      </c>
      <c r="B10" s="13" t="s">
        <v>25</v>
      </c>
      <c r="C10" s="14">
        <v>2.5299999999999998</v>
      </c>
      <c r="D10" s="51"/>
      <c r="E10" s="12">
        <v>21</v>
      </c>
      <c r="F10" s="13" t="s">
        <v>39</v>
      </c>
      <c r="G10" s="14">
        <v>2.5499999999999998</v>
      </c>
      <c r="H10" s="51"/>
      <c r="I10" s="12">
        <v>34</v>
      </c>
      <c r="J10" s="13" t="s">
        <v>51</v>
      </c>
      <c r="K10" s="14">
        <v>2.73</v>
      </c>
    </row>
    <row r="11" spans="1:11" ht="18" x14ac:dyDescent="0.25">
      <c r="A11" s="15">
        <v>6</v>
      </c>
      <c r="B11" s="15" t="s">
        <v>26</v>
      </c>
      <c r="C11" s="16">
        <v>2.54</v>
      </c>
      <c r="D11" s="51"/>
      <c r="E11" s="15">
        <v>22</v>
      </c>
      <c r="F11" s="15" t="s">
        <v>40</v>
      </c>
      <c r="G11" s="16">
        <v>2.6</v>
      </c>
      <c r="H11" s="51"/>
      <c r="I11" s="15">
        <v>35</v>
      </c>
      <c r="J11" s="15" t="s">
        <v>52</v>
      </c>
      <c r="K11" s="16">
        <v>2.74</v>
      </c>
    </row>
    <row r="12" spans="1:11" ht="18" x14ac:dyDescent="0.25">
      <c r="A12" s="12">
        <v>7</v>
      </c>
      <c r="B12" s="13" t="s">
        <v>27</v>
      </c>
      <c r="C12" s="14">
        <v>2.71</v>
      </c>
      <c r="D12" s="51"/>
      <c r="E12" s="12">
        <v>23</v>
      </c>
      <c r="F12" s="13" t="s">
        <v>34</v>
      </c>
      <c r="G12" s="14">
        <v>2.6</v>
      </c>
      <c r="H12" s="51"/>
      <c r="I12" s="12">
        <v>36</v>
      </c>
      <c r="J12" s="13" t="s">
        <v>53</v>
      </c>
      <c r="K12" s="14">
        <v>2.79</v>
      </c>
    </row>
    <row r="13" spans="1:11" ht="18" x14ac:dyDescent="0.25">
      <c r="A13" s="15">
        <v>8</v>
      </c>
      <c r="B13" s="15" t="s">
        <v>15</v>
      </c>
      <c r="C13" s="16">
        <v>14.88</v>
      </c>
      <c r="D13" s="51"/>
      <c r="E13" s="15">
        <v>24</v>
      </c>
      <c r="F13" s="15" t="s">
        <v>29</v>
      </c>
      <c r="G13" s="16">
        <v>23.22</v>
      </c>
      <c r="H13" s="51"/>
      <c r="I13" s="15">
        <v>37</v>
      </c>
      <c r="J13" s="15" t="s">
        <v>54</v>
      </c>
      <c r="K13" s="16">
        <v>2.65</v>
      </c>
    </row>
    <row r="14" spans="1:11" ht="18" x14ac:dyDescent="0.25">
      <c r="A14" s="12">
        <v>9</v>
      </c>
      <c r="B14" s="13" t="s">
        <v>16</v>
      </c>
      <c r="C14" s="20">
        <v>16.38</v>
      </c>
      <c r="D14" s="51"/>
      <c r="E14" s="12">
        <v>25</v>
      </c>
      <c r="F14" s="13" t="s">
        <v>30</v>
      </c>
      <c r="G14" s="20">
        <v>49.93</v>
      </c>
      <c r="H14" s="51"/>
      <c r="I14" s="12">
        <v>38</v>
      </c>
      <c r="J14" s="13" t="s">
        <v>42</v>
      </c>
      <c r="K14" s="20">
        <v>23.35</v>
      </c>
    </row>
    <row r="15" spans="1:11" ht="18" x14ac:dyDescent="0.25">
      <c r="A15" s="15">
        <v>10</v>
      </c>
      <c r="B15" s="15" t="s">
        <v>17</v>
      </c>
      <c r="C15" s="16">
        <v>23.46</v>
      </c>
      <c r="D15" s="51"/>
      <c r="E15" s="15">
        <v>26</v>
      </c>
      <c r="F15" s="15" t="s">
        <v>31</v>
      </c>
      <c r="G15" s="16">
        <v>55.58</v>
      </c>
      <c r="H15" s="51"/>
      <c r="I15" s="15">
        <v>39</v>
      </c>
      <c r="J15" s="15" t="s">
        <v>41</v>
      </c>
      <c r="K15" s="16">
        <v>49.88</v>
      </c>
    </row>
    <row r="16" spans="1:11" ht="18" x14ac:dyDescent="0.25">
      <c r="A16" s="12">
        <v>11</v>
      </c>
      <c r="B16" s="13" t="s">
        <v>18</v>
      </c>
      <c r="C16" s="20">
        <v>50.03</v>
      </c>
      <c r="D16" s="51"/>
      <c r="E16" s="12">
        <v>27</v>
      </c>
      <c r="F16" s="13" t="s">
        <v>32</v>
      </c>
      <c r="G16" s="20">
        <f>22.67</f>
        <v>22.67</v>
      </c>
      <c r="H16" s="51"/>
      <c r="I16" s="12">
        <v>40</v>
      </c>
      <c r="J16" s="13" t="s">
        <v>43</v>
      </c>
      <c r="K16" s="20">
        <v>55.65</v>
      </c>
    </row>
    <row r="17" spans="1:11" ht="18" x14ac:dyDescent="0.25">
      <c r="A17" s="15">
        <v>12</v>
      </c>
      <c r="B17" s="15" t="s">
        <v>19</v>
      </c>
      <c r="C17" s="16">
        <v>55.72</v>
      </c>
      <c r="D17" s="51"/>
      <c r="E17" s="15">
        <v>28</v>
      </c>
      <c r="F17" s="15" t="s">
        <v>33</v>
      </c>
      <c r="G17" s="16">
        <v>49.72</v>
      </c>
      <c r="H17" s="51"/>
      <c r="I17" s="15">
        <v>41</v>
      </c>
      <c r="J17" s="15" t="s">
        <v>44</v>
      </c>
      <c r="K17" s="16">
        <f>22.43</f>
        <v>22.43</v>
      </c>
    </row>
    <row r="18" spans="1:11" ht="18" x14ac:dyDescent="0.25">
      <c r="A18" s="12">
        <v>13</v>
      </c>
      <c r="B18" s="20" t="s">
        <v>20</v>
      </c>
      <c r="C18" s="20">
        <f>23.03-C19</f>
        <v>18.200000000000003</v>
      </c>
      <c r="D18" s="51"/>
      <c r="E18" s="12">
        <v>29</v>
      </c>
      <c r="F18" s="20" t="s">
        <v>28</v>
      </c>
      <c r="G18" s="20">
        <v>55.25</v>
      </c>
      <c r="H18" s="51"/>
      <c r="I18" s="12">
        <v>42</v>
      </c>
      <c r="J18" s="20" t="s">
        <v>45</v>
      </c>
      <c r="K18" s="20">
        <v>50.03</v>
      </c>
    </row>
    <row r="19" spans="1:11" ht="18" x14ac:dyDescent="0.25">
      <c r="A19" s="15">
        <v>14</v>
      </c>
      <c r="B19" s="15" t="s">
        <v>21</v>
      </c>
      <c r="C19" s="16">
        <v>4.83</v>
      </c>
      <c r="D19" s="51"/>
      <c r="E19" s="17"/>
      <c r="F19" s="18" t="s">
        <v>9</v>
      </c>
      <c r="G19" s="19">
        <f>SUM(G6:G18)</f>
        <v>274.46000000000004</v>
      </c>
      <c r="H19" s="51"/>
      <c r="I19" s="15">
        <v>43</v>
      </c>
      <c r="J19" s="15" t="s">
        <v>46</v>
      </c>
      <c r="K19" s="16">
        <v>55.27</v>
      </c>
    </row>
    <row r="20" spans="1:11" ht="18" x14ac:dyDescent="0.25">
      <c r="A20" s="12">
        <v>15</v>
      </c>
      <c r="B20" s="20" t="s">
        <v>22</v>
      </c>
      <c r="C20" s="20">
        <v>49.98</v>
      </c>
      <c r="D20" s="51"/>
      <c r="E20" s="49"/>
      <c r="F20" s="49"/>
      <c r="G20" s="49"/>
      <c r="H20" s="51"/>
      <c r="I20" s="17"/>
      <c r="J20" s="18" t="s">
        <v>9</v>
      </c>
      <c r="K20" s="19">
        <f>SUM(K6:K19)</f>
        <v>278.73</v>
      </c>
    </row>
    <row r="21" spans="1:11" ht="18" x14ac:dyDescent="0.25">
      <c r="A21" s="15">
        <v>16</v>
      </c>
      <c r="B21" s="15" t="s">
        <v>23</v>
      </c>
      <c r="C21" s="16">
        <v>55.31</v>
      </c>
      <c r="D21" s="51"/>
      <c r="E21" s="50"/>
      <c r="F21" s="50"/>
      <c r="G21" s="50"/>
      <c r="H21" s="51"/>
      <c r="I21" s="49"/>
      <c r="J21" s="49"/>
      <c r="K21" s="49"/>
    </row>
    <row r="22" spans="1:11" ht="18" x14ac:dyDescent="0.25">
      <c r="A22" s="17"/>
      <c r="B22" s="18" t="s">
        <v>9</v>
      </c>
      <c r="C22" s="19">
        <f>SUM(C6:C21)</f>
        <v>341.65</v>
      </c>
      <c r="D22" s="51"/>
      <c r="E22" s="50"/>
      <c r="F22" s="50"/>
      <c r="G22" s="50"/>
      <c r="H22" s="51"/>
      <c r="I22" s="50"/>
      <c r="J22" s="50"/>
      <c r="K22" s="50"/>
    </row>
  </sheetData>
  <mergeCells count="10">
    <mergeCell ref="A1:K1"/>
    <mergeCell ref="B2:F2"/>
    <mergeCell ref="B3:F3"/>
    <mergeCell ref="G3:I3"/>
    <mergeCell ref="G2:I2"/>
    <mergeCell ref="I21:K22"/>
    <mergeCell ref="E20:G22"/>
    <mergeCell ref="H5:H22"/>
    <mergeCell ref="A4:K4"/>
    <mergeCell ref="D5:D2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sqref="A1:K1"/>
    </sheetView>
  </sheetViews>
  <sheetFormatPr defaultRowHeight="15" x14ac:dyDescent="0.25"/>
  <cols>
    <col min="1" max="2" width="8.88671875" style="1"/>
    <col min="3" max="3" width="13.21875" style="1" customWidth="1"/>
    <col min="4" max="4" width="4.5546875" style="1" customWidth="1"/>
    <col min="5" max="6" width="8.88671875" style="1"/>
    <col min="7" max="7" width="12" style="1" customWidth="1"/>
    <col min="8" max="8" width="4.21875" style="1" customWidth="1"/>
    <col min="9" max="9" width="10.88671875" style="1" customWidth="1"/>
    <col min="10" max="10" width="10.5546875" style="1" bestFit="1" customWidth="1"/>
    <col min="11" max="11" width="11.33203125" style="1" customWidth="1"/>
    <col min="12" max="16384" width="8.88671875" style="1"/>
  </cols>
  <sheetData>
    <row r="1" spans="1:11" ht="18" customHeight="1" x14ac:dyDescent="0.2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1" ht="18" customHeight="1" x14ac:dyDescent="0.25">
      <c r="A2" s="2" t="s">
        <v>1</v>
      </c>
      <c r="B2" s="48" t="s">
        <v>2</v>
      </c>
      <c r="C2" s="48"/>
      <c r="D2" s="48"/>
      <c r="E2" s="48"/>
      <c r="F2" s="48"/>
      <c r="G2" s="48" t="s">
        <v>3</v>
      </c>
      <c r="H2" s="48"/>
      <c r="I2" s="48"/>
      <c r="J2" s="3" t="s">
        <v>4</v>
      </c>
      <c r="K2" s="3" t="s">
        <v>5</v>
      </c>
    </row>
    <row r="3" spans="1:11" ht="51.6" customHeight="1" x14ac:dyDescent="0.25">
      <c r="A3" s="2">
        <v>1</v>
      </c>
      <c r="B3" s="54" t="s">
        <v>55</v>
      </c>
      <c r="C3" s="54"/>
      <c r="D3" s="54"/>
      <c r="E3" s="54"/>
      <c r="F3" s="54"/>
      <c r="G3" s="55" t="s">
        <v>56</v>
      </c>
      <c r="H3" s="55"/>
      <c r="I3" s="55"/>
      <c r="J3" s="4" t="s">
        <v>6</v>
      </c>
      <c r="K3" s="5">
        <f>K20+G19+C22</f>
        <v>894.84</v>
      </c>
    </row>
    <row r="4" spans="1:11" ht="18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</row>
    <row r="5" spans="1:11" ht="18" x14ac:dyDescent="0.25">
      <c r="A5" s="6" t="s">
        <v>1</v>
      </c>
      <c r="B5" s="7" t="s">
        <v>7</v>
      </c>
      <c r="C5" s="8" t="s">
        <v>8</v>
      </c>
      <c r="D5" s="53"/>
      <c r="E5" s="6" t="s">
        <v>1</v>
      </c>
      <c r="F5" s="7" t="s">
        <v>7</v>
      </c>
      <c r="G5" s="8" t="s">
        <v>8</v>
      </c>
      <c r="H5" s="51"/>
      <c r="I5" s="9" t="s">
        <v>1</v>
      </c>
      <c r="J5" s="10" t="s">
        <v>7</v>
      </c>
      <c r="K5" s="11" t="s">
        <v>8</v>
      </c>
    </row>
    <row r="6" spans="1:11" ht="18" x14ac:dyDescent="0.25">
      <c r="A6" s="12">
        <v>1</v>
      </c>
      <c r="B6" s="13" t="s">
        <v>12</v>
      </c>
      <c r="C6" s="14">
        <v>12.85</v>
      </c>
      <c r="D6" s="51"/>
      <c r="E6" s="12">
        <v>17</v>
      </c>
      <c r="F6" s="13" t="s">
        <v>35</v>
      </c>
      <c r="G6" s="14">
        <v>2.4500000000000002</v>
      </c>
      <c r="H6" s="51"/>
      <c r="I6" s="12">
        <v>30</v>
      </c>
      <c r="J6" s="13" t="s">
        <v>47</v>
      </c>
      <c r="K6" s="14">
        <v>2.95</v>
      </c>
    </row>
    <row r="7" spans="1:11" ht="18" x14ac:dyDescent="0.25">
      <c r="A7" s="15">
        <v>2</v>
      </c>
      <c r="B7" s="15" t="s">
        <v>13</v>
      </c>
      <c r="C7" s="16">
        <v>9.52</v>
      </c>
      <c r="D7" s="51"/>
      <c r="E7" s="15">
        <v>18</v>
      </c>
      <c r="F7" s="15" t="s">
        <v>36</v>
      </c>
      <c r="G7" s="16">
        <v>3.79</v>
      </c>
      <c r="H7" s="51"/>
      <c r="I7" s="15">
        <v>31</v>
      </c>
      <c r="J7" s="15" t="s">
        <v>48</v>
      </c>
      <c r="K7" s="16">
        <v>4.08</v>
      </c>
    </row>
    <row r="8" spans="1:11" ht="18" x14ac:dyDescent="0.25">
      <c r="A8" s="12">
        <v>3</v>
      </c>
      <c r="B8" s="13" t="s">
        <v>14</v>
      </c>
      <c r="C8" s="14">
        <v>17.600000000000001</v>
      </c>
      <c r="D8" s="51"/>
      <c r="E8" s="12">
        <v>19</v>
      </c>
      <c r="F8" s="13" t="s">
        <v>37</v>
      </c>
      <c r="G8" s="14">
        <v>1.56</v>
      </c>
      <c r="H8" s="51"/>
      <c r="I8" s="12">
        <v>32</v>
      </c>
      <c r="J8" s="13" t="s">
        <v>49</v>
      </c>
      <c r="K8" s="14">
        <v>1.33</v>
      </c>
    </row>
    <row r="9" spans="1:11" ht="18" x14ac:dyDescent="0.25">
      <c r="A9" s="15">
        <v>4</v>
      </c>
      <c r="B9" s="15" t="s">
        <v>24</v>
      </c>
      <c r="C9" s="16">
        <v>5.1100000000000003</v>
      </c>
      <c r="D9" s="51"/>
      <c r="E9" s="15">
        <v>20</v>
      </c>
      <c r="F9" s="15" t="s">
        <v>38</v>
      </c>
      <c r="G9" s="16">
        <v>2.54</v>
      </c>
      <c r="H9" s="51"/>
      <c r="I9" s="15">
        <v>33</v>
      </c>
      <c r="J9" s="15" t="s">
        <v>50</v>
      </c>
      <c r="K9" s="16">
        <v>2.85</v>
      </c>
    </row>
    <row r="10" spans="1:11" ht="18" x14ac:dyDescent="0.25">
      <c r="A10" s="12">
        <v>5</v>
      </c>
      <c r="B10" s="13" t="s">
        <v>25</v>
      </c>
      <c r="C10" s="14">
        <v>2.5299999999999998</v>
      </c>
      <c r="D10" s="51"/>
      <c r="E10" s="12">
        <v>21</v>
      </c>
      <c r="F10" s="13" t="s">
        <v>39</v>
      </c>
      <c r="G10" s="14">
        <v>2.5499999999999998</v>
      </c>
      <c r="H10" s="51"/>
      <c r="I10" s="12">
        <v>34</v>
      </c>
      <c r="J10" s="13" t="s">
        <v>51</v>
      </c>
      <c r="K10" s="14">
        <v>2.73</v>
      </c>
    </row>
    <row r="11" spans="1:11" ht="18" x14ac:dyDescent="0.25">
      <c r="A11" s="15">
        <v>6</v>
      </c>
      <c r="B11" s="15" t="s">
        <v>26</v>
      </c>
      <c r="C11" s="16">
        <v>2.54</v>
      </c>
      <c r="D11" s="51"/>
      <c r="E11" s="15">
        <v>22</v>
      </c>
      <c r="F11" s="15" t="s">
        <v>40</v>
      </c>
      <c r="G11" s="16">
        <v>2.6</v>
      </c>
      <c r="H11" s="51"/>
      <c r="I11" s="15">
        <v>35</v>
      </c>
      <c r="J11" s="15" t="s">
        <v>52</v>
      </c>
      <c r="K11" s="16">
        <v>2.74</v>
      </c>
    </row>
    <row r="12" spans="1:11" ht="18" x14ac:dyDescent="0.25">
      <c r="A12" s="12">
        <v>7</v>
      </c>
      <c r="B12" s="13" t="s">
        <v>27</v>
      </c>
      <c r="C12" s="14">
        <v>2.71</v>
      </c>
      <c r="D12" s="51"/>
      <c r="E12" s="12">
        <v>23</v>
      </c>
      <c r="F12" s="13" t="s">
        <v>34</v>
      </c>
      <c r="G12" s="14">
        <v>2.6</v>
      </c>
      <c r="H12" s="51"/>
      <c r="I12" s="12">
        <v>36</v>
      </c>
      <c r="J12" s="13" t="s">
        <v>53</v>
      </c>
      <c r="K12" s="14">
        <v>2.79</v>
      </c>
    </row>
    <row r="13" spans="1:11" ht="18" x14ac:dyDescent="0.25">
      <c r="A13" s="15">
        <v>8</v>
      </c>
      <c r="B13" s="15" t="s">
        <v>15</v>
      </c>
      <c r="C13" s="16">
        <v>14.88</v>
      </c>
      <c r="D13" s="51"/>
      <c r="E13" s="15">
        <v>24</v>
      </c>
      <c r="F13" s="15" t="s">
        <v>29</v>
      </c>
      <c r="G13" s="16">
        <v>23.22</v>
      </c>
      <c r="H13" s="51"/>
      <c r="I13" s="15">
        <v>37</v>
      </c>
      <c r="J13" s="15" t="s">
        <v>54</v>
      </c>
      <c r="K13" s="16">
        <v>2.65</v>
      </c>
    </row>
    <row r="14" spans="1:11" ht="18" x14ac:dyDescent="0.25">
      <c r="A14" s="12">
        <v>9</v>
      </c>
      <c r="B14" s="13" t="s">
        <v>16</v>
      </c>
      <c r="C14" s="20">
        <v>16.38</v>
      </c>
      <c r="D14" s="51"/>
      <c r="E14" s="12">
        <v>25</v>
      </c>
      <c r="F14" s="13" t="s">
        <v>30</v>
      </c>
      <c r="G14" s="20">
        <v>49.93</v>
      </c>
      <c r="H14" s="51"/>
      <c r="I14" s="12">
        <v>38</v>
      </c>
      <c r="J14" s="13" t="s">
        <v>42</v>
      </c>
      <c r="K14" s="20">
        <v>23.35</v>
      </c>
    </row>
    <row r="15" spans="1:11" ht="18" x14ac:dyDescent="0.25">
      <c r="A15" s="15">
        <v>10</v>
      </c>
      <c r="B15" s="15" t="s">
        <v>17</v>
      </c>
      <c r="C15" s="16">
        <v>23.46</v>
      </c>
      <c r="D15" s="51"/>
      <c r="E15" s="15">
        <v>26</v>
      </c>
      <c r="F15" s="15" t="s">
        <v>31</v>
      </c>
      <c r="G15" s="16">
        <v>55.58</v>
      </c>
      <c r="H15" s="51"/>
      <c r="I15" s="15">
        <v>39</v>
      </c>
      <c r="J15" s="15" t="s">
        <v>41</v>
      </c>
      <c r="K15" s="16">
        <v>49.88</v>
      </c>
    </row>
    <row r="16" spans="1:11" ht="18" x14ac:dyDescent="0.25">
      <c r="A16" s="12">
        <v>11</v>
      </c>
      <c r="B16" s="13" t="s">
        <v>18</v>
      </c>
      <c r="C16" s="20">
        <v>50.03</v>
      </c>
      <c r="D16" s="51"/>
      <c r="E16" s="12">
        <v>27</v>
      </c>
      <c r="F16" s="13" t="s">
        <v>32</v>
      </c>
      <c r="G16" s="20">
        <f>22.67</f>
        <v>22.67</v>
      </c>
      <c r="H16" s="51"/>
      <c r="I16" s="12">
        <v>40</v>
      </c>
      <c r="J16" s="13" t="s">
        <v>43</v>
      </c>
      <c r="K16" s="20">
        <v>55.65</v>
      </c>
    </row>
    <row r="17" spans="1:11" ht="18" x14ac:dyDescent="0.25">
      <c r="A17" s="15">
        <v>12</v>
      </c>
      <c r="B17" s="15" t="s">
        <v>19</v>
      </c>
      <c r="C17" s="16">
        <v>55.72</v>
      </c>
      <c r="D17" s="51"/>
      <c r="E17" s="15">
        <v>28</v>
      </c>
      <c r="F17" s="15" t="s">
        <v>33</v>
      </c>
      <c r="G17" s="16">
        <v>49.72</v>
      </c>
      <c r="H17" s="51"/>
      <c r="I17" s="15">
        <v>41</v>
      </c>
      <c r="J17" s="15" t="s">
        <v>44</v>
      </c>
      <c r="K17" s="16">
        <f>22.43</f>
        <v>22.43</v>
      </c>
    </row>
    <row r="18" spans="1:11" ht="18" x14ac:dyDescent="0.25">
      <c r="A18" s="12">
        <v>13</v>
      </c>
      <c r="B18" s="20" t="s">
        <v>20</v>
      </c>
      <c r="C18" s="20">
        <f>23.03-C19</f>
        <v>18.200000000000003</v>
      </c>
      <c r="D18" s="51"/>
      <c r="E18" s="12">
        <v>29</v>
      </c>
      <c r="F18" s="20" t="s">
        <v>28</v>
      </c>
      <c r="G18" s="20">
        <v>55.25</v>
      </c>
      <c r="H18" s="51"/>
      <c r="I18" s="12">
        <v>42</v>
      </c>
      <c r="J18" s="20" t="s">
        <v>45</v>
      </c>
      <c r="K18" s="20">
        <v>50.03</v>
      </c>
    </row>
    <row r="19" spans="1:11" ht="18" x14ac:dyDescent="0.25">
      <c r="A19" s="15">
        <v>14</v>
      </c>
      <c r="B19" s="15" t="s">
        <v>21</v>
      </c>
      <c r="C19" s="16">
        <v>4.83</v>
      </c>
      <c r="D19" s="51"/>
      <c r="E19" s="17"/>
      <c r="F19" s="18" t="s">
        <v>9</v>
      </c>
      <c r="G19" s="19">
        <f>SUM(G6:G18)</f>
        <v>274.46000000000004</v>
      </c>
      <c r="H19" s="51"/>
      <c r="I19" s="15">
        <v>43</v>
      </c>
      <c r="J19" s="15" t="s">
        <v>46</v>
      </c>
      <c r="K19" s="16">
        <v>55.27</v>
      </c>
    </row>
    <row r="20" spans="1:11" ht="18" x14ac:dyDescent="0.25">
      <c r="A20" s="12">
        <v>15</v>
      </c>
      <c r="B20" s="20" t="s">
        <v>22</v>
      </c>
      <c r="C20" s="20">
        <v>49.98</v>
      </c>
      <c r="D20" s="51"/>
      <c r="E20" s="49"/>
      <c r="F20" s="49"/>
      <c r="G20" s="49"/>
      <c r="H20" s="51"/>
      <c r="I20" s="17"/>
      <c r="J20" s="18" t="s">
        <v>9</v>
      </c>
      <c r="K20" s="19">
        <f>SUM(K6:K19)</f>
        <v>278.73</v>
      </c>
    </row>
    <row r="21" spans="1:11" ht="18" x14ac:dyDescent="0.25">
      <c r="A21" s="15">
        <v>16</v>
      </c>
      <c r="B21" s="15" t="s">
        <v>23</v>
      </c>
      <c r="C21" s="16">
        <v>55.31</v>
      </c>
      <c r="D21" s="51"/>
      <c r="E21" s="50"/>
      <c r="F21" s="50"/>
      <c r="G21" s="50"/>
      <c r="H21" s="51"/>
      <c r="I21" s="49"/>
      <c r="J21" s="49"/>
      <c r="K21" s="49"/>
    </row>
    <row r="22" spans="1:11" ht="18" x14ac:dyDescent="0.25">
      <c r="A22" s="17"/>
      <c r="B22" s="18" t="s">
        <v>9</v>
      </c>
      <c r="C22" s="19">
        <f>SUM(C6:C21)</f>
        <v>341.65</v>
      </c>
      <c r="D22" s="51"/>
      <c r="E22" s="50"/>
      <c r="F22" s="50"/>
      <c r="G22" s="50"/>
      <c r="H22" s="51"/>
      <c r="I22" s="50"/>
      <c r="J22" s="50"/>
      <c r="K22" s="50"/>
    </row>
  </sheetData>
  <mergeCells count="10">
    <mergeCell ref="D5:D22"/>
    <mergeCell ref="H5:H22"/>
    <mergeCell ref="E20:G22"/>
    <mergeCell ref="I21:K22"/>
    <mergeCell ref="A1:K1"/>
    <mergeCell ref="B2:F2"/>
    <mergeCell ref="G2:I2"/>
    <mergeCell ref="B3:F3"/>
    <mergeCell ref="G3:I3"/>
    <mergeCell ref="A4:K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zoomScale="85" zoomScaleNormal="85" workbookViewId="0">
      <selection sqref="A1:K1"/>
    </sheetView>
  </sheetViews>
  <sheetFormatPr defaultRowHeight="15" x14ac:dyDescent="0.25"/>
  <cols>
    <col min="1" max="2" width="8.88671875" style="1"/>
    <col min="3" max="3" width="13.21875" style="1" customWidth="1"/>
    <col min="4" max="4" width="4.5546875" style="1" customWidth="1"/>
    <col min="5" max="6" width="8.88671875" style="1"/>
    <col min="7" max="7" width="12" style="1" customWidth="1"/>
    <col min="8" max="8" width="4.21875" style="1" customWidth="1"/>
    <col min="9" max="9" width="10.88671875" style="1" customWidth="1"/>
    <col min="10" max="10" width="10.5546875" style="1" bestFit="1" customWidth="1"/>
    <col min="11" max="11" width="11.33203125" style="1" customWidth="1"/>
    <col min="12" max="16384" width="8.88671875" style="1"/>
  </cols>
  <sheetData>
    <row r="1" spans="1:11" ht="18" customHeight="1" x14ac:dyDescent="0.2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1" ht="18" customHeight="1" x14ac:dyDescent="0.25">
      <c r="A2" s="2" t="s">
        <v>1</v>
      </c>
      <c r="B2" s="48" t="s">
        <v>2</v>
      </c>
      <c r="C2" s="48"/>
      <c r="D2" s="48"/>
      <c r="E2" s="48"/>
      <c r="F2" s="48" t="s">
        <v>3</v>
      </c>
      <c r="G2" s="48"/>
      <c r="H2" s="48"/>
      <c r="I2" s="48"/>
      <c r="J2" s="3" t="s">
        <v>4</v>
      </c>
      <c r="K2" s="3" t="s">
        <v>5</v>
      </c>
    </row>
    <row r="3" spans="1:11" ht="51.6" customHeight="1" x14ac:dyDescent="0.25">
      <c r="A3" s="2">
        <v>1</v>
      </c>
      <c r="B3" s="54" t="s">
        <v>57</v>
      </c>
      <c r="C3" s="54"/>
      <c r="D3" s="54"/>
      <c r="E3" s="54"/>
      <c r="F3" s="55" t="s">
        <v>58</v>
      </c>
      <c r="G3" s="55"/>
      <c r="H3" s="55"/>
      <c r="I3" s="55"/>
      <c r="J3" s="4" t="s">
        <v>6</v>
      </c>
      <c r="K3" s="5">
        <f>K20+G19+C22</f>
        <v>894.84</v>
      </c>
    </row>
    <row r="4" spans="1:11" ht="18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</row>
    <row r="5" spans="1:11" ht="18" x14ac:dyDescent="0.25">
      <c r="A5" s="6" t="s">
        <v>1</v>
      </c>
      <c r="B5" s="7" t="s">
        <v>7</v>
      </c>
      <c r="C5" s="8" t="s">
        <v>8</v>
      </c>
      <c r="D5" s="53"/>
      <c r="E5" s="6" t="s">
        <v>1</v>
      </c>
      <c r="F5" s="7" t="s">
        <v>7</v>
      </c>
      <c r="G5" s="8" t="s">
        <v>8</v>
      </c>
      <c r="H5" s="51"/>
      <c r="I5" s="9" t="s">
        <v>1</v>
      </c>
      <c r="J5" s="10" t="s">
        <v>7</v>
      </c>
      <c r="K5" s="11" t="s">
        <v>8</v>
      </c>
    </row>
    <row r="6" spans="1:11" ht="18" x14ac:dyDescent="0.25">
      <c r="A6" s="12">
        <v>1</v>
      </c>
      <c r="B6" s="13" t="s">
        <v>12</v>
      </c>
      <c r="C6" s="14">
        <v>12.85</v>
      </c>
      <c r="D6" s="51"/>
      <c r="E6" s="12">
        <v>17</v>
      </c>
      <c r="F6" s="13" t="s">
        <v>35</v>
      </c>
      <c r="G6" s="14">
        <v>2.4500000000000002</v>
      </c>
      <c r="H6" s="51"/>
      <c r="I6" s="12">
        <v>30</v>
      </c>
      <c r="J6" s="13" t="s">
        <v>47</v>
      </c>
      <c r="K6" s="14">
        <v>2.95</v>
      </c>
    </row>
    <row r="7" spans="1:11" ht="18" x14ac:dyDescent="0.25">
      <c r="A7" s="15">
        <v>2</v>
      </c>
      <c r="B7" s="15" t="s">
        <v>13</v>
      </c>
      <c r="C7" s="16">
        <v>9.52</v>
      </c>
      <c r="D7" s="51"/>
      <c r="E7" s="15">
        <v>18</v>
      </c>
      <c r="F7" s="15" t="s">
        <v>36</v>
      </c>
      <c r="G7" s="16">
        <v>3.79</v>
      </c>
      <c r="H7" s="51"/>
      <c r="I7" s="15">
        <v>31</v>
      </c>
      <c r="J7" s="15" t="s">
        <v>48</v>
      </c>
      <c r="K7" s="16">
        <v>4.08</v>
      </c>
    </row>
    <row r="8" spans="1:11" ht="18" x14ac:dyDescent="0.25">
      <c r="A8" s="12">
        <v>3</v>
      </c>
      <c r="B8" s="13" t="s">
        <v>14</v>
      </c>
      <c r="C8" s="14">
        <v>17.600000000000001</v>
      </c>
      <c r="D8" s="51"/>
      <c r="E8" s="12">
        <v>19</v>
      </c>
      <c r="F8" s="13" t="s">
        <v>37</v>
      </c>
      <c r="G8" s="14">
        <v>1.56</v>
      </c>
      <c r="H8" s="51"/>
      <c r="I8" s="12">
        <v>32</v>
      </c>
      <c r="J8" s="13" t="s">
        <v>49</v>
      </c>
      <c r="K8" s="14">
        <v>1.33</v>
      </c>
    </row>
    <row r="9" spans="1:11" ht="18" x14ac:dyDescent="0.25">
      <c r="A9" s="15">
        <v>4</v>
      </c>
      <c r="B9" s="15" t="s">
        <v>24</v>
      </c>
      <c r="C9" s="16">
        <v>5.1100000000000003</v>
      </c>
      <c r="D9" s="51"/>
      <c r="E9" s="15">
        <v>20</v>
      </c>
      <c r="F9" s="15" t="s">
        <v>38</v>
      </c>
      <c r="G9" s="16">
        <v>2.54</v>
      </c>
      <c r="H9" s="51"/>
      <c r="I9" s="15">
        <v>33</v>
      </c>
      <c r="J9" s="15" t="s">
        <v>50</v>
      </c>
      <c r="K9" s="16">
        <v>2.85</v>
      </c>
    </row>
    <row r="10" spans="1:11" ht="18" x14ac:dyDescent="0.25">
      <c r="A10" s="12">
        <v>5</v>
      </c>
      <c r="B10" s="13" t="s">
        <v>25</v>
      </c>
      <c r="C10" s="14">
        <v>2.5299999999999998</v>
      </c>
      <c r="D10" s="51"/>
      <c r="E10" s="12">
        <v>21</v>
      </c>
      <c r="F10" s="13" t="s">
        <v>39</v>
      </c>
      <c r="G10" s="14">
        <v>2.5499999999999998</v>
      </c>
      <c r="H10" s="51"/>
      <c r="I10" s="12">
        <v>34</v>
      </c>
      <c r="J10" s="13" t="s">
        <v>51</v>
      </c>
      <c r="K10" s="14">
        <v>2.73</v>
      </c>
    </row>
    <row r="11" spans="1:11" ht="18" x14ac:dyDescent="0.25">
      <c r="A11" s="15">
        <v>6</v>
      </c>
      <c r="B11" s="15" t="s">
        <v>26</v>
      </c>
      <c r="C11" s="16">
        <v>2.54</v>
      </c>
      <c r="D11" s="51"/>
      <c r="E11" s="15">
        <v>22</v>
      </c>
      <c r="F11" s="15" t="s">
        <v>40</v>
      </c>
      <c r="G11" s="16">
        <v>2.6</v>
      </c>
      <c r="H11" s="51"/>
      <c r="I11" s="15">
        <v>35</v>
      </c>
      <c r="J11" s="15" t="s">
        <v>52</v>
      </c>
      <c r="K11" s="16">
        <v>2.74</v>
      </c>
    </row>
    <row r="12" spans="1:11" ht="18" x14ac:dyDescent="0.25">
      <c r="A12" s="12">
        <v>7</v>
      </c>
      <c r="B12" s="13" t="s">
        <v>27</v>
      </c>
      <c r="C12" s="14">
        <v>2.71</v>
      </c>
      <c r="D12" s="51"/>
      <c r="E12" s="12">
        <v>23</v>
      </c>
      <c r="F12" s="13" t="s">
        <v>34</v>
      </c>
      <c r="G12" s="14">
        <v>2.6</v>
      </c>
      <c r="H12" s="51"/>
      <c r="I12" s="12">
        <v>36</v>
      </c>
      <c r="J12" s="13" t="s">
        <v>53</v>
      </c>
      <c r="K12" s="14">
        <v>2.79</v>
      </c>
    </row>
    <row r="13" spans="1:11" ht="18" x14ac:dyDescent="0.25">
      <c r="A13" s="15">
        <v>8</v>
      </c>
      <c r="B13" s="15" t="s">
        <v>15</v>
      </c>
      <c r="C13" s="16">
        <v>14.88</v>
      </c>
      <c r="D13" s="51"/>
      <c r="E13" s="15">
        <v>24</v>
      </c>
      <c r="F13" s="15" t="s">
        <v>29</v>
      </c>
      <c r="G13" s="16">
        <v>23.22</v>
      </c>
      <c r="H13" s="51"/>
      <c r="I13" s="15">
        <v>37</v>
      </c>
      <c r="J13" s="15" t="s">
        <v>54</v>
      </c>
      <c r="K13" s="16">
        <v>2.65</v>
      </c>
    </row>
    <row r="14" spans="1:11" ht="18" x14ac:dyDescent="0.25">
      <c r="A14" s="12">
        <v>9</v>
      </c>
      <c r="B14" s="13" t="s">
        <v>16</v>
      </c>
      <c r="C14" s="20">
        <v>16.38</v>
      </c>
      <c r="D14" s="51"/>
      <c r="E14" s="12">
        <v>25</v>
      </c>
      <c r="F14" s="13" t="s">
        <v>30</v>
      </c>
      <c r="G14" s="20">
        <v>49.93</v>
      </c>
      <c r="H14" s="51"/>
      <c r="I14" s="12">
        <v>38</v>
      </c>
      <c r="J14" s="13" t="s">
        <v>42</v>
      </c>
      <c r="K14" s="20">
        <v>23.35</v>
      </c>
    </row>
    <row r="15" spans="1:11" ht="18" x14ac:dyDescent="0.25">
      <c r="A15" s="15">
        <v>10</v>
      </c>
      <c r="B15" s="15" t="s">
        <v>17</v>
      </c>
      <c r="C15" s="16">
        <v>23.46</v>
      </c>
      <c r="D15" s="51"/>
      <c r="E15" s="15">
        <v>26</v>
      </c>
      <c r="F15" s="15" t="s">
        <v>31</v>
      </c>
      <c r="G15" s="16">
        <v>55.58</v>
      </c>
      <c r="H15" s="51"/>
      <c r="I15" s="15">
        <v>39</v>
      </c>
      <c r="J15" s="15" t="s">
        <v>41</v>
      </c>
      <c r="K15" s="16">
        <v>49.88</v>
      </c>
    </row>
    <row r="16" spans="1:11" ht="18" x14ac:dyDescent="0.25">
      <c r="A16" s="12">
        <v>11</v>
      </c>
      <c r="B16" s="13" t="s">
        <v>18</v>
      </c>
      <c r="C16" s="20">
        <v>50.03</v>
      </c>
      <c r="D16" s="51"/>
      <c r="E16" s="12">
        <v>27</v>
      </c>
      <c r="F16" s="13" t="s">
        <v>32</v>
      </c>
      <c r="G16" s="20">
        <f>22.67</f>
        <v>22.67</v>
      </c>
      <c r="H16" s="51"/>
      <c r="I16" s="12">
        <v>40</v>
      </c>
      <c r="J16" s="13" t="s">
        <v>43</v>
      </c>
      <c r="K16" s="20">
        <v>55.65</v>
      </c>
    </row>
    <row r="17" spans="1:11" ht="18" x14ac:dyDescent="0.25">
      <c r="A17" s="15">
        <v>12</v>
      </c>
      <c r="B17" s="15" t="s">
        <v>19</v>
      </c>
      <c r="C17" s="16">
        <v>55.72</v>
      </c>
      <c r="D17" s="51"/>
      <c r="E17" s="15">
        <v>28</v>
      </c>
      <c r="F17" s="15" t="s">
        <v>33</v>
      </c>
      <c r="G17" s="16">
        <v>49.72</v>
      </c>
      <c r="H17" s="51"/>
      <c r="I17" s="15">
        <v>41</v>
      </c>
      <c r="J17" s="15" t="s">
        <v>44</v>
      </c>
      <c r="K17" s="16">
        <f>22.43</f>
        <v>22.43</v>
      </c>
    </row>
    <row r="18" spans="1:11" ht="18" x14ac:dyDescent="0.25">
      <c r="A18" s="12">
        <v>13</v>
      </c>
      <c r="B18" s="20" t="s">
        <v>20</v>
      </c>
      <c r="C18" s="20">
        <f>23.03-C19</f>
        <v>18.200000000000003</v>
      </c>
      <c r="D18" s="51"/>
      <c r="E18" s="12">
        <v>29</v>
      </c>
      <c r="F18" s="20" t="s">
        <v>28</v>
      </c>
      <c r="G18" s="20">
        <v>55.25</v>
      </c>
      <c r="H18" s="51"/>
      <c r="I18" s="12">
        <v>42</v>
      </c>
      <c r="J18" s="20" t="s">
        <v>45</v>
      </c>
      <c r="K18" s="20">
        <v>50.03</v>
      </c>
    </row>
    <row r="19" spans="1:11" ht="18" x14ac:dyDescent="0.25">
      <c r="A19" s="15">
        <v>14</v>
      </c>
      <c r="B19" s="15" t="s">
        <v>21</v>
      </c>
      <c r="C19" s="16">
        <v>4.83</v>
      </c>
      <c r="D19" s="51"/>
      <c r="E19" s="17"/>
      <c r="F19" s="18" t="s">
        <v>9</v>
      </c>
      <c r="G19" s="19">
        <f>SUM(G6:G18)</f>
        <v>274.46000000000004</v>
      </c>
      <c r="H19" s="51"/>
      <c r="I19" s="15">
        <v>43</v>
      </c>
      <c r="J19" s="15" t="s">
        <v>46</v>
      </c>
      <c r="K19" s="16">
        <v>55.27</v>
      </c>
    </row>
    <row r="20" spans="1:11" ht="18" x14ac:dyDescent="0.25">
      <c r="A20" s="12">
        <v>15</v>
      </c>
      <c r="B20" s="20" t="s">
        <v>22</v>
      </c>
      <c r="C20" s="20">
        <v>49.98</v>
      </c>
      <c r="D20" s="51"/>
      <c r="E20" s="49"/>
      <c r="F20" s="49"/>
      <c r="G20" s="49"/>
      <c r="H20" s="51"/>
      <c r="I20" s="17"/>
      <c r="J20" s="18" t="s">
        <v>9</v>
      </c>
      <c r="K20" s="19">
        <f>SUM(K6:K19)</f>
        <v>278.73</v>
      </c>
    </row>
    <row r="21" spans="1:11" ht="18" x14ac:dyDescent="0.25">
      <c r="A21" s="15">
        <v>16</v>
      </c>
      <c r="B21" s="15" t="s">
        <v>23</v>
      </c>
      <c r="C21" s="16">
        <v>55.31</v>
      </c>
      <c r="D21" s="51"/>
      <c r="E21" s="50"/>
      <c r="F21" s="50"/>
      <c r="G21" s="50"/>
      <c r="H21" s="51"/>
      <c r="I21" s="49"/>
      <c r="J21" s="49"/>
      <c r="K21" s="49"/>
    </row>
    <row r="22" spans="1:11" ht="18" x14ac:dyDescent="0.25">
      <c r="A22" s="17"/>
      <c r="B22" s="18" t="s">
        <v>9</v>
      </c>
      <c r="C22" s="19">
        <f>SUM(C6:C21)</f>
        <v>341.65</v>
      </c>
      <c r="D22" s="51"/>
      <c r="E22" s="50"/>
      <c r="F22" s="50"/>
      <c r="G22" s="50"/>
      <c r="H22" s="51"/>
      <c r="I22" s="50"/>
      <c r="J22" s="50"/>
      <c r="K22" s="50"/>
    </row>
  </sheetData>
  <mergeCells count="10">
    <mergeCell ref="A1:K1"/>
    <mergeCell ref="A4:K4"/>
    <mergeCell ref="D5:D22"/>
    <mergeCell ref="H5:H22"/>
    <mergeCell ref="E20:G22"/>
    <mergeCell ref="I21:K22"/>
    <mergeCell ref="F2:I2"/>
    <mergeCell ref="F3:I3"/>
    <mergeCell ref="B3:E3"/>
    <mergeCell ref="B2:E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zoomScale="55" zoomScaleNormal="55" workbookViewId="0">
      <selection activeCell="L1" sqref="L1:R1048576"/>
    </sheetView>
  </sheetViews>
  <sheetFormatPr defaultRowHeight="15" x14ac:dyDescent="0.25"/>
  <cols>
    <col min="1" max="1" width="8.88671875" style="1"/>
    <col min="2" max="2" width="11.88671875" style="1" customWidth="1"/>
    <col min="3" max="3" width="13.21875" style="1" customWidth="1"/>
    <col min="4" max="4" width="4.5546875" style="1" customWidth="1"/>
    <col min="5" max="6" width="8.88671875" style="1"/>
    <col min="7" max="7" width="12" style="1" customWidth="1"/>
    <col min="8" max="8" width="4.21875" style="1" customWidth="1"/>
    <col min="9" max="9" width="10.88671875" style="1" customWidth="1"/>
    <col min="10" max="10" width="12.6640625" style="1" customWidth="1"/>
    <col min="11" max="11" width="12.33203125" style="1" customWidth="1"/>
    <col min="12" max="16384" width="8.88671875" style="1"/>
  </cols>
  <sheetData>
    <row r="1" spans="1:11" ht="18" customHeight="1" x14ac:dyDescent="0.2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1" ht="18" customHeight="1" x14ac:dyDescent="0.25">
      <c r="A2" s="31" t="s">
        <v>1</v>
      </c>
      <c r="B2" s="48" t="s">
        <v>2</v>
      </c>
      <c r="C2" s="48"/>
      <c r="D2" s="48"/>
      <c r="E2" s="48"/>
      <c r="F2" s="48"/>
      <c r="G2" s="48" t="s">
        <v>3</v>
      </c>
      <c r="H2" s="48"/>
      <c r="I2" s="48"/>
      <c r="J2" s="3" t="s">
        <v>4</v>
      </c>
      <c r="K2" s="3" t="s">
        <v>5</v>
      </c>
    </row>
    <row r="3" spans="1:11" ht="63.6" customHeight="1" x14ac:dyDescent="0.25">
      <c r="A3" s="31">
        <v>1</v>
      </c>
      <c r="B3" s="54" t="s">
        <v>168</v>
      </c>
      <c r="C3" s="54"/>
      <c r="D3" s="54"/>
      <c r="E3" s="54"/>
      <c r="F3" s="54"/>
      <c r="G3" s="55" t="s">
        <v>169</v>
      </c>
      <c r="H3" s="55"/>
      <c r="I3" s="55"/>
      <c r="J3" s="4" t="s">
        <v>6</v>
      </c>
      <c r="K3" s="5">
        <f>K28+G42+C43</f>
        <v>2919.5279739999996</v>
      </c>
    </row>
    <row r="4" spans="1:11" ht="18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</row>
    <row r="5" spans="1:11" ht="18" x14ac:dyDescent="0.25">
      <c r="A5" s="6" t="s">
        <v>1</v>
      </c>
      <c r="B5" s="7" t="s">
        <v>7</v>
      </c>
      <c r="C5" s="8" t="s">
        <v>8</v>
      </c>
      <c r="D5" s="53"/>
      <c r="E5" s="6" t="s">
        <v>1</v>
      </c>
      <c r="F5" s="7" t="s">
        <v>7</v>
      </c>
      <c r="G5" s="8" t="s">
        <v>8</v>
      </c>
      <c r="H5" s="51"/>
      <c r="I5" s="9" t="s">
        <v>1</v>
      </c>
      <c r="J5" s="10" t="s">
        <v>7</v>
      </c>
      <c r="K5" s="11" t="s">
        <v>8</v>
      </c>
    </row>
    <row r="6" spans="1:11" ht="18.600000000000001" customHeight="1" x14ac:dyDescent="0.25">
      <c r="A6" s="12">
        <v>1</v>
      </c>
      <c r="B6" s="13" t="s">
        <v>155</v>
      </c>
      <c r="C6" s="14">
        <f>114.61+85.5+5.75</f>
        <v>205.86</v>
      </c>
      <c r="D6" s="51"/>
      <c r="E6" s="12">
        <v>38</v>
      </c>
      <c r="F6" s="13" t="s">
        <v>82</v>
      </c>
      <c r="G6" s="14">
        <v>76.349999999999994</v>
      </c>
      <c r="H6" s="51"/>
      <c r="I6" s="12">
        <v>74</v>
      </c>
      <c r="J6" s="13" t="s">
        <v>60</v>
      </c>
      <c r="K6" s="14">
        <v>85.255876000000001</v>
      </c>
    </row>
    <row r="7" spans="1:11" ht="18" x14ac:dyDescent="0.25">
      <c r="A7" s="15">
        <v>2</v>
      </c>
      <c r="B7" s="15" t="s">
        <v>119</v>
      </c>
      <c r="C7" s="16">
        <v>15.68</v>
      </c>
      <c r="D7" s="51"/>
      <c r="E7" s="15">
        <v>39</v>
      </c>
      <c r="F7" s="15" t="s">
        <v>83</v>
      </c>
      <c r="G7" s="16">
        <v>17.690000000000001</v>
      </c>
      <c r="H7" s="51"/>
      <c r="I7" s="15">
        <v>75</v>
      </c>
      <c r="J7" s="15" t="s">
        <v>61</v>
      </c>
      <c r="K7" s="16">
        <v>21.566807000000001</v>
      </c>
    </row>
    <row r="8" spans="1:11" ht="18" x14ac:dyDescent="0.25">
      <c r="A8" s="12">
        <v>3</v>
      </c>
      <c r="B8" s="13" t="s">
        <v>120</v>
      </c>
      <c r="C8" s="14">
        <v>5.01</v>
      </c>
      <c r="D8" s="51"/>
      <c r="E8" s="12">
        <v>40</v>
      </c>
      <c r="F8" s="13" t="s">
        <v>84</v>
      </c>
      <c r="G8" s="14">
        <v>5.15</v>
      </c>
      <c r="H8" s="51"/>
      <c r="I8" s="12">
        <v>76</v>
      </c>
      <c r="J8" s="13" t="s">
        <v>62</v>
      </c>
      <c r="K8" s="14">
        <v>5.12</v>
      </c>
    </row>
    <row r="9" spans="1:11" ht="18" x14ac:dyDescent="0.25">
      <c r="A9" s="15">
        <v>4</v>
      </c>
      <c r="B9" s="15" t="s">
        <v>121</v>
      </c>
      <c r="C9" s="16">
        <v>6.01</v>
      </c>
      <c r="D9" s="51"/>
      <c r="E9" s="15">
        <v>41</v>
      </c>
      <c r="F9" s="15" t="s">
        <v>85</v>
      </c>
      <c r="G9" s="16">
        <v>9.48</v>
      </c>
      <c r="H9" s="51"/>
      <c r="I9" s="15">
        <v>77</v>
      </c>
      <c r="J9" s="15" t="s">
        <v>63</v>
      </c>
      <c r="K9" s="16">
        <v>11.51</v>
      </c>
    </row>
    <row r="10" spans="1:11" ht="18" x14ac:dyDescent="0.25">
      <c r="A10" s="12">
        <v>5</v>
      </c>
      <c r="B10" s="13" t="s">
        <v>122</v>
      </c>
      <c r="C10" s="14">
        <v>9.4600000000000009</v>
      </c>
      <c r="D10" s="51"/>
      <c r="E10" s="12">
        <v>42</v>
      </c>
      <c r="F10" s="13" t="s">
        <v>86</v>
      </c>
      <c r="G10" s="14">
        <v>198.78</v>
      </c>
      <c r="H10" s="51"/>
      <c r="I10" s="12">
        <v>78</v>
      </c>
      <c r="J10" s="13" t="s">
        <v>64</v>
      </c>
      <c r="K10" s="14">
        <v>114.03</v>
      </c>
    </row>
    <row r="11" spans="1:11" ht="18" x14ac:dyDescent="0.25">
      <c r="A11" s="15">
        <v>6</v>
      </c>
      <c r="B11" s="15" t="s">
        <v>24</v>
      </c>
      <c r="C11" s="16">
        <v>97.45</v>
      </c>
      <c r="D11" s="51"/>
      <c r="E11" s="15">
        <v>43</v>
      </c>
      <c r="F11" s="15" t="s">
        <v>87</v>
      </c>
      <c r="G11" s="16">
        <v>14.98</v>
      </c>
      <c r="H11" s="51"/>
      <c r="I11" s="15">
        <v>79</v>
      </c>
      <c r="J11" s="15" t="s">
        <v>65</v>
      </c>
      <c r="K11" s="16">
        <v>6.46</v>
      </c>
    </row>
    <row r="12" spans="1:11" ht="18" x14ac:dyDescent="0.25">
      <c r="A12" s="12">
        <v>7</v>
      </c>
      <c r="B12" s="13" t="s">
        <v>123</v>
      </c>
      <c r="C12" s="14">
        <v>9.7899999999999991</v>
      </c>
      <c r="D12" s="51"/>
      <c r="E12" s="12">
        <v>44</v>
      </c>
      <c r="F12" s="13" t="s">
        <v>88</v>
      </c>
      <c r="G12" s="14">
        <v>6.46</v>
      </c>
      <c r="H12" s="51"/>
      <c r="I12" s="12">
        <v>80</v>
      </c>
      <c r="J12" s="13" t="s">
        <v>66</v>
      </c>
      <c r="K12" s="14">
        <v>106.01</v>
      </c>
    </row>
    <row r="13" spans="1:11" ht="18" x14ac:dyDescent="0.25">
      <c r="A13" s="15">
        <v>8</v>
      </c>
      <c r="B13" s="15" t="s">
        <v>125</v>
      </c>
      <c r="C13" s="16">
        <v>10</v>
      </c>
      <c r="D13" s="51"/>
      <c r="E13" s="15">
        <v>45</v>
      </c>
      <c r="F13" s="15" t="s">
        <v>89</v>
      </c>
      <c r="G13" s="16">
        <v>106.83</v>
      </c>
      <c r="H13" s="51"/>
      <c r="I13" s="15">
        <v>81</v>
      </c>
      <c r="J13" s="15" t="s">
        <v>67</v>
      </c>
      <c r="K13" s="16">
        <v>5.24</v>
      </c>
    </row>
    <row r="14" spans="1:11" ht="18" x14ac:dyDescent="0.25">
      <c r="A14" s="12">
        <v>9</v>
      </c>
      <c r="B14" s="13" t="s">
        <v>124</v>
      </c>
      <c r="C14" s="14">
        <v>10.38</v>
      </c>
      <c r="D14" s="51"/>
      <c r="E14" s="15">
        <v>46</v>
      </c>
      <c r="F14" s="15" t="s">
        <v>91</v>
      </c>
      <c r="G14" s="16">
        <v>14.81</v>
      </c>
      <c r="H14" s="51"/>
      <c r="I14" s="12">
        <v>82</v>
      </c>
      <c r="J14" s="26" t="s">
        <v>68</v>
      </c>
      <c r="K14" s="14">
        <v>14.95</v>
      </c>
    </row>
    <row r="15" spans="1:11" ht="18" x14ac:dyDescent="0.25">
      <c r="A15" s="15">
        <v>10</v>
      </c>
      <c r="B15" s="15" t="s">
        <v>126</v>
      </c>
      <c r="C15" s="16">
        <v>25.29</v>
      </c>
      <c r="D15" s="51"/>
      <c r="E15" s="12">
        <v>47</v>
      </c>
      <c r="F15" s="13" t="s">
        <v>92</v>
      </c>
      <c r="G15" s="14">
        <v>14.79</v>
      </c>
      <c r="H15" s="51"/>
      <c r="I15" s="15">
        <v>83</v>
      </c>
      <c r="J15" s="15" t="s">
        <v>69</v>
      </c>
      <c r="K15" s="16">
        <v>14.92</v>
      </c>
    </row>
    <row r="16" spans="1:11" ht="18" x14ac:dyDescent="0.25">
      <c r="A16" s="12">
        <v>11</v>
      </c>
      <c r="B16" s="13" t="s">
        <v>127</v>
      </c>
      <c r="C16" s="14">
        <v>21.62</v>
      </c>
      <c r="D16" s="51"/>
      <c r="E16" s="15">
        <v>48</v>
      </c>
      <c r="F16" s="15" t="s">
        <v>93</v>
      </c>
      <c r="G16" s="16">
        <v>5.14</v>
      </c>
      <c r="H16" s="51"/>
      <c r="I16" s="12">
        <v>84</v>
      </c>
      <c r="J16" s="13" t="s">
        <v>70</v>
      </c>
      <c r="K16" s="14">
        <v>244.875291</v>
      </c>
    </row>
    <row r="17" spans="1:11" ht="18" x14ac:dyDescent="0.25">
      <c r="A17" s="15">
        <v>12</v>
      </c>
      <c r="B17" s="15" t="s">
        <v>128</v>
      </c>
      <c r="C17" s="16">
        <v>28.06</v>
      </c>
      <c r="D17" s="51"/>
      <c r="E17" s="12">
        <v>49</v>
      </c>
      <c r="F17" s="13" t="s">
        <v>94</v>
      </c>
      <c r="G17" s="14">
        <v>10.32</v>
      </c>
      <c r="H17" s="51"/>
      <c r="I17" s="15">
        <v>85</v>
      </c>
      <c r="J17" s="15" t="s">
        <v>71</v>
      </c>
      <c r="K17" s="16">
        <v>12.97</v>
      </c>
    </row>
    <row r="18" spans="1:11" ht="18" x14ac:dyDescent="0.25">
      <c r="A18" s="12">
        <v>13</v>
      </c>
      <c r="B18" s="13" t="s">
        <v>129</v>
      </c>
      <c r="C18" s="14">
        <v>96.32</v>
      </c>
      <c r="D18" s="51"/>
      <c r="E18" s="15">
        <v>50</v>
      </c>
      <c r="F18" s="15" t="s">
        <v>95</v>
      </c>
      <c r="G18" s="16">
        <v>11.76</v>
      </c>
      <c r="H18" s="51"/>
      <c r="I18" s="12">
        <v>86</v>
      </c>
      <c r="J18" s="13" t="s">
        <v>72</v>
      </c>
      <c r="K18" s="14">
        <v>8.33</v>
      </c>
    </row>
    <row r="19" spans="1:11" ht="18" x14ac:dyDescent="0.25">
      <c r="A19" s="15">
        <v>14</v>
      </c>
      <c r="B19" s="15" t="s">
        <v>130</v>
      </c>
      <c r="C19" s="16">
        <v>111.79</v>
      </c>
      <c r="D19" s="51"/>
      <c r="E19" s="12">
        <v>51</v>
      </c>
      <c r="F19" s="13" t="s">
        <v>96</v>
      </c>
      <c r="G19" s="14">
        <v>30.61</v>
      </c>
      <c r="H19" s="51"/>
      <c r="I19" s="15">
        <v>87</v>
      </c>
      <c r="J19" s="15" t="s">
        <v>73</v>
      </c>
      <c r="K19" s="16">
        <v>5.81</v>
      </c>
    </row>
    <row r="20" spans="1:11" ht="18" x14ac:dyDescent="0.25">
      <c r="A20" s="12">
        <v>15</v>
      </c>
      <c r="B20" s="13" t="s">
        <v>131</v>
      </c>
      <c r="C20" s="14">
        <v>6.45</v>
      </c>
      <c r="D20" s="51"/>
      <c r="E20" s="15">
        <v>52</v>
      </c>
      <c r="F20" s="15" t="s">
        <v>97</v>
      </c>
      <c r="G20" s="16">
        <v>26.54</v>
      </c>
      <c r="H20" s="51"/>
      <c r="I20" s="12">
        <v>88</v>
      </c>
      <c r="J20" s="13" t="s">
        <v>74</v>
      </c>
      <c r="K20" s="14">
        <v>5.92</v>
      </c>
    </row>
    <row r="21" spans="1:11" ht="18" x14ac:dyDescent="0.25">
      <c r="A21" s="15">
        <v>16</v>
      </c>
      <c r="B21" s="15" t="s">
        <v>132</v>
      </c>
      <c r="C21" s="16">
        <v>9.91</v>
      </c>
      <c r="D21" s="51"/>
      <c r="E21" s="12">
        <v>53</v>
      </c>
      <c r="F21" s="13" t="s">
        <v>98</v>
      </c>
      <c r="G21" s="14">
        <v>13.17</v>
      </c>
      <c r="H21" s="51"/>
      <c r="I21" s="15">
        <v>89</v>
      </c>
      <c r="J21" s="15" t="s">
        <v>75</v>
      </c>
      <c r="K21" s="16">
        <v>6.28</v>
      </c>
    </row>
    <row r="22" spans="1:11" ht="18" x14ac:dyDescent="0.25">
      <c r="A22" s="15">
        <v>17</v>
      </c>
      <c r="B22" s="15" t="s">
        <v>133</v>
      </c>
      <c r="C22" s="16">
        <v>14.81</v>
      </c>
      <c r="D22" s="51"/>
      <c r="E22" s="15">
        <v>54</v>
      </c>
      <c r="F22" s="15" t="s">
        <v>99</v>
      </c>
      <c r="G22" s="16">
        <v>8.1300000000000008</v>
      </c>
      <c r="H22" s="51"/>
      <c r="I22" s="12">
        <v>90</v>
      </c>
      <c r="J22" s="13" t="s">
        <v>76</v>
      </c>
      <c r="K22" s="14">
        <v>6.11</v>
      </c>
    </row>
    <row r="23" spans="1:11" ht="18" x14ac:dyDescent="0.25">
      <c r="A23" s="12">
        <v>18</v>
      </c>
      <c r="B23" s="13" t="s">
        <v>134</v>
      </c>
      <c r="C23" s="14">
        <v>5.19</v>
      </c>
      <c r="D23" s="51"/>
      <c r="E23" s="12">
        <v>55</v>
      </c>
      <c r="F23" s="13" t="s">
        <v>100</v>
      </c>
      <c r="G23" s="14">
        <v>27.37</v>
      </c>
      <c r="H23" s="51"/>
      <c r="I23" s="15">
        <v>91</v>
      </c>
      <c r="J23" s="15" t="s">
        <v>77</v>
      </c>
      <c r="K23" s="16">
        <v>36.46</v>
      </c>
    </row>
    <row r="24" spans="1:11" ht="18" x14ac:dyDescent="0.25">
      <c r="A24" s="15">
        <v>19</v>
      </c>
      <c r="B24" s="15" t="s">
        <v>135</v>
      </c>
      <c r="C24" s="16">
        <v>14.79</v>
      </c>
      <c r="D24" s="51"/>
      <c r="E24" s="15">
        <v>56</v>
      </c>
      <c r="F24" s="15" t="s">
        <v>101</v>
      </c>
      <c r="G24" s="16">
        <v>78.58</v>
      </c>
      <c r="H24" s="51"/>
      <c r="I24" s="12">
        <v>92</v>
      </c>
      <c r="J24" s="13" t="s">
        <v>78</v>
      </c>
      <c r="K24" s="14">
        <v>59.68</v>
      </c>
    </row>
    <row r="25" spans="1:11" ht="18" x14ac:dyDescent="0.25">
      <c r="A25" s="12">
        <v>20</v>
      </c>
      <c r="B25" s="13" t="s">
        <v>136</v>
      </c>
      <c r="C25" s="14">
        <v>3.8</v>
      </c>
      <c r="D25" s="51"/>
      <c r="E25" s="12">
        <v>57</v>
      </c>
      <c r="F25" s="13" t="s">
        <v>102</v>
      </c>
      <c r="G25" s="14">
        <v>5.09</v>
      </c>
      <c r="H25" s="51"/>
      <c r="I25" s="15">
        <v>93</v>
      </c>
      <c r="J25" s="15" t="s">
        <v>79</v>
      </c>
      <c r="K25" s="23">
        <v>29.97</v>
      </c>
    </row>
    <row r="26" spans="1:11" ht="18" x14ac:dyDescent="0.25">
      <c r="A26" s="15">
        <v>21</v>
      </c>
      <c r="B26" s="15" t="s">
        <v>137</v>
      </c>
      <c r="C26" s="16">
        <v>4.5</v>
      </c>
      <c r="D26" s="51"/>
      <c r="E26" s="15">
        <v>58</v>
      </c>
      <c r="F26" s="15" t="s">
        <v>103</v>
      </c>
      <c r="G26" s="23">
        <v>11.06</v>
      </c>
      <c r="H26" s="51"/>
      <c r="I26" s="24">
        <v>94</v>
      </c>
      <c r="J26" s="13" t="s">
        <v>80</v>
      </c>
      <c r="K26" s="25">
        <v>28.97</v>
      </c>
    </row>
    <row r="27" spans="1:11" ht="18" x14ac:dyDescent="0.25">
      <c r="A27" s="12">
        <v>22</v>
      </c>
      <c r="B27" s="13" t="s">
        <v>138</v>
      </c>
      <c r="C27" s="14">
        <v>5.67</v>
      </c>
      <c r="D27" s="51"/>
      <c r="E27" s="24">
        <v>59</v>
      </c>
      <c r="F27" s="13" t="s">
        <v>104</v>
      </c>
      <c r="G27" s="25">
        <v>11.17</v>
      </c>
      <c r="H27" s="51"/>
      <c r="I27" s="15">
        <v>95</v>
      </c>
      <c r="J27" s="15" t="s">
        <v>81</v>
      </c>
      <c r="K27" s="23">
        <v>6.65</v>
      </c>
    </row>
    <row r="28" spans="1:11" ht="18" x14ac:dyDescent="0.25">
      <c r="A28" s="15">
        <v>23</v>
      </c>
      <c r="B28" s="15" t="s">
        <v>139</v>
      </c>
      <c r="C28" s="16">
        <v>19.899999999999999</v>
      </c>
      <c r="D28" s="51"/>
      <c r="E28" s="15">
        <v>60</v>
      </c>
      <c r="F28" s="15" t="s">
        <v>105</v>
      </c>
      <c r="G28" s="23">
        <v>8.33</v>
      </c>
      <c r="H28" s="51"/>
      <c r="I28" s="17"/>
      <c r="J28" s="18" t="s">
        <v>9</v>
      </c>
      <c r="K28" s="19">
        <f>SUM(K6:K27)</f>
        <v>837.08797400000003</v>
      </c>
    </row>
    <row r="29" spans="1:11" ht="18" x14ac:dyDescent="0.25">
      <c r="A29" s="12">
        <v>24</v>
      </c>
      <c r="B29" s="13" t="s">
        <v>140</v>
      </c>
      <c r="C29" s="14">
        <v>39.9</v>
      </c>
      <c r="D29" s="51"/>
      <c r="E29" s="24">
        <v>61</v>
      </c>
      <c r="F29" s="13" t="s">
        <v>106</v>
      </c>
      <c r="G29" s="25">
        <v>5.6</v>
      </c>
      <c r="H29" s="51"/>
      <c r="I29" s="49"/>
      <c r="J29" s="49"/>
      <c r="K29" s="49"/>
    </row>
    <row r="30" spans="1:11" ht="18" x14ac:dyDescent="0.25">
      <c r="A30" s="15">
        <v>25</v>
      </c>
      <c r="B30" s="15" t="s">
        <v>141</v>
      </c>
      <c r="C30" s="16">
        <v>10.85</v>
      </c>
      <c r="D30" s="51"/>
      <c r="E30" s="15">
        <v>62</v>
      </c>
      <c r="F30" s="15" t="s">
        <v>107</v>
      </c>
      <c r="G30" s="23">
        <v>6.02</v>
      </c>
      <c r="H30" s="51"/>
      <c r="I30" s="56"/>
      <c r="J30" s="56"/>
      <c r="K30" s="56"/>
    </row>
    <row r="31" spans="1:11" ht="18" x14ac:dyDescent="0.25">
      <c r="A31" s="12">
        <v>26</v>
      </c>
      <c r="B31" s="13" t="s">
        <v>142</v>
      </c>
      <c r="C31" s="14">
        <v>5.49</v>
      </c>
      <c r="D31" s="51"/>
      <c r="E31" s="24">
        <v>63</v>
      </c>
      <c r="F31" s="13" t="s">
        <v>108</v>
      </c>
      <c r="G31" s="25">
        <v>37.04</v>
      </c>
      <c r="H31" s="51"/>
      <c r="I31" s="56"/>
      <c r="J31" s="56"/>
      <c r="K31" s="56"/>
    </row>
    <row r="32" spans="1:11" ht="18" x14ac:dyDescent="0.25">
      <c r="A32" s="15">
        <v>27</v>
      </c>
      <c r="B32" s="15" t="s">
        <v>143</v>
      </c>
      <c r="C32" s="16">
        <v>9.66</v>
      </c>
      <c r="D32" s="51"/>
      <c r="E32" s="15">
        <v>64</v>
      </c>
      <c r="F32" s="15" t="s">
        <v>109</v>
      </c>
      <c r="G32" s="23">
        <v>6.28</v>
      </c>
      <c r="H32" s="51"/>
      <c r="I32" s="56"/>
      <c r="J32" s="56"/>
      <c r="K32" s="56"/>
    </row>
    <row r="33" spans="1:11" ht="18" x14ac:dyDescent="0.25">
      <c r="A33" s="12">
        <v>28</v>
      </c>
      <c r="B33" s="13" t="s">
        <v>144</v>
      </c>
      <c r="C33" s="14">
        <v>6.28</v>
      </c>
      <c r="D33" s="51"/>
      <c r="E33" s="24">
        <v>65</v>
      </c>
      <c r="F33" s="13" t="s">
        <v>110</v>
      </c>
      <c r="G33" s="25">
        <v>5.98</v>
      </c>
      <c r="H33" s="51"/>
      <c r="I33" s="56"/>
      <c r="J33" s="56"/>
      <c r="K33" s="56"/>
    </row>
    <row r="34" spans="1:11" ht="18" x14ac:dyDescent="0.25">
      <c r="A34" s="15">
        <v>29</v>
      </c>
      <c r="B34" s="15" t="s">
        <v>145</v>
      </c>
      <c r="C34" s="16">
        <v>5.85</v>
      </c>
      <c r="D34" s="51"/>
      <c r="E34" s="15">
        <v>66</v>
      </c>
      <c r="F34" s="15" t="s">
        <v>111</v>
      </c>
      <c r="G34" s="23">
        <v>6.34</v>
      </c>
      <c r="H34" s="51"/>
      <c r="I34" s="56"/>
      <c r="J34" s="56"/>
      <c r="K34" s="56"/>
    </row>
    <row r="35" spans="1:11" ht="18" x14ac:dyDescent="0.25">
      <c r="A35" s="12">
        <v>30</v>
      </c>
      <c r="B35" s="13" t="s">
        <v>146</v>
      </c>
      <c r="C35" s="14">
        <v>29</v>
      </c>
      <c r="D35" s="51"/>
      <c r="E35" s="12">
        <v>67</v>
      </c>
      <c r="F35" s="13" t="s">
        <v>112</v>
      </c>
      <c r="G35" s="14">
        <v>28.97</v>
      </c>
      <c r="H35" s="51"/>
      <c r="I35" s="56"/>
      <c r="J35" s="56"/>
      <c r="K35" s="56"/>
    </row>
    <row r="36" spans="1:11" ht="18" x14ac:dyDescent="0.25">
      <c r="A36" s="15">
        <v>31</v>
      </c>
      <c r="B36" s="15" t="s">
        <v>16</v>
      </c>
      <c r="C36" s="16">
        <v>67.27</v>
      </c>
      <c r="D36" s="51"/>
      <c r="E36" s="15">
        <v>68</v>
      </c>
      <c r="F36" s="15" t="s">
        <v>113</v>
      </c>
      <c r="G36" s="16">
        <v>61.92</v>
      </c>
      <c r="H36" s="51"/>
      <c r="I36" s="56"/>
      <c r="J36" s="56"/>
      <c r="K36" s="56"/>
    </row>
    <row r="37" spans="1:11" ht="18" x14ac:dyDescent="0.25">
      <c r="A37" s="12">
        <v>32</v>
      </c>
      <c r="B37" s="13" t="s">
        <v>147</v>
      </c>
      <c r="C37" s="14">
        <v>60.17</v>
      </c>
      <c r="D37" s="51"/>
      <c r="E37" s="12">
        <v>69</v>
      </c>
      <c r="F37" s="13" t="s">
        <v>114</v>
      </c>
      <c r="G37" s="14">
        <v>72.55</v>
      </c>
      <c r="H37" s="51"/>
      <c r="I37" s="56"/>
      <c r="J37" s="56"/>
      <c r="K37" s="56"/>
    </row>
    <row r="38" spans="1:11" ht="18" x14ac:dyDescent="0.25">
      <c r="A38" s="15">
        <v>33</v>
      </c>
      <c r="B38" s="15" t="s">
        <v>148</v>
      </c>
      <c r="C38" s="16">
        <v>29.3</v>
      </c>
      <c r="D38" s="51"/>
      <c r="E38" s="15">
        <v>70</v>
      </c>
      <c r="F38" s="15" t="s">
        <v>115</v>
      </c>
      <c r="G38" s="16">
        <v>6.34</v>
      </c>
      <c r="H38" s="51"/>
      <c r="I38" s="56"/>
      <c r="J38" s="56"/>
      <c r="K38" s="56"/>
    </row>
    <row r="39" spans="1:11" ht="18" x14ac:dyDescent="0.25">
      <c r="A39" s="12">
        <v>34</v>
      </c>
      <c r="B39" s="13" t="s">
        <v>149</v>
      </c>
      <c r="C39" s="14">
        <v>15.63</v>
      </c>
      <c r="D39" s="51"/>
      <c r="E39" s="12">
        <v>71</v>
      </c>
      <c r="F39" s="13" t="s">
        <v>116</v>
      </c>
      <c r="G39" s="14">
        <v>28.97</v>
      </c>
      <c r="H39" s="51"/>
      <c r="I39" s="56"/>
      <c r="J39" s="56"/>
      <c r="K39" s="56"/>
    </row>
    <row r="40" spans="1:11" ht="18" x14ac:dyDescent="0.25">
      <c r="A40" s="15">
        <v>35</v>
      </c>
      <c r="B40" s="15" t="s">
        <v>150</v>
      </c>
      <c r="C40" s="16">
        <v>2.1800000000000002</v>
      </c>
      <c r="D40" s="51"/>
      <c r="E40" s="15">
        <v>72</v>
      </c>
      <c r="F40" s="15" t="s">
        <v>117</v>
      </c>
      <c r="G40" s="16">
        <v>72.760000000000005</v>
      </c>
      <c r="H40" s="51"/>
      <c r="I40" s="56"/>
      <c r="J40" s="56"/>
      <c r="K40" s="56"/>
    </row>
    <row r="41" spans="1:11" ht="18" x14ac:dyDescent="0.25">
      <c r="A41" s="12">
        <v>36</v>
      </c>
      <c r="B41" s="13" t="s">
        <v>151</v>
      </c>
      <c r="C41" s="14">
        <v>2.57</v>
      </c>
      <c r="D41" s="51"/>
      <c r="E41" s="12">
        <v>73</v>
      </c>
      <c r="F41" s="13" t="s">
        <v>118</v>
      </c>
      <c r="G41" s="14">
        <v>6.35</v>
      </c>
      <c r="H41" s="51"/>
      <c r="I41" s="56"/>
      <c r="J41" s="56"/>
      <c r="K41" s="56"/>
    </row>
    <row r="42" spans="1:11" ht="18" x14ac:dyDescent="0.25">
      <c r="A42" s="15">
        <v>37</v>
      </c>
      <c r="B42" s="15" t="s">
        <v>152</v>
      </c>
      <c r="C42" s="16">
        <v>2.84</v>
      </c>
      <c r="D42" s="51"/>
      <c r="E42" s="17"/>
      <c r="F42" s="18" t="s">
        <v>9</v>
      </c>
      <c r="G42" s="19">
        <f>SUM(G6:G41)</f>
        <v>1057.7099999999998</v>
      </c>
      <c r="H42" s="51"/>
      <c r="I42" s="56"/>
      <c r="J42" s="56"/>
      <c r="K42" s="56"/>
    </row>
    <row r="43" spans="1:11" ht="18" x14ac:dyDescent="0.25">
      <c r="A43" s="17"/>
      <c r="B43" s="18" t="s">
        <v>9</v>
      </c>
      <c r="C43" s="19">
        <f>SUM(C6:C42)</f>
        <v>1024.7299999999998</v>
      </c>
      <c r="D43" s="51"/>
      <c r="E43" s="49"/>
      <c r="F43" s="49"/>
      <c r="G43" s="49"/>
      <c r="H43" s="51"/>
      <c r="I43" s="56"/>
      <c r="J43" s="56"/>
      <c r="K43" s="56"/>
    </row>
  </sheetData>
  <mergeCells count="10">
    <mergeCell ref="A4:K4"/>
    <mergeCell ref="D5:D43"/>
    <mergeCell ref="H5:H43"/>
    <mergeCell ref="E43:G43"/>
    <mergeCell ref="I29:K43"/>
    <mergeCell ref="A1:K1"/>
    <mergeCell ref="B2:F2"/>
    <mergeCell ref="G2:I2"/>
    <mergeCell ref="B3:F3"/>
    <mergeCell ref="G3:I3"/>
  </mergeCells>
  <pageMargins left="0.7" right="0.7" top="0.75" bottom="0.75" header="0.3" footer="0.3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zoomScale="55" zoomScaleNormal="55" workbookViewId="0">
      <selection activeCell="B3" sqref="B3:F3"/>
    </sheetView>
  </sheetViews>
  <sheetFormatPr defaultRowHeight="15" x14ac:dyDescent="0.25"/>
  <cols>
    <col min="1" max="1" width="8.88671875" style="1"/>
    <col min="2" max="2" width="11.88671875" style="1" customWidth="1"/>
    <col min="3" max="3" width="13.21875" style="1" customWidth="1"/>
    <col min="4" max="4" width="4.5546875" style="1" customWidth="1"/>
    <col min="5" max="6" width="8.88671875" style="1"/>
    <col min="7" max="7" width="12" style="1" customWidth="1"/>
    <col min="8" max="8" width="4.21875" style="1" customWidth="1"/>
    <col min="9" max="9" width="10.88671875" style="1" customWidth="1"/>
    <col min="10" max="10" width="12.6640625" style="1" customWidth="1"/>
    <col min="11" max="11" width="12.33203125" style="1" customWidth="1"/>
    <col min="12" max="16384" width="8.88671875" style="1"/>
  </cols>
  <sheetData>
    <row r="1" spans="1:11" ht="18" customHeight="1" x14ac:dyDescent="0.2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1" ht="18" customHeight="1" x14ac:dyDescent="0.25">
      <c r="A2" s="21" t="s">
        <v>1</v>
      </c>
      <c r="B2" s="48" t="s">
        <v>2</v>
      </c>
      <c r="C2" s="48"/>
      <c r="D2" s="48"/>
      <c r="E2" s="48"/>
      <c r="F2" s="48"/>
      <c r="G2" s="48" t="s">
        <v>3</v>
      </c>
      <c r="H2" s="48"/>
      <c r="I2" s="48"/>
      <c r="J2" s="3" t="s">
        <v>4</v>
      </c>
      <c r="K2" s="3" t="s">
        <v>5</v>
      </c>
    </row>
    <row r="3" spans="1:11" ht="63.6" customHeight="1" x14ac:dyDescent="0.25">
      <c r="A3" s="21">
        <v>1</v>
      </c>
      <c r="B3" s="54" t="s">
        <v>55</v>
      </c>
      <c r="C3" s="54"/>
      <c r="D3" s="54"/>
      <c r="E3" s="54"/>
      <c r="F3" s="54"/>
      <c r="G3" s="55" t="s">
        <v>157</v>
      </c>
      <c r="H3" s="55"/>
      <c r="I3" s="55"/>
      <c r="J3" s="4" t="s">
        <v>6</v>
      </c>
      <c r="K3" s="5">
        <f>K29+G44+C45</f>
        <v>3429.1579739999993</v>
      </c>
    </row>
    <row r="4" spans="1:11" ht="63.6" customHeight="1" x14ac:dyDescent="0.25">
      <c r="A4" s="21">
        <v>2</v>
      </c>
      <c r="B4" s="54" t="s">
        <v>55</v>
      </c>
      <c r="C4" s="54"/>
      <c r="D4" s="54"/>
      <c r="E4" s="54"/>
      <c r="F4" s="54"/>
      <c r="G4" s="55" t="s">
        <v>158</v>
      </c>
      <c r="H4" s="55"/>
      <c r="I4" s="55"/>
      <c r="J4" s="4" t="s">
        <v>6</v>
      </c>
      <c r="K4" s="5">
        <f>K33</f>
        <v>219.4</v>
      </c>
    </row>
    <row r="5" spans="1:11" ht="18" x14ac:dyDescent="0.25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</row>
    <row r="6" spans="1:11" ht="18" x14ac:dyDescent="0.25">
      <c r="A6" s="6" t="s">
        <v>1</v>
      </c>
      <c r="B6" s="7" t="s">
        <v>7</v>
      </c>
      <c r="C6" s="8" t="s">
        <v>8</v>
      </c>
      <c r="D6" s="53"/>
      <c r="E6" s="6" t="s">
        <v>1</v>
      </c>
      <c r="F6" s="7" t="s">
        <v>7</v>
      </c>
      <c r="G6" s="8" t="s">
        <v>8</v>
      </c>
      <c r="H6" s="51"/>
      <c r="I6" s="9" t="s">
        <v>1</v>
      </c>
      <c r="J6" s="10" t="s">
        <v>7</v>
      </c>
      <c r="K6" s="11" t="s">
        <v>8</v>
      </c>
    </row>
    <row r="7" spans="1:11" ht="18.600000000000001" customHeight="1" x14ac:dyDescent="0.25">
      <c r="A7" s="12">
        <v>1</v>
      </c>
      <c r="B7" s="13" t="s">
        <v>155</v>
      </c>
      <c r="C7" s="14">
        <f>114.61+85.5+5.75</f>
        <v>205.86</v>
      </c>
      <c r="D7" s="51"/>
      <c r="E7" s="12">
        <v>39</v>
      </c>
      <c r="F7" s="13" t="s">
        <v>82</v>
      </c>
      <c r="G7" s="14">
        <v>76.349999999999994</v>
      </c>
      <c r="H7" s="51"/>
      <c r="I7" s="12">
        <v>76</v>
      </c>
      <c r="J7" s="13" t="s">
        <v>60</v>
      </c>
      <c r="K7" s="14">
        <v>85.255876000000001</v>
      </c>
    </row>
    <row r="8" spans="1:11" ht="18" x14ac:dyDescent="0.25">
      <c r="A8" s="15">
        <v>2</v>
      </c>
      <c r="B8" s="15" t="s">
        <v>119</v>
      </c>
      <c r="C8" s="16">
        <v>15.68</v>
      </c>
      <c r="D8" s="51"/>
      <c r="E8" s="15">
        <v>40</v>
      </c>
      <c r="F8" s="15" t="s">
        <v>83</v>
      </c>
      <c r="G8" s="16">
        <v>17.690000000000001</v>
      </c>
      <c r="H8" s="51"/>
      <c r="I8" s="15">
        <v>77</v>
      </c>
      <c r="J8" s="15" t="s">
        <v>61</v>
      </c>
      <c r="K8" s="16">
        <v>21.566807000000001</v>
      </c>
    </row>
    <row r="9" spans="1:11" ht="18" x14ac:dyDescent="0.25">
      <c r="A9" s="12">
        <v>3</v>
      </c>
      <c r="B9" s="13" t="s">
        <v>120</v>
      </c>
      <c r="C9" s="14">
        <v>5.01</v>
      </c>
      <c r="D9" s="51"/>
      <c r="E9" s="12">
        <v>41</v>
      </c>
      <c r="F9" s="13" t="s">
        <v>84</v>
      </c>
      <c r="G9" s="14">
        <v>5.15</v>
      </c>
      <c r="H9" s="51"/>
      <c r="I9" s="12">
        <v>78</v>
      </c>
      <c r="J9" s="13" t="s">
        <v>62</v>
      </c>
      <c r="K9" s="14">
        <v>5.12</v>
      </c>
    </row>
    <row r="10" spans="1:11" ht="18" x14ac:dyDescent="0.25">
      <c r="A10" s="15">
        <v>4</v>
      </c>
      <c r="B10" s="15" t="s">
        <v>121</v>
      </c>
      <c r="C10" s="16">
        <v>6.01</v>
      </c>
      <c r="D10" s="51"/>
      <c r="E10" s="15">
        <v>42</v>
      </c>
      <c r="F10" s="15" t="s">
        <v>85</v>
      </c>
      <c r="G10" s="16">
        <v>9.48</v>
      </c>
      <c r="H10" s="51"/>
      <c r="I10" s="15">
        <v>79</v>
      </c>
      <c r="J10" s="15" t="s">
        <v>63</v>
      </c>
      <c r="K10" s="16">
        <v>11.51</v>
      </c>
    </row>
    <row r="11" spans="1:11" ht="18" x14ac:dyDescent="0.25">
      <c r="A11" s="12">
        <v>5</v>
      </c>
      <c r="B11" s="13" t="s">
        <v>122</v>
      </c>
      <c r="C11" s="14">
        <v>9.4600000000000009</v>
      </c>
      <c r="D11" s="51"/>
      <c r="E11" s="12">
        <v>43</v>
      </c>
      <c r="F11" s="13" t="s">
        <v>86</v>
      </c>
      <c r="G11" s="14">
        <v>198.78</v>
      </c>
      <c r="H11" s="51"/>
      <c r="I11" s="12">
        <v>80</v>
      </c>
      <c r="J11" s="13" t="s">
        <v>64</v>
      </c>
      <c r="K11" s="14">
        <v>114.03</v>
      </c>
    </row>
    <row r="12" spans="1:11" ht="18" x14ac:dyDescent="0.25">
      <c r="A12" s="15">
        <v>6</v>
      </c>
      <c r="B12" s="15" t="s">
        <v>24</v>
      </c>
      <c r="C12" s="16">
        <v>97.45</v>
      </c>
      <c r="D12" s="51"/>
      <c r="E12" s="15">
        <v>44</v>
      </c>
      <c r="F12" s="15" t="s">
        <v>87</v>
      </c>
      <c r="G12" s="16">
        <v>14.98</v>
      </c>
      <c r="H12" s="51"/>
      <c r="I12" s="15">
        <v>81</v>
      </c>
      <c r="J12" s="15" t="s">
        <v>65</v>
      </c>
      <c r="K12" s="16">
        <v>6.46</v>
      </c>
    </row>
    <row r="13" spans="1:11" ht="18" x14ac:dyDescent="0.25">
      <c r="A13" s="12">
        <v>7</v>
      </c>
      <c r="B13" s="13" t="s">
        <v>123</v>
      </c>
      <c r="C13" s="14">
        <v>9.7899999999999991</v>
      </c>
      <c r="D13" s="51"/>
      <c r="E13" s="12">
        <v>45</v>
      </c>
      <c r="F13" s="13" t="s">
        <v>88</v>
      </c>
      <c r="G13" s="14">
        <v>6.46</v>
      </c>
      <c r="H13" s="51"/>
      <c r="I13" s="12">
        <v>82</v>
      </c>
      <c r="J13" s="13" t="s">
        <v>66</v>
      </c>
      <c r="K13" s="14">
        <v>106.01</v>
      </c>
    </row>
    <row r="14" spans="1:11" ht="18" x14ac:dyDescent="0.25">
      <c r="A14" s="15">
        <v>8</v>
      </c>
      <c r="B14" s="15" t="s">
        <v>125</v>
      </c>
      <c r="C14" s="16">
        <v>10</v>
      </c>
      <c r="D14" s="51"/>
      <c r="E14" s="15">
        <v>46</v>
      </c>
      <c r="F14" s="15" t="s">
        <v>89</v>
      </c>
      <c r="G14" s="16">
        <v>106.83</v>
      </c>
      <c r="H14" s="51"/>
      <c r="I14" s="15">
        <v>83</v>
      </c>
      <c r="J14" s="15" t="s">
        <v>67</v>
      </c>
      <c r="K14" s="16">
        <v>5.24</v>
      </c>
    </row>
    <row r="15" spans="1:11" ht="18" x14ac:dyDescent="0.25">
      <c r="A15" s="12">
        <v>9</v>
      </c>
      <c r="B15" s="13" t="s">
        <v>124</v>
      </c>
      <c r="C15" s="14">
        <v>10.38</v>
      </c>
      <c r="D15" s="51"/>
      <c r="E15" s="12">
        <v>47</v>
      </c>
      <c r="F15" s="13" t="s">
        <v>90</v>
      </c>
      <c r="G15" s="14">
        <v>359.68</v>
      </c>
      <c r="H15" s="51"/>
      <c r="I15" s="12">
        <v>84</v>
      </c>
      <c r="J15" s="26" t="s">
        <v>68</v>
      </c>
      <c r="K15" s="14">
        <v>14.95</v>
      </c>
    </row>
    <row r="16" spans="1:11" ht="18" x14ac:dyDescent="0.25">
      <c r="A16" s="15">
        <v>10</v>
      </c>
      <c r="B16" s="15" t="s">
        <v>126</v>
      </c>
      <c r="C16" s="16">
        <v>25.29</v>
      </c>
      <c r="D16" s="51"/>
      <c r="E16" s="15">
        <v>48</v>
      </c>
      <c r="F16" s="15" t="s">
        <v>91</v>
      </c>
      <c r="G16" s="16">
        <v>14.81</v>
      </c>
      <c r="H16" s="51"/>
      <c r="I16" s="15">
        <v>85</v>
      </c>
      <c r="J16" s="15" t="s">
        <v>69</v>
      </c>
      <c r="K16" s="16">
        <v>14.92</v>
      </c>
    </row>
    <row r="17" spans="1:11" ht="18" x14ac:dyDescent="0.25">
      <c r="A17" s="12">
        <v>11</v>
      </c>
      <c r="B17" s="13" t="s">
        <v>127</v>
      </c>
      <c r="C17" s="14">
        <v>21.62</v>
      </c>
      <c r="D17" s="51"/>
      <c r="E17" s="12">
        <v>49</v>
      </c>
      <c r="F17" s="13" t="s">
        <v>92</v>
      </c>
      <c r="G17" s="14">
        <v>14.79</v>
      </c>
      <c r="H17" s="51"/>
      <c r="I17" s="12">
        <v>86</v>
      </c>
      <c r="J17" s="13" t="s">
        <v>70</v>
      </c>
      <c r="K17" s="14">
        <v>244.875291</v>
      </c>
    </row>
    <row r="18" spans="1:11" ht="18" x14ac:dyDescent="0.25">
      <c r="A18" s="15">
        <v>12</v>
      </c>
      <c r="B18" s="15" t="s">
        <v>128</v>
      </c>
      <c r="C18" s="16">
        <v>28.06</v>
      </c>
      <c r="D18" s="51"/>
      <c r="E18" s="15">
        <v>50</v>
      </c>
      <c r="F18" s="15" t="s">
        <v>93</v>
      </c>
      <c r="G18" s="16">
        <v>5.14</v>
      </c>
      <c r="H18" s="51"/>
      <c r="I18" s="15">
        <v>87</v>
      </c>
      <c r="J18" s="15" t="s">
        <v>71</v>
      </c>
      <c r="K18" s="16">
        <v>12.97</v>
      </c>
    </row>
    <row r="19" spans="1:11" ht="18" x14ac:dyDescent="0.25">
      <c r="A19" s="12">
        <v>13</v>
      </c>
      <c r="B19" s="13" t="s">
        <v>129</v>
      </c>
      <c r="C19" s="14">
        <v>96.32</v>
      </c>
      <c r="D19" s="51"/>
      <c r="E19" s="12">
        <v>51</v>
      </c>
      <c r="F19" s="13" t="s">
        <v>94</v>
      </c>
      <c r="G19" s="14">
        <v>10.32</v>
      </c>
      <c r="H19" s="51"/>
      <c r="I19" s="12">
        <v>88</v>
      </c>
      <c r="J19" s="13" t="s">
        <v>72</v>
      </c>
      <c r="K19" s="14">
        <v>8.33</v>
      </c>
    </row>
    <row r="20" spans="1:11" ht="18" x14ac:dyDescent="0.25">
      <c r="A20" s="15">
        <v>14</v>
      </c>
      <c r="B20" s="15" t="s">
        <v>130</v>
      </c>
      <c r="C20" s="16">
        <v>111.79</v>
      </c>
      <c r="D20" s="51"/>
      <c r="E20" s="15">
        <v>52</v>
      </c>
      <c r="F20" s="15" t="s">
        <v>95</v>
      </c>
      <c r="G20" s="16">
        <v>11.76</v>
      </c>
      <c r="H20" s="51"/>
      <c r="I20" s="15">
        <v>89</v>
      </c>
      <c r="J20" s="15" t="s">
        <v>73</v>
      </c>
      <c r="K20" s="16">
        <v>5.81</v>
      </c>
    </row>
    <row r="21" spans="1:11" ht="18" x14ac:dyDescent="0.25">
      <c r="A21" s="12">
        <v>15</v>
      </c>
      <c r="B21" s="13" t="s">
        <v>131</v>
      </c>
      <c r="C21" s="14">
        <v>6.45</v>
      </c>
      <c r="D21" s="51"/>
      <c r="E21" s="12">
        <v>53</v>
      </c>
      <c r="F21" s="13" t="s">
        <v>96</v>
      </c>
      <c r="G21" s="14">
        <v>30.61</v>
      </c>
      <c r="H21" s="51"/>
      <c r="I21" s="12">
        <v>90</v>
      </c>
      <c r="J21" s="13" t="s">
        <v>74</v>
      </c>
      <c r="K21" s="14">
        <v>5.92</v>
      </c>
    </row>
    <row r="22" spans="1:11" ht="18" x14ac:dyDescent="0.25">
      <c r="A22" s="15">
        <v>16</v>
      </c>
      <c r="B22" s="15" t="s">
        <v>132</v>
      </c>
      <c r="C22" s="16">
        <v>9.91</v>
      </c>
      <c r="D22" s="51"/>
      <c r="E22" s="15">
        <v>54</v>
      </c>
      <c r="F22" s="15" t="s">
        <v>97</v>
      </c>
      <c r="G22" s="16">
        <v>26.54</v>
      </c>
      <c r="H22" s="51"/>
      <c r="I22" s="15">
        <v>91</v>
      </c>
      <c r="J22" s="15" t="s">
        <v>75</v>
      </c>
      <c r="K22" s="16">
        <v>6.28</v>
      </c>
    </row>
    <row r="23" spans="1:11" ht="18" x14ac:dyDescent="0.25">
      <c r="A23" s="12">
        <v>17</v>
      </c>
      <c r="B23" s="13" t="s">
        <v>14</v>
      </c>
      <c r="C23" s="14">
        <v>149.94999999999999</v>
      </c>
      <c r="D23" s="51"/>
      <c r="E23" s="12">
        <v>55</v>
      </c>
      <c r="F23" s="13" t="s">
        <v>98</v>
      </c>
      <c r="G23" s="14">
        <v>13.17</v>
      </c>
      <c r="H23" s="51"/>
      <c r="I23" s="12">
        <v>92</v>
      </c>
      <c r="J23" s="13" t="s">
        <v>76</v>
      </c>
      <c r="K23" s="14">
        <v>6.11</v>
      </c>
    </row>
    <row r="24" spans="1:11" ht="18" x14ac:dyDescent="0.25">
      <c r="A24" s="15">
        <v>18</v>
      </c>
      <c r="B24" s="15" t="s">
        <v>133</v>
      </c>
      <c r="C24" s="16">
        <v>14.81</v>
      </c>
      <c r="D24" s="51"/>
      <c r="E24" s="15">
        <v>56</v>
      </c>
      <c r="F24" s="15" t="s">
        <v>99</v>
      </c>
      <c r="G24" s="16">
        <v>8.1300000000000008</v>
      </c>
      <c r="H24" s="51"/>
      <c r="I24" s="15">
        <v>93</v>
      </c>
      <c r="J24" s="15" t="s">
        <v>77</v>
      </c>
      <c r="K24" s="16">
        <v>36.46</v>
      </c>
    </row>
    <row r="25" spans="1:11" ht="18" x14ac:dyDescent="0.25">
      <c r="A25" s="12">
        <v>19</v>
      </c>
      <c r="B25" s="13" t="s">
        <v>134</v>
      </c>
      <c r="C25" s="14">
        <v>5.19</v>
      </c>
      <c r="D25" s="51"/>
      <c r="E25" s="12">
        <v>57</v>
      </c>
      <c r="F25" s="13" t="s">
        <v>100</v>
      </c>
      <c r="G25" s="14">
        <v>27.37</v>
      </c>
      <c r="H25" s="51"/>
      <c r="I25" s="12">
        <v>94</v>
      </c>
      <c r="J25" s="13" t="s">
        <v>78</v>
      </c>
      <c r="K25" s="14">
        <v>59.68</v>
      </c>
    </row>
    <row r="26" spans="1:11" ht="18" x14ac:dyDescent="0.25">
      <c r="A26" s="15">
        <v>20</v>
      </c>
      <c r="B26" s="15" t="s">
        <v>135</v>
      </c>
      <c r="C26" s="16">
        <v>14.79</v>
      </c>
      <c r="D26" s="51"/>
      <c r="E26" s="15">
        <v>58</v>
      </c>
      <c r="F26" s="15" t="s">
        <v>101</v>
      </c>
      <c r="G26" s="16">
        <v>78.58</v>
      </c>
      <c r="H26" s="51"/>
      <c r="I26" s="15">
        <v>95</v>
      </c>
      <c r="J26" s="15" t="s">
        <v>79</v>
      </c>
      <c r="K26" s="23">
        <v>29.97</v>
      </c>
    </row>
    <row r="27" spans="1:11" ht="18" x14ac:dyDescent="0.25">
      <c r="A27" s="12">
        <v>21</v>
      </c>
      <c r="B27" s="13" t="s">
        <v>136</v>
      </c>
      <c r="C27" s="14">
        <v>3.8</v>
      </c>
      <c r="D27" s="51"/>
      <c r="E27" s="12">
        <v>59</v>
      </c>
      <c r="F27" s="13" t="s">
        <v>102</v>
      </c>
      <c r="G27" s="14">
        <v>5.09</v>
      </c>
      <c r="H27" s="51"/>
      <c r="I27" s="24">
        <v>96</v>
      </c>
      <c r="J27" s="13" t="s">
        <v>80</v>
      </c>
      <c r="K27" s="25">
        <v>28.97</v>
      </c>
    </row>
    <row r="28" spans="1:11" ht="18" x14ac:dyDescent="0.25">
      <c r="A28" s="15">
        <v>22</v>
      </c>
      <c r="B28" s="15" t="s">
        <v>137</v>
      </c>
      <c r="C28" s="16">
        <v>4.5</v>
      </c>
      <c r="D28" s="51"/>
      <c r="E28" s="15">
        <v>60</v>
      </c>
      <c r="F28" s="15" t="s">
        <v>103</v>
      </c>
      <c r="G28" s="23">
        <v>11.06</v>
      </c>
      <c r="H28" s="51"/>
      <c r="I28" s="15">
        <v>97</v>
      </c>
      <c r="J28" s="15" t="s">
        <v>81</v>
      </c>
      <c r="K28" s="23">
        <v>6.65</v>
      </c>
    </row>
    <row r="29" spans="1:11" ht="18" x14ac:dyDescent="0.25">
      <c r="A29" s="12">
        <v>23</v>
      </c>
      <c r="B29" s="13" t="s">
        <v>138</v>
      </c>
      <c r="C29" s="14">
        <v>5.67</v>
      </c>
      <c r="D29" s="51"/>
      <c r="E29" s="24">
        <v>61</v>
      </c>
      <c r="F29" s="13" t="s">
        <v>104</v>
      </c>
      <c r="G29" s="25">
        <v>11.17</v>
      </c>
      <c r="H29" s="51"/>
      <c r="I29" s="17"/>
      <c r="J29" s="18" t="s">
        <v>9</v>
      </c>
      <c r="K29" s="19">
        <f>SUM(K7:K28)</f>
        <v>837.08797400000003</v>
      </c>
    </row>
    <row r="30" spans="1:11" ht="18" x14ac:dyDescent="0.25">
      <c r="A30" s="15">
        <v>24</v>
      </c>
      <c r="B30" s="15" t="s">
        <v>139</v>
      </c>
      <c r="C30" s="16">
        <v>19.899999999999999</v>
      </c>
      <c r="D30" s="51"/>
      <c r="E30" s="15">
        <v>62</v>
      </c>
      <c r="F30" s="15" t="s">
        <v>105</v>
      </c>
      <c r="G30" s="23">
        <v>8.33</v>
      </c>
      <c r="H30" s="51"/>
      <c r="I30" s="60"/>
      <c r="J30" s="60"/>
      <c r="K30" s="60"/>
    </row>
    <row r="31" spans="1:11" ht="18" x14ac:dyDescent="0.25">
      <c r="A31" s="12">
        <v>25</v>
      </c>
      <c r="B31" s="13" t="s">
        <v>140</v>
      </c>
      <c r="C31" s="14">
        <v>39.9</v>
      </c>
      <c r="D31" s="51"/>
      <c r="E31" s="24">
        <v>63</v>
      </c>
      <c r="F31" s="13" t="s">
        <v>106</v>
      </c>
      <c r="G31" s="25">
        <v>5.6</v>
      </c>
      <c r="H31" s="51"/>
      <c r="I31" s="57" t="s">
        <v>156</v>
      </c>
      <c r="J31" s="58"/>
      <c r="K31" s="59"/>
    </row>
    <row r="32" spans="1:11" ht="18" x14ac:dyDescent="0.25">
      <c r="A32" s="15">
        <v>26</v>
      </c>
      <c r="B32" s="15" t="s">
        <v>141</v>
      </c>
      <c r="C32" s="16">
        <v>10.85</v>
      </c>
      <c r="D32" s="51"/>
      <c r="E32" s="15">
        <v>64</v>
      </c>
      <c r="F32" s="15" t="s">
        <v>107</v>
      </c>
      <c r="G32" s="23">
        <v>6.02</v>
      </c>
      <c r="H32" s="51"/>
      <c r="I32" s="27" t="s">
        <v>1</v>
      </c>
      <c r="J32" s="28" t="s">
        <v>7</v>
      </c>
      <c r="K32" s="29" t="s">
        <v>8</v>
      </c>
    </row>
    <row r="33" spans="1:11" ht="18" x14ac:dyDescent="0.25">
      <c r="A33" s="12">
        <v>27</v>
      </c>
      <c r="B33" s="13" t="s">
        <v>142</v>
      </c>
      <c r="C33" s="14">
        <v>5.49</v>
      </c>
      <c r="D33" s="51"/>
      <c r="E33" s="24">
        <v>65</v>
      </c>
      <c r="F33" s="13" t="s">
        <v>108</v>
      </c>
      <c r="G33" s="25">
        <v>37.04</v>
      </c>
      <c r="H33" s="51"/>
      <c r="I33" s="15" t="s">
        <v>153</v>
      </c>
      <c r="J33" s="15" t="s">
        <v>154</v>
      </c>
      <c r="K33" s="23">
        <f>193.4+26</f>
        <v>219.4</v>
      </c>
    </row>
    <row r="34" spans="1:11" ht="18" x14ac:dyDescent="0.25">
      <c r="A34" s="15">
        <v>28</v>
      </c>
      <c r="B34" s="15" t="s">
        <v>143</v>
      </c>
      <c r="C34" s="16">
        <v>9.66</v>
      </c>
      <c r="D34" s="51"/>
      <c r="E34" s="15">
        <v>66</v>
      </c>
      <c r="F34" s="15" t="s">
        <v>109</v>
      </c>
      <c r="G34" s="23">
        <v>6.28</v>
      </c>
      <c r="H34" s="51"/>
      <c r="I34" s="17"/>
      <c r="J34" s="18" t="s">
        <v>9</v>
      </c>
      <c r="K34" s="19">
        <f>K33</f>
        <v>219.4</v>
      </c>
    </row>
    <row r="35" spans="1:11" ht="18" x14ac:dyDescent="0.25">
      <c r="A35" s="12">
        <v>29</v>
      </c>
      <c r="B35" s="13" t="s">
        <v>144</v>
      </c>
      <c r="C35" s="14">
        <v>6.28</v>
      </c>
      <c r="D35" s="51"/>
      <c r="E35" s="24">
        <v>67</v>
      </c>
      <c r="F35" s="13" t="s">
        <v>110</v>
      </c>
      <c r="G35" s="25">
        <v>5.98</v>
      </c>
      <c r="H35" s="51"/>
      <c r="I35" s="49"/>
      <c r="J35" s="49"/>
      <c r="K35" s="49"/>
    </row>
    <row r="36" spans="1:11" ht="18" x14ac:dyDescent="0.25">
      <c r="A36" s="15">
        <v>30</v>
      </c>
      <c r="B36" s="15" t="s">
        <v>145</v>
      </c>
      <c r="C36" s="16">
        <v>5.85</v>
      </c>
      <c r="D36" s="51"/>
      <c r="E36" s="15">
        <v>68</v>
      </c>
      <c r="F36" s="15" t="s">
        <v>111</v>
      </c>
      <c r="G36" s="23">
        <v>6.34</v>
      </c>
      <c r="H36" s="51"/>
      <c r="I36" s="50"/>
      <c r="J36" s="50"/>
      <c r="K36" s="50"/>
    </row>
    <row r="37" spans="1:11" ht="18" x14ac:dyDescent="0.25">
      <c r="A37" s="12">
        <v>31</v>
      </c>
      <c r="B37" s="13" t="s">
        <v>146</v>
      </c>
      <c r="C37" s="14">
        <v>29</v>
      </c>
      <c r="D37" s="51"/>
      <c r="E37" s="12">
        <v>69</v>
      </c>
      <c r="F37" s="13" t="s">
        <v>112</v>
      </c>
      <c r="G37" s="14">
        <v>28.97</v>
      </c>
      <c r="H37" s="51"/>
      <c r="I37" s="50"/>
      <c r="J37" s="50"/>
      <c r="K37" s="50"/>
    </row>
    <row r="38" spans="1:11" ht="18" x14ac:dyDescent="0.25">
      <c r="A38" s="15">
        <v>32</v>
      </c>
      <c r="B38" s="15" t="s">
        <v>16</v>
      </c>
      <c r="C38" s="16">
        <v>67.27</v>
      </c>
      <c r="D38" s="51"/>
      <c r="E38" s="15">
        <v>70</v>
      </c>
      <c r="F38" s="15" t="s">
        <v>113</v>
      </c>
      <c r="G38" s="16">
        <v>61.92</v>
      </c>
      <c r="H38" s="51"/>
      <c r="I38" s="50"/>
      <c r="J38" s="50"/>
      <c r="K38" s="50"/>
    </row>
    <row r="39" spans="1:11" ht="18" x14ac:dyDescent="0.25">
      <c r="A39" s="12">
        <v>33</v>
      </c>
      <c r="B39" s="13" t="s">
        <v>147</v>
      </c>
      <c r="C39" s="14">
        <v>60.17</v>
      </c>
      <c r="D39" s="51"/>
      <c r="E39" s="12">
        <v>71</v>
      </c>
      <c r="F39" s="13" t="s">
        <v>114</v>
      </c>
      <c r="G39" s="14">
        <v>72.55</v>
      </c>
      <c r="H39" s="51"/>
      <c r="I39" s="50"/>
      <c r="J39" s="50"/>
      <c r="K39" s="50"/>
    </row>
    <row r="40" spans="1:11" ht="18" x14ac:dyDescent="0.25">
      <c r="A40" s="15">
        <v>34</v>
      </c>
      <c r="B40" s="15" t="s">
        <v>148</v>
      </c>
      <c r="C40" s="16">
        <v>29.3</v>
      </c>
      <c r="D40" s="51"/>
      <c r="E40" s="15">
        <v>72</v>
      </c>
      <c r="F40" s="15" t="s">
        <v>115</v>
      </c>
      <c r="G40" s="16">
        <v>6.34</v>
      </c>
      <c r="H40" s="51"/>
      <c r="I40" s="50"/>
      <c r="J40" s="50"/>
      <c r="K40" s="50"/>
    </row>
    <row r="41" spans="1:11" ht="18" x14ac:dyDescent="0.25">
      <c r="A41" s="12">
        <v>35</v>
      </c>
      <c r="B41" s="13" t="s">
        <v>149</v>
      </c>
      <c r="C41" s="14">
        <v>15.63</v>
      </c>
      <c r="D41" s="51"/>
      <c r="E41" s="12">
        <v>73</v>
      </c>
      <c r="F41" s="13" t="s">
        <v>116</v>
      </c>
      <c r="G41" s="14">
        <v>28.97</v>
      </c>
      <c r="H41" s="51"/>
      <c r="I41" s="50"/>
      <c r="J41" s="50"/>
      <c r="K41" s="50"/>
    </row>
    <row r="42" spans="1:11" ht="18" x14ac:dyDescent="0.25">
      <c r="A42" s="15">
        <v>36</v>
      </c>
      <c r="B42" s="15" t="s">
        <v>150</v>
      </c>
      <c r="C42" s="16">
        <v>2.1800000000000002</v>
      </c>
      <c r="D42" s="51"/>
      <c r="E42" s="15">
        <v>74</v>
      </c>
      <c r="F42" s="15" t="s">
        <v>117</v>
      </c>
      <c r="G42" s="16">
        <v>72.760000000000005</v>
      </c>
      <c r="H42" s="51"/>
      <c r="I42" s="50"/>
      <c r="J42" s="50"/>
      <c r="K42" s="50"/>
    </row>
    <row r="43" spans="1:11" ht="18" x14ac:dyDescent="0.25">
      <c r="A43" s="12">
        <v>37</v>
      </c>
      <c r="B43" s="13" t="s">
        <v>151</v>
      </c>
      <c r="C43" s="14">
        <v>2.57</v>
      </c>
      <c r="D43" s="51"/>
      <c r="E43" s="12">
        <v>75</v>
      </c>
      <c r="F43" s="13" t="s">
        <v>118</v>
      </c>
      <c r="G43" s="14">
        <v>6.35</v>
      </c>
      <c r="H43" s="51"/>
      <c r="I43" s="50"/>
      <c r="J43" s="50"/>
      <c r="K43" s="50"/>
    </row>
    <row r="44" spans="1:11" ht="18" x14ac:dyDescent="0.25">
      <c r="A44" s="15">
        <v>38</v>
      </c>
      <c r="B44" s="15" t="s">
        <v>152</v>
      </c>
      <c r="C44" s="16">
        <v>2.84</v>
      </c>
      <c r="D44" s="51"/>
      <c r="E44" s="17"/>
      <c r="F44" s="18" t="s">
        <v>9</v>
      </c>
      <c r="G44" s="19">
        <f>SUM(G7:G43)</f>
        <v>1417.3899999999994</v>
      </c>
      <c r="H44" s="51"/>
      <c r="I44" s="50"/>
      <c r="J44" s="50"/>
      <c r="K44" s="50"/>
    </row>
    <row r="45" spans="1:11" ht="18" x14ac:dyDescent="0.25">
      <c r="A45" s="17"/>
      <c r="B45" s="18" t="s">
        <v>9</v>
      </c>
      <c r="C45" s="19">
        <f>SUM(C7:C44)</f>
        <v>1174.6799999999998</v>
      </c>
      <c r="D45" s="51"/>
      <c r="E45" s="49"/>
      <c r="F45" s="49"/>
      <c r="G45" s="49"/>
      <c r="H45" s="51"/>
      <c r="I45" s="50"/>
      <c r="J45" s="50"/>
      <c r="K45" s="50"/>
    </row>
  </sheetData>
  <mergeCells count="14">
    <mergeCell ref="I31:K31"/>
    <mergeCell ref="D6:D45"/>
    <mergeCell ref="H6:H45"/>
    <mergeCell ref="E45:G45"/>
    <mergeCell ref="I35:K45"/>
    <mergeCell ref="I30:K30"/>
    <mergeCell ref="A5:K5"/>
    <mergeCell ref="B4:F4"/>
    <mergeCell ref="G4:I4"/>
    <mergeCell ref="A1:K1"/>
    <mergeCell ref="B2:F2"/>
    <mergeCell ref="G2:I2"/>
    <mergeCell ref="B3:F3"/>
    <mergeCell ref="G3:I3"/>
  </mergeCells>
  <pageMargins left="0.7" right="0.7" top="0.75" bottom="0.75" header="0.3" footer="0.3"/>
  <pageSetup paperSize="9" orientation="portrait" horizontalDpi="0" verticalDpi="0" r:id="rId1"/>
  <ignoredErrors>
    <ignoredError sqref="B13:B44 F7:F43 J7:J28" twoDigitTextYear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zoomScale="55" zoomScaleNormal="55" workbookViewId="0">
      <selection activeCell="O40" sqref="O40"/>
    </sheetView>
  </sheetViews>
  <sheetFormatPr defaultRowHeight="15" x14ac:dyDescent="0.25"/>
  <cols>
    <col min="1" max="1" width="8.88671875" style="1"/>
    <col min="2" max="2" width="11.88671875" style="1" customWidth="1"/>
    <col min="3" max="3" width="13.21875" style="1" customWidth="1"/>
    <col min="4" max="4" width="4.5546875" style="1" customWidth="1"/>
    <col min="5" max="6" width="8.88671875" style="1"/>
    <col min="7" max="7" width="12" style="1" customWidth="1"/>
    <col min="8" max="8" width="4.21875" style="1" customWidth="1"/>
    <col min="9" max="9" width="10.88671875" style="1" customWidth="1"/>
    <col min="10" max="10" width="12.6640625" style="1" customWidth="1"/>
    <col min="11" max="11" width="12.33203125" style="1" customWidth="1"/>
    <col min="12" max="16384" width="8.88671875" style="1"/>
  </cols>
  <sheetData>
    <row r="1" spans="1:11" ht="18" customHeight="1" x14ac:dyDescent="0.2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1" ht="18" customHeight="1" x14ac:dyDescent="0.25">
      <c r="A2" s="21" t="s">
        <v>1</v>
      </c>
      <c r="B2" s="48" t="s">
        <v>2</v>
      </c>
      <c r="C2" s="48"/>
      <c r="D2" s="48"/>
      <c r="E2" s="48"/>
      <c r="F2" s="48"/>
      <c r="G2" s="48" t="s">
        <v>3</v>
      </c>
      <c r="H2" s="48"/>
      <c r="I2" s="48"/>
      <c r="J2" s="3" t="s">
        <v>4</v>
      </c>
      <c r="K2" s="3" t="s">
        <v>5</v>
      </c>
    </row>
    <row r="3" spans="1:11" ht="63.6" customHeight="1" x14ac:dyDescent="0.25">
      <c r="A3" s="21">
        <v>1</v>
      </c>
      <c r="B3" s="54" t="s">
        <v>59</v>
      </c>
      <c r="C3" s="54"/>
      <c r="D3" s="54"/>
      <c r="E3" s="54"/>
      <c r="F3" s="54"/>
      <c r="G3" s="55" t="s">
        <v>159</v>
      </c>
      <c r="H3" s="55"/>
      <c r="I3" s="55"/>
      <c r="J3" s="4" t="s">
        <v>6</v>
      </c>
      <c r="K3" s="5">
        <f>K28+G43+C44+K33</f>
        <v>3648.5579739999994</v>
      </c>
    </row>
    <row r="4" spans="1:11" ht="18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</row>
    <row r="5" spans="1:11" ht="18" x14ac:dyDescent="0.25">
      <c r="A5" s="6" t="s">
        <v>1</v>
      </c>
      <c r="B5" s="7" t="s">
        <v>7</v>
      </c>
      <c r="C5" s="8" t="s">
        <v>8</v>
      </c>
      <c r="D5" s="53"/>
      <c r="E5" s="6" t="s">
        <v>1</v>
      </c>
      <c r="F5" s="7" t="s">
        <v>7</v>
      </c>
      <c r="G5" s="8" t="s">
        <v>8</v>
      </c>
      <c r="H5" s="51"/>
      <c r="I5" s="9" t="s">
        <v>1</v>
      </c>
      <c r="J5" s="10" t="s">
        <v>7</v>
      </c>
      <c r="K5" s="11" t="s">
        <v>8</v>
      </c>
    </row>
    <row r="6" spans="1:11" ht="18.600000000000001" customHeight="1" x14ac:dyDescent="0.25">
      <c r="A6" s="12">
        <v>1</v>
      </c>
      <c r="B6" s="13" t="s">
        <v>155</v>
      </c>
      <c r="C6" s="14">
        <f>114.61+85.5+5.75</f>
        <v>205.86</v>
      </c>
      <c r="D6" s="51"/>
      <c r="E6" s="12">
        <v>39</v>
      </c>
      <c r="F6" s="13" t="s">
        <v>82</v>
      </c>
      <c r="G6" s="14">
        <v>76.349999999999994</v>
      </c>
      <c r="H6" s="51"/>
      <c r="I6" s="12">
        <v>76</v>
      </c>
      <c r="J6" s="13" t="s">
        <v>60</v>
      </c>
      <c r="K6" s="14">
        <v>85.255876000000001</v>
      </c>
    </row>
    <row r="7" spans="1:11" ht="18" x14ac:dyDescent="0.25">
      <c r="A7" s="15">
        <v>2</v>
      </c>
      <c r="B7" s="15" t="s">
        <v>119</v>
      </c>
      <c r="C7" s="16">
        <v>15.68</v>
      </c>
      <c r="D7" s="51"/>
      <c r="E7" s="15">
        <v>40</v>
      </c>
      <c r="F7" s="15" t="s">
        <v>83</v>
      </c>
      <c r="G7" s="16">
        <v>17.690000000000001</v>
      </c>
      <c r="H7" s="51"/>
      <c r="I7" s="15">
        <v>77</v>
      </c>
      <c r="J7" s="15" t="s">
        <v>61</v>
      </c>
      <c r="K7" s="16">
        <v>21.566807000000001</v>
      </c>
    </row>
    <row r="8" spans="1:11" ht="18" x14ac:dyDescent="0.25">
      <c r="A8" s="12">
        <v>3</v>
      </c>
      <c r="B8" s="13" t="s">
        <v>120</v>
      </c>
      <c r="C8" s="14">
        <v>5.01</v>
      </c>
      <c r="D8" s="51"/>
      <c r="E8" s="12">
        <v>41</v>
      </c>
      <c r="F8" s="13" t="s">
        <v>84</v>
      </c>
      <c r="G8" s="14">
        <v>5.15</v>
      </c>
      <c r="H8" s="51"/>
      <c r="I8" s="12">
        <v>78</v>
      </c>
      <c r="J8" s="13" t="s">
        <v>62</v>
      </c>
      <c r="K8" s="14">
        <v>5.12</v>
      </c>
    </row>
    <row r="9" spans="1:11" ht="18" x14ac:dyDescent="0.25">
      <c r="A9" s="15">
        <v>4</v>
      </c>
      <c r="B9" s="15" t="s">
        <v>121</v>
      </c>
      <c r="C9" s="16">
        <v>6.01</v>
      </c>
      <c r="D9" s="51"/>
      <c r="E9" s="15">
        <v>42</v>
      </c>
      <c r="F9" s="15" t="s">
        <v>85</v>
      </c>
      <c r="G9" s="16">
        <v>9.48</v>
      </c>
      <c r="H9" s="51"/>
      <c r="I9" s="15">
        <v>79</v>
      </c>
      <c r="J9" s="15" t="s">
        <v>63</v>
      </c>
      <c r="K9" s="16">
        <v>11.51</v>
      </c>
    </row>
    <row r="10" spans="1:11" ht="18" x14ac:dyDescent="0.25">
      <c r="A10" s="12">
        <v>5</v>
      </c>
      <c r="B10" s="13" t="s">
        <v>122</v>
      </c>
      <c r="C10" s="14">
        <v>9.4600000000000009</v>
      </c>
      <c r="D10" s="51"/>
      <c r="E10" s="12">
        <v>43</v>
      </c>
      <c r="F10" s="13" t="s">
        <v>86</v>
      </c>
      <c r="G10" s="14">
        <v>198.78</v>
      </c>
      <c r="H10" s="51"/>
      <c r="I10" s="12">
        <v>80</v>
      </c>
      <c r="J10" s="13" t="s">
        <v>64</v>
      </c>
      <c r="K10" s="14">
        <v>114.03</v>
      </c>
    </row>
    <row r="11" spans="1:11" ht="18" x14ac:dyDescent="0.25">
      <c r="A11" s="15">
        <v>6</v>
      </c>
      <c r="B11" s="15" t="s">
        <v>24</v>
      </c>
      <c r="C11" s="16">
        <v>97.45</v>
      </c>
      <c r="D11" s="51"/>
      <c r="E11" s="15">
        <v>44</v>
      </c>
      <c r="F11" s="15" t="s">
        <v>87</v>
      </c>
      <c r="G11" s="16">
        <v>14.98</v>
      </c>
      <c r="H11" s="51"/>
      <c r="I11" s="15">
        <v>81</v>
      </c>
      <c r="J11" s="15" t="s">
        <v>65</v>
      </c>
      <c r="K11" s="16">
        <v>6.46</v>
      </c>
    </row>
    <row r="12" spans="1:11" ht="18" x14ac:dyDescent="0.25">
      <c r="A12" s="12">
        <v>7</v>
      </c>
      <c r="B12" s="13" t="s">
        <v>123</v>
      </c>
      <c r="C12" s="14">
        <v>9.7899999999999991</v>
      </c>
      <c r="D12" s="51"/>
      <c r="E12" s="12">
        <v>45</v>
      </c>
      <c r="F12" s="13" t="s">
        <v>88</v>
      </c>
      <c r="G12" s="14">
        <v>6.46</v>
      </c>
      <c r="H12" s="51"/>
      <c r="I12" s="12">
        <v>82</v>
      </c>
      <c r="J12" s="13" t="s">
        <v>66</v>
      </c>
      <c r="K12" s="14">
        <v>106.01</v>
      </c>
    </row>
    <row r="13" spans="1:11" ht="18" x14ac:dyDescent="0.25">
      <c r="A13" s="15">
        <v>8</v>
      </c>
      <c r="B13" s="15" t="s">
        <v>125</v>
      </c>
      <c r="C13" s="16">
        <v>10</v>
      </c>
      <c r="D13" s="51"/>
      <c r="E13" s="15">
        <v>46</v>
      </c>
      <c r="F13" s="15" t="s">
        <v>89</v>
      </c>
      <c r="G13" s="16">
        <v>106.83</v>
      </c>
      <c r="H13" s="51"/>
      <c r="I13" s="15">
        <v>83</v>
      </c>
      <c r="J13" s="15" t="s">
        <v>67</v>
      </c>
      <c r="K13" s="16">
        <v>5.24</v>
      </c>
    </row>
    <row r="14" spans="1:11" ht="18" x14ac:dyDescent="0.25">
      <c r="A14" s="12">
        <v>9</v>
      </c>
      <c r="B14" s="13" t="s">
        <v>124</v>
      </c>
      <c r="C14" s="14">
        <v>10.38</v>
      </c>
      <c r="D14" s="51"/>
      <c r="E14" s="12">
        <v>47</v>
      </c>
      <c r="F14" s="13" t="s">
        <v>90</v>
      </c>
      <c r="G14" s="14">
        <v>359.68</v>
      </c>
      <c r="H14" s="51"/>
      <c r="I14" s="12">
        <v>84</v>
      </c>
      <c r="J14" s="26" t="s">
        <v>68</v>
      </c>
      <c r="K14" s="14">
        <v>14.95</v>
      </c>
    </row>
    <row r="15" spans="1:11" ht="18" x14ac:dyDescent="0.25">
      <c r="A15" s="15">
        <v>10</v>
      </c>
      <c r="B15" s="15" t="s">
        <v>126</v>
      </c>
      <c r="C15" s="16">
        <v>25.29</v>
      </c>
      <c r="D15" s="51"/>
      <c r="E15" s="15">
        <v>48</v>
      </c>
      <c r="F15" s="15" t="s">
        <v>91</v>
      </c>
      <c r="G15" s="16">
        <v>14.81</v>
      </c>
      <c r="H15" s="51"/>
      <c r="I15" s="15">
        <v>85</v>
      </c>
      <c r="J15" s="15" t="s">
        <v>69</v>
      </c>
      <c r="K15" s="16">
        <v>14.92</v>
      </c>
    </row>
    <row r="16" spans="1:11" ht="18" x14ac:dyDescent="0.25">
      <c r="A16" s="12">
        <v>11</v>
      </c>
      <c r="B16" s="13" t="s">
        <v>127</v>
      </c>
      <c r="C16" s="14">
        <v>21.62</v>
      </c>
      <c r="D16" s="51"/>
      <c r="E16" s="12">
        <v>49</v>
      </c>
      <c r="F16" s="13" t="s">
        <v>92</v>
      </c>
      <c r="G16" s="14">
        <v>14.79</v>
      </c>
      <c r="H16" s="51"/>
      <c r="I16" s="12">
        <v>86</v>
      </c>
      <c r="J16" s="13" t="s">
        <v>70</v>
      </c>
      <c r="K16" s="14">
        <v>244.875291</v>
      </c>
    </row>
    <row r="17" spans="1:11" ht="18" x14ac:dyDescent="0.25">
      <c r="A17" s="15">
        <v>12</v>
      </c>
      <c r="B17" s="15" t="s">
        <v>128</v>
      </c>
      <c r="C17" s="16">
        <v>28.06</v>
      </c>
      <c r="D17" s="51"/>
      <c r="E17" s="15">
        <v>50</v>
      </c>
      <c r="F17" s="15" t="s">
        <v>93</v>
      </c>
      <c r="G17" s="16">
        <v>5.14</v>
      </c>
      <c r="H17" s="51"/>
      <c r="I17" s="15">
        <v>87</v>
      </c>
      <c r="J17" s="15" t="s">
        <v>71</v>
      </c>
      <c r="K17" s="16">
        <v>12.97</v>
      </c>
    </row>
    <row r="18" spans="1:11" ht="18" x14ac:dyDescent="0.25">
      <c r="A18" s="12">
        <v>13</v>
      </c>
      <c r="B18" s="13" t="s">
        <v>129</v>
      </c>
      <c r="C18" s="14">
        <v>96.32</v>
      </c>
      <c r="D18" s="51"/>
      <c r="E18" s="12">
        <v>51</v>
      </c>
      <c r="F18" s="13" t="s">
        <v>94</v>
      </c>
      <c r="G18" s="14">
        <v>10.32</v>
      </c>
      <c r="H18" s="51"/>
      <c r="I18" s="12">
        <v>88</v>
      </c>
      <c r="J18" s="13" t="s">
        <v>72</v>
      </c>
      <c r="K18" s="14">
        <v>8.33</v>
      </c>
    </row>
    <row r="19" spans="1:11" ht="18" x14ac:dyDescent="0.25">
      <c r="A19" s="15">
        <v>14</v>
      </c>
      <c r="B19" s="15" t="s">
        <v>130</v>
      </c>
      <c r="C19" s="16">
        <v>111.79</v>
      </c>
      <c r="D19" s="51"/>
      <c r="E19" s="15">
        <v>52</v>
      </c>
      <c r="F19" s="15" t="s">
        <v>95</v>
      </c>
      <c r="G19" s="16">
        <v>11.76</v>
      </c>
      <c r="H19" s="51"/>
      <c r="I19" s="15">
        <v>89</v>
      </c>
      <c r="J19" s="15" t="s">
        <v>73</v>
      </c>
      <c r="K19" s="16">
        <v>5.81</v>
      </c>
    </row>
    <row r="20" spans="1:11" ht="18" x14ac:dyDescent="0.25">
      <c r="A20" s="12">
        <v>15</v>
      </c>
      <c r="B20" s="13" t="s">
        <v>131</v>
      </c>
      <c r="C20" s="14">
        <v>6.45</v>
      </c>
      <c r="D20" s="51"/>
      <c r="E20" s="12">
        <v>53</v>
      </c>
      <c r="F20" s="13" t="s">
        <v>96</v>
      </c>
      <c r="G20" s="14">
        <v>30.61</v>
      </c>
      <c r="H20" s="51"/>
      <c r="I20" s="12">
        <v>90</v>
      </c>
      <c r="J20" s="13" t="s">
        <v>74</v>
      </c>
      <c r="K20" s="14">
        <v>5.92</v>
      </c>
    </row>
    <row r="21" spans="1:11" ht="18" x14ac:dyDescent="0.25">
      <c r="A21" s="15">
        <v>16</v>
      </c>
      <c r="B21" s="15" t="s">
        <v>132</v>
      </c>
      <c r="C21" s="16">
        <v>9.91</v>
      </c>
      <c r="D21" s="51"/>
      <c r="E21" s="15">
        <v>54</v>
      </c>
      <c r="F21" s="15" t="s">
        <v>97</v>
      </c>
      <c r="G21" s="16">
        <v>26.54</v>
      </c>
      <c r="H21" s="51"/>
      <c r="I21" s="15">
        <v>91</v>
      </c>
      <c r="J21" s="15" t="s">
        <v>75</v>
      </c>
      <c r="K21" s="16">
        <v>6.28</v>
      </c>
    </row>
    <row r="22" spans="1:11" ht="18" x14ac:dyDescent="0.25">
      <c r="A22" s="12">
        <v>17</v>
      </c>
      <c r="B22" s="13" t="s">
        <v>14</v>
      </c>
      <c r="C22" s="14">
        <v>149.94999999999999</v>
      </c>
      <c r="D22" s="51"/>
      <c r="E22" s="12">
        <v>55</v>
      </c>
      <c r="F22" s="13" t="s">
        <v>98</v>
      </c>
      <c r="G22" s="14">
        <v>13.17</v>
      </c>
      <c r="H22" s="51"/>
      <c r="I22" s="12">
        <v>92</v>
      </c>
      <c r="J22" s="13" t="s">
        <v>76</v>
      </c>
      <c r="K22" s="14">
        <v>6.11</v>
      </c>
    </row>
    <row r="23" spans="1:11" ht="18" x14ac:dyDescent="0.25">
      <c r="A23" s="15">
        <v>18</v>
      </c>
      <c r="B23" s="15" t="s">
        <v>133</v>
      </c>
      <c r="C23" s="16">
        <v>14.81</v>
      </c>
      <c r="D23" s="51"/>
      <c r="E23" s="15">
        <v>56</v>
      </c>
      <c r="F23" s="15" t="s">
        <v>99</v>
      </c>
      <c r="G23" s="16">
        <v>8.1300000000000008</v>
      </c>
      <c r="H23" s="51"/>
      <c r="I23" s="15">
        <v>93</v>
      </c>
      <c r="J23" s="15" t="s">
        <v>77</v>
      </c>
      <c r="K23" s="16">
        <v>36.46</v>
      </c>
    </row>
    <row r="24" spans="1:11" ht="18" x14ac:dyDescent="0.25">
      <c r="A24" s="12">
        <v>19</v>
      </c>
      <c r="B24" s="13" t="s">
        <v>134</v>
      </c>
      <c r="C24" s="14">
        <v>5.19</v>
      </c>
      <c r="D24" s="51"/>
      <c r="E24" s="12">
        <v>57</v>
      </c>
      <c r="F24" s="13" t="s">
        <v>100</v>
      </c>
      <c r="G24" s="14">
        <v>27.37</v>
      </c>
      <c r="H24" s="51"/>
      <c r="I24" s="12">
        <v>94</v>
      </c>
      <c r="J24" s="13" t="s">
        <v>78</v>
      </c>
      <c r="K24" s="14">
        <v>59.68</v>
      </c>
    </row>
    <row r="25" spans="1:11" ht="18" x14ac:dyDescent="0.25">
      <c r="A25" s="15">
        <v>20</v>
      </c>
      <c r="B25" s="15" t="s">
        <v>135</v>
      </c>
      <c r="C25" s="16">
        <v>14.79</v>
      </c>
      <c r="D25" s="51"/>
      <c r="E25" s="15">
        <v>58</v>
      </c>
      <c r="F25" s="15" t="s">
        <v>101</v>
      </c>
      <c r="G25" s="16">
        <v>78.58</v>
      </c>
      <c r="H25" s="51"/>
      <c r="I25" s="15">
        <v>95</v>
      </c>
      <c r="J25" s="15" t="s">
        <v>79</v>
      </c>
      <c r="K25" s="23">
        <v>29.97</v>
      </c>
    </row>
    <row r="26" spans="1:11" ht="18" x14ac:dyDescent="0.25">
      <c r="A26" s="12">
        <v>21</v>
      </c>
      <c r="B26" s="13" t="s">
        <v>136</v>
      </c>
      <c r="C26" s="14">
        <v>3.8</v>
      </c>
      <c r="D26" s="51"/>
      <c r="E26" s="12">
        <v>59</v>
      </c>
      <c r="F26" s="13" t="s">
        <v>102</v>
      </c>
      <c r="G26" s="14">
        <v>5.09</v>
      </c>
      <c r="H26" s="51"/>
      <c r="I26" s="24">
        <v>96</v>
      </c>
      <c r="J26" s="13" t="s">
        <v>80</v>
      </c>
      <c r="K26" s="25">
        <v>28.97</v>
      </c>
    </row>
    <row r="27" spans="1:11" ht="18" x14ac:dyDescent="0.25">
      <c r="A27" s="15">
        <v>22</v>
      </c>
      <c r="B27" s="15" t="s">
        <v>137</v>
      </c>
      <c r="C27" s="16">
        <v>4.5</v>
      </c>
      <c r="D27" s="51"/>
      <c r="E27" s="15">
        <v>60</v>
      </c>
      <c r="F27" s="15" t="s">
        <v>103</v>
      </c>
      <c r="G27" s="23">
        <v>11.06</v>
      </c>
      <c r="H27" s="51"/>
      <c r="I27" s="15">
        <v>97</v>
      </c>
      <c r="J27" s="15" t="s">
        <v>81</v>
      </c>
      <c r="K27" s="23">
        <v>6.65</v>
      </c>
    </row>
    <row r="28" spans="1:11" ht="18" x14ac:dyDescent="0.25">
      <c r="A28" s="12">
        <v>23</v>
      </c>
      <c r="B28" s="13" t="s">
        <v>138</v>
      </c>
      <c r="C28" s="14">
        <v>5.67</v>
      </c>
      <c r="D28" s="51"/>
      <c r="E28" s="24">
        <v>61</v>
      </c>
      <c r="F28" s="13" t="s">
        <v>104</v>
      </c>
      <c r="G28" s="25">
        <v>11.17</v>
      </c>
      <c r="H28" s="51"/>
      <c r="I28" s="17"/>
      <c r="J28" s="18" t="s">
        <v>9</v>
      </c>
      <c r="K28" s="19">
        <f>SUM(K6:K27)</f>
        <v>837.08797400000003</v>
      </c>
    </row>
    <row r="29" spans="1:11" ht="18" x14ac:dyDescent="0.25">
      <c r="A29" s="15">
        <v>24</v>
      </c>
      <c r="B29" s="15" t="s">
        <v>139</v>
      </c>
      <c r="C29" s="16">
        <v>19.899999999999999</v>
      </c>
      <c r="D29" s="51"/>
      <c r="E29" s="15">
        <v>62</v>
      </c>
      <c r="F29" s="15" t="s">
        <v>105</v>
      </c>
      <c r="G29" s="23">
        <v>8.33</v>
      </c>
      <c r="H29" s="51"/>
      <c r="I29" s="60"/>
      <c r="J29" s="60"/>
      <c r="K29" s="60"/>
    </row>
    <row r="30" spans="1:11" ht="18" x14ac:dyDescent="0.25">
      <c r="A30" s="12">
        <v>25</v>
      </c>
      <c r="B30" s="13" t="s">
        <v>140</v>
      </c>
      <c r="C30" s="14">
        <v>39.9</v>
      </c>
      <c r="D30" s="51"/>
      <c r="E30" s="24">
        <v>63</v>
      </c>
      <c r="F30" s="13" t="s">
        <v>106</v>
      </c>
      <c r="G30" s="25">
        <v>5.6</v>
      </c>
      <c r="H30" s="51"/>
      <c r="I30" s="57" t="s">
        <v>156</v>
      </c>
      <c r="J30" s="58"/>
      <c r="K30" s="59"/>
    </row>
    <row r="31" spans="1:11" ht="18" x14ac:dyDescent="0.25">
      <c r="A31" s="15">
        <v>26</v>
      </c>
      <c r="B31" s="15" t="s">
        <v>141</v>
      </c>
      <c r="C31" s="16">
        <v>10.85</v>
      </c>
      <c r="D31" s="51"/>
      <c r="E31" s="15">
        <v>64</v>
      </c>
      <c r="F31" s="15" t="s">
        <v>107</v>
      </c>
      <c r="G31" s="23">
        <v>6.02</v>
      </c>
      <c r="H31" s="51"/>
      <c r="I31" s="27" t="s">
        <v>1</v>
      </c>
      <c r="J31" s="28" t="s">
        <v>7</v>
      </c>
      <c r="K31" s="29" t="s">
        <v>8</v>
      </c>
    </row>
    <row r="32" spans="1:11" ht="18" x14ac:dyDescent="0.25">
      <c r="A32" s="12">
        <v>27</v>
      </c>
      <c r="B32" s="13" t="s">
        <v>142</v>
      </c>
      <c r="C32" s="14">
        <v>5.49</v>
      </c>
      <c r="D32" s="51"/>
      <c r="E32" s="24">
        <v>65</v>
      </c>
      <c r="F32" s="13" t="s">
        <v>108</v>
      </c>
      <c r="G32" s="25">
        <v>37.04</v>
      </c>
      <c r="H32" s="51"/>
      <c r="I32" s="15" t="s">
        <v>153</v>
      </c>
      <c r="J32" s="15" t="s">
        <v>154</v>
      </c>
      <c r="K32" s="23">
        <f>193.4+26</f>
        <v>219.4</v>
      </c>
    </row>
    <row r="33" spans="1:11" ht="18" x14ac:dyDescent="0.25">
      <c r="A33" s="15">
        <v>28</v>
      </c>
      <c r="B33" s="15" t="s">
        <v>143</v>
      </c>
      <c r="C33" s="16">
        <v>9.66</v>
      </c>
      <c r="D33" s="51"/>
      <c r="E33" s="15">
        <v>66</v>
      </c>
      <c r="F33" s="15" t="s">
        <v>109</v>
      </c>
      <c r="G33" s="23">
        <v>6.28</v>
      </c>
      <c r="H33" s="51"/>
      <c r="I33" s="17"/>
      <c r="J33" s="18" t="s">
        <v>9</v>
      </c>
      <c r="K33" s="19">
        <f>K32</f>
        <v>219.4</v>
      </c>
    </row>
    <row r="34" spans="1:11" ht="18" x14ac:dyDescent="0.25">
      <c r="A34" s="12">
        <v>29</v>
      </c>
      <c r="B34" s="13" t="s">
        <v>144</v>
      </c>
      <c r="C34" s="14">
        <v>6.28</v>
      </c>
      <c r="D34" s="51"/>
      <c r="E34" s="24">
        <v>67</v>
      </c>
      <c r="F34" s="13" t="s">
        <v>110</v>
      </c>
      <c r="G34" s="25">
        <v>5.98</v>
      </c>
      <c r="H34" s="51"/>
      <c r="I34" s="49"/>
      <c r="J34" s="49"/>
      <c r="K34" s="49"/>
    </row>
    <row r="35" spans="1:11" ht="18" x14ac:dyDescent="0.25">
      <c r="A35" s="15">
        <v>30</v>
      </c>
      <c r="B35" s="15" t="s">
        <v>145</v>
      </c>
      <c r="C35" s="16">
        <v>5.85</v>
      </c>
      <c r="D35" s="51"/>
      <c r="E35" s="15">
        <v>68</v>
      </c>
      <c r="F35" s="15" t="s">
        <v>111</v>
      </c>
      <c r="G35" s="23">
        <v>6.34</v>
      </c>
      <c r="H35" s="51"/>
      <c r="I35" s="50"/>
      <c r="J35" s="50"/>
      <c r="K35" s="50"/>
    </row>
    <row r="36" spans="1:11" ht="18" x14ac:dyDescent="0.25">
      <c r="A36" s="12">
        <v>31</v>
      </c>
      <c r="B36" s="13" t="s">
        <v>146</v>
      </c>
      <c r="C36" s="14">
        <v>29</v>
      </c>
      <c r="D36" s="51"/>
      <c r="E36" s="12">
        <v>69</v>
      </c>
      <c r="F36" s="13" t="s">
        <v>112</v>
      </c>
      <c r="G36" s="14">
        <v>28.97</v>
      </c>
      <c r="H36" s="51"/>
      <c r="I36" s="50"/>
      <c r="J36" s="50"/>
      <c r="K36" s="50"/>
    </row>
    <row r="37" spans="1:11" ht="18" x14ac:dyDescent="0.25">
      <c r="A37" s="15">
        <v>32</v>
      </c>
      <c r="B37" s="15" t="s">
        <v>16</v>
      </c>
      <c r="C37" s="16">
        <v>67.27</v>
      </c>
      <c r="D37" s="51"/>
      <c r="E37" s="15">
        <v>70</v>
      </c>
      <c r="F37" s="15" t="s">
        <v>113</v>
      </c>
      <c r="G37" s="16">
        <v>61.92</v>
      </c>
      <c r="H37" s="51"/>
      <c r="I37" s="50"/>
      <c r="J37" s="50"/>
      <c r="K37" s="50"/>
    </row>
    <row r="38" spans="1:11" ht="18" x14ac:dyDescent="0.25">
      <c r="A38" s="12">
        <v>33</v>
      </c>
      <c r="B38" s="13" t="s">
        <v>147</v>
      </c>
      <c r="C38" s="14">
        <v>60.17</v>
      </c>
      <c r="D38" s="51"/>
      <c r="E38" s="12">
        <v>71</v>
      </c>
      <c r="F38" s="13" t="s">
        <v>114</v>
      </c>
      <c r="G38" s="14">
        <v>72.55</v>
      </c>
      <c r="H38" s="51"/>
      <c r="I38" s="50"/>
      <c r="J38" s="50"/>
      <c r="K38" s="50"/>
    </row>
    <row r="39" spans="1:11" ht="18" x14ac:dyDescent="0.25">
      <c r="A39" s="15">
        <v>34</v>
      </c>
      <c r="B39" s="15" t="s">
        <v>148</v>
      </c>
      <c r="C39" s="16">
        <v>29.3</v>
      </c>
      <c r="D39" s="51"/>
      <c r="E39" s="15">
        <v>72</v>
      </c>
      <c r="F39" s="15" t="s">
        <v>115</v>
      </c>
      <c r="G39" s="16">
        <v>6.34</v>
      </c>
      <c r="H39" s="51"/>
      <c r="I39" s="50"/>
      <c r="J39" s="50"/>
      <c r="K39" s="50"/>
    </row>
    <row r="40" spans="1:11" ht="18" x14ac:dyDescent="0.25">
      <c r="A40" s="12">
        <v>35</v>
      </c>
      <c r="B40" s="13" t="s">
        <v>149</v>
      </c>
      <c r="C40" s="14">
        <v>15.63</v>
      </c>
      <c r="D40" s="51"/>
      <c r="E40" s="12">
        <v>73</v>
      </c>
      <c r="F40" s="13" t="s">
        <v>116</v>
      </c>
      <c r="G40" s="14">
        <v>28.97</v>
      </c>
      <c r="H40" s="51"/>
      <c r="I40" s="50"/>
      <c r="J40" s="50"/>
      <c r="K40" s="50"/>
    </row>
    <row r="41" spans="1:11" ht="18" x14ac:dyDescent="0.25">
      <c r="A41" s="15">
        <v>36</v>
      </c>
      <c r="B41" s="15" t="s">
        <v>150</v>
      </c>
      <c r="C41" s="16">
        <v>2.1800000000000002</v>
      </c>
      <c r="D41" s="51"/>
      <c r="E41" s="15">
        <v>74</v>
      </c>
      <c r="F41" s="15" t="s">
        <v>117</v>
      </c>
      <c r="G41" s="16">
        <v>72.760000000000005</v>
      </c>
      <c r="H41" s="51"/>
      <c r="I41" s="50"/>
      <c r="J41" s="50"/>
      <c r="K41" s="50"/>
    </row>
    <row r="42" spans="1:11" ht="18" x14ac:dyDescent="0.25">
      <c r="A42" s="12">
        <v>37</v>
      </c>
      <c r="B42" s="13" t="s">
        <v>151</v>
      </c>
      <c r="C42" s="14">
        <v>2.57</v>
      </c>
      <c r="D42" s="51"/>
      <c r="E42" s="12">
        <v>75</v>
      </c>
      <c r="F42" s="13" t="s">
        <v>118</v>
      </c>
      <c r="G42" s="14">
        <v>6.35</v>
      </c>
      <c r="H42" s="51"/>
      <c r="I42" s="50"/>
      <c r="J42" s="50"/>
      <c r="K42" s="50"/>
    </row>
    <row r="43" spans="1:11" ht="18" x14ac:dyDescent="0.25">
      <c r="A43" s="15">
        <v>38</v>
      </c>
      <c r="B43" s="15" t="s">
        <v>152</v>
      </c>
      <c r="C43" s="16">
        <v>2.84</v>
      </c>
      <c r="D43" s="51"/>
      <c r="E43" s="17"/>
      <c r="F43" s="18" t="s">
        <v>9</v>
      </c>
      <c r="G43" s="19">
        <f>SUM(G6:G42)</f>
        <v>1417.3899999999994</v>
      </c>
      <c r="H43" s="51"/>
      <c r="I43" s="50"/>
      <c r="J43" s="50"/>
      <c r="K43" s="50"/>
    </row>
    <row r="44" spans="1:11" ht="18" x14ac:dyDescent="0.25">
      <c r="A44" s="17"/>
      <c r="B44" s="18" t="s">
        <v>9</v>
      </c>
      <c r="C44" s="19">
        <f>SUM(C6:C43)</f>
        <v>1174.6799999999998</v>
      </c>
      <c r="D44" s="51"/>
      <c r="E44" s="49"/>
      <c r="F44" s="49"/>
      <c r="G44" s="49"/>
      <c r="H44" s="51"/>
      <c r="I44" s="50"/>
      <c r="J44" s="50"/>
      <c r="K44" s="50"/>
    </row>
  </sheetData>
  <mergeCells count="12">
    <mergeCell ref="A4:K4"/>
    <mergeCell ref="D5:D44"/>
    <mergeCell ref="H5:H44"/>
    <mergeCell ref="I29:K29"/>
    <mergeCell ref="I30:K30"/>
    <mergeCell ref="I34:K44"/>
    <mergeCell ref="E44:G44"/>
    <mergeCell ref="A1:K1"/>
    <mergeCell ref="B2:F2"/>
    <mergeCell ref="G2:I2"/>
    <mergeCell ref="B3:F3"/>
    <mergeCell ref="G3:I3"/>
  </mergeCells>
  <pageMargins left="0.7" right="0.7" top="0.75" bottom="0.75" header="0.3" footer="0.3"/>
  <pageSetup paperSize="9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K22"/>
  <sheetViews>
    <sheetView zoomScale="40" zoomScaleNormal="40" workbookViewId="0">
      <selection activeCell="I14" sqref="A5:K22"/>
    </sheetView>
  </sheetViews>
  <sheetFormatPr defaultRowHeight="15" x14ac:dyDescent="0.25"/>
  <cols>
    <col min="1" max="1" width="8.88671875" style="1"/>
    <col min="2" max="2" width="11.109375" style="1" bestFit="1" customWidth="1"/>
    <col min="3" max="3" width="13.21875" style="1" customWidth="1"/>
    <col min="4" max="4" width="4.5546875" style="1" customWidth="1"/>
    <col min="5" max="5" width="8.88671875" style="1"/>
    <col min="6" max="6" width="11.21875" style="1" bestFit="1" customWidth="1"/>
    <col min="7" max="7" width="12" style="1" customWidth="1"/>
    <col min="8" max="8" width="4.21875" style="1" customWidth="1"/>
    <col min="9" max="9" width="10.88671875" style="1" customWidth="1"/>
    <col min="10" max="10" width="10.5546875" style="1" bestFit="1" customWidth="1"/>
    <col min="11" max="11" width="11.33203125" style="1" customWidth="1"/>
    <col min="12" max="16384" width="8.88671875" style="1"/>
  </cols>
  <sheetData>
    <row r="1" spans="1:11" ht="18" customHeight="1" x14ac:dyDescent="0.2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1" ht="18" customHeight="1" x14ac:dyDescent="0.25">
      <c r="A2" s="22" t="s">
        <v>1</v>
      </c>
      <c r="B2" s="48" t="s">
        <v>2</v>
      </c>
      <c r="C2" s="48"/>
      <c r="D2" s="48"/>
      <c r="E2" s="48"/>
      <c r="F2" s="48" t="s">
        <v>3</v>
      </c>
      <c r="G2" s="48"/>
      <c r="H2" s="48"/>
      <c r="I2" s="48"/>
      <c r="J2" s="3" t="s">
        <v>4</v>
      </c>
      <c r="K2" s="3" t="s">
        <v>5</v>
      </c>
    </row>
    <row r="3" spans="1:11" ht="51.6" customHeight="1" x14ac:dyDescent="0.25">
      <c r="A3" s="22">
        <v>1</v>
      </c>
      <c r="B3" s="54" t="s">
        <v>160</v>
      </c>
      <c r="C3" s="54"/>
      <c r="D3" s="54"/>
      <c r="E3" s="54"/>
      <c r="F3" s="55" t="s">
        <v>161</v>
      </c>
      <c r="G3" s="55"/>
      <c r="H3" s="55"/>
      <c r="I3" s="55"/>
      <c r="J3" s="4" t="s">
        <v>6</v>
      </c>
      <c r="K3" s="5">
        <f>C19+G22+K13</f>
        <v>714.46</v>
      </c>
    </row>
    <row r="4" spans="1:11" ht="18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</row>
    <row r="5" spans="1:11" ht="18" x14ac:dyDescent="0.25">
      <c r="A5" s="6" t="s">
        <v>1</v>
      </c>
      <c r="B5" s="7" t="s">
        <v>7</v>
      </c>
      <c r="C5" s="8" t="s">
        <v>8</v>
      </c>
      <c r="D5" s="53"/>
      <c r="E5" s="6" t="s">
        <v>1</v>
      </c>
      <c r="F5" s="7" t="s">
        <v>7</v>
      </c>
      <c r="G5" s="8" t="s">
        <v>8</v>
      </c>
      <c r="H5" s="51"/>
      <c r="I5" s="9" t="s">
        <v>1</v>
      </c>
      <c r="J5" s="10" t="s">
        <v>7</v>
      </c>
      <c r="K5" s="11" t="s">
        <v>8</v>
      </c>
    </row>
    <row r="6" spans="1:11" ht="18" x14ac:dyDescent="0.25">
      <c r="A6" s="12">
        <v>1</v>
      </c>
      <c r="B6" s="13" t="s">
        <v>120</v>
      </c>
      <c r="C6" s="14">
        <v>5.1100000000000003</v>
      </c>
      <c r="D6" s="51"/>
      <c r="E6" s="12">
        <v>14</v>
      </c>
      <c r="F6" s="13" t="s">
        <v>102</v>
      </c>
      <c r="G6" s="14">
        <v>5.19</v>
      </c>
      <c r="H6" s="51"/>
      <c r="I6" s="12">
        <v>30</v>
      </c>
      <c r="J6" s="14" t="s">
        <v>65</v>
      </c>
      <c r="K6" s="14">
        <v>6.45</v>
      </c>
    </row>
    <row r="7" spans="1:11" ht="18" x14ac:dyDescent="0.25">
      <c r="A7" s="30">
        <v>2</v>
      </c>
      <c r="B7" s="15" t="s">
        <v>121</v>
      </c>
      <c r="C7" s="16">
        <v>5.51</v>
      </c>
      <c r="D7" s="51"/>
      <c r="E7" s="30">
        <v>15</v>
      </c>
      <c r="F7" s="15" t="s">
        <v>103</v>
      </c>
      <c r="G7" s="16">
        <v>11.2</v>
      </c>
      <c r="H7" s="51"/>
      <c r="I7" s="30">
        <v>31</v>
      </c>
      <c r="J7" s="16" t="s">
        <v>67</v>
      </c>
      <c r="K7" s="16">
        <v>5.53</v>
      </c>
    </row>
    <row r="8" spans="1:11" ht="18" x14ac:dyDescent="0.25">
      <c r="A8" s="12">
        <v>3</v>
      </c>
      <c r="B8" s="13" t="s">
        <v>132</v>
      </c>
      <c r="C8" s="14">
        <v>10.08</v>
      </c>
      <c r="D8" s="51"/>
      <c r="E8" s="12">
        <v>16</v>
      </c>
      <c r="F8" s="13" t="s">
        <v>104</v>
      </c>
      <c r="G8" s="14">
        <v>11.31</v>
      </c>
      <c r="H8" s="51"/>
      <c r="I8" s="12">
        <v>32</v>
      </c>
      <c r="J8" s="14" t="s">
        <v>68</v>
      </c>
      <c r="K8" s="14">
        <v>15.11</v>
      </c>
    </row>
    <row r="9" spans="1:11" ht="18" x14ac:dyDescent="0.25">
      <c r="A9" s="30">
        <v>4</v>
      </c>
      <c r="B9" s="15" t="s">
        <v>14</v>
      </c>
      <c r="C9" s="16">
        <v>149.28</v>
      </c>
      <c r="D9" s="51"/>
      <c r="E9" s="30">
        <v>17</v>
      </c>
      <c r="F9" s="15" t="s">
        <v>97</v>
      </c>
      <c r="G9" s="16">
        <v>26.54</v>
      </c>
      <c r="H9" s="51"/>
      <c r="I9" s="30">
        <v>33</v>
      </c>
      <c r="J9" s="16" t="s">
        <v>69</v>
      </c>
      <c r="K9" s="16">
        <v>15.08</v>
      </c>
    </row>
    <row r="10" spans="1:11" ht="18" x14ac:dyDescent="0.25">
      <c r="A10" s="12">
        <v>5</v>
      </c>
      <c r="B10" s="13" t="s">
        <v>133</v>
      </c>
      <c r="C10" s="14">
        <v>15.01</v>
      </c>
      <c r="D10" s="51"/>
      <c r="E10" s="12">
        <v>18</v>
      </c>
      <c r="F10" s="13" t="s">
        <v>98</v>
      </c>
      <c r="G10" s="14">
        <v>13.17</v>
      </c>
      <c r="H10" s="51"/>
      <c r="I10" s="12">
        <v>34</v>
      </c>
      <c r="J10" s="14" t="s">
        <v>75</v>
      </c>
      <c r="K10" s="14">
        <v>6.27</v>
      </c>
    </row>
    <row r="11" spans="1:11" ht="18" x14ac:dyDescent="0.25">
      <c r="A11" s="17">
        <v>6</v>
      </c>
      <c r="B11" s="15" t="s">
        <v>134</v>
      </c>
      <c r="C11" s="23">
        <v>5.22</v>
      </c>
      <c r="D11" s="51"/>
      <c r="E11" s="30">
        <v>19</v>
      </c>
      <c r="F11" s="15" t="s">
        <v>99</v>
      </c>
      <c r="G11" s="16">
        <v>8.19</v>
      </c>
      <c r="H11" s="51"/>
      <c r="I11" s="30">
        <v>35</v>
      </c>
      <c r="J11" s="16" t="s">
        <v>79</v>
      </c>
      <c r="K11" s="16">
        <v>29.19</v>
      </c>
    </row>
    <row r="12" spans="1:11" ht="18" x14ac:dyDescent="0.25">
      <c r="A12" s="24">
        <v>7</v>
      </c>
      <c r="B12" s="13" t="s">
        <v>135</v>
      </c>
      <c r="C12" s="25">
        <v>15</v>
      </c>
      <c r="D12" s="51"/>
      <c r="E12" s="12">
        <v>20</v>
      </c>
      <c r="F12" s="13" t="s">
        <v>100</v>
      </c>
      <c r="G12" s="14">
        <v>27.38</v>
      </c>
      <c r="H12" s="51"/>
      <c r="I12" s="12">
        <v>36</v>
      </c>
      <c r="J12" s="14" t="s">
        <v>80</v>
      </c>
      <c r="K12" s="14">
        <v>29.2</v>
      </c>
    </row>
    <row r="13" spans="1:11" ht="18" x14ac:dyDescent="0.25">
      <c r="A13" s="17">
        <v>8</v>
      </c>
      <c r="B13" s="15" t="s">
        <v>144</v>
      </c>
      <c r="C13" s="23">
        <v>6.27</v>
      </c>
      <c r="D13" s="51"/>
      <c r="E13" s="30">
        <v>21</v>
      </c>
      <c r="F13" s="15" t="s">
        <v>94</v>
      </c>
      <c r="G13" s="23">
        <v>10.44</v>
      </c>
      <c r="H13" s="51"/>
      <c r="I13" s="17"/>
      <c r="J13" s="18" t="s">
        <v>9</v>
      </c>
      <c r="K13" s="19">
        <f>SUM(K6:K12)</f>
        <v>106.83</v>
      </c>
    </row>
    <row r="14" spans="1:11" ht="18" x14ac:dyDescent="0.25">
      <c r="A14" s="24">
        <v>9</v>
      </c>
      <c r="B14" s="13" t="s">
        <v>145</v>
      </c>
      <c r="C14" s="25">
        <v>5.98</v>
      </c>
      <c r="D14" s="51"/>
      <c r="E14" s="12">
        <v>22</v>
      </c>
      <c r="F14" s="13" t="s">
        <v>95</v>
      </c>
      <c r="G14" s="25">
        <v>11.73</v>
      </c>
      <c r="H14" s="51"/>
      <c r="I14" s="49"/>
      <c r="J14" s="49"/>
      <c r="K14" s="49"/>
    </row>
    <row r="15" spans="1:11" ht="18" x14ac:dyDescent="0.25">
      <c r="A15" s="17">
        <v>10</v>
      </c>
      <c r="B15" s="15" t="s">
        <v>16</v>
      </c>
      <c r="C15" s="23">
        <v>59.38</v>
      </c>
      <c r="D15" s="51"/>
      <c r="E15" s="30">
        <v>23</v>
      </c>
      <c r="F15" s="15" t="s">
        <v>96</v>
      </c>
      <c r="G15" s="23">
        <v>30.61</v>
      </c>
      <c r="H15" s="51"/>
      <c r="I15" s="50"/>
      <c r="J15" s="50"/>
      <c r="K15" s="50"/>
    </row>
    <row r="16" spans="1:11" ht="18" x14ac:dyDescent="0.25">
      <c r="A16" s="24">
        <v>11</v>
      </c>
      <c r="B16" s="13" t="s">
        <v>149</v>
      </c>
      <c r="C16" s="25">
        <v>16.399999999999999</v>
      </c>
      <c r="D16" s="51"/>
      <c r="E16" s="12">
        <v>24</v>
      </c>
      <c r="F16" s="13" t="s">
        <v>91</v>
      </c>
      <c r="G16" s="25">
        <v>15</v>
      </c>
      <c r="H16" s="51"/>
      <c r="I16" s="50"/>
      <c r="J16" s="50"/>
      <c r="K16" s="50"/>
    </row>
    <row r="17" spans="1:11" ht="18" x14ac:dyDescent="0.25">
      <c r="A17" s="17">
        <v>12</v>
      </c>
      <c r="B17" s="15" t="s">
        <v>146</v>
      </c>
      <c r="C17" s="23">
        <v>29.22</v>
      </c>
      <c r="D17" s="51"/>
      <c r="E17" s="30">
        <v>25</v>
      </c>
      <c r="F17" s="15" t="s">
        <v>92</v>
      </c>
      <c r="G17" s="23">
        <v>14.98</v>
      </c>
      <c r="H17" s="51"/>
      <c r="I17" s="50"/>
      <c r="J17" s="50"/>
      <c r="K17" s="50"/>
    </row>
    <row r="18" spans="1:11" ht="18" x14ac:dyDescent="0.25">
      <c r="A18" s="24">
        <v>13</v>
      </c>
      <c r="B18" s="13" t="s">
        <v>148</v>
      </c>
      <c r="C18" s="25">
        <v>29.54</v>
      </c>
      <c r="D18" s="51"/>
      <c r="E18" s="12">
        <v>26</v>
      </c>
      <c r="F18" s="25" t="s">
        <v>93</v>
      </c>
      <c r="G18" s="25">
        <v>5.23</v>
      </c>
      <c r="H18" s="51"/>
      <c r="I18" s="50"/>
      <c r="J18" s="50"/>
      <c r="K18" s="50"/>
    </row>
    <row r="19" spans="1:11" ht="18" x14ac:dyDescent="0.25">
      <c r="A19" s="17"/>
      <c r="B19" s="18" t="s">
        <v>9</v>
      </c>
      <c r="C19" s="19">
        <f>SUM(C6:C18)</f>
        <v>352.00000000000006</v>
      </c>
      <c r="D19" s="51"/>
      <c r="E19" s="30">
        <v>27</v>
      </c>
      <c r="F19" s="15" t="s">
        <v>109</v>
      </c>
      <c r="G19" s="23">
        <v>6.27</v>
      </c>
      <c r="H19" s="51"/>
      <c r="I19" s="50"/>
      <c r="J19" s="50"/>
      <c r="K19" s="50"/>
    </row>
    <row r="20" spans="1:11" ht="18" x14ac:dyDescent="0.25">
      <c r="A20" s="49"/>
      <c r="B20" s="49"/>
      <c r="C20" s="49"/>
      <c r="D20" s="51"/>
      <c r="E20" s="12">
        <v>28</v>
      </c>
      <c r="F20" s="25" t="s">
        <v>112</v>
      </c>
      <c r="G20" s="25">
        <v>29.19</v>
      </c>
      <c r="H20" s="51"/>
      <c r="I20" s="50"/>
      <c r="J20" s="50"/>
      <c r="K20" s="50"/>
    </row>
    <row r="21" spans="1:11" ht="18" x14ac:dyDescent="0.25">
      <c r="A21" s="50"/>
      <c r="B21" s="50"/>
      <c r="C21" s="50"/>
      <c r="D21" s="51"/>
      <c r="E21" s="30">
        <v>29</v>
      </c>
      <c r="F21" s="15" t="s">
        <v>116</v>
      </c>
      <c r="G21" s="23">
        <v>29.2</v>
      </c>
      <c r="H21" s="51"/>
      <c r="I21" s="50"/>
      <c r="J21" s="50"/>
      <c r="K21" s="50"/>
    </row>
    <row r="22" spans="1:11" ht="18" x14ac:dyDescent="0.25">
      <c r="A22" s="50"/>
      <c r="B22" s="50"/>
      <c r="C22" s="50"/>
      <c r="D22" s="51"/>
      <c r="E22" s="17"/>
      <c r="F22" s="18" t="s">
        <v>9</v>
      </c>
      <c r="G22" s="19">
        <f>SUM(G6:G21)</f>
        <v>255.62999999999997</v>
      </c>
      <c r="H22" s="51"/>
      <c r="I22" s="50"/>
      <c r="J22" s="50"/>
      <c r="K22" s="50"/>
    </row>
  </sheetData>
  <mergeCells count="10">
    <mergeCell ref="D5:D22"/>
    <mergeCell ref="H5:H22"/>
    <mergeCell ref="I14:K22"/>
    <mergeCell ref="A20:C22"/>
    <mergeCell ref="A1:K1"/>
    <mergeCell ref="B2:E2"/>
    <mergeCell ref="F2:I2"/>
    <mergeCell ref="B3:E3"/>
    <mergeCell ref="F3:I3"/>
    <mergeCell ref="A4:K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K16"/>
  <sheetViews>
    <sheetView zoomScale="70" zoomScaleNormal="70" workbookViewId="0">
      <selection activeCell="K16" sqref="A5:K16"/>
    </sheetView>
  </sheetViews>
  <sheetFormatPr defaultRowHeight="15" x14ac:dyDescent="0.25"/>
  <cols>
    <col min="1" max="1" width="8.88671875" style="1"/>
    <col min="2" max="2" width="11.109375" style="1" bestFit="1" customWidth="1"/>
    <col min="3" max="3" width="13.21875" style="1" customWidth="1"/>
    <col min="4" max="4" width="4.5546875" style="1" customWidth="1"/>
    <col min="5" max="5" width="8.88671875" style="1"/>
    <col min="6" max="6" width="11.21875" style="1" bestFit="1" customWidth="1"/>
    <col min="7" max="7" width="12" style="1" customWidth="1"/>
    <col min="8" max="8" width="4.21875" style="1" customWidth="1"/>
    <col min="9" max="9" width="10.88671875" style="1" customWidth="1"/>
    <col min="10" max="10" width="10.5546875" style="1" bestFit="1" customWidth="1"/>
    <col min="11" max="11" width="11.33203125" style="1" customWidth="1"/>
    <col min="12" max="16384" width="8.88671875" style="1"/>
  </cols>
  <sheetData>
    <row r="1" spans="1:11" ht="18" customHeight="1" x14ac:dyDescent="0.2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1" ht="18" customHeight="1" x14ac:dyDescent="0.25">
      <c r="A2" s="22" t="s">
        <v>1</v>
      </c>
      <c r="B2" s="48" t="s">
        <v>2</v>
      </c>
      <c r="C2" s="48"/>
      <c r="D2" s="48"/>
      <c r="E2" s="48"/>
      <c r="F2" s="48" t="s">
        <v>3</v>
      </c>
      <c r="G2" s="48"/>
      <c r="H2" s="48"/>
      <c r="I2" s="48"/>
      <c r="J2" s="3" t="s">
        <v>4</v>
      </c>
      <c r="K2" s="3" t="s">
        <v>5</v>
      </c>
    </row>
    <row r="3" spans="1:11" ht="51.6" customHeight="1" x14ac:dyDescent="0.25">
      <c r="A3" s="22">
        <v>1</v>
      </c>
      <c r="B3" s="54" t="s">
        <v>160</v>
      </c>
      <c r="C3" s="54"/>
      <c r="D3" s="54"/>
      <c r="E3" s="54"/>
      <c r="F3" s="55" t="s">
        <v>162</v>
      </c>
      <c r="G3" s="55"/>
      <c r="H3" s="55"/>
      <c r="I3" s="55"/>
      <c r="J3" s="4" t="s">
        <v>6</v>
      </c>
      <c r="K3" s="5">
        <f>C10+G12+K16</f>
        <v>1171.5900000000001</v>
      </c>
    </row>
    <row r="4" spans="1:11" ht="18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</row>
    <row r="5" spans="1:11" ht="18" x14ac:dyDescent="0.25">
      <c r="A5" s="6" t="s">
        <v>1</v>
      </c>
      <c r="B5" s="7" t="s">
        <v>7</v>
      </c>
      <c r="C5" s="8" t="s">
        <v>8</v>
      </c>
      <c r="D5" s="53"/>
      <c r="E5" s="6" t="s">
        <v>1</v>
      </c>
      <c r="F5" s="7" t="s">
        <v>7</v>
      </c>
      <c r="G5" s="8" t="s">
        <v>8</v>
      </c>
      <c r="H5" s="51"/>
      <c r="I5" s="9" t="s">
        <v>1</v>
      </c>
      <c r="J5" s="10" t="s">
        <v>7</v>
      </c>
      <c r="K5" s="11" t="s">
        <v>8</v>
      </c>
    </row>
    <row r="6" spans="1:11" ht="18" x14ac:dyDescent="0.25">
      <c r="A6" s="12">
        <v>1</v>
      </c>
      <c r="B6" s="13" t="s">
        <v>25</v>
      </c>
      <c r="C6" s="14">
        <v>44.29</v>
      </c>
      <c r="D6" s="51"/>
      <c r="E6" s="12">
        <v>5</v>
      </c>
      <c r="F6" s="13" t="s">
        <v>35</v>
      </c>
      <c r="G6" s="14">
        <v>53.5</v>
      </c>
      <c r="H6" s="51"/>
      <c r="I6" s="12">
        <v>11</v>
      </c>
      <c r="J6" s="13" t="s">
        <v>47</v>
      </c>
      <c r="K6" s="14">
        <v>52.44</v>
      </c>
    </row>
    <row r="7" spans="1:11" ht="18" x14ac:dyDescent="0.25">
      <c r="A7" s="15" t="s">
        <v>166</v>
      </c>
      <c r="B7" s="15" t="s">
        <v>26</v>
      </c>
      <c r="C7" s="16">
        <v>47.34</v>
      </c>
      <c r="D7" s="51"/>
      <c r="E7" s="15">
        <v>6</v>
      </c>
      <c r="F7" s="15" t="s">
        <v>36</v>
      </c>
      <c r="G7" s="16">
        <v>74.430000000000007</v>
      </c>
      <c r="H7" s="51"/>
      <c r="I7" s="15">
        <v>12</v>
      </c>
      <c r="J7" s="15" t="s">
        <v>48</v>
      </c>
      <c r="K7" s="16">
        <v>75.180000000000007</v>
      </c>
    </row>
    <row r="8" spans="1:11" ht="18" x14ac:dyDescent="0.25">
      <c r="A8" s="12">
        <v>3</v>
      </c>
      <c r="B8" s="13" t="s">
        <v>27</v>
      </c>
      <c r="C8" s="14">
        <v>54.22</v>
      </c>
      <c r="D8" s="51"/>
      <c r="E8" s="12">
        <v>7</v>
      </c>
      <c r="F8" s="13" t="s">
        <v>38</v>
      </c>
      <c r="G8" s="14">
        <v>53.83</v>
      </c>
      <c r="H8" s="51"/>
      <c r="I8" s="12">
        <v>13</v>
      </c>
      <c r="J8" s="13" t="s">
        <v>49</v>
      </c>
      <c r="K8" s="14">
        <v>23.51</v>
      </c>
    </row>
    <row r="9" spans="1:11" ht="18" x14ac:dyDescent="0.25">
      <c r="A9" s="15" t="s">
        <v>167</v>
      </c>
      <c r="B9" s="15" t="s">
        <v>163</v>
      </c>
      <c r="C9" s="16">
        <v>129.11000000000001</v>
      </c>
      <c r="D9" s="51"/>
      <c r="E9" s="15">
        <v>8</v>
      </c>
      <c r="F9" s="15" t="s">
        <v>39</v>
      </c>
      <c r="G9" s="16">
        <v>55.33</v>
      </c>
      <c r="H9" s="51"/>
      <c r="I9" s="15">
        <v>14</v>
      </c>
      <c r="J9" s="15" t="s">
        <v>50</v>
      </c>
      <c r="K9" s="16">
        <v>54.52</v>
      </c>
    </row>
    <row r="10" spans="1:11" ht="18" x14ac:dyDescent="0.25">
      <c r="A10" s="17"/>
      <c r="B10" s="18" t="s">
        <v>9</v>
      </c>
      <c r="C10" s="19">
        <f>SUM(C6:C9)</f>
        <v>274.96000000000004</v>
      </c>
      <c r="D10" s="51"/>
      <c r="E10" s="12">
        <v>9</v>
      </c>
      <c r="F10" s="13" t="s">
        <v>40</v>
      </c>
      <c r="G10" s="14">
        <v>54.25</v>
      </c>
      <c r="H10" s="51"/>
      <c r="I10" s="12">
        <v>15</v>
      </c>
      <c r="J10" s="13" t="s">
        <v>51</v>
      </c>
      <c r="K10" s="14">
        <v>54.3</v>
      </c>
    </row>
    <row r="11" spans="1:11" ht="18" x14ac:dyDescent="0.25">
      <c r="A11" s="49"/>
      <c r="B11" s="49"/>
      <c r="C11" s="49"/>
      <c r="D11" s="51"/>
      <c r="E11" s="15">
        <v>10</v>
      </c>
      <c r="F11" s="15" t="s">
        <v>34</v>
      </c>
      <c r="G11" s="16">
        <v>54.3</v>
      </c>
      <c r="H11" s="51"/>
      <c r="I11" s="15">
        <v>16</v>
      </c>
      <c r="J11" s="15" t="s">
        <v>52</v>
      </c>
      <c r="K11" s="16">
        <v>54.94</v>
      </c>
    </row>
    <row r="12" spans="1:11" ht="18" x14ac:dyDescent="0.25">
      <c r="A12" s="50"/>
      <c r="B12" s="50"/>
      <c r="C12" s="50"/>
      <c r="D12" s="51"/>
      <c r="E12" s="17"/>
      <c r="F12" s="18" t="s">
        <v>9</v>
      </c>
      <c r="G12" s="19">
        <f>SUM(G6:G11)</f>
        <v>345.64</v>
      </c>
      <c r="H12" s="51"/>
      <c r="I12" s="12">
        <v>17</v>
      </c>
      <c r="J12" s="13" t="s">
        <v>53</v>
      </c>
      <c r="K12" s="14">
        <v>54.35</v>
      </c>
    </row>
    <row r="13" spans="1:11" ht="18" x14ac:dyDescent="0.25">
      <c r="A13" s="50"/>
      <c r="B13" s="50"/>
      <c r="C13" s="50"/>
      <c r="D13" s="51"/>
      <c r="E13" s="49"/>
      <c r="F13" s="49"/>
      <c r="G13" s="49"/>
      <c r="H13" s="51"/>
      <c r="I13" s="15">
        <v>18</v>
      </c>
      <c r="J13" s="15" t="s">
        <v>54</v>
      </c>
      <c r="K13" s="16">
        <v>54.94</v>
      </c>
    </row>
    <row r="14" spans="1:11" ht="18" x14ac:dyDescent="0.25">
      <c r="A14" s="50"/>
      <c r="B14" s="50"/>
      <c r="C14" s="50"/>
      <c r="D14" s="51"/>
      <c r="E14" s="50"/>
      <c r="F14" s="50"/>
      <c r="G14" s="50"/>
      <c r="H14" s="51"/>
      <c r="I14" s="12">
        <v>19</v>
      </c>
      <c r="J14" s="13" t="s">
        <v>164</v>
      </c>
      <c r="K14" s="20">
        <v>63.13</v>
      </c>
    </row>
    <row r="15" spans="1:11" ht="18" x14ac:dyDescent="0.25">
      <c r="A15" s="50"/>
      <c r="B15" s="50"/>
      <c r="C15" s="50"/>
      <c r="D15" s="51"/>
      <c r="E15" s="50"/>
      <c r="F15" s="50"/>
      <c r="G15" s="50"/>
      <c r="H15" s="51"/>
      <c r="I15" s="15">
        <v>20</v>
      </c>
      <c r="J15" s="15" t="s">
        <v>165</v>
      </c>
      <c r="K15" s="16">
        <v>63.68</v>
      </c>
    </row>
    <row r="16" spans="1:11" ht="18" x14ac:dyDescent="0.25">
      <c r="A16" s="50"/>
      <c r="B16" s="50"/>
      <c r="C16" s="50"/>
      <c r="D16" s="51"/>
      <c r="E16" s="50"/>
      <c r="F16" s="50"/>
      <c r="G16" s="50"/>
      <c r="H16" s="51"/>
      <c r="I16" s="17"/>
      <c r="J16" s="18" t="s">
        <v>9</v>
      </c>
      <c r="K16" s="19">
        <f>SUM(K6:K15)</f>
        <v>550.99</v>
      </c>
    </row>
  </sheetData>
  <mergeCells count="10">
    <mergeCell ref="D5:D16"/>
    <mergeCell ref="H5:H16"/>
    <mergeCell ref="A11:C16"/>
    <mergeCell ref="E13:G16"/>
    <mergeCell ref="A1:K1"/>
    <mergeCell ref="B2:E2"/>
    <mergeCell ref="F2:I2"/>
    <mergeCell ref="B3:E3"/>
    <mergeCell ref="F3:I3"/>
    <mergeCell ref="A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21</vt:i4>
      </vt:variant>
    </vt:vector>
  </HeadingPairs>
  <TitlesOfParts>
    <vt:vector size="21" baseType="lpstr">
      <vt:lpstr>1144</vt:lpstr>
      <vt:lpstr>1140</vt:lpstr>
      <vt:lpstr>1048</vt:lpstr>
      <vt:lpstr>1005</vt:lpstr>
      <vt:lpstr>971</vt:lpstr>
      <vt:lpstr>968</vt:lpstr>
      <vt:lpstr>965</vt:lpstr>
      <vt:lpstr>947</vt:lpstr>
      <vt:lpstr>CF6</vt:lpstr>
      <vt:lpstr>CF3</vt:lpstr>
      <vt:lpstr>CF4</vt:lpstr>
      <vt:lpstr>CF7,17</vt:lpstr>
      <vt:lpstr>CF1</vt:lpstr>
      <vt:lpstr>1.1-CF2_СКБ</vt:lpstr>
      <vt:lpstr>2.1-CF2_Краска</vt:lpstr>
      <vt:lpstr>3.1-CF2_Монтаж</vt:lpstr>
      <vt:lpstr>2.2-CF1_КрскДопСл</vt:lpstr>
      <vt:lpstr>2.2-CF1_Краск</vt:lpstr>
      <vt:lpstr>1.2-CF1_СКБ</vt:lpstr>
      <vt:lpstr>3.2-CF3_Монтаж</vt:lpstr>
      <vt:lpstr>3.3-CF4_Монтаж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</dc:creator>
  <cp:lastModifiedBy>Linux</cp:lastModifiedBy>
  <dcterms:created xsi:type="dcterms:W3CDTF">2026-04-03T11:20:43Z</dcterms:created>
  <dcterms:modified xsi:type="dcterms:W3CDTF">2026-07-12T11:29:30Z</dcterms:modified>
</cp:coreProperties>
</file>