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0" yWindow="0" windowWidth="23040" windowHeight="10416" firstSheet="4" activeTab="4"/>
  </bookViews>
  <sheets>
    <sheet name="Расценки" sheetId="1" r:id="rId1"/>
    <sheet name="Наряд заказы" sheetId="2" r:id="rId2"/>
    <sheet name="Накопительная" sheetId="3" r:id="rId3"/>
    <sheet name="Сводная по наряд заказам" sheetId="4" r:id="rId4"/>
    <sheet name="Всплываюшиеся списки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13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1" i="2"/>
  <c r="K750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577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8" i="2"/>
  <c r="K597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31" i="2"/>
  <c r="K532" i="2"/>
  <c r="K533" i="2"/>
  <c r="K534" i="2"/>
  <c r="K535" i="2"/>
  <c r="K536" i="2"/>
  <c r="K537" i="2"/>
  <c r="K538" i="2"/>
  <c r="K539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01" i="2"/>
  <c r="K400" i="2"/>
  <c r="K399" i="2"/>
  <c r="K398" i="2"/>
  <c r="K394" i="2"/>
  <c r="K388" i="2"/>
  <c r="K397" i="2"/>
  <c r="K396" i="2"/>
  <c r="K395" i="2"/>
  <c r="K393" i="2"/>
  <c r="K392" i="2"/>
  <c r="K391" i="2"/>
  <c r="K390" i="2"/>
  <c r="K389" i="2"/>
  <c r="K387" i="2"/>
  <c r="K386" i="2"/>
  <c r="K385" i="2"/>
  <c r="K384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35" i="2" l="1"/>
  <c r="K825" i="2"/>
  <c r="K694" i="2"/>
  <c r="K540" i="2"/>
  <c r="K228" i="2"/>
  <c r="K227" i="2"/>
  <c r="K226" i="2"/>
  <c r="K225" i="2"/>
  <c r="K224" i="2"/>
  <c r="K223" i="2"/>
  <c r="K222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40" i="2"/>
  <c r="K139" i="2"/>
  <c r="K138" i="2"/>
  <c r="K137" i="2"/>
  <c r="K136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229" i="2" l="1"/>
  <c r="K105" i="2"/>
</calcChain>
</file>

<file path=xl/sharedStrings.xml><?xml version="1.0" encoding="utf-8"?>
<sst xmlns="http://schemas.openxmlformats.org/spreadsheetml/2006/main" count="4239" uniqueCount="333">
  <si>
    <t>Единичные расценки на отделочные работы</t>
  </si>
  <si>
    <t>№</t>
  </si>
  <si>
    <t>Наименование работ</t>
  </si>
  <si>
    <t>Ед. изм.</t>
  </si>
  <si>
    <t>Стоимость работ "на руки"</t>
  </si>
  <si>
    <t>Стоимость работ, включая НДФЛ 13%, руб.</t>
  </si>
  <si>
    <t>Штукатурка стен сухими смесями с установкой маяков с предварительной огрунтовкой / толщ. от 16,5 мм до 21 мм</t>
  </si>
  <si>
    <t>м2</t>
  </si>
  <si>
    <t>Устройство стяжки ЦПС 61-80мм</t>
  </si>
  <si>
    <t>Выравнивание стен с предварительной огрунтовкой / перегородок ГКЛ, ПГП, штукатурка / толщ. 2 мм потолок под покраску</t>
  </si>
  <si>
    <t>Выравнивание потолка с предварительной огрунтовкой поверхности / по ЖБ поверхности / толщ. 5 мм</t>
  </si>
  <si>
    <t>Заделка штроб торца откосов</t>
  </si>
  <si>
    <t>м.п.</t>
  </si>
  <si>
    <t>Шпатлевание откосов под покраску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</si>
  <si>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</si>
  <si>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</si>
  <si>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Облицовка ступеней керамогранитной плиткой с затиркой швов, с предварительной огрунтовкой поверхности</t>
  </si>
  <si>
    <t>Устройство плинтуса из керамогранитной плитки с затиркой швов, с предварительной огрунтовкой поверхности</t>
  </si>
  <si>
    <t>Устройство обмазочной гидроизоляции с проклеиванием швов армированной лентой из стекловолокна / в 2 слоя</t>
  </si>
  <si>
    <t>Устройство наливных полов с огрунтовкой поверхности и проклейкой демпферной лентой / толщ. до 10 мм</t>
  </si>
  <si>
    <t>Устройство покрытия пола из кварцвинила / на клею</t>
  </si>
  <si>
    <t>Установка полимерного самоклеющегося плинтуса</t>
  </si>
  <si>
    <t>Окраска поверхности стен с предварительной огрунтовкой / в 2 слоя</t>
  </si>
  <si>
    <t>Установка люков противопожарных / в стене</t>
  </si>
  <si>
    <t>шт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</si>
  <si>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</si>
  <si>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</si>
  <si>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</si>
  <si>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Облицовка площадок керамогранитной плиткой с затиркой швов, с предварительной огрунтовкой поверхности</t>
  </si>
  <si>
    <t>Наряд-заказ №</t>
  </si>
  <si>
    <t>Период выполнения работ</t>
  </si>
  <si>
    <t>с</t>
  </si>
  <si>
    <t>по</t>
  </si>
  <si>
    <t>Жилищный комплекс</t>
  </si>
  <si>
    <t>Бригадир</t>
  </si>
  <si>
    <t>Бригада</t>
  </si>
  <si>
    <t>№1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</si>
  <si>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</si>
  <si>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</si>
  <si>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</si>
  <si>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</si>
  <si>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</si>
  <si>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</si>
  <si>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</si>
  <si>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Расценка, руб.</t>
  </si>
  <si>
    <t>Стоимость
Итого, руб.</t>
  </si>
  <si>
    <t>Примечание</t>
  </si>
  <si>
    <t>Работы по проекту</t>
  </si>
  <si>
    <t>Отделка СКБ</t>
  </si>
  <si>
    <t>Стены</t>
  </si>
  <si>
    <t>Всего по бригаде, руб.</t>
  </si>
  <si>
    <t>РЕЕСТР НАРЯД-ЗАКАЗОВ НА ЗАКРЫТИЕ ЗАРАБОТНОЙ ПЛАТЫ РАБОЧИМ</t>
  </si>
  <si>
    <t>ОБЪЕКТ:</t>
  </si>
  <si>
    <t>Номер НЗ
(ссылка)</t>
  </si>
  <si>
    <t>Месяц, год</t>
  </si>
  <si>
    <t>Бригада/звено
Подрядчик</t>
  </si>
  <si>
    <t>Объект</t>
  </si>
  <si>
    <t>Наименование помещения</t>
  </si>
  <si>
    <t>Полы</t>
  </si>
  <si>
    <t>Мобилизация</t>
  </si>
  <si>
    <t>Работы по НЗ на ДР</t>
  </si>
  <si>
    <t>Потолки</t>
  </si>
  <si>
    <t>Работы по НЗ на РВР</t>
  </si>
  <si>
    <t>Дверные проемы</t>
  </si>
  <si>
    <t>Работы по Акту ущерба</t>
  </si>
  <si>
    <t>Подрядчик. Работы по проекту</t>
  </si>
  <si>
    <t>Подрядчик. Работы по НЗ на ДР</t>
  </si>
  <si>
    <t>Подрядчик. Работы по НЗ на РВР</t>
  </si>
  <si>
    <t>Подрядчик. Работы по Акту ущерба</t>
  </si>
  <si>
    <t>(Фамилия И.О, подпись)</t>
  </si>
  <si>
    <t>(Дата)</t>
  </si>
  <si>
    <t>Производитель работ</t>
  </si>
  <si>
    <t>Инженер ПТО</t>
  </si>
  <si>
    <t>Директор проектов</t>
  </si>
  <si>
    <t>Расценка</t>
  </si>
  <si>
    <t>сумма</t>
  </si>
  <si>
    <t>2 788,21</t>
  </si>
  <si>
    <t>836 463,00</t>
  </si>
  <si>
    <t>37 128,00</t>
  </si>
  <si>
    <t>107 145,00</t>
  </si>
  <si>
    <t>2 057,73</t>
  </si>
  <si>
    <t>617 317,80</t>
  </si>
  <si>
    <t>1.01 Тамбур 13,5</t>
  </si>
  <si>
    <t>1.03 Санузел для посетителей 5,5</t>
  </si>
  <si>
    <t>1.05 Комната охраны с диспетчерским пультом 21,5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</si>
  <si>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</si>
  <si>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</si>
  <si>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</si>
  <si>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</si>
  <si>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</si>
  <si>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</si>
  <si>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</si>
  <si>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</si>
  <si>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1.14 Санузел для МГН 5,1</t>
  </si>
  <si>
    <t>1.15 Санузел для мальчиков 15,0</t>
  </si>
  <si>
    <t>1.16 С/у (медблок) 2,2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</si>
  <si>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</si>
  <si>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</si>
  <si>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</si>
  <si>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</si>
  <si>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</si>
  <si>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</si>
  <si>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</si>
  <si>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</si>
  <si>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1.25 Артистическая 10,0</t>
  </si>
  <si>
    <t>1.26 Артистическая 10,4</t>
  </si>
  <si>
    <t>1.27 Коридор 25,5</t>
  </si>
  <si>
    <t>1.28 Серверная 21,2</t>
  </si>
  <si>
    <t>1.29 Электрощитовая 27,9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</si>
  <si>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</si>
  <si>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</si>
  <si>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</si>
  <si>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</si>
  <si>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</si>
  <si>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</si>
  <si>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</si>
  <si>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</si>
  <si>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</si>
  <si>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</si>
  <si>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1.40 Холодный цех 14,5</t>
  </si>
  <si>
    <t>1.41 Горячий цех 87,4</t>
  </si>
  <si>
    <t>1.42 Моечная кухонной посуды 13,1</t>
  </si>
  <si>
    <t>1.43 Кладовая сухих продуктов 11,7</t>
  </si>
  <si>
    <t>1.44 Помещение с холодильным оборудованием 29,0</t>
  </si>
  <si>
    <t>1.45 Кладовая овощей 10,4</t>
  </si>
  <si>
    <t>1.46 Помещение персонала 9,0</t>
  </si>
  <si>
    <t>1.47 Помещение временного хранения отходов 9,3</t>
  </si>
  <si>
    <t>1.48 Раздаточная 7,4</t>
  </si>
  <si>
    <t>1.49 Санузел персонала 2,9</t>
  </si>
  <si>
    <t>1.50 Моечная оборотной тары 8,3</t>
  </si>
  <si>
    <t>1.51 Загрузочная 8,3</t>
  </si>
  <si>
    <t>1.52 Тамбур 2,3</t>
  </si>
  <si>
    <t>1.53 Помещение уборочного инвентаря 3,1</t>
  </si>
  <si>
    <t>1.54 Гардероб персонала с душем 7,4</t>
  </si>
  <si>
    <t>1.55 Цех первичной обработки 13,5</t>
  </si>
  <si>
    <t>1.56 Цех вторичной обработки 11,8</t>
  </si>
  <si>
    <t>1.57 Мясо-рыбный цех 20,8</t>
  </si>
  <si>
    <t>1.58 Коридор 57,3</t>
  </si>
  <si>
    <t>1.59 Тамбур 15,0</t>
  </si>
  <si>
    <t>1.60 Вестибюль с зоной для посетителей 86,8</t>
  </si>
  <si>
    <t>1.61 Пост охраны 16,3</t>
  </si>
  <si>
    <t>1.62 Туалет для МГН (для посетителей) 5,9</t>
  </si>
  <si>
    <t>1.63 Тамбур 11,2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</si>
  <si>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</si>
  <si>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</si>
  <si>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</si>
  <si>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</si>
  <si>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</si>
  <si>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</si>
  <si>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1.70 Тамбур 4,6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</si>
  <si>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</si>
  <si>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</si>
  <si>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</si>
  <si>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</si>
  <si>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</si>
  <si>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</si>
  <si>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</si>
  <si>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</si>
  <si>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</si>
  <si>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</si>
  <si>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</si>
  <si>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1.82 Коридор 24,3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</si>
  <si>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</si>
  <si>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</si>
  <si>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</si>
  <si>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</si>
  <si>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</si>
  <si>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</si>
  <si>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2.10 Раздевальная для девочек (МГН) 12,6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</si>
  <si>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</si>
  <si>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</si>
  <si>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</si>
  <si>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</si>
  <si>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</si>
  <si>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2.16 Санузел для девочек 10,3</t>
  </si>
  <si>
    <t>2.17 Душевая девочек 10,9</t>
  </si>
  <si>
    <t>2.18 Инвентарная (снарядная) 30,6</t>
  </si>
  <si>
    <t>2.19 Спортивный зал 15х24 м 348,1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</si>
  <si>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</si>
  <si>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</si>
  <si>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</si>
  <si>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</si>
  <si>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</si>
  <si>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</si>
  <si>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2.26 Санузел для МГН 5,1</t>
  </si>
  <si>
    <t>2.27 Коридор 18,6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</si>
  <si>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</si>
  <si>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</si>
  <si>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</si>
  <si>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</si>
  <si>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</si>
  <si>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</si>
  <si>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</si>
  <si>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</si>
  <si>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</si>
  <si>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</si>
  <si>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</si>
  <si>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</si>
  <si>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</si>
  <si>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</si>
  <si>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</si>
  <si>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</si>
  <si>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</si>
  <si>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</si>
  <si>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</si>
  <si>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</si>
  <si>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</si>
  <si>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</si>
  <si>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</si>
  <si>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</si>
  <si>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</si>
  <si>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</si>
  <si>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</si>
  <si>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</si>
  <si>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</si>
  <si>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</si>
  <si>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</si>
  <si>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Кранштадский 14</t>
  </si>
  <si>
    <t xml:space="preserve">Ким 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</si>
  <si>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</si>
  <si>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</si>
  <si>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</si>
  <si>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</si>
  <si>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</si>
  <si>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</si>
  <si>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</si>
  <si>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3.09 Санузел для МГН 5,1</t>
  </si>
  <si>
    <t>3.10 Санузел для девочек 15,1</t>
  </si>
  <si>
    <t>3.11 Санузел для мальчиков 15,1</t>
  </si>
  <si>
    <t>3.13 Книгохранилище 13,0</t>
  </si>
  <si>
    <t>3.14 Санузел персонала 4,9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</si>
  <si>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</si>
  <si>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</si>
  <si>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</si>
  <si>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3.18 Рекреация 106,1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</si>
  <si>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</si>
  <si>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</si>
  <si>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</si>
  <si>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</si>
  <si>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</si>
  <si>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</si>
  <si>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</si>
  <si>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</si>
  <si>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</si>
  <si>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</si>
  <si>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</si>
  <si>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</si>
  <si>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</si>
  <si>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</si>
  <si>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</si>
  <si>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</si>
  <si>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</si>
  <si>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3.38 Лестничная клетка №5 (Тип Н2) 31,5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</si>
  <si>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</si>
  <si>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</si>
  <si>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</si>
  <si>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</si>
  <si>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3.43 Лестничная клетка №6 (Тип Л1) 27,5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</si>
  <si>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</si>
  <si>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</si>
  <si>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</si>
  <si>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</si>
  <si>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</si>
  <si>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 xml:space="preserve">Выравнивание потолка с предварительной огрунтовкой поверхности / по ЖБ поверхности / толщ. 5 мм выше 4-х метров </t>
  </si>
  <si>
    <t xml:space="preserve">Штукатурка стен сухими смесями с установкой маяков с предварительной огрунтовкой / толщ. от 16,5 мм до 21 мм выше 4-х метров </t>
  </si>
  <si>
    <t>Линолиум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</si>
  <si>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</si>
  <si>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</si>
  <si>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</si>
  <si>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</si>
  <si>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</si>
  <si>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</si>
  <si>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</si>
  <si>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</si>
  <si>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</si>
  <si>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</si>
  <si>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</si>
  <si>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</si>
  <si>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</si>
  <si>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</si>
  <si>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</si>
  <si>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</si>
  <si>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900 второй слой</t>
  </si>
  <si>
    <t>Зашивка ГВЛВ</t>
  </si>
  <si>
    <t>1-2 этаж</t>
  </si>
  <si>
    <t>п.м.</t>
  </si>
  <si>
    <t xml:space="preserve">1-2 этаж </t>
  </si>
  <si>
    <t xml:space="preserve">1,2,3 этаж </t>
  </si>
  <si>
    <t>Ким</t>
  </si>
  <si>
    <t>Руководитель проекта</t>
  </si>
  <si>
    <t>Долаков М.С.</t>
  </si>
  <si>
    <t>Ноябрь</t>
  </si>
  <si>
    <t xml:space="preserve">Октябрь </t>
  </si>
  <si>
    <t>Декабрь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</si>
  <si>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</si>
  <si>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</si>
  <si>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</si>
  <si>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</si>
  <si>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</si>
  <si>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Евлоев И.Б.</t>
  </si>
  <si>
    <t>м</t>
  </si>
  <si>
    <t>26.12.20256</t>
  </si>
  <si>
    <t>помешения 3,44; 3,19</t>
  </si>
  <si>
    <t>помещения 1,80;2,57;3,43</t>
  </si>
  <si>
    <t>2м</t>
  </si>
  <si>
    <t>помещения 2,54; 3,38</t>
  </si>
  <si>
    <t>ШКОЛА ПОДВАЛ</t>
  </si>
  <si>
    <t>подвал</t>
  </si>
  <si>
    <t>САДИК ПОДВАЛ</t>
  </si>
  <si>
    <t>ШКОЛА и САДИК  ПОДВАЛ</t>
  </si>
  <si>
    <t>выполнена кладка из кирпича, объем работ закрыт как по цене ПГП</t>
  </si>
  <si>
    <t>помешение 2,54 3,38</t>
  </si>
  <si>
    <t>СТЕНЫ и ПОЛ</t>
  </si>
  <si>
    <t>от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</si>
  <si>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</si>
  <si>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</si>
  <si>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</si>
  <si>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</si>
  <si>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</si>
  <si>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</si>
  <si>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Структура затрат2</t>
  </si>
  <si>
    <t>Столбец1</t>
  </si>
  <si>
    <t>ГКЛ WD5 нет в договоре</t>
  </si>
  <si>
    <t xml:space="preserve"> FK12</t>
  </si>
  <si>
    <t>FK12</t>
  </si>
  <si>
    <t>Не понятно это WD5 или WD6?</t>
  </si>
  <si>
    <t>нет в КП</t>
  </si>
  <si>
    <t>Задвоение</t>
  </si>
  <si>
    <t>FK4</t>
  </si>
  <si>
    <t>Нет плитки, только FK1</t>
  </si>
  <si>
    <t>ГВЛВ чего?</t>
  </si>
  <si>
    <t>CF-1, CF-13
459 стоо</t>
  </si>
  <si>
    <t>CF11 нет в КП на базовую щпаклевку.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</si>
</sst>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3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Liberation Sans"/>
    </font>
    <font>
      <b/>
      <sz val="11"/>
      <color theme="1"/>
      <name val="Arial"/>
      <family val="2"/>
      <charset val="204"/>
    </font>
    <font>
      <sz val="11"/>
      <color theme="1"/>
      <name val="Liberation Sans"/>
    </font>
    <font>
      <i/>
      <sz val="11"/>
      <color theme="1"/>
      <name val="Arial"/>
      <family val="2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b/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11734B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76A5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 applyBorder="1" applyAlignment="1">
      <alignment wrapText="1"/>
    </xf>
    <xf numFmtId="0" fontId="0" fillId="0" borderId="0" xfId="0" applyBorder="1"/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14" fontId="6" fillId="0" borderId="0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0" fillId="0" borderId="0" xfId="0" applyFont="1"/>
    <xf numFmtId="0" fontId="20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4" fontId="10" fillId="6" borderId="1" xfId="0" applyNumberFormat="1" applyFont="1" applyFill="1" applyBorder="1" applyAlignment="1">
      <alignment horizontal="right" vertical="center" wrapText="1"/>
    </xf>
    <xf numFmtId="164" fontId="9" fillId="6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right" wrapText="1"/>
    </xf>
    <xf numFmtId="0" fontId="18" fillId="0" borderId="0" xfId="0" applyFont="1" applyBorder="1" applyAlignment="1">
      <alignment horizontal="right" wrapText="1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2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14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0" fillId="0" borderId="23" xfId="0" applyFont="1" applyBorder="1" applyAlignment="1">
      <alignment horizontal="center" vertical="center" wrapText="1"/>
    </xf>
    <xf numFmtId="0" fontId="11" fillId="5" borderId="23" xfId="0" applyFont="1" applyFill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164" fontId="10" fillId="0" borderId="23" xfId="0" applyNumberFormat="1" applyFont="1" applyBorder="1" applyAlignment="1">
      <alignment horizontal="right" vertical="center" wrapText="1"/>
    </xf>
    <xf numFmtId="164" fontId="10" fillId="6" borderId="23" xfId="0" applyNumberFormat="1" applyFont="1" applyFill="1" applyBorder="1" applyAlignment="1">
      <alignment horizontal="right" vertical="center" wrapText="1"/>
    </xf>
    <xf numFmtId="0" fontId="2" fillId="0" borderId="23" xfId="0" applyFont="1" applyBorder="1" applyAlignment="1">
      <alignment vertical="center" wrapText="1"/>
    </xf>
    <xf numFmtId="0" fontId="0" fillId="0" borderId="1" xfId="0" applyFill="1" applyBorder="1"/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12" fillId="0" borderId="2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4" borderId="1" xfId="0" applyFont="1" applyFill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7" borderId="1" xfId="0" applyFill="1" applyBorder="1"/>
    <xf numFmtId="164" fontId="9" fillId="7" borderId="1" xfId="0" applyNumberFormat="1" applyFont="1" applyFill="1" applyBorder="1" applyAlignment="1">
      <alignment horizontal="right" vertical="center" wrapText="1"/>
    </xf>
    <xf numFmtId="0" fontId="12" fillId="0" borderId="3" xfId="0" applyFont="1" applyBorder="1" applyAlignment="1">
      <alignment vertical="center" wrapText="1"/>
    </xf>
    <xf numFmtId="0" fontId="0" fillId="0" borderId="4" xfId="0" applyBorder="1"/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2" fillId="0" borderId="23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/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23" xfId="0" applyBorder="1" applyAlignment="1">
      <alignment horizontal="right"/>
    </xf>
    <xf numFmtId="0" fontId="0" fillId="7" borderId="23" xfId="0" applyFill="1" applyBorder="1"/>
    <xf numFmtId="0" fontId="12" fillId="0" borderId="23" xfId="0" applyFont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9" fillId="4" borderId="25" xfId="0" applyFont="1" applyFill="1" applyBorder="1" applyAlignment="1">
      <alignment horizontal="right" vertical="center" wrapText="1"/>
    </xf>
    <xf numFmtId="164" fontId="9" fillId="6" borderId="25" xfId="0" applyNumberFormat="1" applyFont="1" applyFill="1" applyBorder="1" applyAlignment="1">
      <alignment horizontal="right" vertical="center" wrapText="1"/>
    </xf>
    <xf numFmtId="0" fontId="2" fillId="4" borderId="25" xfId="0" applyFont="1" applyFill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10" fillId="0" borderId="23" xfId="0" applyFont="1" applyBorder="1" applyAlignment="1">
      <alignment horizontal="right" vertical="center"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wrapText="1"/>
    </xf>
    <xf numFmtId="0" fontId="1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4" fontId="1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7" fillId="0" borderId="0" xfId="0" applyFont="1" applyBorder="1" applyAlignment="1">
      <alignment horizontal="center" vertical="center" wrapText="1"/>
    </xf>
    <xf numFmtId="14" fontId="17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</cellXfs>
  <cellStyles count="1">
    <cellStyle name="Обычный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fill>
        <patternFill patternType="solid">
          <fgColor indexed="64"/>
          <bgColor rgb="FF00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fill>
        <patternFill patternType="solid">
          <fgColor indexed="64"/>
          <bgColor rgb="FF00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fill>
        <patternFill patternType="solid">
          <fgColor indexed="64"/>
          <bgColor rgb="FF00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fill>
        <patternFill patternType="solid">
          <fgColor indexed="64"/>
          <bgColor rgb="FF00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0\ &quot;₽&quot;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fill>
        <patternFill patternType="solid">
          <fgColor indexed="64"/>
          <bgColor rgb="FF00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fill>
        <patternFill patternType="solid">
          <fgColor indexed="64"/>
          <bgColor rgb="FF00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numFmt numFmtId="164" formatCode="#,##0.00\ &quot;₽&quot;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Таблица1" displayName="Таблица1" ref="C729:M824" totalsRowShown="0" headerRowDxfId="101" headerRowBorderDxfId="100" tableBorderDxfId="99">
  <autoFilter ref="C729:M824">
    <filterColumn colId="1">
      <filters>
        <filter val="Стены"/>
      </filters>
    </filterColumn>
    <filterColumn colId="4">
      <filters>
        <filter val="Заделка штроб торца откосов"/>
        <filter val="Облицовка поверхности стен с предварительной огрунтовкой и затиркой швов / керамической плиткой"/>
        <filter val="Устройство ГВЛВ"/>
      </filters>
    </filterColumn>
  </autoFilter>
  <tableColumns count="11">
    <tableColumn id="1" name="Структура затрат" dataDxfId="98"/>
    <tableColumn id="2" name="Структура затрат2" dataDxfId="97"/>
    <tableColumn id="3" name="Этаж" dataDxfId="96"/>
    <tableColumn id="4" name="Помещение" dataDxfId="95"/>
    <tableColumn id="5" name="Наименование работ" dataDxfId="94"/>
    <tableColumn id="6" name="Ед.изм" dataDxfId="93"/>
    <tableColumn id="7" name="Кол-во" dataDxfId="92"/>
    <tableColumn id="8" name="Расценка, руб." dataDxfId="91"/>
    <tableColumn id="9" name="Стоимость_x000a_Итого, руб." dataDxfId="90">
      <calculatedColumnFormula>J730*I730</calculatedColumnFormula>
    </tableColumn>
    <tableColumn id="10" name="Примечание" dataDxfId="89"/>
    <tableColumn id="11" name="Столбец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2:L34" totalsRowShown="0" headerRowDxfId="88" headerRowBorderDxfId="87" tableBorderDxfId="86">
  <autoFilter ref="A12:L34"/>
  <tableColumns count="12">
    <tableColumn id="1" name="№ п/п" dataDxfId="85"/>
    <tableColumn id="2" name="Основание выполнения работ" dataDxfId="84"/>
    <tableColumn id="3" name="Структура затрат" dataDxfId="83"/>
    <tableColumn id="4" name="Структура затрат2" dataDxfId="82"/>
    <tableColumn id="5" name="Этаж" dataDxfId="81"/>
    <tableColumn id="6" name="Помещение"/>
    <tableColumn id="7" name="Наименование работ" dataDxfId="80"/>
    <tableColumn id="8" name="Ед.изм" dataDxfId="79"/>
    <tableColumn id="9" name="Кол-во" dataDxfId="78"/>
    <tableColumn id="10" name="Расценка, руб." dataDxfId="77"/>
    <tableColumn id="11" name="Стоимость_x000a_Итого, руб." dataDxfId="76">
      <calculatedColumnFormula>J13*I13</calculatedColumnFormula>
    </tableColumn>
    <tableColumn id="12" name="Примечание" dataDxfId="7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59:L104" totalsRowShown="0" headerRowDxfId="74" headerRowBorderDxfId="73" tableBorderDxfId="72">
  <autoFilter ref="A59:L104">
    <filterColumn colId="3">
      <filters>
        <filter val="Стены"/>
      </filters>
    </filterColumn>
  </autoFilter>
  <tableColumns count="12">
    <tableColumn id="1" name="№ п/п" dataDxfId="71"/>
    <tableColumn id="2" name="Основание выполнения работ" dataDxfId="70"/>
    <tableColumn id="3" name="Структура затрат" dataDxfId="69"/>
    <tableColumn id="4" name="Структура затрат2" dataDxfId="68"/>
    <tableColumn id="5" name="Этаж" dataDxfId="67"/>
    <tableColumn id="6" name="Помещение" dataDxfId="66"/>
    <tableColumn id="7" name="Наименование работ" dataDxfId="65"/>
    <tableColumn id="8" name="Ед.изм" dataDxfId="64"/>
    <tableColumn id="9" name="Кол-во" dataDxfId="63"/>
    <tableColumn id="10" name="Расценка, руб." dataDxfId="62"/>
    <tableColumn id="11" name="Стоимость_x000a_Итого, руб." dataDxfId="61">
      <calculatedColumnFormula>I60*J60</calculatedColumnFormula>
    </tableColumn>
    <tableColumn id="12" name="Примечание" dataDxfId="6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135:L228" totalsRowShown="0" headerRowDxfId="59" headerRowBorderDxfId="58" tableBorderDxfId="57">
  <autoFilter ref="A135:L228"/>
  <tableColumns count="12">
    <tableColumn id="1" name="№ п/п" dataDxfId="56"/>
    <tableColumn id="2" name="Основание выполнения работ" dataDxfId="55"/>
    <tableColumn id="3" name="Структура затрат" dataDxfId="54"/>
    <tableColumn id="4" name="Структура затрат2" dataDxfId="53"/>
    <tableColumn id="5" name="Этаж" dataDxfId="52"/>
    <tableColumn id="6" name="Помещение" dataDxfId="51"/>
    <tableColumn id="7" name="Наименование работ" dataDxfId="50"/>
    <tableColumn id="8" name="Ед.изм" dataDxfId="49"/>
    <tableColumn id="9" name="Кол-во" dataDxfId="48"/>
    <tableColumn id="10" name="Расценка, руб." dataDxfId="47"/>
    <tableColumn id="11" name="Стоимость_x000a_Итого, руб." dataDxfId="46">
      <calculatedColumnFormula>J136*I136</calculatedColumnFormula>
    </tableColumn>
    <tableColumn id="12" name="Примечание" dataDxfId="4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A267:L401" totalsRowShown="0" headerRowDxfId="44" headerRowBorderDxfId="43" tableBorderDxfId="42">
  <autoFilter ref="A267:L401"/>
  <tableColumns count="12">
    <tableColumn id="1" name="№ п/п" dataDxfId="41"/>
    <tableColumn id="2" name="Основание выполнения работ" dataDxfId="40"/>
    <tableColumn id="3" name="Структура затрат" dataDxfId="39"/>
    <tableColumn id="4" name="Структура затрат2" dataDxfId="38"/>
    <tableColumn id="5" name="Этаж" dataDxfId="37"/>
    <tableColumn id="6" name="Помещение" dataDxfId="36"/>
    <tableColumn id="7" name="Наименование работ" dataDxfId="35"/>
    <tableColumn id="8" name="Ед.изм" dataDxfId="34"/>
    <tableColumn id="9" name="Кол-во" dataDxfId="33"/>
    <tableColumn id="10" name="Расценка, руб." dataDxfId="32"/>
    <tableColumn id="11" name="Стоимость_x000a_Итого, руб." dataDxfId="31">
      <calculatedColumnFormula>J268*I268</calculatedColumnFormula>
    </tableColumn>
    <tableColumn id="12" name="Примечание" dataDxfId="3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Таблица6" displayName="Таблица6" ref="A437:L539" totalsRowShown="0" headerRowDxfId="29" headerRowBorderDxfId="28" tableBorderDxfId="27">
  <autoFilter ref="A437:L539"/>
  <tableColumns count="12">
    <tableColumn id="1" name="№ п/п" dataDxfId="26"/>
    <tableColumn id="2" name="Основание выполнения работ" dataDxfId="25"/>
    <tableColumn id="3" name="Структура затрат" dataDxfId="24"/>
    <tableColumn id="4" name="Структура затрат2" dataDxfId="23"/>
    <tableColumn id="5" name="Этаж" dataDxfId="22"/>
    <tableColumn id="6" name="Помещение" dataDxfId="21"/>
    <tableColumn id="7" name="Наименование работ" dataDxfId="20"/>
    <tableColumn id="8" name="Ед.изм" dataDxfId="19"/>
    <tableColumn id="9" name="Кол-во" dataDxfId="18"/>
    <tableColumn id="10" name="Расценка, руб." dataDxfId="17"/>
    <tableColumn id="11" name="Стоимость_x000a_Итого, руб." dataDxfId="16">
      <calculatedColumnFormula>J438*I438</calculatedColumnFormula>
    </tableColumn>
    <tableColumn id="12" name="Примечание" dataDxfId="1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Таблица7" displayName="Таблица7" ref="A576:L693" totalsRowShown="0" headerRowDxfId="14" headerRowBorderDxfId="13" tableBorderDxfId="12">
  <autoFilter ref="A576:L693"/>
  <tableColumns count="12">
    <tableColumn id="1" name="№ п/п" dataDxfId="11"/>
    <tableColumn id="2" name="Основание выполнения работ" dataDxfId="10"/>
    <tableColumn id="3" name="Структура затрат" dataDxfId="9"/>
    <tableColumn id="4" name="Структура затрат2" dataDxfId="8"/>
    <tableColumn id="5" name="Этаж" dataDxfId="7"/>
    <tableColumn id="6" name="Помещение" dataDxfId="6"/>
    <tableColumn id="7" name="Наименование работ" dataDxfId="5"/>
    <tableColumn id="8" name="Ед.изм" dataDxfId="4"/>
    <tableColumn id="9" name="Кол-во" dataDxfId="3"/>
    <tableColumn id="10" name="Расценка, руб." dataDxfId="2"/>
    <tableColumn id="11" name="Стоимость_x000a_Итого, руб." dataDxfId="1">
      <calculatedColumnFormula>J577*I577</calculatedColumnFormula>
    </tableColumn>
    <tableColumn id="12" name="Примечание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28" zoomScale="85" zoomScaleNormal="85" workbookViewId="0">
      <selection activeCell="D32" sqref="D32"/>
    </sheetView>
  </sheetViews>
  <sheetFormatPr defaultRowHeight="14.4"/>
  <cols>
    <col min="2" max="2" width="35.21875" customWidth="1"/>
    <col min="3" max="3" width="11.88671875" customWidth="1"/>
    <col min="4" max="4" width="11.109375" customWidth="1"/>
    <col min="5" max="5" width="20" customWidth="1"/>
  </cols>
  <sheetData>
    <row r="1" spans="1:5" s="2" customFormat="1" ht="15.6">
      <c r="A1" s="126" t="s">
        <v>0</v>
      </c>
      <c r="B1" s="126"/>
      <c r="C1" s="126"/>
      <c r="D1" s="18"/>
      <c r="E1" s="18"/>
    </row>
    <row r="2" spans="1:5" s="2" customFormat="1" ht="62.4">
      <c r="A2" s="19" t="s">
        <v>1</v>
      </c>
      <c r="B2" s="19" t="s">
        <v>2</v>
      </c>
      <c r="C2" s="20" t="s">
        <v>3</v>
      </c>
      <c r="D2" s="20" t="s">
        <v>4</v>
      </c>
      <c r="E2" s="20" t="s">
        <v>5</v>
      </c>
    </row>
    <row r="3" spans="1:5" s="2" customFormat="1" ht="62.4">
      <c r="A3" s="21">
        <v>1</v>
      </c>
      <c r="B3" s="22" t="s">
        <v>6</v>
      </c>
      <c r="C3" s="21" t="s">
        <v>7</v>
      </c>
      <c r="D3" s="23">
        <v>585</v>
      </c>
      <c r="E3" s="18"/>
    </row>
    <row r="4" spans="1:5" s="2" customFormat="1" ht="28.2" customHeight="1">
      <c r="A4" s="21">
        <v>2</v>
      </c>
      <c r="B4" s="22" t="s">
        <v>8</v>
      </c>
      <c r="C4" s="21" t="s">
        <v>7</v>
      </c>
      <c r="D4" s="23">
        <v>330</v>
      </c>
      <c r="E4" s="18"/>
    </row>
    <row r="5" spans="1:5" s="2" customFormat="1" ht="46.8">
      <c r="A5" s="21">
        <v>3</v>
      </c>
      <c r="B5" s="22" t="s">
        <v>278</v>
      </c>
      <c r="C5" s="21" t="s">
        <v>7</v>
      </c>
      <c r="D5" s="23">
        <v>195</v>
      </c>
      <c r="E5" s="18"/>
    </row>
    <row r="6" spans="1:5" s="2" customFormat="1" ht="78">
      <c r="A6" s="21">
        <v>4</v>
      </c>
      <c r="B6" s="22" t="s">
        <v>9</v>
      </c>
      <c r="C6" s="21" t="s">
        <v>7</v>
      </c>
      <c r="D6" s="23">
        <v>250</v>
      </c>
      <c r="E6" s="18"/>
    </row>
    <row r="7" spans="1:5" s="2" customFormat="1" ht="46.8">
      <c r="A7" s="21">
        <v>5</v>
      </c>
      <c r="B7" s="22" t="s">
        <v>277</v>
      </c>
      <c r="C7" s="21" t="s">
        <v>7</v>
      </c>
      <c r="D7" s="23">
        <v>195</v>
      </c>
      <c r="E7" s="18"/>
    </row>
    <row r="8" spans="1:5" s="2" customFormat="1" ht="62.4">
      <c r="A8" s="21">
        <v>6</v>
      </c>
      <c r="B8" s="24" t="s">
        <v>10</v>
      </c>
      <c r="C8" s="21" t="s">
        <v>7</v>
      </c>
      <c r="D8" s="23">
        <v>250</v>
      </c>
      <c r="E8" s="18"/>
    </row>
    <row r="9" spans="1:5" s="2" customFormat="1" ht="15.6">
      <c r="A9" s="21">
        <v>7</v>
      </c>
      <c r="B9" s="22" t="s">
        <v>279</v>
      </c>
      <c r="C9" s="21" t="s">
        <v>7</v>
      </c>
      <c r="D9" s="23">
        <v>800</v>
      </c>
      <c r="E9" s="51" t="s">
        <v>282</v>
      </c>
    </row>
    <row r="10" spans="1:5" s="2" customFormat="1" ht="15.6">
      <c r="A10" s="21">
        <v>8</v>
      </c>
      <c r="B10" s="22" t="s">
        <v>11</v>
      </c>
      <c r="C10" s="21" t="s">
        <v>12</v>
      </c>
      <c r="D10" s="23">
        <v>50</v>
      </c>
      <c r="E10" s="18"/>
    </row>
    <row r="11" spans="1:5" s="2" customFormat="1" ht="31.2">
      <c r="A11" s="21">
        <v>9</v>
      </c>
      <c r="B11" s="22" t="s">
        <v>13</v>
      </c>
      <c r="C11" s="25" t="s">
        <v>7</v>
      </c>
      <c r="D11" s="23">
        <v>195</v>
      </c>
      <c r="E11" s="18"/>
    </row>
    <row r="12" spans="1:5" s="2" customFormat="1" ht="62.4">
      <c r="A12" s="21">
        <v>10</v>
      </c>
      <c r="B12" s="22" t="s">
        <v>14</v>
      </c>
      <c r="C12" s="25" t="s">
        <v>7</v>
      </c>
      <c r="D12" s="23">
        <v>1170</v>
      </c>
      <c r="E12" s="18"/>
    </row>
    <row r="13" spans="1:5" s="2" customFormat="1" ht="62.4">
      <c r="A13" s="21">
        <v>11</v>
      </c>
      <c r="B13" s="22" t="s">
        <v>15</v>
      </c>
      <c r="C13" s="25" t="s">
        <v>7</v>
      </c>
      <c r="D13" s="23">
        <v>1170</v>
      </c>
      <c r="E13" s="18"/>
    </row>
    <row r="14" spans="1:5" s="2" customFormat="1" ht="62.4">
      <c r="A14" s="21">
        <v>12</v>
      </c>
      <c r="B14" s="22" t="s">
        <v>16</v>
      </c>
      <c r="C14" s="25" t="s">
        <v>7</v>
      </c>
      <c r="D14" s="23">
        <v>1170</v>
      </c>
      <c r="E14" s="18"/>
    </row>
    <row r="15" spans="1:5" s="2" customFormat="1" ht="62.4">
      <c r="A15" s="18"/>
      <c r="B15" s="22" t="s">
        <v>17</v>
      </c>
      <c r="C15" s="25" t="s">
        <v>12</v>
      </c>
      <c r="D15" s="23">
        <v>220</v>
      </c>
      <c r="E15" s="18"/>
    </row>
    <row r="16" spans="1:5" s="2" customFormat="1" ht="62.4">
      <c r="A16" s="21">
        <v>13</v>
      </c>
      <c r="B16" s="22" t="s">
        <v>18</v>
      </c>
      <c r="C16" s="25" t="s">
        <v>7</v>
      </c>
      <c r="D16" s="23">
        <v>150</v>
      </c>
      <c r="E16" s="18"/>
    </row>
    <row r="17" spans="1:5" s="2" customFormat="1" ht="62.4">
      <c r="A17" s="21">
        <v>14</v>
      </c>
      <c r="B17" s="22" t="s">
        <v>19</v>
      </c>
      <c r="C17" s="21" t="s">
        <v>7</v>
      </c>
      <c r="D17" s="23">
        <v>180</v>
      </c>
      <c r="E17" s="18"/>
    </row>
    <row r="18" spans="1:5" s="2" customFormat="1" ht="31.2">
      <c r="A18" s="21">
        <v>15</v>
      </c>
      <c r="B18" s="22" t="s">
        <v>20</v>
      </c>
      <c r="C18" s="21" t="s">
        <v>7</v>
      </c>
      <c r="D18" s="23">
        <v>325</v>
      </c>
      <c r="E18" s="18"/>
    </row>
    <row r="19" spans="1:5" s="2" customFormat="1" ht="31.2">
      <c r="A19" s="21">
        <v>16</v>
      </c>
      <c r="B19" s="22" t="s">
        <v>21</v>
      </c>
      <c r="C19" s="21" t="s">
        <v>12</v>
      </c>
      <c r="D19" s="23">
        <v>65</v>
      </c>
      <c r="E19" s="18"/>
    </row>
    <row r="20" spans="1:5" s="2" customFormat="1" ht="46.8">
      <c r="A20" s="21">
        <v>17</v>
      </c>
      <c r="B20" s="21" t="s">
        <v>22</v>
      </c>
      <c r="C20" s="21" t="s">
        <v>7</v>
      </c>
      <c r="D20" s="21">
        <v>260</v>
      </c>
      <c r="E20" s="18"/>
    </row>
    <row r="21" spans="1:5" s="2" customFormat="1" ht="31.2">
      <c r="A21" s="21">
        <v>18</v>
      </c>
      <c r="B21" s="21" t="s">
        <v>23</v>
      </c>
      <c r="C21" s="21" t="s">
        <v>24</v>
      </c>
      <c r="D21" s="21">
        <v>1000</v>
      </c>
      <c r="E21" s="18"/>
    </row>
    <row r="22" spans="1:5" s="2" customFormat="1" ht="62.4">
      <c r="A22" s="21">
        <v>19</v>
      </c>
      <c r="B22" s="21" t="s">
        <v>25</v>
      </c>
      <c r="C22" s="21" t="s">
        <v>7</v>
      </c>
      <c r="D22" s="21">
        <v>70</v>
      </c>
      <c r="E22" s="18"/>
    </row>
    <row r="23" spans="1:5" s="2" customFormat="1" ht="31.2">
      <c r="A23" s="21">
        <v>20</v>
      </c>
      <c r="B23" s="21" t="s">
        <v>26</v>
      </c>
      <c r="C23" s="21" t="s">
        <v>7</v>
      </c>
      <c r="D23" s="21">
        <v>450</v>
      </c>
      <c r="E23" s="18"/>
    </row>
    <row r="24" spans="1:5" s="2" customFormat="1" ht="46.8">
      <c r="A24" s="21">
        <v>21</v>
      </c>
      <c r="B24" s="21" t="s">
        <v>27</v>
      </c>
      <c r="C24" s="21" t="s">
        <v>7</v>
      </c>
      <c r="D24" s="21">
        <v>715</v>
      </c>
      <c r="E24" s="18"/>
    </row>
    <row r="25" spans="1:5" s="2" customFormat="1" ht="62.4">
      <c r="A25" s="21">
        <v>22</v>
      </c>
      <c r="B25" s="21" t="s">
        <v>28</v>
      </c>
      <c r="C25" s="21" t="s">
        <v>7</v>
      </c>
      <c r="D25" s="21">
        <v>1170</v>
      </c>
      <c r="E25" s="18"/>
    </row>
    <row r="26" spans="1:5" s="2" customFormat="1" ht="82.8" customHeight="1">
      <c r="A26" s="33">
        <v>23</v>
      </c>
      <c r="B26" s="22" t="s">
        <v>264</v>
      </c>
      <c r="C26" s="33" t="s">
        <v>7</v>
      </c>
      <c r="D26" s="33">
        <v>1040</v>
      </c>
      <c r="E26" s="34"/>
    </row>
    <row r="27" spans="1:5" s="2" customFormat="1" ht="56.4" customHeight="1">
      <c r="A27" s="33">
        <v>24</v>
      </c>
      <c r="B27" s="33" t="s">
        <v>260</v>
      </c>
      <c r="C27" s="33" t="s">
        <v>261</v>
      </c>
      <c r="D27" s="33">
        <v>4160</v>
      </c>
      <c r="E27" s="34"/>
    </row>
    <row r="28" spans="1:5" ht="48" customHeight="1">
      <c r="A28" s="33">
        <v>25</v>
      </c>
      <c r="B28" s="33" t="s">
        <v>262</v>
      </c>
      <c r="C28" s="33" t="s">
        <v>7</v>
      </c>
      <c r="D28" s="33">
        <v>1105</v>
      </c>
      <c r="E28" s="34"/>
    </row>
    <row r="29" spans="1:5" ht="67.2" customHeight="1">
      <c r="A29" s="33">
        <v>26</v>
      </c>
      <c r="B29" s="24" t="s">
        <v>263</v>
      </c>
      <c r="C29" s="33" t="s">
        <v>7</v>
      </c>
      <c r="D29" s="33">
        <v>250</v>
      </c>
      <c r="E29" s="34"/>
    </row>
    <row r="30" spans="1:5" ht="58.8" customHeight="1">
      <c r="A30" s="33">
        <v>28</v>
      </c>
      <c r="B30" s="33" t="s">
        <v>265</v>
      </c>
      <c r="C30" s="33" t="s">
        <v>7</v>
      </c>
      <c r="D30" s="33">
        <v>200</v>
      </c>
      <c r="E30" s="34"/>
    </row>
    <row r="31" spans="1:5" ht="49.8" customHeight="1">
      <c r="A31" s="33">
        <v>29</v>
      </c>
      <c r="B31" s="33" t="s">
        <v>266</v>
      </c>
      <c r="C31" s="33" t="s">
        <v>267</v>
      </c>
      <c r="D31" s="33">
        <v>450</v>
      </c>
      <c r="E31" s="34"/>
    </row>
    <row r="32" spans="1:5" ht="43.8" customHeight="1">
      <c r="A32" s="33">
        <v>30</v>
      </c>
      <c r="B32" s="52" t="s">
        <v>280</v>
      </c>
      <c r="C32" s="52" t="s">
        <v>281</v>
      </c>
      <c r="D32" s="52">
        <v>300</v>
      </c>
      <c r="E32" s="34"/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42"/>
  <sheetViews>
    <sheetView topLeftCell="D8" zoomScale="55" zoomScaleNormal="55" workbookViewId="0">
      <selection activeCell="I20" sqref="I20"/>
    </sheetView>
  </sheetViews>
  <sheetFormatPr defaultRowHeight="14.4"/>
  <cols>
    <col min="1" max="1" width="19" customWidth="1"/>
    <col min="2" max="2" width="27.109375" customWidth="1"/>
    <col min="3" max="3" width="19.77734375" customWidth="1"/>
    <col min="4" max="4" width="19.5546875" customWidth="1"/>
    <col min="6" max="6" width="38.109375" customWidth="1"/>
    <col min="7" max="7" width="52.21875" customWidth="1"/>
    <col min="8" max="8" width="9.77734375" customWidth="1"/>
    <col min="9" max="9" width="14.33203125" customWidth="1"/>
    <col min="10" max="10" width="16.5546875" customWidth="1"/>
    <col min="11" max="11" width="21.88671875" customWidth="1"/>
    <col min="12" max="12" width="14.77734375" customWidth="1"/>
    <col min="13" max="13" width="25.88671875" customWidth="1"/>
  </cols>
  <sheetData>
    <row r="1" spans="1:12" s="40" customFormat="1"/>
    <row r="2" spans="1:12" s="40" customFormat="1">
      <c r="A2" s="76"/>
      <c r="B2" s="76"/>
      <c r="C2" s="77" t="s">
        <v>29</v>
      </c>
      <c r="D2" s="77">
        <v>1</v>
      </c>
      <c r="E2" s="76"/>
      <c r="F2" s="76"/>
      <c r="G2" s="78" t="s">
        <v>30</v>
      </c>
      <c r="H2" s="77" t="s">
        <v>31</v>
      </c>
      <c r="I2" s="79">
        <v>45945</v>
      </c>
    </row>
    <row r="3" spans="1:12" s="40" customFormat="1">
      <c r="A3" s="76"/>
      <c r="B3" s="76"/>
      <c r="C3" s="80" t="s">
        <v>313</v>
      </c>
      <c r="D3" s="76"/>
      <c r="E3" s="76"/>
      <c r="F3" s="76"/>
      <c r="G3" s="76"/>
      <c r="H3" s="77" t="s">
        <v>32</v>
      </c>
      <c r="I3" s="79">
        <v>45961</v>
      </c>
    </row>
    <row r="4" spans="1:12" s="40" customFormat="1">
      <c r="A4" s="76"/>
      <c r="B4" s="76"/>
      <c r="C4" s="76"/>
      <c r="D4" s="76"/>
      <c r="E4" s="76"/>
      <c r="F4" s="76"/>
      <c r="G4" s="76"/>
      <c r="H4" s="76"/>
      <c r="I4" s="76"/>
    </row>
    <row r="5" spans="1:12" s="40" customFormat="1" ht="27.6">
      <c r="A5" s="76"/>
      <c r="B5" s="76"/>
      <c r="C5" s="77" t="s">
        <v>33</v>
      </c>
      <c r="D5" s="132" t="s">
        <v>217</v>
      </c>
      <c r="E5" s="132"/>
      <c r="F5" s="132"/>
      <c r="G5" s="76"/>
      <c r="H5" s="76"/>
      <c r="I5" s="76"/>
    </row>
    <row r="6" spans="1:12" s="40" customFormat="1">
      <c r="A6" s="76"/>
      <c r="B6" s="76"/>
      <c r="C6" s="76"/>
      <c r="D6" s="76"/>
      <c r="E6" s="76"/>
      <c r="F6" s="76"/>
      <c r="G6" s="76"/>
      <c r="H6" s="76"/>
      <c r="I6" s="76"/>
    </row>
    <row r="7" spans="1:12" s="40" customFormat="1">
      <c r="A7" s="76"/>
      <c r="B7" s="76"/>
      <c r="C7" s="77" t="s">
        <v>34</v>
      </c>
      <c r="D7" s="132" t="s">
        <v>218</v>
      </c>
      <c r="E7" s="132"/>
      <c r="F7" s="132"/>
      <c r="G7" s="76"/>
      <c r="H7" s="76"/>
      <c r="I7" s="76"/>
    </row>
    <row r="8" spans="1:12" s="40" customFormat="1">
      <c r="A8" s="76"/>
      <c r="B8" s="76"/>
      <c r="C8" s="76"/>
      <c r="D8" s="76"/>
      <c r="E8" s="76"/>
      <c r="F8" s="76"/>
      <c r="G8" s="76"/>
      <c r="H8" s="76"/>
      <c r="I8" s="76"/>
    </row>
    <row r="9" spans="1:12" s="40" customFormat="1">
      <c r="A9" s="76"/>
      <c r="B9" s="76"/>
      <c r="C9" s="77" t="s">
        <v>35</v>
      </c>
      <c r="D9" s="132" t="s">
        <v>36</v>
      </c>
      <c r="E9" s="132"/>
      <c r="F9" s="132"/>
      <c r="G9" s="76"/>
      <c r="H9" s="76"/>
      <c r="I9" s="76"/>
    </row>
    <row r="10" spans="1:12" s="40" customFormat="1">
      <c r="A10" s="81"/>
      <c r="B10" s="81"/>
      <c r="C10" s="81"/>
      <c r="D10" s="81"/>
      <c r="E10" s="81"/>
      <c r="F10" s="81"/>
      <c r="G10" s="81"/>
      <c r="H10" s="81"/>
      <c r="I10" s="81"/>
    </row>
    <row r="11" spans="1:12" s="40" customFormat="1">
      <c r="A11" s="81"/>
      <c r="B11" s="81"/>
      <c r="C11" s="81"/>
      <c r="D11" s="81"/>
      <c r="E11" s="81"/>
      <c r="F11" s="81"/>
      <c r="G11" s="81"/>
      <c r="H11" s="81"/>
      <c r="I11" s="81"/>
    </row>
    <row r="12" spans="1:12" s="40" customFormat="1" ht="26.4">
      <c r="A12" s="107" t="s">
        <v>37</v>
      </c>
      <c r="B12" s="108" t="s">
        <v>38</v>
      </c>
      <c r="C12" s="108" t="s">
        <v>39</v>
      </c>
      <c r="D12" s="108" t="s">
        <v>320</v>
      </c>
      <c r="E12" s="108" t="s">
        <v>40</v>
      </c>
      <c r="F12" s="108" t="s">
        <v>41</v>
      </c>
      <c r="G12" s="108" t="s">
        <v>2</v>
      </c>
      <c r="H12" s="108" t="s">
        <v>42</v>
      </c>
      <c r="I12" s="108" t="s">
        <v>43</v>
      </c>
      <c r="J12" s="108" t="s">
        <v>44</v>
      </c>
      <c r="K12" s="108" t="s">
        <v>45</v>
      </c>
      <c r="L12" s="109" t="s">
        <v>46</v>
      </c>
    </row>
    <row r="13" spans="1:12" s="40" customFormat="1" ht="39.6">
      <c r="A13" s="114">
        <v>1</v>
      </c>
      <c r="B13" s="47" t="s">
        <v>47</v>
      </c>
      <c r="C13" s="48" t="s">
        <v>48</v>
      </c>
      <c r="D13" s="48" t="s">
        <v>49</v>
      </c>
      <c r="E13" s="48">
        <v>1</v>
      </c>
      <c r="F13" s="48" t="s">
        <v>147</v>
      </c>
      <c r="G13" s="48" t="s">
        <v>314</v>
      </c>
      <c r="H13" s="46" t="s">
        <v>7</v>
      </c>
      <c r="I13" s="49">
        <v>149</v>
      </c>
      <c r="J13" s="101">
        <v>195</v>
      </c>
      <c r="K13" s="103">
        <f>J13*I13</f>
        <v>29055</v>
      </c>
      <c r="L13" s="106"/>
    </row>
    <row r="14" spans="1:12" s="40" customFormat="1" ht="39.6">
      <c r="A14" s="114">
        <v>2</v>
      </c>
      <c r="B14" s="47" t="s">
        <v>47</v>
      </c>
      <c r="C14" s="48" t="s">
        <v>48</v>
      </c>
      <c r="D14" s="48" t="s">
        <v>49</v>
      </c>
      <c r="E14" s="48">
        <v>1</v>
      </c>
      <c r="F14" s="48" t="s">
        <v>91</v>
      </c>
      <c r="G14" s="48" t="s">
        <v>314</v>
      </c>
      <c r="H14" s="46" t="s">
        <v>7</v>
      </c>
      <c r="I14" s="49">
        <v>96</v>
      </c>
      <c r="J14" s="101">
        <v>195</v>
      </c>
      <c r="K14" s="103">
        <f t="shared" ref="K14:K34" si="0">J14*I14</f>
        <v>18720</v>
      </c>
      <c r="L14" s="106"/>
    </row>
    <row r="15" spans="1:12" s="40" customFormat="1" ht="39.6">
      <c r="A15" s="114">
        <v>3</v>
      </c>
      <c r="B15" s="47" t="s">
        <v>47</v>
      </c>
      <c r="C15" s="48" t="s">
        <v>48</v>
      </c>
      <c r="D15" s="48" t="s">
        <v>49</v>
      </c>
      <c r="E15" s="48">
        <v>2</v>
      </c>
      <c r="F15" s="48" t="s">
        <v>274</v>
      </c>
      <c r="G15" s="48" t="s">
        <v>314</v>
      </c>
      <c r="H15" s="46" t="s">
        <v>7</v>
      </c>
      <c r="I15" s="49">
        <v>55</v>
      </c>
      <c r="J15" s="101">
        <v>195</v>
      </c>
      <c r="K15" s="103">
        <f t="shared" si="0"/>
        <v>10725</v>
      </c>
      <c r="L15" s="106"/>
    </row>
    <row r="16" spans="1:12" s="40" customFormat="1" ht="39.6">
      <c r="A16" s="114">
        <v>4</v>
      </c>
      <c r="B16" s="47" t="s">
        <v>47</v>
      </c>
      <c r="C16" s="48" t="s">
        <v>48</v>
      </c>
      <c r="D16" s="48" t="s">
        <v>49</v>
      </c>
      <c r="E16" s="48">
        <v>1</v>
      </c>
      <c r="F16" s="48" t="s">
        <v>106</v>
      </c>
      <c r="G16" s="48" t="s">
        <v>314</v>
      </c>
      <c r="H16" s="46" t="s">
        <v>7</v>
      </c>
      <c r="I16" s="49">
        <v>153</v>
      </c>
      <c r="J16" s="101">
        <v>195</v>
      </c>
      <c r="K16" s="103">
        <f t="shared" si="0"/>
        <v>29835</v>
      </c>
      <c r="L16" s="106"/>
    </row>
    <row r="17" spans="1:13" s="40" customFormat="1" ht="39.6">
      <c r="A17" s="114">
        <v>5</v>
      </c>
      <c r="B17" s="47" t="s">
        <v>47</v>
      </c>
      <c r="C17" s="48" t="s">
        <v>48</v>
      </c>
      <c r="D17" s="48" t="s">
        <v>49</v>
      </c>
      <c r="E17" s="48"/>
      <c r="F17" s="48" t="s">
        <v>92</v>
      </c>
      <c r="G17" s="48" t="s">
        <v>314</v>
      </c>
      <c r="H17" s="46" t="s">
        <v>7</v>
      </c>
      <c r="I17" s="49">
        <v>25</v>
      </c>
      <c r="J17" s="101">
        <v>195</v>
      </c>
      <c r="K17" s="103">
        <f t="shared" si="0"/>
        <v>4875</v>
      </c>
      <c r="L17" s="106"/>
    </row>
    <row r="18" spans="1:13" s="40" customFormat="1" ht="39.6">
      <c r="A18" s="114">
        <v>6</v>
      </c>
      <c r="B18" s="47" t="s">
        <v>47</v>
      </c>
      <c r="C18" s="48" t="s">
        <v>48</v>
      </c>
      <c r="D18" s="48" t="s">
        <v>49</v>
      </c>
      <c r="E18" s="48">
        <v>1</v>
      </c>
      <c r="F18" s="48" t="s">
        <v>115</v>
      </c>
      <c r="G18" s="48" t="s">
        <v>314</v>
      </c>
      <c r="H18" s="46" t="s">
        <v>7</v>
      </c>
      <c r="I18" s="49">
        <v>19.5</v>
      </c>
      <c r="J18" s="101">
        <v>195</v>
      </c>
      <c r="K18" s="103">
        <f t="shared" si="0"/>
        <v>3802.5</v>
      </c>
      <c r="L18" s="106"/>
    </row>
    <row r="19" spans="1:13" s="40" customFormat="1" ht="66">
      <c r="A19" s="114">
        <v>7</v>
      </c>
      <c r="B19" s="47" t="s">
        <v>47</v>
      </c>
      <c r="C19" s="48" t="s">
        <v>48</v>
      </c>
      <c r="D19" s="48" t="s">
        <v>61</v>
      </c>
      <c r="E19" s="48">
        <v>1</v>
      </c>
      <c r="F19" s="48" t="s">
        <v>205</v>
      </c>
      <c r="G19" s="48" t="s">
        <v>9</v>
      </c>
      <c r="H19" s="46" t="s">
        <v>7</v>
      </c>
      <c r="I19" s="49">
        <v>302</v>
      </c>
      <c r="J19" s="101">
        <v>195</v>
      </c>
      <c r="K19" s="103">
        <f t="shared" si="0"/>
        <v>58890</v>
      </c>
      <c r="L19" s="125" t="s">
        <v>331</v>
      </c>
    </row>
    <row r="20" spans="1:13" s="40" customFormat="1" ht="66">
      <c r="A20" s="114">
        <v>8</v>
      </c>
      <c r="B20" s="47" t="s">
        <v>47</v>
      </c>
      <c r="C20" s="48" t="s">
        <v>48</v>
      </c>
      <c r="D20" s="48" t="s">
        <v>61</v>
      </c>
      <c r="E20" s="48">
        <v>1</v>
      </c>
      <c r="F20" s="48" t="s">
        <v>205</v>
      </c>
      <c r="G20" s="48" t="s">
        <v>9</v>
      </c>
      <c r="H20" s="46" t="s">
        <v>7</v>
      </c>
      <c r="I20" s="49">
        <v>302</v>
      </c>
      <c r="J20" s="101">
        <v>195</v>
      </c>
      <c r="K20" s="103">
        <f t="shared" si="0"/>
        <v>58890</v>
      </c>
      <c r="L20" s="106" t="s">
        <v>327</v>
      </c>
    </row>
    <row r="21" spans="1:13" s="40" customFormat="1" ht="39.6">
      <c r="A21" s="114">
        <v>9</v>
      </c>
      <c r="B21" s="47" t="s">
        <v>47</v>
      </c>
      <c r="C21" s="48" t="s">
        <v>48</v>
      </c>
      <c r="D21" s="48" t="s">
        <v>49</v>
      </c>
      <c r="E21" s="48">
        <v>2</v>
      </c>
      <c r="F21" s="48" t="s">
        <v>187</v>
      </c>
      <c r="G21" s="48" t="s">
        <v>314</v>
      </c>
      <c r="H21" s="46" t="s">
        <v>7</v>
      </c>
      <c r="I21" s="49">
        <v>30</v>
      </c>
      <c r="J21" s="101">
        <v>195</v>
      </c>
      <c r="K21" s="103">
        <f t="shared" si="0"/>
        <v>5850</v>
      </c>
      <c r="L21" s="106"/>
    </row>
    <row r="22" spans="1:13" s="40" customFormat="1" ht="39.6">
      <c r="A22" s="114">
        <v>10</v>
      </c>
      <c r="B22" s="47" t="s">
        <v>47</v>
      </c>
      <c r="C22" s="48" t="s">
        <v>48</v>
      </c>
      <c r="D22" s="48" t="s">
        <v>49</v>
      </c>
      <c r="E22" s="48">
        <v>1</v>
      </c>
      <c r="F22" s="48" t="s">
        <v>147</v>
      </c>
      <c r="G22" s="48" t="s">
        <v>6</v>
      </c>
      <c r="H22" s="46" t="s">
        <v>7</v>
      </c>
      <c r="I22" s="49">
        <v>39.5</v>
      </c>
      <c r="J22" s="101">
        <v>585</v>
      </c>
      <c r="K22" s="103">
        <f t="shared" si="0"/>
        <v>23107.5</v>
      </c>
      <c r="L22" s="106"/>
    </row>
    <row r="23" spans="1:13" s="40" customFormat="1" ht="39.6">
      <c r="A23" s="114">
        <v>11</v>
      </c>
      <c r="B23" s="47" t="s">
        <v>47</v>
      </c>
      <c r="C23" s="48" t="s">
        <v>48</v>
      </c>
      <c r="D23" s="48" t="s">
        <v>49</v>
      </c>
      <c r="E23" s="48">
        <v>1</v>
      </c>
      <c r="F23" s="48" t="s">
        <v>91</v>
      </c>
      <c r="G23" s="48" t="s">
        <v>6</v>
      </c>
      <c r="H23" s="46" t="s">
        <v>7</v>
      </c>
      <c r="I23" s="49">
        <v>1.9</v>
      </c>
      <c r="J23" s="101">
        <v>585</v>
      </c>
      <c r="K23" s="103">
        <f t="shared" si="0"/>
        <v>1111.5</v>
      </c>
      <c r="L23" s="106"/>
    </row>
    <row r="24" spans="1:13" s="40" customFormat="1" ht="39.6">
      <c r="A24" s="114">
        <v>12</v>
      </c>
      <c r="B24" s="47" t="s">
        <v>47</v>
      </c>
      <c r="C24" s="48" t="s">
        <v>48</v>
      </c>
      <c r="D24" s="48" t="s">
        <v>49</v>
      </c>
      <c r="E24" s="48">
        <v>1</v>
      </c>
      <c r="F24" s="48" t="s">
        <v>102</v>
      </c>
      <c r="G24" s="48" t="s">
        <v>6</v>
      </c>
      <c r="H24" s="46" t="s">
        <v>7</v>
      </c>
      <c r="I24" s="49">
        <v>34</v>
      </c>
      <c r="J24" s="101">
        <v>585</v>
      </c>
      <c r="K24" s="103">
        <f t="shared" si="0"/>
        <v>19890</v>
      </c>
      <c r="L24" s="106"/>
    </row>
    <row r="25" spans="1:13" s="40" customFormat="1" ht="39.6">
      <c r="A25" s="114">
        <v>13</v>
      </c>
      <c r="B25" s="47" t="s">
        <v>47</v>
      </c>
      <c r="C25" s="48" t="s">
        <v>48</v>
      </c>
      <c r="D25" s="48" t="s">
        <v>49</v>
      </c>
      <c r="E25" s="48">
        <v>1</v>
      </c>
      <c r="F25" s="48" t="s">
        <v>106</v>
      </c>
      <c r="G25" s="48" t="s">
        <v>6</v>
      </c>
      <c r="H25" s="46" t="s">
        <v>7</v>
      </c>
      <c r="I25" s="49">
        <v>14.4</v>
      </c>
      <c r="J25" s="101">
        <v>585</v>
      </c>
      <c r="K25" s="103">
        <f t="shared" si="0"/>
        <v>8424</v>
      </c>
      <c r="L25" s="106"/>
    </row>
    <row r="26" spans="1:13" s="40" customFormat="1" ht="39.6">
      <c r="A26" s="114">
        <v>14</v>
      </c>
      <c r="B26" s="47" t="s">
        <v>47</v>
      </c>
      <c r="C26" s="48" t="s">
        <v>48</v>
      </c>
      <c r="D26" s="48" t="s">
        <v>49</v>
      </c>
      <c r="E26" s="48">
        <v>2</v>
      </c>
      <c r="F26" s="48" t="s">
        <v>274</v>
      </c>
      <c r="G26" s="48" t="s">
        <v>6</v>
      </c>
      <c r="H26" s="46" t="s">
        <v>7</v>
      </c>
      <c r="I26" s="49">
        <v>28</v>
      </c>
      <c r="J26" s="101">
        <v>585</v>
      </c>
      <c r="K26" s="103">
        <f t="shared" si="0"/>
        <v>16380</v>
      </c>
      <c r="L26" s="106"/>
    </row>
    <row r="27" spans="1:13" s="40" customFormat="1" ht="52.8">
      <c r="A27" s="114">
        <v>15</v>
      </c>
      <c r="B27" s="47" t="s">
        <v>47</v>
      </c>
      <c r="C27" s="48" t="s">
        <v>48</v>
      </c>
      <c r="D27" s="48" t="s">
        <v>49</v>
      </c>
      <c r="E27" s="48">
        <v>3</v>
      </c>
      <c r="F27" s="48" t="s">
        <v>271</v>
      </c>
      <c r="G27" s="48" t="s">
        <v>6</v>
      </c>
      <c r="H27" s="46" t="s">
        <v>7</v>
      </c>
      <c r="I27" s="49">
        <v>55.5</v>
      </c>
      <c r="J27" s="101">
        <v>585</v>
      </c>
      <c r="K27" s="103">
        <f t="shared" si="0"/>
        <v>32467.5</v>
      </c>
      <c r="L27" s="106"/>
    </row>
    <row r="28" spans="1:13" s="40" customFormat="1" ht="27.6">
      <c r="A28" s="114">
        <v>16</v>
      </c>
      <c r="B28" s="47" t="s">
        <v>47</v>
      </c>
      <c r="C28" s="48" t="s">
        <v>48</v>
      </c>
      <c r="D28" s="48" t="s">
        <v>49</v>
      </c>
      <c r="E28" s="48">
        <v>1</v>
      </c>
      <c r="F28" s="48" t="s">
        <v>102</v>
      </c>
      <c r="G28" s="97" t="s">
        <v>15</v>
      </c>
      <c r="H28" s="46" t="s">
        <v>7</v>
      </c>
      <c r="I28" s="49">
        <v>59</v>
      </c>
      <c r="J28" s="101">
        <v>1170</v>
      </c>
      <c r="K28" s="103">
        <f t="shared" si="0"/>
        <v>69030</v>
      </c>
      <c r="L28" s="106" t="s">
        <v>323</v>
      </c>
    </row>
    <row r="29" spans="1:13" s="40" customFormat="1" ht="46.8">
      <c r="A29" s="114">
        <v>17</v>
      </c>
      <c r="B29" s="47" t="s">
        <v>47</v>
      </c>
      <c r="C29" s="48" t="s">
        <v>48</v>
      </c>
      <c r="D29" s="48" t="s">
        <v>49</v>
      </c>
      <c r="E29" s="48">
        <v>1</v>
      </c>
      <c r="F29" s="48" t="s">
        <v>85</v>
      </c>
      <c r="G29" s="51" t="s">
        <v>15</v>
      </c>
      <c r="H29" s="46" t="s">
        <v>7</v>
      </c>
      <c r="I29" s="49">
        <v>20</v>
      </c>
      <c r="J29" s="101">
        <v>1170</v>
      </c>
      <c r="K29" s="103">
        <f t="shared" si="0"/>
        <v>23400</v>
      </c>
      <c r="L29" s="106" t="s">
        <v>323</v>
      </c>
    </row>
    <row r="30" spans="1:13" s="40" customFormat="1" ht="15.6">
      <c r="A30" s="114">
        <v>18</v>
      </c>
      <c r="B30" s="47" t="s">
        <v>47</v>
      </c>
      <c r="C30" s="48" t="s">
        <v>48</v>
      </c>
      <c r="D30" s="48" t="s">
        <v>49</v>
      </c>
      <c r="E30" s="48">
        <v>1</v>
      </c>
      <c r="F30" s="98" t="s">
        <v>315</v>
      </c>
      <c r="G30" s="54" t="s">
        <v>316</v>
      </c>
      <c r="H30" s="46" t="s">
        <v>285</v>
      </c>
      <c r="I30" s="49">
        <v>109</v>
      </c>
      <c r="J30" s="101">
        <v>800</v>
      </c>
      <c r="K30" s="103">
        <f t="shared" si="0"/>
        <v>87200</v>
      </c>
      <c r="L30" s="106"/>
      <c r="M30" s="40" t="s">
        <v>325</v>
      </c>
    </row>
    <row r="31" spans="1:13" s="40" customFormat="1">
      <c r="A31" s="114">
        <v>19</v>
      </c>
      <c r="B31" s="47" t="s">
        <v>47</v>
      </c>
      <c r="C31" s="48" t="s">
        <v>48</v>
      </c>
      <c r="D31" s="48" t="s">
        <v>49</v>
      </c>
      <c r="E31" s="76">
        <v>1.2</v>
      </c>
      <c r="F31" s="99" t="s">
        <v>317</v>
      </c>
      <c r="G31" s="98" t="s">
        <v>318</v>
      </c>
      <c r="H31" s="46" t="s">
        <v>285</v>
      </c>
      <c r="I31" s="49">
        <v>73</v>
      </c>
      <c r="J31" s="102">
        <v>300</v>
      </c>
      <c r="K31" s="103">
        <f t="shared" si="0"/>
        <v>21900</v>
      </c>
      <c r="L31" s="106" t="s">
        <v>326</v>
      </c>
    </row>
    <row r="32" spans="1:13" s="40" customFormat="1">
      <c r="A32" s="114">
        <v>20</v>
      </c>
      <c r="B32" s="47" t="s">
        <v>47</v>
      </c>
      <c r="C32" s="48" t="s">
        <v>48</v>
      </c>
      <c r="D32" s="48" t="s">
        <v>49</v>
      </c>
      <c r="E32" s="48">
        <v>1</v>
      </c>
      <c r="F32" s="99" t="s">
        <v>319</v>
      </c>
      <c r="G32" s="48" t="s">
        <v>11</v>
      </c>
      <c r="H32" s="46" t="s">
        <v>285</v>
      </c>
      <c r="I32" s="49">
        <v>286</v>
      </c>
      <c r="J32" s="102">
        <v>50</v>
      </c>
      <c r="K32" s="103">
        <f t="shared" si="0"/>
        <v>14300</v>
      </c>
      <c r="L32" s="106"/>
    </row>
    <row r="33" spans="1:12" s="40" customFormat="1" ht="39.6">
      <c r="A33" s="114">
        <v>21</v>
      </c>
      <c r="B33" s="47" t="s">
        <v>47</v>
      </c>
      <c r="C33" s="48" t="s">
        <v>48</v>
      </c>
      <c r="D33" s="48" t="s">
        <v>49</v>
      </c>
      <c r="E33" s="48">
        <v>1</v>
      </c>
      <c r="F33" s="48" t="s">
        <v>110</v>
      </c>
      <c r="G33" s="48" t="s">
        <v>314</v>
      </c>
      <c r="H33" s="46" t="s">
        <v>7</v>
      </c>
      <c r="I33" s="49">
        <v>233</v>
      </c>
      <c r="J33" s="102">
        <v>195</v>
      </c>
      <c r="K33" s="103">
        <f t="shared" si="0"/>
        <v>45435</v>
      </c>
      <c r="L33" s="106"/>
    </row>
    <row r="34" spans="1:12" s="40" customFormat="1" ht="52.8">
      <c r="A34" s="115">
        <v>22</v>
      </c>
      <c r="B34" s="83" t="s">
        <v>47</v>
      </c>
      <c r="C34" s="84" t="s">
        <v>48</v>
      </c>
      <c r="D34" s="84" t="s">
        <v>49</v>
      </c>
      <c r="E34" s="84">
        <v>3</v>
      </c>
      <c r="F34" s="84" t="s">
        <v>271</v>
      </c>
      <c r="G34" s="84" t="s">
        <v>314</v>
      </c>
      <c r="H34" s="82" t="s">
        <v>7</v>
      </c>
      <c r="I34" s="111">
        <v>55.5</v>
      </c>
      <c r="J34" s="116">
        <v>195</v>
      </c>
      <c r="K34" s="117">
        <f t="shared" si="0"/>
        <v>10822.5</v>
      </c>
      <c r="L34" s="113"/>
    </row>
    <row r="35" spans="1:12" s="40" customFormat="1" ht="31.8" customHeight="1">
      <c r="A35" s="96" t="s">
        <v>50</v>
      </c>
      <c r="B35" s="137"/>
      <c r="C35" s="138"/>
      <c r="D35" s="138"/>
      <c r="E35" s="138"/>
      <c r="F35" s="138"/>
      <c r="G35" s="138"/>
      <c r="H35" s="138"/>
      <c r="I35" s="138"/>
      <c r="J35" s="139"/>
      <c r="K35" s="104">
        <f>SUM(K13:K34)</f>
        <v>594110.5</v>
      </c>
      <c r="L35" s="17"/>
    </row>
    <row r="36" spans="1:12" s="40" customFormat="1"/>
    <row r="37" spans="1:12" s="40" customFormat="1"/>
    <row r="38" spans="1:12" s="40" customFormat="1">
      <c r="A38" s="76"/>
      <c r="B38" s="76"/>
      <c r="C38" s="76"/>
      <c r="D38" s="76"/>
      <c r="E38" s="76"/>
      <c r="F38" s="76"/>
      <c r="G38" s="76"/>
      <c r="H38" s="76"/>
      <c r="I38" s="76"/>
    </row>
    <row r="39" spans="1:12" s="40" customFormat="1"/>
    <row r="40" spans="1:12" s="40" customFormat="1"/>
    <row r="41" spans="1:12" s="40" customFormat="1"/>
    <row r="42" spans="1:12" s="40" customFormat="1"/>
    <row r="43" spans="1:12" s="40" customFormat="1"/>
    <row r="44" spans="1:12" s="40" customFormat="1"/>
    <row r="45" spans="1:12" s="40" customFormat="1"/>
    <row r="46" spans="1:12" s="40" customFormat="1"/>
    <row r="47" spans="1:12" s="40" customFormat="1"/>
    <row r="48" spans="1:12" s="40" customFormat="1"/>
    <row r="49" spans="1:33" ht="66" customHeight="1">
      <c r="A49" s="4"/>
      <c r="B49" s="4"/>
      <c r="C49" s="8" t="s">
        <v>29</v>
      </c>
      <c r="D49" s="8">
        <v>2</v>
      </c>
      <c r="E49" s="4"/>
      <c r="F49" s="4"/>
      <c r="G49" s="9" t="s">
        <v>30</v>
      </c>
      <c r="H49" s="8" t="s">
        <v>31</v>
      </c>
      <c r="I49" s="10">
        <v>45962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2"/>
      <c r="AC49" s="2"/>
      <c r="AD49" s="2"/>
      <c r="AE49" s="2"/>
      <c r="AF49" s="2"/>
      <c r="AG49" s="2"/>
    </row>
    <row r="50" spans="1:33" ht="34.200000000000003" customHeight="1">
      <c r="A50" s="4"/>
      <c r="B50" s="4"/>
      <c r="C50" s="11"/>
      <c r="D50" s="4"/>
      <c r="E50" s="4"/>
      <c r="F50" s="4"/>
      <c r="G50" s="4"/>
      <c r="H50" s="8" t="s">
        <v>32</v>
      </c>
      <c r="I50" s="10">
        <v>45971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2"/>
      <c r="AC50" s="2"/>
      <c r="AD50" s="2"/>
      <c r="AE50" s="2"/>
      <c r="AF50" s="2"/>
      <c r="AG50" s="2"/>
    </row>
    <row r="51" spans="1:33">
      <c r="A51" s="4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2"/>
      <c r="AC51" s="2"/>
      <c r="AD51" s="2"/>
      <c r="AE51" s="2"/>
      <c r="AF51" s="2"/>
      <c r="AG51" s="2"/>
    </row>
    <row r="52" spans="1:33" ht="27.6">
      <c r="A52" s="4"/>
      <c r="B52" s="4"/>
      <c r="C52" s="8" t="s">
        <v>33</v>
      </c>
      <c r="D52" s="136" t="s">
        <v>217</v>
      </c>
      <c r="E52" s="136"/>
      <c r="F52" s="13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</row>
    <row r="53" spans="1:3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</row>
    <row r="54" spans="1:33" ht="28.8" customHeight="1">
      <c r="A54" s="4"/>
      <c r="B54" s="4"/>
      <c r="C54" s="8" t="s">
        <v>34</v>
      </c>
      <c r="D54" s="136" t="s">
        <v>218</v>
      </c>
      <c r="E54" s="136"/>
      <c r="F54" s="13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</row>
    <row r="55" spans="1:3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</row>
    <row r="56" spans="1:33">
      <c r="A56" s="4"/>
      <c r="B56" s="4"/>
      <c r="C56" s="8" t="s">
        <v>35</v>
      </c>
      <c r="D56" s="136" t="s">
        <v>36</v>
      </c>
      <c r="E56" s="136"/>
      <c r="F56" s="13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</row>
    <row r="57" spans="1:3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2"/>
      <c r="AC57" s="2"/>
      <c r="AD57" s="2"/>
      <c r="AE57" s="2"/>
      <c r="AF57" s="2"/>
      <c r="AG57" s="2"/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2"/>
      <c r="AC58" s="2"/>
      <c r="AD58" s="2"/>
      <c r="AE58" s="2"/>
      <c r="AF58" s="2"/>
      <c r="AG58" s="2"/>
    </row>
    <row r="59" spans="1:33" ht="46.2" customHeight="1">
      <c r="A59" s="107" t="s">
        <v>37</v>
      </c>
      <c r="B59" s="108" t="s">
        <v>38</v>
      </c>
      <c r="C59" s="108" t="s">
        <v>39</v>
      </c>
      <c r="D59" s="108" t="s">
        <v>320</v>
      </c>
      <c r="E59" s="108" t="s">
        <v>40</v>
      </c>
      <c r="F59" s="108" t="s">
        <v>41</v>
      </c>
      <c r="G59" s="108" t="s">
        <v>2</v>
      </c>
      <c r="H59" s="108" t="s">
        <v>42</v>
      </c>
      <c r="I59" s="108" t="s">
        <v>43</v>
      </c>
      <c r="J59" s="108" t="s">
        <v>44</v>
      </c>
      <c r="K59" s="108" t="s">
        <v>45</v>
      </c>
      <c r="L59" s="109" t="s">
        <v>46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2"/>
      <c r="AC59" s="2"/>
      <c r="AD59" s="2"/>
      <c r="AE59" s="2"/>
      <c r="AF59" s="2"/>
      <c r="AG59" s="2"/>
    </row>
    <row r="60" spans="1:33" ht="41.4" hidden="1">
      <c r="A60" s="114">
        <v>1</v>
      </c>
      <c r="B60" s="14" t="s">
        <v>47</v>
      </c>
      <c r="C60" s="15" t="s">
        <v>48</v>
      </c>
      <c r="D60" s="15" t="s">
        <v>61</v>
      </c>
      <c r="E60" s="39">
        <v>1</v>
      </c>
      <c r="F60" s="15" t="s">
        <v>112</v>
      </c>
      <c r="G60" s="15" t="s">
        <v>278</v>
      </c>
      <c r="H60" s="13" t="s">
        <v>7</v>
      </c>
      <c r="I60" s="16">
        <v>54</v>
      </c>
      <c r="J60" s="71">
        <v>250</v>
      </c>
      <c r="K60" s="37">
        <f>I60*J60</f>
        <v>13500</v>
      </c>
      <c r="L60" s="63" t="s">
        <v>332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</row>
    <row r="61" spans="1:33" ht="26.4">
      <c r="A61" s="114">
        <v>1</v>
      </c>
      <c r="B61" s="14" t="s">
        <v>47</v>
      </c>
      <c r="C61" s="15" t="s">
        <v>48</v>
      </c>
      <c r="D61" s="15" t="s">
        <v>49</v>
      </c>
      <c r="E61" s="39">
        <v>1</v>
      </c>
      <c r="F61" s="15" t="s">
        <v>112</v>
      </c>
      <c r="G61" s="15" t="s">
        <v>278</v>
      </c>
      <c r="H61" s="13" t="s">
        <v>7</v>
      </c>
      <c r="I61" s="16">
        <v>132</v>
      </c>
      <c r="J61" s="71">
        <v>195</v>
      </c>
      <c r="K61" s="37">
        <f t="shared" ref="K61:K89" si="1">I61*J61</f>
        <v>25740</v>
      </c>
      <c r="L61" s="6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</row>
    <row r="62" spans="1:33" ht="26.4">
      <c r="A62" s="114">
        <v>1</v>
      </c>
      <c r="B62" s="14" t="s">
        <v>47</v>
      </c>
      <c r="C62" s="15" t="s">
        <v>48</v>
      </c>
      <c r="D62" s="15" t="s">
        <v>49</v>
      </c>
      <c r="E62" s="39">
        <v>1</v>
      </c>
      <c r="F62" s="15" t="s">
        <v>115</v>
      </c>
      <c r="G62" s="15" t="s">
        <v>278</v>
      </c>
      <c r="H62" s="13" t="s">
        <v>7</v>
      </c>
      <c r="I62" s="16">
        <v>58.5</v>
      </c>
      <c r="J62" s="71">
        <v>195</v>
      </c>
      <c r="K62" s="37">
        <f t="shared" si="1"/>
        <v>11407.5</v>
      </c>
      <c r="L62" s="6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2"/>
      <c r="AC62" s="2"/>
      <c r="AD62" s="2"/>
      <c r="AE62" s="2"/>
      <c r="AF62" s="2"/>
      <c r="AG62" s="2"/>
    </row>
    <row r="63" spans="1:33" ht="26.4">
      <c r="A63" s="114">
        <v>1</v>
      </c>
      <c r="B63" s="14" t="s">
        <v>47</v>
      </c>
      <c r="C63" s="15" t="s">
        <v>48</v>
      </c>
      <c r="D63" s="15" t="s">
        <v>49</v>
      </c>
      <c r="E63" s="39">
        <v>1</v>
      </c>
      <c r="F63" s="15" t="s">
        <v>85</v>
      </c>
      <c r="G63" s="15" t="s">
        <v>278</v>
      </c>
      <c r="H63" s="13" t="s">
        <v>7</v>
      </c>
      <c r="I63" s="16">
        <v>9.5</v>
      </c>
      <c r="J63" s="71">
        <v>195</v>
      </c>
      <c r="K63" s="37">
        <f t="shared" si="1"/>
        <v>1852.5</v>
      </c>
      <c r="L63" s="6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2"/>
      <c r="AC63" s="2"/>
      <c r="AD63" s="2"/>
      <c r="AE63" s="2"/>
      <c r="AF63" s="2"/>
      <c r="AG63" s="2"/>
    </row>
    <row r="64" spans="1:33" ht="39.6">
      <c r="A64" s="114">
        <v>1</v>
      </c>
      <c r="B64" s="14" t="s">
        <v>47</v>
      </c>
      <c r="C64" s="15" t="s">
        <v>48</v>
      </c>
      <c r="D64" s="15" t="s">
        <v>49</v>
      </c>
      <c r="E64" s="39">
        <v>2</v>
      </c>
      <c r="F64" s="15" t="s">
        <v>274</v>
      </c>
      <c r="G64" s="15" t="s">
        <v>278</v>
      </c>
      <c r="H64" s="13" t="s">
        <v>7</v>
      </c>
      <c r="I64" s="16">
        <v>80</v>
      </c>
      <c r="J64" s="71">
        <v>195</v>
      </c>
      <c r="K64" s="37">
        <f t="shared" si="1"/>
        <v>15600</v>
      </c>
      <c r="L64" s="6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2"/>
      <c r="AC64" s="2"/>
      <c r="AD64" s="2"/>
      <c r="AE64" s="2"/>
      <c r="AF64" s="2"/>
      <c r="AG64" s="2"/>
    </row>
    <row r="65" spans="1:33" ht="26.4">
      <c r="A65" s="114">
        <v>1</v>
      </c>
      <c r="B65" s="14" t="s">
        <v>47</v>
      </c>
      <c r="C65" s="15" t="s">
        <v>48</v>
      </c>
      <c r="D65" s="15" t="s">
        <v>49</v>
      </c>
      <c r="E65" s="39">
        <v>2</v>
      </c>
      <c r="F65" s="15" t="s">
        <v>183</v>
      </c>
      <c r="G65" s="15" t="s">
        <v>278</v>
      </c>
      <c r="H65" s="13" t="s">
        <v>7</v>
      </c>
      <c r="I65" s="16">
        <v>31</v>
      </c>
      <c r="J65" s="71">
        <v>195</v>
      </c>
      <c r="K65" s="37">
        <f t="shared" si="1"/>
        <v>6045</v>
      </c>
      <c r="L65" s="6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2"/>
      <c r="AC65" s="2"/>
      <c r="AD65" s="2"/>
      <c r="AE65" s="2"/>
      <c r="AF65" s="2"/>
      <c r="AG65" s="2"/>
    </row>
    <row r="66" spans="1:33" ht="26.4">
      <c r="A66" s="114">
        <v>1</v>
      </c>
      <c r="B66" s="14" t="s">
        <v>47</v>
      </c>
      <c r="C66" s="15" t="s">
        <v>48</v>
      </c>
      <c r="D66" s="15" t="s">
        <v>49</v>
      </c>
      <c r="E66" s="39">
        <v>1</v>
      </c>
      <c r="F66" s="15" t="s">
        <v>139</v>
      </c>
      <c r="G66" s="15" t="s">
        <v>278</v>
      </c>
      <c r="H66" s="13" t="s">
        <v>7</v>
      </c>
      <c r="I66" s="16">
        <v>83</v>
      </c>
      <c r="J66" s="71">
        <v>195</v>
      </c>
      <c r="K66" s="37">
        <f t="shared" si="1"/>
        <v>16185</v>
      </c>
      <c r="L66" s="6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2"/>
      <c r="AC66" s="2"/>
      <c r="AD66" s="2"/>
      <c r="AE66" s="2"/>
      <c r="AF66" s="2"/>
      <c r="AG66" s="2"/>
    </row>
    <row r="67" spans="1:33" ht="26.4">
      <c r="A67" s="114">
        <v>1</v>
      </c>
      <c r="B67" s="14" t="s">
        <v>47</v>
      </c>
      <c r="C67" s="15" t="s">
        <v>48</v>
      </c>
      <c r="D67" s="15" t="s">
        <v>49</v>
      </c>
      <c r="E67" s="39">
        <v>1</v>
      </c>
      <c r="F67" s="15" t="s">
        <v>90</v>
      </c>
      <c r="G67" s="15" t="s">
        <v>278</v>
      </c>
      <c r="H67" s="13" t="s">
        <v>7</v>
      </c>
      <c r="I67" s="16">
        <v>77.5</v>
      </c>
      <c r="J67" s="71">
        <v>195</v>
      </c>
      <c r="K67" s="37">
        <f t="shared" si="1"/>
        <v>15112.5</v>
      </c>
      <c r="L67" s="6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2"/>
      <c r="AC67" s="2"/>
      <c r="AD67" s="2"/>
      <c r="AE67" s="2"/>
      <c r="AF67" s="2"/>
      <c r="AG67" s="2"/>
    </row>
    <row r="68" spans="1:33" ht="26.4">
      <c r="A68" s="114">
        <v>1</v>
      </c>
      <c r="B68" s="14" t="s">
        <v>47</v>
      </c>
      <c r="C68" s="15" t="s">
        <v>48</v>
      </c>
      <c r="D68" s="15" t="s">
        <v>49</v>
      </c>
      <c r="E68" s="39">
        <v>1</v>
      </c>
      <c r="F68" s="15" t="s">
        <v>92</v>
      </c>
      <c r="G68" s="15" t="s">
        <v>278</v>
      </c>
      <c r="H68" s="13" t="s">
        <v>7</v>
      </c>
      <c r="I68" s="16">
        <v>29.3</v>
      </c>
      <c r="J68" s="71">
        <v>195</v>
      </c>
      <c r="K68" s="37">
        <f t="shared" si="1"/>
        <v>5713.5</v>
      </c>
      <c r="L68" s="6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2"/>
      <c r="AC68" s="2"/>
      <c r="AD68" s="2"/>
      <c r="AE68" s="2"/>
      <c r="AF68" s="2"/>
      <c r="AG68" s="2"/>
    </row>
    <row r="69" spans="1:33" ht="26.4">
      <c r="A69" s="114">
        <v>1</v>
      </c>
      <c r="B69" s="14" t="s">
        <v>47</v>
      </c>
      <c r="C69" s="15" t="s">
        <v>48</v>
      </c>
      <c r="D69" s="15" t="s">
        <v>49</v>
      </c>
      <c r="E69" s="39">
        <v>1</v>
      </c>
      <c r="F69" s="15" t="s">
        <v>94</v>
      </c>
      <c r="G69" s="15" t="s">
        <v>278</v>
      </c>
      <c r="H69" s="13" t="s">
        <v>7</v>
      </c>
      <c r="I69" s="16">
        <v>22.4</v>
      </c>
      <c r="J69" s="71">
        <v>195</v>
      </c>
      <c r="K69" s="37">
        <f t="shared" si="1"/>
        <v>4368</v>
      </c>
      <c r="L69" s="6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</row>
    <row r="70" spans="1:33" ht="26.4">
      <c r="A70" s="114">
        <v>1</v>
      </c>
      <c r="B70" s="14" t="s">
        <v>47</v>
      </c>
      <c r="C70" s="15" t="s">
        <v>48</v>
      </c>
      <c r="D70" s="15" t="s">
        <v>49</v>
      </c>
      <c r="E70" s="39">
        <v>1</v>
      </c>
      <c r="F70" s="15" t="s">
        <v>153</v>
      </c>
      <c r="G70" s="15" t="s">
        <v>278</v>
      </c>
      <c r="H70" s="13" t="s">
        <v>7</v>
      </c>
      <c r="I70" s="16">
        <v>36</v>
      </c>
      <c r="J70" s="71">
        <v>195</v>
      </c>
      <c r="K70" s="37">
        <f t="shared" si="1"/>
        <v>7020</v>
      </c>
      <c r="L70" s="6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</row>
    <row r="71" spans="1:33" ht="26.4">
      <c r="A71" s="114">
        <v>1</v>
      </c>
      <c r="B71" s="14" t="s">
        <v>47</v>
      </c>
      <c r="C71" s="15" t="s">
        <v>48</v>
      </c>
      <c r="D71" s="15" t="s">
        <v>49</v>
      </c>
      <c r="E71" s="39">
        <v>1</v>
      </c>
      <c r="F71" s="15" t="s">
        <v>117</v>
      </c>
      <c r="G71" s="15" t="s">
        <v>278</v>
      </c>
      <c r="H71" s="13" t="s">
        <v>7</v>
      </c>
      <c r="I71" s="16">
        <v>41.5</v>
      </c>
      <c r="J71" s="71">
        <v>195</v>
      </c>
      <c r="K71" s="37">
        <f t="shared" si="1"/>
        <v>8092.5</v>
      </c>
      <c r="L71" s="6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</row>
    <row r="72" spans="1:33" ht="26.4">
      <c r="A72" s="114">
        <v>1</v>
      </c>
      <c r="B72" s="14" t="s">
        <v>47</v>
      </c>
      <c r="C72" s="15" t="s">
        <v>48</v>
      </c>
      <c r="D72" s="15" t="s">
        <v>49</v>
      </c>
      <c r="E72" s="39">
        <v>1</v>
      </c>
      <c r="F72" s="15" t="s">
        <v>89</v>
      </c>
      <c r="G72" s="15" t="s">
        <v>278</v>
      </c>
      <c r="H72" s="13" t="s">
        <v>7</v>
      </c>
      <c r="I72" s="16">
        <v>62</v>
      </c>
      <c r="J72" s="71">
        <v>195</v>
      </c>
      <c r="K72" s="37">
        <f t="shared" si="1"/>
        <v>12090</v>
      </c>
      <c r="L72" s="6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2"/>
      <c r="AB72" s="2"/>
      <c r="AC72" s="2"/>
      <c r="AD72" s="2"/>
      <c r="AE72" s="2"/>
      <c r="AF72" s="2"/>
      <c r="AG72" s="2"/>
    </row>
    <row r="73" spans="1:33" ht="26.4">
      <c r="A73" s="114">
        <v>1</v>
      </c>
      <c r="B73" s="14" t="s">
        <v>47</v>
      </c>
      <c r="C73" s="15" t="s">
        <v>48</v>
      </c>
      <c r="D73" s="15" t="s">
        <v>49</v>
      </c>
      <c r="E73" s="39">
        <v>1</v>
      </c>
      <c r="F73" s="15" t="s">
        <v>107</v>
      </c>
      <c r="G73" s="15" t="s">
        <v>277</v>
      </c>
      <c r="H73" s="13" t="s">
        <v>7</v>
      </c>
      <c r="I73" s="16">
        <v>77</v>
      </c>
      <c r="J73" s="71">
        <v>195</v>
      </c>
      <c r="K73" s="37">
        <f t="shared" si="1"/>
        <v>15015</v>
      </c>
      <c r="L73" s="6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2"/>
      <c r="AB73" s="2"/>
      <c r="AC73" s="2"/>
      <c r="AD73" s="2"/>
      <c r="AE73" s="2"/>
      <c r="AF73" s="2"/>
      <c r="AG73" s="2"/>
    </row>
    <row r="74" spans="1:33" ht="39.6">
      <c r="A74" s="114">
        <v>1</v>
      </c>
      <c r="B74" s="14" t="s">
        <v>47</v>
      </c>
      <c r="C74" s="15" t="s">
        <v>48</v>
      </c>
      <c r="D74" s="15" t="s">
        <v>49</v>
      </c>
      <c r="E74" s="39">
        <v>1</v>
      </c>
      <c r="F74" s="15" t="s">
        <v>145</v>
      </c>
      <c r="G74" s="15" t="s">
        <v>6</v>
      </c>
      <c r="H74" s="13" t="s">
        <v>7</v>
      </c>
      <c r="I74" s="16">
        <v>79.3</v>
      </c>
      <c r="J74" s="71">
        <v>585</v>
      </c>
      <c r="K74" s="37">
        <f t="shared" si="1"/>
        <v>46390.5</v>
      </c>
      <c r="L74" s="6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2"/>
      <c r="AB74" s="2"/>
      <c r="AC74" s="2"/>
      <c r="AD74" s="2"/>
      <c r="AE74" s="2"/>
      <c r="AF74" s="2"/>
      <c r="AG74" s="2"/>
    </row>
    <row r="75" spans="1:33" ht="39.6">
      <c r="A75" s="114">
        <v>1</v>
      </c>
      <c r="B75" s="14" t="s">
        <v>47</v>
      </c>
      <c r="C75" s="15" t="s">
        <v>48</v>
      </c>
      <c r="D75" s="15" t="s">
        <v>49</v>
      </c>
      <c r="E75" s="39">
        <v>2</v>
      </c>
      <c r="F75" s="15" t="s">
        <v>183</v>
      </c>
      <c r="G75" s="15" t="s">
        <v>6</v>
      </c>
      <c r="H75" s="13" t="s">
        <v>7</v>
      </c>
      <c r="I75" s="16">
        <v>62</v>
      </c>
      <c r="J75" s="71">
        <v>585</v>
      </c>
      <c r="K75" s="37">
        <f t="shared" si="1"/>
        <v>36270</v>
      </c>
      <c r="L75" s="6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2"/>
      <c r="AB75" s="2"/>
      <c r="AC75" s="2"/>
      <c r="AD75" s="2"/>
      <c r="AE75" s="2"/>
      <c r="AF75" s="2"/>
      <c r="AG75" s="2"/>
    </row>
    <row r="76" spans="1:33" ht="39.6">
      <c r="A76" s="114">
        <v>1</v>
      </c>
      <c r="B76" s="14" t="s">
        <v>47</v>
      </c>
      <c r="C76" s="15" t="s">
        <v>48</v>
      </c>
      <c r="D76" s="15" t="s">
        <v>49</v>
      </c>
      <c r="E76" s="39">
        <v>2</v>
      </c>
      <c r="F76" s="15" t="s">
        <v>274</v>
      </c>
      <c r="G76" s="15" t="s">
        <v>6</v>
      </c>
      <c r="H76" s="13" t="s">
        <v>7</v>
      </c>
      <c r="I76" s="16">
        <v>14</v>
      </c>
      <c r="J76" s="71">
        <v>585</v>
      </c>
      <c r="K76" s="37">
        <f t="shared" si="1"/>
        <v>8190</v>
      </c>
      <c r="L76" s="6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2"/>
      <c r="AB76" s="2"/>
      <c r="AC76" s="2"/>
      <c r="AD76" s="2"/>
      <c r="AE76" s="2"/>
      <c r="AF76" s="2"/>
      <c r="AG76" s="2"/>
    </row>
    <row r="77" spans="1:33" ht="39.6">
      <c r="A77" s="114">
        <v>1</v>
      </c>
      <c r="B77" s="14" t="s">
        <v>47</v>
      </c>
      <c r="C77" s="15" t="s">
        <v>48</v>
      </c>
      <c r="D77" s="15" t="s">
        <v>49</v>
      </c>
      <c r="E77" s="39">
        <v>1</v>
      </c>
      <c r="F77" s="15" t="s">
        <v>139</v>
      </c>
      <c r="G77" s="15" t="s">
        <v>6</v>
      </c>
      <c r="H77" s="13" t="s">
        <v>7</v>
      </c>
      <c r="I77" s="16">
        <v>17</v>
      </c>
      <c r="J77" s="71">
        <v>585</v>
      </c>
      <c r="K77" s="37">
        <f t="shared" si="1"/>
        <v>9945</v>
      </c>
      <c r="L77" s="6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2"/>
      <c r="AB77" s="2"/>
      <c r="AC77" s="2"/>
      <c r="AD77" s="2"/>
      <c r="AE77" s="2"/>
      <c r="AF77" s="2"/>
      <c r="AG77" s="2"/>
    </row>
    <row r="78" spans="1:33" ht="39.6">
      <c r="A78" s="114">
        <v>1</v>
      </c>
      <c r="B78" s="14" t="s">
        <v>47</v>
      </c>
      <c r="C78" s="15" t="s">
        <v>48</v>
      </c>
      <c r="D78" s="15" t="s">
        <v>49</v>
      </c>
      <c r="E78" s="39">
        <v>1</v>
      </c>
      <c r="F78" s="15" t="s">
        <v>92</v>
      </c>
      <c r="G78" s="15" t="s">
        <v>6</v>
      </c>
      <c r="H78" s="13" t="s">
        <v>7</v>
      </c>
      <c r="I78" s="16">
        <v>62</v>
      </c>
      <c r="J78" s="71">
        <v>585</v>
      </c>
      <c r="K78" s="37">
        <f t="shared" si="1"/>
        <v>36270</v>
      </c>
      <c r="L78" s="6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2"/>
      <c r="AB78" s="2"/>
      <c r="AC78" s="2"/>
      <c r="AD78" s="2"/>
      <c r="AE78" s="2"/>
      <c r="AF78" s="2"/>
      <c r="AG78" s="2"/>
    </row>
    <row r="79" spans="1:33" ht="39.6">
      <c r="A79" s="114">
        <v>1</v>
      </c>
      <c r="B79" s="14" t="s">
        <v>47</v>
      </c>
      <c r="C79" s="15" t="s">
        <v>48</v>
      </c>
      <c r="D79" s="15" t="s">
        <v>49</v>
      </c>
      <c r="E79" s="39">
        <v>1</v>
      </c>
      <c r="F79" s="15" t="s">
        <v>94</v>
      </c>
      <c r="G79" s="15" t="s">
        <v>6</v>
      </c>
      <c r="H79" s="13" t="s">
        <v>7</v>
      </c>
      <c r="I79" s="16">
        <v>51</v>
      </c>
      <c r="J79" s="71">
        <v>585</v>
      </c>
      <c r="K79" s="37">
        <f t="shared" si="1"/>
        <v>29835</v>
      </c>
      <c r="L79" s="6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2"/>
      <c r="AB79" s="2"/>
      <c r="AC79" s="2"/>
      <c r="AD79" s="2"/>
      <c r="AE79" s="2"/>
      <c r="AF79" s="2"/>
      <c r="AG79" s="2"/>
    </row>
    <row r="80" spans="1:33" ht="39.6">
      <c r="A80" s="114">
        <v>1</v>
      </c>
      <c r="B80" s="14" t="s">
        <v>47</v>
      </c>
      <c r="C80" s="15" t="s">
        <v>48</v>
      </c>
      <c r="D80" s="15" t="s">
        <v>49</v>
      </c>
      <c r="E80" s="39">
        <v>1</v>
      </c>
      <c r="F80" s="15" t="s">
        <v>139</v>
      </c>
      <c r="G80" s="15" t="s">
        <v>6</v>
      </c>
      <c r="H80" s="13" t="s">
        <v>7</v>
      </c>
      <c r="I80" s="16">
        <v>11</v>
      </c>
      <c r="J80" s="71">
        <v>585</v>
      </c>
      <c r="K80" s="37">
        <f t="shared" si="1"/>
        <v>6435</v>
      </c>
      <c r="L80" s="6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2"/>
      <c r="AB80" s="2"/>
      <c r="AC80" s="2"/>
      <c r="AD80" s="2"/>
      <c r="AE80" s="2"/>
      <c r="AF80" s="2"/>
      <c r="AG80" s="2"/>
    </row>
    <row r="81" spans="1:33" ht="39.6">
      <c r="A81" s="114">
        <v>1</v>
      </c>
      <c r="B81" s="14" t="s">
        <v>47</v>
      </c>
      <c r="C81" s="15" t="s">
        <v>48</v>
      </c>
      <c r="D81" s="15" t="s">
        <v>49</v>
      </c>
      <c r="E81" s="39">
        <v>1</v>
      </c>
      <c r="F81" s="15" t="s">
        <v>90</v>
      </c>
      <c r="G81" s="15" t="s">
        <v>6</v>
      </c>
      <c r="H81" s="13" t="s">
        <v>7</v>
      </c>
      <c r="I81" s="16">
        <v>31.5</v>
      </c>
      <c r="J81" s="71">
        <v>585</v>
      </c>
      <c r="K81" s="37">
        <f t="shared" si="1"/>
        <v>18427.5</v>
      </c>
      <c r="L81" s="6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2"/>
      <c r="AB81" s="2"/>
      <c r="AC81" s="2"/>
      <c r="AD81" s="2"/>
      <c r="AE81" s="2"/>
      <c r="AF81" s="2"/>
      <c r="AG81" s="2"/>
    </row>
    <row r="82" spans="1:33" ht="39.6">
      <c r="A82" s="114">
        <v>1</v>
      </c>
      <c r="B82" s="14" t="s">
        <v>60</v>
      </c>
      <c r="C82" s="15" t="s">
        <v>48</v>
      </c>
      <c r="D82" s="15" t="s">
        <v>49</v>
      </c>
      <c r="E82" s="39">
        <v>1</v>
      </c>
      <c r="F82" s="15" t="s">
        <v>151</v>
      </c>
      <c r="G82" s="15" t="s">
        <v>6</v>
      </c>
      <c r="H82" s="13" t="s">
        <v>7</v>
      </c>
      <c r="I82" s="16">
        <v>80</v>
      </c>
      <c r="J82" s="71">
        <v>585</v>
      </c>
      <c r="K82" s="37">
        <f t="shared" si="1"/>
        <v>46800</v>
      </c>
      <c r="L82" s="6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2"/>
      <c r="AB82" s="2"/>
      <c r="AC82" s="2"/>
      <c r="AD82" s="2"/>
      <c r="AE82" s="2"/>
      <c r="AF82" s="2"/>
      <c r="AG82" s="2"/>
    </row>
    <row r="83" spans="1:33" ht="36" customHeight="1">
      <c r="A83" s="114">
        <v>1</v>
      </c>
      <c r="B83" s="14" t="s">
        <v>47</v>
      </c>
      <c r="C83" s="15" t="s">
        <v>48</v>
      </c>
      <c r="D83" s="15" t="s">
        <v>49</v>
      </c>
      <c r="E83" s="39"/>
      <c r="F83" s="54" t="s">
        <v>284</v>
      </c>
      <c r="G83" s="53" t="s">
        <v>283</v>
      </c>
      <c r="H83" s="13" t="s">
        <v>7</v>
      </c>
      <c r="I83" s="16">
        <v>11.4</v>
      </c>
      <c r="J83" s="71">
        <v>800</v>
      </c>
      <c r="K83" s="37">
        <f t="shared" si="1"/>
        <v>9120</v>
      </c>
      <c r="L83" s="63" t="s">
        <v>330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2"/>
      <c r="AB83" s="2"/>
      <c r="AC83" s="2"/>
      <c r="AD83" s="2"/>
      <c r="AE83" s="2"/>
      <c r="AF83" s="2"/>
      <c r="AG83" s="2"/>
    </row>
    <row r="84" spans="1:33" ht="26.4">
      <c r="A84" s="114">
        <v>1</v>
      </c>
      <c r="B84" s="14" t="s">
        <v>47</v>
      </c>
      <c r="C84" s="15" t="s">
        <v>48</v>
      </c>
      <c r="D84" s="15" t="s">
        <v>49</v>
      </c>
      <c r="E84" s="39">
        <v>2</v>
      </c>
      <c r="F84" s="15" t="s">
        <v>183</v>
      </c>
      <c r="G84" s="15" t="s">
        <v>15</v>
      </c>
      <c r="H84" s="13" t="s">
        <v>7</v>
      </c>
      <c r="I84" s="16">
        <v>19.2</v>
      </c>
      <c r="J84" s="71">
        <v>1170</v>
      </c>
      <c r="K84" s="37">
        <f t="shared" si="1"/>
        <v>22464</v>
      </c>
      <c r="L84" s="63" t="s">
        <v>324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2"/>
      <c r="AB84" s="2"/>
      <c r="AC84" s="2"/>
      <c r="AD84" s="2"/>
      <c r="AE84" s="2"/>
      <c r="AF84" s="2"/>
      <c r="AG84" s="2"/>
    </row>
    <row r="85" spans="1:33" ht="26.4">
      <c r="A85" s="114">
        <v>1</v>
      </c>
      <c r="B85" s="14" t="s">
        <v>47</v>
      </c>
      <c r="C85" s="15" t="s">
        <v>48</v>
      </c>
      <c r="D85" s="15" t="s">
        <v>49</v>
      </c>
      <c r="E85" s="39">
        <v>2</v>
      </c>
      <c r="F85" s="15" t="s">
        <v>180</v>
      </c>
      <c r="G85" s="15" t="s">
        <v>15</v>
      </c>
      <c r="H85" s="13" t="s">
        <v>7</v>
      </c>
      <c r="I85" s="16">
        <v>27.2</v>
      </c>
      <c r="J85" s="71">
        <v>1170</v>
      </c>
      <c r="K85" s="37">
        <f t="shared" si="1"/>
        <v>31824</v>
      </c>
      <c r="L85" s="63" t="s">
        <v>328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2"/>
      <c r="AB85" s="2"/>
      <c r="AC85" s="2"/>
      <c r="AD85" s="2"/>
      <c r="AE85" s="2"/>
      <c r="AF85" s="2"/>
      <c r="AG85" s="2"/>
    </row>
    <row r="86" spans="1:33" ht="27.6">
      <c r="A86" s="114">
        <v>1</v>
      </c>
      <c r="B86" s="14" t="s">
        <v>47</v>
      </c>
      <c r="C86" s="15" t="s">
        <v>48</v>
      </c>
      <c r="D86" s="15" t="s">
        <v>49</v>
      </c>
      <c r="E86" s="39">
        <v>2</v>
      </c>
      <c r="F86" s="15" t="s">
        <v>187</v>
      </c>
      <c r="G86" s="15" t="s">
        <v>15</v>
      </c>
      <c r="H86" s="13" t="s">
        <v>7</v>
      </c>
      <c r="I86" s="16">
        <v>15.6</v>
      </c>
      <c r="J86" s="71">
        <v>1170</v>
      </c>
      <c r="K86" s="37">
        <f t="shared" si="1"/>
        <v>18252</v>
      </c>
      <c r="L86" s="63" t="s">
        <v>329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2"/>
      <c r="AB86" s="2"/>
      <c r="AC86" s="2"/>
      <c r="AD86" s="2"/>
      <c r="AE86" s="2"/>
      <c r="AF86" s="2"/>
      <c r="AG86" s="2"/>
    </row>
    <row r="87" spans="1:33" ht="39.6" hidden="1">
      <c r="A87" s="114">
        <v>1</v>
      </c>
      <c r="B87" s="14" t="s">
        <v>47</v>
      </c>
      <c r="C87" s="15" t="s">
        <v>48</v>
      </c>
      <c r="D87" s="15" t="s">
        <v>58</v>
      </c>
      <c r="E87" s="39">
        <v>1</v>
      </c>
      <c r="F87" s="15" t="s">
        <v>139</v>
      </c>
      <c r="G87" s="15" t="s">
        <v>14</v>
      </c>
      <c r="H87" s="13" t="s">
        <v>7</v>
      </c>
      <c r="I87" s="16">
        <v>88.8</v>
      </c>
      <c r="J87" s="71">
        <v>1170</v>
      </c>
      <c r="K87" s="37">
        <f t="shared" si="1"/>
        <v>103896</v>
      </c>
      <c r="L87" s="6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2"/>
      <c r="AB87" s="2"/>
      <c r="AC87" s="2"/>
      <c r="AD87" s="2"/>
      <c r="AE87" s="2"/>
      <c r="AF87" s="2"/>
      <c r="AG87" s="2"/>
    </row>
    <row r="88" spans="1:33" ht="39.6" hidden="1">
      <c r="A88" s="114">
        <v>1</v>
      </c>
      <c r="B88" s="14" t="s">
        <v>47</v>
      </c>
      <c r="C88" s="15" t="s">
        <v>48</v>
      </c>
      <c r="D88" s="15" t="s">
        <v>58</v>
      </c>
      <c r="E88" s="39">
        <v>1</v>
      </c>
      <c r="F88" s="15" t="s">
        <v>141</v>
      </c>
      <c r="G88" s="15" t="s">
        <v>14</v>
      </c>
      <c r="H88" s="13" t="s">
        <v>7</v>
      </c>
      <c r="I88" s="16">
        <v>6.3</v>
      </c>
      <c r="J88" s="71">
        <v>1170</v>
      </c>
      <c r="K88" s="37">
        <f t="shared" si="1"/>
        <v>7371</v>
      </c>
      <c r="L88" s="6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2"/>
      <c r="AB88" s="2"/>
      <c r="AC88" s="2"/>
      <c r="AD88" s="2"/>
      <c r="AE88" s="2"/>
      <c r="AF88" s="2"/>
      <c r="AG88" s="2"/>
    </row>
    <row r="89" spans="1:33" ht="39.6" hidden="1">
      <c r="A89" s="114">
        <v>1</v>
      </c>
      <c r="B89" s="14" t="s">
        <v>47</v>
      </c>
      <c r="C89" s="15" t="s">
        <v>48</v>
      </c>
      <c r="D89" s="15" t="s">
        <v>58</v>
      </c>
      <c r="E89" s="39">
        <v>1</v>
      </c>
      <c r="F89" s="15" t="s">
        <v>151</v>
      </c>
      <c r="G89" s="48" t="s">
        <v>14</v>
      </c>
      <c r="H89" s="13" t="s">
        <v>7</v>
      </c>
      <c r="I89" s="16">
        <v>30.6</v>
      </c>
      <c r="J89" s="71">
        <v>1170</v>
      </c>
      <c r="K89" s="37">
        <f t="shared" si="1"/>
        <v>35802</v>
      </c>
      <c r="L89" s="6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2"/>
      <c r="AB89" s="2"/>
      <c r="AC89" s="2"/>
      <c r="AD89" s="2"/>
      <c r="AE89" s="2"/>
      <c r="AF89" s="2"/>
      <c r="AG89" s="2"/>
    </row>
    <row r="90" spans="1:33" ht="26.4">
      <c r="A90" s="114">
        <v>1</v>
      </c>
      <c r="B90" s="14" t="s">
        <v>47</v>
      </c>
      <c r="C90" s="15" t="s">
        <v>48</v>
      </c>
      <c r="D90" s="15" t="s">
        <v>49</v>
      </c>
      <c r="E90" s="39">
        <v>1</v>
      </c>
      <c r="F90" s="48" t="s">
        <v>151</v>
      </c>
      <c r="G90" s="48" t="s">
        <v>15</v>
      </c>
      <c r="H90" s="13" t="s">
        <v>7</v>
      </c>
      <c r="I90" s="16">
        <v>37.200000000000003</v>
      </c>
      <c r="J90" s="71">
        <v>1170</v>
      </c>
      <c r="K90" s="37">
        <f t="shared" ref="K90:K104" si="2">I90*J90</f>
        <v>43524</v>
      </c>
      <c r="L90" s="63" t="s">
        <v>328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2"/>
      <c r="AB90" s="2"/>
      <c r="AC90" s="2"/>
      <c r="AD90" s="2"/>
      <c r="AE90" s="2"/>
      <c r="AF90" s="2"/>
      <c r="AG90" s="2"/>
    </row>
    <row r="91" spans="1:33" ht="39.6" hidden="1">
      <c r="A91" s="114">
        <v>1</v>
      </c>
      <c r="B91" s="14" t="s">
        <v>47</v>
      </c>
      <c r="C91" s="15" t="s">
        <v>48</v>
      </c>
      <c r="D91" s="15" t="s">
        <v>58</v>
      </c>
      <c r="E91" s="39">
        <v>1</v>
      </c>
      <c r="F91" s="15" t="s">
        <v>160</v>
      </c>
      <c r="G91" s="48" t="s">
        <v>14</v>
      </c>
      <c r="H91" s="13" t="s">
        <v>7</v>
      </c>
      <c r="I91" s="16">
        <v>5.8</v>
      </c>
      <c r="J91" s="71">
        <v>1170</v>
      </c>
      <c r="K91" s="37">
        <f t="shared" si="2"/>
        <v>6786</v>
      </c>
      <c r="L91" s="6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2"/>
      <c r="AB91" s="2"/>
      <c r="AC91" s="2"/>
      <c r="AD91" s="2"/>
      <c r="AE91" s="2"/>
      <c r="AF91" s="2"/>
      <c r="AG91" s="2"/>
    </row>
    <row r="92" spans="1:33" ht="39.6" hidden="1">
      <c r="A92" s="114">
        <v>1</v>
      </c>
      <c r="B92" s="47" t="s">
        <v>47</v>
      </c>
      <c r="C92" s="15" t="s">
        <v>48</v>
      </c>
      <c r="D92" s="15" t="s">
        <v>58</v>
      </c>
      <c r="E92" s="39">
        <v>1</v>
      </c>
      <c r="F92" s="15" t="s">
        <v>145</v>
      </c>
      <c r="G92" s="48" t="s">
        <v>14</v>
      </c>
      <c r="H92" s="13" t="s">
        <v>7</v>
      </c>
      <c r="I92" s="16">
        <v>71</v>
      </c>
      <c r="J92" s="71">
        <v>1170</v>
      </c>
      <c r="K92" s="37">
        <f t="shared" si="2"/>
        <v>83070</v>
      </c>
      <c r="L92" s="63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  <c r="AA92" s="2"/>
      <c r="AB92" s="2"/>
      <c r="AC92" s="2"/>
      <c r="AD92" s="2"/>
      <c r="AE92" s="2"/>
      <c r="AF92" s="2"/>
      <c r="AG92" s="2"/>
    </row>
    <row r="93" spans="1:33" ht="26.4">
      <c r="A93" s="114">
        <v>1</v>
      </c>
      <c r="B93" s="14" t="s">
        <v>47</v>
      </c>
      <c r="C93" s="15" t="s">
        <v>48</v>
      </c>
      <c r="D93" s="15" t="s">
        <v>49</v>
      </c>
      <c r="E93" s="39">
        <v>1</v>
      </c>
      <c r="F93" s="48" t="s">
        <v>145</v>
      </c>
      <c r="G93" s="48" t="s">
        <v>15</v>
      </c>
      <c r="H93" s="13" t="s">
        <v>7</v>
      </c>
      <c r="I93" s="16">
        <v>37.200000000000003</v>
      </c>
      <c r="J93" s="71">
        <v>1170</v>
      </c>
      <c r="K93" s="37">
        <f t="shared" si="2"/>
        <v>43524</v>
      </c>
      <c r="L93" s="63" t="s">
        <v>328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39.6" hidden="1">
      <c r="A94" s="114">
        <v>1</v>
      </c>
      <c r="B94" s="14" t="s">
        <v>47</v>
      </c>
      <c r="C94" s="15" t="s">
        <v>48</v>
      </c>
      <c r="D94" s="15" t="s">
        <v>58</v>
      </c>
      <c r="E94" s="39">
        <v>1</v>
      </c>
      <c r="F94" s="15" t="s">
        <v>106</v>
      </c>
      <c r="G94" s="48" t="s">
        <v>14</v>
      </c>
      <c r="H94" s="13" t="s">
        <v>7</v>
      </c>
      <c r="I94" s="16">
        <v>197.2</v>
      </c>
      <c r="J94" s="71">
        <v>1170</v>
      </c>
      <c r="K94" s="37">
        <f t="shared" si="2"/>
        <v>230724</v>
      </c>
      <c r="L94" s="6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26.4">
      <c r="A95" s="114">
        <v>1</v>
      </c>
      <c r="B95" s="14" t="s">
        <v>47</v>
      </c>
      <c r="C95" s="15" t="s">
        <v>48</v>
      </c>
      <c r="D95" s="15" t="s">
        <v>49</v>
      </c>
      <c r="E95" s="39">
        <v>1</v>
      </c>
      <c r="F95" s="15" t="s">
        <v>141</v>
      </c>
      <c r="G95" s="48" t="s">
        <v>15</v>
      </c>
      <c r="H95" s="13" t="s">
        <v>7</v>
      </c>
      <c r="I95" s="16">
        <v>13</v>
      </c>
      <c r="J95" s="71">
        <v>1170</v>
      </c>
      <c r="K95" s="37">
        <f t="shared" si="2"/>
        <v>15210</v>
      </c>
      <c r="L95" s="63" t="s">
        <v>328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27.6">
      <c r="A96" s="114">
        <v>1</v>
      </c>
      <c r="B96" s="14" t="s">
        <v>47</v>
      </c>
      <c r="C96" s="15" t="s">
        <v>48</v>
      </c>
      <c r="D96" s="15" t="s">
        <v>49</v>
      </c>
      <c r="E96" s="39">
        <v>2</v>
      </c>
      <c r="F96" s="15" t="s">
        <v>178</v>
      </c>
      <c r="G96" s="48" t="s">
        <v>15</v>
      </c>
      <c r="H96" s="13" t="s">
        <v>7</v>
      </c>
      <c r="I96" s="16">
        <v>20</v>
      </c>
      <c r="J96" s="71">
        <v>1170</v>
      </c>
      <c r="K96" s="37">
        <f t="shared" si="2"/>
        <v>23400</v>
      </c>
      <c r="L96" s="63" t="s">
        <v>329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39.6" hidden="1">
      <c r="A97" s="114">
        <v>1</v>
      </c>
      <c r="B97" s="14" t="s">
        <v>47</v>
      </c>
      <c r="C97" s="15" t="s">
        <v>48</v>
      </c>
      <c r="D97" s="15" t="s">
        <v>58</v>
      </c>
      <c r="E97" s="39">
        <v>2</v>
      </c>
      <c r="F97" s="48" t="s">
        <v>178</v>
      </c>
      <c r="G97" s="48" t="s">
        <v>14</v>
      </c>
      <c r="H97" s="13" t="s">
        <v>7</v>
      </c>
      <c r="I97" s="49">
        <v>5.6</v>
      </c>
      <c r="J97" s="71">
        <v>1170</v>
      </c>
      <c r="K97" s="37">
        <f t="shared" si="2"/>
        <v>6552</v>
      </c>
      <c r="L97" s="6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32.4" customHeight="1">
      <c r="A98" s="114">
        <v>1</v>
      </c>
      <c r="B98" s="14" t="s">
        <v>47</v>
      </c>
      <c r="C98" s="15" t="s">
        <v>48</v>
      </c>
      <c r="D98" s="15" t="s">
        <v>49</v>
      </c>
      <c r="E98" s="39">
        <v>1</v>
      </c>
      <c r="F98" s="15" t="s">
        <v>92</v>
      </c>
      <c r="G98" s="48" t="s">
        <v>15</v>
      </c>
      <c r="H98" s="13" t="s">
        <v>7</v>
      </c>
      <c r="I98" s="16">
        <v>15.6</v>
      </c>
      <c r="J98" s="71">
        <v>1170</v>
      </c>
      <c r="K98" s="37">
        <f t="shared" si="2"/>
        <v>18252</v>
      </c>
      <c r="L98" s="63" t="s">
        <v>324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31.8" customHeight="1">
      <c r="A99" s="114">
        <v>1</v>
      </c>
      <c r="B99" s="14" t="s">
        <v>47</v>
      </c>
      <c r="C99" s="15" t="s">
        <v>48</v>
      </c>
      <c r="D99" s="15" t="s">
        <v>49</v>
      </c>
      <c r="E99" s="39">
        <v>2</v>
      </c>
      <c r="F99" s="15" t="s">
        <v>181</v>
      </c>
      <c r="G99" s="48" t="s">
        <v>15</v>
      </c>
      <c r="H99" s="13" t="s">
        <v>7</v>
      </c>
      <c r="I99" s="16">
        <v>47.3</v>
      </c>
      <c r="J99" s="71">
        <v>1170</v>
      </c>
      <c r="K99" s="37">
        <f t="shared" si="2"/>
        <v>55341</v>
      </c>
      <c r="L99" s="63" t="s">
        <v>329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27" customHeight="1">
      <c r="A100" s="114">
        <v>1</v>
      </c>
      <c r="B100" s="14" t="s">
        <v>47</v>
      </c>
      <c r="C100" s="15" t="s">
        <v>48</v>
      </c>
      <c r="D100" s="15" t="s">
        <v>49</v>
      </c>
      <c r="E100" s="39"/>
      <c r="F100" s="56" t="s">
        <v>284</v>
      </c>
      <c r="G100" s="48" t="s">
        <v>280</v>
      </c>
      <c r="H100" s="13" t="s">
        <v>285</v>
      </c>
      <c r="I100" s="16">
        <v>19.600000000000001</v>
      </c>
      <c r="J100" s="71">
        <v>300</v>
      </c>
      <c r="K100" s="37">
        <f t="shared" si="2"/>
        <v>5880</v>
      </c>
      <c r="L100" s="63"/>
    </row>
    <row r="101" spans="1:33" ht="34.200000000000003" customHeight="1">
      <c r="A101" s="114">
        <v>1</v>
      </c>
      <c r="B101" s="14" t="s">
        <v>60</v>
      </c>
      <c r="C101" s="15" t="s">
        <v>48</v>
      </c>
      <c r="D101" s="15" t="s">
        <v>49</v>
      </c>
      <c r="E101" s="39"/>
      <c r="F101" s="56" t="s">
        <v>284</v>
      </c>
      <c r="G101" s="34" t="s">
        <v>262</v>
      </c>
      <c r="H101" s="13" t="s">
        <v>7</v>
      </c>
      <c r="I101" s="16">
        <v>104.7</v>
      </c>
      <c r="J101" s="71">
        <v>1105</v>
      </c>
      <c r="K101" s="37">
        <f t="shared" si="2"/>
        <v>115693.5</v>
      </c>
      <c r="L101" s="63"/>
    </row>
    <row r="102" spans="1:33" ht="28.2" customHeight="1">
      <c r="A102" s="114">
        <v>1</v>
      </c>
      <c r="B102" s="14" t="s">
        <v>60</v>
      </c>
      <c r="C102" s="15" t="s">
        <v>48</v>
      </c>
      <c r="D102" s="15" t="s">
        <v>49</v>
      </c>
      <c r="E102" s="39"/>
      <c r="F102" s="56" t="s">
        <v>286</v>
      </c>
      <c r="G102" s="56" t="s">
        <v>260</v>
      </c>
      <c r="H102" s="13" t="s">
        <v>261</v>
      </c>
      <c r="I102" s="16">
        <v>10.3</v>
      </c>
      <c r="J102" s="71">
        <v>4160</v>
      </c>
      <c r="K102" s="37">
        <f t="shared" si="2"/>
        <v>42848</v>
      </c>
      <c r="L102" s="63"/>
    </row>
    <row r="103" spans="1:33" ht="28.2" customHeight="1">
      <c r="A103" s="114">
        <v>1</v>
      </c>
      <c r="B103" s="14" t="s">
        <v>47</v>
      </c>
      <c r="C103" s="15" t="s">
        <v>48</v>
      </c>
      <c r="D103" s="15" t="s">
        <v>49</v>
      </c>
      <c r="E103" s="39"/>
      <c r="F103" s="56" t="s">
        <v>286</v>
      </c>
      <c r="G103" s="48" t="s">
        <v>11</v>
      </c>
      <c r="H103" s="13" t="s">
        <v>285</v>
      </c>
      <c r="I103" s="16">
        <v>520</v>
      </c>
      <c r="J103" s="71">
        <v>50</v>
      </c>
      <c r="K103" s="37">
        <f t="shared" si="2"/>
        <v>26000</v>
      </c>
      <c r="L103" s="63"/>
    </row>
    <row r="104" spans="1:33" ht="24" hidden="1" customHeight="1">
      <c r="A104" s="115">
        <v>1</v>
      </c>
      <c r="B104" s="83" t="s">
        <v>47</v>
      </c>
      <c r="C104" s="84" t="s">
        <v>48</v>
      </c>
      <c r="D104" s="84"/>
      <c r="E104" s="85"/>
      <c r="F104" s="118" t="s">
        <v>287</v>
      </c>
      <c r="G104" s="84" t="s">
        <v>266</v>
      </c>
      <c r="H104" s="82" t="s">
        <v>267</v>
      </c>
      <c r="I104" s="111">
        <v>35</v>
      </c>
      <c r="J104" s="86">
        <v>450</v>
      </c>
      <c r="K104" s="87">
        <f t="shared" si="2"/>
        <v>15750</v>
      </c>
      <c r="L104" s="112"/>
    </row>
    <row r="105" spans="1:33" ht="31.8" customHeight="1">
      <c r="A105" s="96" t="s">
        <v>50</v>
      </c>
      <c r="B105" s="137"/>
      <c r="C105" s="138"/>
      <c r="D105" s="138"/>
      <c r="E105" s="138"/>
      <c r="F105" s="138"/>
      <c r="G105" s="138"/>
      <c r="H105" s="138"/>
      <c r="I105" s="138"/>
      <c r="J105" s="139"/>
      <c r="K105" s="38">
        <f>SUM(K60:K104)</f>
        <v>1357588</v>
      </c>
      <c r="L105" s="17"/>
    </row>
    <row r="106" spans="1:33">
      <c r="A106" s="43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1:33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1:33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33" ht="15" thickBot="1">
      <c r="A109" s="42"/>
      <c r="B109" s="44" t="s">
        <v>34</v>
      </c>
      <c r="C109" s="131" t="s">
        <v>288</v>
      </c>
      <c r="D109" s="131"/>
      <c r="E109" s="131"/>
      <c r="F109" s="131"/>
      <c r="G109" s="43"/>
      <c r="H109" s="128"/>
      <c r="I109" s="128"/>
      <c r="J109" s="43"/>
      <c r="K109" s="42"/>
      <c r="L109" s="42"/>
    </row>
    <row r="110" spans="1:33">
      <c r="A110" s="43"/>
      <c r="B110" s="43"/>
      <c r="C110" s="133" t="s">
        <v>69</v>
      </c>
      <c r="D110" s="133"/>
      <c r="E110" s="133"/>
      <c r="F110" s="133"/>
      <c r="G110" s="43"/>
      <c r="H110" s="134">
        <v>45971</v>
      </c>
      <c r="I110" s="133"/>
      <c r="J110" s="43"/>
      <c r="K110" s="42"/>
      <c r="L110" s="42"/>
    </row>
    <row r="111" spans="1:33" ht="15" thickBot="1">
      <c r="A111" s="43"/>
      <c r="B111" s="45" t="s">
        <v>71</v>
      </c>
      <c r="C111" s="128"/>
      <c r="D111" s="128"/>
      <c r="E111" s="128"/>
      <c r="F111" s="128"/>
      <c r="G111" s="43"/>
      <c r="H111" s="128"/>
      <c r="I111" s="128"/>
      <c r="J111" s="43"/>
      <c r="K111" s="42"/>
      <c r="L111" s="42"/>
    </row>
    <row r="112" spans="1:33">
      <c r="A112" s="43"/>
      <c r="B112" s="43"/>
      <c r="C112" s="133" t="s">
        <v>69</v>
      </c>
      <c r="D112" s="133"/>
      <c r="E112" s="133"/>
      <c r="F112" s="133"/>
      <c r="G112" s="43"/>
      <c r="H112" s="133" t="s">
        <v>70</v>
      </c>
      <c r="I112" s="133"/>
      <c r="J112" s="43"/>
      <c r="K112" s="42"/>
      <c r="L112" s="42"/>
    </row>
    <row r="113" spans="1:3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0"/>
      <c r="L113" s="40"/>
    </row>
    <row r="114" spans="1:33" ht="15" thickBot="1">
      <c r="A114" s="43"/>
      <c r="B114" s="45" t="s">
        <v>289</v>
      </c>
      <c r="C114" s="131" t="s">
        <v>290</v>
      </c>
      <c r="D114" s="131"/>
      <c r="E114" s="131"/>
      <c r="F114" s="131"/>
      <c r="G114" s="43"/>
      <c r="H114" s="128"/>
      <c r="I114" s="128"/>
      <c r="J114" s="43"/>
      <c r="K114" s="40"/>
      <c r="L114" s="40"/>
    </row>
    <row r="115" spans="1:33">
      <c r="A115" s="43"/>
      <c r="B115" s="43"/>
      <c r="C115" s="133" t="s">
        <v>69</v>
      </c>
      <c r="D115" s="133"/>
      <c r="E115" s="133"/>
      <c r="F115" s="133"/>
      <c r="G115" s="43"/>
      <c r="H115" s="134">
        <v>45971</v>
      </c>
      <c r="I115" s="133"/>
      <c r="J115" s="43"/>
      <c r="K115" s="40"/>
      <c r="L115" s="40"/>
    </row>
    <row r="116" spans="1:33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0"/>
      <c r="L116" s="40"/>
    </row>
    <row r="117" spans="1:33" ht="15" thickBot="1">
      <c r="A117" s="43"/>
      <c r="B117" s="45" t="s">
        <v>72</v>
      </c>
      <c r="C117" s="128"/>
      <c r="D117" s="128"/>
      <c r="E117" s="128"/>
      <c r="F117" s="128"/>
      <c r="G117" s="43"/>
      <c r="H117" s="128"/>
      <c r="I117" s="128"/>
      <c r="J117" s="43"/>
      <c r="K117" s="40"/>
      <c r="L117" s="40"/>
    </row>
    <row r="118" spans="1:33">
      <c r="A118" s="43"/>
      <c r="B118" s="43"/>
      <c r="C118" s="133" t="s">
        <v>69</v>
      </c>
      <c r="D118" s="133"/>
      <c r="E118" s="133"/>
      <c r="F118" s="133"/>
      <c r="G118" s="43"/>
      <c r="H118" s="133" t="s">
        <v>70</v>
      </c>
      <c r="I118" s="133"/>
      <c r="J118" s="43"/>
      <c r="K118" s="40"/>
      <c r="L118" s="40"/>
    </row>
    <row r="119" spans="1:33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0"/>
      <c r="L119" s="40"/>
    </row>
    <row r="120" spans="1:33" ht="15" thickBot="1">
      <c r="A120" s="43"/>
      <c r="B120" s="44" t="s">
        <v>73</v>
      </c>
      <c r="C120" s="128"/>
      <c r="D120" s="128"/>
      <c r="E120" s="128"/>
      <c r="F120" s="128"/>
      <c r="G120" s="43"/>
      <c r="H120" s="128"/>
      <c r="I120" s="128"/>
      <c r="J120" s="43"/>
      <c r="K120" s="40"/>
      <c r="L120" s="40"/>
    </row>
    <row r="121" spans="1:33">
      <c r="A121" s="43"/>
      <c r="B121" s="43"/>
      <c r="C121" s="133" t="s">
        <v>69</v>
      </c>
      <c r="D121" s="133"/>
      <c r="E121" s="133"/>
      <c r="F121" s="133"/>
      <c r="G121" s="43"/>
      <c r="H121" s="133" t="s">
        <v>70</v>
      </c>
      <c r="I121" s="133"/>
      <c r="J121" s="43"/>
      <c r="K121" s="40"/>
      <c r="L121" s="40"/>
    </row>
    <row r="122" spans="1:33">
      <c r="A122" s="43"/>
      <c r="B122" s="41"/>
      <c r="C122" s="41"/>
      <c r="D122" s="41"/>
      <c r="E122" s="41"/>
      <c r="F122" s="41"/>
      <c r="G122" s="41"/>
      <c r="H122" s="41"/>
      <c r="I122" s="41"/>
      <c r="J122" s="41"/>
      <c r="K122" s="40"/>
      <c r="L122" s="40"/>
    </row>
    <row r="123" spans="1:33" ht="23.4" customHeight="1">
      <c r="A123" s="41"/>
      <c r="B123" s="42"/>
      <c r="C123" s="42"/>
      <c r="D123" s="42"/>
      <c r="E123" s="42"/>
      <c r="F123" s="42"/>
      <c r="G123" s="42"/>
      <c r="H123" s="42"/>
      <c r="I123" s="42"/>
      <c r="J123" s="42"/>
      <c r="K123" s="40"/>
      <c r="L123" s="40"/>
    </row>
    <row r="124" spans="1:33">
      <c r="A124" s="42"/>
    </row>
    <row r="125" spans="1:33" s="40" customFormat="1">
      <c r="A125"/>
      <c r="B125" s="43"/>
      <c r="C125" s="8" t="s">
        <v>29</v>
      </c>
      <c r="D125" s="8">
        <v>3</v>
      </c>
      <c r="E125" s="43"/>
      <c r="F125" s="43"/>
      <c r="G125" s="9" t="s">
        <v>30</v>
      </c>
      <c r="H125" s="8" t="s">
        <v>31</v>
      </c>
      <c r="I125" s="10">
        <v>45971</v>
      </c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2"/>
      <c r="AB125" s="42"/>
      <c r="AC125" s="42"/>
      <c r="AD125" s="42"/>
      <c r="AE125" s="42"/>
      <c r="AF125" s="42"/>
      <c r="AG125" s="42"/>
    </row>
    <row r="126" spans="1:33" s="40" customFormat="1">
      <c r="A126" s="43"/>
      <c r="B126" s="43"/>
      <c r="C126" s="11"/>
      <c r="D126" s="43"/>
      <c r="E126" s="43"/>
      <c r="F126" s="43"/>
      <c r="G126" s="43"/>
      <c r="H126" s="8" t="s">
        <v>32</v>
      </c>
      <c r="I126" s="10">
        <v>45991</v>
      </c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2"/>
      <c r="AB126" s="42"/>
      <c r="AC126" s="42"/>
      <c r="AD126" s="42"/>
      <c r="AE126" s="42"/>
      <c r="AF126" s="42"/>
      <c r="AG126" s="42"/>
    </row>
    <row r="127" spans="1:33" s="40" customForma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2"/>
      <c r="AB127" s="42"/>
      <c r="AC127" s="42"/>
      <c r="AD127" s="42"/>
      <c r="AE127" s="42"/>
      <c r="AF127" s="42"/>
      <c r="AG127" s="42"/>
    </row>
    <row r="128" spans="1:33" s="40" customFormat="1" ht="27.6">
      <c r="A128" s="43"/>
      <c r="B128" s="43"/>
      <c r="C128" s="8" t="s">
        <v>33</v>
      </c>
      <c r="D128" s="136" t="s">
        <v>217</v>
      </c>
      <c r="E128" s="136"/>
      <c r="F128" s="136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2"/>
      <c r="AB128" s="42"/>
      <c r="AC128" s="42"/>
      <c r="AD128" s="42"/>
      <c r="AE128" s="42"/>
      <c r="AF128" s="42"/>
      <c r="AG128" s="42"/>
    </row>
    <row r="129" spans="1:33" s="40" customForma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2"/>
      <c r="AB129" s="42"/>
      <c r="AC129" s="42"/>
      <c r="AD129" s="42"/>
      <c r="AE129" s="42"/>
      <c r="AF129" s="42"/>
      <c r="AG129" s="42"/>
    </row>
    <row r="130" spans="1:33" s="40" customFormat="1" ht="28.8" customHeight="1">
      <c r="A130" s="43"/>
      <c r="B130" s="43"/>
      <c r="C130" s="8" t="s">
        <v>34</v>
      </c>
      <c r="D130" s="136" t="s">
        <v>218</v>
      </c>
      <c r="E130" s="136"/>
      <c r="F130" s="136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2"/>
      <c r="AB130" s="42"/>
      <c r="AC130" s="42"/>
      <c r="AD130" s="42"/>
      <c r="AE130" s="42"/>
      <c r="AF130" s="42"/>
      <c r="AG130" s="42"/>
    </row>
    <row r="131" spans="1:33" s="40" customForma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2"/>
      <c r="AB131" s="42"/>
      <c r="AC131" s="42"/>
      <c r="AD131" s="42"/>
      <c r="AE131" s="42"/>
      <c r="AF131" s="42"/>
      <c r="AG131" s="42"/>
    </row>
    <row r="132" spans="1:33" s="40" customFormat="1">
      <c r="A132" s="43"/>
      <c r="B132" s="43"/>
      <c r="C132" s="8" t="s">
        <v>35</v>
      </c>
      <c r="D132" s="136" t="s">
        <v>36</v>
      </c>
      <c r="E132" s="136"/>
      <c r="F132" s="136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2"/>
      <c r="AB132" s="42"/>
      <c r="AC132" s="42"/>
      <c r="AD132" s="42"/>
      <c r="AE132" s="42"/>
      <c r="AF132" s="42"/>
      <c r="AG132" s="42"/>
    </row>
    <row r="133" spans="1:33" s="40" customFormat="1">
      <c r="A133" s="43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2"/>
      <c r="AB133" s="42"/>
      <c r="AC133" s="42"/>
      <c r="AD133" s="42"/>
      <c r="AE133" s="42"/>
      <c r="AF133" s="42"/>
      <c r="AG133" s="42"/>
    </row>
    <row r="134" spans="1:33" s="40" customForma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2"/>
      <c r="AB134" s="42"/>
      <c r="AC134" s="42"/>
      <c r="AD134" s="42"/>
      <c r="AE134" s="42"/>
      <c r="AF134" s="42"/>
      <c r="AG134" s="42"/>
    </row>
    <row r="135" spans="1:33" s="40" customFormat="1" ht="46.2" customHeight="1">
      <c r="A135" s="107" t="s">
        <v>37</v>
      </c>
      <c r="B135" s="108" t="s">
        <v>38</v>
      </c>
      <c r="C135" s="108" t="s">
        <v>39</v>
      </c>
      <c r="D135" s="108" t="s">
        <v>320</v>
      </c>
      <c r="E135" s="108" t="s">
        <v>40</v>
      </c>
      <c r="F135" s="108" t="s">
        <v>41</v>
      </c>
      <c r="G135" s="108" t="s">
        <v>2</v>
      </c>
      <c r="H135" s="108" t="s">
        <v>42</v>
      </c>
      <c r="I135" s="108" t="s">
        <v>43</v>
      </c>
      <c r="J135" s="108" t="s">
        <v>44</v>
      </c>
      <c r="K135" s="108" t="s">
        <v>45</v>
      </c>
      <c r="L135" s="109" t="s">
        <v>46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2"/>
      <c r="AB135" s="42"/>
      <c r="AC135" s="42"/>
      <c r="AD135" s="42"/>
      <c r="AE135" s="42"/>
      <c r="AF135" s="42"/>
      <c r="AG135" s="42"/>
    </row>
    <row r="136" spans="1:33" s="40" customFormat="1" ht="26.4">
      <c r="A136" s="114">
        <v>1</v>
      </c>
      <c r="B136" s="47" t="s">
        <v>47</v>
      </c>
      <c r="C136" s="48" t="s">
        <v>48</v>
      </c>
      <c r="D136" s="48" t="s">
        <v>49</v>
      </c>
      <c r="E136" s="39">
        <v>1</v>
      </c>
      <c r="F136" s="48" t="s">
        <v>141</v>
      </c>
      <c r="G136" s="48" t="s">
        <v>278</v>
      </c>
      <c r="H136" s="46" t="s">
        <v>7</v>
      </c>
      <c r="I136" s="49">
        <v>14.4</v>
      </c>
      <c r="J136" s="71">
        <v>195</v>
      </c>
      <c r="K136" s="37">
        <f>J136*I136</f>
        <v>2808</v>
      </c>
      <c r="L136" s="6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2"/>
      <c r="AB136" s="42"/>
      <c r="AC136" s="42"/>
      <c r="AD136" s="42"/>
      <c r="AE136" s="42"/>
      <c r="AF136" s="42"/>
      <c r="AG136" s="42"/>
    </row>
    <row r="137" spans="1:33" s="40" customFormat="1" ht="26.4">
      <c r="A137" s="114">
        <v>2</v>
      </c>
      <c r="B137" s="47" t="s">
        <v>47</v>
      </c>
      <c r="C137" s="48" t="s">
        <v>48</v>
      </c>
      <c r="D137" s="48" t="s">
        <v>49</v>
      </c>
      <c r="E137" s="39">
        <v>1</v>
      </c>
      <c r="F137" s="48" t="s">
        <v>156</v>
      </c>
      <c r="G137" s="48" t="s">
        <v>278</v>
      </c>
      <c r="H137" s="46" t="s">
        <v>7</v>
      </c>
      <c r="I137" s="49">
        <v>47.5</v>
      </c>
      <c r="J137" s="71">
        <v>195</v>
      </c>
      <c r="K137" s="37">
        <f>J137*I137</f>
        <v>9262.5</v>
      </c>
      <c r="L137" s="6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2"/>
      <c r="AB137" s="42"/>
      <c r="AC137" s="42"/>
      <c r="AD137" s="42"/>
      <c r="AE137" s="42"/>
      <c r="AF137" s="42"/>
      <c r="AG137" s="42"/>
    </row>
    <row r="138" spans="1:33" s="40" customFormat="1" ht="26.4">
      <c r="A138" s="114">
        <v>3</v>
      </c>
      <c r="B138" s="47" t="s">
        <v>47</v>
      </c>
      <c r="C138" s="48" t="s">
        <v>48</v>
      </c>
      <c r="D138" s="48" t="s">
        <v>49</v>
      </c>
      <c r="E138" s="39">
        <v>1</v>
      </c>
      <c r="F138" s="48" t="s">
        <v>158</v>
      </c>
      <c r="G138" s="48" t="s">
        <v>278</v>
      </c>
      <c r="H138" s="46" t="s">
        <v>7</v>
      </c>
      <c r="I138" s="49">
        <v>44.3</v>
      </c>
      <c r="J138" s="71">
        <v>195</v>
      </c>
      <c r="K138" s="37">
        <f>J138*I138</f>
        <v>8638.5</v>
      </c>
      <c r="L138" s="6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2"/>
      <c r="AB138" s="42"/>
      <c r="AC138" s="42"/>
      <c r="AD138" s="42"/>
      <c r="AE138" s="42"/>
      <c r="AF138" s="42"/>
      <c r="AG138" s="42"/>
    </row>
    <row r="139" spans="1:33" s="40" customFormat="1" ht="26.4">
      <c r="A139" s="114">
        <v>4</v>
      </c>
      <c r="B139" s="47" t="s">
        <v>47</v>
      </c>
      <c r="C139" s="48" t="s">
        <v>48</v>
      </c>
      <c r="D139" s="48" t="s">
        <v>49</v>
      </c>
      <c r="E139" s="39">
        <v>1</v>
      </c>
      <c r="F139" s="48" t="s">
        <v>145</v>
      </c>
      <c r="G139" s="48" t="s">
        <v>278</v>
      </c>
      <c r="H139" s="46" t="s">
        <v>7</v>
      </c>
      <c r="I139" s="49">
        <v>9.1</v>
      </c>
      <c r="J139" s="71">
        <v>195</v>
      </c>
      <c r="K139" s="37">
        <f>J139*I139</f>
        <v>1774.5</v>
      </c>
      <c r="L139" s="6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2"/>
      <c r="AB139" s="42"/>
      <c r="AC139" s="42"/>
      <c r="AD139" s="42"/>
      <c r="AE139" s="42"/>
      <c r="AF139" s="42"/>
      <c r="AG139" s="42"/>
    </row>
    <row r="140" spans="1:33" s="40" customFormat="1" ht="26.4">
      <c r="A140" s="114">
        <v>5</v>
      </c>
      <c r="B140" s="47" t="s">
        <v>47</v>
      </c>
      <c r="C140" s="48" t="s">
        <v>48</v>
      </c>
      <c r="D140" s="48" t="s">
        <v>49</v>
      </c>
      <c r="E140" s="39">
        <v>1</v>
      </c>
      <c r="F140" s="48" t="s">
        <v>155</v>
      </c>
      <c r="G140" s="48" t="s">
        <v>278</v>
      </c>
      <c r="H140" s="46" t="s">
        <v>7</v>
      </c>
      <c r="I140" s="49">
        <v>11</v>
      </c>
      <c r="J140" s="71">
        <v>195</v>
      </c>
      <c r="K140" s="37">
        <f>J140*I140</f>
        <v>2145</v>
      </c>
      <c r="L140" s="6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2"/>
      <c r="AB140" s="42"/>
      <c r="AC140" s="42"/>
      <c r="AD140" s="42"/>
      <c r="AE140" s="42"/>
      <c r="AF140" s="42"/>
      <c r="AG140" s="42"/>
    </row>
    <row r="141" spans="1:33" s="40" customFormat="1" ht="26.4">
      <c r="A141" s="114">
        <v>6</v>
      </c>
      <c r="B141" s="47" t="s">
        <v>47</v>
      </c>
      <c r="C141" s="48" t="s">
        <v>48</v>
      </c>
      <c r="D141" s="48" t="s">
        <v>49</v>
      </c>
      <c r="E141" s="39">
        <v>1</v>
      </c>
      <c r="F141" s="48" t="s">
        <v>88</v>
      </c>
      <c r="G141" s="48" t="s">
        <v>278</v>
      </c>
      <c r="H141" s="46" t="s">
        <v>7</v>
      </c>
      <c r="I141" s="49">
        <v>14</v>
      </c>
      <c r="J141" s="71">
        <v>195</v>
      </c>
      <c r="K141" s="37">
        <f t="shared" ref="K141:K204" si="3">J141*I141</f>
        <v>2730</v>
      </c>
      <c r="L141" s="6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2"/>
      <c r="AB141" s="42"/>
      <c r="AC141" s="42"/>
      <c r="AD141" s="42"/>
      <c r="AE141" s="42"/>
      <c r="AF141" s="42"/>
      <c r="AG141" s="42"/>
    </row>
    <row r="142" spans="1:33" s="40" customFormat="1" ht="26.4">
      <c r="A142" s="114">
        <v>7</v>
      </c>
      <c r="B142" s="47" t="s">
        <v>47</v>
      </c>
      <c r="C142" s="48" t="s">
        <v>48</v>
      </c>
      <c r="D142" s="48" t="s">
        <v>49</v>
      </c>
      <c r="E142" s="39">
        <v>1</v>
      </c>
      <c r="F142" s="48" t="s">
        <v>100</v>
      </c>
      <c r="G142" s="48" t="s">
        <v>278</v>
      </c>
      <c r="H142" s="46" t="s">
        <v>7</v>
      </c>
      <c r="I142" s="49">
        <v>3.9</v>
      </c>
      <c r="J142" s="71">
        <v>195</v>
      </c>
      <c r="K142" s="37">
        <f t="shared" si="3"/>
        <v>760.5</v>
      </c>
      <c r="L142" s="6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2"/>
      <c r="AB142" s="42"/>
      <c r="AC142" s="42"/>
      <c r="AD142" s="42"/>
      <c r="AE142" s="42"/>
      <c r="AF142" s="42"/>
      <c r="AG142" s="42"/>
    </row>
    <row r="143" spans="1:33" s="40" customFormat="1" ht="26.4">
      <c r="A143" s="114">
        <v>8</v>
      </c>
      <c r="B143" s="47" t="s">
        <v>47</v>
      </c>
      <c r="C143" s="48" t="s">
        <v>48</v>
      </c>
      <c r="D143" s="48" t="s">
        <v>49</v>
      </c>
      <c r="E143" s="39">
        <v>1</v>
      </c>
      <c r="F143" s="48" t="s">
        <v>106</v>
      </c>
      <c r="G143" s="48" t="s">
        <v>278</v>
      </c>
      <c r="H143" s="46" t="s">
        <v>7</v>
      </c>
      <c r="I143" s="49">
        <v>6.6</v>
      </c>
      <c r="J143" s="71">
        <v>195</v>
      </c>
      <c r="K143" s="37">
        <f t="shared" si="3"/>
        <v>1287</v>
      </c>
      <c r="L143" s="6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2"/>
      <c r="AB143" s="42"/>
      <c r="AC143" s="42"/>
      <c r="AD143" s="42"/>
      <c r="AE143" s="42"/>
      <c r="AF143" s="42"/>
      <c r="AG143" s="42"/>
    </row>
    <row r="144" spans="1:33" s="40" customFormat="1" ht="26.4">
      <c r="A144" s="114">
        <v>9</v>
      </c>
      <c r="B144" s="47" t="s">
        <v>47</v>
      </c>
      <c r="C144" s="48" t="s">
        <v>48</v>
      </c>
      <c r="D144" s="48" t="s">
        <v>49</v>
      </c>
      <c r="E144" s="39">
        <v>1</v>
      </c>
      <c r="F144" s="48" t="s">
        <v>116</v>
      </c>
      <c r="G144" s="48" t="s">
        <v>278</v>
      </c>
      <c r="H144" s="46" t="s">
        <v>7</v>
      </c>
      <c r="I144" s="49">
        <v>20</v>
      </c>
      <c r="J144" s="71">
        <v>195</v>
      </c>
      <c r="K144" s="37">
        <f t="shared" si="3"/>
        <v>3900</v>
      </c>
      <c r="L144" s="6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2"/>
      <c r="AB144" s="42"/>
      <c r="AC144" s="42"/>
      <c r="AD144" s="42"/>
      <c r="AE144" s="42"/>
      <c r="AF144" s="42"/>
      <c r="AG144" s="42"/>
    </row>
    <row r="145" spans="1:33" s="40" customFormat="1" ht="26.4">
      <c r="A145" s="114">
        <v>10</v>
      </c>
      <c r="B145" s="47" t="s">
        <v>47</v>
      </c>
      <c r="C145" s="48" t="s">
        <v>48</v>
      </c>
      <c r="D145" s="48" t="s">
        <v>49</v>
      </c>
      <c r="E145" s="39">
        <v>1</v>
      </c>
      <c r="F145" s="48" t="s">
        <v>144</v>
      </c>
      <c r="G145" s="48" t="s">
        <v>278</v>
      </c>
      <c r="H145" s="46" t="s">
        <v>7</v>
      </c>
      <c r="I145" s="49">
        <v>6.6</v>
      </c>
      <c r="J145" s="71">
        <v>195</v>
      </c>
      <c r="K145" s="37">
        <f t="shared" si="3"/>
        <v>1287</v>
      </c>
      <c r="L145" s="6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2"/>
      <c r="AB145" s="42"/>
      <c r="AC145" s="42"/>
      <c r="AD145" s="42"/>
      <c r="AE145" s="42"/>
      <c r="AF145" s="42"/>
      <c r="AG145" s="42"/>
    </row>
    <row r="146" spans="1:33" s="40" customFormat="1" ht="26.4">
      <c r="A146" s="114">
        <v>11</v>
      </c>
      <c r="B146" s="47" t="s">
        <v>47</v>
      </c>
      <c r="C146" s="48" t="s">
        <v>48</v>
      </c>
      <c r="D146" s="48" t="s">
        <v>49</v>
      </c>
      <c r="E146" s="39">
        <v>1</v>
      </c>
      <c r="F146" s="48" t="s">
        <v>150</v>
      </c>
      <c r="G146" s="48" t="s">
        <v>278</v>
      </c>
      <c r="H146" s="46" t="s">
        <v>7</v>
      </c>
      <c r="I146" s="49">
        <v>6.6</v>
      </c>
      <c r="J146" s="71">
        <v>195</v>
      </c>
      <c r="K146" s="37">
        <f t="shared" si="3"/>
        <v>1287</v>
      </c>
      <c r="L146" s="6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2"/>
      <c r="AB146" s="42"/>
      <c r="AC146" s="42"/>
      <c r="AD146" s="42"/>
      <c r="AE146" s="42"/>
      <c r="AF146" s="42"/>
      <c r="AG146" s="42"/>
    </row>
    <row r="147" spans="1:33" s="40" customFormat="1" ht="26.4">
      <c r="A147" s="114">
        <v>12</v>
      </c>
      <c r="B147" s="47" t="s">
        <v>47</v>
      </c>
      <c r="C147" s="48" t="s">
        <v>48</v>
      </c>
      <c r="D147" s="48" t="s">
        <v>49</v>
      </c>
      <c r="E147" s="39">
        <v>2</v>
      </c>
      <c r="F147" s="48" t="s">
        <v>214</v>
      </c>
      <c r="G147" s="48" t="s">
        <v>278</v>
      </c>
      <c r="H147" s="46" t="s">
        <v>7</v>
      </c>
      <c r="I147" s="49">
        <v>19.600000000000001</v>
      </c>
      <c r="J147" s="71">
        <v>195</v>
      </c>
      <c r="K147" s="37">
        <f t="shared" si="3"/>
        <v>3822.0000000000005</v>
      </c>
      <c r="L147" s="6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2"/>
      <c r="AB147" s="42"/>
      <c r="AC147" s="42"/>
      <c r="AD147" s="42"/>
      <c r="AE147" s="42"/>
      <c r="AF147" s="42"/>
      <c r="AG147" s="42"/>
    </row>
    <row r="148" spans="1:33" s="40" customFormat="1" ht="26.4">
      <c r="A148" s="114">
        <v>13</v>
      </c>
      <c r="B148" s="47" t="s">
        <v>47</v>
      </c>
      <c r="C148" s="48" t="s">
        <v>48</v>
      </c>
      <c r="D148" s="48" t="s">
        <v>49</v>
      </c>
      <c r="E148" s="39">
        <v>2</v>
      </c>
      <c r="F148" s="48" t="s">
        <v>208</v>
      </c>
      <c r="G148" s="48" t="s">
        <v>278</v>
      </c>
      <c r="H148" s="46" t="s">
        <v>7</v>
      </c>
      <c r="I148" s="49">
        <v>38</v>
      </c>
      <c r="J148" s="71">
        <v>195</v>
      </c>
      <c r="K148" s="37">
        <f t="shared" si="3"/>
        <v>7410</v>
      </c>
      <c r="L148" s="6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2"/>
      <c r="AB148" s="42"/>
      <c r="AC148" s="42"/>
      <c r="AD148" s="42"/>
      <c r="AE148" s="42"/>
      <c r="AF148" s="42"/>
      <c r="AG148" s="42"/>
    </row>
    <row r="149" spans="1:33" s="40" customFormat="1" ht="26.4">
      <c r="A149" s="114">
        <v>14</v>
      </c>
      <c r="B149" s="47" t="s">
        <v>47</v>
      </c>
      <c r="C149" s="48" t="s">
        <v>48</v>
      </c>
      <c r="D149" s="48" t="s">
        <v>49</v>
      </c>
      <c r="E149" s="39">
        <v>2</v>
      </c>
      <c r="F149" s="48" t="s">
        <v>197</v>
      </c>
      <c r="G149" s="48" t="s">
        <v>278</v>
      </c>
      <c r="H149" s="46" t="s">
        <v>7</v>
      </c>
      <c r="I149" s="49">
        <v>40</v>
      </c>
      <c r="J149" s="71">
        <v>195</v>
      </c>
      <c r="K149" s="37">
        <f t="shared" si="3"/>
        <v>7800</v>
      </c>
      <c r="L149" s="6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2"/>
      <c r="AB149" s="42"/>
      <c r="AC149" s="42"/>
      <c r="AD149" s="42"/>
      <c r="AE149" s="42"/>
      <c r="AF149" s="42"/>
      <c r="AG149" s="42"/>
    </row>
    <row r="150" spans="1:33" s="40" customFormat="1" ht="26.4">
      <c r="A150" s="114">
        <v>15</v>
      </c>
      <c r="B150" s="47" t="s">
        <v>47</v>
      </c>
      <c r="C150" s="48" t="s">
        <v>48</v>
      </c>
      <c r="D150" s="48" t="s">
        <v>49</v>
      </c>
      <c r="E150" s="39">
        <v>2</v>
      </c>
      <c r="F150" s="48" t="s">
        <v>204</v>
      </c>
      <c r="G150" s="48" t="s">
        <v>278</v>
      </c>
      <c r="H150" s="46" t="s">
        <v>7</v>
      </c>
      <c r="I150" s="49">
        <v>40</v>
      </c>
      <c r="J150" s="71">
        <v>195</v>
      </c>
      <c r="K150" s="37">
        <f t="shared" si="3"/>
        <v>7800</v>
      </c>
      <c r="L150" s="6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2"/>
      <c r="AB150" s="42"/>
      <c r="AC150" s="42"/>
      <c r="AD150" s="42"/>
      <c r="AE150" s="42"/>
      <c r="AF150" s="42"/>
      <c r="AG150" s="42"/>
    </row>
    <row r="151" spans="1:33" s="40" customFormat="1" ht="26.4">
      <c r="A151" s="114">
        <v>16</v>
      </c>
      <c r="B151" s="47" t="s">
        <v>47</v>
      </c>
      <c r="C151" s="48" t="s">
        <v>48</v>
      </c>
      <c r="D151" s="48" t="s">
        <v>49</v>
      </c>
      <c r="E151" s="39">
        <v>2</v>
      </c>
      <c r="F151" s="48" t="s">
        <v>199</v>
      </c>
      <c r="G151" s="48" t="s">
        <v>278</v>
      </c>
      <c r="H151" s="46" t="s">
        <v>7</v>
      </c>
      <c r="I151" s="49">
        <v>0.9</v>
      </c>
      <c r="J151" s="71">
        <v>195</v>
      </c>
      <c r="K151" s="37">
        <f t="shared" si="3"/>
        <v>175.5</v>
      </c>
      <c r="L151" s="6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2"/>
      <c r="AB151" s="42"/>
      <c r="AC151" s="42"/>
      <c r="AD151" s="42"/>
      <c r="AE151" s="42"/>
      <c r="AF151" s="42"/>
      <c r="AG151" s="42"/>
    </row>
    <row r="152" spans="1:33" s="40" customFormat="1" ht="39.6">
      <c r="A152" s="114">
        <v>17</v>
      </c>
      <c r="B152" s="47" t="s">
        <v>47</v>
      </c>
      <c r="C152" s="48" t="s">
        <v>48</v>
      </c>
      <c r="D152" s="48" t="s">
        <v>49</v>
      </c>
      <c r="E152" s="39">
        <v>2</v>
      </c>
      <c r="F152" s="48" t="s">
        <v>272</v>
      </c>
      <c r="G152" s="48" t="s">
        <v>278</v>
      </c>
      <c r="H152" s="46" t="s">
        <v>7</v>
      </c>
      <c r="I152" s="49">
        <v>10.5</v>
      </c>
      <c r="J152" s="71">
        <v>195</v>
      </c>
      <c r="K152" s="37">
        <f t="shared" si="3"/>
        <v>2047.5</v>
      </c>
      <c r="L152" s="6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2"/>
      <c r="AB152" s="42"/>
      <c r="AC152" s="42"/>
      <c r="AD152" s="42"/>
      <c r="AE152" s="42"/>
      <c r="AF152" s="42"/>
      <c r="AG152" s="42"/>
    </row>
    <row r="153" spans="1:33" s="40" customFormat="1" ht="26.4">
      <c r="A153" s="114">
        <v>18</v>
      </c>
      <c r="B153" s="47" t="s">
        <v>47</v>
      </c>
      <c r="C153" s="48" t="s">
        <v>48</v>
      </c>
      <c r="D153" s="48" t="s">
        <v>49</v>
      </c>
      <c r="E153" s="39">
        <v>2</v>
      </c>
      <c r="F153" s="48" t="s">
        <v>194</v>
      </c>
      <c r="G153" s="48" t="s">
        <v>278</v>
      </c>
      <c r="H153" s="46" t="s">
        <v>7</v>
      </c>
      <c r="I153" s="49">
        <v>16.5</v>
      </c>
      <c r="J153" s="71">
        <v>195</v>
      </c>
      <c r="K153" s="37">
        <f t="shared" si="3"/>
        <v>3217.5</v>
      </c>
      <c r="L153" s="6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2"/>
      <c r="AB153" s="42"/>
      <c r="AC153" s="42"/>
      <c r="AD153" s="42"/>
      <c r="AE153" s="42"/>
      <c r="AF153" s="42"/>
      <c r="AG153" s="42"/>
    </row>
    <row r="154" spans="1:33" s="40" customFormat="1" ht="26.4">
      <c r="A154" s="114">
        <v>19</v>
      </c>
      <c r="B154" s="47" t="s">
        <v>47</v>
      </c>
      <c r="C154" s="48" t="s">
        <v>48</v>
      </c>
      <c r="D154" s="48" t="s">
        <v>49</v>
      </c>
      <c r="E154" s="39">
        <v>2</v>
      </c>
      <c r="F154" s="48" t="s">
        <v>196</v>
      </c>
      <c r="G154" s="48" t="s">
        <v>278</v>
      </c>
      <c r="H154" s="46" t="s">
        <v>7</v>
      </c>
      <c r="I154" s="49">
        <v>39</v>
      </c>
      <c r="J154" s="71">
        <v>195</v>
      </c>
      <c r="K154" s="37">
        <f t="shared" si="3"/>
        <v>7605</v>
      </c>
      <c r="L154" s="6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2"/>
      <c r="AB154" s="42"/>
      <c r="AC154" s="42"/>
      <c r="AD154" s="42"/>
      <c r="AE154" s="42"/>
      <c r="AF154" s="42"/>
      <c r="AG154" s="42"/>
    </row>
    <row r="155" spans="1:33" s="40" customFormat="1" ht="26.4">
      <c r="A155" s="114">
        <v>20</v>
      </c>
      <c r="B155" s="47" t="s">
        <v>47</v>
      </c>
      <c r="C155" s="48" t="s">
        <v>48</v>
      </c>
      <c r="D155" s="48" t="s">
        <v>49</v>
      </c>
      <c r="E155" s="39">
        <v>2</v>
      </c>
      <c r="F155" s="48" t="s">
        <v>201</v>
      </c>
      <c r="G155" s="48" t="s">
        <v>278</v>
      </c>
      <c r="H155" s="46" t="s">
        <v>7</v>
      </c>
      <c r="I155" s="49">
        <v>18</v>
      </c>
      <c r="J155" s="71">
        <v>195</v>
      </c>
      <c r="K155" s="37">
        <f t="shared" si="3"/>
        <v>3510</v>
      </c>
      <c r="L155" s="6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2"/>
      <c r="AB155" s="42"/>
      <c r="AC155" s="42"/>
      <c r="AD155" s="42"/>
      <c r="AE155" s="42"/>
      <c r="AF155" s="42"/>
      <c r="AG155" s="42"/>
    </row>
    <row r="156" spans="1:33" s="40" customFormat="1" ht="26.4">
      <c r="A156" s="114">
        <v>21</v>
      </c>
      <c r="B156" s="47" t="s">
        <v>47</v>
      </c>
      <c r="C156" s="48" t="s">
        <v>48</v>
      </c>
      <c r="D156" s="48" t="s">
        <v>49</v>
      </c>
      <c r="E156" s="39">
        <v>2</v>
      </c>
      <c r="F156" s="48" t="s">
        <v>200</v>
      </c>
      <c r="G156" s="48" t="s">
        <v>278</v>
      </c>
      <c r="H156" s="46" t="s">
        <v>7</v>
      </c>
      <c r="I156" s="49">
        <v>15</v>
      </c>
      <c r="J156" s="71">
        <v>195</v>
      </c>
      <c r="K156" s="37">
        <f t="shared" si="3"/>
        <v>2925</v>
      </c>
      <c r="L156" s="6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2"/>
      <c r="AB156" s="42"/>
      <c r="AC156" s="42"/>
      <c r="AD156" s="42"/>
      <c r="AE156" s="42"/>
      <c r="AF156" s="42"/>
      <c r="AG156" s="42"/>
    </row>
    <row r="157" spans="1:33" s="40" customFormat="1" ht="39.6">
      <c r="A157" s="114">
        <v>22</v>
      </c>
      <c r="B157" s="47" t="s">
        <v>47</v>
      </c>
      <c r="C157" s="48" t="s">
        <v>48</v>
      </c>
      <c r="D157" s="48" t="s">
        <v>49</v>
      </c>
      <c r="E157" s="39">
        <v>1</v>
      </c>
      <c r="F157" s="48" t="s">
        <v>156</v>
      </c>
      <c r="G157" s="48" t="s">
        <v>6</v>
      </c>
      <c r="H157" s="46" t="s">
        <v>7</v>
      </c>
      <c r="I157" s="49">
        <v>30.5</v>
      </c>
      <c r="J157" s="72">
        <v>585</v>
      </c>
      <c r="K157" s="37">
        <f t="shared" si="3"/>
        <v>17842.5</v>
      </c>
      <c r="L157" s="6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2"/>
      <c r="AB157" s="42"/>
      <c r="AC157" s="42"/>
      <c r="AD157" s="42"/>
      <c r="AE157" s="42"/>
      <c r="AF157" s="42"/>
      <c r="AG157" s="42"/>
    </row>
    <row r="158" spans="1:33" s="40" customFormat="1" ht="39.6">
      <c r="A158" s="114">
        <v>23</v>
      </c>
      <c r="B158" s="47" t="s">
        <v>60</v>
      </c>
      <c r="C158" s="48" t="s">
        <v>48</v>
      </c>
      <c r="D158" s="48" t="s">
        <v>49</v>
      </c>
      <c r="E158" s="39">
        <v>1</v>
      </c>
      <c r="F158" s="48" t="s">
        <v>157</v>
      </c>
      <c r="G158" s="48" t="s">
        <v>6</v>
      </c>
      <c r="H158" s="46" t="s">
        <v>7</v>
      </c>
      <c r="I158" s="49">
        <v>44.3</v>
      </c>
      <c r="J158" s="72">
        <v>585</v>
      </c>
      <c r="K158" s="37">
        <f t="shared" si="3"/>
        <v>25915.5</v>
      </c>
      <c r="L158" s="6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2"/>
      <c r="AB158" s="42"/>
      <c r="AC158" s="42"/>
      <c r="AD158" s="42"/>
      <c r="AE158" s="42"/>
      <c r="AF158" s="42"/>
      <c r="AG158" s="42"/>
    </row>
    <row r="159" spans="1:33" s="40" customFormat="1" ht="39.6">
      <c r="A159" s="114">
        <v>24</v>
      </c>
      <c r="B159" s="47" t="s">
        <v>47</v>
      </c>
      <c r="C159" s="48" t="s">
        <v>48</v>
      </c>
      <c r="D159" s="48" t="s">
        <v>49</v>
      </c>
      <c r="E159" s="39">
        <v>1</v>
      </c>
      <c r="F159" s="48" t="s">
        <v>145</v>
      </c>
      <c r="G159" s="48" t="s">
        <v>6</v>
      </c>
      <c r="H159" s="46" t="s">
        <v>7</v>
      </c>
      <c r="I159" s="49">
        <v>9.1</v>
      </c>
      <c r="J159" s="72">
        <v>585</v>
      </c>
      <c r="K159" s="37">
        <f t="shared" si="3"/>
        <v>5323.5</v>
      </c>
      <c r="L159" s="6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2"/>
      <c r="AB159" s="42"/>
      <c r="AC159" s="42"/>
      <c r="AD159" s="42"/>
      <c r="AE159" s="42"/>
      <c r="AF159" s="42"/>
      <c r="AG159" s="42"/>
    </row>
    <row r="160" spans="1:33" s="40" customFormat="1" ht="39.6">
      <c r="A160" s="114">
        <v>25</v>
      </c>
      <c r="B160" s="47" t="s">
        <v>47</v>
      </c>
      <c r="C160" s="48" t="s">
        <v>48</v>
      </c>
      <c r="D160" s="48" t="s">
        <v>49</v>
      </c>
      <c r="E160" s="39">
        <v>1</v>
      </c>
      <c r="F160" s="48" t="s">
        <v>100</v>
      </c>
      <c r="G160" s="48" t="s">
        <v>6</v>
      </c>
      <c r="H160" s="46" t="s">
        <v>7</v>
      </c>
      <c r="I160" s="49">
        <v>15.4</v>
      </c>
      <c r="J160" s="72">
        <v>585</v>
      </c>
      <c r="K160" s="37">
        <f t="shared" si="3"/>
        <v>9009</v>
      </c>
      <c r="L160" s="6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2"/>
      <c r="AB160" s="42"/>
      <c r="AC160" s="42"/>
      <c r="AD160" s="42"/>
      <c r="AE160" s="42"/>
      <c r="AF160" s="42"/>
      <c r="AG160" s="42"/>
    </row>
    <row r="161" spans="1:33" s="40" customFormat="1" ht="39.6">
      <c r="A161" s="114">
        <v>26</v>
      </c>
      <c r="B161" s="47" t="s">
        <v>47</v>
      </c>
      <c r="C161" s="48" t="s">
        <v>48</v>
      </c>
      <c r="D161" s="48" t="s">
        <v>49</v>
      </c>
      <c r="E161" s="39">
        <v>1</v>
      </c>
      <c r="F161" s="48" t="s">
        <v>88</v>
      </c>
      <c r="G161" s="48" t="s">
        <v>6</v>
      </c>
      <c r="H161" s="46" t="s">
        <v>7</v>
      </c>
      <c r="I161" s="49">
        <v>14</v>
      </c>
      <c r="J161" s="72">
        <v>585</v>
      </c>
      <c r="K161" s="37">
        <f t="shared" si="3"/>
        <v>8190</v>
      </c>
      <c r="L161" s="6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2"/>
      <c r="AB161" s="42"/>
      <c r="AC161" s="42"/>
      <c r="AD161" s="42"/>
      <c r="AE161" s="42"/>
      <c r="AF161" s="42"/>
      <c r="AG161" s="42"/>
    </row>
    <row r="162" spans="1:33" s="40" customFormat="1" ht="39.6">
      <c r="A162" s="114">
        <v>27</v>
      </c>
      <c r="B162" s="47" t="s">
        <v>47</v>
      </c>
      <c r="C162" s="48" t="s">
        <v>48</v>
      </c>
      <c r="D162" s="48" t="s">
        <v>49</v>
      </c>
      <c r="E162" s="39">
        <v>1</v>
      </c>
      <c r="F162" s="48" t="s">
        <v>99</v>
      </c>
      <c r="G162" s="48" t="s">
        <v>6</v>
      </c>
      <c r="H162" s="46" t="s">
        <v>7</v>
      </c>
      <c r="I162" s="49">
        <v>3.9</v>
      </c>
      <c r="J162" s="72">
        <v>585</v>
      </c>
      <c r="K162" s="37">
        <f t="shared" si="3"/>
        <v>2281.5</v>
      </c>
      <c r="L162" s="6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2"/>
      <c r="AB162" s="42"/>
      <c r="AC162" s="42"/>
      <c r="AD162" s="42"/>
      <c r="AE162" s="42"/>
      <c r="AF162" s="42"/>
      <c r="AG162" s="42"/>
    </row>
    <row r="163" spans="1:33" s="40" customFormat="1" ht="39.6">
      <c r="A163" s="114">
        <v>28</v>
      </c>
      <c r="B163" s="47" t="s">
        <v>47</v>
      </c>
      <c r="C163" s="48" t="s">
        <v>48</v>
      </c>
      <c r="D163" s="48" t="s">
        <v>49</v>
      </c>
      <c r="E163" s="39">
        <v>1</v>
      </c>
      <c r="F163" s="48" t="s">
        <v>106</v>
      </c>
      <c r="G163" s="48" t="s">
        <v>6</v>
      </c>
      <c r="H163" s="46" t="s">
        <v>7</v>
      </c>
      <c r="I163" s="49">
        <v>13.2</v>
      </c>
      <c r="J163" s="72">
        <v>585</v>
      </c>
      <c r="K163" s="37">
        <f t="shared" si="3"/>
        <v>7722</v>
      </c>
      <c r="L163" s="6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2"/>
      <c r="AB163" s="42"/>
      <c r="AC163" s="42"/>
      <c r="AD163" s="42"/>
      <c r="AE163" s="42"/>
      <c r="AF163" s="42"/>
      <c r="AG163" s="42"/>
    </row>
    <row r="164" spans="1:33" s="40" customFormat="1" ht="39.6">
      <c r="A164" s="114">
        <v>29</v>
      </c>
      <c r="B164" s="47" t="s">
        <v>47</v>
      </c>
      <c r="C164" s="48" t="s">
        <v>48</v>
      </c>
      <c r="D164" s="48" t="s">
        <v>49</v>
      </c>
      <c r="E164" s="39">
        <v>1</v>
      </c>
      <c r="F164" s="48" t="s">
        <v>116</v>
      </c>
      <c r="G164" s="48" t="s">
        <v>6</v>
      </c>
      <c r="H164" s="46" t="s">
        <v>7</v>
      </c>
      <c r="I164" s="49">
        <v>40.5</v>
      </c>
      <c r="J164" s="72">
        <v>585</v>
      </c>
      <c r="K164" s="37">
        <f t="shared" si="3"/>
        <v>23692.5</v>
      </c>
      <c r="L164" s="6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2"/>
      <c r="AB164" s="42"/>
      <c r="AC164" s="42"/>
      <c r="AD164" s="42"/>
      <c r="AE164" s="42"/>
      <c r="AF164" s="42"/>
      <c r="AG164" s="42"/>
    </row>
    <row r="165" spans="1:33" s="40" customFormat="1" ht="39.6">
      <c r="A165" s="114">
        <v>30</v>
      </c>
      <c r="B165" s="47" t="s">
        <v>47</v>
      </c>
      <c r="C165" s="48" t="s">
        <v>48</v>
      </c>
      <c r="D165" s="48" t="s">
        <v>49</v>
      </c>
      <c r="E165" s="39">
        <v>1</v>
      </c>
      <c r="F165" s="48" t="s">
        <v>154</v>
      </c>
      <c r="G165" s="48" t="s">
        <v>6</v>
      </c>
      <c r="H165" s="46" t="s">
        <v>7</v>
      </c>
      <c r="I165" s="49">
        <v>19</v>
      </c>
      <c r="J165" s="72">
        <v>585</v>
      </c>
      <c r="K165" s="37">
        <f t="shared" si="3"/>
        <v>11115</v>
      </c>
      <c r="L165" s="6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2"/>
      <c r="AB165" s="42"/>
      <c r="AC165" s="42"/>
      <c r="AD165" s="42"/>
      <c r="AE165" s="42"/>
      <c r="AF165" s="42"/>
      <c r="AG165" s="42"/>
    </row>
    <row r="166" spans="1:33" s="40" customFormat="1" ht="39.6">
      <c r="A166" s="114">
        <v>31</v>
      </c>
      <c r="B166" s="47" t="s">
        <v>47</v>
      </c>
      <c r="C166" s="48" t="s">
        <v>48</v>
      </c>
      <c r="D166" s="48" t="s">
        <v>49</v>
      </c>
      <c r="E166" s="39">
        <v>1</v>
      </c>
      <c r="F166" s="48" t="s">
        <v>144</v>
      </c>
      <c r="G166" s="48" t="s">
        <v>6</v>
      </c>
      <c r="H166" s="46" t="s">
        <v>7</v>
      </c>
      <c r="I166" s="49">
        <v>14.5</v>
      </c>
      <c r="J166" s="72">
        <v>585</v>
      </c>
      <c r="K166" s="37">
        <f t="shared" si="3"/>
        <v>8482.5</v>
      </c>
      <c r="L166" s="6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2"/>
      <c r="AB166" s="42"/>
      <c r="AC166" s="42"/>
      <c r="AD166" s="42"/>
      <c r="AE166" s="42"/>
      <c r="AF166" s="42"/>
      <c r="AG166" s="42"/>
    </row>
    <row r="167" spans="1:33" s="40" customFormat="1" ht="39.6">
      <c r="A167" s="114">
        <v>32</v>
      </c>
      <c r="B167" s="47" t="s">
        <v>47</v>
      </c>
      <c r="C167" s="48" t="s">
        <v>48</v>
      </c>
      <c r="D167" s="48" t="s">
        <v>49</v>
      </c>
      <c r="E167" s="39">
        <v>2</v>
      </c>
      <c r="F167" s="48" t="s">
        <v>208</v>
      </c>
      <c r="G167" s="48" t="s">
        <v>6</v>
      </c>
      <c r="H167" s="46" t="s">
        <v>7</v>
      </c>
      <c r="I167" s="49">
        <v>38</v>
      </c>
      <c r="J167" s="72">
        <v>585</v>
      </c>
      <c r="K167" s="37">
        <f t="shared" si="3"/>
        <v>22230</v>
      </c>
      <c r="L167" s="6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2"/>
      <c r="AB167" s="42"/>
      <c r="AC167" s="42"/>
      <c r="AD167" s="42"/>
      <c r="AE167" s="42"/>
      <c r="AF167" s="42"/>
      <c r="AG167" s="42"/>
    </row>
    <row r="168" spans="1:33" s="40" customFormat="1" ht="39.6">
      <c r="A168" s="114">
        <v>33</v>
      </c>
      <c r="B168" s="47" t="s">
        <v>47</v>
      </c>
      <c r="C168" s="48" t="s">
        <v>48</v>
      </c>
      <c r="D168" s="48" t="s">
        <v>49</v>
      </c>
      <c r="E168" s="39">
        <v>2</v>
      </c>
      <c r="F168" s="48" t="s">
        <v>197</v>
      </c>
      <c r="G168" s="48" t="s">
        <v>6</v>
      </c>
      <c r="H168" s="46" t="s">
        <v>7</v>
      </c>
      <c r="I168" s="49">
        <v>80.5</v>
      </c>
      <c r="J168" s="72">
        <v>585</v>
      </c>
      <c r="K168" s="37">
        <f t="shared" si="3"/>
        <v>47092.5</v>
      </c>
      <c r="L168" s="63"/>
      <c r="M168" s="41"/>
      <c r="N168" s="41"/>
      <c r="O168" s="41"/>
      <c r="P168" s="41"/>
      <c r="Q168" s="41"/>
      <c r="R168" s="43"/>
      <c r="S168" s="43"/>
      <c r="T168" s="43"/>
      <c r="U168" s="43"/>
      <c r="V168" s="43"/>
      <c r="W168" s="43"/>
      <c r="X168" s="43"/>
      <c r="Y168" s="43"/>
      <c r="Z168" s="43"/>
      <c r="AA168" s="42"/>
      <c r="AB168" s="42"/>
      <c r="AC168" s="42"/>
      <c r="AD168" s="42"/>
      <c r="AE168" s="42"/>
      <c r="AF168" s="42"/>
      <c r="AG168" s="42"/>
    </row>
    <row r="169" spans="1:33" s="40" customFormat="1" ht="39.6">
      <c r="A169" s="114">
        <v>34</v>
      </c>
      <c r="B169" s="47" t="s">
        <v>47</v>
      </c>
      <c r="C169" s="48" t="s">
        <v>48</v>
      </c>
      <c r="D169" s="48" t="s">
        <v>49</v>
      </c>
      <c r="E169" s="39">
        <v>2</v>
      </c>
      <c r="F169" s="48" t="s">
        <v>204</v>
      </c>
      <c r="G169" s="48" t="s">
        <v>6</v>
      </c>
      <c r="H169" s="46" t="s">
        <v>7</v>
      </c>
      <c r="I169" s="49">
        <v>80.5</v>
      </c>
      <c r="J169" s="72">
        <v>585</v>
      </c>
      <c r="K169" s="37">
        <f t="shared" si="3"/>
        <v>47092.5</v>
      </c>
      <c r="L169" s="63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</row>
    <row r="170" spans="1:33" s="40" customFormat="1" ht="39.6">
      <c r="A170" s="114">
        <v>35</v>
      </c>
      <c r="B170" s="47" t="s">
        <v>47</v>
      </c>
      <c r="C170" s="48" t="s">
        <v>48</v>
      </c>
      <c r="D170" s="48" t="s">
        <v>49</v>
      </c>
      <c r="E170" s="39">
        <v>2</v>
      </c>
      <c r="F170" s="48" t="s">
        <v>199</v>
      </c>
      <c r="G170" s="48" t="s">
        <v>6</v>
      </c>
      <c r="H170" s="46" t="s">
        <v>7</v>
      </c>
      <c r="I170" s="49">
        <v>0.9</v>
      </c>
      <c r="J170" s="72">
        <v>585</v>
      </c>
      <c r="K170" s="37">
        <f t="shared" si="3"/>
        <v>526.5</v>
      </c>
      <c r="L170" s="63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</row>
    <row r="171" spans="1:33" s="40" customFormat="1" ht="39.6">
      <c r="A171" s="114">
        <v>36</v>
      </c>
      <c r="B171" s="47" t="s">
        <v>47</v>
      </c>
      <c r="C171" s="48" t="s">
        <v>48</v>
      </c>
      <c r="D171" s="48" t="s">
        <v>49</v>
      </c>
      <c r="E171" s="39">
        <v>2</v>
      </c>
      <c r="F171" s="48" t="s">
        <v>272</v>
      </c>
      <c r="G171" s="48" t="s">
        <v>6</v>
      </c>
      <c r="H171" s="46" t="s">
        <v>7</v>
      </c>
      <c r="I171" s="49">
        <v>10.5</v>
      </c>
      <c r="J171" s="72">
        <v>585</v>
      </c>
      <c r="K171" s="37">
        <f t="shared" si="3"/>
        <v>6142.5</v>
      </c>
      <c r="L171" s="63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</row>
    <row r="172" spans="1:33" s="40" customFormat="1" ht="39.6">
      <c r="A172" s="114">
        <v>37</v>
      </c>
      <c r="B172" s="47" t="s">
        <v>47</v>
      </c>
      <c r="C172" s="48" t="s">
        <v>48</v>
      </c>
      <c r="D172" s="48" t="s">
        <v>49</v>
      </c>
      <c r="E172" s="39">
        <v>2</v>
      </c>
      <c r="F172" s="48" t="s">
        <v>210</v>
      </c>
      <c r="G172" s="48" t="s">
        <v>6</v>
      </c>
      <c r="H172" s="46" t="s">
        <v>7</v>
      </c>
      <c r="I172" s="49">
        <v>8.5</v>
      </c>
      <c r="J172" s="72">
        <v>585</v>
      </c>
      <c r="K172" s="37">
        <f t="shared" si="3"/>
        <v>4972.5</v>
      </c>
      <c r="L172" s="63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</row>
    <row r="173" spans="1:33" s="40" customFormat="1" ht="39.6">
      <c r="A173" s="114">
        <v>38</v>
      </c>
      <c r="B173" s="47" t="s">
        <v>47</v>
      </c>
      <c r="C173" s="48" t="s">
        <v>48</v>
      </c>
      <c r="D173" s="48" t="s">
        <v>49</v>
      </c>
      <c r="E173" s="39">
        <v>2</v>
      </c>
      <c r="F173" s="48" t="s">
        <v>194</v>
      </c>
      <c r="G173" s="48" t="s">
        <v>6</v>
      </c>
      <c r="H173" s="46" t="s">
        <v>7</v>
      </c>
      <c r="I173" s="49">
        <v>16.5</v>
      </c>
      <c r="J173" s="72">
        <v>585</v>
      </c>
      <c r="K173" s="37">
        <f t="shared" si="3"/>
        <v>9652.5</v>
      </c>
      <c r="L173" s="63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</row>
    <row r="174" spans="1:33" s="40" customFormat="1" ht="39.6">
      <c r="A174" s="114">
        <v>39</v>
      </c>
      <c r="B174" s="47" t="s">
        <v>47</v>
      </c>
      <c r="C174" s="48" t="s">
        <v>48</v>
      </c>
      <c r="D174" s="48" t="s">
        <v>49</v>
      </c>
      <c r="E174" s="39">
        <v>2</v>
      </c>
      <c r="F174" s="48" t="s">
        <v>196</v>
      </c>
      <c r="G174" s="48" t="s">
        <v>6</v>
      </c>
      <c r="H174" s="46" t="s">
        <v>7</v>
      </c>
      <c r="I174" s="49">
        <v>36</v>
      </c>
      <c r="J174" s="72">
        <v>585</v>
      </c>
      <c r="K174" s="37">
        <f t="shared" si="3"/>
        <v>21060</v>
      </c>
      <c r="L174" s="63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</row>
    <row r="175" spans="1:33" s="40" customFormat="1" ht="39.6">
      <c r="A175" s="114">
        <v>40</v>
      </c>
      <c r="B175" s="47" t="s">
        <v>47</v>
      </c>
      <c r="C175" s="48" t="s">
        <v>48</v>
      </c>
      <c r="D175" s="48" t="s">
        <v>49</v>
      </c>
      <c r="E175" s="39">
        <v>2</v>
      </c>
      <c r="F175" s="48" t="s">
        <v>201</v>
      </c>
      <c r="G175" s="48" t="s">
        <v>6</v>
      </c>
      <c r="H175" s="46" t="s">
        <v>7</v>
      </c>
      <c r="I175" s="49">
        <v>36</v>
      </c>
      <c r="J175" s="72">
        <v>585</v>
      </c>
      <c r="K175" s="37">
        <f t="shared" si="3"/>
        <v>21060</v>
      </c>
      <c r="L175" s="63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</row>
    <row r="176" spans="1:33" s="40" customFormat="1" ht="39.6">
      <c r="A176" s="114">
        <v>41</v>
      </c>
      <c r="B176" s="47" t="s">
        <v>47</v>
      </c>
      <c r="C176" s="48" t="s">
        <v>48</v>
      </c>
      <c r="D176" s="48" t="s">
        <v>49</v>
      </c>
      <c r="E176" s="39">
        <v>2</v>
      </c>
      <c r="F176" s="48" t="s">
        <v>200</v>
      </c>
      <c r="G176" s="48" t="s">
        <v>6</v>
      </c>
      <c r="H176" s="46" t="s">
        <v>7</v>
      </c>
      <c r="I176" s="49">
        <v>15</v>
      </c>
      <c r="J176" s="72">
        <v>585</v>
      </c>
      <c r="K176" s="37">
        <f t="shared" si="3"/>
        <v>8775</v>
      </c>
      <c r="L176" s="63"/>
    </row>
    <row r="177" spans="1:12" s="40" customFormat="1">
      <c r="A177" s="114">
        <v>42</v>
      </c>
      <c r="B177" s="47" t="s">
        <v>60</v>
      </c>
      <c r="C177" s="48" t="s">
        <v>48</v>
      </c>
      <c r="D177" s="48" t="s">
        <v>49</v>
      </c>
      <c r="E177" s="39">
        <v>1</v>
      </c>
      <c r="F177" s="48" t="s">
        <v>145</v>
      </c>
      <c r="G177" s="48" t="s">
        <v>262</v>
      </c>
      <c r="H177" s="46" t="s">
        <v>7</v>
      </c>
      <c r="I177" s="49">
        <v>7</v>
      </c>
      <c r="J177" s="73">
        <v>1105</v>
      </c>
      <c r="K177" s="37">
        <f t="shared" si="3"/>
        <v>7735</v>
      </c>
      <c r="L177" s="63"/>
    </row>
    <row r="178" spans="1:12" s="40" customFormat="1" ht="26.4">
      <c r="A178" s="114">
        <v>43</v>
      </c>
      <c r="B178" s="47" t="s">
        <v>60</v>
      </c>
      <c r="C178" s="48" t="s">
        <v>48</v>
      </c>
      <c r="D178" s="48" t="s">
        <v>49</v>
      </c>
      <c r="E178" s="39">
        <v>1</v>
      </c>
      <c r="F178" s="48" t="s">
        <v>100</v>
      </c>
      <c r="G178" s="48" t="s">
        <v>262</v>
      </c>
      <c r="H178" s="46" t="s">
        <v>7</v>
      </c>
      <c r="I178" s="49">
        <v>15.4</v>
      </c>
      <c r="J178" s="73">
        <v>1105</v>
      </c>
      <c r="K178" s="37">
        <f t="shared" si="3"/>
        <v>17017</v>
      </c>
      <c r="L178" s="63"/>
    </row>
    <row r="179" spans="1:12" s="40" customFormat="1">
      <c r="A179" s="114">
        <v>44</v>
      </c>
      <c r="B179" s="47" t="s">
        <v>47</v>
      </c>
      <c r="C179" s="48" t="s">
        <v>48</v>
      </c>
      <c r="D179" s="48" t="s">
        <v>49</v>
      </c>
      <c r="E179" s="39">
        <v>1</v>
      </c>
      <c r="F179" s="48" t="s">
        <v>88</v>
      </c>
      <c r="G179" s="48" t="s">
        <v>262</v>
      </c>
      <c r="H179" s="46" t="s">
        <v>7</v>
      </c>
      <c r="I179" s="49">
        <v>8.6</v>
      </c>
      <c r="J179" s="73">
        <v>1105</v>
      </c>
      <c r="K179" s="37">
        <f t="shared" si="3"/>
        <v>9503</v>
      </c>
      <c r="L179" s="63"/>
    </row>
    <row r="180" spans="1:12" s="40" customFormat="1">
      <c r="A180" s="114">
        <v>45</v>
      </c>
      <c r="B180" s="47" t="s">
        <v>47</v>
      </c>
      <c r="C180" s="48" t="s">
        <v>48</v>
      </c>
      <c r="D180" s="48" t="s">
        <v>49</v>
      </c>
      <c r="E180" s="39">
        <v>1</v>
      </c>
      <c r="F180" s="48" t="s">
        <v>106</v>
      </c>
      <c r="G180" s="48" t="s">
        <v>262</v>
      </c>
      <c r="H180" s="46" t="s">
        <v>7</v>
      </c>
      <c r="I180" s="49">
        <v>6.6</v>
      </c>
      <c r="J180" s="73">
        <v>1105</v>
      </c>
      <c r="K180" s="37">
        <f t="shared" si="3"/>
        <v>7293</v>
      </c>
      <c r="L180" s="63"/>
    </row>
    <row r="181" spans="1:12" s="40" customFormat="1" ht="14.4" customHeight="1">
      <c r="A181" s="114">
        <v>46</v>
      </c>
      <c r="B181" s="47" t="s">
        <v>47</v>
      </c>
      <c r="C181" s="48" t="s">
        <v>48</v>
      </c>
      <c r="D181" s="48" t="s">
        <v>49</v>
      </c>
      <c r="E181" s="39">
        <v>1</v>
      </c>
      <c r="F181" s="48" t="s">
        <v>83</v>
      </c>
      <c r="G181" s="48" t="s">
        <v>262</v>
      </c>
      <c r="H181" s="46" t="s">
        <v>7</v>
      </c>
      <c r="I181" s="49">
        <v>6.6</v>
      </c>
      <c r="J181" s="73">
        <v>1105</v>
      </c>
      <c r="K181" s="37">
        <f t="shared" si="3"/>
        <v>7293</v>
      </c>
      <c r="L181" s="63"/>
    </row>
    <row r="182" spans="1:12" s="40" customFormat="1">
      <c r="A182" s="114">
        <v>47</v>
      </c>
      <c r="B182" s="47" t="s">
        <v>47</v>
      </c>
      <c r="C182" s="48" t="s">
        <v>48</v>
      </c>
      <c r="D182" s="48" t="s">
        <v>49</v>
      </c>
      <c r="E182" s="39">
        <v>1</v>
      </c>
      <c r="F182" s="48" t="s">
        <v>116</v>
      </c>
      <c r="G182" s="48" t="s">
        <v>262</v>
      </c>
      <c r="H182" s="46" t="s">
        <v>7</v>
      </c>
      <c r="I182" s="49">
        <v>20.5</v>
      </c>
      <c r="J182" s="73">
        <v>1105</v>
      </c>
      <c r="K182" s="37">
        <f t="shared" si="3"/>
        <v>22652.5</v>
      </c>
      <c r="L182" s="63"/>
    </row>
    <row r="183" spans="1:12" s="40" customFormat="1" ht="26.4">
      <c r="A183" s="114">
        <v>48</v>
      </c>
      <c r="B183" s="47" t="s">
        <v>47</v>
      </c>
      <c r="C183" s="48" t="s">
        <v>48</v>
      </c>
      <c r="D183" s="48" t="s">
        <v>49</v>
      </c>
      <c r="E183" s="39">
        <v>1</v>
      </c>
      <c r="F183" s="48" t="s">
        <v>154</v>
      </c>
      <c r="G183" s="48" t="s">
        <v>262</v>
      </c>
      <c r="H183" s="46" t="s">
        <v>7</v>
      </c>
      <c r="I183" s="49">
        <v>19</v>
      </c>
      <c r="J183" s="73">
        <v>1105</v>
      </c>
      <c r="K183" s="37">
        <f t="shared" si="3"/>
        <v>20995</v>
      </c>
      <c r="L183" s="63"/>
    </row>
    <row r="184" spans="1:12" s="40" customFormat="1">
      <c r="A184" s="114">
        <v>49</v>
      </c>
      <c r="B184" s="47" t="s">
        <v>47</v>
      </c>
      <c r="C184" s="48" t="s">
        <v>48</v>
      </c>
      <c r="D184" s="48" t="s">
        <v>49</v>
      </c>
      <c r="E184" s="39">
        <v>1</v>
      </c>
      <c r="F184" s="48" t="s">
        <v>144</v>
      </c>
      <c r="G184" s="48" t="s">
        <v>262</v>
      </c>
      <c r="H184" s="46" t="s">
        <v>7</v>
      </c>
      <c r="I184" s="49">
        <v>14.5</v>
      </c>
      <c r="J184" s="73">
        <v>1105</v>
      </c>
      <c r="K184" s="37">
        <f t="shared" si="3"/>
        <v>16022.5</v>
      </c>
      <c r="L184" s="63"/>
    </row>
    <row r="185" spans="1:12" s="40" customFormat="1">
      <c r="A185" s="114">
        <v>50</v>
      </c>
      <c r="B185" s="47" t="s">
        <v>47</v>
      </c>
      <c r="C185" s="48" t="s">
        <v>48</v>
      </c>
      <c r="D185" s="48" t="s">
        <v>49</v>
      </c>
      <c r="E185" s="39">
        <v>1</v>
      </c>
      <c r="F185" s="48" t="s">
        <v>150</v>
      </c>
      <c r="G185" s="48" t="s">
        <v>262</v>
      </c>
      <c r="H185" s="46" t="s">
        <v>7</v>
      </c>
      <c r="I185" s="49">
        <v>14.5</v>
      </c>
      <c r="J185" s="73">
        <v>1105</v>
      </c>
      <c r="K185" s="37">
        <f t="shared" si="3"/>
        <v>16022.5</v>
      </c>
      <c r="L185" s="63"/>
    </row>
    <row r="186" spans="1:12" s="40" customFormat="1">
      <c r="A186" s="114">
        <v>51</v>
      </c>
      <c r="B186" s="47" t="s">
        <v>47</v>
      </c>
      <c r="C186" s="48" t="s">
        <v>48</v>
      </c>
      <c r="D186" s="48" t="s">
        <v>49</v>
      </c>
      <c r="E186" s="39">
        <v>2</v>
      </c>
      <c r="F186" s="48" t="s">
        <v>214</v>
      </c>
      <c r="G186" s="48" t="s">
        <v>262</v>
      </c>
      <c r="H186" s="46" t="s">
        <v>7</v>
      </c>
      <c r="I186" s="49">
        <v>6.6</v>
      </c>
      <c r="J186" s="73">
        <v>1105</v>
      </c>
      <c r="K186" s="37">
        <f t="shared" si="3"/>
        <v>7293</v>
      </c>
      <c r="L186" s="63"/>
    </row>
    <row r="187" spans="1:12" s="40" customFormat="1" ht="26.4">
      <c r="A187" s="114">
        <v>52</v>
      </c>
      <c r="B187" s="47" t="s">
        <v>47</v>
      </c>
      <c r="C187" s="48" t="s">
        <v>48</v>
      </c>
      <c r="D187" s="48" t="s">
        <v>49</v>
      </c>
      <c r="E187" s="39">
        <v>2</v>
      </c>
      <c r="F187" s="48" t="s">
        <v>208</v>
      </c>
      <c r="G187" s="48" t="s">
        <v>262</v>
      </c>
      <c r="H187" s="46" t="s">
        <v>7</v>
      </c>
      <c r="I187" s="49">
        <v>13</v>
      </c>
      <c r="J187" s="73">
        <v>1105</v>
      </c>
      <c r="K187" s="37">
        <f t="shared" si="3"/>
        <v>14365</v>
      </c>
      <c r="L187" s="63"/>
    </row>
    <row r="188" spans="1:12" s="40" customFormat="1">
      <c r="A188" s="114">
        <v>53</v>
      </c>
      <c r="B188" s="47" t="s">
        <v>47</v>
      </c>
      <c r="C188" s="48" t="s">
        <v>48</v>
      </c>
      <c r="D188" s="48" t="s">
        <v>49</v>
      </c>
      <c r="E188" s="39">
        <v>2</v>
      </c>
      <c r="F188" s="48" t="s">
        <v>197</v>
      </c>
      <c r="G188" s="48" t="s">
        <v>262</v>
      </c>
      <c r="H188" s="46" t="s">
        <v>7</v>
      </c>
      <c r="I188" s="49">
        <v>78.5</v>
      </c>
      <c r="J188" s="73">
        <v>1105</v>
      </c>
      <c r="K188" s="37">
        <f t="shared" si="3"/>
        <v>86742.5</v>
      </c>
      <c r="L188" s="63"/>
    </row>
    <row r="189" spans="1:12" s="40" customFormat="1">
      <c r="A189" s="114">
        <v>54</v>
      </c>
      <c r="B189" s="47" t="s">
        <v>47</v>
      </c>
      <c r="C189" s="48" t="s">
        <v>48</v>
      </c>
      <c r="D189" s="48" t="s">
        <v>49</v>
      </c>
      <c r="E189" s="39">
        <v>2</v>
      </c>
      <c r="F189" s="48" t="s">
        <v>204</v>
      </c>
      <c r="G189" s="48" t="s">
        <v>262</v>
      </c>
      <c r="H189" s="46" t="s">
        <v>7</v>
      </c>
      <c r="I189" s="49">
        <v>78.5</v>
      </c>
      <c r="J189" s="73">
        <v>1105</v>
      </c>
      <c r="K189" s="37">
        <f t="shared" si="3"/>
        <v>86742.5</v>
      </c>
      <c r="L189" s="63"/>
    </row>
    <row r="190" spans="1:12" s="40" customFormat="1" ht="39.6">
      <c r="A190" s="114">
        <v>55</v>
      </c>
      <c r="B190" s="47" t="s">
        <v>47</v>
      </c>
      <c r="C190" s="48" t="s">
        <v>48</v>
      </c>
      <c r="D190" s="48" t="s">
        <v>49</v>
      </c>
      <c r="E190" s="39">
        <v>2</v>
      </c>
      <c r="F190" s="48" t="s">
        <v>272</v>
      </c>
      <c r="G190" s="48" t="s">
        <v>262</v>
      </c>
      <c r="H190" s="46" t="s">
        <v>7</v>
      </c>
      <c r="I190" s="49">
        <v>10.5</v>
      </c>
      <c r="J190" s="73">
        <v>1105</v>
      </c>
      <c r="K190" s="37">
        <f t="shared" si="3"/>
        <v>11602.5</v>
      </c>
      <c r="L190" s="63"/>
    </row>
    <row r="191" spans="1:12" s="40" customFormat="1" ht="26.4">
      <c r="A191" s="114">
        <v>56</v>
      </c>
      <c r="B191" s="47" t="s">
        <v>47</v>
      </c>
      <c r="C191" s="48" t="s">
        <v>48</v>
      </c>
      <c r="D191" s="48" t="s">
        <v>49</v>
      </c>
      <c r="E191" s="39">
        <v>2</v>
      </c>
      <c r="F191" s="48" t="s">
        <v>210</v>
      </c>
      <c r="G191" s="48" t="s">
        <v>262</v>
      </c>
      <c r="H191" s="46" t="s">
        <v>7</v>
      </c>
      <c r="I191" s="49">
        <v>5.8</v>
      </c>
      <c r="J191" s="73">
        <v>1105</v>
      </c>
      <c r="K191" s="37">
        <f t="shared" si="3"/>
        <v>6409</v>
      </c>
      <c r="L191" s="63"/>
    </row>
    <row r="192" spans="1:12" s="40" customFormat="1">
      <c r="A192" s="114">
        <v>57</v>
      </c>
      <c r="B192" s="47" t="s">
        <v>47</v>
      </c>
      <c r="C192" s="48" t="s">
        <v>48</v>
      </c>
      <c r="D192" s="48" t="s">
        <v>49</v>
      </c>
      <c r="E192" s="39">
        <v>2</v>
      </c>
      <c r="F192" s="48" t="s">
        <v>194</v>
      </c>
      <c r="G192" s="48" t="s">
        <v>262</v>
      </c>
      <c r="H192" s="46" t="s">
        <v>7</v>
      </c>
      <c r="I192" s="49">
        <v>9</v>
      </c>
      <c r="J192" s="73">
        <v>1105</v>
      </c>
      <c r="K192" s="37">
        <f t="shared" si="3"/>
        <v>9945</v>
      </c>
      <c r="L192" s="63"/>
    </row>
    <row r="193" spans="1:12" s="40" customFormat="1">
      <c r="A193" s="114">
        <v>58</v>
      </c>
      <c r="B193" s="47" t="s">
        <v>47</v>
      </c>
      <c r="C193" s="48" t="s">
        <v>48</v>
      </c>
      <c r="D193" s="48" t="s">
        <v>49</v>
      </c>
      <c r="E193" s="39">
        <v>2</v>
      </c>
      <c r="F193" s="48" t="s">
        <v>197</v>
      </c>
      <c r="G193" s="48" t="s">
        <v>262</v>
      </c>
      <c r="H193" s="46" t="s">
        <v>7</v>
      </c>
      <c r="I193" s="49">
        <v>14</v>
      </c>
      <c r="J193" s="73">
        <v>1105</v>
      </c>
      <c r="K193" s="37">
        <f t="shared" si="3"/>
        <v>15470</v>
      </c>
      <c r="L193" s="63"/>
    </row>
    <row r="194" spans="1:12" s="40" customFormat="1">
      <c r="A194" s="114">
        <v>59</v>
      </c>
      <c r="B194" s="47" t="s">
        <v>47</v>
      </c>
      <c r="C194" s="48" t="s">
        <v>48</v>
      </c>
      <c r="D194" s="48" t="s">
        <v>49</v>
      </c>
      <c r="E194" s="39">
        <v>2</v>
      </c>
      <c r="F194" s="48" t="s">
        <v>201</v>
      </c>
      <c r="G194" s="48" t="s">
        <v>262</v>
      </c>
      <c r="H194" s="46" t="s">
        <v>7</v>
      </c>
      <c r="I194" s="49">
        <v>14</v>
      </c>
      <c r="J194" s="73">
        <v>1105</v>
      </c>
      <c r="K194" s="37">
        <f t="shared" si="3"/>
        <v>15470</v>
      </c>
      <c r="L194" s="63"/>
    </row>
    <row r="195" spans="1:12" s="40" customFormat="1">
      <c r="A195" s="114">
        <v>60</v>
      </c>
      <c r="B195" s="47" t="s">
        <v>47</v>
      </c>
      <c r="C195" s="48" t="s">
        <v>48</v>
      </c>
      <c r="D195" s="48" t="s">
        <v>49</v>
      </c>
      <c r="E195" s="39">
        <v>2</v>
      </c>
      <c r="F195" s="48" t="s">
        <v>214</v>
      </c>
      <c r="G195" s="48" t="s">
        <v>260</v>
      </c>
      <c r="H195" s="46" t="s">
        <v>261</v>
      </c>
      <c r="I195" s="49">
        <v>2.6</v>
      </c>
      <c r="J195" s="71">
        <v>4160</v>
      </c>
      <c r="K195" s="37">
        <f t="shared" si="3"/>
        <v>10816</v>
      </c>
      <c r="L195" s="63"/>
    </row>
    <row r="196" spans="1:12" s="40" customFormat="1" ht="26.4">
      <c r="A196" s="114">
        <v>61</v>
      </c>
      <c r="B196" s="47" t="s">
        <v>47</v>
      </c>
      <c r="C196" s="48" t="s">
        <v>48</v>
      </c>
      <c r="D196" s="48" t="s">
        <v>49</v>
      </c>
      <c r="E196" s="39">
        <v>2</v>
      </c>
      <c r="F196" s="48" t="s">
        <v>208</v>
      </c>
      <c r="G196" s="48" t="s">
        <v>260</v>
      </c>
      <c r="H196" s="46" t="s">
        <v>261</v>
      </c>
      <c r="I196" s="49">
        <v>1.3</v>
      </c>
      <c r="J196" s="71">
        <v>4160</v>
      </c>
      <c r="K196" s="37">
        <f t="shared" si="3"/>
        <v>5408</v>
      </c>
      <c r="L196" s="63"/>
    </row>
    <row r="197" spans="1:12" s="40" customFormat="1">
      <c r="A197" s="114">
        <v>62</v>
      </c>
      <c r="B197" s="47" t="s">
        <v>47</v>
      </c>
      <c r="C197" s="48" t="s">
        <v>48</v>
      </c>
      <c r="D197" s="48" t="s">
        <v>49</v>
      </c>
      <c r="E197" s="39">
        <v>2</v>
      </c>
      <c r="F197" s="48" t="s">
        <v>199</v>
      </c>
      <c r="G197" s="48" t="s">
        <v>260</v>
      </c>
      <c r="H197" s="46" t="s">
        <v>261</v>
      </c>
      <c r="I197" s="49">
        <v>0.45</v>
      </c>
      <c r="J197" s="71">
        <v>4160</v>
      </c>
      <c r="K197" s="37">
        <f t="shared" si="3"/>
        <v>1872</v>
      </c>
      <c r="L197" s="63"/>
    </row>
    <row r="198" spans="1:12" s="40" customFormat="1" ht="26.4">
      <c r="A198" s="114">
        <v>63</v>
      </c>
      <c r="B198" s="47" t="s">
        <v>47</v>
      </c>
      <c r="C198" s="48" t="s">
        <v>48</v>
      </c>
      <c r="D198" s="48" t="s">
        <v>49</v>
      </c>
      <c r="E198" s="39">
        <v>2</v>
      </c>
      <c r="F198" s="48" t="s">
        <v>210</v>
      </c>
      <c r="G198" s="48" t="s">
        <v>260</v>
      </c>
      <c r="H198" s="46" t="s">
        <v>261</v>
      </c>
      <c r="I198" s="49">
        <v>0.3</v>
      </c>
      <c r="J198" s="71">
        <v>4160</v>
      </c>
      <c r="K198" s="37">
        <f t="shared" si="3"/>
        <v>1248</v>
      </c>
      <c r="L198" s="63"/>
    </row>
    <row r="199" spans="1:12" s="40" customFormat="1">
      <c r="A199" s="114">
        <v>64</v>
      </c>
      <c r="B199" s="47" t="s">
        <v>47</v>
      </c>
      <c r="C199" s="48" t="s">
        <v>48</v>
      </c>
      <c r="D199" s="48" t="s">
        <v>63</v>
      </c>
      <c r="E199" s="39">
        <v>1</v>
      </c>
      <c r="F199" s="48" t="s">
        <v>106</v>
      </c>
      <c r="G199" s="74" t="s">
        <v>294</v>
      </c>
      <c r="H199" s="46" t="s">
        <v>281</v>
      </c>
      <c r="I199" s="49">
        <v>7</v>
      </c>
      <c r="J199" s="71">
        <v>300</v>
      </c>
      <c r="K199" s="37">
        <f t="shared" si="3"/>
        <v>2100</v>
      </c>
      <c r="L199" s="63"/>
    </row>
    <row r="200" spans="1:12" s="40" customFormat="1" ht="26.4">
      <c r="A200" s="114">
        <v>65</v>
      </c>
      <c r="B200" s="47" t="s">
        <v>47</v>
      </c>
      <c r="C200" s="48" t="s">
        <v>48</v>
      </c>
      <c r="D200" s="48" t="s">
        <v>49</v>
      </c>
      <c r="E200" s="39">
        <v>1</v>
      </c>
      <c r="F200" s="48" t="s">
        <v>100</v>
      </c>
      <c r="G200" s="48" t="s">
        <v>15</v>
      </c>
      <c r="H200" s="46" t="s">
        <v>7</v>
      </c>
      <c r="I200" s="49">
        <v>39</v>
      </c>
      <c r="J200" s="71">
        <v>1170</v>
      </c>
      <c r="K200" s="37">
        <f t="shared" si="3"/>
        <v>45630</v>
      </c>
      <c r="L200" s="63"/>
    </row>
    <row r="201" spans="1:12" ht="39.6">
      <c r="A201" s="114">
        <v>66</v>
      </c>
      <c r="B201" s="47" t="s">
        <v>47</v>
      </c>
      <c r="C201" s="48" t="s">
        <v>48</v>
      </c>
      <c r="D201" s="48" t="s">
        <v>58</v>
      </c>
      <c r="E201" s="39">
        <v>1</v>
      </c>
      <c r="F201" s="48" t="s">
        <v>155</v>
      </c>
      <c r="G201" s="48" t="s">
        <v>14</v>
      </c>
      <c r="H201" s="46" t="s">
        <v>7</v>
      </c>
      <c r="I201" s="49">
        <v>9.4</v>
      </c>
      <c r="J201" s="71">
        <v>1170</v>
      </c>
      <c r="K201" s="37">
        <f t="shared" si="3"/>
        <v>10998</v>
      </c>
      <c r="L201" s="63"/>
    </row>
    <row r="202" spans="1:12" ht="26.4">
      <c r="A202" s="114">
        <v>67</v>
      </c>
      <c r="B202" s="47" t="s">
        <v>60</v>
      </c>
      <c r="C202" s="48" t="s">
        <v>48</v>
      </c>
      <c r="D202" s="48" t="s">
        <v>49</v>
      </c>
      <c r="E202" s="39">
        <v>1</v>
      </c>
      <c r="F202" s="48" t="s">
        <v>155</v>
      </c>
      <c r="G202" s="48" t="s">
        <v>15</v>
      </c>
      <c r="H202" s="46" t="s">
        <v>7</v>
      </c>
      <c r="I202" s="49">
        <v>25</v>
      </c>
      <c r="J202" s="71">
        <v>1170</v>
      </c>
      <c r="K202" s="37">
        <f t="shared" si="3"/>
        <v>29250</v>
      </c>
      <c r="L202" s="63"/>
    </row>
    <row r="203" spans="1:12" ht="39.6">
      <c r="A203" s="114">
        <v>68</v>
      </c>
      <c r="B203" s="47" t="s">
        <v>47</v>
      </c>
      <c r="C203" s="48" t="s">
        <v>48</v>
      </c>
      <c r="D203" s="48" t="s">
        <v>58</v>
      </c>
      <c r="E203" s="39">
        <v>1</v>
      </c>
      <c r="F203" s="48" t="s">
        <v>85</v>
      </c>
      <c r="G203" s="48" t="s">
        <v>14</v>
      </c>
      <c r="H203" s="46" t="s">
        <v>7</v>
      </c>
      <c r="I203" s="49">
        <v>5.5</v>
      </c>
      <c r="J203" s="71">
        <v>1170</v>
      </c>
      <c r="K203" s="37">
        <f t="shared" si="3"/>
        <v>6435</v>
      </c>
      <c r="L203" s="63"/>
    </row>
    <row r="204" spans="1:12" ht="26.4">
      <c r="A204" s="114">
        <v>69</v>
      </c>
      <c r="B204" s="47" t="s">
        <v>47</v>
      </c>
      <c r="C204" s="48" t="s">
        <v>48</v>
      </c>
      <c r="D204" s="48" t="s">
        <v>49</v>
      </c>
      <c r="E204" s="39">
        <v>1</v>
      </c>
      <c r="F204" s="48" t="s">
        <v>85</v>
      </c>
      <c r="G204" s="48" t="s">
        <v>15</v>
      </c>
      <c r="H204" s="46" t="s">
        <v>7</v>
      </c>
      <c r="I204" s="49">
        <v>6</v>
      </c>
      <c r="J204" s="71">
        <v>1170</v>
      </c>
      <c r="K204" s="37">
        <f t="shared" si="3"/>
        <v>7020</v>
      </c>
      <c r="L204" s="63"/>
    </row>
    <row r="205" spans="1:12" ht="39.6">
      <c r="A205" s="114">
        <v>70</v>
      </c>
      <c r="B205" s="47" t="s">
        <v>47</v>
      </c>
      <c r="C205" s="48" t="s">
        <v>48</v>
      </c>
      <c r="D205" s="48" t="s">
        <v>58</v>
      </c>
      <c r="E205" s="39">
        <v>1</v>
      </c>
      <c r="F205" s="48" t="s">
        <v>86</v>
      </c>
      <c r="G205" s="48" t="s">
        <v>14</v>
      </c>
      <c r="H205" s="46" t="s">
        <v>7</v>
      </c>
      <c r="I205" s="49">
        <v>9.1</v>
      </c>
      <c r="J205" s="71">
        <v>1170</v>
      </c>
      <c r="K205" s="37">
        <f t="shared" ref="K205:K228" si="4">J205*I205</f>
        <v>10647</v>
      </c>
      <c r="L205" s="63"/>
    </row>
    <row r="206" spans="1:12" ht="39.6">
      <c r="A206" s="114">
        <v>71</v>
      </c>
      <c r="B206" s="47" t="s">
        <v>47</v>
      </c>
      <c r="C206" s="48" t="s">
        <v>48</v>
      </c>
      <c r="D206" s="48" t="s">
        <v>58</v>
      </c>
      <c r="E206" s="39">
        <v>1</v>
      </c>
      <c r="F206" s="48" t="s">
        <v>102</v>
      </c>
      <c r="G206" s="48" t="s">
        <v>14</v>
      </c>
      <c r="H206" s="46" t="s">
        <v>7</v>
      </c>
      <c r="I206" s="49">
        <v>4.3</v>
      </c>
      <c r="J206" s="71">
        <v>1170</v>
      </c>
      <c r="K206" s="37">
        <f t="shared" si="4"/>
        <v>5031</v>
      </c>
      <c r="L206" s="63"/>
    </row>
    <row r="207" spans="1:12" ht="39.6">
      <c r="A207" s="114">
        <v>72</v>
      </c>
      <c r="B207" s="47" t="s">
        <v>47</v>
      </c>
      <c r="C207" s="48" t="s">
        <v>48</v>
      </c>
      <c r="D207" s="48" t="s">
        <v>58</v>
      </c>
      <c r="E207" s="39">
        <v>1</v>
      </c>
      <c r="F207" s="48" t="s">
        <v>116</v>
      </c>
      <c r="G207" s="48" t="s">
        <v>14</v>
      </c>
      <c r="H207" s="46" t="s">
        <v>7</v>
      </c>
      <c r="I207" s="49">
        <v>10</v>
      </c>
      <c r="J207" s="71">
        <v>1170</v>
      </c>
      <c r="K207" s="37">
        <f t="shared" si="4"/>
        <v>11700</v>
      </c>
      <c r="L207" s="63"/>
    </row>
    <row r="208" spans="1:12" ht="26.4">
      <c r="A208" s="114">
        <v>73</v>
      </c>
      <c r="B208" s="47" t="s">
        <v>47</v>
      </c>
      <c r="C208" s="48" t="s">
        <v>48</v>
      </c>
      <c r="D208" s="48" t="s">
        <v>49</v>
      </c>
      <c r="E208" s="39">
        <v>1</v>
      </c>
      <c r="F208" s="48" t="s">
        <v>116</v>
      </c>
      <c r="G208" s="48" t="s">
        <v>15</v>
      </c>
      <c r="H208" s="46" t="s">
        <v>7</v>
      </c>
      <c r="I208" s="49">
        <v>18.5</v>
      </c>
      <c r="J208" s="71">
        <v>1170</v>
      </c>
      <c r="K208" s="37">
        <f t="shared" si="4"/>
        <v>21645</v>
      </c>
      <c r="L208" s="63"/>
    </row>
    <row r="209" spans="1:12" ht="39.6">
      <c r="A209" s="114">
        <v>74</v>
      </c>
      <c r="B209" s="47" t="s">
        <v>47</v>
      </c>
      <c r="C209" s="48" t="s">
        <v>48</v>
      </c>
      <c r="D209" s="48" t="s">
        <v>58</v>
      </c>
      <c r="E209" s="39">
        <v>1</v>
      </c>
      <c r="F209" s="48" t="s">
        <v>117</v>
      </c>
      <c r="G209" s="48" t="s">
        <v>14</v>
      </c>
      <c r="H209" s="46" t="s">
        <v>7</v>
      </c>
      <c r="I209" s="49">
        <v>161</v>
      </c>
      <c r="J209" s="71">
        <v>1170</v>
      </c>
      <c r="K209" s="37">
        <f t="shared" si="4"/>
        <v>188370</v>
      </c>
      <c r="L209" s="63"/>
    </row>
    <row r="210" spans="1:12" ht="26.4">
      <c r="A210" s="114">
        <v>75</v>
      </c>
      <c r="B210" s="47" t="s">
        <v>47</v>
      </c>
      <c r="C210" s="48" t="s">
        <v>48</v>
      </c>
      <c r="D210" s="48" t="s">
        <v>49</v>
      </c>
      <c r="E210" s="39">
        <v>1</v>
      </c>
      <c r="F210" s="48" t="s">
        <v>117</v>
      </c>
      <c r="G210" s="48" t="s">
        <v>15</v>
      </c>
      <c r="H210" s="46" t="s">
        <v>7</v>
      </c>
      <c r="I210" s="49">
        <v>30</v>
      </c>
      <c r="J210" s="71">
        <v>1170</v>
      </c>
      <c r="K210" s="37">
        <f t="shared" si="4"/>
        <v>35100</v>
      </c>
      <c r="L210" s="63"/>
    </row>
    <row r="211" spans="1:12" ht="39.6">
      <c r="A211" s="114">
        <v>76</v>
      </c>
      <c r="B211" s="47" t="s">
        <v>47</v>
      </c>
      <c r="C211" s="48" t="s">
        <v>48</v>
      </c>
      <c r="D211" s="48" t="s">
        <v>58</v>
      </c>
      <c r="E211" s="39">
        <v>1</v>
      </c>
      <c r="F211" s="48" t="s">
        <v>110</v>
      </c>
      <c r="G211" s="48" t="s">
        <v>14</v>
      </c>
      <c r="H211" s="46" t="s">
        <v>7</v>
      </c>
      <c r="I211" s="49">
        <v>106.5</v>
      </c>
      <c r="J211" s="71">
        <v>1170</v>
      </c>
      <c r="K211" s="37">
        <f t="shared" si="4"/>
        <v>124605</v>
      </c>
      <c r="L211" s="63"/>
    </row>
    <row r="212" spans="1:12" ht="39.6">
      <c r="A212" s="114">
        <v>77</v>
      </c>
      <c r="B212" s="47" t="s">
        <v>47</v>
      </c>
      <c r="C212" s="48" t="s">
        <v>48</v>
      </c>
      <c r="D212" s="48" t="s">
        <v>58</v>
      </c>
      <c r="E212" s="39">
        <v>2</v>
      </c>
      <c r="F212" s="48" t="s">
        <v>197</v>
      </c>
      <c r="G212" s="48" t="s">
        <v>14</v>
      </c>
      <c r="H212" s="46" t="s">
        <v>7</v>
      </c>
      <c r="I212" s="49">
        <v>30.6</v>
      </c>
      <c r="J212" s="71">
        <v>1170</v>
      </c>
      <c r="K212" s="37">
        <f t="shared" si="4"/>
        <v>35802</v>
      </c>
      <c r="L212" s="63"/>
    </row>
    <row r="213" spans="1:12" ht="26.4">
      <c r="A213" s="114">
        <v>78</v>
      </c>
      <c r="B213" s="47" t="s">
        <v>47</v>
      </c>
      <c r="C213" s="48" t="s">
        <v>48</v>
      </c>
      <c r="D213" s="48" t="s">
        <v>49</v>
      </c>
      <c r="E213" s="39">
        <v>2</v>
      </c>
      <c r="F213" s="48" t="s">
        <v>197</v>
      </c>
      <c r="G213" s="48" t="s">
        <v>15</v>
      </c>
      <c r="H213" s="46" t="s">
        <v>7</v>
      </c>
      <c r="I213" s="49">
        <v>37.200000000000003</v>
      </c>
      <c r="J213" s="71">
        <v>1170</v>
      </c>
      <c r="K213" s="37">
        <f t="shared" si="4"/>
        <v>43524</v>
      </c>
      <c r="L213" s="63"/>
    </row>
    <row r="214" spans="1:12" ht="39.6">
      <c r="A214" s="114">
        <v>79</v>
      </c>
      <c r="B214" s="47" t="s">
        <v>47</v>
      </c>
      <c r="C214" s="48" t="s">
        <v>48</v>
      </c>
      <c r="D214" s="48" t="s">
        <v>58</v>
      </c>
      <c r="E214" s="39">
        <v>2</v>
      </c>
      <c r="F214" s="48" t="s">
        <v>204</v>
      </c>
      <c r="G214" s="48" t="s">
        <v>14</v>
      </c>
      <c r="H214" s="46" t="s">
        <v>7</v>
      </c>
      <c r="I214" s="49">
        <v>30.6</v>
      </c>
      <c r="J214" s="71">
        <v>1170</v>
      </c>
      <c r="K214" s="37">
        <f t="shared" si="4"/>
        <v>35802</v>
      </c>
      <c r="L214" s="63"/>
    </row>
    <row r="215" spans="1:12" ht="26.4">
      <c r="A215" s="114">
        <v>80</v>
      </c>
      <c r="B215" s="47" t="s">
        <v>47</v>
      </c>
      <c r="C215" s="48" t="s">
        <v>48</v>
      </c>
      <c r="D215" s="48" t="s">
        <v>49</v>
      </c>
      <c r="E215" s="39">
        <v>2</v>
      </c>
      <c r="F215" s="48" t="s">
        <v>204</v>
      </c>
      <c r="G215" s="48" t="s">
        <v>15</v>
      </c>
      <c r="H215" s="46" t="s">
        <v>7</v>
      </c>
      <c r="I215" s="49">
        <v>37.200000000000003</v>
      </c>
      <c r="J215" s="71">
        <v>1170</v>
      </c>
      <c r="K215" s="37">
        <f t="shared" si="4"/>
        <v>43524</v>
      </c>
      <c r="L215" s="63"/>
    </row>
    <row r="216" spans="1:12" ht="39.6">
      <c r="A216" s="114">
        <v>81</v>
      </c>
      <c r="B216" s="47" t="s">
        <v>47</v>
      </c>
      <c r="C216" s="48" t="s">
        <v>48</v>
      </c>
      <c r="D216" s="48" t="s">
        <v>58</v>
      </c>
      <c r="E216" s="39">
        <v>2</v>
      </c>
      <c r="F216" s="48" t="s">
        <v>181</v>
      </c>
      <c r="G216" s="48" t="s">
        <v>14</v>
      </c>
      <c r="H216" s="46" t="s">
        <v>7</v>
      </c>
      <c r="I216" s="49">
        <v>9</v>
      </c>
      <c r="J216" s="71">
        <v>1170</v>
      </c>
      <c r="K216" s="37">
        <f t="shared" si="4"/>
        <v>10530</v>
      </c>
      <c r="L216" s="63"/>
    </row>
    <row r="217" spans="1:12" ht="39.6">
      <c r="A217" s="114">
        <v>82</v>
      </c>
      <c r="B217" s="47" t="s">
        <v>47</v>
      </c>
      <c r="C217" s="48" t="s">
        <v>48</v>
      </c>
      <c r="D217" s="48" t="s">
        <v>58</v>
      </c>
      <c r="E217" s="39">
        <v>2</v>
      </c>
      <c r="F217" s="48" t="s">
        <v>180</v>
      </c>
      <c r="G217" s="48" t="s">
        <v>14</v>
      </c>
      <c r="H217" s="46" t="s">
        <v>7</v>
      </c>
      <c r="I217" s="49">
        <v>5</v>
      </c>
      <c r="J217" s="71">
        <v>1170</v>
      </c>
      <c r="K217" s="37">
        <f t="shared" si="4"/>
        <v>5850</v>
      </c>
      <c r="L217" s="63"/>
    </row>
    <row r="218" spans="1:12" ht="26.4">
      <c r="A218" s="114">
        <v>83</v>
      </c>
      <c r="B218" s="47" t="s">
        <v>47</v>
      </c>
      <c r="C218" s="48" t="s">
        <v>48</v>
      </c>
      <c r="D218" s="48" t="s">
        <v>49</v>
      </c>
      <c r="E218" s="39">
        <v>2</v>
      </c>
      <c r="F218" s="48" t="s">
        <v>180</v>
      </c>
      <c r="G218" s="48" t="s">
        <v>15</v>
      </c>
      <c r="H218" s="46" t="s">
        <v>7</v>
      </c>
      <c r="I218" s="49">
        <v>4.8</v>
      </c>
      <c r="J218" s="71">
        <v>1170</v>
      </c>
      <c r="K218" s="37">
        <f t="shared" si="4"/>
        <v>5616</v>
      </c>
      <c r="L218" s="63"/>
    </row>
    <row r="219" spans="1:12" ht="15.6">
      <c r="A219" s="114">
        <v>84</v>
      </c>
      <c r="B219" s="47" t="s">
        <v>47</v>
      </c>
      <c r="C219" s="48" t="s">
        <v>48</v>
      </c>
      <c r="D219" s="48" t="s">
        <v>49</v>
      </c>
      <c r="E219" s="39">
        <v>1</v>
      </c>
      <c r="F219" s="48" t="s">
        <v>143</v>
      </c>
      <c r="G219" s="48" t="s">
        <v>279</v>
      </c>
      <c r="H219" s="46" t="s">
        <v>7</v>
      </c>
      <c r="I219" s="49">
        <v>2.73</v>
      </c>
      <c r="J219" s="72">
        <v>800</v>
      </c>
      <c r="K219" s="37">
        <f t="shared" si="4"/>
        <v>2184</v>
      </c>
      <c r="L219" s="63"/>
    </row>
    <row r="220" spans="1:12" ht="26.4">
      <c r="A220" s="114">
        <v>85</v>
      </c>
      <c r="B220" s="47" t="s">
        <v>47</v>
      </c>
      <c r="C220" s="48" t="s">
        <v>48</v>
      </c>
      <c r="D220" s="48" t="s">
        <v>49</v>
      </c>
      <c r="E220" s="39">
        <v>1</v>
      </c>
      <c r="F220" s="48" t="s">
        <v>139</v>
      </c>
      <c r="G220" s="48" t="s">
        <v>279</v>
      </c>
      <c r="H220" s="46" t="s">
        <v>7</v>
      </c>
      <c r="I220" s="49">
        <v>11</v>
      </c>
      <c r="J220" s="72">
        <v>800</v>
      </c>
      <c r="K220" s="37">
        <f t="shared" si="4"/>
        <v>8800</v>
      </c>
      <c r="L220" s="63"/>
    </row>
    <row r="221" spans="1:12" ht="15.6">
      <c r="A221" s="114">
        <v>86</v>
      </c>
      <c r="B221" s="47" t="s">
        <v>60</v>
      </c>
      <c r="C221" s="48" t="s">
        <v>48</v>
      </c>
      <c r="D221" s="48" t="s">
        <v>49</v>
      </c>
      <c r="E221" s="39">
        <v>1</v>
      </c>
      <c r="F221" s="48" t="s">
        <v>90</v>
      </c>
      <c r="G221" s="48" t="s">
        <v>279</v>
      </c>
      <c r="H221" s="46" t="s">
        <v>7</v>
      </c>
      <c r="I221" s="49">
        <v>5.46</v>
      </c>
      <c r="J221" s="72">
        <v>800</v>
      </c>
      <c r="K221" s="37">
        <f t="shared" si="4"/>
        <v>4368</v>
      </c>
      <c r="L221" s="63"/>
    </row>
    <row r="222" spans="1:12" s="40" customFormat="1" ht="15.6">
      <c r="A222" s="114">
        <v>87</v>
      </c>
      <c r="B222" s="47" t="s">
        <v>47</v>
      </c>
      <c r="C222" s="48" t="s">
        <v>48</v>
      </c>
      <c r="D222" s="48" t="s">
        <v>49</v>
      </c>
      <c r="E222" s="39">
        <v>1</v>
      </c>
      <c r="F222" s="48" t="s">
        <v>117</v>
      </c>
      <c r="G222" s="48" t="s">
        <v>279</v>
      </c>
      <c r="H222" s="46" t="s">
        <v>7</v>
      </c>
      <c r="I222" s="49">
        <v>2.73</v>
      </c>
      <c r="J222" s="72">
        <v>800</v>
      </c>
      <c r="K222" s="37">
        <f t="shared" si="4"/>
        <v>2184</v>
      </c>
      <c r="L222" s="63"/>
    </row>
    <row r="223" spans="1:12" s="40" customFormat="1" ht="26.4">
      <c r="A223" s="114">
        <v>88</v>
      </c>
      <c r="B223" s="47" t="s">
        <v>47</v>
      </c>
      <c r="C223" s="48" t="s">
        <v>48</v>
      </c>
      <c r="D223" s="48" t="s">
        <v>49</v>
      </c>
      <c r="E223" s="39">
        <v>1</v>
      </c>
      <c r="F223" s="48" t="s">
        <v>91</v>
      </c>
      <c r="G223" s="48" t="s">
        <v>279</v>
      </c>
      <c r="H223" s="46" t="s">
        <v>7</v>
      </c>
      <c r="I223" s="49">
        <v>11</v>
      </c>
      <c r="J223" s="72">
        <v>800</v>
      </c>
      <c r="K223" s="37">
        <f t="shared" si="4"/>
        <v>8800</v>
      </c>
      <c r="L223" s="63"/>
    </row>
    <row r="224" spans="1:12" s="40" customFormat="1" ht="26.4">
      <c r="A224" s="114">
        <v>89</v>
      </c>
      <c r="B224" s="47" t="s">
        <v>47</v>
      </c>
      <c r="C224" s="48" t="s">
        <v>48</v>
      </c>
      <c r="D224" s="48" t="s">
        <v>49</v>
      </c>
      <c r="E224" s="39">
        <v>2</v>
      </c>
      <c r="F224" s="48" t="s">
        <v>191</v>
      </c>
      <c r="G224" s="48" t="s">
        <v>279</v>
      </c>
      <c r="H224" s="46" t="s">
        <v>7</v>
      </c>
      <c r="I224" s="49">
        <v>2.73</v>
      </c>
      <c r="J224" s="72">
        <v>800</v>
      </c>
      <c r="K224" s="37">
        <f t="shared" si="4"/>
        <v>2184</v>
      </c>
      <c r="L224" s="63"/>
    </row>
    <row r="225" spans="1:12" s="40" customFormat="1" ht="15.6">
      <c r="A225" s="114">
        <v>90</v>
      </c>
      <c r="B225" s="47" t="s">
        <v>47</v>
      </c>
      <c r="C225" s="48" t="s">
        <v>48</v>
      </c>
      <c r="D225" s="48" t="s">
        <v>49</v>
      </c>
      <c r="E225" s="39">
        <v>2</v>
      </c>
      <c r="F225" s="48" t="s">
        <v>183</v>
      </c>
      <c r="G225" s="48" t="s">
        <v>279</v>
      </c>
      <c r="H225" s="46" t="s">
        <v>7</v>
      </c>
      <c r="I225" s="49">
        <v>2.73</v>
      </c>
      <c r="J225" s="72">
        <v>800</v>
      </c>
      <c r="K225" s="37">
        <f t="shared" si="4"/>
        <v>2184</v>
      </c>
      <c r="L225" s="63"/>
    </row>
    <row r="226" spans="1:12" s="40" customFormat="1" ht="52.8">
      <c r="A226" s="114">
        <v>91</v>
      </c>
      <c r="B226" s="47" t="s">
        <v>64</v>
      </c>
      <c r="C226" s="48" t="s">
        <v>48</v>
      </c>
      <c r="D226" s="48" t="s">
        <v>49</v>
      </c>
      <c r="E226" s="39">
        <v>2</v>
      </c>
      <c r="F226" s="48" t="s">
        <v>275</v>
      </c>
      <c r="G226" s="48" t="s">
        <v>279</v>
      </c>
      <c r="H226" s="46" t="s">
        <v>7</v>
      </c>
      <c r="I226" s="49">
        <v>5.46</v>
      </c>
      <c r="J226" s="72">
        <v>800</v>
      </c>
      <c r="K226" s="37">
        <f t="shared" si="4"/>
        <v>4368</v>
      </c>
      <c r="L226" s="63"/>
    </row>
    <row r="227" spans="1:12" s="40" customFormat="1" ht="30.6" customHeight="1">
      <c r="A227" s="114">
        <v>92</v>
      </c>
      <c r="B227" s="47" t="s">
        <v>59</v>
      </c>
      <c r="C227" s="48" t="s">
        <v>48</v>
      </c>
      <c r="D227" s="48"/>
      <c r="E227" s="75" t="s">
        <v>295</v>
      </c>
      <c r="F227" s="56" t="s">
        <v>296</v>
      </c>
      <c r="G227" s="74" t="s">
        <v>297</v>
      </c>
      <c r="H227" s="46" t="s">
        <v>298</v>
      </c>
      <c r="I227" s="49">
        <v>201</v>
      </c>
      <c r="J227" s="71">
        <v>450</v>
      </c>
      <c r="K227" s="37">
        <f t="shared" si="4"/>
        <v>90450</v>
      </c>
      <c r="L227" s="63"/>
    </row>
    <row r="228" spans="1:12" s="40" customFormat="1">
      <c r="A228" s="115">
        <v>93</v>
      </c>
      <c r="B228" s="83" t="s">
        <v>60</v>
      </c>
      <c r="C228" s="84" t="s">
        <v>48</v>
      </c>
      <c r="D228" s="84" t="s">
        <v>49</v>
      </c>
      <c r="E228" s="119" t="s">
        <v>295</v>
      </c>
      <c r="F228" s="118" t="s">
        <v>296</v>
      </c>
      <c r="G228" s="84" t="s">
        <v>11</v>
      </c>
      <c r="H228" s="82" t="s">
        <v>281</v>
      </c>
      <c r="I228" s="111">
        <v>386</v>
      </c>
      <c r="J228" s="86">
        <v>50</v>
      </c>
      <c r="K228" s="87">
        <f t="shared" si="4"/>
        <v>19300</v>
      </c>
      <c r="L228" s="112"/>
    </row>
    <row r="229" spans="1:12" s="40" customFormat="1" ht="45" customHeight="1">
      <c r="A229" s="96" t="s">
        <v>50</v>
      </c>
      <c r="B229" s="137"/>
      <c r="C229" s="138"/>
      <c r="D229" s="138"/>
      <c r="E229" s="138"/>
      <c r="F229" s="138"/>
      <c r="G229" s="138"/>
      <c r="H229" s="138"/>
      <c r="I229" s="138"/>
      <c r="J229" s="139"/>
      <c r="K229" s="38">
        <f>SUM(K136:K228)</f>
        <v>1612288.5</v>
      </c>
      <c r="L229" s="50"/>
    </row>
    <row r="230" spans="1:12" s="40" customFormat="1">
      <c r="A230" s="43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</row>
    <row r="231" spans="1:12" s="40" customForma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</row>
    <row r="232" spans="1:12" s="40" customForma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</row>
    <row r="233" spans="1:12" s="40" customFormat="1" ht="15" thickBot="1">
      <c r="A233" s="42"/>
      <c r="B233" s="44" t="s">
        <v>34</v>
      </c>
      <c r="C233" s="131" t="s">
        <v>288</v>
      </c>
      <c r="D233" s="131"/>
      <c r="E233" s="131"/>
      <c r="F233" s="131"/>
      <c r="G233" s="43"/>
      <c r="H233" s="128"/>
      <c r="I233" s="128"/>
      <c r="J233" s="43"/>
      <c r="K233" s="42"/>
      <c r="L233" s="42"/>
    </row>
    <row r="234" spans="1:12" s="40" customFormat="1">
      <c r="A234" s="43"/>
      <c r="B234" s="43"/>
      <c r="C234" s="133" t="s">
        <v>69</v>
      </c>
      <c r="D234" s="133"/>
      <c r="E234" s="133"/>
      <c r="F234" s="133"/>
      <c r="G234" s="43"/>
      <c r="H234" s="134">
        <v>45991</v>
      </c>
      <c r="I234" s="133"/>
      <c r="J234" s="43"/>
      <c r="K234" s="42"/>
      <c r="L234" s="42"/>
    </row>
    <row r="235" spans="1:12" s="40" customFormat="1" ht="15" thickBot="1">
      <c r="A235" s="43"/>
      <c r="B235" s="45" t="s">
        <v>71</v>
      </c>
      <c r="C235" s="131" t="s">
        <v>299</v>
      </c>
      <c r="D235" s="131"/>
      <c r="E235" s="131"/>
      <c r="F235" s="131"/>
      <c r="G235" s="43"/>
      <c r="H235" s="128"/>
      <c r="I235" s="128"/>
      <c r="J235" s="43"/>
      <c r="K235" s="42"/>
      <c r="L235" s="42"/>
    </row>
    <row r="236" spans="1:12" s="40" customFormat="1">
      <c r="A236" s="43"/>
      <c r="B236" s="43"/>
      <c r="C236" s="133" t="s">
        <v>69</v>
      </c>
      <c r="D236" s="133"/>
      <c r="E236" s="133"/>
      <c r="F236" s="133"/>
      <c r="G236" s="43"/>
      <c r="H236" s="134">
        <v>45991</v>
      </c>
      <c r="I236" s="133"/>
      <c r="J236" s="43"/>
      <c r="K236" s="42"/>
      <c r="L236" s="42"/>
    </row>
    <row r="237" spans="1:12" s="40" customFormat="1">
      <c r="A237" s="43"/>
      <c r="B237" s="43"/>
      <c r="C237" s="43"/>
      <c r="D237" s="43"/>
      <c r="E237" s="43"/>
      <c r="F237" s="43"/>
      <c r="G237" s="43"/>
      <c r="H237" s="135"/>
      <c r="I237" s="135"/>
      <c r="J237" s="43"/>
    </row>
    <row r="238" spans="1:12" s="40" customFormat="1" ht="15" thickBot="1">
      <c r="A238" s="43"/>
      <c r="B238" s="45" t="s">
        <v>289</v>
      </c>
      <c r="C238" s="131" t="s">
        <v>290</v>
      </c>
      <c r="D238" s="131"/>
      <c r="E238" s="131"/>
      <c r="F238" s="131"/>
      <c r="G238" s="43"/>
      <c r="H238" s="128"/>
      <c r="I238" s="128"/>
      <c r="J238" s="43"/>
    </row>
    <row r="239" spans="1:12" s="40" customFormat="1">
      <c r="A239" s="43"/>
      <c r="B239" s="43"/>
      <c r="C239" s="133" t="s">
        <v>69</v>
      </c>
      <c r="D239" s="133"/>
      <c r="E239" s="133"/>
      <c r="F239" s="133"/>
      <c r="G239" s="43"/>
      <c r="H239" s="134">
        <v>45991</v>
      </c>
      <c r="I239" s="133"/>
      <c r="J239" s="43"/>
    </row>
    <row r="240" spans="1:12" s="40" customForma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</row>
    <row r="241" spans="1:10" s="40" customFormat="1" ht="15" thickBot="1">
      <c r="A241" s="43"/>
      <c r="B241" s="45" t="s">
        <v>72</v>
      </c>
      <c r="C241" s="128"/>
      <c r="D241" s="128"/>
      <c r="E241" s="128"/>
      <c r="F241" s="128"/>
      <c r="G241" s="43"/>
      <c r="H241" s="128"/>
      <c r="I241" s="128"/>
      <c r="J241" s="43"/>
    </row>
    <row r="242" spans="1:10" s="40" customFormat="1">
      <c r="A242" s="43"/>
      <c r="B242" s="43"/>
      <c r="C242" s="133" t="s">
        <v>69</v>
      </c>
      <c r="D242" s="133"/>
      <c r="E242" s="133"/>
      <c r="F242" s="133"/>
      <c r="G242" s="43"/>
      <c r="H242" s="133" t="s">
        <v>70</v>
      </c>
      <c r="I242" s="133"/>
      <c r="J242" s="43"/>
    </row>
    <row r="243" spans="1:10" s="40" customForma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</row>
    <row r="244" spans="1:10" s="40" customFormat="1" ht="15" thickBot="1">
      <c r="A244" s="43"/>
      <c r="B244" s="44" t="s">
        <v>73</v>
      </c>
      <c r="C244" s="128"/>
      <c r="D244" s="128"/>
      <c r="E244" s="128"/>
      <c r="F244" s="128"/>
      <c r="G244" s="43"/>
      <c r="H244" s="128"/>
      <c r="I244" s="128"/>
      <c r="J244" s="43"/>
    </row>
    <row r="245" spans="1:10" s="40" customFormat="1">
      <c r="A245" s="43"/>
      <c r="B245" s="43"/>
      <c r="C245" s="133" t="s">
        <v>69</v>
      </c>
      <c r="D245" s="133"/>
      <c r="E245" s="133"/>
      <c r="F245" s="133"/>
      <c r="G245" s="43"/>
      <c r="H245" s="133" t="s">
        <v>70</v>
      </c>
      <c r="I245" s="133"/>
      <c r="J245" s="43"/>
    </row>
    <row r="246" spans="1:10" s="40" customFormat="1">
      <c r="A246" s="43"/>
      <c r="B246" s="41"/>
      <c r="C246" s="41"/>
      <c r="D246" s="41"/>
      <c r="E246" s="41"/>
      <c r="F246" s="41"/>
      <c r="G246" s="41"/>
      <c r="H246" s="41"/>
      <c r="I246" s="41"/>
      <c r="J246" s="41"/>
    </row>
    <row r="247" spans="1:10" s="40" customFormat="1">
      <c r="A247" s="41"/>
      <c r="B247" s="42"/>
      <c r="C247" s="42"/>
      <c r="D247" s="42"/>
      <c r="E247" s="42"/>
      <c r="F247" s="42"/>
      <c r="G247" s="42"/>
      <c r="H247" s="42"/>
      <c r="I247" s="42"/>
      <c r="J247" s="42"/>
    </row>
    <row r="248" spans="1:10">
      <c r="A248" s="42"/>
    </row>
    <row r="255" spans="1:10" s="40" customFormat="1">
      <c r="A255"/>
    </row>
    <row r="256" spans="1:10" s="40" customFormat="1"/>
    <row r="257" spans="1:13" s="40" customFormat="1">
      <c r="B257" s="76"/>
      <c r="C257" s="77" t="s">
        <v>29</v>
      </c>
      <c r="D257" s="77">
        <v>4</v>
      </c>
      <c r="E257" s="76"/>
      <c r="F257" s="76"/>
      <c r="G257" s="78" t="s">
        <v>30</v>
      </c>
      <c r="H257" s="77" t="s">
        <v>31</v>
      </c>
      <c r="I257" s="79">
        <v>45992</v>
      </c>
      <c r="J257" s="76"/>
      <c r="K257" s="76"/>
      <c r="L257" s="76"/>
      <c r="M257" s="76"/>
    </row>
    <row r="258" spans="1:13" s="40" customFormat="1">
      <c r="A258" s="76"/>
      <c r="B258" s="76"/>
      <c r="C258" s="80"/>
      <c r="D258" s="76"/>
      <c r="E258" s="76"/>
      <c r="F258" s="76"/>
      <c r="G258" s="76"/>
      <c r="H258" s="77" t="s">
        <v>32</v>
      </c>
      <c r="I258" s="79">
        <v>46006</v>
      </c>
      <c r="J258" s="76"/>
      <c r="K258" s="76"/>
      <c r="L258" s="76"/>
      <c r="M258" s="76"/>
    </row>
    <row r="259" spans="1:13" s="40" customForma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</row>
    <row r="260" spans="1:13" s="40" customFormat="1" ht="27.6">
      <c r="A260" s="76"/>
      <c r="B260" s="76"/>
      <c r="C260" s="77" t="s">
        <v>33</v>
      </c>
      <c r="D260" s="132" t="s">
        <v>217</v>
      </c>
      <c r="E260" s="132"/>
      <c r="F260" s="132"/>
      <c r="G260" s="76"/>
      <c r="H260" s="76"/>
      <c r="I260" s="76"/>
      <c r="J260" s="76"/>
      <c r="K260" s="76"/>
      <c r="L260" s="76"/>
      <c r="M260" s="76"/>
    </row>
    <row r="261" spans="1:13" s="40" customForma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</row>
    <row r="262" spans="1:13" s="40" customFormat="1">
      <c r="A262" s="76"/>
      <c r="B262" s="76"/>
      <c r="C262" s="77" t="s">
        <v>34</v>
      </c>
      <c r="D262" s="132" t="s">
        <v>218</v>
      </c>
      <c r="E262" s="132"/>
      <c r="F262" s="132"/>
      <c r="G262" s="76"/>
      <c r="H262" s="76"/>
      <c r="I262" s="76"/>
      <c r="J262" s="76"/>
      <c r="K262" s="76"/>
      <c r="L262" s="76"/>
      <c r="M262" s="76"/>
    </row>
    <row r="263" spans="1:13" s="40" customForma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</row>
    <row r="264" spans="1:13" s="40" customFormat="1">
      <c r="A264" s="76"/>
      <c r="B264" s="76"/>
      <c r="C264" s="77" t="s">
        <v>35</v>
      </c>
      <c r="D264" s="132" t="s">
        <v>36</v>
      </c>
      <c r="E264" s="132"/>
      <c r="F264" s="132"/>
      <c r="G264" s="76"/>
      <c r="H264" s="76"/>
      <c r="I264" s="76"/>
      <c r="J264" s="76"/>
      <c r="K264" s="76"/>
      <c r="L264" s="76"/>
      <c r="M264" s="76"/>
    </row>
    <row r="265" spans="1:13" s="40" customFormat="1">
      <c r="A265" s="76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</row>
    <row r="266" spans="1:13" s="40" customForma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</row>
    <row r="267" spans="1:13" s="40" customFormat="1" ht="26.4">
      <c r="A267" s="107" t="s">
        <v>37</v>
      </c>
      <c r="B267" s="108" t="s">
        <v>38</v>
      </c>
      <c r="C267" s="108" t="s">
        <v>39</v>
      </c>
      <c r="D267" s="108" t="s">
        <v>320</v>
      </c>
      <c r="E267" s="108" t="s">
        <v>40</v>
      </c>
      <c r="F267" s="108" t="s">
        <v>41</v>
      </c>
      <c r="G267" s="108" t="s">
        <v>2</v>
      </c>
      <c r="H267" s="108" t="s">
        <v>42</v>
      </c>
      <c r="I267" s="108" t="s">
        <v>43</v>
      </c>
      <c r="J267" s="108" t="s">
        <v>44</v>
      </c>
      <c r="K267" s="108" t="s">
        <v>45</v>
      </c>
      <c r="L267" s="109" t="s">
        <v>46</v>
      </c>
      <c r="M267" s="81"/>
    </row>
    <row r="268" spans="1:13" s="40" customFormat="1" ht="26.4">
      <c r="A268" s="114">
        <v>1</v>
      </c>
      <c r="B268" s="47" t="s">
        <v>47</v>
      </c>
      <c r="C268" s="48" t="s">
        <v>48</v>
      </c>
      <c r="D268" s="48" t="s">
        <v>49</v>
      </c>
      <c r="E268" s="39">
        <v>1</v>
      </c>
      <c r="F268" s="48" t="s">
        <v>90</v>
      </c>
      <c r="G268" s="48" t="s">
        <v>278</v>
      </c>
      <c r="H268" s="46" t="s">
        <v>7</v>
      </c>
      <c r="I268" s="39">
        <v>19.5</v>
      </c>
      <c r="J268" s="71">
        <v>195</v>
      </c>
      <c r="K268" s="37">
        <f>I268*J268</f>
        <v>3802.5</v>
      </c>
      <c r="L268" s="63"/>
      <c r="M268" s="76"/>
    </row>
    <row r="269" spans="1:13" s="40" customFormat="1" ht="26.4">
      <c r="A269" s="114">
        <v>2</v>
      </c>
      <c r="B269" s="47" t="s">
        <v>47</v>
      </c>
      <c r="C269" s="48" t="s">
        <v>48</v>
      </c>
      <c r="D269" s="48" t="s">
        <v>49</v>
      </c>
      <c r="E269" s="39">
        <v>2</v>
      </c>
      <c r="F269" s="48" t="s">
        <v>207</v>
      </c>
      <c r="G269" s="48" t="s">
        <v>278</v>
      </c>
      <c r="H269" s="46" t="s">
        <v>7</v>
      </c>
      <c r="I269" s="49">
        <v>3.5</v>
      </c>
      <c r="J269" s="71">
        <v>195</v>
      </c>
      <c r="K269" s="37">
        <f t="shared" ref="K269:K332" si="5">I269*J269</f>
        <v>682.5</v>
      </c>
      <c r="L269" s="63"/>
      <c r="M269" s="76"/>
    </row>
    <row r="270" spans="1:13" s="40" customFormat="1" ht="26.4">
      <c r="A270" s="114">
        <v>3</v>
      </c>
      <c r="B270" s="47" t="s">
        <v>47</v>
      </c>
      <c r="C270" s="48" t="s">
        <v>48</v>
      </c>
      <c r="D270" s="48" t="s">
        <v>49</v>
      </c>
      <c r="E270" s="39">
        <v>2</v>
      </c>
      <c r="F270" s="48" t="s">
        <v>211</v>
      </c>
      <c r="G270" s="48" t="s">
        <v>278</v>
      </c>
      <c r="H270" s="46" t="s">
        <v>7</v>
      </c>
      <c r="I270" s="49">
        <v>35</v>
      </c>
      <c r="J270" s="71">
        <v>195</v>
      </c>
      <c r="K270" s="37">
        <f t="shared" si="5"/>
        <v>6825</v>
      </c>
      <c r="L270" s="63"/>
      <c r="M270" s="76"/>
    </row>
    <row r="271" spans="1:13" s="40" customFormat="1" ht="26.4">
      <c r="A271" s="114">
        <v>4</v>
      </c>
      <c r="B271" s="47" t="s">
        <v>47</v>
      </c>
      <c r="C271" s="48" t="s">
        <v>48</v>
      </c>
      <c r="D271" s="48" t="s">
        <v>49</v>
      </c>
      <c r="E271" s="39">
        <v>3</v>
      </c>
      <c r="F271" s="48" t="s">
        <v>246</v>
      </c>
      <c r="G271" s="48" t="s">
        <v>278</v>
      </c>
      <c r="H271" s="46" t="s">
        <v>7</v>
      </c>
      <c r="I271" s="49">
        <v>28</v>
      </c>
      <c r="J271" s="71">
        <v>195</v>
      </c>
      <c r="K271" s="37">
        <f t="shared" si="5"/>
        <v>5460</v>
      </c>
      <c r="L271" s="63"/>
      <c r="M271" s="76"/>
    </row>
    <row r="272" spans="1:13" s="40" customFormat="1" ht="26.4">
      <c r="A272" s="114">
        <v>5</v>
      </c>
      <c r="B272" s="47" t="s">
        <v>47</v>
      </c>
      <c r="C272" s="48" t="s">
        <v>48</v>
      </c>
      <c r="D272" s="48" t="s">
        <v>49</v>
      </c>
      <c r="E272" s="39">
        <v>3</v>
      </c>
      <c r="F272" s="48" t="s">
        <v>245</v>
      </c>
      <c r="G272" s="48" t="s">
        <v>278</v>
      </c>
      <c r="H272" s="46" t="s">
        <v>7</v>
      </c>
      <c r="I272" s="49">
        <v>12</v>
      </c>
      <c r="J272" s="71">
        <v>195</v>
      </c>
      <c r="K272" s="37">
        <f t="shared" si="5"/>
        <v>2340</v>
      </c>
      <c r="L272" s="63"/>
      <c r="M272" s="76"/>
    </row>
    <row r="273" spans="1:13" s="40" customFormat="1" ht="26.4">
      <c r="A273" s="114">
        <v>6</v>
      </c>
      <c r="B273" s="47" t="s">
        <v>47</v>
      </c>
      <c r="C273" s="48" t="s">
        <v>48</v>
      </c>
      <c r="D273" s="48" t="s">
        <v>49</v>
      </c>
      <c r="E273" s="39">
        <v>3</v>
      </c>
      <c r="F273" s="48" t="s">
        <v>247</v>
      </c>
      <c r="G273" s="48" t="s">
        <v>278</v>
      </c>
      <c r="H273" s="46" t="s">
        <v>7</v>
      </c>
      <c r="I273" s="49">
        <v>34.799999999999997</v>
      </c>
      <c r="J273" s="71">
        <v>195</v>
      </c>
      <c r="K273" s="37">
        <f t="shared" si="5"/>
        <v>6785.9999999999991</v>
      </c>
      <c r="L273" s="63"/>
      <c r="M273" s="76"/>
    </row>
    <row r="274" spans="1:13" s="40" customFormat="1" ht="26.4">
      <c r="A274" s="114">
        <v>7</v>
      </c>
      <c r="B274" s="47" t="s">
        <v>47</v>
      </c>
      <c r="C274" s="48" t="s">
        <v>48</v>
      </c>
      <c r="D274" s="48" t="s">
        <v>49</v>
      </c>
      <c r="E274" s="39">
        <v>3</v>
      </c>
      <c r="F274" s="48" t="s">
        <v>244</v>
      </c>
      <c r="G274" s="48" t="s">
        <v>278</v>
      </c>
      <c r="H274" s="46" t="s">
        <v>7</v>
      </c>
      <c r="I274" s="49">
        <v>15</v>
      </c>
      <c r="J274" s="71">
        <v>195</v>
      </c>
      <c r="K274" s="37">
        <f t="shared" si="5"/>
        <v>2925</v>
      </c>
      <c r="L274" s="63"/>
      <c r="M274" s="76"/>
    </row>
    <row r="275" spans="1:13" s="40" customFormat="1" ht="26.4">
      <c r="A275" s="114">
        <v>8</v>
      </c>
      <c r="B275" s="47" t="s">
        <v>47</v>
      </c>
      <c r="C275" s="48" t="s">
        <v>48</v>
      </c>
      <c r="D275" s="48" t="s">
        <v>49</v>
      </c>
      <c r="E275" s="39">
        <v>3</v>
      </c>
      <c r="F275" s="48" t="s">
        <v>242</v>
      </c>
      <c r="G275" s="48" t="s">
        <v>278</v>
      </c>
      <c r="H275" s="46" t="s">
        <v>7</v>
      </c>
      <c r="I275" s="49">
        <v>28.4</v>
      </c>
      <c r="J275" s="71">
        <v>195</v>
      </c>
      <c r="K275" s="37">
        <f t="shared" si="5"/>
        <v>5538</v>
      </c>
      <c r="L275" s="63"/>
      <c r="M275" s="76"/>
    </row>
    <row r="276" spans="1:13" s="40" customFormat="1" ht="26.4">
      <c r="A276" s="114">
        <v>9</v>
      </c>
      <c r="B276" s="47" t="s">
        <v>47</v>
      </c>
      <c r="C276" s="48" t="s">
        <v>48</v>
      </c>
      <c r="D276" s="48" t="s">
        <v>49</v>
      </c>
      <c r="E276" s="39">
        <v>3</v>
      </c>
      <c r="F276" s="48" t="s">
        <v>241</v>
      </c>
      <c r="G276" s="48" t="s">
        <v>278</v>
      </c>
      <c r="H276" s="46" t="s">
        <v>7</v>
      </c>
      <c r="I276" s="49">
        <v>12.3</v>
      </c>
      <c r="J276" s="71">
        <v>195</v>
      </c>
      <c r="K276" s="37">
        <f t="shared" si="5"/>
        <v>2398.5</v>
      </c>
      <c r="L276" s="63"/>
      <c r="M276" s="76"/>
    </row>
    <row r="277" spans="1:13" s="40" customFormat="1" ht="26.4">
      <c r="A277" s="114">
        <v>10</v>
      </c>
      <c r="B277" s="47" t="s">
        <v>47</v>
      </c>
      <c r="C277" s="48" t="s">
        <v>48</v>
      </c>
      <c r="D277" s="48" t="s">
        <v>49</v>
      </c>
      <c r="E277" s="39">
        <v>3</v>
      </c>
      <c r="F277" s="48" t="s">
        <v>240</v>
      </c>
      <c r="G277" s="48" t="s">
        <v>278</v>
      </c>
      <c r="H277" s="46" t="s">
        <v>7</v>
      </c>
      <c r="I277" s="49">
        <v>34.799999999999997</v>
      </c>
      <c r="J277" s="71">
        <v>195</v>
      </c>
      <c r="K277" s="37">
        <f t="shared" si="5"/>
        <v>6785.9999999999991</v>
      </c>
      <c r="L277" s="63"/>
      <c r="M277" s="76"/>
    </row>
    <row r="278" spans="1:13" s="40" customFormat="1" ht="26.4">
      <c r="A278" s="114">
        <v>11</v>
      </c>
      <c r="B278" s="47" t="s">
        <v>47</v>
      </c>
      <c r="C278" s="48" t="s">
        <v>48</v>
      </c>
      <c r="D278" s="48" t="s">
        <v>49</v>
      </c>
      <c r="E278" s="39">
        <v>3</v>
      </c>
      <c r="F278" s="48" t="s">
        <v>239</v>
      </c>
      <c r="G278" s="48" t="s">
        <v>278</v>
      </c>
      <c r="H278" s="46" t="s">
        <v>7</v>
      </c>
      <c r="I278" s="49">
        <v>5.4</v>
      </c>
      <c r="J278" s="71">
        <v>195</v>
      </c>
      <c r="K278" s="37">
        <f t="shared" si="5"/>
        <v>1053</v>
      </c>
      <c r="L278" s="63"/>
      <c r="M278" s="76"/>
    </row>
    <row r="279" spans="1:13" s="40" customFormat="1" ht="26.4">
      <c r="A279" s="114">
        <v>12</v>
      </c>
      <c r="B279" s="47" t="s">
        <v>47</v>
      </c>
      <c r="C279" s="48" t="s">
        <v>48</v>
      </c>
      <c r="D279" s="48" t="s">
        <v>49</v>
      </c>
      <c r="E279" s="39">
        <v>3</v>
      </c>
      <c r="F279" s="48" t="s">
        <v>238</v>
      </c>
      <c r="G279" s="48" t="s">
        <v>278</v>
      </c>
      <c r="H279" s="46" t="s">
        <v>7</v>
      </c>
      <c r="I279" s="49">
        <v>12</v>
      </c>
      <c r="J279" s="71">
        <v>195</v>
      </c>
      <c r="K279" s="37">
        <f t="shared" si="5"/>
        <v>2340</v>
      </c>
      <c r="L279" s="63"/>
      <c r="M279" s="76"/>
    </row>
    <row r="280" spans="1:13" s="40" customFormat="1" ht="26.4">
      <c r="A280" s="114">
        <v>13</v>
      </c>
      <c r="B280" s="47" t="s">
        <v>47</v>
      </c>
      <c r="C280" s="48" t="s">
        <v>48</v>
      </c>
      <c r="D280" s="48" t="s">
        <v>49</v>
      </c>
      <c r="E280" s="39">
        <v>3</v>
      </c>
      <c r="F280" s="48" t="s">
        <v>254</v>
      </c>
      <c r="G280" s="48" t="s">
        <v>278</v>
      </c>
      <c r="H280" s="46" t="s">
        <v>7</v>
      </c>
      <c r="I280" s="49">
        <v>36</v>
      </c>
      <c r="J280" s="71">
        <v>195</v>
      </c>
      <c r="K280" s="37">
        <f t="shared" si="5"/>
        <v>7020</v>
      </c>
      <c r="L280" s="63"/>
      <c r="M280" s="76"/>
    </row>
    <row r="281" spans="1:13" s="40" customFormat="1" ht="39.6">
      <c r="A281" s="114">
        <v>14</v>
      </c>
      <c r="B281" s="47" t="s">
        <v>47</v>
      </c>
      <c r="C281" s="48" t="s">
        <v>48</v>
      </c>
      <c r="D281" s="48" t="s">
        <v>49</v>
      </c>
      <c r="E281" s="39">
        <v>3</v>
      </c>
      <c r="F281" s="48" t="s">
        <v>270</v>
      </c>
      <c r="G281" s="48" t="s">
        <v>278</v>
      </c>
      <c r="H281" s="46" t="s">
        <v>7</v>
      </c>
      <c r="I281" s="49">
        <v>13.7</v>
      </c>
      <c r="J281" s="71">
        <v>195</v>
      </c>
      <c r="K281" s="37">
        <f t="shared" si="5"/>
        <v>2671.5</v>
      </c>
      <c r="L281" s="63"/>
      <c r="M281" s="76"/>
    </row>
    <row r="282" spans="1:13" s="40" customFormat="1" ht="52.8">
      <c r="A282" s="114">
        <v>15</v>
      </c>
      <c r="B282" s="47" t="s">
        <v>47</v>
      </c>
      <c r="C282" s="48" t="s">
        <v>48</v>
      </c>
      <c r="D282" s="48" t="s">
        <v>49</v>
      </c>
      <c r="E282" s="39">
        <v>3</v>
      </c>
      <c r="F282" s="48" t="s">
        <v>269</v>
      </c>
      <c r="G282" s="48" t="s">
        <v>278</v>
      </c>
      <c r="H282" s="46" t="s">
        <v>7</v>
      </c>
      <c r="I282" s="49">
        <v>18</v>
      </c>
      <c r="J282" s="71">
        <v>195</v>
      </c>
      <c r="K282" s="37">
        <f t="shared" si="5"/>
        <v>3510</v>
      </c>
      <c r="L282" s="63"/>
      <c r="M282" s="76"/>
    </row>
    <row r="283" spans="1:13" s="40" customFormat="1" ht="26.4">
      <c r="A283" s="114">
        <v>16</v>
      </c>
      <c r="B283" s="47" t="s">
        <v>47</v>
      </c>
      <c r="C283" s="48" t="s">
        <v>48</v>
      </c>
      <c r="D283" s="48" t="s">
        <v>49</v>
      </c>
      <c r="E283" s="39">
        <v>3</v>
      </c>
      <c r="F283" s="48" t="s">
        <v>256</v>
      </c>
      <c r="G283" s="48" t="s">
        <v>278</v>
      </c>
      <c r="H283" s="46" t="s">
        <v>7</v>
      </c>
      <c r="I283" s="49">
        <v>77.5</v>
      </c>
      <c r="J283" s="71">
        <v>195</v>
      </c>
      <c r="K283" s="37">
        <f t="shared" si="5"/>
        <v>15112.5</v>
      </c>
      <c r="L283" s="63"/>
      <c r="M283" s="76"/>
    </row>
    <row r="284" spans="1:13" s="40" customFormat="1" ht="26.4">
      <c r="A284" s="114">
        <v>17</v>
      </c>
      <c r="B284" s="47" t="s">
        <v>47</v>
      </c>
      <c r="C284" s="48" t="s">
        <v>48</v>
      </c>
      <c r="D284" s="48" t="s">
        <v>49</v>
      </c>
      <c r="E284" s="39">
        <v>3</v>
      </c>
      <c r="F284" s="48" t="s">
        <v>255</v>
      </c>
      <c r="G284" s="48" t="s">
        <v>278</v>
      </c>
      <c r="H284" s="46" t="s">
        <v>7</v>
      </c>
      <c r="I284" s="49">
        <v>21</v>
      </c>
      <c r="J284" s="71">
        <v>195</v>
      </c>
      <c r="K284" s="37">
        <f t="shared" si="5"/>
        <v>4095</v>
      </c>
      <c r="L284" s="63"/>
      <c r="M284" s="76"/>
    </row>
    <row r="285" spans="1:13" s="40" customFormat="1" ht="26.4">
      <c r="A285" s="114">
        <v>18</v>
      </c>
      <c r="B285" s="47" t="s">
        <v>47</v>
      </c>
      <c r="C285" s="48" t="s">
        <v>48</v>
      </c>
      <c r="D285" s="48" t="s">
        <v>49</v>
      </c>
      <c r="E285" s="39">
        <v>3</v>
      </c>
      <c r="F285" s="48" t="s">
        <v>248</v>
      </c>
      <c r="G285" s="48" t="s">
        <v>278</v>
      </c>
      <c r="H285" s="46" t="s">
        <v>7</v>
      </c>
      <c r="I285" s="49">
        <v>40</v>
      </c>
      <c r="J285" s="71">
        <v>195</v>
      </c>
      <c r="K285" s="37">
        <f t="shared" si="5"/>
        <v>7800</v>
      </c>
      <c r="L285" s="63"/>
      <c r="M285" s="76"/>
    </row>
    <row r="286" spans="1:13" s="40" customFormat="1" ht="26.4">
      <c r="A286" s="114">
        <v>19</v>
      </c>
      <c r="B286" s="47" t="s">
        <v>47</v>
      </c>
      <c r="C286" s="48" t="s">
        <v>48</v>
      </c>
      <c r="D286" s="48" t="s">
        <v>49</v>
      </c>
      <c r="E286" s="39">
        <v>3</v>
      </c>
      <c r="F286" s="48" t="s">
        <v>243</v>
      </c>
      <c r="G286" s="48" t="s">
        <v>278</v>
      </c>
      <c r="H286" s="46" t="s">
        <v>7</v>
      </c>
      <c r="I286" s="49">
        <v>40</v>
      </c>
      <c r="J286" s="71">
        <v>195</v>
      </c>
      <c r="K286" s="37">
        <f t="shared" si="5"/>
        <v>7800</v>
      </c>
      <c r="L286" s="63"/>
      <c r="M286" s="76"/>
    </row>
    <row r="287" spans="1:13" s="40" customFormat="1" ht="26.4">
      <c r="A287" s="114">
        <v>20</v>
      </c>
      <c r="B287" s="47" t="s">
        <v>47</v>
      </c>
      <c r="C287" s="48" t="s">
        <v>48</v>
      </c>
      <c r="D287" s="48" t="s">
        <v>49</v>
      </c>
      <c r="E287" s="39">
        <v>-1</v>
      </c>
      <c r="F287" s="48" t="s">
        <v>82</v>
      </c>
      <c r="G287" s="48" t="s">
        <v>278</v>
      </c>
      <c r="H287" s="46" t="s">
        <v>7</v>
      </c>
      <c r="I287" s="49">
        <v>174.3</v>
      </c>
      <c r="J287" s="71">
        <v>195</v>
      </c>
      <c r="K287" s="37">
        <f t="shared" si="5"/>
        <v>33988.5</v>
      </c>
      <c r="L287" s="63"/>
      <c r="M287" s="76"/>
    </row>
    <row r="288" spans="1:13" s="40" customFormat="1" ht="39.6">
      <c r="A288" s="114">
        <v>21</v>
      </c>
      <c r="B288" s="47" t="s">
        <v>47</v>
      </c>
      <c r="C288" s="48" t="s">
        <v>48</v>
      </c>
      <c r="D288" s="48" t="s">
        <v>49</v>
      </c>
      <c r="E288" s="39">
        <v>-1</v>
      </c>
      <c r="F288" s="48" t="s">
        <v>273</v>
      </c>
      <c r="G288" s="48" t="s">
        <v>278</v>
      </c>
      <c r="H288" s="46" t="s">
        <v>7</v>
      </c>
      <c r="I288" s="49">
        <v>2.2000000000000002</v>
      </c>
      <c r="J288" s="71">
        <v>195</v>
      </c>
      <c r="K288" s="37">
        <f t="shared" si="5"/>
        <v>429.00000000000006</v>
      </c>
      <c r="L288" s="63"/>
      <c r="M288" s="76"/>
    </row>
    <row r="289" spans="1:13" s="40" customFormat="1" ht="15.6">
      <c r="A289" s="114">
        <v>22</v>
      </c>
      <c r="B289" s="47" t="s">
        <v>47</v>
      </c>
      <c r="C289" s="48" t="s">
        <v>48</v>
      </c>
      <c r="D289" s="48"/>
      <c r="E289" s="39"/>
      <c r="F289" s="48"/>
      <c r="G289" s="48"/>
      <c r="H289" s="46"/>
      <c r="I289" s="49"/>
      <c r="J289" s="72"/>
      <c r="K289" s="37">
        <f t="shared" si="5"/>
        <v>0</v>
      </c>
      <c r="L289" s="63"/>
      <c r="M289" s="76"/>
    </row>
    <row r="290" spans="1:13" s="40" customFormat="1" ht="26.4">
      <c r="A290" s="114">
        <v>23</v>
      </c>
      <c r="B290" s="47" t="s">
        <v>60</v>
      </c>
      <c r="C290" s="48" t="s">
        <v>48</v>
      </c>
      <c r="D290" s="48" t="s">
        <v>49</v>
      </c>
      <c r="E290" s="39">
        <v>2</v>
      </c>
      <c r="F290" s="48" t="s">
        <v>211</v>
      </c>
      <c r="G290" s="48" t="s">
        <v>277</v>
      </c>
      <c r="H290" s="46" t="s">
        <v>7</v>
      </c>
      <c r="I290" s="49">
        <v>35</v>
      </c>
      <c r="J290" s="71">
        <v>195</v>
      </c>
      <c r="K290" s="37">
        <f t="shared" si="5"/>
        <v>6825</v>
      </c>
      <c r="L290" s="63"/>
      <c r="M290" s="76"/>
    </row>
    <row r="291" spans="1:13" s="40" customFormat="1" ht="26.4">
      <c r="A291" s="114">
        <v>24</v>
      </c>
      <c r="B291" s="47" t="s">
        <v>47</v>
      </c>
      <c r="C291" s="48" t="s">
        <v>48</v>
      </c>
      <c r="D291" s="48" t="s">
        <v>49</v>
      </c>
      <c r="E291" s="39">
        <v>2</v>
      </c>
      <c r="F291" s="48" t="s">
        <v>209</v>
      </c>
      <c r="G291" s="48" t="s">
        <v>277</v>
      </c>
      <c r="H291" s="46" t="s">
        <v>7</v>
      </c>
      <c r="I291" s="49">
        <v>52</v>
      </c>
      <c r="J291" s="71">
        <v>195</v>
      </c>
      <c r="K291" s="37">
        <f t="shared" si="5"/>
        <v>10140</v>
      </c>
      <c r="L291" s="63"/>
      <c r="M291" s="76"/>
    </row>
    <row r="292" spans="1:13" s="40" customFormat="1" ht="26.4">
      <c r="A292" s="114">
        <v>25</v>
      </c>
      <c r="B292" s="47" t="s">
        <v>47</v>
      </c>
      <c r="C292" s="48" t="s">
        <v>48</v>
      </c>
      <c r="D292" s="48" t="s">
        <v>49</v>
      </c>
      <c r="E292" s="39">
        <v>2</v>
      </c>
      <c r="F292" s="48" t="s">
        <v>206</v>
      </c>
      <c r="G292" s="48" t="s">
        <v>277</v>
      </c>
      <c r="H292" s="46" t="s">
        <v>7</v>
      </c>
      <c r="I292" s="49">
        <v>35.5</v>
      </c>
      <c r="J292" s="71">
        <v>195</v>
      </c>
      <c r="K292" s="37">
        <f t="shared" si="5"/>
        <v>6922.5</v>
      </c>
      <c r="L292" s="63"/>
      <c r="M292" s="76"/>
    </row>
    <row r="293" spans="1:13" s="40" customFormat="1" ht="39.6">
      <c r="A293" s="114">
        <v>26</v>
      </c>
      <c r="B293" s="47" t="s">
        <v>47</v>
      </c>
      <c r="C293" s="48" t="s">
        <v>48</v>
      </c>
      <c r="D293" s="48" t="s">
        <v>49</v>
      </c>
      <c r="E293" s="39">
        <v>2</v>
      </c>
      <c r="F293" s="48" t="s">
        <v>272</v>
      </c>
      <c r="G293" s="48" t="s">
        <v>277</v>
      </c>
      <c r="H293" s="46" t="s">
        <v>7</v>
      </c>
      <c r="I293" s="49">
        <v>104.5</v>
      </c>
      <c r="J293" s="71">
        <v>195</v>
      </c>
      <c r="K293" s="37">
        <f t="shared" si="5"/>
        <v>20377.5</v>
      </c>
      <c r="L293" s="63"/>
      <c r="M293" s="76"/>
    </row>
    <row r="294" spans="1:13" s="40" customFormat="1" ht="26.4">
      <c r="A294" s="114">
        <v>27</v>
      </c>
      <c r="B294" s="47" t="s">
        <v>47</v>
      </c>
      <c r="C294" s="48" t="s">
        <v>48</v>
      </c>
      <c r="D294" s="48" t="s">
        <v>49</v>
      </c>
      <c r="E294" s="39">
        <v>2</v>
      </c>
      <c r="F294" s="48" t="s">
        <v>207</v>
      </c>
      <c r="G294" s="48" t="s">
        <v>277</v>
      </c>
      <c r="H294" s="46" t="s">
        <v>7</v>
      </c>
      <c r="I294" s="49">
        <v>97</v>
      </c>
      <c r="J294" s="71">
        <v>195</v>
      </c>
      <c r="K294" s="37">
        <f t="shared" si="5"/>
        <v>18915</v>
      </c>
      <c r="L294" s="63"/>
      <c r="M294" s="76"/>
    </row>
    <row r="295" spans="1:13" s="40" customFormat="1" ht="26.4">
      <c r="A295" s="114">
        <v>28</v>
      </c>
      <c r="B295" s="47" t="s">
        <v>47</v>
      </c>
      <c r="C295" s="48" t="s">
        <v>48</v>
      </c>
      <c r="D295" s="48" t="s">
        <v>49</v>
      </c>
      <c r="E295" s="39">
        <v>2</v>
      </c>
      <c r="F295" s="48" t="s">
        <v>194</v>
      </c>
      <c r="G295" s="48" t="s">
        <v>277</v>
      </c>
      <c r="H295" s="46" t="s">
        <v>7</v>
      </c>
      <c r="I295" s="49">
        <v>43</v>
      </c>
      <c r="J295" s="71">
        <v>195</v>
      </c>
      <c r="K295" s="37">
        <f t="shared" si="5"/>
        <v>8385</v>
      </c>
      <c r="L295" s="63"/>
      <c r="M295" s="76"/>
    </row>
    <row r="296" spans="1:13" s="40" customFormat="1" ht="26.4">
      <c r="A296" s="114">
        <v>29</v>
      </c>
      <c r="B296" s="47" t="s">
        <v>47</v>
      </c>
      <c r="C296" s="48" t="s">
        <v>48</v>
      </c>
      <c r="D296" s="48" t="s">
        <v>49</v>
      </c>
      <c r="E296" s="39">
        <v>2</v>
      </c>
      <c r="F296" s="48" t="s">
        <v>208</v>
      </c>
      <c r="G296" s="48" t="s">
        <v>277</v>
      </c>
      <c r="H296" s="46" t="s">
        <v>7</v>
      </c>
      <c r="I296" s="49">
        <v>38</v>
      </c>
      <c r="J296" s="71">
        <v>195</v>
      </c>
      <c r="K296" s="37">
        <f t="shared" si="5"/>
        <v>7410</v>
      </c>
      <c r="L296" s="63"/>
      <c r="M296" s="76"/>
    </row>
    <row r="297" spans="1:13" s="40" customFormat="1" ht="26.4">
      <c r="A297" s="114">
        <v>30</v>
      </c>
      <c r="B297" s="47" t="s">
        <v>47</v>
      </c>
      <c r="C297" s="48" t="s">
        <v>48</v>
      </c>
      <c r="D297" s="48" t="s">
        <v>49</v>
      </c>
      <c r="E297" s="39">
        <v>2</v>
      </c>
      <c r="F297" s="48" t="s">
        <v>213</v>
      </c>
      <c r="G297" s="48" t="s">
        <v>277</v>
      </c>
      <c r="H297" s="46" t="s">
        <v>7</v>
      </c>
      <c r="I297" s="49">
        <v>34.5</v>
      </c>
      <c r="J297" s="71">
        <v>195</v>
      </c>
      <c r="K297" s="37">
        <f t="shared" si="5"/>
        <v>6727.5</v>
      </c>
      <c r="L297" s="63"/>
      <c r="M297" s="76"/>
    </row>
    <row r="298" spans="1:13" s="40" customFormat="1" ht="26.4">
      <c r="A298" s="114">
        <v>31</v>
      </c>
      <c r="B298" s="47" t="s">
        <v>47</v>
      </c>
      <c r="C298" s="48" t="s">
        <v>48</v>
      </c>
      <c r="D298" s="48" t="s">
        <v>49</v>
      </c>
      <c r="E298" s="39">
        <v>2</v>
      </c>
      <c r="F298" s="48" t="s">
        <v>214</v>
      </c>
      <c r="G298" s="48" t="s">
        <v>277</v>
      </c>
      <c r="H298" s="46" t="s">
        <v>7</v>
      </c>
      <c r="I298" s="49">
        <v>126.5</v>
      </c>
      <c r="J298" s="71">
        <v>195</v>
      </c>
      <c r="K298" s="37">
        <f t="shared" si="5"/>
        <v>24667.5</v>
      </c>
      <c r="L298" s="63"/>
      <c r="M298" s="76"/>
    </row>
    <row r="299" spans="1:13" s="40" customFormat="1" ht="26.4">
      <c r="A299" s="114">
        <v>32</v>
      </c>
      <c r="B299" s="47" t="s">
        <v>47</v>
      </c>
      <c r="C299" s="48" t="s">
        <v>48</v>
      </c>
      <c r="D299" s="48" t="s">
        <v>49</v>
      </c>
      <c r="E299" s="39">
        <v>2</v>
      </c>
      <c r="F299" s="48" t="s">
        <v>195</v>
      </c>
      <c r="G299" s="48" t="s">
        <v>277</v>
      </c>
      <c r="H299" s="46" t="s">
        <v>7</v>
      </c>
      <c r="I299" s="49">
        <v>75.3</v>
      </c>
      <c r="J299" s="71">
        <v>195</v>
      </c>
      <c r="K299" s="37">
        <f t="shared" si="5"/>
        <v>14683.5</v>
      </c>
      <c r="L299" s="63"/>
      <c r="M299" s="76"/>
    </row>
    <row r="300" spans="1:13" s="40" customFormat="1" ht="26.4">
      <c r="A300" s="114">
        <v>33</v>
      </c>
      <c r="B300" s="47" t="s">
        <v>47</v>
      </c>
      <c r="C300" s="48" t="s">
        <v>48</v>
      </c>
      <c r="D300" s="48" t="s">
        <v>49</v>
      </c>
      <c r="E300" s="39">
        <v>2</v>
      </c>
      <c r="F300" s="48" t="s">
        <v>196</v>
      </c>
      <c r="G300" s="48" t="s">
        <v>277</v>
      </c>
      <c r="H300" s="46" t="s">
        <v>7</v>
      </c>
      <c r="I300" s="49">
        <v>15.5</v>
      </c>
      <c r="J300" s="71">
        <v>195</v>
      </c>
      <c r="K300" s="37">
        <f t="shared" si="5"/>
        <v>3022.5</v>
      </c>
      <c r="L300" s="63"/>
      <c r="M300" s="81"/>
    </row>
    <row r="301" spans="1:13" s="40" customFormat="1" ht="26.4">
      <c r="A301" s="114">
        <v>34</v>
      </c>
      <c r="B301" s="47" t="s">
        <v>47</v>
      </c>
      <c r="C301" s="48" t="s">
        <v>48</v>
      </c>
      <c r="D301" s="48" t="s">
        <v>49</v>
      </c>
      <c r="E301" s="39">
        <v>2</v>
      </c>
      <c r="F301" s="48" t="s">
        <v>197</v>
      </c>
      <c r="G301" s="48" t="s">
        <v>277</v>
      </c>
      <c r="H301" s="46" t="s">
        <v>7</v>
      </c>
      <c r="I301" s="49">
        <v>40</v>
      </c>
      <c r="J301" s="71">
        <v>195</v>
      </c>
      <c r="K301" s="37">
        <f t="shared" si="5"/>
        <v>7800</v>
      </c>
      <c r="L301" s="63"/>
    </row>
    <row r="302" spans="1:13" s="40" customFormat="1" ht="26.4">
      <c r="A302" s="114">
        <v>35</v>
      </c>
      <c r="B302" s="47" t="s">
        <v>47</v>
      </c>
      <c r="C302" s="48" t="s">
        <v>48</v>
      </c>
      <c r="D302" s="48" t="s">
        <v>49</v>
      </c>
      <c r="E302" s="39">
        <v>2</v>
      </c>
      <c r="F302" s="48" t="s">
        <v>198</v>
      </c>
      <c r="G302" s="48" t="s">
        <v>277</v>
      </c>
      <c r="H302" s="46" t="s">
        <v>7</v>
      </c>
      <c r="I302" s="49">
        <v>88.5</v>
      </c>
      <c r="J302" s="71">
        <v>195</v>
      </c>
      <c r="K302" s="37">
        <f t="shared" si="5"/>
        <v>17257.5</v>
      </c>
      <c r="L302" s="63"/>
    </row>
    <row r="303" spans="1:13" s="40" customFormat="1" ht="26.4">
      <c r="A303" s="114">
        <v>36</v>
      </c>
      <c r="B303" s="47" t="s">
        <v>47</v>
      </c>
      <c r="C303" s="48" t="s">
        <v>48</v>
      </c>
      <c r="D303" s="48" t="s">
        <v>49</v>
      </c>
      <c r="E303" s="39">
        <v>2</v>
      </c>
      <c r="F303" s="48" t="s">
        <v>199</v>
      </c>
      <c r="G303" s="48" t="s">
        <v>277</v>
      </c>
      <c r="H303" s="46" t="s">
        <v>7</v>
      </c>
      <c r="I303" s="49">
        <v>88.5</v>
      </c>
      <c r="J303" s="71">
        <v>195</v>
      </c>
      <c r="K303" s="37">
        <f t="shared" si="5"/>
        <v>17257.5</v>
      </c>
      <c r="L303" s="63"/>
    </row>
    <row r="304" spans="1:13" s="40" customFormat="1" ht="26.4">
      <c r="A304" s="114">
        <v>37</v>
      </c>
      <c r="B304" s="47" t="s">
        <v>47</v>
      </c>
      <c r="C304" s="48" t="s">
        <v>48</v>
      </c>
      <c r="D304" s="48" t="s">
        <v>49</v>
      </c>
      <c r="E304" s="39">
        <v>2</v>
      </c>
      <c r="F304" s="48" t="s">
        <v>200</v>
      </c>
      <c r="G304" s="48" t="s">
        <v>277</v>
      </c>
      <c r="H304" s="46" t="s">
        <v>7</v>
      </c>
      <c r="I304" s="49">
        <v>75.3</v>
      </c>
      <c r="J304" s="71">
        <v>195</v>
      </c>
      <c r="K304" s="37">
        <f t="shared" si="5"/>
        <v>14683.5</v>
      </c>
      <c r="L304" s="63"/>
    </row>
    <row r="305" spans="1:12" s="40" customFormat="1" ht="26.4">
      <c r="A305" s="114">
        <v>38</v>
      </c>
      <c r="B305" s="47" t="s">
        <v>47</v>
      </c>
      <c r="C305" s="48" t="s">
        <v>48</v>
      </c>
      <c r="D305" s="48" t="s">
        <v>49</v>
      </c>
      <c r="E305" s="39">
        <v>2</v>
      </c>
      <c r="F305" s="48" t="s">
        <v>201</v>
      </c>
      <c r="G305" s="48" t="s">
        <v>277</v>
      </c>
      <c r="H305" s="46" t="s">
        <v>7</v>
      </c>
      <c r="I305" s="49">
        <v>15.5</v>
      </c>
      <c r="J305" s="71">
        <v>195</v>
      </c>
      <c r="K305" s="37">
        <f t="shared" si="5"/>
        <v>3022.5</v>
      </c>
      <c r="L305" s="63"/>
    </row>
    <row r="306" spans="1:12" s="40" customFormat="1" ht="26.4">
      <c r="A306" s="114">
        <v>39</v>
      </c>
      <c r="B306" s="47" t="s">
        <v>47</v>
      </c>
      <c r="C306" s="48" t="s">
        <v>48</v>
      </c>
      <c r="D306" s="48" t="s">
        <v>49</v>
      </c>
      <c r="E306" s="39">
        <v>2</v>
      </c>
      <c r="F306" s="48" t="s">
        <v>204</v>
      </c>
      <c r="G306" s="48" t="s">
        <v>277</v>
      </c>
      <c r="H306" s="46" t="s">
        <v>7</v>
      </c>
      <c r="I306" s="49">
        <v>40</v>
      </c>
      <c r="J306" s="71">
        <v>195</v>
      </c>
      <c r="K306" s="37">
        <f t="shared" si="5"/>
        <v>7800</v>
      </c>
      <c r="L306" s="63"/>
    </row>
    <row r="307" spans="1:12" s="40" customFormat="1" ht="26.4">
      <c r="A307" s="114">
        <v>40</v>
      </c>
      <c r="B307" s="47" t="s">
        <v>47</v>
      </c>
      <c r="C307" s="48" t="s">
        <v>48</v>
      </c>
      <c r="D307" s="48" t="s">
        <v>49</v>
      </c>
      <c r="E307" s="39">
        <v>2</v>
      </c>
      <c r="F307" s="48" t="s">
        <v>202</v>
      </c>
      <c r="G307" s="48" t="s">
        <v>277</v>
      </c>
      <c r="H307" s="46" t="s">
        <v>7</v>
      </c>
      <c r="I307" s="49">
        <v>88.5</v>
      </c>
      <c r="J307" s="71">
        <v>195</v>
      </c>
      <c r="K307" s="37">
        <f t="shared" si="5"/>
        <v>17257.5</v>
      </c>
      <c r="L307" s="63"/>
    </row>
    <row r="308" spans="1:12" s="40" customFormat="1" ht="26.4">
      <c r="A308" s="114">
        <v>41</v>
      </c>
      <c r="B308" s="47" t="s">
        <v>47</v>
      </c>
      <c r="C308" s="48" t="s">
        <v>48</v>
      </c>
      <c r="D308" s="48" t="s">
        <v>49</v>
      </c>
      <c r="E308" s="39">
        <v>3</v>
      </c>
      <c r="F308" s="48" t="s">
        <v>203</v>
      </c>
      <c r="G308" s="48" t="s">
        <v>277</v>
      </c>
      <c r="H308" s="46" t="s">
        <v>7</v>
      </c>
      <c r="I308" s="49">
        <v>88.5</v>
      </c>
      <c r="J308" s="71">
        <v>195</v>
      </c>
      <c r="K308" s="37">
        <f t="shared" si="5"/>
        <v>17257.5</v>
      </c>
      <c r="L308" s="63"/>
    </row>
    <row r="309" spans="1:12" s="40" customFormat="1" ht="26.4">
      <c r="A309" s="114">
        <v>42</v>
      </c>
      <c r="B309" s="47" t="s">
        <v>60</v>
      </c>
      <c r="C309" s="48" t="s">
        <v>48</v>
      </c>
      <c r="D309" s="48" t="s">
        <v>49</v>
      </c>
      <c r="E309" s="39">
        <v>3</v>
      </c>
      <c r="F309" s="48" t="s">
        <v>249</v>
      </c>
      <c r="G309" s="48" t="s">
        <v>277</v>
      </c>
      <c r="H309" s="46" t="s">
        <v>7</v>
      </c>
      <c r="I309" s="49">
        <v>35.5</v>
      </c>
      <c r="J309" s="71">
        <v>195</v>
      </c>
      <c r="K309" s="37">
        <f t="shared" si="5"/>
        <v>6922.5</v>
      </c>
      <c r="L309" s="63"/>
    </row>
    <row r="310" spans="1:12" s="40" customFormat="1" ht="26.4">
      <c r="A310" s="114">
        <v>43</v>
      </c>
      <c r="B310" s="47" t="s">
        <v>60</v>
      </c>
      <c r="C310" s="48" t="s">
        <v>48</v>
      </c>
      <c r="D310" s="48" t="s">
        <v>49</v>
      </c>
      <c r="E310" s="39">
        <v>3</v>
      </c>
      <c r="F310" s="48" t="s">
        <v>250</v>
      </c>
      <c r="G310" s="48" t="s">
        <v>277</v>
      </c>
      <c r="H310" s="46" t="s">
        <v>7</v>
      </c>
      <c r="I310" s="49">
        <v>37</v>
      </c>
      <c r="J310" s="71">
        <v>195</v>
      </c>
      <c r="K310" s="37">
        <f t="shared" si="5"/>
        <v>7215</v>
      </c>
      <c r="L310" s="63"/>
    </row>
    <row r="311" spans="1:12" s="40" customFormat="1" ht="26.4">
      <c r="A311" s="114">
        <v>44</v>
      </c>
      <c r="B311" s="47" t="s">
        <v>47</v>
      </c>
      <c r="C311" s="48" t="s">
        <v>48</v>
      </c>
      <c r="D311" s="48" t="s">
        <v>49</v>
      </c>
      <c r="E311" s="39">
        <v>3</v>
      </c>
      <c r="F311" s="48" t="s">
        <v>238</v>
      </c>
      <c r="G311" s="48" t="s">
        <v>277</v>
      </c>
      <c r="H311" s="46" t="s">
        <v>7</v>
      </c>
      <c r="I311" s="49">
        <v>35.5</v>
      </c>
      <c r="J311" s="71">
        <v>195</v>
      </c>
      <c r="K311" s="37">
        <f t="shared" si="5"/>
        <v>6922.5</v>
      </c>
      <c r="L311" s="63"/>
    </row>
    <row r="312" spans="1:12" s="40" customFormat="1" ht="26.4">
      <c r="A312" s="114">
        <v>45</v>
      </c>
      <c r="B312" s="47" t="s">
        <v>47</v>
      </c>
      <c r="C312" s="48" t="s">
        <v>48</v>
      </c>
      <c r="D312" s="48" t="s">
        <v>49</v>
      </c>
      <c r="E312" s="39">
        <v>3</v>
      </c>
      <c r="F312" s="48" t="s">
        <v>253</v>
      </c>
      <c r="G312" s="48" t="s">
        <v>277</v>
      </c>
      <c r="H312" s="46" t="s">
        <v>7</v>
      </c>
      <c r="I312" s="49">
        <v>37</v>
      </c>
      <c r="J312" s="71">
        <v>195</v>
      </c>
      <c r="K312" s="37">
        <f t="shared" si="5"/>
        <v>7215</v>
      </c>
      <c r="L312" s="63"/>
    </row>
    <row r="313" spans="1:12" s="40" customFormat="1" ht="39.6">
      <c r="A313" s="114">
        <v>46</v>
      </c>
      <c r="B313" s="47" t="s">
        <v>47</v>
      </c>
      <c r="C313" s="48" t="s">
        <v>48</v>
      </c>
      <c r="D313" s="48" t="s">
        <v>49</v>
      </c>
      <c r="E313" s="39">
        <v>3</v>
      </c>
      <c r="F313" s="48" t="s">
        <v>270</v>
      </c>
      <c r="G313" s="48" t="s">
        <v>277</v>
      </c>
      <c r="H313" s="46" t="s">
        <v>7</v>
      </c>
      <c r="I313" s="49">
        <v>97</v>
      </c>
      <c r="J313" s="71">
        <v>195</v>
      </c>
      <c r="K313" s="37">
        <f t="shared" si="5"/>
        <v>18915</v>
      </c>
      <c r="L313" s="63"/>
    </row>
    <row r="314" spans="1:12" s="40" customFormat="1" ht="52.8">
      <c r="A314" s="114">
        <v>47</v>
      </c>
      <c r="B314" s="47" t="s">
        <v>47</v>
      </c>
      <c r="C314" s="48" t="s">
        <v>48</v>
      </c>
      <c r="D314" s="48" t="s">
        <v>49</v>
      </c>
      <c r="E314" s="39">
        <v>3</v>
      </c>
      <c r="F314" s="48" t="s">
        <v>269</v>
      </c>
      <c r="G314" s="48" t="s">
        <v>277</v>
      </c>
      <c r="H314" s="46" t="s">
        <v>7</v>
      </c>
      <c r="I314" s="49">
        <v>104.5</v>
      </c>
      <c r="J314" s="71">
        <v>195</v>
      </c>
      <c r="K314" s="37">
        <f t="shared" si="5"/>
        <v>20377.5</v>
      </c>
      <c r="L314" s="63"/>
    </row>
    <row r="315" spans="1:12" s="40" customFormat="1" ht="26.4">
      <c r="A315" s="114">
        <v>48</v>
      </c>
      <c r="B315" s="47" t="s">
        <v>47</v>
      </c>
      <c r="C315" s="48" t="s">
        <v>48</v>
      </c>
      <c r="D315" s="48" t="s">
        <v>49</v>
      </c>
      <c r="E315" s="39">
        <v>3</v>
      </c>
      <c r="F315" s="48" t="s">
        <v>251</v>
      </c>
      <c r="G315" s="48" t="s">
        <v>277</v>
      </c>
      <c r="H315" s="46" t="s">
        <v>7</v>
      </c>
      <c r="I315" s="49">
        <v>35</v>
      </c>
      <c r="J315" s="71">
        <v>195</v>
      </c>
      <c r="K315" s="37">
        <f t="shared" si="5"/>
        <v>6825</v>
      </c>
      <c r="L315" s="63"/>
    </row>
    <row r="316" spans="1:12" s="40" customFormat="1" ht="26.4">
      <c r="A316" s="114">
        <v>49</v>
      </c>
      <c r="B316" s="47" t="s">
        <v>47</v>
      </c>
      <c r="C316" s="48" t="s">
        <v>48</v>
      </c>
      <c r="D316" s="48" t="s">
        <v>49</v>
      </c>
      <c r="E316" s="39">
        <v>3</v>
      </c>
      <c r="F316" s="48" t="s">
        <v>253</v>
      </c>
      <c r="G316" s="48" t="s">
        <v>277</v>
      </c>
      <c r="H316" s="46" t="s">
        <v>7</v>
      </c>
      <c r="I316" s="49">
        <v>34.5</v>
      </c>
      <c r="J316" s="71">
        <v>195</v>
      </c>
      <c r="K316" s="37">
        <f t="shared" si="5"/>
        <v>6727.5</v>
      </c>
      <c r="L316" s="63"/>
    </row>
    <row r="317" spans="1:12" s="40" customFormat="1" ht="26.4">
      <c r="A317" s="114">
        <v>50</v>
      </c>
      <c r="B317" s="47" t="s">
        <v>47</v>
      </c>
      <c r="C317" s="48" t="s">
        <v>48</v>
      </c>
      <c r="D317" s="48" t="s">
        <v>49</v>
      </c>
      <c r="E317" s="39">
        <v>3</v>
      </c>
      <c r="F317" s="48" t="s">
        <v>245</v>
      </c>
      <c r="G317" s="48" t="s">
        <v>277</v>
      </c>
      <c r="H317" s="46" t="s">
        <v>7</v>
      </c>
      <c r="I317" s="49">
        <v>88.5</v>
      </c>
      <c r="J317" s="71">
        <v>195</v>
      </c>
      <c r="K317" s="37">
        <f t="shared" si="5"/>
        <v>17257.5</v>
      </c>
      <c r="L317" s="63"/>
    </row>
    <row r="318" spans="1:12" s="40" customFormat="1" ht="26.4">
      <c r="A318" s="114">
        <v>51</v>
      </c>
      <c r="B318" s="47" t="s">
        <v>47</v>
      </c>
      <c r="C318" s="48" t="s">
        <v>48</v>
      </c>
      <c r="D318" s="48" t="s">
        <v>49</v>
      </c>
      <c r="E318" s="39">
        <v>3</v>
      </c>
      <c r="F318" s="48" t="s">
        <v>246</v>
      </c>
      <c r="G318" s="48" t="s">
        <v>277</v>
      </c>
      <c r="H318" s="46" t="s">
        <v>7</v>
      </c>
      <c r="I318" s="49">
        <v>88.5</v>
      </c>
      <c r="J318" s="71">
        <v>195</v>
      </c>
      <c r="K318" s="37">
        <f t="shared" si="5"/>
        <v>17257.5</v>
      </c>
      <c r="L318" s="63"/>
    </row>
    <row r="319" spans="1:12" s="40" customFormat="1" ht="26.4">
      <c r="A319" s="114">
        <v>52</v>
      </c>
      <c r="B319" s="47" t="s">
        <v>47</v>
      </c>
      <c r="C319" s="48" t="s">
        <v>48</v>
      </c>
      <c r="D319" s="48" t="s">
        <v>49</v>
      </c>
      <c r="E319" s="39">
        <v>3</v>
      </c>
      <c r="F319" s="48" t="s">
        <v>248</v>
      </c>
      <c r="G319" s="48" t="s">
        <v>277</v>
      </c>
      <c r="H319" s="46" t="s">
        <v>7</v>
      </c>
      <c r="I319" s="49">
        <v>40</v>
      </c>
      <c r="J319" s="71">
        <v>195</v>
      </c>
      <c r="K319" s="37">
        <f t="shared" si="5"/>
        <v>7800</v>
      </c>
      <c r="L319" s="63"/>
    </row>
    <row r="320" spans="1:12" s="40" customFormat="1" ht="26.4">
      <c r="A320" s="114">
        <v>53</v>
      </c>
      <c r="B320" s="47" t="s">
        <v>47</v>
      </c>
      <c r="C320" s="48" t="s">
        <v>48</v>
      </c>
      <c r="D320" s="48" t="s">
        <v>49</v>
      </c>
      <c r="E320" s="39">
        <v>3</v>
      </c>
      <c r="F320" s="48" t="s">
        <v>247</v>
      </c>
      <c r="G320" s="48" t="s">
        <v>277</v>
      </c>
      <c r="H320" s="46" t="s">
        <v>7</v>
      </c>
      <c r="I320" s="49">
        <v>15.5</v>
      </c>
      <c r="J320" s="71">
        <v>195</v>
      </c>
      <c r="K320" s="37">
        <f t="shared" si="5"/>
        <v>3022.5</v>
      </c>
      <c r="L320" s="63"/>
    </row>
    <row r="321" spans="1:12" s="40" customFormat="1" ht="26.4">
      <c r="A321" s="114">
        <v>54</v>
      </c>
      <c r="B321" s="47" t="s">
        <v>47</v>
      </c>
      <c r="C321" s="48" t="s">
        <v>48</v>
      </c>
      <c r="D321" s="48" t="s">
        <v>49</v>
      </c>
      <c r="E321" s="39">
        <v>3</v>
      </c>
      <c r="F321" s="48" t="s">
        <v>244</v>
      </c>
      <c r="G321" s="48" t="s">
        <v>277</v>
      </c>
      <c r="H321" s="46" t="s">
        <v>7</v>
      </c>
      <c r="I321" s="49">
        <v>75.3</v>
      </c>
      <c r="J321" s="71">
        <v>195</v>
      </c>
      <c r="K321" s="37">
        <f t="shared" si="5"/>
        <v>14683.5</v>
      </c>
      <c r="L321" s="63"/>
    </row>
    <row r="322" spans="1:12" s="40" customFormat="1" ht="26.4">
      <c r="A322" s="114">
        <v>55</v>
      </c>
      <c r="B322" s="47" t="s">
        <v>47</v>
      </c>
      <c r="C322" s="48" t="s">
        <v>48</v>
      </c>
      <c r="D322" s="48" t="s">
        <v>49</v>
      </c>
      <c r="E322" s="39">
        <v>3</v>
      </c>
      <c r="F322" s="48" t="s">
        <v>239</v>
      </c>
      <c r="G322" s="48" t="s">
        <v>277</v>
      </c>
      <c r="H322" s="46" t="s">
        <v>7</v>
      </c>
      <c r="I322" s="49">
        <v>75.3</v>
      </c>
      <c r="J322" s="71">
        <v>195</v>
      </c>
      <c r="K322" s="37">
        <f t="shared" si="5"/>
        <v>14683.5</v>
      </c>
      <c r="L322" s="63"/>
    </row>
    <row r="323" spans="1:12" s="40" customFormat="1" ht="26.4">
      <c r="A323" s="114">
        <v>56</v>
      </c>
      <c r="B323" s="47" t="s">
        <v>47</v>
      </c>
      <c r="C323" s="48" t="s">
        <v>48</v>
      </c>
      <c r="D323" s="48" t="s">
        <v>49</v>
      </c>
      <c r="E323" s="39">
        <v>3</v>
      </c>
      <c r="F323" s="48" t="s">
        <v>240</v>
      </c>
      <c r="G323" s="48" t="s">
        <v>277</v>
      </c>
      <c r="H323" s="46" t="s">
        <v>7</v>
      </c>
      <c r="I323" s="49">
        <v>15.5</v>
      </c>
      <c r="J323" s="71">
        <v>195</v>
      </c>
      <c r="K323" s="37">
        <f t="shared" si="5"/>
        <v>3022.5</v>
      </c>
      <c r="L323" s="63"/>
    </row>
    <row r="324" spans="1:12" s="40" customFormat="1" ht="26.4">
      <c r="A324" s="114">
        <v>57</v>
      </c>
      <c r="B324" s="47" t="s">
        <v>47</v>
      </c>
      <c r="C324" s="48" t="s">
        <v>48</v>
      </c>
      <c r="D324" s="48" t="s">
        <v>49</v>
      </c>
      <c r="E324" s="39">
        <v>3</v>
      </c>
      <c r="F324" s="48" t="s">
        <v>243</v>
      </c>
      <c r="G324" s="48" t="s">
        <v>277</v>
      </c>
      <c r="H324" s="46" t="s">
        <v>7</v>
      </c>
      <c r="I324" s="49">
        <v>40</v>
      </c>
      <c r="J324" s="71">
        <v>195</v>
      </c>
      <c r="K324" s="37">
        <f t="shared" si="5"/>
        <v>7800</v>
      </c>
      <c r="L324" s="63"/>
    </row>
    <row r="325" spans="1:12" s="40" customFormat="1" ht="26.4">
      <c r="A325" s="114">
        <v>58</v>
      </c>
      <c r="B325" s="47" t="s">
        <v>47</v>
      </c>
      <c r="C325" s="48" t="s">
        <v>48</v>
      </c>
      <c r="D325" s="48" t="s">
        <v>49</v>
      </c>
      <c r="E325" s="39">
        <v>3</v>
      </c>
      <c r="F325" s="48" t="s">
        <v>241</v>
      </c>
      <c r="G325" s="48" t="s">
        <v>277</v>
      </c>
      <c r="H325" s="46" t="s">
        <v>7</v>
      </c>
      <c r="I325" s="49">
        <v>88.5</v>
      </c>
      <c r="J325" s="71">
        <v>195</v>
      </c>
      <c r="K325" s="37">
        <f t="shared" si="5"/>
        <v>17257.5</v>
      </c>
      <c r="L325" s="63"/>
    </row>
    <row r="326" spans="1:12" s="40" customFormat="1" ht="26.4">
      <c r="A326" s="114">
        <v>59</v>
      </c>
      <c r="B326" s="47" t="s">
        <v>47</v>
      </c>
      <c r="C326" s="48" t="s">
        <v>48</v>
      </c>
      <c r="D326" s="48" t="s">
        <v>49</v>
      </c>
      <c r="E326" s="39">
        <v>3</v>
      </c>
      <c r="F326" s="48" t="s">
        <v>242</v>
      </c>
      <c r="G326" s="48" t="s">
        <v>277</v>
      </c>
      <c r="H326" s="46" t="s">
        <v>7</v>
      </c>
      <c r="I326" s="49">
        <v>88.5</v>
      </c>
      <c r="J326" s="71">
        <v>195</v>
      </c>
      <c r="K326" s="37">
        <f t="shared" si="5"/>
        <v>17257.5</v>
      </c>
      <c r="L326" s="63"/>
    </row>
    <row r="327" spans="1:12" s="40" customFormat="1" ht="39.6">
      <c r="A327" s="114">
        <v>60</v>
      </c>
      <c r="B327" s="47" t="s">
        <v>47</v>
      </c>
      <c r="C327" s="48" t="s">
        <v>48</v>
      </c>
      <c r="D327" s="48" t="s">
        <v>49</v>
      </c>
      <c r="E327" s="39">
        <v>3</v>
      </c>
      <c r="F327" s="48" t="s">
        <v>270</v>
      </c>
      <c r="G327" s="48" t="s">
        <v>277</v>
      </c>
      <c r="H327" s="46" t="s">
        <v>7</v>
      </c>
      <c r="I327" s="49">
        <v>13.7</v>
      </c>
      <c r="J327" s="71">
        <v>195</v>
      </c>
      <c r="K327" s="37">
        <f t="shared" si="5"/>
        <v>2671.5</v>
      </c>
      <c r="L327" s="63"/>
    </row>
    <row r="328" spans="1:12" s="40" customFormat="1" ht="52.8">
      <c r="A328" s="114">
        <v>61</v>
      </c>
      <c r="B328" s="47" t="s">
        <v>47</v>
      </c>
      <c r="C328" s="48" t="s">
        <v>48</v>
      </c>
      <c r="D328" s="48" t="s">
        <v>49</v>
      </c>
      <c r="E328" s="39">
        <v>3</v>
      </c>
      <c r="F328" s="48" t="s">
        <v>269</v>
      </c>
      <c r="G328" s="48" t="s">
        <v>277</v>
      </c>
      <c r="H328" s="46" t="s">
        <v>7</v>
      </c>
      <c r="I328" s="49">
        <v>18</v>
      </c>
      <c r="J328" s="71">
        <v>195</v>
      </c>
      <c r="K328" s="37">
        <f t="shared" si="5"/>
        <v>3510</v>
      </c>
      <c r="L328" s="63"/>
    </row>
    <row r="329" spans="1:12" s="40" customFormat="1" ht="26.4">
      <c r="A329" s="114">
        <v>62</v>
      </c>
      <c r="B329" s="47" t="s">
        <v>47</v>
      </c>
      <c r="C329" s="48" t="s">
        <v>48</v>
      </c>
      <c r="D329" s="48" t="s">
        <v>49</v>
      </c>
      <c r="E329" s="39">
        <v>3</v>
      </c>
      <c r="F329" s="48" t="s">
        <v>256</v>
      </c>
      <c r="G329" s="48" t="s">
        <v>277</v>
      </c>
      <c r="H329" s="46" t="s">
        <v>7</v>
      </c>
      <c r="I329" s="49">
        <v>77.5</v>
      </c>
      <c r="J329" s="71">
        <v>195</v>
      </c>
      <c r="K329" s="37">
        <f t="shared" si="5"/>
        <v>15112.5</v>
      </c>
      <c r="L329" s="63"/>
    </row>
    <row r="330" spans="1:12" s="40" customFormat="1" ht="26.4">
      <c r="A330" s="114">
        <v>63</v>
      </c>
      <c r="B330" s="47" t="s">
        <v>47</v>
      </c>
      <c r="C330" s="48" t="s">
        <v>48</v>
      </c>
      <c r="D330" s="48" t="s">
        <v>49</v>
      </c>
      <c r="E330" s="39">
        <v>3</v>
      </c>
      <c r="F330" s="48" t="s">
        <v>255</v>
      </c>
      <c r="G330" s="48" t="s">
        <v>277</v>
      </c>
      <c r="H330" s="46" t="s">
        <v>7</v>
      </c>
      <c r="I330" s="49">
        <v>21</v>
      </c>
      <c r="J330" s="71">
        <v>195</v>
      </c>
      <c r="K330" s="37">
        <f t="shared" si="5"/>
        <v>4095</v>
      </c>
      <c r="L330" s="63"/>
    </row>
    <row r="331" spans="1:12" s="40" customFormat="1" ht="26.4">
      <c r="A331" s="114">
        <v>64</v>
      </c>
      <c r="B331" s="47" t="s">
        <v>47</v>
      </c>
      <c r="C331" s="48" t="s">
        <v>48</v>
      </c>
      <c r="D331" s="48" t="s">
        <v>49</v>
      </c>
      <c r="E331" s="39">
        <v>3</v>
      </c>
      <c r="F331" s="48" t="s">
        <v>248</v>
      </c>
      <c r="G331" s="48" t="s">
        <v>277</v>
      </c>
      <c r="H331" s="46" t="s">
        <v>7</v>
      </c>
      <c r="I331" s="49">
        <v>80.5</v>
      </c>
      <c r="J331" s="71">
        <v>195</v>
      </c>
      <c r="K331" s="37">
        <f t="shared" si="5"/>
        <v>15697.5</v>
      </c>
      <c r="L331" s="63"/>
    </row>
    <row r="332" spans="1:12" s="40" customFormat="1" ht="26.4">
      <c r="A332" s="114">
        <v>65</v>
      </c>
      <c r="B332" s="47" t="s">
        <v>47</v>
      </c>
      <c r="C332" s="48" t="s">
        <v>48</v>
      </c>
      <c r="D332" s="48" t="s">
        <v>49</v>
      </c>
      <c r="E332" s="39">
        <v>3</v>
      </c>
      <c r="F332" s="48" t="s">
        <v>243</v>
      </c>
      <c r="G332" s="48" t="s">
        <v>277</v>
      </c>
      <c r="H332" s="46" t="s">
        <v>7</v>
      </c>
      <c r="I332" s="49">
        <v>80.5</v>
      </c>
      <c r="J332" s="71">
        <v>195</v>
      </c>
      <c r="K332" s="37">
        <f t="shared" si="5"/>
        <v>15697.5</v>
      </c>
      <c r="L332" s="63"/>
    </row>
    <row r="333" spans="1:12" s="40" customFormat="1" ht="26.4">
      <c r="A333" s="114">
        <v>66</v>
      </c>
      <c r="B333" s="47" t="s">
        <v>47</v>
      </c>
      <c r="C333" s="48" t="s">
        <v>48</v>
      </c>
      <c r="D333" s="48" t="s">
        <v>49</v>
      </c>
      <c r="E333" s="39">
        <v>-1</v>
      </c>
      <c r="F333" s="48" t="s">
        <v>82</v>
      </c>
      <c r="G333" s="48" t="s">
        <v>277</v>
      </c>
      <c r="H333" s="46" t="s">
        <v>7</v>
      </c>
      <c r="I333" s="49">
        <v>166.3</v>
      </c>
      <c r="J333" s="71">
        <v>195</v>
      </c>
      <c r="K333" s="37">
        <f t="shared" ref="K333:K358" si="6">I333*J333</f>
        <v>32428.500000000004</v>
      </c>
      <c r="L333" s="63"/>
    </row>
    <row r="334" spans="1:12" s="40" customFormat="1" ht="26.4">
      <c r="A334" s="114">
        <v>67</v>
      </c>
      <c r="B334" s="47" t="s">
        <v>60</v>
      </c>
      <c r="C334" s="48" t="s">
        <v>48</v>
      </c>
      <c r="D334" s="48" t="s">
        <v>49</v>
      </c>
      <c r="E334" s="39">
        <v>-2</v>
      </c>
      <c r="F334" s="48" t="s">
        <v>82</v>
      </c>
      <c r="G334" s="48" t="s">
        <v>277</v>
      </c>
      <c r="H334" s="46" t="s">
        <v>7</v>
      </c>
      <c r="I334" s="49">
        <v>195.5</v>
      </c>
      <c r="J334" s="71">
        <v>195</v>
      </c>
      <c r="K334" s="37">
        <f t="shared" si="6"/>
        <v>38122.5</v>
      </c>
      <c r="L334" s="63"/>
    </row>
    <row r="335" spans="1:12" s="40" customFormat="1" ht="39.6">
      <c r="A335" s="114">
        <v>68</v>
      </c>
      <c r="B335" s="47" t="s">
        <v>47</v>
      </c>
      <c r="C335" s="48" t="s">
        <v>48</v>
      </c>
      <c r="D335" s="48" t="s">
        <v>49</v>
      </c>
      <c r="E335" s="39">
        <v>1</v>
      </c>
      <c r="F335" s="48" t="s">
        <v>90</v>
      </c>
      <c r="G335" s="48" t="s">
        <v>6</v>
      </c>
      <c r="H335" s="46" t="s">
        <v>7</v>
      </c>
      <c r="I335" s="49">
        <v>8.3000000000000007</v>
      </c>
      <c r="J335" s="71">
        <v>585</v>
      </c>
      <c r="K335" s="37">
        <f t="shared" si="6"/>
        <v>4855.5</v>
      </c>
      <c r="L335" s="63"/>
    </row>
    <row r="336" spans="1:12" s="40" customFormat="1" ht="39.6">
      <c r="A336" s="114">
        <v>69</v>
      </c>
      <c r="B336" s="47" t="s">
        <v>47</v>
      </c>
      <c r="C336" s="48" t="s">
        <v>48</v>
      </c>
      <c r="D336" s="48" t="s">
        <v>49</v>
      </c>
      <c r="E336" s="39">
        <v>2</v>
      </c>
      <c r="F336" s="48" t="s">
        <v>207</v>
      </c>
      <c r="G336" s="48" t="s">
        <v>6</v>
      </c>
      <c r="H336" s="46" t="s">
        <v>7</v>
      </c>
      <c r="I336" s="49">
        <v>3.5</v>
      </c>
      <c r="J336" s="71">
        <v>585</v>
      </c>
      <c r="K336" s="37">
        <f t="shared" si="6"/>
        <v>2047.5</v>
      </c>
      <c r="L336" s="63"/>
    </row>
    <row r="337" spans="1:12" s="40" customFormat="1" ht="39.6">
      <c r="A337" s="114">
        <v>70</v>
      </c>
      <c r="B337" s="47" t="s">
        <v>47</v>
      </c>
      <c r="C337" s="48" t="s">
        <v>48</v>
      </c>
      <c r="D337" s="48" t="s">
        <v>49</v>
      </c>
      <c r="E337" s="39">
        <v>3</v>
      </c>
      <c r="F337" s="48" t="s">
        <v>246</v>
      </c>
      <c r="G337" s="48" t="s">
        <v>6</v>
      </c>
      <c r="H337" s="46" t="s">
        <v>7</v>
      </c>
      <c r="I337" s="49">
        <v>17.2</v>
      </c>
      <c r="J337" s="71">
        <v>585</v>
      </c>
      <c r="K337" s="37">
        <f t="shared" si="6"/>
        <v>10062</v>
      </c>
      <c r="L337" s="63"/>
    </row>
    <row r="338" spans="1:12" s="40" customFormat="1" ht="39.6">
      <c r="A338" s="114">
        <v>71</v>
      </c>
      <c r="B338" s="47" t="s">
        <v>47</v>
      </c>
      <c r="C338" s="48" t="s">
        <v>48</v>
      </c>
      <c r="D338" s="48" t="s">
        <v>49</v>
      </c>
      <c r="E338" s="39">
        <v>3</v>
      </c>
      <c r="F338" s="48" t="s">
        <v>245</v>
      </c>
      <c r="G338" s="48" t="s">
        <v>6</v>
      </c>
      <c r="H338" s="46" t="s">
        <v>7</v>
      </c>
      <c r="I338" s="49">
        <v>12</v>
      </c>
      <c r="J338" s="71">
        <v>585</v>
      </c>
      <c r="K338" s="37">
        <f t="shared" si="6"/>
        <v>7020</v>
      </c>
      <c r="L338" s="63"/>
    </row>
    <row r="339" spans="1:12" s="40" customFormat="1" ht="39.6">
      <c r="A339" s="114">
        <v>72</v>
      </c>
      <c r="B339" s="47" t="s">
        <v>47</v>
      </c>
      <c r="C339" s="48" t="s">
        <v>48</v>
      </c>
      <c r="D339" s="48" t="s">
        <v>49</v>
      </c>
      <c r="E339" s="39">
        <v>3</v>
      </c>
      <c r="F339" s="48" t="s">
        <v>247</v>
      </c>
      <c r="G339" s="48" t="s">
        <v>6</v>
      </c>
      <c r="H339" s="46" t="s">
        <v>7</v>
      </c>
      <c r="I339" s="49">
        <v>20</v>
      </c>
      <c r="J339" s="71">
        <v>585</v>
      </c>
      <c r="K339" s="37">
        <f t="shared" si="6"/>
        <v>11700</v>
      </c>
      <c r="L339" s="63"/>
    </row>
    <row r="340" spans="1:12" s="40" customFormat="1" ht="39.6">
      <c r="A340" s="114">
        <v>73</v>
      </c>
      <c r="B340" s="47" t="s">
        <v>47</v>
      </c>
      <c r="C340" s="48" t="s">
        <v>48</v>
      </c>
      <c r="D340" s="48" t="s">
        <v>49</v>
      </c>
      <c r="E340" s="39">
        <v>3</v>
      </c>
      <c r="F340" s="48" t="s">
        <v>244</v>
      </c>
      <c r="G340" s="48" t="s">
        <v>6</v>
      </c>
      <c r="H340" s="46" t="s">
        <v>7</v>
      </c>
      <c r="I340" s="49">
        <v>15</v>
      </c>
      <c r="J340" s="71">
        <v>585</v>
      </c>
      <c r="K340" s="37">
        <f t="shared" si="6"/>
        <v>8775</v>
      </c>
      <c r="L340" s="63"/>
    </row>
    <row r="341" spans="1:12" s="40" customFormat="1" ht="39.6">
      <c r="A341" s="114">
        <v>74</v>
      </c>
      <c r="B341" s="47" t="s">
        <v>47</v>
      </c>
      <c r="C341" s="48" t="s">
        <v>48</v>
      </c>
      <c r="D341" s="48" t="s">
        <v>49</v>
      </c>
      <c r="E341" s="39">
        <v>3</v>
      </c>
      <c r="F341" s="48" t="s">
        <v>242</v>
      </c>
      <c r="G341" s="48" t="s">
        <v>6</v>
      </c>
      <c r="H341" s="46" t="s">
        <v>7</v>
      </c>
      <c r="I341" s="49">
        <v>28.4</v>
      </c>
      <c r="J341" s="71">
        <v>585</v>
      </c>
      <c r="K341" s="37">
        <f t="shared" si="6"/>
        <v>16614</v>
      </c>
      <c r="L341" s="63"/>
    </row>
    <row r="342" spans="1:12" s="40" customFormat="1" ht="39.6">
      <c r="A342" s="114">
        <v>75</v>
      </c>
      <c r="B342" s="47" t="s">
        <v>47</v>
      </c>
      <c r="C342" s="48" t="s">
        <v>48</v>
      </c>
      <c r="D342" s="48" t="s">
        <v>49</v>
      </c>
      <c r="E342" s="39">
        <v>3</v>
      </c>
      <c r="F342" s="48" t="s">
        <v>241</v>
      </c>
      <c r="G342" s="48" t="s">
        <v>6</v>
      </c>
      <c r="H342" s="46" t="s">
        <v>7</v>
      </c>
      <c r="I342" s="49">
        <v>12.3</v>
      </c>
      <c r="J342" s="71">
        <v>585</v>
      </c>
      <c r="K342" s="37">
        <f t="shared" si="6"/>
        <v>7195.5</v>
      </c>
      <c r="L342" s="63"/>
    </row>
    <row r="343" spans="1:12" s="40" customFormat="1" ht="39.6">
      <c r="A343" s="114">
        <v>76</v>
      </c>
      <c r="B343" s="47" t="s">
        <v>47</v>
      </c>
      <c r="C343" s="48" t="s">
        <v>48</v>
      </c>
      <c r="D343" s="48" t="s">
        <v>49</v>
      </c>
      <c r="E343" s="39">
        <v>3</v>
      </c>
      <c r="F343" s="48" t="s">
        <v>240</v>
      </c>
      <c r="G343" s="48" t="s">
        <v>6</v>
      </c>
      <c r="H343" s="46" t="s">
        <v>7</v>
      </c>
      <c r="I343" s="49">
        <v>20</v>
      </c>
      <c r="J343" s="71">
        <v>585</v>
      </c>
      <c r="K343" s="37">
        <f t="shared" si="6"/>
        <v>11700</v>
      </c>
      <c r="L343" s="63"/>
    </row>
    <row r="344" spans="1:12" s="40" customFormat="1" ht="39.6">
      <c r="A344" s="114">
        <v>77</v>
      </c>
      <c r="B344" s="47" t="s">
        <v>47</v>
      </c>
      <c r="C344" s="48" t="s">
        <v>48</v>
      </c>
      <c r="D344" s="48" t="s">
        <v>49</v>
      </c>
      <c r="E344" s="39">
        <v>3</v>
      </c>
      <c r="F344" s="48" t="s">
        <v>239</v>
      </c>
      <c r="G344" s="48" t="s">
        <v>6</v>
      </c>
      <c r="H344" s="46" t="s">
        <v>7</v>
      </c>
      <c r="I344" s="49">
        <v>5.4</v>
      </c>
      <c r="J344" s="71">
        <v>585</v>
      </c>
      <c r="K344" s="37">
        <f t="shared" si="6"/>
        <v>3159</v>
      </c>
      <c r="L344" s="63"/>
    </row>
    <row r="345" spans="1:12" s="40" customFormat="1" ht="39.6">
      <c r="A345" s="114">
        <v>78</v>
      </c>
      <c r="B345" s="47" t="s">
        <v>47</v>
      </c>
      <c r="C345" s="48" t="s">
        <v>48</v>
      </c>
      <c r="D345" s="48" t="s">
        <v>49</v>
      </c>
      <c r="E345" s="39">
        <v>3</v>
      </c>
      <c r="F345" s="48" t="s">
        <v>238</v>
      </c>
      <c r="G345" s="48" t="s">
        <v>6</v>
      </c>
      <c r="H345" s="46" t="s">
        <v>7</v>
      </c>
      <c r="I345" s="49">
        <v>12</v>
      </c>
      <c r="J345" s="71">
        <v>585</v>
      </c>
      <c r="K345" s="37">
        <f t="shared" si="6"/>
        <v>7020</v>
      </c>
      <c r="L345" s="63"/>
    </row>
    <row r="346" spans="1:12" s="40" customFormat="1" ht="39.6">
      <c r="A346" s="114">
        <v>79</v>
      </c>
      <c r="B346" s="47" t="s">
        <v>47</v>
      </c>
      <c r="C346" s="48" t="s">
        <v>48</v>
      </c>
      <c r="D346" s="48" t="s">
        <v>49</v>
      </c>
      <c r="E346" s="39">
        <v>3</v>
      </c>
      <c r="F346" s="48" t="s">
        <v>254</v>
      </c>
      <c r="G346" s="48" t="s">
        <v>6</v>
      </c>
      <c r="H346" s="46" t="s">
        <v>7</v>
      </c>
      <c r="I346" s="49">
        <v>36</v>
      </c>
      <c r="J346" s="71">
        <v>585</v>
      </c>
      <c r="K346" s="37">
        <f t="shared" si="6"/>
        <v>21060</v>
      </c>
      <c r="L346" s="63"/>
    </row>
    <row r="347" spans="1:12" s="40" customFormat="1">
      <c r="A347" s="114">
        <v>80</v>
      </c>
      <c r="B347" s="47" t="s">
        <v>47</v>
      </c>
      <c r="C347" s="48" t="s">
        <v>48</v>
      </c>
      <c r="D347" s="48" t="s">
        <v>49</v>
      </c>
      <c r="E347" s="39">
        <v>1</v>
      </c>
      <c r="F347" s="48" t="s">
        <v>90</v>
      </c>
      <c r="G347" s="48" t="s">
        <v>262</v>
      </c>
      <c r="H347" s="46" t="s">
        <v>7</v>
      </c>
      <c r="I347" s="49">
        <v>9</v>
      </c>
      <c r="J347" s="71">
        <v>1105</v>
      </c>
      <c r="K347" s="37">
        <f t="shared" si="6"/>
        <v>9945</v>
      </c>
      <c r="L347" s="63"/>
    </row>
    <row r="348" spans="1:12" s="40" customFormat="1">
      <c r="A348" s="114">
        <v>81</v>
      </c>
      <c r="B348" s="47" t="s">
        <v>47</v>
      </c>
      <c r="C348" s="48" t="s">
        <v>48</v>
      </c>
      <c r="D348" s="48" t="s">
        <v>49</v>
      </c>
      <c r="E348" s="39">
        <v>2</v>
      </c>
      <c r="F348" s="48" t="s">
        <v>207</v>
      </c>
      <c r="G348" s="48" t="s">
        <v>262</v>
      </c>
      <c r="H348" s="46" t="s">
        <v>7</v>
      </c>
      <c r="I348" s="49">
        <v>3.5</v>
      </c>
      <c r="J348" s="71">
        <v>1105</v>
      </c>
      <c r="K348" s="37">
        <f t="shared" si="6"/>
        <v>3867.5</v>
      </c>
      <c r="L348" s="63"/>
    </row>
    <row r="349" spans="1:12" s="40" customFormat="1">
      <c r="A349" s="114">
        <v>82</v>
      </c>
      <c r="B349" s="47" t="s">
        <v>47</v>
      </c>
      <c r="C349" s="48" t="s">
        <v>48</v>
      </c>
      <c r="D349" s="48" t="s">
        <v>49</v>
      </c>
      <c r="E349" s="39">
        <v>3</v>
      </c>
      <c r="F349" s="48" t="s">
        <v>247</v>
      </c>
      <c r="G349" s="48" t="s">
        <v>262</v>
      </c>
      <c r="H349" s="46" t="s">
        <v>7</v>
      </c>
      <c r="I349" s="49">
        <v>14</v>
      </c>
      <c r="J349" s="71">
        <v>1105</v>
      </c>
      <c r="K349" s="37">
        <f t="shared" si="6"/>
        <v>15470</v>
      </c>
      <c r="L349" s="63"/>
    </row>
    <row r="350" spans="1:12" s="40" customFormat="1">
      <c r="A350" s="114">
        <v>83</v>
      </c>
      <c r="B350" s="47" t="s">
        <v>47</v>
      </c>
      <c r="C350" s="48" t="s">
        <v>48</v>
      </c>
      <c r="D350" s="48" t="s">
        <v>49</v>
      </c>
      <c r="E350" s="39">
        <v>3</v>
      </c>
      <c r="F350" s="48" t="s">
        <v>244</v>
      </c>
      <c r="G350" s="48" t="s">
        <v>262</v>
      </c>
      <c r="H350" s="46" t="s">
        <v>7</v>
      </c>
      <c r="I350" s="49">
        <v>1.7</v>
      </c>
      <c r="J350" s="71">
        <v>1105</v>
      </c>
      <c r="K350" s="37">
        <f t="shared" si="6"/>
        <v>1878.5</v>
      </c>
      <c r="L350" s="63"/>
    </row>
    <row r="351" spans="1:12" s="40" customFormat="1">
      <c r="A351" s="114">
        <v>84</v>
      </c>
      <c r="B351" s="47" t="s">
        <v>47</v>
      </c>
      <c r="C351" s="48" t="s">
        <v>48</v>
      </c>
      <c r="D351" s="48" t="s">
        <v>49</v>
      </c>
      <c r="E351" s="39">
        <v>3</v>
      </c>
      <c r="F351" s="48" t="s">
        <v>242</v>
      </c>
      <c r="G351" s="48" t="s">
        <v>262</v>
      </c>
      <c r="H351" s="46" t="s">
        <v>7</v>
      </c>
      <c r="I351" s="49">
        <v>19.399999999999999</v>
      </c>
      <c r="J351" s="71">
        <v>1105</v>
      </c>
      <c r="K351" s="37">
        <f t="shared" si="6"/>
        <v>21437</v>
      </c>
      <c r="L351" s="63"/>
    </row>
    <row r="352" spans="1:12" s="40" customFormat="1">
      <c r="A352" s="114">
        <v>85</v>
      </c>
      <c r="B352" s="47" t="s">
        <v>47</v>
      </c>
      <c r="C352" s="48" t="s">
        <v>48</v>
      </c>
      <c r="D352" s="48" t="s">
        <v>49</v>
      </c>
      <c r="E352" s="39">
        <v>3</v>
      </c>
      <c r="F352" s="48" t="s">
        <v>183</v>
      </c>
      <c r="G352" s="48" t="s">
        <v>262</v>
      </c>
      <c r="H352" s="46" t="s">
        <v>7</v>
      </c>
      <c r="I352" s="49">
        <v>2.2999999999999998</v>
      </c>
      <c r="J352" s="71">
        <v>1105</v>
      </c>
      <c r="K352" s="37">
        <f t="shared" si="6"/>
        <v>2541.5</v>
      </c>
      <c r="L352" s="63"/>
    </row>
    <row r="353" spans="1:12" s="40" customFormat="1">
      <c r="A353" s="114">
        <v>86</v>
      </c>
      <c r="B353" s="47" t="s">
        <v>60</v>
      </c>
      <c r="C353" s="48" t="s">
        <v>48</v>
      </c>
      <c r="D353" s="48" t="s">
        <v>49</v>
      </c>
      <c r="E353" s="39">
        <v>3</v>
      </c>
      <c r="F353" s="48" t="s">
        <v>238</v>
      </c>
      <c r="G353" s="48" t="s">
        <v>262</v>
      </c>
      <c r="H353" s="46" t="s">
        <v>7</v>
      </c>
      <c r="I353" s="49">
        <v>9.6999999999999993</v>
      </c>
      <c r="J353" s="71">
        <v>1105</v>
      </c>
      <c r="K353" s="37">
        <f t="shared" si="6"/>
        <v>10718.5</v>
      </c>
      <c r="L353" s="63"/>
    </row>
    <row r="354" spans="1:12" s="40" customFormat="1">
      <c r="A354" s="114">
        <v>87</v>
      </c>
      <c r="B354" s="47" t="s">
        <v>47</v>
      </c>
      <c r="C354" s="48" t="s">
        <v>48</v>
      </c>
      <c r="D354" s="48" t="s">
        <v>49</v>
      </c>
      <c r="E354" s="39">
        <v>3</v>
      </c>
      <c r="F354" s="48" t="s">
        <v>240</v>
      </c>
      <c r="G354" s="48" t="s">
        <v>262</v>
      </c>
      <c r="H354" s="46" t="s">
        <v>7</v>
      </c>
      <c r="I354" s="49">
        <v>14</v>
      </c>
      <c r="J354" s="71">
        <v>1105</v>
      </c>
      <c r="K354" s="37">
        <f t="shared" si="6"/>
        <v>15470</v>
      </c>
      <c r="L354" s="63"/>
    </row>
    <row r="355" spans="1:12" s="40" customFormat="1" ht="26.4">
      <c r="A355" s="114">
        <v>88</v>
      </c>
      <c r="B355" s="47" t="s">
        <v>47</v>
      </c>
      <c r="C355" s="48" t="s">
        <v>48</v>
      </c>
      <c r="D355" s="48" t="s">
        <v>49</v>
      </c>
      <c r="E355" s="39">
        <v>3</v>
      </c>
      <c r="F355" s="48" t="s">
        <v>254</v>
      </c>
      <c r="G355" s="48" t="s">
        <v>262</v>
      </c>
      <c r="H355" s="46" t="s">
        <v>7</v>
      </c>
      <c r="I355" s="49">
        <v>1.6</v>
      </c>
      <c r="J355" s="71">
        <v>1105</v>
      </c>
      <c r="K355" s="37">
        <f t="shared" si="6"/>
        <v>1768</v>
      </c>
      <c r="L355" s="63"/>
    </row>
    <row r="356" spans="1:12" s="40" customFormat="1" ht="39.6">
      <c r="A356" s="114">
        <v>89</v>
      </c>
      <c r="B356" s="47" t="s">
        <v>47</v>
      </c>
      <c r="C356" s="48" t="s">
        <v>48</v>
      </c>
      <c r="D356" s="48" t="s">
        <v>49</v>
      </c>
      <c r="E356" s="39">
        <v>3</v>
      </c>
      <c r="F356" s="48" t="s">
        <v>270</v>
      </c>
      <c r="G356" s="48" t="s">
        <v>262</v>
      </c>
      <c r="H356" s="46" t="s">
        <v>7</v>
      </c>
      <c r="I356" s="49">
        <v>2.7</v>
      </c>
      <c r="J356" s="71">
        <v>1105</v>
      </c>
      <c r="K356" s="37">
        <f t="shared" si="6"/>
        <v>2983.5</v>
      </c>
      <c r="L356" s="63"/>
    </row>
    <row r="357" spans="1:12" s="40" customFormat="1" ht="52.8">
      <c r="A357" s="114">
        <v>90</v>
      </c>
      <c r="B357" s="47" t="s">
        <v>47</v>
      </c>
      <c r="C357" s="48" t="s">
        <v>48</v>
      </c>
      <c r="D357" s="48" t="s">
        <v>49</v>
      </c>
      <c r="E357" s="39">
        <v>3</v>
      </c>
      <c r="F357" s="48" t="s">
        <v>269</v>
      </c>
      <c r="G357" s="48" t="s">
        <v>262</v>
      </c>
      <c r="H357" s="46" t="s">
        <v>7</v>
      </c>
      <c r="I357" s="49">
        <v>9.3000000000000007</v>
      </c>
      <c r="J357" s="71">
        <v>1105</v>
      </c>
      <c r="K357" s="37">
        <f t="shared" si="6"/>
        <v>10276.5</v>
      </c>
      <c r="L357" s="63"/>
    </row>
    <row r="358" spans="1:12" s="40" customFormat="1">
      <c r="A358" s="114">
        <v>91</v>
      </c>
      <c r="B358" s="47" t="s">
        <v>47</v>
      </c>
      <c r="C358" s="48" t="s">
        <v>48</v>
      </c>
      <c r="D358" s="48" t="s">
        <v>49</v>
      </c>
      <c r="E358" s="39">
        <v>3</v>
      </c>
      <c r="F358" s="48" t="s">
        <v>256</v>
      </c>
      <c r="G358" s="48" t="s">
        <v>262</v>
      </c>
      <c r="H358" s="46" t="s">
        <v>7</v>
      </c>
      <c r="I358" s="49">
        <v>6.8</v>
      </c>
      <c r="J358" s="71">
        <v>1105</v>
      </c>
      <c r="K358" s="37">
        <f t="shared" si="6"/>
        <v>7514</v>
      </c>
      <c r="L358" s="63"/>
    </row>
    <row r="359" spans="1:12" s="40" customFormat="1">
      <c r="A359" s="114">
        <v>92</v>
      </c>
      <c r="B359" s="47" t="s">
        <v>47</v>
      </c>
      <c r="C359" s="48" t="s">
        <v>48</v>
      </c>
      <c r="D359" s="48" t="s">
        <v>49</v>
      </c>
      <c r="E359" s="39">
        <v>3</v>
      </c>
      <c r="F359" s="48" t="s">
        <v>248</v>
      </c>
      <c r="G359" s="48" t="s">
        <v>262</v>
      </c>
      <c r="H359" s="46" t="s">
        <v>7</v>
      </c>
      <c r="I359" s="49">
        <v>78.5</v>
      </c>
      <c r="J359" s="71">
        <v>1105</v>
      </c>
      <c r="K359" s="37">
        <f>J359*I359</f>
        <v>86742.5</v>
      </c>
      <c r="L359" s="63"/>
    </row>
    <row r="360" spans="1:12" s="40" customFormat="1">
      <c r="A360" s="114">
        <v>93</v>
      </c>
      <c r="B360" s="47" t="s">
        <v>47</v>
      </c>
      <c r="C360" s="48" t="s">
        <v>48</v>
      </c>
      <c r="D360" s="48" t="s">
        <v>49</v>
      </c>
      <c r="E360" s="39">
        <v>3</v>
      </c>
      <c r="F360" s="48" t="s">
        <v>243</v>
      </c>
      <c r="G360" s="48" t="s">
        <v>262</v>
      </c>
      <c r="H360" s="46" t="s">
        <v>7</v>
      </c>
      <c r="I360" s="49">
        <v>78.5</v>
      </c>
      <c r="J360" s="71">
        <v>1105</v>
      </c>
      <c r="K360" s="37">
        <f>J360*I360</f>
        <v>86742.5</v>
      </c>
      <c r="L360" s="63"/>
    </row>
    <row r="361" spans="1:12" s="40" customFormat="1" ht="39.6">
      <c r="A361" s="114">
        <v>94</v>
      </c>
      <c r="B361" s="47" t="s">
        <v>47</v>
      </c>
      <c r="C361" s="48" t="s">
        <v>48</v>
      </c>
      <c r="D361" s="48" t="s">
        <v>58</v>
      </c>
      <c r="E361" s="39">
        <v>1</v>
      </c>
      <c r="F361" s="48" t="s">
        <v>154</v>
      </c>
      <c r="G361" s="48" t="s">
        <v>14</v>
      </c>
      <c r="H361" s="46" t="s">
        <v>7</v>
      </c>
      <c r="I361" s="49">
        <v>5.3</v>
      </c>
      <c r="J361" s="71">
        <v>1170</v>
      </c>
      <c r="K361" s="37">
        <f t="shared" ref="K361:K383" si="7">J361*I361</f>
        <v>6201</v>
      </c>
      <c r="L361" s="63"/>
    </row>
    <row r="362" spans="1:12" s="40" customFormat="1" ht="26.4">
      <c r="A362" s="114">
        <v>95</v>
      </c>
      <c r="B362" s="47" t="s">
        <v>47</v>
      </c>
      <c r="C362" s="48" t="s">
        <v>48</v>
      </c>
      <c r="D362" s="48" t="s">
        <v>49</v>
      </c>
      <c r="E362" s="39">
        <v>1</v>
      </c>
      <c r="F362" s="48" t="s">
        <v>154</v>
      </c>
      <c r="G362" s="48" t="s">
        <v>15</v>
      </c>
      <c r="H362" s="46" t="s">
        <v>7</v>
      </c>
      <c r="I362" s="49">
        <v>37</v>
      </c>
      <c r="J362" s="71">
        <v>1170</v>
      </c>
      <c r="K362" s="37">
        <f t="shared" si="7"/>
        <v>43290</v>
      </c>
      <c r="L362" s="63"/>
    </row>
    <row r="363" spans="1:12" s="40" customFormat="1" ht="39.6">
      <c r="A363" s="114">
        <v>96</v>
      </c>
      <c r="B363" s="47" t="s">
        <v>47</v>
      </c>
      <c r="C363" s="48" t="s">
        <v>48</v>
      </c>
      <c r="D363" s="48" t="s">
        <v>58</v>
      </c>
      <c r="E363" s="39">
        <v>1</v>
      </c>
      <c r="F363" s="48" t="s">
        <v>144</v>
      </c>
      <c r="G363" s="48" t="s">
        <v>14</v>
      </c>
      <c r="H363" s="46" t="s">
        <v>7</v>
      </c>
      <c r="I363" s="49">
        <v>6.5</v>
      </c>
      <c r="J363" s="71">
        <v>1170</v>
      </c>
      <c r="K363" s="37">
        <f t="shared" si="7"/>
        <v>7605</v>
      </c>
      <c r="L363" s="63"/>
    </row>
    <row r="364" spans="1:12" s="40" customFormat="1" ht="26.4">
      <c r="A364" s="114">
        <v>97</v>
      </c>
      <c r="B364" s="47" t="s">
        <v>47</v>
      </c>
      <c r="C364" s="48" t="s">
        <v>48</v>
      </c>
      <c r="D364" s="48" t="s">
        <v>49</v>
      </c>
      <c r="E364" s="39">
        <v>1</v>
      </c>
      <c r="F364" s="48" t="s">
        <v>144</v>
      </c>
      <c r="G364" s="48" t="s">
        <v>15</v>
      </c>
      <c r="H364" s="46" t="s">
        <v>7</v>
      </c>
      <c r="I364" s="49">
        <v>9.5</v>
      </c>
      <c r="J364" s="71">
        <v>1170</v>
      </c>
      <c r="K364" s="37">
        <f t="shared" si="7"/>
        <v>11115</v>
      </c>
      <c r="L364" s="63"/>
    </row>
    <row r="365" spans="1:12" s="40" customFormat="1" ht="39.6">
      <c r="A365" s="114">
        <v>98</v>
      </c>
      <c r="B365" s="47" t="s">
        <v>47</v>
      </c>
      <c r="C365" s="48" t="s">
        <v>48</v>
      </c>
      <c r="D365" s="48" t="s">
        <v>58</v>
      </c>
      <c r="E365" s="39">
        <v>1</v>
      </c>
      <c r="F365" s="48" t="s">
        <v>150</v>
      </c>
      <c r="G365" s="48" t="s">
        <v>14</v>
      </c>
      <c r="H365" s="46" t="s">
        <v>7</v>
      </c>
      <c r="I365" s="49">
        <v>6.5</v>
      </c>
      <c r="J365" s="71">
        <v>1170</v>
      </c>
      <c r="K365" s="37">
        <f t="shared" si="7"/>
        <v>7605</v>
      </c>
      <c r="L365" s="63"/>
    </row>
    <row r="366" spans="1:12" s="40" customFormat="1" ht="26.4">
      <c r="A366" s="114">
        <v>99</v>
      </c>
      <c r="B366" s="47" t="s">
        <v>47</v>
      </c>
      <c r="C366" s="48" t="s">
        <v>48</v>
      </c>
      <c r="D366" s="48" t="s">
        <v>49</v>
      </c>
      <c r="E366" s="39">
        <v>1</v>
      </c>
      <c r="F366" s="48" t="s">
        <v>150</v>
      </c>
      <c r="G366" s="48" t="s">
        <v>15</v>
      </c>
      <c r="H366" s="46" t="s">
        <v>7</v>
      </c>
      <c r="I366" s="49">
        <v>9.5</v>
      </c>
      <c r="J366" s="71">
        <v>1170</v>
      </c>
      <c r="K366" s="37">
        <f t="shared" si="7"/>
        <v>11115</v>
      </c>
      <c r="L366" s="63"/>
    </row>
    <row r="367" spans="1:12" s="40" customFormat="1" ht="39.6">
      <c r="A367" s="114">
        <v>100</v>
      </c>
      <c r="B367" s="47" t="s">
        <v>47</v>
      </c>
      <c r="C367" s="48" t="s">
        <v>48</v>
      </c>
      <c r="D367" s="48" t="s">
        <v>58</v>
      </c>
      <c r="E367" s="39">
        <v>2</v>
      </c>
      <c r="F367" s="48" t="s">
        <v>201</v>
      </c>
      <c r="G367" s="48" t="s">
        <v>14</v>
      </c>
      <c r="H367" s="46" t="s">
        <v>7</v>
      </c>
      <c r="I367" s="49">
        <v>6.5</v>
      </c>
      <c r="J367" s="71">
        <v>1170</v>
      </c>
      <c r="K367" s="37">
        <f t="shared" si="7"/>
        <v>7605</v>
      </c>
      <c r="L367" s="63"/>
    </row>
    <row r="368" spans="1:12" s="40" customFormat="1" ht="26.4">
      <c r="A368" s="114">
        <v>101</v>
      </c>
      <c r="B368" s="47" t="s">
        <v>47</v>
      </c>
      <c r="C368" s="48" t="s">
        <v>48</v>
      </c>
      <c r="D368" s="48" t="s">
        <v>49</v>
      </c>
      <c r="E368" s="39">
        <v>2</v>
      </c>
      <c r="F368" s="48" t="s">
        <v>201</v>
      </c>
      <c r="G368" s="48" t="s">
        <v>15</v>
      </c>
      <c r="H368" s="46" t="s">
        <v>7</v>
      </c>
      <c r="I368" s="49">
        <v>15.2</v>
      </c>
      <c r="J368" s="71">
        <v>1170</v>
      </c>
      <c r="K368" s="37">
        <f t="shared" si="7"/>
        <v>17784</v>
      </c>
      <c r="L368" s="63"/>
    </row>
    <row r="369" spans="1:12" s="40" customFormat="1" ht="39.6">
      <c r="A369" s="114">
        <v>102</v>
      </c>
      <c r="B369" s="47" t="s">
        <v>47</v>
      </c>
      <c r="C369" s="48" t="s">
        <v>48</v>
      </c>
      <c r="D369" s="48" t="s">
        <v>58</v>
      </c>
      <c r="E369" s="39">
        <v>2</v>
      </c>
      <c r="F369" s="48" t="s">
        <v>196</v>
      </c>
      <c r="G369" s="48" t="s">
        <v>14</v>
      </c>
      <c r="H369" s="46" t="s">
        <v>7</v>
      </c>
      <c r="I369" s="49">
        <v>6.5</v>
      </c>
      <c r="J369" s="71">
        <v>1170</v>
      </c>
      <c r="K369" s="37">
        <f t="shared" si="7"/>
        <v>7605</v>
      </c>
      <c r="L369" s="63"/>
    </row>
    <row r="370" spans="1:12" s="40" customFormat="1" ht="26.4">
      <c r="A370" s="114">
        <v>103</v>
      </c>
      <c r="B370" s="47" t="s">
        <v>47</v>
      </c>
      <c r="C370" s="48" t="s">
        <v>48</v>
      </c>
      <c r="D370" s="48" t="s">
        <v>49</v>
      </c>
      <c r="E370" s="39">
        <v>2</v>
      </c>
      <c r="F370" s="48" t="s">
        <v>196</v>
      </c>
      <c r="G370" s="48" t="s">
        <v>15</v>
      </c>
      <c r="H370" s="46" t="s">
        <v>7</v>
      </c>
      <c r="I370" s="49">
        <v>15.2</v>
      </c>
      <c r="J370" s="71">
        <v>1170</v>
      </c>
      <c r="K370" s="37">
        <f t="shared" si="7"/>
        <v>17784</v>
      </c>
      <c r="L370" s="63"/>
    </row>
    <row r="371" spans="1:12" s="40" customFormat="1" ht="26.4">
      <c r="A371" s="114">
        <v>104</v>
      </c>
      <c r="B371" s="47" t="s">
        <v>47</v>
      </c>
      <c r="C371" s="48" t="s">
        <v>48</v>
      </c>
      <c r="D371" s="48" t="s">
        <v>49</v>
      </c>
      <c r="E371" s="39">
        <v>2</v>
      </c>
      <c r="F371" s="48" t="s">
        <v>210</v>
      </c>
      <c r="G371" s="48" t="s">
        <v>15</v>
      </c>
      <c r="H371" s="46" t="s">
        <v>7</v>
      </c>
      <c r="I371" s="49">
        <v>33</v>
      </c>
      <c r="J371" s="71">
        <v>1170</v>
      </c>
      <c r="K371" s="37">
        <f t="shared" si="7"/>
        <v>38610</v>
      </c>
      <c r="L371" s="63"/>
    </row>
    <row r="372" spans="1:12" s="40" customFormat="1" ht="39.6">
      <c r="A372" s="114">
        <v>105</v>
      </c>
      <c r="B372" s="47" t="s">
        <v>47</v>
      </c>
      <c r="C372" s="48" t="s">
        <v>48</v>
      </c>
      <c r="D372" s="48" t="s">
        <v>58</v>
      </c>
      <c r="E372" s="39">
        <v>2</v>
      </c>
      <c r="F372" s="48" t="s">
        <v>213</v>
      </c>
      <c r="G372" s="48" t="s">
        <v>14</v>
      </c>
      <c r="H372" s="46" t="s">
        <v>7</v>
      </c>
      <c r="I372" s="49">
        <v>5.8</v>
      </c>
      <c r="J372" s="71">
        <v>1170</v>
      </c>
      <c r="K372" s="37">
        <f t="shared" si="7"/>
        <v>6786</v>
      </c>
      <c r="L372" s="63"/>
    </row>
    <row r="373" spans="1:12" s="40" customFormat="1" ht="39.6">
      <c r="A373" s="114">
        <v>106</v>
      </c>
      <c r="B373" s="47" t="s">
        <v>47</v>
      </c>
      <c r="C373" s="48" t="s">
        <v>48</v>
      </c>
      <c r="D373" s="48" t="s">
        <v>58</v>
      </c>
      <c r="E373" s="39">
        <v>2</v>
      </c>
      <c r="F373" s="48" t="s">
        <v>211</v>
      </c>
      <c r="G373" s="48" t="s">
        <v>14</v>
      </c>
      <c r="H373" s="46" t="s">
        <v>7</v>
      </c>
      <c r="I373" s="49">
        <v>6</v>
      </c>
      <c r="J373" s="71">
        <v>1170</v>
      </c>
      <c r="K373" s="37">
        <f t="shared" si="7"/>
        <v>7020</v>
      </c>
      <c r="L373" s="63"/>
    </row>
    <row r="374" spans="1:12" s="40" customFormat="1" ht="39.6">
      <c r="A374" s="114">
        <v>107</v>
      </c>
      <c r="B374" s="47" t="s">
        <v>47</v>
      </c>
      <c r="C374" s="48" t="s">
        <v>48</v>
      </c>
      <c r="D374" s="48" t="s">
        <v>58</v>
      </c>
      <c r="E374" s="39">
        <v>2</v>
      </c>
      <c r="F374" s="48" t="s">
        <v>210</v>
      </c>
      <c r="G374" s="48" t="s">
        <v>14</v>
      </c>
      <c r="H374" s="46" t="s">
        <v>7</v>
      </c>
      <c r="I374" s="49">
        <v>5</v>
      </c>
      <c r="J374" s="71">
        <v>1170</v>
      </c>
      <c r="K374" s="37">
        <f t="shared" si="7"/>
        <v>5850</v>
      </c>
      <c r="L374" s="63"/>
    </row>
    <row r="375" spans="1:12" s="40" customFormat="1" ht="39.6">
      <c r="A375" s="114">
        <v>108</v>
      </c>
      <c r="B375" s="47" t="s">
        <v>47</v>
      </c>
      <c r="C375" s="48" t="s">
        <v>48</v>
      </c>
      <c r="D375" s="48" t="s">
        <v>58</v>
      </c>
      <c r="E375" s="39">
        <v>2</v>
      </c>
      <c r="F375" s="48" t="s">
        <v>194</v>
      </c>
      <c r="G375" s="48" t="s">
        <v>14</v>
      </c>
      <c r="H375" s="46" t="s">
        <v>7</v>
      </c>
      <c r="I375" s="49">
        <v>7.6</v>
      </c>
      <c r="J375" s="71">
        <v>1170</v>
      </c>
      <c r="K375" s="37">
        <f t="shared" si="7"/>
        <v>8892</v>
      </c>
      <c r="L375" s="63"/>
    </row>
    <row r="376" spans="1:12" s="40" customFormat="1" ht="39.6">
      <c r="A376" s="114">
        <v>109</v>
      </c>
      <c r="B376" s="47" t="s">
        <v>47</v>
      </c>
      <c r="C376" s="48" t="s">
        <v>48</v>
      </c>
      <c r="D376" s="48" t="s">
        <v>58</v>
      </c>
      <c r="E376" s="39">
        <v>3</v>
      </c>
      <c r="F376" s="48" t="s">
        <v>248</v>
      </c>
      <c r="G376" s="48" t="s">
        <v>14</v>
      </c>
      <c r="H376" s="46" t="s">
        <v>7</v>
      </c>
      <c r="I376" s="49">
        <v>30.6</v>
      </c>
      <c r="J376" s="71">
        <v>1170</v>
      </c>
      <c r="K376" s="37">
        <f t="shared" si="7"/>
        <v>35802</v>
      </c>
      <c r="L376" s="63"/>
    </row>
    <row r="377" spans="1:12" s="40" customFormat="1" ht="26.4">
      <c r="A377" s="114">
        <v>110</v>
      </c>
      <c r="B377" s="47" t="s">
        <v>47</v>
      </c>
      <c r="C377" s="48" t="s">
        <v>48</v>
      </c>
      <c r="D377" s="48" t="s">
        <v>49</v>
      </c>
      <c r="E377" s="39">
        <v>3</v>
      </c>
      <c r="F377" s="48" t="s">
        <v>248</v>
      </c>
      <c r="G377" s="48" t="s">
        <v>15</v>
      </c>
      <c r="H377" s="46" t="s">
        <v>7</v>
      </c>
      <c r="I377" s="49">
        <v>37.200000000000003</v>
      </c>
      <c r="J377" s="71">
        <v>1170</v>
      </c>
      <c r="K377" s="37">
        <f t="shared" si="7"/>
        <v>43524</v>
      </c>
      <c r="L377" s="63"/>
    </row>
    <row r="378" spans="1:12" s="40" customFormat="1" ht="39.6">
      <c r="A378" s="114">
        <v>111</v>
      </c>
      <c r="B378" s="47" t="s">
        <v>47</v>
      </c>
      <c r="C378" s="48" t="s">
        <v>48</v>
      </c>
      <c r="D378" s="48" t="s">
        <v>58</v>
      </c>
      <c r="E378" s="39">
        <v>3</v>
      </c>
      <c r="F378" s="48" t="s">
        <v>250</v>
      </c>
      <c r="G378" s="48" t="s">
        <v>14</v>
      </c>
      <c r="H378" s="46" t="s">
        <v>7</v>
      </c>
      <c r="I378" s="49">
        <v>5.74</v>
      </c>
      <c r="J378" s="71">
        <v>1170</v>
      </c>
      <c r="K378" s="37">
        <f t="shared" si="7"/>
        <v>6715.8</v>
      </c>
      <c r="L378" s="63"/>
    </row>
    <row r="379" spans="1:12" s="40" customFormat="1" ht="39.6">
      <c r="A379" s="114">
        <v>112</v>
      </c>
      <c r="B379" s="47" t="s">
        <v>47</v>
      </c>
      <c r="C379" s="48" t="s">
        <v>48</v>
      </c>
      <c r="D379" s="48" t="s">
        <v>58</v>
      </c>
      <c r="E379" s="39">
        <v>3</v>
      </c>
      <c r="F379" s="48" t="s">
        <v>251</v>
      </c>
      <c r="G379" s="48" t="s">
        <v>14</v>
      </c>
      <c r="H379" s="46" t="s">
        <v>7</v>
      </c>
      <c r="I379" s="49">
        <v>5.8</v>
      </c>
      <c r="J379" s="71">
        <v>1170</v>
      </c>
      <c r="K379" s="37">
        <f t="shared" si="7"/>
        <v>6786</v>
      </c>
      <c r="L379" s="63"/>
    </row>
    <row r="380" spans="1:12" s="40" customFormat="1" ht="39.6">
      <c r="A380" s="114">
        <v>113</v>
      </c>
      <c r="B380" s="47" t="s">
        <v>47</v>
      </c>
      <c r="C380" s="48"/>
      <c r="D380" s="48" t="s">
        <v>58</v>
      </c>
      <c r="E380" s="39">
        <v>3</v>
      </c>
      <c r="F380" s="48" t="s">
        <v>253</v>
      </c>
      <c r="G380" s="48" t="s">
        <v>14</v>
      </c>
      <c r="H380" s="46" t="s">
        <v>7</v>
      </c>
      <c r="I380" s="49">
        <v>5.74</v>
      </c>
      <c r="J380" s="71">
        <v>1170</v>
      </c>
      <c r="K380" s="37">
        <f t="shared" si="7"/>
        <v>6715.8</v>
      </c>
      <c r="L380" s="63"/>
    </row>
    <row r="381" spans="1:12" s="40" customFormat="1" ht="39.6">
      <c r="A381" s="114">
        <v>114</v>
      </c>
      <c r="B381" s="47" t="s">
        <v>47</v>
      </c>
      <c r="C381" s="48"/>
      <c r="D381" s="48" t="s">
        <v>58</v>
      </c>
      <c r="E381" s="39">
        <v>3</v>
      </c>
      <c r="F381" s="48" t="s">
        <v>254</v>
      </c>
      <c r="G381" s="48" t="s">
        <v>14</v>
      </c>
      <c r="H381" s="46" t="s">
        <v>7</v>
      </c>
      <c r="I381" s="49">
        <v>6.2</v>
      </c>
      <c r="J381" s="71">
        <v>1170</v>
      </c>
      <c r="K381" s="37">
        <f t="shared" si="7"/>
        <v>7254</v>
      </c>
      <c r="L381" s="63"/>
    </row>
    <row r="382" spans="1:12" s="40" customFormat="1" ht="15" customHeight="1">
      <c r="A382" s="114">
        <v>115</v>
      </c>
      <c r="B382" s="47" t="s">
        <v>47</v>
      </c>
      <c r="C382" s="48"/>
      <c r="D382" s="48"/>
      <c r="E382" s="39"/>
      <c r="F382" s="56"/>
      <c r="G382" s="74"/>
      <c r="H382" s="46"/>
      <c r="I382" s="49"/>
      <c r="J382" s="71"/>
      <c r="K382" s="37">
        <f t="shared" si="7"/>
        <v>0</v>
      </c>
      <c r="L382" s="63"/>
    </row>
    <row r="383" spans="1:12" s="40" customFormat="1">
      <c r="A383" s="114">
        <v>116</v>
      </c>
      <c r="B383" s="47" t="s">
        <v>47</v>
      </c>
      <c r="C383" s="48"/>
      <c r="D383" s="48"/>
      <c r="E383" s="39"/>
      <c r="F383" s="56"/>
      <c r="G383" s="48"/>
      <c r="H383" s="46"/>
      <c r="I383" s="49"/>
      <c r="J383" s="71"/>
      <c r="K383" s="37">
        <f t="shared" si="7"/>
        <v>0</v>
      </c>
      <c r="L383" s="63"/>
    </row>
    <row r="384" spans="1:12" ht="26.4">
      <c r="A384" s="114">
        <v>117</v>
      </c>
      <c r="B384" s="47" t="s">
        <v>47</v>
      </c>
      <c r="C384" s="48" t="s">
        <v>48</v>
      </c>
      <c r="D384" s="48" t="s">
        <v>49</v>
      </c>
      <c r="E384" s="39">
        <v>3</v>
      </c>
      <c r="F384" s="48" t="s">
        <v>254</v>
      </c>
      <c r="G384" s="48" t="s">
        <v>15</v>
      </c>
      <c r="H384" s="46" t="s">
        <v>7</v>
      </c>
      <c r="I384" s="49">
        <v>39.5</v>
      </c>
      <c r="J384" s="71">
        <v>1170</v>
      </c>
      <c r="K384" s="37">
        <f t="shared" ref="K384:K401" si="8">J384*I384</f>
        <v>46215</v>
      </c>
      <c r="L384" s="63"/>
    </row>
    <row r="385" spans="1:12" ht="39.6">
      <c r="A385" s="114">
        <v>118</v>
      </c>
      <c r="B385" s="47" t="s">
        <v>47</v>
      </c>
      <c r="C385" s="48" t="s">
        <v>48</v>
      </c>
      <c r="D385" s="48" t="s">
        <v>58</v>
      </c>
      <c r="E385" s="39">
        <v>3</v>
      </c>
      <c r="F385" s="48" t="s">
        <v>240</v>
      </c>
      <c r="G385" s="48" t="s">
        <v>14</v>
      </c>
      <c r="H385" s="46" t="s">
        <v>7</v>
      </c>
      <c r="I385" s="49">
        <v>6.7</v>
      </c>
      <c r="J385" s="71">
        <v>1170</v>
      </c>
      <c r="K385" s="37">
        <f>J388*I385</f>
        <v>7839</v>
      </c>
      <c r="L385" s="63"/>
    </row>
    <row r="386" spans="1:12" ht="26.4">
      <c r="A386" s="114">
        <v>119</v>
      </c>
      <c r="B386" s="47" t="s">
        <v>47</v>
      </c>
      <c r="C386" s="48" t="s">
        <v>48</v>
      </c>
      <c r="D386" s="48" t="s">
        <v>49</v>
      </c>
      <c r="E386" s="39">
        <v>3</v>
      </c>
      <c r="F386" s="48" t="s">
        <v>240</v>
      </c>
      <c r="G386" s="48" t="s">
        <v>15</v>
      </c>
      <c r="H386" s="46" t="s">
        <v>7</v>
      </c>
      <c r="I386" s="49">
        <v>15</v>
      </c>
      <c r="J386" s="71">
        <v>1170</v>
      </c>
      <c r="K386" s="37">
        <f t="shared" si="8"/>
        <v>17550</v>
      </c>
      <c r="L386" s="63"/>
    </row>
    <row r="387" spans="1:12" ht="39.6">
      <c r="A387" s="114">
        <v>120</v>
      </c>
      <c r="B387" s="47" t="s">
        <v>47</v>
      </c>
      <c r="C387" s="48" t="s">
        <v>48</v>
      </c>
      <c r="D387" s="48" t="s">
        <v>58</v>
      </c>
      <c r="E387" s="39">
        <v>3</v>
      </c>
      <c r="F387" s="48" t="s">
        <v>247</v>
      </c>
      <c r="G387" s="48" t="s">
        <v>14</v>
      </c>
      <c r="H387" s="46" t="s">
        <v>7</v>
      </c>
      <c r="I387" s="49">
        <v>6.7</v>
      </c>
      <c r="J387" s="71">
        <v>1170</v>
      </c>
      <c r="K387" s="37">
        <f t="shared" si="8"/>
        <v>7839</v>
      </c>
      <c r="L387" s="63"/>
    </row>
    <row r="388" spans="1:12" ht="26.4">
      <c r="A388" s="114">
        <v>121</v>
      </c>
      <c r="B388" s="47" t="s">
        <v>47</v>
      </c>
      <c r="C388" s="48" t="s">
        <v>48</v>
      </c>
      <c r="D388" s="48" t="s">
        <v>49</v>
      </c>
      <c r="E388" s="39">
        <v>3</v>
      </c>
      <c r="F388" s="48" t="s">
        <v>247</v>
      </c>
      <c r="G388" s="48" t="s">
        <v>15</v>
      </c>
      <c r="H388" s="46" t="s">
        <v>7</v>
      </c>
      <c r="I388" s="49">
        <v>15</v>
      </c>
      <c r="J388" s="71">
        <v>1170</v>
      </c>
      <c r="K388" s="37">
        <f t="shared" si="8"/>
        <v>17550</v>
      </c>
      <c r="L388" s="63"/>
    </row>
    <row r="389" spans="1:12">
      <c r="A389" s="114">
        <v>122</v>
      </c>
      <c r="B389" s="47" t="s">
        <v>47</v>
      </c>
      <c r="C389" s="48" t="s">
        <v>48</v>
      </c>
      <c r="D389" s="48" t="s">
        <v>49</v>
      </c>
      <c r="E389" s="39">
        <v>3</v>
      </c>
      <c r="F389" s="48" t="s">
        <v>242</v>
      </c>
      <c r="G389" s="48" t="s">
        <v>260</v>
      </c>
      <c r="H389" s="46" t="s">
        <v>261</v>
      </c>
      <c r="I389" s="49">
        <v>0.5</v>
      </c>
      <c r="J389" s="71">
        <v>4160</v>
      </c>
      <c r="K389" s="37">
        <f t="shared" si="8"/>
        <v>2080</v>
      </c>
      <c r="L389" s="63"/>
    </row>
    <row r="390" spans="1:12" ht="26.4">
      <c r="A390" s="114">
        <v>123</v>
      </c>
      <c r="B390" s="47" t="s">
        <v>47</v>
      </c>
      <c r="C390" s="48" t="s">
        <v>48</v>
      </c>
      <c r="D390" s="48" t="s">
        <v>49</v>
      </c>
      <c r="E390" s="39">
        <v>3</v>
      </c>
      <c r="F390" s="48" t="s">
        <v>254</v>
      </c>
      <c r="G390" s="48" t="s">
        <v>260</v>
      </c>
      <c r="H390" s="46" t="s">
        <v>261</v>
      </c>
      <c r="I390" s="49">
        <v>1.6</v>
      </c>
      <c r="J390" s="71">
        <v>4160</v>
      </c>
      <c r="K390" s="37">
        <f t="shared" si="8"/>
        <v>6656</v>
      </c>
      <c r="L390" s="63"/>
    </row>
    <row r="391" spans="1:12" ht="26.4">
      <c r="A391" s="114">
        <v>124</v>
      </c>
      <c r="B391" s="47" t="s">
        <v>47</v>
      </c>
      <c r="C391" s="48" t="s">
        <v>48</v>
      </c>
      <c r="D391" s="48" t="s">
        <v>58</v>
      </c>
      <c r="E391" s="39">
        <v>1</v>
      </c>
      <c r="F391" s="48" t="s">
        <v>105</v>
      </c>
      <c r="G391" s="48" t="s">
        <v>19</v>
      </c>
      <c r="H391" s="46" t="s">
        <v>7</v>
      </c>
      <c r="I391" s="49">
        <v>21</v>
      </c>
      <c r="J391" s="71">
        <v>180</v>
      </c>
      <c r="K391" s="37">
        <f>J391*I391</f>
        <v>3780</v>
      </c>
      <c r="L391" s="63"/>
    </row>
    <row r="392" spans="1:12" ht="39.6">
      <c r="A392" s="114">
        <v>125</v>
      </c>
      <c r="B392" s="47" t="s">
        <v>47</v>
      </c>
      <c r="C392" s="48" t="s">
        <v>48</v>
      </c>
      <c r="D392" s="48" t="s">
        <v>58</v>
      </c>
      <c r="E392" s="39">
        <v>2</v>
      </c>
      <c r="F392" s="48" t="s">
        <v>272</v>
      </c>
      <c r="G392" s="48" t="s">
        <v>19</v>
      </c>
      <c r="H392" s="46" t="s">
        <v>7</v>
      </c>
      <c r="I392" s="49">
        <v>80</v>
      </c>
      <c r="J392" s="71">
        <v>180</v>
      </c>
      <c r="K392" s="37">
        <f t="shared" si="8"/>
        <v>14400</v>
      </c>
      <c r="L392" s="63"/>
    </row>
    <row r="393" spans="1:12" ht="26.4">
      <c r="A393" s="114">
        <v>126</v>
      </c>
      <c r="B393" s="47" t="s">
        <v>47</v>
      </c>
      <c r="C393" s="48" t="s">
        <v>48</v>
      </c>
      <c r="D393" s="48" t="s">
        <v>58</v>
      </c>
      <c r="E393" s="39">
        <v>2</v>
      </c>
      <c r="F393" s="48" t="s">
        <v>207</v>
      </c>
      <c r="G393" s="48" t="s">
        <v>19</v>
      </c>
      <c r="H393" s="46" t="s">
        <v>7</v>
      </c>
      <c r="I393" s="49">
        <v>80</v>
      </c>
      <c r="J393" s="71">
        <v>180</v>
      </c>
      <c r="K393" s="37">
        <f t="shared" si="8"/>
        <v>14400</v>
      </c>
      <c r="L393" s="63"/>
    </row>
    <row r="394" spans="1:12" ht="26.4">
      <c r="A394" s="114">
        <v>127</v>
      </c>
      <c r="B394" s="47" t="s">
        <v>47</v>
      </c>
      <c r="C394" s="48" t="s">
        <v>48</v>
      </c>
      <c r="D394" s="48" t="s">
        <v>58</v>
      </c>
      <c r="E394" s="39">
        <v>2</v>
      </c>
      <c r="F394" s="48" t="s">
        <v>195</v>
      </c>
      <c r="G394" s="48" t="s">
        <v>19</v>
      </c>
      <c r="H394" s="46" t="s">
        <v>7</v>
      </c>
      <c r="I394" s="49">
        <v>21.4</v>
      </c>
      <c r="J394" s="71">
        <v>180</v>
      </c>
      <c r="K394" s="37">
        <f t="shared" si="8"/>
        <v>3851.9999999999995</v>
      </c>
      <c r="L394" s="63"/>
    </row>
    <row r="395" spans="1:12" ht="26.4">
      <c r="A395" s="114">
        <v>128</v>
      </c>
      <c r="B395" s="47" t="s">
        <v>47</v>
      </c>
      <c r="C395" s="48" t="s">
        <v>48</v>
      </c>
      <c r="D395" s="48" t="s">
        <v>58</v>
      </c>
      <c r="E395" s="39">
        <v>2</v>
      </c>
      <c r="F395" s="48" t="s">
        <v>198</v>
      </c>
      <c r="G395" s="48" t="s">
        <v>19</v>
      </c>
      <c r="H395" s="46" t="s">
        <v>7</v>
      </c>
      <c r="I395" s="49">
        <v>39.25</v>
      </c>
      <c r="J395" s="71">
        <v>180</v>
      </c>
      <c r="K395" s="37">
        <f t="shared" si="8"/>
        <v>7065</v>
      </c>
      <c r="L395" s="63"/>
    </row>
    <row r="396" spans="1:12" ht="26.4">
      <c r="A396" s="114">
        <v>129</v>
      </c>
      <c r="B396" s="47" t="s">
        <v>47</v>
      </c>
      <c r="C396" s="48" t="s">
        <v>48</v>
      </c>
      <c r="D396" s="48" t="s">
        <v>58</v>
      </c>
      <c r="E396" s="39">
        <v>2</v>
      </c>
      <c r="F396" s="48" t="s">
        <v>199</v>
      </c>
      <c r="G396" s="48" t="s">
        <v>19</v>
      </c>
      <c r="H396" s="46" t="s">
        <v>7</v>
      </c>
      <c r="I396" s="49">
        <v>39.25</v>
      </c>
      <c r="J396" s="71">
        <v>180</v>
      </c>
      <c r="K396" s="37">
        <f t="shared" si="8"/>
        <v>7065</v>
      </c>
      <c r="L396" s="63"/>
    </row>
    <row r="397" spans="1:12" ht="26.4">
      <c r="A397" s="114">
        <v>130</v>
      </c>
      <c r="B397" s="83" t="s">
        <v>47</v>
      </c>
      <c r="C397" s="84" t="s">
        <v>48</v>
      </c>
      <c r="D397" s="84" t="s">
        <v>58</v>
      </c>
      <c r="E397" s="85">
        <v>2</v>
      </c>
      <c r="F397" s="84" t="s">
        <v>200</v>
      </c>
      <c r="G397" s="84" t="s">
        <v>19</v>
      </c>
      <c r="H397" s="82" t="s">
        <v>7</v>
      </c>
      <c r="I397" s="49">
        <v>21.4</v>
      </c>
      <c r="J397" s="86">
        <v>180</v>
      </c>
      <c r="K397" s="87">
        <f t="shared" si="8"/>
        <v>3851.9999999999995</v>
      </c>
      <c r="L397" s="112"/>
    </row>
    <row r="398" spans="1:12" s="34" customFormat="1" ht="26.4">
      <c r="A398" s="114">
        <v>131</v>
      </c>
      <c r="B398" s="47" t="s">
        <v>47</v>
      </c>
      <c r="C398" s="48" t="s">
        <v>48</v>
      </c>
      <c r="D398" s="48" t="s">
        <v>58</v>
      </c>
      <c r="E398" s="39">
        <v>2</v>
      </c>
      <c r="F398" s="48" t="s">
        <v>202</v>
      </c>
      <c r="G398" s="48" t="s">
        <v>19</v>
      </c>
      <c r="H398" s="46" t="s">
        <v>7</v>
      </c>
      <c r="I398" s="34">
        <v>39.25</v>
      </c>
      <c r="J398" s="71">
        <v>180</v>
      </c>
      <c r="K398" s="87">
        <f t="shared" si="8"/>
        <v>7065</v>
      </c>
      <c r="L398" s="63"/>
    </row>
    <row r="399" spans="1:12" s="40" customFormat="1" ht="26.4">
      <c r="A399" s="114">
        <v>132</v>
      </c>
      <c r="B399" s="47" t="s">
        <v>47</v>
      </c>
      <c r="C399" s="48" t="s">
        <v>48</v>
      </c>
      <c r="D399" s="48" t="s">
        <v>58</v>
      </c>
      <c r="E399" s="39">
        <v>2</v>
      </c>
      <c r="F399" s="48" t="s">
        <v>203</v>
      </c>
      <c r="G399" s="48" t="s">
        <v>19</v>
      </c>
      <c r="H399" s="46" t="s">
        <v>7</v>
      </c>
      <c r="I399" s="34">
        <v>39.25</v>
      </c>
      <c r="J399" s="71">
        <v>180</v>
      </c>
      <c r="K399" s="87">
        <f t="shared" si="8"/>
        <v>7065</v>
      </c>
      <c r="L399" s="63"/>
    </row>
    <row r="400" spans="1:12" s="40" customFormat="1" ht="26.4">
      <c r="A400" s="114">
        <v>133</v>
      </c>
      <c r="B400" s="47" t="s">
        <v>47</v>
      </c>
      <c r="C400" s="48" t="s">
        <v>48</v>
      </c>
      <c r="D400" s="48" t="s">
        <v>58</v>
      </c>
      <c r="E400" s="39">
        <v>2</v>
      </c>
      <c r="F400" s="48" t="s">
        <v>209</v>
      </c>
      <c r="G400" s="48" t="s">
        <v>19</v>
      </c>
      <c r="H400" s="46" t="s">
        <v>7</v>
      </c>
      <c r="I400" s="34">
        <v>47.5</v>
      </c>
      <c r="J400" s="71">
        <v>180</v>
      </c>
      <c r="K400" s="87">
        <f t="shared" si="8"/>
        <v>8550</v>
      </c>
      <c r="L400" s="63"/>
    </row>
    <row r="401" spans="1:12" s="40" customFormat="1" ht="26.4">
      <c r="A401" s="114">
        <v>134</v>
      </c>
      <c r="B401" s="47" t="s">
        <v>47</v>
      </c>
      <c r="C401" s="48" t="s">
        <v>48</v>
      </c>
      <c r="D401" s="48" t="s">
        <v>58</v>
      </c>
      <c r="E401" s="39">
        <v>2</v>
      </c>
      <c r="F401" s="48" t="s">
        <v>214</v>
      </c>
      <c r="G401" s="48" t="s">
        <v>19</v>
      </c>
      <c r="H401" s="46" t="s">
        <v>7</v>
      </c>
      <c r="I401" s="89">
        <v>47.5</v>
      </c>
      <c r="J401" s="71">
        <v>180</v>
      </c>
      <c r="K401" s="87">
        <f t="shared" si="8"/>
        <v>8550</v>
      </c>
      <c r="L401" s="63"/>
    </row>
    <row r="402" spans="1:12" s="40" customFormat="1" ht="46.8" customHeight="1">
      <c r="A402" s="120" t="s">
        <v>50</v>
      </c>
      <c r="B402" s="140"/>
      <c r="C402" s="141"/>
      <c r="D402" s="141"/>
      <c r="E402" s="141"/>
      <c r="F402" s="141"/>
      <c r="G402" s="141"/>
      <c r="H402" s="141"/>
      <c r="I402" s="141"/>
      <c r="J402" s="142"/>
      <c r="K402" s="121">
        <v>1594003.1</v>
      </c>
      <c r="L402" s="122"/>
    </row>
    <row r="404" spans="1:12">
      <c r="C404" s="40"/>
    </row>
    <row r="406" spans="1:12" s="40" customFormat="1">
      <c r="A406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</row>
    <row r="407" spans="1:12" s="40" customFormat="1" ht="15" thickBot="1">
      <c r="A407" s="42"/>
      <c r="B407" s="44" t="s">
        <v>34</v>
      </c>
      <c r="C407" s="131" t="s">
        <v>288</v>
      </c>
      <c r="D407" s="131"/>
      <c r="E407" s="131"/>
      <c r="F407" s="131"/>
      <c r="G407" s="43"/>
      <c r="H407" s="128"/>
      <c r="I407" s="128"/>
      <c r="J407" s="43"/>
      <c r="K407" s="42"/>
      <c r="L407" s="42"/>
    </row>
    <row r="408" spans="1:12" s="40" customFormat="1">
      <c r="A408" s="43"/>
      <c r="B408" s="43"/>
      <c r="C408" s="133" t="s">
        <v>69</v>
      </c>
      <c r="D408" s="133"/>
      <c r="E408" s="133"/>
      <c r="F408" s="133"/>
      <c r="G408" s="43"/>
      <c r="H408" s="134">
        <v>46006</v>
      </c>
      <c r="I408" s="133"/>
      <c r="J408" s="43"/>
      <c r="K408" s="42"/>
      <c r="L408" s="42"/>
    </row>
    <row r="409" spans="1:12" s="40" customFormat="1" ht="15" thickBot="1">
      <c r="A409" s="43"/>
      <c r="B409" s="45" t="s">
        <v>71</v>
      </c>
      <c r="C409" s="131" t="s">
        <v>299</v>
      </c>
      <c r="D409" s="131"/>
      <c r="E409" s="131"/>
      <c r="F409" s="131"/>
      <c r="G409" s="43"/>
      <c r="H409" s="128"/>
      <c r="I409" s="128"/>
      <c r="J409" s="43"/>
      <c r="K409" s="42"/>
      <c r="L409" s="42"/>
    </row>
    <row r="410" spans="1:12" s="40" customFormat="1">
      <c r="A410" s="43"/>
      <c r="B410" s="43"/>
      <c r="C410" s="133" t="s">
        <v>69</v>
      </c>
      <c r="D410" s="133"/>
      <c r="E410" s="133"/>
      <c r="F410" s="133"/>
      <c r="G410" s="43"/>
      <c r="H410" s="134">
        <v>46006</v>
      </c>
      <c r="I410" s="133"/>
      <c r="J410" s="43"/>
      <c r="K410" s="42"/>
      <c r="L410" s="42"/>
    </row>
    <row r="411" spans="1:12" s="40" customFormat="1">
      <c r="A411" s="43"/>
      <c r="B411" s="43"/>
      <c r="C411" s="43"/>
      <c r="D411" s="43"/>
      <c r="E411" s="43"/>
      <c r="F411" s="43"/>
      <c r="G411" s="43"/>
      <c r="H411" s="135"/>
      <c r="I411" s="135"/>
      <c r="J411" s="43"/>
    </row>
    <row r="412" spans="1:12" s="40" customFormat="1" ht="15" thickBot="1">
      <c r="A412" s="43"/>
      <c r="B412" s="45" t="s">
        <v>289</v>
      </c>
      <c r="C412" s="131" t="s">
        <v>290</v>
      </c>
      <c r="D412" s="131"/>
      <c r="E412" s="131"/>
      <c r="F412" s="131"/>
      <c r="G412" s="43"/>
      <c r="H412" s="128"/>
      <c r="I412" s="128"/>
      <c r="J412" s="43"/>
    </row>
    <row r="413" spans="1:12" s="40" customFormat="1">
      <c r="A413" s="43"/>
      <c r="B413" s="43"/>
      <c r="C413" s="133" t="s">
        <v>69</v>
      </c>
      <c r="D413" s="133"/>
      <c r="E413" s="133"/>
      <c r="F413" s="133"/>
      <c r="G413" s="43"/>
      <c r="H413" s="134">
        <v>46006</v>
      </c>
      <c r="I413" s="133"/>
      <c r="J413" s="43"/>
    </row>
    <row r="414" spans="1:12" s="40" customForma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</row>
    <row r="415" spans="1:12" s="40" customFormat="1" ht="15" thickBot="1">
      <c r="A415" s="43"/>
      <c r="B415" s="45" t="s">
        <v>72</v>
      </c>
      <c r="C415" s="128"/>
      <c r="D415" s="128"/>
      <c r="E415" s="128"/>
      <c r="F415" s="128"/>
      <c r="G415" s="43"/>
      <c r="H415" s="128"/>
      <c r="I415" s="128"/>
      <c r="J415" s="43"/>
    </row>
    <row r="416" spans="1:12" s="40" customFormat="1">
      <c r="A416" s="43"/>
      <c r="B416" s="43"/>
      <c r="C416" s="133" t="s">
        <v>69</v>
      </c>
      <c r="D416" s="133"/>
      <c r="E416" s="133"/>
      <c r="F416" s="133"/>
      <c r="G416" s="43"/>
      <c r="H416" s="133" t="s">
        <v>70</v>
      </c>
      <c r="I416" s="133"/>
      <c r="J416" s="43"/>
    </row>
    <row r="417" spans="1:12" s="40" customForma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</row>
    <row r="418" spans="1:12" s="40" customFormat="1" ht="15" thickBot="1">
      <c r="A418" s="43"/>
      <c r="B418" s="44" t="s">
        <v>73</v>
      </c>
      <c r="C418" s="128"/>
      <c r="D418" s="128"/>
      <c r="E418" s="128"/>
      <c r="F418" s="128"/>
      <c r="G418" s="43"/>
      <c r="H418" s="128"/>
      <c r="I418" s="128"/>
      <c r="J418" s="43"/>
    </row>
    <row r="419" spans="1:12" s="40" customFormat="1">
      <c r="A419" s="43"/>
      <c r="B419" s="43"/>
      <c r="C419" s="133" t="s">
        <v>69</v>
      </c>
      <c r="D419" s="133"/>
      <c r="E419" s="133"/>
      <c r="F419" s="133"/>
      <c r="G419" s="43"/>
      <c r="H419" s="133" t="s">
        <v>70</v>
      </c>
      <c r="I419" s="133"/>
      <c r="J419" s="43"/>
    </row>
    <row r="420" spans="1:12" s="40" customFormat="1">
      <c r="A420" s="43"/>
      <c r="B420" s="41"/>
      <c r="C420" s="41"/>
      <c r="D420" s="41"/>
      <c r="E420" s="41"/>
      <c r="F420" s="41"/>
      <c r="G420" s="41"/>
      <c r="H420" s="41"/>
      <c r="I420" s="41"/>
      <c r="J420" s="41"/>
    </row>
    <row r="421" spans="1:12" s="40" customFormat="1">
      <c r="A421" s="41"/>
      <c r="B421" s="42"/>
      <c r="C421" s="42"/>
      <c r="D421" s="42"/>
      <c r="E421" s="42"/>
      <c r="F421" s="42"/>
      <c r="G421" s="42"/>
      <c r="H421" s="42"/>
      <c r="I421" s="42"/>
      <c r="J421" s="42"/>
    </row>
    <row r="422" spans="1:12" s="40" customFormat="1">
      <c r="A422" s="42"/>
    </row>
    <row r="423" spans="1:12" s="40" customFormat="1"/>
    <row r="424" spans="1:12" s="40" customFormat="1"/>
    <row r="425" spans="1:12">
      <c r="A425" s="40"/>
    </row>
    <row r="427" spans="1:12">
      <c r="B427" s="43"/>
      <c r="C427" s="8" t="s">
        <v>29</v>
      </c>
      <c r="D427" s="8">
        <v>5</v>
      </c>
      <c r="E427" s="43"/>
      <c r="F427" s="43"/>
      <c r="G427" s="9" t="s">
        <v>30</v>
      </c>
      <c r="H427" s="8" t="s">
        <v>31</v>
      </c>
      <c r="I427" s="10">
        <v>46007</v>
      </c>
      <c r="J427" s="43"/>
      <c r="K427" s="43"/>
      <c r="L427" s="43"/>
    </row>
    <row r="428" spans="1:12">
      <c r="A428" s="43"/>
      <c r="B428" s="43"/>
      <c r="C428" s="11"/>
      <c r="D428" s="43"/>
      <c r="E428" s="43"/>
      <c r="F428" s="43"/>
      <c r="G428" s="43"/>
      <c r="H428" s="8" t="s">
        <v>32</v>
      </c>
      <c r="I428" s="10">
        <v>46022</v>
      </c>
      <c r="J428" s="43"/>
      <c r="K428" s="43"/>
      <c r="L428" s="43"/>
    </row>
    <row r="429" spans="1:12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</row>
    <row r="430" spans="1:12" ht="27.6">
      <c r="A430" s="43"/>
      <c r="B430" s="43"/>
      <c r="C430" s="8" t="s">
        <v>33</v>
      </c>
      <c r="D430" s="136" t="s">
        <v>217</v>
      </c>
      <c r="E430" s="136"/>
      <c r="F430" s="136"/>
      <c r="G430" s="43"/>
      <c r="H430" s="43"/>
      <c r="I430" s="43"/>
      <c r="J430" s="43"/>
      <c r="K430" s="43"/>
      <c r="L430" s="43"/>
    </row>
    <row r="431" spans="1:12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</row>
    <row r="432" spans="1:12">
      <c r="A432" s="43"/>
      <c r="B432" s="43"/>
      <c r="C432" s="8" t="s">
        <v>34</v>
      </c>
      <c r="D432" s="136" t="s">
        <v>218</v>
      </c>
      <c r="E432" s="136"/>
      <c r="F432" s="136"/>
      <c r="G432" s="43"/>
      <c r="H432" s="43"/>
      <c r="I432" s="43"/>
      <c r="J432" s="43"/>
      <c r="K432" s="43"/>
      <c r="L432" s="43"/>
    </row>
    <row r="433" spans="1:12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</row>
    <row r="434" spans="1:12">
      <c r="A434" s="43"/>
      <c r="B434" s="43"/>
      <c r="C434" s="8" t="s">
        <v>35</v>
      </c>
      <c r="D434" s="136" t="s">
        <v>36</v>
      </c>
      <c r="E434" s="136"/>
      <c r="F434" s="136"/>
      <c r="G434" s="43"/>
      <c r="H434" s="43"/>
      <c r="I434" s="43"/>
      <c r="J434" s="43"/>
      <c r="K434" s="43"/>
      <c r="L434" s="43"/>
    </row>
    <row r="435" spans="1:12">
      <c r="A435" s="43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</row>
    <row r="436" spans="1:12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</row>
    <row r="437" spans="1:12" ht="26.4">
      <c r="A437" s="107" t="s">
        <v>37</v>
      </c>
      <c r="B437" s="108" t="s">
        <v>38</v>
      </c>
      <c r="C437" s="108" t="s">
        <v>39</v>
      </c>
      <c r="D437" s="108" t="s">
        <v>320</v>
      </c>
      <c r="E437" s="108" t="s">
        <v>40</v>
      </c>
      <c r="F437" s="108" t="s">
        <v>41</v>
      </c>
      <c r="G437" s="108" t="s">
        <v>2</v>
      </c>
      <c r="H437" s="108" t="s">
        <v>42</v>
      </c>
      <c r="I437" s="108" t="s">
        <v>43</v>
      </c>
      <c r="J437" s="108" t="s">
        <v>44</v>
      </c>
      <c r="K437" s="108" t="s">
        <v>45</v>
      </c>
      <c r="L437" s="109" t="s">
        <v>46</v>
      </c>
    </row>
    <row r="438" spans="1:12" ht="26.4">
      <c r="A438" s="100">
        <v>0</v>
      </c>
      <c r="B438" s="47" t="s">
        <v>47</v>
      </c>
      <c r="C438" s="48" t="s">
        <v>48</v>
      </c>
      <c r="D438" s="48" t="s">
        <v>49</v>
      </c>
      <c r="E438" s="39">
        <v>1</v>
      </c>
      <c r="F438" s="48" t="s">
        <v>150</v>
      </c>
      <c r="G438" s="48" t="s">
        <v>277</v>
      </c>
      <c r="H438" s="46" t="s">
        <v>7</v>
      </c>
      <c r="I438" s="49">
        <v>16.5</v>
      </c>
      <c r="J438" s="71">
        <v>195</v>
      </c>
      <c r="K438" s="37">
        <f>J438*I438</f>
        <v>3217.5</v>
      </c>
      <c r="L438" s="63"/>
    </row>
    <row r="439" spans="1:12" ht="26.4">
      <c r="A439" s="114">
        <v>1</v>
      </c>
      <c r="B439" s="47" t="s">
        <v>47</v>
      </c>
      <c r="C439" s="48" t="s">
        <v>48</v>
      </c>
      <c r="D439" s="48" t="s">
        <v>49</v>
      </c>
      <c r="E439" s="39">
        <v>1</v>
      </c>
      <c r="F439" s="48" t="s">
        <v>148</v>
      </c>
      <c r="G439" s="48" t="s">
        <v>277</v>
      </c>
      <c r="H439" s="46" t="s">
        <v>7</v>
      </c>
      <c r="I439" s="49">
        <v>56</v>
      </c>
      <c r="J439" s="71">
        <v>195</v>
      </c>
      <c r="K439" s="37">
        <f>J439*I439</f>
        <v>10920</v>
      </c>
      <c r="L439" s="63"/>
    </row>
    <row r="440" spans="1:12" ht="26.4">
      <c r="A440" s="114">
        <v>2</v>
      </c>
      <c r="B440" s="47" t="s">
        <v>47</v>
      </c>
      <c r="C440" s="48" t="s">
        <v>48</v>
      </c>
      <c r="D440" s="48" t="s">
        <v>49</v>
      </c>
      <c r="E440" s="39">
        <v>1</v>
      </c>
      <c r="F440" s="48" t="s">
        <v>152</v>
      </c>
      <c r="G440" s="48" t="s">
        <v>277</v>
      </c>
      <c r="H440" s="46" t="s">
        <v>7</v>
      </c>
      <c r="I440" s="49">
        <v>183.5</v>
      </c>
      <c r="J440" s="71">
        <v>195</v>
      </c>
      <c r="K440" s="37">
        <f>J440*I440</f>
        <v>35782.5</v>
      </c>
      <c r="L440" s="63"/>
    </row>
    <row r="441" spans="1:12" ht="26.4">
      <c r="A441" s="114">
        <v>3</v>
      </c>
      <c r="B441" s="47" t="s">
        <v>47</v>
      </c>
      <c r="C441" s="48" t="s">
        <v>48</v>
      </c>
      <c r="D441" s="48" t="s">
        <v>49</v>
      </c>
      <c r="E441" s="39">
        <v>1</v>
      </c>
      <c r="F441" s="48" t="s">
        <v>141</v>
      </c>
      <c r="G441" s="48" t="s">
        <v>277</v>
      </c>
      <c r="H441" s="46" t="s">
        <v>7</v>
      </c>
      <c r="I441" s="49">
        <v>13.6</v>
      </c>
      <c r="J441" s="71">
        <v>195</v>
      </c>
      <c r="K441" s="37">
        <f>J441*I441</f>
        <v>2652</v>
      </c>
      <c r="L441" s="63"/>
    </row>
    <row r="442" spans="1:12" ht="26.4">
      <c r="A442" s="114">
        <v>4</v>
      </c>
      <c r="B442" s="47" t="s">
        <v>47</v>
      </c>
      <c r="C442" s="48" t="s">
        <v>48</v>
      </c>
      <c r="D442" s="48" t="s">
        <v>49</v>
      </c>
      <c r="E442" s="39">
        <v>1</v>
      </c>
      <c r="F442" s="48" t="s">
        <v>139</v>
      </c>
      <c r="G442" s="48" t="s">
        <v>277</v>
      </c>
      <c r="H442" s="46" t="s">
        <v>7</v>
      </c>
      <c r="I442" s="49">
        <v>83.5</v>
      </c>
      <c r="J442" s="71">
        <v>195</v>
      </c>
      <c r="K442" s="37">
        <f>J442*I442</f>
        <v>16282.5</v>
      </c>
      <c r="L442" s="63"/>
    </row>
    <row r="443" spans="1:12" ht="26.4">
      <c r="A443" s="114">
        <v>5</v>
      </c>
      <c r="B443" s="47" t="s">
        <v>47</v>
      </c>
      <c r="C443" s="48" t="s">
        <v>48</v>
      </c>
      <c r="D443" s="48" t="s">
        <v>49</v>
      </c>
      <c r="E443" s="39">
        <v>1</v>
      </c>
      <c r="F443" s="48" t="s">
        <v>92</v>
      </c>
      <c r="G443" s="48" t="s">
        <v>277</v>
      </c>
      <c r="H443" s="46" t="s">
        <v>7</v>
      </c>
      <c r="I443" s="49">
        <v>32</v>
      </c>
      <c r="J443" s="71">
        <v>195</v>
      </c>
      <c r="K443" s="37">
        <f t="shared" ref="K443:K506" si="9">J443*I443</f>
        <v>6240</v>
      </c>
      <c r="L443" s="63"/>
    </row>
    <row r="444" spans="1:12" ht="26.4">
      <c r="A444" s="114">
        <v>6</v>
      </c>
      <c r="B444" s="47" t="s">
        <v>47</v>
      </c>
      <c r="C444" s="48" t="s">
        <v>48</v>
      </c>
      <c r="D444" s="48" t="s">
        <v>49</v>
      </c>
      <c r="E444" s="39">
        <v>1</v>
      </c>
      <c r="F444" s="48" t="s">
        <v>144</v>
      </c>
      <c r="G444" s="48" t="s">
        <v>277</v>
      </c>
      <c r="H444" s="46" t="s">
        <v>7</v>
      </c>
      <c r="I444" s="49">
        <v>16.5</v>
      </c>
      <c r="J444" s="71">
        <v>195</v>
      </c>
      <c r="K444" s="37">
        <f t="shared" si="9"/>
        <v>3217.5</v>
      </c>
      <c r="L444" s="63"/>
    </row>
    <row r="445" spans="1:12" ht="26.4">
      <c r="A445" s="114">
        <v>7</v>
      </c>
      <c r="B445" s="47" t="s">
        <v>47</v>
      </c>
      <c r="C445" s="48" t="s">
        <v>48</v>
      </c>
      <c r="D445" s="48" t="s">
        <v>49</v>
      </c>
      <c r="E445" s="39">
        <v>1</v>
      </c>
      <c r="F445" s="48" t="s">
        <v>143</v>
      </c>
      <c r="G445" s="48" t="s">
        <v>277</v>
      </c>
      <c r="H445" s="46" t="s">
        <v>7</v>
      </c>
      <c r="I445" s="49">
        <v>76.5</v>
      </c>
      <c r="J445" s="71">
        <v>195</v>
      </c>
      <c r="K445" s="37">
        <f t="shared" si="9"/>
        <v>14917.5</v>
      </c>
      <c r="L445" s="63"/>
    </row>
    <row r="446" spans="1:12" ht="26.4">
      <c r="A446" s="114">
        <v>8</v>
      </c>
      <c r="B446" s="47" t="s">
        <v>47</v>
      </c>
      <c r="C446" s="48" t="s">
        <v>48</v>
      </c>
      <c r="D446" s="48" t="s">
        <v>49</v>
      </c>
      <c r="E446" s="39">
        <v>1</v>
      </c>
      <c r="F446" s="48" t="s">
        <v>146</v>
      </c>
      <c r="G446" s="48" t="s">
        <v>277</v>
      </c>
      <c r="H446" s="46" t="s">
        <v>7</v>
      </c>
      <c r="I446" s="49">
        <v>184.5</v>
      </c>
      <c r="J446" s="71">
        <v>195</v>
      </c>
      <c r="K446" s="37">
        <f t="shared" si="9"/>
        <v>35977.5</v>
      </c>
      <c r="L446" s="63"/>
    </row>
    <row r="447" spans="1:12" ht="26.4">
      <c r="A447" s="114">
        <v>9</v>
      </c>
      <c r="B447" s="47" t="s">
        <v>47</v>
      </c>
      <c r="C447" s="48" t="s">
        <v>48</v>
      </c>
      <c r="D447" s="48" t="s">
        <v>49</v>
      </c>
      <c r="E447" s="39">
        <v>1</v>
      </c>
      <c r="F447" s="48" t="s">
        <v>145</v>
      </c>
      <c r="G447" s="48" t="s">
        <v>277</v>
      </c>
      <c r="H447" s="46" t="s">
        <v>7</v>
      </c>
      <c r="I447" s="49">
        <v>40.5</v>
      </c>
      <c r="J447" s="71">
        <v>195</v>
      </c>
      <c r="K447" s="37">
        <f t="shared" si="9"/>
        <v>7897.5</v>
      </c>
      <c r="L447" s="63"/>
    </row>
    <row r="448" spans="1:12" ht="26.4">
      <c r="A448" s="114">
        <v>10</v>
      </c>
      <c r="B448" s="47" t="s">
        <v>47</v>
      </c>
      <c r="C448" s="48" t="s">
        <v>48</v>
      </c>
      <c r="D448" s="48" t="s">
        <v>49</v>
      </c>
      <c r="E448" s="39">
        <v>1</v>
      </c>
      <c r="F448" s="48" t="s">
        <v>155</v>
      </c>
      <c r="G448" s="48" t="s">
        <v>277</v>
      </c>
      <c r="H448" s="46" t="s">
        <v>7</v>
      </c>
      <c r="I448" s="49">
        <v>42.5</v>
      </c>
      <c r="J448" s="71">
        <v>195</v>
      </c>
      <c r="K448" s="37">
        <f t="shared" si="9"/>
        <v>8287.5</v>
      </c>
      <c r="L448" s="63"/>
    </row>
    <row r="449" spans="1:12" ht="26.4">
      <c r="A449" s="114">
        <v>11</v>
      </c>
      <c r="B449" s="47" t="s">
        <v>47</v>
      </c>
      <c r="C449" s="48" t="s">
        <v>48</v>
      </c>
      <c r="D449" s="48" t="s">
        <v>49</v>
      </c>
      <c r="E449" s="39">
        <v>1</v>
      </c>
      <c r="F449" s="48" t="s">
        <v>160</v>
      </c>
      <c r="G449" s="48" t="s">
        <v>277</v>
      </c>
      <c r="H449" s="46" t="s">
        <v>7</v>
      </c>
      <c r="I449" s="49">
        <v>35.5</v>
      </c>
      <c r="J449" s="71">
        <v>195</v>
      </c>
      <c r="K449" s="37">
        <f t="shared" si="9"/>
        <v>6922.5</v>
      </c>
      <c r="L449" s="63"/>
    </row>
    <row r="450" spans="1:12" ht="26.4">
      <c r="A450" s="114">
        <v>12</v>
      </c>
      <c r="B450" s="47" t="s">
        <v>47</v>
      </c>
      <c r="C450" s="48" t="s">
        <v>48</v>
      </c>
      <c r="D450" s="48" t="s">
        <v>49</v>
      </c>
      <c r="E450" s="39">
        <v>1</v>
      </c>
      <c r="F450" s="48" t="s">
        <v>115</v>
      </c>
      <c r="G450" s="48" t="s">
        <v>277</v>
      </c>
      <c r="H450" s="46" t="s">
        <v>7</v>
      </c>
      <c r="I450" s="49">
        <v>65.400000000000006</v>
      </c>
      <c r="J450" s="71">
        <v>195</v>
      </c>
      <c r="K450" s="37">
        <f t="shared" si="9"/>
        <v>12753.000000000002</v>
      </c>
      <c r="L450" s="63"/>
    </row>
    <row r="451" spans="1:12" ht="26.4">
      <c r="A451" s="114">
        <v>13</v>
      </c>
      <c r="B451" s="47" t="s">
        <v>47</v>
      </c>
      <c r="C451" s="48" t="s">
        <v>48</v>
      </c>
      <c r="D451" s="48" t="s">
        <v>49</v>
      </c>
      <c r="E451" s="39">
        <v>1</v>
      </c>
      <c r="F451" s="48" t="s">
        <v>116</v>
      </c>
      <c r="G451" s="48" t="s">
        <v>277</v>
      </c>
      <c r="H451" s="46" t="s">
        <v>7</v>
      </c>
      <c r="I451" s="49">
        <v>14.5</v>
      </c>
      <c r="J451" s="71">
        <v>195</v>
      </c>
      <c r="K451" s="37">
        <f t="shared" si="9"/>
        <v>2827.5</v>
      </c>
      <c r="L451" s="63"/>
    </row>
    <row r="452" spans="1:12" ht="26.4">
      <c r="A452" s="114">
        <v>14</v>
      </c>
      <c r="B452" s="47" t="s">
        <v>47</v>
      </c>
      <c r="C452" s="48" t="s">
        <v>48</v>
      </c>
      <c r="D452" s="48" t="s">
        <v>49</v>
      </c>
      <c r="E452" s="39">
        <v>1</v>
      </c>
      <c r="F452" s="48" t="s">
        <v>91</v>
      </c>
      <c r="G452" s="48" t="s">
        <v>277</v>
      </c>
      <c r="H452" s="46" t="s">
        <v>7</v>
      </c>
      <c r="I452" s="49">
        <v>176</v>
      </c>
      <c r="J452" s="71">
        <v>195</v>
      </c>
      <c r="K452" s="37">
        <f t="shared" si="9"/>
        <v>34320</v>
      </c>
      <c r="L452" s="63"/>
    </row>
    <row r="453" spans="1:12" ht="26.4">
      <c r="A453" s="114">
        <v>15</v>
      </c>
      <c r="B453" s="47" t="s">
        <v>47</v>
      </c>
      <c r="C453" s="48" t="s">
        <v>48</v>
      </c>
      <c r="D453" s="48" t="s">
        <v>49</v>
      </c>
      <c r="E453" s="39">
        <v>1</v>
      </c>
      <c r="F453" s="48" t="s">
        <v>86</v>
      </c>
      <c r="G453" s="48" t="s">
        <v>277</v>
      </c>
      <c r="H453" s="46" t="s">
        <v>7</v>
      </c>
      <c r="I453" s="49">
        <v>45</v>
      </c>
      <c r="J453" s="71">
        <v>195</v>
      </c>
      <c r="K453" s="37">
        <f t="shared" si="9"/>
        <v>8775</v>
      </c>
      <c r="L453" s="63"/>
    </row>
    <row r="454" spans="1:12" ht="26.4">
      <c r="A454" s="114">
        <v>16</v>
      </c>
      <c r="B454" s="47" t="s">
        <v>47</v>
      </c>
      <c r="C454" s="48" t="s">
        <v>48</v>
      </c>
      <c r="D454" s="48" t="s">
        <v>49</v>
      </c>
      <c r="E454" s="39">
        <v>1</v>
      </c>
      <c r="F454" s="48" t="s">
        <v>85</v>
      </c>
      <c r="G454" s="48" t="s">
        <v>277</v>
      </c>
      <c r="H454" s="46" t="s">
        <v>7</v>
      </c>
      <c r="I454" s="49">
        <v>16.5</v>
      </c>
      <c r="J454" s="71">
        <v>195</v>
      </c>
      <c r="K454" s="37">
        <f t="shared" si="9"/>
        <v>3217.5</v>
      </c>
      <c r="L454" s="63"/>
    </row>
    <row r="455" spans="1:12" ht="26.4">
      <c r="A455" s="114">
        <v>17</v>
      </c>
      <c r="B455" s="47" t="s">
        <v>47</v>
      </c>
      <c r="C455" s="48" t="s">
        <v>48</v>
      </c>
      <c r="D455" s="48" t="s">
        <v>49</v>
      </c>
      <c r="E455" s="39">
        <v>1</v>
      </c>
      <c r="F455" s="48" t="s">
        <v>94</v>
      </c>
      <c r="G455" s="48" t="s">
        <v>277</v>
      </c>
      <c r="H455" s="46" t="s">
        <v>7</v>
      </c>
      <c r="I455" s="49">
        <v>32</v>
      </c>
      <c r="J455" s="71">
        <v>195</v>
      </c>
      <c r="K455" s="37">
        <f t="shared" si="9"/>
        <v>6240</v>
      </c>
      <c r="L455" s="63"/>
    </row>
    <row r="456" spans="1:12" ht="26.4">
      <c r="A456" s="114">
        <v>18</v>
      </c>
      <c r="B456" s="47" t="s">
        <v>47</v>
      </c>
      <c r="C456" s="48" t="s">
        <v>48</v>
      </c>
      <c r="D456" s="48" t="s">
        <v>49</v>
      </c>
      <c r="E456" s="39">
        <v>1</v>
      </c>
      <c r="F456" s="48" t="s">
        <v>88</v>
      </c>
      <c r="G456" s="48" t="s">
        <v>277</v>
      </c>
      <c r="H456" s="46" t="s">
        <v>7</v>
      </c>
      <c r="I456" s="49">
        <v>117</v>
      </c>
      <c r="J456" s="71">
        <v>195</v>
      </c>
      <c r="K456" s="37">
        <f t="shared" si="9"/>
        <v>22815</v>
      </c>
      <c r="L456" s="63"/>
    </row>
    <row r="457" spans="1:12" ht="26.4">
      <c r="A457" s="114">
        <v>19</v>
      </c>
      <c r="B457" s="47" t="s">
        <v>47</v>
      </c>
      <c r="C457" s="48" t="s">
        <v>48</v>
      </c>
      <c r="D457" s="48" t="s">
        <v>49</v>
      </c>
      <c r="E457" s="39">
        <v>1</v>
      </c>
      <c r="F457" s="48" t="s">
        <v>106</v>
      </c>
      <c r="G457" s="48" t="s">
        <v>277</v>
      </c>
      <c r="H457" s="46" t="s">
        <v>7</v>
      </c>
      <c r="I457" s="49">
        <v>442</v>
      </c>
      <c r="J457" s="71">
        <v>195</v>
      </c>
      <c r="K457" s="37">
        <f t="shared" si="9"/>
        <v>86190</v>
      </c>
      <c r="L457" s="63"/>
    </row>
    <row r="458" spans="1:12" ht="26.4">
      <c r="A458" s="114">
        <v>20</v>
      </c>
      <c r="B458" s="47" t="s">
        <v>47</v>
      </c>
      <c r="C458" s="48" t="s">
        <v>48</v>
      </c>
      <c r="D458" s="48" t="s">
        <v>49</v>
      </c>
      <c r="E458" s="39">
        <v>1</v>
      </c>
      <c r="F458" s="48" t="s">
        <v>117</v>
      </c>
      <c r="G458" s="48" t="s">
        <v>277</v>
      </c>
      <c r="H458" s="46" t="s">
        <v>7</v>
      </c>
      <c r="I458" s="49">
        <v>136.5</v>
      </c>
      <c r="J458" s="71">
        <v>195</v>
      </c>
      <c r="K458" s="37">
        <f t="shared" si="9"/>
        <v>26617.5</v>
      </c>
      <c r="L458" s="63"/>
    </row>
    <row r="459" spans="1:12" ht="26.4">
      <c r="A459" s="114">
        <v>21</v>
      </c>
      <c r="B459" s="47" t="s">
        <v>47</v>
      </c>
      <c r="C459" s="48" t="s">
        <v>48</v>
      </c>
      <c r="D459" s="48" t="s">
        <v>49</v>
      </c>
      <c r="E459" s="39">
        <v>1</v>
      </c>
      <c r="F459" s="48" t="s">
        <v>98</v>
      </c>
      <c r="G459" s="48" t="s">
        <v>277</v>
      </c>
      <c r="H459" s="46" t="s">
        <v>7</v>
      </c>
      <c r="I459" s="49">
        <v>73.5</v>
      </c>
      <c r="J459" s="71">
        <v>195</v>
      </c>
      <c r="K459" s="37">
        <f t="shared" si="9"/>
        <v>14332.5</v>
      </c>
      <c r="L459" s="63"/>
    </row>
    <row r="460" spans="1:12" ht="26.4">
      <c r="A460" s="114">
        <v>22</v>
      </c>
      <c r="B460" s="47" t="s">
        <v>60</v>
      </c>
      <c r="C460" s="48" t="s">
        <v>48</v>
      </c>
      <c r="D460" s="48" t="s">
        <v>49</v>
      </c>
      <c r="E460" s="39">
        <v>1</v>
      </c>
      <c r="F460" s="48" t="s">
        <v>157</v>
      </c>
      <c r="G460" s="48" t="s">
        <v>277</v>
      </c>
      <c r="H460" s="46" t="s">
        <v>7</v>
      </c>
      <c r="I460" s="49">
        <v>112</v>
      </c>
      <c r="J460" s="71">
        <v>195</v>
      </c>
      <c r="K460" s="37">
        <f t="shared" si="9"/>
        <v>21840</v>
      </c>
      <c r="L460" s="63"/>
    </row>
    <row r="461" spans="1:12" ht="26.4">
      <c r="A461" s="114">
        <v>23</v>
      </c>
      <c r="B461" s="47" t="s">
        <v>47</v>
      </c>
      <c r="C461" s="48" t="s">
        <v>48</v>
      </c>
      <c r="D461" s="48" t="s">
        <v>49</v>
      </c>
      <c r="E461" s="39">
        <v>1</v>
      </c>
      <c r="F461" s="48" t="s">
        <v>156</v>
      </c>
      <c r="G461" s="48" t="s">
        <v>277</v>
      </c>
      <c r="H461" s="46" t="s">
        <v>7</v>
      </c>
      <c r="I461" s="49">
        <v>95</v>
      </c>
      <c r="J461" s="71">
        <v>195</v>
      </c>
      <c r="K461" s="37">
        <f t="shared" si="9"/>
        <v>18525</v>
      </c>
      <c r="L461" s="63"/>
    </row>
    <row r="462" spans="1:12" ht="39.6">
      <c r="A462" s="114">
        <v>24</v>
      </c>
      <c r="B462" s="47" t="s">
        <v>47</v>
      </c>
      <c r="C462" s="48" t="s">
        <v>48</v>
      </c>
      <c r="D462" s="48" t="s">
        <v>49</v>
      </c>
      <c r="E462" s="39">
        <v>2</v>
      </c>
      <c r="F462" s="48" t="s">
        <v>274</v>
      </c>
      <c r="G462" s="48" t="s">
        <v>277</v>
      </c>
      <c r="H462" s="46" t="s">
        <v>7</v>
      </c>
      <c r="I462" s="49">
        <v>124</v>
      </c>
      <c r="J462" s="71">
        <v>195</v>
      </c>
      <c r="K462" s="37">
        <f t="shared" si="9"/>
        <v>24180</v>
      </c>
      <c r="L462" s="63"/>
    </row>
    <row r="463" spans="1:12" ht="26.4">
      <c r="A463" s="114">
        <v>25</v>
      </c>
      <c r="B463" s="47" t="s">
        <v>47</v>
      </c>
      <c r="C463" s="48" t="s">
        <v>48</v>
      </c>
      <c r="D463" s="48" t="s">
        <v>49</v>
      </c>
      <c r="E463" s="39">
        <v>2</v>
      </c>
      <c r="F463" s="48" t="s">
        <v>191</v>
      </c>
      <c r="G463" s="48" t="s">
        <v>277</v>
      </c>
      <c r="H463" s="46" t="s">
        <v>7</v>
      </c>
      <c r="I463" s="49">
        <v>65.400000000000006</v>
      </c>
      <c r="J463" s="71">
        <v>195</v>
      </c>
      <c r="K463" s="37">
        <f t="shared" si="9"/>
        <v>12753.000000000002</v>
      </c>
      <c r="L463" s="63"/>
    </row>
    <row r="464" spans="1:12" ht="26.4">
      <c r="A464" s="114">
        <v>26</v>
      </c>
      <c r="B464" s="47" t="s">
        <v>47</v>
      </c>
      <c r="C464" s="48" t="s">
        <v>48</v>
      </c>
      <c r="D464" s="48" t="s">
        <v>49</v>
      </c>
      <c r="E464" s="39">
        <v>2</v>
      </c>
      <c r="F464" s="48" t="s">
        <v>163</v>
      </c>
      <c r="G464" s="48" t="s">
        <v>277</v>
      </c>
      <c r="H464" s="46" t="s">
        <v>7</v>
      </c>
      <c r="I464" s="49">
        <v>94</v>
      </c>
      <c r="J464" s="71">
        <v>195</v>
      </c>
      <c r="K464" s="37">
        <f t="shared" si="9"/>
        <v>18330</v>
      </c>
      <c r="L464" s="63"/>
    </row>
    <row r="465" spans="1:12" ht="26.4">
      <c r="A465" s="114">
        <v>27</v>
      </c>
      <c r="B465" s="47" t="s">
        <v>47</v>
      </c>
      <c r="C465" s="48" t="s">
        <v>48</v>
      </c>
      <c r="D465" s="48" t="s">
        <v>49</v>
      </c>
      <c r="E465" s="39">
        <v>2</v>
      </c>
      <c r="F465" s="48" t="s">
        <v>182</v>
      </c>
      <c r="G465" s="48" t="s">
        <v>277</v>
      </c>
      <c r="H465" s="46" t="s">
        <v>7</v>
      </c>
      <c r="I465" s="49">
        <v>27.5</v>
      </c>
      <c r="J465" s="71">
        <v>195</v>
      </c>
      <c r="K465" s="37">
        <f t="shared" si="9"/>
        <v>5362.5</v>
      </c>
      <c r="L465" s="63"/>
    </row>
    <row r="466" spans="1:12" ht="52.8">
      <c r="A466" s="114">
        <v>28</v>
      </c>
      <c r="B466" s="47" t="s">
        <v>47</v>
      </c>
      <c r="C466" s="48" t="s">
        <v>48</v>
      </c>
      <c r="D466" s="48" t="s">
        <v>49</v>
      </c>
      <c r="E466" s="39">
        <v>2</v>
      </c>
      <c r="F466" s="48" t="s">
        <v>276</v>
      </c>
      <c r="G466" s="48" t="s">
        <v>277</v>
      </c>
      <c r="H466" s="46" t="s">
        <v>7</v>
      </c>
      <c r="I466" s="49">
        <v>109</v>
      </c>
      <c r="J466" s="71">
        <v>195</v>
      </c>
      <c r="K466" s="37">
        <f t="shared" si="9"/>
        <v>21255</v>
      </c>
      <c r="L466" s="63"/>
    </row>
    <row r="467" spans="1:12" ht="26.4">
      <c r="A467" s="114">
        <v>29</v>
      </c>
      <c r="B467" s="47" t="s">
        <v>47</v>
      </c>
      <c r="C467" s="48" t="s">
        <v>48</v>
      </c>
      <c r="D467" s="48" t="s">
        <v>49</v>
      </c>
      <c r="E467" s="39">
        <v>2</v>
      </c>
      <c r="F467" s="48" t="s">
        <v>165</v>
      </c>
      <c r="G467" s="48" t="s">
        <v>277</v>
      </c>
      <c r="H467" s="46" t="s">
        <v>7</v>
      </c>
      <c r="I467" s="49">
        <v>94</v>
      </c>
      <c r="J467" s="71">
        <v>195</v>
      </c>
      <c r="K467" s="37">
        <f t="shared" si="9"/>
        <v>18330</v>
      </c>
      <c r="L467" s="63"/>
    </row>
    <row r="468" spans="1:12" ht="26.4">
      <c r="A468" s="114">
        <v>30</v>
      </c>
      <c r="B468" s="47" t="s">
        <v>47</v>
      </c>
      <c r="C468" s="48" t="s">
        <v>48</v>
      </c>
      <c r="D468" s="48" t="s">
        <v>49</v>
      </c>
      <c r="E468" s="39">
        <v>2</v>
      </c>
      <c r="F468" s="48" t="s">
        <v>183</v>
      </c>
      <c r="G468" s="48" t="s">
        <v>277</v>
      </c>
      <c r="H468" s="46" t="s">
        <v>7</v>
      </c>
      <c r="I468" s="49">
        <v>27.5</v>
      </c>
      <c r="J468" s="71">
        <v>195</v>
      </c>
      <c r="K468" s="37">
        <f t="shared" si="9"/>
        <v>5362.5</v>
      </c>
      <c r="L468" s="63"/>
    </row>
    <row r="469" spans="1:12" ht="26.4">
      <c r="A469" s="114">
        <v>31</v>
      </c>
      <c r="B469" s="47" t="s">
        <v>47</v>
      </c>
      <c r="C469" s="48" t="s">
        <v>48</v>
      </c>
      <c r="D469" s="48" t="s">
        <v>49</v>
      </c>
      <c r="E469" s="39">
        <v>2</v>
      </c>
      <c r="F469" s="48" t="s">
        <v>164</v>
      </c>
      <c r="G469" s="48" t="s">
        <v>277</v>
      </c>
      <c r="H469" s="46" t="s">
        <v>7</v>
      </c>
      <c r="I469" s="49">
        <v>110</v>
      </c>
      <c r="J469" s="71">
        <v>195</v>
      </c>
      <c r="K469" s="37">
        <f t="shared" si="9"/>
        <v>21450</v>
      </c>
      <c r="L469" s="63"/>
    </row>
    <row r="470" spans="1:12" ht="26.4">
      <c r="A470" s="114">
        <v>32</v>
      </c>
      <c r="B470" s="47" t="s">
        <v>47</v>
      </c>
      <c r="C470" s="48" t="s">
        <v>48</v>
      </c>
      <c r="D470" s="48" t="s">
        <v>49</v>
      </c>
      <c r="E470" s="39">
        <v>2</v>
      </c>
      <c r="F470" s="48" t="s">
        <v>173</v>
      </c>
      <c r="G470" s="48" t="s">
        <v>277</v>
      </c>
      <c r="H470" s="46" t="s">
        <v>7</v>
      </c>
      <c r="I470" s="49">
        <v>76.5</v>
      </c>
      <c r="J470" s="71">
        <v>195</v>
      </c>
      <c r="K470" s="37">
        <f t="shared" si="9"/>
        <v>14917.5</v>
      </c>
      <c r="L470" s="63"/>
    </row>
    <row r="471" spans="1:12" ht="26.4">
      <c r="A471" s="114">
        <v>33</v>
      </c>
      <c r="B471" s="47" t="s">
        <v>47</v>
      </c>
      <c r="C471" s="48" t="s">
        <v>48</v>
      </c>
      <c r="D471" s="48" t="s">
        <v>49</v>
      </c>
      <c r="E471" s="39">
        <v>2</v>
      </c>
      <c r="F471" s="48" t="s">
        <v>170</v>
      </c>
      <c r="G471" s="48" t="s">
        <v>277</v>
      </c>
      <c r="H471" s="46" t="s">
        <v>7</v>
      </c>
      <c r="I471" s="49">
        <v>75</v>
      </c>
      <c r="J471" s="71">
        <v>195</v>
      </c>
      <c r="K471" s="37">
        <f t="shared" si="9"/>
        <v>14625</v>
      </c>
      <c r="L471" s="63"/>
    </row>
    <row r="472" spans="1:12" ht="26.4">
      <c r="A472" s="114">
        <v>34</v>
      </c>
      <c r="B472" s="47" t="s">
        <v>47</v>
      </c>
      <c r="C472" s="48" t="s">
        <v>48</v>
      </c>
      <c r="D472" s="48" t="s">
        <v>49</v>
      </c>
      <c r="E472" s="39">
        <v>2</v>
      </c>
      <c r="F472" s="48" t="s">
        <v>190</v>
      </c>
      <c r="G472" s="48" t="s">
        <v>277</v>
      </c>
      <c r="H472" s="46" t="s">
        <v>7</v>
      </c>
      <c r="I472" s="49">
        <v>186</v>
      </c>
      <c r="J472" s="71">
        <v>195</v>
      </c>
      <c r="K472" s="37">
        <f t="shared" si="9"/>
        <v>36270</v>
      </c>
      <c r="L472" s="63"/>
    </row>
    <row r="473" spans="1:12" ht="26.4">
      <c r="A473" s="114">
        <v>35</v>
      </c>
      <c r="B473" s="47" t="s">
        <v>47</v>
      </c>
      <c r="C473" s="48" t="s">
        <v>48</v>
      </c>
      <c r="D473" s="48" t="s">
        <v>49</v>
      </c>
      <c r="E473" s="39">
        <v>2</v>
      </c>
      <c r="F473" s="48" t="s">
        <v>255</v>
      </c>
      <c r="G473" s="48" t="s">
        <v>277</v>
      </c>
      <c r="H473" s="46" t="s">
        <v>7</v>
      </c>
      <c r="I473" s="49">
        <v>12.6</v>
      </c>
      <c r="J473" s="71">
        <v>195</v>
      </c>
      <c r="K473" s="37">
        <f t="shared" si="9"/>
        <v>2457</v>
      </c>
      <c r="L473" s="63"/>
    </row>
    <row r="474" spans="1:12" ht="26.4">
      <c r="A474" s="114">
        <v>36</v>
      </c>
      <c r="B474" s="47" t="s">
        <v>47</v>
      </c>
      <c r="C474" s="48" t="s">
        <v>48</v>
      </c>
      <c r="D474" s="48" t="s">
        <v>49</v>
      </c>
      <c r="E474" s="39">
        <v>1</v>
      </c>
      <c r="F474" s="48" t="s">
        <v>96</v>
      </c>
      <c r="G474" s="48" t="s">
        <v>278</v>
      </c>
      <c r="H474" s="46" t="s">
        <v>7</v>
      </c>
      <c r="I474" s="49">
        <v>56</v>
      </c>
      <c r="J474" s="71">
        <v>195</v>
      </c>
      <c r="K474" s="37">
        <f t="shared" si="9"/>
        <v>10920</v>
      </c>
      <c r="L474" s="63"/>
    </row>
    <row r="475" spans="1:12" ht="26.4">
      <c r="A475" s="114">
        <v>37</v>
      </c>
      <c r="B475" s="47" t="s">
        <v>47</v>
      </c>
      <c r="C475" s="48" t="s">
        <v>48</v>
      </c>
      <c r="D475" s="48" t="s">
        <v>49</v>
      </c>
      <c r="E475" s="39">
        <v>1</v>
      </c>
      <c r="F475" s="48" t="s">
        <v>110</v>
      </c>
      <c r="G475" s="48" t="s">
        <v>278</v>
      </c>
      <c r="H475" s="46" t="s">
        <v>7</v>
      </c>
      <c r="I475" s="49">
        <v>23</v>
      </c>
      <c r="J475" s="71">
        <v>195</v>
      </c>
      <c r="K475" s="37">
        <f t="shared" si="9"/>
        <v>4485</v>
      </c>
      <c r="L475" s="63"/>
    </row>
    <row r="476" spans="1:12" ht="26.4">
      <c r="A476" s="114">
        <v>38</v>
      </c>
      <c r="B476" s="47" t="s">
        <v>47</v>
      </c>
      <c r="C476" s="48" t="s">
        <v>48</v>
      </c>
      <c r="D476" s="48" t="s">
        <v>49</v>
      </c>
      <c r="E476" s="39">
        <v>1</v>
      </c>
      <c r="F476" s="48" t="s">
        <v>117</v>
      </c>
      <c r="G476" s="48" t="s">
        <v>278</v>
      </c>
      <c r="H476" s="46" t="s">
        <v>7</v>
      </c>
      <c r="I476" s="49">
        <v>23.7</v>
      </c>
      <c r="J476" s="71">
        <v>195</v>
      </c>
      <c r="K476" s="37">
        <f t="shared" si="9"/>
        <v>4621.5</v>
      </c>
      <c r="L476" s="63"/>
    </row>
    <row r="477" spans="1:12" ht="26.4">
      <c r="A477" s="114">
        <v>39</v>
      </c>
      <c r="B477" s="47" t="s">
        <v>47</v>
      </c>
      <c r="C477" s="48" t="s">
        <v>48</v>
      </c>
      <c r="D477" s="48" t="s">
        <v>49</v>
      </c>
      <c r="E477" s="39">
        <v>1</v>
      </c>
      <c r="F477" s="48" t="s">
        <v>98</v>
      </c>
      <c r="G477" s="48" t="s">
        <v>278</v>
      </c>
      <c r="H477" s="46" t="s">
        <v>7</v>
      </c>
      <c r="I477" s="49">
        <v>3</v>
      </c>
      <c r="J477" s="71">
        <v>195</v>
      </c>
      <c r="K477" s="37">
        <f t="shared" si="9"/>
        <v>585</v>
      </c>
      <c r="L477" s="63"/>
    </row>
    <row r="478" spans="1:12" ht="26.4">
      <c r="A478" s="114">
        <v>40</v>
      </c>
      <c r="B478" s="47" t="s">
        <v>47</v>
      </c>
      <c r="C478" s="48" t="s">
        <v>48</v>
      </c>
      <c r="D478" s="48" t="s">
        <v>49</v>
      </c>
      <c r="E478" s="39">
        <v>2</v>
      </c>
      <c r="F478" s="48" t="s">
        <v>214</v>
      </c>
      <c r="G478" s="48" t="s">
        <v>278</v>
      </c>
      <c r="H478" s="46" t="s">
        <v>7</v>
      </c>
      <c r="I478" s="49">
        <v>20</v>
      </c>
      <c r="J478" s="71">
        <v>195</v>
      </c>
      <c r="K478" s="37">
        <f t="shared" si="9"/>
        <v>3900</v>
      </c>
      <c r="L478" s="63"/>
    </row>
    <row r="479" spans="1:12" ht="26.4">
      <c r="A479" s="114">
        <v>41</v>
      </c>
      <c r="B479" s="47" t="s">
        <v>60</v>
      </c>
      <c r="C479" s="48" t="s">
        <v>48</v>
      </c>
      <c r="D479" s="48" t="s">
        <v>49</v>
      </c>
      <c r="E479" s="39">
        <v>2</v>
      </c>
      <c r="F479" s="48" t="s">
        <v>183</v>
      </c>
      <c r="G479" s="48" t="s">
        <v>278</v>
      </c>
      <c r="H479" s="46" t="s">
        <v>7</v>
      </c>
      <c r="I479" s="49">
        <v>27</v>
      </c>
      <c r="J479" s="71">
        <v>195</v>
      </c>
      <c r="K479" s="37">
        <f t="shared" si="9"/>
        <v>5265</v>
      </c>
      <c r="L479" s="63"/>
    </row>
    <row r="480" spans="1:12" ht="26.4">
      <c r="A480" s="114">
        <v>42</v>
      </c>
      <c r="B480" s="47" t="s">
        <v>60</v>
      </c>
      <c r="C480" s="48" t="s">
        <v>48</v>
      </c>
      <c r="D480" s="48" t="s">
        <v>49</v>
      </c>
      <c r="E480" s="39">
        <v>2</v>
      </c>
      <c r="F480" s="48" t="s">
        <v>163</v>
      </c>
      <c r="G480" s="48" t="s">
        <v>278</v>
      </c>
      <c r="H480" s="46" t="s">
        <v>7</v>
      </c>
      <c r="I480" s="49">
        <v>24</v>
      </c>
      <c r="J480" s="71">
        <v>195</v>
      </c>
      <c r="K480" s="37">
        <f t="shared" si="9"/>
        <v>4680</v>
      </c>
      <c r="L480" s="63"/>
    </row>
    <row r="481" spans="1:12" ht="26.4">
      <c r="A481" s="114">
        <v>43</v>
      </c>
      <c r="B481" s="47" t="s">
        <v>47</v>
      </c>
      <c r="C481" s="48" t="s">
        <v>48</v>
      </c>
      <c r="D481" s="48" t="s">
        <v>49</v>
      </c>
      <c r="E481" s="39">
        <v>2</v>
      </c>
      <c r="F481" s="48" t="s">
        <v>166</v>
      </c>
      <c r="G481" s="48" t="s">
        <v>278</v>
      </c>
      <c r="H481" s="46" t="s">
        <v>7</v>
      </c>
      <c r="I481" s="49">
        <v>7.2</v>
      </c>
      <c r="J481" s="71">
        <v>195</v>
      </c>
      <c r="K481" s="37">
        <f t="shared" si="9"/>
        <v>1404</v>
      </c>
      <c r="L481" s="63"/>
    </row>
    <row r="482" spans="1:12" ht="26.4">
      <c r="A482" s="114">
        <v>44</v>
      </c>
      <c r="B482" s="47" t="s">
        <v>47</v>
      </c>
      <c r="C482" s="48" t="s">
        <v>48</v>
      </c>
      <c r="D482" s="48" t="s">
        <v>49</v>
      </c>
      <c r="E482" s="39">
        <v>2</v>
      </c>
      <c r="F482" s="48" t="s">
        <v>182</v>
      </c>
      <c r="G482" s="48" t="s">
        <v>278</v>
      </c>
      <c r="H482" s="46" t="s">
        <v>7</v>
      </c>
      <c r="I482" s="49">
        <v>15.3</v>
      </c>
      <c r="J482" s="71">
        <v>195</v>
      </c>
      <c r="K482" s="37">
        <f t="shared" si="9"/>
        <v>2983.5</v>
      </c>
      <c r="L482" s="63"/>
    </row>
    <row r="483" spans="1:12" ht="52.8">
      <c r="A483" s="114">
        <v>45</v>
      </c>
      <c r="B483" s="47" t="s">
        <v>47</v>
      </c>
      <c r="C483" s="48" t="s">
        <v>48</v>
      </c>
      <c r="D483" s="48" t="s">
        <v>49</v>
      </c>
      <c r="E483" s="39">
        <v>2</v>
      </c>
      <c r="F483" s="48" t="s">
        <v>276</v>
      </c>
      <c r="G483" s="48" t="s">
        <v>278</v>
      </c>
      <c r="H483" s="46" t="s">
        <v>7</v>
      </c>
      <c r="I483" s="49">
        <v>20</v>
      </c>
      <c r="J483" s="71">
        <v>195</v>
      </c>
      <c r="K483" s="37">
        <f t="shared" si="9"/>
        <v>3900</v>
      </c>
      <c r="L483" s="63"/>
    </row>
    <row r="484" spans="1:12" ht="26.4">
      <c r="A484" s="114">
        <v>46</v>
      </c>
      <c r="B484" s="47" t="s">
        <v>47</v>
      </c>
      <c r="C484" s="48" t="s">
        <v>48</v>
      </c>
      <c r="D484" s="48" t="s">
        <v>49</v>
      </c>
      <c r="E484" s="39">
        <v>2</v>
      </c>
      <c r="F484" s="48" t="s">
        <v>165</v>
      </c>
      <c r="G484" s="48" t="s">
        <v>278</v>
      </c>
      <c r="H484" s="46" t="s">
        <v>7</v>
      </c>
      <c r="I484" s="49">
        <v>23</v>
      </c>
      <c r="J484" s="71">
        <v>195</v>
      </c>
      <c r="K484" s="37">
        <f t="shared" si="9"/>
        <v>4485</v>
      </c>
      <c r="L484" s="63"/>
    </row>
    <row r="485" spans="1:12" ht="26.4">
      <c r="A485" s="114">
        <v>47</v>
      </c>
      <c r="B485" s="47" t="s">
        <v>47</v>
      </c>
      <c r="C485" s="48" t="s">
        <v>48</v>
      </c>
      <c r="D485" s="48" t="s">
        <v>49</v>
      </c>
      <c r="E485" s="39">
        <v>2</v>
      </c>
      <c r="F485" s="48" t="s">
        <v>188</v>
      </c>
      <c r="G485" s="48" t="s">
        <v>278</v>
      </c>
      <c r="H485" s="46" t="s">
        <v>7</v>
      </c>
      <c r="I485" s="49">
        <v>31</v>
      </c>
      <c r="J485" s="71">
        <v>195</v>
      </c>
      <c r="K485" s="37">
        <f t="shared" si="9"/>
        <v>6045</v>
      </c>
      <c r="L485" s="63"/>
    </row>
    <row r="486" spans="1:12" ht="26.4">
      <c r="A486" s="114">
        <v>48</v>
      </c>
      <c r="B486" s="47" t="s">
        <v>47</v>
      </c>
      <c r="C486" s="48" t="s">
        <v>48</v>
      </c>
      <c r="D486" s="48" t="s">
        <v>49</v>
      </c>
      <c r="E486" s="39">
        <v>2</v>
      </c>
      <c r="F486" s="48" t="s">
        <v>164</v>
      </c>
      <c r="G486" s="48" t="s">
        <v>278</v>
      </c>
      <c r="H486" s="46" t="s">
        <v>7</v>
      </c>
      <c r="I486" s="49">
        <v>10</v>
      </c>
      <c r="J486" s="71">
        <v>195</v>
      </c>
      <c r="K486" s="37">
        <f t="shared" si="9"/>
        <v>1950</v>
      </c>
      <c r="L486" s="63"/>
    </row>
    <row r="487" spans="1:12" ht="26.4">
      <c r="A487" s="114">
        <v>49</v>
      </c>
      <c r="B487" s="47" t="s">
        <v>47</v>
      </c>
      <c r="C487" s="48" t="s">
        <v>48</v>
      </c>
      <c r="D487" s="48" t="s">
        <v>49</v>
      </c>
      <c r="E487" s="39">
        <v>2</v>
      </c>
      <c r="F487" s="48" t="s">
        <v>173</v>
      </c>
      <c r="G487" s="48" t="s">
        <v>278</v>
      </c>
      <c r="H487" s="46" t="s">
        <v>7</v>
      </c>
      <c r="I487" s="49">
        <v>27</v>
      </c>
      <c r="J487" s="71">
        <v>195</v>
      </c>
      <c r="K487" s="37">
        <f t="shared" si="9"/>
        <v>5265</v>
      </c>
      <c r="L487" s="63"/>
    </row>
    <row r="488" spans="1:12" ht="26.4">
      <c r="A488" s="114">
        <v>50</v>
      </c>
      <c r="B488" s="47" t="s">
        <v>47</v>
      </c>
      <c r="C488" s="48" t="s">
        <v>48</v>
      </c>
      <c r="D488" s="48" t="s">
        <v>49</v>
      </c>
      <c r="E488" s="39">
        <v>2</v>
      </c>
      <c r="F488" s="48" t="s">
        <v>190</v>
      </c>
      <c r="G488" s="48" t="s">
        <v>278</v>
      </c>
      <c r="H488" s="46" t="s">
        <v>7</v>
      </c>
      <c r="I488" s="49">
        <v>20</v>
      </c>
      <c r="J488" s="71">
        <v>195</v>
      </c>
      <c r="K488" s="37">
        <f t="shared" si="9"/>
        <v>3900</v>
      </c>
      <c r="L488" s="63"/>
    </row>
    <row r="489" spans="1:12" ht="26.4">
      <c r="A489" s="114">
        <v>51</v>
      </c>
      <c r="B489" s="47" t="s">
        <v>47</v>
      </c>
      <c r="C489" s="48" t="s">
        <v>48</v>
      </c>
      <c r="D489" s="48" t="s">
        <v>49</v>
      </c>
      <c r="E489" s="39">
        <v>3</v>
      </c>
      <c r="F489" s="48" t="s">
        <v>255</v>
      </c>
      <c r="G489" s="48" t="s">
        <v>278</v>
      </c>
      <c r="H489" s="46" t="s">
        <v>7</v>
      </c>
      <c r="I489" s="49">
        <v>12.6</v>
      </c>
      <c r="J489" s="71">
        <v>195</v>
      </c>
      <c r="K489" s="37">
        <f t="shared" si="9"/>
        <v>2457</v>
      </c>
      <c r="L489" s="63"/>
    </row>
    <row r="490" spans="1:12" ht="52.8">
      <c r="A490" s="114">
        <v>52</v>
      </c>
      <c r="B490" s="47" t="s">
        <v>47</v>
      </c>
      <c r="C490" s="48" t="s">
        <v>48</v>
      </c>
      <c r="D490" s="48" t="s">
        <v>58</v>
      </c>
      <c r="E490" s="39">
        <v>3</v>
      </c>
      <c r="F490" s="48" t="s">
        <v>269</v>
      </c>
      <c r="G490" s="48" t="s">
        <v>19</v>
      </c>
      <c r="H490" s="46" t="s">
        <v>7</v>
      </c>
      <c r="I490" s="49">
        <v>80</v>
      </c>
      <c r="J490" s="71">
        <v>180</v>
      </c>
      <c r="K490" s="37">
        <f t="shared" si="9"/>
        <v>14400</v>
      </c>
      <c r="L490" s="63"/>
    </row>
    <row r="491" spans="1:12" ht="39.6">
      <c r="A491" s="114">
        <v>53</v>
      </c>
      <c r="B491" s="47" t="s">
        <v>47</v>
      </c>
      <c r="C491" s="48" t="s">
        <v>48</v>
      </c>
      <c r="D491" s="48" t="s">
        <v>58</v>
      </c>
      <c r="E491" s="39">
        <v>3</v>
      </c>
      <c r="F491" s="48" t="s">
        <v>270</v>
      </c>
      <c r="G491" s="48" t="s">
        <v>19</v>
      </c>
      <c r="H491" s="46" t="s">
        <v>7</v>
      </c>
      <c r="I491" s="49">
        <v>73</v>
      </c>
      <c r="J491" s="71">
        <v>180</v>
      </c>
      <c r="K491" s="37">
        <f t="shared" si="9"/>
        <v>13140</v>
      </c>
      <c r="L491" s="63"/>
    </row>
    <row r="492" spans="1:12" ht="26.4">
      <c r="A492" s="114">
        <v>54</v>
      </c>
      <c r="B492" s="47" t="s">
        <v>47</v>
      </c>
      <c r="C492" s="48" t="s">
        <v>48</v>
      </c>
      <c r="D492" s="48" t="s">
        <v>58</v>
      </c>
      <c r="E492" s="39">
        <v>3</v>
      </c>
      <c r="F492" s="48" t="s">
        <v>255</v>
      </c>
      <c r="G492" s="48" t="s">
        <v>19</v>
      </c>
      <c r="H492" s="46" t="s">
        <v>7</v>
      </c>
      <c r="I492" s="49">
        <v>95</v>
      </c>
      <c r="J492" s="71">
        <v>180</v>
      </c>
      <c r="K492" s="37">
        <f t="shared" si="9"/>
        <v>17100</v>
      </c>
      <c r="L492" s="63"/>
    </row>
    <row r="493" spans="1:12" ht="26.4">
      <c r="A493" s="114">
        <v>55</v>
      </c>
      <c r="B493" s="47" t="s">
        <v>47</v>
      </c>
      <c r="C493" s="48" t="s">
        <v>48</v>
      </c>
      <c r="D493" s="48" t="s">
        <v>58</v>
      </c>
      <c r="E493" s="39">
        <v>3</v>
      </c>
      <c r="F493" s="48" t="s">
        <v>239</v>
      </c>
      <c r="G493" s="48" t="s">
        <v>19</v>
      </c>
      <c r="H493" s="46" t="s">
        <v>7</v>
      </c>
      <c r="I493" s="49">
        <v>21.4</v>
      </c>
      <c r="J493" s="71">
        <v>180</v>
      </c>
      <c r="K493" s="37">
        <f t="shared" si="9"/>
        <v>3851.9999999999995</v>
      </c>
      <c r="L493" s="63"/>
    </row>
    <row r="494" spans="1:12" ht="26.4">
      <c r="A494" s="114">
        <v>56</v>
      </c>
      <c r="B494" s="47" t="s">
        <v>47</v>
      </c>
      <c r="C494" s="48" t="s">
        <v>48</v>
      </c>
      <c r="D494" s="48" t="s">
        <v>58</v>
      </c>
      <c r="E494" s="39">
        <v>3</v>
      </c>
      <c r="F494" s="48" t="s">
        <v>241</v>
      </c>
      <c r="G494" s="48" t="s">
        <v>19</v>
      </c>
      <c r="H494" s="46" t="s">
        <v>7</v>
      </c>
      <c r="I494" s="49">
        <v>78.5</v>
      </c>
      <c r="J494" s="71">
        <v>180</v>
      </c>
      <c r="K494" s="37">
        <f t="shared" si="9"/>
        <v>14130</v>
      </c>
      <c r="L494" s="63"/>
    </row>
    <row r="495" spans="1:12" ht="26.4">
      <c r="A495" s="114">
        <v>57</v>
      </c>
      <c r="B495" s="47" t="s">
        <v>47</v>
      </c>
      <c r="C495" s="48" t="s">
        <v>48</v>
      </c>
      <c r="D495" s="48" t="s">
        <v>58</v>
      </c>
      <c r="E495" s="39">
        <v>3</v>
      </c>
      <c r="F495" s="48" t="s">
        <v>244</v>
      </c>
      <c r="G495" s="48" t="s">
        <v>19</v>
      </c>
      <c r="H495" s="46" t="s">
        <v>7</v>
      </c>
      <c r="I495" s="49">
        <v>21.4</v>
      </c>
      <c r="J495" s="71">
        <v>180</v>
      </c>
      <c r="K495" s="37">
        <f t="shared" si="9"/>
        <v>3851.9999999999995</v>
      </c>
      <c r="L495" s="63"/>
    </row>
    <row r="496" spans="1:12" ht="26.4">
      <c r="A496" s="114">
        <v>58</v>
      </c>
      <c r="B496" s="47" t="s">
        <v>47</v>
      </c>
      <c r="C496" s="48" t="s">
        <v>48</v>
      </c>
      <c r="D496" s="48" t="s">
        <v>58</v>
      </c>
      <c r="E496" s="39">
        <v>3</v>
      </c>
      <c r="F496" s="48" t="s">
        <v>245</v>
      </c>
      <c r="G496" s="48" t="s">
        <v>19</v>
      </c>
      <c r="H496" s="46" t="s">
        <v>7</v>
      </c>
      <c r="I496" s="49">
        <v>78.5</v>
      </c>
      <c r="J496" s="71">
        <v>180</v>
      </c>
      <c r="K496" s="37">
        <f t="shared" si="9"/>
        <v>14130</v>
      </c>
      <c r="L496" s="63"/>
    </row>
    <row r="497" spans="1:12" ht="52.8">
      <c r="A497" s="114">
        <v>59</v>
      </c>
      <c r="B497" s="47" t="s">
        <v>47</v>
      </c>
      <c r="C497" s="48" t="s">
        <v>48</v>
      </c>
      <c r="D497" s="48" t="s">
        <v>58</v>
      </c>
      <c r="E497" s="39">
        <v>2</v>
      </c>
      <c r="F497" s="48" t="s">
        <v>276</v>
      </c>
      <c r="G497" s="48" t="s">
        <v>19</v>
      </c>
      <c r="H497" s="46" t="s">
        <v>7</v>
      </c>
      <c r="I497" s="49">
        <v>64.5</v>
      </c>
      <c r="J497" s="71">
        <v>180</v>
      </c>
      <c r="K497" s="37">
        <f t="shared" si="9"/>
        <v>11610</v>
      </c>
      <c r="L497" s="63"/>
    </row>
    <row r="498" spans="1:12" ht="52.8">
      <c r="A498" s="114">
        <v>60</v>
      </c>
      <c r="B498" s="47" t="s">
        <v>47</v>
      </c>
      <c r="C498" s="48" t="s">
        <v>48</v>
      </c>
      <c r="D498" s="48" t="s">
        <v>58</v>
      </c>
      <c r="E498" s="39">
        <v>2</v>
      </c>
      <c r="F498" s="48" t="s">
        <v>275</v>
      </c>
      <c r="G498" s="48" t="s">
        <v>19</v>
      </c>
      <c r="H498" s="46" t="s">
        <v>7</v>
      </c>
      <c r="I498" s="49">
        <v>64.2</v>
      </c>
      <c r="J498" s="71">
        <v>180</v>
      </c>
      <c r="K498" s="37">
        <f t="shared" si="9"/>
        <v>11556</v>
      </c>
      <c r="L498" s="63"/>
    </row>
    <row r="499" spans="1:12" ht="26.4">
      <c r="A499" s="114">
        <v>61</v>
      </c>
      <c r="B499" s="47" t="s">
        <v>47</v>
      </c>
      <c r="C499" s="48" t="s">
        <v>48</v>
      </c>
      <c r="D499" s="48" t="s">
        <v>58</v>
      </c>
      <c r="E499" s="39">
        <v>2</v>
      </c>
      <c r="F499" s="48" t="s">
        <v>164</v>
      </c>
      <c r="G499" s="48" t="s">
        <v>19</v>
      </c>
      <c r="H499" s="46" t="s">
        <v>7</v>
      </c>
      <c r="I499" s="49">
        <v>64.5</v>
      </c>
      <c r="J499" s="71">
        <v>180</v>
      </c>
      <c r="K499" s="37">
        <f t="shared" si="9"/>
        <v>11610</v>
      </c>
      <c r="L499" s="63"/>
    </row>
    <row r="500" spans="1:12" ht="39.6">
      <c r="A500" s="114">
        <v>62</v>
      </c>
      <c r="B500" s="47" t="s">
        <v>47</v>
      </c>
      <c r="C500" s="48" t="s">
        <v>48</v>
      </c>
      <c r="D500" s="48" t="s">
        <v>49</v>
      </c>
      <c r="E500" s="39">
        <v>1</v>
      </c>
      <c r="F500" s="48" t="s">
        <v>96</v>
      </c>
      <c r="G500" s="48" t="s">
        <v>6</v>
      </c>
      <c r="H500" s="46" t="s">
        <v>7</v>
      </c>
      <c r="I500" s="49">
        <v>33</v>
      </c>
      <c r="J500" s="71">
        <v>585</v>
      </c>
      <c r="K500" s="37">
        <f t="shared" si="9"/>
        <v>19305</v>
      </c>
      <c r="L500" s="63"/>
    </row>
    <row r="501" spans="1:12" ht="39.6">
      <c r="A501" s="114">
        <v>63</v>
      </c>
      <c r="B501" s="47" t="s">
        <v>47</v>
      </c>
      <c r="C501" s="48" t="s">
        <v>48</v>
      </c>
      <c r="D501" s="48" t="s">
        <v>49</v>
      </c>
      <c r="E501" s="39">
        <v>1</v>
      </c>
      <c r="F501" s="48" t="s">
        <v>109</v>
      </c>
      <c r="G501" s="48" t="s">
        <v>6</v>
      </c>
      <c r="H501" s="46" t="s">
        <v>7</v>
      </c>
      <c r="I501" s="49">
        <v>23</v>
      </c>
      <c r="J501" s="71">
        <v>585</v>
      </c>
      <c r="K501" s="37">
        <f t="shared" si="9"/>
        <v>13455</v>
      </c>
      <c r="L501" s="63"/>
    </row>
    <row r="502" spans="1:12" ht="39.6">
      <c r="A502" s="114">
        <v>64</v>
      </c>
      <c r="B502" s="47" t="s">
        <v>47</v>
      </c>
      <c r="C502" s="48" t="s">
        <v>48</v>
      </c>
      <c r="D502" s="48" t="s">
        <v>49</v>
      </c>
      <c r="E502" s="39">
        <v>1</v>
      </c>
      <c r="F502" s="48" t="s">
        <v>117</v>
      </c>
      <c r="G502" s="48" t="s">
        <v>6</v>
      </c>
      <c r="H502" s="46" t="s">
        <v>7</v>
      </c>
      <c r="I502" s="49">
        <v>23.7</v>
      </c>
      <c r="J502" s="71">
        <v>585</v>
      </c>
      <c r="K502" s="37">
        <f t="shared" si="9"/>
        <v>13864.5</v>
      </c>
      <c r="L502" s="63"/>
    </row>
    <row r="503" spans="1:12" ht="39.6">
      <c r="A503" s="114">
        <v>65</v>
      </c>
      <c r="B503" s="47" t="s">
        <v>47</v>
      </c>
      <c r="C503" s="48" t="s">
        <v>48</v>
      </c>
      <c r="D503" s="48" t="s">
        <v>49</v>
      </c>
      <c r="E503" s="39">
        <v>1</v>
      </c>
      <c r="F503" s="48" t="s">
        <v>98</v>
      </c>
      <c r="G503" s="48" t="s">
        <v>6</v>
      </c>
      <c r="H503" s="46" t="s">
        <v>7</v>
      </c>
      <c r="I503" s="49">
        <v>2.9</v>
      </c>
      <c r="J503" s="71">
        <v>585</v>
      </c>
      <c r="K503" s="37">
        <f t="shared" si="9"/>
        <v>1696.5</v>
      </c>
      <c r="L503" s="63"/>
    </row>
    <row r="504" spans="1:12" ht="39.6">
      <c r="A504" s="114">
        <v>66</v>
      </c>
      <c r="B504" s="47" t="s">
        <v>60</v>
      </c>
      <c r="C504" s="48" t="s">
        <v>48</v>
      </c>
      <c r="D504" s="48" t="s">
        <v>49</v>
      </c>
      <c r="E504" s="39">
        <v>2</v>
      </c>
      <c r="F504" s="48" t="s">
        <v>214</v>
      </c>
      <c r="G504" s="48" t="s">
        <v>6</v>
      </c>
      <c r="H504" s="46" t="s">
        <v>7</v>
      </c>
      <c r="I504" s="49">
        <v>12.6</v>
      </c>
      <c r="J504" s="71">
        <v>585</v>
      </c>
      <c r="K504" s="37">
        <f t="shared" si="9"/>
        <v>7371</v>
      </c>
      <c r="L504" s="63"/>
    </row>
    <row r="505" spans="1:12" ht="39.6">
      <c r="A505" s="114">
        <v>67</v>
      </c>
      <c r="B505" s="47" t="s">
        <v>47</v>
      </c>
      <c r="C505" s="48" t="s">
        <v>48</v>
      </c>
      <c r="D505" s="48" t="s">
        <v>49</v>
      </c>
      <c r="E505" s="39">
        <v>2</v>
      </c>
      <c r="F505" s="48" t="s">
        <v>183</v>
      </c>
      <c r="G505" s="48" t="s">
        <v>6</v>
      </c>
      <c r="H505" s="46" t="s">
        <v>7</v>
      </c>
      <c r="I505" s="49">
        <v>27</v>
      </c>
      <c r="J505" s="71">
        <v>585</v>
      </c>
      <c r="K505" s="37">
        <f t="shared" si="9"/>
        <v>15795</v>
      </c>
      <c r="L505" s="63"/>
    </row>
    <row r="506" spans="1:12" ht="39.6">
      <c r="A506" s="114">
        <v>68</v>
      </c>
      <c r="B506" s="47" t="s">
        <v>47</v>
      </c>
      <c r="C506" s="48" t="s">
        <v>48</v>
      </c>
      <c r="D506" s="48" t="s">
        <v>49</v>
      </c>
      <c r="E506" s="39">
        <v>2</v>
      </c>
      <c r="F506" s="48" t="s">
        <v>163</v>
      </c>
      <c r="G506" s="48" t="s">
        <v>6</v>
      </c>
      <c r="H506" s="46" t="s">
        <v>7</v>
      </c>
      <c r="I506" s="49">
        <v>24</v>
      </c>
      <c r="J506" s="71">
        <v>585</v>
      </c>
      <c r="K506" s="37">
        <f t="shared" si="9"/>
        <v>14040</v>
      </c>
      <c r="L506" s="63"/>
    </row>
    <row r="507" spans="1:12" ht="39.6">
      <c r="A507" s="114">
        <v>69</v>
      </c>
      <c r="B507" s="47" t="s">
        <v>47</v>
      </c>
      <c r="C507" s="48" t="s">
        <v>48</v>
      </c>
      <c r="D507" s="48" t="s">
        <v>49</v>
      </c>
      <c r="E507" s="39">
        <v>2</v>
      </c>
      <c r="F507" s="48" t="s">
        <v>166</v>
      </c>
      <c r="G507" s="48" t="s">
        <v>6</v>
      </c>
      <c r="H507" s="46" t="s">
        <v>7</v>
      </c>
      <c r="I507" s="49">
        <v>7.2</v>
      </c>
      <c r="J507" s="71">
        <v>585</v>
      </c>
      <c r="K507" s="37">
        <f t="shared" ref="K507:K539" si="10">J507*I507</f>
        <v>4212</v>
      </c>
      <c r="L507" s="63"/>
    </row>
    <row r="508" spans="1:12" ht="39.6">
      <c r="A508" s="114">
        <v>70</v>
      </c>
      <c r="B508" s="47" t="s">
        <v>47</v>
      </c>
      <c r="C508" s="48" t="s">
        <v>48</v>
      </c>
      <c r="D508" s="48" t="s">
        <v>49</v>
      </c>
      <c r="E508" s="39">
        <v>2</v>
      </c>
      <c r="F508" s="48" t="s">
        <v>182</v>
      </c>
      <c r="G508" s="48" t="s">
        <v>6</v>
      </c>
      <c r="H508" s="46" t="s">
        <v>7</v>
      </c>
      <c r="I508" s="49">
        <v>27.5</v>
      </c>
      <c r="J508" s="71">
        <v>585</v>
      </c>
      <c r="K508" s="37">
        <f t="shared" si="10"/>
        <v>16087.5</v>
      </c>
      <c r="L508" s="63"/>
    </row>
    <row r="509" spans="1:12" ht="52.8">
      <c r="A509" s="114">
        <v>71</v>
      </c>
      <c r="B509" s="47" t="s">
        <v>47</v>
      </c>
      <c r="C509" s="48" t="s">
        <v>48</v>
      </c>
      <c r="D509" s="48" t="s">
        <v>49</v>
      </c>
      <c r="E509" s="39">
        <v>2</v>
      </c>
      <c r="F509" s="48" t="s">
        <v>276</v>
      </c>
      <c r="G509" s="48" t="s">
        <v>6</v>
      </c>
      <c r="H509" s="46" t="s">
        <v>7</v>
      </c>
      <c r="I509" s="49">
        <v>20</v>
      </c>
      <c r="J509" s="71">
        <v>585</v>
      </c>
      <c r="K509" s="37">
        <f t="shared" si="10"/>
        <v>11700</v>
      </c>
      <c r="L509" s="63"/>
    </row>
    <row r="510" spans="1:12" ht="39.6">
      <c r="A510" s="114">
        <v>72</v>
      </c>
      <c r="B510" s="47" t="s">
        <v>47</v>
      </c>
      <c r="C510" s="48" t="s">
        <v>48</v>
      </c>
      <c r="D510" s="48" t="s">
        <v>49</v>
      </c>
      <c r="E510" s="39">
        <v>2</v>
      </c>
      <c r="F510" s="48" t="s">
        <v>165</v>
      </c>
      <c r="G510" s="48" t="s">
        <v>6</v>
      </c>
      <c r="H510" s="46" t="s">
        <v>7</v>
      </c>
      <c r="I510" s="49">
        <v>16</v>
      </c>
      <c r="J510" s="71">
        <v>585</v>
      </c>
      <c r="K510" s="37">
        <f t="shared" si="10"/>
        <v>9360</v>
      </c>
      <c r="L510" s="63"/>
    </row>
    <row r="511" spans="1:12" ht="39.6">
      <c r="A511" s="114">
        <v>73</v>
      </c>
      <c r="B511" s="47" t="s">
        <v>47</v>
      </c>
      <c r="C511" s="48" t="s">
        <v>48</v>
      </c>
      <c r="D511" s="48" t="s">
        <v>49</v>
      </c>
      <c r="E511" s="39">
        <v>2</v>
      </c>
      <c r="F511" s="48" t="s">
        <v>188</v>
      </c>
      <c r="G511" s="48" t="s">
        <v>6</v>
      </c>
      <c r="H511" s="46" t="s">
        <v>7</v>
      </c>
      <c r="I511" s="49">
        <v>31</v>
      </c>
      <c r="J511" s="71">
        <v>585</v>
      </c>
      <c r="K511" s="37">
        <f t="shared" si="10"/>
        <v>18135</v>
      </c>
      <c r="L511" s="63"/>
    </row>
    <row r="512" spans="1:12" ht="39.6">
      <c r="A512" s="114">
        <v>74</v>
      </c>
      <c r="B512" s="47" t="s">
        <v>47</v>
      </c>
      <c r="C512" s="48" t="s">
        <v>48</v>
      </c>
      <c r="D512" s="48" t="s">
        <v>49</v>
      </c>
      <c r="E512" s="39">
        <v>2</v>
      </c>
      <c r="F512" s="48" t="s">
        <v>186</v>
      </c>
      <c r="G512" s="48" t="s">
        <v>6</v>
      </c>
      <c r="H512" s="46" t="s">
        <v>7</v>
      </c>
      <c r="I512" s="49">
        <v>2</v>
      </c>
      <c r="J512" s="71">
        <v>585</v>
      </c>
      <c r="K512" s="37">
        <f t="shared" si="10"/>
        <v>1170</v>
      </c>
      <c r="L512" s="63"/>
    </row>
    <row r="513" spans="1:12" ht="39.6">
      <c r="A513" s="114">
        <v>75</v>
      </c>
      <c r="B513" s="47" t="s">
        <v>47</v>
      </c>
      <c r="C513" s="48" t="s">
        <v>48</v>
      </c>
      <c r="D513" s="48" t="s">
        <v>49</v>
      </c>
      <c r="E513" s="39">
        <v>2</v>
      </c>
      <c r="F513" s="48" t="s">
        <v>164</v>
      </c>
      <c r="G513" s="48" t="s">
        <v>6</v>
      </c>
      <c r="H513" s="46" t="s">
        <v>7</v>
      </c>
      <c r="I513" s="49">
        <v>10</v>
      </c>
      <c r="J513" s="71">
        <v>585</v>
      </c>
      <c r="K513" s="37">
        <f t="shared" si="10"/>
        <v>5850</v>
      </c>
      <c r="L513" s="63"/>
    </row>
    <row r="514" spans="1:12" ht="39.6">
      <c r="A514" s="114">
        <v>76</v>
      </c>
      <c r="B514" s="47" t="s">
        <v>47</v>
      </c>
      <c r="C514" s="48" t="s">
        <v>48</v>
      </c>
      <c r="D514" s="48" t="s">
        <v>49</v>
      </c>
      <c r="E514" s="39">
        <v>2</v>
      </c>
      <c r="F514" s="48" t="s">
        <v>173</v>
      </c>
      <c r="G514" s="48" t="s">
        <v>6</v>
      </c>
      <c r="H514" s="46" t="s">
        <v>7</v>
      </c>
      <c r="I514" s="49">
        <v>27</v>
      </c>
      <c r="J514" s="71">
        <v>585</v>
      </c>
      <c r="K514" s="37">
        <f t="shared" si="10"/>
        <v>15795</v>
      </c>
      <c r="L514" s="63"/>
    </row>
    <row r="515" spans="1:12" ht="39.6">
      <c r="A515" s="114">
        <v>77</v>
      </c>
      <c r="B515" s="47" t="s">
        <v>47</v>
      </c>
      <c r="C515" s="48" t="s">
        <v>48</v>
      </c>
      <c r="D515" s="48" t="s">
        <v>49</v>
      </c>
      <c r="E515" s="39">
        <v>2</v>
      </c>
      <c r="F515" s="48" t="s">
        <v>190</v>
      </c>
      <c r="G515" s="48" t="s">
        <v>6</v>
      </c>
      <c r="H515" s="46" t="s">
        <v>7</v>
      </c>
      <c r="I515" s="49">
        <v>20</v>
      </c>
      <c r="J515" s="71">
        <v>585</v>
      </c>
      <c r="K515" s="37">
        <f t="shared" si="10"/>
        <v>11700</v>
      </c>
      <c r="L515" s="63"/>
    </row>
    <row r="516" spans="1:12" ht="39.6">
      <c r="A516" s="114">
        <v>78</v>
      </c>
      <c r="B516" s="47" t="s">
        <v>47</v>
      </c>
      <c r="C516" s="48" t="s">
        <v>48</v>
      </c>
      <c r="D516" s="48" t="s">
        <v>49</v>
      </c>
      <c r="E516" s="39">
        <v>3</v>
      </c>
      <c r="F516" s="48" t="s">
        <v>255</v>
      </c>
      <c r="G516" s="48" t="s">
        <v>6</v>
      </c>
      <c r="H516" s="46" t="s">
        <v>7</v>
      </c>
      <c r="I516" s="49">
        <v>12.6</v>
      </c>
      <c r="J516" s="71">
        <v>585</v>
      </c>
      <c r="K516" s="37">
        <f t="shared" si="10"/>
        <v>7371</v>
      </c>
      <c r="L516" s="63"/>
    </row>
    <row r="517" spans="1:12">
      <c r="A517" s="114">
        <v>79</v>
      </c>
      <c r="B517" s="47" t="s">
        <v>47</v>
      </c>
      <c r="C517" s="48" t="s">
        <v>48</v>
      </c>
      <c r="D517" s="48" t="s">
        <v>49</v>
      </c>
      <c r="E517" s="39">
        <v>2</v>
      </c>
      <c r="F517" s="48" t="s">
        <v>214</v>
      </c>
      <c r="G517" s="48" t="s">
        <v>262</v>
      </c>
      <c r="H517" s="46" t="s">
        <v>7</v>
      </c>
      <c r="I517" s="49">
        <v>4.2</v>
      </c>
      <c r="J517" s="71">
        <v>1105</v>
      </c>
      <c r="K517" s="37">
        <f t="shared" si="10"/>
        <v>4641</v>
      </c>
      <c r="L517" s="63"/>
    </row>
    <row r="518" spans="1:12">
      <c r="A518" s="114">
        <v>80</v>
      </c>
      <c r="B518" s="47" t="s">
        <v>47</v>
      </c>
      <c r="C518" s="48" t="s">
        <v>48</v>
      </c>
      <c r="D518" s="48" t="s">
        <v>49</v>
      </c>
      <c r="E518" s="39">
        <v>2</v>
      </c>
      <c r="F518" s="48" t="s">
        <v>183</v>
      </c>
      <c r="G518" s="48" t="s">
        <v>262</v>
      </c>
      <c r="H518" s="46" t="s">
        <v>7</v>
      </c>
      <c r="I518" s="49">
        <v>25</v>
      </c>
      <c r="J518" s="71">
        <v>1105</v>
      </c>
      <c r="K518" s="37">
        <f t="shared" si="10"/>
        <v>27625</v>
      </c>
      <c r="L518" s="63"/>
    </row>
    <row r="519" spans="1:12">
      <c r="A519" s="114">
        <v>81</v>
      </c>
      <c r="B519" s="47" t="s">
        <v>47</v>
      </c>
      <c r="C519" s="48" t="s">
        <v>48</v>
      </c>
      <c r="D519" s="48" t="s">
        <v>49</v>
      </c>
      <c r="E519" s="39">
        <v>2</v>
      </c>
      <c r="F519" s="48" t="s">
        <v>164</v>
      </c>
      <c r="G519" s="48" t="s">
        <v>262</v>
      </c>
      <c r="H519" s="46" t="s">
        <v>7</v>
      </c>
      <c r="I519" s="49">
        <v>13.5</v>
      </c>
      <c r="J519" s="71">
        <v>1105</v>
      </c>
      <c r="K519" s="37">
        <f t="shared" si="10"/>
        <v>14917.5</v>
      </c>
      <c r="L519" s="63"/>
    </row>
    <row r="520" spans="1:12">
      <c r="A520" s="114">
        <v>82</v>
      </c>
      <c r="B520" s="47" t="s">
        <v>47</v>
      </c>
      <c r="C520" s="48" t="s">
        <v>48</v>
      </c>
      <c r="D520" s="48" t="s">
        <v>49</v>
      </c>
      <c r="E520" s="39">
        <v>2</v>
      </c>
      <c r="F520" s="48" t="s">
        <v>166</v>
      </c>
      <c r="G520" s="48" t="s">
        <v>262</v>
      </c>
      <c r="H520" s="46" t="s">
        <v>7</v>
      </c>
      <c r="I520" s="49">
        <v>5</v>
      </c>
      <c r="J520" s="71">
        <v>1105</v>
      </c>
      <c r="K520" s="37">
        <f t="shared" si="10"/>
        <v>5525</v>
      </c>
      <c r="L520" s="63"/>
    </row>
    <row r="521" spans="1:12">
      <c r="A521" s="114">
        <v>83</v>
      </c>
      <c r="B521" s="47" t="s">
        <v>47</v>
      </c>
      <c r="C521" s="48" t="s">
        <v>48</v>
      </c>
      <c r="D521" s="48" t="s">
        <v>49</v>
      </c>
      <c r="E521" s="39">
        <v>2</v>
      </c>
      <c r="F521" s="48" t="s">
        <v>164</v>
      </c>
      <c r="G521" s="48" t="s">
        <v>260</v>
      </c>
      <c r="H521" s="46" t="s">
        <v>261</v>
      </c>
      <c r="I521" s="49">
        <v>1.8</v>
      </c>
      <c r="J521" s="71">
        <v>4160</v>
      </c>
      <c r="K521" s="37">
        <f t="shared" si="10"/>
        <v>7488</v>
      </c>
      <c r="L521" s="63"/>
    </row>
    <row r="522" spans="1:12">
      <c r="A522" s="114">
        <v>84</v>
      </c>
      <c r="B522" s="47" t="s">
        <v>47</v>
      </c>
      <c r="C522" s="48" t="s">
        <v>48</v>
      </c>
      <c r="D522" s="48" t="s">
        <v>49</v>
      </c>
      <c r="E522" s="39">
        <v>2</v>
      </c>
      <c r="F522" s="48" t="s">
        <v>188</v>
      </c>
      <c r="G522" s="48" t="s">
        <v>260</v>
      </c>
      <c r="H522" s="46" t="s">
        <v>261</v>
      </c>
      <c r="I522" s="49">
        <v>1.7</v>
      </c>
      <c r="J522" s="71">
        <v>4160</v>
      </c>
      <c r="K522" s="37">
        <f t="shared" si="10"/>
        <v>7072</v>
      </c>
      <c r="L522" s="63"/>
    </row>
    <row r="523" spans="1:12">
      <c r="A523" s="114">
        <v>85</v>
      </c>
      <c r="B523" s="47" t="s">
        <v>60</v>
      </c>
      <c r="C523" s="48" t="s">
        <v>48</v>
      </c>
      <c r="D523" s="48" t="s">
        <v>49</v>
      </c>
      <c r="E523" s="39">
        <v>3</v>
      </c>
      <c r="F523" s="48" t="s">
        <v>255</v>
      </c>
      <c r="G523" s="48" t="s">
        <v>260</v>
      </c>
      <c r="H523" s="46" t="s">
        <v>261</v>
      </c>
      <c r="I523" s="49">
        <v>2</v>
      </c>
      <c r="J523" s="71">
        <v>4160</v>
      </c>
      <c r="K523" s="37">
        <f t="shared" si="10"/>
        <v>8320</v>
      </c>
      <c r="L523" s="63"/>
    </row>
    <row r="524" spans="1:12">
      <c r="A524" s="114">
        <v>86</v>
      </c>
      <c r="B524" s="47" t="s">
        <v>47</v>
      </c>
      <c r="C524" s="48" t="s">
        <v>48</v>
      </c>
      <c r="D524" s="48" t="s">
        <v>49</v>
      </c>
      <c r="E524" s="39">
        <v>1</v>
      </c>
      <c r="F524" s="48" t="s">
        <v>117</v>
      </c>
      <c r="G524" s="48" t="s">
        <v>279</v>
      </c>
      <c r="H524" s="46" t="s">
        <v>7</v>
      </c>
      <c r="I524" s="49">
        <v>3.5</v>
      </c>
      <c r="J524" s="71">
        <v>800</v>
      </c>
      <c r="K524" s="37">
        <f t="shared" si="10"/>
        <v>2800</v>
      </c>
      <c r="L524" s="63"/>
    </row>
    <row r="525" spans="1:12">
      <c r="A525" s="114">
        <v>87</v>
      </c>
      <c r="B525" s="47" t="s">
        <v>47</v>
      </c>
      <c r="C525" s="48" t="s">
        <v>48</v>
      </c>
      <c r="D525" s="48" t="s">
        <v>49</v>
      </c>
      <c r="E525" s="39">
        <v>1</v>
      </c>
      <c r="F525" s="48" t="s">
        <v>96</v>
      </c>
      <c r="G525" s="48" t="s">
        <v>279</v>
      </c>
      <c r="H525" s="46" t="s">
        <v>7</v>
      </c>
      <c r="I525" s="49">
        <v>1.17</v>
      </c>
      <c r="J525" s="71">
        <v>800</v>
      </c>
      <c r="K525" s="37">
        <f t="shared" si="10"/>
        <v>936</v>
      </c>
      <c r="L525" s="63"/>
    </row>
    <row r="526" spans="1:12">
      <c r="A526" s="114">
        <v>88</v>
      </c>
      <c r="B526" s="47" t="s">
        <v>47</v>
      </c>
      <c r="C526" s="48" t="s">
        <v>48</v>
      </c>
      <c r="D526" s="48" t="s">
        <v>49</v>
      </c>
      <c r="E526" s="39">
        <v>1</v>
      </c>
      <c r="F526" s="48" t="s">
        <v>98</v>
      </c>
      <c r="G526" s="48" t="s">
        <v>279</v>
      </c>
      <c r="H526" s="46" t="s">
        <v>7</v>
      </c>
      <c r="I526" s="49">
        <v>1.19</v>
      </c>
      <c r="J526" s="71">
        <v>800</v>
      </c>
      <c r="K526" s="37">
        <f t="shared" si="10"/>
        <v>952</v>
      </c>
      <c r="L526" s="63"/>
    </row>
    <row r="527" spans="1:12">
      <c r="A527" s="114">
        <v>89</v>
      </c>
      <c r="B527" s="47" t="s">
        <v>47</v>
      </c>
      <c r="C527" s="48" t="s">
        <v>48</v>
      </c>
      <c r="D527" s="48" t="s">
        <v>49</v>
      </c>
      <c r="E527" s="39">
        <v>2</v>
      </c>
      <c r="F527" s="48" t="s">
        <v>164</v>
      </c>
      <c r="G527" s="48" t="s">
        <v>279</v>
      </c>
      <c r="H527" s="46" t="s">
        <v>7</v>
      </c>
      <c r="I527" s="49">
        <v>6.6</v>
      </c>
      <c r="J527" s="71">
        <v>800</v>
      </c>
      <c r="K527" s="37">
        <f t="shared" si="10"/>
        <v>5280</v>
      </c>
      <c r="L527" s="63"/>
    </row>
    <row r="528" spans="1:12" ht="26.4">
      <c r="A528" s="114">
        <v>90</v>
      </c>
      <c r="B528" s="47" t="s">
        <v>64</v>
      </c>
      <c r="C528" s="48" t="s">
        <v>48</v>
      </c>
      <c r="D528" s="48" t="s">
        <v>49</v>
      </c>
      <c r="E528" s="39">
        <v>2</v>
      </c>
      <c r="F528" s="48" t="s">
        <v>163</v>
      </c>
      <c r="G528" s="48" t="s">
        <v>279</v>
      </c>
      <c r="H528" s="46" t="s">
        <v>7</v>
      </c>
      <c r="I528" s="49">
        <v>5.5</v>
      </c>
      <c r="J528" s="71">
        <v>800</v>
      </c>
      <c r="K528" s="37">
        <f t="shared" si="10"/>
        <v>4400</v>
      </c>
      <c r="L528" s="63"/>
    </row>
    <row r="529" spans="1:12">
      <c r="A529" s="114">
        <v>91</v>
      </c>
      <c r="B529" s="47" t="s">
        <v>59</v>
      </c>
      <c r="C529" s="48" t="s">
        <v>48</v>
      </c>
      <c r="D529" s="48" t="s">
        <v>49</v>
      </c>
      <c r="E529" s="75">
        <v>2</v>
      </c>
      <c r="F529" s="48" t="s">
        <v>188</v>
      </c>
      <c r="G529" s="48" t="s">
        <v>279</v>
      </c>
      <c r="H529" s="46" t="s">
        <v>7</v>
      </c>
      <c r="I529" s="49">
        <v>4.9000000000000004</v>
      </c>
      <c r="J529" s="71">
        <v>800</v>
      </c>
      <c r="K529" s="37">
        <f t="shared" si="10"/>
        <v>3920.0000000000005</v>
      </c>
      <c r="L529" s="63"/>
    </row>
    <row r="530" spans="1:12">
      <c r="A530" s="114">
        <v>92</v>
      </c>
      <c r="B530" s="47" t="s">
        <v>60</v>
      </c>
      <c r="C530" s="48" t="s">
        <v>48</v>
      </c>
      <c r="D530" s="48" t="s">
        <v>49</v>
      </c>
      <c r="E530" s="75">
        <v>2</v>
      </c>
      <c r="F530" s="48" t="s">
        <v>173</v>
      </c>
      <c r="G530" s="48" t="s">
        <v>279</v>
      </c>
      <c r="H530" s="46" t="s">
        <v>7</v>
      </c>
      <c r="I530" s="49">
        <v>5.5</v>
      </c>
      <c r="J530" s="71">
        <v>800</v>
      </c>
      <c r="K530" s="37">
        <f t="shared" si="10"/>
        <v>4400</v>
      </c>
      <c r="L530" s="63"/>
    </row>
    <row r="531" spans="1:12">
      <c r="A531" s="114">
        <v>93</v>
      </c>
      <c r="B531" s="47" t="s">
        <v>47</v>
      </c>
      <c r="C531" s="48" t="s">
        <v>48</v>
      </c>
      <c r="D531" s="48" t="s">
        <v>58</v>
      </c>
      <c r="E531" s="39">
        <v>2</v>
      </c>
      <c r="F531" s="48" t="s">
        <v>170</v>
      </c>
      <c r="G531" s="48" t="s">
        <v>279</v>
      </c>
      <c r="H531" s="46" t="s">
        <v>7</v>
      </c>
      <c r="I531" s="49">
        <v>2.7</v>
      </c>
      <c r="J531" s="71">
        <v>800</v>
      </c>
      <c r="K531" s="37">
        <f t="shared" si="10"/>
        <v>2160</v>
      </c>
      <c r="L531" s="63"/>
    </row>
    <row r="532" spans="1:12">
      <c r="A532" s="114">
        <v>118</v>
      </c>
      <c r="B532" s="47" t="s">
        <v>47</v>
      </c>
      <c r="C532" s="48" t="s">
        <v>48</v>
      </c>
      <c r="D532" s="48" t="s">
        <v>63</v>
      </c>
      <c r="E532" s="39">
        <v>2</v>
      </c>
      <c r="F532" s="48" t="s">
        <v>214</v>
      </c>
      <c r="G532" s="90" t="s">
        <v>280</v>
      </c>
      <c r="H532" s="46" t="s">
        <v>285</v>
      </c>
      <c r="I532" s="49">
        <v>8.5</v>
      </c>
      <c r="J532" s="71">
        <v>300</v>
      </c>
      <c r="K532" s="37">
        <f t="shared" si="10"/>
        <v>2550</v>
      </c>
      <c r="L532" s="63"/>
    </row>
    <row r="533" spans="1:12" ht="52.8">
      <c r="A533" s="114">
        <v>119</v>
      </c>
      <c r="B533" s="47" t="s">
        <v>47</v>
      </c>
      <c r="C533" s="48" t="s">
        <v>48</v>
      </c>
      <c r="D533" s="48" t="s">
        <v>63</v>
      </c>
      <c r="E533" s="39">
        <v>2</v>
      </c>
      <c r="F533" s="48" t="s">
        <v>276</v>
      </c>
      <c r="G533" s="90" t="s">
        <v>280</v>
      </c>
      <c r="H533" s="46" t="s">
        <v>285</v>
      </c>
      <c r="I533" s="49">
        <v>3</v>
      </c>
      <c r="J533" s="71">
        <v>300</v>
      </c>
      <c r="K533" s="37">
        <f t="shared" si="10"/>
        <v>900</v>
      </c>
      <c r="L533" s="63"/>
    </row>
    <row r="534" spans="1:12">
      <c r="A534" s="114">
        <v>120</v>
      </c>
      <c r="B534" s="47" t="s">
        <v>47</v>
      </c>
      <c r="C534" s="48" t="s">
        <v>48</v>
      </c>
      <c r="D534" s="48" t="s">
        <v>63</v>
      </c>
      <c r="E534" s="39">
        <v>2</v>
      </c>
      <c r="F534" s="48" t="s">
        <v>190</v>
      </c>
      <c r="G534" s="90" t="s">
        <v>280</v>
      </c>
      <c r="H534" s="46" t="s">
        <v>285</v>
      </c>
      <c r="I534" s="49">
        <v>6.7</v>
      </c>
      <c r="J534" s="71">
        <v>300</v>
      </c>
      <c r="K534" s="37">
        <f t="shared" si="10"/>
        <v>2010</v>
      </c>
      <c r="L534" s="63"/>
    </row>
    <row r="535" spans="1:12">
      <c r="A535" s="114">
        <v>121</v>
      </c>
      <c r="B535" s="47" t="s">
        <v>47</v>
      </c>
      <c r="C535" s="48" t="s">
        <v>48</v>
      </c>
      <c r="D535" s="48" t="s">
        <v>63</v>
      </c>
      <c r="E535" s="39">
        <v>2</v>
      </c>
      <c r="F535" s="48" t="s">
        <v>183</v>
      </c>
      <c r="G535" s="90" t="s">
        <v>280</v>
      </c>
      <c r="H535" s="46" t="s">
        <v>285</v>
      </c>
      <c r="I535" s="49">
        <v>5.6</v>
      </c>
      <c r="J535" s="71">
        <v>300</v>
      </c>
      <c r="K535" s="37">
        <f t="shared" si="10"/>
        <v>1680</v>
      </c>
      <c r="L535" s="63"/>
    </row>
    <row r="536" spans="1:12">
      <c r="A536" s="114">
        <v>122</v>
      </c>
      <c r="B536" s="47" t="s">
        <v>47</v>
      </c>
      <c r="C536" s="48" t="s">
        <v>48</v>
      </c>
      <c r="D536" s="48" t="s">
        <v>63</v>
      </c>
      <c r="E536" s="39">
        <v>1</v>
      </c>
      <c r="F536" s="48" t="s">
        <v>97</v>
      </c>
      <c r="G536" s="90" t="s">
        <v>280</v>
      </c>
      <c r="H536" s="46" t="s">
        <v>285</v>
      </c>
      <c r="I536" s="49">
        <v>6.4</v>
      </c>
      <c r="J536" s="71">
        <v>300</v>
      </c>
      <c r="K536" s="37">
        <f t="shared" si="10"/>
        <v>1920</v>
      </c>
      <c r="L536" s="63"/>
    </row>
    <row r="537" spans="1:12">
      <c r="A537" s="114">
        <v>123</v>
      </c>
      <c r="B537" s="47" t="s">
        <v>47</v>
      </c>
      <c r="C537" s="48" t="s">
        <v>48</v>
      </c>
      <c r="D537" s="48" t="s">
        <v>63</v>
      </c>
      <c r="E537" s="39">
        <v>1</v>
      </c>
      <c r="F537" s="48" t="s">
        <v>98</v>
      </c>
      <c r="G537" s="90" t="s">
        <v>280</v>
      </c>
      <c r="H537" s="46" t="s">
        <v>285</v>
      </c>
      <c r="I537" s="49">
        <v>8.8000000000000007</v>
      </c>
      <c r="J537" s="71">
        <v>300</v>
      </c>
      <c r="K537" s="37">
        <f t="shared" si="10"/>
        <v>2640</v>
      </c>
      <c r="L537" s="63"/>
    </row>
    <row r="538" spans="1:12">
      <c r="A538" s="114">
        <v>124</v>
      </c>
      <c r="B538" s="47" t="s">
        <v>47</v>
      </c>
      <c r="C538" s="48" t="s">
        <v>48</v>
      </c>
      <c r="D538" s="48"/>
      <c r="E538" s="91"/>
      <c r="F538" s="56" t="s">
        <v>296</v>
      </c>
      <c r="G538" s="74" t="s">
        <v>297</v>
      </c>
      <c r="H538" s="46" t="s">
        <v>267</v>
      </c>
      <c r="I538" s="49">
        <v>82</v>
      </c>
      <c r="J538" s="71">
        <v>450</v>
      </c>
      <c r="K538" s="37">
        <f t="shared" si="10"/>
        <v>36900</v>
      </c>
      <c r="L538" s="63"/>
    </row>
    <row r="539" spans="1:12">
      <c r="A539" s="115">
        <v>125</v>
      </c>
      <c r="B539" s="83" t="s">
        <v>47</v>
      </c>
      <c r="C539" s="84" t="s">
        <v>48</v>
      </c>
      <c r="D539" s="84" t="s">
        <v>49</v>
      </c>
      <c r="E539" s="85"/>
      <c r="F539" s="118" t="s">
        <v>296</v>
      </c>
      <c r="G539" s="84" t="s">
        <v>11</v>
      </c>
      <c r="H539" s="82" t="s">
        <v>285</v>
      </c>
      <c r="I539" s="111">
        <v>95</v>
      </c>
      <c r="J539" s="86">
        <v>50</v>
      </c>
      <c r="K539" s="87">
        <f t="shared" si="10"/>
        <v>4750</v>
      </c>
      <c r="L539" s="112"/>
    </row>
    <row r="540" spans="1:12" ht="40.200000000000003" customHeight="1">
      <c r="A540" s="96" t="s">
        <v>50</v>
      </c>
      <c r="B540" s="137"/>
      <c r="C540" s="138"/>
      <c r="D540" s="138"/>
      <c r="E540" s="138"/>
      <c r="F540" s="138"/>
      <c r="G540" s="138"/>
      <c r="H540" s="138"/>
      <c r="I540" s="138"/>
      <c r="J540" s="139"/>
      <c r="K540" s="38">
        <f>SUM(K438:K539)</f>
        <v>1128980</v>
      </c>
      <c r="L540" s="50"/>
    </row>
    <row r="544" spans="1:12" s="40" customFormat="1">
      <c r="A544"/>
    </row>
    <row r="545" spans="1:12" s="40" customFormat="1"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</row>
    <row r="546" spans="1:12" s="40" customFormat="1" ht="15" thickBot="1">
      <c r="A546" s="42"/>
      <c r="B546" s="44" t="s">
        <v>34</v>
      </c>
      <c r="C546" s="131" t="s">
        <v>288</v>
      </c>
      <c r="D546" s="131"/>
      <c r="E546" s="131"/>
      <c r="F546" s="131"/>
      <c r="G546" s="43"/>
      <c r="H546" s="128"/>
      <c r="I546" s="128"/>
      <c r="J546" s="43"/>
      <c r="K546" s="42"/>
      <c r="L546" s="42"/>
    </row>
    <row r="547" spans="1:12" s="40" customFormat="1">
      <c r="A547" s="43"/>
      <c r="B547" s="43"/>
      <c r="C547" s="133" t="s">
        <v>69</v>
      </c>
      <c r="D547" s="133"/>
      <c r="E547" s="133"/>
      <c r="F547" s="133"/>
      <c r="G547" s="43"/>
      <c r="H547" s="134">
        <v>46022</v>
      </c>
      <c r="I547" s="133"/>
      <c r="J547" s="43"/>
      <c r="K547" s="42"/>
      <c r="L547" s="42"/>
    </row>
    <row r="548" spans="1:12" s="40" customFormat="1" ht="15" thickBot="1">
      <c r="A548" s="43"/>
      <c r="B548" s="45" t="s">
        <v>71</v>
      </c>
      <c r="C548" s="131" t="s">
        <v>299</v>
      </c>
      <c r="D548" s="131"/>
      <c r="E548" s="131"/>
      <c r="F548" s="131"/>
      <c r="G548" s="43"/>
      <c r="H548" s="128"/>
      <c r="I548" s="128"/>
      <c r="J548" s="43"/>
      <c r="K548" s="42"/>
      <c r="L548" s="42"/>
    </row>
    <row r="549" spans="1:12" s="40" customFormat="1">
      <c r="A549" s="43"/>
      <c r="B549" s="43"/>
      <c r="C549" s="133" t="s">
        <v>69</v>
      </c>
      <c r="D549" s="133"/>
      <c r="E549" s="133"/>
      <c r="F549" s="133"/>
      <c r="G549" s="43"/>
      <c r="H549" s="134">
        <v>46022</v>
      </c>
      <c r="I549" s="133"/>
      <c r="J549" s="43"/>
      <c r="K549" s="42"/>
      <c r="L549" s="42"/>
    </row>
    <row r="550" spans="1:12" s="40" customFormat="1">
      <c r="A550" s="43"/>
      <c r="B550" s="43"/>
      <c r="C550" s="43"/>
      <c r="D550" s="43"/>
      <c r="E550" s="43"/>
      <c r="F550" s="43"/>
      <c r="G550" s="43"/>
      <c r="H550" s="135"/>
      <c r="I550" s="135"/>
      <c r="J550" s="43"/>
    </row>
    <row r="551" spans="1:12" s="40" customFormat="1" ht="15" thickBot="1">
      <c r="A551" s="43"/>
      <c r="B551" s="45" t="s">
        <v>289</v>
      </c>
      <c r="C551" s="131" t="s">
        <v>290</v>
      </c>
      <c r="D551" s="131"/>
      <c r="E551" s="131"/>
      <c r="F551" s="131"/>
      <c r="G551" s="43"/>
      <c r="H551" s="128"/>
      <c r="I551" s="128"/>
      <c r="J551" s="43"/>
    </row>
    <row r="552" spans="1:12" s="40" customFormat="1">
      <c r="A552" s="43"/>
      <c r="B552" s="43"/>
      <c r="C552" s="133" t="s">
        <v>69</v>
      </c>
      <c r="D552" s="133"/>
      <c r="E552" s="133"/>
      <c r="F552" s="133"/>
      <c r="G552" s="43"/>
      <c r="H552" s="134">
        <v>46022</v>
      </c>
      <c r="I552" s="133"/>
      <c r="J552" s="43"/>
    </row>
    <row r="553" spans="1:12" s="40" customForma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</row>
    <row r="554" spans="1:12" s="40" customFormat="1" ht="15" thickBot="1">
      <c r="A554" s="43"/>
      <c r="B554" s="45" t="s">
        <v>72</v>
      </c>
      <c r="C554" s="128"/>
      <c r="D554" s="128"/>
      <c r="E554" s="128"/>
      <c r="F554" s="128"/>
      <c r="G554" s="43"/>
      <c r="H554" s="128"/>
      <c r="I554" s="128"/>
      <c r="J554" s="43"/>
    </row>
    <row r="555" spans="1:12" s="40" customFormat="1">
      <c r="A555" s="43"/>
      <c r="B555" s="43"/>
      <c r="C555" s="133" t="s">
        <v>69</v>
      </c>
      <c r="D555" s="133"/>
      <c r="E555" s="133"/>
      <c r="F555" s="133"/>
      <c r="G555" s="43"/>
      <c r="H555" s="133" t="s">
        <v>70</v>
      </c>
      <c r="I555" s="133"/>
      <c r="J555" s="43"/>
    </row>
    <row r="556" spans="1:12" s="40" customForma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</row>
    <row r="557" spans="1:12" s="40" customFormat="1" ht="15" thickBot="1">
      <c r="A557" s="43"/>
      <c r="B557" s="44" t="s">
        <v>73</v>
      </c>
      <c r="C557" s="128"/>
      <c r="D557" s="128"/>
      <c r="E557" s="128"/>
      <c r="F557" s="128"/>
      <c r="G557" s="43"/>
      <c r="H557" s="128"/>
      <c r="I557" s="128"/>
      <c r="J557" s="43"/>
    </row>
    <row r="558" spans="1:12" s="40" customFormat="1">
      <c r="A558" s="43"/>
      <c r="B558" s="43"/>
      <c r="C558" s="133" t="s">
        <v>69</v>
      </c>
      <c r="D558" s="133"/>
      <c r="E558" s="133"/>
      <c r="F558" s="133"/>
      <c r="G558" s="43"/>
      <c r="H558" s="133" t="s">
        <v>70</v>
      </c>
      <c r="I558" s="133"/>
      <c r="J558" s="43"/>
    </row>
    <row r="559" spans="1:12" s="40" customFormat="1">
      <c r="A559" s="43"/>
      <c r="B559" s="41"/>
      <c r="C559" s="41"/>
      <c r="D559" s="41"/>
      <c r="E559" s="41"/>
      <c r="F559" s="41"/>
      <c r="G559" s="41"/>
      <c r="H559" s="41"/>
      <c r="I559" s="41"/>
      <c r="J559" s="41"/>
    </row>
    <row r="560" spans="1:12" s="40" customFormat="1">
      <c r="A560" s="41"/>
      <c r="B560" s="42"/>
      <c r="C560" s="42"/>
      <c r="D560" s="42"/>
      <c r="E560" s="42"/>
      <c r="F560" s="42"/>
      <c r="G560" s="42"/>
      <c r="H560" s="42"/>
      <c r="I560" s="42"/>
      <c r="J560" s="42"/>
    </row>
    <row r="561" spans="1:12" s="40" customFormat="1">
      <c r="A561" s="42"/>
    </row>
    <row r="562" spans="1:12" s="40" customFormat="1"/>
    <row r="563" spans="1:12">
      <c r="A563" s="40"/>
    </row>
    <row r="566" spans="1:12">
      <c r="B566" s="43"/>
      <c r="C566" s="8" t="s">
        <v>29</v>
      </c>
      <c r="D566" s="8">
        <v>6</v>
      </c>
      <c r="E566" s="43"/>
      <c r="F566" s="43"/>
      <c r="G566" s="9" t="s">
        <v>30</v>
      </c>
      <c r="H566" s="8" t="s">
        <v>31</v>
      </c>
      <c r="I566" s="10">
        <v>46048</v>
      </c>
      <c r="J566" s="43"/>
      <c r="K566" s="43"/>
      <c r="L566" s="43"/>
    </row>
    <row r="567" spans="1:12">
      <c r="A567" s="43"/>
      <c r="B567" s="43"/>
      <c r="C567" s="11"/>
      <c r="D567" s="43"/>
      <c r="E567" s="43"/>
      <c r="F567" s="43"/>
      <c r="G567" s="43"/>
      <c r="H567" s="8" t="s">
        <v>32</v>
      </c>
      <c r="I567" s="10">
        <v>46032</v>
      </c>
      <c r="J567" s="43"/>
      <c r="K567" s="43"/>
      <c r="L567" s="43"/>
    </row>
    <row r="568" spans="1:12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</row>
    <row r="569" spans="1:12" ht="27.6">
      <c r="A569" s="43"/>
      <c r="B569" s="43"/>
      <c r="C569" s="8" t="s">
        <v>33</v>
      </c>
      <c r="D569" s="136" t="s">
        <v>217</v>
      </c>
      <c r="E569" s="136"/>
      <c r="F569" s="136"/>
      <c r="G569" s="43"/>
      <c r="H569" s="43"/>
      <c r="I569" s="43"/>
      <c r="J569" s="43"/>
      <c r="K569" s="43"/>
      <c r="L569" s="43"/>
    </row>
    <row r="570" spans="1:12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</row>
    <row r="571" spans="1:12">
      <c r="A571" s="43"/>
      <c r="B571" s="43"/>
      <c r="C571" s="8" t="s">
        <v>34</v>
      </c>
      <c r="D571" s="136" t="s">
        <v>218</v>
      </c>
      <c r="E571" s="136"/>
      <c r="F571" s="136"/>
      <c r="G571" s="43"/>
      <c r="H571" s="43"/>
      <c r="I571" s="43"/>
      <c r="J571" s="43"/>
      <c r="K571" s="43"/>
      <c r="L571" s="43"/>
    </row>
    <row r="572" spans="1:1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</row>
    <row r="573" spans="1:12">
      <c r="A573" s="43"/>
      <c r="B573" s="43"/>
      <c r="C573" s="8" t="s">
        <v>35</v>
      </c>
      <c r="D573" s="136" t="s">
        <v>36</v>
      </c>
      <c r="E573" s="136"/>
      <c r="F573" s="136"/>
      <c r="G573" s="43"/>
      <c r="H573" s="43"/>
      <c r="I573" s="43"/>
      <c r="J573" s="43"/>
      <c r="K573" s="43"/>
      <c r="L573" s="43"/>
    </row>
    <row r="574" spans="1:12">
      <c r="A574" s="43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</row>
    <row r="575" spans="1:12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</row>
    <row r="576" spans="1:12" ht="26.4">
      <c r="A576" s="107" t="s">
        <v>37</v>
      </c>
      <c r="B576" s="108" t="s">
        <v>38</v>
      </c>
      <c r="C576" s="108" t="s">
        <v>39</v>
      </c>
      <c r="D576" s="108" t="s">
        <v>320</v>
      </c>
      <c r="E576" s="108" t="s">
        <v>40</v>
      </c>
      <c r="F576" s="108" t="s">
        <v>41</v>
      </c>
      <c r="G576" s="108" t="s">
        <v>2</v>
      </c>
      <c r="H576" s="108" t="s">
        <v>42</v>
      </c>
      <c r="I576" s="108" t="s">
        <v>43</v>
      </c>
      <c r="J576" s="108" t="s">
        <v>44</v>
      </c>
      <c r="K576" s="108" t="s">
        <v>45</v>
      </c>
      <c r="L576" s="108" t="s">
        <v>46</v>
      </c>
    </row>
    <row r="577" spans="1:12" ht="26.4">
      <c r="A577" s="100">
        <v>0</v>
      </c>
      <c r="B577" s="47" t="s">
        <v>47</v>
      </c>
      <c r="C577" s="48" t="s">
        <v>48</v>
      </c>
      <c r="D577" s="40"/>
      <c r="E577" s="39">
        <v>1</v>
      </c>
      <c r="F577" s="48" t="s">
        <v>87</v>
      </c>
      <c r="G577" s="48" t="s">
        <v>277</v>
      </c>
      <c r="H577" s="46" t="s">
        <v>7</v>
      </c>
      <c r="I577" s="49">
        <v>159</v>
      </c>
      <c r="J577" s="71">
        <v>195</v>
      </c>
      <c r="K577" s="37">
        <f>J577*I577</f>
        <v>31005</v>
      </c>
      <c r="L577" s="17"/>
    </row>
    <row r="578" spans="1:12" ht="26.4">
      <c r="A578" s="114">
        <v>1</v>
      </c>
      <c r="B578" s="47" t="s">
        <v>47</v>
      </c>
      <c r="C578" s="48" t="s">
        <v>48</v>
      </c>
      <c r="D578" s="40"/>
      <c r="E578" s="39">
        <v>1</v>
      </c>
      <c r="F578" s="48" t="s">
        <v>144</v>
      </c>
      <c r="G578" s="48" t="s">
        <v>277</v>
      </c>
      <c r="H578" t="s">
        <v>7</v>
      </c>
      <c r="I578" s="49">
        <v>2.7</v>
      </c>
      <c r="J578" s="71">
        <v>195</v>
      </c>
      <c r="K578" s="37">
        <f>J578*I578</f>
        <v>526.5</v>
      </c>
      <c r="L578" s="17"/>
    </row>
    <row r="579" spans="1:12" ht="26.4">
      <c r="A579" s="114">
        <v>2</v>
      </c>
      <c r="B579" s="47" t="s">
        <v>47</v>
      </c>
      <c r="C579" s="48" t="s">
        <v>48</v>
      </c>
      <c r="D579" s="48" t="s">
        <v>49</v>
      </c>
      <c r="E579" s="39">
        <v>1</v>
      </c>
      <c r="F579" s="48" t="s">
        <v>160</v>
      </c>
      <c r="G579" s="48" t="s">
        <v>277</v>
      </c>
      <c r="H579" s="46" t="s">
        <v>7</v>
      </c>
      <c r="I579" s="49">
        <v>3.5</v>
      </c>
      <c r="J579" s="71">
        <v>195</v>
      </c>
      <c r="K579" s="37">
        <f>J579*I579</f>
        <v>682.5</v>
      </c>
      <c r="L579" s="17"/>
    </row>
    <row r="580" spans="1:12" ht="26.4">
      <c r="A580" s="114">
        <v>3</v>
      </c>
      <c r="B580" s="47" t="s">
        <v>47</v>
      </c>
      <c r="C580" s="48" t="s">
        <v>48</v>
      </c>
      <c r="E580" s="39">
        <v>1</v>
      </c>
      <c r="F580" s="48" t="s">
        <v>145</v>
      </c>
      <c r="G580" s="48" t="s">
        <v>277</v>
      </c>
      <c r="H580" s="46" t="s">
        <v>7</v>
      </c>
      <c r="I580" s="49">
        <v>6.8</v>
      </c>
      <c r="J580" s="71">
        <v>195</v>
      </c>
      <c r="K580" s="37">
        <f>J580*I580</f>
        <v>1326</v>
      </c>
      <c r="L580" s="17"/>
    </row>
    <row r="581" spans="1:12" ht="26.4">
      <c r="A581" s="114">
        <v>4</v>
      </c>
      <c r="B581" s="47" t="s">
        <v>47</v>
      </c>
      <c r="C581" s="48" t="s">
        <v>48</v>
      </c>
      <c r="D581" s="48" t="s">
        <v>49</v>
      </c>
      <c r="E581" s="39">
        <v>1</v>
      </c>
      <c r="F581" s="48" t="s">
        <v>141</v>
      </c>
      <c r="G581" s="48" t="s">
        <v>277</v>
      </c>
      <c r="H581" s="46" t="s">
        <v>7</v>
      </c>
      <c r="I581" s="49">
        <v>5</v>
      </c>
      <c r="J581" s="71">
        <v>195</v>
      </c>
      <c r="K581" s="37">
        <f>J581*I581</f>
        <v>975</v>
      </c>
      <c r="L581" s="17"/>
    </row>
    <row r="582" spans="1:12" ht="26.4">
      <c r="A582" s="114">
        <v>5</v>
      </c>
      <c r="B582" s="47" t="s">
        <v>47</v>
      </c>
      <c r="C582" s="48" t="s">
        <v>48</v>
      </c>
      <c r="D582" s="48" t="s">
        <v>49</v>
      </c>
      <c r="E582" s="39">
        <v>1</v>
      </c>
      <c r="F582" s="48" t="s">
        <v>156</v>
      </c>
      <c r="G582" s="48" t="s">
        <v>277</v>
      </c>
      <c r="H582" s="46" t="s">
        <v>7</v>
      </c>
      <c r="I582" s="49">
        <v>2.7</v>
      </c>
      <c r="J582" s="71">
        <v>195</v>
      </c>
      <c r="K582" s="37">
        <f t="shared" ref="K582:K645" si="11">J582*I582</f>
        <v>526.5</v>
      </c>
      <c r="L582" s="17"/>
    </row>
    <row r="583" spans="1:12" ht="26.4">
      <c r="A583" s="114">
        <v>6</v>
      </c>
      <c r="B583" s="47" t="s">
        <v>47</v>
      </c>
      <c r="C583" s="48" t="s">
        <v>48</v>
      </c>
      <c r="D583" s="48" t="s">
        <v>49</v>
      </c>
      <c r="E583" s="39">
        <v>1</v>
      </c>
      <c r="F583" s="48" t="s">
        <v>109</v>
      </c>
      <c r="G583" s="48" t="s">
        <v>277</v>
      </c>
      <c r="H583" s="46" t="s">
        <v>7</v>
      </c>
      <c r="I583" s="49">
        <v>1.76</v>
      </c>
      <c r="J583" s="71">
        <v>195</v>
      </c>
      <c r="K583" s="37">
        <f t="shared" si="11"/>
        <v>343.2</v>
      </c>
      <c r="L583" s="17"/>
    </row>
    <row r="584" spans="1:12" ht="26.4">
      <c r="A584" s="114">
        <v>7</v>
      </c>
      <c r="B584" s="47" t="s">
        <v>47</v>
      </c>
      <c r="C584" s="48" t="s">
        <v>48</v>
      </c>
      <c r="D584" s="48" t="s">
        <v>49</v>
      </c>
      <c r="E584" s="39">
        <v>2</v>
      </c>
      <c r="F584" s="48" t="s">
        <v>183</v>
      </c>
      <c r="G584" s="48" t="s">
        <v>277</v>
      </c>
      <c r="H584" s="46" t="s">
        <v>7</v>
      </c>
      <c r="I584" s="49">
        <v>78</v>
      </c>
      <c r="J584" s="71">
        <v>195</v>
      </c>
      <c r="K584" s="37">
        <f t="shared" si="11"/>
        <v>15210</v>
      </c>
      <c r="L584" s="17"/>
    </row>
    <row r="585" spans="1:12" ht="26.4">
      <c r="A585" s="114">
        <v>8</v>
      </c>
      <c r="B585" s="47" t="s">
        <v>47</v>
      </c>
      <c r="C585" s="48" t="s">
        <v>48</v>
      </c>
      <c r="D585" s="48" t="s">
        <v>49</v>
      </c>
      <c r="E585" s="39">
        <v>2</v>
      </c>
      <c r="F585" s="48" t="s">
        <v>188</v>
      </c>
      <c r="G585" s="48" t="s">
        <v>277</v>
      </c>
      <c r="H585" s="46" t="s">
        <v>7</v>
      </c>
      <c r="I585" s="49">
        <v>6.8</v>
      </c>
      <c r="J585" s="71">
        <v>195</v>
      </c>
      <c r="K585" s="37">
        <f t="shared" si="11"/>
        <v>1326</v>
      </c>
      <c r="L585" s="17"/>
    </row>
    <row r="586" spans="1:12" ht="26.4">
      <c r="A586" s="114">
        <v>9</v>
      </c>
      <c r="B586" s="47" t="s">
        <v>47</v>
      </c>
      <c r="C586" s="48" t="s">
        <v>48</v>
      </c>
      <c r="D586" s="48" t="s">
        <v>49</v>
      </c>
      <c r="E586" s="39">
        <v>2</v>
      </c>
      <c r="F586" s="48" t="s">
        <v>197</v>
      </c>
      <c r="G586" s="48" t="s">
        <v>277</v>
      </c>
      <c r="H586" s="46" t="s">
        <v>7</v>
      </c>
      <c r="I586" s="49">
        <v>6.8</v>
      </c>
      <c r="J586" s="71">
        <v>195</v>
      </c>
      <c r="K586" s="37">
        <f t="shared" si="11"/>
        <v>1326</v>
      </c>
      <c r="L586" s="17"/>
    </row>
    <row r="587" spans="1:12" ht="26.4">
      <c r="A587" s="114">
        <v>10</v>
      </c>
      <c r="B587" s="47" t="s">
        <v>47</v>
      </c>
      <c r="C587" s="48" t="s">
        <v>48</v>
      </c>
      <c r="D587" s="48" t="s">
        <v>49</v>
      </c>
      <c r="E587" s="39">
        <v>2</v>
      </c>
      <c r="F587" s="48" t="s">
        <v>213</v>
      </c>
      <c r="G587" s="48" t="s">
        <v>277</v>
      </c>
      <c r="H587" s="46" t="s">
        <v>7</v>
      </c>
      <c r="I587" s="49">
        <v>3.3</v>
      </c>
      <c r="J587" s="71">
        <v>195</v>
      </c>
      <c r="K587" s="37">
        <f t="shared" si="11"/>
        <v>643.5</v>
      </c>
      <c r="L587" s="17"/>
    </row>
    <row r="588" spans="1:12" ht="26.4">
      <c r="A588" s="114">
        <v>11</v>
      </c>
      <c r="B588" s="47" t="s">
        <v>47</v>
      </c>
      <c r="C588" s="48" t="s">
        <v>48</v>
      </c>
      <c r="D588" s="48" t="s">
        <v>49</v>
      </c>
      <c r="E588" s="39">
        <v>2</v>
      </c>
      <c r="F588" s="48" t="s">
        <v>196</v>
      </c>
      <c r="G588" s="48" t="s">
        <v>277</v>
      </c>
      <c r="H588" s="46" t="s">
        <v>7</v>
      </c>
      <c r="I588" s="49">
        <v>2.7</v>
      </c>
      <c r="J588" s="71">
        <v>195</v>
      </c>
      <c r="K588" s="37">
        <f t="shared" si="11"/>
        <v>526.5</v>
      </c>
      <c r="L588" s="17"/>
    </row>
    <row r="589" spans="1:12" ht="26.4">
      <c r="A589" s="114">
        <v>12</v>
      </c>
      <c r="B589" s="47" t="s">
        <v>47</v>
      </c>
      <c r="C589" s="48" t="s">
        <v>48</v>
      </c>
      <c r="D589" s="48" t="s">
        <v>49</v>
      </c>
      <c r="E589" s="39">
        <v>2</v>
      </c>
      <c r="F589" s="48" t="s">
        <v>201</v>
      </c>
      <c r="G589" s="48" t="s">
        <v>277</v>
      </c>
      <c r="H589" s="46" t="s">
        <v>7</v>
      </c>
      <c r="I589" s="49">
        <v>2.7</v>
      </c>
      <c r="J589" s="71">
        <v>195</v>
      </c>
      <c r="K589" s="37">
        <f t="shared" si="11"/>
        <v>526.5</v>
      </c>
      <c r="L589" s="17"/>
    </row>
    <row r="590" spans="1:12" ht="26.4">
      <c r="A590" s="114">
        <v>13</v>
      </c>
      <c r="B590" s="47" t="s">
        <v>47</v>
      </c>
      <c r="C590" s="48" t="s">
        <v>48</v>
      </c>
      <c r="D590" s="48" t="s">
        <v>49</v>
      </c>
      <c r="E590" s="39">
        <v>1</v>
      </c>
      <c r="F590" s="48" t="s">
        <v>113</v>
      </c>
      <c r="G590" s="48" t="s">
        <v>277</v>
      </c>
      <c r="H590" s="46" t="s">
        <v>7</v>
      </c>
      <c r="I590" s="49">
        <v>100</v>
      </c>
      <c r="J590" s="71">
        <v>195</v>
      </c>
      <c r="K590" s="37">
        <f t="shared" si="11"/>
        <v>19500</v>
      </c>
      <c r="L590" s="17"/>
    </row>
    <row r="591" spans="1:12" ht="26.4">
      <c r="A591" s="114">
        <v>14</v>
      </c>
      <c r="B591" s="47" t="s">
        <v>47</v>
      </c>
      <c r="C591" s="48" t="s">
        <v>48</v>
      </c>
      <c r="D591" s="48" t="s">
        <v>49</v>
      </c>
      <c r="E591" s="39">
        <v>2</v>
      </c>
      <c r="F591" s="48" t="s">
        <v>192</v>
      </c>
      <c r="G591" s="48" t="s">
        <v>277</v>
      </c>
      <c r="H591" s="46" t="s">
        <v>7</v>
      </c>
      <c r="I591" s="49">
        <v>100</v>
      </c>
      <c r="J591" s="71">
        <v>195</v>
      </c>
      <c r="K591" s="37">
        <f t="shared" si="11"/>
        <v>19500</v>
      </c>
      <c r="L591" s="17"/>
    </row>
    <row r="592" spans="1:12" ht="26.4">
      <c r="A592" s="114">
        <v>15</v>
      </c>
      <c r="B592" s="47" t="s">
        <v>47</v>
      </c>
      <c r="C592" s="48" t="s">
        <v>48</v>
      </c>
      <c r="D592" s="48" t="s">
        <v>49</v>
      </c>
      <c r="E592" s="39">
        <v>3</v>
      </c>
      <c r="F592" s="48" t="s">
        <v>236</v>
      </c>
      <c r="G592" s="48" t="s">
        <v>277</v>
      </c>
      <c r="H592" s="46" t="s">
        <v>7</v>
      </c>
      <c r="I592" s="49">
        <v>100</v>
      </c>
      <c r="J592" s="71">
        <v>195</v>
      </c>
      <c r="K592" s="37">
        <f>J596*I592</f>
        <v>19500</v>
      </c>
      <c r="L592" s="17"/>
    </row>
    <row r="593" spans="1:12" ht="26.4">
      <c r="A593" s="114">
        <v>16</v>
      </c>
      <c r="B593" s="47" t="s">
        <v>47</v>
      </c>
      <c r="C593" s="48" t="s">
        <v>48</v>
      </c>
      <c r="D593" s="48" t="s">
        <v>49</v>
      </c>
      <c r="E593" s="39">
        <v>2</v>
      </c>
      <c r="F593" s="48" t="s">
        <v>182</v>
      </c>
      <c r="G593" s="48" t="s">
        <v>277</v>
      </c>
      <c r="H593" s="46" t="s">
        <v>7</v>
      </c>
      <c r="I593" s="49">
        <v>7.5</v>
      </c>
      <c r="J593" s="71">
        <v>195</v>
      </c>
      <c r="K593" s="37">
        <f t="shared" si="11"/>
        <v>1462.5</v>
      </c>
      <c r="L593" s="17"/>
    </row>
    <row r="594" spans="1:12" ht="26.4">
      <c r="A594" s="114">
        <v>17</v>
      </c>
      <c r="B594" s="47" t="s">
        <v>47</v>
      </c>
      <c r="C594" s="48" t="s">
        <v>48</v>
      </c>
      <c r="D594" s="48" t="s">
        <v>49</v>
      </c>
      <c r="E594" s="39">
        <v>2</v>
      </c>
      <c r="F594" s="48" t="s">
        <v>216</v>
      </c>
      <c r="G594" s="48" t="s">
        <v>277</v>
      </c>
      <c r="H594" s="46" t="s">
        <v>7</v>
      </c>
      <c r="I594" s="49">
        <v>150</v>
      </c>
      <c r="J594" s="71">
        <v>195</v>
      </c>
      <c r="K594" s="37">
        <f t="shared" si="11"/>
        <v>29250</v>
      </c>
      <c r="L594" s="17"/>
    </row>
    <row r="595" spans="1:12" ht="26.4">
      <c r="A595" s="114">
        <v>18</v>
      </c>
      <c r="B595" s="47" t="s">
        <v>47</v>
      </c>
      <c r="C595" s="48" t="s">
        <v>48</v>
      </c>
      <c r="D595" s="48" t="s">
        <v>49</v>
      </c>
      <c r="E595" s="39">
        <v>2</v>
      </c>
      <c r="F595" s="48" t="s">
        <v>182</v>
      </c>
      <c r="G595" s="48" t="s">
        <v>277</v>
      </c>
      <c r="H595" s="46" t="s">
        <v>7</v>
      </c>
      <c r="I595" s="49">
        <v>150</v>
      </c>
      <c r="J595" s="71">
        <v>195</v>
      </c>
      <c r="K595" s="37">
        <f t="shared" si="11"/>
        <v>29250</v>
      </c>
    </row>
    <row r="596" spans="1:12" ht="26.4">
      <c r="A596" s="114">
        <v>19</v>
      </c>
      <c r="B596" s="47" t="s">
        <v>47</v>
      </c>
      <c r="C596" s="48" t="s">
        <v>48</v>
      </c>
      <c r="D596" s="48" t="s">
        <v>49</v>
      </c>
      <c r="E596" s="39">
        <v>2</v>
      </c>
      <c r="F596" s="48" t="s">
        <v>188</v>
      </c>
      <c r="G596" s="48" t="s">
        <v>277</v>
      </c>
      <c r="H596" s="46" t="s">
        <v>7</v>
      </c>
      <c r="I596" s="49">
        <v>256</v>
      </c>
      <c r="J596" s="71">
        <v>195</v>
      </c>
      <c r="K596" s="37">
        <v>0</v>
      </c>
      <c r="L596" s="17"/>
    </row>
    <row r="597" spans="1:12" ht="26.4">
      <c r="A597" s="114">
        <v>20</v>
      </c>
      <c r="B597" s="47" t="s">
        <v>47</v>
      </c>
      <c r="C597" s="48" t="s">
        <v>48</v>
      </c>
      <c r="D597" s="48" t="s">
        <v>49</v>
      </c>
      <c r="E597" s="39">
        <v>3</v>
      </c>
      <c r="F597" s="48" t="s">
        <v>220</v>
      </c>
      <c r="G597" s="48" t="s">
        <v>277</v>
      </c>
      <c r="H597" s="46" t="s">
        <v>7</v>
      </c>
      <c r="I597" s="49">
        <v>76</v>
      </c>
      <c r="J597" s="71">
        <v>195</v>
      </c>
      <c r="K597" s="37">
        <f t="shared" si="11"/>
        <v>14820</v>
      </c>
      <c r="L597" s="17"/>
    </row>
    <row r="598" spans="1:12" ht="26.4">
      <c r="A598" s="114">
        <v>21</v>
      </c>
      <c r="B598" s="47" t="s">
        <v>47</v>
      </c>
      <c r="C598" s="48" t="s">
        <v>48</v>
      </c>
      <c r="D598" s="48" t="s">
        <v>49</v>
      </c>
      <c r="E598" s="39">
        <v>3</v>
      </c>
      <c r="F598" s="48" t="s">
        <v>221</v>
      </c>
      <c r="G598" s="48" t="s">
        <v>277</v>
      </c>
      <c r="H598" s="46" t="s">
        <v>7</v>
      </c>
      <c r="I598" s="49">
        <v>105</v>
      </c>
      <c r="J598" s="71">
        <v>195</v>
      </c>
      <c r="K598" s="37">
        <f t="shared" si="11"/>
        <v>20475</v>
      </c>
      <c r="L598" s="17"/>
    </row>
    <row r="599" spans="1:12" ht="26.4">
      <c r="A599" s="114">
        <v>22</v>
      </c>
      <c r="B599" s="47" t="s">
        <v>47</v>
      </c>
      <c r="C599" s="48" t="s">
        <v>48</v>
      </c>
      <c r="D599" s="48" t="s">
        <v>49</v>
      </c>
      <c r="E599" s="39">
        <v>3</v>
      </c>
      <c r="F599" s="48" t="s">
        <v>243</v>
      </c>
      <c r="G599" s="48" t="s">
        <v>277</v>
      </c>
      <c r="H599" s="46" t="s">
        <v>7</v>
      </c>
      <c r="I599" s="49">
        <v>6.8</v>
      </c>
      <c r="J599" s="71">
        <v>195</v>
      </c>
      <c r="K599" s="37">
        <v>0</v>
      </c>
      <c r="L599" s="17"/>
    </row>
    <row r="600" spans="1:12" ht="26.4">
      <c r="A600" s="114">
        <v>23</v>
      </c>
      <c r="B600" s="47" t="s">
        <v>47</v>
      </c>
      <c r="C600" s="48" t="s">
        <v>48</v>
      </c>
      <c r="D600" s="48" t="s">
        <v>49</v>
      </c>
      <c r="E600" s="39">
        <v>3</v>
      </c>
      <c r="F600" s="48" t="s">
        <v>248</v>
      </c>
      <c r="G600" s="48" t="s">
        <v>277</v>
      </c>
      <c r="H600" s="46" t="s">
        <v>7</v>
      </c>
      <c r="I600" s="49">
        <v>6.8</v>
      </c>
      <c r="J600" s="71">
        <v>195</v>
      </c>
      <c r="K600" s="37">
        <f t="shared" si="11"/>
        <v>1326</v>
      </c>
      <c r="L600" s="17"/>
    </row>
    <row r="601" spans="1:12" ht="26.4">
      <c r="A601" s="114">
        <v>24</v>
      </c>
      <c r="B601" s="47" t="s">
        <v>47</v>
      </c>
      <c r="C601" s="48" t="s">
        <v>48</v>
      </c>
      <c r="D601" s="48" t="s">
        <v>49</v>
      </c>
      <c r="E601" s="39">
        <v>3</v>
      </c>
      <c r="F601" s="48" t="s">
        <v>253</v>
      </c>
      <c r="G601" s="48" t="s">
        <v>277</v>
      </c>
      <c r="H601" s="46" t="s">
        <v>7</v>
      </c>
      <c r="I601" s="49">
        <v>3.3</v>
      </c>
      <c r="J601" s="71">
        <v>195</v>
      </c>
      <c r="K601" s="37">
        <f t="shared" si="11"/>
        <v>643.5</v>
      </c>
      <c r="L601" s="17"/>
    </row>
    <row r="602" spans="1:12" ht="26.4">
      <c r="A602" s="114">
        <v>25</v>
      </c>
      <c r="B602" s="47" t="s">
        <v>47</v>
      </c>
      <c r="C602" s="48" t="s">
        <v>48</v>
      </c>
      <c r="D602" s="48" t="s">
        <v>49</v>
      </c>
      <c r="E602" s="39">
        <v>3</v>
      </c>
      <c r="F602" s="48" t="s">
        <v>219</v>
      </c>
      <c r="G602" s="48" t="s">
        <v>277</v>
      </c>
      <c r="H602" s="46" t="s">
        <v>7</v>
      </c>
      <c r="I602" s="49">
        <v>100</v>
      </c>
      <c r="J602" s="71">
        <v>195</v>
      </c>
      <c r="K602" s="37">
        <f t="shared" si="11"/>
        <v>19500</v>
      </c>
      <c r="L602" s="17"/>
    </row>
    <row r="603" spans="1:12" ht="26.4">
      <c r="A603" s="114">
        <v>26</v>
      </c>
      <c r="B603" s="47" t="s">
        <v>47</v>
      </c>
      <c r="C603" s="48" t="s">
        <v>48</v>
      </c>
      <c r="D603" s="48" t="s">
        <v>49</v>
      </c>
      <c r="E603" s="39">
        <v>3</v>
      </c>
      <c r="F603" s="48" t="s">
        <v>225</v>
      </c>
      <c r="G603" s="48" t="s">
        <v>277</v>
      </c>
      <c r="H603" s="46" t="s">
        <v>7</v>
      </c>
      <c r="I603" s="49">
        <v>107</v>
      </c>
      <c r="J603" s="71">
        <v>195</v>
      </c>
      <c r="K603" s="37">
        <f t="shared" si="11"/>
        <v>20865</v>
      </c>
      <c r="L603" s="17"/>
    </row>
    <row r="604" spans="1:12" ht="26.4">
      <c r="A604" s="114">
        <v>27</v>
      </c>
      <c r="B604" s="47" t="s">
        <v>47</v>
      </c>
      <c r="C604" s="48" t="s">
        <v>48</v>
      </c>
      <c r="D604" s="48" t="s">
        <v>49</v>
      </c>
      <c r="E604" s="39">
        <v>3</v>
      </c>
      <c r="F604" s="48" t="s">
        <v>222</v>
      </c>
      <c r="G604" s="48" t="s">
        <v>277</v>
      </c>
      <c r="H604" s="46" t="s">
        <v>7</v>
      </c>
      <c r="I604" s="49">
        <v>106</v>
      </c>
      <c r="J604" s="71">
        <v>195</v>
      </c>
      <c r="K604" s="37">
        <f t="shared" si="11"/>
        <v>20670</v>
      </c>
      <c r="L604" s="17"/>
    </row>
    <row r="605" spans="1:12" ht="52.8">
      <c r="A605" s="114">
        <v>28</v>
      </c>
      <c r="B605" s="47" t="s">
        <v>47</v>
      </c>
      <c r="C605" s="48" t="s">
        <v>48</v>
      </c>
      <c r="D605" s="48" t="s">
        <v>49</v>
      </c>
      <c r="E605" s="39">
        <v>3</v>
      </c>
      <c r="F605" s="48" t="s">
        <v>271</v>
      </c>
      <c r="G605" s="48" t="s">
        <v>277</v>
      </c>
      <c r="H605" s="46" t="s">
        <v>7</v>
      </c>
      <c r="I605" s="49">
        <v>136</v>
      </c>
      <c r="J605" s="71">
        <v>195</v>
      </c>
      <c r="K605" s="37">
        <f t="shared" si="11"/>
        <v>26520</v>
      </c>
      <c r="L605" s="17"/>
    </row>
    <row r="606" spans="1:12" ht="26.4">
      <c r="A606" s="114">
        <v>29</v>
      </c>
      <c r="B606" s="47" t="s">
        <v>47</v>
      </c>
      <c r="C606" s="48" t="s">
        <v>48</v>
      </c>
      <c r="D606" s="48" t="s">
        <v>49</v>
      </c>
      <c r="E606" s="39">
        <v>3</v>
      </c>
      <c r="F606" s="48" t="s">
        <v>240</v>
      </c>
      <c r="G606" s="48" t="s">
        <v>277</v>
      </c>
      <c r="H606" s="46" t="s">
        <v>7</v>
      </c>
      <c r="I606" s="49">
        <v>3</v>
      </c>
      <c r="J606" s="71">
        <v>195</v>
      </c>
      <c r="K606" s="37">
        <f t="shared" si="11"/>
        <v>585</v>
      </c>
      <c r="L606" s="17"/>
    </row>
    <row r="607" spans="1:12" ht="26.4">
      <c r="A607" s="114">
        <v>30</v>
      </c>
      <c r="B607" s="47" t="s">
        <v>47</v>
      </c>
      <c r="C607" s="48" t="s">
        <v>48</v>
      </c>
      <c r="D607" s="48" t="s">
        <v>49</v>
      </c>
      <c r="E607" s="39">
        <v>3</v>
      </c>
      <c r="F607" s="48" t="s">
        <v>247</v>
      </c>
      <c r="G607" s="48" t="s">
        <v>277</v>
      </c>
      <c r="H607" s="46" t="s">
        <v>7</v>
      </c>
      <c r="I607" s="49">
        <v>3</v>
      </c>
      <c r="J607" s="71">
        <v>195</v>
      </c>
      <c r="K607" s="37">
        <f t="shared" si="11"/>
        <v>585</v>
      </c>
      <c r="L607" s="17"/>
    </row>
    <row r="608" spans="1:12" ht="26.4">
      <c r="A608" s="114">
        <v>31</v>
      </c>
      <c r="B608" s="47" t="s">
        <v>47</v>
      </c>
      <c r="C608" s="48" t="s">
        <v>48</v>
      </c>
      <c r="D608" s="48" t="s">
        <v>49</v>
      </c>
      <c r="E608" s="39">
        <v>3</v>
      </c>
      <c r="F608" s="48" t="s">
        <v>228</v>
      </c>
      <c r="G608" s="48" t="s">
        <v>277</v>
      </c>
      <c r="H608" s="46" t="s">
        <v>7</v>
      </c>
      <c r="I608" s="49">
        <v>41</v>
      </c>
      <c r="J608" s="71">
        <v>195</v>
      </c>
      <c r="K608" s="37">
        <f t="shared" si="11"/>
        <v>7995</v>
      </c>
      <c r="L608" s="17"/>
    </row>
    <row r="609" spans="1:12" ht="26.4">
      <c r="A609" s="114">
        <v>32</v>
      </c>
      <c r="B609" s="47" t="s">
        <v>47</v>
      </c>
      <c r="C609" s="48" t="s">
        <v>48</v>
      </c>
      <c r="D609" s="48" t="s">
        <v>49</v>
      </c>
      <c r="E609" s="39">
        <v>3</v>
      </c>
      <c r="F609" s="48" t="s">
        <v>223</v>
      </c>
      <c r="G609" s="48" t="s">
        <v>277</v>
      </c>
      <c r="H609" s="46" t="s">
        <v>7</v>
      </c>
      <c r="I609" s="49">
        <v>103</v>
      </c>
      <c r="J609" s="71">
        <v>195</v>
      </c>
      <c r="K609" s="37">
        <f t="shared" si="11"/>
        <v>20085</v>
      </c>
      <c r="L609" s="17"/>
    </row>
    <row r="610" spans="1:12" ht="26.4">
      <c r="A610" s="114">
        <v>33</v>
      </c>
      <c r="B610" s="47" t="s">
        <v>47</v>
      </c>
      <c r="C610" s="48" t="s">
        <v>48</v>
      </c>
      <c r="D610" s="48" t="s">
        <v>49</v>
      </c>
      <c r="E610" s="39">
        <v>1</v>
      </c>
      <c r="F610" s="48" t="s">
        <v>111</v>
      </c>
      <c r="G610" s="48" t="s">
        <v>277</v>
      </c>
      <c r="H610" s="46" t="s">
        <v>7</v>
      </c>
      <c r="I610" s="49">
        <v>85.3</v>
      </c>
      <c r="J610" s="71">
        <v>195</v>
      </c>
      <c r="K610" s="37">
        <f t="shared" si="11"/>
        <v>16633.5</v>
      </c>
      <c r="L610" s="17"/>
    </row>
    <row r="611" spans="1:12" ht="26.4">
      <c r="A611" s="114">
        <v>34</v>
      </c>
      <c r="B611" s="47" t="s">
        <v>47</v>
      </c>
      <c r="C611" s="48" t="s">
        <v>48</v>
      </c>
      <c r="D611" s="48" t="s">
        <v>49</v>
      </c>
      <c r="E611" s="39">
        <v>2</v>
      </c>
      <c r="F611" s="48" t="s">
        <v>189</v>
      </c>
      <c r="G611" s="48" t="s">
        <v>277</v>
      </c>
      <c r="H611" s="46" t="s">
        <v>7</v>
      </c>
      <c r="I611" s="49">
        <v>85.3</v>
      </c>
      <c r="J611" s="71">
        <v>195</v>
      </c>
      <c r="K611" s="37">
        <f t="shared" si="11"/>
        <v>16633.5</v>
      </c>
      <c r="L611" s="17"/>
    </row>
    <row r="612" spans="1:12" ht="26.4">
      <c r="A612" s="114">
        <v>35</v>
      </c>
      <c r="B612" s="47" t="s">
        <v>47</v>
      </c>
      <c r="C612" s="48" t="s">
        <v>48</v>
      </c>
      <c r="D612" s="48" t="s">
        <v>49</v>
      </c>
      <c r="E612" s="39">
        <v>3</v>
      </c>
      <c r="F612" s="48" t="s">
        <v>233</v>
      </c>
      <c r="G612" s="48" t="s">
        <v>277</v>
      </c>
      <c r="H612" s="46" t="s">
        <v>7</v>
      </c>
      <c r="I612" s="49">
        <v>85.3</v>
      </c>
      <c r="J612" s="71">
        <v>195</v>
      </c>
      <c r="K612" s="37">
        <f t="shared" si="11"/>
        <v>16633.5</v>
      </c>
      <c r="L612" s="17"/>
    </row>
    <row r="613" spans="1:12" ht="26.4">
      <c r="A613" s="114">
        <v>36</v>
      </c>
      <c r="B613" s="47" t="s">
        <v>47</v>
      </c>
      <c r="C613" s="48" t="s">
        <v>48</v>
      </c>
      <c r="D613" s="48" t="s">
        <v>49</v>
      </c>
      <c r="E613" s="39">
        <v>1</v>
      </c>
      <c r="F613" s="48" t="s">
        <v>141</v>
      </c>
      <c r="G613" s="48" t="s">
        <v>278</v>
      </c>
      <c r="H613" s="46" t="s">
        <v>7</v>
      </c>
      <c r="I613" s="49">
        <v>5</v>
      </c>
      <c r="J613" s="71">
        <v>195</v>
      </c>
      <c r="K613" s="37">
        <f t="shared" si="11"/>
        <v>975</v>
      </c>
      <c r="L613" s="17"/>
    </row>
    <row r="614" spans="1:12" ht="26.4">
      <c r="A614" s="114">
        <v>37</v>
      </c>
      <c r="B614" s="47" t="s">
        <v>47</v>
      </c>
      <c r="C614" s="48" t="s">
        <v>48</v>
      </c>
      <c r="D614" s="48" t="s">
        <v>49</v>
      </c>
      <c r="E614" s="39">
        <v>1</v>
      </c>
      <c r="F614" s="48" t="s">
        <v>109</v>
      </c>
      <c r="G614" s="48" t="s">
        <v>278</v>
      </c>
      <c r="H614" s="46" t="s">
        <v>7</v>
      </c>
      <c r="I614" s="49">
        <v>17.600000000000001</v>
      </c>
      <c r="J614" s="71">
        <v>195</v>
      </c>
      <c r="K614" s="37">
        <f t="shared" si="11"/>
        <v>3432.0000000000005</v>
      </c>
      <c r="L614" s="17"/>
    </row>
    <row r="615" spans="1:12" ht="26.4">
      <c r="A615" s="114">
        <v>38</v>
      </c>
      <c r="B615" s="47" t="s">
        <v>47</v>
      </c>
      <c r="C615" s="48" t="s">
        <v>48</v>
      </c>
      <c r="D615" s="48" t="s">
        <v>49</v>
      </c>
      <c r="E615" s="39">
        <v>1</v>
      </c>
      <c r="F615" s="48" t="s">
        <v>113</v>
      </c>
      <c r="G615" s="48" t="s">
        <v>278</v>
      </c>
      <c r="H615" s="46" t="s">
        <v>7</v>
      </c>
      <c r="I615" s="49">
        <v>100</v>
      </c>
      <c r="J615" s="71">
        <v>195</v>
      </c>
      <c r="K615" s="37">
        <f t="shared" si="11"/>
        <v>19500</v>
      </c>
      <c r="L615" s="17"/>
    </row>
    <row r="616" spans="1:12" ht="26.4">
      <c r="A616" s="114">
        <v>39</v>
      </c>
      <c r="B616" s="47" t="s">
        <v>47</v>
      </c>
      <c r="C616" s="48" t="s">
        <v>48</v>
      </c>
      <c r="D616" s="48" t="s">
        <v>49</v>
      </c>
      <c r="E616" s="39">
        <v>2</v>
      </c>
      <c r="F616" s="48" t="s">
        <v>192</v>
      </c>
      <c r="G616" s="48" t="s">
        <v>278</v>
      </c>
      <c r="H616" s="46" t="s">
        <v>7</v>
      </c>
      <c r="I616" s="49">
        <v>100</v>
      </c>
      <c r="J616" s="71">
        <v>195</v>
      </c>
      <c r="K616" s="37">
        <f t="shared" si="11"/>
        <v>19500</v>
      </c>
      <c r="L616" s="17"/>
    </row>
    <row r="617" spans="1:12" ht="26.4">
      <c r="A617" s="114">
        <v>40</v>
      </c>
      <c r="B617" s="47" t="s">
        <v>47</v>
      </c>
      <c r="C617" s="48" t="s">
        <v>48</v>
      </c>
      <c r="D617" s="48" t="s">
        <v>49</v>
      </c>
      <c r="E617" s="39">
        <v>3</v>
      </c>
      <c r="F617" s="48" t="s">
        <v>236</v>
      </c>
      <c r="G617" s="48" t="s">
        <v>278</v>
      </c>
      <c r="H617" s="46" t="s">
        <v>7</v>
      </c>
      <c r="I617" s="49">
        <v>100</v>
      </c>
      <c r="J617" s="71">
        <v>195</v>
      </c>
      <c r="K617" s="37">
        <f t="shared" si="11"/>
        <v>19500</v>
      </c>
      <c r="L617" s="17"/>
    </row>
    <row r="618" spans="1:12" ht="26.4">
      <c r="A618" s="114">
        <v>41</v>
      </c>
      <c r="B618" s="47" t="s">
        <v>47</v>
      </c>
      <c r="C618" s="48" t="s">
        <v>48</v>
      </c>
      <c r="D618" s="48" t="s">
        <v>49</v>
      </c>
      <c r="E618" s="39">
        <v>3</v>
      </c>
      <c r="F618" s="48" t="s">
        <v>235</v>
      </c>
      <c r="G618" s="48" t="s">
        <v>278</v>
      </c>
      <c r="H618" s="46" t="s">
        <v>7</v>
      </c>
      <c r="I618" s="49">
        <v>115</v>
      </c>
      <c r="J618" s="71">
        <v>195</v>
      </c>
      <c r="K618" s="37">
        <f t="shared" si="11"/>
        <v>22425</v>
      </c>
      <c r="L618" s="17"/>
    </row>
    <row r="619" spans="1:12" ht="26.4">
      <c r="A619" s="114">
        <v>42</v>
      </c>
      <c r="B619" s="47" t="s">
        <v>47</v>
      </c>
      <c r="C619" s="48" t="s">
        <v>48</v>
      </c>
      <c r="D619" s="48" t="s">
        <v>49</v>
      </c>
      <c r="E619" s="39">
        <v>3</v>
      </c>
      <c r="F619" s="48" t="s">
        <v>246</v>
      </c>
      <c r="G619" s="48" t="s">
        <v>278</v>
      </c>
      <c r="H619" s="46" t="s">
        <v>7</v>
      </c>
      <c r="I619" s="49">
        <v>38</v>
      </c>
      <c r="J619" s="71">
        <v>195</v>
      </c>
      <c r="K619" s="37">
        <f t="shared" si="11"/>
        <v>7410</v>
      </c>
      <c r="L619" s="17"/>
    </row>
    <row r="620" spans="1:12" ht="26.4">
      <c r="A620" s="114">
        <v>43</v>
      </c>
      <c r="B620" s="47" t="s">
        <v>47</v>
      </c>
      <c r="C620" s="48" t="s">
        <v>48</v>
      </c>
      <c r="D620" s="48" t="s">
        <v>49</v>
      </c>
      <c r="E620" s="39">
        <v>3</v>
      </c>
      <c r="F620" s="48" t="s">
        <v>221</v>
      </c>
      <c r="G620" s="48" t="s">
        <v>278</v>
      </c>
      <c r="H620" s="46" t="s">
        <v>7</v>
      </c>
      <c r="I620" s="49">
        <v>41.3</v>
      </c>
      <c r="J620" s="71">
        <v>195</v>
      </c>
      <c r="K620" s="37">
        <f t="shared" si="11"/>
        <v>8053.4999999999991</v>
      </c>
      <c r="L620" s="17"/>
    </row>
    <row r="621" spans="1:12" ht="26.4">
      <c r="A621" s="114">
        <v>44</v>
      </c>
      <c r="B621" s="47" t="s">
        <v>47</v>
      </c>
      <c r="C621" s="48" t="s">
        <v>48</v>
      </c>
      <c r="D621" s="48" t="s">
        <v>49</v>
      </c>
      <c r="E621" s="39">
        <v>3</v>
      </c>
      <c r="F621" s="48" t="s">
        <v>259</v>
      </c>
      <c r="G621" s="48" t="s">
        <v>278</v>
      </c>
      <c r="H621" s="46" t="s">
        <v>7</v>
      </c>
      <c r="I621" s="49">
        <v>51</v>
      </c>
      <c r="J621" s="71">
        <v>195</v>
      </c>
      <c r="K621" s="37">
        <f t="shared" si="11"/>
        <v>9945</v>
      </c>
      <c r="L621" s="17"/>
    </row>
    <row r="622" spans="1:12" ht="26.4">
      <c r="A622" s="114">
        <v>45</v>
      </c>
      <c r="B622" s="47" t="s">
        <v>47</v>
      </c>
      <c r="C622" s="48" t="s">
        <v>48</v>
      </c>
      <c r="D622" s="48" t="s">
        <v>49</v>
      </c>
      <c r="E622" s="39">
        <v>3</v>
      </c>
      <c r="F622" s="48" t="s">
        <v>219</v>
      </c>
      <c r="G622" s="48" t="s">
        <v>278</v>
      </c>
      <c r="H622" s="46" t="s">
        <v>7</v>
      </c>
      <c r="I622" s="49">
        <v>5</v>
      </c>
      <c r="J622" s="71">
        <v>195</v>
      </c>
      <c r="K622" s="37">
        <f t="shared" si="11"/>
        <v>975</v>
      </c>
      <c r="L622" s="17"/>
    </row>
    <row r="623" spans="1:12" ht="26.4">
      <c r="A623" s="114">
        <v>46</v>
      </c>
      <c r="B623" s="47" t="s">
        <v>47</v>
      </c>
      <c r="C623" s="48" t="s">
        <v>48</v>
      </c>
      <c r="D623" s="48" t="s">
        <v>49</v>
      </c>
      <c r="E623" s="39">
        <v>3</v>
      </c>
      <c r="F623" s="48" t="s">
        <v>225</v>
      </c>
      <c r="G623" s="48" t="s">
        <v>278</v>
      </c>
      <c r="H623" s="46" t="s">
        <v>7</v>
      </c>
      <c r="I623" s="49">
        <v>11</v>
      </c>
      <c r="J623" s="71">
        <v>195</v>
      </c>
      <c r="K623" s="37">
        <f t="shared" si="11"/>
        <v>2145</v>
      </c>
      <c r="L623" s="17"/>
    </row>
    <row r="624" spans="1:12" ht="26.4">
      <c r="A624" s="114">
        <v>47</v>
      </c>
      <c r="B624" s="47" t="s">
        <v>47</v>
      </c>
      <c r="C624" s="48" t="s">
        <v>48</v>
      </c>
      <c r="D624" s="48" t="s">
        <v>49</v>
      </c>
      <c r="E624" s="39">
        <v>3</v>
      </c>
      <c r="F624" s="48" t="s">
        <v>222</v>
      </c>
      <c r="G624" s="48" t="s">
        <v>278</v>
      </c>
      <c r="H624" s="46" t="s">
        <v>7</v>
      </c>
      <c r="I624" s="49">
        <v>27.5</v>
      </c>
      <c r="J624" s="71">
        <v>195</v>
      </c>
      <c r="K624" s="37">
        <f t="shared" si="11"/>
        <v>5362.5</v>
      </c>
      <c r="L624" s="17"/>
    </row>
    <row r="625" spans="1:12" ht="52.8">
      <c r="A625" s="114">
        <v>48</v>
      </c>
      <c r="B625" s="47" t="s">
        <v>47</v>
      </c>
      <c r="C625" s="48" t="s">
        <v>48</v>
      </c>
      <c r="D625" s="48" t="s">
        <v>49</v>
      </c>
      <c r="E625" s="39">
        <v>3</v>
      </c>
      <c r="F625" s="48" t="s">
        <v>271</v>
      </c>
      <c r="G625" s="48" t="s">
        <v>278</v>
      </c>
      <c r="H625" s="46" t="s">
        <v>7</v>
      </c>
      <c r="I625" s="49">
        <v>19.5</v>
      </c>
      <c r="J625" s="71">
        <v>195</v>
      </c>
      <c r="K625" s="37">
        <f t="shared" si="11"/>
        <v>3802.5</v>
      </c>
      <c r="L625" s="17"/>
    </row>
    <row r="626" spans="1:12" ht="26.4">
      <c r="A626" s="114">
        <v>49</v>
      </c>
      <c r="B626" s="47" t="s">
        <v>47</v>
      </c>
      <c r="C626" s="48" t="s">
        <v>48</v>
      </c>
      <c r="D626" s="48" t="s">
        <v>49</v>
      </c>
      <c r="E626" s="39">
        <v>3</v>
      </c>
      <c r="F626" s="48" t="s">
        <v>228</v>
      </c>
      <c r="G626" s="48" t="s">
        <v>278</v>
      </c>
      <c r="H626" s="46" t="s">
        <v>7</v>
      </c>
      <c r="I626" s="49">
        <v>41</v>
      </c>
      <c r="J626" s="71">
        <v>195</v>
      </c>
      <c r="K626" s="37">
        <f t="shared" si="11"/>
        <v>7995</v>
      </c>
      <c r="L626" s="17"/>
    </row>
    <row r="627" spans="1:12" ht="26.4">
      <c r="A627" s="114">
        <v>50</v>
      </c>
      <c r="B627" s="47" t="s">
        <v>47</v>
      </c>
      <c r="C627" s="48" t="s">
        <v>48</v>
      </c>
      <c r="D627" s="48" t="s">
        <v>49</v>
      </c>
      <c r="E627" s="39">
        <v>3</v>
      </c>
      <c r="F627" s="48" t="s">
        <v>223</v>
      </c>
      <c r="G627" s="48" t="s">
        <v>278</v>
      </c>
      <c r="H627" s="46" t="s">
        <v>7</v>
      </c>
      <c r="I627" s="49">
        <v>31</v>
      </c>
      <c r="J627" s="71">
        <v>195</v>
      </c>
      <c r="K627" s="37">
        <f t="shared" si="11"/>
        <v>6045</v>
      </c>
      <c r="L627" s="17"/>
    </row>
    <row r="628" spans="1:12" ht="39.6">
      <c r="A628" s="114">
        <v>51</v>
      </c>
      <c r="B628" s="47" t="s">
        <v>47</v>
      </c>
      <c r="C628" s="48" t="s">
        <v>48</v>
      </c>
      <c r="D628" s="48" t="s">
        <v>49</v>
      </c>
      <c r="E628" s="39">
        <v>1</v>
      </c>
      <c r="F628" s="48" t="s">
        <v>144</v>
      </c>
      <c r="G628" s="48" t="s">
        <v>9</v>
      </c>
      <c r="H628" s="46" t="s">
        <v>7</v>
      </c>
      <c r="I628" s="49">
        <v>2.7</v>
      </c>
      <c r="J628" s="71">
        <v>195</v>
      </c>
      <c r="K628" s="37">
        <f t="shared" si="11"/>
        <v>526.5</v>
      </c>
      <c r="L628" s="17"/>
    </row>
    <row r="629" spans="1:12" ht="39.6">
      <c r="A629" s="114">
        <v>52</v>
      </c>
      <c r="B629" s="47" t="s">
        <v>47</v>
      </c>
      <c r="C629" s="48" t="s">
        <v>48</v>
      </c>
      <c r="D629" s="48" t="s">
        <v>49</v>
      </c>
      <c r="E629" s="39">
        <v>1</v>
      </c>
      <c r="F629" s="48" t="s">
        <v>160</v>
      </c>
      <c r="G629" s="48" t="s">
        <v>6</v>
      </c>
      <c r="H629" s="46" t="s">
        <v>7</v>
      </c>
      <c r="I629" s="49">
        <v>3.5</v>
      </c>
      <c r="J629" s="71">
        <v>585</v>
      </c>
      <c r="K629" s="37">
        <f t="shared" si="11"/>
        <v>2047.5</v>
      </c>
      <c r="L629" s="17"/>
    </row>
    <row r="630" spans="1:12" ht="39.6">
      <c r="A630" s="114">
        <v>53</v>
      </c>
      <c r="B630" s="47" t="s">
        <v>47</v>
      </c>
      <c r="C630" s="48" t="s">
        <v>48</v>
      </c>
      <c r="D630" s="48" t="s">
        <v>49</v>
      </c>
      <c r="E630" s="39">
        <v>1</v>
      </c>
      <c r="F630" s="48" t="s">
        <v>145</v>
      </c>
      <c r="G630" s="48" t="s">
        <v>6</v>
      </c>
      <c r="H630" s="46" t="s">
        <v>7</v>
      </c>
      <c r="I630" s="49">
        <v>6.8</v>
      </c>
      <c r="J630" s="71">
        <v>585</v>
      </c>
      <c r="K630" s="37">
        <f t="shared" si="11"/>
        <v>3978</v>
      </c>
      <c r="L630" s="17"/>
    </row>
    <row r="631" spans="1:12" ht="39.6">
      <c r="A631" s="114">
        <v>54</v>
      </c>
      <c r="B631" s="47" t="s">
        <v>47</v>
      </c>
      <c r="C631" s="48" t="s">
        <v>48</v>
      </c>
      <c r="D631" s="48" t="s">
        <v>49</v>
      </c>
      <c r="E631" s="39">
        <v>1</v>
      </c>
      <c r="F631" s="48" t="s">
        <v>156</v>
      </c>
      <c r="G631" s="48" t="s">
        <v>6</v>
      </c>
      <c r="H631" s="46" t="s">
        <v>7</v>
      </c>
      <c r="I631" s="49">
        <v>2.7</v>
      </c>
      <c r="J631" s="71">
        <v>585</v>
      </c>
      <c r="K631" s="37">
        <f t="shared" si="11"/>
        <v>1579.5</v>
      </c>
      <c r="L631" s="17"/>
    </row>
    <row r="632" spans="1:12" ht="39.6">
      <c r="A632" s="114">
        <v>55</v>
      </c>
      <c r="B632" s="47" t="s">
        <v>47</v>
      </c>
      <c r="C632" s="48" t="s">
        <v>48</v>
      </c>
      <c r="D632" s="48" t="s">
        <v>49</v>
      </c>
      <c r="E632" s="39">
        <v>1</v>
      </c>
      <c r="F632" s="48" t="s">
        <v>141</v>
      </c>
      <c r="G632" s="48" t="s">
        <v>6</v>
      </c>
      <c r="H632" s="46" t="s">
        <v>7</v>
      </c>
      <c r="I632" s="49">
        <v>5</v>
      </c>
      <c r="J632" s="71">
        <v>585</v>
      </c>
      <c r="K632" s="37">
        <f t="shared" si="11"/>
        <v>2925</v>
      </c>
      <c r="L632" s="17"/>
    </row>
    <row r="633" spans="1:12" ht="39.6">
      <c r="A633" s="114">
        <v>56</v>
      </c>
      <c r="B633" s="47" t="s">
        <v>47</v>
      </c>
      <c r="C633" s="48" t="s">
        <v>48</v>
      </c>
      <c r="D633" s="48" t="s">
        <v>49</v>
      </c>
      <c r="E633" s="39">
        <v>1</v>
      </c>
      <c r="F633" s="48" t="s">
        <v>109</v>
      </c>
      <c r="G633" s="48" t="s">
        <v>6</v>
      </c>
      <c r="H633" s="46" t="s">
        <v>7</v>
      </c>
      <c r="I633" s="49">
        <v>17.600000000000001</v>
      </c>
      <c r="J633" s="71">
        <v>585</v>
      </c>
      <c r="K633" s="37">
        <f t="shared" si="11"/>
        <v>10296</v>
      </c>
      <c r="L633" s="17"/>
    </row>
    <row r="634" spans="1:12" ht="39.6">
      <c r="A634" s="114">
        <v>57</v>
      </c>
      <c r="B634" s="47" t="s">
        <v>47</v>
      </c>
      <c r="C634" s="48" t="s">
        <v>48</v>
      </c>
      <c r="D634" s="48" t="s">
        <v>49</v>
      </c>
      <c r="E634" s="39">
        <v>1</v>
      </c>
      <c r="F634" s="48" t="s">
        <v>113</v>
      </c>
      <c r="G634" s="48" t="s">
        <v>6</v>
      </c>
      <c r="H634" s="46" t="s">
        <v>7</v>
      </c>
      <c r="I634" s="49">
        <v>7</v>
      </c>
      <c r="J634" s="71">
        <v>585</v>
      </c>
      <c r="K634" s="37">
        <f t="shared" si="11"/>
        <v>4095</v>
      </c>
      <c r="L634" s="17"/>
    </row>
    <row r="635" spans="1:12" ht="39.6">
      <c r="A635" s="114">
        <v>58</v>
      </c>
      <c r="B635" s="47" t="s">
        <v>47</v>
      </c>
      <c r="C635" s="48" t="s">
        <v>48</v>
      </c>
      <c r="D635" s="48" t="s">
        <v>49</v>
      </c>
      <c r="E635" s="39">
        <v>2</v>
      </c>
      <c r="F635" s="48" t="s">
        <v>192</v>
      </c>
      <c r="G635" s="48" t="s">
        <v>6</v>
      </c>
      <c r="H635" s="46" t="s">
        <v>7</v>
      </c>
      <c r="I635" s="49">
        <v>7</v>
      </c>
      <c r="J635" s="71">
        <v>585</v>
      </c>
      <c r="K635" s="37">
        <f t="shared" si="11"/>
        <v>4095</v>
      </c>
      <c r="L635" s="17"/>
    </row>
    <row r="636" spans="1:12" ht="39.6">
      <c r="A636" s="114">
        <v>59</v>
      </c>
      <c r="B636" s="47" t="s">
        <v>47</v>
      </c>
      <c r="C636" s="48" t="s">
        <v>48</v>
      </c>
      <c r="D636" s="48" t="s">
        <v>49</v>
      </c>
      <c r="E636" s="39">
        <v>3</v>
      </c>
      <c r="F636" s="48" t="s">
        <v>236</v>
      </c>
      <c r="G636" s="48" t="s">
        <v>6</v>
      </c>
      <c r="H636" s="46" t="s">
        <v>7</v>
      </c>
      <c r="I636" s="49">
        <v>7</v>
      </c>
      <c r="J636" s="71">
        <v>585</v>
      </c>
      <c r="K636" s="37">
        <f t="shared" si="11"/>
        <v>4095</v>
      </c>
      <c r="L636" s="17"/>
    </row>
    <row r="637" spans="1:12" ht="39.6">
      <c r="A637" s="114">
        <v>60</v>
      </c>
      <c r="B637" s="47" t="s">
        <v>47</v>
      </c>
      <c r="C637" s="48" t="s">
        <v>48</v>
      </c>
      <c r="D637" s="48" t="s">
        <v>49</v>
      </c>
      <c r="E637" s="39">
        <v>1</v>
      </c>
      <c r="F637" s="48" t="s">
        <v>114</v>
      </c>
      <c r="G637" s="48" t="s">
        <v>6</v>
      </c>
      <c r="H637" s="46" t="s">
        <v>7</v>
      </c>
      <c r="I637" s="49">
        <v>13.5</v>
      </c>
      <c r="J637" s="71">
        <v>585</v>
      </c>
      <c r="K637" s="37">
        <f t="shared" si="11"/>
        <v>7897.5</v>
      </c>
      <c r="L637" s="17"/>
    </row>
    <row r="638" spans="1:12" ht="39.6">
      <c r="A638" s="114">
        <v>61</v>
      </c>
      <c r="B638" s="47" t="s">
        <v>47</v>
      </c>
      <c r="C638" s="48" t="s">
        <v>48</v>
      </c>
      <c r="D638" s="48" t="s">
        <v>49</v>
      </c>
      <c r="E638" s="39">
        <v>2</v>
      </c>
      <c r="F638" s="48" t="s">
        <v>188</v>
      </c>
      <c r="G638" s="48" t="s">
        <v>6</v>
      </c>
      <c r="H638" s="46" t="s">
        <v>7</v>
      </c>
      <c r="I638" s="49">
        <v>6.8</v>
      </c>
      <c r="J638" s="71">
        <v>585</v>
      </c>
      <c r="K638" s="37">
        <f t="shared" si="11"/>
        <v>3978</v>
      </c>
      <c r="L638" s="17"/>
    </row>
    <row r="639" spans="1:12" ht="39.6">
      <c r="A639" s="114">
        <v>62</v>
      </c>
      <c r="B639" s="47" t="s">
        <v>47</v>
      </c>
      <c r="C639" s="48" t="s">
        <v>48</v>
      </c>
      <c r="D639" s="48" t="s">
        <v>49</v>
      </c>
      <c r="E639" s="39">
        <v>2</v>
      </c>
      <c r="F639" s="48" t="s">
        <v>197</v>
      </c>
      <c r="G639" s="48" t="s">
        <v>6</v>
      </c>
      <c r="H639" s="46" t="s">
        <v>7</v>
      </c>
      <c r="I639" s="49">
        <v>6.8</v>
      </c>
      <c r="J639" s="71">
        <v>585</v>
      </c>
      <c r="K639" s="37">
        <f t="shared" si="11"/>
        <v>3978</v>
      </c>
      <c r="L639" s="17"/>
    </row>
    <row r="640" spans="1:12" ht="39.6">
      <c r="A640" s="114">
        <v>63</v>
      </c>
      <c r="B640" s="47" t="s">
        <v>47</v>
      </c>
      <c r="C640" s="48" t="s">
        <v>48</v>
      </c>
      <c r="D640" s="48" t="s">
        <v>49</v>
      </c>
      <c r="E640" s="39">
        <v>2</v>
      </c>
      <c r="F640" s="48" t="s">
        <v>196</v>
      </c>
      <c r="G640" s="48" t="s">
        <v>6</v>
      </c>
      <c r="H640" s="46" t="s">
        <v>7</v>
      </c>
      <c r="I640" s="49">
        <v>2.7</v>
      </c>
      <c r="J640" s="71">
        <v>585</v>
      </c>
      <c r="K640" s="37">
        <f t="shared" si="11"/>
        <v>1579.5</v>
      </c>
      <c r="L640" s="17"/>
    </row>
    <row r="641" spans="1:12" ht="39.6">
      <c r="A641" s="114">
        <v>64</v>
      </c>
      <c r="B641" s="47" t="s">
        <v>47</v>
      </c>
      <c r="C641" s="48" t="s">
        <v>48</v>
      </c>
      <c r="D641" s="48" t="s">
        <v>49</v>
      </c>
      <c r="E641" s="39">
        <v>2</v>
      </c>
      <c r="F641" s="48" t="s">
        <v>201</v>
      </c>
      <c r="G641" s="48" t="s">
        <v>6</v>
      </c>
      <c r="H641" s="46" t="s">
        <v>7</v>
      </c>
      <c r="I641" s="49">
        <v>2.7</v>
      </c>
      <c r="J641" s="71">
        <v>585</v>
      </c>
      <c r="K641" s="37">
        <f t="shared" si="11"/>
        <v>1579.5</v>
      </c>
      <c r="L641" s="17"/>
    </row>
    <row r="642" spans="1:12" ht="39.6">
      <c r="A642" s="114">
        <v>65</v>
      </c>
      <c r="B642" s="47" t="s">
        <v>47</v>
      </c>
      <c r="C642" s="48" t="s">
        <v>48</v>
      </c>
      <c r="D642" s="48" t="s">
        <v>49</v>
      </c>
      <c r="E642" s="39">
        <v>2</v>
      </c>
      <c r="F642" s="48" t="s">
        <v>182</v>
      </c>
      <c r="G642" s="48" t="s">
        <v>6</v>
      </c>
      <c r="H642" s="46" t="s">
        <v>7</v>
      </c>
      <c r="I642" s="49">
        <v>15</v>
      </c>
      <c r="J642" s="71">
        <v>585</v>
      </c>
      <c r="K642" s="37">
        <f t="shared" si="11"/>
        <v>8775</v>
      </c>
      <c r="L642" s="17"/>
    </row>
    <row r="643" spans="1:12" ht="39.6">
      <c r="A643" s="114">
        <v>66</v>
      </c>
      <c r="B643" s="47" t="s">
        <v>47</v>
      </c>
      <c r="C643" s="48" t="s">
        <v>48</v>
      </c>
      <c r="D643" s="48" t="s">
        <v>49</v>
      </c>
      <c r="E643" s="39">
        <v>2</v>
      </c>
      <c r="F643" s="48" t="s">
        <v>193</v>
      </c>
      <c r="G643" s="48" t="s">
        <v>6</v>
      </c>
      <c r="H643" s="46" t="s">
        <v>7</v>
      </c>
      <c r="I643" s="49">
        <v>13.5</v>
      </c>
      <c r="J643" s="71">
        <v>585</v>
      </c>
      <c r="K643" s="37">
        <f t="shared" si="11"/>
        <v>7897.5</v>
      </c>
      <c r="L643" s="17"/>
    </row>
    <row r="644" spans="1:12" ht="39.6">
      <c r="A644" s="114">
        <v>67</v>
      </c>
      <c r="B644" s="47" t="s">
        <v>47</v>
      </c>
      <c r="C644" s="48" t="s">
        <v>48</v>
      </c>
      <c r="D644" s="48" t="s">
        <v>49</v>
      </c>
      <c r="E644" s="39">
        <v>3</v>
      </c>
      <c r="F644" s="48" t="s">
        <v>235</v>
      </c>
      <c r="G644" s="48" t="s">
        <v>6</v>
      </c>
      <c r="H644" s="46" t="s">
        <v>7</v>
      </c>
      <c r="I644" s="49">
        <v>77.5</v>
      </c>
      <c r="J644" s="71">
        <v>585</v>
      </c>
      <c r="K644" s="37">
        <f t="shared" si="11"/>
        <v>45337.5</v>
      </c>
      <c r="L644" s="17"/>
    </row>
    <row r="645" spans="1:12" ht="39.6">
      <c r="A645" s="114">
        <v>68</v>
      </c>
      <c r="B645" s="47" t="s">
        <v>47</v>
      </c>
      <c r="C645" s="48" t="s">
        <v>48</v>
      </c>
      <c r="D645" s="48" t="s">
        <v>49</v>
      </c>
      <c r="E645" s="39">
        <v>3</v>
      </c>
      <c r="F645" s="48" t="s">
        <v>221</v>
      </c>
      <c r="G645" s="48" t="s">
        <v>6</v>
      </c>
      <c r="H645" s="46" t="s">
        <v>7</v>
      </c>
      <c r="I645" s="49">
        <v>23.7</v>
      </c>
      <c r="J645" s="71">
        <v>585</v>
      </c>
      <c r="K645" s="37">
        <f t="shared" si="11"/>
        <v>13864.5</v>
      </c>
      <c r="L645" s="17"/>
    </row>
    <row r="646" spans="1:12" ht="39.6">
      <c r="A646" s="114">
        <v>69</v>
      </c>
      <c r="B646" s="47" t="s">
        <v>47</v>
      </c>
      <c r="C646" s="48" t="s">
        <v>48</v>
      </c>
      <c r="D646" s="48" t="s">
        <v>49</v>
      </c>
      <c r="E646" s="39">
        <v>3</v>
      </c>
      <c r="F646" s="48" t="s">
        <v>220</v>
      </c>
      <c r="G646" s="48" t="s">
        <v>6</v>
      </c>
      <c r="H646" s="46" t="s">
        <v>7</v>
      </c>
      <c r="I646" s="49">
        <v>33.5</v>
      </c>
      <c r="J646" s="71">
        <v>585</v>
      </c>
      <c r="K646" s="37">
        <f t="shared" ref="K646:K678" si="12">J646*I646</f>
        <v>19597.5</v>
      </c>
      <c r="L646" s="17"/>
    </row>
    <row r="647" spans="1:12" ht="39.6">
      <c r="A647" s="114">
        <v>70</v>
      </c>
      <c r="B647" s="47" t="s">
        <v>47</v>
      </c>
      <c r="C647" s="48" t="s">
        <v>48</v>
      </c>
      <c r="D647" s="48" t="s">
        <v>49</v>
      </c>
      <c r="E647" s="39">
        <v>3</v>
      </c>
      <c r="F647" s="48" t="s">
        <v>259</v>
      </c>
      <c r="G647" s="48" t="s">
        <v>6</v>
      </c>
      <c r="H647" s="46" t="s">
        <v>7</v>
      </c>
      <c r="I647" s="49">
        <v>36</v>
      </c>
      <c r="J647" s="71">
        <v>585</v>
      </c>
      <c r="K647" s="37">
        <f t="shared" si="12"/>
        <v>21060</v>
      </c>
      <c r="L647" s="17"/>
    </row>
    <row r="648" spans="1:12" ht="39.6">
      <c r="A648" s="114">
        <v>71</v>
      </c>
      <c r="B648" s="47" t="s">
        <v>47</v>
      </c>
      <c r="C648" s="48" t="s">
        <v>48</v>
      </c>
      <c r="D648" s="48" t="s">
        <v>49</v>
      </c>
      <c r="E648" s="39">
        <v>3</v>
      </c>
      <c r="F648" s="48" t="s">
        <v>243</v>
      </c>
      <c r="G648" s="48" t="s">
        <v>6</v>
      </c>
      <c r="H648" s="46" t="s">
        <v>7</v>
      </c>
      <c r="I648" s="49">
        <v>6.8</v>
      </c>
      <c r="J648" s="71">
        <v>585</v>
      </c>
      <c r="K648" s="37">
        <f t="shared" si="12"/>
        <v>3978</v>
      </c>
      <c r="L648" s="17"/>
    </row>
    <row r="649" spans="1:12" ht="39.6">
      <c r="A649" s="114">
        <v>72</v>
      </c>
      <c r="B649" s="47" t="s">
        <v>47</v>
      </c>
      <c r="C649" s="48" t="s">
        <v>48</v>
      </c>
      <c r="D649" s="48" t="s">
        <v>49</v>
      </c>
      <c r="E649" s="39">
        <v>3</v>
      </c>
      <c r="F649" s="48" t="s">
        <v>248</v>
      </c>
      <c r="G649" s="48" t="s">
        <v>6</v>
      </c>
      <c r="H649" s="46" t="s">
        <v>7</v>
      </c>
      <c r="I649" s="49">
        <v>6.8</v>
      </c>
      <c r="J649" s="71">
        <v>585</v>
      </c>
      <c r="K649" s="37">
        <f t="shared" si="12"/>
        <v>3978</v>
      </c>
      <c r="L649" s="17"/>
    </row>
    <row r="650" spans="1:12" ht="39.6">
      <c r="A650" s="114">
        <v>73</v>
      </c>
      <c r="B650" s="47" t="s">
        <v>47</v>
      </c>
      <c r="C650" s="48" t="s">
        <v>48</v>
      </c>
      <c r="D650" s="48" t="s">
        <v>49</v>
      </c>
      <c r="E650" s="39">
        <v>3</v>
      </c>
      <c r="F650" s="48" t="s">
        <v>253</v>
      </c>
      <c r="G650" s="48" t="s">
        <v>6</v>
      </c>
      <c r="H650" s="46" t="s">
        <v>7</v>
      </c>
      <c r="I650" s="49">
        <v>3.3</v>
      </c>
      <c r="J650" s="71">
        <v>585</v>
      </c>
      <c r="K650" s="37">
        <f t="shared" si="12"/>
        <v>1930.5</v>
      </c>
      <c r="L650" s="17"/>
    </row>
    <row r="651" spans="1:12" ht="39.6">
      <c r="A651" s="114">
        <v>74</v>
      </c>
      <c r="B651" s="47" t="s">
        <v>47</v>
      </c>
      <c r="C651" s="48" t="s">
        <v>48</v>
      </c>
      <c r="D651" s="48" t="s">
        <v>49</v>
      </c>
      <c r="E651" s="39">
        <v>3</v>
      </c>
      <c r="F651" s="48" t="s">
        <v>222</v>
      </c>
      <c r="G651" s="48" t="s">
        <v>6</v>
      </c>
      <c r="H651" s="46" t="s">
        <v>7</v>
      </c>
      <c r="I651" s="49">
        <v>18</v>
      </c>
      <c r="J651" s="71">
        <v>585</v>
      </c>
      <c r="K651" s="37">
        <f t="shared" si="12"/>
        <v>10530</v>
      </c>
      <c r="L651" s="17"/>
    </row>
    <row r="652" spans="1:12" ht="52.8">
      <c r="A652" s="114">
        <v>75</v>
      </c>
      <c r="B652" s="47" t="s">
        <v>47</v>
      </c>
      <c r="C652" s="48" t="s">
        <v>48</v>
      </c>
      <c r="D652" s="48" t="s">
        <v>49</v>
      </c>
      <c r="E652" s="39">
        <v>3</v>
      </c>
      <c r="F652" s="48" t="s">
        <v>271</v>
      </c>
      <c r="G652" s="48" t="s">
        <v>6</v>
      </c>
      <c r="H652" s="46" t="s">
        <v>7</v>
      </c>
      <c r="I652" s="49">
        <v>3.6</v>
      </c>
      <c r="J652" s="71">
        <v>585</v>
      </c>
      <c r="K652" s="37">
        <f t="shared" si="12"/>
        <v>2106</v>
      </c>
      <c r="L652" s="17"/>
    </row>
    <row r="653" spans="1:12" ht="39.6">
      <c r="A653" s="114">
        <v>76</v>
      </c>
      <c r="B653" s="47" t="s">
        <v>47</v>
      </c>
      <c r="C653" s="48" t="s">
        <v>48</v>
      </c>
      <c r="D653" s="48" t="s">
        <v>49</v>
      </c>
      <c r="E653" s="39">
        <v>3</v>
      </c>
      <c r="F653" s="48" t="s">
        <v>240</v>
      </c>
      <c r="G653" s="48" t="s">
        <v>6</v>
      </c>
      <c r="H653" s="46" t="s">
        <v>7</v>
      </c>
      <c r="I653" s="49">
        <v>3</v>
      </c>
      <c r="J653" s="71">
        <v>585</v>
      </c>
      <c r="K653" s="37">
        <f t="shared" si="12"/>
        <v>1755</v>
      </c>
      <c r="L653" s="17"/>
    </row>
    <row r="654" spans="1:12" ht="39.6">
      <c r="A654" s="114">
        <v>77</v>
      </c>
      <c r="B654" s="47" t="s">
        <v>47</v>
      </c>
      <c r="C654" s="48" t="s">
        <v>48</v>
      </c>
      <c r="D654" s="48" t="s">
        <v>49</v>
      </c>
      <c r="E654" s="39">
        <v>3</v>
      </c>
      <c r="F654" s="48" t="s">
        <v>247</v>
      </c>
      <c r="G654" s="48" t="s">
        <v>6</v>
      </c>
      <c r="H654" s="46" t="s">
        <v>7</v>
      </c>
      <c r="I654" s="49">
        <v>3</v>
      </c>
      <c r="J654" s="71">
        <v>585</v>
      </c>
      <c r="K654" s="37">
        <f t="shared" si="12"/>
        <v>1755</v>
      </c>
      <c r="L654" s="17"/>
    </row>
    <row r="655" spans="1:12" ht="66">
      <c r="A655" s="114">
        <v>78</v>
      </c>
      <c r="B655" s="47" t="s">
        <v>47</v>
      </c>
      <c r="C655" s="48" t="s">
        <v>48</v>
      </c>
      <c r="D655" s="48" t="s">
        <v>49</v>
      </c>
      <c r="E655" s="39">
        <v>3</v>
      </c>
      <c r="F655" s="48" t="s">
        <v>268</v>
      </c>
      <c r="G655" s="48" t="s">
        <v>6</v>
      </c>
      <c r="H655" s="46" t="s">
        <v>7</v>
      </c>
      <c r="I655" s="49">
        <v>22</v>
      </c>
      <c r="J655" s="71">
        <v>585</v>
      </c>
      <c r="K655" s="37">
        <f t="shared" si="12"/>
        <v>12870</v>
      </c>
      <c r="L655" s="17"/>
    </row>
    <row r="656" spans="1:12" ht="39.6">
      <c r="A656" s="114">
        <v>79</v>
      </c>
      <c r="B656" s="47" t="s">
        <v>47</v>
      </c>
      <c r="C656" s="48" t="s">
        <v>48</v>
      </c>
      <c r="D656" s="48" t="s">
        <v>49</v>
      </c>
      <c r="E656" s="39">
        <v>3</v>
      </c>
      <c r="F656" s="48" t="s">
        <v>231</v>
      </c>
      <c r="G656" s="48" t="s">
        <v>6</v>
      </c>
      <c r="H656" s="46" t="s">
        <v>7</v>
      </c>
      <c r="I656" s="49">
        <v>32</v>
      </c>
      <c r="J656" s="71">
        <v>585</v>
      </c>
      <c r="K656" s="37">
        <f t="shared" si="12"/>
        <v>18720</v>
      </c>
      <c r="L656" s="17"/>
    </row>
    <row r="657" spans="1:12" ht="39.6">
      <c r="A657" s="114">
        <v>80</v>
      </c>
      <c r="B657" s="47" t="s">
        <v>47</v>
      </c>
      <c r="C657" s="48" t="s">
        <v>48</v>
      </c>
      <c r="D657" s="48" t="s">
        <v>49</v>
      </c>
      <c r="E657" s="39">
        <v>3</v>
      </c>
      <c r="F657" s="48" t="s">
        <v>228</v>
      </c>
      <c r="G657" s="48" t="s">
        <v>6</v>
      </c>
      <c r="H657" s="46" t="s">
        <v>7</v>
      </c>
      <c r="I657" s="49">
        <v>73</v>
      </c>
      <c r="J657" s="71">
        <v>585</v>
      </c>
      <c r="K657" s="37">
        <f t="shared" si="12"/>
        <v>42705</v>
      </c>
      <c r="L657" s="17"/>
    </row>
    <row r="658" spans="1:12" ht="39.6">
      <c r="A658" s="114">
        <v>81</v>
      </c>
      <c r="B658" s="47" t="s">
        <v>47</v>
      </c>
      <c r="C658" s="48" t="s">
        <v>48</v>
      </c>
      <c r="D658" s="48" t="s">
        <v>49</v>
      </c>
      <c r="E658" s="39">
        <v>3</v>
      </c>
      <c r="F658" s="48" t="s">
        <v>223</v>
      </c>
      <c r="G658" s="48" t="s">
        <v>6</v>
      </c>
      <c r="H658" s="46" t="s">
        <v>7</v>
      </c>
      <c r="I658" s="49">
        <v>22</v>
      </c>
      <c r="J658" s="71">
        <v>585</v>
      </c>
      <c r="K658" s="37">
        <f t="shared" si="12"/>
        <v>12870</v>
      </c>
      <c r="L658" s="17"/>
    </row>
    <row r="659" spans="1:12" ht="39.6">
      <c r="A659" s="114">
        <v>82</v>
      </c>
      <c r="B659" s="47" t="s">
        <v>47</v>
      </c>
      <c r="C659" s="48" t="s">
        <v>48</v>
      </c>
      <c r="D659" s="48" t="s">
        <v>49</v>
      </c>
      <c r="E659" s="39">
        <v>3</v>
      </c>
      <c r="F659" s="48" t="s">
        <v>235</v>
      </c>
      <c r="G659" s="48" t="s">
        <v>6</v>
      </c>
      <c r="H659" s="46" t="s">
        <v>7</v>
      </c>
      <c r="I659" s="49">
        <v>28</v>
      </c>
      <c r="J659" s="71">
        <v>585</v>
      </c>
      <c r="K659" s="37">
        <f t="shared" si="12"/>
        <v>16380</v>
      </c>
      <c r="L659" s="17"/>
    </row>
    <row r="660" spans="1:12" ht="39.6">
      <c r="A660" s="114">
        <v>83</v>
      </c>
      <c r="B660" s="47" t="s">
        <v>47</v>
      </c>
      <c r="C660" s="48" t="s">
        <v>48</v>
      </c>
      <c r="D660" s="48" t="s">
        <v>49</v>
      </c>
      <c r="E660" s="39">
        <v>3</v>
      </c>
      <c r="F660" s="48" t="s">
        <v>237</v>
      </c>
      <c r="G660" s="48" t="s">
        <v>6</v>
      </c>
      <c r="H660" s="46" t="s">
        <v>7</v>
      </c>
      <c r="I660" s="49">
        <v>18</v>
      </c>
      <c r="J660" s="71">
        <v>585</v>
      </c>
      <c r="K660" s="37">
        <f t="shared" si="12"/>
        <v>10530</v>
      </c>
      <c r="L660" s="17"/>
    </row>
    <row r="661" spans="1:12">
      <c r="A661" s="114">
        <v>84</v>
      </c>
      <c r="B661" s="47" t="s">
        <v>47</v>
      </c>
      <c r="C661" s="48" t="s">
        <v>48</v>
      </c>
      <c r="D661" s="48" t="s">
        <v>49</v>
      </c>
      <c r="E661" s="39">
        <v>1</v>
      </c>
      <c r="F661" s="48" t="s">
        <v>109</v>
      </c>
      <c r="G661" s="48" t="s">
        <v>262</v>
      </c>
      <c r="H661" s="46" t="s">
        <v>7</v>
      </c>
      <c r="I661" s="49">
        <v>9.6</v>
      </c>
      <c r="J661" s="71">
        <v>1105</v>
      </c>
      <c r="K661" s="37">
        <f t="shared" si="12"/>
        <v>10608</v>
      </c>
      <c r="L661" s="17"/>
    </row>
    <row r="662" spans="1:12">
      <c r="A662" s="114">
        <v>85</v>
      </c>
      <c r="B662" s="47" t="s">
        <v>47</v>
      </c>
      <c r="C662" s="48" t="s">
        <v>48</v>
      </c>
      <c r="D662" s="48" t="s">
        <v>49</v>
      </c>
      <c r="E662" s="39">
        <v>1</v>
      </c>
      <c r="F662" s="48" t="s">
        <v>114</v>
      </c>
      <c r="G662" s="48" t="s">
        <v>262</v>
      </c>
      <c r="H662" s="46" t="s">
        <v>7</v>
      </c>
      <c r="I662" s="49">
        <v>13.5</v>
      </c>
      <c r="J662" s="71">
        <v>1105</v>
      </c>
      <c r="K662" s="37">
        <f t="shared" si="12"/>
        <v>14917.5</v>
      </c>
      <c r="L662" s="17"/>
    </row>
    <row r="663" spans="1:12">
      <c r="A663" s="114">
        <v>86</v>
      </c>
      <c r="B663" s="47" t="s">
        <v>47</v>
      </c>
      <c r="C663" s="48" t="s">
        <v>48</v>
      </c>
      <c r="D663" s="48" t="s">
        <v>49</v>
      </c>
      <c r="E663" s="39">
        <v>2</v>
      </c>
      <c r="F663" s="48" t="s">
        <v>182</v>
      </c>
      <c r="G663" s="48" t="s">
        <v>262</v>
      </c>
      <c r="H663" s="46" t="s">
        <v>7</v>
      </c>
      <c r="I663" s="49">
        <v>14</v>
      </c>
      <c r="J663" s="71">
        <v>1105</v>
      </c>
      <c r="K663" s="37">
        <f t="shared" si="12"/>
        <v>15470</v>
      </c>
      <c r="L663" s="17"/>
    </row>
    <row r="664" spans="1:12">
      <c r="A664" s="114">
        <v>87</v>
      </c>
      <c r="B664" s="47" t="s">
        <v>47</v>
      </c>
      <c r="C664" s="48" t="s">
        <v>48</v>
      </c>
      <c r="D664" s="48" t="s">
        <v>49</v>
      </c>
      <c r="E664" s="39">
        <v>2</v>
      </c>
      <c r="F664" s="48" t="s">
        <v>193</v>
      </c>
      <c r="G664" s="48" t="s">
        <v>262</v>
      </c>
      <c r="H664" s="46" t="s">
        <v>7</v>
      </c>
      <c r="I664" s="49">
        <v>13.5</v>
      </c>
      <c r="J664" s="71">
        <v>1105</v>
      </c>
      <c r="K664" s="37">
        <f t="shared" si="12"/>
        <v>14917.5</v>
      </c>
      <c r="L664" s="17"/>
    </row>
    <row r="665" spans="1:12">
      <c r="A665" s="114">
        <v>88</v>
      </c>
      <c r="B665" s="47" t="s">
        <v>47</v>
      </c>
      <c r="C665" s="48" t="s">
        <v>48</v>
      </c>
      <c r="D665" s="48" t="s">
        <v>49</v>
      </c>
      <c r="E665" s="39">
        <v>3</v>
      </c>
      <c r="F665" s="48" t="s">
        <v>235</v>
      </c>
      <c r="G665" s="48" t="s">
        <v>262</v>
      </c>
      <c r="H665" s="46" t="s">
        <v>7</v>
      </c>
      <c r="I665" s="49">
        <v>2.4</v>
      </c>
      <c r="J665" s="71">
        <v>1105</v>
      </c>
      <c r="K665" s="37">
        <f t="shared" si="12"/>
        <v>2652</v>
      </c>
      <c r="L665" s="17"/>
    </row>
    <row r="666" spans="1:12">
      <c r="A666" s="114">
        <v>89</v>
      </c>
      <c r="B666" s="47" t="s">
        <v>47</v>
      </c>
      <c r="C666" s="48" t="s">
        <v>48</v>
      </c>
      <c r="D666" s="48" t="s">
        <v>49</v>
      </c>
      <c r="E666" s="39">
        <v>3</v>
      </c>
      <c r="F666" s="48" t="s">
        <v>223</v>
      </c>
      <c r="G666" s="48" t="s">
        <v>262</v>
      </c>
      <c r="H666" s="46" t="s">
        <v>7</v>
      </c>
      <c r="I666" s="49">
        <v>8</v>
      </c>
      <c r="J666" s="71">
        <v>1105</v>
      </c>
      <c r="K666" s="37">
        <f t="shared" si="12"/>
        <v>8840</v>
      </c>
      <c r="L666" s="17"/>
    </row>
    <row r="667" spans="1:12">
      <c r="A667" s="114">
        <v>90</v>
      </c>
      <c r="B667" s="47" t="s">
        <v>47</v>
      </c>
      <c r="C667" s="48" t="s">
        <v>48</v>
      </c>
      <c r="D667" s="48" t="s">
        <v>49</v>
      </c>
      <c r="E667" s="39">
        <v>3</v>
      </c>
      <c r="F667" s="48" t="s">
        <v>227</v>
      </c>
      <c r="G667" s="48" t="s">
        <v>262</v>
      </c>
      <c r="H667" s="46" t="s">
        <v>7</v>
      </c>
      <c r="I667" s="49">
        <v>14</v>
      </c>
      <c r="J667" s="71">
        <v>1105</v>
      </c>
      <c r="K667" s="37">
        <f t="shared" si="12"/>
        <v>15470</v>
      </c>
      <c r="L667" s="17"/>
    </row>
    <row r="668" spans="1:12">
      <c r="A668" s="114">
        <v>91</v>
      </c>
      <c r="B668" s="47" t="s">
        <v>47</v>
      </c>
      <c r="C668" s="48" t="s">
        <v>48</v>
      </c>
      <c r="D668" s="48" t="s">
        <v>49</v>
      </c>
      <c r="E668" s="75">
        <v>3</v>
      </c>
      <c r="F668" s="48" t="s">
        <v>237</v>
      </c>
      <c r="G668" s="48" t="s">
        <v>262</v>
      </c>
      <c r="H668" s="46" t="s">
        <v>7</v>
      </c>
      <c r="I668" s="49">
        <v>18</v>
      </c>
      <c r="J668" s="71">
        <v>1105</v>
      </c>
      <c r="K668" s="37">
        <f t="shared" si="12"/>
        <v>19890</v>
      </c>
      <c r="L668" s="17"/>
    </row>
    <row r="669" spans="1:12" ht="66">
      <c r="A669" s="114">
        <v>92</v>
      </c>
      <c r="B669" s="47" t="s">
        <v>47</v>
      </c>
      <c r="C669" s="48" t="s">
        <v>48</v>
      </c>
      <c r="D669" s="48" t="s">
        <v>49</v>
      </c>
      <c r="E669" s="75">
        <v>3</v>
      </c>
      <c r="F669" s="48" t="s">
        <v>268</v>
      </c>
      <c r="G669" s="48" t="s">
        <v>262</v>
      </c>
      <c r="H669" s="46" t="s">
        <v>7</v>
      </c>
      <c r="I669" s="49">
        <v>22</v>
      </c>
      <c r="J669" s="71">
        <v>1105</v>
      </c>
      <c r="K669" s="37">
        <f t="shared" si="12"/>
        <v>24310</v>
      </c>
      <c r="L669" s="17"/>
    </row>
    <row r="670" spans="1:12" ht="26.4">
      <c r="A670" s="114">
        <v>93</v>
      </c>
      <c r="B670" s="47" t="s">
        <v>47</v>
      </c>
      <c r="C670" s="48" t="s">
        <v>48</v>
      </c>
      <c r="D670" s="48" t="s">
        <v>49</v>
      </c>
      <c r="E670" s="39">
        <v>1</v>
      </c>
      <c r="F670" s="48" t="s">
        <v>141</v>
      </c>
      <c r="G670" s="48" t="s">
        <v>260</v>
      </c>
      <c r="H670" s="46" t="s">
        <v>261</v>
      </c>
      <c r="I670" s="49">
        <v>0.3</v>
      </c>
      <c r="J670" s="71">
        <v>4160</v>
      </c>
      <c r="K670" s="37">
        <f t="shared" si="12"/>
        <v>1248</v>
      </c>
      <c r="L670" s="17"/>
    </row>
    <row r="671" spans="1:12">
      <c r="A671" s="114">
        <v>94</v>
      </c>
      <c r="B671" s="47" t="s">
        <v>47</v>
      </c>
      <c r="C671" s="48" t="s">
        <v>48</v>
      </c>
      <c r="D671" s="48" t="s">
        <v>49</v>
      </c>
      <c r="E671" s="39">
        <v>3</v>
      </c>
      <c r="F671" s="48" t="s">
        <v>235</v>
      </c>
      <c r="G671" s="48" t="s">
        <v>260</v>
      </c>
      <c r="H671" s="46" t="s">
        <v>261</v>
      </c>
      <c r="I671" s="49">
        <v>5.9</v>
      </c>
      <c r="J671" s="71">
        <v>4160</v>
      </c>
      <c r="K671" s="37">
        <f t="shared" si="12"/>
        <v>24544</v>
      </c>
      <c r="L671" s="17"/>
    </row>
    <row r="672" spans="1:12" s="35" customFormat="1" ht="39.6">
      <c r="A672" s="114">
        <v>95</v>
      </c>
      <c r="B672" s="47" t="s">
        <v>47</v>
      </c>
      <c r="C672" s="48" t="s">
        <v>48</v>
      </c>
      <c r="D672" s="48" t="s">
        <v>58</v>
      </c>
      <c r="E672" s="39">
        <v>2</v>
      </c>
      <c r="F672" s="48" t="s">
        <v>274</v>
      </c>
      <c r="G672" s="92" t="s">
        <v>19</v>
      </c>
      <c r="H672" s="46" t="s">
        <v>7</v>
      </c>
      <c r="I672" s="49">
        <v>89.5</v>
      </c>
      <c r="J672" s="71">
        <v>180</v>
      </c>
      <c r="K672" s="37">
        <f t="shared" si="12"/>
        <v>16110</v>
      </c>
      <c r="L672" s="17"/>
    </row>
    <row r="673" spans="1:12" s="35" customFormat="1" ht="28.8">
      <c r="A673" s="114">
        <v>96</v>
      </c>
      <c r="B673" s="47" t="s">
        <v>47</v>
      </c>
      <c r="C673" s="48" t="s">
        <v>48</v>
      </c>
      <c r="D673" s="48" t="s">
        <v>58</v>
      </c>
      <c r="E673" s="39">
        <v>2</v>
      </c>
      <c r="F673" s="48" t="s">
        <v>163</v>
      </c>
      <c r="G673" s="92" t="s">
        <v>19</v>
      </c>
      <c r="H673" s="46" t="s">
        <v>7</v>
      </c>
      <c r="I673" s="49">
        <v>40</v>
      </c>
      <c r="J673" s="71">
        <v>180</v>
      </c>
      <c r="K673" s="37">
        <f t="shared" si="12"/>
        <v>7200</v>
      </c>
      <c r="L673" s="17"/>
    </row>
    <row r="674" spans="1:12" s="35" customFormat="1" ht="28.8">
      <c r="A674" s="114">
        <v>97</v>
      </c>
      <c r="B674" s="47" t="s">
        <v>47</v>
      </c>
      <c r="C674" s="48" t="s">
        <v>48</v>
      </c>
      <c r="D674" s="48" t="s">
        <v>58</v>
      </c>
      <c r="E674" s="39">
        <v>2</v>
      </c>
      <c r="F674" s="48" t="s">
        <v>165</v>
      </c>
      <c r="G674" s="92" t="s">
        <v>19</v>
      </c>
      <c r="H674" s="46" t="s">
        <v>7</v>
      </c>
      <c r="I674" s="49">
        <v>63.5</v>
      </c>
      <c r="J674" s="71">
        <v>180</v>
      </c>
      <c r="K674" s="37">
        <f t="shared" si="12"/>
        <v>11430</v>
      </c>
      <c r="L674" s="17"/>
    </row>
    <row r="675" spans="1:12" s="35" customFormat="1" ht="28.8">
      <c r="A675" s="114">
        <v>98</v>
      </c>
      <c r="B675" s="47" t="s">
        <v>47</v>
      </c>
      <c r="C675" s="48" t="s">
        <v>48</v>
      </c>
      <c r="D675" s="48" t="s">
        <v>58</v>
      </c>
      <c r="E675" s="39">
        <v>3</v>
      </c>
      <c r="F675" s="48" t="s">
        <v>219</v>
      </c>
      <c r="G675" s="92" t="s">
        <v>19</v>
      </c>
      <c r="H675" s="46" t="s">
        <v>7</v>
      </c>
      <c r="I675" s="49">
        <v>63.5</v>
      </c>
      <c r="J675" s="71">
        <v>180</v>
      </c>
      <c r="K675" s="37">
        <f t="shared" si="12"/>
        <v>11430</v>
      </c>
      <c r="L675" s="17"/>
    </row>
    <row r="676" spans="1:12" s="35" customFormat="1" ht="52.8">
      <c r="A676" s="114">
        <v>99</v>
      </c>
      <c r="B676" s="47" t="s">
        <v>47</v>
      </c>
      <c r="C676" s="48" t="s">
        <v>48</v>
      </c>
      <c r="D676" s="48" t="s">
        <v>58</v>
      </c>
      <c r="E676" s="39">
        <v>3</v>
      </c>
      <c r="F676" s="48" t="s">
        <v>271</v>
      </c>
      <c r="G676" s="92" t="s">
        <v>19</v>
      </c>
      <c r="H676" s="46" t="s">
        <v>7</v>
      </c>
      <c r="I676" s="49">
        <v>88.5</v>
      </c>
      <c r="J676" s="71">
        <v>180</v>
      </c>
      <c r="K676" s="37">
        <f t="shared" si="12"/>
        <v>15930</v>
      </c>
      <c r="L676" s="17"/>
    </row>
    <row r="677" spans="1:12" s="35" customFormat="1">
      <c r="A677" s="114">
        <v>100</v>
      </c>
      <c r="B677" s="47" t="s">
        <v>47</v>
      </c>
      <c r="C677" s="48" t="s">
        <v>48</v>
      </c>
      <c r="D677" s="48"/>
      <c r="E677" s="39"/>
      <c r="F677" s="56"/>
      <c r="G677" s="92"/>
      <c r="H677" s="46" t="s">
        <v>7</v>
      </c>
      <c r="I677" s="49"/>
      <c r="J677" s="71">
        <v>180</v>
      </c>
      <c r="K677" s="37">
        <f t="shared" si="12"/>
        <v>0</v>
      </c>
      <c r="L677" s="17"/>
    </row>
    <row r="678" spans="1:12" s="35" customFormat="1">
      <c r="A678" s="114">
        <v>101</v>
      </c>
      <c r="B678" s="47" t="s">
        <v>47</v>
      </c>
      <c r="C678" s="48" t="s">
        <v>48</v>
      </c>
      <c r="D678" s="48"/>
      <c r="E678" s="39"/>
      <c r="F678" s="56"/>
      <c r="G678" s="48"/>
      <c r="H678" s="46"/>
      <c r="I678" s="49"/>
      <c r="J678" s="71">
        <v>180</v>
      </c>
      <c r="K678" s="37">
        <f t="shared" si="12"/>
        <v>0</v>
      </c>
      <c r="L678" s="17"/>
    </row>
    <row r="679" spans="1:12" s="35" customFormat="1" ht="28.8">
      <c r="A679" s="114">
        <v>102</v>
      </c>
      <c r="B679" s="47" t="s">
        <v>47</v>
      </c>
      <c r="C679" s="48" t="s">
        <v>48</v>
      </c>
      <c r="D679" s="48" t="s">
        <v>49</v>
      </c>
      <c r="E679" s="39">
        <v>3</v>
      </c>
      <c r="F679" s="48" t="s">
        <v>220</v>
      </c>
      <c r="G679" s="92" t="s">
        <v>19</v>
      </c>
      <c r="H679" s="46" t="s">
        <v>7</v>
      </c>
      <c r="I679" s="49">
        <v>29.5</v>
      </c>
      <c r="J679" s="71">
        <v>180</v>
      </c>
      <c r="K679" s="37">
        <f t="shared" ref="K679:K693" si="13">J679*I679</f>
        <v>5310</v>
      </c>
      <c r="L679" s="17"/>
    </row>
    <row r="680" spans="1:12" s="35" customFormat="1" ht="28.8">
      <c r="A680" s="114">
        <v>103</v>
      </c>
      <c r="B680" s="47" t="s">
        <v>47</v>
      </c>
      <c r="C680" s="48" t="s">
        <v>48</v>
      </c>
      <c r="D680" s="48" t="s">
        <v>49</v>
      </c>
      <c r="E680" s="39">
        <v>3</v>
      </c>
      <c r="F680" s="48" t="s">
        <v>221</v>
      </c>
      <c r="G680" s="92" t="s">
        <v>19</v>
      </c>
      <c r="H680" s="46" t="s">
        <v>7</v>
      </c>
      <c r="I680" s="49">
        <v>64</v>
      </c>
      <c r="J680" s="71">
        <v>180</v>
      </c>
      <c r="K680" s="37">
        <f t="shared" si="13"/>
        <v>11520</v>
      </c>
      <c r="L680" s="17"/>
    </row>
    <row r="681" spans="1:12" s="35" customFormat="1" ht="28.8">
      <c r="A681" s="114">
        <v>104</v>
      </c>
      <c r="B681" s="47" t="s">
        <v>47</v>
      </c>
      <c r="C681" s="48" t="s">
        <v>48</v>
      </c>
      <c r="D681" s="48" t="s">
        <v>49</v>
      </c>
      <c r="E681" s="39">
        <v>3</v>
      </c>
      <c r="F681" s="48" t="s">
        <v>222</v>
      </c>
      <c r="G681" s="92" t="s">
        <v>19</v>
      </c>
      <c r="H681" s="46" t="s">
        <v>7</v>
      </c>
      <c r="I681" s="49">
        <v>62</v>
      </c>
      <c r="J681" s="71">
        <v>180</v>
      </c>
      <c r="K681" s="37">
        <f t="shared" si="13"/>
        <v>11160</v>
      </c>
      <c r="L681" s="17"/>
    </row>
    <row r="682" spans="1:12" s="35" customFormat="1" ht="28.8">
      <c r="A682" s="114">
        <v>105</v>
      </c>
      <c r="B682" s="47" t="s">
        <v>47</v>
      </c>
      <c r="C682" s="48" t="s">
        <v>48</v>
      </c>
      <c r="D682" s="48" t="s">
        <v>49</v>
      </c>
      <c r="E682" s="39">
        <v>3</v>
      </c>
      <c r="F682" s="48" t="s">
        <v>225</v>
      </c>
      <c r="G682" s="92" t="s">
        <v>19</v>
      </c>
      <c r="H682" s="46" t="s">
        <v>7</v>
      </c>
      <c r="I682" s="49">
        <v>59</v>
      </c>
      <c r="J682" s="71">
        <v>180</v>
      </c>
      <c r="K682" s="37">
        <f t="shared" si="13"/>
        <v>10620</v>
      </c>
      <c r="L682" s="17"/>
    </row>
    <row r="683" spans="1:12" s="35" customFormat="1" ht="26.4">
      <c r="A683" s="114">
        <v>106</v>
      </c>
      <c r="B683" s="47" t="s">
        <v>47</v>
      </c>
      <c r="C683" s="48" t="s">
        <v>48</v>
      </c>
      <c r="D683" s="48" t="s">
        <v>49</v>
      </c>
      <c r="E683" s="39">
        <v>1</v>
      </c>
      <c r="F683" s="48" t="s">
        <v>96</v>
      </c>
      <c r="G683" s="48" t="s">
        <v>15</v>
      </c>
      <c r="H683" s="46" t="s">
        <v>7</v>
      </c>
      <c r="I683" s="49">
        <v>56</v>
      </c>
      <c r="J683" s="71">
        <v>1170</v>
      </c>
      <c r="K683" s="37">
        <f t="shared" si="13"/>
        <v>65520</v>
      </c>
      <c r="L683" s="17"/>
    </row>
    <row r="684" spans="1:12" s="35" customFormat="1" ht="26.4">
      <c r="A684" s="114">
        <v>107</v>
      </c>
      <c r="B684" s="47" t="s">
        <v>47</v>
      </c>
      <c r="C684" s="48" t="s">
        <v>48</v>
      </c>
      <c r="D684" s="48" t="s">
        <v>49</v>
      </c>
      <c r="E684" s="39">
        <v>1</v>
      </c>
      <c r="F684" s="48" t="s">
        <v>97</v>
      </c>
      <c r="G684" s="48" t="s">
        <v>15</v>
      </c>
      <c r="H684" s="46" t="s">
        <v>7</v>
      </c>
      <c r="I684" s="49">
        <v>53.6</v>
      </c>
      <c r="J684" s="71">
        <v>1170</v>
      </c>
      <c r="K684" s="37">
        <f t="shared" si="13"/>
        <v>62712</v>
      </c>
      <c r="L684" s="17"/>
    </row>
    <row r="685" spans="1:12" s="35" customFormat="1" ht="26.4">
      <c r="A685" s="114">
        <v>108</v>
      </c>
      <c r="B685" s="47" t="s">
        <v>47</v>
      </c>
      <c r="C685" s="48" t="s">
        <v>48</v>
      </c>
      <c r="D685" s="48" t="s">
        <v>49</v>
      </c>
      <c r="E685" s="39">
        <v>2</v>
      </c>
      <c r="F685" s="48" t="s">
        <v>182</v>
      </c>
      <c r="G685" s="48" t="s">
        <v>15</v>
      </c>
      <c r="H685" s="46" t="s">
        <v>7</v>
      </c>
      <c r="I685" s="49">
        <v>45.5</v>
      </c>
      <c r="J685" s="71">
        <v>1170</v>
      </c>
      <c r="K685" s="37">
        <f t="shared" si="13"/>
        <v>53235</v>
      </c>
      <c r="L685" s="17"/>
    </row>
    <row r="686" spans="1:12" s="35" customFormat="1" ht="26.4">
      <c r="A686" s="114">
        <v>109</v>
      </c>
      <c r="B686" s="47" t="s">
        <v>47</v>
      </c>
      <c r="C686" s="48" t="s">
        <v>48</v>
      </c>
      <c r="D686" s="48" t="s">
        <v>49</v>
      </c>
      <c r="E686" s="39">
        <v>3</v>
      </c>
      <c r="F686" s="48" t="s">
        <v>231</v>
      </c>
      <c r="G686" s="48" t="s">
        <v>15</v>
      </c>
      <c r="H686" s="46" t="s">
        <v>7</v>
      </c>
      <c r="I686" s="49">
        <v>58</v>
      </c>
      <c r="J686" s="71">
        <v>1170</v>
      </c>
      <c r="K686" s="37">
        <f t="shared" si="13"/>
        <v>67860</v>
      </c>
      <c r="L686" s="17"/>
    </row>
    <row r="687" spans="1:12" s="35" customFormat="1">
      <c r="A687" s="114">
        <v>110</v>
      </c>
      <c r="B687" s="47" t="s">
        <v>47</v>
      </c>
      <c r="C687" s="48" t="s">
        <v>48</v>
      </c>
      <c r="D687" s="48" t="s">
        <v>49</v>
      </c>
      <c r="E687" s="39">
        <v>1</v>
      </c>
      <c r="F687" s="48" t="s">
        <v>113</v>
      </c>
      <c r="G687" s="48" t="s">
        <v>280</v>
      </c>
      <c r="H687" s="46" t="s">
        <v>300</v>
      </c>
      <c r="I687" s="49">
        <v>10.5</v>
      </c>
      <c r="J687" s="71">
        <v>300</v>
      </c>
      <c r="K687" s="37">
        <f t="shared" si="13"/>
        <v>3150</v>
      </c>
      <c r="L687" s="17"/>
    </row>
    <row r="688" spans="1:12" s="35" customFormat="1">
      <c r="A688" s="114">
        <v>111</v>
      </c>
      <c r="B688" s="47" t="s">
        <v>47</v>
      </c>
      <c r="C688" s="48" t="s">
        <v>48</v>
      </c>
      <c r="D688" s="48" t="s">
        <v>49</v>
      </c>
      <c r="E688" s="39">
        <v>2</v>
      </c>
      <c r="F688" s="48" t="s">
        <v>192</v>
      </c>
      <c r="G688" s="48" t="s">
        <v>280</v>
      </c>
      <c r="H688" s="46" t="s">
        <v>300</v>
      </c>
      <c r="I688" s="49">
        <v>10.5</v>
      </c>
      <c r="J688" s="71">
        <v>300</v>
      </c>
      <c r="K688" s="37">
        <f t="shared" si="13"/>
        <v>3150</v>
      </c>
      <c r="L688" s="17"/>
    </row>
    <row r="689" spans="1:12" s="35" customFormat="1">
      <c r="A689" s="114">
        <v>112</v>
      </c>
      <c r="B689" s="47" t="s">
        <v>47</v>
      </c>
      <c r="C689" s="48" t="s">
        <v>48</v>
      </c>
      <c r="D689" s="48" t="s">
        <v>49</v>
      </c>
      <c r="E689" s="39">
        <v>2</v>
      </c>
      <c r="F689" s="48" t="s">
        <v>189</v>
      </c>
      <c r="G689" s="48" t="s">
        <v>280</v>
      </c>
      <c r="H689" s="46" t="s">
        <v>300</v>
      </c>
      <c r="I689" s="49">
        <v>9</v>
      </c>
      <c r="J689" s="71">
        <v>300</v>
      </c>
      <c r="K689" s="37">
        <f t="shared" si="13"/>
        <v>2700</v>
      </c>
      <c r="L689" s="17"/>
    </row>
    <row r="690" spans="1:12" s="35" customFormat="1">
      <c r="A690" s="114">
        <v>113</v>
      </c>
      <c r="B690" s="47" t="s">
        <v>47</v>
      </c>
      <c r="C690" s="48" t="s">
        <v>48</v>
      </c>
      <c r="D690" s="48" t="s">
        <v>49</v>
      </c>
      <c r="E690" s="39">
        <v>3</v>
      </c>
      <c r="F690" s="48" t="s">
        <v>233</v>
      </c>
      <c r="G690" s="48" t="s">
        <v>280</v>
      </c>
      <c r="H690" s="46" t="s">
        <v>300</v>
      </c>
      <c r="I690" s="49">
        <v>9</v>
      </c>
      <c r="J690" s="71"/>
      <c r="K690" s="37">
        <f t="shared" si="13"/>
        <v>0</v>
      </c>
      <c r="L690" s="17"/>
    </row>
    <row r="691" spans="1:12" s="35" customFormat="1">
      <c r="A691" s="114">
        <v>114</v>
      </c>
      <c r="B691" s="47" t="s">
        <v>47</v>
      </c>
      <c r="C691" s="48" t="s">
        <v>48</v>
      </c>
      <c r="D691" s="48" t="s">
        <v>49</v>
      </c>
      <c r="E691" s="39">
        <v>3</v>
      </c>
      <c r="F691" s="48" t="s">
        <v>221</v>
      </c>
      <c r="G691" s="48" t="s">
        <v>280</v>
      </c>
      <c r="H691" s="46" t="s">
        <v>300</v>
      </c>
      <c r="I691" s="49">
        <v>6.4</v>
      </c>
      <c r="J691" s="71"/>
      <c r="K691" s="37">
        <f t="shared" si="13"/>
        <v>0</v>
      </c>
      <c r="L691" s="17"/>
    </row>
    <row r="692" spans="1:12" s="35" customFormat="1">
      <c r="A692" s="114">
        <v>115</v>
      </c>
      <c r="B692" s="47" t="s">
        <v>47</v>
      </c>
      <c r="C692" s="48" t="s">
        <v>48</v>
      </c>
      <c r="D692" s="48"/>
      <c r="E692" s="39"/>
      <c r="F692" s="56" t="s">
        <v>296</v>
      </c>
      <c r="G692" s="74" t="s">
        <v>297</v>
      </c>
      <c r="H692" s="46" t="s">
        <v>267</v>
      </c>
      <c r="I692" s="49">
        <v>39</v>
      </c>
      <c r="J692" s="71">
        <v>450</v>
      </c>
      <c r="K692" s="37">
        <f t="shared" si="13"/>
        <v>17550</v>
      </c>
      <c r="L692" s="17"/>
    </row>
    <row r="693" spans="1:12" s="35" customFormat="1">
      <c r="A693" s="115">
        <v>116</v>
      </c>
      <c r="B693" s="83" t="s">
        <v>47</v>
      </c>
      <c r="C693" s="84" t="s">
        <v>48</v>
      </c>
      <c r="D693" s="84"/>
      <c r="E693" s="123"/>
      <c r="F693" s="118" t="s">
        <v>296</v>
      </c>
      <c r="G693" s="84" t="s">
        <v>11</v>
      </c>
      <c r="H693" s="82" t="s">
        <v>285</v>
      </c>
      <c r="I693" s="124">
        <v>392</v>
      </c>
      <c r="J693" s="86">
        <v>50</v>
      </c>
      <c r="K693" s="87">
        <f t="shared" si="13"/>
        <v>19600</v>
      </c>
      <c r="L693" s="88"/>
    </row>
    <row r="694" spans="1:12" s="40" customFormat="1" ht="50.4" customHeight="1">
      <c r="A694" s="96" t="s">
        <v>50</v>
      </c>
      <c r="B694" s="137"/>
      <c r="C694" s="138"/>
      <c r="D694" s="138"/>
      <c r="E694" s="138"/>
      <c r="F694" s="138"/>
      <c r="G694" s="138"/>
      <c r="H694" s="138"/>
      <c r="I694" s="138"/>
      <c r="J694" s="139"/>
      <c r="K694" s="38">
        <f>SUM(K577:K693)</f>
        <v>1372784.7</v>
      </c>
      <c r="L694" s="50"/>
    </row>
    <row r="699" spans="1:12" s="40" customFormat="1" ht="15" thickBot="1">
      <c r="A699"/>
      <c r="B699" s="44" t="s">
        <v>34</v>
      </c>
      <c r="C699" s="131" t="s">
        <v>288</v>
      </c>
      <c r="D699" s="131"/>
      <c r="E699" s="131"/>
      <c r="F699" s="131"/>
      <c r="G699" s="43"/>
      <c r="H699" s="128"/>
      <c r="I699" s="128"/>
      <c r="J699" s="43"/>
      <c r="K699" s="42"/>
      <c r="L699" s="42"/>
    </row>
    <row r="700" spans="1:12" s="40" customFormat="1">
      <c r="A700" s="43"/>
      <c r="B700" s="43"/>
      <c r="C700" s="133" t="s">
        <v>69</v>
      </c>
      <c r="D700" s="133"/>
      <c r="E700" s="133"/>
      <c r="F700" s="133"/>
      <c r="G700" s="43"/>
      <c r="H700" s="134">
        <v>45667</v>
      </c>
      <c r="I700" s="133"/>
      <c r="J700" s="43"/>
      <c r="K700" s="42"/>
      <c r="L700" s="42"/>
    </row>
    <row r="701" spans="1:12" s="40" customFormat="1" ht="15" thickBot="1">
      <c r="A701" s="43"/>
      <c r="B701" s="45" t="s">
        <v>71</v>
      </c>
      <c r="C701" s="131" t="s">
        <v>299</v>
      </c>
      <c r="D701" s="131"/>
      <c r="E701" s="131"/>
      <c r="F701" s="131"/>
      <c r="G701" s="43"/>
      <c r="H701" s="128"/>
      <c r="I701" s="128"/>
      <c r="J701" s="43"/>
      <c r="K701" s="42"/>
      <c r="L701" s="42"/>
    </row>
    <row r="702" spans="1:12" s="40" customFormat="1">
      <c r="A702" s="43"/>
      <c r="B702" s="43"/>
      <c r="C702" s="133" t="s">
        <v>69</v>
      </c>
      <c r="D702" s="133"/>
      <c r="E702" s="133"/>
      <c r="F702" s="133"/>
      <c r="G702" s="43"/>
      <c r="H702" s="134">
        <v>45667</v>
      </c>
      <c r="I702" s="133"/>
      <c r="J702" s="43"/>
      <c r="K702" s="42"/>
      <c r="L702" s="42"/>
    </row>
    <row r="703" spans="1:12" s="40" customFormat="1">
      <c r="A703" s="43"/>
      <c r="B703" s="43"/>
      <c r="C703" s="43"/>
      <c r="D703" s="43"/>
      <c r="E703" s="43"/>
      <c r="F703" s="43"/>
      <c r="G703" s="43"/>
      <c r="H703" s="135"/>
      <c r="I703" s="135"/>
      <c r="J703" s="43"/>
    </row>
    <row r="704" spans="1:12" s="40" customFormat="1" ht="15" thickBot="1">
      <c r="A704" s="43"/>
      <c r="B704" s="45" t="s">
        <v>289</v>
      </c>
      <c r="C704" s="131" t="s">
        <v>290</v>
      </c>
      <c r="D704" s="131"/>
      <c r="E704" s="131"/>
      <c r="F704" s="131"/>
      <c r="G704" s="43"/>
      <c r="H704" s="128"/>
      <c r="I704" s="128"/>
      <c r="J704" s="43"/>
    </row>
    <row r="705" spans="1:12" s="40" customFormat="1">
      <c r="A705" s="43"/>
      <c r="B705" s="43"/>
      <c r="C705" s="133" t="s">
        <v>69</v>
      </c>
      <c r="D705" s="133"/>
      <c r="E705" s="133"/>
      <c r="F705" s="133"/>
      <c r="G705" s="43"/>
      <c r="H705" s="134">
        <v>45667</v>
      </c>
      <c r="I705" s="133"/>
      <c r="J705" s="43"/>
    </row>
    <row r="706" spans="1:12" s="40" customForma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</row>
    <row r="707" spans="1:12" s="40" customFormat="1" ht="15" thickBot="1">
      <c r="A707" s="43"/>
      <c r="B707" s="45" t="s">
        <v>72</v>
      </c>
      <c r="C707" s="128"/>
      <c r="D707" s="128"/>
      <c r="E707" s="128"/>
      <c r="F707" s="128"/>
      <c r="G707" s="43"/>
      <c r="H707" s="128"/>
      <c r="I707" s="128"/>
      <c r="J707" s="43"/>
    </row>
    <row r="708" spans="1:12" s="40" customFormat="1">
      <c r="A708" s="43"/>
      <c r="B708" s="43"/>
      <c r="C708" s="133" t="s">
        <v>69</v>
      </c>
      <c r="D708" s="133"/>
      <c r="E708" s="133"/>
      <c r="F708" s="133"/>
      <c r="G708" s="43"/>
      <c r="H708" s="133" t="s">
        <v>70</v>
      </c>
      <c r="I708" s="133"/>
      <c r="J708" s="43"/>
    </row>
    <row r="709" spans="1:12" s="40" customForma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</row>
    <row r="710" spans="1:12" s="40" customFormat="1" ht="15" thickBot="1">
      <c r="A710" s="43"/>
      <c r="B710" s="44" t="s">
        <v>73</v>
      </c>
      <c r="C710" s="128"/>
      <c r="D710" s="128"/>
      <c r="E710" s="128"/>
      <c r="F710" s="128"/>
      <c r="G710" s="43"/>
      <c r="H710" s="128"/>
      <c r="I710" s="128"/>
      <c r="J710" s="43"/>
    </row>
    <row r="711" spans="1:12" s="40" customFormat="1">
      <c r="A711" s="43"/>
      <c r="B711" s="43"/>
      <c r="C711" s="133" t="s">
        <v>69</v>
      </c>
      <c r="D711" s="133"/>
      <c r="E711" s="133"/>
      <c r="F711" s="133"/>
      <c r="G711" s="43"/>
      <c r="H711" s="133" t="s">
        <v>70</v>
      </c>
      <c r="I711" s="133"/>
      <c r="J711" s="43"/>
    </row>
    <row r="712" spans="1:12" s="40" customFormat="1">
      <c r="A712" s="43"/>
      <c r="B712" s="41"/>
      <c r="C712" s="41"/>
      <c r="D712" s="41"/>
      <c r="E712" s="41"/>
      <c r="F712" s="41"/>
      <c r="G712" s="41"/>
      <c r="H712" s="41"/>
      <c r="I712" s="41"/>
      <c r="J712" s="41"/>
    </row>
    <row r="713" spans="1:12" s="40" customFormat="1">
      <c r="A713" s="41"/>
      <c r="B713" s="42"/>
      <c r="C713" s="42"/>
      <c r="D713" s="42"/>
      <c r="E713" s="42"/>
      <c r="F713" s="42"/>
      <c r="G713" s="42"/>
      <c r="H713" s="42"/>
      <c r="I713" s="42"/>
      <c r="J713" s="42"/>
    </row>
    <row r="714" spans="1:12">
      <c r="A714" s="42"/>
    </row>
    <row r="719" spans="1:12" s="40" customFormat="1" ht="36" customHeight="1">
      <c r="A719"/>
      <c r="B719" s="76"/>
      <c r="C719" s="77" t="s">
        <v>29</v>
      </c>
      <c r="D719" s="77">
        <v>7</v>
      </c>
      <c r="E719" s="76"/>
      <c r="F719" s="76"/>
      <c r="G719" s="78" t="s">
        <v>30</v>
      </c>
      <c r="H719" s="77" t="s">
        <v>31</v>
      </c>
      <c r="I719" s="79" t="s">
        <v>301</v>
      </c>
      <c r="J719" s="76"/>
      <c r="K719" s="76"/>
      <c r="L719" s="76"/>
    </row>
    <row r="720" spans="1:12" s="40" customFormat="1">
      <c r="A720" s="76"/>
      <c r="B720" s="76"/>
      <c r="C720" s="80"/>
      <c r="D720" s="76"/>
      <c r="E720" s="76"/>
      <c r="F720" s="76"/>
      <c r="G720" s="76"/>
      <c r="H720" s="77" t="s">
        <v>32</v>
      </c>
      <c r="I720" s="79">
        <v>46047</v>
      </c>
      <c r="J720" s="76"/>
      <c r="K720" s="76"/>
      <c r="L720" s="76"/>
    </row>
    <row r="721" spans="1:13" s="40" customForma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</row>
    <row r="722" spans="1:13" s="40" customFormat="1" ht="27.6">
      <c r="A722" s="76"/>
      <c r="B722" s="76"/>
      <c r="C722" s="77" t="s">
        <v>33</v>
      </c>
      <c r="D722" s="132" t="s">
        <v>217</v>
      </c>
      <c r="E722" s="132"/>
      <c r="F722" s="132"/>
      <c r="G722" s="76"/>
      <c r="H722" s="76"/>
      <c r="I722" s="76"/>
      <c r="J722" s="76"/>
      <c r="K722" s="76"/>
      <c r="L722" s="76"/>
    </row>
    <row r="723" spans="1:13" s="40" customForma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</row>
    <row r="724" spans="1:13" s="40" customFormat="1">
      <c r="A724" s="76"/>
      <c r="B724" s="76"/>
      <c r="C724" s="77" t="s">
        <v>34</v>
      </c>
      <c r="D724" s="132" t="s">
        <v>218</v>
      </c>
      <c r="E724" s="132"/>
      <c r="F724" s="132"/>
      <c r="G724" s="76"/>
      <c r="H724" s="76"/>
      <c r="I724" s="76"/>
      <c r="J724" s="76"/>
      <c r="K724" s="76"/>
      <c r="L724" s="76"/>
    </row>
    <row r="725" spans="1:13" s="40" customForma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</row>
    <row r="726" spans="1:13" s="40" customFormat="1">
      <c r="A726" s="76"/>
      <c r="B726" s="76"/>
      <c r="C726" s="77" t="s">
        <v>35</v>
      </c>
      <c r="D726" s="132" t="s">
        <v>36</v>
      </c>
      <c r="E726" s="132"/>
      <c r="F726" s="132"/>
      <c r="G726" s="76"/>
      <c r="H726" s="76"/>
      <c r="I726" s="76"/>
      <c r="J726" s="76"/>
      <c r="K726" s="76"/>
      <c r="L726" s="76"/>
    </row>
    <row r="727" spans="1:13" s="40" customFormat="1">
      <c r="A727" s="76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</row>
    <row r="728" spans="1:13" s="40" customForma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</row>
    <row r="729" spans="1:13" s="40" customFormat="1" ht="26.4">
      <c r="A729" s="81"/>
      <c r="B729" s="12" t="s">
        <v>38</v>
      </c>
      <c r="C729" s="107" t="s">
        <v>39</v>
      </c>
      <c r="D729" s="108" t="s">
        <v>320</v>
      </c>
      <c r="E729" s="108" t="s">
        <v>40</v>
      </c>
      <c r="F729" s="108" t="s">
        <v>41</v>
      </c>
      <c r="G729" s="108" t="s">
        <v>2</v>
      </c>
      <c r="H729" s="108" t="s">
        <v>42</v>
      </c>
      <c r="I729" s="108" t="s">
        <v>43</v>
      </c>
      <c r="J729" s="108" t="s">
        <v>44</v>
      </c>
      <c r="K729" s="108" t="s">
        <v>45</v>
      </c>
      <c r="L729" s="109" t="s">
        <v>46</v>
      </c>
      <c r="M729" s="108" t="s">
        <v>321</v>
      </c>
    </row>
    <row r="730" spans="1:13" s="40" customFormat="1" ht="66" hidden="1">
      <c r="A730" s="12" t="s">
        <v>37</v>
      </c>
      <c r="B730" s="47" t="s">
        <v>47</v>
      </c>
      <c r="C730" s="105" t="s">
        <v>48</v>
      </c>
      <c r="D730" s="48" t="s">
        <v>49</v>
      </c>
      <c r="E730" s="39">
        <v>1</v>
      </c>
      <c r="F730" s="48" t="s">
        <v>205</v>
      </c>
      <c r="G730" s="48" t="s">
        <v>277</v>
      </c>
      <c r="H730" s="46" t="s">
        <v>7</v>
      </c>
      <c r="I730" s="49">
        <v>34</v>
      </c>
      <c r="J730" s="71">
        <v>195</v>
      </c>
      <c r="K730" s="37">
        <f>J730*I730</f>
        <v>6630</v>
      </c>
      <c r="L730" s="63"/>
    </row>
    <row r="731" spans="1:13" s="40" customFormat="1" ht="26.4" hidden="1">
      <c r="A731" s="46">
        <v>1</v>
      </c>
      <c r="B731" s="47" t="s">
        <v>47</v>
      </c>
      <c r="C731" s="105" t="s">
        <v>48</v>
      </c>
      <c r="D731" s="48" t="s">
        <v>49</v>
      </c>
      <c r="E731" s="39">
        <v>1</v>
      </c>
      <c r="F731" s="48" t="s">
        <v>103</v>
      </c>
      <c r="G731" s="48" t="s">
        <v>277</v>
      </c>
      <c r="H731" s="93" t="s">
        <v>7</v>
      </c>
      <c r="I731" s="49">
        <v>49</v>
      </c>
      <c r="J731" s="71">
        <v>195</v>
      </c>
      <c r="K731" s="37">
        <f>J731*I731</f>
        <v>9555</v>
      </c>
      <c r="L731" s="63"/>
    </row>
    <row r="732" spans="1:13" s="40" customFormat="1" ht="26.4" hidden="1">
      <c r="A732" s="46">
        <v>2</v>
      </c>
      <c r="B732" s="47" t="s">
        <v>47</v>
      </c>
      <c r="C732" s="105" t="s">
        <v>48</v>
      </c>
      <c r="D732" s="48" t="s">
        <v>49</v>
      </c>
      <c r="E732" s="39">
        <v>1</v>
      </c>
      <c r="F732" s="48" t="s">
        <v>90</v>
      </c>
      <c r="G732" s="48" t="s">
        <v>277</v>
      </c>
      <c r="H732" s="46" t="s">
        <v>7</v>
      </c>
      <c r="I732" s="49">
        <v>101</v>
      </c>
      <c r="J732" s="71">
        <v>195</v>
      </c>
      <c r="K732" s="37">
        <f>J732*I732</f>
        <v>19695</v>
      </c>
      <c r="L732" s="63"/>
    </row>
    <row r="733" spans="1:13" s="40" customFormat="1" ht="26.4" hidden="1">
      <c r="A733" s="46">
        <v>3</v>
      </c>
      <c r="B733" s="47" t="s">
        <v>47</v>
      </c>
      <c r="C733" s="105" t="s">
        <v>48</v>
      </c>
      <c r="D733" s="48" t="s">
        <v>49</v>
      </c>
      <c r="E733" s="39">
        <v>1</v>
      </c>
      <c r="F733" s="48" t="s">
        <v>101</v>
      </c>
      <c r="G733" s="48" t="s">
        <v>277</v>
      </c>
      <c r="H733" s="46" t="s">
        <v>7</v>
      </c>
      <c r="I733" s="49">
        <v>30</v>
      </c>
      <c r="J733" s="71">
        <v>195</v>
      </c>
      <c r="K733" s="37">
        <f>J733*I733</f>
        <v>5850</v>
      </c>
      <c r="L733" s="63"/>
    </row>
    <row r="734" spans="1:13" s="40" customFormat="1" ht="26.4" hidden="1">
      <c r="A734" s="46">
        <v>4</v>
      </c>
      <c r="B734" s="47" t="s">
        <v>47</v>
      </c>
      <c r="C734" s="105" t="s">
        <v>48</v>
      </c>
      <c r="D734" s="48" t="s">
        <v>49</v>
      </c>
      <c r="E734" s="39">
        <v>1</v>
      </c>
      <c r="F734" s="48" t="s">
        <v>89</v>
      </c>
      <c r="G734" s="48" t="s">
        <v>277</v>
      </c>
      <c r="H734" s="46" t="s">
        <v>7</v>
      </c>
      <c r="I734" s="49">
        <v>102</v>
      </c>
      <c r="J734" s="71">
        <v>195</v>
      </c>
      <c r="K734" s="37">
        <f>J734*I734</f>
        <v>19890</v>
      </c>
      <c r="L734" s="63"/>
    </row>
    <row r="735" spans="1:13" s="40" customFormat="1" ht="26.4" hidden="1">
      <c r="A735" s="46">
        <v>5</v>
      </c>
      <c r="B735" s="47" t="s">
        <v>47</v>
      </c>
      <c r="C735" s="105" t="s">
        <v>48</v>
      </c>
      <c r="D735" s="48" t="s">
        <v>49</v>
      </c>
      <c r="E735" s="39">
        <v>1</v>
      </c>
      <c r="F735" s="48" t="s">
        <v>91</v>
      </c>
      <c r="G735" s="48" t="s">
        <v>277</v>
      </c>
      <c r="H735" s="46" t="s">
        <v>7</v>
      </c>
      <c r="I735" s="49">
        <v>55</v>
      </c>
      <c r="J735" s="71">
        <v>195</v>
      </c>
      <c r="K735" s="37">
        <f t="shared" ref="K735:K798" si="14">J735*I735</f>
        <v>10725</v>
      </c>
      <c r="L735" s="63"/>
    </row>
    <row r="736" spans="1:13" s="40" customFormat="1" ht="26.4" hidden="1">
      <c r="A736" s="46">
        <v>6</v>
      </c>
      <c r="B736" s="47" t="s">
        <v>47</v>
      </c>
      <c r="C736" s="105" t="s">
        <v>48</v>
      </c>
      <c r="D736" s="48" t="s">
        <v>49</v>
      </c>
      <c r="E736" s="39">
        <v>2</v>
      </c>
      <c r="F736" s="48" t="s">
        <v>179</v>
      </c>
      <c r="G736" s="48" t="s">
        <v>277</v>
      </c>
      <c r="H736" s="46" t="s">
        <v>7</v>
      </c>
      <c r="I736" s="49">
        <v>51</v>
      </c>
      <c r="J736" s="71">
        <v>195</v>
      </c>
      <c r="K736" s="37">
        <f t="shared" si="14"/>
        <v>9945</v>
      </c>
      <c r="L736" s="63"/>
    </row>
    <row r="737" spans="1:12" s="40" customFormat="1" ht="26.4" hidden="1">
      <c r="A737" s="46">
        <v>7</v>
      </c>
      <c r="B737" s="47" t="s">
        <v>47</v>
      </c>
      <c r="C737" s="105" t="s">
        <v>48</v>
      </c>
      <c r="D737" s="48" t="s">
        <v>49</v>
      </c>
      <c r="E737" s="39">
        <v>2</v>
      </c>
      <c r="F737" s="48" t="s">
        <v>172</v>
      </c>
      <c r="G737" s="48" t="s">
        <v>277</v>
      </c>
      <c r="H737" s="46" t="s">
        <v>7</v>
      </c>
      <c r="I737" s="49">
        <v>25</v>
      </c>
      <c r="J737" s="71">
        <v>195</v>
      </c>
      <c r="K737" s="37">
        <f t="shared" si="14"/>
        <v>4875</v>
      </c>
      <c r="L737" s="63"/>
    </row>
    <row r="738" spans="1:12" s="40" customFormat="1" ht="26.4" hidden="1">
      <c r="A738" s="46">
        <v>8</v>
      </c>
      <c r="B738" s="47" t="s">
        <v>47</v>
      </c>
      <c r="C738" s="105" t="s">
        <v>48</v>
      </c>
      <c r="D738" s="48" t="s">
        <v>49</v>
      </c>
      <c r="E738" s="39">
        <v>2</v>
      </c>
      <c r="F738" s="48" t="s">
        <v>171</v>
      </c>
      <c r="G738" s="48" t="s">
        <v>277</v>
      </c>
      <c r="H738" s="46" t="s">
        <v>7</v>
      </c>
      <c r="I738" s="49">
        <v>30.5</v>
      </c>
      <c r="J738" s="71">
        <v>195</v>
      </c>
      <c r="K738" s="37">
        <f t="shared" si="14"/>
        <v>5947.5</v>
      </c>
      <c r="L738" s="63"/>
    </row>
    <row r="739" spans="1:12" s="40" customFormat="1" ht="26.4" hidden="1">
      <c r="A739" s="46">
        <v>9</v>
      </c>
      <c r="B739" s="47" t="s">
        <v>47</v>
      </c>
      <c r="C739" s="105" t="s">
        <v>48</v>
      </c>
      <c r="D739" s="48" t="s">
        <v>49</v>
      </c>
      <c r="E739" s="39">
        <v>2</v>
      </c>
      <c r="F739" s="48" t="s">
        <v>169</v>
      </c>
      <c r="G739" s="48" t="s">
        <v>277</v>
      </c>
      <c r="H739" s="46" t="s">
        <v>7</v>
      </c>
      <c r="I739" s="49">
        <v>29.5</v>
      </c>
      <c r="J739" s="71">
        <v>195</v>
      </c>
      <c r="K739" s="37">
        <f t="shared" si="14"/>
        <v>5752.5</v>
      </c>
      <c r="L739" s="63"/>
    </row>
    <row r="740" spans="1:12" s="40" customFormat="1" ht="26.4" hidden="1">
      <c r="A740" s="46">
        <v>10</v>
      </c>
      <c r="B740" s="47" t="s">
        <v>47</v>
      </c>
      <c r="C740" s="105" t="s">
        <v>48</v>
      </c>
      <c r="D740" s="48" t="s">
        <v>49</v>
      </c>
      <c r="E740" s="39">
        <v>2</v>
      </c>
      <c r="F740" s="48" t="s">
        <v>163</v>
      </c>
      <c r="G740" s="48" t="s">
        <v>277</v>
      </c>
      <c r="H740" s="46" t="s">
        <v>7</v>
      </c>
      <c r="I740" s="49">
        <v>12</v>
      </c>
      <c r="J740" s="71">
        <v>195</v>
      </c>
      <c r="K740" s="37">
        <f t="shared" si="14"/>
        <v>2340</v>
      </c>
      <c r="L740" s="63"/>
    </row>
    <row r="741" spans="1:12" s="40" customFormat="1" ht="26.4" hidden="1">
      <c r="A741" s="46">
        <v>11</v>
      </c>
      <c r="B741" s="47" t="s">
        <v>47</v>
      </c>
      <c r="C741" s="105" t="s">
        <v>48</v>
      </c>
      <c r="D741" s="48" t="s">
        <v>49</v>
      </c>
      <c r="E741" s="39">
        <v>2</v>
      </c>
      <c r="F741" s="48" t="s">
        <v>178</v>
      </c>
      <c r="G741" s="48" t="s">
        <v>277</v>
      </c>
      <c r="H741" s="46" t="s">
        <v>7</v>
      </c>
      <c r="I741" s="49">
        <v>76.5</v>
      </c>
      <c r="J741" s="71">
        <v>195</v>
      </c>
      <c r="K741" s="37">
        <f t="shared" si="14"/>
        <v>14917.5</v>
      </c>
      <c r="L741" s="63"/>
    </row>
    <row r="742" spans="1:12" s="40" customFormat="1" ht="26.4" hidden="1">
      <c r="A742" s="46">
        <v>12</v>
      </c>
      <c r="B742" s="47" t="s">
        <v>47</v>
      </c>
      <c r="C742" s="105" t="s">
        <v>48</v>
      </c>
      <c r="D742" s="48" t="s">
        <v>49</v>
      </c>
      <c r="E742" s="39">
        <v>3</v>
      </c>
      <c r="F742" s="48" t="s">
        <v>259</v>
      </c>
      <c r="G742" s="48" t="s">
        <v>277</v>
      </c>
      <c r="H742" s="46" t="s">
        <v>7</v>
      </c>
      <c r="I742" s="49">
        <v>276.5</v>
      </c>
      <c r="J742" s="71">
        <v>195</v>
      </c>
      <c r="K742" s="37">
        <f t="shared" si="14"/>
        <v>53917.5</v>
      </c>
      <c r="L742" s="63"/>
    </row>
    <row r="743" spans="1:12" s="40" customFormat="1" ht="27.6" hidden="1">
      <c r="A743" s="46">
        <v>13</v>
      </c>
      <c r="B743" s="47" t="s">
        <v>47</v>
      </c>
      <c r="C743" s="105" t="s">
        <v>48</v>
      </c>
      <c r="D743" s="48" t="s">
        <v>49</v>
      </c>
      <c r="E743" s="39">
        <v>3</v>
      </c>
      <c r="F743" s="48" t="s">
        <v>258</v>
      </c>
      <c r="G743" s="48" t="s">
        <v>277</v>
      </c>
      <c r="H743" s="46" t="s">
        <v>7</v>
      </c>
      <c r="I743" s="49">
        <v>198</v>
      </c>
      <c r="J743" s="71">
        <v>195</v>
      </c>
      <c r="K743" s="37">
        <f t="shared" si="14"/>
        <v>38610</v>
      </c>
      <c r="L743" s="63" t="s">
        <v>302</v>
      </c>
    </row>
    <row r="744" spans="1:12" s="40" customFormat="1" ht="26.4" hidden="1">
      <c r="A744" s="46">
        <v>14</v>
      </c>
      <c r="B744" s="47" t="s">
        <v>47</v>
      </c>
      <c r="C744" s="105" t="s">
        <v>48</v>
      </c>
      <c r="D744" s="48" t="s">
        <v>49</v>
      </c>
      <c r="E744" s="39">
        <v>3</v>
      </c>
      <c r="F744" s="48" t="s">
        <v>227</v>
      </c>
      <c r="G744" s="48" t="s">
        <v>277</v>
      </c>
      <c r="H744" s="46" t="s">
        <v>7</v>
      </c>
      <c r="I744" s="49">
        <v>34</v>
      </c>
      <c r="J744" s="71">
        <v>195</v>
      </c>
      <c r="K744" s="37">
        <f t="shared" si="14"/>
        <v>6630</v>
      </c>
      <c r="L744" s="63"/>
    </row>
    <row r="745" spans="1:12" s="40" customFormat="1" ht="26.4" hidden="1">
      <c r="A745" s="46">
        <v>15</v>
      </c>
      <c r="B745" s="47" t="s">
        <v>47</v>
      </c>
      <c r="C745" s="105" t="s">
        <v>48</v>
      </c>
      <c r="D745" s="48" t="s">
        <v>49</v>
      </c>
      <c r="E745" s="39">
        <v>3</v>
      </c>
      <c r="F745" s="48" t="s">
        <v>224</v>
      </c>
      <c r="G745" s="48" t="s">
        <v>277</v>
      </c>
      <c r="H745" s="46" t="s">
        <v>7</v>
      </c>
      <c r="I745" s="49">
        <v>101</v>
      </c>
      <c r="J745" s="71">
        <v>195</v>
      </c>
      <c r="K745" s="37">
        <f>J749*I745</f>
        <v>19695</v>
      </c>
      <c r="L745" s="63"/>
    </row>
    <row r="746" spans="1:12" s="40" customFormat="1" ht="27.6" hidden="1">
      <c r="A746" s="46">
        <v>16</v>
      </c>
      <c r="B746" s="47" t="s">
        <v>47</v>
      </c>
      <c r="C746" s="105" t="s">
        <v>48</v>
      </c>
      <c r="D746" s="48" t="s">
        <v>49</v>
      </c>
      <c r="E746" s="39">
        <v>1</v>
      </c>
      <c r="F746" s="48" t="s">
        <v>159</v>
      </c>
      <c r="G746" s="48" t="s">
        <v>277</v>
      </c>
      <c r="H746" s="46" t="s">
        <v>7</v>
      </c>
      <c r="I746" s="49">
        <v>223</v>
      </c>
      <c r="J746" s="71">
        <v>195</v>
      </c>
      <c r="K746" s="37">
        <f t="shared" si="14"/>
        <v>43485</v>
      </c>
      <c r="L746" s="63" t="s">
        <v>303</v>
      </c>
    </row>
    <row r="747" spans="1:12" s="40" customFormat="1" ht="27.6" hidden="1">
      <c r="A747" s="46">
        <v>17</v>
      </c>
      <c r="B747" s="47" t="s">
        <v>47</v>
      </c>
      <c r="C747" s="105" t="s">
        <v>48</v>
      </c>
      <c r="D747" s="48" t="s">
        <v>49</v>
      </c>
      <c r="E747" s="39">
        <v>2</v>
      </c>
      <c r="F747" s="48" t="s">
        <v>212</v>
      </c>
      <c r="G747" s="48" t="s">
        <v>277</v>
      </c>
      <c r="H747" s="46" t="s">
        <v>304</v>
      </c>
      <c r="I747" s="49">
        <v>296</v>
      </c>
      <c r="J747" s="71">
        <v>195</v>
      </c>
      <c r="K747" s="37">
        <f t="shared" si="14"/>
        <v>57720</v>
      </c>
      <c r="L747" s="63" t="s">
        <v>305</v>
      </c>
    </row>
    <row r="748" spans="1:12" s="40" customFormat="1" ht="26.4" hidden="1">
      <c r="A748" s="46">
        <v>18</v>
      </c>
      <c r="B748" s="47" t="s">
        <v>47</v>
      </c>
      <c r="C748" s="105" t="s">
        <v>48</v>
      </c>
      <c r="D748" s="48" t="s">
        <v>49</v>
      </c>
      <c r="E748" s="39">
        <v>3</v>
      </c>
      <c r="F748" s="48" t="s">
        <v>229</v>
      </c>
      <c r="G748" s="48" t="s">
        <v>277</v>
      </c>
      <c r="H748" s="46" t="s">
        <v>7</v>
      </c>
      <c r="I748" s="49">
        <v>85</v>
      </c>
      <c r="J748" s="71">
        <v>195</v>
      </c>
      <c r="K748" s="37">
        <f t="shared" si="14"/>
        <v>16575</v>
      </c>
      <c r="L748" s="106"/>
    </row>
    <row r="749" spans="1:12" s="40" customFormat="1" ht="66" hidden="1">
      <c r="A749" s="46">
        <v>19</v>
      </c>
      <c r="B749" s="47" t="s">
        <v>47</v>
      </c>
      <c r="C749" s="105" t="s">
        <v>48</v>
      </c>
      <c r="D749" s="48" t="s">
        <v>49</v>
      </c>
      <c r="E749" s="39">
        <v>1</v>
      </c>
      <c r="F749" s="48" t="s">
        <v>205</v>
      </c>
      <c r="G749" s="48" t="s">
        <v>278</v>
      </c>
      <c r="H749" s="46" t="s">
        <v>304</v>
      </c>
      <c r="I749" s="49">
        <v>24</v>
      </c>
      <c r="J749" s="71">
        <v>195</v>
      </c>
      <c r="K749" s="37">
        <v>0</v>
      </c>
      <c r="L749" s="63"/>
    </row>
    <row r="750" spans="1:12" s="40" customFormat="1" ht="26.4" hidden="1">
      <c r="A750" s="46">
        <v>20</v>
      </c>
      <c r="B750" s="47" t="s">
        <v>47</v>
      </c>
      <c r="C750" s="105" t="s">
        <v>48</v>
      </c>
      <c r="D750" s="48" t="s">
        <v>49</v>
      </c>
      <c r="E750" s="39">
        <v>1</v>
      </c>
      <c r="F750" s="48" t="s">
        <v>103</v>
      </c>
      <c r="G750" s="48" t="s">
        <v>278</v>
      </c>
      <c r="H750" s="46" t="s">
        <v>7</v>
      </c>
      <c r="I750" s="49">
        <v>49</v>
      </c>
      <c r="J750" s="71">
        <v>195</v>
      </c>
      <c r="K750" s="37">
        <f t="shared" si="14"/>
        <v>9555</v>
      </c>
      <c r="L750" s="63"/>
    </row>
    <row r="751" spans="1:12" s="40" customFormat="1" ht="26.4" hidden="1">
      <c r="A751" s="46">
        <v>21</v>
      </c>
      <c r="B751" s="47" t="s">
        <v>47</v>
      </c>
      <c r="C751" s="105" t="s">
        <v>48</v>
      </c>
      <c r="D751" s="48" t="s">
        <v>49</v>
      </c>
      <c r="E751" s="39">
        <v>1</v>
      </c>
      <c r="F751" s="48" t="s">
        <v>114</v>
      </c>
      <c r="G751" s="48" t="s">
        <v>278</v>
      </c>
      <c r="H751" s="46" t="s">
        <v>7</v>
      </c>
      <c r="I751" s="49">
        <v>33.5</v>
      </c>
      <c r="J751" s="71">
        <v>195</v>
      </c>
      <c r="K751" s="37">
        <f t="shared" si="14"/>
        <v>6532.5</v>
      </c>
      <c r="L751" s="63"/>
    </row>
    <row r="752" spans="1:12" s="40" customFormat="1" ht="26.4" hidden="1">
      <c r="A752" s="46">
        <v>22</v>
      </c>
      <c r="B752" s="47" t="s">
        <v>47</v>
      </c>
      <c r="C752" s="105" t="s">
        <v>48</v>
      </c>
      <c r="D752" s="48" t="s">
        <v>49</v>
      </c>
      <c r="E752" s="39">
        <v>1</v>
      </c>
      <c r="F752" s="48" t="s">
        <v>101</v>
      </c>
      <c r="G752" s="48" t="s">
        <v>278</v>
      </c>
      <c r="H752" s="46" t="s">
        <v>7</v>
      </c>
      <c r="I752" s="49">
        <v>30</v>
      </c>
      <c r="J752" s="71">
        <v>195</v>
      </c>
      <c r="K752" s="37">
        <v>0</v>
      </c>
      <c r="L752" s="63"/>
    </row>
    <row r="753" spans="1:12" s="40" customFormat="1" ht="26.4" hidden="1">
      <c r="A753" s="46">
        <v>23</v>
      </c>
      <c r="B753" s="47" t="s">
        <v>47</v>
      </c>
      <c r="C753" s="105" t="s">
        <v>48</v>
      </c>
      <c r="D753" s="48" t="s">
        <v>49</v>
      </c>
      <c r="E753" s="39">
        <v>1</v>
      </c>
      <c r="F753" s="48" t="s">
        <v>89</v>
      </c>
      <c r="G753" s="48" t="s">
        <v>278</v>
      </c>
      <c r="H753" s="46" t="s">
        <v>7</v>
      </c>
      <c r="I753" s="49">
        <v>102</v>
      </c>
      <c r="J753" s="71">
        <v>195</v>
      </c>
      <c r="K753" s="37">
        <f t="shared" si="14"/>
        <v>19890</v>
      </c>
      <c r="L753" s="63"/>
    </row>
    <row r="754" spans="1:12" s="40" customFormat="1" ht="26.4" hidden="1">
      <c r="A754" s="46">
        <v>24</v>
      </c>
      <c r="B754" s="47" t="s">
        <v>47</v>
      </c>
      <c r="C754" s="105" t="s">
        <v>48</v>
      </c>
      <c r="D754" s="48" t="s">
        <v>49</v>
      </c>
      <c r="E754" s="39">
        <v>1</v>
      </c>
      <c r="F754" s="48" t="s">
        <v>159</v>
      </c>
      <c r="G754" s="48" t="s">
        <v>278</v>
      </c>
      <c r="H754" s="46" t="s">
        <v>7</v>
      </c>
      <c r="I754" s="49">
        <v>9.6999999999999993</v>
      </c>
      <c r="J754" s="71">
        <v>195</v>
      </c>
      <c r="K754" s="37">
        <f t="shared" si="14"/>
        <v>1891.4999999999998</v>
      </c>
      <c r="L754" s="63"/>
    </row>
    <row r="755" spans="1:12" s="40" customFormat="1" ht="36" hidden="1" customHeight="1">
      <c r="A755" s="46">
        <v>25</v>
      </c>
      <c r="B755" s="47" t="s">
        <v>47</v>
      </c>
      <c r="C755" s="105" t="s">
        <v>48</v>
      </c>
      <c r="D755" s="48" t="s">
        <v>49</v>
      </c>
      <c r="E755" s="39">
        <v>2</v>
      </c>
      <c r="F755" s="48" t="s">
        <v>179</v>
      </c>
      <c r="G755" s="48" t="s">
        <v>278</v>
      </c>
      <c r="H755" s="46" t="s">
        <v>7</v>
      </c>
      <c r="I755" s="49">
        <v>18.7</v>
      </c>
      <c r="J755" s="71">
        <v>195</v>
      </c>
      <c r="K755" s="37">
        <f t="shared" si="14"/>
        <v>3646.5</v>
      </c>
      <c r="L755" s="63"/>
    </row>
    <row r="756" spans="1:12" s="40" customFormat="1" ht="26.4" hidden="1">
      <c r="A756" s="46">
        <v>26</v>
      </c>
      <c r="B756" s="47" t="s">
        <v>47</v>
      </c>
      <c r="C756" s="105" t="s">
        <v>48</v>
      </c>
      <c r="D756" s="48" t="s">
        <v>49</v>
      </c>
      <c r="E756" s="39">
        <v>2</v>
      </c>
      <c r="F756" s="48" t="s">
        <v>172</v>
      </c>
      <c r="G756" s="48" t="s">
        <v>278</v>
      </c>
      <c r="H756" s="46" t="s">
        <v>7</v>
      </c>
      <c r="I756" s="49">
        <v>25</v>
      </c>
      <c r="J756" s="71">
        <v>195</v>
      </c>
      <c r="K756" s="37">
        <f t="shared" si="14"/>
        <v>4875</v>
      </c>
      <c r="L756" s="63"/>
    </row>
    <row r="757" spans="1:12" s="40" customFormat="1" ht="26.4" hidden="1">
      <c r="A757" s="46">
        <v>27</v>
      </c>
      <c r="B757" s="47" t="s">
        <v>47</v>
      </c>
      <c r="C757" s="105" t="s">
        <v>48</v>
      </c>
      <c r="D757" s="48" t="s">
        <v>49</v>
      </c>
      <c r="E757" s="39">
        <v>2</v>
      </c>
      <c r="F757" s="48" t="s">
        <v>171</v>
      </c>
      <c r="G757" s="48" t="s">
        <v>278</v>
      </c>
      <c r="H757" s="46" t="s">
        <v>304</v>
      </c>
      <c r="I757" s="49">
        <v>30.5</v>
      </c>
      <c r="J757" s="71">
        <v>195</v>
      </c>
      <c r="K757" s="37">
        <f t="shared" si="14"/>
        <v>5947.5</v>
      </c>
      <c r="L757" s="63"/>
    </row>
    <row r="758" spans="1:12" s="40" customFormat="1" ht="26.4" hidden="1">
      <c r="A758" s="46">
        <v>28</v>
      </c>
      <c r="B758" s="47" t="s">
        <v>47</v>
      </c>
      <c r="C758" s="105" t="s">
        <v>48</v>
      </c>
      <c r="D758" s="48" t="s">
        <v>49</v>
      </c>
      <c r="E758" s="39">
        <v>2</v>
      </c>
      <c r="F758" s="48" t="s">
        <v>169</v>
      </c>
      <c r="G758" s="48" t="s">
        <v>278</v>
      </c>
      <c r="H758" s="46" t="s">
        <v>7</v>
      </c>
      <c r="I758" s="49">
        <v>24.5</v>
      </c>
      <c r="J758" s="71">
        <v>195</v>
      </c>
      <c r="K758" s="37">
        <f t="shared" si="14"/>
        <v>4777.5</v>
      </c>
      <c r="L758" s="63"/>
    </row>
    <row r="759" spans="1:12" s="40" customFormat="1" ht="26.4" hidden="1">
      <c r="A759" s="46">
        <v>29</v>
      </c>
      <c r="B759" s="47" t="s">
        <v>47</v>
      </c>
      <c r="C759" s="105" t="s">
        <v>48</v>
      </c>
      <c r="D759" s="48" t="s">
        <v>49</v>
      </c>
      <c r="E759" s="39">
        <v>2</v>
      </c>
      <c r="F759" s="48" t="s">
        <v>193</v>
      </c>
      <c r="G759" s="48" t="s">
        <v>278</v>
      </c>
      <c r="H759" s="46" t="s">
        <v>7</v>
      </c>
      <c r="I759" s="49">
        <v>23.5</v>
      </c>
      <c r="J759" s="71">
        <v>195</v>
      </c>
      <c r="K759" s="37">
        <f t="shared" si="14"/>
        <v>4582.5</v>
      </c>
      <c r="L759" s="63"/>
    </row>
    <row r="760" spans="1:12" s="40" customFormat="1" ht="26.4" hidden="1">
      <c r="A760" s="46">
        <v>30</v>
      </c>
      <c r="B760" s="47" t="s">
        <v>47</v>
      </c>
      <c r="C760" s="105" t="s">
        <v>48</v>
      </c>
      <c r="D760" s="48" t="s">
        <v>49</v>
      </c>
      <c r="E760" s="39">
        <v>2</v>
      </c>
      <c r="F760" s="48" t="s">
        <v>178</v>
      </c>
      <c r="G760" s="48" t="s">
        <v>278</v>
      </c>
      <c r="H760" s="46" t="s">
        <v>7</v>
      </c>
      <c r="I760" s="49">
        <v>25</v>
      </c>
      <c r="J760" s="71">
        <v>195</v>
      </c>
      <c r="K760" s="37">
        <f t="shared" si="14"/>
        <v>4875</v>
      </c>
      <c r="L760" s="63"/>
    </row>
    <row r="761" spans="1:12" s="40" customFormat="1" ht="26.4" hidden="1">
      <c r="A761" s="46">
        <v>31</v>
      </c>
      <c r="B761" s="47" t="s">
        <v>47</v>
      </c>
      <c r="C761" s="105" t="s">
        <v>48</v>
      </c>
      <c r="D761" s="48" t="s">
        <v>49</v>
      </c>
      <c r="E761" s="39">
        <v>3</v>
      </c>
      <c r="F761" s="48" t="s">
        <v>227</v>
      </c>
      <c r="G761" s="48" t="s">
        <v>278</v>
      </c>
      <c r="H761" s="46" t="s">
        <v>7</v>
      </c>
      <c r="I761" s="49">
        <v>34</v>
      </c>
      <c r="J761" s="71">
        <v>195</v>
      </c>
      <c r="K761" s="37">
        <f t="shared" si="14"/>
        <v>6630</v>
      </c>
      <c r="L761" s="63"/>
    </row>
    <row r="762" spans="1:12" s="40" customFormat="1" ht="26.4" hidden="1">
      <c r="A762" s="46">
        <v>32</v>
      </c>
      <c r="B762" s="47" t="s">
        <v>47</v>
      </c>
      <c r="C762" s="105" t="s">
        <v>48</v>
      </c>
      <c r="D762" s="48" t="s">
        <v>49</v>
      </c>
      <c r="E762" s="39">
        <v>3</v>
      </c>
      <c r="F762" s="48" t="s">
        <v>224</v>
      </c>
      <c r="G762" s="48" t="s">
        <v>278</v>
      </c>
      <c r="H762" s="46" t="s">
        <v>7</v>
      </c>
      <c r="I762" s="49">
        <v>43.5</v>
      </c>
      <c r="J762" s="71">
        <v>195</v>
      </c>
      <c r="K762" s="37">
        <f t="shared" si="14"/>
        <v>8482.5</v>
      </c>
      <c r="L762" s="63"/>
    </row>
    <row r="763" spans="1:12" s="40" customFormat="1" ht="66" hidden="1">
      <c r="A763" s="46">
        <v>33</v>
      </c>
      <c r="B763" s="47" t="s">
        <v>47</v>
      </c>
      <c r="C763" s="105" t="s">
        <v>48</v>
      </c>
      <c r="D763" s="48" t="s">
        <v>49</v>
      </c>
      <c r="E763" s="39">
        <v>3</v>
      </c>
      <c r="F763" s="48" t="s">
        <v>268</v>
      </c>
      <c r="G763" s="48" t="s">
        <v>278</v>
      </c>
      <c r="H763" s="46" t="s">
        <v>7</v>
      </c>
      <c r="I763" s="49">
        <v>22</v>
      </c>
      <c r="J763" s="71">
        <v>195</v>
      </c>
      <c r="K763" s="37">
        <f t="shared" si="14"/>
        <v>4290</v>
      </c>
      <c r="L763" s="63"/>
    </row>
    <row r="764" spans="1:12" s="40" customFormat="1" ht="26.4" hidden="1">
      <c r="A764" s="46">
        <v>34</v>
      </c>
      <c r="B764" s="47" t="s">
        <v>47</v>
      </c>
      <c r="C764" s="105" t="s">
        <v>48</v>
      </c>
      <c r="D764" s="48" t="s">
        <v>49</v>
      </c>
      <c r="E764" s="39">
        <v>3</v>
      </c>
      <c r="F764" s="48" t="s">
        <v>237</v>
      </c>
      <c r="G764" s="48" t="s">
        <v>278</v>
      </c>
      <c r="H764" s="46" t="s">
        <v>7</v>
      </c>
      <c r="I764" s="49">
        <v>23</v>
      </c>
      <c r="J764" s="71">
        <v>195</v>
      </c>
      <c r="K764" s="37">
        <f t="shared" si="14"/>
        <v>4485</v>
      </c>
      <c r="L764" s="63"/>
    </row>
    <row r="765" spans="1:12" s="40" customFormat="1" ht="39.6" hidden="1">
      <c r="A765" s="46">
        <v>35</v>
      </c>
      <c r="B765" s="47" t="s">
        <v>47</v>
      </c>
      <c r="C765" s="105" t="s">
        <v>48</v>
      </c>
      <c r="D765" s="48" t="s">
        <v>49</v>
      </c>
      <c r="E765" s="39">
        <v>1</v>
      </c>
      <c r="F765" s="48" t="s">
        <v>103</v>
      </c>
      <c r="G765" s="48" t="s">
        <v>6</v>
      </c>
      <c r="H765" s="46" t="s">
        <v>7</v>
      </c>
      <c r="I765" s="49">
        <v>4.5</v>
      </c>
      <c r="J765" s="71">
        <v>585</v>
      </c>
      <c r="K765" s="37">
        <f t="shared" si="14"/>
        <v>2632.5</v>
      </c>
      <c r="L765" s="63"/>
    </row>
    <row r="766" spans="1:12" s="40" customFormat="1" ht="39.6" hidden="1">
      <c r="A766" s="46">
        <v>36</v>
      </c>
      <c r="B766" s="47" t="s">
        <v>47</v>
      </c>
      <c r="C766" s="105" t="s">
        <v>48</v>
      </c>
      <c r="D766" s="48" t="s">
        <v>49</v>
      </c>
      <c r="E766" s="39">
        <v>1</v>
      </c>
      <c r="F766" s="48" t="s">
        <v>89</v>
      </c>
      <c r="G766" s="48" t="s">
        <v>6</v>
      </c>
      <c r="H766" s="46" t="s">
        <v>7</v>
      </c>
      <c r="I766" s="49">
        <v>10.5</v>
      </c>
      <c r="J766" s="71">
        <v>585</v>
      </c>
      <c r="K766" s="37">
        <f t="shared" si="14"/>
        <v>6142.5</v>
      </c>
      <c r="L766" s="63"/>
    </row>
    <row r="767" spans="1:12" s="40" customFormat="1" ht="39.6" hidden="1">
      <c r="A767" s="46">
        <v>37</v>
      </c>
      <c r="B767" s="47" t="s">
        <v>47</v>
      </c>
      <c r="C767" s="105" t="s">
        <v>48</v>
      </c>
      <c r="D767" s="48" t="s">
        <v>49</v>
      </c>
      <c r="E767" s="39">
        <v>2</v>
      </c>
      <c r="F767" s="48" t="s">
        <v>163</v>
      </c>
      <c r="G767" s="48" t="s">
        <v>6</v>
      </c>
      <c r="H767" s="46" t="s">
        <v>7</v>
      </c>
      <c r="I767" s="49">
        <v>16</v>
      </c>
      <c r="J767" s="71">
        <v>585</v>
      </c>
      <c r="K767" s="37">
        <f t="shared" si="14"/>
        <v>9360</v>
      </c>
      <c r="L767" s="63"/>
    </row>
    <row r="768" spans="1:12" s="40" customFormat="1" ht="39.6" hidden="1">
      <c r="A768" s="46">
        <v>38</v>
      </c>
      <c r="B768" s="47" t="s">
        <v>47</v>
      </c>
      <c r="C768" s="105" t="s">
        <v>48</v>
      </c>
      <c r="D768" s="48" t="s">
        <v>49</v>
      </c>
      <c r="E768" s="39">
        <v>2</v>
      </c>
      <c r="F768" s="48" t="s">
        <v>179</v>
      </c>
      <c r="G768" s="48" t="s">
        <v>6</v>
      </c>
      <c r="H768" s="46" t="s">
        <v>7</v>
      </c>
      <c r="I768" s="49">
        <v>18.7</v>
      </c>
      <c r="J768" s="71">
        <v>585</v>
      </c>
      <c r="K768" s="37">
        <f t="shared" si="14"/>
        <v>10939.5</v>
      </c>
      <c r="L768" s="63"/>
    </row>
    <row r="769" spans="1:12" s="40" customFormat="1" ht="39.6" hidden="1">
      <c r="A769" s="46">
        <v>39</v>
      </c>
      <c r="B769" s="47" t="s">
        <v>47</v>
      </c>
      <c r="C769" s="105" t="s">
        <v>48</v>
      </c>
      <c r="D769" s="48" t="s">
        <v>49</v>
      </c>
      <c r="E769" s="39">
        <v>2</v>
      </c>
      <c r="F769" s="48" t="s">
        <v>172</v>
      </c>
      <c r="G769" s="48" t="s">
        <v>6</v>
      </c>
      <c r="H769" s="46" t="s">
        <v>7</v>
      </c>
      <c r="I769" s="49">
        <v>24.5</v>
      </c>
      <c r="J769" s="71">
        <v>585</v>
      </c>
      <c r="K769" s="37">
        <f t="shared" si="14"/>
        <v>14332.5</v>
      </c>
      <c r="L769" s="63"/>
    </row>
    <row r="770" spans="1:12" s="40" customFormat="1" ht="39.6" hidden="1">
      <c r="A770" s="46">
        <v>40</v>
      </c>
      <c r="B770" s="47" t="s">
        <v>47</v>
      </c>
      <c r="C770" s="105" t="s">
        <v>48</v>
      </c>
      <c r="D770" s="48" t="s">
        <v>49</v>
      </c>
      <c r="E770" s="39">
        <v>2</v>
      </c>
      <c r="F770" s="48" t="s">
        <v>171</v>
      </c>
      <c r="G770" s="48" t="s">
        <v>6</v>
      </c>
      <c r="H770" s="46" t="s">
        <v>7</v>
      </c>
      <c r="I770" s="49">
        <v>29</v>
      </c>
      <c r="J770" s="71">
        <v>585</v>
      </c>
      <c r="K770" s="37">
        <f t="shared" si="14"/>
        <v>16965</v>
      </c>
      <c r="L770" s="63"/>
    </row>
    <row r="771" spans="1:12" s="40" customFormat="1" ht="39.6" hidden="1">
      <c r="A771" s="46">
        <v>41</v>
      </c>
      <c r="B771" s="47" t="s">
        <v>47</v>
      </c>
      <c r="C771" s="105" t="s">
        <v>48</v>
      </c>
      <c r="D771" s="48" t="s">
        <v>49</v>
      </c>
      <c r="E771" s="39">
        <v>2</v>
      </c>
      <c r="F771" s="48" t="s">
        <v>169</v>
      </c>
      <c r="G771" s="48" t="s">
        <v>6</v>
      </c>
      <c r="H771" s="46" t="s">
        <v>7</v>
      </c>
      <c r="I771" s="49">
        <v>12.8</v>
      </c>
      <c r="J771" s="71">
        <v>585</v>
      </c>
      <c r="K771" s="37">
        <f t="shared" si="14"/>
        <v>7488</v>
      </c>
      <c r="L771" s="63"/>
    </row>
    <row r="772" spans="1:12" s="40" customFormat="1" ht="39.6" hidden="1">
      <c r="A772" s="46">
        <v>42</v>
      </c>
      <c r="B772" s="47" t="s">
        <v>47</v>
      </c>
      <c r="C772" s="105" t="s">
        <v>48</v>
      </c>
      <c r="D772" s="48" t="s">
        <v>49</v>
      </c>
      <c r="E772" s="39">
        <v>3</v>
      </c>
      <c r="F772" s="48" t="s">
        <v>227</v>
      </c>
      <c r="G772" s="48" t="s">
        <v>6</v>
      </c>
      <c r="H772" s="46" t="s">
        <v>7</v>
      </c>
      <c r="I772" s="49">
        <v>14</v>
      </c>
      <c r="J772" s="71">
        <v>585</v>
      </c>
      <c r="K772" s="37">
        <f t="shared" si="14"/>
        <v>8190</v>
      </c>
      <c r="L772" s="63"/>
    </row>
    <row r="773" spans="1:12" s="40" customFormat="1" ht="39.6" hidden="1">
      <c r="A773" s="46">
        <v>43</v>
      </c>
      <c r="B773" s="47" t="s">
        <v>47</v>
      </c>
      <c r="C773" s="105" t="s">
        <v>48</v>
      </c>
      <c r="D773" s="48" t="s">
        <v>49</v>
      </c>
      <c r="E773" s="39">
        <v>3</v>
      </c>
      <c r="F773" s="48" t="s">
        <v>224</v>
      </c>
      <c r="G773" s="48" t="s">
        <v>6</v>
      </c>
      <c r="H773" s="46" t="s">
        <v>7</v>
      </c>
      <c r="I773" s="49">
        <v>23.5</v>
      </c>
      <c r="J773" s="71">
        <v>585</v>
      </c>
      <c r="K773" s="37">
        <f t="shared" si="14"/>
        <v>13747.5</v>
      </c>
      <c r="L773" s="63"/>
    </row>
    <row r="774" spans="1:12" s="40" customFormat="1" ht="26.4" hidden="1">
      <c r="A774" s="46">
        <v>44</v>
      </c>
      <c r="B774" s="47" t="s">
        <v>47</v>
      </c>
      <c r="C774" s="105" t="s">
        <v>48</v>
      </c>
      <c r="D774" s="48" t="s">
        <v>49</v>
      </c>
      <c r="E774" s="39">
        <v>-1</v>
      </c>
      <c r="F774" s="48" t="s">
        <v>306</v>
      </c>
      <c r="G774" s="48" t="s">
        <v>277</v>
      </c>
      <c r="H774" s="46" t="s">
        <v>7</v>
      </c>
      <c r="I774" s="49">
        <v>564</v>
      </c>
      <c r="J774" s="71">
        <v>195</v>
      </c>
      <c r="K774" s="37">
        <f t="shared" si="14"/>
        <v>109980</v>
      </c>
      <c r="L774" s="63" t="s">
        <v>307</v>
      </c>
    </row>
    <row r="775" spans="1:12" s="40" customFormat="1" ht="26.4" hidden="1">
      <c r="A775" s="46">
        <v>45</v>
      </c>
      <c r="B775" s="47" t="s">
        <v>47</v>
      </c>
      <c r="C775" s="105" t="s">
        <v>48</v>
      </c>
      <c r="D775" s="48" t="s">
        <v>49</v>
      </c>
      <c r="E775" s="39">
        <v>-1</v>
      </c>
      <c r="F775" s="48" t="s">
        <v>308</v>
      </c>
      <c r="G775" s="48" t="s">
        <v>277</v>
      </c>
      <c r="H775" s="46" t="s">
        <v>7</v>
      </c>
      <c r="I775" s="49">
        <v>164</v>
      </c>
      <c r="J775" s="71">
        <v>195</v>
      </c>
      <c r="K775" s="37">
        <f t="shared" si="14"/>
        <v>31980</v>
      </c>
      <c r="L775" s="63" t="s">
        <v>307</v>
      </c>
    </row>
    <row r="776" spans="1:12" s="40" customFormat="1" ht="69" hidden="1">
      <c r="A776" s="46">
        <v>46</v>
      </c>
      <c r="B776" s="47" t="s">
        <v>47</v>
      </c>
      <c r="C776" s="105" t="s">
        <v>48</v>
      </c>
      <c r="D776" s="48" t="s">
        <v>49</v>
      </c>
      <c r="E776" s="39">
        <v>-1</v>
      </c>
      <c r="F776" s="48" t="s">
        <v>309</v>
      </c>
      <c r="G776" s="48" t="s">
        <v>262</v>
      </c>
      <c r="H776" s="46" t="s">
        <v>7</v>
      </c>
      <c r="I776" s="49">
        <v>9</v>
      </c>
      <c r="J776" s="71">
        <v>1105</v>
      </c>
      <c r="K776" s="37">
        <f t="shared" si="14"/>
        <v>9945</v>
      </c>
      <c r="L776" s="63" t="s">
        <v>310</v>
      </c>
    </row>
    <row r="777" spans="1:12" s="40" customFormat="1" hidden="1">
      <c r="A777" s="46">
        <v>47</v>
      </c>
      <c r="B777" s="47" t="s">
        <v>47</v>
      </c>
      <c r="C777" s="105" t="s">
        <v>48</v>
      </c>
      <c r="D777" s="48" t="s">
        <v>49</v>
      </c>
      <c r="E777" s="39">
        <v>1</v>
      </c>
      <c r="F777" s="48" t="s">
        <v>101</v>
      </c>
      <c r="G777" s="48" t="s">
        <v>262</v>
      </c>
      <c r="H777" s="46" t="s">
        <v>261</v>
      </c>
      <c r="I777" s="49">
        <v>15</v>
      </c>
      <c r="J777" s="71">
        <v>1105</v>
      </c>
      <c r="K777" s="37">
        <f t="shared" si="14"/>
        <v>16575</v>
      </c>
      <c r="L777" s="63"/>
    </row>
    <row r="778" spans="1:12" s="40" customFormat="1" hidden="1">
      <c r="A778" s="46">
        <v>48</v>
      </c>
      <c r="B778" s="47" t="s">
        <v>47</v>
      </c>
      <c r="C778" s="105" t="s">
        <v>48</v>
      </c>
      <c r="D778" s="48" t="s">
        <v>49</v>
      </c>
      <c r="E778" s="39">
        <v>1</v>
      </c>
      <c r="F778" s="48" t="s">
        <v>103</v>
      </c>
      <c r="G778" s="48" t="s">
        <v>262</v>
      </c>
      <c r="H778" s="46" t="s">
        <v>261</v>
      </c>
      <c r="I778" s="49">
        <v>4.5</v>
      </c>
      <c r="J778" s="71">
        <v>1105</v>
      </c>
      <c r="K778" s="37">
        <f t="shared" si="14"/>
        <v>4972.5</v>
      </c>
      <c r="L778" s="63"/>
    </row>
    <row r="779" spans="1:12" s="40" customFormat="1" hidden="1">
      <c r="A779" s="46">
        <v>49</v>
      </c>
      <c r="B779" s="47" t="s">
        <v>47</v>
      </c>
      <c r="C779" s="105" t="s">
        <v>48</v>
      </c>
      <c r="D779" s="48" t="s">
        <v>49</v>
      </c>
      <c r="E779" s="39">
        <v>2</v>
      </c>
      <c r="F779" s="48" t="s">
        <v>89</v>
      </c>
      <c r="G779" s="48" t="s">
        <v>262</v>
      </c>
      <c r="H779" s="46" t="s">
        <v>261</v>
      </c>
      <c r="I779" s="49">
        <v>6.5</v>
      </c>
      <c r="J779" s="71">
        <v>1105</v>
      </c>
      <c r="K779" s="37">
        <f t="shared" si="14"/>
        <v>7182.5</v>
      </c>
      <c r="L779" s="63"/>
    </row>
    <row r="780" spans="1:12" s="40" customFormat="1" ht="26.4" hidden="1">
      <c r="A780" s="46">
        <v>50</v>
      </c>
      <c r="B780" s="47" t="s">
        <v>47</v>
      </c>
      <c r="C780" s="105" t="s">
        <v>48</v>
      </c>
      <c r="D780" s="48" t="s">
        <v>49</v>
      </c>
      <c r="E780" s="39">
        <v>2</v>
      </c>
      <c r="F780" s="48" t="s">
        <v>163</v>
      </c>
      <c r="G780" s="48" t="s">
        <v>262</v>
      </c>
      <c r="H780" s="46" t="s">
        <v>261</v>
      </c>
      <c r="I780" s="49">
        <v>16</v>
      </c>
      <c r="J780" s="71">
        <v>1105</v>
      </c>
      <c r="K780" s="37">
        <f t="shared" si="14"/>
        <v>17680</v>
      </c>
      <c r="L780" s="63"/>
    </row>
    <row r="781" spans="1:12" s="40" customFormat="1" ht="26.4" hidden="1">
      <c r="A781" s="46">
        <v>51</v>
      </c>
      <c r="B781" s="47" t="s">
        <v>47</v>
      </c>
      <c r="C781" s="105" t="s">
        <v>48</v>
      </c>
      <c r="D781" s="48" t="s">
        <v>49</v>
      </c>
      <c r="E781" s="39">
        <v>2</v>
      </c>
      <c r="F781" s="48" t="s">
        <v>179</v>
      </c>
      <c r="G781" s="48" t="s">
        <v>262</v>
      </c>
      <c r="H781" s="46" t="s">
        <v>261</v>
      </c>
      <c r="I781" s="49">
        <v>15</v>
      </c>
      <c r="J781" s="71">
        <v>1105</v>
      </c>
      <c r="K781" s="37">
        <f t="shared" si="14"/>
        <v>16575</v>
      </c>
      <c r="L781" s="63"/>
    </row>
    <row r="782" spans="1:12" s="40" customFormat="1" hidden="1">
      <c r="A782" s="46">
        <v>52</v>
      </c>
      <c r="B782" s="47" t="s">
        <v>47</v>
      </c>
      <c r="C782" s="105" t="s">
        <v>48</v>
      </c>
      <c r="D782" s="48" t="s">
        <v>49</v>
      </c>
      <c r="E782" s="39">
        <v>2</v>
      </c>
      <c r="F782" s="48" t="s">
        <v>172</v>
      </c>
      <c r="G782" s="48" t="s">
        <v>262</v>
      </c>
      <c r="H782" s="46" t="s">
        <v>261</v>
      </c>
      <c r="I782" s="49">
        <v>34.700000000000003</v>
      </c>
      <c r="J782" s="71">
        <v>1105</v>
      </c>
      <c r="K782" s="37">
        <f t="shared" si="14"/>
        <v>38343.5</v>
      </c>
      <c r="L782" s="63"/>
    </row>
    <row r="783" spans="1:12" s="40" customFormat="1" hidden="1">
      <c r="A783" s="46">
        <v>53</v>
      </c>
      <c r="B783" s="47" t="s">
        <v>47</v>
      </c>
      <c r="C783" s="105" t="s">
        <v>48</v>
      </c>
      <c r="D783" s="48" t="s">
        <v>49</v>
      </c>
      <c r="E783" s="39">
        <v>2</v>
      </c>
      <c r="F783" s="48" t="s">
        <v>171</v>
      </c>
      <c r="G783" s="48" t="s">
        <v>262</v>
      </c>
      <c r="H783" s="46" t="s">
        <v>261</v>
      </c>
      <c r="I783" s="49">
        <v>28.8</v>
      </c>
      <c r="J783" s="71">
        <v>1105</v>
      </c>
      <c r="K783" s="37">
        <f t="shared" si="14"/>
        <v>31824</v>
      </c>
      <c r="L783" s="63"/>
    </row>
    <row r="784" spans="1:12" s="40" customFormat="1" ht="26.4" hidden="1">
      <c r="A784" s="46">
        <v>54</v>
      </c>
      <c r="B784" s="47" t="s">
        <v>47</v>
      </c>
      <c r="C784" s="105" t="s">
        <v>48</v>
      </c>
      <c r="D784" s="48" t="s">
        <v>49</v>
      </c>
      <c r="E784" s="39">
        <v>2</v>
      </c>
      <c r="F784" s="48" t="s">
        <v>169</v>
      </c>
      <c r="G784" s="48" t="s">
        <v>262</v>
      </c>
      <c r="H784" s="46" t="s">
        <v>261</v>
      </c>
      <c r="I784" s="49">
        <v>13</v>
      </c>
      <c r="J784" s="71">
        <v>1105</v>
      </c>
      <c r="K784" s="37">
        <f t="shared" si="14"/>
        <v>14365</v>
      </c>
      <c r="L784" s="63"/>
    </row>
    <row r="785" spans="1:12" s="40" customFormat="1" hidden="1">
      <c r="A785" s="46">
        <v>55</v>
      </c>
      <c r="B785" s="47" t="s">
        <v>47</v>
      </c>
      <c r="C785" s="105" t="s">
        <v>48</v>
      </c>
      <c r="D785" s="48" t="s">
        <v>49</v>
      </c>
      <c r="E785" s="39">
        <v>2</v>
      </c>
      <c r="F785" s="48" t="s">
        <v>175</v>
      </c>
      <c r="G785" s="48" t="s">
        <v>262</v>
      </c>
      <c r="H785" s="46" t="s">
        <v>261</v>
      </c>
      <c r="I785" s="49">
        <v>21.5</v>
      </c>
      <c r="J785" s="71">
        <v>1105</v>
      </c>
      <c r="K785" s="37">
        <f t="shared" si="14"/>
        <v>23757.5</v>
      </c>
      <c r="L785" s="63"/>
    </row>
    <row r="786" spans="1:12" s="40" customFormat="1" ht="26.4" hidden="1">
      <c r="A786" s="46">
        <v>56</v>
      </c>
      <c r="B786" s="47" t="s">
        <v>47</v>
      </c>
      <c r="C786" s="105" t="s">
        <v>48</v>
      </c>
      <c r="D786" s="48" t="s">
        <v>49</v>
      </c>
      <c r="E786" s="39">
        <v>3</v>
      </c>
      <c r="F786" s="48" t="s">
        <v>232</v>
      </c>
      <c r="G786" s="48" t="s">
        <v>262</v>
      </c>
      <c r="H786" s="46" t="s">
        <v>261</v>
      </c>
      <c r="I786" s="49">
        <v>22.7</v>
      </c>
      <c r="J786" s="71">
        <v>1105</v>
      </c>
      <c r="K786" s="37">
        <f t="shared" si="14"/>
        <v>25083.5</v>
      </c>
      <c r="L786" s="63"/>
    </row>
    <row r="787" spans="1:12" s="40" customFormat="1" hidden="1">
      <c r="A787" s="46">
        <v>57</v>
      </c>
      <c r="B787" s="47" t="s">
        <v>47</v>
      </c>
      <c r="C787" s="105" t="s">
        <v>48</v>
      </c>
      <c r="D787" s="48" t="s">
        <v>49</v>
      </c>
      <c r="E787" s="39">
        <v>1</v>
      </c>
      <c r="F787" s="48" t="s">
        <v>89</v>
      </c>
      <c r="G787" s="48" t="s">
        <v>280</v>
      </c>
      <c r="H787" s="46" t="s">
        <v>300</v>
      </c>
      <c r="I787" s="49">
        <v>18.3</v>
      </c>
      <c r="J787" s="71">
        <v>300</v>
      </c>
      <c r="K787" s="37">
        <f t="shared" si="14"/>
        <v>5490</v>
      </c>
      <c r="L787" s="63"/>
    </row>
    <row r="788" spans="1:12" s="40" customFormat="1" ht="27.6" hidden="1">
      <c r="A788" s="46">
        <v>58</v>
      </c>
      <c r="B788" s="47" t="s">
        <v>47</v>
      </c>
      <c r="C788" s="105" t="s">
        <v>48</v>
      </c>
      <c r="D788" s="48" t="s">
        <v>49</v>
      </c>
      <c r="E788" s="39">
        <v>2</v>
      </c>
      <c r="F788" s="48" t="s">
        <v>212</v>
      </c>
      <c r="G788" s="48" t="s">
        <v>280</v>
      </c>
      <c r="H788" s="46" t="s">
        <v>300</v>
      </c>
      <c r="I788" s="49">
        <v>22</v>
      </c>
      <c r="J788" s="71">
        <v>300</v>
      </c>
      <c r="K788" s="37">
        <f t="shared" si="14"/>
        <v>6600</v>
      </c>
      <c r="L788" s="63" t="s">
        <v>311</v>
      </c>
    </row>
    <row r="789" spans="1:12" s="40" customFormat="1" hidden="1">
      <c r="A789" s="46">
        <v>59</v>
      </c>
      <c r="B789" s="47" t="s">
        <v>47</v>
      </c>
      <c r="C789" s="105" t="s">
        <v>48</v>
      </c>
      <c r="D789" s="48" t="s">
        <v>49</v>
      </c>
      <c r="E789" s="39">
        <v>3</v>
      </c>
      <c r="F789" s="48" t="s">
        <v>227</v>
      </c>
      <c r="G789" s="48" t="s">
        <v>280</v>
      </c>
      <c r="H789" s="46" t="s">
        <v>300</v>
      </c>
      <c r="I789" s="49">
        <v>3.1</v>
      </c>
      <c r="J789" s="71">
        <v>300</v>
      </c>
      <c r="K789" s="37">
        <f t="shared" si="14"/>
        <v>930</v>
      </c>
      <c r="L789" s="63"/>
    </row>
    <row r="790" spans="1:12" s="40" customFormat="1" ht="26.4" hidden="1">
      <c r="A790" s="46">
        <v>60</v>
      </c>
      <c r="B790" s="47" t="s">
        <v>60</v>
      </c>
      <c r="C790" s="105" t="s">
        <v>48</v>
      </c>
      <c r="D790" s="48" t="s">
        <v>61</v>
      </c>
      <c r="E790" s="39">
        <v>1</v>
      </c>
      <c r="F790" s="48" t="s">
        <v>145</v>
      </c>
      <c r="G790" s="48" t="s">
        <v>25</v>
      </c>
      <c r="H790" s="46" t="s">
        <v>7</v>
      </c>
      <c r="I790" s="49">
        <v>30</v>
      </c>
      <c r="J790" s="71">
        <v>70</v>
      </c>
      <c r="K790" s="37">
        <f t="shared" si="14"/>
        <v>2100</v>
      </c>
      <c r="L790" s="63"/>
    </row>
    <row r="791" spans="1:12" s="40" customFormat="1" ht="26.4" hidden="1">
      <c r="A791" s="46">
        <v>61</v>
      </c>
      <c r="B791" s="47" t="s">
        <v>60</v>
      </c>
      <c r="C791" s="105" t="s">
        <v>48</v>
      </c>
      <c r="D791" s="48" t="s">
        <v>61</v>
      </c>
      <c r="E791" s="39">
        <v>1</v>
      </c>
      <c r="F791" s="48" t="s">
        <v>160</v>
      </c>
      <c r="G791" s="48" t="s">
        <v>25</v>
      </c>
      <c r="H791" s="46" t="s">
        <v>7</v>
      </c>
      <c r="I791" s="49">
        <v>6.3</v>
      </c>
      <c r="J791" s="71">
        <v>70</v>
      </c>
      <c r="K791" s="37">
        <f t="shared" si="14"/>
        <v>441</v>
      </c>
      <c r="L791" s="63"/>
    </row>
    <row r="792" spans="1:12" s="40" customFormat="1" ht="26.4" hidden="1">
      <c r="A792" s="46">
        <v>62</v>
      </c>
      <c r="B792" s="47" t="s">
        <v>60</v>
      </c>
      <c r="C792" s="105" t="s">
        <v>48</v>
      </c>
      <c r="D792" s="48" t="s">
        <v>61</v>
      </c>
      <c r="E792" s="39">
        <v>1</v>
      </c>
      <c r="F792" s="48" t="s">
        <v>141</v>
      </c>
      <c r="G792" s="48" t="s">
        <v>25</v>
      </c>
      <c r="H792" s="46" t="s">
        <v>7</v>
      </c>
      <c r="I792" s="49">
        <v>6.2</v>
      </c>
      <c r="J792" s="71">
        <v>70</v>
      </c>
      <c r="K792" s="37">
        <f t="shared" si="14"/>
        <v>434</v>
      </c>
      <c r="L792" s="63"/>
    </row>
    <row r="793" spans="1:12" s="40" customFormat="1" ht="26.4" hidden="1">
      <c r="A793" s="46">
        <v>63</v>
      </c>
      <c r="B793" s="47" t="s">
        <v>60</v>
      </c>
      <c r="C793" s="105" t="s">
        <v>48</v>
      </c>
      <c r="D793" s="48" t="s">
        <v>61</v>
      </c>
      <c r="E793" s="39">
        <v>1</v>
      </c>
      <c r="F793" s="48" t="s">
        <v>144</v>
      </c>
      <c r="G793" s="48" t="s">
        <v>25</v>
      </c>
      <c r="H793" s="46" t="s">
        <v>7</v>
      </c>
      <c r="I793" s="49">
        <v>5.5</v>
      </c>
      <c r="J793" s="71">
        <v>70</v>
      </c>
      <c r="K793" s="37">
        <f t="shared" si="14"/>
        <v>385</v>
      </c>
      <c r="L793" s="63"/>
    </row>
    <row r="794" spans="1:12" s="40" customFormat="1" ht="26.4" hidden="1">
      <c r="A794" s="46">
        <v>64</v>
      </c>
      <c r="B794" s="47" t="s">
        <v>60</v>
      </c>
      <c r="C794" s="105" t="s">
        <v>48</v>
      </c>
      <c r="D794" s="48" t="s">
        <v>61</v>
      </c>
      <c r="E794" s="39">
        <v>2</v>
      </c>
      <c r="F794" s="48" t="s">
        <v>188</v>
      </c>
      <c r="G794" s="48" t="s">
        <v>25</v>
      </c>
      <c r="H794" s="46" t="s">
        <v>7</v>
      </c>
      <c r="I794" s="49">
        <v>30</v>
      </c>
      <c r="J794" s="71">
        <v>70</v>
      </c>
      <c r="K794" s="37">
        <f t="shared" si="14"/>
        <v>2100</v>
      </c>
      <c r="L794" s="63"/>
    </row>
    <row r="795" spans="1:12" s="40" customFormat="1" ht="26.4" hidden="1">
      <c r="A795" s="46">
        <v>65</v>
      </c>
      <c r="B795" s="47" t="s">
        <v>60</v>
      </c>
      <c r="C795" s="105" t="s">
        <v>48</v>
      </c>
      <c r="D795" s="48" t="s">
        <v>61</v>
      </c>
      <c r="E795" s="39">
        <v>2</v>
      </c>
      <c r="F795" s="48" t="s">
        <v>192</v>
      </c>
      <c r="G795" s="48" t="s">
        <v>25</v>
      </c>
      <c r="H795" s="46" t="s">
        <v>7</v>
      </c>
      <c r="I795" s="49">
        <v>30</v>
      </c>
      <c r="J795" s="71">
        <v>70</v>
      </c>
      <c r="K795" s="37">
        <f t="shared" si="14"/>
        <v>2100</v>
      </c>
      <c r="L795" s="63"/>
    </row>
    <row r="796" spans="1:12" s="40" customFormat="1" ht="26.4" hidden="1">
      <c r="A796" s="46">
        <v>66</v>
      </c>
      <c r="B796" s="47" t="s">
        <v>60</v>
      </c>
      <c r="C796" s="105" t="s">
        <v>48</v>
      </c>
      <c r="D796" s="48" t="s">
        <v>61</v>
      </c>
      <c r="E796" s="39">
        <v>2</v>
      </c>
      <c r="F796" s="48" t="s">
        <v>213</v>
      </c>
      <c r="G796" s="48" t="s">
        <v>25</v>
      </c>
      <c r="H796" s="46" t="s">
        <v>7</v>
      </c>
      <c r="I796" s="49">
        <v>5.5</v>
      </c>
      <c r="J796" s="71">
        <v>70</v>
      </c>
      <c r="K796" s="37">
        <f t="shared" si="14"/>
        <v>385</v>
      </c>
      <c r="L796" s="63"/>
    </row>
    <row r="797" spans="1:12" s="40" customFormat="1" ht="26.4" hidden="1">
      <c r="A797" s="46">
        <v>67</v>
      </c>
      <c r="B797" s="47" t="s">
        <v>60</v>
      </c>
      <c r="C797" s="105" t="s">
        <v>48</v>
      </c>
      <c r="D797" s="48" t="s">
        <v>61</v>
      </c>
      <c r="E797" s="39">
        <v>3</v>
      </c>
      <c r="F797" s="48" t="s">
        <v>248</v>
      </c>
      <c r="G797" s="48" t="s">
        <v>25</v>
      </c>
      <c r="H797" s="46" t="s">
        <v>7</v>
      </c>
      <c r="I797" s="49">
        <v>30</v>
      </c>
      <c r="J797" s="71">
        <v>70</v>
      </c>
      <c r="K797" s="37">
        <f t="shared" si="14"/>
        <v>2100</v>
      </c>
      <c r="L797" s="63"/>
    </row>
    <row r="798" spans="1:12" s="40" customFormat="1" ht="26.4" hidden="1">
      <c r="A798" s="46">
        <v>68</v>
      </c>
      <c r="B798" s="47" t="s">
        <v>60</v>
      </c>
      <c r="C798" s="105" t="s">
        <v>48</v>
      </c>
      <c r="D798" s="48" t="s">
        <v>61</v>
      </c>
      <c r="E798" s="39">
        <v>3</v>
      </c>
      <c r="F798" s="48" t="s">
        <v>243</v>
      </c>
      <c r="G798" s="48" t="s">
        <v>25</v>
      </c>
      <c r="H798" s="46" t="s">
        <v>7</v>
      </c>
      <c r="I798" s="49">
        <v>30</v>
      </c>
      <c r="J798" s="71">
        <v>70</v>
      </c>
      <c r="K798" s="37">
        <f t="shared" si="14"/>
        <v>2100</v>
      </c>
      <c r="L798" s="63"/>
    </row>
    <row r="799" spans="1:12" s="40" customFormat="1" ht="26.4" hidden="1">
      <c r="A799" s="46">
        <v>69</v>
      </c>
      <c r="B799" s="47" t="s">
        <v>60</v>
      </c>
      <c r="C799" s="105" t="s">
        <v>48</v>
      </c>
      <c r="D799" s="48" t="s">
        <v>61</v>
      </c>
      <c r="E799" s="39">
        <v>3</v>
      </c>
      <c r="F799" s="48" t="s">
        <v>253</v>
      </c>
      <c r="G799" s="48" t="s">
        <v>25</v>
      </c>
      <c r="H799" s="46" t="s">
        <v>7</v>
      </c>
      <c r="I799" s="49">
        <v>6.3</v>
      </c>
      <c r="J799" s="71">
        <v>70</v>
      </c>
      <c r="K799" s="37">
        <f t="shared" ref="K799:K824" si="15">J799*I799</f>
        <v>441</v>
      </c>
      <c r="L799" s="63"/>
    </row>
    <row r="800" spans="1:12" s="40" customFormat="1" hidden="1">
      <c r="A800" s="46">
        <v>70</v>
      </c>
      <c r="B800" s="47" t="s">
        <v>47</v>
      </c>
      <c r="C800" s="105" t="s">
        <v>48</v>
      </c>
      <c r="D800" s="48" t="s">
        <v>61</v>
      </c>
      <c r="E800" s="39">
        <v>1</v>
      </c>
      <c r="F800" s="48" t="s">
        <v>145</v>
      </c>
      <c r="G800" s="48" t="s">
        <v>26</v>
      </c>
      <c r="H800" s="46" t="s">
        <v>7</v>
      </c>
      <c r="I800" s="49">
        <v>30</v>
      </c>
      <c r="J800" s="71">
        <v>715</v>
      </c>
      <c r="K800" s="37">
        <f t="shared" si="15"/>
        <v>21450</v>
      </c>
      <c r="L800" s="63"/>
    </row>
    <row r="801" spans="1:12" s="40" customFormat="1" hidden="1">
      <c r="A801" s="46">
        <v>71</v>
      </c>
      <c r="B801" s="47" t="s">
        <v>47</v>
      </c>
      <c r="C801" s="105" t="s">
        <v>48</v>
      </c>
      <c r="D801" s="48" t="s">
        <v>61</v>
      </c>
      <c r="E801" s="39">
        <v>1</v>
      </c>
      <c r="F801" s="48" t="s">
        <v>160</v>
      </c>
      <c r="G801" s="48" t="s">
        <v>26</v>
      </c>
      <c r="H801" s="46" t="s">
        <v>7</v>
      </c>
      <c r="I801" s="49">
        <v>6.3</v>
      </c>
      <c r="J801" s="71">
        <v>715</v>
      </c>
      <c r="K801" s="37">
        <f t="shared" si="15"/>
        <v>4504.5</v>
      </c>
      <c r="L801" s="63"/>
    </row>
    <row r="802" spans="1:12" s="40" customFormat="1" ht="26.4" hidden="1">
      <c r="A802" s="46">
        <v>72</v>
      </c>
      <c r="B802" s="47" t="s">
        <v>47</v>
      </c>
      <c r="C802" s="105" t="s">
        <v>48</v>
      </c>
      <c r="D802" s="48" t="s">
        <v>61</v>
      </c>
      <c r="E802" s="39">
        <v>1</v>
      </c>
      <c r="F802" s="48" t="s">
        <v>141</v>
      </c>
      <c r="G802" s="48" t="s">
        <v>26</v>
      </c>
      <c r="H802" s="46" t="s">
        <v>7</v>
      </c>
      <c r="I802" s="49">
        <v>6.2</v>
      </c>
      <c r="J802" s="71">
        <v>715</v>
      </c>
      <c r="K802" s="37">
        <f t="shared" si="15"/>
        <v>4433</v>
      </c>
      <c r="L802" s="63"/>
    </row>
    <row r="803" spans="1:12" s="40" customFormat="1" ht="26.4" hidden="1">
      <c r="A803" s="46">
        <v>73</v>
      </c>
      <c r="B803" s="47" t="s">
        <v>47</v>
      </c>
      <c r="C803" s="105" t="s">
        <v>48</v>
      </c>
      <c r="D803" s="48" t="s">
        <v>61</v>
      </c>
      <c r="E803" s="39">
        <v>1</v>
      </c>
      <c r="F803" s="48" t="s">
        <v>144</v>
      </c>
      <c r="G803" s="48" t="s">
        <v>27</v>
      </c>
      <c r="H803" s="46" t="s">
        <v>7</v>
      </c>
      <c r="I803" s="49">
        <v>5.5</v>
      </c>
      <c r="J803" s="71">
        <v>715</v>
      </c>
      <c r="K803" s="37">
        <f t="shared" si="15"/>
        <v>3932.5</v>
      </c>
      <c r="L803" s="63"/>
    </row>
    <row r="804" spans="1:12" s="40" customFormat="1" ht="26.4" hidden="1">
      <c r="A804" s="46">
        <v>74</v>
      </c>
      <c r="B804" s="47" t="s">
        <v>47</v>
      </c>
      <c r="C804" s="105" t="s">
        <v>48</v>
      </c>
      <c r="D804" s="48" t="s">
        <v>61</v>
      </c>
      <c r="E804" s="39">
        <v>2</v>
      </c>
      <c r="F804" s="48" t="s">
        <v>188</v>
      </c>
      <c r="G804" s="48" t="s">
        <v>27</v>
      </c>
      <c r="H804" s="46" t="s">
        <v>7</v>
      </c>
      <c r="I804" s="49">
        <v>30</v>
      </c>
      <c r="J804" s="71">
        <v>715</v>
      </c>
      <c r="K804" s="37">
        <f t="shared" si="15"/>
        <v>21450</v>
      </c>
      <c r="L804" s="63"/>
    </row>
    <row r="805" spans="1:12" s="40" customFormat="1" hidden="1">
      <c r="A805" s="46">
        <v>75</v>
      </c>
      <c r="B805" s="47" t="s">
        <v>47</v>
      </c>
      <c r="C805" s="105" t="s">
        <v>48</v>
      </c>
      <c r="D805" s="48" t="s">
        <v>61</v>
      </c>
      <c r="E805" s="39">
        <v>2</v>
      </c>
      <c r="F805" s="48" t="s">
        <v>197</v>
      </c>
      <c r="G805" s="48" t="s">
        <v>26</v>
      </c>
      <c r="H805" s="46" t="s">
        <v>7</v>
      </c>
      <c r="I805" s="49">
        <v>30</v>
      </c>
      <c r="J805" s="71">
        <v>715</v>
      </c>
      <c r="K805" s="37">
        <f t="shared" si="15"/>
        <v>21450</v>
      </c>
      <c r="L805" s="63"/>
    </row>
    <row r="806" spans="1:12" s="40" customFormat="1" ht="26.4" hidden="1">
      <c r="A806" s="46">
        <v>76</v>
      </c>
      <c r="B806" s="47" t="s">
        <v>47</v>
      </c>
      <c r="C806" s="105" t="s">
        <v>48</v>
      </c>
      <c r="D806" s="48" t="s">
        <v>61</v>
      </c>
      <c r="E806" s="39">
        <v>2</v>
      </c>
      <c r="F806" s="48" t="s">
        <v>213</v>
      </c>
      <c r="G806" s="48" t="s">
        <v>26</v>
      </c>
      <c r="H806" s="46" t="s">
        <v>7</v>
      </c>
      <c r="I806" s="49">
        <v>5.5</v>
      </c>
      <c r="J806" s="71">
        <v>715</v>
      </c>
      <c r="K806" s="37">
        <f t="shared" si="15"/>
        <v>3932.5</v>
      </c>
      <c r="L806" s="63"/>
    </row>
    <row r="807" spans="1:12" s="40" customFormat="1" hidden="1">
      <c r="A807" s="46">
        <v>77</v>
      </c>
      <c r="B807" s="47" t="s">
        <v>47</v>
      </c>
      <c r="C807" s="105" t="s">
        <v>48</v>
      </c>
      <c r="D807" s="48" t="s">
        <v>61</v>
      </c>
      <c r="E807" s="39">
        <v>3</v>
      </c>
      <c r="F807" s="48" t="s">
        <v>248</v>
      </c>
      <c r="G807" s="48" t="s">
        <v>26</v>
      </c>
      <c r="H807" s="46" t="s">
        <v>7</v>
      </c>
      <c r="I807" s="49">
        <v>30</v>
      </c>
      <c r="J807" s="71">
        <v>715</v>
      </c>
      <c r="K807" s="37">
        <f t="shared" si="15"/>
        <v>21450</v>
      </c>
      <c r="L807" s="63"/>
    </row>
    <row r="808" spans="1:12" s="40" customFormat="1" hidden="1">
      <c r="A808" s="46">
        <v>78</v>
      </c>
      <c r="B808" s="47" t="s">
        <v>47</v>
      </c>
      <c r="C808" s="105" t="s">
        <v>48</v>
      </c>
      <c r="D808" s="48" t="s">
        <v>61</v>
      </c>
      <c r="E808" s="39">
        <v>3</v>
      </c>
      <c r="F808" s="48" t="s">
        <v>243</v>
      </c>
      <c r="G808" s="48" t="s">
        <v>26</v>
      </c>
      <c r="H808" s="46" t="s">
        <v>7</v>
      </c>
      <c r="I808" s="49">
        <v>30</v>
      </c>
      <c r="J808" s="71">
        <v>715</v>
      </c>
      <c r="K808" s="37">
        <f t="shared" si="15"/>
        <v>21450</v>
      </c>
      <c r="L808" s="63"/>
    </row>
    <row r="809" spans="1:12" s="40" customFormat="1" ht="26.4" hidden="1">
      <c r="A809" s="46">
        <v>79</v>
      </c>
      <c r="B809" s="47" t="s">
        <v>47</v>
      </c>
      <c r="C809" s="105" t="s">
        <v>48</v>
      </c>
      <c r="D809" s="48" t="s">
        <v>61</v>
      </c>
      <c r="E809" s="39">
        <v>3</v>
      </c>
      <c r="F809" s="48" t="s">
        <v>253</v>
      </c>
      <c r="G809" s="48" t="s">
        <v>26</v>
      </c>
      <c r="H809" s="46" t="s">
        <v>7</v>
      </c>
      <c r="I809" s="49">
        <v>6.3</v>
      </c>
      <c r="J809" s="71">
        <v>715</v>
      </c>
      <c r="K809" s="37">
        <f t="shared" si="15"/>
        <v>4504.5</v>
      </c>
      <c r="L809" s="63"/>
    </row>
    <row r="810" spans="1:12" s="40" customFormat="1" ht="26.4">
      <c r="A810" s="46">
        <v>80</v>
      </c>
      <c r="B810" s="47" t="s">
        <v>47</v>
      </c>
      <c r="C810" s="105" t="s">
        <v>48</v>
      </c>
      <c r="D810" s="48" t="s">
        <v>49</v>
      </c>
      <c r="E810" s="39">
        <v>2</v>
      </c>
      <c r="F810" s="48" t="s">
        <v>172</v>
      </c>
      <c r="G810" s="48" t="s">
        <v>15</v>
      </c>
      <c r="H810" s="46" t="s">
        <v>7</v>
      </c>
      <c r="I810" s="49">
        <v>28</v>
      </c>
      <c r="J810" s="71">
        <v>1170</v>
      </c>
      <c r="K810" s="37">
        <f t="shared" si="15"/>
        <v>32760</v>
      </c>
      <c r="L810" s="63" t="s">
        <v>312</v>
      </c>
    </row>
    <row r="811" spans="1:12" s="40" customFormat="1" ht="26.4">
      <c r="A811" s="46">
        <v>81</v>
      </c>
      <c r="B811" s="47" t="s">
        <v>47</v>
      </c>
      <c r="C811" s="105" t="s">
        <v>48</v>
      </c>
      <c r="D811" s="48" t="s">
        <v>49</v>
      </c>
      <c r="E811" s="39">
        <v>3</v>
      </c>
      <c r="F811" s="48" t="s">
        <v>227</v>
      </c>
      <c r="G811" s="48" t="s">
        <v>15</v>
      </c>
      <c r="H811" s="46" t="s">
        <v>7</v>
      </c>
      <c r="I811" s="49">
        <v>45.5</v>
      </c>
      <c r="J811" s="71">
        <v>1170</v>
      </c>
      <c r="K811" s="37">
        <f t="shared" si="15"/>
        <v>53235</v>
      </c>
      <c r="L811" s="63" t="s">
        <v>312</v>
      </c>
    </row>
    <row r="812" spans="1:12" s="40" customFormat="1" ht="26.4">
      <c r="A812" s="46">
        <v>82</v>
      </c>
      <c r="B812" s="47" t="s">
        <v>47</v>
      </c>
      <c r="C812" s="105" t="s">
        <v>48</v>
      </c>
      <c r="D812" s="48" t="s">
        <v>49</v>
      </c>
      <c r="E812" s="39">
        <v>3</v>
      </c>
      <c r="F812" s="48" t="s">
        <v>228</v>
      </c>
      <c r="G812" s="48" t="s">
        <v>15</v>
      </c>
      <c r="H812" s="46" t="s">
        <v>7</v>
      </c>
      <c r="I812" s="49">
        <v>45.5</v>
      </c>
      <c r="J812" s="71">
        <v>1170</v>
      </c>
      <c r="K812" s="37">
        <f t="shared" si="15"/>
        <v>53235</v>
      </c>
      <c r="L812" s="63" t="s">
        <v>312</v>
      </c>
    </row>
    <row r="813" spans="1:12" s="40" customFormat="1" ht="26.4">
      <c r="A813" s="46">
        <v>83</v>
      </c>
      <c r="B813" s="47" t="s">
        <v>47</v>
      </c>
      <c r="C813" s="105" t="s">
        <v>48</v>
      </c>
      <c r="D813" s="48" t="s">
        <v>49</v>
      </c>
      <c r="E813" s="39">
        <v>3</v>
      </c>
      <c r="F813" s="48" t="s">
        <v>243</v>
      </c>
      <c r="G813" s="48" t="s">
        <v>15</v>
      </c>
      <c r="H813" s="46" t="s">
        <v>7</v>
      </c>
      <c r="I813" s="49">
        <v>47.8</v>
      </c>
      <c r="J813" s="71">
        <v>1170</v>
      </c>
      <c r="K813" s="37">
        <f>J813*I813</f>
        <v>55926</v>
      </c>
      <c r="L813" s="63" t="s">
        <v>312</v>
      </c>
    </row>
    <row r="814" spans="1:12" s="40" customFormat="1" ht="26.4">
      <c r="A814" s="46">
        <v>84</v>
      </c>
      <c r="B814" s="47" t="s">
        <v>47</v>
      </c>
      <c r="C814" s="105" t="s">
        <v>48</v>
      </c>
      <c r="D814" s="48" t="s">
        <v>49</v>
      </c>
      <c r="E814" s="39">
        <v>2</v>
      </c>
      <c r="F814" s="48" t="s">
        <v>167</v>
      </c>
      <c r="G814" s="48" t="s">
        <v>15</v>
      </c>
      <c r="H814" s="46" t="s">
        <v>7</v>
      </c>
      <c r="I814" s="49">
        <v>29.5</v>
      </c>
      <c r="J814" s="71">
        <v>1170</v>
      </c>
      <c r="K814" s="37">
        <f t="shared" si="15"/>
        <v>34515</v>
      </c>
      <c r="L814" s="63" t="s">
        <v>312</v>
      </c>
    </row>
    <row r="815" spans="1:12" s="40" customFormat="1" ht="26.4">
      <c r="A815" s="46">
        <v>85</v>
      </c>
      <c r="B815" s="47" t="s">
        <v>47</v>
      </c>
      <c r="C815" s="105" t="s">
        <v>48</v>
      </c>
      <c r="D815" s="48" t="s">
        <v>49</v>
      </c>
      <c r="E815" s="39">
        <v>2</v>
      </c>
      <c r="F815" s="48" t="s">
        <v>169</v>
      </c>
      <c r="G815" s="48" t="s">
        <v>15</v>
      </c>
      <c r="H815" s="46" t="s">
        <v>7</v>
      </c>
      <c r="I815" s="49">
        <v>32</v>
      </c>
      <c r="J815" s="71">
        <v>1170</v>
      </c>
      <c r="K815" s="37">
        <f t="shared" si="15"/>
        <v>37440</v>
      </c>
      <c r="L815" s="63" t="s">
        <v>312</v>
      </c>
    </row>
    <row r="816" spans="1:12" s="40" customFormat="1" ht="26.4">
      <c r="A816" s="46">
        <v>86</v>
      </c>
      <c r="B816" s="47" t="s">
        <v>47</v>
      </c>
      <c r="C816" s="105" t="s">
        <v>48</v>
      </c>
      <c r="D816" s="48" t="s">
        <v>49</v>
      </c>
      <c r="E816" s="39">
        <v>2</v>
      </c>
      <c r="F816" s="48" t="s">
        <v>176</v>
      </c>
      <c r="G816" s="48" t="s">
        <v>15</v>
      </c>
      <c r="H816" s="46" t="s">
        <v>7</v>
      </c>
      <c r="I816" s="49">
        <v>80.2</v>
      </c>
      <c r="J816" s="71">
        <v>1170</v>
      </c>
      <c r="K816" s="37">
        <f t="shared" si="15"/>
        <v>93834</v>
      </c>
      <c r="L816" s="63" t="s">
        <v>312</v>
      </c>
    </row>
    <row r="817" spans="1:13" s="40" customFormat="1" ht="15.6">
      <c r="A817" s="46">
        <v>87</v>
      </c>
      <c r="B817" s="47" t="s">
        <v>47</v>
      </c>
      <c r="C817" s="105" t="s">
        <v>48</v>
      </c>
      <c r="D817" s="48" t="s">
        <v>49</v>
      </c>
      <c r="E817" s="39">
        <v>1</v>
      </c>
      <c r="F817" s="48" t="s">
        <v>89</v>
      </c>
      <c r="G817" s="51" t="s">
        <v>279</v>
      </c>
      <c r="H817" s="46" t="s">
        <v>7</v>
      </c>
      <c r="I817" s="49">
        <v>4.7</v>
      </c>
      <c r="J817" s="71">
        <v>800</v>
      </c>
      <c r="K817" s="37">
        <f t="shared" si="15"/>
        <v>3760</v>
      </c>
      <c r="L817" s="63"/>
      <c r="M817" s="40" t="s">
        <v>322</v>
      </c>
    </row>
    <row r="818" spans="1:13" s="40" customFormat="1" ht="15.6">
      <c r="A818" s="46">
        <v>88</v>
      </c>
      <c r="B818" s="47" t="s">
        <v>47</v>
      </c>
      <c r="C818" s="105" t="s">
        <v>48</v>
      </c>
      <c r="D818" s="48" t="s">
        <v>49</v>
      </c>
      <c r="E818" s="39">
        <v>1</v>
      </c>
      <c r="F818" s="48" t="s">
        <v>159</v>
      </c>
      <c r="G818" s="51" t="s">
        <v>279</v>
      </c>
      <c r="H818" s="46" t="s">
        <v>7</v>
      </c>
      <c r="I818" s="49">
        <v>2.5</v>
      </c>
      <c r="J818" s="71">
        <v>800</v>
      </c>
      <c r="K818" s="37">
        <f t="shared" si="15"/>
        <v>2000</v>
      </c>
      <c r="L818" s="63"/>
    </row>
    <row r="819" spans="1:13" s="40" customFormat="1" ht="15.6">
      <c r="A819" s="46">
        <v>89</v>
      </c>
      <c r="B819" s="47" t="s">
        <v>47</v>
      </c>
      <c r="C819" s="105" t="s">
        <v>48</v>
      </c>
      <c r="D819" s="48" t="s">
        <v>49</v>
      </c>
      <c r="E819" s="39">
        <v>1</v>
      </c>
      <c r="F819" s="48" t="s">
        <v>118</v>
      </c>
      <c r="G819" s="51" t="s">
        <v>279</v>
      </c>
      <c r="H819" s="46" t="s">
        <v>7</v>
      </c>
      <c r="I819" s="49">
        <v>2.5</v>
      </c>
      <c r="J819" s="71">
        <v>800</v>
      </c>
      <c r="K819" s="37">
        <f t="shared" si="15"/>
        <v>2000</v>
      </c>
      <c r="L819" s="63"/>
    </row>
    <row r="820" spans="1:13" s="40" customFormat="1" ht="15.6">
      <c r="A820" s="46">
        <v>90</v>
      </c>
      <c r="B820" s="47" t="s">
        <v>47</v>
      </c>
      <c r="C820" s="105" t="s">
        <v>48</v>
      </c>
      <c r="D820" s="48" t="s">
        <v>49</v>
      </c>
      <c r="E820" s="39">
        <v>2</v>
      </c>
      <c r="F820" s="48" t="s">
        <v>172</v>
      </c>
      <c r="G820" s="51" t="s">
        <v>279</v>
      </c>
      <c r="H820" s="46" t="s">
        <v>7</v>
      </c>
      <c r="I820" s="49">
        <v>2.2999999999999998</v>
      </c>
      <c r="J820" s="71">
        <v>800</v>
      </c>
      <c r="K820" s="37">
        <f t="shared" si="15"/>
        <v>1839.9999999999998</v>
      </c>
      <c r="L820" s="63"/>
    </row>
    <row r="821" spans="1:13" s="40" customFormat="1" ht="15.6">
      <c r="A821" s="46">
        <v>91</v>
      </c>
      <c r="B821" s="47" t="s">
        <v>47</v>
      </c>
      <c r="C821" s="105" t="s">
        <v>48</v>
      </c>
      <c r="D821" s="48" t="s">
        <v>49</v>
      </c>
      <c r="E821" s="75">
        <v>2</v>
      </c>
      <c r="F821" s="48" t="s">
        <v>162</v>
      </c>
      <c r="G821" s="51" t="s">
        <v>279</v>
      </c>
      <c r="H821" s="46" t="s">
        <v>7</v>
      </c>
      <c r="I821" s="49">
        <v>5</v>
      </c>
      <c r="J821" s="71">
        <v>800</v>
      </c>
      <c r="K821" s="37">
        <f t="shared" si="15"/>
        <v>4000</v>
      </c>
      <c r="L821" s="63"/>
    </row>
    <row r="822" spans="1:13" s="40" customFormat="1" ht="15.6">
      <c r="A822" s="46">
        <v>92</v>
      </c>
      <c r="B822" s="47" t="s">
        <v>47</v>
      </c>
      <c r="C822" s="105" t="s">
        <v>48</v>
      </c>
      <c r="D822" s="48" t="s">
        <v>49</v>
      </c>
      <c r="E822" s="75">
        <v>2</v>
      </c>
      <c r="F822" s="48" t="s">
        <v>215</v>
      </c>
      <c r="G822" s="51" t="s">
        <v>279</v>
      </c>
      <c r="H822" s="46" t="s">
        <v>7</v>
      </c>
      <c r="I822" s="49">
        <v>2.5</v>
      </c>
      <c r="J822" s="71">
        <v>800</v>
      </c>
      <c r="K822" s="37">
        <f t="shared" si="15"/>
        <v>2000</v>
      </c>
      <c r="L822" s="63"/>
    </row>
    <row r="823" spans="1:13" s="40" customFormat="1" hidden="1">
      <c r="A823" s="46">
        <v>93</v>
      </c>
      <c r="B823" s="47" t="s">
        <v>47</v>
      </c>
      <c r="C823" s="105" t="s">
        <v>48</v>
      </c>
      <c r="D823" s="48" t="s">
        <v>49</v>
      </c>
      <c r="E823" s="39"/>
      <c r="F823" s="48"/>
      <c r="G823" s="48" t="s">
        <v>266</v>
      </c>
      <c r="H823" s="46" t="s">
        <v>267</v>
      </c>
      <c r="I823" s="49">
        <v>114</v>
      </c>
      <c r="J823" s="71">
        <v>450</v>
      </c>
      <c r="K823" s="37">
        <f t="shared" si="15"/>
        <v>51300</v>
      </c>
      <c r="L823" s="63"/>
    </row>
    <row r="824" spans="1:13" s="40" customFormat="1">
      <c r="A824" s="46">
        <v>94</v>
      </c>
      <c r="B824" s="47" t="s">
        <v>47</v>
      </c>
      <c r="C824" s="110" t="s">
        <v>48</v>
      </c>
      <c r="D824" s="84" t="s">
        <v>49</v>
      </c>
      <c r="E824" s="85"/>
      <c r="F824" s="84"/>
      <c r="G824" s="84" t="s">
        <v>11</v>
      </c>
      <c r="H824" s="82" t="s">
        <v>285</v>
      </c>
      <c r="I824" s="111">
        <v>470</v>
      </c>
      <c r="J824" s="86">
        <v>50</v>
      </c>
      <c r="K824" s="87">
        <f t="shared" si="15"/>
        <v>23500</v>
      </c>
      <c r="L824" s="112"/>
    </row>
    <row r="825" spans="1:13" s="40" customFormat="1" ht="42.6" customHeight="1">
      <c r="A825" s="96" t="s">
        <v>50</v>
      </c>
      <c r="B825" s="137"/>
      <c r="C825" s="138"/>
      <c r="D825" s="138"/>
      <c r="E825" s="138"/>
      <c r="F825" s="138"/>
      <c r="G825" s="138"/>
      <c r="H825" s="138"/>
      <c r="I825" s="138"/>
      <c r="J825" s="139"/>
      <c r="K825" s="38">
        <f>SUM(K730:K824)</f>
        <v>1486784.5</v>
      </c>
      <c r="L825" s="50"/>
    </row>
    <row r="826" spans="1:13" s="40" customFormat="1"/>
    <row r="827" spans="1:13" s="40" customFormat="1"/>
    <row r="828" spans="1:13" s="40" customFormat="1"/>
    <row r="829" spans="1:13" s="40" customFormat="1"/>
    <row r="830" spans="1:13" s="40" customFormat="1" ht="15" thickBot="1">
      <c r="B830" s="94" t="s">
        <v>34</v>
      </c>
      <c r="C830" s="131" t="s">
        <v>288</v>
      </c>
      <c r="D830" s="131"/>
      <c r="E830" s="131"/>
      <c r="F830" s="131"/>
      <c r="G830" s="76"/>
      <c r="H830" s="128"/>
      <c r="I830" s="128"/>
      <c r="J830" s="76"/>
    </row>
    <row r="831" spans="1:13" s="40" customFormat="1">
      <c r="A831" s="76"/>
      <c r="B831" s="76"/>
      <c r="C831" s="127" t="s">
        <v>69</v>
      </c>
      <c r="D831" s="127"/>
      <c r="E831" s="127"/>
      <c r="F831" s="127"/>
      <c r="G831" s="76"/>
      <c r="H831" s="129">
        <v>46047</v>
      </c>
      <c r="I831" s="127"/>
      <c r="J831" s="76"/>
    </row>
    <row r="832" spans="1:13" s="40" customFormat="1" ht="15" thickBot="1">
      <c r="A832" s="76"/>
      <c r="B832" s="95" t="s">
        <v>71</v>
      </c>
      <c r="C832" s="131" t="s">
        <v>299</v>
      </c>
      <c r="D832" s="131"/>
      <c r="E832" s="131"/>
      <c r="F832" s="131"/>
      <c r="G832" s="76"/>
      <c r="H832" s="128"/>
      <c r="I832" s="128"/>
      <c r="J832" s="76"/>
    </row>
    <row r="833" spans="1:10" s="40" customFormat="1">
      <c r="A833" s="76"/>
      <c r="B833" s="76"/>
      <c r="C833" s="127" t="s">
        <v>69</v>
      </c>
      <c r="D833" s="127"/>
      <c r="E833" s="127"/>
      <c r="F833" s="127"/>
      <c r="G833" s="76"/>
      <c r="H833" s="129">
        <v>46047</v>
      </c>
      <c r="I833" s="127"/>
      <c r="J833" s="76"/>
    </row>
    <row r="834" spans="1:10" s="40" customFormat="1">
      <c r="A834" s="76"/>
      <c r="B834" s="76"/>
      <c r="C834" s="76"/>
      <c r="D834" s="76"/>
      <c r="E834" s="76"/>
      <c r="F834" s="76"/>
      <c r="G834" s="76"/>
      <c r="H834" s="130"/>
      <c r="I834" s="130"/>
      <c r="J834" s="76"/>
    </row>
    <row r="835" spans="1:10" s="40" customFormat="1" ht="15" thickBot="1">
      <c r="A835" s="76"/>
      <c r="B835" s="95" t="s">
        <v>289</v>
      </c>
      <c r="C835" s="131" t="s">
        <v>290</v>
      </c>
      <c r="D835" s="131"/>
      <c r="E835" s="131"/>
      <c r="F835" s="131"/>
      <c r="G835" s="76"/>
      <c r="H835" s="128"/>
      <c r="I835" s="128"/>
      <c r="J835" s="76"/>
    </row>
    <row r="836" spans="1:10" s="40" customFormat="1">
      <c r="A836" s="76"/>
      <c r="B836" s="76"/>
      <c r="C836" s="127" t="s">
        <v>69</v>
      </c>
      <c r="D836" s="127"/>
      <c r="E836" s="127"/>
      <c r="F836" s="127"/>
      <c r="G836" s="76"/>
      <c r="H836" s="129">
        <v>46047</v>
      </c>
      <c r="I836" s="127"/>
      <c r="J836" s="76"/>
    </row>
    <row r="837" spans="1:10" s="40" customForma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</row>
    <row r="838" spans="1:10" s="40" customFormat="1" ht="15" thickBot="1">
      <c r="A838" s="76"/>
      <c r="B838" s="95" t="s">
        <v>72</v>
      </c>
      <c r="C838" s="128"/>
      <c r="D838" s="128"/>
      <c r="E838" s="128"/>
      <c r="F838" s="128"/>
      <c r="G838" s="76"/>
      <c r="H838" s="128"/>
      <c r="I838" s="128"/>
      <c r="J838" s="76"/>
    </row>
    <row r="839" spans="1:10" s="40" customFormat="1">
      <c r="A839" s="76"/>
      <c r="B839" s="76"/>
      <c r="C839" s="127" t="s">
        <v>69</v>
      </c>
      <c r="D839" s="127"/>
      <c r="E839" s="127"/>
      <c r="F839" s="127"/>
      <c r="G839" s="76"/>
      <c r="H839" s="127" t="s">
        <v>70</v>
      </c>
      <c r="I839" s="127"/>
      <c r="J839" s="76"/>
    </row>
    <row r="840" spans="1:10" s="40" customForma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</row>
    <row r="841" spans="1:10" s="40" customFormat="1" ht="15" thickBot="1">
      <c r="A841" s="76"/>
      <c r="B841" s="94" t="s">
        <v>73</v>
      </c>
      <c r="C841" s="128"/>
      <c r="D841" s="128"/>
      <c r="E841" s="128"/>
      <c r="F841" s="128"/>
      <c r="G841" s="76"/>
      <c r="H841" s="128"/>
      <c r="I841" s="128"/>
      <c r="J841" s="76"/>
    </row>
    <row r="842" spans="1:10">
      <c r="A842" s="76"/>
    </row>
  </sheetData>
  <mergeCells count="151">
    <mergeCell ref="D5:F5"/>
    <mergeCell ref="D7:F7"/>
    <mergeCell ref="D9:F9"/>
    <mergeCell ref="B105:J105"/>
    <mergeCell ref="B35:J35"/>
    <mergeCell ref="B825:J825"/>
    <mergeCell ref="B694:J694"/>
    <mergeCell ref="B540:J540"/>
    <mergeCell ref="B402:J402"/>
    <mergeCell ref="B229:J229"/>
    <mergeCell ref="D569:F569"/>
    <mergeCell ref="D571:F571"/>
    <mergeCell ref="D573:F573"/>
    <mergeCell ref="D262:F262"/>
    <mergeCell ref="D264:F264"/>
    <mergeCell ref="C244:F244"/>
    <mergeCell ref="H244:I244"/>
    <mergeCell ref="C245:F245"/>
    <mergeCell ref="H245:I245"/>
    <mergeCell ref="C410:F410"/>
    <mergeCell ref="H410:I410"/>
    <mergeCell ref="H411:I411"/>
    <mergeCell ref="C412:F412"/>
    <mergeCell ref="H412:I412"/>
    <mergeCell ref="C413:F413"/>
    <mergeCell ref="H413:I413"/>
    <mergeCell ref="C415:F415"/>
    <mergeCell ref="H415:I415"/>
    <mergeCell ref="C416:F416"/>
    <mergeCell ref="H416:I416"/>
    <mergeCell ref="D432:F432"/>
    <mergeCell ref="D434:F434"/>
    <mergeCell ref="C117:F117"/>
    <mergeCell ref="H117:I117"/>
    <mergeCell ref="C118:F118"/>
    <mergeCell ref="C241:F241"/>
    <mergeCell ref="H241:I241"/>
    <mergeCell ref="C242:F242"/>
    <mergeCell ref="H242:I242"/>
    <mergeCell ref="D260:F260"/>
    <mergeCell ref="C238:F238"/>
    <mergeCell ref="H238:I238"/>
    <mergeCell ref="H237:I237"/>
    <mergeCell ref="C239:F239"/>
    <mergeCell ref="H239:I239"/>
    <mergeCell ref="H118:I118"/>
    <mergeCell ref="D128:F128"/>
    <mergeCell ref="D130:F130"/>
    <mergeCell ref="D132:F132"/>
    <mergeCell ref="C120:F120"/>
    <mergeCell ref="H120:I120"/>
    <mergeCell ref="C121:F121"/>
    <mergeCell ref="H121:I121"/>
    <mergeCell ref="C233:F233"/>
    <mergeCell ref="H233:I233"/>
    <mergeCell ref="D52:F52"/>
    <mergeCell ref="D54:F54"/>
    <mergeCell ref="D56:F56"/>
    <mergeCell ref="C115:F115"/>
    <mergeCell ref="H115:I115"/>
    <mergeCell ref="C109:F109"/>
    <mergeCell ref="H109:I109"/>
    <mergeCell ref="C110:F110"/>
    <mergeCell ref="H110:I110"/>
    <mergeCell ref="C111:F111"/>
    <mergeCell ref="H111:I111"/>
    <mergeCell ref="C112:F112"/>
    <mergeCell ref="H112:I112"/>
    <mergeCell ref="C114:F114"/>
    <mergeCell ref="H114:I114"/>
    <mergeCell ref="C234:F234"/>
    <mergeCell ref="C407:F407"/>
    <mergeCell ref="H407:I407"/>
    <mergeCell ref="C408:F408"/>
    <mergeCell ref="H408:I408"/>
    <mergeCell ref="C409:F409"/>
    <mergeCell ref="H409:I409"/>
    <mergeCell ref="H234:I234"/>
    <mergeCell ref="C235:F235"/>
    <mergeCell ref="H235:I235"/>
    <mergeCell ref="C236:F236"/>
    <mergeCell ref="H236:I236"/>
    <mergeCell ref="C418:F418"/>
    <mergeCell ref="H418:I418"/>
    <mergeCell ref="C419:F419"/>
    <mergeCell ref="H419:I419"/>
    <mergeCell ref="D430:F430"/>
    <mergeCell ref="C546:F546"/>
    <mergeCell ref="H546:I546"/>
    <mergeCell ref="C547:F547"/>
    <mergeCell ref="H547:I547"/>
    <mergeCell ref="C554:F554"/>
    <mergeCell ref="H554:I554"/>
    <mergeCell ref="C555:F555"/>
    <mergeCell ref="H555:I555"/>
    <mergeCell ref="C557:F557"/>
    <mergeCell ref="H557:I557"/>
    <mergeCell ref="C558:F558"/>
    <mergeCell ref="H558:I558"/>
    <mergeCell ref="C548:F548"/>
    <mergeCell ref="H548:I548"/>
    <mergeCell ref="C549:F549"/>
    <mergeCell ref="H549:I549"/>
    <mergeCell ref="H550:I550"/>
    <mergeCell ref="C551:F551"/>
    <mergeCell ref="H551:I551"/>
    <mergeCell ref="C552:F552"/>
    <mergeCell ref="H552:I552"/>
    <mergeCell ref="C699:F699"/>
    <mergeCell ref="H699:I699"/>
    <mergeCell ref="C700:F700"/>
    <mergeCell ref="H700:I700"/>
    <mergeCell ref="C701:F701"/>
    <mergeCell ref="H701:I701"/>
    <mergeCell ref="C702:F702"/>
    <mergeCell ref="H702:I702"/>
    <mergeCell ref="H703:I703"/>
    <mergeCell ref="C711:F711"/>
    <mergeCell ref="H711:I711"/>
    <mergeCell ref="C704:F704"/>
    <mergeCell ref="H704:I704"/>
    <mergeCell ref="C705:F705"/>
    <mergeCell ref="H705:I705"/>
    <mergeCell ref="C707:F707"/>
    <mergeCell ref="H707:I707"/>
    <mergeCell ref="C708:F708"/>
    <mergeCell ref="H708:I708"/>
    <mergeCell ref="C710:F710"/>
    <mergeCell ref="H710:I710"/>
    <mergeCell ref="D722:F722"/>
    <mergeCell ref="D724:F724"/>
    <mergeCell ref="D726:F726"/>
    <mergeCell ref="C830:F830"/>
    <mergeCell ref="H830:I830"/>
    <mergeCell ref="C831:F831"/>
    <mergeCell ref="H831:I831"/>
    <mergeCell ref="C832:F832"/>
    <mergeCell ref="H832:I832"/>
    <mergeCell ref="C839:F839"/>
    <mergeCell ref="H839:I839"/>
    <mergeCell ref="C841:F841"/>
    <mergeCell ref="H841:I841"/>
    <mergeCell ref="C833:F833"/>
    <mergeCell ref="H833:I833"/>
    <mergeCell ref="H834:I834"/>
    <mergeCell ref="C835:F835"/>
    <mergeCell ref="H835:I835"/>
    <mergeCell ref="C836:F836"/>
    <mergeCell ref="H836:I836"/>
    <mergeCell ref="C838:F838"/>
    <mergeCell ref="H838:I838"/>
  </mergeCells>
  <phoneticPr fontId="21" type="noConversion"/>
  <pageMargins left="0.7" right="0.7" top="0.75" bottom="0.75" header="0.3" footer="0.3"/>
  <pageSetup paperSize="9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'Всплываюшиеся списки'!$A$3</xm:f>
          </x14:formula1>
          <xm:sqref>D52:F52 D128:F128 D430:F430 D569:F569</xm:sqref>
        </x14:dataValidation>
        <x14:dataValidation type="list" allowBlank="1" showInputMessage="1" showErrorMessage="1">
          <x14:formula1>
            <xm:f>'Всплываюшиеся списки'!$E$3:$E$187</xm:f>
          </x14:formula1>
          <xm:sqref>F60:F82 F84:F99 F136:F226 F359:F381 F384:F401 F438:F537 F577:F676 F679:F691</xm:sqref>
        </x14:dataValidation>
        <x14:dataValidation type="list" allowBlank="1" showInputMessage="1" showErrorMessage="1">
          <x14:formula1>
            <xm:f>Расценки!$B$3:$B$31</xm:f>
          </x14:formula1>
          <xm:sqref>G103:G104 G84:G99 G61:G82 G137:G198 G200:G226 G228 G361:G381 G383:G401 G532:G537 G539 G672:G686 G693</xm:sqref>
        </x14:dataValidation>
        <x14:dataValidation type="list" allowBlank="1" showInputMessage="1" showErrorMessage="1">
          <x14:formula1>
            <xm:f>Расценки!$B$3:$B$32</xm:f>
          </x14:formula1>
          <xm:sqref>G100 G60 G136 G438:G531 G577:G671 G687:G691</xm:sqref>
        </x14:dataValidation>
        <x14:dataValidation type="list" allowBlank="1" showInputMessage="1" showErrorMessage="1">
          <x14:formula1>
            <xm:f>'Всплываюшиеся списки'!$F$3:$F$11</xm:f>
          </x14:formula1>
          <xm:sqref>B60:B104 B136:B228 B361:B401 B438:B539 B577:B693</xm:sqref>
        </x14:dataValidation>
        <x14:dataValidation type="list" allowBlank="1" showInputMessage="1" showErrorMessage="1">
          <x14:formula1>
            <xm:f>'Всплываюшиеся списки'!$B$3:$B$4</xm:f>
          </x14:formula1>
          <xm:sqref>C60:C104 C136:C228 C380:C383 C438:C530 C577:C669 C679:C693</xm:sqref>
        </x14:dataValidation>
        <x14:dataValidation type="list" allowBlank="1" showInputMessage="1" showErrorMessage="1">
          <x14:formula1>
            <xm:f>'Всплываюшиеся списки'!$C$3:$C$7</xm:f>
          </x14:formula1>
          <xm:sqref>D60:D104 D136:D228 D361:D401 D438:D539 D579 D581:D693</xm:sqref>
        </x14:dataValidation>
        <x14:dataValidation type="list" allowBlank="1" showInputMessage="1" showErrorMessage="1">
          <x14:formula1>
            <xm:f>'Всплываюшиеся списки'!$D$3:$D$7</xm:f>
          </x14:formula1>
          <xm:sqref>E60:E104 E136:E226 E359:E401 E438:E528 E531:E537 E539 E577:E667 E670:E692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AE24"/>
  <sheetViews>
    <sheetView zoomScale="40" zoomScaleNormal="40" workbookViewId="0">
      <selection activeCell="M11" sqref="M11"/>
    </sheetView>
  </sheetViews>
  <sheetFormatPr defaultRowHeight="14.4"/>
  <cols>
    <col min="2" max="2" width="13.109375" customWidth="1"/>
    <col min="7" max="7" width="29.88671875" customWidth="1"/>
    <col min="11" max="11" width="15.6640625" customWidth="1"/>
  </cols>
  <sheetData>
    <row r="12" spans="1:31"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spans="1:31" ht="15" thickBo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3"/>
      <c r="N13" s="43"/>
      <c r="O13" s="43"/>
      <c r="P13" s="43"/>
      <c r="Q13" s="43"/>
      <c r="R13" s="43"/>
      <c r="S13" s="43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spans="1:3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144" t="s">
        <v>292</v>
      </c>
      <c r="N14" s="145"/>
      <c r="O14" s="145"/>
      <c r="P14" s="145"/>
      <c r="Q14" s="145"/>
      <c r="R14" s="145"/>
      <c r="S14" s="145" t="s">
        <v>291</v>
      </c>
      <c r="T14" s="145"/>
      <c r="U14" s="145"/>
      <c r="V14" s="145"/>
      <c r="W14" s="145"/>
      <c r="X14" s="145"/>
      <c r="Y14" s="145" t="s">
        <v>293</v>
      </c>
      <c r="Z14" s="145"/>
      <c r="AA14" s="145"/>
      <c r="AB14" s="145"/>
      <c r="AC14" s="145"/>
      <c r="AD14" s="145"/>
      <c r="AE14" s="64"/>
    </row>
    <row r="15" spans="1:3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147" t="s">
        <v>288</v>
      </c>
      <c r="N15" s="148"/>
      <c r="O15" s="148"/>
      <c r="P15" s="148"/>
      <c r="Q15" s="148"/>
      <c r="R15" s="149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65"/>
    </row>
    <row r="16" spans="1:31" s="29" customFormat="1" ht="41.4">
      <c r="A16" s="28" t="s">
        <v>37</v>
      </c>
      <c r="B16" s="28" t="s">
        <v>38</v>
      </c>
      <c r="C16" s="28" t="s">
        <v>39</v>
      </c>
      <c r="D16" s="28" t="s">
        <v>39</v>
      </c>
      <c r="E16" s="28" t="s">
        <v>40</v>
      </c>
      <c r="F16" s="28" t="s">
        <v>41</v>
      </c>
      <c r="G16" s="28" t="s">
        <v>2</v>
      </c>
      <c r="H16" s="28" t="s">
        <v>42</v>
      </c>
      <c r="I16" s="28" t="s">
        <v>43</v>
      </c>
      <c r="J16" s="28" t="s">
        <v>44</v>
      </c>
      <c r="K16" s="28" t="s">
        <v>45</v>
      </c>
      <c r="L16" s="62" t="s">
        <v>46</v>
      </c>
      <c r="M16" s="66" t="s">
        <v>7</v>
      </c>
      <c r="N16" s="55" t="s">
        <v>74</v>
      </c>
      <c r="O16" s="150" t="s">
        <v>75</v>
      </c>
      <c r="P16" s="151"/>
      <c r="Q16" s="151"/>
      <c r="R16" s="152"/>
      <c r="S16" s="26" t="s">
        <v>7</v>
      </c>
      <c r="T16" s="55" t="s">
        <v>74</v>
      </c>
      <c r="U16" s="55" t="s">
        <v>75</v>
      </c>
      <c r="V16" s="26" t="s">
        <v>7</v>
      </c>
      <c r="W16" s="55" t="s">
        <v>74</v>
      </c>
      <c r="X16" s="55" t="s">
        <v>75</v>
      </c>
      <c r="Y16" s="26" t="s">
        <v>7</v>
      </c>
      <c r="Z16" s="55" t="s">
        <v>74</v>
      </c>
      <c r="AA16" s="55" t="s">
        <v>75</v>
      </c>
      <c r="AB16" s="26" t="s">
        <v>7</v>
      </c>
      <c r="AC16" s="55" t="s">
        <v>74</v>
      </c>
      <c r="AD16" s="55" t="s">
        <v>75</v>
      </c>
      <c r="AE16" s="65"/>
    </row>
    <row r="17" spans="1:31" s="29" customFormat="1" ht="55.2">
      <c r="A17" s="27">
        <v>1</v>
      </c>
      <c r="B17" s="30" t="s">
        <v>47</v>
      </c>
      <c r="C17" s="17" t="s">
        <v>48</v>
      </c>
      <c r="D17" s="17" t="s">
        <v>49</v>
      </c>
      <c r="E17" s="17">
        <v>2</v>
      </c>
      <c r="F17" s="17"/>
      <c r="G17" s="17" t="s">
        <v>6</v>
      </c>
      <c r="H17" s="27" t="s">
        <v>7</v>
      </c>
      <c r="I17" s="31"/>
      <c r="J17" s="31"/>
      <c r="K17" s="32"/>
      <c r="L17" s="63"/>
      <c r="M17" s="67" t="s">
        <v>76</v>
      </c>
      <c r="N17" s="55">
        <v>300</v>
      </c>
      <c r="O17" s="153" t="s">
        <v>77</v>
      </c>
      <c r="P17" s="135"/>
      <c r="Q17" s="135"/>
      <c r="R17" s="154"/>
      <c r="S17" s="55">
        <v>123.76</v>
      </c>
      <c r="T17" s="55">
        <v>300</v>
      </c>
      <c r="U17" s="55" t="s">
        <v>78</v>
      </c>
      <c r="V17" s="17"/>
      <c r="W17" s="17"/>
      <c r="X17" s="17"/>
      <c r="Y17" s="55"/>
      <c r="Z17" s="55"/>
      <c r="AA17" s="55"/>
      <c r="AB17" s="55"/>
      <c r="AC17" s="55"/>
      <c r="AD17" s="55"/>
      <c r="AE17" s="65"/>
    </row>
    <row r="18" spans="1:31" s="29" customFormat="1" ht="55.8" thickBot="1">
      <c r="A18" s="18"/>
      <c r="B18" s="30" t="s">
        <v>47</v>
      </c>
      <c r="C18" s="17" t="s">
        <v>48</v>
      </c>
      <c r="D18" s="17" t="s">
        <v>49</v>
      </c>
      <c r="E18" s="17">
        <v>3</v>
      </c>
      <c r="F18" s="17"/>
      <c r="G18" s="17" t="s">
        <v>6</v>
      </c>
      <c r="H18" s="55" t="s">
        <v>7</v>
      </c>
      <c r="I18" s="31"/>
      <c r="J18" s="31"/>
      <c r="K18" s="32"/>
      <c r="L18" s="63"/>
      <c r="M18" s="68">
        <v>357.15</v>
      </c>
      <c r="N18" s="69">
        <v>300</v>
      </c>
      <c r="O18" s="155" t="s">
        <v>79</v>
      </c>
      <c r="P18" s="131"/>
      <c r="Q18" s="131"/>
      <c r="R18" s="156"/>
      <c r="S18" s="69" t="s">
        <v>80</v>
      </c>
      <c r="T18" s="69">
        <v>300</v>
      </c>
      <c r="U18" s="69" t="s">
        <v>81</v>
      </c>
      <c r="V18" s="69"/>
      <c r="W18" s="69"/>
      <c r="X18" s="69"/>
      <c r="Y18" s="69"/>
      <c r="Z18" s="69"/>
      <c r="AA18" s="69"/>
      <c r="AB18" s="69"/>
      <c r="AC18" s="69"/>
      <c r="AD18" s="69"/>
      <c r="AE18" s="70"/>
    </row>
    <row r="19" spans="1:31" s="29" customFormat="1">
      <c r="A19" s="41"/>
      <c r="B19" s="41"/>
      <c r="C19" s="41"/>
      <c r="D19" s="41"/>
      <c r="E19" s="41"/>
      <c r="F19" s="41"/>
      <c r="G19" s="41"/>
      <c r="H19" s="41"/>
      <c r="I19" s="57"/>
      <c r="J19" s="41"/>
      <c r="K19" s="58"/>
      <c r="L19" s="58"/>
      <c r="M19" s="43"/>
      <c r="N19" s="43"/>
      <c r="P19" s="43"/>
      <c r="Q19" s="43"/>
      <c r="R19" s="58"/>
      <c r="S19" s="43"/>
      <c r="T19" s="41"/>
      <c r="U19" s="58"/>
      <c r="V19" s="41"/>
      <c r="W19" s="41"/>
      <c r="X19" s="58"/>
      <c r="Y19" s="41"/>
      <c r="Z19" s="41"/>
      <c r="AA19" s="41"/>
      <c r="AB19" s="41"/>
      <c r="AC19" s="41"/>
      <c r="AD19" s="58"/>
      <c r="AE19" s="41"/>
    </row>
    <row r="20" spans="1:31" s="29" customForma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143"/>
      <c r="L20" s="143"/>
      <c r="M20" s="43"/>
      <c r="N20" s="43"/>
      <c r="O20" s="43"/>
      <c r="P20" s="43"/>
      <c r="Q20" s="58"/>
      <c r="R20" s="43"/>
      <c r="S20" s="43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 spans="1:31" s="29" customForma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3"/>
      <c r="N21" s="43"/>
      <c r="O21" s="43"/>
      <c r="P21" s="43"/>
      <c r="Q21" s="43"/>
      <c r="R21" s="43"/>
      <c r="S21" s="43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</row>
    <row r="22" spans="1:31" s="29" customForma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3"/>
      <c r="N22" s="43"/>
      <c r="O22" s="43"/>
      <c r="P22" s="43"/>
      <c r="Q22" s="43"/>
      <c r="R22" s="43"/>
      <c r="S22" s="43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 spans="1:31" s="29" customForma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3"/>
      <c r="N23" s="43"/>
      <c r="O23" s="43"/>
      <c r="P23" s="43"/>
      <c r="Q23" s="43"/>
      <c r="R23" s="43"/>
      <c r="S23" s="43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 spans="1:3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</sheetData>
  <mergeCells count="12">
    <mergeCell ref="K20:L20"/>
    <mergeCell ref="M14:R14"/>
    <mergeCell ref="S14:X14"/>
    <mergeCell ref="Y14:AD14"/>
    <mergeCell ref="S15:U15"/>
    <mergeCell ref="V15:X15"/>
    <mergeCell ref="Y15:AA15"/>
    <mergeCell ref="AB15:AD15"/>
    <mergeCell ref="M15:R15"/>
    <mergeCell ref="O16:R16"/>
    <mergeCell ref="O17:R17"/>
    <mergeCell ref="O18:R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P5" sqref="P5"/>
    </sheetView>
  </sheetViews>
  <sheetFormatPr defaultRowHeight="14.4"/>
  <cols>
    <col min="1" max="1" width="17.109375" customWidth="1"/>
  </cols>
  <sheetData>
    <row r="1" spans="1:24" s="42" customFormat="1" ht="17.399999999999999">
      <c r="A1" s="59" t="s">
        <v>51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pans="1:24" s="42" customFormat="1" ht="18">
      <c r="A2" s="60" t="s">
        <v>52</v>
      </c>
      <c r="B2" s="157"/>
      <c r="C2" s="157"/>
      <c r="D2" s="157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s="42" customForma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spans="1:24" s="42" customFormat="1" ht="66">
      <c r="A4" s="61" t="s">
        <v>53</v>
      </c>
      <c r="B4" s="12" t="s">
        <v>54</v>
      </c>
      <c r="C4" s="61" t="s">
        <v>55</v>
      </c>
      <c r="D4" s="12" t="s">
        <v>38</v>
      </c>
      <c r="E4" s="12" t="s">
        <v>39</v>
      </c>
      <c r="F4" s="61" t="s">
        <v>39</v>
      </c>
      <c r="G4" s="12" t="s">
        <v>40</v>
      </c>
      <c r="H4" s="12" t="s">
        <v>41</v>
      </c>
      <c r="I4" s="12" t="s">
        <v>2</v>
      </c>
      <c r="J4" s="12" t="s">
        <v>42</v>
      </c>
      <c r="K4" s="12" t="s">
        <v>43</v>
      </c>
      <c r="L4" s="12" t="s">
        <v>44</v>
      </c>
      <c r="M4" s="12" t="s">
        <v>45</v>
      </c>
      <c r="N4" s="12" t="s">
        <v>46</v>
      </c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1:24" s="42" customForma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spans="1:24" s="42" customForma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1:24" s="42" customForma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spans="1:24" s="42" customForma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spans="1:24" s="42" customForma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spans="1:24" s="42" customForma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spans="1:24" s="42" customForma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 spans="1:24" s="42" customForma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spans="1:24" s="42" customForma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spans="1:24" s="42" customForma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spans="1:24" s="42" customForma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24" s="42" customForma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spans="1:24" s="42" customForma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1:24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24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24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7"/>
  <sheetViews>
    <sheetView tabSelected="1" zoomScale="115" zoomScaleNormal="115" workbookViewId="0">
      <selection activeCell="E188" sqref="E188"/>
    </sheetView>
  </sheetViews>
  <sheetFormatPr defaultRowHeight="14.4"/>
  <cols>
    <col min="1" max="1" width="13" customWidth="1"/>
    <col min="2" max="2" width="14.6640625" customWidth="1"/>
    <col min="3" max="3" width="13.21875" customWidth="1"/>
    <col min="4" max="4" width="11.44140625" customWidth="1"/>
    <col min="5" max="5" width="89.33203125" customWidth="1"/>
    <col min="6" max="6" width="30.332031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</row>
    <row r="2" spans="1:21" ht="26.4">
      <c r="A2" s="3" t="s">
        <v>56</v>
      </c>
      <c r="B2" s="3" t="s">
        <v>39</v>
      </c>
      <c r="C2" s="3" t="s">
        <v>39</v>
      </c>
      <c r="D2" s="3" t="s">
        <v>40</v>
      </c>
      <c r="E2" s="3" t="s">
        <v>57</v>
      </c>
      <c r="F2" s="3" t="s">
        <v>38</v>
      </c>
      <c r="G2" s="4"/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</row>
    <row r="3" spans="1:21" ht="26.4">
      <c r="A3" s="5" t="s">
        <v>217</v>
      </c>
      <c r="B3" s="5" t="s">
        <v>48</v>
      </c>
      <c r="C3" s="6" t="s">
        <v>58</v>
      </c>
      <c r="D3" s="3">
        <v>-1</v>
      </c>
      <c r="E3" s="5" t="s">
        <v>82</v>
      </c>
      <c r="F3" s="6" t="s">
        <v>47</v>
      </c>
      <c r="G3" s="4"/>
      <c r="H3" s="4"/>
      <c r="I3" s="4"/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</row>
    <row r="4" spans="1:21">
      <c r="A4" s="4"/>
      <c r="B4" s="5" t="s">
        <v>59</v>
      </c>
      <c r="C4" s="6" t="s">
        <v>49</v>
      </c>
      <c r="D4" s="3">
        <v>-2</v>
      </c>
      <c r="E4" s="5" t="s">
        <v>273</v>
      </c>
      <c r="F4" s="6" t="s">
        <v>60</v>
      </c>
      <c r="G4" s="4"/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</row>
    <row r="5" spans="1:21" ht="26.4">
      <c r="A5" s="4"/>
      <c r="B5" s="4"/>
      <c r="C5" s="6" t="s">
        <v>63</v>
      </c>
      <c r="D5" s="3">
        <v>1</v>
      </c>
      <c r="E5" s="5" t="s">
        <v>83</v>
      </c>
      <c r="F5" s="6" t="s">
        <v>64</v>
      </c>
      <c r="G5" s="4"/>
      <c r="H5" s="4"/>
      <c r="I5" s="4"/>
      <c r="J5" s="4"/>
      <c r="K5" s="4"/>
      <c r="L5" s="4"/>
      <c r="M5" s="2"/>
      <c r="N5" s="2"/>
      <c r="O5" s="2"/>
      <c r="P5" s="2"/>
      <c r="Q5" s="2"/>
      <c r="R5" s="2"/>
      <c r="S5" s="2"/>
      <c r="T5" s="2"/>
      <c r="U5" s="2"/>
    </row>
    <row r="6" spans="1:21" ht="26.4">
      <c r="A6" s="4"/>
      <c r="B6" s="4"/>
      <c r="C6" s="5" t="s">
        <v>59</v>
      </c>
      <c r="D6" s="3">
        <v>2</v>
      </c>
      <c r="E6" s="5" t="s">
        <v>205</v>
      </c>
      <c r="F6" s="5" t="s">
        <v>59</v>
      </c>
      <c r="G6" s="4"/>
      <c r="H6" s="4"/>
      <c r="I6" s="4"/>
      <c r="J6" s="4"/>
      <c r="K6" s="4"/>
      <c r="L6" s="4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"/>
      <c r="B7" s="4"/>
      <c r="C7" s="6" t="s">
        <v>61</v>
      </c>
      <c r="D7" s="4">
        <v>3</v>
      </c>
      <c r="E7" s="5" t="s">
        <v>84</v>
      </c>
      <c r="F7" s="5" t="s">
        <v>65</v>
      </c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"/>
      <c r="B8" s="4"/>
      <c r="C8" s="4"/>
      <c r="D8" s="4"/>
      <c r="E8" s="5" t="s">
        <v>85</v>
      </c>
      <c r="F8" s="5" t="s">
        <v>66</v>
      </c>
      <c r="G8" s="4"/>
      <c r="H8" s="4"/>
      <c r="I8" s="4"/>
      <c r="J8" s="4"/>
      <c r="K8" s="4"/>
      <c r="L8" s="4"/>
      <c r="M8" s="2"/>
      <c r="N8" s="2"/>
      <c r="O8" s="2"/>
      <c r="P8" s="2"/>
      <c r="Q8" s="2"/>
      <c r="R8" s="2"/>
      <c r="S8" s="2"/>
      <c r="T8" s="2"/>
      <c r="U8" s="2"/>
    </row>
    <row r="9" spans="1:21" ht="26.4">
      <c r="A9" s="4"/>
      <c r="B9" s="4"/>
      <c r="C9" s="4"/>
      <c r="D9" s="4"/>
      <c r="E9" s="7" t="s">
        <v>86</v>
      </c>
      <c r="F9" s="5" t="s">
        <v>67</v>
      </c>
      <c r="G9" s="4"/>
      <c r="H9" s="4"/>
      <c r="I9" s="4"/>
      <c r="J9" s="4"/>
      <c r="K9" s="4"/>
      <c r="L9" s="4"/>
      <c r="M9" s="2"/>
      <c r="N9" s="2"/>
      <c r="O9" s="2"/>
      <c r="P9" s="2"/>
      <c r="Q9" s="2"/>
      <c r="R9" s="2"/>
      <c r="S9" s="2"/>
      <c r="T9" s="2"/>
      <c r="U9" s="2"/>
    </row>
    <row r="10" spans="1:21" ht="26.4">
      <c r="A10" s="4"/>
      <c r="B10" s="4"/>
      <c r="C10" s="4"/>
      <c r="D10" s="4"/>
      <c r="E10" s="5" t="s">
        <v>87</v>
      </c>
      <c r="F10" s="5" t="s">
        <v>68</v>
      </c>
      <c r="G10" s="4"/>
      <c r="H10" s="4"/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"/>
      <c r="B11" s="4"/>
      <c r="C11" s="4"/>
      <c r="D11" s="4"/>
      <c r="E11" s="5" t="s">
        <v>88</v>
      </c>
      <c r="F11" s="6" t="s">
        <v>62</v>
      </c>
      <c r="G11" s="4"/>
      <c r="H11" s="4"/>
      <c r="I11" s="4"/>
      <c r="J11" s="4"/>
      <c r="K11" s="4"/>
      <c r="L11" s="4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4"/>
      <c r="B12" s="4"/>
      <c r="C12" s="4"/>
      <c r="D12" s="4"/>
      <c r="E12" s="5" t="s">
        <v>89</v>
      </c>
      <c r="F12" s="4"/>
      <c r="G12" s="4"/>
      <c r="H12" s="4"/>
      <c r="I12" s="4"/>
      <c r="J12" s="4"/>
      <c r="K12" s="4"/>
      <c r="L12" s="4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"/>
      <c r="B13" s="4"/>
      <c r="C13" s="4"/>
      <c r="D13" s="4"/>
      <c r="E13" s="5" t="s">
        <v>90</v>
      </c>
      <c r="F13" s="4"/>
      <c r="G13" s="4"/>
      <c r="H13" s="4"/>
      <c r="I13" s="4"/>
      <c r="J13" s="4"/>
      <c r="K13" s="4"/>
      <c r="L13" s="4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"/>
      <c r="B14" s="4"/>
      <c r="C14" s="4"/>
      <c r="D14" s="4"/>
      <c r="E14" s="5" t="s">
        <v>91</v>
      </c>
      <c r="F14" s="4"/>
      <c r="G14" s="4"/>
      <c r="H14" s="4"/>
      <c r="I14" s="4"/>
      <c r="J14" s="4"/>
      <c r="K14" s="4"/>
      <c r="L14" s="4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"/>
      <c r="B15" s="4"/>
      <c r="C15" s="4"/>
      <c r="D15" s="4"/>
      <c r="E15" s="5" t="s">
        <v>92</v>
      </c>
      <c r="F15" s="4"/>
      <c r="G15" s="4"/>
      <c r="H15" s="4"/>
      <c r="I15" s="4"/>
      <c r="J15" s="4"/>
      <c r="K15" s="4"/>
      <c r="L15" s="4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4"/>
      <c r="B16" s="4"/>
      <c r="C16" s="4"/>
      <c r="D16" s="4"/>
      <c r="E16" s="5" t="s">
        <v>93</v>
      </c>
      <c r="F16" s="4"/>
      <c r="G16" s="4"/>
      <c r="H16" s="4"/>
      <c r="I16" s="4"/>
      <c r="J16" s="4"/>
      <c r="K16" s="4"/>
      <c r="L16" s="4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4"/>
      <c r="B17" s="4"/>
      <c r="C17" s="4"/>
      <c r="D17" s="4"/>
      <c r="E17" s="5" t="s">
        <v>94</v>
      </c>
      <c r="F17" s="4"/>
      <c r="G17" s="4"/>
      <c r="H17" s="4"/>
      <c r="I17" s="4"/>
      <c r="J17" s="4"/>
      <c r="K17" s="4"/>
      <c r="L17" s="4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"/>
      <c r="B18" s="4"/>
      <c r="C18" s="4"/>
      <c r="D18" s="4"/>
      <c r="E18" s="5" t="s">
        <v>95</v>
      </c>
      <c r="F18" s="4"/>
      <c r="G18" s="4"/>
      <c r="H18" s="4"/>
      <c r="I18" s="4"/>
      <c r="J18" s="4"/>
      <c r="K18" s="4"/>
      <c r="L18" s="4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"/>
      <c r="B19" s="4"/>
      <c r="C19" s="4"/>
      <c r="D19" s="4"/>
      <c r="E19" s="5" t="s">
        <v>96</v>
      </c>
      <c r="F19" s="4"/>
      <c r="G19" s="4"/>
      <c r="H19" s="4"/>
      <c r="I19" s="4"/>
      <c r="J19" s="4"/>
      <c r="K19" s="4"/>
      <c r="L19" s="4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4"/>
      <c r="B20" s="4"/>
      <c r="C20" s="4"/>
      <c r="D20" s="4"/>
      <c r="E20" s="5" t="s">
        <v>97</v>
      </c>
      <c r="F20" s="4"/>
      <c r="G20" s="4"/>
      <c r="H20" s="4"/>
      <c r="I20" s="4"/>
      <c r="J20" s="4"/>
      <c r="K20" s="4"/>
      <c r="L20" s="4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4"/>
      <c r="B21" s="4"/>
      <c r="C21" s="4"/>
      <c r="D21" s="4"/>
      <c r="E21" s="5" t="s">
        <v>98</v>
      </c>
      <c r="F21" s="4"/>
      <c r="G21" s="4"/>
      <c r="H21" s="4"/>
      <c r="I21" s="4"/>
      <c r="J21" s="4"/>
      <c r="K21" s="4"/>
      <c r="L21" s="4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4"/>
      <c r="B22" s="4"/>
      <c r="C22" s="4"/>
      <c r="D22" s="4"/>
      <c r="E22" s="5" t="s">
        <v>99</v>
      </c>
      <c r="F22" s="4"/>
      <c r="G22" s="4"/>
      <c r="H22" s="4"/>
      <c r="I22" s="4"/>
      <c r="J22" s="4"/>
      <c r="K22" s="4"/>
      <c r="L22" s="4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4"/>
      <c r="B23" s="4"/>
      <c r="C23" s="4"/>
      <c r="D23" s="4"/>
      <c r="E23" s="5" t="s">
        <v>100</v>
      </c>
      <c r="F23" s="4"/>
      <c r="G23" s="4"/>
      <c r="H23" s="4"/>
      <c r="I23" s="4"/>
      <c r="J23" s="4"/>
      <c r="K23" s="4"/>
      <c r="L23" s="4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1"/>
      <c r="B24" s="1"/>
      <c r="C24" s="1"/>
      <c r="D24" s="1"/>
      <c r="E24" s="5" t="s">
        <v>101</v>
      </c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1"/>
      <c r="B25" s="1"/>
      <c r="C25" s="1"/>
      <c r="D25" s="1"/>
      <c r="E25" s="5" t="s">
        <v>102</v>
      </c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1"/>
      <c r="B26" s="1"/>
      <c r="C26" s="1"/>
      <c r="D26" s="1"/>
      <c r="E26" s="5" t="s">
        <v>103</v>
      </c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1"/>
      <c r="B27" s="1"/>
      <c r="C27" s="1"/>
      <c r="D27" s="1"/>
      <c r="E27" s="5" t="s">
        <v>104</v>
      </c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1"/>
      <c r="B28" s="1"/>
      <c r="C28" s="1"/>
      <c r="D28" s="1"/>
      <c r="E28" s="5" t="s">
        <v>105</v>
      </c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1"/>
      <c r="B29" s="1"/>
      <c r="C29" s="1"/>
      <c r="D29" s="1"/>
      <c r="E29" s="5" t="s">
        <v>106</v>
      </c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1"/>
      <c r="B30" s="1"/>
      <c r="C30" s="1"/>
      <c r="D30" s="1"/>
      <c r="E30" s="5" t="s">
        <v>107</v>
      </c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1"/>
      <c r="B31" s="1"/>
      <c r="C31" s="1"/>
      <c r="D31" s="1"/>
      <c r="E31" s="5" t="s">
        <v>108</v>
      </c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1"/>
      <c r="B32" s="1"/>
      <c r="C32" s="1"/>
      <c r="D32" s="1"/>
      <c r="E32" s="5" t="s">
        <v>109</v>
      </c>
      <c r="F32" s="1"/>
      <c r="G32" s="1"/>
      <c r="H32" s="1"/>
      <c r="I32" s="1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1"/>
      <c r="B33" s="1"/>
      <c r="C33" s="1"/>
      <c r="D33" s="1"/>
      <c r="E33" s="5" t="s">
        <v>110</v>
      </c>
      <c r="F33" s="1"/>
      <c r="G33" s="1"/>
      <c r="H33" s="1"/>
      <c r="I33" s="1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1"/>
      <c r="B34" s="1"/>
      <c r="C34" s="1"/>
      <c r="D34" s="1"/>
      <c r="E34" s="5" t="s">
        <v>111</v>
      </c>
      <c r="F34" s="1"/>
      <c r="G34" s="1"/>
      <c r="H34" s="1"/>
      <c r="I34" s="1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"/>
      <c r="B35" s="1"/>
      <c r="C35" s="1"/>
      <c r="D35" s="1"/>
      <c r="E35" s="5" t="s">
        <v>112</v>
      </c>
      <c r="F35" s="1"/>
      <c r="G35" s="1"/>
      <c r="H35" s="1"/>
      <c r="I35" s="1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1"/>
      <c r="B36" s="1"/>
      <c r="C36" s="1"/>
      <c r="D36" s="1"/>
      <c r="E36" s="5" t="s">
        <v>113</v>
      </c>
      <c r="F36" s="1"/>
      <c r="G36" s="1"/>
      <c r="H36" s="1"/>
      <c r="I36" s="1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1"/>
      <c r="B37" s="1"/>
      <c r="C37" s="1"/>
      <c r="D37" s="1"/>
      <c r="E37" s="5" t="s">
        <v>114</v>
      </c>
      <c r="F37" s="1"/>
      <c r="G37" s="1"/>
      <c r="H37" s="1"/>
      <c r="I37" s="1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1"/>
      <c r="B38" s="1"/>
      <c r="C38" s="1"/>
      <c r="D38" s="1"/>
      <c r="E38" s="5" t="s">
        <v>115</v>
      </c>
      <c r="F38" s="1"/>
      <c r="G38" s="1"/>
      <c r="H38" s="1"/>
      <c r="I38" s="1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1"/>
      <c r="B39" s="1"/>
      <c r="C39" s="1"/>
      <c r="D39" s="1"/>
      <c r="E39" s="5" t="s">
        <v>116</v>
      </c>
      <c r="F39" s="1"/>
      <c r="G39" s="1"/>
      <c r="H39" s="1"/>
      <c r="I39" s="1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1"/>
      <c r="B40" s="1"/>
      <c r="C40" s="1"/>
      <c r="D40" s="1"/>
      <c r="E40" s="5" t="s">
        <v>117</v>
      </c>
      <c r="F40" s="1"/>
      <c r="G40" s="1"/>
      <c r="H40" s="1"/>
      <c r="I40" s="1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1"/>
      <c r="B41" s="1"/>
      <c r="C41" s="1"/>
      <c r="D41" s="1"/>
      <c r="E41" s="5" t="s">
        <v>118</v>
      </c>
      <c r="F41" s="1"/>
      <c r="G41" s="1"/>
      <c r="H41" s="1"/>
      <c r="I41" s="1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1"/>
      <c r="B42" s="1"/>
      <c r="C42" s="1"/>
      <c r="D42" s="1"/>
      <c r="E42" s="5" t="s">
        <v>119</v>
      </c>
      <c r="F42" s="1"/>
      <c r="G42" s="1"/>
      <c r="H42" s="1"/>
      <c r="I42" s="1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1"/>
      <c r="B43" s="1"/>
      <c r="C43" s="1"/>
      <c r="D43" s="1"/>
      <c r="E43" s="5" t="s">
        <v>120</v>
      </c>
      <c r="F43" s="1"/>
      <c r="G43" s="1"/>
      <c r="H43" s="1"/>
      <c r="I43" s="1"/>
      <c r="J43" s="1"/>
      <c r="K43" s="1"/>
      <c r="L43" s="1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1"/>
      <c r="B44" s="1"/>
      <c r="C44" s="1"/>
      <c r="D44" s="1"/>
      <c r="E44" s="5" t="s">
        <v>121</v>
      </c>
      <c r="F44" s="1"/>
      <c r="G44" s="1"/>
      <c r="H44" s="1"/>
      <c r="I44" s="1"/>
      <c r="J44" s="1"/>
      <c r="K44" s="1"/>
      <c r="L44" s="1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1"/>
      <c r="B45" s="1"/>
      <c r="C45" s="1"/>
      <c r="D45" s="1"/>
      <c r="E45" s="5" t="s">
        <v>122</v>
      </c>
      <c r="F45" s="1"/>
      <c r="G45" s="1"/>
      <c r="H45" s="1"/>
      <c r="I45" s="1"/>
      <c r="J45" s="1"/>
      <c r="K45" s="1"/>
      <c r="L45" s="1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1"/>
      <c r="B46" s="1"/>
      <c r="C46" s="1"/>
      <c r="D46" s="1"/>
      <c r="E46" s="5" t="s">
        <v>123</v>
      </c>
      <c r="F46" s="1"/>
      <c r="G46" s="1"/>
      <c r="H46" s="1"/>
      <c r="I46" s="1"/>
      <c r="J46" s="1"/>
      <c r="K46" s="1"/>
      <c r="L46" s="1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1"/>
      <c r="B47" s="1"/>
      <c r="C47" s="1"/>
      <c r="D47" s="1"/>
      <c r="E47" s="5" t="s">
        <v>124</v>
      </c>
      <c r="F47" s="1"/>
      <c r="G47" s="1"/>
      <c r="H47" s="1"/>
      <c r="I47" s="1"/>
      <c r="J47" s="1"/>
      <c r="K47" s="1"/>
      <c r="L47" s="1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1"/>
      <c r="B48" s="1"/>
      <c r="C48" s="1"/>
      <c r="D48" s="1"/>
      <c r="E48" s="5" t="s">
        <v>125</v>
      </c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1"/>
      <c r="B49" s="1"/>
      <c r="C49" s="1"/>
      <c r="D49" s="1"/>
      <c r="E49" s="5" t="s">
        <v>126</v>
      </c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1"/>
      <c r="B50" s="1"/>
      <c r="C50" s="1"/>
      <c r="D50" s="1"/>
      <c r="E50" s="5" t="s">
        <v>127</v>
      </c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1"/>
      <c r="B51" s="1"/>
      <c r="C51" s="1"/>
      <c r="D51" s="1"/>
      <c r="E51" s="5" t="s">
        <v>128</v>
      </c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1"/>
      <c r="B52" s="1"/>
      <c r="C52" s="1"/>
      <c r="D52" s="1"/>
      <c r="E52" s="5" t="s">
        <v>129</v>
      </c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1"/>
      <c r="B53" s="1"/>
      <c r="C53" s="1"/>
      <c r="D53" s="1"/>
      <c r="E53" s="5" t="s">
        <v>130</v>
      </c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1"/>
      <c r="B54" s="1"/>
      <c r="C54" s="1"/>
      <c r="D54" s="1"/>
      <c r="E54" s="5" t="s">
        <v>131</v>
      </c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1"/>
      <c r="B55" s="1"/>
      <c r="C55" s="1"/>
      <c r="D55" s="1"/>
      <c r="E55" s="5" t="s">
        <v>132</v>
      </c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1"/>
      <c r="B56" s="1"/>
      <c r="C56" s="1"/>
      <c r="D56" s="1"/>
      <c r="E56" s="5" t="s">
        <v>133</v>
      </c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1"/>
      <c r="B57" s="1"/>
      <c r="C57" s="1"/>
      <c r="D57" s="1"/>
      <c r="E57" s="5" t="s">
        <v>134</v>
      </c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1"/>
      <c r="B58" s="1"/>
      <c r="C58" s="1"/>
      <c r="D58" s="1"/>
      <c r="E58" s="5" t="s">
        <v>135</v>
      </c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1"/>
      <c r="B59" s="1"/>
      <c r="C59" s="1"/>
      <c r="D59" s="1"/>
      <c r="E59" s="5" t="s">
        <v>136</v>
      </c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1"/>
      <c r="B60" s="1"/>
      <c r="C60" s="1"/>
      <c r="D60" s="1"/>
      <c r="E60" s="5" t="s">
        <v>137</v>
      </c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1"/>
      <c r="B61" s="1"/>
      <c r="C61" s="1"/>
      <c r="D61" s="1"/>
      <c r="E61" s="5" t="s">
        <v>138</v>
      </c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1"/>
      <c r="B62" s="1"/>
      <c r="C62" s="1"/>
      <c r="D62" s="1"/>
      <c r="E62" s="5" t="s">
        <v>139</v>
      </c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1"/>
      <c r="B63" s="1"/>
      <c r="C63" s="1"/>
      <c r="D63" s="1"/>
      <c r="E63" s="5" t="s">
        <v>140</v>
      </c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1"/>
      <c r="B64" s="1"/>
      <c r="C64" s="1"/>
      <c r="D64" s="1"/>
      <c r="E64" s="5" t="s">
        <v>141</v>
      </c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1"/>
      <c r="B65" s="1"/>
      <c r="C65" s="1"/>
      <c r="D65" s="1"/>
      <c r="E65" s="5" t="s">
        <v>142</v>
      </c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1"/>
      <c r="B66" s="1"/>
      <c r="C66" s="1"/>
      <c r="D66" s="1"/>
      <c r="E66" s="5" t="s">
        <v>143</v>
      </c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1"/>
      <c r="B67" s="1"/>
      <c r="C67" s="1"/>
      <c r="D67" s="1"/>
      <c r="E67" s="5" t="s">
        <v>144</v>
      </c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1"/>
      <c r="B68" s="1"/>
      <c r="C68" s="1"/>
      <c r="D68" s="1"/>
      <c r="E68" s="5" t="s">
        <v>145</v>
      </c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1"/>
      <c r="B69" s="1"/>
      <c r="C69" s="1"/>
      <c r="D69" s="1"/>
      <c r="E69" s="5" t="s">
        <v>146</v>
      </c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1"/>
      <c r="B70" s="1"/>
      <c r="C70" s="1"/>
      <c r="D70" s="1"/>
      <c r="E70" s="5" t="s">
        <v>147</v>
      </c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1"/>
      <c r="B71" s="1"/>
      <c r="C71" s="1"/>
      <c r="D71" s="1"/>
      <c r="E71" s="5" t="s">
        <v>148</v>
      </c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1"/>
      <c r="B72" s="1"/>
      <c r="C72" s="1"/>
      <c r="D72" s="1"/>
      <c r="E72" s="5" t="s">
        <v>149</v>
      </c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1"/>
      <c r="B73" s="1"/>
      <c r="C73" s="1"/>
      <c r="D73" s="1"/>
      <c r="E73" s="5" t="s">
        <v>150</v>
      </c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1"/>
      <c r="B74" s="1"/>
      <c r="C74" s="1"/>
      <c r="D74" s="1"/>
      <c r="E74" s="5" t="s">
        <v>151</v>
      </c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1"/>
      <c r="B75" s="1"/>
      <c r="C75" s="1"/>
      <c r="D75" s="1"/>
      <c r="E75" s="7" t="s">
        <v>152</v>
      </c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1"/>
      <c r="B76" s="1"/>
      <c r="C76" s="1"/>
      <c r="D76" s="1"/>
      <c r="E76" s="5" t="s">
        <v>153</v>
      </c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1"/>
      <c r="B77" s="1"/>
      <c r="C77" s="1"/>
      <c r="D77" s="1"/>
      <c r="E77" s="5" t="s">
        <v>154</v>
      </c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1"/>
      <c r="B78" s="1"/>
      <c r="C78" s="1"/>
      <c r="D78" s="1"/>
      <c r="E78" s="5" t="s">
        <v>155</v>
      </c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1"/>
      <c r="B79" s="1"/>
      <c r="C79" s="1"/>
      <c r="D79" s="1"/>
      <c r="E79" s="5" t="s">
        <v>156</v>
      </c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1"/>
      <c r="B80" s="1"/>
      <c r="C80" s="1"/>
      <c r="D80" s="1"/>
      <c r="E80" s="5" t="s">
        <v>157</v>
      </c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1"/>
      <c r="B81" s="1"/>
      <c r="C81" s="1"/>
      <c r="D81" s="1"/>
      <c r="E81" s="5" t="s">
        <v>158</v>
      </c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1"/>
      <c r="B82" s="1"/>
      <c r="C82" s="1"/>
      <c r="D82" s="1"/>
      <c r="E82" s="5" t="s">
        <v>159</v>
      </c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1"/>
      <c r="B83" s="1"/>
      <c r="C83" s="1"/>
      <c r="D83" s="1"/>
      <c r="E83" s="7" t="s">
        <v>160</v>
      </c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1"/>
      <c r="B84" s="1"/>
      <c r="C84" s="1"/>
      <c r="D84" s="1"/>
      <c r="E84" s="5" t="s">
        <v>161</v>
      </c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1"/>
      <c r="B85" s="1"/>
      <c r="C85" s="1"/>
      <c r="D85" s="1"/>
      <c r="E85" s="5" t="s">
        <v>162</v>
      </c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1"/>
      <c r="B86" s="1"/>
      <c r="C86" s="1"/>
      <c r="D86" s="1"/>
      <c r="E86" s="5" t="s">
        <v>274</v>
      </c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1"/>
      <c r="B87" s="1"/>
      <c r="C87" s="1"/>
      <c r="D87" s="1"/>
      <c r="E87" s="5" t="s">
        <v>163</v>
      </c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1"/>
      <c r="B88" s="1"/>
      <c r="C88" s="1"/>
      <c r="D88" s="1"/>
      <c r="E88" s="5" t="s">
        <v>164</v>
      </c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</row>
    <row r="89" spans="1:21" ht="26.4">
      <c r="A89" s="1"/>
      <c r="B89" s="1"/>
      <c r="C89" s="1"/>
      <c r="D89" s="1"/>
      <c r="E89" s="5" t="s">
        <v>275</v>
      </c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</row>
    <row r="90" spans="1:21" ht="26.4">
      <c r="A90" s="1"/>
      <c r="B90" s="1"/>
      <c r="C90" s="1"/>
      <c r="D90" s="1"/>
      <c r="E90" s="5" t="s">
        <v>276</v>
      </c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1"/>
      <c r="B91" s="1"/>
      <c r="C91" s="1"/>
      <c r="D91" s="1"/>
      <c r="E91" s="5" t="s">
        <v>165</v>
      </c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1"/>
      <c r="B92" s="1"/>
      <c r="C92" s="1"/>
      <c r="D92" s="1"/>
      <c r="E92" s="5" t="s">
        <v>166</v>
      </c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1"/>
      <c r="B93" s="1"/>
      <c r="C93" s="1"/>
      <c r="D93" s="1"/>
      <c r="E93" s="5" t="s">
        <v>167</v>
      </c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1"/>
      <c r="B94" s="1"/>
      <c r="C94" s="1"/>
      <c r="D94" s="1"/>
      <c r="E94" s="5" t="s">
        <v>168</v>
      </c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1"/>
      <c r="B95" s="1"/>
      <c r="C95" s="1"/>
      <c r="D95" s="1"/>
      <c r="E95" s="5" t="s">
        <v>169</v>
      </c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1"/>
      <c r="B96" s="1"/>
      <c r="C96" s="1"/>
      <c r="D96" s="1"/>
      <c r="E96" s="5" t="s">
        <v>170</v>
      </c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1"/>
      <c r="B97" s="1"/>
      <c r="C97" s="1"/>
      <c r="D97" s="1"/>
      <c r="E97" s="5" t="s">
        <v>171</v>
      </c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1"/>
      <c r="B98" s="1"/>
      <c r="C98" s="1"/>
      <c r="D98" s="1"/>
      <c r="E98" s="5" t="s">
        <v>172</v>
      </c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1"/>
      <c r="B99" s="1"/>
      <c r="C99" s="1"/>
      <c r="D99" s="1"/>
      <c r="E99" s="7" t="s">
        <v>173</v>
      </c>
      <c r="F99" s="1"/>
      <c r="G99" s="1"/>
      <c r="H99" s="1"/>
      <c r="I99" s="1"/>
      <c r="J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1"/>
      <c r="B100" s="1"/>
      <c r="C100" s="1"/>
      <c r="D100" s="1"/>
      <c r="E100" s="5" t="s">
        <v>174</v>
      </c>
      <c r="F100" s="1"/>
      <c r="G100" s="1"/>
      <c r="H100" s="1"/>
      <c r="I100" s="1"/>
      <c r="J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1"/>
      <c r="B101" s="1"/>
      <c r="C101" s="1"/>
      <c r="D101" s="1"/>
      <c r="E101" s="5" t="s">
        <v>175</v>
      </c>
      <c r="F101" s="1"/>
      <c r="G101" s="1"/>
      <c r="H101" s="1"/>
      <c r="I101" s="1"/>
      <c r="J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1"/>
      <c r="B102" s="1"/>
      <c r="C102" s="1"/>
      <c r="D102" s="1"/>
      <c r="E102" s="7" t="s">
        <v>176</v>
      </c>
      <c r="F102" s="1"/>
      <c r="G102" s="1"/>
      <c r="H102" s="1"/>
      <c r="I102" s="1"/>
      <c r="J102" s="1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1"/>
      <c r="B103" s="1"/>
      <c r="C103" s="1"/>
      <c r="D103" s="1"/>
      <c r="E103" s="5" t="s">
        <v>177</v>
      </c>
      <c r="F103" s="1"/>
      <c r="G103" s="1"/>
      <c r="H103" s="1"/>
      <c r="I103" s="1"/>
      <c r="J103" s="1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1"/>
      <c r="B104" s="1"/>
      <c r="C104" s="1"/>
      <c r="D104" s="1"/>
      <c r="E104" s="5" t="s">
        <v>178</v>
      </c>
      <c r="F104" s="1"/>
      <c r="G104" s="1"/>
      <c r="H104" s="1"/>
      <c r="I104" s="1"/>
      <c r="J104" s="1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1"/>
      <c r="B105" s="1"/>
      <c r="C105" s="1"/>
      <c r="D105" s="1"/>
      <c r="E105" s="5" t="s">
        <v>179</v>
      </c>
      <c r="F105" s="1"/>
      <c r="G105" s="1"/>
      <c r="H105" s="1"/>
      <c r="I105" s="1"/>
      <c r="J105" s="1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"/>
      <c r="B106" s="1"/>
      <c r="C106" s="1"/>
      <c r="D106" s="1"/>
      <c r="E106" s="5" t="s">
        <v>180</v>
      </c>
      <c r="F106" s="1"/>
      <c r="G106" s="1"/>
      <c r="H106" s="1"/>
      <c r="I106" s="1"/>
      <c r="J106" s="1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1"/>
      <c r="B107" s="1"/>
      <c r="C107" s="1"/>
      <c r="D107" s="1"/>
      <c r="E107" s="7" t="s">
        <v>181</v>
      </c>
      <c r="F107" s="1"/>
      <c r="G107" s="1"/>
      <c r="H107" s="1"/>
      <c r="I107" s="1"/>
      <c r="J107" s="1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1"/>
      <c r="B108" s="1"/>
      <c r="C108" s="1"/>
      <c r="D108" s="1"/>
      <c r="E108" s="5" t="s">
        <v>182</v>
      </c>
      <c r="F108" s="1"/>
      <c r="G108" s="1"/>
      <c r="H108" s="1"/>
      <c r="I108" s="1"/>
      <c r="J108" s="1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1"/>
      <c r="B109" s="1"/>
      <c r="C109" s="1"/>
      <c r="D109" s="1"/>
      <c r="E109" s="5" t="s">
        <v>183</v>
      </c>
      <c r="F109" s="1"/>
      <c r="G109" s="1"/>
      <c r="H109" s="1"/>
      <c r="I109" s="1"/>
      <c r="J109" s="1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1"/>
      <c r="B110" s="1"/>
      <c r="C110" s="1"/>
      <c r="D110" s="1"/>
      <c r="E110" s="7" t="s">
        <v>184</v>
      </c>
      <c r="F110" s="1"/>
      <c r="G110" s="1"/>
      <c r="H110" s="1"/>
      <c r="I110" s="1"/>
      <c r="J110" s="1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1"/>
      <c r="B111" s="1"/>
      <c r="C111" s="1"/>
      <c r="D111" s="1"/>
      <c r="E111" s="5" t="s">
        <v>185</v>
      </c>
      <c r="F111" s="1"/>
      <c r="G111" s="1"/>
      <c r="H111" s="1"/>
      <c r="I111" s="1"/>
      <c r="J111" s="1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1"/>
      <c r="B112" s="1"/>
      <c r="C112" s="1"/>
      <c r="D112" s="1"/>
      <c r="E112" s="5" t="s">
        <v>186</v>
      </c>
      <c r="F112" s="1"/>
      <c r="G112" s="1"/>
      <c r="H112" s="1"/>
      <c r="I112" s="1"/>
      <c r="J112" s="1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1"/>
      <c r="B113" s="1"/>
      <c r="C113" s="1"/>
      <c r="D113" s="1"/>
      <c r="E113" s="5" t="s">
        <v>187</v>
      </c>
      <c r="F113" s="1"/>
      <c r="G113" s="1"/>
      <c r="H113" s="1"/>
      <c r="I113" s="1"/>
      <c r="J113" s="1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1"/>
      <c r="B114" s="1"/>
      <c r="C114" s="1"/>
      <c r="D114" s="1"/>
      <c r="E114" s="5" t="s">
        <v>188</v>
      </c>
      <c r="F114" s="1"/>
      <c r="G114" s="1"/>
      <c r="H114" s="1"/>
      <c r="I114" s="1"/>
      <c r="J114" s="1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"/>
      <c r="B115" s="1"/>
      <c r="C115" s="1"/>
      <c r="D115" s="1"/>
      <c r="E115" s="5" t="s">
        <v>189</v>
      </c>
      <c r="F115" s="1"/>
      <c r="G115" s="1"/>
      <c r="H115" s="1"/>
      <c r="I115" s="1"/>
      <c r="J115" s="1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1"/>
      <c r="B116" s="1"/>
      <c r="C116" s="1"/>
      <c r="D116" s="1"/>
      <c r="E116" s="5" t="s">
        <v>190</v>
      </c>
      <c r="F116" s="1"/>
      <c r="G116" s="1"/>
      <c r="H116" s="1"/>
      <c r="I116" s="1"/>
      <c r="J116" s="1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1"/>
      <c r="B117" s="1"/>
      <c r="C117" s="1"/>
      <c r="D117" s="1"/>
      <c r="E117" s="5" t="s">
        <v>191</v>
      </c>
      <c r="F117" s="1"/>
      <c r="G117" s="1"/>
      <c r="H117" s="1"/>
      <c r="I117" s="1"/>
      <c r="J117" s="1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1"/>
      <c r="B118" s="1"/>
      <c r="C118" s="1"/>
      <c r="D118" s="1"/>
      <c r="E118" s="5" t="s">
        <v>192</v>
      </c>
      <c r="F118" s="1"/>
      <c r="G118" s="1"/>
      <c r="H118" s="1"/>
      <c r="I118" s="1"/>
      <c r="J118" s="1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1"/>
      <c r="B119" s="1"/>
      <c r="C119" s="1"/>
      <c r="D119" s="1"/>
      <c r="E119" s="5" t="s">
        <v>193</v>
      </c>
      <c r="F119" s="1"/>
      <c r="G119" s="1"/>
      <c r="H119" s="1"/>
      <c r="I119" s="1"/>
      <c r="J119" s="1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1"/>
      <c r="B120" s="1"/>
      <c r="C120" s="1"/>
      <c r="D120" s="1"/>
      <c r="E120" s="5" t="s">
        <v>194</v>
      </c>
      <c r="F120" s="1"/>
      <c r="G120" s="1"/>
      <c r="H120" s="1"/>
      <c r="I120" s="1"/>
      <c r="J120" s="1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1"/>
      <c r="B121" s="1"/>
      <c r="C121" s="1"/>
      <c r="D121" s="1"/>
      <c r="E121" s="4" t="s">
        <v>195</v>
      </c>
      <c r="F121" s="1"/>
      <c r="G121" s="1"/>
      <c r="H121" s="1"/>
      <c r="I121" s="1"/>
      <c r="J121" s="1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1"/>
      <c r="B122" s="1"/>
      <c r="C122" s="1"/>
      <c r="D122" s="1"/>
      <c r="E122" s="4" t="s">
        <v>196</v>
      </c>
      <c r="F122" s="1"/>
      <c r="G122" s="1"/>
      <c r="H122" s="1"/>
      <c r="I122" s="1"/>
      <c r="J122" s="1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1"/>
      <c r="B123" s="1"/>
      <c r="C123" s="1"/>
      <c r="D123" s="1"/>
      <c r="E123" s="4" t="s">
        <v>197</v>
      </c>
      <c r="F123" s="1"/>
      <c r="G123" s="1"/>
      <c r="H123" s="1"/>
      <c r="I123" s="1"/>
      <c r="J123" s="1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1"/>
      <c r="B124" s="1"/>
      <c r="C124" s="1"/>
      <c r="D124" s="1"/>
      <c r="E124" s="4" t="s">
        <v>198</v>
      </c>
      <c r="F124" s="1"/>
      <c r="G124" s="1"/>
      <c r="H124" s="1"/>
      <c r="I124" s="1"/>
      <c r="J124" s="1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1"/>
      <c r="B125" s="1"/>
      <c r="C125" s="1"/>
      <c r="D125" s="1"/>
      <c r="E125" s="4" t="s">
        <v>199</v>
      </c>
      <c r="F125" s="1"/>
      <c r="G125" s="1"/>
      <c r="H125" s="1"/>
      <c r="I125" s="1"/>
      <c r="J125" s="1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1"/>
      <c r="B126" s="1"/>
      <c r="C126" s="1"/>
      <c r="D126" s="1"/>
      <c r="E126" s="4" t="s">
        <v>200</v>
      </c>
      <c r="F126" s="1"/>
      <c r="G126" s="1"/>
      <c r="H126" s="1"/>
      <c r="I126" s="1"/>
      <c r="J126" s="1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1"/>
      <c r="B127" s="1"/>
      <c r="C127" s="1"/>
      <c r="D127" s="1"/>
      <c r="E127" s="4" t="s">
        <v>201</v>
      </c>
      <c r="F127" s="1"/>
      <c r="G127" s="1"/>
      <c r="H127" s="1"/>
      <c r="I127" s="1"/>
      <c r="J127" s="1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1"/>
      <c r="B128" s="1"/>
      <c r="C128" s="1"/>
      <c r="D128" s="1"/>
      <c r="E128" s="4" t="s">
        <v>202</v>
      </c>
      <c r="F128" s="1"/>
      <c r="G128" s="1"/>
      <c r="H128" s="1"/>
      <c r="I128" s="1"/>
      <c r="J128" s="1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1"/>
      <c r="B129" s="1"/>
      <c r="C129" s="1"/>
      <c r="D129" s="1"/>
      <c r="E129" s="4" t="s">
        <v>203</v>
      </c>
      <c r="F129" s="1"/>
      <c r="G129" s="1"/>
      <c r="H129" s="1"/>
      <c r="I129" s="1"/>
      <c r="J129" s="1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1"/>
      <c r="B130" s="1"/>
      <c r="C130" s="1"/>
      <c r="D130" s="1"/>
      <c r="E130" s="4" t="s">
        <v>204</v>
      </c>
      <c r="F130" s="1"/>
      <c r="G130" s="1"/>
      <c r="H130" s="1"/>
      <c r="I130" s="1"/>
      <c r="J130" s="1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28.8">
      <c r="A131" s="2"/>
      <c r="B131" s="2"/>
      <c r="C131" s="2"/>
      <c r="D131" s="2"/>
      <c r="E131" s="36" t="s">
        <v>272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 t="s">
        <v>206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 t="s">
        <v>207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 t="s">
        <v>208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E135" t="s">
        <v>209</v>
      </c>
    </row>
    <row r="136" spans="1:21">
      <c r="E136" t="s">
        <v>210</v>
      </c>
    </row>
    <row r="137" spans="1:21">
      <c r="E137" t="s">
        <v>211</v>
      </c>
    </row>
    <row r="138" spans="1:21">
      <c r="E138" t="s">
        <v>212</v>
      </c>
    </row>
    <row r="139" spans="1:21">
      <c r="E139" t="s">
        <v>213</v>
      </c>
    </row>
    <row r="140" spans="1:21">
      <c r="E140" t="s">
        <v>214</v>
      </c>
    </row>
    <row r="141" spans="1:21">
      <c r="E141" t="s">
        <v>215</v>
      </c>
    </row>
    <row r="142" spans="1:21">
      <c r="E142" t="s">
        <v>216</v>
      </c>
    </row>
    <row r="143" spans="1:21">
      <c r="E143" t="s">
        <v>219</v>
      </c>
    </row>
    <row r="144" spans="1:21" ht="28.8">
      <c r="E144" s="35" t="s">
        <v>271</v>
      </c>
    </row>
    <row r="145" spans="5:5">
      <c r="E145" t="s">
        <v>220</v>
      </c>
    </row>
    <row r="146" spans="5:5">
      <c r="E146" t="s">
        <v>221</v>
      </c>
    </row>
    <row r="147" spans="5:5">
      <c r="E147" t="s">
        <v>222</v>
      </c>
    </row>
    <row r="148" spans="5:5">
      <c r="E148" t="s">
        <v>223</v>
      </c>
    </row>
    <row r="149" spans="5:5">
      <c r="E149" t="s">
        <v>224</v>
      </c>
    </row>
    <row r="150" spans="5:5">
      <c r="E150" t="s">
        <v>225</v>
      </c>
    </row>
    <row r="151" spans="5:5">
      <c r="E151" t="s">
        <v>226</v>
      </c>
    </row>
    <row r="152" spans="5:5">
      <c r="E152" t="s">
        <v>227</v>
      </c>
    </row>
    <row r="153" spans="5:5">
      <c r="E153" t="s">
        <v>228</v>
      </c>
    </row>
    <row r="154" spans="5:5" ht="28.8">
      <c r="E154" s="35" t="s">
        <v>268</v>
      </c>
    </row>
    <row r="155" spans="5:5">
      <c r="E155" t="s">
        <v>229</v>
      </c>
    </row>
    <row r="156" spans="5:5">
      <c r="E156" t="s">
        <v>230</v>
      </c>
    </row>
    <row r="157" spans="5:5">
      <c r="E157" t="s">
        <v>231</v>
      </c>
    </row>
    <row r="158" spans="5:5">
      <c r="E158" t="s">
        <v>232</v>
      </c>
    </row>
    <row r="159" spans="5:5">
      <c r="E159" t="s">
        <v>233</v>
      </c>
    </row>
    <row r="160" spans="5:5">
      <c r="E160" t="s">
        <v>234</v>
      </c>
    </row>
    <row r="161" spans="5:5">
      <c r="E161" t="s">
        <v>235</v>
      </c>
    </row>
    <row r="162" spans="5:5">
      <c r="E162" t="s">
        <v>236</v>
      </c>
    </row>
    <row r="163" spans="5:5">
      <c r="E163" t="s">
        <v>237</v>
      </c>
    </row>
    <row r="164" spans="5:5">
      <c r="E164" t="s">
        <v>238</v>
      </c>
    </row>
    <row r="165" spans="5:5">
      <c r="E165" t="s">
        <v>239</v>
      </c>
    </row>
    <row r="166" spans="5:5">
      <c r="E166" t="s">
        <v>240</v>
      </c>
    </row>
    <row r="167" spans="5:5">
      <c r="E167" t="s">
        <v>241</v>
      </c>
    </row>
    <row r="168" spans="5:5">
      <c r="E168" t="s">
        <v>242</v>
      </c>
    </row>
    <row r="169" spans="5:5">
      <c r="E169" t="s">
        <v>243</v>
      </c>
    </row>
    <row r="170" spans="5:5">
      <c r="E170" t="s">
        <v>244</v>
      </c>
    </row>
    <row r="171" spans="5:5">
      <c r="E171" t="s">
        <v>245</v>
      </c>
    </row>
    <row r="172" spans="5:5">
      <c r="E172" t="s">
        <v>246</v>
      </c>
    </row>
    <row r="173" spans="5:5">
      <c r="E173" t="s">
        <v>247</v>
      </c>
    </row>
    <row r="174" spans="5:5">
      <c r="E174" t="s">
        <v>248</v>
      </c>
    </row>
    <row r="175" spans="5:5" ht="28.8">
      <c r="E175" s="35" t="s">
        <v>269</v>
      </c>
    </row>
    <row r="176" spans="5:5">
      <c r="E176" t="s">
        <v>249</v>
      </c>
    </row>
    <row r="177" spans="5:5" ht="28.8">
      <c r="E177" s="35" t="s">
        <v>270</v>
      </c>
    </row>
    <row r="178" spans="5:5">
      <c r="E178" t="s">
        <v>250</v>
      </c>
    </row>
    <row r="179" spans="5:5">
      <c r="E179" t="s">
        <v>251</v>
      </c>
    </row>
    <row r="180" spans="5:5">
      <c r="E180" t="s">
        <v>252</v>
      </c>
    </row>
    <row r="181" spans="5:5">
      <c r="E181" t="s">
        <v>253</v>
      </c>
    </row>
    <row r="182" spans="5:5">
      <c r="E182" t="s">
        <v>254</v>
      </c>
    </row>
    <row r="183" spans="5:5">
      <c r="E183" t="s">
        <v>255</v>
      </c>
    </row>
    <row r="184" spans="5:5">
      <c r="E184" t="s">
        <v>256</v>
      </c>
    </row>
    <row r="185" spans="5:5">
      <c r="E185" t="s">
        <v>257</v>
      </c>
    </row>
    <row r="186" spans="5:5">
      <c r="E186" t="s">
        <v>258</v>
      </c>
    </row>
    <row r="187" spans="5:5">
      <c r="E18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Расценки</vt:lpstr>
      <vt:lpstr>Наряд заказы</vt:lpstr>
      <vt:lpstr>Накопительная</vt:lpstr>
      <vt:lpstr>Сводная по наряд заказам</vt:lpstr>
      <vt:lpstr>Всплываюшиеся списки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Linux</cp:lastModifiedBy>
  <dcterms:created xsi:type="dcterms:W3CDTF">2025-10-17T07:03:41Z</dcterms:created>
  <dcterms:modified xsi:type="dcterms:W3CDTF">2026-02-10T07:54:04Z</dcterms:modified>
</cp:coreProperties>
</file>