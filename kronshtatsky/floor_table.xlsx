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МирзаяновИИ\Documents\projects\kronshtatsky\"/>
    </mc:Choice>
  </mc:AlternateContent>
  <bookViews>
    <workbookView xWindow="0" yWindow="0" windowWidth="28800" windowHeight="1201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71" i="1" l="1"/>
  <c r="P171" i="1" s="1"/>
  <c r="Q172" i="1"/>
  <c r="P172" i="1" s="1"/>
  <c r="Q173" i="1"/>
  <c r="P173" i="1" s="1"/>
  <c r="Q174" i="1"/>
  <c r="P174" i="1" s="1"/>
  <c r="Q175" i="1"/>
  <c r="P175" i="1" s="1"/>
  <c r="Q176" i="1"/>
  <c r="P176" i="1" s="1"/>
  <c r="Q177" i="1"/>
  <c r="P177" i="1" s="1"/>
  <c r="Q178" i="1"/>
  <c r="P178" i="1" s="1"/>
  <c r="Q179" i="1"/>
  <c r="P179" i="1" s="1"/>
  <c r="Q180" i="1"/>
  <c r="P180" i="1" s="1"/>
  <c r="Q181" i="1"/>
  <c r="P181" i="1" s="1"/>
  <c r="Q182" i="1"/>
  <c r="P182" i="1" s="1"/>
  <c r="Q183" i="1"/>
  <c r="P183" i="1" s="1"/>
  <c r="Q184" i="1"/>
  <c r="P184" i="1" s="1"/>
  <c r="Q185" i="1"/>
  <c r="P185" i="1" s="1"/>
  <c r="Q186" i="1"/>
  <c r="P186" i="1" s="1"/>
  <c r="Q187" i="1"/>
  <c r="P187" i="1" s="1"/>
  <c r="Q188" i="1"/>
  <c r="P188" i="1" s="1"/>
  <c r="Q189" i="1"/>
  <c r="P189" i="1" s="1"/>
  <c r="Q190" i="1"/>
  <c r="P190" i="1" s="1"/>
  <c r="Q191" i="1"/>
  <c r="P191" i="1" s="1"/>
  <c r="Q192" i="1"/>
  <c r="P192" i="1" s="1"/>
  <c r="Q193" i="1"/>
  <c r="P193" i="1" s="1"/>
  <c r="Q194" i="1"/>
  <c r="P194" i="1" s="1"/>
  <c r="Q195" i="1"/>
  <c r="P195" i="1" s="1"/>
  <c r="Q196" i="1"/>
  <c r="P196" i="1" s="1"/>
  <c r="Q197" i="1"/>
  <c r="P197" i="1" s="1"/>
  <c r="Q198" i="1"/>
  <c r="P198" i="1" s="1"/>
  <c r="Q199" i="1"/>
  <c r="P199" i="1" s="1"/>
  <c r="Q200" i="1"/>
  <c r="P200" i="1" s="1"/>
  <c r="Q201" i="1"/>
  <c r="P201" i="1" s="1"/>
  <c r="Q202" i="1"/>
  <c r="P202" i="1" s="1"/>
  <c r="Q203" i="1"/>
  <c r="P203" i="1" s="1"/>
  <c r="Q204" i="1"/>
  <c r="P204" i="1" s="1"/>
  <c r="Q205" i="1"/>
  <c r="P205" i="1" s="1"/>
  <c r="Q206" i="1"/>
  <c r="P206" i="1" s="1"/>
  <c r="Q207" i="1"/>
  <c r="P207" i="1" s="1"/>
  <c r="Q208" i="1"/>
  <c r="P208" i="1" s="1"/>
  <c r="Q209" i="1"/>
  <c r="P209" i="1" s="1"/>
  <c r="Q210" i="1"/>
  <c r="P210" i="1" s="1"/>
  <c r="Q211" i="1"/>
  <c r="P211" i="1" s="1"/>
  <c r="Q212" i="1"/>
  <c r="P212" i="1" s="1"/>
  <c r="Q213" i="1"/>
  <c r="P213" i="1" s="1"/>
  <c r="Q214" i="1"/>
  <c r="P214" i="1" s="1"/>
  <c r="Q215" i="1"/>
  <c r="P215" i="1" s="1"/>
  <c r="Q138" i="1"/>
  <c r="P138" i="1" s="1"/>
  <c r="Q139" i="1"/>
  <c r="P139" i="1" s="1"/>
  <c r="Q140" i="1"/>
  <c r="P140" i="1" s="1"/>
  <c r="Q141" i="1"/>
  <c r="P141" i="1" s="1"/>
  <c r="Q142" i="1"/>
  <c r="P142" i="1" s="1"/>
  <c r="Q143" i="1"/>
  <c r="P143" i="1" s="1"/>
  <c r="Q144" i="1"/>
  <c r="P144" i="1" s="1"/>
  <c r="Q145" i="1"/>
  <c r="P145" i="1" s="1"/>
  <c r="Q146" i="1"/>
  <c r="P146" i="1" s="1"/>
  <c r="Q147" i="1"/>
  <c r="P147" i="1" s="1"/>
  <c r="Q148" i="1"/>
  <c r="P148" i="1" s="1"/>
  <c r="Q149" i="1"/>
  <c r="P149" i="1" s="1"/>
  <c r="Q150" i="1"/>
  <c r="P150" i="1" s="1"/>
  <c r="Q151" i="1"/>
  <c r="P151" i="1" s="1"/>
  <c r="Q152" i="1"/>
  <c r="P152" i="1" s="1"/>
  <c r="Q153" i="1"/>
  <c r="P153" i="1" s="1"/>
  <c r="Q154" i="1"/>
  <c r="P154" i="1" s="1"/>
  <c r="Q155" i="1"/>
  <c r="P155" i="1" s="1"/>
  <c r="Q156" i="1"/>
  <c r="P156" i="1" s="1"/>
  <c r="Q157" i="1"/>
  <c r="P157" i="1" s="1"/>
  <c r="Q158" i="1"/>
  <c r="P158" i="1" s="1"/>
  <c r="Q159" i="1"/>
  <c r="P159" i="1" s="1"/>
  <c r="Q160" i="1"/>
  <c r="P160" i="1" s="1"/>
  <c r="Q161" i="1"/>
  <c r="P161" i="1" s="1"/>
  <c r="Q162" i="1"/>
  <c r="P162" i="1" s="1"/>
  <c r="Q163" i="1"/>
  <c r="P163" i="1" s="1"/>
  <c r="Q164" i="1"/>
  <c r="P164" i="1" s="1"/>
  <c r="Q165" i="1"/>
  <c r="P165" i="1" s="1"/>
  <c r="Q166" i="1"/>
  <c r="P166" i="1" s="1"/>
  <c r="Q167" i="1"/>
  <c r="P167" i="1" s="1"/>
  <c r="Q168" i="1"/>
  <c r="P168" i="1" s="1"/>
  <c r="Q169" i="1"/>
  <c r="P169" i="1" s="1"/>
  <c r="Q170" i="1"/>
  <c r="P170" i="1" s="1"/>
  <c r="Q113" i="1"/>
  <c r="P113" i="1" s="1"/>
  <c r="Q114" i="1"/>
  <c r="P114" i="1" s="1"/>
  <c r="Q115" i="1"/>
  <c r="P115" i="1" s="1"/>
  <c r="Q116" i="1"/>
  <c r="P116" i="1" s="1"/>
  <c r="Q117" i="1"/>
  <c r="P117" i="1" s="1"/>
  <c r="Q118" i="1"/>
  <c r="P118" i="1" s="1"/>
  <c r="Q119" i="1"/>
  <c r="P119" i="1" s="1"/>
  <c r="Q120" i="1"/>
  <c r="P120" i="1" s="1"/>
  <c r="Q121" i="1"/>
  <c r="P121" i="1" s="1"/>
  <c r="Q122" i="1"/>
  <c r="P122" i="1" s="1"/>
  <c r="Q123" i="1"/>
  <c r="P123" i="1" s="1"/>
  <c r="Q124" i="1"/>
  <c r="P124" i="1" s="1"/>
  <c r="Q125" i="1"/>
  <c r="P125" i="1" s="1"/>
  <c r="Q126" i="1"/>
  <c r="P126" i="1" s="1"/>
  <c r="Q127" i="1"/>
  <c r="P127" i="1" s="1"/>
  <c r="Q128" i="1"/>
  <c r="P128" i="1" s="1"/>
  <c r="Q129" i="1"/>
  <c r="P129" i="1" s="1"/>
  <c r="Q130" i="1"/>
  <c r="P130" i="1" s="1"/>
  <c r="Q131" i="1"/>
  <c r="P131" i="1" s="1"/>
  <c r="Q132" i="1"/>
  <c r="P132" i="1" s="1"/>
  <c r="Q133" i="1"/>
  <c r="P133" i="1" s="1"/>
  <c r="Q134" i="1"/>
  <c r="P134" i="1" s="1"/>
  <c r="Q135" i="1"/>
  <c r="P135" i="1" s="1"/>
  <c r="Q136" i="1"/>
  <c r="P136" i="1" s="1"/>
  <c r="Q137" i="1"/>
  <c r="P137" i="1" s="1"/>
  <c r="E34" i="1"/>
  <c r="Q31" i="1"/>
  <c r="P31" i="1" s="1"/>
  <c r="Q32" i="1"/>
  <c r="P32" i="1" s="1"/>
  <c r="E32" i="1" s="1"/>
  <c r="Q33" i="1"/>
  <c r="P33" i="1" s="1"/>
  <c r="E33" i="1" s="1"/>
  <c r="Q34" i="1"/>
  <c r="Q35" i="1"/>
  <c r="P35" i="1" s="1"/>
  <c r="E35" i="1" s="1"/>
  <c r="Q36" i="1"/>
  <c r="P36" i="1" s="1"/>
  <c r="E36" i="1" s="1"/>
  <c r="Q37" i="1"/>
  <c r="P37" i="1" s="1"/>
  <c r="E37" i="1" s="1"/>
  <c r="Q38" i="1"/>
  <c r="P38" i="1" s="1"/>
  <c r="E38" i="1" s="1"/>
  <c r="Q39" i="1"/>
  <c r="P39" i="1" s="1"/>
  <c r="E39" i="1" s="1"/>
  <c r="Q40" i="1"/>
  <c r="P40" i="1" s="1"/>
  <c r="E40" i="1" s="1"/>
  <c r="Q41" i="1"/>
  <c r="P41" i="1" s="1"/>
  <c r="E41" i="1" s="1"/>
  <c r="Q42" i="1"/>
  <c r="P42" i="1" s="1"/>
  <c r="E42" i="1" s="1"/>
  <c r="Q43" i="1"/>
  <c r="P43" i="1" s="1"/>
  <c r="E43" i="1" s="1"/>
  <c r="Q44" i="1"/>
  <c r="P44" i="1" s="1"/>
  <c r="E44" i="1" s="1"/>
  <c r="Q45" i="1"/>
  <c r="P45" i="1" s="1"/>
  <c r="E45" i="1" s="1"/>
  <c r="Q46" i="1"/>
  <c r="P46" i="1" s="1"/>
  <c r="E46" i="1" s="1"/>
  <c r="Q47" i="1"/>
  <c r="P47" i="1" s="1"/>
  <c r="E47" i="1" s="1"/>
  <c r="Q48" i="1"/>
  <c r="P48" i="1" s="1"/>
  <c r="E48" i="1" s="1"/>
  <c r="Q49" i="1"/>
  <c r="P49" i="1" s="1"/>
  <c r="E49" i="1" s="1"/>
  <c r="Q50" i="1"/>
  <c r="P50" i="1" s="1"/>
  <c r="E50" i="1" s="1"/>
  <c r="Q51" i="1"/>
  <c r="P51" i="1" s="1"/>
  <c r="E51" i="1" s="1"/>
  <c r="Q52" i="1"/>
  <c r="P52" i="1" s="1"/>
  <c r="E52" i="1" s="1"/>
  <c r="Q53" i="1"/>
  <c r="P53" i="1" s="1"/>
  <c r="E53" i="1" s="1"/>
  <c r="Q54" i="1"/>
  <c r="P54" i="1" s="1"/>
  <c r="E54" i="1" s="1"/>
  <c r="Q55" i="1"/>
  <c r="P55" i="1" s="1"/>
  <c r="E55" i="1" s="1"/>
  <c r="Q56" i="1"/>
  <c r="P56" i="1" s="1"/>
  <c r="E56" i="1" s="1"/>
  <c r="Q57" i="1"/>
  <c r="P57" i="1" s="1"/>
  <c r="E57" i="1" s="1"/>
  <c r="Q58" i="1"/>
  <c r="P58" i="1" s="1"/>
  <c r="E58" i="1" s="1"/>
  <c r="Q59" i="1"/>
  <c r="P59" i="1" s="1"/>
  <c r="E59" i="1" s="1"/>
  <c r="Q60" i="1"/>
  <c r="P60" i="1" s="1"/>
  <c r="E60" i="1" s="1"/>
  <c r="Q61" i="1"/>
  <c r="P61" i="1" s="1"/>
  <c r="E61" i="1" s="1"/>
  <c r="Q62" i="1"/>
  <c r="P62" i="1" s="1"/>
  <c r="E62" i="1" s="1"/>
  <c r="Q63" i="1"/>
  <c r="P63" i="1" s="1"/>
  <c r="E63" i="1" s="1"/>
  <c r="Q64" i="1"/>
  <c r="P64" i="1" s="1"/>
  <c r="E64" i="1" s="1"/>
  <c r="Q65" i="1"/>
  <c r="P65" i="1" s="1"/>
  <c r="E65" i="1" s="1"/>
  <c r="Q66" i="1"/>
  <c r="P66" i="1" s="1"/>
  <c r="E66" i="1" s="1"/>
  <c r="Q67" i="1"/>
  <c r="P67" i="1" s="1"/>
  <c r="E67" i="1" s="1"/>
  <c r="Q68" i="1"/>
  <c r="P68" i="1" s="1"/>
  <c r="E68" i="1" s="1"/>
  <c r="Q69" i="1"/>
  <c r="P69" i="1" s="1"/>
  <c r="E69" i="1" s="1"/>
  <c r="Q70" i="1"/>
  <c r="P70" i="1" s="1"/>
  <c r="E70" i="1" s="1"/>
  <c r="Q71" i="1"/>
  <c r="P71" i="1" s="1"/>
  <c r="E71" i="1" s="1"/>
  <c r="Q72" i="1"/>
  <c r="P72" i="1" s="1"/>
  <c r="E72" i="1" s="1"/>
  <c r="Q73" i="1"/>
  <c r="P73" i="1" s="1"/>
  <c r="E73" i="1" s="1"/>
  <c r="Q74" i="1"/>
  <c r="P74" i="1" s="1"/>
  <c r="E74" i="1" s="1"/>
  <c r="Q75" i="1"/>
  <c r="P75" i="1" s="1"/>
  <c r="E75" i="1" s="1"/>
  <c r="Q76" i="1"/>
  <c r="P76" i="1" s="1"/>
  <c r="E76" i="1" s="1"/>
  <c r="Q77" i="1"/>
  <c r="P77" i="1" s="1"/>
  <c r="E77" i="1" s="1"/>
  <c r="Q78" i="1"/>
  <c r="P78" i="1" s="1"/>
  <c r="E78" i="1" s="1"/>
  <c r="Q79" i="1"/>
  <c r="P79" i="1" s="1"/>
  <c r="E79" i="1" s="1"/>
  <c r="Q80" i="1"/>
  <c r="P80" i="1" s="1"/>
  <c r="E80" i="1" s="1"/>
  <c r="Q81" i="1"/>
  <c r="P81" i="1" s="1"/>
  <c r="E81" i="1" s="1"/>
  <c r="Q82" i="1"/>
  <c r="P82" i="1" s="1"/>
  <c r="E82" i="1" s="1"/>
  <c r="Q83" i="1"/>
  <c r="P83" i="1" s="1"/>
  <c r="E83" i="1" s="1"/>
  <c r="Q84" i="1"/>
  <c r="P84" i="1" s="1"/>
  <c r="E84" i="1" s="1"/>
  <c r="Q85" i="1"/>
  <c r="P85" i="1" s="1"/>
  <c r="E85" i="1" s="1"/>
  <c r="Q86" i="1"/>
  <c r="P86" i="1" s="1"/>
  <c r="E86" i="1" s="1"/>
  <c r="Q87" i="1"/>
  <c r="P87" i="1" s="1"/>
  <c r="E87" i="1" s="1"/>
  <c r="Q88" i="1"/>
  <c r="P88" i="1" s="1"/>
  <c r="E88" i="1" s="1"/>
  <c r="Q89" i="1"/>
  <c r="P89" i="1" s="1"/>
  <c r="E89" i="1" s="1"/>
  <c r="Q90" i="1"/>
  <c r="P90" i="1" s="1"/>
  <c r="E90" i="1" s="1"/>
  <c r="Q91" i="1"/>
  <c r="P91" i="1" s="1"/>
  <c r="E91" i="1" s="1"/>
  <c r="Q92" i="1"/>
  <c r="P92" i="1" s="1"/>
  <c r="E92" i="1" s="1"/>
  <c r="Q93" i="1"/>
  <c r="P93" i="1" s="1"/>
  <c r="E93" i="1" s="1"/>
  <c r="Q94" i="1"/>
  <c r="P94" i="1" s="1"/>
  <c r="E94" i="1" s="1"/>
  <c r="Q95" i="1"/>
  <c r="P95" i="1" s="1"/>
  <c r="E95" i="1" s="1"/>
  <c r="Q96" i="1"/>
  <c r="P96" i="1" s="1"/>
  <c r="E96" i="1" s="1"/>
  <c r="Q97" i="1"/>
  <c r="P97" i="1" s="1"/>
  <c r="E97" i="1" s="1"/>
  <c r="Q98" i="1"/>
  <c r="P98" i="1" s="1"/>
  <c r="E98" i="1" s="1"/>
  <c r="Q99" i="1"/>
  <c r="P99" i="1" s="1"/>
  <c r="E99" i="1" s="1"/>
  <c r="Q100" i="1"/>
  <c r="P100" i="1" s="1"/>
  <c r="E100" i="1" s="1"/>
  <c r="Q101" i="1"/>
  <c r="P101" i="1" s="1"/>
  <c r="E101" i="1" s="1"/>
  <c r="Q102" i="1"/>
  <c r="P102" i="1" s="1"/>
  <c r="E102" i="1" s="1"/>
  <c r="Q103" i="1"/>
  <c r="P103" i="1" s="1"/>
  <c r="E103" i="1" s="1"/>
  <c r="Q104" i="1"/>
  <c r="P104" i="1" s="1"/>
  <c r="E104" i="1" s="1"/>
  <c r="Q105" i="1"/>
  <c r="P105" i="1" s="1"/>
  <c r="E105" i="1" s="1"/>
  <c r="Q106" i="1"/>
  <c r="P106" i="1" s="1"/>
  <c r="E106" i="1" s="1"/>
  <c r="Q107" i="1"/>
  <c r="P107" i="1" s="1"/>
  <c r="E107" i="1" s="1"/>
  <c r="Q108" i="1"/>
  <c r="P108" i="1" s="1"/>
  <c r="E108" i="1" s="1"/>
  <c r="Q109" i="1"/>
  <c r="P109" i="1" s="1"/>
  <c r="E109" i="1" s="1"/>
  <c r="Q110" i="1"/>
  <c r="P110" i="1" s="1"/>
  <c r="E110" i="1" s="1"/>
  <c r="Q111" i="1"/>
  <c r="P111" i="1" s="1"/>
  <c r="E111" i="1" s="1"/>
  <c r="Q112" i="1"/>
  <c r="P112" i="1" s="1"/>
  <c r="Q4" i="1"/>
  <c r="P4" i="1" s="1"/>
  <c r="Q5" i="1"/>
  <c r="P5" i="1" s="1"/>
  <c r="Q6" i="1"/>
  <c r="P6" i="1" s="1"/>
  <c r="Q7" i="1"/>
  <c r="P7" i="1" s="1"/>
  <c r="Q8" i="1"/>
  <c r="P8" i="1" s="1"/>
  <c r="Q9" i="1"/>
  <c r="P9" i="1" s="1"/>
  <c r="Q10" i="1"/>
  <c r="P10" i="1" s="1"/>
  <c r="Q11" i="1"/>
  <c r="P11" i="1" s="1"/>
  <c r="Q12" i="1"/>
  <c r="P12" i="1" s="1"/>
  <c r="Q13" i="1"/>
  <c r="P13" i="1" s="1"/>
  <c r="Q14" i="1"/>
  <c r="P14" i="1" s="1"/>
  <c r="Q15" i="1"/>
  <c r="P15" i="1" s="1"/>
  <c r="Q16" i="1"/>
  <c r="P16" i="1" s="1"/>
  <c r="Q17" i="1"/>
  <c r="P17" i="1" s="1"/>
  <c r="Q18" i="1"/>
  <c r="P18" i="1" s="1"/>
  <c r="Q19" i="1"/>
  <c r="P19" i="1" s="1"/>
  <c r="Q20" i="1"/>
  <c r="P20" i="1" s="1"/>
  <c r="Q21" i="1"/>
  <c r="P21" i="1" s="1"/>
  <c r="Q22" i="1"/>
  <c r="P22" i="1" s="1"/>
  <c r="Q23" i="1"/>
  <c r="P23" i="1" s="1"/>
  <c r="Q24" i="1"/>
  <c r="P24" i="1" s="1"/>
  <c r="Q25" i="1"/>
  <c r="P25" i="1" s="1"/>
  <c r="Q26" i="1"/>
  <c r="P26" i="1" s="1"/>
  <c r="Q27" i="1"/>
  <c r="P27" i="1" s="1"/>
  <c r="Q28" i="1"/>
  <c r="P28" i="1" s="1"/>
  <c r="Q29" i="1"/>
  <c r="P29" i="1" s="1"/>
  <c r="Q30" i="1"/>
  <c r="P30" i="1" s="1"/>
  <c r="Q3" i="1"/>
  <c r="P3" i="1" s="1"/>
  <c r="H72" i="1"/>
  <c r="H171" i="1" l="1"/>
  <c r="G171" i="1" s="1"/>
  <c r="H172" i="1"/>
  <c r="G172" i="1" s="1"/>
  <c r="H173" i="1"/>
  <c r="G173" i="1" s="1"/>
  <c r="H174" i="1"/>
  <c r="G174" i="1" s="1"/>
  <c r="H175" i="1"/>
  <c r="G175" i="1" s="1"/>
  <c r="H176" i="1"/>
  <c r="G176" i="1" s="1"/>
  <c r="H177" i="1"/>
  <c r="G177" i="1" s="1"/>
  <c r="H178" i="1"/>
  <c r="G178" i="1" s="1"/>
  <c r="H179" i="1"/>
  <c r="G179" i="1" s="1"/>
  <c r="H180" i="1"/>
  <c r="G180" i="1" s="1"/>
  <c r="H181" i="1"/>
  <c r="G181" i="1" s="1"/>
  <c r="H182" i="1"/>
  <c r="G182" i="1" s="1"/>
  <c r="H183" i="1"/>
  <c r="G183" i="1" s="1"/>
  <c r="H184" i="1"/>
  <c r="G184" i="1" s="1"/>
  <c r="H185" i="1"/>
  <c r="G185" i="1" s="1"/>
  <c r="H186" i="1"/>
  <c r="G186" i="1" s="1"/>
  <c r="H187" i="1"/>
  <c r="G187" i="1" s="1"/>
  <c r="H188" i="1"/>
  <c r="G188" i="1" s="1"/>
  <c r="H189" i="1"/>
  <c r="G189" i="1" s="1"/>
  <c r="H190" i="1"/>
  <c r="G190" i="1" s="1"/>
  <c r="H191" i="1"/>
  <c r="G191" i="1" s="1"/>
  <c r="H192" i="1"/>
  <c r="G192" i="1" s="1"/>
  <c r="H193" i="1"/>
  <c r="G193" i="1" s="1"/>
  <c r="H194" i="1"/>
  <c r="G194" i="1" s="1"/>
  <c r="H195" i="1"/>
  <c r="G195" i="1" s="1"/>
  <c r="H196" i="1"/>
  <c r="G196" i="1" s="1"/>
  <c r="H197" i="1"/>
  <c r="G197" i="1" s="1"/>
  <c r="H198" i="1"/>
  <c r="G198" i="1" s="1"/>
  <c r="H199" i="1"/>
  <c r="G199" i="1" s="1"/>
  <c r="H200" i="1"/>
  <c r="G200" i="1" s="1"/>
  <c r="H201" i="1"/>
  <c r="G201" i="1" s="1"/>
  <c r="H202" i="1"/>
  <c r="G202" i="1" s="1"/>
  <c r="H203" i="1"/>
  <c r="G203" i="1" s="1"/>
  <c r="H204" i="1"/>
  <c r="G204" i="1" s="1"/>
  <c r="H205" i="1"/>
  <c r="G205" i="1" s="1"/>
  <c r="H206" i="1"/>
  <c r="G206" i="1" s="1"/>
  <c r="H207" i="1"/>
  <c r="G207" i="1" s="1"/>
  <c r="H208" i="1"/>
  <c r="G208" i="1" s="1"/>
  <c r="H209" i="1"/>
  <c r="G209" i="1" s="1"/>
  <c r="H210" i="1"/>
  <c r="G210" i="1" s="1"/>
  <c r="H211" i="1"/>
  <c r="G211" i="1" s="1"/>
  <c r="H212" i="1"/>
  <c r="G212" i="1" s="1"/>
  <c r="H213" i="1"/>
  <c r="G213" i="1" s="1"/>
  <c r="H214" i="1"/>
  <c r="G214" i="1" s="1"/>
  <c r="H215" i="1"/>
  <c r="G215" i="1" s="1"/>
  <c r="H162" i="1"/>
  <c r="G162" i="1" s="1"/>
  <c r="H163" i="1"/>
  <c r="G163" i="1" s="1"/>
  <c r="H164" i="1"/>
  <c r="G164" i="1" s="1"/>
  <c r="H165" i="1"/>
  <c r="G165" i="1" s="1"/>
  <c r="H166" i="1"/>
  <c r="G166" i="1" s="1"/>
  <c r="H167" i="1"/>
  <c r="G167" i="1" s="1"/>
  <c r="H168" i="1"/>
  <c r="G168" i="1" s="1"/>
  <c r="H169" i="1"/>
  <c r="G169" i="1" s="1"/>
  <c r="H170" i="1"/>
  <c r="G170" i="1" s="1"/>
  <c r="H113" i="1"/>
  <c r="G113" i="1" s="1"/>
  <c r="H114" i="1"/>
  <c r="G114" i="1" s="1"/>
  <c r="H115" i="1"/>
  <c r="G115" i="1" s="1"/>
  <c r="H116" i="1"/>
  <c r="G116" i="1" s="1"/>
  <c r="H117" i="1"/>
  <c r="G117" i="1" s="1"/>
  <c r="H118" i="1"/>
  <c r="G118" i="1" s="1"/>
  <c r="H119" i="1"/>
  <c r="G119" i="1" s="1"/>
  <c r="H120" i="1"/>
  <c r="G120" i="1" s="1"/>
  <c r="H121" i="1"/>
  <c r="G121" i="1" s="1"/>
  <c r="H122" i="1"/>
  <c r="G122" i="1" s="1"/>
  <c r="H123" i="1"/>
  <c r="G123" i="1" s="1"/>
  <c r="H124" i="1"/>
  <c r="G124" i="1" s="1"/>
  <c r="H125" i="1"/>
  <c r="G125" i="1" s="1"/>
  <c r="H126" i="1"/>
  <c r="G126" i="1" s="1"/>
  <c r="H127" i="1"/>
  <c r="G127" i="1" s="1"/>
  <c r="H128" i="1"/>
  <c r="G128" i="1" s="1"/>
  <c r="H129" i="1"/>
  <c r="G129" i="1" s="1"/>
  <c r="H130" i="1"/>
  <c r="G130" i="1" s="1"/>
  <c r="H131" i="1"/>
  <c r="G131" i="1" s="1"/>
  <c r="H132" i="1"/>
  <c r="G132" i="1" s="1"/>
  <c r="H133" i="1"/>
  <c r="G133" i="1" s="1"/>
  <c r="H134" i="1"/>
  <c r="G134" i="1" s="1"/>
  <c r="H135" i="1"/>
  <c r="G135" i="1" s="1"/>
  <c r="H136" i="1"/>
  <c r="G136" i="1" s="1"/>
  <c r="H137" i="1"/>
  <c r="G137" i="1" s="1"/>
  <c r="H138" i="1"/>
  <c r="G138" i="1" s="1"/>
  <c r="H139" i="1"/>
  <c r="G139" i="1" s="1"/>
  <c r="H140" i="1"/>
  <c r="G140" i="1" s="1"/>
  <c r="H141" i="1"/>
  <c r="G141" i="1" s="1"/>
  <c r="H142" i="1"/>
  <c r="G142" i="1" s="1"/>
  <c r="H143" i="1"/>
  <c r="G143" i="1" s="1"/>
  <c r="H144" i="1"/>
  <c r="G144" i="1" s="1"/>
  <c r="H145" i="1"/>
  <c r="G145" i="1" s="1"/>
  <c r="H146" i="1"/>
  <c r="G146" i="1" s="1"/>
  <c r="H147" i="1"/>
  <c r="G147" i="1" s="1"/>
  <c r="H148" i="1"/>
  <c r="G148" i="1" s="1"/>
  <c r="H149" i="1"/>
  <c r="G149" i="1" s="1"/>
  <c r="H150" i="1"/>
  <c r="G150" i="1" s="1"/>
  <c r="H151" i="1"/>
  <c r="G151" i="1" s="1"/>
  <c r="H152" i="1"/>
  <c r="G152" i="1" s="1"/>
  <c r="H153" i="1"/>
  <c r="G153" i="1" s="1"/>
  <c r="H154" i="1"/>
  <c r="G154" i="1" s="1"/>
  <c r="H155" i="1"/>
  <c r="G155" i="1" s="1"/>
  <c r="H156" i="1"/>
  <c r="G156" i="1" s="1"/>
  <c r="H157" i="1"/>
  <c r="G157" i="1" s="1"/>
  <c r="H158" i="1"/>
  <c r="G158" i="1" s="1"/>
  <c r="H159" i="1"/>
  <c r="G159" i="1" s="1"/>
  <c r="H160" i="1"/>
  <c r="G160" i="1" s="1"/>
  <c r="H161" i="1"/>
  <c r="G161" i="1" s="1"/>
  <c r="H102" i="1"/>
  <c r="G102" i="1" s="1"/>
  <c r="H103" i="1"/>
  <c r="G103" i="1" s="1"/>
  <c r="H104" i="1"/>
  <c r="G104" i="1" s="1"/>
  <c r="H105" i="1"/>
  <c r="G105" i="1" s="1"/>
  <c r="H106" i="1"/>
  <c r="G106" i="1" s="1"/>
  <c r="H107" i="1"/>
  <c r="G107" i="1" s="1"/>
  <c r="H108" i="1"/>
  <c r="G108" i="1" s="1"/>
  <c r="H109" i="1"/>
  <c r="G109" i="1" s="1"/>
  <c r="H110" i="1"/>
  <c r="G110" i="1" s="1"/>
  <c r="H111" i="1"/>
  <c r="G111" i="1" s="1"/>
  <c r="H112" i="1"/>
  <c r="G112" i="1" s="1"/>
  <c r="H100" i="1"/>
  <c r="G100" i="1" s="1"/>
  <c r="H101" i="1"/>
  <c r="G101" i="1" s="1"/>
  <c r="H97" i="1"/>
  <c r="G97" i="1" s="1"/>
  <c r="H98" i="1"/>
  <c r="G98" i="1" s="1"/>
  <c r="H99" i="1"/>
  <c r="G99" i="1" s="1"/>
  <c r="G72" i="1"/>
  <c r="H73" i="1"/>
  <c r="G73" i="1" s="1"/>
  <c r="H74" i="1"/>
  <c r="G74" i="1" s="1"/>
  <c r="H75" i="1"/>
  <c r="G75" i="1" s="1"/>
  <c r="H76" i="1"/>
  <c r="G76" i="1" s="1"/>
  <c r="H77" i="1"/>
  <c r="G77" i="1" s="1"/>
  <c r="H78" i="1"/>
  <c r="G78" i="1" s="1"/>
  <c r="H79" i="1"/>
  <c r="G79" i="1" s="1"/>
  <c r="H80" i="1"/>
  <c r="G80" i="1" s="1"/>
  <c r="H81" i="1"/>
  <c r="G81" i="1" s="1"/>
  <c r="H82" i="1"/>
  <c r="G82" i="1" s="1"/>
  <c r="H83" i="1"/>
  <c r="G83" i="1" s="1"/>
  <c r="H84" i="1"/>
  <c r="G84" i="1" s="1"/>
  <c r="H85" i="1"/>
  <c r="G85" i="1" s="1"/>
  <c r="H86" i="1"/>
  <c r="G86" i="1" s="1"/>
  <c r="H87" i="1"/>
  <c r="G87" i="1" s="1"/>
  <c r="H88" i="1"/>
  <c r="G88" i="1" s="1"/>
  <c r="H89" i="1"/>
  <c r="G89" i="1" s="1"/>
  <c r="H90" i="1"/>
  <c r="G90" i="1" s="1"/>
  <c r="H91" i="1"/>
  <c r="G91" i="1" s="1"/>
  <c r="H92" i="1"/>
  <c r="G92" i="1" s="1"/>
  <c r="H93" i="1"/>
  <c r="G93" i="1" s="1"/>
  <c r="H94" i="1"/>
  <c r="G94" i="1" s="1"/>
  <c r="H95" i="1"/>
  <c r="G95" i="1" s="1"/>
  <c r="H96" i="1"/>
  <c r="G96" i="1" s="1"/>
</calcChain>
</file>

<file path=xl/sharedStrings.xml><?xml version="1.0" encoding="utf-8"?>
<sst xmlns="http://schemas.openxmlformats.org/spreadsheetml/2006/main" count="623" uniqueCount="380">
  <si>
    <t>№ пом.</t>
  </si>
  <si>
    <t>Тип пола</t>
  </si>
  <si>
    <t>Площадь, м2.</t>
  </si>
  <si>
    <t>№ п. п.</t>
  </si>
  <si>
    <t>П-1</t>
  </si>
  <si>
    <t>П-2</t>
  </si>
  <si>
    <t>П-3</t>
  </si>
  <si>
    <t>П-4</t>
  </si>
  <si>
    <t>П-5</t>
  </si>
  <si>
    <t>П-6</t>
  </si>
  <si>
    <t>П-7</t>
  </si>
  <si>
    <t>П-8</t>
  </si>
  <si>
    <t>П-8.1</t>
  </si>
  <si>
    <t>П-9</t>
  </si>
  <si>
    <t>П-10</t>
  </si>
  <si>
    <t>П-11</t>
  </si>
  <si>
    <t>П-12</t>
  </si>
  <si>
    <t>П-13</t>
  </si>
  <si>
    <t>П-14</t>
  </si>
  <si>
    <t>П-15</t>
  </si>
  <si>
    <t>Лестницы</t>
  </si>
  <si>
    <t>1.34(пандус)</t>
  </si>
  <si>
    <t>1.42 Моечная кухонной посуды 13,1</t>
  </si>
  <si>
    <t>1.43 Кладовая сухих продуктов 11,7</t>
  </si>
  <si>
    <t>1.44 Помещение с холодильным оборудованием 29,0</t>
  </si>
  <si>
    <t>1.45 Кладовая овощей 10,4</t>
  </si>
  <si>
    <t>1.46 Помещение персонала 8,7</t>
  </si>
  <si>
    <t>1.47 Помещение временного хранения отходов 9,0</t>
  </si>
  <si>
    <t>1.48 Раздаточная 7,5</t>
  </si>
  <si>
    <t>1.49 Санузел персонала 2,8</t>
  </si>
  <si>
    <t>1.50 Моечная оборотной тары 8,2</t>
  </si>
  <si>
    <t>1.51 Загрузочная 8,3</t>
  </si>
  <si>
    <t>1.52 Тамбур 2,6</t>
  </si>
  <si>
    <t>1.53 Помещение уборочного инвентаря 3,3</t>
  </si>
  <si>
    <t>1.54 Гардероб персонала с душем 7,4</t>
  </si>
  <si>
    <t>1.55 Цех первичной обработки 13,5</t>
  </si>
  <si>
    <t>1.56 Цех вторичной обработки 11,4</t>
  </si>
  <si>
    <t>1.57 Мясо-рыбный цех 20,6</t>
  </si>
  <si>
    <t>1.58 Коридор 57,7</t>
  </si>
  <si>
    <t>1.59 Тамбур 15,4</t>
  </si>
  <si>
    <t>1.60 Вестибюль с зоной для посетителей 87,9</t>
  </si>
  <si>
    <t>1.61 Пост охраны 15,6</t>
  </si>
  <si>
    <t>1.62 Туалет для МГН (для посетителей) 5,9</t>
  </si>
  <si>
    <t>1.63 Тамбур 11,3</t>
  </si>
  <si>
    <t>1.64 Раздевальная комната 23,5</t>
  </si>
  <si>
    <t>1.65 Буфет 6,4</t>
  </si>
  <si>
    <t>1.66 Туалет (в т.ч. МГН) 29,0</t>
  </si>
  <si>
    <t>1.67 Групповая 50,0</t>
  </si>
  <si>
    <t>1.68 Спальная 55,7</t>
  </si>
  <si>
    <t>1.69 Раздевальная комната 18,0</t>
  </si>
  <si>
    <t>1.70 Тамбур 4,7</t>
  </si>
  <si>
    <t>1.71 Буфет 6,4</t>
  </si>
  <si>
    <t>1.72 Туалет (в т.ч. МГН) 29,3</t>
  </si>
  <si>
    <t>1.73 Групповая 50,3</t>
  </si>
  <si>
    <t>1.74 Спальная 55,4</t>
  </si>
  <si>
    <t>1.75 Помещение уборочного инвентаря 6,1</t>
  </si>
  <si>
    <t>1.76 Комната персонала с гардеробом, душем и туалетом 6,3</t>
  </si>
  <si>
    <t>1.77 Коридор 41,2</t>
  </si>
  <si>
    <t>1.78 Коридор 60,0</t>
  </si>
  <si>
    <t>1.79 Лестничная клетка №5 (Тип Н2) 29,9</t>
  </si>
  <si>
    <t>1.80 Лестничная клетка №6 (Тип Л1) 24,9</t>
  </si>
  <si>
    <t>1.81 Лифтовой холл 6,3</t>
  </si>
  <si>
    <t>1.82 Коридор 24,5</t>
  </si>
  <si>
    <t>2.01 Учебный кабинет 2-4 класс 62,6</t>
  </si>
  <si>
    <t>естествознания 89,0</t>
  </si>
  <si>
    <t>2.03 Кабинет с рабочим местом для учителей 39,4</t>
  </si>
  <si>
    <t>2.04 Учебный кабинет 2-4 класс 63,0</t>
  </si>
  <si>
    <t>внеурочное время в том числе для групп продленного дня 64,4</t>
  </si>
  <si>
    <t>внеурочное время в том числе для групп продленного дня 63,3</t>
  </si>
  <si>
    <t>2.07 Учебный кабинет 2-4 класс 63,3</t>
  </si>
  <si>
    <t>2.08 Коридор 78,6</t>
  </si>
  <si>
    <t>2.09 Помещение уборочного инвентаря 5,1</t>
  </si>
  <si>
    <t>2.10 Раздевальная для девочек (МГН) 11,1</t>
  </si>
  <si>
    <t>2.11 Раздевальная для мальчиков (МГН) 11,2</t>
  </si>
  <si>
    <t>2.12 Раздевальная для мальчиков 25,7</t>
  </si>
  <si>
    <t>2.13 Душевая для мальчиков 13,2</t>
  </si>
  <si>
    <t>2.14 Санузел для мальчиков 7,8</t>
  </si>
  <si>
    <t>2.15 Раздевальная для девочек 26,6</t>
  </si>
  <si>
    <t>2.16 Санузел для девочек 9,5</t>
  </si>
  <si>
    <t>2.17 Душевая девочек 11,7</t>
  </si>
  <si>
    <t>2.18 Инвентарная (снарядная) 29,0</t>
  </si>
  <si>
    <t>2.19 Спортивный зал 15х24 м 349,3</t>
  </si>
  <si>
    <t>2.20 Комната инструктора (с душем и туалетом) 16,7</t>
  </si>
  <si>
    <t>2.21 Кабинет для индивидуальных занятий, в т.ч с учителем-логопедом 13,5</t>
  </si>
  <si>
    <t>2.22 Санузел персонала 5,1</t>
  </si>
  <si>
    <t>2.23 Помещение уборочного инвентаря 9,5</t>
  </si>
  <si>
    <t>2.24 Санузел для девочек 14,5</t>
  </si>
  <si>
    <t>2.25 Санузел для мальчиков 14,5</t>
  </si>
  <si>
    <t>2.26 Санузел для МГН 5,1</t>
  </si>
  <si>
    <t>2.27 Коридор 18,6</t>
  </si>
  <si>
    <t>2.28 Рекреация 199,6</t>
  </si>
  <si>
    <t>2.29 Технический центр (аппаратная) 15,0</t>
  </si>
  <si>
    <t>2.30 Коридор 108,0</t>
  </si>
  <si>
    <t>2.31 Лестничная клетка №1 (Тип Н2) 25,1</t>
  </si>
  <si>
    <t>2.32 Лестничная клетка №2 (Тип Н2) 26,5</t>
  </si>
  <si>
    <t>2.33 Лифтовой холл (зона безопасности) 6,5</t>
  </si>
  <si>
    <t>2.34 Лестничная клетка №3 (Тип Н2) 25,2</t>
  </si>
  <si>
    <t>2.35 Лестничная клетка №4 (Тип Н2) 28,7</t>
  </si>
  <si>
    <t>2.36 Раздаточная 8,1</t>
  </si>
  <si>
    <t>2.37 Раздевальная комната 23,5</t>
  </si>
  <si>
    <t>2.38 Буфет 6,4</t>
  </si>
  <si>
    <t>2.39 Туалет (в т.ч. МГН) 29,0</t>
  </si>
  <si>
    <t>2.40 Групповая 50,4</t>
  </si>
  <si>
    <t>2.41 Спальная 55,9</t>
  </si>
  <si>
    <t>2.42 Раздевальная комната 23,0</t>
  </si>
  <si>
    <t>2.43 Буфет 6,4</t>
  </si>
  <si>
    <t>2.44 Групповая 50,5</t>
  </si>
  <si>
    <t>2.45 Спальная 55,5</t>
  </si>
  <si>
    <t>2.46 Туалет (в т.ч. МГН) 29,0</t>
  </si>
  <si>
    <t>активных игр и занятий с детьми 71,0</t>
  </si>
  <si>
    <t>2.48 Помещение хранения для физкультурного зала 6,8</t>
  </si>
  <si>
    <t>2.49 Музыкальный зал 72,3</t>
  </si>
  <si>
    <t>2.51 Коридор 37,6</t>
  </si>
  <si>
    <t>2.52 Помещение уборочного инвентаря 5,6</t>
  </si>
  <si>
    <t>2.53 Хозяйственная кладовая 6,0</t>
  </si>
  <si>
    <t>2.54 Лестничная клетка №5 (Тип Н2) 31,3</t>
  </si>
  <si>
    <t>2.55 Лифтовой холл (зона безопасности) 6,3</t>
  </si>
  <si>
    <t>2.56 Коридор 59,9</t>
  </si>
  <si>
    <t>2.57 Лестничная клетка №6 (Тип Л1) 26,2</t>
  </si>
  <si>
    <t>2.58 Рекреация 74,5</t>
  </si>
  <si>
    <t>3.01 Учебный кабинет 2-4 класс 61,9</t>
  </si>
  <si>
    <t>трансформируемой перегородкой на два помещения 87,9</t>
  </si>
  <si>
    <t>3.03 Административный кабинет 29,2</t>
  </si>
  <si>
    <t>3.04 Учебный кабинет 2-4 класс 63,9</t>
  </si>
  <si>
    <t>3.05 Учебный кабинет 2-4 класс 63,0</t>
  </si>
  <si>
    <t>3.06 Учебный кабинет 2-4 класс 64,6</t>
  </si>
  <si>
    <t>3.07 Учебный кабинет 2-4 класс 63,0</t>
  </si>
  <si>
    <t>3.08 Учебный кабинет 2-4 класс 63,6</t>
  </si>
  <si>
    <t>3.09 Санузел для МГН 5,1</t>
  </si>
  <si>
    <t>3.10 Санузел для девочек 14,5</t>
  </si>
  <si>
    <t>3.11 Санузел для мальчиков 14,4</t>
  </si>
  <si>
    <t>243,9</t>
  </si>
  <si>
    <t>3.13 Книгохранилище 13,0</t>
  </si>
  <si>
    <t>3.14 Санузел персонала 5,1</t>
  </si>
  <si>
    <t>3.15 Помещение уборочного инвентаря 11,5</t>
  </si>
  <si>
    <t>3.16 Лифтовой холл (зона безопасности) 6,5</t>
  </si>
  <si>
    <t>3.17 Лестничная клетка №1 (Тип Н2) 25,2</t>
  </si>
  <si>
    <t>3.18 Рекреация 113,4</t>
  </si>
  <si>
    <t>3.19 Коридор 105,9</t>
  </si>
  <si>
    <t>3.20 Лестничная клетка №3 (Тип Н2) 25,2</t>
  </si>
  <si>
    <t>3.21 Лестничная клетка №4 (Тип Н2) 28,7</t>
  </si>
  <si>
    <t>3.22 Раздаточная 8,3</t>
  </si>
  <si>
    <t>3.23 Раздевальная комната 23,5</t>
  </si>
  <si>
    <t>3.24 Буфет 6,4</t>
  </si>
  <si>
    <t>3.25 Групповая 50,6</t>
  </si>
  <si>
    <t>3.26 Спальная 56,0</t>
  </si>
  <si>
    <t>3.27 Туалет (в т.ч. МГН) 29,0</t>
  </si>
  <si>
    <t>3.28 Раздевальная комната 23,3</t>
  </si>
  <si>
    <t>3.29 Групповая 50,8</t>
  </si>
  <si>
    <t>3.30 Спальная 55,7</t>
  </si>
  <si>
    <t>3.31 Буфет 6,4</t>
  </si>
  <si>
    <t>3.32 Туалет (в т.ч. МГН) 29,0</t>
  </si>
  <si>
    <t>для музыкального руководителя , воспитателя 74,6</t>
  </si>
  <si>
    <t>3.34 Вспомогательное помещение 6,6</t>
  </si>
  <si>
    <t>раздвижной трансформируемой перегородкой 74,1</t>
  </si>
  <si>
    <t>3.36 Помещение приёма и сортировки грязного белья 5,8</t>
  </si>
  <si>
    <t>3.37 Комната чистого белья 5,9</t>
  </si>
  <si>
    <t>3.38 Лестничная клетка №5 (Тип Н2) 30,9</t>
  </si>
  <si>
    <t>3.39 Лифтовой холл (зона безопасности) 6,3</t>
  </si>
  <si>
    <t>3.40 Помещение уборочного инвентаря 6,1</t>
  </si>
  <si>
    <t>3.41 Коридор 36,4</t>
  </si>
  <si>
    <t>3.42 Коридор 59,7</t>
  </si>
  <si>
    <t>3.43 Лестничная клетка №6 (Тип Л1) 26,2</t>
  </si>
  <si>
    <t>3.44 Коридор 21,4</t>
  </si>
  <si>
    <t>3.45 Рекреация 82,7</t>
  </si>
  <si>
    <t>по экспл-ии</t>
  </si>
  <si>
    <t>по полам</t>
  </si>
  <si>
    <t>по потолку</t>
  </si>
  <si>
    <t>0.01 337 Лестничная клетка №1 24,7</t>
  </si>
  <si>
    <t>0.03 339 Коридор 165,6</t>
  </si>
  <si>
    <t>0.12 0.52 Лестничная клетка №5 31,1</t>
  </si>
  <si>
    <t>0.17 0.54 Коридор 31,1</t>
  </si>
  <si>
    <t>0.18 0.55 Лестничная клетка №6 27,1</t>
  </si>
  <si>
    <t>0.26 1.08 Коридор 190,7</t>
  </si>
  <si>
    <t>0.02 82 Венткамера 57,9</t>
  </si>
  <si>
    <t>0.04 340 Насосная 58,8</t>
  </si>
  <si>
    <t>0.05 0.105 Венткамера 54,4</t>
  </si>
  <si>
    <t>0.06 342 ИТП 99,5</t>
  </si>
  <si>
    <t>0.07 0.113 Венткамера 40,7</t>
  </si>
  <si>
    <t>0.08 0.08 Помещение CC1 24,2</t>
  </si>
  <si>
    <t>158,3</t>
  </si>
  <si>
    <t>272,4</t>
  </si>
  <si>
    <t>64,6</t>
  </si>
  <si>
    <t>17,2</t>
  </si>
  <si>
    <t>177,7</t>
  </si>
  <si>
    <t>0.15 191 Помещение CC2 11,8</t>
  </si>
  <si>
    <t>12,8</t>
  </si>
  <si>
    <t>31,4</t>
  </si>
  <si>
    <t>289,1</t>
  </si>
  <si>
    <t>257,5</t>
  </si>
  <si>
    <t>27,1</t>
  </si>
  <si>
    <t>0.23 0.110 Венткамера 126,0</t>
  </si>
  <si>
    <t>0.24 0.111 Венткамера 71,2</t>
  </si>
  <si>
    <t>105,6</t>
  </si>
  <si>
    <t>182,4</t>
  </si>
  <si>
    <t>ТЕКСТ</t>
  </si>
  <si>
    <t>ТАБЛИЦА АР1.2</t>
  </si>
  <si>
    <t>АР1.2</t>
  </si>
  <si>
    <t>14,9</t>
  </si>
  <si>
    <t>22,1</t>
  </si>
  <si>
    <t>105,4</t>
  </si>
  <si>
    <t>131,2</t>
  </si>
  <si>
    <t>24,5</t>
  </si>
  <si>
    <t>27,9</t>
  </si>
  <si>
    <t>25,7</t>
  </si>
  <si>
    <t>30,6</t>
  </si>
  <si>
    <t>1.01 Тамбур 13,4</t>
  </si>
  <si>
    <t>1.09 Учебный кабинет 1 класс 62,9</t>
  </si>
  <si>
    <t>1.10 Учебный кабинет 1 класс 64,3</t>
  </si>
  <si>
    <t>1.11 Учебный кабинет 1 класс 64,4</t>
  </si>
  <si>
    <t>1.07 Гардероб для учителей 10,0</t>
  </si>
  <si>
    <t>1.03 Санузел для посетителей 5,8</t>
  </si>
  <si>
    <t>1.06 Санузел для МГН 5,9</t>
  </si>
  <si>
    <t>1.13 Санузел для девочек 15,8</t>
  </si>
  <si>
    <t>1.14 Санузел для МГН 5,4</t>
  </si>
  <si>
    <t>1.15 Санузел для мальчиков 15,8</t>
  </si>
  <si>
    <t>1.16 С/у (медблок) 2,4</t>
  </si>
  <si>
    <t>1.17 Процедурный кабинет 13,9</t>
  </si>
  <si>
    <t>1.18 Прививочный кабинет 13,9</t>
  </si>
  <si>
    <t>1.19 Кабинет врача 20,7</t>
  </si>
  <si>
    <t>1.20 Холл 20,4</t>
  </si>
  <si>
    <t>6,0</t>
  </si>
  <si>
    <t>1.22 Санузел персонала 4,7</t>
  </si>
  <si>
    <t>1.24 Кладовая инвентаря 10,1</t>
  </si>
  <si>
    <t>1.25 Артистическая 10,3</t>
  </si>
  <si>
    <t>1.26 Артистическая 10,7</t>
  </si>
  <si>
    <t>1.27 Коридор 25,9</t>
  </si>
  <si>
    <t>1.28 Серверная 22,1</t>
  </si>
  <si>
    <t>1.29 Электрощитовая 28,7</t>
  </si>
  <si>
    <t>1.30 Рекреация коридорного типа 92,2</t>
  </si>
  <si>
    <t>1.31 Коридор 113,0</t>
  </si>
  <si>
    <t>92,5</t>
  </si>
  <si>
    <t>6,2</t>
  </si>
  <si>
    <t>10,7</t>
  </si>
  <si>
    <t>30,8</t>
  </si>
  <si>
    <t>26,9</t>
  </si>
  <si>
    <t>1.36 Лифтовой холл 13,0</t>
  </si>
  <si>
    <t>1.37 Умывальная 11,8</t>
  </si>
  <si>
    <t>1.38 Обеденный зал на 150 мест 170,5</t>
  </si>
  <si>
    <t>1.39 Моечная столовой посуды 36,4</t>
  </si>
  <si>
    <t>1.40 Холодный цех 15,0</t>
  </si>
  <si>
    <t>1.41 Горячий цех 89,2</t>
  </si>
  <si>
    <t>1.42 Моечная кухонной посуды 13,6</t>
  </si>
  <si>
    <t>1.43 Кладовая сухих продуктов 12,1</t>
  </si>
  <si>
    <t>29,7</t>
  </si>
  <si>
    <t>1.45 Кладовая овощей 10,8</t>
  </si>
  <si>
    <t>1.46 Помещение персонала 9,3</t>
  </si>
  <si>
    <t>9,7</t>
  </si>
  <si>
    <t>1.48 Раздаточная 7,7</t>
  </si>
  <si>
    <t>1.49 Санузел персонала 3,3</t>
  </si>
  <si>
    <t>1.50 Моечная оборотной тары 8,7</t>
  </si>
  <si>
    <t>1.52 Тамбур 2,2</t>
  </si>
  <si>
    <t>3,3</t>
  </si>
  <si>
    <t>1.54 Гардероб персонала с душем 10,2</t>
  </si>
  <si>
    <t>1.55 Цех первичной обработки 13,9</t>
  </si>
  <si>
    <t>1.56 Цех вторичной обработки 12,2</t>
  </si>
  <si>
    <t>1.57 Мясо-рыбный цех 21,4</t>
  </si>
  <si>
    <t>1.58 Коридор 58,9</t>
  </si>
  <si>
    <t>1.59 Тамбур 15,3</t>
  </si>
  <si>
    <t>1.61 Пост охраны 16,8</t>
  </si>
  <si>
    <t>1.63 Тамбур 10,9</t>
  </si>
  <si>
    <t>1.64 Раздевальная комната 24,0</t>
  </si>
  <si>
    <t>1.65 Буфет 6,7</t>
  </si>
  <si>
    <t>1.66 Туалет (в т.ч. МГН) 29,6</t>
  </si>
  <si>
    <t>1.67 Групповая 51,3</t>
  </si>
  <si>
    <t>1.68 Спальная 56,6</t>
  </si>
  <si>
    <t>1.69 Раздевальная комната 18,5</t>
  </si>
  <si>
    <t>1.70 Тамбур 4,8</t>
  </si>
  <si>
    <t>1.71 Буфет 6,7</t>
  </si>
  <si>
    <t>1.72 Туалет (в т.ч. МГН) 29,9</t>
  </si>
  <si>
    <t>1.73 Групповая 51,2</t>
  </si>
  <si>
    <t>1.74 Спальная 56,3</t>
  </si>
  <si>
    <t>5,7</t>
  </si>
  <si>
    <t>1.81 Лифтовой холл 6,5</t>
  </si>
  <si>
    <t>1.78 Коридор 60,8</t>
  </si>
  <si>
    <t>1.82 Коридор 25,2</t>
  </si>
  <si>
    <t>4,7</t>
  </si>
  <si>
    <t>2.01 63,7</t>
  </si>
  <si>
    <t>2.02 90,2</t>
  </si>
  <si>
    <t>2.03 39,8</t>
  </si>
  <si>
    <t>2.04 64,0</t>
  </si>
  <si>
    <t>2.05 65,4</t>
  </si>
  <si>
    <t>2.06 64,1</t>
  </si>
  <si>
    <t>2.07 64,3</t>
  </si>
  <si>
    <t>2.08 78,8</t>
  </si>
  <si>
    <t>2.09 5,1</t>
  </si>
  <si>
    <t>2.10 13,1</t>
  </si>
  <si>
    <t>2.11 13,1</t>
  </si>
  <si>
    <t>2.12 27,0</t>
  </si>
  <si>
    <t>2.13 12,7</t>
  </si>
  <si>
    <t>2.14 8,5</t>
  </si>
  <si>
    <t>2.15 28,0</t>
  </si>
  <si>
    <t>2.16 10,7</t>
  </si>
  <si>
    <t>2.17 11,3</t>
  </si>
  <si>
    <t>2.18 31,5</t>
  </si>
  <si>
    <t>2.19 359,3</t>
  </si>
  <si>
    <t>2.20 23,7</t>
  </si>
  <si>
    <t>2.21 14,0</t>
  </si>
  <si>
    <t>2.22 5,4</t>
  </si>
  <si>
    <t>2.23 9,8</t>
  </si>
  <si>
    <t>2.24 15,8</t>
  </si>
  <si>
    <t>2.25 15,8</t>
  </si>
  <si>
    <t>2.26 5,4</t>
  </si>
  <si>
    <t>2.27 19,1</t>
  </si>
  <si>
    <t>2.28 192,9</t>
  </si>
  <si>
    <t>2.29 14,3</t>
  </si>
  <si>
    <t>2.30 115,5</t>
  </si>
  <si>
    <t>2.31 25,7</t>
  </si>
  <si>
    <t>2.32 27,9</t>
  </si>
  <si>
    <t>2.33 13,1</t>
  </si>
  <si>
    <t>2.34 25,7</t>
  </si>
  <si>
    <t>2.35 30,6</t>
  </si>
  <si>
    <t>2.36 8,3</t>
  </si>
  <si>
    <t>2.37 21,6</t>
  </si>
  <si>
    <t>2.38 6,7</t>
  </si>
  <si>
    <t>2.39 29,6</t>
  </si>
  <si>
    <t>2.40 51,3</t>
  </si>
  <si>
    <t>2.41 56,6</t>
  </si>
  <si>
    <t>2.42 21,5</t>
  </si>
  <si>
    <t>2.43 6,7</t>
  </si>
  <si>
    <t>2.44 51,3</t>
  </si>
  <si>
    <t>2.45 56,3</t>
  </si>
  <si>
    <t>2.46 29,6</t>
  </si>
  <si>
    <t>2.47 75,6</t>
  </si>
  <si>
    <t>2.48 7,0</t>
  </si>
  <si>
    <t>2.49 75,2</t>
  </si>
  <si>
    <t>2.50 6,2</t>
  </si>
  <si>
    <t>2.51 38,7</t>
  </si>
  <si>
    <t>2.52 5,8</t>
  </si>
  <si>
    <t>2.53 6,2</t>
  </si>
  <si>
    <t>2.54 32,1</t>
  </si>
  <si>
    <t>2.55 6,5</t>
  </si>
  <si>
    <t>2.56 63,1</t>
  </si>
  <si>
    <t>2.57 28,1</t>
  </si>
  <si>
    <t>2.58 76,2</t>
  </si>
  <si>
    <t>3.01 62,8</t>
  </si>
  <si>
    <t>3.02 89,1</t>
  </si>
  <si>
    <t>3.03 29,7</t>
  </si>
  <si>
    <t>3.04 64,6</t>
  </si>
  <si>
    <t>3.05 63,8</t>
  </si>
  <si>
    <t>3.06 65,4</t>
  </si>
  <si>
    <t>3.07 63,7</t>
  </si>
  <si>
    <t>3.08 64,3</t>
  </si>
  <si>
    <t>3.09 5,4</t>
  </si>
  <si>
    <t>3.10 15,8</t>
  </si>
  <si>
    <t>3.11 15,8</t>
  </si>
  <si>
    <t>3.12 246,5</t>
  </si>
  <si>
    <t>3.13 13,3</t>
  </si>
  <si>
    <t>3.14 5,4</t>
  </si>
  <si>
    <t>3.15 11,9</t>
  </si>
  <si>
    <t>3.16 13,0</t>
  </si>
  <si>
    <t>3.17 25,8</t>
  </si>
  <si>
    <t>3.18 107,2</t>
  </si>
  <si>
    <t>3.19 113,7</t>
  </si>
  <si>
    <t>3.20 25,7</t>
  </si>
  <si>
    <t>3.21 30,6</t>
  </si>
  <si>
    <t>3.22 8,5</t>
  </si>
  <si>
    <t>3.23 21,6</t>
  </si>
  <si>
    <t>3.24 6,7</t>
  </si>
  <si>
    <t>3.25 52,1</t>
  </si>
  <si>
    <t>3.26 57,0</t>
  </si>
  <si>
    <t>3.27 29,6</t>
  </si>
  <si>
    <t>3.28 21,6</t>
  </si>
  <si>
    <t>3.29 51,6</t>
  </si>
  <si>
    <t>3.30 56,3</t>
  </si>
  <si>
    <t>3.31 6,7</t>
  </si>
  <si>
    <t>3.32 29,6</t>
  </si>
  <si>
    <t>3.33 75,4</t>
  </si>
  <si>
    <t>3.34 6,9</t>
  </si>
  <si>
    <t>3.35 74,9</t>
  </si>
  <si>
    <t>3.36 6,0</t>
  </si>
  <si>
    <t>3.37 6,1</t>
  </si>
  <si>
    <t>3.38 32,1</t>
  </si>
  <si>
    <t>3.39 5,9</t>
  </si>
  <si>
    <t>3.40 6,3</t>
  </si>
  <si>
    <t>3.41 38,7</t>
  </si>
  <si>
    <t>3.42 62,9</t>
  </si>
  <si>
    <t>3.43 28,1</t>
  </si>
  <si>
    <t>3.44 21,8</t>
  </si>
  <si>
    <t>3.45 87,4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</si>
</sst>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sz val="12"/>
      <color theme="1"/>
      <name val="ГОСТ тип А"/>
      <family val="2"/>
      <charset val="204"/>
    </font>
    <font>
      <sz val="12"/>
      <color theme="4" tint="-0.249977111117893"/>
      <name val="ГОСТ тип А"/>
      <family val="2"/>
      <charset val="204"/>
    </font>
    <font>
      <sz val="12"/>
      <color theme="1"/>
      <name val="ГОСТ тип А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 applyAlignment="1">
      <alignment horizontal="center"/>
    </xf>
  </cellXfs>
  <cellStyles count="1">
    <cellStyle name="Обычный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ГОСТ тип А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ГОСТ тип А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ГОСТ тип А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ГОСТ тип А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ГОСТ тип А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ГОСТ тип А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Таблица1" displayName="Таблица1" ref="A2:D216" totalsRowShown="0" headerRowDxfId="5" dataDxfId="4">
  <autoFilter ref="A2:D216"/>
  <sortState ref="A2:D214">
    <sortCondition ref="B1:B214"/>
  </sortState>
  <tableColumns count="4">
    <tableColumn id="1" name="№ п. п." dataDxfId="3"/>
    <tableColumn id="2" name="№ пом." dataDxfId="2"/>
    <tableColumn id="3" name="Тип пола" dataDxfId="1"/>
    <tableColumn id="4" name="Площадь, м2.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8"/>
  <sheetViews>
    <sheetView tabSelected="1" topLeftCell="B210" zoomScale="115" zoomScaleNormal="115" workbookViewId="0">
      <selection activeCell="B2" sqref="B2:D216"/>
    </sheetView>
  </sheetViews>
  <sheetFormatPr defaultRowHeight="15.75" x14ac:dyDescent="0.25"/>
  <cols>
    <col min="1" max="1" width="9.5703125" style="2" hidden="1" customWidth="1"/>
    <col min="2" max="2" width="11.28515625" style="2" customWidth="1"/>
    <col min="3" max="3" width="11.5703125" style="2" customWidth="1"/>
    <col min="4" max="5" width="15.140625" style="2" customWidth="1"/>
    <col min="6" max="6" width="15.140625" style="2" hidden="1" customWidth="1"/>
    <col min="7" max="7" width="9.140625" style="1" hidden="1" customWidth="1"/>
    <col min="8" max="8" width="8.140625" style="1" hidden="1" customWidth="1"/>
    <col min="9" max="9" width="9.140625" style="1" hidden="1" customWidth="1"/>
    <col min="10" max="10" width="11.7109375" style="2" hidden="1" customWidth="1"/>
    <col min="11" max="11" width="8.28515625" style="2" hidden="1" customWidth="1"/>
    <col min="12" max="12" width="36.5703125" style="1" hidden="1" customWidth="1"/>
    <col min="13" max="15" width="0" style="1" hidden="1" customWidth="1"/>
    <col min="16" max="17" width="9.140625" style="1"/>
    <col min="18" max="18" width="34.42578125" style="1" customWidth="1"/>
    <col min="19" max="16384" width="9.140625" style="1"/>
  </cols>
  <sheetData>
    <row r="1" spans="1:18" x14ac:dyDescent="0.25">
      <c r="P1" s="9" t="s">
        <v>197</v>
      </c>
      <c r="Q1" s="9"/>
      <c r="R1" s="9"/>
    </row>
    <row r="2" spans="1:18" x14ac:dyDescent="0.25">
      <c r="A2" s="2" t="s">
        <v>3</v>
      </c>
      <c r="B2" s="2" t="s">
        <v>0</v>
      </c>
      <c r="C2" s="2" t="s">
        <v>1</v>
      </c>
      <c r="D2" s="2" t="s">
        <v>2</v>
      </c>
      <c r="G2" s="2"/>
      <c r="H2" s="2"/>
      <c r="I2" s="2"/>
      <c r="L2" s="2" t="s">
        <v>166</v>
      </c>
      <c r="M2" s="1" t="s">
        <v>165</v>
      </c>
      <c r="P2" s="7" t="s">
        <v>167</v>
      </c>
      <c r="Q2" s="7" t="s">
        <v>195</v>
      </c>
      <c r="R2" s="8" t="s">
        <v>196</v>
      </c>
    </row>
    <row r="3" spans="1:18" x14ac:dyDescent="0.25">
      <c r="A3" s="2">
        <v>15</v>
      </c>
      <c r="B3" s="3">
        <v>0.01</v>
      </c>
      <c r="C3" s="2" t="s">
        <v>6</v>
      </c>
      <c r="D3" s="2">
        <v>24.7</v>
      </c>
      <c r="G3" s="2"/>
      <c r="H3" s="2"/>
      <c r="I3" s="2"/>
      <c r="L3" s="2"/>
      <c r="P3" s="7">
        <f>VALUE(SUBSTITUTE(TRIM(RIGHTB(SUBSTITUTE(Q3," ",REPT(" ",99)),99)),",","."))</f>
        <v>24.7</v>
      </c>
      <c r="Q3" s="7" t="str">
        <f t="shared" ref="Q3:Q66" si="0">TRIM(RIGHTB(SUBSTITUTE(R3," ",REPT(" ",99)),99))</f>
        <v>24,7</v>
      </c>
      <c r="R3" s="8" t="s">
        <v>168</v>
      </c>
    </row>
    <row r="4" spans="1:18" x14ac:dyDescent="0.25">
      <c r="A4" s="2">
        <v>18</v>
      </c>
      <c r="B4" s="3">
        <v>0.02</v>
      </c>
      <c r="C4" s="2" t="s">
        <v>8</v>
      </c>
      <c r="D4" s="2">
        <v>57.9</v>
      </c>
      <c r="G4" s="2"/>
      <c r="H4" s="2"/>
      <c r="I4" s="2"/>
      <c r="L4" s="2"/>
      <c r="P4" s="7">
        <f t="shared" ref="P4:P67" si="1">VALUE(SUBSTITUTE(TRIM(RIGHTB(SUBSTITUTE(Q4," ",REPT(" ",99)),99)),",","."))</f>
        <v>57.9</v>
      </c>
      <c r="Q4" s="7" t="str">
        <f t="shared" si="0"/>
        <v>57,9</v>
      </c>
      <c r="R4" s="8" t="s">
        <v>174</v>
      </c>
    </row>
    <row r="5" spans="1:18" x14ac:dyDescent="0.25">
      <c r="A5" s="2">
        <v>12</v>
      </c>
      <c r="B5" s="3">
        <v>0.03</v>
      </c>
      <c r="C5" s="2" t="s">
        <v>5</v>
      </c>
      <c r="D5" s="2">
        <v>165.6</v>
      </c>
      <c r="G5" s="2"/>
      <c r="H5" s="2"/>
      <c r="I5" s="2"/>
      <c r="L5" s="2"/>
      <c r="P5" s="7">
        <f t="shared" si="1"/>
        <v>165.6</v>
      </c>
      <c r="Q5" s="7" t="str">
        <f t="shared" si="0"/>
        <v>165,6</v>
      </c>
      <c r="R5" s="8" t="s">
        <v>169</v>
      </c>
    </row>
    <row r="6" spans="1:18" x14ac:dyDescent="0.25">
      <c r="A6" s="2">
        <v>19</v>
      </c>
      <c r="B6" s="3">
        <v>0.04</v>
      </c>
      <c r="C6" s="2" t="s">
        <v>8</v>
      </c>
      <c r="D6" s="2">
        <v>58.8</v>
      </c>
      <c r="G6" s="2"/>
      <c r="H6" s="2"/>
      <c r="I6" s="2"/>
      <c r="L6" s="2"/>
      <c r="P6" s="7">
        <f t="shared" si="1"/>
        <v>58.8</v>
      </c>
      <c r="Q6" s="7" t="str">
        <f t="shared" si="0"/>
        <v>58,8</v>
      </c>
      <c r="R6" s="8" t="s">
        <v>175</v>
      </c>
    </row>
    <row r="7" spans="1:18" x14ac:dyDescent="0.25">
      <c r="A7" s="2">
        <v>20</v>
      </c>
      <c r="B7" s="3">
        <v>0.05</v>
      </c>
      <c r="C7" s="2" t="s">
        <v>8</v>
      </c>
      <c r="D7" s="2">
        <v>54.4</v>
      </c>
      <c r="G7" s="2"/>
      <c r="H7" s="2"/>
      <c r="I7" s="2"/>
      <c r="L7" s="2"/>
      <c r="P7" s="7">
        <f t="shared" si="1"/>
        <v>54.4</v>
      </c>
      <c r="Q7" s="7" t="str">
        <f t="shared" si="0"/>
        <v>54,4</v>
      </c>
      <c r="R7" s="8" t="s">
        <v>176</v>
      </c>
    </row>
    <row r="8" spans="1:18" x14ac:dyDescent="0.25">
      <c r="A8" s="2">
        <v>21</v>
      </c>
      <c r="B8" s="3">
        <v>0.06</v>
      </c>
      <c r="C8" s="2" t="s">
        <v>8</v>
      </c>
      <c r="D8" s="2">
        <v>99.5</v>
      </c>
      <c r="G8" s="2"/>
      <c r="H8" s="2"/>
      <c r="I8" s="2"/>
      <c r="L8" s="2"/>
      <c r="P8" s="7">
        <f t="shared" si="1"/>
        <v>99.5</v>
      </c>
      <c r="Q8" s="7" t="str">
        <f t="shared" si="0"/>
        <v>99,5</v>
      </c>
      <c r="R8" s="8" t="s">
        <v>177</v>
      </c>
    </row>
    <row r="9" spans="1:18" x14ac:dyDescent="0.25">
      <c r="A9" s="2">
        <v>22</v>
      </c>
      <c r="B9" s="3">
        <v>7.0000000000000007E-2</v>
      </c>
      <c r="C9" s="2" t="s">
        <v>8</v>
      </c>
      <c r="D9" s="2">
        <v>40.700000000000003</v>
      </c>
      <c r="G9" s="2"/>
      <c r="H9" s="2"/>
      <c r="I9" s="2"/>
      <c r="L9" s="2"/>
      <c r="P9" s="7">
        <f t="shared" si="1"/>
        <v>40.700000000000003</v>
      </c>
      <c r="Q9" s="7" t="str">
        <f t="shared" si="0"/>
        <v>40,7</v>
      </c>
      <c r="R9" s="8" t="s">
        <v>178</v>
      </c>
    </row>
    <row r="10" spans="1:18" x14ac:dyDescent="0.25">
      <c r="A10" s="2">
        <v>25</v>
      </c>
      <c r="B10" s="3">
        <v>0.08</v>
      </c>
      <c r="C10" s="2" t="s">
        <v>9</v>
      </c>
      <c r="D10" s="2">
        <v>24.2</v>
      </c>
      <c r="G10" s="2"/>
      <c r="H10" s="2"/>
      <c r="I10" s="2"/>
      <c r="L10" s="2"/>
      <c r="P10" s="7">
        <f t="shared" si="1"/>
        <v>24.2</v>
      </c>
      <c r="Q10" s="7" t="str">
        <f t="shared" si="0"/>
        <v>24,2</v>
      </c>
      <c r="R10" s="8" t="s">
        <v>179</v>
      </c>
    </row>
    <row r="11" spans="1:18" x14ac:dyDescent="0.25">
      <c r="A11" s="2">
        <v>1</v>
      </c>
      <c r="B11" s="3">
        <v>0.09</v>
      </c>
      <c r="C11" s="2" t="s">
        <v>4</v>
      </c>
      <c r="D11" s="2">
        <v>158.30000000000001</v>
      </c>
      <c r="G11" s="2"/>
      <c r="H11" s="2"/>
      <c r="I11" s="2"/>
      <c r="L11" s="2"/>
      <c r="P11" s="7">
        <f t="shared" si="1"/>
        <v>158.30000000000001</v>
      </c>
      <c r="Q11" s="7" t="str">
        <f t="shared" si="0"/>
        <v>158,3</v>
      </c>
      <c r="R11" s="8" t="s">
        <v>180</v>
      </c>
    </row>
    <row r="12" spans="1:18" x14ac:dyDescent="0.25">
      <c r="A12" s="2">
        <v>2</v>
      </c>
      <c r="B12" s="3">
        <v>0.1</v>
      </c>
      <c r="C12" s="2" t="s">
        <v>4</v>
      </c>
      <c r="D12" s="2">
        <v>272.39999999999998</v>
      </c>
      <c r="G12" s="2"/>
      <c r="H12" s="2"/>
      <c r="I12" s="2"/>
      <c r="L12" s="2"/>
      <c r="P12" s="7">
        <f t="shared" si="1"/>
        <v>272.39999999999998</v>
      </c>
      <c r="Q12" s="7" t="str">
        <f t="shared" si="0"/>
        <v>272,4</v>
      </c>
      <c r="R12" s="8" t="s">
        <v>181</v>
      </c>
    </row>
    <row r="13" spans="1:18" x14ac:dyDescent="0.25">
      <c r="A13" s="2">
        <v>3</v>
      </c>
      <c r="B13" s="3">
        <v>0.11</v>
      </c>
      <c r="C13" s="2" t="s">
        <v>4</v>
      </c>
      <c r="D13" s="2">
        <v>64.599999999999994</v>
      </c>
      <c r="G13" s="2"/>
      <c r="H13" s="2"/>
      <c r="I13" s="2"/>
      <c r="L13" s="2"/>
      <c r="P13" s="7">
        <f t="shared" si="1"/>
        <v>64.599999999999994</v>
      </c>
      <c r="Q13" s="7" t="str">
        <f t="shared" si="0"/>
        <v>64,6</v>
      </c>
      <c r="R13" s="8" t="s">
        <v>182</v>
      </c>
    </row>
    <row r="14" spans="1:18" x14ac:dyDescent="0.25">
      <c r="A14" s="2">
        <v>16</v>
      </c>
      <c r="B14" s="3">
        <v>0.12</v>
      </c>
      <c r="C14" s="2" t="s">
        <v>6</v>
      </c>
      <c r="D14" s="2">
        <v>31.1</v>
      </c>
      <c r="G14" s="2"/>
      <c r="H14" s="2"/>
      <c r="I14" s="2"/>
      <c r="L14" s="2"/>
      <c r="P14" s="7">
        <f t="shared" si="1"/>
        <v>31.1</v>
      </c>
      <c r="Q14" s="7" t="str">
        <f t="shared" si="0"/>
        <v>31,1</v>
      </c>
      <c r="R14" s="8" t="s">
        <v>170</v>
      </c>
    </row>
    <row r="15" spans="1:18" x14ac:dyDescent="0.25">
      <c r="A15" s="5"/>
      <c r="B15" s="6">
        <v>0.13</v>
      </c>
      <c r="C15" s="5"/>
      <c r="D15" s="5">
        <v>17.2</v>
      </c>
      <c r="G15" s="2"/>
      <c r="H15" s="2"/>
      <c r="I15" s="2"/>
      <c r="L15" s="2"/>
      <c r="P15" s="7">
        <f t="shared" si="1"/>
        <v>17.2</v>
      </c>
      <c r="Q15" s="7" t="str">
        <f t="shared" si="0"/>
        <v>17,2</v>
      </c>
      <c r="R15" s="8" t="s">
        <v>183</v>
      </c>
    </row>
    <row r="16" spans="1:18" x14ac:dyDescent="0.25">
      <c r="A16" s="2">
        <v>4</v>
      </c>
      <c r="B16" s="3">
        <v>0.14000000000000001</v>
      </c>
      <c r="C16" s="2" t="s">
        <v>4</v>
      </c>
      <c r="D16" s="2">
        <v>177.7</v>
      </c>
      <c r="G16" s="2"/>
      <c r="H16" s="2"/>
      <c r="I16" s="2"/>
      <c r="L16" s="2"/>
      <c r="P16" s="7">
        <f t="shared" si="1"/>
        <v>177.7</v>
      </c>
      <c r="Q16" s="7" t="str">
        <f t="shared" si="0"/>
        <v>177,7</v>
      </c>
      <c r="R16" s="8" t="s">
        <v>184</v>
      </c>
    </row>
    <row r="17" spans="1:18" x14ac:dyDescent="0.25">
      <c r="A17" s="2">
        <v>26</v>
      </c>
      <c r="B17" s="3">
        <v>0.15</v>
      </c>
      <c r="C17" s="2" t="s">
        <v>9</v>
      </c>
      <c r="D17" s="2">
        <v>11.8</v>
      </c>
      <c r="G17" s="2"/>
      <c r="H17" s="2"/>
      <c r="I17" s="2"/>
      <c r="L17" s="2"/>
      <c r="P17" s="7">
        <f t="shared" si="1"/>
        <v>11.8</v>
      </c>
      <c r="Q17" s="7" t="str">
        <f t="shared" si="0"/>
        <v>11,8</v>
      </c>
      <c r="R17" s="8" t="s">
        <v>185</v>
      </c>
    </row>
    <row r="18" spans="1:18" x14ac:dyDescent="0.25">
      <c r="A18" s="2">
        <v>27</v>
      </c>
      <c r="B18" s="3">
        <v>0.16</v>
      </c>
      <c r="C18" s="2" t="s">
        <v>9</v>
      </c>
      <c r="D18" s="2">
        <v>12.8</v>
      </c>
      <c r="G18" s="2"/>
      <c r="H18" s="2"/>
      <c r="I18" s="2"/>
      <c r="L18" s="2"/>
      <c r="P18" s="7">
        <f t="shared" si="1"/>
        <v>12.8</v>
      </c>
      <c r="Q18" s="7" t="str">
        <f t="shared" si="0"/>
        <v>12,8</v>
      </c>
      <c r="R18" s="8" t="s">
        <v>186</v>
      </c>
    </row>
    <row r="19" spans="1:18" x14ac:dyDescent="0.25">
      <c r="A19" s="2">
        <v>13</v>
      </c>
      <c r="B19" s="3">
        <v>0.17</v>
      </c>
      <c r="C19" s="2" t="s">
        <v>5</v>
      </c>
      <c r="D19" s="2">
        <v>31.1</v>
      </c>
      <c r="G19" s="2"/>
      <c r="H19" s="2"/>
      <c r="I19" s="2"/>
      <c r="L19" s="2"/>
      <c r="P19" s="7">
        <f t="shared" si="1"/>
        <v>31.1</v>
      </c>
      <c r="Q19" s="7" t="str">
        <f t="shared" si="0"/>
        <v>31,1</v>
      </c>
      <c r="R19" s="8" t="s">
        <v>171</v>
      </c>
    </row>
    <row r="20" spans="1:18" x14ac:dyDescent="0.25">
      <c r="A20" s="2">
        <v>17</v>
      </c>
      <c r="B20" s="3">
        <v>0.18</v>
      </c>
      <c r="C20" s="2" t="s">
        <v>6</v>
      </c>
      <c r="D20" s="2">
        <v>27.1</v>
      </c>
      <c r="G20" s="2"/>
      <c r="H20" s="2"/>
      <c r="I20" s="2"/>
      <c r="L20" s="2"/>
      <c r="P20" s="7">
        <f t="shared" si="1"/>
        <v>27.1</v>
      </c>
      <c r="Q20" s="7" t="str">
        <f t="shared" si="0"/>
        <v>27,1</v>
      </c>
      <c r="R20" s="8" t="s">
        <v>172</v>
      </c>
    </row>
    <row r="21" spans="1:18" x14ac:dyDescent="0.25">
      <c r="A21" s="2">
        <v>5</v>
      </c>
      <c r="B21" s="3">
        <v>0.19</v>
      </c>
      <c r="C21" s="2" t="s">
        <v>4</v>
      </c>
      <c r="D21" s="2">
        <v>31.4</v>
      </c>
      <c r="G21" s="2"/>
      <c r="H21" s="2"/>
      <c r="I21" s="2"/>
      <c r="L21" s="2"/>
      <c r="P21" s="7">
        <f t="shared" si="1"/>
        <v>31.4</v>
      </c>
      <c r="Q21" s="7" t="str">
        <f t="shared" si="0"/>
        <v>31,4</v>
      </c>
      <c r="R21" s="8" t="s">
        <v>187</v>
      </c>
    </row>
    <row r="22" spans="1:18" x14ac:dyDescent="0.25">
      <c r="A22" s="2">
        <v>6</v>
      </c>
      <c r="B22" s="3">
        <v>0.2</v>
      </c>
      <c r="C22" s="2" t="s">
        <v>4</v>
      </c>
      <c r="D22" s="2">
        <v>289.10000000000002</v>
      </c>
      <c r="G22" s="2"/>
      <c r="H22" s="2"/>
      <c r="I22" s="2"/>
      <c r="L22" s="2"/>
      <c r="P22" s="7">
        <f t="shared" si="1"/>
        <v>289.10000000000002</v>
      </c>
      <c r="Q22" s="7" t="str">
        <f t="shared" si="0"/>
        <v>289,1</v>
      </c>
      <c r="R22" s="8" t="s">
        <v>188</v>
      </c>
    </row>
    <row r="23" spans="1:18" x14ac:dyDescent="0.25">
      <c r="A23" s="2">
        <v>7</v>
      </c>
      <c r="B23" s="3">
        <v>0.21</v>
      </c>
      <c r="C23" s="2" t="s">
        <v>4</v>
      </c>
      <c r="D23" s="2">
        <v>257.5</v>
      </c>
      <c r="G23" s="2"/>
      <c r="H23" s="2"/>
      <c r="I23" s="2"/>
      <c r="L23" s="2"/>
      <c r="P23" s="7">
        <f t="shared" si="1"/>
        <v>257.5</v>
      </c>
      <c r="Q23" s="7" t="str">
        <f t="shared" si="0"/>
        <v>257,5</v>
      </c>
      <c r="R23" s="8" t="s">
        <v>189</v>
      </c>
    </row>
    <row r="24" spans="1:18" x14ac:dyDescent="0.25">
      <c r="A24" s="2">
        <v>8</v>
      </c>
      <c r="B24" s="3">
        <v>0.22</v>
      </c>
      <c r="C24" s="2" t="s">
        <v>4</v>
      </c>
      <c r="D24" s="2">
        <v>27.1</v>
      </c>
      <c r="G24" s="2"/>
      <c r="H24" s="2"/>
      <c r="I24" s="2"/>
      <c r="L24" s="2"/>
      <c r="P24" s="7">
        <f t="shared" si="1"/>
        <v>27.1</v>
      </c>
      <c r="Q24" s="7" t="str">
        <f t="shared" si="0"/>
        <v>27,1</v>
      </c>
      <c r="R24" s="8" t="s">
        <v>190</v>
      </c>
    </row>
    <row r="25" spans="1:18" x14ac:dyDescent="0.25">
      <c r="A25" s="2">
        <v>23</v>
      </c>
      <c r="B25" s="3">
        <v>0.23</v>
      </c>
      <c r="C25" s="2" t="s">
        <v>8</v>
      </c>
      <c r="D25" s="2">
        <v>126</v>
      </c>
      <c r="G25" s="2"/>
      <c r="H25" s="2"/>
      <c r="I25" s="2"/>
      <c r="L25" s="2"/>
      <c r="P25" s="7">
        <f t="shared" si="1"/>
        <v>126</v>
      </c>
      <c r="Q25" s="7" t="str">
        <f t="shared" si="0"/>
        <v>126,0</v>
      </c>
      <c r="R25" s="8" t="s">
        <v>191</v>
      </c>
    </row>
    <row r="26" spans="1:18" x14ac:dyDescent="0.25">
      <c r="A26" s="2">
        <v>24</v>
      </c>
      <c r="B26" s="3">
        <v>0.24</v>
      </c>
      <c r="C26" s="2" t="s">
        <v>8</v>
      </c>
      <c r="D26" s="2">
        <v>71.2</v>
      </c>
      <c r="G26" s="2"/>
      <c r="H26" s="2"/>
      <c r="I26" s="2"/>
      <c r="L26" s="2"/>
      <c r="P26" s="7">
        <f t="shared" si="1"/>
        <v>71.2</v>
      </c>
      <c r="Q26" s="7" t="str">
        <f t="shared" si="0"/>
        <v>71,2</v>
      </c>
      <c r="R26" s="8" t="s">
        <v>192</v>
      </c>
    </row>
    <row r="27" spans="1:18" x14ac:dyDescent="0.25">
      <c r="A27" s="2">
        <v>9</v>
      </c>
      <c r="B27" s="3">
        <v>0.25</v>
      </c>
      <c r="C27" s="2" t="s">
        <v>4</v>
      </c>
      <c r="D27" s="2">
        <v>243.9</v>
      </c>
      <c r="G27" s="2"/>
      <c r="H27" s="2"/>
      <c r="I27" s="2"/>
      <c r="L27" s="2"/>
      <c r="P27" s="7">
        <f t="shared" si="1"/>
        <v>243.9</v>
      </c>
      <c r="Q27" s="7" t="str">
        <f t="shared" si="0"/>
        <v>243,9</v>
      </c>
      <c r="R27" s="8" t="s">
        <v>131</v>
      </c>
    </row>
    <row r="28" spans="1:18" x14ac:dyDescent="0.25">
      <c r="A28" s="2">
        <v>14</v>
      </c>
      <c r="B28" s="3">
        <v>0.26</v>
      </c>
      <c r="C28" s="2" t="s">
        <v>5</v>
      </c>
      <c r="D28" s="2">
        <v>190.7</v>
      </c>
      <c r="G28" s="2"/>
      <c r="H28" s="2"/>
      <c r="I28" s="2"/>
      <c r="L28" s="2"/>
      <c r="P28" s="7">
        <f t="shared" si="1"/>
        <v>190.7</v>
      </c>
      <c r="Q28" s="7" t="str">
        <f t="shared" si="0"/>
        <v>190,7</v>
      </c>
      <c r="R28" s="8" t="s">
        <v>173</v>
      </c>
    </row>
    <row r="29" spans="1:18" x14ac:dyDescent="0.25">
      <c r="A29" s="2">
        <v>10</v>
      </c>
      <c r="B29" s="3">
        <v>0.27</v>
      </c>
      <c r="C29" s="2" t="s">
        <v>4</v>
      </c>
      <c r="D29" s="2">
        <v>105.6</v>
      </c>
      <c r="G29" s="2"/>
      <c r="H29" s="2"/>
      <c r="I29" s="2"/>
      <c r="L29" s="2"/>
      <c r="P29" s="7">
        <f t="shared" si="1"/>
        <v>105.6</v>
      </c>
      <c r="Q29" s="7" t="str">
        <f t="shared" si="0"/>
        <v>105,6</v>
      </c>
      <c r="R29" s="8" t="s">
        <v>193</v>
      </c>
    </row>
    <row r="30" spans="1:18" x14ac:dyDescent="0.25">
      <c r="A30" s="2">
        <v>11</v>
      </c>
      <c r="B30" s="3">
        <v>0.28000000000000003</v>
      </c>
      <c r="C30" s="2" t="s">
        <v>4</v>
      </c>
      <c r="D30" s="2">
        <v>182.4</v>
      </c>
      <c r="G30" s="2"/>
      <c r="H30" s="2"/>
      <c r="I30" s="2"/>
      <c r="L30" s="2"/>
      <c r="P30" s="7">
        <f t="shared" si="1"/>
        <v>182.4</v>
      </c>
      <c r="Q30" s="7" t="str">
        <f t="shared" si="0"/>
        <v>182,4</v>
      </c>
      <c r="R30" s="8" t="s">
        <v>194</v>
      </c>
    </row>
    <row r="31" spans="1:18" x14ac:dyDescent="0.25">
      <c r="A31" s="2">
        <v>28</v>
      </c>
      <c r="B31" s="3">
        <v>1.01</v>
      </c>
      <c r="C31" s="2" t="s">
        <v>10</v>
      </c>
      <c r="D31" s="2">
        <v>13.2</v>
      </c>
      <c r="P31" s="7">
        <f t="shared" si="1"/>
        <v>13.4</v>
      </c>
      <c r="Q31" s="7" t="str">
        <f t="shared" si="0"/>
        <v>13,4</v>
      </c>
      <c r="R31" s="1" t="s">
        <v>206</v>
      </c>
    </row>
    <row r="32" spans="1:18" x14ac:dyDescent="0.25">
      <c r="A32" s="2">
        <v>33</v>
      </c>
      <c r="B32" s="3">
        <v>1.02</v>
      </c>
      <c r="C32" s="2" t="s">
        <v>11</v>
      </c>
      <c r="D32" s="2">
        <v>16.399999999999999</v>
      </c>
      <c r="E32" s="2">
        <f>Таблица1[[#This Row],[Площадь, м2.]]-P32</f>
        <v>1.4999999999999982</v>
      </c>
      <c r="P32" s="7">
        <f t="shared" si="1"/>
        <v>14.9</v>
      </c>
      <c r="Q32" s="7" t="str">
        <f t="shared" si="0"/>
        <v>14,9</v>
      </c>
      <c r="R32" s="1" t="s">
        <v>198</v>
      </c>
    </row>
    <row r="33" spans="1:18" x14ac:dyDescent="0.25">
      <c r="A33" s="2">
        <v>94</v>
      </c>
      <c r="B33" s="3">
        <v>1.03</v>
      </c>
      <c r="C33" s="2" t="s">
        <v>15</v>
      </c>
      <c r="D33" s="2">
        <v>5.8</v>
      </c>
      <c r="E33" s="2">
        <f>Таблица1[[#This Row],[Площадь, м2.]]-P33</f>
        <v>0</v>
      </c>
      <c r="P33" s="7">
        <f t="shared" si="1"/>
        <v>5.8</v>
      </c>
      <c r="Q33" s="7" t="str">
        <f t="shared" si="0"/>
        <v>5,8</v>
      </c>
      <c r="R33" s="1" t="s">
        <v>211</v>
      </c>
    </row>
    <row r="34" spans="1:18" x14ac:dyDescent="0.25">
      <c r="A34" s="2">
        <v>34</v>
      </c>
      <c r="B34" s="3">
        <v>1.04</v>
      </c>
      <c r="C34" s="2" t="s">
        <v>11</v>
      </c>
      <c r="D34" s="2">
        <v>43.1</v>
      </c>
      <c r="E34" s="2">
        <f>Таблица1[[#This Row],[Площадь, м2.]]-P34</f>
        <v>43.1</v>
      </c>
      <c r="P34" s="4"/>
      <c r="Q34" s="7" t="str">
        <f t="shared" si="0"/>
        <v/>
      </c>
    </row>
    <row r="35" spans="1:18" x14ac:dyDescent="0.25">
      <c r="A35" s="2">
        <v>55</v>
      </c>
      <c r="B35" s="3">
        <v>1.05</v>
      </c>
      <c r="C35" s="2" t="s">
        <v>13</v>
      </c>
      <c r="D35" s="2">
        <v>22.1</v>
      </c>
      <c r="E35" s="2">
        <f>Таблица1[[#This Row],[Площадь, м2.]]-P35</f>
        <v>0</v>
      </c>
      <c r="P35" s="7">
        <f t="shared" si="1"/>
        <v>22.1</v>
      </c>
      <c r="Q35" s="7" t="str">
        <f t="shared" si="0"/>
        <v>22,1</v>
      </c>
      <c r="R35" s="1" t="s">
        <v>199</v>
      </c>
    </row>
    <row r="36" spans="1:18" x14ac:dyDescent="0.25">
      <c r="A36" s="2">
        <v>95</v>
      </c>
      <c r="B36" s="3">
        <v>1.06</v>
      </c>
      <c r="C36" s="2" t="s">
        <v>15</v>
      </c>
      <c r="D36" s="2">
        <v>5.9</v>
      </c>
      <c r="E36" s="2">
        <f>Таблица1[[#This Row],[Площадь, м2.]]-P36</f>
        <v>0</v>
      </c>
      <c r="P36" s="7">
        <f t="shared" si="1"/>
        <v>5.9</v>
      </c>
      <c r="Q36" s="7" t="str">
        <f t="shared" si="0"/>
        <v>5,9</v>
      </c>
      <c r="R36" s="1" t="s">
        <v>212</v>
      </c>
    </row>
    <row r="37" spans="1:18" x14ac:dyDescent="0.25">
      <c r="A37" s="2">
        <v>35</v>
      </c>
      <c r="B37" s="3">
        <v>1.07</v>
      </c>
      <c r="C37" s="2" t="s">
        <v>11</v>
      </c>
      <c r="D37" s="2">
        <v>10</v>
      </c>
      <c r="E37" s="2">
        <f>Таблица1[[#This Row],[Площадь, м2.]]-P37</f>
        <v>0</v>
      </c>
      <c r="P37" s="7">
        <f t="shared" si="1"/>
        <v>10</v>
      </c>
      <c r="Q37" s="7" t="str">
        <f t="shared" si="0"/>
        <v>10,0</v>
      </c>
      <c r="R37" s="1" t="s">
        <v>210</v>
      </c>
    </row>
    <row r="38" spans="1:18" x14ac:dyDescent="0.25">
      <c r="A38" s="2">
        <v>36</v>
      </c>
      <c r="B38" s="3">
        <v>1.08</v>
      </c>
      <c r="C38" s="2" t="s">
        <v>11</v>
      </c>
      <c r="D38" s="2">
        <v>105.4</v>
      </c>
      <c r="E38" s="2">
        <f>Таблица1[[#This Row],[Площадь, м2.]]-P38</f>
        <v>0</v>
      </c>
      <c r="P38" s="7">
        <f t="shared" si="1"/>
        <v>105.4</v>
      </c>
      <c r="Q38" s="7" t="str">
        <f t="shared" si="0"/>
        <v>105,4</v>
      </c>
      <c r="R38" s="1" t="s">
        <v>200</v>
      </c>
    </row>
    <row r="39" spans="1:18" x14ac:dyDescent="0.25">
      <c r="A39" s="2">
        <v>56</v>
      </c>
      <c r="B39" s="3">
        <v>1.0900000000000001</v>
      </c>
      <c r="C39" s="2" t="s">
        <v>13</v>
      </c>
      <c r="D39" s="2">
        <v>62.9</v>
      </c>
      <c r="E39" s="2">
        <f>Таблица1[[#This Row],[Площадь, м2.]]-P39</f>
        <v>0</v>
      </c>
      <c r="P39" s="7">
        <f t="shared" si="1"/>
        <v>62.9</v>
      </c>
      <c r="Q39" s="7" t="str">
        <f t="shared" si="0"/>
        <v>62,9</v>
      </c>
      <c r="R39" s="1" t="s">
        <v>207</v>
      </c>
    </row>
    <row r="40" spans="1:18" x14ac:dyDescent="0.25">
      <c r="A40" s="2">
        <v>57</v>
      </c>
      <c r="B40" s="3">
        <v>1.1000000000000001</v>
      </c>
      <c r="C40" s="2" t="s">
        <v>13</v>
      </c>
      <c r="D40" s="2">
        <v>64.3</v>
      </c>
      <c r="E40" s="2">
        <f>Таблица1[[#This Row],[Площадь, м2.]]-P40</f>
        <v>0</v>
      </c>
      <c r="P40" s="7">
        <f t="shared" si="1"/>
        <v>64.3</v>
      </c>
      <c r="Q40" s="7" t="str">
        <f t="shared" si="0"/>
        <v>64,3</v>
      </c>
      <c r="R40" s="1" t="s">
        <v>208</v>
      </c>
    </row>
    <row r="41" spans="1:18" x14ac:dyDescent="0.25">
      <c r="A41" s="2">
        <v>58</v>
      </c>
      <c r="B41" s="3">
        <v>1.1100000000000001</v>
      </c>
      <c r="C41" s="2" t="s">
        <v>13</v>
      </c>
      <c r="D41" s="2">
        <v>64.400000000000006</v>
      </c>
      <c r="E41" s="2">
        <f>Таблица1[[#This Row],[Площадь, м2.]]-P41</f>
        <v>0</v>
      </c>
      <c r="P41" s="7">
        <f t="shared" si="1"/>
        <v>64.400000000000006</v>
      </c>
      <c r="Q41" s="7" t="str">
        <f t="shared" si="0"/>
        <v>64,4</v>
      </c>
      <c r="R41" s="1" t="s">
        <v>209</v>
      </c>
    </row>
    <row r="42" spans="1:18" x14ac:dyDescent="0.25">
      <c r="A42" s="2">
        <v>59</v>
      </c>
      <c r="B42" s="3">
        <v>1.1200000000000001</v>
      </c>
      <c r="C42" s="2" t="s">
        <v>13</v>
      </c>
      <c r="D42" s="2">
        <v>131.19999999999999</v>
      </c>
      <c r="E42" s="2">
        <f>Таблица1[[#This Row],[Площадь, м2.]]-P42</f>
        <v>0</v>
      </c>
      <c r="P42" s="7">
        <f t="shared" si="1"/>
        <v>131.19999999999999</v>
      </c>
      <c r="Q42" s="7" t="str">
        <f t="shared" si="0"/>
        <v>131,2</v>
      </c>
      <c r="R42" s="1" t="s">
        <v>201</v>
      </c>
    </row>
    <row r="43" spans="1:18" x14ac:dyDescent="0.25">
      <c r="A43" s="2">
        <v>96</v>
      </c>
      <c r="B43" s="3">
        <v>1.1299999999999999</v>
      </c>
      <c r="C43" s="2" t="s">
        <v>15</v>
      </c>
      <c r="D43" s="2">
        <v>15.8</v>
      </c>
      <c r="E43" s="2">
        <f>Таблица1[[#This Row],[Площадь, м2.]]-P43</f>
        <v>0</v>
      </c>
      <c r="P43" s="7">
        <f t="shared" si="1"/>
        <v>15.8</v>
      </c>
      <c r="Q43" s="7" t="str">
        <f t="shared" si="0"/>
        <v>15,8</v>
      </c>
      <c r="R43" s="1" t="s">
        <v>213</v>
      </c>
    </row>
    <row r="44" spans="1:18" x14ac:dyDescent="0.25">
      <c r="A44" s="2">
        <v>97</v>
      </c>
      <c r="B44" s="3">
        <v>1.1399999999999999</v>
      </c>
      <c r="C44" s="2" t="s">
        <v>15</v>
      </c>
      <c r="D44" s="2">
        <v>5.4</v>
      </c>
      <c r="E44" s="2">
        <f>Таблица1[[#This Row],[Площадь, м2.]]-P44</f>
        <v>0</v>
      </c>
      <c r="P44" s="7">
        <f t="shared" si="1"/>
        <v>5.4</v>
      </c>
      <c r="Q44" s="7" t="str">
        <f t="shared" si="0"/>
        <v>5,4</v>
      </c>
      <c r="R44" s="1" t="s">
        <v>214</v>
      </c>
    </row>
    <row r="45" spans="1:18" x14ac:dyDescent="0.25">
      <c r="A45" s="2">
        <v>98</v>
      </c>
      <c r="B45" s="3">
        <v>1.1499999999999999</v>
      </c>
      <c r="C45" s="2" t="s">
        <v>15</v>
      </c>
      <c r="D45" s="2">
        <v>15.8</v>
      </c>
      <c r="E45" s="2">
        <f>Таблица1[[#This Row],[Площадь, м2.]]-P45</f>
        <v>0</v>
      </c>
      <c r="P45" s="7">
        <f t="shared" si="1"/>
        <v>15.8</v>
      </c>
      <c r="Q45" s="7" t="str">
        <f t="shared" si="0"/>
        <v>15,8</v>
      </c>
      <c r="R45" s="1" t="s">
        <v>215</v>
      </c>
    </row>
    <row r="46" spans="1:18" x14ac:dyDescent="0.25">
      <c r="A46" s="2">
        <v>99</v>
      </c>
      <c r="B46" s="3">
        <v>1.1599999999999999</v>
      </c>
      <c r="C46" s="2" t="s">
        <v>15</v>
      </c>
      <c r="D46" s="2">
        <v>2.4</v>
      </c>
      <c r="E46" s="2">
        <f>Таблица1[[#This Row],[Площадь, м2.]]-P46</f>
        <v>0</v>
      </c>
      <c r="P46" s="7">
        <f t="shared" si="1"/>
        <v>2.4</v>
      </c>
      <c r="Q46" s="7" t="str">
        <f t="shared" si="0"/>
        <v>2,4</v>
      </c>
      <c r="R46" s="1" t="s">
        <v>216</v>
      </c>
    </row>
    <row r="47" spans="1:18" x14ac:dyDescent="0.25">
      <c r="A47" s="2">
        <v>37</v>
      </c>
      <c r="B47" s="3">
        <v>1.17</v>
      </c>
      <c r="C47" s="2" t="s">
        <v>11</v>
      </c>
      <c r="D47" s="2">
        <v>13.9</v>
      </c>
      <c r="E47" s="2">
        <f>Таблица1[[#This Row],[Площадь, м2.]]-P47</f>
        <v>0</v>
      </c>
      <c r="P47" s="7">
        <f t="shared" si="1"/>
        <v>13.9</v>
      </c>
      <c r="Q47" s="7" t="str">
        <f t="shared" si="0"/>
        <v>13,9</v>
      </c>
      <c r="R47" s="1" t="s">
        <v>217</v>
      </c>
    </row>
    <row r="48" spans="1:18" x14ac:dyDescent="0.25">
      <c r="A48" s="2">
        <v>38</v>
      </c>
      <c r="B48" s="3">
        <v>1.18</v>
      </c>
      <c r="C48" s="2" t="s">
        <v>11</v>
      </c>
      <c r="D48" s="2">
        <v>13.9</v>
      </c>
      <c r="E48" s="2">
        <f>Таблица1[[#This Row],[Площадь, м2.]]-P48</f>
        <v>0</v>
      </c>
      <c r="P48" s="7">
        <f t="shared" si="1"/>
        <v>13.9</v>
      </c>
      <c r="Q48" s="7" t="str">
        <f t="shared" si="0"/>
        <v>13,9</v>
      </c>
      <c r="R48" s="1" t="s">
        <v>218</v>
      </c>
    </row>
    <row r="49" spans="1:18" x14ac:dyDescent="0.25">
      <c r="A49" s="2">
        <v>60</v>
      </c>
      <c r="B49" s="3">
        <v>1.19</v>
      </c>
      <c r="C49" s="2" t="s">
        <v>13</v>
      </c>
      <c r="D49" s="2">
        <v>20.7</v>
      </c>
      <c r="E49" s="2">
        <f>Таблица1[[#This Row],[Площадь, м2.]]-P49</f>
        <v>0</v>
      </c>
      <c r="P49" s="7">
        <f t="shared" si="1"/>
        <v>20.7</v>
      </c>
      <c r="Q49" s="7" t="str">
        <f t="shared" si="0"/>
        <v>20,7</v>
      </c>
      <c r="R49" s="1" t="s">
        <v>219</v>
      </c>
    </row>
    <row r="50" spans="1:18" x14ac:dyDescent="0.25">
      <c r="A50" s="2">
        <v>61</v>
      </c>
      <c r="B50" s="3">
        <v>1.2</v>
      </c>
      <c r="C50" s="2" t="s">
        <v>13</v>
      </c>
      <c r="D50" s="2">
        <v>20.399999999999999</v>
      </c>
      <c r="E50" s="2">
        <f>Таблица1[[#This Row],[Площадь, м2.]]-P50</f>
        <v>0</v>
      </c>
      <c r="P50" s="7">
        <f t="shared" si="1"/>
        <v>20.399999999999999</v>
      </c>
      <c r="Q50" s="7" t="str">
        <f t="shared" si="0"/>
        <v>20,4</v>
      </c>
      <c r="R50" s="1" t="s">
        <v>220</v>
      </c>
    </row>
    <row r="51" spans="1:18" x14ac:dyDescent="0.25">
      <c r="A51" s="2">
        <v>100</v>
      </c>
      <c r="B51" s="3">
        <v>1.21</v>
      </c>
      <c r="C51" s="2" t="s">
        <v>15</v>
      </c>
      <c r="D51" s="2">
        <v>6</v>
      </c>
      <c r="E51" s="2">
        <f>Таблица1[[#This Row],[Площадь, м2.]]-P51</f>
        <v>0</v>
      </c>
      <c r="P51" s="7">
        <f t="shared" si="1"/>
        <v>6</v>
      </c>
      <c r="Q51" s="7" t="str">
        <f t="shared" si="0"/>
        <v>6,0</v>
      </c>
      <c r="R51" s="1" t="s">
        <v>221</v>
      </c>
    </row>
    <row r="52" spans="1:18" x14ac:dyDescent="0.25">
      <c r="A52" s="2">
        <v>101</v>
      </c>
      <c r="B52" s="3">
        <v>1.22</v>
      </c>
      <c r="C52" s="2" t="s">
        <v>15</v>
      </c>
      <c r="D52" s="2">
        <v>4.7</v>
      </c>
      <c r="E52" s="2">
        <f>Таблица1[[#This Row],[Площадь, м2.]]-P52</f>
        <v>0</v>
      </c>
      <c r="P52" s="7">
        <f t="shared" si="1"/>
        <v>4.7</v>
      </c>
      <c r="Q52" s="7" t="str">
        <f t="shared" si="0"/>
        <v>4,7</v>
      </c>
      <c r="R52" s="1" t="s">
        <v>222</v>
      </c>
    </row>
    <row r="53" spans="1:18" x14ac:dyDescent="0.25">
      <c r="A53" s="2">
        <v>102</v>
      </c>
      <c r="B53" s="3">
        <v>1.23</v>
      </c>
      <c r="C53" s="2" t="s">
        <v>15</v>
      </c>
      <c r="D53" s="2">
        <v>4.7</v>
      </c>
      <c r="E53" s="2">
        <f>Таблица1[[#This Row],[Площадь, м2.]]-P53</f>
        <v>0</v>
      </c>
      <c r="P53" s="7">
        <f t="shared" si="1"/>
        <v>4.7</v>
      </c>
      <c r="Q53" s="7" t="str">
        <f t="shared" si="0"/>
        <v>4,7</v>
      </c>
      <c r="R53" s="1" t="s">
        <v>276</v>
      </c>
    </row>
    <row r="54" spans="1:18" x14ac:dyDescent="0.25">
      <c r="A54" s="2">
        <v>62</v>
      </c>
      <c r="B54" s="3">
        <v>1.24</v>
      </c>
      <c r="C54" s="2" t="s">
        <v>13</v>
      </c>
      <c r="D54" s="2">
        <v>10.1</v>
      </c>
      <c r="E54" s="2">
        <f>Таблица1[[#This Row],[Площадь, м2.]]-P54</f>
        <v>0</v>
      </c>
      <c r="P54" s="7">
        <f t="shared" si="1"/>
        <v>10.1</v>
      </c>
      <c r="Q54" s="7" t="str">
        <f t="shared" si="0"/>
        <v>10,1</v>
      </c>
      <c r="R54" s="1" t="s">
        <v>223</v>
      </c>
    </row>
    <row r="55" spans="1:18" x14ac:dyDescent="0.25">
      <c r="A55" s="2">
        <v>63</v>
      </c>
      <c r="B55" s="3">
        <v>1.25</v>
      </c>
      <c r="C55" s="2" t="s">
        <v>13</v>
      </c>
      <c r="D55" s="2">
        <v>10.3</v>
      </c>
      <c r="E55" s="2">
        <f>Таблица1[[#This Row],[Площадь, м2.]]-P55</f>
        <v>0</v>
      </c>
      <c r="P55" s="7">
        <f t="shared" si="1"/>
        <v>10.3</v>
      </c>
      <c r="Q55" s="7" t="str">
        <f t="shared" si="0"/>
        <v>10,3</v>
      </c>
      <c r="R55" s="1" t="s">
        <v>224</v>
      </c>
    </row>
    <row r="56" spans="1:18" x14ac:dyDescent="0.25">
      <c r="A56" s="2">
        <v>64</v>
      </c>
      <c r="B56" s="3">
        <v>1.26</v>
      </c>
      <c r="C56" s="2" t="s">
        <v>13</v>
      </c>
      <c r="D56" s="2">
        <v>10.7</v>
      </c>
      <c r="E56" s="2">
        <f>Таблица1[[#This Row],[Площадь, м2.]]-P56</f>
        <v>0</v>
      </c>
      <c r="P56" s="7">
        <f t="shared" si="1"/>
        <v>10.7</v>
      </c>
      <c r="Q56" s="7" t="str">
        <f t="shared" si="0"/>
        <v>10,7</v>
      </c>
      <c r="R56" s="1" t="s">
        <v>225</v>
      </c>
    </row>
    <row r="57" spans="1:18" x14ac:dyDescent="0.25">
      <c r="A57" s="2">
        <v>65</v>
      </c>
      <c r="B57" s="3">
        <v>1.27</v>
      </c>
      <c r="C57" s="2" t="s">
        <v>13</v>
      </c>
      <c r="D57" s="2">
        <v>25.9</v>
      </c>
      <c r="E57" s="2">
        <f>Таблица1[[#This Row],[Площадь, м2.]]-P57</f>
        <v>0</v>
      </c>
      <c r="P57" s="7">
        <f t="shared" si="1"/>
        <v>25.9</v>
      </c>
      <c r="Q57" s="7" t="str">
        <f t="shared" si="0"/>
        <v>25,9</v>
      </c>
      <c r="R57" s="1" t="s">
        <v>226</v>
      </c>
    </row>
    <row r="58" spans="1:18" x14ac:dyDescent="0.25">
      <c r="A58" s="2">
        <v>66</v>
      </c>
      <c r="B58" s="3">
        <v>1.28</v>
      </c>
      <c r="C58" s="2" t="s">
        <v>13</v>
      </c>
      <c r="D58" s="2">
        <v>22.1</v>
      </c>
      <c r="E58" s="2">
        <f>Таблица1[[#This Row],[Площадь, м2.]]-P58</f>
        <v>0</v>
      </c>
      <c r="P58" s="7">
        <f t="shared" si="1"/>
        <v>22.1</v>
      </c>
      <c r="Q58" s="7" t="str">
        <f t="shared" si="0"/>
        <v>22,1</v>
      </c>
      <c r="R58" s="1" t="s">
        <v>227</v>
      </c>
    </row>
    <row r="59" spans="1:18" x14ac:dyDescent="0.25">
      <c r="A59" s="2">
        <v>39</v>
      </c>
      <c r="B59" s="3">
        <v>1.29</v>
      </c>
      <c r="C59" s="2" t="s">
        <v>11</v>
      </c>
      <c r="D59" s="2">
        <v>28.7</v>
      </c>
      <c r="E59" s="2">
        <f>Таблица1[[#This Row],[Площадь, м2.]]-P59</f>
        <v>0</v>
      </c>
      <c r="P59" s="7">
        <f t="shared" si="1"/>
        <v>28.7</v>
      </c>
      <c r="Q59" s="7" t="str">
        <f t="shared" si="0"/>
        <v>28,7</v>
      </c>
      <c r="R59" s="1" t="s">
        <v>228</v>
      </c>
    </row>
    <row r="60" spans="1:18" x14ac:dyDescent="0.25">
      <c r="A60" s="2">
        <v>67</v>
      </c>
      <c r="B60" s="3">
        <v>1.3</v>
      </c>
      <c r="C60" s="2" t="s">
        <v>13</v>
      </c>
      <c r="D60" s="2">
        <v>92.2</v>
      </c>
      <c r="E60" s="2">
        <f>Таблица1[[#This Row],[Площадь, м2.]]-P60</f>
        <v>0</v>
      </c>
      <c r="P60" s="7">
        <f t="shared" si="1"/>
        <v>92.2</v>
      </c>
      <c r="Q60" s="7" t="str">
        <f t="shared" si="0"/>
        <v>92,2</v>
      </c>
      <c r="R60" s="1" t="s">
        <v>229</v>
      </c>
    </row>
    <row r="61" spans="1:18" x14ac:dyDescent="0.25">
      <c r="A61" s="2">
        <v>68</v>
      </c>
      <c r="B61" s="3">
        <v>1.31</v>
      </c>
      <c r="C61" s="2" t="s">
        <v>13</v>
      </c>
      <c r="D61" s="2">
        <v>113</v>
      </c>
      <c r="E61" s="2">
        <f>Таблица1[[#This Row],[Площадь, м2.]]-P61</f>
        <v>0</v>
      </c>
      <c r="P61" s="7">
        <f t="shared" si="1"/>
        <v>113</v>
      </c>
      <c r="Q61" s="7" t="str">
        <f t="shared" si="0"/>
        <v>113,0</v>
      </c>
      <c r="R61" s="1" t="s">
        <v>230</v>
      </c>
    </row>
    <row r="62" spans="1:18" x14ac:dyDescent="0.25">
      <c r="A62" s="2">
        <v>40</v>
      </c>
      <c r="B62" s="3">
        <v>1.32</v>
      </c>
      <c r="C62" s="2" t="s">
        <v>11</v>
      </c>
      <c r="D62" s="2">
        <v>24.5</v>
      </c>
      <c r="E62" s="2">
        <f>Таблица1[[#This Row],[Площадь, м2.]]-P62</f>
        <v>0</v>
      </c>
      <c r="P62" s="7">
        <f t="shared" si="1"/>
        <v>24.5</v>
      </c>
      <c r="Q62" s="7" t="str">
        <f t="shared" si="0"/>
        <v>24,5</v>
      </c>
      <c r="R62" s="1" t="s">
        <v>202</v>
      </c>
    </row>
    <row r="63" spans="1:18" x14ac:dyDescent="0.25">
      <c r="A63" s="2">
        <v>41</v>
      </c>
      <c r="B63" s="3">
        <v>1.33</v>
      </c>
      <c r="C63" s="2" t="s">
        <v>11</v>
      </c>
      <c r="D63" s="2">
        <v>27.9</v>
      </c>
      <c r="E63" s="2">
        <f>Таблица1[[#This Row],[Площадь, м2.]]-P63</f>
        <v>0</v>
      </c>
      <c r="P63" s="7">
        <f t="shared" si="1"/>
        <v>27.9</v>
      </c>
      <c r="Q63" s="7" t="str">
        <f t="shared" si="0"/>
        <v>27,9</v>
      </c>
      <c r="R63" s="1" t="s">
        <v>203</v>
      </c>
    </row>
    <row r="64" spans="1:18" x14ac:dyDescent="0.25">
      <c r="A64" s="2">
        <v>42</v>
      </c>
      <c r="B64" s="3">
        <v>1.34</v>
      </c>
      <c r="C64" s="2" t="s">
        <v>11</v>
      </c>
      <c r="D64" s="2">
        <v>25.7</v>
      </c>
      <c r="E64" s="2">
        <f>Таблица1[[#This Row],[Площадь, м2.]]-P64</f>
        <v>0</v>
      </c>
      <c r="P64" s="7">
        <f t="shared" si="1"/>
        <v>25.7</v>
      </c>
      <c r="Q64" s="7" t="str">
        <f t="shared" si="0"/>
        <v>25,7</v>
      </c>
      <c r="R64" s="1" t="s">
        <v>204</v>
      </c>
    </row>
    <row r="65" spans="1:18" x14ac:dyDescent="0.25">
      <c r="A65" s="2">
        <v>43</v>
      </c>
      <c r="B65" s="3">
        <v>1.35</v>
      </c>
      <c r="C65" s="2" t="s">
        <v>11</v>
      </c>
      <c r="D65" s="2">
        <v>30.6</v>
      </c>
      <c r="E65" s="2">
        <f>Таблица1[[#This Row],[Площадь, м2.]]-P65</f>
        <v>0</v>
      </c>
      <c r="P65" s="7">
        <f t="shared" si="1"/>
        <v>30.6</v>
      </c>
      <c r="Q65" s="7" t="str">
        <f t="shared" si="0"/>
        <v>30,6</v>
      </c>
      <c r="R65" s="1" t="s">
        <v>205</v>
      </c>
    </row>
    <row r="66" spans="1:18" x14ac:dyDescent="0.25">
      <c r="A66" s="2">
        <v>44</v>
      </c>
      <c r="B66" s="3">
        <v>1.36</v>
      </c>
      <c r="C66" s="2" t="s">
        <v>11</v>
      </c>
      <c r="D66" s="2">
        <v>13</v>
      </c>
      <c r="E66" s="2">
        <f>Таблица1[[#This Row],[Площадь, м2.]]-P66</f>
        <v>0</v>
      </c>
      <c r="P66" s="7">
        <f t="shared" si="1"/>
        <v>13</v>
      </c>
      <c r="Q66" s="7" t="str">
        <f t="shared" si="0"/>
        <v>13,0</v>
      </c>
      <c r="R66" s="1" t="s">
        <v>236</v>
      </c>
    </row>
    <row r="67" spans="1:18" x14ac:dyDescent="0.25">
      <c r="A67" s="2">
        <v>45</v>
      </c>
      <c r="B67" s="3">
        <v>1.37</v>
      </c>
      <c r="C67" s="2" t="s">
        <v>11</v>
      </c>
      <c r="D67" s="2">
        <v>11.8</v>
      </c>
      <c r="E67" s="2">
        <f>Таблица1[[#This Row],[Площадь, м2.]]-P67</f>
        <v>0</v>
      </c>
      <c r="P67" s="7">
        <f t="shared" si="1"/>
        <v>11.8</v>
      </c>
      <c r="Q67" s="7" t="str">
        <f t="shared" ref="Q67:Q130" si="2">TRIM(RIGHTB(SUBSTITUTE(R67," ",REPT(" ",99)),99))</f>
        <v>11,8</v>
      </c>
      <c r="R67" s="1" t="s">
        <v>237</v>
      </c>
    </row>
    <row r="68" spans="1:18" x14ac:dyDescent="0.25">
      <c r="A68" s="2">
        <v>46</v>
      </c>
      <c r="B68" s="3">
        <v>1.38</v>
      </c>
      <c r="C68" s="2" t="s">
        <v>11</v>
      </c>
      <c r="D68" s="2">
        <v>170.5</v>
      </c>
      <c r="E68" s="2">
        <f>Таблица1[[#This Row],[Площадь, м2.]]-P68</f>
        <v>0</v>
      </c>
      <c r="P68" s="7">
        <f t="shared" ref="P68:P131" si="3">VALUE(SUBSTITUTE(TRIM(RIGHTB(SUBSTITUTE(Q68," ",REPT(" ",99)),99)),",","."))</f>
        <v>170.5</v>
      </c>
      <c r="Q68" s="7" t="str">
        <f t="shared" si="2"/>
        <v>170,5</v>
      </c>
      <c r="R68" s="1" t="s">
        <v>238</v>
      </c>
    </row>
    <row r="69" spans="1:18" x14ac:dyDescent="0.25">
      <c r="A69" s="2">
        <v>103</v>
      </c>
      <c r="B69" s="3">
        <v>1.39</v>
      </c>
      <c r="C69" s="2" t="s">
        <v>15</v>
      </c>
      <c r="D69" s="2">
        <v>36.4</v>
      </c>
      <c r="E69" s="2">
        <f>Таблица1[[#This Row],[Площадь, м2.]]-P69</f>
        <v>0</v>
      </c>
      <c r="P69" s="7">
        <f t="shared" si="3"/>
        <v>36.4</v>
      </c>
      <c r="Q69" s="7" t="str">
        <f t="shared" si="2"/>
        <v>36,4</v>
      </c>
      <c r="R69" s="1" t="s">
        <v>239</v>
      </c>
    </row>
    <row r="70" spans="1:18" x14ac:dyDescent="0.25">
      <c r="A70" s="2">
        <v>104</v>
      </c>
      <c r="B70" s="3">
        <v>1.4</v>
      </c>
      <c r="C70" s="2" t="s">
        <v>15</v>
      </c>
      <c r="D70" s="2">
        <v>15</v>
      </c>
      <c r="E70" s="2">
        <f>Таблица1[[#This Row],[Площадь, м2.]]-P70</f>
        <v>0</v>
      </c>
      <c r="P70" s="7">
        <f t="shared" si="3"/>
        <v>15</v>
      </c>
      <c r="Q70" s="7" t="str">
        <f t="shared" si="2"/>
        <v>15,0</v>
      </c>
      <c r="R70" s="1" t="s">
        <v>240</v>
      </c>
    </row>
    <row r="71" spans="1:18" x14ac:dyDescent="0.25">
      <c r="A71" s="2">
        <v>105</v>
      </c>
      <c r="B71" s="3">
        <v>1.41</v>
      </c>
      <c r="C71" s="2" t="s">
        <v>15</v>
      </c>
      <c r="D71" s="2">
        <v>89.2</v>
      </c>
      <c r="E71" s="2">
        <f>Таблица1[[#This Row],[Площадь, м2.]]-P71</f>
        <v>0</v>
      </c>
      <c r="P71" s="7">
        <f t="shared" si="3"/>
        <v>89.2</v>
      </c>
      <c r="Q71" s="7" t="str">
        <f t="shared" si="2"/>
        <v>89,2</v>
      </c>
      <c r="R71" s="1" t="s">
        <v>241</v>
      </c>
    </row>
    <row r="72" spans="1:18" x14ac:dyDescent="0.25">
      <c r="A72" s="2">
        <v>106</v>
      </c>
      <c r="B72" s="3">
        <v>1.42</v>
      </c>
      <c r="C72" s="2" t="s">
        <v>15</v>
      </c>
      <c r="D72" s="2">
        <v>13.6</v>
      </c>
      <c r="E72" s="2">
        <f>Таблица1[[#This Row],[Площадь, м2.]]-P72</f>
        <v>0</v>
      </c>
      <c r="G72" s="1">
        <f>VALUE(SUBSTITUTE(TRIM(RIGHTB(SUBSTITUTE(H72," ",REPT(" ",99)),99)),",","."))</f>
        <v>13.1</v>
      </c>
      <c r="H72" s="1" t="str">
        <f t="shared" ref="H72:H132" si="4">TRIM(RIGHTB(SUBSTITUTE(I72," ",REPT(" ",99)),99))</f>
        <v>13,1</v>
      </c>
      <c r="I72" s="1" t="s">
        <v>22</v>
      </c>
      <c r="P72" s="7">
        <f t="shared" si="3"/>
        <v>13.6</v>
      </c>
      <c r="Q72" s="7" t="str">
        <f t="shared" si="2"/>
        <v>13,6</v>
      </c>
      <c r="R72" s="1" t="s">
        <v>242</v>
      </c>
    </row>
    <row r="73" spans="1:18" x14ac:dyDescent="0.25">
      <c r="A73" s="2">
        <v>47</v>
      </c>
      <c r="B73" s="3">
        <v>1.43</v>
      </c>
      <c r="C73" s="2" t="s">
        <v>11</v>
      </c>
      <c r="D73" s="2">
        <v>12.1</v>
      </c>
      <c r="E73" s="2">
        <f>Таблица1[[#This Row],[Площадь, м2.]]-P73</f>
        <v>0</v>
      </c>
      <c r="G73" s="1">
        <f t="shared" ref="G73:G96" si="5">VALUE(SUBSTITUTE(TRIM(RIGHTB(SUBSTITUTE(H73," ",REPT(" ",99)),99)),",","."))</f>
        <v>11.7</v>
      </c>
      <c r="H73" s="1" t="str">
        <f t="shared" si="4"/>
        <v>11,7</v>
      </c>
      <c r="I73" s="1" t="s">
        <v>23</v>
      </c>
      <c r="P73" s="7">
        <f t="shared" si="3"/>
        <v>12.1</v>
      </c>
      <c r="Q73" s="7" t="str">
        <f t="shared" si="2"/>
        <v>12,1</v>
      </c>
      <c r="R73" s="1" t="s">
        <v>243</v>
      </c>
    </row>
    <row r="74" spans="1:18" x14ac:dyDescent="0.25">
      <c r="A74" s="2">
        <v>107</v>
      </c>
      <c r="B74" s="3">
        <v>1.44</v>
      </c>
      <c r="C74" s="2" t="s">
        <v>15</v>
      </c>
      <c r="D74" s="2">
        <v>29.7</v>
      </c>
      <c r="E74" s="2">
        <f>Таблица1[[#This Row],[Площадь, м2.]]-P74</f>
        <v>0</v>
      </c>
      <c r="G74" s="1">
        <f t="shared" si="5"/>
        <v>29</v>
      </c>
      <c r="H74" s="1" t="str">
        <f t="shared" si="4"/>
        <v>29,0</v>
      </c>
      <c r="I74" s="1" t="s">
        <v>24</v>
      </c>
      <c r="P74" s="7">
        <f t="shared" si="3"/>
        <v>29.7</v>
      </c>
      <c r="Q74" s="7" t="str">
        <f t="shared" si="2"/>
        <v>29,7</v>
      </c>
      <c r="R74" s="1" t="s">
        <v>244</v>
      </c>
    </row>
    <row r="75" spans="1:18" x14ac:dyDescent="0.25">
      <c r="A75" s="2">
        <v>48</v>
      </c>
      <c r="B75" s="3">
        <v>1.45</v>
      </c>
      <c r="C75" s="2" t="s">
        <v>11</v>
      </c>
      <c r="D75" s="2">
        <v>10.8</v>
      </c>
      <c r="E75" s="2">
        <f>Таблица1[[#This Row],[Площадь, м2.]]-P75</f>
        <v>0</v>
      </c>
      <c r="G75" s="1">
        <f t="shared" si="5"/>
        <v>10.4</v>
      </c>
      <c r="H75" s="1" t="str">
        <f t="shared" si="4"/>
        <v>10,4</v>
      </c>
      <c r="I75" s="1" t="s">
        <v>25</v>
      </c>
      <c r="P75" s="7">
        <f t="shared" si="3"/>
        <v>10.8</v>
      </c>
      <c r="Q75" s="7" t="str">
        <f t="shared" si="2"/>
        <v>10,8</v>
      </c>
      <c r="R75" s="1" t="s">
        <v>245</v>
      </c>
    </row>
    <row r="76" spans="1:18" x14ac:dyDescent="0.25">
      <c r="A76" s="2">
        <v>69</v>
      </c>
      <c r="B76" s="3">
        <v>1.46</v>
      </c>
      <c r="C76" s="2" t="s">
        <v>13</v>
      </c>
      <c r="D76" s="2">
        <v>9.3000000000000007</v>
      </c>
      <c r="E76" s="2">
        <f>Таблица1[[#This Row],[Площадь, м2.]]-P76</f>
        <v>0</v>
      </c>
      <c r="G76" s="1">
        <f t="shared" si="5"/>
        <v>8.6999999999999993</v>
      </c>
      <c r="H76" s="1" t="str">
        <f t="shared" si="4"/>
        <v>8,7</v>
      </c>
      <c r="I76" s="1" t="s">
        <v>26</v>
      </c>
      <c r="P76" s="7">
        <f t="shared" si="3"/>
        <v>9.3000000000000007</v>
      </c>
      <c r="Q76" s="7" t="str">
        <f t="shared" si="2"/>
        <v>9,3</v>
      </c>
      <c r="R76" s="1" t="s">
        <v>246</v>
      </c>
    </row>
    <row r="77" spans="1:18" x14ac:dyDescent="0.25">
      <c r="A77" s="2">
        <v>108</v>
      </c>
      <c r="B77" s="3">
        <v>1.47</v>
      </c>
      <c r="C77" s="2" t="s">
        <v>15</v>
      </c>
      <c r="D77" s="2">
        <v>9.6999999999999993</v>
      </c>
      <c r="E77" s="2">
        <f>Таблица1[[#This Row],[Площадь, м2.]]-P77</f>
        <v>0</v>
      </c>
      <c r="G77" s="1">
        <f t="shared" si="5"/>
        <v>9</v>
      </c>
      <c r="H77" s="1" t="str">
        <f t="shared" si="4"/>
        <v>9,0</v>
      </c>
      <c r="I77" s="1" t="s">
        <v>27</v>
      </c>
      <c r="P77" s="7">
        <f t="shared" si="3"/>
        <v>9.6999999999999993</v>
      </c>
      <c r="Q77" s="7" t="str">
        <f t="shared" si="2"/>
        <v>9,7</v>
      </c>
      <c r="R77" s="1" t="s">
        <v>247</v>
      </c>
    </row>
    <row r="78" spans="1:18" x14ac:dyDescent="0.25">
      <c r="A78" s="2">
        <v>49</v>
      </c>
      <c r="B78" s="3">
        <v>1.48</v>
      </c>
      <c r="C78" s="2" t="s">
        <v>11</v>
      </c>
      <c r="D78" s="2">
        <v>7.7</v>
      </c>
      <c r="E78" s="2">
        <f>Таблица1[[#This Row],[Площадь, м2.]]-P78</f>
        <v>0</v>
      </c>
      <c r="G78" s="1">
        <f t="shared" si="5"/>
        <v>7.5</v>
      </c>
      <c r="H78" s="1" t="str">
        <f t="shared" si="4"/>
        <v>7,5</v>
      </c>
      <c r="I78" s="1" t="s">
        <v>28</v>
      </c>
      <c r="P78" s="7">
        <f t="shared" si="3"/>
        <v>7.7</v>
      </c>
      <c r="Q78" s="7" t="str">
        <f t="shared" si="2"/>
        <v>7,7</v>
      </c>
      <c r="R78" s="1" t="s">
        <v>248</v>
      </c>
    </row>
    <row r="79" spans="1:18" x14ac:dyDescent="0.25">
      <c r="A79" s="2">
        <v>109</v>
      </c>
      <c r="B79" s="3">
        <v>1.49</v>
      </c>
      <c r="C79" s="2" t="s">
        <v>15</v>
      </c>
      <c r="D79" s="2">
        <v>3.3</v>
      </c>
      <c r="E79" s="2">
        <f>Таблица1[[#This Row],[Площадь, м2.]]-P79</f>
        <v>0</v>
      </c>
      <c r="G79" s="1">
        <f t="shared" si="5"/>
        <v>2.8</v>
      </c>
      <c r="H79" s="1" t="str">
        <f t="shared" si="4"/>
        <v>2,8</v>
      </c>
      <c r="I79" s="1" t="s">
        <v>29</v>
      </c>
      <c r="P79" s="7">
        <f t="shared" si="3"/>
        <v>3.3</v>
      </c>
      <c r="Q79" s="7" t="str">
        <f t="shared" si="2"/>
        <v>3,3</v>
      </c>
      <c r="R79" s="1" t="s">
        <v>249</v>
      </c>
    </row>
    <row r="80" spans="1:18" x14ac:dyDescent="0.25">
      <c r="A80" s="2">
        <v>110</v>
      </c>
      <c r="B80" s="3">
        <v>1.5</v>
      </c>
      <c r="C80" s="2" t="s">
        <v>15</v>
      </c>
      <c r="D80" s="2">
        <v>8.6999999999999993</v>
      </c>
      <c r="E80" s="2">
        <f>Таблица1[[#This Row],[Площадь, м2.]]-P80</f>
        <v>0</v>
      </c>
      <c r="G80" s="1">
        <f t="shared" si="5"/>
        <v>8.1999999999999993</v>
      </c>
      <c r="H80" s="1" t="str">
        <f t="shared" si="4"/>
        <v>8,2</v>
      </c>
      <c r="I80" s="1" t="s">
        <v>30</v>
      </c>
      <c r="P80" s="7">
        <f t="shared" si="3"/>
        <v>8.6999999999999993</v>
      </c>
      <c r="Q80" s="7" t="str">
        <f t="shared" si="2"/>
        <v>8,7</v>
      </c>
      <c r="R80" s="1" t="s">
        <v>250</v>
      </c>
    </row>
    <row r="81" spans="1:18" x14ac:dyDescent="0.25">
      <c r="A81" s="2">
        <v>111</v>
      </c>
      <c r="B81" s="3">
        <v>1.51</v>
      </c>
      <c r="C81" s="2" t="s">
        <v>15</v>
      </c>
      <c r="D81" s="2">
        <v>8.3000000000000007</v>
      </c>
      <c r="E81" s="2">
        <f>Таблица1[[#This Row],[Площадь, м2.]]-P81</f>
        <v>0</v>
      </c>
      <c r="G81" s="1">
        <f t="shared" si="5"/>
        <v>8.3000000000000007</v>
      </c>
      <c r="H81" s="1" t="str">
        <f t="shared" si="4"/>
        <v>8,3</v>
      </c>
      <c r="I81" s="1" t="s">
        <v>31</v>
      </c>
      <c r="P81" s="7">
        <f t="shared" si="3"/>
        <v>8.3000000000000007</v>
      </c>
      <c r="Q81" s="7" t="str">
        <f t="shared" si="2"/>
        <v>8,3</v>
      </c>
      <c r="R81" s="1" t="s">
        <v>31</v>
      </c>
    </row>
    <row r="82" spans="1:18" x14ac:dyDescent="0.25">
      <c r="A82" s="2">
        <v>29</v>
      </c>
      <c r="B82" s="3">
        <v>1.52</v>
      </c>
      <c r="C82" s="2" t="s">
        <v>10</v>
      </c>
      <c r="D82" s="2">
        <v>2.2000000000000002</v>
      </c>
      <c r="E82" s="2">
        <f>Таблица1[[#This Row],[Площадь, м2.]]-P82</f>
        <v>0</v>
      </c>
      <c r="G82" s="1">
        <f t="shared" si="5"/>
        <v>2.6</v>
      </c>
      <c r="H82" s="1" t="str">
        <f t="shared" si="4"/>
        <v>2,6</v>
      </c>
      <c r="I82" s="1" t="s">
        <v>32</v>
      </c>
      <c r="J82" s="2">
        <v>2.6</v>
      </c>
      <c r="P82" s="7">
        <f t="shared" si="3"/>
        <v>2.2000000000000002</v>
      </c>
      <c r="Q82" s="7" t="str">
        <f t="shared" si="2"/>
        <v>2,2</v>
      </c>
      <c r="R82" s="1" t="s">
        <v>251</v>
      </c>
    </row>
    <row r="83" spans="1:18" x14ac:dyDescent="0.25">
      <c r="A83" s="2">
        <v>112</v>
      </c>
      <c r="B83" s="3">
        <v>1.53</v>
      </c>
      <c r="C83" s="2" t="s">
        <v>15</v>
      </c>
      <c r="D83" s="2">
        <v>3.3</v>
      </c>
      <c r="E83" s="2">
        <f>Таблица1[[#This Row],[Площадь, м2.]]-P83</f>
        <v>0</v>
      </c>
      <c r="G83" s="1">
        <f t="shared" si="5"/>
        <v>3.3</v>
      </c>
      <c r="H83" s="1" t="str">
        <f t="shared" si="4"/>
        <v>3,3</v>
      </c>
      <c r="I83" s="1" t="s">
        <v>33</v>
      </c>
      <c r="P83" s="7">
        <f t="shared" si="3"/>
        <v>3.3</v>
      </c>
      <c r="Q83" s="7" t="str">
        <f t="shared" si="2"/>
        <v>3,3</v>
      </c>
      <c r="R83" s="1" t="s">
        <v>252</v>
      </c>
    </row>
    <row r="84" spans="1:18" x14ac:dyDescent="0.25">
      <c r="A84" s="2">
        <v>113</v>
      </c>
      <c r="B84" s="3">
        <v>1.54</v>
      </c>
      <c r="C84" s="2" t="s">
        <v>15</v>
      </c>
      <c r="D84" s="2">
        <v>10.199999999999999</v>
      </c>
      <c r="E84" s="2">
        <f>Таблица1[[#This Row],[Площадь, м2.]]-P84</f>
        <v>0</v>
      </c>
      <c r="G84" s="1">
        <f t="shared" si="5"/>
        <v>7.4</v>
      </c>
      <c r="H84" s="1" t="str">
        <f t="shared" si="4"/>
        <v>7,4</v>
      </c>
      <c r="I84" s="1" t="s">
        <v>34</v>
      </c>
      <c r="P84" s="7">
        <f t="shared" si="3"/>
        <v>10.199999999999999</v>
      </c>
      <c r="Q84" s="7" t="str">
        <f t="shared" si="2"/>
        <v>10,2</v>
      </c>
      <c r="R84" s="1" t="s">
        <v>253</v>
      </c>
    </row>
    <row r="85" spans="1:18" x14ac:dyDescent="0.25">
      <c r="A85" s="2">
        <v>114</v>
      </c>
      <c r="B85" s="3">
        <v>1.55</v>
      </c>
      <c r="C85" s="2" t="s">
        <v>15</v>
      </c>
      <c r="D85" s="2">
        <v>13.9</v>
      </c>
      <c r="E85" s="2">
        <f>Таблица1[[#This Row],[Площадь, м2.]]-P85</f>
        <v>0</v>
      </c>
      <c r="G85" s="1">
        <f t="shared" si="5"/>
        <v>13.5</v>
      </c>
      <c r="H85" s="1" t="str">
        <f t="shared" si="4"/>
        <v>13,5</v>
      </c>
      <c r="I85" s="1" t="s">
        <v>35</v>
      </c>
      <c r="P85" s="7">
        <f t="shared" si="3"/>
        <v>13.9</v>
      </c>
      <c r="Q85" s="7" t="str">
        <f t="shared" si="2"/>
        <v>13,9</v>
      </c>
      <c r="R85" s="1" t="s">
        <v>254</v>
      </c>
    </row>
    <row r="86" spans="1:18" x14ac:dyDescent="0.25">
      <c r="A86" s="2">
        <v>115</v>
      </c>
      <c r="B86" s="3">
        <v>1.56</v>
      </c>
      <c r="C86" s="2" t="s">
        <v>15</v>
      </c>
      <c r="D86" s="2">
        <v>12.2</v>
      </c>
      <c r="E86" s="2">
        <f>Таблица1[[#This Row],[Площадь, м2.]]-P86</f>
        <v>0</v>
      </c>
      <c r="G86" s="1">
        <f t="shared" si="5"/>
        <v>11.4</v>
      </c>
      <c r="H86" s="1" t="str">
        <f t="shared" si="4"/>
        <v>11,4</v>
      </c>
      <c r="I86" s="1" t="s">
        <v>36</v>
      </c>
      <c r="P86" s="7">
        <f t="shared" si="3"/>
        <v>12.2</v>
      </c>
      <c r="Q86" s="7" t="str">
        <f t="shared" si="2"/>
        <v>12,2</v>
      </c>
      <c r="R86" s="1" t="s">
        <v>255</v>
      </c>
    </row>
    <row r="87" spans="1:18" x14ac:dyDescent="0.25">
      <c r="A87" s="2">
        <v>116</v>
      </c>
      <c r="B87" s="3">
        <v>1.57</v>
      </c>
      <c r="C87" s="2" t="s">
        <v>15</v>
      </c>
      <c r="D87" s="2">
        <v>21.4</v>
      </c>
      <c r="E87" s="2">
        <f>Таблица1[[#This Row],[Площадь, м2.]]-P87</f>
        <v>0</v>
      </c>
      <c r="G87" s="1">
        <f t="shared" si="5"/>
        <v>20.6</v>
      </c>
      <c r="H87" s="1" t="str">
        <f t="shared" si="4"/>
        <v>20,6</v>
      </c>
      <c r="I87" s="1" t="s">
        <v>37</v>
      </c>
      <c r="P87" s="7">
        <f t="shared" si="3"/>
        <v>21.4</v>
      </c>
      <c r="Q87" s="7" t="str">
        <f t="shared" si="2"/>
        <v>21,4</v>
      </c>
      <c r="R87" s="1" t="s">
        <v>256</v>
      </c>
    </row>
    <row r="88" spans="1:18" x14ac:dyDescent="0.25">
      <c r="A88" s="2">
        <v>70</v>
      </c>
      <c r="B88" s="3">
        <v>1.58</v>
      </c>
      <c r="C88" s="2" t="s">
        <v>13</v>
      </c>
      <c r="D88" s="2">
        <v>58.9</v>
      </c>
      <c r="E88" s="2">
        <f>Таблица1[[#This Row],[Площадь, м2.]]-P88</f>
        <v>0</v>
      </c>
      <c r="G88" s="1">
        <f t="shared" si="5"/>
        <v>57.7</v>
      </c>
      <c r="H88" s="1" t="str">
        <f t="shared" si="4"/>
        <v>57,7</v>
      </c>
      <c r="I88" s="1" t="s">
        <v>38</v>
      </c>
      <c r="P88" s="7">
        <f t="shared" si="3"/>
        <v>58.9</v>
      </c>
      <c r="Q88" s="7" t="str">
        <f t="shared" si="2"/>
        <v>58,9</v>
      </c>
      <c r="R88" s="1" t="s">
        <v>257</v>
      </c>
    </row>
    <row r="89" spans="1:18" x14ac:dyDescent="0.25">
      <c r="A89" s="2">
        <v>30</v>
      </c>
      <c r="B89" s="3">
        <v>1.59</v>
      </c>
      <c r="C89" s="2" t="s">
        <v>10</v>
      </c>
      <c r="D89" s="2">
        <v>15.3</v>
      </c>
      <c r="E89" s="2">
        <f>Таблица1[[#This Row],[Площадь, м2.]]-P89</f>
        <v>0</v>
      </c>
      <c r="G89" s="1">
        <f t="shared" si="5"/>
        <v>15.4</v>
      </c>
      <c r="H89" s="1" t="str">
        <f t="shared" si="4"/>
        <v>15,4</v>
      </c>
      <c r="I89" s="1" t="s">
        <v>39</v>
      </c>
      <c r="J89" s="2">
        <v>15.4</v>
      </c>
      <c r="P89" s="7">
        <f t="shared" si="3"/>
        <v>15.3</v>
      </c>
      <c r="Q89" s="7" t="str">
        <f t="shared" si="2"/>
        <v>15,3</v>
      </c>
      <c r="R89" s="1" t="s">
        <v>258</v>
      </c>
    </row>
    <row r="90" spans="1:18" x14ac:dyDescent="0.25">
      <c r="A90" s="2">
        <v>50</v>
      </c>
      <c r="B90" s="3">
        <v>1.6</v>
      </c>
      <c r="C90" s="2" t="s">
        <v>11</v>
      </c>
      <c r="D90" s="2">
        <v>92.5</v>
      </c>
      <c r="E90" s="2">
        <f>Таблица1[[#This Row],[Площадь, м2.]]-P90</f>
        <v>0</v>
      </c>
      <c r="G90" s="1">
        <f t="shared" si="5"/>
        <v>87.9</v>
      </c>
      <c r="H90" s="1" t="str">
        <f t="shared" si="4"/>
        <v>87,9</v>
      </c>
      <c r="I90" s="1" t="s">
        <v>40</v>
      </c>
      <c r="P90" s="7">
        <f t="shared" si="3"/>
        <v>92.5</v>
      </c>
      <c r="Q90" s="7" t="str">
        <f t="shared" si="2"/>
        <v>92,5</v>
      </c>
      <c r="R90" s="1" t="s">
        <v>231</v>
      </c>
    </row>
    <row r="91" spans="1:18" x14ac:dyDescent="0.25">
      <c r="A91" s="2">
        <v>71</v>
      </c>
      <c r="B91" s="3">
        <v>1.61</v>
      </c>
      <c r="C91" s="2" t="s">
        <v>13</v>
      </c>
      <c r="D91" s="2">
        <v>16.8</v>
      </c>
      <c r="E91" s="2">
        <f>Таблица1[[#This Row],[Площадь, м2.]]-P91</f>
        <v>0</v>
      </c>
      <c r="G91" s="1">
        <f t="shared" si="5"/>
        <v>15.6</v>
      </c>
      <c r="H91" s="1" t="str">
        <f t="shared" si="4"/>
        <v>15,6</v>
      </c>
      <c r="I91" s="1" t="s">
        <v>41</v>
      </c>
      <c r="P91" s="7">
        <f t="shared" si="3"/>
        <v>16.8</v>
      </c>
      <c r="Q91" s="7" t="str">
        <f t="shared" si="2"/>
        <v>16,8</v>
      </c>
      <c r="R91" s="1" t="s">
        <v>259</v>
      </c>
    </row>
    <row r="92" spans="1:18" x14ac:dyDescent="0.25">
      <c r="A92" s="2">
        <v>117</v>
      </c>
      <c r="B92" s="3">
        <v>1.62</v>
      </c>
      <c r="C92" s="2" t="s">
        <v>15</v>
      </c>
      <c r="D92" s="2">
        <v>6.2</v>
      </c>
      <c r="E92" s="2">
        <f>Таблица1[[#This Row],[Площадь, м2.]]-P92</f>
        <v>0</v>
      </c>
      <c r="G92" s="1">
        <f t="shared" si="5"/>
        <v>5.9</v>
      </c>
      <c r="H92" s="1" t="str">
        <f t="shared" si="4"/>
        <v>5,9</v>
      </c>
      <c r="I92" s="1" t="s">
        <v>42</v>
      </c>
      <c r="P92" s="7">
        <f t="shared" si="3"/>
        <v>6.2</v>
      </c>
      <c r="Q92" s="7" t="str">
        <f t="shared" si="2"/>
        <v>6,2</v>
      </c>
      <c r="R92" s="1" t="s">
        <v>232</v>
      </c>
    </row>
    <row r="93" spans="1:18" x14ac:dyDescent="0.25">
      <c r="A93" s="2">
        <v>31</v>
      </c>
      <c r="B93" s="3">
        <v>1.63</v>
      </c>
      <c r="C93" s="2" t="s">
        <v>10</v>
      </c>
      <c r="D93" s="2">
        <v>10.9</v>
      </c>
      <c r="E93" s="2">
        <f>Таблица1[[#This Row],[Площадь, м2.]]-P93</f>
        <v>0</v>
      </c>
      <c r="G93" s="1">
        <f t="shared" si="5"/>
        <v>11.3</v>
      </c>
      <c r="H93" s="1" t="str">
        <f t="shared" si="4"/>
        <v>11,3</v>
      </c>
      <c r="I93" s="1" t="s">
        <v>43</v>
      </c>
      <c r="J93" s="2">
        <v>11.3</v>
      </c>
      <c r="P93" s="7">
        <f t="shared" si="3"/>
        <v>10.9</v>
      </c>
      <c r="Q93" s="7" t="str">
        <f t="shared" si="2"/>
        <v>10,9</v>
      </c>
      <c r="R93" s="1" t="s">
        <v>260</v>
      </c>
    </row>
    <row r="94" spans="1:18" x14ac:dyDescent="0.25">
      <c r="A94" s="2">
        <v>84</v>
      </c>
      <c r="B94" s="3">
        <v>1.64</v>
      </c>
      <c r="C94" s="2" t="s">
        <v>14</v>
      </c>
      <c r="D94" s="2">
        <v>24</v>
      </c>
      <c r="E94" s="2">
        <f>Таблица1[[#This Row],[Площадь, м2.]]-P94</f>
        <v>0</v>
      </c>
      <c r="F94" s="2">
        <v>24</v>
      </c>
      <c r="G94" s="1">
        <f t="shared" si="5"/>
        <v>23.5</v>
      </c>
      <c r="H94" s="1" t="str">
        <f t="shared" si="4"/>
        <v>23,5</v>
      </c>
      <c r="I94" s="1" t="s">
        <v>44</v>
      </c>
      <c r="P94" s="7">
        <f t="shared" si="3"/>
        <v>24</v>
      </c>
      <c r="Q94" s="7" t="str">
        <f t="shared" si="2"/>
        <v>24,0</v>
      </c>
      <c r="R94" s="1" t="s">
        <v>261</v>
      </c>
    </row>
    <row r="95" spans="1:18" x14ac:dyDescent="0.25">
      <c r="A95" s="2">
        <v>118</v>
      </c>
      <c r="B95" s="3">
        <v>1.65</v>
      </c>
      <c r="C95" s="2" t="s">
        <v>15</v>
      </c>
      <c r="D95" s="2">
        <v>6.7</v>
      </c>
      <c r="E95" s="2">
        <f>Таблица1[[#This Row],[Площадь, м2.]]-P95</f>
        <v>0</v>
      </c>
      <c r="F95" s="2">
        <v>6.7</v>
      </c>
      <c r="G95" s="1">
        <f t="shared" si="5"/>
        <v>6.4</v>
      </c>
      <c r="H95" s="1" t="str">
        <f t="shared" si="4"/>
        <v>6,4</v>
      </c>
      <c r="I95" s="1" t="s">
        <v>45</v>
      </c>
      <c r="P95" s="7">
        <f t="shared" si="3"/>
        <v>6.7</v>
      </c>
      <c r="Q95" s="7" t="str">
        <f t="shared" si="2"/>
        <v>6,7</v>
      </c>
      <c r="R95" s="1" t="s">
        <v>262</v>
      </c>
    </row>
    <row r="96" spans="1:18" x14ac:dyDescent="0.25">
      <c r="A96" s="2">
        <v>119</v>
      </c>
      <c r="B96" s="3">
        <v>1.66</v>
      </c>
      <c r="C96" s="2" t="s">
        <v>15</v>
      </c>
      <c r="D96" s="2">
        <v>29.6</v>
      </c>
      <c r="E96" s="2">
        <f>Таблица1[[#This Row],[Площадь, м2.]]-P96</f>
        <v>0</v>
      </c>
      <c r="F96" s="2">
        <v>29.7</v>
      </c>
      <c r="G96" s="1">
        <f t="shared" si="5"/>
        <v>29</v>
      </c>
      <c r="H96" s="1" t="str">
        <f t="shared" si="4"/>
        <v>29,0</v>
      </c>
      <c r="I96" s="1" t="s">
        <v>46</v>
      </c>
      <c r="P96" s="7">
        <f t="shared" si="3"/>
        <v>29.6</v>
      </c>
      <c r="Q96" s="7" t="str">
        <f t="shared" si="2"/>
        <v>29,6</v>
      </c>
      <c r="R96" s="1" t="s">
        <v>263</v>
      </c>
    </row>
    <row r="97" spans="1:18" x14ac:dyDescent="0.25">
      <c r="A97" s="2">
        <v>85</v>
      </c>
      <c r="B97" s="3">
        <v>1.67</v>
      </c>
      <c r="C97" s="2" t="s">
        <v>14</v>
      </c>
      <c r="D97" s="2">
        <v>51.3</v>
      </c>
      <c r="E97" s="2">
        <f>Таблица1[[#This Row],[Площадь, м2.]]-P97</f>
        <v>0</v>
      </c>
      <c r="F97" s="2">
        <v>51.3</v>
      </c>
      <c r="G97" s="1">
        <f t="shared" ref="G97" si="6">VALUE(SUBSTITUTE(TRIM(RIGHTB(SUBSTITUTE(H97," ",REPT(" ",99)),99)),",","."))</f>
        <v>50</v>
      </c>
      <c r="H97" s="1" t="str">
        <f t="shared" si="4"/>
        <v>50,0</v>
      </c>
      <c r="I97" s="1" t="s">
        <v>47</v>
      </c>
      <c r="P97" s="7">
        <f t="shared" si="3"/>
        <v>51.3</v>
      </c>
      <c r="Q97" s="7" t="str">
        <f t="shared" si="2"/>
        <v>51,3</v>
      </c>
      <c r="R97" s="1" t="s">
        <v>264</v>
      </c>
    </row>
    <row r="98" spans="1:18" x14ac:dyDescent="0.25">
      <c r="A98" s="2">
        <v>86</v>
      </c>
      <c r="B98" s="3">
        <v>1.68</v>
      </c>
      <c r="C98" s="2" t="s">
        <v>14</v>
      </c>
      <c r="D98" s="2">
        <v>56.6</v>
      </c>
      <c r="E98" s="2">
        <f>Таблица1[[#This Row],[Площадь, м2.]]-P98</f>
        <v>0</v>
      </c>
      <c r="F98" s="2">
        <v>56.6</v>
      </c>
      <c r="G98" s="1">
        <f t="shared" ref="G98" si="7">VALUE(SUBSTITUTE(TRIM(RIGHTB(SUBSTITUTE(H98," ",REPT(" ",99)),99)),",","."))</f>
        <v>55.7</v>
      </c>
      <c r="H98" s="1" t="str">
        <f t="shared" si="4"/>
        <v>55,7</v>
      </c>
      <c r="I98" s="1" t="s">
        <v>48</v>
      </c>
      <c r="P98" s="7">
        <f t="shared" si="3"/>
        <v>56.6</v>
      </c>
      <c r="Q98" s="7" t="str">
        <f t="shared" si="2"/>
        <v>56,6</v>
      </c>
      <c r="R98" s="1" t="s">
        <v>265</v>
      </c>
    </row>
    <row r="99" spans="1:18" x14ac:dyDescent="0.25">
      <c r="A99" s="2">
        <v>87</v>
      </c>
      <c r="B99" s="3">
        <v>1.69</v>
      </c>
      <c r="C99" s="2" t="s">
        <v>14</v>
      </c>
      <c r="D99" s="2">
        <v>18.5</v>
      </c>
      <c r="E99" s="2">
        <f>Таблица1[[#This Row],[Площадь, м2.]]-P99</f>
        <v>0</v>
      </c>
      <c r="F99" s="2">
        <v>18.5</v>
      </c>
      <c r="G99" s="1">
        <f t="shared" ref="G99" si="8">VALUE(SUBSTITUTE(TRIM(RIGHTB(SUBSTITUTE(H99," ",REPT(" ",99)),99)),",","."))</f>
        <v>18</v>
      </c>
      <c r="H99" s="1" t="str">
        <f t="shared" si="4"/>
        <v>18,0</v>
      </c>
      <c r="I99" s="1" t="s">
        <v>49</v>
      </c>
      <c r="P99" s="7">
        <f t="shared" si="3"/>
        <v>18.5</v>
      </c>
      <c r="Q99" s="7" t="str">
        <f t="shared" si="2"/>
        <v>18,5</v>
      </c>
      <c r="R99" s="1" t="s">
        <v>266</v>
      </c>
    </row>
    <row r="100" spans="1:18" x14ac:dyDescent="0.25">
      <c r="A100" s="2">
        <v>32</v>
      </c>
      <c r="B100" s="3">
        <v>1.7</v>
      </c>
      <c r="C100" s="2" t="s">
        <v>10</v>
      </c>
      <c r="D100" s="2">
        <v>4.8</v>
      </c>
      <c r="E100" s="2">
        <f>Таблица1[[#This Row],[Площадь, м2.]]-P100</f>
        <v>0</v>
      </c>
      <c r="G100" s="1">
        <f t="shared" ref="G100" si="9">VALUE(SUBSTITUTE(TRIM(RIGHTB(SUBSTITUTE(H100," ",REPT(" ",99)),99)),",","."))</f>
        <v>4.7</v>
      </c>
      <c r="H100" s="1" t="str">
        <f t="shared" si="4"/>
        <v>4,7</v>
      </c>
      <c r="I100" s="1" t="s">
        <v>50</v>
      </c>
      <c r="J100" s="2">
        <v>4.7</v>
      </c>
      <c r="P100" s="7">
        <f t="shared" si="3"/>
        <v>4.8</v>
      </c>
      <c r="Q100" s="7" t="str">
        <f t="shared" si="2"/>
        <v>4,8</v>
      </c>
      <c r="R100" s="1" t="s">
        <v>267</v>
      </c>
    </row>
    <row r="101" spans="1:18" x14ac:dyDescent="0.25">
      <c r="A101" s="2">
        <v>120</v>
      </c>
      <c r="B101" s="3">
        <v>1.71</v>
      </c>
      <c r="C101" s="2" t="s">
        <v>15</v>
      </c>
      <c r="D101" s="2">
        <v>6.7</v>
      </c>
      <c r="E101" s="2">
        <f>Таблица1[[#This Row],[Площадь, м2.]]-P101</f>
        <v>0</v>
      </c>
      <c r="G101" s="1">
        <f t="shared" ref="G101" si="10">VALUE(SUBSTITUTE(TRIM(RIGHTB(SUBSTITUTE(H101," ",REPT(" ",99)),99)),",","."))</f>
        <v>6.4</v>
      </c>
      <c r="H101" s="1" t="str">
        <f t="shared" si="4"/>
        <v>6,4</v>
      </c>
      <c r="I101" s="1" t="s">
        <v>51</v>
      </c>
      <c r="P101" s="7">
        <f t="shared" si="3"/>
        <v>6.7</v>
      </c>
      <c r="Q101" s="7" t="str">
        <f t="shared" si="2"/>
        <v>6,7</v>
      </c>
      <c r="R101" s="1" t="s">
        <v>268</v>
      </c>
    </row>
    <row r="102" spans="1:18" x14ac:dyDescent="0.25">
      <c r="A102" s="2">
        <v>121</v>
      </c>
      <c r="B102" s="3">
        <v>1.72</v>
      </c>
      <c r="C102" s="2" t="s">
        <v>15</v>
      </c>
      <c r="D102" s="2">
        <v>29.9</v>
      </c>
      <c r="E102" s="2">
        <f>Таблица1[[#This Row],[Площадь, м2.]]-P102</f>
        <v>0</v>
      </c>
      <c r="G102" s="1">
        <f t="shared" ref="G102" si="11">VALUE(SUBSTITUTE(TRIM(RIGHTB(SUBSTITUTE(H102," ",REPT(" ",99)),99)),",","."))</f>
        <v>29.3</v>
      </c>
      <c r="H102" s="1" t="str">
        <f t="shared" si="4"/>
        <v>29,3</v>
      </c>
      <c r="I102" s="1" t="s">
        <v>52</v>
      </c>
      <c r="P102" s="7">
        <f t="shared" si="3"/>
        <v>29.9</v>
      </c>
      <c r="Q102" s="7" t="str">
        <f t="shared" si="2"/>
        <v>29,9</v>
      </c>
      <c r="R102" s="1" t="s">
        <v>269</v>
      </c>
    </row>
    <row r="103" spans="1:18" x14ac:dyDescent="0.25">
      <c r="A103" s="2">
        <v>88</v>
      </c>
      <c r="B103" s="3">
        <v>1.73</v>
      </c>
      <c r="C103" s="2" t="s">
        <v>14</v>
      </c>
      <c r="D103" s="2">
        <v>51.2</v>
      </c>
      <c r="E103" s="2">
        <f>Таблица1[[#This Row],[Площадь, м2.]]-P103</f>
        <v>0</v>
      </c>
      <c r="G103" s="1">
        <f t="shared" ref="G103" si="12">VALUE(SUBSTITUTE(TRIM(RIGHTB(SUBSTITUTE(H103," ",REPT(" ",99)),99)),",","."))</f>
        <v>50.3</v>
      </c>
      <c r="H103" s="1" t="str">
        <f t="shared" si="4"/>
        <v>50,3</v>
      </c>
      <c r="I103" s="1" t="s">
        <v>53</v>
      </c>
      <c r="P103" s="7">
        <f t="shared" si="3"/>
        <v>51.2</v>
      </c>
      <c r="Q103" s="7" t="str">
        <f t="shared" si="2"/>
        <v>51,2</v>
      </c>
      <c r="R103" s="1" t="s">
        <v>270</v>
      </c>
    </row>
    <row r="104" spans="1:18" x14ac:dyDescent="0.25">
      <c r="A104" s="2">
        <v>89</v>
      </c>
      <c r="B104" s="3">
        <v>1.74</v>
      </c>
      <c r="C104" s="2" t="s">
        <v>14</v>
      </c>
      <c r="D104" s="2">
        <v>56.3</v>
      </c>
      <c r="E104" s="2">
        <f>Таблица1[[#This Row],[Площадь, м2.]]-P104</f>
        <v>0</v>
      </c>
      <c r="G104" s="1">
        <f t="shared" ref="G104" si="13">VALUE(SUBSTITUTE(TRIM(RIGHTB(SUBSTITUTE(H104," ",REPT(" ",99)),99)),",","."))</f>
        <v>55.4</v>
      </c>
      <c r="H104" s="1" t="str">
        <f t="shared" si="4"/>
        <v>55,4</v>
      </c>
      <c r="I104" s="1" t="s">
        <v>54</v>
      </c>
      <c r="P104" s="7">
        <f t="shared" si="3"/>
        <v>56.3</v>
      </c>
      <c r="Q104" s="7" t="str">
        <f t="shared" si="2"/>
        <v>56,3</v>
      </c>
      <c r="R104" s="1" t="s">
        <v>271</v>
      </c>
    </row>
    <row r="105" spans="1:18" x14ac:dyDescent="0.25">
      <c r="A105" s="2">
        <v>122</v>
      </c>
      <c r="B105" s="3">
        <v>1.75</v>
      </c>
      <c r="C105" s="2" t="s">
        <v>15</v>
      </c>
      <c r="D105" s="2">
        <v>5.7</v>
      </c>
      <c r="E105" s="2">
        <f>Таблица1[[#This Row],[Площадь, м2.]]-P105</f>
        <v>0</v>
      </c>
      <c r="G105" s="1">
        <f t="shared" ref="G105" si="14">VALUE(SUBSTITUTE(TRIM(RIGHTB(SUBSTITUTE(H105," ",REPT(" ",99)),99)),",","."))</f>
        <v>6.1</v>
      </c>
      <c r="H105" s="1" t="str">
        <f t="shared" si="4"/>
        <v>6,1</v>
      </c>
      <c r="I105" s="1" t="s">
        <v>55</v>
      </c>
      <c r="P105" s="7">
        <f t="shared" si="3"/>
        <v>5.7</v>
      </c>
      <c r="Q105" s="7" t="str">
        <f t="shared" si="2"/>
        <v>5,7</v>
      </c>
      <c r="R105" s="1" t="s">
        <v>272</v>
      </c>
    </row>
    <row r="106" spans="1:18" x14ac:dyDescent="0.25">
      <c r="A106" s="2">
        <v>72</v>
      </c>
      <c r="B106" s="3">
        <v>1.76</v>
      </c>
      <c r="C106" s="2" t="s">
        <v>13</v>
      </c>
      <c r="D106" s="2">
        <v>6.3</v>
      </c>
      <c r="E106" s="2">
        <f>Таблица1[[#This Row],[Площадь, м2.]]-P106</f>
        <v>-4.3999999999999995</v>
      </c>
      <c r="G106" s="1">
        <f t="shared" ref="G106" si="15">VALUE(SUBSTITUTE(TRIM(RIGHTB(SUBSTITUTE(H106," ",REPT(" ",99)),99)),",","."))</f>
        <v>6.3</v>
      </c>
      <c r="H106" s="1" t="str">
        <f t="shared" si="4"/>
        <v>6,3</v>
      </c>
      <c r="I106" s="1" t="s">
        <v>56</v>
      </c>
      <c r="P106" s="7">
        <f t="shared" si="3"/>
        <v>10.7</v>
      </c>
      <c r="Q106" s="7" t="str">
        <f t="shared" si="2"/>
        <v>10,7</v>
      </c>
      <c r="R106" s="1" t="s">
        <v>233</v>
      </c>
    </row>
    <row r="107" spans="1:18" x14ac:dyDescent="0.25">
      <c r="A107" s="2">
        <v>73</v>
      </c>
      <c r="B107" s="3">
        <v>1.77</v>
      </c>
      <c r="C107" s="2" t="s">
        <v>13</v>
      </c>
      <c r="D107" s="2">
        <v>41.2</v>
      </c>
      <c r="E107" s="2">
        <f>Таблица1[[#This Row],[Площадь, м2.]]-P107</f>
        <v>0</v>
      </c>
      <c r="G107" s="1">
        <f t="shared" ref="G107" si="16">VALUE(SUBSTITUTE(TRIM(RIGHTB(SUBSTITUTE(H107," ",REPT(" ",99)),99)),",","."))</f>
        <v>41.2</v>
      </c>
      <c r="H107" s="1" t="str">
        <f t="shared" si="4"/>
        <v>41,2</v>
      </c>
      <c r="I107" s="1" t="s">
        <v>57</v>
      </c>
      <c r="P107" s="7">
        <f t="shared" si="3"/>
        <v>41.2</v>
      </c>
      <c r="Q107" s="7" t="str">
        <f t="shared" si="2"/>
        <v>41,2</v>
      </c>
      <c r="R107" s="1" t="s">
        <v>57</v>
      </c>
    </row>
    <row r="108" spans="1:18" x14ac:dyDescent="0.25">
      <c r="B108" s="3">
        <v>1.78</v>
      </c>
      <c r="D108" s="2">
        <v>60</v>
      </c>
      <c r="E108" s="2">
        <f>Таблица1[[#This Row],[Площадь, м2.]]-P108</f>
        <v>-0.79999999999999716</v>
      </c>
      <c r="G108" s="1">
        <f t="shared" ref="G108" si="17">VALUE(SUBSTITUTE(TRIM(RIGHTB(SUBSTITUTE(H108," ",REPT(" ",99)),99)),",","."))</f>
        <v>60</v>
      </c>
      <c r="H108" s="1" t="str">
        <f t="shared" si="4"/>
        <v>60,0</v>
      </c>
      <c r="I108" s="1" t="s">
        <v>58</v>
      </c>
      <c r="P108" s="7">
        <f t="shared" si="3"/>
        <v>60.8</v>
      </c>
      <c r="Q108" s="7" t="str">
        <f t="shared" si="2"/>
        <v>60,8</v>
      </c>
      <c r="R108" s="1" t="s">
        <v>274</v>
      </c>
    </row>
    <row r="109" spans="1:18" x14ac:dyDescent="0.25">
      <c r="A109" s="2">
        <v>51</v>
      </c>
      <c r="B109" s="3">
        <v>1.79</v>
      </c>
      <c r="C109" s="2" t="s">
        <v>11</v>
      </c>
      <c r="D109" s="2">
        <v>29.9</v>
      </c>
      <c r="E109" s="2">
        <f>Таблица1[[#This Row],[Площадь, м2.]]-P109</f>
        <v>-0.90000000000000213</v>
      </c>
      <c r="G109" s="1">
        <f t="shared" ref="G109" si="18">VALUE(SUBSTITUTE(TRIM(RIGHTB(SUBSTITUTE(H109," ",REPT(" ",99)),99)),",","."))</f>
        <v>29.9</v>
      </c>
      <c r="H109" s="1" t="str">
        <f t="shared" si="4"/>
        <v>29,9</v>
      </c>
      <c r="I109" s="1" t="s">
        <v>59</v>
      </c>
      <c r="P109" s="7">
        <f t="shared" si="3"/>
        <v>30.8</v>
      </c>
      <c r="Q109" s="7" t="str">
        <f t="shared" si="2"/>
        <v>30,8</v>
      </c>
      <c r="R109" s="1" t="s">
        <v>234</v>
      </c>
    </row>
    <row r="110" spans="1:18" x14ac:dyDescent="0.25">
      <c r="A110" s="2">
        <v>52</v>
      </c>
      <c r="B110" s="3">
        <v>1.8</v>
      </c>
      <c r="C110" s="2" t="s">
        <v>11</v>
      </c>
      <c r="D110" s="2">
        <v>24.9</v>
      </c>
      <c r="E110" s="2">
        <f>Таблица1[[#This Row],[Площадь, м2.]]-P110</f>
        <v>-2</v>
      </c>
      <c r="G110" s="1">
        <f t="shared" ref="G110" si="19">VALUE(SUBSTITUTE(TRIM(RIGHTB(SUBSTITUTE(H110," ",REPT(" ",99)),99)),",","."))</f>
        <v>24.9</v>
      </c>
      <c r="H110" s="1" t="str">
        <f t="shared" si="4"/>
        <v>24,9</v>
      </c>
      <c r="I110" s="1" t="s">
        <v>60</v>
      </c>
      <c r="P110" s="7">
        <f t="shared" si="3"/>
        <v>26.9</v>
      </c>
      <c r="Q110" s="7" t="str">
        <f t="shared" si="2"/>
        <v>26,9</v>
      </c>
      <c r="R110" s="1" t="s">
        <v>235</v>
      </c>
    </row>
    <row r="111" spans="1:18" x14ac:dyDescent="0.25">
      <c r="A111" s="2">
        <v>53</v>
      </c>
      <c r="B111" s="3">
        <v>1.81</v>
      </c>
      <c r="C111" s="2" t="s">
        <v>11</v>
      </c>
      <c r="D111" s="2">
        <v>6.3</v>
      </c>
      <c r="E111" s="2">
        <f>Таблица1[[#This Row],[Площадь, м2.]]-P111</f>
        <v>-0.20000000000000018</v>
      </c>
      <c r="G111" s="1">
        <f t="shared" ref="G111" si="20">VALUE(SUBSTITUTE(TRIM(RIGHTB(SUBSTITUTE(H111," ",REPT(" ",99)),99)),",","."))</f>
        <v>6.3</v>
      </c>
      <c r="H111" s="1" t="str">
        <f t="shared" si="4"/>
        <v>6,3</v>
      </c>
      <c r="I111" s="1" t="s">
        <v>61</v>
      </c>
      <c r="P111" s="7">
        <f t="shared" si="3"/>
        <v>6.5</v>
      </c>
      <c r="Q111" s="7" t="str">
        <f t="shared" si="2"/>
        <v>6,5</v>
      </c>
      <c r="R111" s="1" t="s">
        <v>273</v>
      </c>
    </row>
    <row r="112" spans="1:18" x14ac:dyDescent="0.25">
      <c r="A112" s="2">
        <v>74</v>
      </c>
      <c r="B112" s="3">
        <v>1.82</v>
      </c>
      <c r="C112" s="2" t="s">
        <v>13</v>
      </c>
      <c r="D112" s="2">
        <v>24.5</v>
      </c>
      <c r="G112" s="1">
        <f t="shared" ref="G112" si="21">VALUE(SUBSTITUTE(TRIM(RIGHTB(SUBSTITUTE(H112," ",REPT(" ",99)),99)),",","."))</f>
        <v>24.5</v>
      </c>
      <c r="H112" s="1" t="str">
        <f t="shared" si="4"/>
        <v>24,5</v>
      </c>
      <c r="I112" s="1" t="s">
        <v>62</v>
      </c>
      <c r="P112" s="7">
        <f t="shared" si="3"/>
        <v>25.2</v>
      </c>
      <c r="Q112" s="7" t="str">
        <f t="shared" si="2"/>
        <v>25,2</v>
      </c>
      <c r="R112" s="1" t="s">
        <v>275</v>
      </c>
    </row>
    <row r="113" spans="1:18" x14ac:dyDescent="0.25">
      <c r="A113" s="2">
        <v>143</v>
      </c>
      <c r="B113" s="3">
        <v>2.0099999999999998</v>
      </c>
      <c r="C113" s="2" t="s">
        <v>17</v>
      </c>
      <c r="D113" s="2">
        <v>62.6</v>
      </c>
      <c r="G113" s="1">
        <f t="shared" ref="G113" si="22">VALUE(SUBSTITUTE(TRIM(RIGHTB(SUBSTITUTE(H113," ",REPT(" ",99)),99)),",","."))</f>
        <v>62.6</v>
      </c>
      <c r="H113" s="1" t="str">
        <f t="shared" si="4"/>
        <v>62,6</v>
      </c>
      <c r="I113" s="1" t="s">
        <v>63</v>
      </c>
      <c r="P113" s="7">
        <f t="shared" si="3"/>
        <v>63.7</v>
      </c>
      <c r="Q113" s="7" t="str">
        <f t="shared" si="2"/>
        <v>63,7</v>
      </c>
      <c r="R113" s="1" t="s">
        <v>277</v>
      </c>
    </row>
    <row r="114" spans="1:18" x14ac:dyDescent="0.25">
      <c r="A114" s="2">
        <v>144</v>
      </c>
      <c r="B114" s="3">
        <v>2.02</v>
      </c>
      <c r="C114" s="2" t="s">
        <v>17</v>
      </c>
      <c r="D114" s="2">
        <v>89</v>
      </c>
      <c r="G114" s="1">
        <f t="shared" ref="G114" si="23">VALUE(SUBSTITUTE(TRIM(RIGHTB(SUBSTITUTE(H114," ",REPT(" ",99)),99)),",","."))</f>
        <v>89</v>
      </c>
      <c r="H114" s="1" t="str">
        <f t="shared" si="4"/>
        <v>89,0</v>
      </c>
      <c r="I114" s="1" t="s">
        <v>64</v>
      </c>
      <c r="P114" s="7">
        <f t="shared" si="3"/>
        <v>90.2</v>
      </c>
      <c r="Q114" s="7" t="str">
        <f t="shared" si="2"/>
        <v>90,2</v>
      </c>
      <c r="R114" s="1" t="s">
        <v>278</v>
      </c>
    </row>
    <row r="115" spans="1:18" x14ac:dyDescent="0.25">
      <c r="A115" s="2">
        <v>145</v>
      </c>
      <c r="B115" s="3">
        <v>2.0299999999999998</v>
      </c>
      <c r="C115" s="2" t="s">
        <v>17</v>
      </c>
      <c r="D115" s="2">
        <v>39.4</v>
      </c>
      <c r="G115" s="1">
        <f t="shared" ref="G115" si="24">VALUE(SUBSTITUTE(TRIM(RIGHTB(SUBSTITUTE(H115," ",REPT(" ",99)),99)),",","."))</f>
        <v>39.4</v>
      </c>
      <c r="H115" s="1" t="str">
        <f t="shared" si="4"/>
        <v>39,4</v>
      </c>
      <c r="I115" s="1" t="s">
        <v>65</v>
      </c>
      <c r="P115" s="7">
        <f t="shared" si="3"/>
        <v>39.799999999999997</v>
      </c>
      <c r="Q115" s="7" t="str">
        <f t="shared" si="2"/>
        <v>39,8</v>
      </c>
      <c r="R115" s="1" t="s">
        <v>279</v>
      </c>
    </row>
    <row r="116" spans="1:18" x14ac:dyDescent="0.25">
      <c r="A116" s="2">
        <v>146</v>
      </c>
      <c r="B116" s="3">
        <v>2.04</v>
      </c>
      <c r="C116" s="2" t="s">
        <v>17</v>
      </c>
      <c r="D116" s="2">
        <v>63</v>
      </c>
      <c r="G116" s="1">
        <f t="shared" ref="G116" si="25">VALUE(SUBSTITUTE(TRIM(RIGHTB(SUBSTITUTE(H116," ",REPT(" ",99)),99)),",","."))</f>
        <v>63</v>
      </c>
      <c r="H116" s="1" t="str">
        <f t="shared" si="4"/>
        <v>63,0</v>
      </c>
      <c r="I116" s="1" t="s">
        <v>66</v>
      </c>
      <c r="P116" s="7">
        <f t="shared" si="3"/>
        <v>64</v>
      </c>
      <c r="Q116" s="7" t="str">
        <f t="shared" si="2"/>
        <v>64,0</v>
      </c>
      <c r="R116" s="1" t="s">
        <v>280</v>
      </c>
    </row>
    <row r="117" spans="1:18" x14ac:dyDescent="0.25">
      <c r="A117" s="2">
        <v>147</v>
      </c>
      <c r="B117" s="3">
        <v>2.0499999999999998</v>
      </c>
      <c r="C117" s="2" t="s">
        <v>17</v>
      </c>
      <c r="D117" s="2">
        <v>64.400000000000006</v>
      </c>
      <c r="G117" s="1">
        <f t="shared" ref="G117" si="26">VALUE(SUBSTITUTE(TRIM(RIGHTB(SUBSTITUTE(H117," ",REPT(" ",99)),99)),",","."))</f>
        <v>64.400000000000006</v>
      </c>
      <c r="H117" s="1" t="str">
        <f t="shared" si="4"/>
        <v>64,4</v>
      </c>
      <c r="I117" s="1" t="s">
        <v>67</v>
      </c>
      <c r="P117" s="7">
        <f t="shared" si="3"/>
        <v>65.400000000000006</v>
      </c>
      <c r="Q117" s="7" t="str">
        <f t="shared" si="2"/>
        <v>65,4</v>
      </c>
      <c r="R117" s="1" t="s">
        <v>281</v>
      </c>
    </row>
    <row r="118" spans="1:18" x14ac:dyDescent="0.25">
      <c r="A118" s="2">
        <v>148</v>
      </c>
      <c r="B118" s="3">
        <v>2.06</v>
      </c>
      <c r="C118" s="2" t="s">
        <v>17</v>
      </c>
      <c r="D118" s="2">
        <v>63.3</v>
      </c>
      <c r="G118" s="1">
        <f t="shared" ref="G118" si="27">VALUE(SUBSTITUTE(TRIM(RIGHTB(SUBSTITUTE(H118," ",REPT(" ",99)),99)),",","."))</f>
        <v>63.3</v>
      </c>
      <c r="H118" s="1" t="str">
        <f t="shared" si="4"/>
        <v>63,3</v>
      </c>
      <c r="I118" s="1" t="s">
        <v>68</v>
      </c>
      <c r="P118" s="7">
        <f t="shared" si="3"/>
        <v>64.099999999999994</v>
      </c>
      <c r="Q118" s="7" t="str">
        <f t="shared" si="2"/>
        <v>64,1</v>
      </c>
      <c r="R118" s="1" t="s">
        <v>282</v>
      </c>
    </row>
    <row r="119" spans="1:18" x14ac:dyDescent="0.25">
      <c r="A119" s="2">
        <v>149</v>
      </c>
      <c r="B119" s="3">
        <v>2.0699999999999998</v>
      </c>
      <c r="C119" s="2" t="s">
        <v>17</v>
      </c>
      <c r="D119" s="2">
        <v>63.3</v>
      </c>
      <c r="G119" s="1">
        <f t="shared" ref="G119" si="28">VALUE(SUBSTITUTE(TRIM(RIGHTB(SUBSTITUTE(H119," ",REPT(" ",99)),99)),",","."))</f>
        <v>63.3</v>
      </c>
      <c r="H119" s="1" t="str">
        <f t="shared" si="4"/>
        <v>63,3</v>
      </c>
      <c r="I119" s="1" t="s">
        <v>69</v>
      </c>
      <c r="P119" s="7">
        <f t="shared" si="3"/>
        <v>64.3</v>
      </c>
      <c r="Q119" s="7" t="str">
        <f t="shared" si="2"/>
        <v>64,3</v>
      </c>
      <c r="R119" s="1" t="s">
        <v>283</v>
      </c>
    </row>
    <row r="120" spans="1:18" x14ac:dyDescent="0.25">
      <c r="A120" s="2">
        <v>75</v>
      </c>
      <c r="B120" s="3">
        <v>2.08</v>
      </c>
      <c r="C120" s="2" t="s">
        <v>13</v>
      </c>
      <c r="D120" s="2">
        <v>78.599999999999994</v>
      </c>
      <c r="G120" s="1">
        <f t="shared" ref="G120" si="29">VALUE(SUBSTITUTE(TRIM(RIGHTB(SUBSTITUTE(H120," ",REPT(" ",99)),99)),",","."))</f>
        <v>78.599999999999994</v>
      </c>
      <c r="H120" s="1" t="str">
        <f t="shared" si="4"/>
        <v>78,6</v>
      </c>
      <c r="I120" s="1" t="s">
        <v>70</v>
      </c>
      <c r="P120" s="7">
        <f t="shared" si="3"/>
        <v>78.8</v>
      </c>
      <c r="Q120" s="7" t="str">
        <f t="shared" si="2"/>
        <v>78,8</v>
      </c>
      <c r="R120" s="1" t="s">
        <v>284</v>
      </c>
    </row>
    <row r="121" spans="1:18" x14ac:dyDescent="0.25">
      <c r="A121" s="2">
        <v>185</v>
      </c>
      <c r="B121" s="3">
        <v>2.09</v>
      </c>
      <c r="C121" s="2" t="s">
        <v>19</v>
      </c>
      <c r="D121" s="2">
        <v>5.0999999999999996</v>
      </c>
      <c r="G121" s="1">
        <f t="shared" ref="G121" si="30">VALUE(SUBSTITUTE(TRIM(RIGHTB(SUBSTITUTE(H121," ",REPT(" ",99)),99)),",","."))</f>
        <v>5.0999999999999996</v>
      </c>
      <c r="H121" s="1" t="str">
        <f t="shared" si="4"/>
        <v>5,1</v>
      </c>
      <c r="I121" s="1" t="s">
        <v>71</v>
      </c>
      <c r="P121" s="7">
        <f t="shared" si="3"/>
        <v>5.0999999999999996</v>
      </c>
      <c r="Q121" s="7" t="str">
        <f t="shared" si="2"/>
        <v>5,1</v>
      </c>
      <c r="R121" s="1" t="s">
        <v>285</v>
      </c>
    </row>
    <row r="122" spans="1:18" x14ac:dyDescent="0.25">
      <c r="A122" s="2">
        <v>186</v>
      </c>
      <c r="B122" s="3">
        <v>2.1</v>
      </c>
      <c r="C122" s="2" t="s">
        <v>19</v>
      </c>
      <c r="D122" s="2">
        <v>13.1</v>
      </c>
      <c r="G122" s="1">
        <f t="shared" ref="G122" si="31">VALUE(SUBSTITUTE(TRIM(RIGHTB(SUBSTITUTE(H122," ",REPT(" ",99)),99)),",","."))</f>
        <v>11.1</v>
      </c>
      <c r="H122" s="1" t="str">
        <f t="shared" si="4"/>
        <v>11,1</v>
      </c>
      <c r="I122" s="1" t="s">
        <v>72</v>
      </c>
      <c r="P122" s="7">
        <f t="shared" si="3"/>
        <v>13.1</v>
      </c>
      <c r="Q122" s="7" t="str">
        <f t="shared" si="2"/>
        <v>13,1</v>
      </c>
      <c r="R122" s="1" t="s">
        <v>286</v>
      </c>
    </row>
    <row r="123" spans="1:18" x14ac:dyDescent="0.25">
      <c r="A123" s="2">
        <v>187</v>
      </c>
      <c r="B123" s="3">
        <v>2.11</v>
      </c>
      <c r="C123" s="2" t="s">
        <v>19</v>
      </c>
      <c r="D123" s="2">
        <v>13.1</v>
      </c>
      <c r="G123" s="1">
        <f t="shared" ref="G123" si="32">VALUE(SUBSTITUTE(TRIM(RIGHTB(SUBSTITUTE(H123," ",REPT(" ",99)),99)),",","."))</f>
        <v>11.2</v>
      </c>
      <c r="H123" s="1" t="str">
        <f t="shared" si="4"/>
        <v>11,2</v>
      </c>
      <c r="I123" s="1" t="s">
        <v>73</v>
      </c>
      <c r="P123" s="7">
        <f t="shared" si="3"/>
        <v>13.1</v>
      </c>
      <c r="Q123" s="7" t="str">
        <f t="shared" si="2"/>
        <v>13,1</v>
      </c>
      <c r="R123" s="1" t="s">
        <v>287</v>
      </c>
    </row>
    <row r="124" spans="1:18" x14ac:dyDescent="0.25">
      <c r="A124" s="2">
        <v>150</v>
      </c>
      <c r="B124" s="3">
        <v>2.12</v>
      </c>
      <c r="C124" s="2" t="s">
        <v>17</v>
      </c>
      <c r="D124" s="2">
        <v>27</v>
      </c>
      <c r="G124" s="1">
        <f t="shared" ref="G124" si="33">VALUE(SUBSTITUTE(TRIM(RIGHTB(SUBSTITUTE(H124," ",REPT(" ",99)),99)),",","."))</f>
        <v>25.7</v>
      </c>
      <c r="H124" s="1" t="str">
        <f t="shared" si="4"/>
        <v>25,7</v>
      </c>
      <c r="I124" s="1" t="s">
        <v>74</v>
      </c>
      <c r="P124" s="7">
        <f t="shared" si="3"/>
        <v>27</v>
      </c>
      <c r="Q124" s="7" t="str">
        <f t="shared" si="2"/>
        <v>27,0</v>
      </c>
      <c r="R124" s="1" t="s">
        <v>288</v>
      </c>
    </row>
    <row r="125" spans="1:18" x14ac:dyDescent="0.25">
      <c r="A125" s="2">
        <v>188</v>
      </c>
      <c r="B125" s="3">
        <v>2.13</v>
      </c>
      <c r="C125" s="2" t="s">
        <v>19</v>
      </c>
      <c r="D125" s="2">
        <v>12.7</v>
      </c>
      <c r="G125" s="1">
        <f t="shared" ref="G125" si="34">VALUE(SUBSTITUTE(TRIM(RIGHTB(SUBSTITUTE(H125," ",REPT(" ",99)),99)),",","."))</f>
        <v>13.2</v>
      </c>
      <c r="H125" s="1" t="str">
        <f t="shared" si="4"/>
        <v>13,2</v>
      </c>
      <c r="I125" s="1" t="s">
        <v>75</v>
      </c>
      <c r="P125" s="7">
        <f t="shared" si="3"/>
        <v>12.7</v>
      </c>
      <c r="Q125" s="7" t="str">
        <f t="shared" si="2"/>
        <v>12,7</v>
      </c>
      <c r="R125" s="1" t="s">
        <v>289</v>
      </c>
    </row>
    <row r="126" spans="1:18" x14ac:dyDescent="0.25">
      <c r="A126" s="2">
        <v>189</v>
      </c>
      <c r="B126" s="3">
        <v>2.14</v>
      </c>
      <c r="C126" s="2" t="s">
        <v>19</v>
      </c>
      <c r="D126" s="2">
        <v>8.5</v>
      </c>
      <c r="G126" s="1">
        <f t="shared" ref="G126" si="35">VALUE(SUBSTITUTE(TRIM(RIGHTB(SUBSTITUTE(H126," ",REPT(" ",99)),99)),",","."))</f>
        <v>7.8</v>
      </c>
      <c r="H126" s="1" t="str">
        <f t="shared" si="4"/>
        <v>7,8</v>
      </c>
      <c r="I126" s="1" t="s">
        <v>76</v>
      </c>
      <c r="P126" s="7">
        <f t="shared" si="3"/>
        <v>8.5</v>
      </c>
      <c r="Q126" s="7" t="str">
        <f t="shared" si="2"/>
        <v>8,5</v>
      </c>
      <c r="R126" s="1" t="s">
        <v>290</v>
      </c>
    </row>
    <row r="127" spans="1:18" x14ac:dyDescent="0.25">
      <c r="A127" s="2">
        <v>151</v>
      </c>
      <c r="B127" s="3">
        <v>2.15</v>
      </c>
      <c r="C127" s="2" t="s">
        <v>17</v>
      </c>
      <c r="D127" s="2">
        <v>28</v>
      </c>
      <c r="G127" s="1">
        <f t="shared" ref="G127" si="36">VALUE(SUBSTITUTE(TRIM(RIGHTB(SUBSTITUTE(H127," ",REPT(" ",99)),99)),",","."))</f>
        <v>26.6</v>
      </c>
      <c r="H127" s="1" t="str">
        <f t="shared" si="4"/>
        <v>26,6</v>
      </c>
      <c r="I127" s="1" t="s">
        <v>77</v>
      </c>
      <c r="P127" s="7">
        <f t="shared" si="3"/>
        <v>28</v>
      </c>
      <c r="Q127" s="7" t="str">
        <f t="shared" si="2"/>
        <v>28,0</v>
      </c>
      <c r="R127" s="1" t="s">
        <v>291</v>
      </c>
    </row>
    <row r="128" spans="1:18" x14ac:dyDescent="0.25">
      <c r="A128" s="2">
        <v>190</v>
      </c>
      <c r="B128" s="3">
        <v>2.16</v>
      </c>
      <c r="C128" s="2" t="s">
        <v>19</v>
      </c>
      <c r="D128" s="2">
        <v>10.7</v>
      </c>
      <c r="G128" s="1">
        <f t="shared" ref="G128" si="37">VALUE(SUBSTITUTE(TRIM(RIGHTB(SUBSTITUTE(H128," ",REPT(" ",99)),99)),",","."))</f>
        <v>9.5</v>
      </c>
      <c r="H128" s="1" t="str">
        <f t="shared" si="4"/>
        <v>9,5</v>
      </c>
      <c r="I128" s="1" t="s">
        <v>78</v>
      </c>
      <c r="P128" s="7">
        <f t="shared" si="3"/>
        <v>10.7</v>
      </c>
      <c r="Q128" s="7" t="str">
        <f t="shared" si="2"/>
        <v>10,7</v>
      </c>
      <c r="R128" s="1" t="s">
        <v>292</v>
      </c>
    </row>
    <row r="129" spans="1:18" x14ac:dyDescent="0.25">
      <c r="A129" s="2">
        <v>191</v>
      </c>
      <c r="B129" s="3">
        <v>2.17</v>
      </c>
      <c r="C129" s="2" t="s">
        <v>19</v>
      </c>
      <c r="D129" s="2">
        <v>11.3</v>
      </c>
      <c r="G129" s="1">
        <f t="shared" ref="G129" si="38">VALUE(SUBSTITUTE(TRIM(RIGHTB(SUBSTITUTE(H129," ",REPT(" ",99)),99)),",","."))</f>
        <v>11.7</v>
      </c>
      <c r="H129" s="1" t="str">
        <f t="shared" si="4"/>
        <v>11,7</v>
      </c>
      <c r="I129" s="1" t="s">
        <v>79</v>
      </c>
      <c r="P129" s="7">
        <f t="shared" si="3"/>
        <v>11.3</v>
      </c>
      <c r="Q129" s="7" t="str">
        <f t="shared" si="2"/>
        <v>11,3</v>
      </c>
      <c r="R129" s="1" t="s">
        <v>293</v>
      </c>
    </row>
    <row r="130" spans="1:18" x14ac:dyDescent="0.25">
      <c r="A130" s="2">
        <v>152</v>
      </c>
      <c r="B130" s="3">
        <v>2.1800000000000002</v>
      </c>
      <c r="C130" s="2" t="s">
        <v>17</v>
      </c>
      <c r="D130" s="2">
        <v>31.5</v>
      </c>
      <c r="G130" s="1">
        <f t="shared" ref="G130" si="39">VALUE(SUBSTITUTE(TRIM(RIGHTB(SUBSTITUTE(H130," ",REPT(" ",99)),99)),",","."))</f>
        <v>29</v>
      </c>
      <c r="H130" s="1" t="str">
        <f t="shared" si="4"/>
        <v>29,0</v>
      </c>
      <c r="I130" s="1" t="s">
        <v>80</v>
      </c>
      <c r="P130" s="7">
        <f t="shared" si="3"/>
        <v>31.5</v>
      </c>
      <c r="Q130" s="7" t="str">
        <f t="shared" si="2"/>
        <v>31,5</v>
      </c>
      <c r="R130" s="1" t="s">
        <v>294</v>
      </c>
    </row>
    <row r="131" spans="1:18" x14ac:dyDescent="0.25">
      <c r="A131" s="2">
        <v>184</v>
      </c>
      <c r="B131" s="3">
        <v>2.19</v>
      </c>
      <c r="C131" s="2" t="s">
        <v>18</v>
      </c>
      <c r="D131" s="2">
        <v>359.3</v>
      </c>
      <c r="G131" s="1">
        <f t="shared" ref="G131" si="40">VALUE(SUBSTITUTE(TRIM(RIGHTB(SUBSTITUTE(H131," ",REPT(" ",99)),99)),",","."))</f>
        <v>349.3</v>
      </c>
      <c r="H131" s="1" t="str">
        <f t="shared" si="4"/>
        <v>349,3</v>
      </c>
      <c r="I131" s="1" t="s">
        <v>81</v>
      </c>
      <c r="P131" s="7">
        <f t="shared" si="3"/>
        <v>359.3</v>
      </c>
      <c r="Q131" s="7" t="str">
        <f t="shared" ref="Q131:Q194" si="41">TRIM(RIGHTB(SUBSTITUTE(R131," ",REPT(" ",99)),99))</f>
        <v>359,3</v>
      </c>
      <c r="R131" s="1" t="s">
        <v>295</v>
      </c>
    </row>
    <row r="132" spans="1:18" x14ac:dyDescent="0.25">
      <c r="A132" s="2">
        <v>192</v>
      </c>
      <c r="B132" s="3">
        <v>2.2000000000000002</v>
      </c>
      <c r="C132" s="2" t="s">
        <v>19</v>
      </c>
      <c r="D132" s="2">
        <v>23.7</v>
      </c>
      <c r="G132" s="1">
        <f t="shared" ref="G132" si="42">VALUE(SUBSTITUTE(TRIM(RIGHTB(SUBSTITUTE(H132," ",REPT(" ",99)),99)),",","."))</f>
        <v>16.7</v>
      </c>
      <c r="H132" s="1" t="str">
        <f t="shared" si="4"/>
        <v>16,7</v>
      </c>
      <c r="I132" s="1" t="s">
        <v>82</v>
      </c>
      <c r="P132" s="7">
        <f t="shared" ref="P132:P195" si="43">VALUE(SUBSTITUTE(TRIM(RIGHTB(SUBSTITUTE(Q132," ",REPT(" ",99)),99)),",","."))</f>
        <v>23.7</v>
      </c>
      <c r="Q132" s="7" t="str">
        <f t="shared" si="41"/>
        <v>23,7</v>
      </c>
      <c r="R132" s="1" t="s">
        <v>296</v>
      </c>
    </row>
    <row r="133" spans="1:18" x14ac:dyDescent="0.25">
      <c r="A133" s="2">
        <v>153</v>
      </c>
      <c r="B133" s="3">
        <v>2.21</v>
      </c>
      <c r="C133" s="2" t="s">
        <v>17</v>
      </c>
      <c r="D133" s="2">
        <v>14</v>
      </c>
      <c r="G133" s="1">
        <f t="shared" ref="G133" si="44">VALUE(SUBSTITUTE(TRIM(RIGHTB(SUBSTITUTE(H133," ",REPT(" ",99)),99)),",","."))</f>
        <v>13.5</v>
      </c>
      <c r="H133" s="1" t="str">
        <f t="shared" ref="H133:H191" si="45">TRIM(RIGHTB(SUBSTITUTE(I133," ",REPT(" ",99)),99))</f>
        <v>13,5</v>
      </c>
      <c r="I133" s="1" t="s">
        <v>83</v>
      </c>
      <c r="P133" s="7">
        <f t="shared" si="43"/>
        <v>14</v>
      </c>
      <c r="Q133" s="7" t="str">
        <f t="shared" si="41"/>
        <v>14,0</v>
      </c>
      <c r="R133" s="1" t="s">
        <v>297</v>
      </c>
    </row>
    <row r="134" spans="1:18" x14ac:dyDescent="0.25">
      <c r="A134" s="2">
        <v>193</v>
      </c>
      <c r="B134" s="3">
        <v>2.2200000000000002</v>
      </c>
      <c r="C134" s="2" t="s">
        <v>19</v>
      </c>
      <c r="D134" s="2">
        <v>5.4</v>
      </c>
      <c r="G134" s="1">
        <f t="shared" ref="G134" si="46">VALUE(SUBSTITUTE(TRIM(RIGHTB(SUBSTITUTE(H134," ",REPT(" ",99)),99)),",","."))</f>
        <v>5.0999999999999996</v>
      </c>
      <c r="H134" s="1" t="str">
        <f t="shared" si="45"/>
        <v>5,1</v>
      </c>
      <c r="I134" s="1" t="s">
        <v>84</v>
      </c>
      <c r="P134" s="7">
        <f t="shared" si="43"/>
        <v>5.4</v>
      </c>
      <c r="Q134" s="7" t="str">
        <f t="shared" si="41"/>
        <v>5,4</v>
      </c>
      <c r="R134" s="1" t="s">
        <v>298</v>
      </c>
    </row>
    <row r="135" spans="1:18" x14ac:dyDescent="0.25">
      <c r="A135" s="2">
        <v>194</v>
      </c>
      <c r="B135" s="3">
        <v>2.23</v>
      </c>
      <c r="C135" s="2" t="s">
        <v>19</v>
      </c>
      <c r="D135" s="2">
        <v>9.8000000000000007</v>
      </c>
      <c r="G135" s="1">
        <f t="shared" ref="G135" si="47">VALUE(SUBSTITUTE(TRIM(RIGHTB(SUBSTITUTE(H135," ",REPT(" ",99)),99)),",","."))</f>
        <v>9.5</v>
      </c>
      <c r="H135" s="1" t="str">
        <f t="shared" si="45"/>
        <v>9,5</v>
      </c>
      <c r="I135" s="1" t="s">
        <v>85</v>
      </c>
      <c r="P135" s="7">
        <f t="shared" si="43"/>
        <v>9.8000000000000007</v>
      </c>
      <c r="Q135" s="7" t="str">
        <f t="shared" si="41"/>
        <v>9,8</v>
      </c>
      <c r="R135" s="1" t="s">
        <v>299</v>
      </c>
    </row>
    <row r="136" spans="1:18" x14ac:dyDescent="0.25">
      <c r="A136" s="2">
        <v>195</v>
      </c>
      <c r="B136" s="3">
        <v>2.2400000000000002</v>
      </c>
      <c r="C136" s="2" t="s">
        <v>19</v>
      </c>
      <c r="D136" s="2">
        <v>15.8</v>
      </c>
      <c r="G136" s="1">
        <f t="shared" ref="G136" si="48">VALUE(SUBSTITUTE(TRIM(RIGHTB(SUBSTITUTE(H136," ",REPT(" ",99)),99)),",","."))</f>
        <v>14.5</v>
      </c>
      <c r="H136" s="1" t="str">
        <f t="shared" si="45"/>
        <v>14,5</v>
      </c>
      <c r="I136" s="1" t="s">
        <v>86</v>
      </c>
      <c r="P136" s="7">
        <f t="shared" si="43"/>
        <v>15.8</v>
      </c>
      <c r="Q136" s="7" t="str">
        <f t="shared" si="41"/>
        <v>15,8</v>
      </c>
      <c r="R136" s="1" t="s">
        <v>300</v>
      </c>
    </row>
    <row r="137" spans="1:18" x14ac:dyDescent="0.25">
      <c r="A137" s="2">
        <v>196</v>
      </c>
      <c r="B137" s="3">
        <v>2.25</v>
      </c>
      <c r="C137" s="2" t="s">
        <v>19</v>
      </c>
      <c r="D137" s="2">
        <v>15.8</v>
      </c>
      <c r="G137" s="1">
        <f t="shared" ref="G137" si="49">VALUE(SUBSTITUTE(TRIM(RIGHTB(SUBSTITUTE(H137," ",REPT(" ",99)),99)),",","."))</f>
        <v>14.5</v>
      </c>
      <c r="H137" s="1" t="str">
        <f t="shared" si="45"/>
        <v>14,5</v>
      </c>
      <c r="I137" s="1" t="s">
        <v>87</v>
      </c>
      <c r="P137" s="7">
        <f t="shared" si="43"/>
        <v>15.8</v>
      </c>
      <c r="Q137" s="7" t="str">
        <f t="shared" si="41"/>
        <v>15,8</v>
      </c>
      <c r="R137" s="1" t="s">
        <v>301</v>
      </c>
    </row>
    <row r="138" spans="1:18" x14ac:dyDescent="0.25">
      <c r="A138" s="2">
        <v>197</v>
      </c>
      <c r="B138" s="3">
        <v>2.2599999999999998</v>
      </c>
      <c r="C138" s="2" t="s">
        <v>19</v>
      </c>
      <c r="D138" s="2">
        <v>5.4</v>
      </c>
      <c r="G138" s="1">
        <f t="shared" ref="G138" si="50">VALUE(SUBSTITUTE(TRIM(RIGHTB(SUBSTITUTE(H138," ",REPT(" ",99)),99)),",","."))</f>
        <v>5.0999999999999996</v>
      </c>
      <c r="H138" s="1" t="str">
        <f t="shared" si="45"/>
        <v>5,1</v>
      </c>
      <c r="I138" s="1" t="s">
        <v>88</v>
      </c>
      <c r="P138" s="7">
        <f t="shared" si="43"/>
        <v>5.4</v>
      </c>
      <c r="Q138" s="7" t="str">
        <f t="shared" si="41"/>
        <v>5,4</v>
      </c>
      <c r="R138" s="1" t="s">
        <v>302</v>
      </c>
    </row>
    <row r="139" spans="1:18" x14ac:dyDescent="0.25">
      <c r="A139" s="2">
        <v>76</v>
      </c>
      <c r="B139" s="3">
        <v>2.27</v>
      </c>
      <c r="C139" s="2" t="s">
        <v>13</v>
      </c>
      <c r="D139" s="2">
        <v>19.100000000000001</v>
      </c>
      <c r="G139" s="1">
        <f t="shared" ref="G139" si="51">VALUE(SUBSTITUTE(TRIM(RIGHTB(SUBSTITUTE(H139," ",REPT(" ",99)),99)),",","."))</f>
        <v>18.600000000000001</v>
      </c>
      <c r="H139" s="1" t="str">
        <f t="shared" si="45"/>
        <v>18,6</v>
      </c>
      <c r="I139" s="1" t="s">
        <v>89</v>
      </c>
      <c r="P139" s="7">
        <f t="shared" si="43"/>
        <v>19.100000000000001</v>
      </c>
      <c r="Q139" s="7" t="str">
        <f t="shared" si="41"/>
        <v>19,1</v>
      </c>
      <c r="R139" s="1" t="s">
        <v>303</v>
      </c>
    </row>
    <row r="140" spans="1:18" x14ac:dyDescent="0.25">
      <c r="A140" s="2">
        <v>154</v>
      </c>
      <c r="B140" s="3">
        <v>2.2799999999999998</v>
      </c>
      <c r="C140" s="2" t="s">
        <v>17</v>
      </c>
      <c r="D140" s="2">
        <v>192.9</v>
      </c>
      <c r="G140" s="1">
        <f t="shared" ref="G140" si="52">VALUE(SUBSTITUTE(TRIM(RIGHTB(SUBSTITUTE(H140," ",REPT(" ",99)),99)),",","."))</f>
        <v>199.6</v>
      </c>
      <c r="H140" s="1" t="str">
        <f t="shared" si="45"/>
        <v>199,6</v>
      </c>
      <c r="I140" s="1" t="s">
        <v>90</v>
      </c>
      <c r="P140" s="7">
        <f t="shared" si="43"/>
        <v>192.9</v>
      </c>
      <c r="Q140" s="7" t="str">
        <f t="shared" si="41"/>
        <v>192,9</v>
      </c>
      <c r="R140" s="1" t="s">
        <v>304</v>
      </c>
    </row>
    <row r="141" spans="1:18" x14ac:dyDescent="0.25">
      <c r="A141" s="2">
        <v>155</v>
      </c>
      <c r="B141" s="3">
        <v>2.29</v>
      </c>
      <c r="C141" s="2" t="s">
        <v>17</v>
      </c>
      <c r="D141" s="2">
        <v>14.3</v>
      </c>
      <c r="G141" s="1">
        <f t="shared" ref="G141" si="53">VALUE(SUBSTITUTE(TRIM(RIGHTB(SUBSTITUTE(H141," ",REPT(" ",99)),99)),",","."))</f>
        <v>15</v>
      </c>
      <c r="H141" s="1" t="str">
        <f t="shared" si="45"/>
        <v>15,0</v>
      </c>
      <c r="I141" s="1" t="s">
        <v>91</v>
      </c>
      <c r="P141" s="7">
        <f t="shared" si="43"/>
        <v>14.3</v>
      </c>
      <c r="Q141" s="7" t="str">
        <f t="shared" si="41"/>
        <v>14,3</v>
      </c>
      <c r="R141" s="1" t="s">
        <v>305</v>
      </c>
    </row>
    <row r="142" spans="1:18" x14ac:dyDescent="0.25">
      <c r="A142" s="2">
        <v>77</v>
      </c>
      <c r="B142" s="3">
        <v>2.2999999999999998</v>
      </c>
      <c r="C142" s="2" t="s">
        <v>13</v>
      </c>
      <c r="D142" s="2">
        <v>115.5</v>
      </c>
      <c r="G142" s="1">
        <f t="shared" ref="G142" si="54">VALUE(SUBSTITUTE(TRIM(RIGHTB(SUBSTITUTE(H142," ",REPT(" ",99)),99)),",","."))</f>
        <v>108</v>
      </c>
      <c r="H142" s="1" t="str">
        <f t="shared" si="45"/>
        <v>108,0</v>
      </c>
      <c r="I142" s="1" t="s">
        <v>92</v>
      </c>
      <c r="P142" s="7">
        <f t="shared" si="43"/>
        <v>115.5</v>
      </c>
      <c r="Q142" s="7" t="str">
        <f t="shared" si="41"/>
        <v>115,5</v>
      </c>
      <c r="R142" s="1" t="s">
        <v>306</v>
      </c>
    </row>
    <row r="143" spans="1:18" x14ac:dyDescent="0.25">
      <c r="A143" s="2">
        <v>123</v>
      </c>
      <c r="B143" s="3">
        <v>2.31</v>
      </c>
      <c r="C143" s="2" t="s">
        <v>16</v>
      </c>
      <c r="D143" s="2">
        <v>25.7</v>
      </c>
      <c r="G143" s="1">
        <f t="shared" ref="G143" si="55">VALUE(SUBSTITUTE(TRIM(RIGHTB(SUBSTITUTE(H143," ",REPT(" ",99)),99)),",","."))</f>
        <v>25.1</v>
      </c>
      <c r="H143" s="1" t="str">
        <f t="shared" si="45"/>
        <v>25,1</v>
      </c>
      <c r="I143" s="1" t="s">
        <v>93</v>
      </c>
      <c r="P143" s="7">
        <f t="shared" si="43"/>
        <v>25.7</v>
      </c>
      <c r="Q143" s="7" t="str">
        <f t="shared" si="41"/>
        <v>25,7</v>
      </c>
      <c r="R143" s="1" t="s">
        <v>307</v>
      </c>
    </row>
    <row r="144" spans="1:18" x14ac:dyDescent="0.25">
      <c r="A144" s="2">
        <v>124</v>
      </c>
      <c r="B144" s="3">
        <v>2.3199999999999998</v>
      </c>
      <c r="C144" s="2" t="s">
        <v>16</v>
      </c>
      <c r="D144" s="2">
        <v>27.9</v>
      </c>
      <c r="G144" s="1">
        <f t="shared" ref="G144" si="56">VALUE(SUBSTITUTE(TRIM(RIGHTB(SUBSTITUTE(H144," ",REPT(" ",99)),99)),",","."))</f>
        <v>26.5</v>
      </c>
      <c r="H144" s="1" t="str">
        <f t="shared" si="45"/>
        <v>26,5</v>
      </c>
      <c r="I144" s="1" t="s">
        <v>94</v>
      </c>
      <c r="P144" s="7">
        <f t="shared" si="43"/>
        <v>27.9</v>
      </c>
      <c r="Q144" s="7" t="str">
        <f t="shared" si="41"/>
        <v>27,9</v>
      </c>
      <c r="R144" s="1" t="s">
        <v>308</v>
      </c>
    </row>
    <row r="145" spans="1:18" x14ac:dyDescent="0.25">
      <c r="A145" s="2">
        <v>125</v>
      </c>
      <c r="B145" s="3">
        <v>2.33</v>
      </c>
      <c r="C145" s="2" t="s">
        <v>16</v>
      </c>
      <c r="D145" s="2">
        <v>13.1</v>
      </c>
      <c r="G145" s="1">
        <f t="shared" ref="G145" si="57">VALUE(SUBSTITUTE(TRIM(RIGHTB(SUBSTITUTE(H145," ",REPT(" ",99)),99)),",","."))</f>
        <v>6.5</v>
      </c>
      <c r="H145" s="1" t="str">
        <f t="shared" si="45"/>
        <v>6,5</v>
      </c>
      <c r="I145" s="1" t="s">
        <v>95</v>
      </c>
      <c r="P145" s="7">
        <f t="shared" si="43"/>
        <v>13.1</v>
      </c>
      <c r="Q145" s="7" t="str">
        <f t="shared" si="41"/>
        <v>13,1</v>
      </c>
      <c r="R145" s="1" t="s">
        <v>309</v>
      </c>
    </row>
    <row r="146" spans="1:18" x14ac:dyDescent="0.25">
      <c r="A146" s="2">
        <v>126</v>
      </c>
      <c r="B146" s="3">
        <v>2.34</v>
      </c>
      <c r="C146" s="2" t="s">
        <v>16</v>
      </c>
      <c r="D146" s="2">
        <v>25.7</v>
      </c>
      <c r="G146" s="1">
        <f t="shared" ref="G146" si="58">VALUE(SUBSTITUTE(TRIM(RIGHTB(SUBSTITUTE(H146," ",REPT(" ",99)),99)),",","."))</f>
        <v>25.2</v>
      </c>
      <c r="H146" s="1" t="str">
        <f t="shared" si="45"/>
        <v>25,2</v>
      </c>
      <c r="I146" s="1" t="s">
        <v>96</v>
      </c>
      <c r="P146" s="7">
        <f t="shared" si="43"/>
        <v>25.7</v>
      </c>
      <c r="Q146" s="7" t="str">
        <f t="shared" si="41"/>
        <v>25,7</v>
      </c>
      <c r="R146" s="1" t="s">
        <v>310</v>
      </c>
    </row>
    <row r="147" spans="1:18" x14ac:dyDescent="0.25">
      <c r="A147" s="2">
        <v>127</v>
      </c>
      <c r="B147" s="3">
        <v>2.35</v>
      </c>
      <c r="C147" s="2" t="s">
        <v>16</v>
      </c>
      <c r="D147" s="2">
        <v>30.6</v>
      </c>
      <c r="G147" s="1">
        <f t="shared" ref="G147" si="59">VALUE(SUBSTITUTE(TRIM(RIGHTB(SUBSTITUTE(H147," ",REPT(" ",99)),99)),",","."))</f>
        <v>28.7</v>
      </c>
      <c r="H147" s="1" t="str">
        <f t="shared" si="45"/>
        <v>28,7</v>
      </c>
      <c r="I147" s="1" t="s">
        <v>97</v>
      </c>
      <c r="P147" s="7">
        <f t="shared" si="43"/>
        <v>30.6</v>
      </c>
      <c r="Q147" s="7" t="str">
        <f t="shared" si="41"/>
        <v>30,6</v>
      </c>
      <c r="R147" s="1" t="s">
        <v>311</v>
      </c>
    </row>
    <row r="148" spans="1:18" x14ac:dyDescent="0.25">
      <c r="A148" s="2">
        <v>128</v>
      </c>
      <c r="B148" s="3">
        <v>2.36</v>
      </c>
      <c r="C148" s="2" t="s">
        <v>16</v>
      </c>
      <c r="D148" s="2">
        <v>8.3000000000000007</v>
      </c>
      <c r="G148" s="1">
        <f t="shared" ref="G148" si="60">VALUE(SUBSTITUTE(TRIM(RIGHTB(SUBSTITUTE(H148," ",REPT(" ",99)),99)),",","."))</f>
        <v>8.1</v>
      </c>
      <c r="H148" s="1" t="str">
        <f t="shared" si="45"/>
        <v>8,1</v>
      </c>
      <c r="I148" s="1" t="s">
        <v>98</v>
      </c>
      <c r="P148" s="7">
        <f t="shared" si="43"/>
        <v>8.3000000000000007</v>
      </c>
      <c r="Q148" s="7" t="str">
        <f t="shared" si="41"/>
        <v>8,3</v>
      </c>
      <c r="R148" s="1" t="s">
        <v>312</v>
      </c>
    </row>
    <row r="149" spans="1:18" x14ac:dyDescent="0.25">
      <c r="A149" s="2">
        <v>156</v>
      </c>
      <c r="B149" s="3">
        <v>2.37</v>
      </c>
      <c r="C149" s="2" t="s">
        <v>17</v>
      </c>
      <c r="D149" s="2">
        <v>21.6</v>
      </c>
      <c r="G149" s="1">
        <f t="shared" ref="G149" si="61">VALUE(SUBSTITUTE(TRIM(RIGHTB(SUBSTITUTE(H149," ",REPT(" ",99)),99)),",","."))</f>
        <v>23.5</v>
      </c>
      <c r="H149" s="1" t="str">
        <f t="shared" si="45"/>
        <v>23,5</v>
      </c>
      <c r="I149" s="1" t="s">
        <v>99</v>
      </c>
      <c r="P149" s="7">
        <f t="shared" si="43"/>
        <v>21.6</v>
      </c>
      <c r="Q149" s="7" t="str">
        <f t="shared" si="41"/>
        <v>21,6</v>
      </c>
      <c r="R149" s="1" t="s">
        <v>313</v>
      </c>
    </row>
    <row r="150" spans="1:18" x14ac:dyDescent="0.25">
      <c r="A150" s="2">
        <v>198</v>
      </c>
      <c r="B150" s="3">
        <v>2.38</v>
      </c>
      <c r="C150" s="2" t="s">
        <v>19</v>
      </c>
      <c r="D150" s="2">
        <v>6.7</v>
      </c>
      <c r="G150" s="1">
        <f t="shared" ref="G150" si="62">VALUE(SUBSTITUTE(TRIM(RIGHTB(SUBSTITUTE(H150," ",REPT(" ",99)),99)),",","."))</f>
        <v>6.4</v>
      </c>
      <c r="H150" s="1" t="str">
        <f t="shared" si="45"/>
        <v>6,4</v>
      </c>
      <c r="I150" s="1" t="s">
        <v>100</v>
      </c>
      <c r="P150" s="7">
        <f t="shared" si="43"/>
        <v>6.7</v>
      </c>
      <c r="Q150" s="7" t="str">
        <f t="shared" si="41"/>
        <v>6,7</v>
      </c>
      <c r="R150" s="1" t="s">
        <v>314</v>
      </c>
    </row>
    <row r="151" spans="1:18" x14ac:dyDescent="0.25">
      <c r="A151" s="2">
        <v>199</v>
      </c>
      <c r="B151" s="3">
        <v>2.39</v>
      </c>
      <c r="C151" s="2" t="s">
        <v>19</v>
      </c>
      <c r="D151" s="2">
        <v>29.6</v>
      </c>
      <c r="G151" s="1">
        <f t="shared" ref="G151" si="63">VALUE(SUBSTITUTE(TRIM(RIGHTB(SUBSTITUTE(H151," ",REPT(" ",99)),99)),",","."))</f>
        <v>29</v>
      </c>
      <c r="H151" s="1" t="str">
        <f t="shared" si="45"/>
        <v>29,0</v>
      </c>
      <c r="I151" s="1" t="s">
        <v>101</v>
      </c>
      <c r="P151" s="7">
        <f t="shared" si="43"/>
        <v>29.6</v>
      </c>
      <c r="Q151" s="7" t="str">
        <f t="shared" si="41"/>
        <v>29,6</v>
      </c>
      <c r="R151" s="1" t="s">
        <v>315</v>
      </c>
    </row>
    <row r="152" spans="1:18" x14ac:dyDescent="0.25">
      <c r="A152" s="2">
        <v>157</v>
      </c>
      <c r="B152" s="3">
        <v>2.4</v>
      </c>
      <c r="C152" s="2" t="s">
        <v>17</v>
      </c>
      <c r="D152" s="2">
        <v>51.3</v>
      </c>
      <c r="G152" s="1">
        <f t="shared" ref="G152" si="64">VALUE(SUBSTITUTE(TRIM(RIGHTB(SUBSTITUTE(H152," ",REPT(" ",99)),99)),",","."))</f>
        <v>50.4</v>
      </c>
      <c r="H152" s="1" t="str">
        <f t="shared" si="45"/>
        <v>50,4</v>
      </c>
      <c r="I152" s="1" t="s">
        <v>102</v>
      </c>
      <c r="P152" s="7">
        <f t="shared" si="43"/>
        <v>51.3</v>
      </c>
      <c r="Q152" s="7" t="str">
        <f t="shared" si="41"/>
        <v>51,3</v>
      </c>
      <c r="R152" s="1" t="s">
        <v>316</v>
      </c>
    </row>
    <row r="153" spans="1:18" x14ac:dyDescent="0.25">
      <c r="A153" s="2">
        <v>90</v>
      </c>
      <c r="B153" s="3">
        <v>2.41</v>
      </c>
      <c r="C153" s="2" t="s">
        <v>14</v>
      </c>
      <c r="D153" s="2">
        <v>56.6</v>
      </c>
      <c r="G153" s="1">
        <f t="shared" ref="G153" si="65">VALUE(SUBSTITUTE(TRIM(RIGHTB(SUBSTITUTE(H153," ",REPT(" ",99)),99)),",","."))</f>
        <v>55.9</v>
      </c>
      <c r="H153" s="1" t="str">
        <f t="shared" si="45"/>
        <v>55,9</v>
      </c>
      <c r="I153" s="1" t="s">
        <v>103</v>
      </c>
      <c r="P153" s="7">
        <f t="shared" si="43"/>
        <v>56.6</v>
      </c>
      <c r="Q153" s="7" t="str">
        <f t="shared" si="41"/>
        <v>56,6</v>
      </c>
      <c r="R153" s="1" t="s">
        <v>317</v>
      </c>
    </row>
    <row r="154" spans="1:18" x14ac:dyDescent="0.25">
      <c r="A154" s="2">
        <v>158</v>
      </c>
      <c r="B154" s="3">
        <v>2.42</v>
      </c>
      <c r="C154" s="2" t="s">
        <v>17</v>
      </c>
      <c r="D154" s="2">
        <v>21.5</v>
      </c>
      <c r="G154" s="1">
        <f t="shared" ref="G154" si="66">VALUE(SUBSTITUTE(TRIM(RIGHTB(SUBSTITUTE(H154," ",REPT(" ",99)),99)),",","."))</f>
        <v>23</v>
      </c>
      <c r="H154" s="1" t="str">
        <f t="shared" si="45"/>
        <v>23,0</v>
      </c>
      <c r="I154" s="1" t="s">
        <v>104</v>
      </c>
      <c r="P154" s="7">
        <f t="shared" si="43"/>
        <v>21.5</v>
      </c>
      <c r="Q154" s="7" t="str">
        <f t="shared" si="41"/>
        <v>21,5</v>
      </c>
      <c r="R154" s="1" t="s">
        <v>318</v>
      </c>
    </row>
    <row r="155" spans="1:18" x14ac:dyDescent="0.25">
      <c r="A155" s="2">
        <v>200</v>
      </c>
      <c r="B155" s="3">
        <v>2.4300000000000002</v>
      </c>
      <c r="C155" s="2" t="s">
        <v>19</v>
      </c>
      <c r="D155" s="2">
        <v>6.7</v>
      </c>
      <c r="G155" s="1">
        <f t="shared" ref="G155" si="67">VALUE(SUBSTITUTE(TRIM(RIGHTB(SUBSTITUTE(H155," ",REPT(" ",99)),99)),",","."))</f>
        <v>6.4</v>
      </c>
      <c r="H155" s="1" t="str">
        <f t="shared" si="45"/>
        <v>6,4</v>
      </c>
      <c r="I155" s="1" t="s">
        <v>105</v>
      </c>
      <c r="P155" s="7">
        <f t="shared" si="43"/>
        <v>6.7</v>
      </c>
      <c r="Q155" s="7" t="str">
        <f t="shared" si="41"/>
        <v>6,7</v>
      </c>
      <c r="R155" s="1" t="s">
        <v>319</v>
      </c>
    </row>
    <row r="156" spans="1:18" x14ac:dyDescent="0.25">
      <c r="A156" s="2">
        <v>159</v>
      </c>
      <c r="B156" s="3">
        <v>2.44</v>
      </c>
      <c r="C156" s="2" t="s">
        <v>17</v>
      </c>
      <c r="D156" s="2">
        <v>51.3</v>
      </c>
      <c r="G156" s="1">
        <f t="shared" ref="G156" si="68">VALUE(SUBSTITUTE(TRIM(RIGHTB(SUBSTITUTE(H156," ",REPT(" ",99)),99)),",","."))</f>
        <v>50.5</v>
      </c>
      <c r="H156" s="1" t="str">
        <f t="shared" si="45"/>
        <v>50,5</v>
      </c>
      <c r="I156" s="1" t="s">
        <v>106</v>
      </c>
      <c r="P156" s="7">
        <f t="shared" si="43"/>
        <v>51.3</v>
      </c>
      <c r="Q156" s="7" t="str">
        <f t="shared" si="41"/>
        <v>51,3</v>
      </c>
      <c r="R156" s="1" t="s">
        <v>320</v>
      </c>
    </row>
    <row r="157" spans="1:18" x14ac:dyDescent="0.25">
      <c r="A157" s="2">
        <v>91</v>
      </c>
      <c r="B157" s="3">
        <v>2.4500000000000002</v>
      </c>
      <c r="C157" s="2" t="s">
        <v>14</v>
      </c>
      <c r="D157" s="2">
        <v>56.3</v>
      </c>
      <c r="G157" s="1">
        <f t="shared" ref="G157" si="69">VALUE(SUBSTITUTE(TRIM(RIGHTB(SUBSTITUTE(H157," ",REPT(" ",99)),99)),",","."))</f>
        <v>55.5</v>
      </c>
      <c r="H157" s="1" t="str">
        <f t="shared" si="45"/>
        <v>55,5</v>
      </c>
      <c r="I157" s="1" t="s">
        <v>107</v>
      </c>
      <c r="P157" s="7">
        <f t="shared" si="43"/>
        <v>56.3</v>
      </c>
      <c r="Q157" s="7" t="str">
        <f t="shared" si="41"/>
        <v>56,3</v>
      </c>
      <c r="R157" s="1" t="s">
        <v>321</v>
      </c>
    </row>
    <row r="158" spans="1:18" x14ac:dyDescent="0.25">
      <c r="A158" s="2">
        <v>201</v>
      </c>
      <c r="B158" s="3">
        <v>2.46</v>
      </c>
      <c r="C158" s="2" t="s">
        <v>19</v>
      </c>
      <c r="D158" s="2">
        <v>29.6</v>
      </c>
      <c r="G158" s="1">
        <f t="shared" ref="G158" si="70">VALUE(SUBSTITUTE(TRIM(RIGHTB(SUBSTITUTE(H158," ",REPT(" ",99)),99)),",","."))</f>
        <v>29</v>
      </c>
      <c r="H158" s="1" t="str">
        <f t="shared" si="45"/>
        <v>29,0</v>
      </c>
      <c r="I158" s="1" t="s">
        <v>108</v>
      </c>
      <c r="P158" s="7">
        <f t="shared" si="43"/>
        <v>29.6</v>
      </c>
      <c r="Q158" s="7" t="str">
        <f t="shared" si="41"/>
        <v>29,6</v>
      </c>
      <c r="R158" s="1" t="s">
        <v>322</v>
      </c>
    </row>
    <row r="159" spans="1:18" x14ac:dyDescent="0.25">
      <c r="A159" s="2">
        <v>160</v>
      </c>
      <c r="B159" s="3">
        <v>2.4700000000000002</v>
      </c>
      <c r="C159" s="2" t="s">
        <v>17</v>
      </c>
      <c r="D159" s="2">
        <v>75.599999999999994</v>
      </c>
      <c r="G159" s="1">
        <f t="shared" ref="G159" si="71">VALUE(SUBSTITUTE(TRIM(RIGHTB(SUBSTITUTE(H159," ",REPT(" ",99)),99)),",","."))</f>
        <v>71</v>
      </c>
      <c r="H159" s="1" t="str">
        <f t="shared" si="45"/>
        <v>71,0</v>
      </c>
      <c r="I159" s="1" t="s">
        <v>109</v>
      </c>
      <c r="P159" s="7">
        <f t="shared" si="43"/>
        <v>75.599999999999994</v>
      </c>
      <c r="Q159" s="7" t="str">
        <f t="shared" si="41"/>
        <v>75,6</v>
      </c>
      <c r="R159" s="1" t="s">
        <v>323</v>
      </c>
    </row>
    <row r="160" spans="1:18" x14ac:dyDescent="0.25">
      <c r="A160" s="2">
        <v>161</v>
      </c>
      <c r="B160" s="3">
        <v>2.48</v>
      </c>
      <c r="C160" s="2" t="s">
        <v>17</v>
      </c>
      <c r="D160" s="2">
        <v>7</v>
      </c>
      <c r="G160" s="1">
        <f t="shared" ref="G160" si="72">VALUE(SUBSTITUTE(TRIM(RIGHTB(SUBSTITUTE(H160," ",REPT(" ",99)),99)),",","."))</f>
        <v>6.8</v>
      </c>
      <c r="H160" s="1" t="str">
        <f t="shared" si="45"/>
        <v>6,8</v>
      </c>
      <c r="I160" s="1" t="s">
        <v>110</v>
      </c>
      <c r="P160" s="7">
        <f t="shared" si="43"/>
        <v>7</v>
      </c>
      <c r="Q160" s="7" t="str">
        <f t="shared" si="41"/>
        <v>7,0</v>
      </c>
      <c r="R160" s="1" t="s">
        <v>324</v>
      </c>
    </row>
    <row r="161" spans="1:18" x14ac:dyDescent="0.25">
      <c r="A161" s="2">
        <v>162</v>
      </c>
      <c r="B161" s="3">
        <v>2.4900000000000002</v>
      </c>
      <c r="C161" s="2" t="s">
        <v>17</v>
      </c>
      <c r="D161" s="2">
        <v>75.2</v>
      </c>
      <c r="G161" s="1">
        <f t="shared" ref="G161" si="73">VALUE(SUBSTITUTE(TRIM(RIGHTB(SUBSTITUTE(H161," ",REPT(" ",99)),99)),",","."))</f>
        <v>72.3</v>
      </c>
      <c r="H161" s="1" t="str">
        <f t="shared" si="45"/>
        <v>72,3</v>
      </c>
      <c r="I161" s="1" t="s">
        <v>111</v>
      </c>
      <c r="P161" s="7">
        <f t="shared" si="43"/>
        <v>75.2</v>
      </c>
      <c r="Q161" s="7" t="str">
        <f t="shared" si="41"/>
        <v>75,2</v>
      </c>
      <c r="R161" s="1" t="s">
        <v>325</v>
      </c>
    </row>
    <row r="162" spans="1:18" x14ac:dyDescent="0.25">
      <c r="A162" s="2">
        <v>163</v>
      </c>
      <c r="B162" s="3">
        <v>2.5</v>
      </c>
      <c r="C162" s="2" t="s">
        <v>17</v>
      </c>
      <c r="D162" s="2">
        <v>6.2</v>
      </c>
      <c r="G162" s="1" t="e">
        <f t="shared" ref="G162" si="74">VALUE(SUBSTITUTE(TRIM(RIGHTB(SUBSTITUTE(H162," ",REPT(" ",99)),99)),",","."))</f>
        <v>#VALUE!</v>
      </c>
      <c r="H162" s="1" t="str">
        <f t="shared" si="45"/>
        <v/>
      </c>
      <c r="P162" s="7">
        <f t="shared" si="43"/>
        <v>6.2</v>
      </c>
      <c r="Q162" s="7" t="str">
        <f t="shared" si="41"/>
        <v>6,2</v>
      </c>
      <c r="R162" s="1" t="s">
        <v>326</v>
      </c>
    </row>
    <row r="163" spans="1:18" x14ac:dyDescent="0.25">
      <c r="A163" s="2">
        <v>78</v>
      </c>
      <c r="B163" s="3">
        <v>2.5099999999999998</v>
      </c>
      <c r="C163" s="2" t="s">
        <v>13</v>
      </c>
      <c r="D163" s="2">
        <v>38.700000000000003</v>
      </c>
      <c r="G163" s="1">
        <f t="shared" ref="G163" si="75">VALUE(SUBSTITUTE(TRIM(RIGHTB(SUBSTITUTE(H163," ",REPT(" ",99)),99)),",","."))</f>
        <v>37.6</v>
      </c>
      <c r="H163" s="1" t="str">
        <f t="shared" si="45"/>
        <v>37,6</v>
      </c>
      <c r="I163" s="1" t="s">
        <v>112</v>
      </c>
      <c r="P163" s="7">
        <f t="shared" si="43"/>
        <v>38.700000000000003</v>
      </c>
      <c r="Q163" s="7" t="str">
        <f t="shared" si="41"/>
        <v>38,7</v>
      </c>
      <c r="R163" s="1" t="s">
        <v>327</v>
      </c>
    </row>
    <row r="164" spans="1:18" x14ac:dyDescent="0.25">
      <c r="A164" s="2">
        <v>202</v>
      </c>
      <c r="B164" s="3">
        <v>2.52</v>
      </c>
      <c r="C164" s="2" t="s">
        <v>19</v>
      </c>
      <c r="D164" s="2">
        <v>5.8</v>
      </c>
      <c r="G164" s="1">
        <f t="shared" ref="G164" si="76">VALUE(SUBSTITUTE(TRIM(RIGHTB(SUBSTITUTE(H164," ",REPT(" ",99)),99)),",","."))</f>
        <v>5.6</v>
      </c>
      <c r="H164" s="1" t="str">
        <f t="shared" si="45"/>
        <v>5,6</v>
      </c>
      <c r="I164" s="1" t="s">
        <v>113</v>
      </c>
      <c r="P164" s="7">
        <f t="shared" si="43"/>
        <v>5.8</v>
      </c>
      <c r="Q164" s="7" t="str">
        <f t="shared" si="41"/>
        <v>5,8</v>
      </c>
      <c r="R164" s="1" t="s">
        <v>328</v>
      </c>
    </row>
    <row r="165" spans="1:18" x14ac:dyDescent="0.25">
      <c r="A165" s="2">
        <v>129</v>
      </c>
      <c r="B165" s="3">
        <v>2.5299999999999998</v>
      </c>
      <c r="C165" s="2" t="s">
        <v>16</v>
      </c>
      <c r="D165" s="2">
        <v>6.2</v>
      </c>
      <c r="G165" s="1">
        <f t="shared" ref="G165" si="77">VALUE(SUBSTITUTE(TRIM(RIGHTB(SUBSTITUTE(H165," ",REPT(" ",99)),99)),",","."))</f>
        <v>6</v>
      </c>
      <c r="H165" s="1" t="str">
        <f t="shared" si="45"/>
        <v>6,0</v>
      </c>
      <c r="I165" s="1" t="s">
        <v>114</v>
      </c>
      <c r="P165" s="7">
        <f t="shared" si="43"/>
        <v>6.2</v>
      </c>
      <c r="Q165" s="7" t="str">
        <f t="shared" si="41"/>
        <v>6,2</v>
      </c>
      <c r="R165" s="1" t="s">
        <v>329</v>
      </c>
    </row>
    <row r="166" spans="1:18" x14ac:dyDescent="0.25">
      <c r="A166" s="2">
        <v>130</v>
      </c>
      <c r="B166" s="3">
        <v>2.54</v>
      </c>
      <c r="C166" s="2" t="s">
        <v>16</v>
      </c>
      <c r="D166" s="2">
        <v>32.1</v>
      </c>
      <c r="G166" s="1">
        <f t="shared" ref="G166" si="78">VALUE(SUBSTITUTE(TRIM(RIGHTB(SUBSTITUTE(H166," ",REPT(" ",99)),99)),",","."))</f>
        <v>31.3</v>
      </c>
      <c r="H166" s="1" t="str">
        <f t="shared" si="45"/>
        <v>31,3</v>
      </c>
      <c r="I166" s="1" t="s">
        <v>115</v>
      </c>
      <c r="P166" s="7">
        <f t="shared" si="43"/>
        <v>32.1</v>
      </c>
      <c r="Q166" s="7" t="str">
        <f t="shared" si="41"/>
        <v>32,1</v>
      </c>
      <c r="R166" s="1" t="s">
        <v>330</v>
      </c>
    </row>
    <row r="167" spans="1:18" x14ac:dyDescent="0.25">
      <c r="A167" s="2">
        <v>131</v>
      </c>
      <c r="B167" s="3">
        <v>2.5499999999999998</v>
      </c>
      <c r="C167" s="2" t="s">
        <v>16</v>
      </c>
      <c r="D167" s="2">
        <v>6.5</v>
      </c>
      <c r="G167" s="1">
        <f t="shared" ref="G167" si="79">VALUE(SUBSTITUTE(TRIM(RIGHTB(SUBSTITUTE(H167," ",REPT(" ",99)),99)),",","."))</f>
        <v>6.3</v>
      </c>
      <c r="H167" s="1" t="str">
        <f t="shared" si="45"/>
        <v>6,3</v>
      </c>
      <c r="I167" s="1" t="s">
        <v>116</v>
      </c>
      <c r="P167" s="7">
        <f t="shared" si="43"/>
        <v>6.5</v>
      </c>
      <c r="Q167" s="7" t="str">
        <f t="shared" si="41"/>
        <v>6,5</v>
      </c>
      <c r="R167" s="1" t="s">
        <v>331</v>
      </c>
    </row>
    <row r="168" spans="1:18" x14ac:dyDescent="0.25">
      <c r="A168" s="2">
        <v>79</v>
      </c>
      <c r="B168" s="3">
        <v>2.56</v>
      </c>
      <c r="C168" s="2" t="s">
        <v>13</v>
      </c>
      <c r="D168" s="2">
        <v>63.1</v>
      </c>
      <c r="G168" s="1">
        <f t="shared" ref="G168" si="80">VALUE(SUBSTITUTE(TRIM(RIGHTB(SUBSTITUTE(H168," ",REPT(" ",99)),99)),",","."))</f>
        <v>59.9</v>
      </c>
      <c r="H168" s="1" t="str">
        <f t="shared" si="45"/>
        <v>59,9</v>
      </c>
      <c r="I168" s="1" t="s">
        <v>117</v>
      </c>
      <c r="P168" s="7">
        <f t="shared" si="43"/>
        <v>63.1</v>
      </c>
      <c r="Q168" s="7" t="str">
        <f t="shared" si="41"/>
        <v>63,1</v>
      </c>
      <c r="R168" s="1" t="s">
        <v>332</v>
      </c>
    </row>
    <row r="169" spans="1:18" x14ac:dyDescent="0.25">
      <c r="A169" s="2">
        <v>132</v>
      </c>
      <c r="B169" s="3">
        <v>2.57</v>
      </c>
      <c r="C169" s="2" t="s">
        <v>16</v>
      </c>
      <c r="D169" s="2">
        <v>28.1</v>
      </c>
      <c r="G169" s="1">
        <f t="shared" ref="G169" si="81">VALUE(SUBSTITUTE(TRIM(RIGHTB(SUBSTITUTE(H169," ",REPT(" ",99)),99)),",","."))</f>
        <v>26.2</v>
      </c>
      <c r="H169" s="1" t="str">
        <f t="shared" si="45"/>
        <v>26,2</v>
      </c>
      <c r="I169" s="1" t="s">
        <v>118</v>
      </c>
      <c r="P169" s="7">
        <f t="shared" si="43"/>
        <v>28.1</v>
      </c>
      <c r="Q169" s="7" t="str">
        <f t="shared" si="41"/>
        <v>28,1</v>
      </c>
      <c r="R169" s="1" t="s">
        <v>333</v>
      </c>
    </row>
    <row r="170" spans="1:18" x14ac:dyDescent="0.25">
      <c r="A170" s="2">
        <v>164</v>
      </c>
      <c r="B170" s="3">
        <v>2.58</v>
      </c>
      <c r="C170" s="2" t="s">
        <v>17</v>
      </c>
      <c r="D170" s="2">
        <v>76.2</v>
      </c>
      <c r="G170" s="1">
        <f t="shared" ref="G170" si="82">VALUE(SUBSTITUTE(TRIM(RIGHTB(SUBSTITUTE(H170," ",REPT(" ",99)),99)),",","."))</f>
        <v>74.5</v>
      </c>
      <c r="H170" s="1" t="str">
        <f t="shared" si="45"/>
        <v>74,5</v>
      </c>
      <c r="I170" s="1" t="s">
        <v>119</v>
      </c>
      <c r="P170" s="7">
        <f t="shared" si="43"/>
        <v>76.2</v>
      </c>
      <c r="Q170" s="7" t="str">
        <f t="shared" si="41"/>
        <v>76,2</v>
      </c>
      <c r="R170" s="1" t="s">
        <v>334</v>
      </c>
    </row>
    <row r="171" spans="1:18" x14ac:dyDescent="0.25">
      <c r="A171" s="2">
        <v>165</v>
      </c>
      <c r="B171" s="3">
        <v>3.01</v>
      </c>
      <c r="C171" s="2" t="s">
        <v>17</v>
      </c>
      <c r="D171" s="2">
        <v>62.8</v>
      </c>
      <c r="G171" s="1">
        <f t="shared" ref="G171" si="83">VALUE(SUBSTITUTE(TRIM(RIGHTB(SUBSTITUTE(H171," ",REPT(" ",99)),99)),",","."))</f>
        <v>61.9</v>
      </c>
      <c r="H171" s="1" t="str">
        <f t="shared" si="45"/>
        <v>61,9</v>
      </c>
      <c r="I171" s="1" t="s">
        <v>120</v>
      </c>
      <c r="P171" s="7">
        <f t="shared" si="43"/>
        <v>62.8</v>
      </c>
      <c r="Q171" s="7" t="str">
        <f t="shared" si="41"/>
        <v>62,8</v>
      </c>
      <c r="R171" s="1" t="s">
        <v>335</v>
      </c>
    </row>
    <row r="172" spans="1:18" x14ac:dyDescent="0.25">
      <c r="A172" s="2">
        <v>166</v>
      </c>
      <c r="B172" s="3">
        <v>3.02</v>
      </c>
      <c r="C172" s="2" t="s">
        <v>17</v>
      </c>
      <c r="D172" s="2">
        <v>89.1</v>
      </c>
      <c r="G172" s="1">
        <f t="shared" ref="G172" si="84">VALUE(SUBSTITUTE(TRIM(RIGHTB(SUBSTITUTE(H172," ",REPT(" ",99)),99)),",","."))</f>
        <v>87.9</v>
      </c>
      <c r="H172" s="1" t="str">
        <f t="shared" si="45"/>
        <v>87,9</v>
      </c>
      <c r="I172" s="1" t="s">
        <v>121</v>
      </c>
      <c r="P172" s="7">
        <f t="shared" si="43"/>
        <v>89.1</v>
      </c>
      <c r="Q172" s="7" t="str">
        <f t="shared" si="41"/>
        <v>89,1</v>
      </c>
      <c r="R172" s="1" t="s">
        <v>336</v>
      </c>
    </row>
    <row r="173" spans="1:18" x14ac:dyDescent="0.25">
      <c r="A173" s="2">
        <v>167</v>
      </c>
      <c r="B173" s="3">
        <v>3.03</v>
      </c>
      <c r="C173" s="2" t="s">
        <v>17</v>
      </c>
      <c r="D173" s="2">
        <v>29.7</v>
      </c>
      <c r="G173" s="1">
        <f t="shared" ref="G173" si="85">VALUE(SUBSTITUTE(TRIM(RIGHTB(SUBSTITUTE(H173," ",REPT(" ",99)),99)),",","."))</f>
        <v>29.2</v>
      </c>
      <c r="H173" s="1" t="str">
        <f t="shared" si="45"/>
        <v>29,2</v>
      </c>
      <c r="I173" s="1" t="s">
        <v>122</v>
      </c>
      <c r="P173" s="7">
        <f t="shared" si="43"/>
        <v>29.7</v>
      </c>
      <c r="Q173" s="7" t="str">
        <f t="shared" si="41"/>
        <v>29,7</v>
      </c>
      <c r="R173" s="1" t="s">
        <v>337</v>
      </c>
    </row>
    <row r="174" spans="1:18" x14ac:dyDescent="0.25">
      <c r="A174" s="2">
        <v>168</v>
      </c>
      <c r="B174" s="3">
        <v>3.04</v>
      </c>
      <c r="C174" s="2" t="s">
        <v>17</v>
      </c>
      <c r="D174" s="2">
        <v>64.599999999999994</v>
      </c>
      <c r="G174" s="1">
        <f t="shared" ref="G174" si="86">VALUE(SUBSTITUTE(TRIM(RIGHTB(SUBSTITUTE(H174," ",REPT(" ",99)),99)),",","."))</f>
        <v>63.9</v>
      </c>
      <c r="H174" s="1" t="str">
        <f t="shared" si="45"/>
        <v>63,9</v>
      </c>
      <c r="I174" s="1" t="s">
        <v>123</v>
      </c>
      <c r="P174" s="7">
        <f t="shared" si="43"/>
        <v>64.599999999999994</v>
      </c>
      <c r="Q174" s="7" t="str">
        <f t="shared" si="41"/>
        <v>64,6</v>
      </c>
      <c r="R174" s="1" t="s">
        <v>338</v>
      </c>
    </row>
    <row r="175" spans="1:18" x14ac:dyDescent="0.25">
      <c r="A175" s="2">
        <v>169</v>
      </c>
      <c r="B175" s="3">
        <v>3.05</v>
      </c>
      <c r="C175" s="2" t="s">
        <v>17</v>
      </c>
      <c r="D175" s="2">
        <v>63.8</v>
      </c>
      <c r="G175" s="1">
        <f t="shared" ref="G175" si="87">VALUE(SUBSTITUTE(TRIM(RIGHTB(SUBSTITUTE(H175," ",REPT(" ",99)),99)),",","."))</f>
        <v>63</v>
      </c>
      <c r="H175" s="1" t="str">
        <f t="shared" si="45"/>
        <v>63,0</v>
      </c>
      <c r="I175" s="1" t="s">
        <v>124</v>
      </c>
      <c r="P175" s="7">
        <f t="shared" si="43"/>
        <v>63.8</v>
      </c>
      <c r="Q175" s="7" t="str">
        <f t="shared" si="41"/>
        <v>63,8</v>
      </c>
      <c r="R175" s="1" t="s">
        <v>339</v>
      </c>
    </row>
    <row r="176" spans="1:18" x14ac:dyDescent="0.25">
      <c r="A176" s="2">
        <v>170</v>
      </c>
      <c r="B176" s="3">
        <v>3.06</v>
      </c>
      <c r="C176" s="2" t="s">
        <v>17</v>
      </c>
      <c r="D176" s="2">
        <v>65.400000000000006</v>
      </c>
      <c r="G176" s="1">
        <f t="shared" ref="G176" si="88">VALUE(SUBSTITUTE(TRIM(RIGHTB(SUBSTITUTE(H176," ",REPT(" ",99)),99)),",","."))</f>
        <v>64.599999999999994</v>
      </c>
      <c r="H176" s="1" t="str">
        <f t="shared" si="45"/>
        <v>64,6</v>
      </c>
      <c r="I176" s="1" t="s">
        <v>125</v>
      </c>
      <c r="P176" s="7">
        <f t="shared" si="43"/>
        <v>65.400000000000006</v>
      </c>
      <c r="Q176" s="7" t="str">
        <f t="shared" si="41"/>
        <v>65,4</v>
      </c>
      <c r="R176" s="1" t="s">
        <v>340</v>
      </c>
    </row>
    <row r="177" spans="1:18" x14ac:dyDescent="0.25">
      <c r="A177" s="2">
        <v>171</v>
      </c>
      <c r="B177" s="3">
        <v>3.07</v>
      </c>
      <c r="C177" s="2" t="s">
        <v>17</v>
      </c>
      <c r="D177" s="2">
        <v>63.7</v>
      </c>
      <c r="G177" s="1">
        <f t="shared" ref="G177" si="89">VALUE(SUBSTITUTE(TRIM(RIGHTB(SUBSTITUTE(H177," ",REPT(" ",99)),99)),",","."))</f>
        <v>63</v>
      </c>
      <c r="H177" s="1" t="str">
        <f t="shared" si="45"/>
        <v>63,0</v>
      </c>
      <c r="I177" s="1" t="s">
        <v>126</v>
      </c>
      <c r="P177" s="7">
        <f t="shared" si="43"/>
        <v>63.7</v>
      </c>
      <c r="Q177" s="7" t="str">
        <f t="shared" si="41"/>
        <v>63,7</v>
      </c>
      <c r="R177" s="1" t="s">
        <v>341</v>
      </c>
    </row>
    <row r="178" spans="1:18" x14ac:dyDescent="0.25">
      <c r="A178" s="2">
        <v>172</v>
      </c>
      <c r="B178" s="3">
        <v>3.08</v>
      </c>
      <c r="C178" s="2" t="s">
        <v>17</v>
      </c>
      <c r="D178" s="2">
        <v>64.3</v>
      </c>
      <c r="G178" s="1">
        <f t="shared" ref="G178" si="90">VALUE(SUBSTITUTE(TRIM(RIGHTB(SUBSTITUTE(H178," ",REPT(" ",99)),99)),",","."))</f>
        <v>63.6</v>
      </c>
      <c r="H178" s="1" t="str">
        <f t="shared" si="45"/>
        <v>63,6</v>
      </c>
      <c r="I178" s="1" t="s">
        <v>127</v>
      </c>
      <c r="P178" s="7">
        <f t="shared" si="43"/>
        <v>64.3</v>
      </c>
      <c r="Q178" s="7" t="str">
        <f t="shared" si="41"/>
        <v>64,3</v>
      </c>
      <c r="R178" s="1" t="s">
        <v>342</v>
      </c>
    </row>
    <row r="179" spans="1:18" x14ac:dyDescent="0.25">
      <c r="A179" s="2">
        <v>203</v>
      </c>
      <c r="B179" s="3">
        <v>3.09</v>
      </c>
      <c r="C179" s="2" t="s">
        <v>19</v>
      </c>
      <c r="D179" s="2">
        <v>5.4</v>
      </c>
      <c r="G179" s="1">
        <f t="shared" ref="G179" si="91">VALUE(SUBSTITUTE(TRIM(RIGHTB(SUBSTITUTE(H179," ",REPT(" ",99)),99)),",","."))</f>
        <v>5.0999999999999996</v>
      </c>
      <c r="H179" s="1" t="str">
        <f t="shared" si="45"/>
        <v>5,1</v>
      </c>
      <c r="I179" s="1" t="s">
        <v>128</v>
      </c>
      <c r="P179" s="7">
        <f t="shared" si="43"/>
        <v>5.4</v>
      </c>
      <c r="Q179" s="7" t="str">
        <f t="shared" si="41"/>
        <v>5,4</v>
      </c>
      <c r="R179" s="1" t="s">
        <v>343</v>
      </c>
    </row>
    <row r="180" spans="1:18" x14ac:dyDescent="0.25">
      <c r="A180" s="2">
        <v>204</v>
      </c>
      <c r="B180" s="3">
        <v>3.1</v>
      </c>
      <c r="C180" s="2" t="s">
        <v>19</v>
      </c>
      <c r="D180" s="2">
        <v>15.8</v>
      </c>
      <c r="G180" s="1">
        <f t="shared" ref="G180" si="92">VALUE(SUBSTITUTE(TRIM(RIGHTB(SUBSTITUTE(H180," ",REPT(" ",99)),99)),",","."))</f>
        <v>14.5</v>
      </c>
      <c r="H180" s="1" t="str">
        <f t="shared" si="45"/>
        <v>14,5</v>
      </c>
      <c r="I180" s="1" t="s">
        <v>129</v>
      </c>
      <c r="P180" s="7">
        <f t="shared" si="43"/>
        <v>15.8</v>
      </c>
      <c r="Q180" s="7" t="str">
        <f t="shared" si="41"/>
        <v>15,8</v>
      </c>
      <c r="R180" s="1" t="s">
        <v>344</v>
      </c>
    </row>
    <row r="181" spans="1:18" x14ac:dyDescent="0.25">
      <c r="A181" s="2">
        <v>205</v>
      </c>
      <c r="B181" s="3">
        <v>3.11</v>
      </c>
      <c r="C181" s="2" t="s">
        <v>19</v>
      </c>
      <c r="D181" s="2">
        <v>15.8</v>
      </c>
      <c r="G181" s="1">
        <f t="shared" ref="G181" si="93">VALUE(SUBSTITUTE(TRIM(RIGHTB(SUBSTITUTE(H181," ",REPT(" ",99)),99)),",","."))</f>
        <v>14.4</v>
      </c>
      <c r="H181" s="1" t="str">
        <f t="shared" si="45"/>
        <v>14,4</v>
      </c>
      <c r="I181" s="1" t="s">
        <v>130</v>
      </c>
      <c r="P181" s="7">
        <f t="shared" si="43"/>
        <v>15.8</v>
      </c>
      <c r="Q181" s="7" t="str">
        <f t="shared" si="41"/>
        <v>15,8</v>
      </c>
      <c r="R181" s="1" t="s">
        <v>345</v>
      </c>
    </row>
    <row r="182" spans="1:18" x14ac:dyDescent="0.25">
      <c r="A182" s="2">
        <v>173</v>
      </c>
      <c r="B182" s="3">
        <v>3.12</v>
      </c>
      <c r="C182" s="2" t="s">
        <v>17</v>
      </c>
      <c r="D182" s="2">
        <v>246.5</v>
      </c>
      <c r="G182" s="1">
        <f t="shared" ref="G182" si="94">VALUE(SUBSTITUTE(TRIM(RIGHTB(SUBSTITUTE(H182," ",REPT(" ",99)),99)),",","."))</f>
        <v>243.9</v>
      </c>
      <c r="H182" s="1" t="str">
        <f t="shared" si="45"/>
        <v>243,9</v>
      </c>
      <c r="I182" s="1" t="s">
        <v>131</v>
      </c>
      <c r="P182" s="7">
        <f t="shared" si="43"/>
        <v>246.5</v>
      </c>
      <c r="Q182" s="7" t="str">
        <f t="shared" si="41"/>
        <v>246,5</v>
      </c>
      <c r="R182" s="1" t="s">
        <v>346</v>
      </c>
    </row>
    <row r="183" spans="1:18" x14ac:dyDescent="0.25">
      <c r="A183" s="2">
        <v>174</v>
      </c>
      <c r="B183" s="3">
        <v>3.13</v>
      </c>
      <c r="C183" s="2" t="s">
        <v>17</v>
      </c>
      <c r="D183" s="2">
        <v>13.3</v>
      </c>
      <c r="G183" s="1">
        <f t="shared" ref="G183" si="95">VALUE(SUBSTITUTE(TRIM(RIGHTB(SUBSTITUTE(H183," ",REPT(" ",99)),99)),",","."))</f>
        <v>13</v>
      </c>
      <c r="H183" s="1" t="str">
        <f t="shared" si="45"/>
        <v>13,0</v>
      </c>
      <c r="I183" s="1" t="s">
        <v>132</v>
      </c>
      <c r="P183" s="7">
        <f t="shared" si="43"/>
        <v>13.3</v>
      </c>
      <c r="Q183" s="7" t="str">
        <f t="shared" si="41"/>
        <v>13,3</v>
      </c>
      <c r="R183" s="1" t="s">
        <v>347</v>
      </c>
    </row>
    <row r="184" spans="1:18" x14ac:dyDescent="0.25">
      <c r="A184" s="2">
        <v>206</v>
      </c>
      <c r="B184" s="3">
        <v>3.14</v>
      </c>
      <c r="C184" s="2" t="s">
        <v>19</v>
      </c>
      <c r="D184" s="2">
        <v>5.4</v>
      </c>
      <c r="G184" s="1">
        <f t="shared" ref="G184" si="96">VALUE(SUBSTITUTE(TRIM(RIGHTB(SUBSTITUTE(H184," ",REPT(" ",99)),99)),",","."))</f>
        <v>5.0999999999999996</v>
      </c>
      <c r="H184" s="1" t="str">
        <f t="shared" si="45"/>
        <v>5,1</v>
      </c>
      <c r="I184" s="1" t="s">
        <v>133</v>
      </c>
      <c r="P184" s="7">
        <f t="shared" si="43"/>
        <v>5.4</v>
      </c>
      <c r="Q184" s="7" t="str">
        <f t="shared" si="41"/>
        <v>5,4</v>
      </c>
      <c r="R184" s="1" t="s">
        <v>348</v>
      </c>
    </row>
    <row r="185" spans="1:18" x14ac:dyDescent="0.25">
      <c r="A185" s="2">
        <v>207</v>
      </c>
      <c r="B185" s="3">
        <v>3.15</v>
      </c>
      <c r="C185" s="2" t="s">
        <v>19</v>
      </c>
      <c r="D185" s="2">
        <v>11.9</v>
      </c>
      <c r="G185" s="1">
        <f t="shared" ref="G185" si="97">VALUE(SUBSTITUTE(TRIM(RIGHTB(SUBSTITUTE(H185," ",REPT(" ",99)),99)),",","."))</f>
        <v>11.5</v>
      </c>
      <c r="H185" s="1" t="str">
        <f t="shared" si="45"/>
        <v>11,5</v>
      </c>
      <c r="I185" s="1" t="s">
        <v>134</v>
      </c>
      <c r="P185" s="7">
        <f t="shared" si="43"/>
        <v>11.9</v>
      </c>
      <c r="Q185" s="7" t="str">
        <f t="shared" si="41"/>
        <v>11,9</v>
      </c>
      <c r="R185" s="1" t="s">
        <v>349</v>
      </c>
    </row>
    <row r="186" spans="1:18" x14ac:dyDescent="0.25">
      <c r="A186" s="2">
        <v>133</v>
      </c>
      <c r="B186" s="3">
        <v>3.16</v>
      </c>
      <c r="C186" s="2" t="s">
        <v>16</v>
      </c>
      <c r="D186" s="2">
        <v>13</v>
      </c>
      <c r="G186" s="1">
        <f t="shared" ref="G186" si="98">VALUE(SUBSTITUTE(TRIM(RIGHTB(SUBSTITUTE(H186," ",REPT(" ",99)),99)),",","."))</f>
        <v>6.5</v>
      </c>
      <c r="H186" s="1" t="str">
        <f t="shared" si="45"/>
        <v>6,5</v>
      </c>
      <c r="I186" s="1" t="s">
        <v>135</v>
      </c>
      <c r="P186" s="7">
        <f t="shared" si="43"/>
        <v>13</v>
      </c>
      <c r="Q186" s="7" t="str">
        <f t="shared" si="41"/>
        <v>13,0</v>
      </c>
      <c r="R186" s="1" t="s">
        <v>350</v>
      </c>
    </row>
    <row r="187" spans="1:18" x14ac:dyDescent="0.25">
      <c r="A187" s="2">
        <v>134</v>
      </c>
      <c r="B187" s="3">
        <v>3.17</v>
      </c>
      <c r="C187" s="2" t="s">
        <v>16</v>
      </c>
      <c r="D187" s="2">
        <v>25.8</v>
      </c>
      <c r="G187" s="1">
        <f t="shared" ref="G187" si="99">VALUE(SUBSTITUTE(TRIM(RIGHTB(SUBSTITUTE(H187," ",REPT(" ",99)),99)),",","."))</f>
        <v>25.2</v>
      </c>
      <c r="H187" s="1" t="str">
        <f t="shared" si="45"/>
        <v>25,2</v>
      </c>
      <c r="I187" s="1" t="s">
        <v>136</v>
      </c>
      <c r="P187" s="7">
        <f t="shared" si="43"/>
        <v>25.8</v>
      </c>
      <c r="Q187" s="7" t="str">
        <f t="shared" si="41"/>
        <v>25,8</v>
      </c>
      <c r="R187" s="1" t="s">
        <v>351</v>
      </c>
    </row>
    <row r="188" spans="1:18" x14ac:dyDescent="0.25">
      <c r="A188" s="2">
        <v>175</v>
      </c>
      <c r="B188" s="3">
        <v>3.18</v>
      </c>
      <c r="C188" s="2" t="s">
        <v>17</v>
      </c>
      <c r="D188" s="2">
        <v>107.2</v>
      </c>
      <c r="G188" s="1">
        <f t="shared" ref="G188" si="100">VALUE(SUBSTITUTE(TRIM(RIGHTB(SUBSTITUTE(H188," ",REPT(" ",99)),99)),",","."))</f>
        <v>113.4</v>
      </c>
      <c r="H188" s="1" t="str">
        <f t="shared" si="45"/>
        <v>113,4</v>
      </c>
      <c r="I188" s="1" t="s">
        <v>137</v>
      </c>
      <c r="P188" s="7">
        <f t="shared" si="43"/>
        <v>107.2</v>
      </c>
      <c r="Q188" s="7" t="str">
        <f t="shared" si="41"/>
        <v>107,2</v>
      </c>
      <c r="R188" s="1" t="s">
        <v>352</v>
      </c>
    </row>
    <row r="189" spans="1:18" x14ac:dyDescent="0.25">
      <c r="A189" s="2">
        <v>80</v>
      </c>
      <c r="B189" s="3">
        <v>3.19</v>
      </c>
      <c r="C189" s="2" t="s">
        <v>13</v>
      </c>
      <c r="D189" s="2">
        <v>113.7</v>
      </c>
      <c r="G189" s="1">
        <f t="shared" ref="G189" si="101">VALUE(SUBSTITUTE(TRIM(RIGHTB(SUBSTITUTE(H189," ",REPT(" ",99)),99)),",","."))</f>
        <v>105.9</v>
      </c>
      <c r="H189" s="1" t="str">
        <f t="shared" si="45"/>
        <v>105,9</v>
      </c>
      <c r="I189" s="1" t="s">
        <v>138</v>
      </c>
      <c r="P189" s="7">
        <f t="shared" si="43"/>
        <v>113.7</v>
      </c>
      <c r="Q189" s="7" t="str">
        <f t="shared" si="41"/>
        <v>113,7</v>
      </c>
      <c r="R189" s="1" t="s">
        <v>353</v>
      </c>
    </row>
    <row r="190" spans="1:18" x14ac:dyDescent="0.25">
      <c r="A190" s="2">
        <v>135</v>
      </c>
      <c r="B190" s="3">
        <v>3.2</v>
      </c>
      <c r="C190" s="2" t="s">
        <v>16</v>
      </c>
      <c r="D190" s="2">
        <v>25.7</v>
      </c>
      <c r="G190" s="1">
        <f t="shared" ref="G190" si="102">VALUE(SUBSTITUTE(TRIM(RIGHTB(SUBSTITUTE(H190," ",REPT(" ",99)),99)),",","."))</f>
        <v>25.2</v>
      </c>
      <c r="H190" s="1" t="str">
        <f t="shared" si="45"/>
        <v>25,2</v>
      </c>
      <c r="I190" s="1" t="s">
        <v>139</v>
      </c>
      <c r="P190" s="7">
        <f t="shared" si="43"/>
        <v>25.7</v>
      </c>
      <c r="Q190" s="7" t="str">
        <f t="shared" si="41"/>
        <v>25,7</v>
      </c>
      <c r="R190" s="1" t="s">
        <v>354</v>
      </c>
    </row>
    <row r="191" spans="1:18" x14ac:dyDescent="0.25">
      <c r="A191" s="2">
        <v>136</v>
      </c>
      <c r="B191" s="3">
        <v>3.21</v>
      </c>
      <c r="C191" s="2" t="s">
        <v>16</v>
      </c>
      <c r="D191" s="2">
        <v>30.6</v>
      </c>
      <c r="G191" s="1">
        <f t="shared" ref="G191" si="103">VALUE(SUBSTITUTE(TRIM(RIGHTB(SUBSTITUTE(H191," ",REPT(" ",99)),99)),",","."))</f>
        <v>28.7</v>
      </c>
      <c r="H191" s="1" t="str">
        <f t="shared" si="45"/>
        <v>28,7</v>
      </c>
      <c r="I191" s="1" t="s">
        <v>140</v>
      </c>
      <c r="P191" s="7">
        <f t="shared" si="43"/>
        <v>30.6</v>
      </c>
      <c r="Q191" s="7" t="str">
        <f t="shared" si="41"/>
        <v>30,6</v>
      </c>
      <c r="R191" s="1" t="s">
        <v>355</v>
      </c>
    </row>
    <row r="192" spans="1:18" x14ac:dyDescent="0.25">
      <c r="A192" s="2">
        <v>137</v>
      </c>
      <c r="B192" s="3">
        <v>3.22</v>
      </c>
      <c r="C192" s="2" t="s">
        <v>16</v>
      </c>
      <c r="D192" s="2">
        <v>8.5</v>
      </c>
      <c r="G192" s="1">
        <f t="shared" ref="G192" si="104">VALUE(SUBSTITUTE(TRIM(RIGHTB(SUBSTITUTE(H192," ",REPT(" ",99)),99)),",","."))</f>
        <v>8.3000000000000007</v>
      </c>
      <c r="H192" s="1" t="str">
        <f t="shared" ref="H192:H215" si="105">TRIM(RIGHTB(SUBSTITUTE(I192," ",REPT(" ",99)),99))</f>
        <v>8,3</v>
      </c>
      <c r="I192" s="1" t="s">
        <v>141</v>
      </c>
      <c r="P192" s="7">
        <f t="shared" si="43"/>
        <v>8.5</v>
      </c>
      <c r="Q192" s="7" t="str">
        <f t="shared" si="41"/>
        <v>8,5</v>
      </c>
      <c r="R192" s="1" t="s">
        <v>356</v>
      </c>
    </row>
    <row r="193" spans="1:18" x14ac:dyDescent="0.25">
      <c r="A193" s="2">
        <v>176</v>
      </c>
      <c r="B193" s="3">
        <v>3.23</v>
      </c>
      <c r="C193" s="2" t="s">
        <v>17</v>
      </c>
      <c r="D193" s="2">
        <v>21.6</v>
      </c>
      <c r="G193" s="1">
        <f t="shared" ref="G193" si="106">VALUE(SUBSTITUTE(TRIM(RIGHTB(SUBSTITUTE(H193," ",REPT(" ",99)),99)),",","."))</f>
        <v>23.5</v>
      </c>
      <c r="H193" s="1" t="str">
        <f t="shared" si="105"/>
        <v>23,5</v>
      </c>
      <c r="I193" s="1" t="s">
        <v>142</v>
      </c>
      <c r="P193" s="7">
        <f t="shared" si="43"/>
        <v>21.6</v>
      </c>
      <c r="Q193" s="7" t="str">
        <f t="shared" si="41"/>
        <v>21,6</v>
      </c>
      <c r="R193" s="1" t="s">
        <v>357</v>
      </c>
    </row>
    <row r="194" spans="1:18" x14ac:dyDescent="0.25">
      <c r="A194" s="2">
        <v>208</v>
      </c>
      <c r="B194" s="3">
        <v>3.24</v>
      </c>
      <c r="C194" s="2" t="s">
        <v>19</v>
      </c>
      <c r="D194" s="2">
        <v>6.7</v>
      </c>
      <c r="G194" s="1">
        <f t="shared" ref="G194" si="107">VALUE(SUBSTITUTE(TRIM(RIGHTB(SUBSTITUTE(H194," ",REPT(" ",99)),99)),",","."))</f>
        <v>6.4</v>
      </c>
      <c r="H194" s="1" t="str">
        <f t="shared" si="105"/>
        <v>6,4</v>
      </c>
      <c r="I194" s="1" t="s">
        <v>143</v>
      </c>
      <c r="P194" s="7">
        <f t="shared" si="43"/>
        <v>6.7</v>
      </c>
      <c r="Q194" s="7" t="str">
        <f t="shared" si="41"/>
        <v>6,7</v>
      </c>
      <c r="R194" s="1" t="s">
        <v>358</v>
      </c>
    </row>
    <row r="195" spans="1:18" x14ac:dyDescent="0.25">
      <c r="A195" s="2">
        <v>177</v>
      </c>
      <c r="B195" s="3">
        <v>3.25</v>
      </c>
      <c r="C195" s="2" t="s">
        <v>17</v>
      </c>
      <c r="D195" s="2">
        <v>52.1</v>
      </c>
      <c r="G195" s="1">
        <f t="shared" ref="G195" si="108">VALUE(SUBSTITUTE(TRIM(RIGHTB(SUBSTITUTE(H195," ",REPT(" ",99)),99)),",","."))</f>
        <v>50.6</v>
      </c>
      <c r="H195" s="1" t="str">
        <f t="shared" si="105"/>
        <v>50,6</v>
      </c>
      <c r="I195" s="1" t="s">
        <v>144</v>
      </c>
      <c r="P195" s="7">
        <f t="shared" si="43"/>
        <v>52.1</v>
      </c>
      <c r="Q195" s="7" t="str">
        <f t="shared" ref="Q195:Q215" si="109">TRIM(RIGHTB(SUBSTITUTE(R195," ",REPT(" ",99)),99))</f>
        <v>52,1</v>
      </c>
      <c r="R195" s="1" t="s">
        <v>359</v>
      </c>
    </row>
    <row r="196" spans="1:18" x14ac:dyDescent="0.25">
      <c r="A196" s="2">
        <v>92</v>
      </c>
      <c r="B196" s="3">
        <v>3.26</v>
      </c>
      <c r="C196" s="2" t="s">
        <v>14</v>
      </c>
      <c r="D196" s="2">
        <v>57</v>
      </c>
      <c r="G196" s="1">
        <f t="shared" ref="G196" si="110">VALUE(SUBSTITUTE(TRIM(RIGHTB(SUBSTITUTE(H196," ",REPT(" ",99)),99)),",","."))</f>
        <v>56</v>
      </c>
      <c r="H196" s="1" t="str">
        <f t="shared" si="105"/>
        <v>56,0</v>
      </c>
      <c r="I196" s="1" t="s">
        <v>145</v>
      </c>
      <c r="P196" s="7">
        <f t="shared" ref="P196:P215" si="111">VALUE(SUBSTITUTE(TRIM(RIGHTB(SUBSTITUTE(Q196," ",REPT(" ",99)),99)),",","."))</f>
        <v>57</v>
      </c>
      <c r="Q196" s="7" t="str">
        <f t="shared" si="109"/>
        <v>57,0</v>
      </c>
      <c r="R196" s="1" t="s">
        <v>360</v>
      </c>
    </row>
    <row r="197" spans="1:18" x14ac:dyDescent="0.25">
      <c r="A197" s="2">
        <v>209</v>
      </c>
      <c r="B197" s="3">
        <v>3.27</v>
      </c>
      <c r="C197" s="2" t="s">
        <v>19</v>
      </c>
      <c r="D197" s="2">
        <v>29.6</v>
      </c>
      <c r="G197" s="1">
        <f t="shared" ref="G197" si="112">VALUE(SUBSTITUTE(TRIM(RIGHTB(SUBSTITUTE(H197," ",REPT(" ",99)),99)),",","."))</f>
        <v>29</v>
      </c>
      <c r="H197" s="1" t="str">
        <f t="shared" si="105"/>
        <v>29,0</v>
      </c>
      <c r="I197" s="1" t="s">
        <v>146</v>
      </c>
      <c r="P197" s="7">
        <f t="shared" si="111"/>
        <v>29.6</v>
      </c>
      <c r="Q197" s="7" t="str">
        <f t="shared" si="109"/>
        <v>29,6</v>
      </c>
      <c r="R197" s="1" t="s">
        <v>361</v>
      </c>
    </row>
    <row r="198" spans="1:18" x14ac:dyDescent="0.25">
      <c r="A198" s="2">
        <v>178</v>
      </c>
      <c r="B198" s="3">
        <v>3.28</v>
      </c>
      <c r="C198" s="2" t="s">
        <v>17</v>
      </c>
      <c r="D198" s="2">
        <v>21.6</v>
      </c>
      <c r="G198" s="1">
        <f t="shared" ref="G198" si="113">VALUE(SUBSTITUTE(TRIM(RIGHTB(SUBSTITUTE(H198," ",REPT(" ",99)),99)),",","."))</f>
        <v>23.3</v>
      </c>
      <c r="H198" s="1" t="str">
        <f t="shared" si="105"/>
        <v>23,3</v>
      </c>
      <c r="I198" s="1" t="s">
        <v>147</v>
      </c>
      <c r="P198" s="7">
        <f t="shared" si="111"/>
        <v>21.6</v>
      </c>
      <c r="Q198" s="7" t="str">
        <f t="shared" si="109"/>
        <v>21,6</v>
      </c>
      <c r="R198" s="1" t="s">
        <v>362</v>
      </c>
    </row>
    <row r="199" spans="1:18" x14ac:dyDescent="0.25">
      <c r="A199" s="2">
        <v>179</v>
      </c>
      <c r="B199" s="3">
        <v>3.29</v>
      </c>
      <c r="C199" s="2" t="s">
        <v>17</v>
      </c>
      <c r="D199" s="2">
        <v>51.6</v>
      </c>
      <c r="G199" s="1">
        <f t="shared" ref="G199" si="114">VALUE(SUBSTITUTE(TRIM(RIGHTB(SUBSTITUTE(H199," ",REPT(" ",99)),99)),",","."))</f>
        <v>50.8</v>
      </c>
      <c r="H199" s="1" t="str">
        <f t="shared" si="105"/>
        <v>50,8</v>
      </c>
      <c r="I199" s="1" t="s">
        <v>148</v>
      </c>
      <c r="P199" s="7">
        <f t="shared" si="111"/>
        <v>51.6</v>
      </c>
      <c r="Q199" s="7" t="str">
        <f t="shared" si="109"/>
        <v>51,6</v>
      </c>
      <c r="R199" s="1" t="s">
        <v>363</v>
      </c>
    </row>
    <row r="200" spans="1:18" x14ac:dyDescent="0.25">
      <c r="A200" s="2">
        <v>93</v>
      </c>
      <c r="B200" s="3">
        <v>3.3</v>
      </c>
      <c r="C200" s="2" t="s">
        <v>14</v>
      </c>
      <c r="D200" s="2">
        <v>56.3</v>
      </c>
      <c r="G200" s="1">
        <f t="shared" ref="G200" si="115">VALUE(SUBSTITUTE(TRIM(RIGHTB(SUBSTITUTE(H200," ",REPT(" ",99)),99)),",","."))</f>
        <v>55.7</v>
      </c>
      <c r="H200" s="1" t="str">
        <f t="shared" si="105"/>
        <v>55,7</v>
      </c>
      <c r="I200" s="1" t="s">
        <v>149</v>
      </c>
      <c r="P200" s="7">
        <f t="shared" si="111"/>
        <v>56.3</v>
      </c>
      <c r="Q200" s="7" t="str">
        <f t="shared" si="109"/>
        <v>56,3</v>
      </c>
      <c r="R200" s="1" t="s">
        <v>364</v>
      </c>
    </row>
    <row r="201" spans="1:18" x14ac:dyDescent="0.25">
      <c r="A201" s="2">
        <v>210</v>
      </c>
      <c r="B201" s="3">
        <v>3.31</v>
      </c>
      <c r="C201" s="2" t="s">
        <v>19</v>
      </c>
      <c r="D201" s="2">
        <v>6.7</v>
      </c>
      <c r="G201" s="1">
        <f t="shared" ref="G201" si="116">VALUE(SUBSTITUTE(TRIM(RIGHTB(SUBSTITUTE(H201," ",REPT(" ",99)),99)),",","."))</f>
        <v>6.4</v>
      </c>
      <c r="H201" s="1" t="str">
        <f t="shared" si="105"/>
        <v>6,4</v>
      </c>
      <c r="I201" s="1" t="s">
        <v>150</v>
      </c>
      <c r="P201" s="7">
        <f t="shared" si="111"/>
        <v>6.7</v>
      </c>
      <c r="Q201" s="7" t="str">
        <f t="shared" si="109"/>
        <v>6,7</v>
      </c>
      <c r="R201" s="1" t="s">
        <v>365</v>
      </c>
    </row>
    <row r="202" spans="1:18" x14ac:dyDescent="0.25">
      <c r="A202" s="2">
        <v>211</v>
      </c>
      <c r="B202" s="3">
        <v>3.32</v>
      </c>
      <c r="C202" s="2" t="s">
        <v>19</v>
      </c>
      <c r="D202" s="2">
        <v>29.6</v>
      </c>
      <c r="G202" s="1">
        <f t="shared" ref="G202" si="117">VALUE(SUBSTITUTE(TRIM(RIGHTB(SUBSTITUTE(H202," ",REPT(" ",99)),99)),",","."))</f>
        <v>29</v>
      </c>
      <c r="H202" s="1" t="str">
        <f t="shared" si="105"/>
        <v>29,0</v>
      </c>
      <c r="I202" s="1" t="s">
        <v>151</v>
      </c>
      <c r="P202" s="7">
        <f t="shared" si="111"/>
        <v>29.6</v>
      </c>
      <c r="Q202" s="7" t="str">
        <f t="shared" si="109"/>
        <v>29,6</v>
      </c>
      <c r="R202" s="1" t="s">
        <v>366</v>
      </c>
    </row>
    <row r="203" spans="1:18" x14ac:dyDescent="0.25">
      <c r="A203" s="2">
        <v>180</v>
      </c>
      <c r="B203" s="3">
        <v>3.33</v>
      </c>
      <c r="C203" s="2" t="s">
        <v>17</v>
      </c>
      <c r="D203" s="2">
        <v>75.400000000000006</v>
      </c>
      <c r="G203" s="1">
        <f t="shared" ref="G203" si="118">VALUE(SUBSTITUTE(TRIM(RIGHTB(SUBSTITUTE(H203," ",REPT(" ",99)),99)),",","."))</f>
        <v>74.599999999999994</v>
      </c>
      <c r="H203" s="1" t="str">
        <f t="shared" si="105"/>
        <v>74,6</v>
      </c>
      <c r="I203" s="1" t="s">
        <v>152</v>
      </c>
      <c r="P203" s="7">
        <f t="shared" si="111"/>
        <v>75.400000000000006</v>
      </c>
      <c r="Q203" s="7" t="str">
        <f t="shared" si="109"/>
        <v>75,4</v>
      </c>
      <c r="R203" s="1" t="s">
        <v>367</v>
      </c>
    </row>
    <row r="204" spans="1:18" x14ac:dyDescent="0.25">
      <c r="A204" s="2">
        <v>181</v>
      </c>
      <c r="B204" s="3">
        <v>3.34</v>
      </c>
      <c r="C204" s="2" t="s">
        <v>17</v>
      </c>
      <c r="D204" s="2">
        <v>6.9</v>
      </c>
      <c r="G204" s="1">
        <f t="shared" ref="G204" si="119">VALUE(SUBSTITUTE(TRIM(RIGHTB(SUBSTITUTE(H204," ",REPT(" ",99)),99)),",","."))</f>
        <v>6.6</v>
      </c>
      <c r="H204" s="1" t="str">
        <f t="shared" si="105"/>
        <v>6,6</v>
      </c>
      <c r="I204" s="1" t="s">
        <v>153</v>
      </c>
      <c r="P204" s="7">
        <f t="shared" si="111"/>
        <v>6.9</v>
      </c>
      <c r="Q204" s="7" t="str">
        <f t="shared" si="109"/>
        <v>6,9</v>
      </c>
      <c r="R204" s="1" t="s">
        <v>368</v>
      </c>
    </row>
    <row r="205" spans="1:18" x14ac:dyDescent="0.25">
      <c r="A205" s="2">
        <v>182</v>
      </c>
      <c r="B205" s="3">
        <v>3.35</v>
      </c>
      <c r="C205" s="2" t="s">
        <v>17</v>
      </c>
      <c r="D205" s="2">
        <v>74.900000000000006</v>
      </c>
      <c r="G205" s="1">
        <f t="shared" ref="G205" si="120">VALUE(SUBSTITUTE(TRIM(RIGHTB(SUBSTITUTE(H205," ",REPT(" ",99)),99)),",","."))</f>
        <v>74.099999999999994</v>
      </c>
      <c r="H205" s="1" t="str">
        <f t="shared" si="105"/>
        <v>74,1</v>
      </c>
      <c r="I205" s="1" t="s">
        <v>154</v>
      </c>
      <c r="P205" s="7">
        <f t="shared" si="111"/>
        <v>74.900000000000006</v>
      </c>
      <c r="Q205" s="7" t="str">
        <f t="shared" si="109"/>
        <v>74,9</v>
      </c>
      <c r="R205" s="1" t="s">
        <v>369</v>
      </c>
    </row>
    <row r="206" spans="1:18" x14ac:dyDescent="0.25">
      <c r="A206" s="2">
        <v>138</v>
      </c>
      <c r="B206" s="3">
        <v>3.36</v>
      </c>
      <c r="C206" s="2" t="s">
        <v>16</v>
      </c>
      <c r="D206" s="2">
        <v>6</v>
      </c>
      <c r="G206" s="1">
        <f t="shared" ref="G206" si="121">VALUE(SUBSTITUTE(TRIM(RIGHTB(SUBSTITUTE(H206," ",REPT(" ",99)),99)),",","."))</f>
        <v>5.8</v>
      </c>
      <c r="H206" s="1" t="str">
        <f t="shared" si="105"/>
        <v>5,8</v>
      </c>
      <c r="I206" s="1" t="s">
        <v>155</v>
      </c>
      <c r="P206" s="7">
        <f t="shared" si="111"/>
        <v>6</v>
      </c>
      <c r="Q206" s="7" t="str">
        <f t="shared" si="109"/>
        <v>6,0</v>
      </c>
      <c r="R206" s="1" t="s">
        <v>370</v>
      </c>
    </row>
    <row r="207" spans="1:18" x14ac:dyDescent="0.25">
      <c r="A207" s="2">
        <v>139</v>
      </c>
      <c r="B207" s="3">
        <v>3.37</v>
      </c>
      <c r="C207" s="2" t="s">
        <v>16</v>
      </c>
      <c r="D207" s="2">
        <v>6.1</v>
      </c>
      <c r="G207" s="1">
        <f t="shared" ref="G207" si="122">VALUE(SUBSTITUTE(TRIM(RIGHTB(SUBSTITUTE(H207," ",REPT(" ",99)),99)),",","."))</f>
        <v>5.9</v>
      </c>
      <c r="H207" s="1" t="str">
        <f t="shared" si="105"/>
        <v>5,9</v>
      </c>
      <c r="I207" s="1" t="s">
        <v>156</v>
      </c>
      <c r="P207" s="7">
        <f t="shared" si="111"/>
        <v>6.1</v>
      </c>
      <c r="Q207" s="7" t="str">
        <f t="shared" si="109"/>
        <v>6,1</v>
      </c>
      <c r="R207" s="1" t="s">
        <v>371</v>
      </c>
    </row>
    <row r="208" spans="1:18" x14ac:dyDescent="0.25">
      <c r="A208" s="2">
        <v>140</v>
      </c>
      <c r="B208" s="3">
        <v>3.38</v>
      </c>
      <c r="C208" s="2" t="s">
        <v>16</v>
      </c>
      <c r="D208" s="2">
        <v>32.1</v>
      </c>
      <c r="G208" s="1">
        <f t="shared" ref="G208" si="123">VALUE(SUBSTITUTE(TRIM(RIGHTB(SUBSTITUTE(H208," ",REPT(" ",99)),99)),",","."))</f>
        <v>30.9</v>
      </c>
      <c r="H208" s="1" t="str">
        <f t="shared" si="105"/>
        <v>30,9</v>
      </c>
      <c r="I208" s="1" t="s">
        <v>157</v>
      </c>
      <c r="P208" s="7">
        <f t="shared" si="111"/>
        <v>32.1</v>
      </c>
      <c r="Q208" s="7" t="str">
        <f t="shared" si="109"/>
        <v>32,1</v>
      </c>
      <c r="R208" s="1" t="s">
        <v>372</v>
      </c>
    </row>
    <row r="209" spans="1:18" x14ac:dyDescent="0.25">
      <c r="A209" s="2">
        <v>141</v>
      </c>
      <c r="B209" s="3">
        <v>3.39</v>
      </c>
      <c r="C209" s="2" t="s">
        <v>16</v>
      </c>
      <c r="D209" s="2">
        <v>5.9</v>
      </c>
      <c r="G209" s="1">
        <f t="shared" ref="G209" si="124">VALUE(SUBSTITUTE(TRIM(RIGHTB(SUBSTITUTE(H209," ",REPT(" ",99)),99)),",","."))</f>
        <v>6.3</v>
      </c>
      <c r="H209" s="1" t="str">
        <f t="shared" si="105"/>
        <v>6,3</v>
      </c>
      <c r="I209" s="1" t="s">
        <v>158</v>
      </c>
      <c r="P209" s="7">
        <f t="shared" si="111"/>
        <v>5.9</v>
      </c>
      <c r="Q209" s="7" t="str">
        <f t="shared" si="109"/>
        <v>5,9</v>
      </c>
      <c r="R209" s="1" t="s">
        <v>373</v>
      </c>
    </row>
    <row r="210" spans="1:18" x14ac:dyDescent="0.25">
      <c r="A210" s="2">
        <v>212</v>
      </c>
      <c r="B210" s="3">
        <v>3.4</v>
      </c>
      <c r="C210" s="2" t="s">
        <v>19</v>
      </c>
      <c r="D210" s="2">
        <v>6.3</v>
      </c>
      <c r="G210" s="1">
        <f t="shared" ref="G210" si="125">VALUE(SUBSTITUTE(TRIM(RIGHTB(SUBSTITUTE(H210," ",REPT(" ",99)),99)),",","."))</f>
        <v>6.1</v>
      </c>
      <c r="H210" s="1" t="str">
        <f t="shared" si="105"/>
        <v>6,1</v>
      </c>
      <c r="I210" s="1" t="s">
        <v>159</v>
      </c>
      <c r="P210" s="7">
        <f t="shared" si="111"/>
        <v>6.3</v>
      </c>
      <c r="Q210" s="7" t="str">
        <f t="shared" si="109"/>
        <v>6,3</v>
      </c>
      <c r="R210" s="1" t="s">
        <v>374</v>
      </c>
    </row>
    <row r="211" spans="1:18" x14ac:dyDescent="0.25">
      <c r="A211" s="2">
        <v>81</v>
      </c>
      <c r="B211" s="3">
        <v>3.41</v>
      </c>
      <c r="C211" s="2" t="s">
        <v>13</v>
      </c>
      <c r="D211" s="2">
        <v>36.4</v>
      </c>
      <c r="G211" s="1">
        <f t="shared" ref="G211" si="126">VALUE(SUBSTITUTE(TRIM(RIGHTB(SUBSTITUTE(H211," ",REPT(" ",99)),99)),",","."))</f>
        <v>36.4</v>
      </c>
      <c r="H211" s="1" t="str">
        <f t="shared" si="105"/>
        <v>36,4</v>
      </c>
      <c r="I211" s="1" t="s">
        <v>160</v>
      </c>
      <c r="P211" s="7">
        <f t="shared" si="111"/>
        <v>38.700000000000003</v>
      </c>
      <c r="Q211" s="7" t="str">
        <f t="shared" si="109"/>
        <v>38,7</v>
      </c>
      <c r="R211" s="1" t="s">
        <v>375</v>
      </c>
    </row>
    <row r="212" spans="1:18" x14ac:dyDescent="0.25">
      <c r="A212" s="2">
        <v>82</v>
      </c>
      <c r="B212" s="3">
        <v>3.42</v>
      </c>
      <c r="C212" s="2" t="s">
        <v>13</v>
      </c>
      <c r="D212" s="2">
        <v>59.7</v>
      </c>
      <c r="G212" s="1">
        <f t="shared" ref="G212" si="127">VALUE(SUBSTITUTE(TRIM(RIGHTB(SUBSTITUTE(H212," ",REPT(" ",99)),99)),",","."))</f>
        <v>59.7</v>
      </c>
      <c r="H212" s="1" t="str">
        <f t="shared" si="105"/>
        <v>59,7</v>
      </c>
      <c r="I212" s="1" t="s">
        <v>161</v>
      </c>
      <c r="P212" s="7">
        <f t="shared" si="111"/>
        <v>62.9</v>
      </c>
      <c r="Q212" s="7" t="str">
        <f t="shared" si="109"/>
        <v>62,9</v>
      </c>
      <c r="R212" s="1" t="s">
        <v>376</v>
      </c>
    </row>
    <row r="213" spans="1:18" x14ac:dyDescent="0.25">
      <c r="A213" s="2">
        <v>142</v>
      </c>
      <c r="B213" s="3">
        <v>3.43</v>
      </c>
      <c r="C213" s="2" t="s">
        <v>16</v>
      </c>
      <c r="D213" s="2">
        <v>26.2</v>
      </c>
      <c r="G213" s="1">
        <f t="shared" ref="G213" si="128">VALUE(SUBSTITUTE(TRIM(RIGHTB(SUBSTITUTE(H213," ",REPT(" ",99)),99)),",","."))</f>
        <v>26.2</v>
      </c>
      <c r="H213" s="1" t="str">
        <f t="shared" si="105"/>
        <v>26,2</v>
      </c>
      <c r="I213" s="1" t="s">
        <v>162</v>
      </c>
      <c r="P213" s="7">
        <f t="shared" si="111"/>
        <v>28.1</v>
      </c>
      <c r="Q213" s="7" t="str">
        <f t="shared" si="109"/>
        <v>28,1</v>
      </c>
      <c r="R213" s="1" t="s">
        <v>377</v>
      </c>
    </row>
    <row r="214" spans="1:18" x14ac:dyDescent="0.25">
      <c r="A214" s="2">
        <v>83</v>
      </c>
      <c r="B214" s="3">
        <v>3.44</v>
      </c>
      <c r="C214" s="2" t="s">
        <v>13</v>
      </c>
      <c r="D214" s="2">
        <v>21.4</v>
      </c>
      <c r="G214" s="1">
        <f t="shared" ref="G214" si="129">VALUE(SUBSTITUTE(TRIM(RIGHTB(SUBSTITUTE(H214," ",REPT(" ",99)),99)),",","."))</f>
        <v>21.4</v>
      </c>
      <c r="H214" s="1" t="str">
        <f t="shared" si="105"/>
        <v>21,4</v>
      </c>
      <c r="I214" s="1" t="s">
        <v>163</v>
      </c>
      <c r="P214" s="7">
        <f t="shared" si="111"/>
        <v>21.8</v>
      </c>
      <c r="Q214" s="7" t="str">
        <f t="shared" si="109"/>
        <v>21,8</v>
      </c>
      <c r="R214" s="1" t="s">
        <v>378</v>
      </c>
    </row>
    <row r="215" spans="1:18" x14ac:dyDescent="0.25">
      <c r="A215" s="2">
        <v>183</v>
      </c>
      <c r="B215" s="3">
        <v>3.45</v>
      </c>
      <c r="C215" s="2" t="s">
        <v>17</v>
      </c>
      <c r="D215" s="2">
        <v>82.7</v>
      </c>
      <c r="G215" s="1">
        <f t="shared" ref="G215" si="130">VALUE(SUBSTITUTE(TRIM(RIGHTB(SUBSTITUTE(H215," ",REPT(" ",99)),99)),",","."))</f>
        <v>82.7</v>
      </c>
      <c r="H215" s="1" t="str">
        <f t="shared" si="105"/>
        <v>82,7</v>
      </c>
      <c r="I215" s="1" t="s">
        <v>164</v>
      </c>
      <c r="P215" s="7">
        <f t="shared" si="111"/>
        <v>87.4</v>
      </c>
      <c r="Q215" s="7" t="str">
        <f t="shared" si="109"/>
        <v>87,4</v>
      </c>
      <c r="R215" s="1" t="s">
        <v>379</v>
      </c>
    </row>
    <row r="216" spans="1:18" x14ac:dyDescent="0.25">
      <c r="A216" s="2">
        <v>54</v>
      </c>
      <c r="B216" s="3" t="s">
        <v>21</v>
      </c>
      <c r="C216" s="2" t="s">
        <v>12</v>
      </c>
      <c r="D216" s="2">
        <v>13.8</v>
      </c>
    </row>
    <row r="217" spans="1:18" x14ac:dyDescent="0.25">
      <c r="A217" s="2" t="s">
        <v>20</v>
      </c>
    </row>
    <row r="218" spans="1:18" x14ac:dyDescent="0.25">
      <c r="A218" s="2" t="s">
        <v>3</v>
      </c>
      <c r="B218" s="2" t="s">
        <v>0</v>
      </c>
      <c r="C218" s="2" t="s">
        <v>1</v>
      </c>
      <c r="D218" s="2" t="s">
        <v>2</v>
      </c>
    </row>
    <row r="219" spans="1:18" x14ac:dyDescent="0.25">
      <c r="B219" s="2">
        <v>0.01</v>
      </c>
      <c r="C219" s="2" t="s">
        <v>6</v>
      </c>
    </row>
    <row r="220" spans="1:18" x14ac:dyDescent="0.25">
      <c r="B220" s="2">
        <v>0.12</v>
      </c>
      <c r="C220" s="2" t="s">
        <v>6</v>
      </c>
    </row>
    <row r="221" spans="1:18" x14ac:dyDescent="0.25">
      <c r="B221" s="2">
        <v>0.18</v>
      </c>
      <c r="C221" s="2" t="s">
        <v>6</v>
      </c>
    </row>
    <row r="222" spans="1:18" x14ac:dyDescent="0.25">
      <c r="B222" s="2">
        <v>1.32</v>
      </c>
      <c r="C222" s="2" t="s">
        <v>6</v>
      </c>
    </row>
    <row r="223" spans="1:18" x14ac:dyDescent="0.25">
      <c r="B223" s="2">
        <v>1.33</v>
      </c>
      <c r="C223" s="2" t="s">
        <v>6</v>
      </c>
    </row>
    <row r="224" spans="1:18" x14ac:dyDescent="0.25">
      <c r="B224" s="2">
        <v>1.34</v>
      </c>
      <c r="C224" s="2" t="s">
        <v>6</v>
      </c>
    </row>
    <row r="225" spans="2:3" x14ac:dyDescent="0.25">
      <c r="B225" s="2">
        <v>1.35</v>
      </c>
      <c r="C225" s="2" t="s">
        <v>6</v>
      </c>
    </row>
    <row r="226" spans="2:3" x14ac:dyDescent="0.25">
      <c r="B226" s="2">
        <v>1.79</v>
      </c>
      <c r="C226" s="2" t="s">
        <v>6</v>
      </c>
    </row>
    <row r="227" spans="2:3" x14ac:dyDescent="0.25">
      <c r="B227" s="2">
        <v>1.8</v>
      </c>
      <c r="C227" s="2" t="s">
        <v>6</v>
      </c>
    </row>
    <row r="228" spans="2:3" x14ac:dyDescent="0.25">
      <c r="B228" s="2">
        <v>2.31</v>
      </c>
      <c r="C228" s="2" t="s">
        <v>6</v>
      </c>
    </row>
    <row r="229" spans="2:3" x14ac:dyDescent="0.25">
      <c r="B229" s="2">
        <v>2.3199999999999998</v>
      </c>
      <c r="C229" s="2" t="s">
        <v>6</v>
      </c>
    </row>
    <row r="230" spans="2:3" x14ac:dyDescent="0.25">
      <c r="B230" s="2">
        <v>2.34</v>
      </c>
      <c r="C230" s="2" t="s">
        <v>6</v>
      </c>
    </row>
    <row r="231" spans="2:3" x14ac:dyDescent="0.25">
      <c r="B231" s="2">
        <v>2.35</v>
      </c>
      <c r="C231" s="2" t="s">
        <v>6</v>
      </c>
    </row>
    <row r="232" spans="2:3" x14ac:dyDescent="0.25">
      <c r="B232" s="2">
        <v>2.54</v>
      </c>
      <c r="C232" s="2" t="s">
        <v>6</v>
      </c>
    </row>
    <row r="233" spans="2:3" x14ac:dyDescent="0.25">
      <c r="B233" s="2">
        <v>2.57</v>
      </c>
      <c r="C233" s="2" t="s">
        <v>6</v>
      </c>
    </row>
    <row r="234" spans="2:3" x14ac:dyDescent="0.25">
      <c r="B234" s="2">
        <v>3.17</v>
      </c>
      <c r="C234" s="2" t="s">
        <v>6</v>
      </c>
    </row>
    <row r="235" spans="2:3" x14ac:dyDescent="0.25">
      <c r="B235" s="2">
        <v>3.2</v>
      </c>
      <c r="C235" s="2" t="s">
        <v>6</v>
      </c>
    </row>
    <row r="236" spans="2:3" x14ac:dyDescent="0.25">
      <c r="B236" s="2">
        <v>3.21</v>
      </c>
      <c r="C236" s="2" t="s">
        <v>6</v>
      </c>
    </row>
    <row r="237" spans="2:3" x14ac:dyDescent="0.25">
      <c r="B237" s="2">
        <v>3.38</v>
      </c>
      <c r="C237" s="2" t="s">
        <v>6</v>
      </c>
    </row>
    <row r="238" spans="2:3" x14ac:dyDescent="0.25">
      <c r="B238" s="2">
        <v>3.43</v>
      </c>
      <c r="C238" s="2" t="s">
        <v>6</v>
      </c>
    </row>
    <row r="239" spans="2:3" x14ac:dyDescent="0.25">
      <c r="B239" s="2">
        <v>0.01</v>
      </c>
      <c r="C239" s="2" t="s">
        <v>7</v>
      </c>
    </row>
    <row r="240" spans="2:3" x14ac:dyDescent="0.25">
      <c r="B240" s="2">
        <v>0.12</v>
      </c>
      <c r="C240" s="2" t="s">
        <v>7</v>
      </c>
    </row>
    <row r="241" spans="2:3" x14ac:dyDescent="0.25">
      <c r="B241" s="2">
        <v>0.18</v>
      </c>
      <c r="C241" s="2" t="s">
        <v>7</v>
      </c>
    </row>
    <row r="242" spans="2:3" x14ac:dyDescent="0.25">
      <c r="B242" s="2">
        <v>1.32</v>
      </c>
      <c r="C242" s="2" t="s">
        <v>7</v>
      </c>
    </row>
    <row r="243" spans="2:3" x14ac:dyDescent="0.25">
      <c r="B243" s="2">
        <v>1.33</v>
      </c>
      <c r="C243" s="2" t="s">
        <v>7</v>
      </c>
    </row>
    <row r="244" spans="2:3" x14ac:dyDescent="0.25">
      <c r="B244" s="2">
        <v>1.34</v>
      </c>
      <c r="C244" s="2" t="s">
        <v>7</v>
      </c>
    </row>
    <row r="245" spans="2:3" x14ac:dyDescent="0.25">
      <c r="B245" s="2">
        <v>1.35</v>
      </c>
      <c r="C245" s="2" t="s">
        <v>7</v>
      </c>
    </row>
    <row r="246" spans="2:3" x14ac:dyDescent="0.25">
      <c r="B246" s="2">
        <v>1.79</v>
      </c>
      <c r="C246" s="2" t="s">
        <v>7</v>
      </c>
    </row>
    <row r="247" spans="2:3" x14ac:dyDescent="0.25">
      <c r="B247" s="2">
        <v>1.8</v>
      </c>
      <c r="C247" s="2" t="s">
        <v>7</v>
      </c>
    </row>
    <row r="248" spans="2:3" x14ac:dyDescent="0.25">
      <c r="B248" s="2">
        <v>2.31</v>
      </c>
      <c r="C248" s="2" t="s">
        <v>7</v>
      </c>
    </row>
    <row r="249" spans="2:3" x14ac:dyDescent="0.25">
      <c r="B249" s="2">
        <v>2.3199999999999998</v>
      </c>
      <c r="C249" s="2" t="s">
        <v>7</v>
      </c>
    </row>
    <row r="250" spans="2:3" x14ac:dyDescent="0.25">
      <c r="B250" s="2">
        <v>2.34</v>
      </c>
      <c r="C250" s="2" t="s">
        <v>7</v>
      </c>
    </row>
    <row r="251" spans="2:3" x14ac:dyDescent="0.25">
      <c r="B251" s="2">
        <v>2.35</v>
      </c>
      <c r="C251" s="2" t="s">
        <v>7</v>
      </c>
    </row>
    <row r="252" spans="2:3" x14ac:dyDescent="0.25">
      <c r="B252" s="2">
        <v>2.54</v>
      </c>
      <c r="C252" s="2" t="s">
        <v>7</v>
      </c>
    </row>
    <row r="253" spans="2:3" x14ac:dyDescent="0.25">
      <c r="B253" s="2">
        <v>2.57</v>
      </c>
      <c r="C253" s="2" t="s">
        <v>7</v>
      </c>
    </row>
    <row r="254" spans="2:3" x14ac:dyDescent="0.25">
      <c r="B254" s="2">
        <v>3.17</v>
      </c>
      <c r="C254" s="2" t="s">
        <v>7</v>
      </c>
    </row>
    <row r="255" spans="2:3" x14ac:dyDescent="0.25">
      <c r="B255" s="2">
        <v>3.2</v>
      </c>
      <c r="C255" s="2" t="s">
        <v>7</v>
      </c>
    </row>
    <row r="256" spans="2:3" x14ac:dyDescent="0.25">
      <c r="B256" s="2">
        <v>3.21</v>
      </c>
      <c r="C256" s="2" t="s">
        <v>7</v>
      </c>
    </row>
    <row r="257" spans="2:3" x14ac:dyDescent="0.25">
      <c r="B257" s="2">
        <v>3.38</v>
      </c>
      <c r="C257" s="2" t="s">
        <v>7</v>
      </c>
    </row>
    <row r="258" spans="2:3" x14ac:dyDescent="0.25">
      <c r="B258" s="2">
        <v>3.43</v>
      </c>
      <c r="C258" s="2" t="s">
        <v>7</v>
      </c>
    </row>
  </sheetData>
  <mergeCells count="1">
    <mergeCell ref="P1:R1"/>
  </mergeCell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МирзаяновИИ</dc:creator>
  <cp:lastModifiedBy>МирзаяновИИ</cp:lastModifiedBy>
  <dcterms:created xsi:type="dcterms:W3CDTF">2025-12-12T08:02:04Z</dcterms:created>
  <dcterms:modified xsi:type="dcterms:W3CDTF">2025-12-15T12:40:34Z</dcterms:modified>
</cp:coreProperties>
</file>