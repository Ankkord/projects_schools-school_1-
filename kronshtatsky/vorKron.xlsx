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kronshtatsky\"/>
    </mc:Choice>
  </mc:AlternateContent>
  <bookViews>
    <workbookView xWindow="0" yWindow="0" windowWidth="28800" windowHeight="12405" firstSheet="1" activeTab="6"/>
  </bookViews>
  <sheets>
    <sheet name="Лист1" sheetId="1" r:id="rId1"/>
    <sheet name="1эт" sheetId="2" r:id="rId2"/>
    <sheet name="2эт" sheetId="4" r:id="rId3"/>
    <sheet name="3эт" sheetId="5" r:id="rId4"/>
    <sheet name="СадПол" sheetId="7" r:id="rId5"/>
    <sheet name="СадОтксы" sheetId="6" r:id="rId6"/>
    <sheet name="Реестр" sheetId="8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6" l="1"/>
  <c r="G12" i="6" s="1"/>
  <c r="F12" i="6"/>
  <c r="E13" i="6"/>
  <c r="F13" i="6"/>
  <c r="G13" i="6"/>
  <c r="E14" i="6"/>
  <c r="F14" i="6"/>
  <c r="G14" i="6"/>
  <c r="E15" i="6"/>
  <c r="G15" i="6" s="1"/>
  <c r="F15" i="6"/>
  <c r="E16" i="6"/>
  <c r="F16" i="6"/>
  <c r="G16" i="6"/>
  <c r="E17" i="6"/>
  <c r="G17" i="6" s="1"/>
  <c r="F17" i="6"/>
  <c r="E18" i="6"/>
  <c r="G18" i="6" s="1"/>
  <c r="F18" i="6"/>
  <c r="E19" i="6"/>
  <c r="F19" i="6"/>
  <c r="G19" i="6"/>
  <c r="E22" i="6"/>
  <c r="F22" i="6"/>
  <c r="G22" i="6"/>
  <c r="E23" i="6"/>
  <c r="G23" i="6" s="1"/>
  <c r="F23" i="6"/>
  <c r="E24" i="6"/>
  <c r="F24" i="6"/>
  <c r="G24" i="6"/>
  <c r="E25" i="6"/>
  <c r="F25" i="6"/>
  <c r="E26" i="6"/>
  <c r="F26" i="6"/>
  <c r="E27" i="6"/>
  <c r="F27" i="6"/>
  <c r="G27" i="6"/>
  <c r="E28" i="6"/>
  <c r="F28" i="6"/>
  <c r="E29" i="6"/>
  <c r="F29" i="6"/>
  <c r="G29" i="6"/>
  <c r="E4" i="6"/>
  <c r="F4" i="6"/>
  <c r="G4" i="6" s="1"/>
  <c r="E5" i="6"/>
  <c r="F5" i="6"/>
  <c r="E6" i="6"/>
  <c r="F6" i="6"/>
  <c r="E7" i="6"/>
  <c r="F7" i="6"/>
  <c r="E8" i="6"/>
  <c r="F8" i="6"/>
  <c r="E9" i="6"/>
  <c r="F9" i="6"/>
  <c r="E3" i="6"/>
  <c r="F3" i="6"/>
  <c r="B2" i="1"/>
  <c r="B5" i="1"/>
  <c r="A5" i="1"/>
  <c r="G7" i="6" l="1"/>
  <c r="G26" i="6"/>
  <c r="G3" i="6"/>
  <c r="G28" i="6"/>
  <c r="G25" i="6"/>
  <c r="G6" i="6"/>
  <c r="G9" i="6"/>
  <c r="G5" i="6"/>
  <c r="G8" i="6"/>
  <c r="A1" i="1" l="1"/>
  <c r="A4" i="1"/>
  <c r="A2" i="1"/>
</calcChain>
</file>

<file path=xl/sharedStrings.xml><?xml version="1.0" encoding="utf-8"?>
<sst xmlns="http://schemas.openxmlformats.org/spreadsheetml/2006/main" count="287" uniqueCount="103">
  <si>
    <t>высота 3930</t>
  </si>
  <si>
    <t>Вестибюль с многофункциональным двухсветным пространством с возможностью проведения общественных мероприятий на 200 мест (с эстрадой в уровне пола)</t>
  </si>
  <si>
    <t>Тамбур</t>
  </si>
  <si>
    <t>Зона ожидания родителей со стойкой для зарядки мобильных устройств</t>
  </si>
  <si>
    <t>Санузел для посетителей</t>
  </si>
  <si>
    <t>Комната охраны с диспетчерским пультом</t>
  </si>
  <si>
    <t>Санузел для МГН</t>
  </si>
  <si>
    <t>Гардероб для учителей</t>
  </si>
  <si>
    <t>Гардероб для начальной школы</t>
  </si>
  <si>
    <t>Учебный кабинет 1 класс</t>
  </si>
  <si>
    <t>Игровая с возможностью организации спальных мест</t>
  </si>
  <si>
    <t>Санузел для девочек</t>
  </si>
  <si>
    <t>Санузел для мальчиков</t>
  </si>
  <si>
    <t>С/у (медблок)</t>
  </si>
  <si>
    <t>Процедурный кабинет</t>
  </si>
  <si>
    <t>Прививочный кабинет</t>
  </si>
  <si>
    <t>Кабинет врача</t>
  </si>
  <si>
    <t>Холл</t>
  </si>
  <si>
    <t>Помещение для приготовления дезинфицирующих растворов</t>
  </si>
  <si>
    <t>Санузел персонала</t>
  </si>
  <si>
    <t>Помещение уборочного инвентаря</t>
  </si>
  <si>
    <t>Кладовая инвентаря</t>
  </si>
  <si>
    <t>Артистическая</t>
  </si>
  <si>
    <t>Коридор</t>
  </si>
  <si>
    <t>Серверная</t>
  </si>
  <si>
    <t>Электрощитовая</t>
  </si>
  <si>
    <t>Рекреация коридорного типа</t>
  </si>
  <si>
    <t>Лестничная клетка №1 (Тип Н2)</t>
  </si>
  <si>
    <t>Лестничная клетка №2 (Тип Н2)</t>
  </si>
  <si>
    <t>Лестничная клетка №3 (Тип Н2)</t>
  </si>
  <si>
    <t>Лестничная клетка №4 (Тип Н2)</t>
  </si>
  <si>
    <t>Лифтовой холл</t>
  </si>
  <si>
    <t>Умывальная</t>
  </si>
  <si>
    <t>Обеденный зал на 150 мест</t>
  </si>
  <si>
    <t>Моечная столовой посуды</t>
  </si>
  <si>
    <t>Холодный цех</t>
  </si>
  <si>
    <t>Горячий цех</t>
  </si>
  <si>
    <t>Моечная кухонной посуды</t>
  </si>
  <si>
    <t>Кладовая сухих продуктов</t>
  </si>
  <si>
    <t>Помещение с холодильным оборудованием</t>
  </si>
  <si>
    <t>Кладовая овощей</t>
  </si>
  <si>
    <t>Помещение персонала</t>
  </si>
  <si>
    <t>Помещение временного хранения отходов</t>
  </si>
  <si>
    <t>Раздаточная</t>
  </si>
  <si>
    <t>Моечная оборотной тары</t>
  </si>
  <si>
    <t>Загрузочная</t>
  </si>
  <si>
    <t>Гардероб персонала с душем</t>
  </si>
  <si>
    <t>Цех первичной обработки</t>
  </si>
  <si>
    <t>Цех вторичной обработки</t>
  </si>
  <si>
    <t>Мясо-рыбный цех</t>
  </si>
  <si>
    <t>Вестибюль с зоной для посетителей</t>
  </si>
  <si>
    <t>Пост охраны</t>
  </si>
  <si>
    <t>Туалет для МГН (для посетителей)</t>
  </si>
  <si>
    <t>Раздевальная комната</t>
  </si>
  <si>
    <t>Буфет</t>
  </si>
  <si>
    <t>Туалет (в т.ч. МГН)</t>
  </si>
  <si>
    <t>Групповая</t>
  </si>
  <si>
    <t>Спальная</t>
  </si>
  <si>
    <t>Лестничная клетка №5 (Тип Н2)</t>
  </si>
  <si>
    <t>Лестничная клетка №6 (Тип Л1)</t>
  </si>
  <si>
    <t>Комната персонала с гардеробом. душем и туалетом</t>
  </si>
  <si>
    <t>Учебный кабинет 2-4 класс</t>
  </si>
  <si>
    <t>Лабораторно-исследовательский комплекс для изучения естествознания</t>
  </si>
  <si>
    <t>Кабинет с рабочим местом для учителей</t>
  </si>
  <si>
    <t>Универсальное помещение с возможностью проведения занятий во внеурочное время в том числе для групп продленного дня</t>
  </si>
  <si>
    <t>Раздевальная для девочек (МГН)</t>
  </si>
  <si>
    <t>Раздевальная для мальчиков (МГН)</t>
  </si>
  <si>
    <t>Раздевальная для мальчиков</t>
  </si>
  <si>
    <t>Душевая для мальчиков</t>
  </si>
  <si>
    <t>Раздевальная для девочек</t>
  </si>
  <si>
    <t>Душевая девочек</t>
  </si>
  <si>
    <t>Инвентарная (снарядная)</t>
  </si>
  <si>
    <t>Спортивный зал 15х24 м</t>
  </si>
  <si>
    <t>Комната инструктора (с душем и туалетом)</t>
  </si>
  <si>
    <t>Рекреация</t>
  </si>
  <si>
    <t>Технический центр (аппаратная)</t>
  </si>
  <si>
    <t>Лифтовой холл (зона безопасности)</t>
  </si>
  <si>
    <t>Многофункциональный физкультурный зал для проведения активных игр и занятий с детьми</t>
  </si>
  <si>
    <t>Помещение хранения для физкультурного зала</t>
  </si>
  <si>
    <t>Музыкальный зал</t>
  </si>
  <si>
    <t>Помещение хранения для музыкального зала</t>
  </si>
  <si>
    <t>Хозяйственная кладовая</t>
  </si>
  <si>
    <t>Кабинет для индивидуальных занятий. в т.ч с учителем-логопедом</t>
  </si>
  <si>
    <t>Кабинет иностранного языка с возможностью деления трансформируемой перегородкой на два помещения</t>
  </si>
  <si>
    <t>Административный кабинет</t>
  </si>
  <si>
    <t>Книгохранилище</t>
  </si>
  <si>
    <t>Вспомогательное помещение</t>
  </si>
  <si>
    <t>Кабинет для развивающих занятий с возможностью зонирования раздвижной трансформируемой перегородкой</t>
  </si>
  <si>
    <t>Помещение приёма и сортировки грязного белья</t>
  </si>
  <si>
    <t>Комната чистого белья</t>
  </si>
  <si>
    <t>Многофункциональный информационный библиотечный центр с зонами для индивидуальных и групповых занятий. медиатеки. читательских мест и выдачи книг</t>
  </si>
  <si>
    <t>Помещение (open space) для администрации . с рабочими местами для музыкального руководителя . воспитателя</t>
  </si>
  <si>
    <t>№ п.п.</t>
  </si>
  <si>
    <t>Тип-1ш</t>
  </si>
  <si>
    <t>Тип-2у</t>
  </si>
  <si>
    <t>шир</t>
  </si>
  <si>
    <t>узк</t>
  </si>
  <si>
    <t>Кол-во</t>
  </si>
  <si>
    <t>Сумма</t>
  </si>
  <si>
    <t>широк</t>
  </si>
  <si>
    <t>Детский сад</t>
  </si>
  <si>
    <t>Откосы</t>
  </si>
  <si>
    <t>Пол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</si>
</sst>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ГОСТ тип А"/>
      <family val="2"/>
      <charset val="204"/>
    </font>
    <font>
      <sz val="10"/>
      <color theme="1"/>
      <name val="ГОСТ тип А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2" fontId="0" fillId="0" borderId="0" xfId="0" applyNumberForma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2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A2" sqref="A2"/>
    </sheetView>
  </sheetViews>
  <sheetFormatPr defaultRowHeight="15" x14ac:dyDescent="0.25"/>
  <cols>
    <col min="3" max="3" width="9.140625" style="11"/>
  </cols>
  <sheetData>
    <row r="1" spans="1:3" x14ac:dyDescent="0.25">
      <c r="A1">
        <f>235*2250*2/1000000</f>
        <v>1.0575000000000001</v>
      </c>
    </row>
    <row r="2" spans="1:3" x14ac:dyDescent="0.25">
      <c r="A2">
        <f>233*2431*2/1000000</f>
        <v>1.132846</v>
      </c>
      <c r="B2">
        <f>A2+A1</f>
        <v>2.1903459999999999</v>
      </c>
      <c r="C2" s="11" t="s">
        <v>95</v>
      </c>
    </row>
    <row r="4" spans="1:3" x14ac:dyDescent="0.25">
      <c r="A4">
        <f>A1</f>
        <v>1.0575000000000001</v>
      </c>
    </row>
    <row r="5" spans="1:3" x14ac:dyDescent="0.25">
      <c r="A5">
        <f>845*242*2/1000000</f>
        <v>0.40898000000000001</v>
      </c>
      <c r="B5">
        <f>A5+A4</f>
        <v>1.4664800000000002</v>
      </c>
      <c r="C5" s="11" t="s">
        <v>96</v>
      </c>
    </row>
    <row r="8" spans="1:3" x14ac:dyDescent="0.25">
      <c r="A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topLeftCell="A59" zoomScale="130" zoomScaleNormal="130" workbookViewId="0">
      <selection activeCell="A61" sqref="A61:C82"/>
    </sheetView>
  </sheetViews>
  <sheetFormatPr defaultRowHeight="15" x14ac:dyDescent="0.25"/>
  <cols>
    <col min="1" max="1" width="9.140625" style="3"/>
    <col min="2" max="2" width="32.28515625" style="8" customWidth="1"/>
    <col min="3" max="3" width="9.140625" style="2"/>
    <col min="4" max="16384" width="9.140625" style="1"/>
  </cols>
  <sheetData>
    <row r="1" spans="1:3" x14ac:dyDescent="0.25">
      <c r="A1" s="3">
        <v>1.01</v>
      </c>
      <c r="B1" s="7" t="s">
        <v>2</v>
      </c>
      <c r="C1" s="2">
        <v>13.3</v>
      </c>
    </row>
    <row r="2" spans="1:3" ht="25.5" x14ac:dyDescent="0.25">
      <c r="A2" s="3">
        <v>1.02</v>
      </c>
      <c r="B2" s="7" t="s">
        <v>3</v>
      </c>
      <c r="C2" s="2">
        <v>16.399999999999999</v>
      </c>
    </row>
    <row r="3" spans="1:3" x14ac:dyDescent="0.25">
      <c r="A3" s="3">
        <v>1.03</v>
      </c>
      <c r="B3" s="7" t="s">
        <v>4</v>
      </c>
      <c r="C3" s="2">
        <v>5</v>
      </c>
    </row>
    <row r="4" spans="1:3" ht="32.25" customHeight="1" x14ac:dyDescent="0.25">
      <c r="A4" s="3">
        <v>1.04</v>
      </c>
      <c r="B4" s="7" t="s">
        <v>1</v>
      </c>
      <c r="C4" s="2">
        <v>168.7</v>
      </c>
    </row>
    <row r="5" spans="1:3" ht="32.25" customHeight="1" x14ac:dyDescent="0.25">
      <c r="A5" s="3">
        <v>1.04</v>
      </c>
      <c r="B5" s="7" t="s">
        <v>1</v>
      </c>
      <c r="C5" s="2">
        <v>154</v>
      </c>
    </row>
    <row r="6" spans="1:3" ht="32.25" customHeight="1" x14ac:dyDescent="0.25">
      <c r="A6" s="3">
        <v>1.04</v>
      </c>
      <c r="B6" s="7" t="s">
        <v>1</v>
      </c>
      <c r="C6" s="2">
        <v>36.700000000000003</v>
      </c>
    </row>
    <row r="7" spans="1:3" ht="25.5" x14ac:dyDescent="0.25">
      <c r="A7" s="3">
        <v>1.05</v>
      </c>
      <c r="B7" s="7" t="s">
        <v>5</v>
      </c>
      <c r="C7" s="2">
        <v>21.5</v>
      </c>
    </row>
    <row r="8" spans="1:3" x14ac:dyDescent="0.25">
      <c r="A8" s="3">
        <v>1.06</v>
      </c>
      <c r="B8" s="7" t="s">
        <v>6</v>
      </c>
      <c r="C8" s="2">
        <v>5.7</v>
      </c>
    </row>
    <row r="9" spans="1:3" x14ac:dyDescent="0.25">
      <c r="A9" s="3">
        <v>1.07</v>
      </c>
      <c r="B9" s="7" t="s">
        <v>7</v>
      </c>
      <c r="C9" s="2">
        <v>9.8000000000000007</v>
      </c>
    </row>
    <row r="10" spans="1:3" x14ac:dyDescent="0.25">
      <c r="A10" s="3">
        <v>1.08</v>
      </c>
      <c r="B10" s="7" t="s">
        <v>8</v>
      </c>
      <c r="C10" s="2">
        <v>98.7</v>
      </c>
    </row>
    <row r="11" spans="1:3" x14ac:dyDescent="0.25">
      <c r="A11" s="3">
        <v>1.0900000000000001</v>
      </c>
      <c r="B11" s="7" t="s">
        <v>9</v>
      </c>
      <c r="C11" s="2">
        <v>62.1</v>
      </c>
    </row>
    <row r="12" spans="1:3" x14ac:dyDescent="0.25">
      <c r="A12" s="3">
        <v>1.1000000000000001</v>
      </c>
      <c r="B12" s="7" t="s">
        <v>9</v>
      </c>
      <c r="C12" s="2">
        <v>63.3</v>
      </c>
    </row>
    <row r="13" spans="1:3" x14ac:dyDescent="0.25">
      <c r="A13" s="3">
        <v>1.1100000000000001</v>
      </c>
      <c r="B13" s="7" t="s">
        <v>9</v>
      </c>
      <c r="C13" s="2">
        <v>63.5</v>
      </c>
    </row>
    <row r="14" spans="1:3" ht="25.5" x14ac:dyDescent="0.25">
      <c r="A14" s="3">
        <v>1.1200000000000001</v>
      </c>
      <c r="B14" s="7" t="s">
        <v>10</v>
      </c>
      <c r="C14" s="2">
        <v>129.6</v>
      </c>
    </row>
    <row r="15" spans="1:3" x14ac:dyDescent="0.25">
      <c r="A15" s="3">
        <v>1.1299999999999999</v>
      </c>
      <c r="B15" s="7" t="s">
        <v>11</v>
      </c>
      <c r="C15" s="2">
        <v>14.5</v>
      </c>
    </row>
    <row r="16" spans="1:3" x14ac:dyDescent="0.25">
      <c r="A16" s="3">
        <v>1.1399999999999999</v>
      </c>
      <c r="B16" s="7" t="s">
        <v>6</v>
      </c>
      <c r="C16" s="2">
        <v>5.0999999999999996</v>
      </c>
    </row>
    <row r="17" spans="1:3" x14ac:dyDescent="0.25">
      <c r="A17" s="3">
        <v>1.1499999999999999</v>
      </c>
      <c r="B17" s="7" t="s">
        <v>12</v>
      </c>
      <c r="C17" s="2">
        <v>14.5</v>
      </c>
    </row>
    <row r="18" spans="1:3" x14ac:dyDescent="0.25">
      <c r="A18" s="3">
        <v>1.1599999999999999</v>
      </c>
      <c r="B18" s="7" t="s">
        <v>13</v>
      </c>
      <c r="C18" s="2">
        <v>2.2000000000000002</v>
      </c>
    </row>
    <row r="19" spans="1:3" x14ac:dyDescent="0.25">
      <c r="A19" s="3">
        <v>1.17</v>
      </c>
      <c r="B19" s="7" t="s">
        <v>14</v>
      </c>
      <c r="C19" s="2">
        <v>13.4</v>
      </c>
    </row>
    <row r="20" spans="1:3" x14ac:dyDescent="0.25">
      <c r="A20" s="3">
        <v>1.18</v>
      </c>
      <c r="B20" s="7" t="s">
        <v>15</v>
      </c>
      <c r="C20" s="2">
        <v>13.3</v>
      </c>
    </row>
    <row r="21" spans="1:3" x14ac:dyDescent="0.25">
      <c r="A21" s="3">
        <v>1.19</v>
      </c>
      <c r="B21" s="7" t="s">
        <v>16</v>
      </c>
      <c r="C21" s="2">
        <v>20.2</v>
      </c>
    </row>
    <row r="22" spans="1:3" x14ac:dyDescent="0.25">
      <c r="A22" s="3">
        <v>1.2</v>
      </c>
      <c r="B22" s="7" t="s">
        <v>17</v>
      </c>
      <c r="C22" s="2">
        <v>20.3</v>
      </c>
    </row>
    <row r="23" spans="1:3" ht="25.5" x14ac:dyDescent="0.25">
      <c r="A23" s="3">
        <v>1.21</v>
      </c>
      <c r="B23" s="7" t="s">
        <v>18</v>
      </c>
      <c r="C23" s="2">
        <v>5.7</v>
      </c>
    </row>
    <row r="24" spans="1:3" x14ac:dyDescent="0.25">
      <c r="A24" s="3">
        <v>1.22</v>
      </c>
      <c r="B24" s="7" t="s">
        <v>19</v>
      </c>
      <c r="C24" s="2">
        <v>3.8</v>
      </c>
    </row>
    <row r="25" spans="1:3" x14ac:dyDescent="0.25">
      <c r="A25" s="3">
        <v>1.23</v>
      </c>
      <c r="B25" s="7" t="s">
        <v>20</v>
      </c>
      <c r="C25" s="2">
        <v>4.5999999999999996</v>
      </c>
    </row>
    <row r="26" spans="1:3" x14ac:dyDescent="0.25">
      <c r="A26" s="3">
        <v>1.24</v>
      </c>
      <c r="B26" s="7" t="s">
        <v>21</v>
      </c>
      <c r="C26" s="2">
        <v>9.8000000000000007</v>
      </c>
    </row>
    <row r="27" spans="1:3" x14ac:dyDescent="0.25">
      <c r="A27" s="3">
        <v>1.25</v>
      </c>
      <c r="B27" s="7" t="s">
        <v>22</v>
      </c>
      <c r="C27" s="2">
        <v>10</v>
      </c>
    </row>
    <row r="28" spans="1:3" x14ac:dyDescent="0.25">
      <c r="A28" s="3">
        <v>1.26</v>
      </c>
      <c r="B28" s="7" t="s">
        <v>22</v>
      </c>
      <c r="C28" s="2">
        <v>10.4</v>
      </c>
    </row>
    <row r="29" spans="1:3" x14ac:dyDescent="0.25">
      <c r="A29" s="3">
        <v>1.27</v>
      </c>
      <c r="B29" s="7" t="s">
        <v>23</v>
      </c>
      <c r="C29" s="2">
        <v>25.5</v>
      </c>
    </row>
    <row r="30" spans="1:3" x14ac:dyDescent="0.25">
      <c r="A30" s="3">
        <v>1.28</v>
      </c>
      <c r="B30" s="7" t="s">
        <v>24</v>
      </c>
      <c r="C30" s="2">
        <v>20.2</v>
      </c>
    </row>
    <row r="31" spans="1:3" x14ac:dyDescent="0.25">
      <c r="A31" s="3">
        <v>1.29</v>
      </c>
      <c r="B31" s="7" t="s">
        <v>25</v>
      </c>
      <c r="C31" s="2">
        <v>27.4</v>
      </c>
    </row>
    <row r="32" spans="1:3" x14ac:dyDescent="0.25">
      <c r="A32" s="3">
        <v>1.3</v>
      </c>
      <c r="B32" s="7" t="s">
        <v>26</v>
      </c>
      <c r="C32" s="2">
        <v>98.3</v>
      </c>
    </row>
    <row r="33" spans="1:3" x14ac:dyDescent="0.25">
      <c r="A33" s="3">
        <v>1.31</v>
      </c>
      <c r="B33" s="7" t="s">
        <v>23</v>
      </c>
      <c r="C33" s="2">
        <v>111.2</v>
      </c>
    </row>
    <row r="34" spans="1:3" x14ac:dyDescent="0.25">
      <c r="A34" s="3">
        <v>1.32</v>
      </c>
      <c r="B34" s="7" t="s">
        <v>27</v>
      </c>
      <c r="C34" s="2">
        <v>23.7</v>
      </c>
    </row>
    <row r="35" spans="1:3" x14ac:dyDescent="0.25">
      <c r="A35" s="3">
        <v>1.33</v>
      </c>
      <c r="B35" s="7" t="s">
        <v>28</v>
      </c>
      <c r="C35" s="2">
        <v>26.5</v>
      </c>
    </row>
    <row r="36" spans="1:3" x14ac:dyDescent="0.25">
      <c r="A36" s="3">
        <v>1.34</v>
      </c>
      <c r="B36" s="7" t="s">
        <v>29</v>
      </c>
      <c r="C36" s="2">
        <v>24.7</v>
      </c>
    </row>
    <row r="37" spans="1:3" x14ac:dyDescent="0.25">
      <c r="A37" s="3">
        <v>1.35</v>
      </c>
      <c r="B37" s="7" t="s">
        <v>30</v>
      </c>
      <c r="C37" s="2">
        <v>28.7</v>
      </c>
    </row>
    <row r="38" spans="1:3" x14ac:dyDescent="0.25">
      <c r="A38" s="3">
        <v>1.36</v>
      </c>
      <c r="B38" s="7" t="s">
        <v>31</v>
      </c>
      <c r="C38" s="2">
        <v>6.5</v>
      </c>
    </row>
    <row r="39" spans="1:3" x14ac:dyDescent="0.25">
      <c r="A39" s="3">
        <v>1.37</v>
      </c>
      <c r="B39" s="7" t="s">
        <v>32</v>
      </c>
      <c r="C39" s="2">
        <v>10.6</v>
      </c>
    </row>
    <row r="40" spans="1:3" x14ac:dyDescent="0.25">
      <c r="A40" s="3">
        <v>1.38</v>
      </c>
      <c r="B40" s="7" t="s">
        <v>33</v>
      </c>
      <c r="C40" s="2">
        <v>167.2</v>
      </c>
    </row>
    <row r="41" spans="1:3" x14ac:dyDescent="0.25">
      <c r="A41" s="3">
        <v>1.39</v>
      </c>
      <c r="B41" s="7" t="s">
        <v>34</v>
      </c>
      <c r="C41" s="2">
        <v>35.299999999999997</v>
      </c>
    </row>
    <row r="42" spans="1:3" x14ac:dyDescent="0.25">
      <c r="A42" s="3">
        <v>1.4</v>
      </c>
      <c r="B42" s="7" t="s">
        <v>35</v>
      </c>
      <c r="C42" s="2">
        <v>14.5</v>
      </c>
    </row>
    <row r="43" spans="1:3" x14ac:dyDescent="0.25">
      <c r="A43" s="3">
        <v>1.41</v>
      </c>
      <c r="B43" s="7" t="s">
        <v>36</v>
      </c>
      <c r="C43" s="2">
        <v>87.4</v>
      </c>
    </row>
    <row r="44" spans="1:3" x14ac:dyDescent="0.25">
      <c r="A44" s="3">
        <v>1.42</v>
      </c>
      <c r="B44" s="7" t="s">
        <v>37</v>
      </c>
      <c r="C44" s="2">
        <v>13.1</v>
      </c>
    </row>
    <row r="45" spans="1:3" x14ac:dyDescent="0.25">
      <c r="A45" s="3">
        <v>1.43</v>
      </c>
      <c r="B45" s="7" t="s">
        <v>38</v>
      </c>
      <c r="C45" s="2">
        <v>11.7</v>
      </c>
    </row>
    <row r="46" spans="1:3" ht="25.5" x14ac:dyDescent="0.25">
      <c r="A46" s="3">
        <v>1.44</v>
      </c>
      <c r="B46" s="7" t="s">
        <v>39</v>
      </c>
      <c r="C46" s="2">
        <v>29</v>
      </c>
    </row>
    <row r="47" spans="1:3" x14ac:dyDescent="0.25">
      <c r="A47" s="3">
        <v>1.45</v>
      </c>
      <c r="B47" s="7" t="s">
        <v>40</v>
      </c>
      <c r="C47" s="2">
        <v>10.4</v>
      </c>
    </row>
    <row r="48" spans="1:3" x14ac:dyDescent="0.25">
      <c r="A48" s="3">
        <v>1.46</v>
      </c>
      <c r="B48" s="7" t="s">
        <v>41</v>
      </c>
      <c r="C48" s="2">
        <v>8.6999999999999993</v>
      </c>
    </row>
    <row r="49" spans="1:3" ht="25.5" x14ac:dyDescent="0.25">
      <c r="A49" s="3">
        <v>1.47</v>
      </c>
      <c r="B49" s="7" t="s">
        <v>42</v>
      </c>
      <c r="C49" s="2">
        <v>9</v>
      </c>
    </row>
    <row r="50" spans="1:3" x14ac:dyDescent="0.25">
      <c r="A50" s="3">
        <v>1.48</v>
      </c>
      <c r="B50" s="7" t="s">
        <v>43</v>
      </c>
      <c r="C50" s="2">
        <v>7.5</v>
      </c>
    </row>
    <row r="51" spans="1:3" x14ac:dyDescent="0.25">
      <c r="A51" s="3">
        <v>1.49</v>
      </c>
      <c r="B51" s="7" t="s">
        <v>19</v>
      </c>
      <c r="C51" s="2">
        <v>2.8</v>
      </c>
    </row>
    <row r="52" spans="1:3" x14ac:dyDescent="0.25">
      <c r="A52" s="3">
        <v>1.5</v>
      </c>
      <c r="B52" s="7" t="s">
        <v>44</v>
      </c>
      <c r="C52" s="2">
        <v>8.1999999999999993</v>
      </c>
    </row>
    <row r="53" spans="1:3" x14ac:dyDescent="0.25">
      <c r="A53" s="3">
        <v>1.51</v>
      </c>
      <c r="B53" s="7" t="s">
        <v>45</v>
      </c>
      <c r="C53" s="2">
        <v>8.3000000000000007</v>
      </c>
    </row>
    <row r="54" spans="1:3" x14ac:dyDescent="0.25">
      <c r="A54" s="3">
        <v>1.52</v>
      </c>
      <c r="B54" s="7" t="s">
        <v>2</v>
      </c>
      <c r="C54" s="2">
        <v>2.6</v>
      </c>
    </row>
    <row r="55" spans="1:3" x14ac:dyDescent="0.25">
      <c r="A55" s="3">
        <v>1.53</v>
      </c>
      <c r="B55" s="7" t="s">
        <v>20</v>
      </c>
      <c r="C55" s="2">
        <v>3.3</v>
      </c>
    </row>
    <row r="56" spans="1:3" x14ac:dyDescent="0.25">
      <c r="A56" s="3">
        <v>1.54</v>
      </c>
      <c r="B56" s="7" t="s">
        <v>46</v>
      </c>
      <c r="C56" s="2">
        <v>7.4</v>
      </c>
    </row>
    <row r="57" spans="1:3" x14ac:dyDescent="0.25">
      <c r="A57" s="3">
        <v>1.55</v>
      </c>
      <c r="B57" s="7" t="s">
        <v>47</v>
      </c>
      <c r="C57" s="2">
        <v>13.5</v>
      </c>
    </row>
    <row r="58" spans="1:3" x14ac:dyDescent="0.25">
      <c r="A58" s="3">
        <v>1.56</v>
      </c>
      <c r="B58" s="7" t="s">
        <v>48</v>
      </c>
      <c r="C58" s="2">
        <v>11.4</v>
      </c>
    </row>
    <row r="59" spans="1:3" x14ac:dyDescent="0.25">
      <c r="A59" s="3">
        <v>1.57</v>
      </c>
      <c r="B59" s="7" t="s">
        <v>49</v>
      </c>
      <c r="C59" s="2">
        <v>20.6</v>
      </c>
    </row>
    <row r="60" spans="1:3" x14ac:dyDescent="0.25">
      <c r="A60" s="3">
        <v>1.58</v>
      </c>
      <c r="B60" s="7" t="s">
        <v>23</v>
      </c>
      <c r="C60" s="2">
        <v>57.7</v>
      </c>
    </row>
    <row r="61" spans="1:3" x14ac:dyDescent="0.25">
      <c r="A61" s="3">
        <v>1.59</v>
      </c>
      <c r="B61" s="7" t="s">
        <v>2</v>
      </c>
      <c r="C61" s="2">
        <v>15.4</v>
      </c>
    </row>
    <row r="62" spans="1:3" x14ac:dyDescent="0.25">
      <c r="A62" s="3">
        <v>1.6</v>
      </c>
      <c r="B62" s="7" t="s">
        <v>50</v>
      </c>
      <c r="C62" s="2">
        <v>87.9</v>
      </c>
    </row>
    <row r="63" spans="1:3" x14ac:dyDescent="0.25">
      <c r="A63" s="3">
        <v>1.61</v>
      </c>
      <c r="B63" s="7" t="s">
        <v>51</v>
      </c>
      <c r="C63" s="2">
        <v>15.6</v>
      </c>
    </row>
    <row r="64" spans="1:3" x14ac:dyDescent="0.25">
      <c r="A64" s="3">
        <v>1.62</v>
      </c>
      <c r="B64" s="7" t="s">
        <v>52</v>
      </c>
      <c r="C64" s="2">
        <v>5.9</v>
      </c>
    </row>
    <row r="65" spans="1:3" x14ac:dyDescent="0.25">
      <c r="A65" s="3">
        <v>1.63</v>
      </c>
      <c r="B65" s="7" t="s">
        <v>2</v>
      </c>
      <c r="C65" s="2">
        <v>11.3</v>
      </c>
    </row>
    <row r="66" spans="1:3" x14ac:dyDescent="0.25">
      <c r="A66" s="3">
        <v>1.64</v>
      </c>
      <c r="B66" s="7" t="s">
        <v>53</v>
      </c>
      <c r="C66" s="2">
        <v>23.5</v>
      </c>
    </row>
    <row r="67" spans="1:3" x14ac:dyDescent="0.25">
      <c r="A67" s="3">
        <v>1.65</v>
      </c>
      <c r="B67" s="7" t="s">
        <v>54</v>
      </c>
      <c r="C67" s="2">
        <v>6.4</v>
      </c>
    </row>
    <row r="68" spans="1:3" x14ac:dyDescent="0.25">
      <c r="A68" s="3">
        <v>1.66</v>
      </c>
      <c r="B68" s="7" t="s">
        <v>55</v>
      </c>
      <c r="C68" s="2">
        <v>29</v>
      </c>
    </row>
    <row r="69" spans="1:3" x14ac:dyDescent="0.25">
      <c r="A69" s="3">
        <v>1.67</v>
      </c>
      <c r="B69" s="8" t="s">
        <v>56</v>
      </c>
      <c r="C69" s="2">
        <v>50</v>
      </c>
    </row>
    <row r="70" spans="1:3" x14ac:dyDescent="0.25">
      <c r="A70" s="3">
        <v>1.68</v>
      </c>
      <c r="B70" s="8" t="s">
        <v>57</v>
      </c>
      <c r="C70" s="2">
        <v>55.7</v>
      </c>
    </row>
    <row r="71" spans="1:3" x14ac:dyDescent="0.25">
      <c r="A71" s="3">
        <v>1.69</v>
      </c>
      <c r="B71" s="8" t="s">
        <v>53</v>
      </c>
      <c r="C71" s="2">
        <v>18</v>
      </c>
    </row>
    <row r="72" spans="1:3" x14ac:dyDescent="0.25">
      <c r="A72" s="3">
        <v>1.7</v>
      </c>
      <c r="B72" s="8" t="s">
        <v>2</v>
      </c>
      <c r="C72" s="2">
        <v>4.7</v>
      </c>
    </row>
    <row r="73" spans="1:3" x14ac:dyDescent="0.25">
      <c r="A73" s="3">
        <v>1.71</v>
      </c>
      <c r="B73" s="8" t="s">
        <v>54</v>
      </c>
      <c r="C73" s="2">
        <v>6.4</v>
      </c>
    </row>
    <row r="74" spans="1:3" x14ac:dyDescent="0.25">
      <c r="A74" s="3">
        <v>1.72</v>
      </c>
      <c r="B74" s="8" t="s">
        <v>55</v>
      </c>
      <c r="C74" s="2">
        <v>29.3</v>
      </c>
    </row>
    <row r="75" spans="1:3" x14ac:dyDescent="0.25">
      <c r="A75" s="3">
        <v>1.73</v>
      </c>
      <c r="B75" s="8" t="s">
        <v>56</v>
      </c>
      <c r="C75" s="2">
        <v>50.3</v>
      </c>
    </row>
    <row r="76" spans="1:3" x14ac:dyDescent="0.25">
      <c r="A76" s="3">
        <v>1.74</v>
      </c>
      <c r="B76" s="8" t="s">
        <v>57</v>
      </c>
      <c r="C76" s="2">
        <v>55.4</v>
      </c>
    </row>
    <row r="77" spans="1:3" x14ac:dyDescent="0.25">
      <c r="A77" s="3">
        <v>1.75</v>
      </c>
      <c r="B77" s="8" t="s">
        <v>20</v>
      </c>
      <c r="C77" s="2">
        <v>6.1</v>
      </c>
    </row>
    <row r="78" spans="1:3" ht="26.25" x14ac:dyDescent="0.25">
      <c r="A78" s="3">
        <v>1.76</v>
      </c>
      <c r="B78" s="8" t="s">
        <v>60</v>
      </c>
      <c r="C78" s="2">
        <v>6.3</v>
      </c>
    </row>
    <row r="79" spans="1:3" x14ac:dyDescent="0.25">
      <c r="A79" s="3">
        <v>1.77</v>
      </c>
      <c r="B79" s="8" t="s">
        <v>23</v>
      </c>
      <c r="C79" s="2">
        <v>41.2</v>
      </c>
    </row>
    <row r="80" spans="1:3" x14ac:dyDescent="0.25">
      <c r="A80" s="3">
        <v>1.78</v>
      </c>
      <c r="B80" s="8" t="s">
        <v>23</v>
      </c>
      <c r="C80" s="2">
        <v>60</v>
      </c>
    </row>
    <row r="81" spans="1:3" x14ac:dyDescent="0.25">
      <c r="A81" s="3">
        <v>1.79</v>
      </c>
      <c r="B81" s="8" t="s">
        <v>58</v>
      </c>
      <c r="C81" s="2">
        <v>29.9</v>
      </c>
    </row>
    <row r="82" spans="1:3" x14ac:dyDescent="0.25">
      <c r="A82" s="3">
        <v>1.8</v>
      </c>
      <c r="B82" s="8" t="s">
        <v>59</v>
      </c>
      <c r="C82" s="2">
        <v>24.9</v>
      </c>
    </row>
    <row r="83" spans="1:3" x14ac:dyDescent="0.25">
      <c r="A83" s="3">
        <v>1.81</v>
      </c>
      <c r="B83" s="8" t="s">
        <v>31</v>
      </c>
      <c r="C83" s="2">
        <v>6.3</v>
      </c>
    </row>
    <row r="84" spans="1:3" x14ac:dyDescent="0.25">
      <c r="A84" s="3">
        <v>1.82</v>
      </c>
      <c r="B84" s="8" t="s">
        <v>23</v>
      </c>
      <c r="C84" s="2">
        <v>24.5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opLeftCell="A30" workbookViewId="0">
      <selection activeCell="A36" sqref="A36:XFD58"/>
    </sheetView>
  </sheetViews>
  <sheetFormatPr defaultRowHeight="15" x14ac:dyDescent="0.25"/>
  <cols>
    <col min="1" max="1" width="9.140625" style="6"/>
    <col min="2" max="2" width="65.28515625" style="4" customWidth="1"/>
  </cols>
  <sheetData>
    <row r="1" spans="1:3" x14ac:dyDescent="0.25">
      <c r="A1" s="6">
        <v>2.0099999999999998</v>
      </c>
      <c r="B1" s="4" t="s">
        <v>61</v>
      </c>
      <c r="C1">
        <v>62.6</v>
      </c>
    </row>
    <row r="2" spans="1:3" ht="30" x14ac:dyDescent="0.25">
      <c r="A2" s="6">
        <v>2.02</v>
      </c>
      <c r="B2" s="4" t="s">
        <v>62</v>
      </c>
      <c r="C2">
        <v>89</v>
      </c>
    </row>
    <row r="3" spans="1:3" x14ac:dyDescent="0.25">
      <c r="A3" s="6">
        <v>2.0299999999999998</v>
      </c>
      <c r="B3" s="4" t="s">
        <v>63</v>
      </c>
      <c r="C3">
        <v>39.4</v>
      </c>
    </row>
    <row r="4" spans="1:3" x14ac:dyDescent="0.25">
      <c r="A4" s="6">
        <v>2.04</v>
      </c>
      <c r="B4" s="4" t="s">
        <v>61</v>
      </c>
      <c r="C4">
        <v>63</v>
      </c>
    </row>
    <row r="5" spans="1:3" ht="30" x14ac:dyDescent="0.25">
      <c r="A5" s="6">
        <v>2.0499999999999998</v>
      </c>
      <c r="B5" s="4" t="s">
        <v>64</v>
      </c>
      <c r="C5">
        <v>64.400000000000006</v>
      </c>
    </row>
    <row r="6" spans="1:3" ht="30" x14ac:dyDescent="0.25">
      <c r="A6" s="6">
        <v>2.06</v>
      </c>
      <c r="B6" s="4" t="s">
        <v>64</v>
      </c>
      <c r="C6">
        <v>63.3</v>
      </c>
    </row>
    <row r="7" spans="1:3" x14ac:dyDescent="0.25">
      <c r="A7" s="6">
        <v>2.0699999999999998</v>
      </c>
      <c r="B7" s="4" t="s">
        <v>61</v>
      </c>
      <c r="C7">
        <v>63.3</v>
      </c>
    </row>
    <row r="8" spans="1:3" x14ac:dyDescent="0.25">
      <c r="A8" s="6">
        <v>2.08</v>
      </c>
      <c r="B8" s="4" t="s">
        <v>23</v>
      </c>
      <c r="C8">
        <v>78.599999999999994</v>
      </c>
    </row>
    <row r="9" spans="1:3" x14ac:dyDescent="0.25">
      <c r="A9" s="6">
        <v>2.09</v>
      </c>
      <c r="B9" s="4" t="s">
        <v>20</v>
      </c>
      <c r="C9">
        <v>5.0999999999999996</v>
      </c>
    </row>
    <row r="10" spans="1:3" x14ac:dyDescent="0.25">
      <c r="A10" s="6">
        <v>2.1</v>
      </c>
      <c r="B10" s="4" t="s">
        <v>65</v>
      </c>
      <c r="C10">
        <v>11.1</v>
      </c>
    </row>
    <row r="11" spans="1:3" x14ac:dyDescent="0.25">
      <c r="A11" s="6">
        <v>2.11</v>
      </c>
      <c r="B11" s="4" t="s">
        <v>66</v>
      </c>
      <c r="C11">
        <v>11.2</v>
      </c>
    </row>
    <row r="12" spans="1:3" x14ac:dyDescent="0.25">
      <c r="A12" s="6">
        <v>2.12</v>
      </c>
      <c r="B12" s="4" t="s">
        <v>67</v>
      </c>
      <c r="C12">
        <v>25.7</v>
      </c>
    </row>
    <row r="13" spans="1:3" x14ac:dyDescent="0.25">
      <c r="A13" s="6">
        <v>2.13</v>
      </c>
      <c r="B13" s="4" t="s">
        <v>68</v>
      </c>
      <c r="C13">
        <v>13.2</v>
      </c>
    </row>
    <row r="14" spans="1:3" x14ac:dyDescent="0.25">
      <c r="A14" s="6">
        <v>2.14</v>
      </c>
      <c r="B14" s="4" t="s">
        <v>12</v>
      </c>
      <c r="C14">
        <v>7.8</v>
      </c>
    </row>
    <row r="15" spans="1:3" x14ac:dyDescent="0.25">
      <c r="A15" s="6">
        <v>2.15</v>
      </c>
      <c r="B15" s="4" t="s">
        <v>69</v>
      </c>
      <c r="C15">
        <v>26.6</v>
      </c>
    </row>
    <row r="16" spans="1:3" x14ac:dyDescent="0.25">
      <c r="A16" s="6">
        <v>2.16</v>
      </c>
      <c r="B16" s="4" t="s">
        <v>11</v>
      </c>
      <c r="C16">
        <v>9.5</v>
      </c>
    </row>
    <row r="17" spans="1:3" x14ac:dyDescent="0.25">
      <c r="A17" s="6">
        <v>2.17</v>
      </c>
      <c r="B17" s="4" t="s">
        <v>70</v>
      </c>
      <c r="C17">
        <v>11.7</v>
      </c>
    </row>
    <row r="18" spans="1:3" x14ac:dyDescent="0.25">
      <c r="A18" s="6">
        <v>2.1800000000000002</v>
      </c>
      <c r="B18" s="4" t="s">
        <v>71</v>
      </c>
      <c r="C18">
        <v>29</v>
      </c>
    </row>
    <row r="19" spans="1:3" x14ac:dyDescent="0.25">
      <c r="A19" s="6">
        <v>2.19</v>
      </c>
      <c r="B19" s="4" t="s">
        <v>72</v>
      </c>
      <c r="C19">
        <v>349.3</v>
      </c>
    </row>
    <row r="20" spans="1:3" x14ac:dyDescent="0.25">
      <c r="A20" s="6">
        <v>2.2000000000000002</v>
      </c>
      <c r="B20" s="4" t="s">
        <v>73</v>
      </c>
      <c r="C20">
        <v>16.7</v>
      </c>
    </row>
    <row r="21" spans="1:3" x14ac:dyDescent="0.25">
      <c r="A21" s="6">
        <v>2.21</v>
      </c>
      <c r="B21" s="4" t="s">
        <v>82</v>
      </c>
      <c r="C21">
        <v>13.5</v>
      </c>
    </row>
    <row r="22" spans="1:3" x14ac:dyDescent="0.25">
      <c r="A22" s="6">
        <v>2.2200000000000002</v>
      </c>
      <c r="B22" s="4" t="s">
        <v>19</v>
      </c>
      <c r="C22">
        <v>5.0999999999999996</v>
      </c>
    </row>
    <row r="23" spans="1:3" x14ac:dyDescent="0.25">
      <c r="A23" s="6">
        <v>2.23</v>
      </c>
      <c r="B23" s="4" t="s">
        <v>20</v>
      </c>
      <c r="C23">
        <v>9.5</v>
      </c>
    </row>
    <row r="24" spans="1:3" x14ac:dyDescent="0.25">
      <c r="A24" s="6">
        <v>2.2400000000000002</v>
      </c>
      <c r="B24" s="4" t="s">
        <v>11</v>
      </c>
      <c r="C24">
        <v>14.5</v>
      </c>
    </row>
    <row r="25" spans="1:3" x14ac:dyDescent="0.25">
      <c r="A25" s="6">
        <v>2.25</v>
      </c>
      <c r="B25" s="4" t="s">
        <v>12</v>
      </c>
      <c r="C25">
        <v>14.5</v>
      </c>
    </row>
    <row r="26" spans="1:3" x14ac:dyDescent="0.25">
      <c r="A26" s="6">
        <v>2.2599999999999998</v>
      </c>
      <c r="B26" s="4" t="s">
        <v>6</v>
      </c>
      <c r="C26">
        <v>5.0999999999999996</v>
      </c>
    </row>
    <row r="27" spans="1:3" x14ac:dyDescent="0.25">
      <c r="A27" s="6">
        <v>2.27</v>
      </c>
      <c r="B27" s="4" t="s">
        <v>23</v>
      </c>
      <c r="C27">
        <v>18.600000000000001</v>
      </c>
    </row>
    <row r="28" spans="1:3" x14ac:dyDescent="0.25">
      <c r="A28" s="6">
        <v>2.2799999999999998</v>
      </c>
      <c r="B28" s="4" t="s">
        <v>74</v>
      </c>
      <c r="C28">
        <v>199.6</v>
      </c>
    </row>
    <row r="29" spans="1:3" x14ac:dyDescent="0.25">
      <c r="A29" s="6">
        <v>2.29</v>
      </c>
      <c r="B29" s="4" t="s">
        <v>75</v>
      </c>
      <c r="C29">
        <v>15</v>
      </c>
    </row>
    <row r="30" spans="1:3" x14ac:dyDescent="0.25">
      <c r="A30" s="6">
        <v>2.2999999999999998</v>
      </c>
      <c r="B30" s="4" t="s">
        <v>23</v>
      </c>
      <c r="C30">
        <v>108</v>
      </c>
    </row>
    <row r="31" spans="1:3" x14ac:dyDescent="0.25">
      <c r="A31" s="6">
        <v>2.31</v>
      </c>
      <c r="B31" s="4" t="s">
        <v>27</v>
      </c>
      <c r="C31">
        <v>25.1</v>
      </c>
    </row>
    <row r="32" spans="1:3" x14ac:dyDescent="0.25">
      <c r="A32" s="6">
        <v>2.3199999999999998</v>
      </c>
      <c r="B32" s="4" t="s">
        <v>28</v>
      </c>
      <c r="C32">
        <v>26.5</v>
      </c>
    </row>
    <row r="33" spans="1:3" x14ac:dyDescent="0.25">
      <c r="A33" s="6">
        <v>2.33</v>
      </c>
      <c r="B33" s="4" t="s">
        <v>76</v>
      </c>
      <c r="C33">
        <v>6.5</v>
      </c>
    </row>
    <row r="34" spans="1:3" x14ac:dyDescent="0.25">
      <c r="A34" s="6">
        <v>2.34</v>
      </c>
      <c r="B34" s="4" t="s">
        <v>29</v>
      </c>
      <c r="C34">
        <v>25.2</v>
      </c>
    </row>
    <row r="35" spans="1:3" x14ac:dyDescent="0.25">
      <c r="A35" s="6">
        <v>2.35</v>
      </c>
      <c r="B35" s="4" t="s">
        <v>30</v>
      </c>
      <c r="C35">
        <v>28.7</v>
      </c>
    </row>
    <row r="36" spans="1:3" x14ac:dyDescent="0.25">
      <c r="A36" s="6">
        <v>2.36</v>
      </c>
      <c r="B36" s="4" t="s">
        <v>43</v>
      </c>
      <c r="C36">
        <v>8.1</v>
      </c>
    </row>
    <row r="37" spans="1:3" x14ac:dyDescent="0.25">
      <c r="A37" s="6">
        <v>2.37</v>
      </c>
      <c r="B37" s="4" t="s">
        <v>53</v>
      </c>
      <c r="C37">
        <v>23.5</v>
      </c>
    </row>
    <row r="38" spans="1:3" x14ac:dyDescent="0.25">
      <c r="A38" s="6">
        <v>2.38</v>
      </c>
      <c r="B38" s="4" t="s">
        <v>54</v>
      </c>
      <c r="C38">
        <v>6.4</v>
      </c>
    </row>
    <row r="39" spans="1:3" x14ac:dyDescent="0.25">
      <c r="A39" s="6">
        <v>2.39</v>
      </c>
      <c r="B39" s="4" t="s">
        <v>55</v>
      </c>
      <c r="C39">
        <v>29</v>
      </c>
    </row>
    <row r="40" spans="1:3" x14ac:dyDescent="0.25">
      <c r="A40" s="6">
        <v>2.4</v>
      </c>
      <c r="B40" s="4" t="s">
        <v>56</v>
      </c>
      <c r="C40">
        <v>50.4</v>
      </c>
    </row>
    <row r="41" spans="1:3" x14ac:dyDescent="0.25">
      <c r="A41" s="6">
        <v>2.41</v>
      </c>
      <c r="B41" s="4" t="s">
        <v>57</v>
      </c>
      <c r="C41">
        <v>55.9</v>
      </c>
    </row>
    <row r="42" spans="1:3" x14ac:dyDescent="0.25">
      <c r="A42" s="6">
        <v>2.42</v>
      </c>
      <c r="B42" s="4" t="s">
        <v>53</v>
      </c>
      <c r="C42">
        <v>23</v>
      </c>
    </row>
    <row r="43" spans="1:3" x14ac:dyDescent="0.25">
      <c r="A43" s="6">
        <v>2.4300000000000002</v>
      </c>
      <c r="B43" s="4" t="s">
        <v>54</v>
      </c>
      <c r="C43">
        <v>6.4</v>
      </c>
    </row>
    <row r="44" spans="1:3" x14ac:dyDescent="0.25">
      <c r="A44" s="6">
        <v>2.44</v>
      </c>
      <c r="B44" s="4" t="s">
        <v>56</v>
      </c>
      <c r="C44">
        <v>50.5</v>
      </c>
    </row>
    <row r="45" spans="1:3" x14ac:dyDescent="0.25">
      <c r="A45" s="6">
        <v>2.4500000000000002</v>
      </c>
      <c r="B45" s="4" t="s">
        <v>57</v>
      </c>
      <c r="C45">
        <v>55.5</v>
      </c>
    </row>
    <row r="46" spans="1:3" x14ac:dyDescent="0.25">
      <c r="A46" s="6">
        <v>2.46</v>
      </c>
      <c r="B46" s="4" t="s">
        <v>55</v>
      </c>
      <c r="C46">
        <v>29</v>
      </c>
    </row>
    <row r="47" spans="1:3" ht="30" x14ac:dyDescent="0.25">
      <c r="A47" s="6">
        <v>2.4700000000000002</v>
      </c>
      <c r="B47" s="4" t="s">
        <v>77</v>
      </c>
      <c r="C47">
        <v>71</v>
      </c>
    </row>
    <row r="48" spans="1:3" x14ac:dyDescent="0.25">
      <c r="A48" s="6">
        <v>2.48</v>
      </c>
      <c r="B48" s="4" t="s">
        <v>78</v>
      </c>
      <c r="C48">
        <v>6.8</v>
      </c>
    </row>
    <row r="49" spans="1:3" x14ac:dyDescent="0.25">
      <c r="A49" s="6">
        <v>2.4900000000000002</v>
      </c>
      <c r="B49" s="4" t="s">
        <v>79</v>
      </c>
      <c r="C49">
        <v>72.3</v>
      </c>
    </row>
    <row r="50" spans="1:3" x14ac:dyDescent="0.25">
      <c r="A50" s="6">
        <v>2.5</v>
      </c>
      <c r="B50" s="4" t="s">
        <v>80</v>
      </c>
      <c r="C50">
        <v>6</v>
      </c>
    </row>
    <row r="51" spans="1:3" x14ac:dyDescent="0.25">
      <c r="A51" s="6">
        <v>2.5099999999999998</v>
      </c>
      <c r="B51" s="4" t="s">
        <v>23</v>
      </c>
      <c r="C51">
        <v>37.6</v>
      </c>
    </row>
    <row r="52" spans="1:3" x14ac:dyDescent="0.25">
      <c r="A52" s="6">
        <v>2.52</v>
      </c>
      <c r="B52" s="4" t="s">
        <v>20</v>
      </c>
      <c r="C52">
        <v>5.6</v>
      </c>
    </row>
    <row r="53" spans="1:3" x14ac:dyDescent="0.25">
      <c r="A53" s="6">
        <v>2.5299999999999998</v>
      </c>
      <c r="B53" s="4" t="s">
        <v>81</v>
      </c>
      <c r="C53">
        <v>6</v>
      </c>
    </row>
    <row r="54" spans="1:3" x14ac:dyDescent="0.25">
      <c r="A54" s="6">
        <v>2.54</v>
      </c>
      <c r="B54" s="4" t="s">
        <v>58</v>
      </c>
      <c r="C54">
        <v>31.3</v>
      </c>
    </row>
    <row r="55" spans="1:3" x14ac:dyDescent="0.25">
      <c r="A55" s="6">
        <v>2.5499999999999998</v>
      </c>
      <c r="B55" s="4" t="s">
        <v>76</v>
      </c>
      <c r="C55">
        <v>6.3</v>
      </c>
    </row>
    <row r="56" spans="1:3" x14ac:dyDescent="0.25">
      <c r="A56" s="6">
        <v>2.56</v>
      </c>
      <c r="B56" s="4" t="s">
        <v>23</v>
      </c>
      <c r="C56">
        <v>59.9</v>
      </c>
    </row>
    <row r="57" spans="1:3" x14ac:dyDescent="0.25">
      <c r="A57" s="6">
        <v>2.57</v>
      </c>
      <c r="B57" s="4" t="s">
        <v>59</v>
      </c>
      <c r="C57">
        <v>26.2</v>
      </c>
    </row>
    <row r="58" spans="1:3" x14ac:dyDescent="0.25">
      <c r="A58" s="6">
        <v>2.58</v>
      </c>
      <c r="B58" s="4" t="s">
        <v>74</v>
      </c>
      <c r="C58">
        <v>74.5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23" workbookViewId="0">
      <selection activeCell="A22" sqref="A22:XFD45"/>
    </sheetView>
  </sheetViews>
  <sheetFormatPr defaultRowHeight="15" x14ac:dyDescent="0.25"/>
  <cols>
    <col min="1" max="1" width="9.140625" style="9"/>
    <col min="2" max="2" width="44.5703125" style="4" customWidth="1"/>
    <col min="3" max="3" width="9.140625" style="5"/>
  </cols>
  <sheetData>
    <row r="1" spans="1:3" x14ac:dyDescent="0.25">
      <c r="A1" s="9">
        <v>3.01</v>
      </c>
      <c r="B1" s="4" t="s">
        <v>61</v>
      </c>
      <c r="C1" s="5">
        <v>61.9</v>
      </c>
    </row>
    <row r="2" spans="1:3" ht="45" x14ac:dyDescent="0.25">
      <c r="A2" s="9">
        <v>3.02</v>
      </c>
      <c r="B2" s="4" t="s">
        <v>83</v>
      </c>
      <c r="C2" s="5">
        <v>87.9</v>
      </c>
    </row>
    <row r="3" spans="1:3" x14ac:dyDescent="0.25">
      <c r="A3" s="9">
        <v>3.03</v>
      </c>
      <c r="B3" s="4" t="s">
        <v>84</v>
      </c>
      <c r="C3" s="5">
        <v>29.2</v>
      </c>
    </row>
    <row r="4" spans="1:3" x14ac:dyDescent="0.25">
      <c r="A4" s="9">
        <v>3.04</v>
      </c>
      <c r="B4" s="4" t="s">
        <v>61</v>
      </c>
      <c r="C4" s="5">
        <v>63.9</v>
      </c>
    </row>
    <row r="5" spans="1:3" x14ac:dyDescent="0.25">
      <c r="A5" s="9">
        <v>3.05</v>
      </c>
      <c r="B5" s="4" t="s">
        <v>61</v>
      </c>
      <c r="C5" s="5">
        <v>63</v>
      </c>
    </row>
    <row r="6" spans="1:3" x14ac:dyDescent="0.25">
      <c r="A6" s="9">
        <v>3.06</v>
      </c>
      <c r="B6" s="4" t="s">
        <v>61</v>
      </c>
      <c r="C6" s="5">
        <v>64.599999999999994</v>
      </c>
    </row>
    <row r="7" spans="1:3" x14ac:dyDescent="0.25">
      <c r="A7" s="9">
        <v>3.07</v>
      </c>
      <c r="B7" s="4" t="s">
        <v>61</v>
      </c>
      <c r="C7" s="5">
        <v>63</v>
      </c>
    </row>
    <row r="8" spans="1:3" x14ac:dyDescent="0.25">
      <c r="A8" s="9">
        <v>3.08</v>
      </c>
      <c r="B8" s="4" t="s">
        <v>61</v>
      </c>
      <c r="C8" s="5">
        <v>63.6</v>
      </c>
    </row>
    <row r="9" spans="1:3" x14ac:dyDescent="0.25">
      <c r="A9" s="9">
        <v>3.09</v>
      </c>
      <c r="B9" s="4" t="s">
        <v>6</v>
      </c>
      <c r="C9" s="5">
        <v>5.0999999999999996</v>
      </c>
    </row>
    <row r="10" spans="1:3" x14ac:dyDescent="0.25">
      <c r="A10" s="9">
        <v>3.1</v>
      </c>
      <c r="B10" s="4" t="s">
        <v>11</v>
      </c>
      <c r="C10" s="5">
        <v>14.5</v>
      </c>
    </row>
    <row r="11" spans="1:3" x14ac:dyDescent="0.25">
      <c r="A11" s="9">
        <v>3.11</v>
      </c>
      <c r="B11" s="4" t="s">
        <v>12</v>
      </c>
      <c r="C11" s="5">
        <v>14.4</v>
      </c>
    </row>
    <row r="12" spans="1:3" ht="60" x14ac:dyDescent="0.25">
      <c r="A12" s="9">
        <v>3.12</v>
      </c>
      <c r="B12" s="4" t="s">
        <v>90</v>
      </c>
      <c r="C12" s="5">
        <v>243.9</v>
      </c>
    </row>
    <row r="13" spans="1:3" x14ac:dyDescent="0.25">
      <c r="A13" s="9">
        <v>3.13</v>
      </c>
      <c r="B13" s="4" t="s">
        <v>85</v>
      </c>
      <c r="C13" s="5">
        <v>13</v>
      </c>
    </row>
    <row r="14" spans="1:3" x14ac:dyDescent="0.25">
      <c r="A14" s="9">
        <v>3.14</v>
      </c>
      <c r="B14" s="4" t="s">
        <v>19</v>
      </c>
      <c r="C14" s="5">
        <v>5.0999999999999996</v>
      </c>
    </row>
    <row r="15" spans="1:3" x14ac:dyDescent="0.25">
      <c r="A15" s="9">
        <v>3.15</v>
      </c>
      <c r="B15" s="4" t="s">
        <v>20</v>
      </c>
      <c r="C15" s="5">
        <v>11.5</v>
      </c>
    </row>
    <row r="16" spans="1:3" x14ac:dyDescent="0.25">
      <c r="A16" s="9">
        <v>3.16</v>
      </c>
      <c r="B16" s="4" t="s">
        <v>76</v>
      </c>
      <c r="C16" s="5">
        <v>6.5</v>
      </c>
    </row>
    <row r="17" spans="1:3" x14ac:dyDescent="0.25">
      <c r="A17" s="9">
        <v>3.17</v>
      </c>
      <c r="B17" s="4" t="s">
        <v>27</v>
      </c>
      <c r="C17" s="5">
        <v>25.2</v>
      </c>
    </row>
    <row r="18" spans="1:3" x14ac:dyDescent="0.25">
      <c r="A18" s="9">
        <v>3.18</v>
      </c>
      <c r="B18" s="4" t="s">
        <v>74</v>
      </c>
      <c r="C18" s="5">
        <v>113.4</v>
      </c>
    </row>
    <row r="19" spans="1:3" x14ac:dyDescent="0.25">
      <c r="A19" s="9">
        <v>3.19</v>
      </c>
      <c r="B19" s="4" t="s">
        <v>23</v>
      </c>
      <c r="C19" s="5">
        <v>105.9</v>
      </c>
    </row>
    <row r="20" spans="1:3" x14ac:dyDescent="0.25">
      <c r="A20" s="9">
        <v>3.2</v>
      </c>
      <c r="B20" s="4" t="s">
        <v>29</v>
      </c>
      <c r="C20" s="5">
        <v>25.2</v>
      </c>
    </row>
    <row r="21" spans="1:3" x14ac:dyDescent="0.25">
      <c r="A21" s="9">
        <v>3.21</v>
      </c>
      <c r="B21" s="4" t="s">
        <v>30</v>
      </c>
      <c r="C21" s="5">
        <v>28.7</v>
      </c>
    </row>
    <row r="22" spans="1:3" x14ac:dyDescent="0.25">
      <c r="A22" s="9">
        <v>3.22</v>
      </c>
      <c r="B22" s="4" t="s">
        <v>43</v>
      </c>
      <c r="C22" s="5">
        <v>8.3000000000000007</v>
      </c>
    </row>
    <row r="23" spans="1:3" x14ac:dyDescent="0.25">
      <c r="A23" s="9">
        <v>3.23</v>
      </c>
      <c r="B23" s="4" t="s">
        <v>53</v>
      </c>
      <c r="C23" s="5">
        <v>23.5</v>
      </c>
    </row>
    <row r="24" spans="1:3" x14ac:dyDescent="0.25">
      <c r="A24" s="9">
        <v>3.24</v>
      </c>
      <c r="B24" s="4" t="s">
        <v>54</v>
      </c>
      <c r="C24" s="5">
        <v>6.4</v>
      </c>
    </row>
    <row r="25" spans="1:3" x14ac:dyDescent="0.25">
      <c r="A25" s="9">
        <v>3.25</v>
      </c>
      <c r="B25" s="4" t="s">
        <v>56</v>
      </c>
      <c r="C25" s="5">
        <v>50.6</v>
      </c>
    </row>
    <row r="26" spans="1:3" x14ac:dyDescent="0.25">
      <c r="A26" s="9">
        <v>3.26</v>
      </c>
      <c r="B26" s="4" t="s">
        <v>57</v>
      </c>
      <c r="C26" s="5">
        <v>56</v>
      </c>
    </row>
    <row r="27" spans="1:3" x14ac:dyDescent="0.25">
      <c r="A27" s="9">
        <v>3.27</v>
      </c>
      <c r="B27" s="4" t="s">
        <v>55</v>
      </c>
      <c r="C27" s="5">
        <v>29</v>
      </c>
    </row>
    <row r="28" spans="1:3" x14ac:dyDescent="0.25">
      <c r="A28" s="9">
        <v>3.28</v>
      </c>
      <c r="B28" s="4" t="s">
        <v>53</v>
      </c>
      <c r="C28" s="5">
        <v>23.3</v>
      </c>
    </row>
    <row r="29" spans="1:3" x14ac:dyDescent="0.25">
      <c r="A29" s="9">
        <v>3.29</v>
      </c>
      <c r="B29" s="4" t="s">
        <v>56</v>
      </c>
      <c r="C29" s="5">
        <v>50.8</v>
      </c>
    </row>
    <row r="30" spans="1:3" x14ac:dyDescent="0.25">
      <c r="A30" s="9">
        <v>3.3</v>
      </c>
      <c r="B30" s="4" t="s">
        <v>57</v>
      </c>
      <c r="C30" s="5">
        <v>55.7</v>
      </c>
    </row>
    <row r="31" spans="1:3" x14ac:dyDescent="0.25">
      <c r="A31" s="9">
        <v>3.31</v>
      </c>
      <c r="B31" s="4" t="s">
        <v>54</v>
      </c>
      <c r="C31" s="5">
        <v>6.4</v>
      </c>
    </row>
    <row r="32" spans="1:3" x14ac:dyDescent="0.25">
      <c r="A32" s="9">
        <v>3.32</v>
      </c>
      <c r="B32" s="4" t="s">
        <v>55</v>
      </c>
      <c r="C32" s="5">
        <v>29</v>
      </c>
    </row>
    <row r="33" spans="1:3" ht="45" x14ac:dyDescent="0.25">
      <c r="A33" s="9">
        <v>3.33</v>
      </c>
      <c r="B33" s="4" t="s">
        <v>91</v>
      </c>
      <c r="C33" s="5">
        <v>74.599999999999994</v>
      </c>
    </row>
    <row r="34" spans="1:3" x14ac:dyDescent="0.25">
      <c r="A34" s="9">
        <v>3.34</v>
      </c>
      <c r="B34" s="4" t="s">
        <v>86</v>
      </c>
      <c r="C34" s="5">
        <v>6.6</v>
      </c>
    </row>
    <row r="35" spans="1:3" ht="45" x14ac:dyDescent="0.25">
      <c r="A35" s="9">
        <v>3.35</v>
      </c>
      <c r="B35" s="4" t="s">
        <v>87</v>
      </c>
      <c r="C35" s="5">
        <v>74.099999999999994</v>
      </c>
    </row>
    <row r="36" spans="1:3" ht="30" x14ac:dyDescent="0.25">
      <c r="A36" s="9">
        <v>3.36</v>
      </c>
      <c r="B36" s="4" t="s">
        <v>88</v>
      </c>
      <c r="C36" s="5">
        <v>5.8</v>
      </c>
    </row>
    <row r="37" spans="1:3" x14ac:dyDescent="0.25">
      <c r="A37" s="9">
        <v>3.37</v>
      </c>
      <c r="B37" s="4" t="s">
        <v>89</v>
      </c>
      <c r="C37" s="5">
        <v>5.9</v>
      </c>
    </row>
    <row r="38" spans="1:3" x14ac:dyDescent="0.25">
      <c r="A38" s="9">
        <v>3.38</v>
      </c>
      <c r="B38" s="4" t="s">
        <v>58</v>
      </c>
      <c r="C38" s="5">
        <v>30.9</v>
      </c>
    </row>
    <row r="39" spans="1:3" x14ac:dyDescent="0.25">
      <c r="A39" s="9">
        <v>3.39</v>
      </c>
      <c r="B39" s="4" t="s">
        <v>76</v>
      </c>
      <c r="C39" s="5">
        <v>6.3</v>
      </c>
    </row>
    <row r="40" spans="1:3" x14ac:dyDescent="0.25">
      <c r="A40" s="9">
        <v>3.4</v>
      </c>
      <c r="B40" s="4" t="s">
        <v>20</v>
      </c>
      <c r="C40" s="5">
        <v>6.1</v>
      </c>
    </row>
    <row r="41" spans="1:3" x14ac:dyDescent="0.25">
      <c r="A41" s="9">
        <v>3.41</v>
      </c>
      <c r="B41" s="4" t="s">
        <v>23</v>
      </c>
      <c r="C41" s="5">
        <v>36.4</v>
      </c>
    </row>
    <row r="42" spans="1:3" x14ac:dyDescent="0.25">
      <c r="A42" s="9">
        <v>3.42</v>
      </c>
      <c r="B42" s="4" t="s">
        <v>23</v>
      </c>
      <c r="C42" s="5">
        <v>59.7</v>
      </c>
    </row>
    <row r="43" spans="1:3" x14ac:dyDescent="0.25">
      <c r="A43" s="9">
        <v>3.43</v>
      </c>
      <c r="B43" s="4" t="s">
        <v>59</v>
      </c>
      <c r="C43" s="5">
        <v>26.2</v>
      </c>
    </row>
    <row r="44" spans="1:3" x14ac:dyDescent="0.25">
      <c r="A44" s="9">
        <v>3.44</v>
      </c>
      <c r="B44" s="4" t="s">
        <v>23</v>
      </c>
      <c r="C44" s="5">
        <v>21.4</v>
      </c>
    </row>
    <row r="45" spans="1:3" x14ac:dyDescent="0.25">
      <c r="A45" s="9">
        <v>3.45</v>
      </c>
      <c r="B45" s="4" t="s">
        <v>74</v>
      </c>
      <c r="C45" s="5">
        <v>82.7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6"/>
  <sheetViews>
    <sheetView topLeftCell="A42" workbookViewId="0">
      <selection activeCell="J19" sqref="J19"/>
    </sheetView>
  </sheetViews>
  <sheetFormatPr defaultRowHeight="12.75" x14ac:dyDescent="0.2"/>
  <cols>
    <col min="1" max="1" width="9.140625" style="10"/>
    <col min="2" max="2" width="9.140625" style="12"/>
    <col min="3" max="3" width="37.28515625" style="13" customWidth="1"/>
    <col min="4" max="4" width="9.140625" style="12"/>
    <col min="5" max="16384" width="9.140625" style="10"/>
  </cols>
  <sheetData>
    <row r="1" spans="2:4" x14ac:dyDescent="0.2">
      <c r="B1" s="19">
        <v>1.59</v>
      </c>
      <c r="C1" s="20" t="s">
        <v>2</v>
      </c>
      <c r="D1" s="21">
        <v>15.4</v>
      </c>
    </row>
    <row r="2" spans="2:4" x14ac:dyDescent="0.2">
      <c r="B2" s="19">
        <v>1.6</v>
      </c>
      <c r="C2" s="20" t="s">
        <v>50</v>
      </c>
      <c r="D2" s="21">
        <v>87.9</v>
      </c>
    </row>
    <row r="3" spans="2:4" x14ac:dyDescent="0.2">
      <c r="B3" s="19">
        <v>1.61</v>
      </c>
      <c r="C3" s="20" t="s">
        <v>51</v>
      </c>
      <c r="D3" s="21">
        <v>15.6</v>
      </c>
    </row>
    <row r="4" spans="2:4" x14ac:dyDescent="0.2">
      <c r="B4" s="19">
        <v>1.62</v>
      </c>
      <c r="C4" s="20" t="s">
        <v>52</v>
      </c>
      <c r="D4" s="21">
        <v>5.9</v>
      </c>
    </row>
    <row r="5" spans="2:4" x14ac:dyDescent="0.2">
      <c r="B5" s="19">
        <v>1.63</v>
      </c>
      <c r="C5" s="20" t="s">
        <v>2</v>
      </c>
      <c r="D5" s="21">
        <v>11.3</v>
      </c>
    </row>
    <row r="6" spans="2:4" x14ac:dyDescent="0.2">
      <c r="B6" s="19">
        <v>1.64</v>
      </c>
      <c r="C6" s="20" t="s">
        <v>53</v>
      </c>
      <c r="D6" s="21">
        <v>23.5</v>
      </c>
    </row>
    <row r="7" spans="2:4" x14ac:dyDescent="0.2">
      <c r="B7" s="19">
        <v>1.65</v>
      </c>
      <c r="C7" s="20" t="s">
        <v>54</v>
      </c>
      <c r="D7" s="21">
        <v>6.4</v>
      </c>
    </row>
    <row r="8" spans="2:4" x14ac:dyDescent="0.2">
      <c r="B8" s="19">
        <v>1.66</v>
      </c>
      <c r="C8" s="20" t="s">
        <v>55</v>
      </c>
      <c r="D8" s="21">
        <v>29</v>
      </c>
    </row>
    <row r="9" spans="2:4" x14ac:dyDescent="0.2">
      <c r="B9" s="19">
        <v>1.67</v>
      </c>
      <c r="C9" s="22" t="s">
        <v>56</v>
      </c>
      <c r="D9" s="21">
        <v>50</v>
      </c>
    </row>
    <row r="10" spans="2:4" x14ac:dyDescent="0.2">
      <c r="B10" s="19">
        <v>1.68</v>
      </c>
      <c r="C10" s="22" t="s">
        <v>57</v>
      </c>
      <c r="D10" s="21">
        <v>55.7</v>
      </c>
    </row>
    <row r="11" spans="2:4" x14ac:dyDescent="0.2">
      <c r="B11" s="19">
        <v>1.69</v>
      </c>
      <c r="C11" s="22" t="s">
        <v>53</v>
      </c>
      <c r="D11" s="21">
        <v>18</v>
      </c>
    </row>
    <row r="12" spans="2:4" x14ac:dyDescent="0.2">
      <c r="B12" s="19">
        <v>1.7</v>
      </c>
      <c r="C12" s="22" t="s">
        <v>2</v>
      </c>
      <c r="D12" s="21">
        <v>4.7</v>
      </c>
    </row>
    <row r="13" spans="2:4" x14ac:dyDescent="0.2">
      <c r="B13" s="19">
        <v>1.71</v>
      </c>
      <c r="C13" s="22" t="s">
        <v>54</v>
      </c>
      <c r="D13" s="21">
        <v>6.4</v>
      </c>
    </row>
    <row r="14" spans="2:4" x14ac:dyDescent="0.2">
      <c r="B14" s="19">
        <v>1.72</v>
      </c>
      <c r="C14" s="22" t="s">
        <v>55</v>
      </c>
      <c r="D14" s="21">
        <v>29.3</v>
      </c>
    </row>
    <row r="15" spans="2:4" x14ac:dyDescent="0.2">
      <c r="B15" s="19">
        <v>1.73</v>
      </c>
      <c r="C15" s="22" t="s">
        <v>56</v>
      </c>
      <c r="D15" s="21">
        <v>50.3</v>
      </c>
    </row>
    <row r="16" spans="2:4" x14ac:dyDescent="0.2">
      <c r="B16" s="19">
        <v>1.74</v>
      </c>
      <c r="C16" s="22" t="s">
        <v>57</v>
      </c>
      <c r="D16" s="21">
        <v>55.4</v>
      </c>
    </row>
    <row r="17" spans="2:4" x14ac:dyDescent="0.2">
      <c r="B17" s="19">
        <v>1.75</v>
      </c>
      <c r="C17" s="22" t="s">
        <v>20</v>
      </c>
      <c r="D17" s="21">
        <v>6.1</v>
      </c>
    </row>
    <row r="18" spans="2:4" ht="25.5" x14ac:dyDescent="0.2">
      <c r="B18" s="19">
        <v>1.76</v>
      </c>
      <c r="C18" s="22" t="s">
        <v>60</v>
      </c>
      <c r="D18" s="21">
        <v>6.3</v>
      </c>
    </row>
    <row r="19" spans="2:4" x14ac:dyDescent="0.2">
      <c r="B19" s="19">
        <v>1.77</v>
      </c>
      <c r="C19" s="22" t="s">
        <v>23</v>
      </c>
      <c r="D19" s="21">
        <v>41.2</v>
      </c>
    </row>
    <row r="20" spans="2:4" x14ac:dyDescent="0.2">
      <c r="B20" s="19">
        <v>1.78</v>
      </c>
      <c r="C20" s="22" t="s">
        <v>23</v>
      </c>
      <c r="D20" s="21">
        <v>60</v>
      </c>
    </row>
    <row r="21" spans="2:4" x14ac:dyDescent="0.2">
      <c r="B21" s="18"/>
      <c r="C21" s="16"/>
      <c r="D21" s="18"/>
    </row>
    <row r="22" spans="2:4" x14ac:dyDescent="0.2">
      <c r="B22" s="18">
        <v>2.36</v>
      </c>
      <c r="C22" s="16" t="s">
        <v>43</v>
      </c>
      <c r="D22" s="18">
        <v>8.1</v>
      </c>
    </row>
    <row r="23" spans="2:4" x14ac:dyDescent="0.2">
      <c r="B23" s="18">
        <v>2.37</v>
      </c>
      <c r="C23" s="16" t="s">
        <v>53</v>
      </c>
      <c r="D23" s="18">
        <v>23.5</v>
      </c>
    </row>
    <row r="24" spans="2:4" x14ac:dyDescent="0.2">
      <c r="B24" s="18">
        <v>2.38</v>
      </c>
      <c r="C24" s="16" t="s">
        <v>54</v>
      </c>
      <c r="D24" s="18">
        <v>6.4</v>
      </c>
    </row>
    <row r="25" spans="2:4" x14ac:dyDescent="0.2">
      <c r="B25" s="18">
        <v>2.39</v>
      </c>
      <c r="C25" s="16" t="s">
        <v>55</v>
      </c>
      <c r="D25" s="18">
        <v>29</v>
      </c>
    </row>
    <row r="26" spans="2:4" x14ac:dyDescent="0.2">
      <c r="B26" s="18">
        <v>2.4</v>
      </c>
      <c r="C26" s="16" t="s">
        <v>56</v>
      </c>
      <c r="D26" s="18">
        <v>50.4</v>
      </c>
    </row>
    <row r="27" spans="2:4" x14ac:dyDescent="0.2">
      <c r="B27" s="18">
        <v>2.41</v>
      </c>
      <c r="C27" s="16" t="s">
        <v>57</v>
      </c>
      <c r="D27" s="18">
        <v>55.9</v>
      </c>
    </row>
    <row r="28" spans="2:4" x14ac:dyDescent="0.2">
      <c r="B28" s="18">
        <v>2.42</v>
      </c>
      <c r="C28" s="16" t="s">
        <v>53</v>
      </c>
      <c r="D28" s="18">
        <v>23</v>
      </c>
    </row>
    <row r="29" spans="2:4" x14ac:dyDescent="0.2">
      <c r="B29" s="18">
        <v>2.4300000000000002</v>
      </c>
      <c r="C29" s="16" t="s">
        <v>54</v>
      </c>
      <c r="D29" s="18">
        <v>6.4</v>
      </c>
    </row>
    <row r="30" spans="2:4" x14ac:dyDescent="0.2">
      <c r="B30" s="18">
        <v>2.44</v>
      </c>
      <c r="C30" s="16" t="s">
        <v>56</v>
      </c>
      <c r="D30" s="18">
        <v>50.5</v>
      </c>
    </row>
    <row r="31" spans="2:4" x14ac:dyDescent="0.2">
      <c r="B31" s="18">
        <v>2.4500000000000002</v>
      </c>
      <c r="C31" s="16" t="s">
        <v>57</v>
      </c>
      <c r="D31" s="18">
        <v>55.5</v>
      </c>
    </row>
    <row r="32" spans="2:4" x14ac:dyDescent="0.2">
      <c r="B32" s="18">
        <v>2.46</v>
      </c>
      <c r="C32" s="16" t="s">
        <v>55</v>
      </c>
      <c r="D32" s="18">
        <v>29</v>
      </c>
    </row>
    <row r="33" spans="2:4" ht="27.75" customHeight="1" x14ac:dyDescent="0.2">
      <c r="B33" s="18">
        <v>2.4700000000000002</v>
      </c>
      <c r="C33" s="16" t="s">
        <v>77</v>
      </c>
      <c r="D33" s="18">
        <v>71</v>
      </c>
    </row>
    <row r="34" spans="2:4" ht="25.5" x14ac:dyDescent="0.2">
      <c r="B34" s="18">
        <v>2.48</v>
      </c>
      <c r="C34" s="16" t="s">
        <v>78</v>
      </c>
      <c r="D34" s="18">
        <v>6.8</v>
      </c>
    </row>
    <row r="35" spans="2:4" x14ac:dyDescent="0.2">
      <c r="B35" s="18">
        <v>2.4900000000000002</v>
      </c>
      <c r="C35" s="16" t="s">
        <v>79</v>
      </c>
      <c r="D35" s="18">
        <v>72.3</v>
      </c>
    </row>
    <row r="36" spans="2:4" x14ac:dyDescent="0.2">
      <c r="B36" s="18">
        <v>2.5</v>
      </c>
      <c r="C36" s="16" t="s">
        <v>80</v>
      </c>
      <c r="D36" s="18">
        <v>6</v>
      </c>
    </row>
    <row r="37" spans="2:4" x14ac:dyDescent="0.2">
      <c r="B37" s="18">
        <v>2.5099999999999998</v>
      </c>
      <c r="C37" s="16" t="s">
        <v>23</v>
      </c>
      <c r="D37" s="18">
        <v>37.6</v>
      </c>
    </row>
    <row r="38" spans="2:4" x14ac:dyDescent="0.2">
      <c r="B38" s="18">
        <v>2.52</v>
      </c>
      <c r="C38" s="16" t="s">
        <v>20</v>
      </c>
      <c r="D38" s="18">
        <v>5.6</v>
      </c>
    </row>
    <row r="39" spans="2:4" x14ac:dyDescent="0.2">
      <c r="B39" s="18">
        <v>2.5299999999999998</v>
      </c>
      <c r="C39" s="16" t="s">
        <v>81</v>
      </c>
      <c r="D39" s="18">
        <v>6</v>
      </c>
    </row>
    <row r="40" spans="2:4" x14ac:dyDescent="0.2">
      <c r="B40" s="18">
        <v>2.5499999999999998</v>
      </c>
      <c r="C40" s="16" t="s">
        <v>76</v>
      </c>
      <c r="D40" s="18">
        <v>6.3</v>
      </c>
    </row>
    <row r="41" spans="2:4" x14ac:dyDescent="0.2">
      <c r="B41" s="18">
        <v>2.56</v>
      </c>
      <c r="C41" s="16" t="s">
        <v>23</v>
      </c>
      <c r="D41" s="18">
        <v>59.9</v>
      </c>
    </row>
    <row r="42" spans="2:4" x14ac:dyDescent="0.2">
      <c r="B42" s="18">
        <v>2.57</v>
      </c>
      <c r="C42" s="16" t="s">
        <v>59</v>
      </c>
      <c r="D42" s="18">
        <v>26.2</v>
      </c>
    </row>
    <row r="43" spans="2:4" x14ac:dyDescent="0.2">
      <c r="B43" s="18">
        <v>2.58</v>
      </c>
      <c r="C43" s="16" t="s">
        <v>74</v>
      </c>
      <c r="D43" s="18">
        <v>74.5</v>
      </c>
    </row>
    <row r="44" spans="2:4" x14ac:dyDescent="0.2">
      <c r="B44" s="18"/>
      <c r="C44" s="16"/>
      <c r="D44" s="18"/>
    </row>
    <row r="45" spans="2:4" x14ac:dyDescent="0.2">
      <c r="B45" s="18">
        <v>3.22</v>
      </c>
      <c r="C45" s="16" t="s">
        <v>43</v>
      </c>
      <c r="D45" s="18">
        <v>8.3000000000000007</v>
      </c>
    </row>
    <row r="46" spans="2:4" x14ac:dyDescent="0.2">
      <c r="B46" s="18">
        <v>3.23</v>
      </c>
      <c r="C46" s="16" t="s">
        <v>53</v>
      </c>
      <c r="D46" s="18">
        <v>23.5</v>
      </c>
    </row>
    <row r="47" spans="2:4" x14ac:dyDescent="0.2">
      <c r="B47" s="18">
        <v>3.24</v>
      </c>
      <c r="C47" s="16" t="s">
        <v>54</v>
      </c>
      <c r="D47" s="18">
        <v>6.4</v>
      </c>
    </row>
    <row r="48" spans="2:4" x14ac:dyDescent="0.2">
      <c r="B48" s="18">
        <v>3.25</v>
      </c>
      <c r="C48" s="16" t="s">
        <v>56</v>
      </c>
      <c r="D48" s="18">
        <v>50.6</v>
      </c>
    </row>
    <row r="49" spans="2:4" x14ac:dyDescent="0.2">
      <c r="B49" s="18">
        <v>3.26</v>
      </c>
      <c r="C49" s="16" t="s">
        <v>57</v>
      </c>
      <c r="D49" s="18">
        <v>56</v>
      </c>
    </row>
    <row r="50" spans="2:4" x14ac:dyDescent="0.2">
      <c r="B50" s="18">
        <v>3.27</v>
      </c>
      <c r="C50" s="16" t="s">
        <v>55</v>
      </c>
      <c r="D50" s="18">
        <v>29</v>
      </c>
    </row>
    <row r="51" spans="2:4" x14ac:dyDescent="0.2">
      <c r="B51" s="18">
        <v>3.28</v>
      </c>
      <c r="C51" s="16" t="s">
        <v>53</v>
      </c>
      <c r="D51" s="18">
        <v>23.3</v>
      </c>
    </row>
    <row r="52" spans="2:4" x14ac:dyDescent="0.2">
      <c r="B52" s="18">
        <v>3.29</v>
      </c>
      <c r="C52" s="16" t="s">
        <v>56</v>
      </c>
      <c r="D52" s="18">
        <v>50.8</v>
      </c>
    </row>
    <row r="53" spans="2:4" x14ac:dyDescent="0.2">
      <c r="B53" s="18">
        <v>3.3</v>
      </c>
      <c r="C53" s="16" t="s">
        <v>57</v>
      </c>
      <c r="D53" s="18">
        <v>55.7</v>
      </c>
    </row>
    <row r="54" spans="2:4" x14ac:dyDescent="0.2">
      <c r="B54" s="18">
        <v>3.31</v>
      </c>
      <c r="C54" s="16" t="s">
        <v>54</v>
      </c>
      <c r="D54" s="18">
        <v>6.4</v>
      </c>
    </row>
    <row r="55" spans="2:4" x14ac:dyDescent="0.2">
      <c r="B55" s="18">
        <v>3.32</v>
      </c>
      <c r="C55" s="16" t="s">
        <v>55</v>
      </c>
      <c r="D55" s="18">
        <v>29</v>
      </c>
    </row>
    <row r="56" spans="2:4" ht="38.25" x14ac:dyDescent="0.2">
      <c r="B56" s="18">
        <v>3.33</v>
      </c>
      <c r="C56" s="16" t="s">
        <v>91</v>
      </c>
      <c r="D56" s="18">
        <v>74.599999999999994</v>
      </c>
    </row>
    <row r="57" spans="2:4" x14ac:dyDescent="0.2">
      <c r="B57" s="18">
        <v>3.34</v>
      </c>
      <c r="C57" s="16" t="s">
        <v>86</v>
      </c>
      <c r="D57" s="18">
        <v>6.6</v>
      </c>
    </row>
    <row r="58" spans="2:4" ht="38.25" x14ac:dyDescent="0.2">
      <c r="B58" s="18">
        <v>3.35</v>
      </c>
      <c r="C58" s="16" t="s">
        <v>87</v>
      </c>
      <c r="D58" s="18">
        <v>74.099999999999994</v>
      </c>
    </row>
    <row r="59" spans="2:4" ht="25.5" x14ac:dyDescent="0.2">
      <c r="B59" s="18">
        <v>3.36</v>
      </c>
      <c r="C59" s="16" t="s">
        <v>88</v>
      </c>
      <c r="D59" s="18">
        <v>5.8</v>
      </c>
    </row>
    <row r="60" spans="2:4" x14ac:dyDescent="0.2">
      <c r="B60" s="18">
        <v>3.37</v>
      </c>
      <c r="C60" s="16" t="s">
        <v>89</v>
      </c>
      <c r="D60" s="18">
        <v>5.9</v>
      </c>
    </row>
    <row r="61" spans="2:4" x14ac:dyDescent="0.2">
      <c r="B61" s="18">
        <v>3.39</v>
      </c>
      <c r="C61" s="16" t="s">
        <v>76</v>
      </c>
      <c r="D61" s="18">
        <v>6.3</v>
      </c>
    </row>
    <row r="62" spans="2:4" x14ac:dyDescent="0.2">
      <c r="B62" s="18">
        <v>3.4</v>
      </c>
      <c r="C62" s="16" t="s">
        <v>20</v>
      </c>
      <c r="D62" s="18">
        <v>6.1</v>
      </c>
    </row>
    <row r="63" spans="2:4" x14ac:dyDescent="0.2">
      <c r="B63" s="18">
        <v>3.41</v>
      </c>
      <c r="C63" s="16" t="s">
        <v>23</v>
      </c>
      <c r="D63" s="18">
        <v>36.4</v>
      </c>
    </row>
    <row r="64" spans="2:4" x14ac:dyDescent="0.2">
      <c r="B64" s="18">
        <v>3.42</v>
      </c>
      <c r="C64" s="16" t="s">
        <v>23</v>
      </c>
      <c r="D64" s="18">
        <v>59.7</v>
      </c>
    </row>
    <row r="65" spans="2:4" x14ac:dyDescent="0.2">
      <c r="B65" s="18">
        <v>3.44</v>
      </c>
      <c r="C65" s="16" t="s">
        <v>23</v>
      </c>
      <c r="D65" s="18">
        <v>21.4</v>
      </c>
    </row>
    <row r="66" spans="2:4" x14ac:dyDescent="0.2">
      <c r="B66" s="18">
        <v>3.45</v>
      </c>
      <c r="C66" s="16" t="s">
        <v>74</v>
      </c>
      <c r="D66" s="18">
        <v>82.7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85" zoomScaleNormal="85" workbookViewId="0">
      <selection activeCell="I32" sqref="I32"/>
    </sheetView>
  </sheetViews>
  <sheetFormatPr defaultRowHeight="12.75" x14ac:dyDescent="0.2"/>
  <cols>
    <col min="1" max="1" width="9.140625" style="14"/>
    <col min="2" max="2" width="32.28515625" style="13" customWidth="1"/>
    <col min="3" max="4" width="9.140625" style="12"/>
    <col min="5" max="5" width="7.7109375" style="10" customWidth="1"/>
    <col min="6" max="6" width="7.5703125" style="10" customWidth="1"/>
    <col min="7" max="16384" width="9.140625" style="10"/>
  </cols>
  <sheetData>
    <row r="1" spans="1:7" x14ac:dyDescent="0.2">
      <c r="A1" s="15"/>
      <c r="B1" s="16"/>
      <c r="C1" s="23" t="s">
        <v>97</v>
      </c>
      <c r="D1" s="23"/>
      <c r="E1" s="17"/>
      <c r="F1" s="17"/>
      <c r="G1" s="17" t="s">
        <v>98</v>
      </c>
    </row>
    <row r="2" spans="1:7" x14ac:dyDescent="0.2">
      <c r="A2" s="15" t="s">
        <v>92</v>
      </c>
      <c r="B2" s="16"/>
      <c r="C2" s="18" t="s">
        <v>93</v>
      </c>
      <c r="D2" s="18" t="s">
        <v>94</v>
      </c>
      <c r="E2" s="17" t="s">
        <v>99</v>
      </c>
      <c r="F2" s="17" t="s">
        <v>96</v>
      </c>
      <c r="G2" s="17"/>
    </row>
    <row r="3" spans="1:7" x14ac:dyDescent="0.2">
      <c r="A3" s="19">
        <v>1.6</v>
      </c>
      <c r="B3" s="20" t="s">
        <v>50</v>
      </c>
      <c r="C3" s="21">
        <v>1</v>
      </c>
      <c r="D3" s="18">
        <v>3</v>
      </c>
      <c r="E3" s="17">
        <f>C3*2.19</f>
        <v>2.19</v>
      </c>
      <c r="F3" s="17">
        <f>D3*1.47</f>
        <v>4.41</v>
      </c>
      <c r="G3" s="17">
        <f>SUM(E3:F3)</f>
        <v>6.6</v>
      </c>
    </row>
    <row r="4" spans="1:7" x14ac:dyDescent="0.2">
      <c r="A4" s="19">
        <v>1.61</v>
      </c>
      <c r="B4" s="20" t="s">
        <v>51</v>
      </c>
      <c r="C4" s="21"/>
      <c r="D4" s="18">
        <v>1</v>
      </c>
      <c r="E4" s="17">
        <f t="shared" ref="E4:E9" si="0">C4*2.19</f>
        <v>0</v>
      </c>
      <c r="F4" s="17">
        <f t="shared" ref="F4:F9" si="1">D4*1.47</f>
        <v>1.47</v>
      </c>
      <c r="G4" s="17">
        <f t="shared" ref="G4:G9" si="2">SUM(E4:F4)</f>
        <v>1.47</v>
      </c>
    </row>
    <row r="5" spans="1:7" x14ac:dyDescent="0.2">
      <c r="A5" s="19">
        <v>1.64</v>
      </c>
      <c r="B5" s="20" t="s">
        <v>53</v>
      </c>
      <c r="C5" s="21"/>
      <c r="D5" s="18">
        <v>1</v>
      </c>
      <c r="E5" s="17">
        <f t="shared" si="0"/>
        <v>0</v>
      </c>
      <c r="F5" s="17">
        <f t="shared" si="1"/>
        <v>1.47</v>
      </c>
      <c r="G5" s="17">
        <f t="shared" si="2"/>
        <v>1.47</v>
      </c>
    </row>
    <row r="6" spans="1:7" x14ac:dyDescent="0.2">
      <c r="A6" s="19">
        <v>1.67</v>
      </c>
      <c r="B6" s="22" t="s">
        <v>56</v>
      </c>
      <c r="C6" s="21">
        <v>1</v>
      </c>
      <c r="D6" s="18">
        <v>3</v>
      </c>
      <c r="E6" s="17">
        <f t="shared" si="0"/>
        <v>2.19</v>
      </c>
      <c r="F6" s="17">
        <f t="shared" si="1"/>
        <v>4.41</v>
      </c>
      <c r="G6" s="17">
        <f t="shared" si="2"/>
        <v>6.6</v>
      </c>
    </row>
    <row r="7" spans="1:7" x14ac:dyDescent="0.2">
      <c r="A7" s="19">
        <v>1.68</v>
      </c>
      <c r="B7" s="22" t="s">
        <v>57</v>
      </c>
      <c r="C7" s="21">
        <v>1</v>
      </c>
      <c r="D7" s="18">
        <v>1</v>
      </c>
      <c r="E7" s="17">
        <f t="shared" si="0"/>
        <v>2.19</v>
      </c>
      <c r="F7" s="17">
        <f t="shared" si="1"/>
        <v>1.47</v>
      </c>
      <c r="G7" s="17">
        <f t="shared" si="2"/>
        <v>3.66</v>
      </c>
    </row>
    <row r="8" spans="1:7" x14ac:dyDescent="0.2">
      <c r="A8" s="19">
        <v>1.73</v>
      </c>
      <c r="B8" s="22" t="s">
        <v>56</v>
      </c>
      <c r="C8" s="21">
        <v>1</v>
      </c>
      <c r="D8" s="18">
        <v>3</v>
      </c>
      <c r="E8" s="17">
        <f t="shared" si="0"/>
        <v>2.19</v>
      </c>
      <c r="F8" s="17">
        <f t="shared" si="1"/>
        <v>4.41</v>
      </c>
      <c r="G8" s="17">
        <f t="shared" si="2"/>
        <v>6.6</v>
      </c>
    </row>
    <row r="9" spans="1:7" x14ac:dyDescent="0.2">
      <c r="A9" s="19">
        <v>1.74</v>
      </c>
      <c r="B9" s="22" t="s">
        <v>57</v>
      </c>
      <c r="C9" s="21">
        <v>1</v>
      </c>
      <c r="D9" s="18">
        <v>2</v>
      </c>
      <c r="E9" s="17">
        <f t="shared" si="0"/>
        <v>2.19</v>
      </c>
      <c r="F9" s="17">
        <f t="shared" si="1"/>
        <v>2.94</v>
      </c>
      <c r="G9" s="17">
        <f t="shared" si="2"/>
        <v>5.13</v>
      </c>
    </row>
    <row r="10" spans="1:7" x14ac:dyDescent="0.2">
      <c r="A10" s="15"/>
      <c r="B10" s="16"/>
      <c r="C10" s="18"/>
      <c r="D10" s="18"/>
      <c r="E10" s="17"/>
      <c r="F10" s="17"/>
      <c r="G10" s="17"/>
    </row>
    <row r="11" spans="1:7" x14ac:dyDescent="0.2">
      <c r="A11" s="15"/>
      <c r="B11" s="16"/>
      <c r="C11" s="18"/>
      <c r="D11" s="18"/>
      <c r="E11" s="17"/>
      <c r="F11" s="17"/>
      <c r="G11" s="17"/>
    </row>
    <row r="12" spans="1:7" x14ac:dyDescent="0.2">
      <c r="A12" s="15">
        <v>2.37</v>
      </c>
      <c r="B12" s="16" t="s">
        <v>53</v>
      </c>
      <c r="C12" s="18"/>
      <c r="D12" s="18">
        <v>1</v>
      </c>
      <c r="E12" s="17">
        <f t="shared" ref="E12:E29" si="3">C12*2.19</f>
        <v>0</v>
      </c>
      <c r="F12" s="17">
        <f t="shared" ref="F12:F29" si="4">D12*1.47</f>
        <v>1.47</v>
      </c>
      <c r="G12" s="17">
        <f t="shared" ref="G12:G29" si="5">SUM(E12:F12)</f>
        <v>1.47</v>
      </c>
    </row>
    <row r="13" spans="1:7" x14ac:dyDescent="0.2">
      <c r="A13" s="15">
        <v>2.4</v>
      </c>
      <c r="B13" s="16" t="s">
        <v>56</v>
      </c>
      <c r="C13" s="18"/>
      <c r="D13" s="18">
        <v>3</v>
      </c>
      <c r="E13" s="17">
        <f t="shared" si="3"/>
        <v>0</v>
      </c>
      <c r="F13" s="17">
        <f t="shared" si="4"/>
        <v>4.41</v>
      </c>
      <c r="G13" s="17">
        <f t="shared" si="5"/>
        <v>4.41</v>
      </c>
    </row>
    <row r="14" spans="1:7" x14ac:dyDescent="0.2">
      <c r="A14" s="15">
        <v>2.41</v>
      </c>
      <c r="B14" s="16" t="s">
        <v>57</v>
      </c>
      <c r="C14" s="18">
        <v>1</v>
      </c>
      <c r="D14" s="18">
        <v>1</v>
      </c>
      <c r="E14" s="17">
        <f t="shared" si="3"/>
        <v>2.19</v>
      </c>
      <c r="F14" s="17">
        <f t="shared" si="4"/>
        <v>1.47</v>
      </c>
      <c r="G14" s="17">
        <f t="shared" si="5"/>
        <v>3.66</v>
      </c>
    </row>
    <row r="15" spans="1:7" x14ac:dyDescent="0.2">
      <c r="A15" s="15">
        <v>2.42</v>
      </c>
      <c r="B15" s="16" t="s">
        <v>53</v>
      </c>
      <c r="C15" s="18"/>
      <c r="D15" s="18">
        <v>1</v>
      </c>
      <c r="E15" s="17">
        <f t="shared" si="3"/>
        <v>0</v>
      </c>
      <c r="F15" s="17">
        <f t="shared" si="4"/>
        <v>1.47</v>
      </c>
      <c r="G15" s="17">
        <f t="shared" si="5"/>
        <v>1.47</v>
      </c>
    </row>
    <row r="16" spans="1:7" x14ac:dyDescent="0.2">
      <c r="A16" s="15">
        <v>2.44</v>
      </c>
      <c r="B16" s="16" t="s">
        <v>56</v>
      </c>
      <c r="C16" s="18">
        <v>2</v>
      </c>
      <c r="D16" s="18">
        <v>1</v>
      </c>
      <c r="E16" s="17">
        <f t="shared" si="3"/>
        <v>4.38</v>
      </c>
      <c r="F16" s="17">
        <f t="shared" si="4"/>
        <v>1.47</v>
      </c>
      <c r="G16" s="17">
        <f t="shared" si="5"/>
        <v>5.85</v>
      </c>
    </row>
    <row r="17" spans="1:7" x14ac:dyDescent="0.2">
      <c r="A17" s="15">
        <v>2.4500000000000002</v>
      </c>
      <c r="B17" s="16" t="s">
        <v>57</v>
      </c>
      <c r="C17" s="18">
        <v>1</v>
      </c>
      <c r="D17" s="18">
        <v>3</v>
      </c>
      <c r="E17" s="17">
        <f t="shared" si="3"/>
        <v>2.19</v>
      </c>
      <c r="F17" s="17">
        <f t="shared" si="4"/>
        <v>4.41</v>
      </c>
      <c r="G17" s="17">
        <f t="shared" si="5"/>
        <v>6.6</v>
      </c>
    </row>
    <row r="18" spans="1:7" ht="25.5" x14ac:dyDescent="0.2">
      <c r="A18" s="15">
        <v>2.48</v>
      </c>
      <c r="B18" s="16" t="s">
        <v>78</v>
      </c>
      <c r="C18" s="18">
        <v>1</v>
      </c>
      <c r="D18" s="18">
        <v>3</v>
      </c>
      <c r="E18" s="17">
        <f t="shared" si="3"/>
        <v>2.19</v>
      </c>
      <c r="F18" s="17">
        <f t="shared" si="4"/>
        <v>4.41</v>
      </c>
      <c r="G18" s="17">
        <f t="shared" si="5"/>
        <v>6.6</v>
      </c>
    </row>
    <row r="19" spans="1:7" x14ac:dyDescent="0.2">
      <c r="A19" s="15">
        <v>2.4900000000000002</v>
      </c>
      <c r="B19" s="16" t="s">
        <v>79</v>
      </c>
      <c r="C19" s="18">
        <v>1</v>
      </c>
      <c r="D19" s="18">
        <v>3</v>
      </c>
      <c r="E19" s="17">
        <f t="shared" si="3"/>
        <v>2.19</v>
      </c>
      <c r="F19" s="17">
        <f t="shared" si="4"/>
        <v>4.41</v>
      </c>
      <c r="G19" s="17">
        <f t="shared" si="5"/>
        <v>6.6</v>
      </c>
    </row>
    <row r="20" spans="1:7" x14ac:dyDescent="0.2">
      <c r="A20" s="15"/>
      <c r="B20" s="16"/>
      <c r="C20" s="18"/>
      <c r="D20" s="18"/>
      <c r="E20" s="17"/>
      <c r="F20" s="17"/>
      <c r="G20" s="17"/>
    </row>
    <row r="21" spans="1:7" x14ac:dyDescent="0.2">
      <c r="A21" s="15"/>
      <c r="B21" s="16"/>
      <c r="C21" s="18"/>
      <c r="D21" s="18"/>
      <c r="E21" s="17"/>
      <c r="F21" s="17"/>
      <c r="G21" s="17"/>
    </row>
    <row r="22" spans="1:7" x14ac:dyDescent="0.2">
      <c r="A22" s="15">
        <v>3.23</v>
      </c>
      <c r="B22" s="16" t="s">
        <v>53</v>
      </c>
      <c r="C22" s="18"/>
      <c r="D22" s="18">
        <v>1</v>
      </c>
      <c r="E22" s="17">
        <f t="shared" si="3"/>
        <v>0</v>
      </c>
      <c r="F22" s="17">
        <f t="shared" si="4"/>
        <v>1.47</v>
      </c>
      <c r="G22" s="17">
        <f t="shared" si="5"/>
        <v>1.47</v>
      </c>
    </row>
    <row r="23" spans="1:7" x14ac:dyDescent="0.2">
      <c r="A23" s="15">
        <v>3.25</v>
      </c>
      <c r="B23" s="16" t="s">
        <v>56</v>
      </c>
      <c r="C23" s="18">
        <v>1</v>
      </c>
      <c r="D23" s="18">
        <v>3</v>
      </c>
      <c r="E23" s="17">
        <f t="shared" si="3"/>
        <v>2.19</v>
      </c>
      <c r="F23" s="17">
        <f t="shared" si="4"/>
        <v>4.41</v>
      </c>
      <c r="G23" s="17">
        <f t="shared" si="5"/>
        <v>6.6</v>
      </c>
    </row>
    <row r="24" spans="1:7" x14ac:dyDescent="0.2">
      <c r="A24" s="15">
        <v>3.26</v>
      </c>
      <c r="B24" s="16" t="s">
        <v>57</v>
      </c>
      <c r="C24" s="18">
        <v>1</v>
      </c>
      <c r="D24" s="18">
        <v>1</v>
      </c>
      <c r="E24" s="17">
        <f t="shared" si="3"/>
        <v>2.19</v>
      </c>
      <c r="F24" s="17">
        <f t="shared" si="4"/>
        <v>1.47</v>
      </c>
      <c r="G24" s="17">
        <f t="shared" si="5"/>
        <v>3.66</v>
      </c>
    </row>
    <row r="25" spans="1:7" x14ac:dyDescent="0.2">
      <c r="A25" s="15">
        <v>3.28</v>
      </c>
      <c r="B25" s="16" t="s">
        <v>53</v>
      </c>
      <c r="C25" s="18"/>
      <c r="D25" s="18">
        <v>1</v>
      </c>
      <c r="E25" s="17">
        <f t="shared" si="3"/>
        <v>0</v>
      </c>
      <c r="F25" s="17">
        <f t="shared" si="4"/>
        <v>1.47</v>
      </c>
      <c r="G25" s="17">
        <f t="shared" si="5"/>
        <v>1.47</v>
      </c>
    </row>
    <row r="26" spans="1:7" x14ac:dyDescent="0.2">
      <c r="A26" s="15">
        <v>3.29</v>
      </c>
      <c r="B26" s="16" t="s">
        <v>56</v>
      </c>
      <c r="C26" s="18">
        <v>1</v>
      </c>
      <c r="D26" s="18">
        <v>3</v>
      </c>
      <c r="E26" s="17">
        <f t="shared" si="3"/>
        <v>2.19</v>
      </c>
      <c r="F26" s="17">
        <f t="shared" si="4"/>
        <v>4.41</v>
      </c>
      <c r="G26" s="17">
        <f t="shared" si="5"/>
        <v>6.6</v>
      </c>
    </row>
    <row r="27" spans="1:7" x14ac:dyDescent="0.2">
      <c r="A27" s="15">
        <v>3.3</v>
      </c>
      <c r="B27" s="16" t="s">
        <v>57</v>
      </c>
      <c r="C27" s="18">
        <v>1</v>
      </c>
      <c r="D27" s="18">
        <v>2</v>
      </c>
      <c r="E27" s="17">
        <f t="shared" si="3"/>
        <v>2.19</v>
      </c>
      <c r="F27" s="17">
        <f t="shared" si="4"/>
        <v>2.94</v>
      </c>
      <c r="G27" s="17">
        <f t="shared" si="5"/>
        <v>5.13</v>
      </c>
    </row>
    <row r="28" spans="1:7" ht="51" x14ac:dyDescent="0.2">
      <c r="A28" s="15">
        <v>3.33</v>
      </c>
      <c r="B28" s="16" t="s">
        <v>91</v>
      </c>
      <c r="C28" s="18">
        <v>1</v>
      </c>
      <c r="D28" s="18">
        <v>3</v>
      </c>
      <c r="E28" s="17">
        <f t="shared" si="3"/>
        <v>2.19</v>
      </c>
      <c r="F28" s="17">
        <f t="shared" si="4"/>
        <v>4.41</v>
      </c>
      <c r="G28" s="17">
        <f t="shared" si="5"/>
        <v>6.6</v>
      </c>
    </row>
    <row r="29" spans="1:7" ht="38.25" x14ac:dyDescent="0.2">
      <c r="A29" s="15">
        <v>3.35</v>
      </c>
      <c r="B29" s="16" t="s">
        <v>87</v>
      </c>
      <c r="C29" s="18">
        <v>1</v>
      </c>
      <c r="D29" s="18">
        <v>3</v>
      </c>
      <c r="E29" s="17">
        <f t="shared" si="3"/>
        <v>2.19</v>
      </c>
      <c r="F29" s="17">
        <f t="shared" si="4"/>
        <v>4.41</v>
      </c>
      <c r="G29" s="17">
        <f t="shared" si="5"/>
        <v>6.6</v>
      </c>
    </row>
  </sheetData>
  <mergeCells count="1">
    <mergeCell ref="C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11" sqref="A11"/>
    </sheetView>
  </sheetViews>
  <sheetFormatPr defaultRowHeight="15" x14ac:dyDescent="0.25"/>
  <sheetData>
    <row r="1" spans="1:1" x14ac:dyDescent="0.25">
      <c r="A1" t="s">
        <v>100</v>
      </c>
    </row>
    <row r="2" spans="1:1" x14ac:dyDescent="0.25">
      <c r="A2" t="s">
        <v>101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7" spans="1:1" x14ac:dyDescent="0.25">
      <c r="A7" t="s">
        <v>102</v>
      </c>
    </row>
    <row r="8" spans="1:1" x14ac:dyDescent="0.25">
      <c r="A8">
        <v>1</v>
      </c>
    </row>
    <row r="9" spans="1:1" x14ac:dyDescent="0.25">
      <c r="A9">
        <v>2</v>
      </c>
    </row>
    <row r="10" spans="1:1" x14ac:dyDescent="0.25">
      <c r="A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1эт</vt:lpstr>
      <vt:lpstr>2эт</vt:lpstr>
      <vt:lpstr>3эт</vt:lpstr>
      <vt:lpstr>СадПол</vt:lpstr>
      <vt:lpstr>СадОтксы</vt:lpstr>
      <vt:lpstr>Реестр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МирзаяновИИ</cp:lastModifiedBy>
  <dcterms:created xsi:type="dcterms:W3CDTF">2025-11-18T09:13:38Z</dcterms:created>
  <dcterms:modified xsi:type="dcterms:W3CDTF">2025-11-18T13:52:03Z</dcterms:modified>
</cp:coreProperties>
</file>