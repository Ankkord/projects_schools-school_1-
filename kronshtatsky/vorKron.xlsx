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МирзаяновИИ\Documents\projects\kronshtatsky\"/>
    </mc:Choice>
  </mc:AlternateContent>
  <bookViews>
    <workbookView xWindow="0" yWindow="0" windowWidth="28800" windowHeight="12405" firstSheet="6" activeTab="8"/>
  </bookViews>
  <sheets>
    <sheet name="Лист1" sheetId="1" state="hidden" r:id="rId1"/>
    <sheet name="1эт" sheetId="2" state="hidden" r:id="rId2"/>
    <sheet name="2эт" sheetId="4" state="hidden" r:id="rId3"/>
    <sheet name="3эт" sheetId="5" state="hidden" r:id="rId4"/>
    <sheet name="Реестр" sheetId="8" state="hidden" r:id="rId5"/>
    <sheet name="Расчет" sheetId="10" state="hidden" r:id="rId6"/>
    <sheet name="СадПол" sheetId="7" r:id="rId7"/>
    <sheet name="СадОтксы" sheetId="6" r:id="rId8"/>
    <sheet name="СадСтены" sheetId="9" r:id="rId9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3" i="9" l="1"/>
  <c r="H4" i="9"/>
  <c r="H5" i="9"/>
  <c r="H6" i="9"/>
  <c r="H7" i="9"/>
  <c r="H8" i="9"/>
  <c r="H9" i="9"/>
  <c r="H10" i="9"/>
  <c r="H11" i="9"/>
  <c r="H12" i="9"/>
  <c r="H13" i="9"/>
  <c r="H14" i="9"/>
  <c r="H15" i="9"/>
  <c r="H16" i="9"/>
  <c r="H17" i="9"/>
  <c r="H18" i="9"/>
  <c r="H19" i="9"/>
  <c r="H20" i="9"/>
  <c r="H21" i="9"/>
  <c r="H23" i="9"/>
  <c r="H24" i="9"/>
  <c r="H25" i="9"/>
  <c r="H26" i="9"/>
  <c r="H27" i="9"/>
  <c r="H28" i="9"/>
  <c r="H29" i="9"/>
  <c r="H30" i="9"/>
  <c r="H31" i="9"/>
  <c r="H32" i="9"/>
  <c r="H33" i="9"/>
  <c r="H34" i="9"/>
  <c r="H35" i="9"/>
  <c r="H36" i="9"/>
  <c r="H37" i="9"/>
  <c r="H38" i="9"/>
  <c r="H39" i="9"/>
  <c r="H40" i="9"/>
  <c r="H41" i="9"/>
  <c r="H42" i="9"/>
  <c r="H43" i="9"/>
  <c r="H44" i="9"/>
  <c r="H46" i="9"/>
  <c r="H47" i="9"/>
  <c r="H48" i="9"/>
  <c r="H49" i="9"/>
  <c r="H50" i="9"/>
  <c r="H51" i="9"/>
  <c r="H52" i="9"/>
  <c r="H53" i="9"/>
  <c r="H54" i="9"/>
  <c r="H55" i="9"/>
  <c r="H56" i="9"/>
  <c r="H57" i="9"/>
  <c r="H58" i="9"/>
  <c r="H59" i="9"/>
  <c r="H60" i="9"/>
  <c r="H61" i="9"/>
  <c r="H62" i="9"/>
  <c r="H63" i="9"/>
  <c r="H64" i="9"/>
  <c r="H65" i="9"/>
  <c r="H2" i="9"/>
  <c r="G4" i="10"/>
  <c r="H4" i="10"/>
  <c r="G5" i="10"/>
  <c r="H5" i="10"/>
  <c r="G6" i="10"/>
  <c r="H6" i="10"/>
  <c r="G3" i="10"/>
  <c r="H3" i="10"/>
  <c r="I3" i="10"/>
  <c r="J3" i="10"/>
  <c r="I4" i="10"/>
  <c r="J4" i="10"/>
  <c r="I5" i="10"/>
  <c r="J5" i="10"/>
  <c r="I6" i="10"/>
  <c r="J6" i="10"/>
  <c r="G7" i="10"/>
  <c r="H7" i="10"/>
  <c r="I7" i="10"/>
  <c r="J7" i="10"/>
  <c r="G8" i="10"/>
  <c r="H8" i="10"/>
  <c r="I8" i="10"/>
  <c r="J8" i="10"/>
  <c r="G9" i="10"/>
  <c r="H9" i="10"/>
  <c r="I9" i="10"/>
  <c r="J9" i="10"/>
  <c r="G10" i="10"/>
  <c r="H10" i="10"/>
  <c r="I10" i="10"/>
  <c r="J10" i="10"/>
  <c r="G11" i="10"/>
  <c r="H11" i="10"/>
  <c r="I11" i="10"/>
  <c r="J11" i="10"/>
  <c r="G12" i="10"/>
  <c r="H12" i="10"/>
  <c r="I12" i="10"/>
  <c r="J12" i="10"/>
  <c r="G13" i="10"/>
  <c r="H13" i="10"/>
  <c r="I13" i="10"/>
  <c r="J13" i="10"/>
  <c r="G14" i="10"/>
  <c r="H14" i="10"/>
  <c r="I14" i="10"/>
  <c r="J14" i="10"/>
  <c r="G15" i="10"/>
  <c r="H15" i="10"/>
  <c r="I15" i="10"/>
  <c r="J15" i="10"/>
  <c r="G16" i="10"/>
  <c r="H16" i="10"/>
  <c r="I16" i="10"/>
  <c r="J16" i="10"/>
  <c r="G17" i="10"/>
  <c r="H17" i="10"/>
  <c r="I17" i="10"/>
  <c r="J17" i="10"/>
  <c r="G18" i="10"/>
  <c r="H18" i="10"/>
  <c r="I18" i="10"/>
  <c r="J18" i="10"/>
  <c r="G19" i="10"/>
  <c r="H19" i="10"/>
  <c r="I19" i="10"/>
  <c r="J19" i="10"/>
  <c r="G20" i="10"/>
  <c r="H20" i="10"/>
  <c r="I20" i="10"/>
  <c r="J20" i="10"/>
  <c r="G21" i="10"/>
  <c r="H21" i="10"/>
  <c r="I21" i="10"/>
  <c r="J21" i="10"/>
  <c r="G22" i="10"/>
  <c r="H22" i="10"/>
  <c r="I22" i="10"/>
  <c r="J22" i="10"/>
  <c r="G23" i="10"/>
  <c r="H23" i="10"/>
  <c r="I23" i="10"/>
  <c r="J23" i="10"/>
  <c r="G24" i="10"/>
  <c r="H24" i="10"/>
  <c r="I24" i="10"/>
  <c r="J24" i="10"/>
  <c r="G25" i="10"/>
  <c r="H25" i="10"/>
  <c r="I25" i="10"/>
  <c r="J25" i="10"/>
  <c r="G26" i="10"/>
  <c r="H26" i="10"/>
  <c r="I26" i="10"/>
  <c r="J26" i="10"/>
  <c r="G27" i="10"/>
  <c r="H27" i="10"/>
  <c r="I27" i="10"/>
  <c r="J27" i="10"/>
  <c r="G28" i="10"/>
  <c r="H28" i="10"/>
  <c r="I28" i="10"/>
  <c r="J28" i="10"/>
  <c r="G29" i="10"/>
  <c r="H29" i="10"/>
  <c r="I29" i="10"/>
  <c r="J29" i="10"/>
  <c r="G30" i="10"/>
  <c r="H30" i="10"/>
  <c r="I30" i="10"/>
  <c r="J30" i="10"/>
  <c r="G31" i="10"/>
  <c r="H31" i="10"/>
  <c r="I31" i="10"/>
  <c r="J31" i="10"/>
  <c r="G32" i="10"/>
  <c r="H32" i="10"/>
  <c r="I32" i="10"/>
  <c r="J32" i="10"/>
  <c r="G33" i="10"/>
  <c r="H33" i="10"/>
  <c r="I33" i="10"/>
  <c r="J33" i="10"/>
  <c r="G34" i="10"/>
  <c r="H34" i="10"/>
  <c r="I34" i="10"/>
  <c r="J34" i="10"/>
  <c r="H2" i="10"/>
  <c r="I2" i="10"/>
  <c r="J2" i="10"/>
  <c r="G2" i="10"/>
  <c r="L3" i="10" l="1"/>
  <c r="M3" i="10"/>
  <c r="O3" i="10"/>
  <c r="N3" i="10"/>
  <c r="P3" i="10" s="1"/>
  <c r="O1" i="10"/>
  <c r="N1" i="10"/>
  <c r="M1" i="10"/>
  <c r="L1" i="10"/>
  <c r="A1" i="1" l="1"/>
  <c r="E12" i="6" l="1"/>
  <c r="G12" i="6" s="1"/>
  <c r="F12" i="6"/>
  <c r="E13" i="6"/>
  <c r="F13" i="6"/>
  <c r="G13" i="6"/>
  <c r="E14" i="6"/>
  <c r="F14" i="6"/>
  <c r="G14" i="6"/>
  <c r="E15" i="6"/>
  <c r="G15" i="6" s="1"/>
  <c r="F15" i="6"/>
  <c r="E16" i="6"/>
  <c r="F16" i="6"/>
  <c r="G16" i="6"/>
  <c r="E17" i="6"/>
  <c r="G17" i="6" s="1"/>
  <c r="F17" i="6"/>
  <c r="E18" i="6"/>
  <c r="G18" i="6" s="1"/>
  <c r="F18" i="6"/>
  <c r="E19" i="6"/>
  <c r="F19" i="6"/>
  <c r="G19" i="6"/>
  <c r="E22" i="6"/>
  <c r="F22" i="6"/>
  <c r="G22" i="6"/>
  <c r="E23" i="6"/>
  <c r="G23" i="6" s="1"/>
  <c r="F23" i="6"/>
  <c r="E24" i="6"/>
  <c r="F24" i="6"/>
  <c r="G24" i="6"/>
  <c r="E25" i="6"/>
  <c r="F25" i="6"/>
  <c r="E26" i="6"/>
  <c r="F26" i="6"/>
  <c r="E27" i="6"/>
  <c r="F27" i="6"/>
  <c r="G27" i="6"/>
  <c r="E28" i="6"/>
  <c r="F28" i="6"/>
  <c r="E29" i="6"/>
  <c r="F29" i="6"/>
  <c r="G29" i="6"/>
  <c r="E4" i="6"/>
  <c r="F4" i="6"/>
  <c r="G4" i="6" s="1"/>
  <c r="E5" i="6"/>
  <c r="F5" i="6"/>
  <c r="E6" i="6"/>
  <c r="F6" i="6"/>
  <c r="E7" i="6"/>
  <c r="F7" i="6"/>
  <c r="E8" i="6"/>
  <c r="F8" i="6"/>
  <c r="E9" i="6"/>
  <c r="F9" i="6"/>
  <c r="E3" i="6"/>
  <c r="F3" i="6"/>
  <c r="B2" i="1"/>
  <c r="B5" i="1"/>
  <c r="A5" i="1"/>
  <c r="G7" i="6" l="1"/>
  <c r="G26" i="6"/>
  <c r="G3" i="6"/>
  <c r="G28" i="6"/>
  <c r="G25" i="6"/>
  <c r="G6" i="6"/>
  <c r="G9" i="6"/>
  <c r="G5" i="6"/>
  <c r="G8" i="6"/>
  <c r="A4" i="1" l="1"/>
  <c r="A2" i="1"/>
</calcChain>
</file>

<file path=xl/sharedStrings.xml><?xml version="1.0" encoding="utf-8"?>
<sst xmlns="http://schemas.openxmlformats.org/spreadsheetml/2006/main" count="429" uniqueCount="116">
  <si>
    <t>высота 3930</t>
  </si>
  <si>
    <t>Вестибюль с многофункциональным двухсветным пространством с возможностью проведения общественных мероприятий на 200 мест (с эстрадой в уровне пола)</t>
  </si>
  <si>
    <t>Тамбур</t>
  </si>
  <si>
    <t>Зона ожидания родителей со стойкой для зарядки мобильных устройств</t>
  </si>
  <si>
    <t>Санузел для посетителей</t>
  </si>
  <si>
    <t>Комната охраны с диспетчерским пультом</t>
  </si>
  <si>
    <t>Санузел для МГН</t>
  </si>
  <si>
    <t>Гардероб для учителей</t>
  </si>
  <si>
    <t>Гардероб для начальной школы</t>
  </si>
  <si>
    <t>Учебный кабинет 1 класс</t>
  </si>
  <si>
    <t>Игровая с возможностью организации спальных мест</t>
  </si>
  <si>
    <t>Санузел для девочек</t>
  </si>
  <si>
    <t>Санузел для мальчиков</t>
  </si>
  <si>
    <t>С/у (медблок)</t>
  </si>
  <si>
    <t>Процедурный кабинет</t>
  </si>
  <si>
    <t>Прививочный кабинет</t>
  </si>
  <si>
    <t>Кабинет врача</t>
  </si>
  <si>
    <t>Холл</t>
  </si>
  <si>
    <t>Помещение для приготовления дезинфицирующих растворов</t>
  </si>
  <si>
    <t>Санузел персонала</t>
  </si>
  <si>
    <t>Помещение уборочного инвентаря</t>
  </si>
  <si>
    <t>Кладовая инвентаря</t>
  </si>
  <si>
    <t>Артистическая</t>
  </si>
  <si>
    <t>Коридор</t>
  </si>
  <si>
    <t>Серверная</t>
  </si>
  <si>
    <t>Электрощитовая</t>
  </si>
  <si>
    <t>Рекреация коридорного типа</t>
  </si>
  <si>
    <t>Лестничная клетка №1 (Тип Н2)</t>
  </si>
  <si>
    <t>Лестничная клетка №2 (Тип Н2)</t>
  </si>
  <si>
    <t>Лестничная клетка №3 (Тип Н2)</t>
  </si>
  <si>
    <t>Лестничная клетка №4 (Тип Н2)</t>
  </si>
  <si>
    <t>Лифтовой холл</t>
  </si>
  <si>
    <t>Умывальная</t>
  </si>
  <si>
    <t>Обеденный зал на 150 мест</t>
  </si>
  <si>
    <t>Моечная столовой посуды</t>
  </si>
  <si>
    <t>Холодный цех</t>
  </si>
  <si>
    <t>Горячий цех</t>
  </si>
  <si>
    <t>Моечная кухонной посуды</t>
  </si>
  <si>
    <t>Кладовая сухих продуктов</t>
  </si>
  <si>
    <t>Помещение с холодильным оборудованием</t>
  </si>
  <si>
    <t>Кладовая овощей</t>
  </si>
  <si>
    <t>Помещение персонала</t>
  </si>
  <si>
    <t>Помещение временного хранения отходов</t>
  </si>
  <si>
    <t>Раздаточная</t>
  </si>
  <si>
    <t>Моечная оборотной тары</t>
  </si>
  <si>
    <t>Загрузочная</t>
  </si>
  <si>
    <t>Гардероб персонала с душем</t>
  </si>
  <si>
    <t>Цех первичной обработки</t>
  </si>
  <si>
    <t>Цех вторичной обработки</t>
  </si>
  <si>
    <t>Мясо-рыбный цех</t>
  </si>
  <si>
    <t>Вестибюль с зоной для посетителей</t>
  </si>
  <si>
    <t>Пост охраны</t>
  </si>
  <si>
    <t>Туалет для МГН (для посетителей)</t>
  </si>
  <si>
    <t>Раздевальная комната</t>
  </si>
  <si>
    <t>Буфет</t>
  </si>
  <si>
    <t>Туалет (в т.ч. МГН)</t>
  </si>
  <si>
    <t>Групповая</t>
  </si>
  <si>
    <t>Спальная</t>
  </si>
  <si>
    <t>Лестничная клетка №5 (Тип Н2)</t>
  </si>
  <si>
    <t>Лестничная клетка №6 (Тип Л1)</t>
  </si>
  <si>
    <t>Комната персонала с гардеробом. душем и туалетом</t>
  </si>
  <si>
    <t>Учебный кабинет 2-4 класс</t>
  </si>
  <si>
    <t>Лабораторно-исследовательский комплекс для изучения естествознания</t>
  </si>
  <si>
    <t>Кабинет с рабочим местом для учителей</t>
  </si>
  <si>
    <t>Универсальное помещение с возможностью проведения занятий во внеурочное время в том числе для групп продленного дня</t>
  </si>
  <si>
    <t>Раздевальная для девочек (МГН)</t>
  </si>
  <si>
    <t>Раздевальная для мальчиков (МГН)</t>
  </si>
  <si>
    <t>Раздевальная для мальчиков</t>
  </si>
  <si>
    <t>Душевая для мальчиков</t>
  </si>
  <si>
    <t>Раздевальная для девочек</t>
  </si>
  <si>
    <t>Душевая девочек</t>
  </si>
  <si>
    <t>Инвентарная (снарядная)</t>
  </si>
  <si>
    <t>Спортивный зал 15х24 м</t>
  </si>
  <si>
    <t>Комната инструктора (с душем и туалетом)</t>
  </si>
  <si>
    <t>Рекреация</t>
  </si>
  <si>
    <t>Технический центр (аппаратная)</t>
  </si>
  <si>
    <t>Лифтовой холл (зона безопасности)</t>
  </si>
  <si>
    <t>Многофункциональный физкультурный зал для проведения активных игр и занятий с детьми</t>
  </si>
  <si>
    <t>Помещение хранения для физкультурного зала</t>
  </si>
  <si>
    <t>Музыкальный зал</t>
  </si>
  <si>
    <t>Помещение хранения для музыкального зала</t>
  </si>
  <si>
    <t>Хозяйственная кладовая</t>
  </si>
  <si>
    <t>Кабинет для индивидуальных занятий. в т.ч с учителем-логопедом</t>
  </si>
  <si>
    <t>Кабинет иностранного языка с возможностью деления трансформируемой перегородкой на два помещения</t>
  </si>
  <si>
    <t>Административный кабинет</t>
  </si>
  <si>
    <t>Книгохранилище</t>
  </si>
  <si>
    <t>Вспомогательное помещение</t>
  </si>
  <si>
    <t>Кабинет для развивающих занятий с возможностью зонирования раздвижной трансформируемой перегородкой</t>
  </si>
  <si>
    <t>Помещение приёма и сортировки грязного белья</t>
  </si>
  <si>
    <t>Комната чистого белья</t>
  </si>
  <si>
    <t>Многофункциональный информационный библиотечный центр с зонами для индивидуальных и групповых занятий. медиатеки. читательских мест и выдачи книг</t>
  </si>
  <si>
    <t>Помещение (open space) для администрации . с рабочими местами для музыкального руководителя . воспитателя</t>
  </si>
  <si>
    <t>№ п.п.</t>
  </si>
  <si>
    <t>Тип-1ш</t>
  </si>
  <si>
    <t>Тип-2у</t>
  </si>
  <si>
    <t>шир</t>
  </si>
  <si>
    <t>узк</t>
  </si>
  <si>
    <t>Кол-во</t>
  </si>
  <si>
    <t>Сумма</t>
  </si>
  <si>
    <t>широк</t>
  </si>
  <si>
    <t>Детский сад</t>
  </si>
  <si>
    <t>Откосы</t>
  </si>
  <si>
    <t>Пол</t>
  </si>
  <si>
    <t>Количество</t>
  </si>
  <si>
    <t>Имя</t>
  </si>
  <si>
    <t>Цвет</t>
  </si>
  <si>
    <t>Слой</t>
  </si>
  <si>
    <t>Длина</t>
  </si>
  <si>
    <t>Полилиния</t>
  </si>
  <si>
    <t>ПОСЛОЮ</t>
  </si>
  <si>
    <t>0) Дверь 2.1м-</t>
  </si>
  <si>
    <t>0) Стена 3.93м</t>
  </si>
  <si>
    <t>1) Окна 2.25м-</t>
  </si>
  <si>
    <t>0) дверьки 1.8м-</t>
  </si>
  <si>
    <t>Итог</t>
  </si>
  <si>
    <t>Итог, м2.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</si>
</sst>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4" x14ac:knownFonts="1">
    <font>
      <sz val="11"/>
      <color theme="1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sz val="10"/>
      <name val="ГОСТ тип А"/>
      <family val="2"/>
      <charset val="204"/>
    </font>
    <font>
      <sz val="10"/>
      <color theme="1"/>
      <name val="ГОСТ тип А"/>
      <family val="2"/>
      <charset val="204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0" fillId="0" borderId="0" xfId="0" applyAlignment="1">
      <alignment wrapText="1"/>
    </xf>
    <xf numFmtId="164" fontId="0" fillId="0" borderId="0" xfId="0" applyNumberFormat="1"/>
    <xf numFmtId="2" fontId="0" fillId="0" borderId="0" xfId="0" applyNumberFormat="1"/>
    <xf numFmtId="0" fontId="2" fillId="0" borderId="0" xfId="0" applyFont="1" applyAlignment="1">
      <alignment horizontal="left" vertical="center" wrapText="1"/>
    </xf>
    <xf numFmtId="0" fontId="2" fillId="0" borderId="0" xfId="0" applyFont="1" applyAlignment="1">
      <alignment wrapText="1"/>
    </xf>
    <xf numFmtId="2" fontId="0" fillId="0" borderId="0" xfId="0" applyNumberFormat="1" applyAlignment="1">
      <alignment horizontal="center" vertical="center"/>
    </xf>
    <xf numFmtId="0" fontId="3" fillId="0" borderId="0" xfId="0" applyFont="1"/>
    <xf numFmtId="0" fontId="0" fillId="0" borderId="0" xfId="0" applyAlignment="1">
      <alignment horizontal="right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2" fontId="3" fillId="0" borderId="0" xfId="0" applyNumberFormat="1" applyFont="1" applyAlignment="1">
      <alignment horizontal="center"/>
    </xf>
    <xf numFmtId="2" fontId="3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wrapText="1"/>
    </xf>
    <xf numFmtId="0" fontId="3" fillId="0" borderId="1" xfId="0" applyFont="1" applyBorder="1"/>
    <xf numFmtId="0" fontId="3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3" fillId="0" borderId="1" xfId="0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0" fillId="0" borderId="1" xfId="0" applyBorder="1"/>
    <xf numFmtId="0" fontId="2" fillId="0" borderId="2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"/>
  <sheetViews>
    <sheetView workbookViewId="0">
      <selection activeCell="L3" sqref="L3:P3"/>
    </sheetView>
  </sheetViews>
  <sheetFormatPr defaultRowHeight="15" x14ac:dyDescent="0.25"/>
  <cols>
    <col min="3" max="3" width="9.140625" style="11"/>
  </cols>
  <sheetData>
    <row r="1" spans="1:3" x14ac:dyDescent="0.25">
      <c r="A1">
        <f>235*2250*2/1000000</f>
        <v>1.0575000000000001</v>
      </c>
    </row>
    <row r="2" spans="1:3" x14ac:dyDescent="0.25">
      <c r="A2">
        <f>233*2431*2/1000000</f>
        <v>1.132846</v>
      </c>
      <c r="B2">
        <f>A2+A1</f>
        <v>2.1903459999999999</v>
      </c>
      <c r="C2" s="11" t="s">
        <v>95</v>
      </c>
    </row>
    <row r="4" spans="1:3" x14ac:dyDescent="0.25">
      <c r="A4">
        <f>A1</f>
        <v>1.0575000000000001</v>
      </c>
    </row>
    <row r="5" spans="1:3" x14ac:dyDescent="0.25">
      <c r="A5">
        <f>845*242*2/1000000</f>
        <v>0.40898000000000001</v>
      </c>
      <c r="B5">
        <f>A5+A4</f>
        <v>1.4664800000000002</v>
      </c>
      <c r="C5" s="11" t="s">
        <v>96</v>
      </c>
    </row>
    <row r="8" spans="1:3" x14ac:dyDescent="0.25">
      <c r="A8" t="s">
        <v>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84"/>
  <sheetViews>
    <sheetView topLeftCell="A59" zoomScale="130" zoomScaleNormal="130" workbookViewId="0">
      <selection activeCell="L3" sqref="L3:P3"/>
    </sheetView>
  </sheetViews>
  <sheetFormatPr defaultRowHeight="15" x14ac:dyDescent="0.25"/>
  <cols>
    <col min="1" max="1" width="9.140625" style="3"/>
    <col min="2" max="2" width="32.28515625" style="8" customWidth="1"/>
    <col min="3" max="3" width="9.140625" style="2"/>
    <col min="4" max="16384" width="9.140625" style="1"/>
  </cols>
  <sheetData>
    <row r="1" spans="1:3" x14ac:dyDescent="0.25">
      <c r="A1" s="3">
        <v>1.01</v>
      </c>
      <c r="B1" s="7" t="s">
        <v>2</v>
      </c>
      <c r="C1" s="2">
        <v>13.3</v>
      </c>
    </row>
    <row r="2" spans="1:3" ht="25.5" x14ac:dyDescent="0.25">
      <c r="A2" s="3">
        <v>1.02</v>
      </c>
      <c r="B2" s="7" t="s">
        <v>3</v>
      </c>
      <c r="C2" s="2">
        <v>16.399999999999999</v>
      </c>
    </row>
    <row r="3" spans="1:3" x14ac:dyDescent="0.25">
      <c r="A3" s="3">
        <v>1.03</v>
      </c>
      <c r="B3" s="7" t="s">
        <v>4</v>
      </c>
      <c r="C3" s="2">
        <v>5</v>
      </c>
    </row>
    <row r="4" spans="1:3" ht="32.25" customHeight="1" x14ac:dyDescent="0.25">
      <c r="A4" s="3">
        <v>1.04</v>
      </c>
      <c r="B4" s="7" t="s">
        <v>1</v>
      </c>
      <c r="C4" s="2">
        <v>168.7</v>
      </c>
    </row>
    <row r="5" spans="1:3" ht="32.25" customHeight="1" x14ac:dyDescent="0.25">
      <c r="A5" s="3">
        <v>1.04</v>
      </c>
      <c r="B5" s="7" t="s">
        <v>1</v>
      </c>
      <c r="C5" s="2">
        <v>154</v>
      </c>
    </row>
    <row r="6" spans="1:3" ht="32.25" customHeight="1" x14ac:dyDescent="0.25">
      <c r="A6" s="3">
        <v>1.04</v>
      </c>
      <c r="B6" s="7" t="s">
        <v>1</v>
      </c>
      <c r="C6" s="2">
        <v>36.700000000000003</v>
      </c>
    </row>
    <row r="7" spans="1:3" ht="25.5" x14ac:dyDescent="0.25">
      <c r="A7" s="3">
        <v>1.05</v>
      </c>
      <c r="B7" s="7" t="s">
        <v>5</v>
      </c>
      <c r="C7" s="2">
        <v>21.5</v>
      </c>
    </row>
    <row r="8" spans="1:3" x14ac:dyDescent="0.25">
      <c r="A8" s="3">
        <v>1.06</v>
      </c>
      <c r="B8" s="7" t="s">
        <v>6</v>
      </c>
      <c r="C8" s="2">
        <v>5.7</v>
      </c>
    </row>
    <row r="9" spans="1:3" x14ac:dyDescent="0.25">
      <c r="A9" s="3">
        <v>1.07</v>
      </c>
      <c r="B9" s="7" t="s">
        <v>7</v>
      </c>
      <c r="C9" s="2">
        <v>9.8000000000000007</v>
      </c>
    </row>
    <row r="10" spans="1:3" x14ac:dyDescent="0.25">
      <c r="A10" s="3">
        <v>1.08</v>
      </c>
      <c r="B10" s="7" t="s">
        <v>8</v>
      </c>
      <c r="C10" s="2">
        <v>98.7</v>
      </c>
    </row>
    <row r="11" spans="1:3" x14ac:dyDescent="0.25">
      <c r="A11" s="3">
        <v>1.0900000000000001</v>
      </c>
      <c r="B11" s="7" t="s">
        <v>9</v>
      </c>
      <c r="C11" s="2">
        <v>62.1</v>
      </c>
    </row>
    <row r="12" spans="1:3" x14ac:dyDescent="0.25">
      <c r="A12" s="3">
        <v>1.1000000000000001</v>
      </c>
      <c r="B12" s="7" t="s">
        <v>9</v>
      </c>
      <c r="C12" s="2">
        <v>63.3</v>
      </c>
    </row>
    <row r="13" spans="1:3" x14ac:dyDescent="0.25">
      <c r="A13" s="3">
        <v>1.1100000000000001</v>
      </c>
      <c r="B13" s="7" t="s">
        <v>9</v>
      </c>
      <c r="C13" s="2">
        <v>63.5</v>
      </c>
    </row>
    <row r="14" spans="1:3" ht="25.5" x14ac:dyDescent="0.25">
      <c r="A14" s="3">
        <v>1.1200000000000001</v>
      </c>
      <c r="B14" s="7" t="s">
        <v>10</v>
      </c>
      <c r="C14" s="2">
        <v>129.6</v>
      </c>
    </row>
    <row r="15" spans="1:3" x14ac:dyDescent="0.25">
      <c r="A15" s="3">
        <v>1.1299999999999999</v>
      </c>
      <c r="B15" s="7" t="s">
        <v>11</v>
      </c>
      <c r="C15" s="2">
        <v>14.5</v>
      </c>
    </row>
    <row r="16" spans="1:3" x14ac:dyDescent="0.25">
      <c r="A16" s="3">
        <v>1.1399999999999999</v>
      </c>
      <c r="B16" s="7" t="s">
        <v>6</v>
      </c>
      <c r="C16" s="2">
        <v>5.0999999999999996</v>
      </c>
    </row>
    <row r="17" spans="1:3" x14ac:dyDescent="0.25">
      <c r="A17" s="3">
        <v>1.1499999999999999</v>
      </c>
      <c r="B17" s="7" t="s">
        <v>12</v>
      </c>
      <c r="C17" s="2">
        <v>14.5</v>
      </c>
    </row>
    <row r="18" spans="1:3" x14ac:dyDescent="0.25">
      <c r="A18" s="3">
        <v>1.1599999999999999</v>
      </c>
      <c r="B18" s="7" t="s">
        <v>13</v>
      </c>
      <c r="C18" s="2">
        <v>2.2000000000000002</v>
      </c>
    </row>
    <row r="19" spans="1:3" x14ac:dyDescent="0.25">
      <c r="A19" s="3">
        <v>1.17</v>
      </c>
      <c r="B19" s="7" t="s">
        <v>14</v>
      </c>
      <c r="C19" s="2">
        <v>13.4</v>
      </c>
    </row>
    <row r="20" spans="1:3" x14ac:dyDescent="0.25">
      <c r="A20" s="3">
        <v>1.18</v>
      </c>
      <c r="B20" s="7" t="s">
        <v>15</v>
      </c>
      <c r="C20" s="2">
        <v>13.3</v>
      </c>
    </row>
    <row r="21" spans="1:3" x14ac:dyDescent="0.25">
      <c r="A21" s="3">
        <v>1.19</v>
      </c>
      <c r="B21" s="7" t="s">
        <v>16</v>
      </c>
      <c r="C21" s="2">
        <v>20.2</v>
      </c>
    </row>
    <row r="22" spans="1:3" x14ac:dyDescent="0.25">
      <c r="A22" s="3">
        <v>1.2</v>
      </c>
      <c r="B22" s="7" t="s">
        <v>17</v>
      </c>
      <c r="C22" s="2">
        <v>20.3</v>
      </c>
    </row>
    <row r="23" spans="1:3" ht="25.5" x14ac:dyDescent="0.25">
      <c r="A23" s="3">
        <v>1.21</v>
      </c>
      <c r="B23" s="7" t="s">
        <v>18</v>
      </c>
      <c r="C23" s="2">
        <v>5.7</v>
      </c>
    </row>
    <row r="24" spans="1:3" x14ac:dyDescent="0.25">
      <c r="A24" s="3">
        <v>1.22</v>
      </c>
      <c r="B24" s="7" t="s">
        <v>19</v>
      </c>
      <c r="C24" s="2">
        <v>3.8</v>
      </c>
    </row>
    <row r="25" spans="1:3" x14ac:dyDescent="0.25">
      <c r="A25" s="3">
        <v>1.23</v>
      </c>
      <c r="B25" s="7" t="s">
        <v>20</v>
      </c>
      <c r="C25" s="2">
        <v>4.5999999999999996</v>
      </c>
    </row>
    <row r="26" spans="1:3" x14ac:dyDescent="0.25">
      <c r="A26" s="3">
        <v>1.24</v>
      </c>
      <c r="B26" s="7" t="s">
        <v>21</v>
      </c>
      <c r="C26" s="2">
        <v>9.8000000000000007</v>
      </c>
    </row>
    <row r="27" spans="1:3" x14ac:dyDescent="0.25">
      <c r="A27" s="3">
        <v>1.25</v>
      </c>
      <c r="B27" s="7" t="s">
        <v>22</v>
      </c>
      <c r="C27" s="2">
        <v>10</v>
      </c>
    </row>
    <row r="28" spans="1:3" x14ac:dyDescent="0.25">
      <c r="A28" s="3">
        <v>1.26</v>
      </c>
      <c r="B28" s="7" t="s">
        <v>22</v>
      </c>
      <c r="C28" s="2">
        <v>10.4</v>
      </c>
    </row>
    <row r="29" spans="1:3" x14ac:dyDescent="0.25">
      <c r="A29" s="3">
        <v>1.27</v>
      </c>
      <c r="B29" s="7" t="s">
        <v>23</v>
      </c>
      <c r="C29" s="2">
        <v>25.5</v>
      </c>
    </row>
    <row r="30" spans="1:3" x14ac:dyDescent="0.25">
      <c r="A30" s="3">
        <v>1.28</v>
      </c>
      <c r="B30" s="7" t="s">
        <v>24</v>
      </c>
      <c r="C30" s="2">
        <v>20.2</v>
      </c>
    </row>
    <row r="31" spans="1:3" x14ac:dyDescent="0.25">
      <c r="A31" s="3">
        <v>1.29</v>
      </c>
      <c r="B31" s="7" t="s">
        <v>25</v>
      </c>
      <c r="C31" s="2">
        <v>27.4</v>
      </c>
    </row>
    <row r="32" spans="1:3" x14ac:dyDescent="0.25">
      <c r="A32" s="3">
        <v>1.3</v>
      </c>
      <c r="B32" s="7" t="s">
        <v>26</v>
      </c>
      <c r="C32" s="2">
        <v>98.3</v>
      </c>
    </row>
    <row r="33" spans="1:3" x14ac:dyDescent="0.25">
      <c r="A33" s="3">
        <v>1.31</v>
      </c>
      <c r="B33" s="7" t="s">
        <v>23</v>
      </c>
      <c r="C33" s="2">
        <v>111.2</v>
      </c>
    </row>
    <row r="34" spans="1:3" x14ac:dyDescent="0.25">
      <c r="A34" s="3">
        <v>1.32</v>
      </c>
      <c r="B34" s="7" t="s">
        <v>27</v>
      </c>
      <c r="C34" s="2">
        <v>23.7</v>
      </c>
    </row>
    <row r="35" spans="1:3" x14ac:dyDescent="0.25">
      <c r="A35" s="3">
        <v>1.33</v>
      </c>
      <c r="B35" s="7" t="s">
        <v>28</v>
      </c>
      <c r="C35" s="2">
        <v>26.5</v>
      </c>
    </row>
    <row r="36" spans="1:3" x14ac:dyDescent="0.25">
      <c r="A36" s="3">
        <v>1.34</v>
      </c>
      <c r="B36" s="7" t="s">
        <v>29</v>
      </c>
      <c r="C36" s="2">
        <v>24.7</v>
      </c>
    </row>
    <row r="37" spans="1:3" x14ac:dyDescent="0.25">
      <c r="A37" s="3">
        <v>1.35</v>
      </c>
      <c r="B37" s="7" t="s">
        <v>30</v>
      </c>
      <c r="C37" s="2">
        <v>28.7</v>
      </c>
    </row>
    <row r="38" spans="1:3" x14ac:dyDescent="0.25">
      <c r="A38" s="3">
        <v>1.36</v>
      </c>
      <c r="B38" s="7" t="s">
        <v>31</v>
      </c>
      <c r="C38" s="2">
        <v>6.5</v>
      </c>
    </row>
    <row r="39" spans="1:3" x14ac:dyDescent="0.25">
      <c r="A39" s="3">
        <v>1.37</v>
      </c>
      <c r="B39" s="7" t="s">
        <v>32</v>
      </c>
      <c r="C39" s="2">
        <v>10.6</v>
      </c>
    </row>
    <row r="40" spans="1:3" x14ac:dyDescent="0.25">
      <c r="A40" s="3">
        <v>1.38</v>
      </c>
      <c r="B40" s="7" t="s">
        <v>33</v>
      </c>
      <c r="C40" s="2">
        <v>167.2</v>
      </c>
    </row>
    <row r="41" spans="1:3" x14ac:dyDescent="0.25">
      <c r="A41" s="3">
        <v>1.39</v>
      </c>
      <c r="B41" s="7" t="s">
        <v>34</v>
      </c>
      <c r="C41" s="2">
        <v>35.299999999999997</v>
      </c>
    </row>
    <row r="42" spans="1:3" x14ac:dyDescent="0.25">
      <c r="A42" s="3">
        <v>1.4</v>
      </c>
      <c r="B42" s="7" t="s">
        <v>35</v>
      </c>
      <c r="C42" s="2">
        <v>14.5</v>
      </c>
    </row>
    <row r="43" spans="1:3" x14ac:dyDescent="0.25">
      <c r="A43" s="3">
        <v>1.41</v>
      </c>
      <c r="B43" s="7" t="s">
        <v>36</v>
      </c>
      <c r="C43" s="2">
        <v>87.4</v>
      </c>
    </row>
    <row r="44" spans="1:3" x14ac:dyDescent="0.25">
      <c r="A44" s="3">
        <v>1.42</v>
      </c>
      <c r="B44" s="7" t="s">
        <v>37</v>
      </c>
      <c r="C44" s="2">
        <v>13.1</v>
      </c>
    </row>
    <row r="45" spans="1:3" x14ac:dyDescent="0.25">
      <c r="A45" s="3">
        <v>1.43</v>
      </c>
      <c r="B45" s="7" t="s">
        <v>38</v>
      </c>
      <c r="C45" s="2">
        <v>11.7</v>
      </c>
    </row>
    <row r="46" spans="1:3" ht="25.5" x14ac:dyDescent="0.25">
      <c r="A46" s="3">
        <v>1.44</v>
      </c>
      <c r="B46" s="7" t="s">
        <v>39</v>
      </c>
      <c r="C46" s="2">
        <v>29</v>
      </c>
    </row>
    <row r="47" spans="1:3" x14ac:dyDescent="0.25">
      <c r="A47" s="3">
        <v>1.45</v>
      </c>
      <c r="B47" s="7" t="s">
        <v>40</v>
      </c>
      <c r="C47" s="2">
        <v>10.4</v>
      </c>
    </row>
    <row r="48" spans="1:3" x14ac:dyDescent="0.25">
      <c r="A48" s="3">
        <v>1.46</v>
      </c>
      <c r="B48" s="7" t="s">
        <v>41</v>
      </c>
      <c r="C48" s="2">
        <v>8.6999999999999993</v>
      </c>
    </row>
    <row r="49" spans="1:3" ht="25.5" x14ac:dyDescent="0.25">
      <c r="A49" s="3">
        <v>1.47</v>
      </c>
      <c r="B49" s="7" t="s">
        <v>42</v>
      </c>
      <c r="C49" s="2">
        <v>9</v>
      </c>
    </row>
    <row r="50" spans="1:3" x14ac:dyDescent="0.25">
      <c r="A50" s="3">
        <v>1.48</v>
      </c>
      <c r="B50" s="7" t="s">
        <v>43</v>
      </c>
      <c r="C50" s="2">
        <v>7.5</v>
      </c>
    </row>
    <row r="51" spans="1:3" x14ac:dyDescent="0.25">
      <c r="A51" s="3">
        <v>1.49</v>
      </c>
      <c r="B51" s="7" t="s">
        <v>19</v>
      </c>
      <c r="C51" s="2">
        <v>2.8</v>
      </c>
    </row>
    <row r="52" spans="1:3" x14ac:dyDescent="0.25">
      <c r="A52" s="3">
        <v>1.5</v>
      </c>
      <c r="B52" s="7" t="s">
        <v>44</v>
      </c>
      <c r="C52" s="2">
        <v>8.1999999999999993</v>
      </c>
    </row>
    <row r="53" spans="1:3" x14ac:dyDescent="0.25">
      <c r="A53" s="3">
        <v>1.51</v>
      </c>
      <c r="B53" s="7" t="s">
        <v>45</v>
      </c>
      <c r="C53" s="2">
        <v>8.3000000000000007</v>
      </c>
    </row>
    <row r="54" spans="1:3" x14ac:dyDescent="0.25">
      <c r="A54" s="3">
        <v>1.52</v>
      </c>
      <c r="B54" s="7" t="s">
        <v>2</v>
      </c>
      <c r="C54" s="2">
        <v>2.6</v>
      </c>
    </row>
    <row r="55" spans="1:3" x14ac:dyDescent="0.25">
      <c r="A55" s="3">
        <v>1.53</v>
      </c>
      <c r="B55" s="7" t="s">
        <v>20</v>
      </c>
      <c r="C55" s="2">
        <v>3.3</v>
      </c>
    </row>
    <row r="56" spans="1:3" x14ac:dyDescent="0.25">
      <c r="A56" s="3">
        <v>1.54</v>
      </c>
      <c r="B56" s="7" t="s">
        <v>46</v>
      </c>
      <c r="C56" s="2">
        <v>7.4</v>
      </c>
    </row>
    <row r="57" spans="1:3" x14ac:dyDescent="0.25">
      <c r="A57" s="3">
        <v>1.55</v>
      </c>
      <c r="B57" s="7" t="s">
        <v>47</v>
      </c>
      <c r="C57" s="2">
        <v>13.5</v>
      </c>
    </row>
    <row r="58" spans="1:3" x14ac:dyDescent="0.25">
      <c r="A58" s="3">
        <v>1.56</v>
      </c>
      <c r="B58" s="7" t="s">
        <v>48</v>
      </c>
      <c r="C58" s="2">
        <v>11.4</v>
      </c>
    </row>
    <row r="59" spans="1:3" x14ac:dyDescent="0.25">
      <c r="A59" s="3">
        <v>1.57</v>
      </c>
      <c r="B59" s="7" t="s">
        <v>49</v>
      </c>
      <c r="C59" s="2">
        <v>20.6</v>
      </c>
    </row>
    <row r="60" spans="1:3" x14ac:dyDescent="0.25">
      <c r="A60" s="3">
        <v>1.58</v>
      </c>
      <c r="B60" s="7" t="s">
        <v>23</v>
      </c>
      <c r="C60" s="2">
        <v>57.7</v>
      </c>
    </row>
    <row r="61" spans="1:3" x14ac:dyDescent="0.25">
      <c r="A61" s="3">
        <v>1.59</v>
      </c>
      <c r="B61" s="7" t="s">
        <v>2</v>
      </c>
      <c r="C61" s="2">
        <v>15.4</v>
      </c>
    </row>
    <row r="62" spans="1:3" x14ac:dyDescent="0.25">
      <c r="A62" s="3">
        <v>1.6</v>
      </c>
      <c r="B62" s="7" t="s">
        <v>50</v>
      </c>
      <c r="C62" s="2">
        <v>87.9</v>
      </c>
    </row>
    <row r="63" spans="1:3" x14ac:dyDescent="0.25">
      <c r="A63" s="3">
        <v>1.61</v>
      </c>
      <c r="B63" s="7" t="s">
        <v>51</v>
      </c>
      <c r="C63" s="2">
        <v>15.6</v>
      </c>
    </row>
    <row r="64" spans="1:3" x14ac:dyDescent="0.25">
      <c r="A64" s="3">
        <v>1.62</v>
      </c>
      <c r="B64" s="7" t="s">
        <v>52</v>
      </c>
      <c r="C64" s="2">
        <v>5.9</v>
      </c>
    </row>
    <row r="65" spans="1:3" x14ac:dyDescent="0.25">
      <c r="A65" s="3">
        <v>1.63</v>
      </c>
      <c r="B65" s="7" t="s">
        <v>2</v>
      </c>
      <c r="C65" s="2">
        <v>11.3</v>
      </c>
    </row>
    <row r="66" spans="1:3" x14ac:dyDescent="0.25">
      <c r="A66" s="3">
        <v>1.64</v>
      </c>
      <c r="B66" s="7" t="s">
        <v>53</v>
      </c>
      <c r="C66" s="2">
        <v>23.5</v>
      </c>
    </row>
    <row r="67" spans="1:3" x14ac:dyDescent="0.25">
      <c r="A67" s="3">
        <v>1.65</v>
      </c>
      <c r="B67" s="7" t="s">
        <v>54</v>
      </c>
      <c r="C67" s="2">
        <v>6.4</v>
      </c>
    </row>
    <row r="68" spans="1:3" x14ac:dyDescent="0.25">
      <c r="A68" s="3">
        <v>1.66</v>
      </c>
      <c r="B68" s="7" t="s">
        <v>55</v>
      </c>
      <c r="C68" s="2">
        <v>29</v>
      </c>
    </row>
    <row r="69" spans="1:3" x14ac:dyDescent="0.25">
      <c r="A69" s="3">
        <v>1.67</v>
      </c>
      <c r="B69" s="8" t="s">
        <v>56</v>
      </c>
      <c r="C69" s="2">
        <v>50</v>
      </c>
    </row>
    <row r="70" spans="1:3" x14ac:dyDescent="0.25">
      <c r="A70" s="3">
        <v>1.68</v>
      </c>
      <c r="B70" s="8" t="s">
        <v>57</v>
      </c>
      <c r="C70" s="2">
        <v>55.7</v>
      </c>
    </row>
    <row r="71" spans="1:3" x14ac:dyDescent="0.25">
      <c r="A71" s="3">
        <v>1.69</v>
      </c>
      <c r="B71" s="8" t="s">
        <v>53</v>
      </c>
      <c r="C71" s="2">
        <v>18</v>
      </c>
    </row>
    <row r="72" spans="1:3" x14ac:dyDescent="0.25">
      <c r="A72" s="3">
        <v>1.7</v>
      </c>
      <c r="B72" s="8" t="s">
        <v>2</v>
      </c>
      <c r="C72" s="2">
        <v>4.7</v>
      </c>
    </row>
    <row r="73" spans="1:3" x14ac:dyDescent="0.25">
      <c r="A73" s="3">
        <v>1.71</v>
      </c>
      <c r="B73" s="8" t="s">
        <v>54</v>
      </c>
      <c r="C73" s="2">
        <v>6.4</v>
      </c>
    </row>
    <row r="74" spans="1:3" x14ac:dyDescent="0.25">
      <c r="A74" s="3">
        <v>1.72</v>
      </c>
      <c r="B74" s="8" t="s">
        <v>55</v>
      </c>
      <c r="C74" s="2">
        <v>29.3</v>
      </c>
    </row>
    <row r="75" spans="1:3" x14ac:dyDescent="0.25">
      <c r="A75" s="3">
        <v>1.73</v>
      </c>
      <c r="B75" s="8" t="s">
        <v>56</v>
      </c>
      <c r="C75" s="2">
        <v>50.3</v>
      </c>
    </row>
    <row r="76" spans="1:3" x14ac:dyDescent="0.25">
      <c r="A76" s="3">
        <v>1.74</v>
      </c>
      <c r="B76" s="8" t="s">
        <v>57</v>
      </c>
      <c r="C76" s="2">
        <v>55.4</v>
      </c>
    </row>
    <row r="77" spans="1:3" x14ac:dyDescent="0.25">
      <c r="A77" s="3">
        <v>1.75</v>
      </c>
      <c r="B77" s="8" t="s">
        <v>20</v>
      </c>
      <c r="C77" s="2">
        <v>6.1</v>
      </c>
    </row>
    <row r="78" spans="1:3" ht="26.25" x14ac:dyDescent="0.25">
      <c r="A78" s="3">
        <v>1.76</v>
      </c>
      <c r="B78" s="8" t="s">
        <v>60</v>
      </c>
      <c r="C78" s="2">
        <v>6.3</v>
      </c>
    </row>
    <row r="79" spans="1:3" x14ac:dyDescent="0.25">
      <c r="A79" s="3">
        <v>1.77</v>
      </c>
      <c r="B79" s="8" t="s">
        <v>23</v>
      </c>
      <c r="C79" s="2">
        <v>41.2</v>
      </c>
    </row>
    <row r="80" spans="1:3" x14ac:dyDescent="0.25">
      <c r="A80" s="3">
        <v>1.78</v>
      </c>
      <c r="B80" s="8" t="s">
        <v>23</v>
      </c>
      <c r="C80" s="2">
        <v>60</v>
      </c>
    </row>
    <row r="81" spans="1:3" x14ac:dyDescent="0.25">
      <c r="A81" s="3">
        <v>1.79</v>
      </c>
      <c r="B81" s="8" t="s">
        <v>58</v>
      </c>
      <c r="C81" s="2">
        <v>29.9</v>
      </c>
    </row>
    <row r="82" spans="1:3" x14ac:dyDescent="0.25">
      <c r="A82" s="3">
        <v>1.8</v>
      </c>
      <c r="B82" s="8" t="s">
        <v>59</v>
      </c>
      <c r="C82" s="2">
        <v>24.9</v>
      </c>
    </row>
    <row r="83" spans="1:3" x14ac:dyDescent="0.25">
      <c r="A83" s="3">
        <v>1.81</v>
      </c>
      <c r="B83" s="8" t="s">
        <v>31</v>
      </c>
      <c r="C83" s="2">
        <v>6.3</v>
      </c>
    </row>
    <row r="84" spans="1:3" x14ac:dyDescent="0.25">
      <c r="A84" s="3">
        <v>1.82</v>
      </c>
      <c r="B84" s="8" t="s">
        <v>23</v>
      </c>
      <c r="C84" s="2">
        <v>24.5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8"/>
  <sheetViews>
    <sheetView topLeftCell="A30" workbookViewId="0">
      <selection activeCell="L3" sqref="L3:P3"/>
    </sheetView>
  </sheetViews>
  <sheetFormatPr defaultRowHeight="15" x14ac:dyDescent="0.25"/>
  <cols>
    <col min="1" max="1" width="9.140625" style="6"/>
    <col min="2" max="2" width="65.28515625" style="4" customWidth="1"/>
  </cols>
  <sheetData>
    <row r="1" spans="1:3" x14ac:dyDescent="0.25">
      <c r="A1" s="6">
        <v>2.0099999999999998</v>
      </c>
      <c r="B1" s="4" t="s">
        <v>61</v>
      </c>
      <c r="C1">
        <v>62.6</v>
      </c>
    </row>
    <row r="2" spans="1:3" ht="30" x14ac:dyDescent="0.25">
      <c r="A2" s="6">
        <v>2.02</v>
      </c>
      <c r="B2" s="4" t="s">
        <v>62</v>
      </c>
      <c r="C2">
        <v>89</v>
      </c>
    </row>
    <row r="3" spans="1:3" x14ac:dyDescent="0.25">
      <c r="A3" s="6">
        <v>2.0299999999999998</v>
      </c>
      <c r="B3" s="4" t="s">
        <v>63</v>
      </c>
      <c r="C3">
        <v>39.4</v>
      </c>
    </row>
    <row r="4" spans="1:3" x14ac:dyDescent="0.25">
      <c r="A4" s="6">
        <v>2.04</v>
      </c>
      <c r="B4" s="4" t="s">
        <v>61</v>
      </c>
      <c r="C4">
        <v>63</v>
      </c>
    </row>
    <row r="5" spans="1:3" ht="30" x14ac:dyDescent="0.25">
      <c r="A5" s="6">
        <v>2.0499999999999998</v>
      </c>
      <c r="B5" s="4" t="s">
        <v>64</v>
      </c>
      <c r="C5">
        <v>64.400000000000006</v>
      </c>
    </row>
    <row r="6" spans="1:3" ht="30" x14ac:dyDescent="0.25">
      <c r="A6" s="6">
        <v>2.06</v>
      </c>
      <c r="B6" s="4" t="s">
        <v>64</v>
      </c>
      <c r="C6">
        <v>63.3</v>
      </c>
    </row>
    <row r="7" spans="1:3" x14ac:dyDescent="0.25">
      <c r="A7" s="6">
        <v>2.0699999999999998</v>
      </c>
      <c r="B7" s="4" t="s">
        <v>61</v>
      </c>
      <c r="C7">
        <v>63.3</v>
      </c>
    </row>
    <row r="8" spans="1:3" x14ac:dyDescent="0.25">
      <c r="A8" s="6">
        <v>2.08</v>
      </c>
      <c r="B8" s="4" t="s">
        <v>23</v>
      </c>
      <c r="C8">
        <v>78.599999999999994</v>
      </c>
    </row>
    <row r="9" spans="1:3" x14ac:dyDescent="0.25">
      <c r="A9" s="6">
        <v>2.09</v>
      </c>
      <c r="B9" s="4" t="s">
        <v>20</v>
      </c>
      <c r="C9">
        <v>5.0999999999999996</v>
      </c>
    </row>
    <row r="10" spans="1:3" x14ac:dyDescent="0.25">
      <c r="A10" s="6">
        <v>2.1</v>
      </c>
      <c r="B10" s="4" t="s">
        <v>65</v>
      </c>
      <c r="C10">
        <v>11.1</v>
      </c>
    </row>
    <row r="11" spans="1:3" x14ac:dyDescent="0.25">
      <c r="A11" s="6">
        <v>2.11</v>
      </c>
      <c r="B11" s="4" t="s">
        <v>66</v>
      </c>
      <c r="C11">
        <v>11.2</v>
      </c>
    </row>
    <row r="12" spans="1:3" x14ac:dyDescent="0.25">
      <c r="A12" s="6">
        <v>2.12</v>
      </c>
      <c r="B12" s="4" t="s">
        <v>67</v>
      </c>
      <c r="C12">
        <v>25.7</v>
      </c>
    </row>
    <row r="13" spans="1:3" x14ac:dyDescent="0.25">
      <c r="A13" s="6">
        <v>2.13</v>
      </c>
      <c r="B13" s="4" t="s">
        <v>68</v>
      </c>
      <c r="C13">
        <v>13.2</v>
      </c>
    </row>
    <row r="14" spans="1:3" x14ac:dyDescent="0.25">
      <c r="A14" s="6">
        <v>2.14</v>
      </c>
      <c r="B14" s="4" t="s">
        <v>12</v>
      </c>
      <c r="C14">
        <v>7.8</v>
      </c>
    </row>
    <row r="15" spans="1:3" x14ac:dyDescent="0.25">
      <c r="A15" s="6">
        <v>2.15</v>
      </c>
      <c r="B15" s="4" t="s">
        <v>69</v>
      </c>
      <c r="C15">
        <v>26.6</v>
      </c>
    </row>
    <row r="16" spans="1:3" x14ac:dyDescent="0.25">
      <c r="A16" s="6">
        <v>2.16</v>
      </c>
      <c r="B16" s="4" t="s">
        <v>11</v>
      </c>
      <c r="C16">
        <v>9.5</v>
      </c>
    </row>
    <row r="17" spans="1:3" x14ac:dyDescent="0.25">
      <c r="A17" s="6">
        <v>2.17</v>
      </c>
      <c r="B17" s="4" t="s">
        <v>70</v>
      </c>
      <c r="C17">
        <v>11.7</v>
      </c>
    </row>
    <row r="18" spans="1:3" x14ac:dyDescent="0.25">
      <c r="A18" s="6">
        <v>2.1800000000000002</v>
      </c>
      <c r="B18" s="4" t="s">
        <v>71</v>
      </c>
      <c r="C18">
        <v>29</v>
      </c>
    </row>
    <row r="19" spans="1:3" x14ac:dyDescent="0.25">
      <c r="A19" s="6">
        <v>2.19</v>
      </c>
      <c r="B19" s="4" t="s">
        <v>72</v>
      </c>
      <c r="C19">
        <v>349.3</v>
      </c>
    </row>
    <row r="20" spans="1:3" x14ac:dyDescent="0.25">
      <c r="A20" s="6">
        <v>2.2000000000000002</v>
      </c>
      <c r="B20" s="4" t="s">
        <v>73</v>
      </c>
      <c r="C20">
        <v>16.7</v>
      </c>
    </row>
    <row r="21" spans="1:3" x14ac:dyDescent="0.25">
      <c r="A21" s="6">
        <v>2.21</v>
      </c>
      <c r="B21" s="4" t="s">
        <v>82</v>
      </c>
      <c r="C21">
        <v>13.5</v>
      </c>
    </row>
    <row r="22" spans="1:3" x14ac:dyDescent="0.25">
      <c r="A22" s="6">
        <v>2.2200000000000002</v>
      </c>
      <c r="B22" s="4" t="s">
        <v>19</v>
      </c>
      <c r="C22">
        <v>5.0999999999999996</v>
      </c>
    </row>
    <row r="23" spans="1:3" x14ac:dyDescent="0.25">
      <c r="A23" s="6">
        <v>2.23</v>
      </c>
      <c r="B23" s="4" t="s">
        <v>20</v>
      </c>
      <c r="C23">
        <v>9.5</v>
      </c>
    </row>
    <row r="24" spans="1:3" x14ac:dyDescent="0.25">
      <c r="A24" s="6">
        <v>2.2400000000000002</v>
      </c>
      <c r="B24" s="4" t="s">
        <v>11</v>
      </c>
      <c r="C24">
        <v>14.5</v>
      </c>
    </row>
    <row r="25" spans="1:3" x14ac:dyDescent="0.25">
      <c r="A25" s="6">
        <v>2.25</v>
      </c>
      <c r="B25" s="4" t="s">
        <v>12</v>
      </c>
      <c r="C25">
        <v>14.5</v>
      </c>
    </row>
    <row r="26" spans="1:3" x14ac:dyDescent="0.25">
      <c r="A26" s="6">
        <v>2.2599999999999998</v>
      </c>
      <c r="B26" s="4" t="s">
        <v>6</v>
      </c>
      <c r="C26">
        <v>5.0999999999999996</v>
      </c>
    </row>
    <row r="27" spans="1:3" x14ac:dyDescent="0.25">
      <c r="A27" s="6">
        <v>2.27</v>
      </c>
      <c r="B27" s="4" t="s">
        <v>23</v>
      </c>
      <c r="C27">
        <v>18.600000000000001</v>
      </c>
    </row>
    <row r="28" spans="1:3" x14ac:dyDescent="0.25">
      <c r="A28" s="6">
        <v>2.2799999999999998</v>
      </c>
      <c r="B28" s="4" t="s">
        <v>74</v>
      </c>
      <c r="C28">
        <v>199.6</v>
      </c>
    </row>
    <row r="29" spans="1:3" x14ac:dyDescent="0.25">
      <c r="A29" s="6">
        <v>2.29</v>
      </c>
      <c r="B29" s="4" t="s">
        <v>75</v>
      </c>
      <c r="C29">
        <v>15</v>
      </c>
    </row>
    <row r="30" spans="1:3" x14ac:dyDescent="0.25">
      <c r="A30" s="6">
        <v>2.2999999999999998</v>
      </c>
      <c r="B30" s="4" t="s">
        <v>23</v>
      </c>
      <c r="C30">
        <v>108</v>
      </c>
    </row>
    <row r="31" spans="1:3" x14ac:dyDescent="0.25">
      <c r="A31" s="6">
        <v>2.31</v>
      </c>
      <c r="B31" s="4" t="s">
        <v>27</v>
      </c>
      <c r="C31">
        <v>25.1</v>
      </c>
    </row>
    <row r="32" spans="1:3" x14ac:dyDescent="0.25">
      <c r="A32" s="6">
        <v>2.3199999999999998</v>
      </c>
      <c r="B32" s="4" t="s">
        <v>28</v>
      </c>
      <c r="C32">
        <v>26.5</v>
      </c>
    </row>
    <row r="33" spans="1:3" x14ac:dyDescent="0.25">
      <c r="A33" s="6">
        <v>2.33</v>
      </c>
      <c r="B33" s="4" t="s">
        <v>76</v>
      </c>
      <c r="C33">
        <v>6.5</v>
      </c>
    </row>
    <row r="34" spans="1:3" x14ac:dyDescent="0.25">
      <c r="A34" s="6">
        <v>2.34</v>
      </c>
      <c r="B34" s="4" t="s">
        <v>29</v>
      </c>
      <c r="C34">
        <v>25.2</v>
      </c>
    </row>
    <row r="35" spans="1:3" x14ac:dyDescent="0.25">
      <c r="A35" s="6">
        <v>2.35</v>
      </c>
      <c r="B35" s="4" t="s">
        <v>30</v>
      </c>
      <c r="C35">
        <v>28.7</v>
      </c>
    </row>
    <row r="36" spans="1:3" x14ac:dyDescent="0.25">
      <c r="A36" s="6">
        <v>2.36</v>
      </c>
      <c r="B36" s="4" t="s">
        <v>43</v>
      </c>
      <c r="C36">
        <v>8.1</v>
      </c>
    </row>
    <row r="37" spans="1:3" x14ac:dyDescent="0.25">
      <c r="A37" s="6">
        <v>2.37</v>
      </c>
      <c r="B37" s="4" t="s">
        <v>53</v>
      </c>
      <c r="C37">
        <v>23.5</v>
      </c>
    </row>
    <row r="38" spans="1:3" x14ac:dyDescent="0.25">
      <c r="A38" s="6">
        <v>2.38</v>
      </c>
      <c r="B38" s="4" t="s">
        <v>54</v>
      </c>
      <c r="C38">
        <v>6.4</v>
      </c>
    </row>
    <row r="39" spans="1:3" x14ac:dyDescent="0.25">
      <c r="A39" s="6">
        <v>2.39</v>
      </c>
      <c r="B39" s="4" t="s">
        <v>55</v>
      </c>
      <c r="C39">
        <v>29</v>
      </c>
    </row>
    <row r="40" spans="1:3" x14ac:dyDescent="0.25">
      <c r="A40" s="6">
        <v>2.4</v>
      </c>
      <c r="B40" s="4" t="s">
        <v>56</v>
      </c>
      <c r="C40">
        <v>50.4</v>
      </c>
    </row>
    <row r="41" spans="1:3" x14ac:dyDescent="0.25">
      <c r="A41" s="6">
        <v>2.41</v>
      </c>
      <c r="B41" s="4" t="s">
        <v>57</v>
      </c>
      <c r="C41">
        <v>55.9</v>
      </c>
    </row>
    <row r="42" spans="1:3" x14ac:dyDescent="0.25">
      <c r="A42" s="6">
        <v>2.42</v>
      </c>
      <c r="B42" s="4" t="s">
        <v>53</v>
      </c>
      <c r="C42">
        <v>23</v>
      </c>
    </row>
    <row r="43" spans="1:3" x14ac:dyDescent="0.25">
      <c r="A43" s="6">
        <v>2.4300000000000002</v>
      </c>
      <c r="B43" s="4" t="s">
        <v>54</v>
      </c>
      <c r="C43">
        <v>6.4</v>
      </c>
    </row>
    <row r="44" spans="1:3" x14ac:dyDescent="0.25">
      <c r="A44" s="6">
        <v>2.44</v>
      </c>
      <c r="B44" s="4" t="s">
        <v>56</v>
      </c>
      <c r="C44">
        <v>50.5</v>
      </c>
    </row>
    <row r="45" spans="1:3" x14ac:dyDescent="0.25">
      <c r="A45" s="6">
        <v>2.4500000000000002</v>
      </c>
      <c r="B45" s="4" t="s">
        <v>57</v>
      </c>
      <c r="C45">
        <v>55.5</v>
      </c>
    </row>
    <row r="46" spans="1:3" x14ac:dyDescent="0.25">
      <c r="A46" s="6">
        <v>2.46</v>
      </c>
      <c r="B46" s="4" t="s">
        <v>55</v>
      </c>
      <c r="C46">
        <v>29</v>
      </c>
    </row>
    <row r="47" spans="1:3" ht="30" x14ac:dyDescent="0.25">
      <c r="A47" s="6">
        <v>2.4700000000000002</v>
      </c>
      <c r="B47" s="4" t="s">
        <v>77</v>
      </c>
      <c r="C47">
        <v>71</v>
      </c>
    </row>
    <row r="48" spans="1:3" x14ac:dyDescent="0.25">
      <c r="A48" s="6">
        <v>2.48</v>
      </c>
      <c r="B48" s="4" t="s">
        <v>78</v>
      </c>
      <c r="C48">
        <v>6.8</v>
      </c>
    </row>
    <row r="49" spans="1:3" x14ac:dyDescent="0.25">
      <c r="A49" s="6">
        <v>2.4900000000000002</v>
      </c>
      <c r="B49" s="4" t="s">
        <v>79</v>
      </c>
      <c r="C49">
        <v>72.3</v>
      </c>
    </row>
    <row r="50" spans="1:3" x14ac:dyDescent="0.25">
      <c r="A50" s="6">
        <v>2.5</v>
      </c>
      <c r="B50" s="4" t="s">
        <v>80</v>
      </c>
      <c r="C50">
        <v>6</v>
      </c>
    </row>
    <row r="51" spans="1:3" x14ac:dyDescent="0.25">
      <c r="A51" s="6">
        <v>2.5099999999999998</v>
      </c>
      <c r="B51" s="4" t="s">
        <v>23</v>
      </c>
      <c r="C51">
        <v>37.6</v>
      </c>
    </row>
    <row r="52" spans="1:3" x14ac:dyDescent="0.25">
      <c r="A52" s="6">
        <v>2.52</v>
      </c>
      <c r="B52" s="4" t="s">
        <v>20</v>
      </c>
      <c r="C52">
        <v>5.6</v>
      </c>
    </row>
    <row r="53" spans="1:3" x14ac:dyDescent="0.25">
      <c r="A53" s="6">
        <v>2.5299999999999998</v>
      </c>
      <c r="B53" s="4" t="s">
        <v>81</v>
      </c>
      <c r="C53">
        <v>6</v>
      </c>
    </row>
    <row r="54" spans="1:3" x14ac:dyDescent="0.25">
      <c r="A54" s="6">
        <v>2.54</v>
      </c>
      <c r="B54" s="4" t="s">
        <v>58</v>
      </c>
      <c r="C54">
        <v>31.3</v>
      </c>
    </row>
    <row r="55" spans="1:3" x14ac:dyDescent="0.25">
      <c r="A55" s="6">
        <v>2.5499999999999998</v>
      </c>
      <c r="B55" s="4" t="s">
        <v>76</v>
      </c>
      <c r="C55">
        <v>6.3</v>
      </c>
    </row>
    <row r="56" spans="1:3" x14ac:dyDescent="0.25">
      <c r="A56" s="6">
        <v>2.56</v>
      </c>
      <c r="B56" s="4" t="s">
        <v>23</v>
      </c>
      <c r="C56">
        <v>59.9</v>
      </c>
    </row>
    <row r="57" spans="1:3" x14ac:dyDescent="0.25">
      <c r="A57" s="6">
        <v>2.57</v>
      </c>
      <c r="B57" s="4" t="s">
        <v>59</v>
      </c>
      <c r="C57">
        <v>26.2</v>
      </c>
    </row>
    <row r="58" spans="1:3" x14ac:dyDescent="0.25">
      <c r="A58" s="6">
        <v>2.58</v>
      </c>
      <c r="B58" s="4" t="s">
        <v>74</v>
      </c>
      <c r="C58">
        <v>74.5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5"/>
  <sheetViews>
    <sheetView topLeftCell="A23" workbookViewId="0">
      <selection activeCell="L3" sqref="L3:P3"/>
    </sheetView>
  </sheetViews>
  <sheetFormatPr defaultRowHeight="15" x14ac:dyDescent="0.25"/>
  <cols>
    <col min="1" max="1" width="9.140625" style="9"/>
    <col min="2" max="2" width="44.5703125" style="4" customWidth="1"/>
    <col min="3" max="3" width="9.140625" style="5"/>
  </cols>
  <sheetData>
    <row r="1" spans="1:3" x14ac:dyDescent="0.25">
      <c r="A1" s="9">
        <v>3.01</v>
      </c>
      <c r="B1" s="4" t="s">
        <v>61</v>
      </c>
      <c r="C1" s="5">
        <v>61.9</v>
      </c>
    </row>
    <row r="2" spans="1:3" ht="45" x14ac:dyDescent="0.25">
      <c r="A2" s="9">
        <v>3.02</v>
      </c>
      <c r="B2" s="4" t="s">
        <v>83</v>
      </c>
      <c r="C2" s="5">
        <v>87.9</v>
      </c>
    </row>
    <row r="3" spans="1:3" x14ac:dyDescent="0.25">
      <c r="A3" s="9">
        <v>3.03</v>
      </c>
      <c r="B3" s="4" t="s">
        <v>84</v>
      </c>
      <c r="C3" s="5">
        <v>29.2</v>
      </c>
    </row>
    <row r="4" spans="1:3" x14ac:dyDescent="0.25">
      <c r="A4" s="9">
        <v>3.04</v>
      </c>
      <c r="B4" s="4" t="s">
        <v>61</v>
      </c>
      <c r="C4" s="5">
        <v>63.9</v>
      </c>
    </row>
    <row r="5" spans="1:3" x14ac:dyDescent="0.25">
      <c r="A5" s="9">
        <v>3.05</v>
      </c>
      <c r="B5" s="4" t="s">
        <v>61</v>
      </c>
      <c r="C5" s="5">
        <v>63</v>
      </c>
    </row>
    <row r="6" spans="1:3" x14ac:dyDescent="0.25">
      <c r="A6" s="9">
        <v>3.06</v>
      </c>
      <c r="B6" s="4" t="s">
        <v>61</v>
      </c>
      <c r="C6" s="5">
        <v>64.599999999999994</v>
      </c>
    </row>
    <row r="7" spans="1:3" x14ac:dyDescent="0.25">
      <c r="A7" s="9">
        <v>3.07</v>
      </c>
      <c r="B7" s="4" t="s">
        <v>61</v>
      </c>
      <c r="C7" s="5">
        <v>63</v>
      </c>
    </row>
    <row r="8" spans="1:3" x14ac:dyDescent="0.25">
      <c r="A8" s="9">
        <v>3.08</v>
      </c>
      <c r="B8" s="4" t="s">
        <v>61</v>
      </c>
      <c r="C8" s="5">
        <v>63.6</v>
      </c>
    </row>
    <row r="9" spans="1:3" x14ac:dyDescent="0.25">
      <c r="A9" s="9">
        <v>3.09</v>
      </c>
      <c r="B9" s="4" t="s">
        <v>6</v>
      </c>
      <c r="C9" s="5">
        <v>5.0999999999999996</v>
      </c>
    </row>
    <row r="10" spans="1:3" x14ac:dyDescent="0.25">
      <c r="A10" s="9">
        <v>3.1</v>
      </c>
      <c r="B10" s="4" t="s">
        <v>11</v>
      </c>
      <c r="C10" s="5">
        <v>14.5</v>
      </c>
    </row>
    <row r="11" spans="1:3" x14ac:dyDescent="0.25">
      <c r="A11" s="9">
        <v>3.11</v>
      </c>
      <c r="B11" s="4" t="s">
        <v>12</v>
      </c>
      <c r="C11" s="5">
        <v>14.4</v>
      </c>
    </row>
    <row r="12" spans="1:3" ht="60" x14ac:dyDescent="0.25">
      <c r="A12" s="9">
        <v>3.12</v>
      </c>
      <c r="B12" s="4" t="s">
        <v>90</v>
      </c>
      <c r="C12" s="5">
        <v>243.9</v>
      </c>
    </row>
    <row r="13" spans="1:3" x14ac:dyDescent="0.25">
      <c r="A13" s="9">
        <v>3.13</v>
      </c>
      <c r="B13" s="4" t="s">
        <v>85</v>
      </c>
      <c r="C13" s="5">
        <v>13</v>
      </c>
    </row>
    <row r="14" spans="1:3" x14ac:dyDescent="0.25">
      <c r="A14" s="9">
        <v>3.14</v>
      </c>
      <c r="B14" s="4" t="s">
        <v>19</v>
      </c>
      <c r="C14" s="5">
        <v>5.0999999999999996</v>
      </c>
    </row>
    <row r="15" spans="1:3" x14ac:dyDescent="0.25">
      <c r="A15" s="9">
        <v>3.15</v>
      </c>
      <c r="B15" s="4" t="s">
        <v>20</v>
      </c>
      <c r="C15" s="5">
        <v>11.5</v>
      </c>
    </row>
    <row r="16" spans="1:3" x14ac:dyDescent="0.25">
      <c r="A16" s="9">
        <v>3.16</v>
      </c>
      <c r="B16" s="4" t="s">
        <v>76</v>
      </c>
      <c r="C16" s="5">
        <v>6.5</v>
      </c>
    </row>
    <row r="17" spans="1:3" x14ac:dyDescent="0.25">
      <c r="A17" s="9">
        <v>3.17</v>
      </c>
      <c r="B17" s="4" t="s">
        <v>27</v>
      </c>
      <c r="C17" s="5">
        <v>25.2</v>
      </c>
    </row>
    <row r="18" spans="1:3" x14ac:dyDescent="0.25">
      <c r="A18" s="9">
        <v>3.18</v>
      </c>
      <c r="B18" s="4" t="s">
        <v>74</v>
      </c>
      <c r="C18" s="5">
        <v>113.4</v>
      </c>
    </row>
    <row r="19" spans="1:3" x14ac:dyDescent="0.25">
      <c r="A19" s="9">
        <v>3.19</v>
      </c>
      <c r="B19" s="4" t="s">
        <v>23</v>
      </c>
      <c r="C19" s="5">
        <v>105.9</v>
      </c>
    </row>
    <row r="20" spans="1:3" x14ac:dyDescent="0.25">
      <c r="A20" s="9">
        <v>3.2</v>
      </c>
      <c r="B20" s="4" t="s">
        <v>29</v>
      </c>
      <c r="C20" s="5">
        <v>25.2</v>
      </c>
    </row>
    <row r="21" spans="1:3" x14ac:dyDescent="0.25">
      <c r="A21" s="9">
        <v>3.21</v>
      </c>
      <c r="B21" s="4" t="s">
        <v>30</v>
      </c>
      <c r="C21" s="5">
        <v>28.7</v>
      </c>
    </row>
    <row r="22" spans="1:3" x14ac:dyDescent="0.25">
      <c r="A22" s="9">
        <v>3.22</v>
      </c>
      <c r="B22" s="4" t="s">
        <v>43</v>
      </c>
      <c r="C22" s="5">
        <v>8.3000000000000007</v>
      </c>
    </row>
    <row r="23" spans="1:3" x14ac:dyDescent="0.25">
      <c r="A23" s="9">
        <v>3.23</v>
      </c>
      <c r="B23" s="4" t="s">
        <v>53</v>
      </c>
      <c r="C23" s="5">
        <v>23.5</v>
      </c>
    </row>
    <row r="24" spans="1:3" x14ac:dyDescent="0.25">
      <c r="A24" s="9">
        <v>3.24</v>
      </c>
      <c r="B24" s="4" t="s">
        <v>54</v>
      </c>
      <c r="C24" s="5">
        <v>6.4</v>
      </c>
    </row>
    <row r="25" spans="1:3" x14ac:dyDescent="0.25">
      <c r="A25" s="9">
        <v>3.25</v>
      </c>
      <c r="B25" s="4" t="s">
        <v>56</v>
      </c>
      <c r="C25" s="5">
        <v>50.6</v>
      </c>
    </row>
    <row r="26" spans="1:3" x14ac:dyDescent="0.25">
      <c r="A26" s="9">
        <v>3.26</v>
      </c>
      <c r="B26" s="4" t="s">
        <v>57</v>
      </c>
      <c r="C26" s="5">
        <v>56</v>
      </c>
    </row>
    <row r="27" spans="1:3" x14ac:dyDescent="0.25">
      <c r="A27" s="9">
        <v>3.27</v>
      </c>
      <c r="B27" s="4" t="s">
        <v>55</v>
      </c>
      <c r="C27" s="5">
        <v>29</v>
      </c>
    </row>
    <row r="28" spans="1:3" x14ac:dyDescent="0.25">
      <c r="A28" s="9">
        <v>3.28</v>
      </c>
      <c r="B28" s="4" t="s">
        <v>53</v>
      </c>
      <c r="C28" s="5">
        <v>23.3</v>
      </c>
    </row>
    <row r="29" spans="1:3" x14ac:dyDescent="0.25">
      <c r="A29" s="9">
        <v>3.29</v>
      </c>
      <c r="B29" s="4" t="s">
        <v>56</v>
      </c>
      <c r="C29" s="5">
        <v>50.8</v>
      </c>
    </row>
    <row r="30" spans="1:3" x14ac:dyDescent="0.25">
      <c r="A30" s="9">
        <v>3.3</v>
      </c>
      <c r="B30" s="4" t="s">
        <v>57</v>
      </c>
      <c r="C30" s="5">
        <v>55.7</v>
      </c>
    </row>
    <row r="31" spans="1:3" x14ac:dyDescent="0.25">
      <c r="A31" s="9">
        <v>3.31</v>
      </c>
      <c r="B31" s="4" t="s">
        <v>54</v>
      </c>
      <c r="C31" s="5">
        <v>6.4</v>
      </c>
    </row>
    <row r="32" spans="1:3" x14ac:dyDescent="0.25">
      <c r="A32" s="9">
        <v>3.32</v>
      </c>
      <c r="B32" s="4" t="s">
        <v>55</v>
      </c>
      <c r="C32" s="5">
        <v>29</v>
      </c>
    </row>
    <row r="33" spans="1:3" ht="45" x14ac:dyDescent="0.25">
      <c r="A33" s="9">
        <v>3.33</v>
      </c>
      <c r="B33" s="4" t="s">
        <v>91</v>
      </c>
      <c r="C33" s="5">
        <v>74.599999999999994</v>
      </c>
    </row>
    <row r="34" spans="1:3" x14ac:dyDescent="0.25">
      <c r="A34" s="9">
        <v>3.34</v>
      </c>
      <c r="B34" s="4" t="s">
        <v>86</v>
      </c>
      <c r="C34" s="5">
        <v>6.6</v>
      </c>
    </row>
    <row r="35" spans="1:3" ht="45" x14ac:dyDescent="0.25">
      <c r="A35" s="9">
        <v>3.35</v>
      </c>
      <c r="B35" s="4" t="s">
        <v>87</v>
      </c>
      <c r="C35" s="5">
        <v>74.099999999999994</v>
      </c>
    </row>
    <row r="36" spans="1:3" ht="30" x14ac:dyDescent="0.25">
      <c r="A36" s="9">
        <v>3.36</v>
      </c>
      <c r="B36" s="4" t="s">
        <v>88</v>
      </c>
      <c r="C36" s="5">
        <v>5.8</v>
      </c>
    </row>
    <row r="37" spans="1:3" x14ac:dyDescent="0.25">
      <c r="A37" s="9">
        <v>3.37</v>
      </c>
      <c r="B37" s="4" t="s">
        <v>89</v>
      </c>
      <c r="C37" s="5">
        <v>5.9</v>
      </c>
    </row>
    <row r="38" spans="1:3" x14ac:dyDescent="0.25">
      <c r="A38" s="9">
        <v>3.38</v>
      </c>
      <c r="B38" s="4" t="s">
        <v>58</v>
      </c>
      <c r="C38" s="5">
        <v>30.9</v>
      </c>
    </row>
    <row r="39" spans="1:3" x14ac:dyDescent="0.25">
      <c r="A39" s="9">
        <v>3.39</v>
      </c>
      <c r="B39" s="4" t="s">
        <v>76</v>
      </c>
      <c r="C39" s="5">
        <v>6.3</v>
      </c>
    </row>
    <row r="40" spans="1:3" x14ac:dyDescent="0.25">
      <c r="A40" s="9">
        <v>3.4</v>
      </c>
      <c r="B40" s="4" t="s">
        <v>20</v>
      </c>
      <c r="C40" s="5">
        <v>6.1</v>
      </c>
    </row>
    <row r="41" spans="1:3" x14ac:dyDescent="0.25">
      <c r="A41" s="9">
        <v>3.41</v>
      </c>
      <c r="B41" s="4" t="s">
        <v>23</v>
      </c>
      <c r="C41" s="5">
        <v>36.4</v>
      </c>
    </row>
    <row r="42" spans="1:3" x14ac:dyDescent="0.25">
      <c r="A42" s="9">
        <v>3.42</v>
      </c>
      <c r="B42" s="4" t="s">
        <v>23</v>
      </c>
      <c r="C42" s="5">
        <v>59.7</v>
      </c>
    </row>
    <row r="43" spans="1:3" x14ac:dyDescent="0.25">
      <c r="A43" s="9">
        <v>3.43</v>
      </c>
      <c r="B43" s="4" t="s">
        <v>59</v>
      </c>
      <c r="C43" s="5">
        <v>26.2</v>
      </c>
    </row>
    <row r="44" spans="1:3" x14ac:dyDescent="0.25">
      <c r="A44" s="9">
        <v>3.44</v>
      </c>
      <c r="B44" s="4" t="s">
        <v>23</v>
      </c>
      <c r="C44" s="5">
        <v>21.4</v>
      </c>
    </row>
    <row r="45" spans="1:3" x14ac:dyDescent="0.25">
      <c r="A45" s="9">
        <v>3.45</v>
      </c>
      <c r="B45" s="4" t="s">
        <v>74</v>
      </c>
      <c r="C45" s="5">
        <v>82.7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0"/>
  <sheetViews>
    <sheetView workbookViewId="0">
      <selection activeCell="L3" sqref="L3:P3"/>
    </sheetView>
  </sheetViews>
  <sheetFormatPr defaultRowHeight="15" x14ac:dyDescent="0.25"/>
  <sheetData>
    <row r="1" spans="1:1" x14ac:dyDescent="0.25">
      <c r="A1" t="s">
        <v>100</v>
      </c>
    </row>
    <row r="2" spans="1:1" x14ac:dyDescent="0.25">
      <c r="A2" t="s">
        <v>101</v>
      </c>
    </row>
    <row r="3" spans="1:1" x14ac:dyDescent="0.25">
      <c r="A3">
        <v>1</v>
      </c>
    </row>
    <row r="4" spans="1:1" x14ac:dyDescent="0.25">
      <c r="A4">
        <v>2</v>
      </c>
    </row>
    <row r="5" spans="1:1" x14ac:dyDescent="0.25">
      <c r="A5">
        <v>3</v>
      </c>
    </row>
    <row r="7" spans="1:1" x14ac:dyDescent="0.25">
      <c r="A7" t="s">
        <v>102</v>
      </c>
    </row>
    <row r="8" spans="1:1" x14ac:dyDescent="0.25">
      <c r="A8">
        <v>1</v>
      </c>
    </row>
    <row r="9" spans="1:1" x14ac:dyDescent="0.25">
      <c r="A9">
        <v>2</v>
      </c>
    </row>
    <row r="10" spans="1:1" x14ac:dyDescent="0.25">
      <c r="A10">
        <v>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34"/>
  <sheetViews>
    <sheetView zoomScale="85" zoomScaleNormal="85" workbookViewId="0">
      <selection activeCell="L3" sqref="L3:P3"/>
    </sheetView>
  </sheetViews>
  <sheetFormatPr defaultRowHeight="15" x14ac:dyDescent="0.25"/>
  <cols>
    <col min="1" max="1" width="12.7109375" customWidth="1"/>
    <col min="3" max="3" width="14" customWidth="1"/>
    <col min="4" max="4" width="14.140625" customWidth="1"/>
    <col min="7" max="7" width="8.140625" customWidth="1"/>
    <col min="8" max="8" width="7.42578125" customWidth="1"/>
    <col min="10" max="10" width="10.5703125" customWidth="1"/>
  </cols>
  <sheetData>
    <row r="1" spans="1:16" ht="45" x14ac:dyDescent="0.25">
      <c r="A1" t="s">
        <v>103</v>
      </c>
      <c r="B1" t="s">
        <v>104</v>
      </c>
      <c r="C1" t="s">
        <v>105</v>
      </c>
      <c r="D1" t="s">
        <v>107</v>
      </c>
      <c r="E1" t="s">
        <v>106</v>
      </c>
      <c r="G1" s="25" t="s">
        <v>111</v>
      </c>
      <c r="H1" s="25" t="s">
        <v>112</v>
      </c>
      <c r="I1" s="25" t="s">
        <v>110</v>
      </c>
      <c r="J1" s="25" t="s">
        <v>113</v>
      </c>
      <c r="L1" s="25" t="str">
        <f>G1</f>
        <v>0) Стена 3.93м</v>
      </c>
      <c r="M1" s="25" t="str">
        <f>H1</f>
        <v>1) Окна 2.25м-</v>
      </c>
      <c r="N1" s="25" t="str">
        <f>I1</f>
        <v>0) Дверь 2.1м-</v>
      </c>
      <c r="O1" s="25" t="str">
        <f>J1</f>
        <v>0) дверьки 1.8м-</v>
      </c>
      <c r="P1" s="25" t="s">
        <v>114</v>
      </c>
    </row>
    <row r="2" spans="1:16" x14ac:dyDescent="0.25">
      <c r="A2">
        <v>1</v>
      </c>
      <c r="B2" t="s">
        <v>108</v>
      </c>
      <c r="C2" t="s">
        <v>109</v>
      </c>
      <c r="D2">
        <v>1555</v>
      </c>
      <c r="E2" t="s">
        <v>110</v>
      </c>
      <c r="G2" t="str">
        <f>IF($E2=G$1,$D2*L$2/1000*$A2, "")</f>
        <v/>
      </c>
      <c r="H2" t="str">
        <f>IF($E2=H$1,$D2*M$2/1000*$A2, "")</f>
        <v/>
      </c>
      <c r="I2">
        <f>IF($E2=I$1,$D2*N$2/1000*$A2, "")</f>
        <v>3.2654999999999998</v>
      </c>
      <c r="J2" t="str">
        <f>IF($E2=J$1,$D2*O$2/1000*$A2, "")</f>
        <v/>
      </c>
      <c r="L2" s="25">
        <v>3.93</v>
      </c>
      <c r="M2" s="25">
        <v>2.25</v>
      </c>
      <c r="N2" s="25">
        <v>2.1</v>
      </c>
      <c r="O2" s="25">
        <v>1.8</v>
      </c>
      <c r="P2" s="25"/>
    </row>
    <row r="3" spans="1:16" x14ac:dyDescent="0.25">
      <c r="A3">
        <v>1</v>
      </c>
      <c r="B3" t="s">
        <v>108</v>
      </c>
      <c r="C3" t="s">
        <v>109</v>
      </c>
      <c r="D3">
        <v>1450</v>
      </c>
      <c r="E3" t="s">
        <v>110</v>
      </c>
      <c r="G3" t="str">
        <f>IF($E3=G$1,$D3*L$2/1000*$A3, "")</f>
        <v/>
      </c>
      <c r="H3" t="str">
        <f>IF($E3=H$1,$D3*M$2/1000*$A3, "")</f>
        <v/>
      </c>
      <c r="I3">
        <f>IF($E3=I$1,$D3*N$2/1000*$A3, "")</f>
        <v>3.0449999999999999</v>
      </c>
      <c r="J3" t="str">
        <f>IF($E3=J$1,$D3*O$2/1000*$A3, "")</f>
        <v/>
      </c>
      <c r="L3" s="26">
        <f>SUM(G2:G50)</f>
        <v>190.91155965000002</v>
      </c>
      <c r="M3" s="26">
        <f>SUM(H2:H50)</f>
        <v>0</v>
      </c>
      <c r="N3" s="26">
        <f>SUM(I2:I50)</f>
        <v>20.275500000000001</v>
      </c>
      <c r="O3" s="26">
        <f>SUM(J2:J50)</f>
        <v>0</v>
      </c>
      <c r="P3" s="26">
        <f>ROUND(L3-M3-N3-O3, 2)</f>
        <v>170.64</v>
      </c>
    </row>
    <row r="4" spans="1:16" x14ac:dyDescent="0.25">
      <c r="A4">
        <v>1</v>
      </c>
      <c r="B4" t="s">
        <v>108</v>
      </c>
      <c r="C4" t="s">
        <v>109</v>
      </c>
      <c r="D4">
        <v>48578.004999999997</v>
      </c>
      <c r="E4" t="s">
        <v>111</v>
      </c>
      <c r="G4">
        <f>IF($E4=G$1,$D4*L$2/1000*$A4, "")</f>
        <v>190.91155965000002</v>
      </c>
      <c r="H4" t="str">
        <f>IF($E4=H$1,$D4*M$2/1000*$A4, "")</f>
        <v/>
      </c>
      <c r="I4" t="str">
        <f>IF($E4=I$1,$D4*N$2/1000*$A4, "")</f>
        <v/>
      </c>
      <c r="J4" t="str">
        <f>IF($E4=J$1,$D4*O$2/1000*$A4, "")</f>
        <v/>
      </c>
    </row>
    <row r="5" spans="1:16" x14ac:dyDescent="0.25">
      <c r="A5">
        <v>1</v>
      </c>
      <c r="B5" t="s">
        <v>108</v>
      </c>
      <c r="C5" t="s">
        <v>109</v>
      </c>
      <c r="D5">
        <v>1400</v>
      </c>
      <c r="E5" t="s">
        <v>110</v>
      </c>
      <c r="G5" t="str">
        <f>IF($E5=G$1,$D5*L$2/1000*$A5, "")</f>
        <v/>
      </c>
      <c r="H5" t="str">
        <f>IF($E5=H$1,$D5*M$2/1000*$A5, "")</f>
        <v/>
      </c>
      <c r="I5">
        <f>IF($E5=I$1,$D5*N$2/1000*$A5, "")</f>
        <v>2.94</v>
      </c>
      <c r="J5" t="str">
        <f>IF($E5=J$1,$D5*O$2/1000*$A5, "")</f>
        <v/>
      </c>
    </row>
    <row r="6" spans="1:16" x14ac:dyDescent="0.25">
      <c r="A6">
        <v>1</v>
      </c>
      <c r="B6" t="s">
        <v>108</v>
      </c>
      <c r="C6" t="s">
        <v>109</v>
      </c>
      <c r="D6">
        <v>1450</v>
      </c>
      <c r="E6" t="s">
        <v>110</v>
      </c>
      <c r="G6" t="str">
        <f>IF($E6=G$1,$D6*L$2/1000*$A6, "")</f>
        <v/>
      </c>
      <c r="H6" t="str">
        <f>IF($E6=H$1,$D6*M$2/1000*$A6, "")</f>
        <v/>
      </c>
      <c r="I6">
        <f>IF($E6=I$1,$D6*N$2/1000*$A6, "")</f>
        <v>3.0449999999999999</v>
      </c>
      <c r="J6" t="str">
        <f>IF($E6=J$1,$D6*O$2/1000*$A6, "")</f>
        <v/>
      </c>
    </row>
    <row r="7" spans="1:16" x14ac:dyDescent="0.25">
      <c r="A7">
        <v>1</v>
      </c>
      <c r="B7" t="s">
        <v>108</v>
      </c>
      <c r="C7" t="s">
        <v>109</v>
      </c>
      <c r="D7">
        <v>1450</v>
      </c>
      <c r="E7" t="s">
        <v>110</v>
      </c>
      <c r="G7" t="str">
        <f>IF($E7=G$1,$D7*L$2/1000*$A7, "")</f>
        <v/>
      </c>
      <c r="H7" t="str">
        <f>IF($E7=H$1,$D7*M$2/1000*$A7, "")</f>
        <v/>
      </c>
      <c r="I7">
        <f>IF($E7=I$1,$D7*N$2/1000*$A7, "")</f>
        <v>3.0449999999999999</v>
      </c>
      <c r="J7" t="str">
        <f>IF($E7=J$1,$D7*O$2/1000*$A7, "")</f>
        <v/>
      </c>
    </row>
    <row r="8" spans="1:16" x14ac:dyDescent="0.25">
      <c r="A8">
        <v>1</v>
      </c>
      <c r="B8" t="s">
        <v>108</v>
      </c>
      <c r="C8" t="s">
        <v>109</v>
      </c>
      <c r="D8">
        <v>1400</v>
      </c>
      <c r="E8" t="s">
        <v>110</v>
      </c>
      <c r="G8" t="str">
        <f>IF($E8=G$1,$D8*L$2/1000*$A8, "")</f>
        <v/>
      </c>
      <c r="H8" t="str">
        <f>IF($E8=H$1,$D8*M$2/1000*$A8, "")</f>
        <v/>
      </c>
      <c r="I8">
        <f>IF($E8=I$1,$D8*N$2/1000*$A8, "")</f>
        <v>2.94</v>
      </c>
      <c r="J8" t="str">
        <f>IF($E8=J$1,$D8*O$2/1000*$A8, "")</f>
        <v/>
      </c>
    </row>
    <row r="9" spans="1:16" x14ac:dyDescent="0.25">
      <c r="A9">
        <v>1</v>
      </c>
      <c r="B9" t="s">
        <v>108</v>
      </c>
      <c r="C9" t="s">
        <v>109</v>
      </c>
      <c r="D9">
        <v>950</v>
      </c>
      <c r="E9" t="s">
        <v>110</v>
      </c>
      <c r="G9" t="str">
        <f>IF($E9=G$1,$D9*L$2/1000*$A9, "")</f>
        <v/>
      </c>
      <c r="H9" t="str">
        <f>IF($E9=H$1,$D9*M$2/1000*$A9, "")</f>
        <v/>
      </c>
      <c r="I9">
        <f>IF($E9=I$1,$D9*N$2/1000*$A9, "")</f>
        <v>1.9950000000000001</v>
      </c>
      <c r="J9" t="str">
        <f>IF($E9=J$1,$D9*O$2/1000*$A9, "")</f>
        <v/>
      </c>
    </row>
    <row r="10" spans="1:16" x14ac:dyDescent="0.25">
      <c r="A10">
        <v>1</v>
      </c>
      <c r="B10" t="s">
        <v>108</v>
      </c>
      <c r="C10" t="s">
        <v>109</v>
      </c>
      <c r="E10" t="s">
        <v>113</v>
      </c>
      <c r="G10" t="str">
        <f>IF($E10=G$1,$D10*L$2/1000*$A10, "")</f>
        <v/>
      </c>
      <c r="H10" t="str">
        <f>IF($E10=H$1,$D10*M$2/1000*$A10, "")</f>
        <v/>
      </c>
      <c r="I10" t="str">
        <f>IF($E10=I$1,$D10*N$2/1000*$A10, "")</f>
        <v/>
      </c>
      <c r="J10">
        <f>IF($E10=J$1,$D10*O$2/1000*$A10, "")</f>
        <v>0</v>
      </c>
    </row>
    <row r="11" spans="1:16" x14ac:dyDescent="0.25">
      <c r="A11">
        <v>1</v>
      </c>
      <c r="B11" t="s">
        <v>108</v>
      </c>
      <c r="C11" t="s">
        <v>109</v>
      </c>
      <c r="E11" t="s">
        <v>113</v>
      </c>
      <c r="G11" t="str">
        <f>IF($E11=G$1,$D11*L$2/1000*$A11, "")</f>
        <v/>
      </c>
      <c r="H11" t="str">
        <f>IF($E11=H$1,$D11*M$2/1000*$A11, "")</f>
        <v/>
      </c>
      <c r="I11" t="str">
        <f>IF($E11=I$1,$D11*N$2/1000*$A11, "")</f>
        <v/>
      </c>
      <c r="J11">
        <f>IF($E11=J$1,$D11*O$2/1000*$A11, "")</f>
        <v>0</v>
      </c>
    </row>
    <row r="12" spans="1:16" x14ac:dyDescent="0.25">
      <c r="A12">
        <v>1</v>
      </c>
      <c r="B12" t="s">
        <v>108</v>
      </c>
      <c r="C12" t="s">
        <v>109</v>
      </c>
      <c r="E12" t="s">
        <v>110</v>
      </c>
      <c r="G12" t="str">
        <f>IF($E12=G$1,$D12*L$2/1000*$A12, "")</f>
        <v/>
      </c>
      <c r="H12" t="str">
        <f>IF($E12=H$1,$D12*M$2/1000*$A12, "")</f>
        <v/>
      </c>
      <c r="I12">
        <f>IF($E12=I$1,$D12*N$2/1000*$A12, "")</f>
        <v>0</v>
      </c>
      <c r="J12" t="str">
        <f>IF($E12=J$1,$D12*O$2/1000*$A12, "")</f>
        <v/>
      </c>
    </row>
    <row r="13" spans="1:16" x14ac:dyDescent="0.25">
      <c r="A13">
        <v>1</v>
      </c>
      <c r="B13" t="s">
        <v>108</v>
      </c>
      <c r="C13" t="s">
        <v>109</v>
      </c>
      <c r="E13" t="s">
        <v>110</v>
      </c>
      <c r="G13" t="str">
        <f>IF($E13=G$1,$D13*L$2/1000*$A13, "")</f>
        <v/>
      </c>
      <c r="H13" t="str">
        <f>IF($E13=H$1,$D13*M$2/1000*$A13, "")</f>
        <v/>
      </c>
      <c r="I13">
        <f>IF($E13=I$1,$D13*N$2/1000*$A13, "")</f>
        <v>0</v>
      </c>
      <c r="J13" t="str">
        <f>IF($E13=J$1,$D13*O$2/1000*$A13, "")</f>
        <v/>
      </c>
    </row>
    <row r="14" spans="1:16" x14ac:dyDescent="0.25">
      <c r="A14">
        <v>1</v>
      </c>
      <c r="B14" t="s">
        <v>108</v>
      </c>
      <c r="C14" t="s">
        <v>109</v>
      </c>
      <c r="E14" t="s">
        <v>113</v>
      </c>
      <c r="G14" t="str">
        <f>IF($E14=G$1,$D14*L$2/1000*$A14, "")</f>
        <v/>
      </c>
      <c r="H14" t="str">
        <f>IF($E14=H$1,$D14*M$2/1000*$A14, "")</f>
        <v/>
      </c>
      <c r="I14" t="str">
        <f>IF($E14=I$1,$D14*N$2/1000*$A14, "")</f>
        <v/>
      </c>
      <c r="J14">
        <f>IF($E14=J$1,$D14*O$2/1000*$A14, "")</f>
        <v>0</v>
      </c>
    </row>
    <row r="15" spans="1:16" x14ac:dyDescent="0.25">
      <c r="A15">
        <v>1</v>
      </c>
      <c r="B15" t="s">
        <v>108</v>
      </c>
      <c r="C15" t="s">
        <v>109</v>
      </c>
      <c r="E15" t="s">
        <v>110</v>
      </c>
      <c r="G15" t="str">
        <f>IF($E15=G$1,$D15*L$2/1000*$A15, "")</f>
        <v/>
      </c>
      <c r="H15" t="str">
        <f>IF($E15=H$1,$D15*M$2/1000*$A15, "")</f>
        <v/>
      </c>
      <c r="I15">
        <f>IF($E15=I$1,$D15*N$2/1000*$A15, "")</f>
        <v>0</v>
      </c>
      <c r="J15" t="str">
        <f>IF($E15=J$1,$D15*O$2/1000*$A15, "")</f>
        <v/>
      </c>
    </row>
    <row r="16" spans="1:16" x14ac:dyDescent="0.25">
      <c r="A16">
        <v>1</v>
      </c>
      <c r="B16" t="s">
        <v>108</v>
      </c>
      <c r="C16" t="s">
        <v>109</v>
      </c>
      <c r="E16" t="s">
        <v>113</v>
      </c>
      <c r="G16" t="str">
        <f>IF($E16=G$1,$D16*L$2/1000*$A16, "")</f>
        <v/>
      </c>
      <c r="H16" t="str">
        <f>IF($E16=H$1,$D16*M$2/1000*$A16, "")</f>
        <v/>
      </c>
      <c r="I16" t="str">
        <f>IF($E16=I$1,$D16*N$2/1000*$A16, "")</f>
        <v/>
      </c>
      <c r="J16">
        <f>IF($E16=J$1,$D16*O$2/1000*$A16, "")</f>
        <v>0</v>
      </c>
    </row>
    <row r="17" spans="1:10" x14ac:dyDescent="0.25">
      <c r="A17">
        <v>1</v>
      </c>
      <c r="B17" t="s">
        <v>108</v>
      </c>
      <c r="C17" t="s">
        <v>109</v>
      </c>
      <c r="E17" t="s">
        <v>113</v>
      </c>
      <c r="G17" t="str">
        <f>IF($E17=G$1,$D17*L$2/1000*$A17, "")</f>
        <v/>
      </c>
      <c r="H17" t="str">
        <f>IF($E17=H$1,$D17*M$2/1000*$A17, "")</f>
        <v/>
      </c>
      <c r="I17" t="str">
        <f>IF($E17=I$1,$D17*N$2/1000*$A17, "")</f>
        <v/>
      </c>
      <c r="J17">
        <f>IF($E17=J$1,$D17*O$2/1000*$A17, "")</f>
        <v>0</v>
      </c>
    </row>
    <row r="18" spans="1:10" x14ac:dyDescent="0.25">
      <c r="A18">
        <v>1</v>
      </c>
      <c r="B18" t="s">
        <v>108</v>
      </c>
      <c r="C18" t="s">
        <v>109</v>
      </c>
      <c r="E18" t="s">
        <v>110</v>
      </c>
      <c r="G18" t="str">
        <f>IF($E18=G$1,$D18*L$2/1000*$A18, "")</f>
        <v/>
      </c>
      <c r="H18" t="str">
        <f>IF($E18=H$1,$D18*M$2/1000*$A18, "")</f>
        <v/>
      </c>
      <c r="I18">
        <f>IF($E18=I$1,$D18*N$2/1000*$A18, "")</f>
        <v>0</v>
      </c>
      <c r="J18" t="str">
        <f>IF($E18=J$1,$D18*O$2/1000*$A18, "")</f>
        <v/>
      </c>
    </row>
    <row r="19" spans="1:10" x14ac:dyDescent="0.25">
      <c r="A19">
        <v>1</v>
      </c>
      <c r="B19" t="s">
        <v>108</v>
      </c>
      <c r="C19" t="s">
        <v>109</v>
      </c>
      <c r="E19" t="s">
        <v>110</v>
      </c>
      <c r="G19" t="str">
        <f>IF($E19=G$1,$D19*L$2/1000*$A19, "")</f>
        <v/>
      </c>
      <c r="H19" t="str">
        <f>IF($E19=H$1,$D19*M$2/1000*$A19, "")</f>
        <v/>
      </c>
      <c r="I19">
        <f>IF($E19=I$1,$D19*N$2/1000*$A19, "")</f>
        <v>0</v>
      </c>
      <c r="J19" t="str">
        <f>IF($E19=J$1,$D19*O$2/1000*$A19, "")</f>
        <v/>
      </c>
    </row>
    <row r="20" spans="1:10" x14ac:dyDescent="0.25">
      <c r="A20">
        <v>1</v>
      </c>
      <c r="B20" t="s">
        <v>108</v>
      </c>
      <c r="C20" t="s">
        <v>109</v>
      </c>
      <c r="E20" t="s">
        <v>110</v>
      </c>
      <c r="G20" t="str">
        <f>IF($E20=G$1,$D20*L$2/1000*$A20, "")</f>
        <v/>
      </c>
      <c r="H20" t="str">
        <f>IF($E20=H$1,$D20*M$2/1000*$A20, "")</f>
        <v/>
      </c>
      <c r="I20">
        <f>IF($E20=I$1,$D20*N$2/1000*$A20, "")</f>
        <v>0</v>
      </c>
      <c r="J20" t="str">
        <f>IF($E20=J$1,$D20*O$2/1000*$A20, "")</f>
        <v/>
      </c>
    </row>
    <row r="21" spans="1:10" x14ac:dyDescent="0.25">
      <c r="A21">
        <v>1</v>
      </c>
      <c r="B21" t="s">
        <v>108</v>
      </c>
      <c r="C21" t="s">
        <v>109</v>
      </c>
      <c r="E21" t="s">
        <v>110</v>
      </c>
      <c r="G21" t="str">
        <f>IF($E21=G$1,$D21*L$2/1000*$A21, "")</f>
        <v/>
      </c>
      <c r="H21" t="str">
        <f>IF($E21=H$1,$D21*M$2/1000*$A21, "")</f>
        <v/>
      </c>
      <c r="I21">
        <f>IF($E21=I$1,$D21*N$2/1000*$A21, "")</f>
        <v>0</v>
      </c>
      <c r="J21" t="str">
        <f>IF($E21=J$1,$D21*O$2/1000*$A21, "")</f>
        <v/>
      </c>
    </row>
    <row r="22" spans="1:10" x14ac:dyDescent="0.25">
      <c r="A22">
        <v>1</v>
      </c>
      <c r="B22" t="s">
        <v>108</v>
      </c>
      <c r="C22" t="s">
        <v>109</v>
      </c>
      <c r="E22" t="s">
        <v>110</v>
      </c>
      <c r="G22" t="str">
        <f>IF($E22=G$1,$D22*L$2/1000*$A22, "")</f>
        <v/>
      </c>
      <c r="H22" t="str">
        <f>IF($E22=H$1,$D22*M$2/1000*$A22, "")</f>
        <v/>
      </c>
      <c r="I22">
        <f>IF($E22=I$1,$D22*N$2/1000*$A22, "")</f>
        <v>0</v>
      </c>
      <c r="J22" t="str">
        <f>IF($E22=J$1,$D22*O$2/1000*$A22, "")</f>
        <v/>
      </c>
    </row>
    <row r="23" spans="1:10" x14ac:dyDescent="0.25">
      <c r="G23" t="str">
        <f>IF($E23=G$1,$D23*L$2/1000*$A23, "")</f>
        <v/>
      </c>
      <c r="H23" t="str">
        <f>IF($E23=H$1,$D23*M$2/1000*$A23, "")</f>
        <v/>
      </c>
      <c r="I23" t="str">
        <f>IF($E23=I$1,$D23*N$2/1000*$A23, "")</f>
        <v/>
      </c>
      <c r="J23" t="str">
        <f>IF($E23=J$1,$D23*O$2/1000*$A23, "")</f>
        <v/>
      </c>
    </row>
    <row r="24" spans="1:10" x14ac:dyDescent="0.25">
      <c r="G24" t="str">
        <f>IF($E24=G$1,$D24*L$2/1000*$A24, "")</f>
        <v/>
      </c>
      <c r="H24" t="str">
        <f>IF($E24=H$1,$D24*M$2/1000*$A24, "")</f>
        <v/>
      </c>
      <c r="I24" t="str">
        <f>IF($E24=I$1,$D24*N$2/1000*$A24, "")</f>
        <v/>
      </c>
      <c r="J24" t="str">
        <f>IF($E24=J$1,$D24*O$2/1000*$A24, "")</f>
        <v/>
      </c>
    </row>
    <row r="25" spans="1:10" x14ac:dyDescent="0.25">
      <c r="G25" t="str">
        <f>IF($E25=G$1,$D25*L$2/1000*$A25, "")</f>
        <v/>
      </c>
      <c r="H25" t="str">
        <f>IF($E25=H$1,$D25*M$2/1000*$A25, "")</f>
        <v/>
      </c>
      <c r="I25" t="str">
        <f>IF($E25=I$1,$D25*N$2/1000*$A25, "")</f>
        <v/>
      </c>
      <c r="J25" t="str">
        <f>IF($E25=J$1,$D25*O$2/1000*$A25, "")</f>
        <v/>
      </c>
    </row>
    <row r="26" spans="1:10" x14ac:dyDescent="0.25">
      <c r="G26" t="str">
        <f>IF($E26=G$1,$D26*L$2/1000*$A26, "")</f>
        <v/>
      </c>
      <c r="H26" t="str">
        <f>IF($E26=H$1,$D26*M$2/1000*$A26, "")</f>
        <v/>
      </c>
      <c r="I26" t="str">
        <f>IF($E26=I$1,$D26*N$2/1000*$A26, "")</f>
        <v/>
      </c>
      <c r="J26" t="str">
        <f>IF($E26=J$1,$D26*O$2/1000*$A26, "")</f>
        <v/>
      </c>
    </row>
    <row r="27" spans="1:10" x14ac:dyDescent="0.25">
      <c r="G27" t="str">
        <f>IF($E27=G$1,$D27*L$2/1000*$A27, "")</f>
        <v/>
      </c>
      <c r="H27" t="str">
        <f>IF($E27=H$1,$D27*M$2/1000*$A27, "")</f>
        <v/>
      </c>
      <c r="I27" t="str">
        <f>IF($E27=I$1,$D27*N$2/1000*$A27, "")</f>
        <v/>
      </c>
      <c r="J27" t="str">
        <f>IF($E27=J$1,$D27*O$2/1000*$A27, "")</f>
        <v/>
      </c>
    </row>
    <row r="28" spans="1:10" x14ac:dyDescent="0.25">
      <c r="G28" t="str">
        <f>IF($E28=G$1,$D28*L$2/1000*$A28, "")</f>
        <v/>
      </c>
      <c r="H28" t="str">
        <f>IF($E28=H$1,$D28*M$2/1000*$A28, "")</f>
        <v/>
      </c>
      <c r="I28" t="str">
        <f>IF($E28=I$1,$D28*N$2/1000*$A28, "")</f>
        <v/>
      </c>
      <c r="J28" t="str">
        <f>IF($E28=J$1,$D28*O$2/1000*$A28, "")</f>
        <v/>
      </c>
    </row>
    <row r="29" spans="1:10" x14ac:dyDescent="0.25">
      <c r="G29" t="str">
        <f>IF($E29=G$1,$D29*L$2/1000*$A29, "")</f>
        <v/>
      </c>
      <c r="H29" t="str">
        <f>IF($E29=H$1,$D29*M$2/1000*$A29, "")</f>
        <v/>
      </c>
      <c r="I29" t="str">
        <f>IF($E29=I$1,$D29*N$2/1000*$A29, "")</f>
        <v/>
      </c>
      <c r="J29" t="str">
        <f>IF($E29=J$1,$D29*O$2/1000*$A29, "")</f>
        <v/>
      </c>
    </row>
    <row r="30" spans="1:10" x14ac:dyDescent="0.25">
      <c r="G30" t="str">
        <f>IF($E30=G$1,$D30*L$2/1000*$A30, "")</f>
        <v/>
      </c>
      <c r="H30" t="str">
        <f>IF($E30=H$1,$D30*M$2/1000*$A30, "")</f>
        <v/>
      </c>
      <c r="I30" t="str">
        <f>IF($E30=I$1,$D30*N$2/1000*$A30, "")</f>
        <v/>
      </c>
      <c r="J30" t="str">
        <f>IF($E30=J$1,$D30*O$2/1000*$A30, "")</f>
        <v/>
      </c>
    </row>
    <row r="31" spans="1:10" x14ac:dyDescent="0.25">
      <c r="G31" t="str">
        <f>IF($E31=G$1,$D31*L$2/1000*$A31, "")</f>
        <v/>
      </c>
      <c r="H31" t="str">
        <f>IF($E31=H$1,$D31*M$2/1000*$A31, "")</f>
        <v/>
      </c>
      <c r="I31" t="str">
        <f>IF($E31=I$1,$D31*N$2/1000*$A31, "")</f>
        <v/>
      </c>
      <c r="J31" t="str">
        <f>IF($E31=J$1,$D31*O$2/1000*$A31, "")</f>
        <v/>
      </c>
    </row>
    <row r="32" spans="1:10" x14ac:dyDescent="0.25">
      <c r="G32" t="str">
        <f>IF($E32=G$1,$D32*L$2/1000*$A32, "")</f>
        <v/>
      </c>
      <c r="H32" t="str">
        <f>IF($E32=H$1,$D32*M$2/1000*$A32, "")</f>
        <v/>
      </c>
      <c r="I32" t="str">
        <f>IF($E32=I$1,$D32*N$2/1000*$A32, "")</f>
        <v/>
      </c>
      <c r="J32" t="str">
        <f>IF($E32=J$1,$D32*O$2/1000*$A32, "")</f>
        <v/>
      </c>
    </row>
    <row r="33" spans="7:10" x14ac:dyDescent="0.25">
      <c r="G33" t="str">
        <f>IF($E33=G$1,$D33*L$2/1000*$A33, "")</f>
        <v/>
      </c>
      <c r="H33" t="str">
        <f>IF($E33=H$1,$D33*M$2/1000*$A33, "")</f>
        <v/>
      </c>
      <c r="I33" t="str">
        <f>IF($E33=I$1,$D33*N$2/1000*$A33, "")</f>
        <v/>
      </c>
      <c r="J33" t="str">
        <f>IF($E33=J$1,$D33*O$2/1000*$A33, "")</f>
        <v/>
      </c>
    </row>
    <row r="34" spans="7:10" x14ac:dyDescent="0.25">
      <c r="G34" t="str">
        <f>IF($E34=G$1,$D34*L$2/1000*$A34, "")</f>
        <v/>
      </c>
      <c r="H34" t="str">
        <f>IF($E34=H$1,$D34*M$2/1000*$A34, "")</f>
        <v/>
      </c>
      <c r="I34" t="str">
        <f>IF($E34=I$1,$D34*N$2/1000*$A34, "")</f>
        <v/>
      </c>
      <c r="J34" t="str">
        <f>IF($E34=J$1,$D34*O$2/1000*$A34, "")</f>
        <v/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C66"/>
  <sheetViews>
    <sheetView workbookViewId="0">
      <selection activeCell="B26" sqref="B26"/>
    </sheetView>
  </sheetViews>
  <sheetFormatPr defaultRowHeight="12.75" x14ac:dyDescent="0.2"/>
  <cols>
    <col min="1" max="1" width="9.140625" style="12"/>
    <col min="2" max="2" width="37.28515625" style="13" customWidth="1"/>
    <col min="3" max="3" width="9.140625" style="12"/>
    <col min="4" max="16384" width="9.140625" style="10"/>
  </cols>
  <sheetData>
    <row r="1" spans="1:3" x14ac:dyDescent="0.2">
      <c r="A1" s="19">
        <v>1.59</v>
      </c>
      <c r="B1" s="20" t="s">
        <v>2</v>
      </c>
      <c r="C1" s="21">
        <v>15.4</v>
      </c>
    </row>
    <row r="2" spans="1:3" x14ac:dyDescent="0.2">
      <c r="A2" s="19">
        <v>1.6</v>
      </c>
      <c r="B2" s="20" t="s">
        <v>50</v>
      </c>
      <c r="C2" s="21">
        <v>87.9</v>
      </c>
    </row>
    <row r="3" spans="1:3" x14ac:dyDescent="0.2">
      <c r="A3" s="19">
        <v>1.61</v>
      </c>
      <c r="B3" s="20" t="s">
        <v>51</v>
      </c>
      <c r="C3" s="21">
        <v>15.6</v>
      </c>
    </row>
    <row r="4" spans="1:3" x14ac:dyDescent="0.2">
      <c r="A4" s="19">
        <v>1.62</v>
      </c>
      <c r="B4" s="20" t="s">
        <v>52</v>
      </c>
      <c r="C4" s="21">
        <v>5.9</v>
      </c>
    </row>
    <row r="5" spans="1:3" x14ac:dyDescent="0.2">
      <c r="A5" s="19">
        <v>1.63</v>
      </c>
      <c r="B5" s="20" t="s">
        <v>2</v>
      </c>
      <c r="C5" s="21">
        <v>11.3</v>
      </c>
    </row>
    <row r="6" spans="1:3" x14ac:dyDescent="0.2">
      <c r="A6" s="19">
        <v>1.64</v>
      </c>
      <c r="B6" s="20" t="s">
        <v>53</v>
      </c>
      <c r="C6" s="21">
        <v>23.5</v>
      </c>
    </row>
    <row r="7" spans="1:3" x14ac:dyDescent="0.2">
      <c r="A7" s="19">
        <v>1.65</v>
      </c>
      <c r="B7" s="20" t="s">
        <v>54</v>
      </c>
      <c r="C7" s="21">
        <v>6.4</v>
      </c>
    </row>
    <row r="8" spans="1:3" x14ac:dyDescent="0.2">
      <c r="A8" s="19">
        <v>1.66</v>
      </c>
      <c r="B8" s="20" t="s">
        <v>55</v>
      </c>
      <c r="C8" s="21">
        <v>29</v>
      </c>
    </row>
    <row r="9" spans="1:3" x14ac:dyDescent="0.2">
      <c r="A9" s="19">
        <v>1.67</v>
      </c>
      <c r="B9" s="22" t="s">
        <v>56</v>
      </c>
      <c r="C9" s="21">
        <v>50</v>
      </c>
    </row>
    <row r="10" spans="1:3" x14ac:dyDescent="0.2">
      <c r="A10" s="19">
        <v>1.68</v>
      </c>
      <c r="B10" s="22" t="s">
        <v>57</v>
      </c>
      <c r="C10" s="21">
        <v>55.7</v>
      </c>
    </row>
    <row r="11" spans="1:3" x14ac:dyDescent="0.2">
      <c r="A11" s="19">
        <v>1.69</v>
      </c>
      <c r="B11" s="22" t="s">
        <v>53</v>
      </c>
      <c r="C11" s="21">
        <v>18</v>
      </c>
    </row>
    <row r="12" spans="1:3" x14ac:dyDescent="0.2">
      <c r="A12" s="19">
        <v>1.7</v>
      </c>
      <c r="B12" s="22" t="s">
        <v>2</v>
      </c>
      <c r="C12" s="21">
        <v>4.7</v>
      </c>
    </row>
    <row r="13" spans="1:3" x14ac:dyDescent="0.2">
      <c r="A13" s="19">
        <v>1.71</v>
      </c>
      <c r="B13" s="22" t="s">
        <v>54</v>
      </c>
      <c r="C13" s="21">
        <v>6.4</v>
      </c>
    </row>
    <row r="14" spans="1:3" x14ac:dyDescent="0.2">
      <c r="A14" s="19">
        <v>1.72</v>
      </c>
      <c r="B14" s="22" t="s">
        <v>55</v>
      </c>
      <c r="C14" s="21">
        <v>29.3</v>
      </c>
    </row>
    <row r="15" spans="1:3" x14ac:dyDescent="0.2">
      <c r="A15" s="19">
        <v>1.73</v>
      </c>
      <c r="B15" s="22" t="s">
        <v>56</v>
      </c>
      <c r="C15" s="21">
        <v>50.3</v>
      </c>
    </row>
    <row r="16" spans="1:3" x14ac:dyDescent="0.2">
      <c r="A16" s="19">
        <v>1.74</v>
      </c>
      <c r="B16" s="22" t="s">
        <v>57</v>
      </c>
      <c r="C16" s="21">
        <v>55.4</v>
      </c>
    </row>
    <row r="17" spans="1:3" x14ac:dyDescent="0.2">
      <c r="A17" s="19">
        <v>1.75</v>
      </c>
      <c r="B17" s="22" t="s">
        <v>20</v>
      </c>
      <c r="C17" s="21">
        <v>6.1</v>
      </c>
    </row>
    <row r="18" spans="1:3" ht="25.5" x14ac:dyDescent="0.2">
      <c r="A18" s="19">
        <v>1.76</v>
      </c>
      <c r="B18" s="22" t="s">
        <v>60</v>
      </c>
      <c r="C18" s="21">
        <v>6.3</v>
      </c>
    </row>
    <row r="19" spans="1:3" x14ac:dyDescent="0.2">
      <c r="A19" s="19">
        <v>1.77</v>
      </c>
      <c r="B19" s="22" t="s">
        <v>23</v>
      </c>
      <c r="C19" s="21">
        <v>41.2</v>
      </c>
    </row>
    <row r="20" spans="1:3" x14ac:dyDescent="0.2">
      <c r="A20" s="19">
        <v>1.78</v>
      </c>
      <c r="B20" s="22" t="s">
        <v>23</v>
      </c>
      <c r="C20" s="21">
        <v>60</v>
      </c>
    </row>
    <row r="21" spans="1:3" x14ac:dyDescent="0.2">
      <c r="A21" s="18"/>
      <c r="B21" s="16"/>
      <c r="C21" s="18"/>
    </row>
    <row r="22" spans="1:3" x14ac:dyDescent="0.2">
      <c r="A22" s="18">
        <v>2.36</v>
      </c>
      <c r="B22" s="16" t="s">
        <v>43</v>
      </c>
      <c r="C22" s="18">
        <v>8.1</v>
      </c>
    </row>
    <row r="23" spans="1:3" x14ac:dyDescent="0.2">
      <c r="A23" s="18">
        <v>2.37</v>
      </c>
      <c r="B23" s="16" t="s">
        <v>53</v>
      </c>
      <c r="C23" s="18">
        <v>23.5</v>
      </c>
    </row>
    <row r="24" spans="1:3" x14ac:dyDescent="0.2">
      <c r="A24" s="18">
        <v>2.38</v>
      </c>
      <c r="B24" s="16" t="s">
        <v>54</v>
      </c>
      <c r="C24" s="18">
        <v>6.4</v>
      </c>
    </row>
    <row r="25" spans="1:3" x14ac:dyDescent="0.2">
      <c r="A25" s="18">
        <v>2.39</v>
      </c>
      <c r="B25" s="16" t="s">
        <v>55</v>
      </c>
      <c r="C25" s="18">
        <v>29</v>
      </c>
    </row>
    <row r="26" spans="1:3" x14ac:dyDescent="0.2">
      <c r="A26" s="18">
        <v>2.4</v>
      </c>
      <c r="B26" s="16" t="s">
        <v>56</v>
      </c>
      <c r="C26" s="18">
        <v>50.4</v>
      </c>
    </row>
    <row r="27" spans="1:3" x14ac:dyDescent="0.2">
      <c r="A27" s="18">
        <v>2.41</v>
      </c>
      <c r="B27" s="16" t="s">
        <v>57</v>
      </c>
      <c r="C27" s="18">
        <v>55.9</v>
      </c>
    </row>
    <row r="28" spans="1:3" x14ac:dyDescent="0.2">
      <c r="A28" s="18">
        <v>2.42</v>
      </c>
      <c r="B28" s="16" t="s">
        <v>53</v>
      </c>
      <c r="C28" s="18">
        <v>23</v>
      </c>
    </row>
    <row r="29" spans="1:3" x14ac:dyDescent="0.2">
      <c r="A29" s="18">
        <v>2.4300000000000002</v>
      </c>
      <c r="B29" s="16" t="s">
        <v>54</v>
      </c>
      <c r="C29" s="18">
        <v>6.4</v>
      </c>
    </row>
    <row r="30" spans="1:3" x14ac:dyDescent="0.2">
      <c r="A30" s="18">
        <v>2.44</v>
      </c>
      <c r="B30" s="16" t="s">
        <v>56</v>
      </c>
      <c r="C30" s="18">
        <v>50.5</v>
      </c>
    </row>
    <row r="31" spans="1:3" x14ac:dyDescent="0.2">
      <c r="A31" s="18">
        <v>2.4500000000000002</v>
      </c>
      <c r="B31" s="16" t="s">
        <v>57</v>
      </c>
      <c r="C31" s="18">
        <v>55.5</v>
      </c>
    </row>
    <row r="32" spans="1:3" x14ac:dyDescent="0.2">
      <c r="A32" s="18">
        <v>2.46</v>
      </c>
      <c r="B32" s="16" t="s">
        <v>55</v>
      </c>
      <c r="C32" s="18">
        <v>29</v>
      </c>
    </row>
    <row r="33" spans="1:3" ht="27.75" customHeight="1" x14ac:dyDescent="0.2">
      <c r="A33" s="18">
        <v>2.4700000000000002</v>
      </c>
      <c r="B33" s="16" t="s">
        <v>77</v>
      </c>
      <c r="C33" s="18">
        <v>71</v>
      </c>
    </row>
    <row r="34" spans="1:3" ht="25.5" x14ac:dyDescent="0.2">
      <c r="A34" s="18">
        <v>2.48</v>
      </c>
      <c r="B34" s="16" t="s">
        <v>78</v>
      </c>
      <c r="C34" s="18">
        <v>6.8</v>
      </c>
    </row>
    <row r="35" spans="1:3" x14ac:dyDescent="0.2">
      <c r="A35" s="18">
        <v>2.4900000000000002</v>
      </c>
      <c r="B35" s="16" t="s">
        <v>79</v>
      </c>
      <c r="C35" s="18">
        <v>72.3</v>
      </c>
    </row>
    <row r="36" spans="1:3" x14ac:dyDescent="0.2">
      <c r="A36" s="18">
        <v>2.5</v>
      </c>
      <c r="B36" s="16" t="s">
        <v>80</v>
      </c>
      <c r="C36" s="18">
        <v>6</v>
      </c>
    </row>
    <row r="37" spans="1:3" x14ac:dyDescent="0.2">
      <c r="A37" s="18">
        <v>2.5099999999999998</v>
      </c>
      <c r="B37" s="16" t="s">
        <v>23</v>
      </c>
      <c r="C37" s="18">
        <v>37.6</v>
      </c>
    </row>
    <row r="38" spans="1:3" x14ac:dyDescent="0.2">
      <c r="A38" s="18">
        <v>2.52</v>
      </c>
      <c r="B38" s="16" t="s">
        <v>20</v>
      </c>
      <c r="C38" s="18">
        <v>5.6</v>
      </c>
    </row>
    <row r="39" spans="1:3" x14ac:dyDescent="0.2">
      <c r="A39" s="18">
        <v>2.5299999999999998</v>
      </c>
      <c r="B39" s="16" t="s">
        <v>81</v>
      </c>
      <c r="C39" s="18">
        <v>6</v>
      </c>
    </row>
    <row r="40" spans="1:3" x14ac:dyDescent="0.2">
      <c r="A40" s="18">
        <v>2.5499999999999998</v>
      </c>
      <c r="B40" s="16" t="s">
        <v>76</v>
      </c>
      <c r="C40" s="18">
        <v>6.3</v>
      </c>
    </row>
    <row r="41" spans="1:3" x14ac:dyDescent="0.2">
      <c r="A41" s="18">
        <v>2.56</v>
      </c>
      <c r="B41" s="16" t="s">
        <v>23</v>
      </c>
      <c r="C41" s="18">
        <v>59.9</v>
      </c>
    </row>
    <row r="42" spans="1:3" x14ac:dyDescent="0.2">
      <c r="A42" s="18">
        <v>2.57</v>
      </c>
      <c r="B42" s="16" t="s">
        <v>59</v>
      </c>
      <c r="C42" s="18">
        <v>26.2</v>
      </c>
    </row>
    <row r="43" spans="1:3" x14ac:dyDescent="0.2">
      <c r="A43" s="18">
        <v>2.58</v>
      </c>
      <c r="B43" s="16" t="s">
        <v>74</v>
      </c>
      <c r="C43" s="18">
        <v>74.5</v>
      </c>
    </row>
    <row r="44" spans="1:3" x14ac:dyDescent="0.2">
      <c r="A44" s="18"/>
      <c r="B44" s="16"/>
      <c r="C44" s="18"/>
    </row>
    <row r="45" spans="1:3" x14ac:dyDescent="0.2">
      <c r="A45" s="18">
        <v>3.22</v>
      </c>
      <c r="B45" s="16" t="s">
        <v>43</v>
      </c>
      <c r="C45" s="18">
        <v>8.3000000000000007</v>
      </c>
    </row>
    <row r="46" spans="1:3" x14ac:dyDescent="0.2">
      <c r="A46" s="18">
        <v>3.23</v>
      </c>
      <c r="B46" s="16" t="s">
        <v>53</v>
      </c>
      <c r="C46" s="18">
        <v>23.5</v>
      </c>
    </row>
    <row r="47" spans="1:3" x14ac:dyDescent="0.2">
      <c r="A47" s="18">
        <v>3.24</v>
      </c>
      <c r="B47" s="16" t="s">
        <v>54</v>
      </c>
      <c r="C47" s="18">
        <v>6.4</v>
      </c>
    </row>
    <row r="48" spans="1:3" x14ac:dyDescent="0.2">
      <c r="A48" s="18">
        <v>3.25</v>
      </c>
      <c r="B48" s="16" t="s">
        <v>56</v>
      </c>
      <c r="C48" s="18">
        <v>50.6</v>
      </c>
    </row>
    <row r="49" spans="1:3" x14ac:dyDescent="0.2">
      <c r="A49" s="18">
        <v>3.26</v>
      </c>
      <c r="B49" s="16" t="s">
        <v>57</v>
      </c>
      <c r="C49" s="18">
        <v>56</v>
      </c>
    </row>
    <row r="50" spans="1:3" x14ac:dyDescent="0.2">
      <c r="A50" s="18">
        <v>3.27</v>
      </c>
      <c r="B50" s="16" t="s">
        <v>55</v>
      </c>
      <c r="C50" s="18">
        <v>29</v>
      </c>
    </row>
    <row r="51" spans="1:3" x14ac:dyDescent="0.2">
      <c r="A51" s="18">
        <v>3.28</v>
      </c>
      <c r="B51" s="16" t="s">
        <v>53</v>
      </c>
      <c r="C51" s="18">
        <v>23.3</v>
      </c>
    </row>
    <row r="52" spans="1:3" x14ac:dyDescent="0.2">
      <c r="A52" s="18">
        <v>3.29</v>
      </c>
      <c r="B52" s="16" t="s">
        <v>56</v>
      </c>
      <c r="C52" s="18">
        <v>50.8</v>
      </c>
    </row>
    <row r="53" spans="1:3" x14ac:dyDescent="0.2">
      <c r="A53" s="18">
        <v>3.3</v>
      </c>
      <c r="B53" s="16" t="s">
        <v>57</v>
      </c>
      <c r="C53" s="18">
        <v>55.7</v>
      </c>
    </row>
    <row r="54" spans="1:3" x14ac:dyDescent="0.2">
      <c r="A54" s="18">
        <v>3.31</v>
      </c>
      <c r="B54" s="16" t="s">
        <v>54</v>
      </c>
      <c r="C54" s="18">
        <v>6.4</v>
      </c>
    </row>
    <row r="55" spans="1:3" x14ac:dyDescent="0.2">
      <c r="A55" s="18">
        <v>3.32</v>
      </c>
      <c r="B55" s="16" t="s">
        <v>55</v>
      </c>
      <c r="C55" s="18">
        <v>29</v>
      </c>
    </row>
    <row r="56" spans="1:3" ht="38.25" x14ac:dyDescent="0.2">
      <c r="A56" s="18">
        <v>3.33</v>
      </c>
      <c r="B56" s="16" t="s">
        <v>91</v>
      </c>
      <c r="C56" s="18">
        <v>74.599999999999994</v>
      </c>
    </row>
    <row r="57" spans="1:3" x14ac:dyDescent="0.2">
      <c r="A57" s="18">
        <v>3.34</v>
      </c>
      <c r="B57" s="16" t="s">
        <v>86</v>
      </c>
      <c r="C57" s="18">
        <v>6.6</v>
      </c>
    </row>
    <row r="58" spans="1:3" ht="38.25" x14ac:dyDescent="0.2">
      <c r="A58" s="18">
        <v>3.35</v>
      </c>
      <c r="B58" s="16" t="s">
        <v>87</v>
      </c>
      <c r="C58" s="18">
        <v>74.099999999999994</v>
      </c>
    </row>
    <row r="59" spans="1:3" ht="25.5" x14ac:dyDescent="0.2">
      <c r="A59" s="18">
        <v>3.36</v>
      </c>
      <c r="B59" s="16" t="s">
        <v>88</v>
      </c>
      <c r="C59" s="18">
        <v>5.8</v>
      </c>
    </row>
    <row r="60" spans="1:3" x14ac:dyDescent="0.2">
      <c r="A60" s="18">
        <v>3.37</v>
      </c>
      <c r="B60" s="16" t="s">
        <v>89</v>
      </c>
      <c r="C60" s="18">
        <v>5.9</v>
      </c>
    </row>
    <row r="61" spans="1:3" x14ac:dyDescent="0.2">
      <c r="A61" s="18">
        <v>3.39</v>
      </c>
      <c r="B61" s="16" t="s">
        <v>76</v>
      </c>
      <c r="C61" s="18">
        <v>6.3</v>
      </c>
    </row>
    <row r="62" spans="1:3" x14ac:dyDescent="0.2">
      <c r="A62" s="18">
        <v>3.4</v>
      </c>
      <c r="B62" s="16" t="s">
        <v>20</v>
      </c>
      <c r="C62" s="18">
        <v>6.1</v>
      </c>
    </row>
    <row r="63" spans="1:3" x14ac:dyDescent="0.2">
      <c r="A63" s="18">
        <v>3.41</v>
      </c>
      <c r="B63" s="16" t="s">
        <v>23</v>
      </c>
      <c r="C63" s="18">
        <v>36.4</v>
      </c>
    </row>
    <row r="64" spans="1:3" x14ac:dyDescent="0.2">
      <c r="A64" s="18">
        <v>3.42</v>
      </c>
      <c r="B64" s="16" t="s">
        <v>23</v>
      </c>
      <c r="C64" s="18">
        <v>59.7</v>
      </c>
    </row>
    <row r="65" spans="1:3" x14ac:dyDescent="0.2">
      <c r="A65" s="18">
        <v>3.44</v>
      </c>
      <c r="B65" s="16" t="s">
        <v>23</v>
      </c>
      <c r="C65" s="18">
        <v>21.4</v>
      </c>
    </row>
    <row r="66" spans="1:3" x14ac:dyDescent="0.2">
      <c r="A66" s="18">
        <v>3.45</v>
      </c>
      <c r="B66" s="16" t="s">
        <v>74</v>
      </c>
      <c r="C66" s="18">
        <v>82.7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G29"/>
  <sheetViews>
    <sheetView topLeftCell="A12" zoomScale="85" zoomScaleNormal="85" workbookViewId="0">
      <selection activeCell="D28" sqref="D28"/>
    </sheetView>
  </sheetViews>
  <sheetFormatPr defaultRowHeight="12.75" x14ac:dyDescent="0.2"/>
  <cols>
    <col min="1" max="1" width="9.140625" style="14"/>
    <col min="2" max="2" width="32.28515625" style="13" customWidth="1"/>
    <col min="3" max="4" width="9.140625" style="12"/>
    <col min="5" max="5" width="7.7109375" style="10" customWidth="1"/>
    <col min="6" max="6" width="7.5703125" style="10" customWidth="1"/>
    <col min="7" max="16384" width="9.140625" style="10"/>
  </cols>
  <sheetData>
    <row r="1" spans="1:7" x14ac:dyDescent="0.2">
      <c r="A1" s="15"/>
      <c r="B1" s="16"/>
      <c r="C1" s="23" t="s">
        <v>97</v>
      </c>
      <c r="D1" s="23"/>
      <c r="E1" s="17"/>
      <c r="F1" s="17"/>
      <c r="G1" s="17" t="s">
        <v>98</v>
      </c>
    </row>
    <row r="2" spans="1:7" x14ac:dyDescent="0.2">
      <c r="A2" s="15" t="s">
        <v>92</v>
      </c>
      <c r="B2" s="16"/>
      <c r="C2" s="18" t="s">
        <v>93</v>
      </c>
      <c r="D2" s="18" t="s">
        <v>94</v>
      </c>
      <c r="E2" s="17" t="s">
        <v>99</v>
      </c>
      <c r="F2" s="17" t="s">
        <v>96</v>
      </c>
      <c r="G2" s="17"/>
    </row>
    <row r="3" spans="1:7" x14ac:dyDescent="0.2">
      <c r="A3" s="19">
        <v>1.6</v>
      </c>
      <c r="B3" s="20" t="s">
        <v>50</v>
      </c>
      <c r="C3" s="21">
        <v>1</v>
      </c>
      <c r="D3" s="18">
        <v>3</v>
      </c>
      <c r="E3" s="17">
        <f>C3*2.19</f>
        <v>2.19</v>
      </c>
      <c r="F3" s="17">
        <f>D3*1.47</f>
        <v>4.41</v>
      </c>
      <c r="G3" s="17">
        <f>SUM(E3:F3)</f>
        <v>6.6</v>
      </c>
    </row>
    <row r="4" spans="1:7" x14ac:dyDescent="0.2">
      <c r="A4" s="19">
        <v>1.61</v>
      </c>
      <c r="B4" s="20" t="s">
        <v>51</v>
      </c>
      <c r="C4" s="21"/>
      <c r="D4" s="18">
        <v>2</v>
      </c>
      <c r="E4" s="17">
        <f t="shared" ref="E4:E9" si="0">C4*2.19</f>
        <v>0</v>
      </c>
      <c r="F4" s="17">
        <f t="shared" ref="F4:F9" si="1">D4*1.47</f>
        <v>2.94</v>
      </c>
      <c r="G4" s="17">
        <f t="shared" ref="G4:G9" si="2">SUM(E4:F4)</f>
        <v>2.94</v>
      </c>
    </row>
    <row r="5" spans="1:7" x14ac:dyDescent="0.2">
      <c r="A5" s="19">
        <v>1.64</v>
      </c>
      <c r="B5" s="20" t="s">
        <v>53</v>
      </c>
      <c r="C5" s="21"/>
      <c r="D5" s="18">
        <v>1</v>
      </c>
      <c r="E5" s="17">
        <f t="shared" si="0"/>
        <v>0</v>
      </c>
      <c r="F5" s="17">
        <f t="shared" si="1"/>
        <v>1.47</v>
      </c>
      <c r="G5" s="17">
        <f t="shared" si="2"/>
        <v>1.47</v>
      </c>
    </row>
    <row r="6" spans="1:7" x14ac:dyDescent="0.2">
      <c r="A6" s="19">
        <v>1.67</v>
      </c>
      <c r="B6" s="22" t="s">
        <v>56</v>
      </c>
      <c r="C6" s="21">
        <v>1</v>
      </c>
      <c r="D6" s="18">
        <v>3</v>
      </c>
      <c r="E6" s="17">
        <f t="shared" si="0"/>
        <v>2.19</v>
      </c>
      <c r="F6" s="17">
        <f t="shared" si="1"/>
        <v>4.41</v>
      </c>
      <c r="G6" s="17">
        <f t="shared" si="2"/>
        <v>6.6</v>
      </c>
    </row>
    <row r="7" spans="1:7" x14ac:dyDescent="0.2">
      <c r="A7" s="19">
        <v>1.68</v>
      </c>
      <c r="B7" s="22" t="s">
        <v>57</v>
      </c>
      <c r="C7" s="21">
        <v>1</v>
      </c>
      <c r="D7" s="18">
        <v>1</v>
      </c>
      <c r="E7" s="17">
        <f t="shared" si="0"/>
        <v>2.19</v>
      </c>
      <c r="F7" s="17">
        <f t="shared" si="1"/>
        <v>1.47</v>
      </c>
      <c r="G7" s="17">
        <f t="shared" si="2"/>
        <v>3.66</v>
      </c>
    </row>
    <row r="8" spans="1:7" x14ac:dyDescent="0.2">
      <c r="A8" s="19">
        <v>1.73</v>
      </c>
      <c r="B8" s="22" t="s">
        <v>56</v>
      </c>
      <c r="C8" s="21">
        <v>1</v>
      </c>
      <c r="D8" s="18">
        <v>3</v>
      </c>
      <c r="E8" s="17">
        <f t="shared" si="0"/>
        <v>2.19</v>
      </c>
      <c r="F8" s="17">
        <f t="shared" si="1"/>
        <v>4.41</v>
      </c>
      <c r="G8" s="17">
        <f t="shared" si="2"/>
        <v>6.6</v>
      </c>
    </row>
    <row r="9" spans="1:7" x14ac:dyDescent="0.2">
      <c r="A9" s="19">
        <v>1.74</v>
      </c>
      <c r="B9" s="22" t="s">
        <v>57</v>
      </c>
      <c r="C9" s="21">
        <v>1</v>
      </c>
      <c r="D9" s="18">
        <v>2</v>
      </c>
      <c r="E9" s="17">
        <f t="shared" si="0"/>
        <v>2.19</v>
      </c>
      <c r="F9" s="17">
        <f t="shared" si="1"/>
        <v>2.94</v>
      </c>
      <c r="G9" s="17">
        <f t="shared" si="2"/>
        <v>5.13</v>
      </c>
    </row>
    <row r="10" spans="1:7" x14ac:dyDescent="0.2">
      <c r="A10" s="15"/>
      <c r="B10" s="16"/>
      <c r="C10" s="18"/>
      <c r="D10" s="18"/>
      <c r="E10" s="17"/>
      <c r="F10" s="17"/>
      <c r="G10" s="17"/>
    </row>
    <row r="11" spans="1:7" x14ac:dyDescent="0.2">
      <c r="A11" s="15"/>
      <c r="B11" s="16"/>
      <c r="C11" s="18"/>
      <c r="D11" s="18"/>
      <c r="E11" s="17"/>
      <c r="F11" s="17"/>
      <c r="G11" s="17"/>
    </row>
    <row r="12" spans="1:7" x14ac:dyDescent="0.2">
      <c r="A12" s="15">
        <v>2.37</v>
      </c>
      <c r="B12" s="16" t="s">
        <v>53</v>
      </c>
      <c r="C12" s="18"/>
      <c r="D12" s="18">
        <v>1</v>
      </c>
      <c r="E12" s="17">
        <f t="shared" ref="E12:E29" si="3">C12*2.19</f>
        <v>0</v>
      </c>
      <c r="F12" s="17">
        <f t="shared" ref="F12:F29" si="4">D12*1.47</f>
        <v>1.47</v>
      </c>
      <c r="G12" s="17">
        <f t="shared" ref="G12:G29" si="5">SUM(E12:F12)</f>
        <v>1.47</v>
      </c>
    </row>
    <row r="13" spans="1:7" x14ac:dyDescent="0.2">
      <c r="A13" s="15">
        <v>2.4</v>
      </c>
      <c r="B13" s="16" t="s">
        <v>56</v>
      </c>
      <c r="C13" s="18"/>
      <c r="D13" s="18">
        <v>3</v>
      </c>
      <c r="E13" s="17">
        <f t="shared" si="3"/>
        <v>0</v>
      </c>
      <c r="F13" s="17">
        <f t="shared" si="4"/>
        <v>4.41</v>
      </c>
      <c r="G13" s="17">
        <f t="shared" si="5"/>
        <v>4.41</v>
      </c>
    </row>
    <row r="14" spans="1:7" x14ac:dyDescent="0.2">
      <c r="A14" s="15">
        <v>2.41</v>
      </c>
      <c r="B14" s="16" t="s">
        <v>57</v>
      </c>
      <c r="C14" s="18">
        <v>1</v>
      </c>
      <c r="D14" s="18">
        <v>1</v>
      </c>
      <c r="E14" s="17">
        <f t="shared" si="3"/>
        <v>2.19</v>
      </c>
      <c r="F14" s="17">
        <f t="shared" si="4"/>
        <v>1.47</v>
      </c>
      <c r="G14" s="17">
        <f t="shared" si="5"/>
        <v>3.66</v>
      </c>
    </row>
    <row r="15" spans="1:7" x14ac:dyDescent="0.2">
      <c r="A15" s="15">
        <v>2.42</v>
      </c>
      <c r="B15" s="16" t="s">
        <v>53</v>
      </c>
      <c r="C15" s="18"/>
      <c r="D15" s="18">
        <v>1</v>
      </c>
      <c r="E15" s="17">
        <f t="shared" si="3"/>
        <v>0</v>
      </c>
      <c r="F15" s="17">
        <f t="shared" si="4"/>
        <v>1.47</v>
      </c>
      <c r="G15" s="17">
        <f t="shared" si="5"/>
        <v>1.47</v>
      </c>
    </row>
    <row r="16" spans="1:7" x14ac:dyDescent="0.2">
      <c r="A16" s="15">
        <v>2.44</v>
      </c>
      <c r="B16" s="16" t="s">
        <v>56</v>
      </c>
      <c r="C16" s="18">
        <v>2</v>
      </c>
      <c r="D16" s="18">
        <v>1</v>
      </c>
      <c r="E16" s="17">
        <f t="shared" si="3"/>
        <v>4.38</v>
      </c>
      <c r="F16" s="17">
        <f t="shared" si="4"/>
        <v>1.47</v>
      </c>
      <c r="G16" s="17">
        <f t="shared" si="5"/>
        <v>5.85</v>
      </c>
    </row>
    <row r="17" spans="1:7" x14ac:dyDescent="0.2">
      <c r="A17" s="15">
        <v>2.4500000000000002</v>
      </c>
      <c r="B17" s="16" t="s">
        <v>57</v>
      </c>
      <c r="C17" s="18">
        <v>1</v>
      </c>
      <c r="D17" s="18">
        <v>3</v>
      </c>
      <c r="E17" s="17">
        <f t="shared" si="3"/>
        <v>2.19</v>
      </c>
      <c r="F17" s="17">
        <f t="shared" si="4"/>
        <v>4.41</v>
      </c>
      <c r="G17" s="17">
        <f t="shared" si="5"/>
        <v>6.6</v>
      </c>
    </row>
    <row r="18" spans="1:7" ht="25.5" x14ac:dyDescent="0.2">
      <c r="A18" s="15">
        <v>2.48</v>
      </c>
      <c r="B18" s="16" t="s">
        <v>78</v>
      </c>
      <c r="C18" s="18">
        <v>1</v>
      </c>
      <c r="D18" s="18">
        <v>3</v>
      </c>
      <c r="E18" s="17">
        <f t="shared" si="3"/>
        <v>2.19</v>
      </c>
      <c r="F18" s="17">
        <f t="shared" si="4"/>
        <v>4.41</v>
      </c>
      <c r="G18" s="17">
        <f t="shared" si="5"/>
        <v>6.6</v>
      </c>
    </row>
    <row r="19" spans="1:7" x14ac:dyDescent="0.2">
      <c r="A19" s="15">
        <v>2.4900000000000002</v>
      </c>
      <c r="B19" s="16" t="s">
        <v>79</v>
      </c>
      <c r="C19" s="18">
        <v>1</v>
      </c>
      <c r="D19" s="18">
        <v>3</v>
      </c>
      <c r="E19" s="17">
        <f t="shared" si="3"/>
        <v>2.19</v>
      </c>
      <c r="F19" s="17">
        <f t="shared" si="4"/>
        <v>4.41</v>
      </c>
      <c r="G19" s="17">
        <f t="shared" si="5"/>
        <v>6.6</v>
      </c>
    </row>
    <row r="20" spans="1:7" x14ac:dyDescent="0.2">
      <c r="A20" s="15"/>
      <c r="B20" s="16"/>
      <c r="C20" s="18"/>
      <c r="D20" s="18"/>
      <c r="E20" s="17"/>
      <c r="F20" s="17"/>
      <c r="G20" s="17"/>
    </row>
    <row r="21" spans="1:7" x14ac:dyDescent="0.2">
      <c r="A21" s="15"/>
      <c r="B21" s="16"/>
      <c r="C21" s="18"/>
      <c r="D21" s="18"/>
      <c r="E21" s="17"/>
      <c r="F21" s="17"/>
      <c r="G21" s="17"/>
    </row>
    <row r="22" spans="1:7" x14ac:dyDescent="0.2">
      <c r="A22" s="15">
        <v>3.23</v>
      </c>
      <c r="B22" s="16" t="s">
        <v>53</v>
      </c>
      <c r="C22" s="18"/>
      <c r="D22" s="18">
        <v>1</v>
      </c>
      <c r="E22" s="17">
        <f t="shared" si="3"/>
        <v>0</v>
      </c>
      <c r="F22" s="17">
        <f t="shared" si="4"/>
        <v>1.47</v>
      </c>
      <c r="G22" s="17">
        <f t="shared" si="5"/>
        <v>1.47</v>
      </c>
    </row>
    <row r="23" spans="1:7" x14ac:dyDescent="0.2">
      <c r="A23" s="15">
        <v>3.25</v>
      </c>
      <c r="B23" s="16" t="s">
        <v>56</v>
      </c>
      <c r="C23" s="18">
        <v>1</v>
      </c>
      <c r="D23" s="18">
        <v>3</v>
      </c>
      <c r="E23" s="17">
        <f t="shared" si="3"/>
        <v>2.19</v>
      </c>
      <c r="F23" s="17">
        <f t="shared" si="4"/>
        <v>4.41</v>
      </c>
      <c r="G23" s="17">
        <f t="shared" si="5"/>
        <v>6.6</v>
      </c>
    </row>
    <row r="24" spans="1:7" x14ac:dyDescent="0.2">
      <c r="A24" s="15">
        <v>3.26</v>
      </c>
      <c r="B24" s="16" t="s">
        <v>57</v>
      </c>
      <c r="C24" s="18">
        <v>1</v>
      </c>
      <c r="D24" s="18">
        <v>1</v>
      </c>
      <c r="E24" s="17">
        <f t="shared" si="3"/>
        <v>2.19</v>
      </c>
      <c r="F24" s="17">
        <f t="shared" si="4"/>
        <v>1.47</v>
      </c>
      <c r="G24" s="17">
        <f t="shared" si="5"/>
        <v>3.66</v>
      </c>
    </row>
    <row r="25" spans="1:7" x14ac:dyDescent="0.2">
      <c r="A25" s="15">
        <v>3.28</v>
      </c>
      <c r="B25" s="16" t="s">
        <v>53</v>
      </c>
      <c r="C25" s="18"/>
      <c r="D25" s="18">
        <v>1</v>
      </c>
      <c r="E25" s="17">
        <f t="shared" si="3"/>
        <v>0</v>
      </c>
      <c r="F25" s="17">
        <f t="shared" si="4"/>
        <v>1.47</v>
      </c>
      <c r="G25" s="17">
        <f t="shared" si="5"/>
        <v>1.47</v>
      </c>
    </row>
    <row r="26" spans="1:7" x14ac:dyDescent="0.2">
      <c r="A26" s="15">
        <v>3.29</v>
      </c>
      <c r="B26" s="16" t="s">
        <v>56</v>
      </c>
      <c r="C26" s="18">
        <v>1</v>
      </c>
      <c r="D26" s="18">
        <v>3</v>
      </c>
      <c r="E26" s="17">
        <f t="shared" si="3"/>
        <v>2.19</v>
      </c>
      <c r="F26" s="17">
        <f t="shared" si="4"/>
        <v>4.41</v>
      </c>
      <c r="G26" s="17">
        <f t="shared" si="5"/>
        <v>6.6</v>
      </c>
    </row>
    <row r="27" spans="1:7" x14ac:dyDescent="0.2">
      <c r="A27" s="15">
        <v>3.3</v>
      </c>
      <c r="B27" s="16" t="s">
        <v>57</v>
      </c>
      <c r="C27" s="18">
        <v>1</v>
      </c>
      <c r="D27" s="18">
        <v>2</v>
      </c>
      <c r="E27" s="17">
        <f t="shared" si="3"/>
        <v>2.19</v>
      </c>
      <c r="F27" s="17">
        <f t="shared" si="4"/>
        <v>2.94</v>
      </c>
      <c r="G27" s="17">
        <f t="shared" si="5"/>
        <v>5.13</v>
      </c>
    </row>
    <row r="28" spans="1:7" ht="51" x14ac:dyDescent="0.2">
      <c r="A28" s="15">
        <v>3.33</v>
      </c>
      <c r="B28" s="16" t="s">
        <v>91</v>
      </c>
      <c r="C28" s="18">
        <v>1</v>
      </c>
      <c r="D28" s="18">
        <v>3</v>
      </c>
      <c r="E28" s="17">
        <f t="shared" si="3"/>
        <v>2.19</v>
      </c>
      <c r="F28" s="17">
        <f t="shared" si="4"/>
        <v>4.41</v>
      </c>
      <c r="G28" s="17">
        <f t="shared" si="5"/>
        <v>6.6</v>
      </c>
    </row>
    <row r="29" spans="1:7" ht="38.25" x14ac:dyDescent="0.2">
      <c r="A29" s="15">
        <v>3.35</v>
      </c>
      <c r="B29" s="16" t="s">
        <v>87</v>
      </c>
      <c r="C29" s="18">
        <v>1</v>
      </c>
      <c r="D29" s="18">
        <v>3</v>
      </c>
      <c r="E29" s="17">
        <f t="shared" si="3"/>
        <v>2.19</v>
      </c>
      <c r="F29" s="17">
        <f t="shared" si="4"/>
        <v>4.41</v>
      </c>
      <c r="G29" s="17">
        <f t="shared" si="5"/>
        <v>6.6</v>
      </c>
    </row>
  </sheetData>
  <mergeCells count="1">
    <mergeCell ref="C1:D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H67"/>
  <sheetViews>
    <sheetView tabSelected="1" topLeftCell="A54" workbookViewId="0">
      <selection activeCell="H45" sqref="H45"/>
    </sheetView>
  </sheetViews>
  <sheetFormatPr defaultRowHeight="15" x14ac:dyDescent="0.25"/>
  <cols>
    <col min="1" max="1" width="9.140625" style="6"/>
    <col min="2" max="2" width="37.28515625" customWidth="1"/>
    <col min="3" max="6" width="0" hidden="1" customWidth="1"/>
    <col min="7" max="7" width="10.7109375" hidden="1" customWidth="1"/>
  </cols>
  <sheetData>
    <row r="1" spans="1:8" ht="45" x14ac:dyDescent="0.25">
      <c r="D1" s="25" t="s">
        <v>111</v>
      </c>
      <c r="E1" s="25" t="s">
        <v>112</v>
      </c>
      <c r="F1" s="25" t="s">
        <v>110</v>
      </c>
      <c r="G1" s="25" t="s">
        <v>113</v>
      </c>
      <c r="H1" s="25" t="s">
        <v>115</v>
      </c>
    </row>
    <row r="2" spans="1:8" x14ac:dyDescent="0.25">
      <c r="A2" s="19">
        <v>1.59</v>
      </c>
      <c r="B2" s="20" t="s">
        <v>2</v>
      </c>
      <c r="C2" s="27"/>
      <c r="D2" s="26">
        <v>48.8914008</v>
      </c>
      <c r="E2" s="26">
        <v>2.2050000000000001</v>
      </c>
      <c r="F2" s="26">
        <v>5.5650000000000004</v>
      </c>
      <c r="G2" s="26">
        <v>0</v>
      </c>
      <c r="H2" s="26">
        <f>ROUND(D2-E2-F2-G2, 2)</f>
        <v>41.12</v>
      </c>
    </row>
    <row r="3" spans="1:8" x14ac:dyDescent="0.25">
      <c r="A3" s="19">
        <v>1.6</v>
      </c>
      <c r="B3" s="20" t="s">
        <v>50</v>
      </c>
      <c r="C3" s="27"/>
      <c r="D3" s="26">
        <v>125.36737767300001</v>
      </c>
      <c r="E3" s="26">
        <v>11.25</v>
      </c>
      <c r="F3" s="26">
        <v>4.3049999999999997</v>
      </c>
      <c r="G3" s="26">
        <v>0</v>
      </c>
      <c r="H3" s="26">
        <f t="shared" ref="H3:H65" si="0">ROUND(D3-E3-F3-G3, 2)</f>
        <v>109.81</v>
      </c>
    </row>
    <row r="4" spans="1:8" x14ac:dyDescent="0.25">
      <c r="A4" s="19">
        <v>1.61</v>
      </c>
      <c r="B4" s="20" t="s">
        <v>51</v>
      </c>
      <c r="C4" s="27"/>
      <c r="D4" s="26">
        <v>66.716409014999996</v>
      </c>
      <c r="E4" s="26">
        <v>4.9050000000000002</v>
      </c>
      <c r="F4" s="26">
        <v>1.9950000000000001</v>
      </c>
      <c r="G4" s="26">
        <v>0</v>
      </c>
      <c r="H4" s="26">
        <f t="shared" si="0"/>
        <v>59.82</v>
      </c>
    </row>
    <row r="5" spans="1:8" x14ac:dyDescent="0.25">
      <c r="A5" s="19">
        <v>1.62</v>
      </c>
      <c r="B5" s="20" t="s">
        <v>52</v>
      </c>
      <c r="C5" s="27"/>
      <c r="D5" s="26">
        <v>38.498279607000001</v>
      </c>
      <c r="E5" s="26">
        <v>0</v>
      </c>
      <c r="F5" s="26">
        <v>2.31</v>
      </c>
      <c r="G5" s="26">
        <v>0</v>
      </c>
      <c r="H5" s="26">
        <f t="shared" si="0"/>
        <v>36.19</v>
      </c>
    </row>
    <row r="6" spans="1:8" x14ac:dyDescent="0.25">
      <c r="A6" s="19">
        <v>1.63</v>
      </c>
      <c r="B6" s="20" t="s">
        <v>2</v>
      </c>
      <c r="C6" s="27"/>
      <c r="D6" s="26">
        <v>23.623230786000001</v>
      </c>
      <c r="E6" s="26">
        <v>0</v>
      </c>
      <c r="F6" s="26">
        <v>2.94</v>
      </c>
      <c r="G6" s="26">
        <v>0</v>
      </c>
      <c r="H6" s="26">
        <f t="shared" si="0"/>
        <v>20.68</v>
      </c>
    </row>
    <row r="7" spans="1:8" x14ac:dyDescent="0.25">
      <c r="A7" s="19">
        <v>1.64</v>
      </c>
      <c r="B7" s="20" t="s">
        <v>53</v>
      </c>
      <c r="C7" s="27"/>
      <c r="D7" s="26">
        <v>98.297160000000005</v>
      </c>
      <c r="E7" s="26">
        <v>2.0249999999999999</v>
      </c>
      <c r="F7" s="26">
        <v>8.82</v>
      </c>
      <c r="G7" s="26">
        <v>0</v>
      </c>
      <c r="H7" s="26">
        <f t="shared" si="0"/>
        <v>87.45</v>
      </c>
    </row>
    <row r="8" spans="1:8" x14ac:dyDescent="0.25">
      <c r="A8" s="19">
        <v>1.65</v>
      </c>
      <c r="B8" s="20" t="s">
        <v>54</v>
      </c>
      <c r="C8" s="27"/>
      <c r="D8" s="26">
        <v>42.459720000000004</v>
      </c>
      <c r="E8" s="26">
        <v>0</v>
      </c>
      <c r="F8" s="26">
        <v>3.99</v>
      </c>
      <c r="G8" s="26">
        <v>0</v>
      </c>
      <c r="H8" s="26">
        <f t="shared" si="0"/>
        <v>38.47</v>
      </c>
    </row>
    <row r="9" spans="1:8" x14ac:dyDescent="0.25">
      <c r="A9" s="19">
        <v>1.66</v>
      </c>
      <c r="B9" s="20" t="s">
        <v>55</v>
      </c>
      <c r="C9" s="27"/>
      <c r="D9" s="26">
        <v>88.543935162000011</v>
      </c>
      <c r="E9" s="26">
        <v>0</v>
      </c>
      <c r="F9" s="26">
        <v>2.2050000000000001</v>
      </c>
      <c r="G9" s="26">
        <v>0</v>
      </c>
      <c r="H9" s="26">
        <f t="shared" si="0"/>
        <v>86.34</v>
      </c>
    </row>
    <row r="10" spans="1:8" x14ac:dyDescent="0.25">
      <c r="A10" s="19">
        <v>1.67</v>
      </c>
      <c r="B10" s="22" t="s">
        <v>56</v>
      </c>
      <c r="C10" s="27"/>
      <c r="D10" s="26">
        <v>107.02962589500001</v>
      </c>
      <c r="E10" s="26">
        <v>11.25</v>
      </c>
      <c r="F10" s="26">
        <v>7.14</v>
      </c>
      <c r="G10" s="26">
        <v>0</v>
      </c>
      <c r="H10" s="26">
        <f t="shared" si="0"/>
        <v>88.64</v>
      </c>
    </row>
    <row r="11" spans="1:8" x14ac:dyDescent="0.25">
      <c r="A11" s="19">
        <v>1.68</v>
      </c>
      <c r="B11" s="22" t="s">
        <v>57</v>
      </c>
      <c r="C11" s="27"/>
      <c r="D11" s="26">
        <v>103.614568293</v>
      </c>
      <c r="E11" s="26">
        <v>7.1999999999999993</v>
      </c>
      <c r="F11" s="26">
        <v>3.0449999999999999</v>
      </c>
      <c r="G11" s="26">
        <v>0</v>
      </c>
      <c r="H11" s="26">
        <f t="shared" si="0"/>
        <v>93.37</v>
      </c>
    </row>
    <row r="12" spans="1:8" x14ac:dyDescent="0.25">
      <c r="A12" s="19">
        <v>1.69</v>
      </c>
      <c r="B12" s="22" t="s">
        <v>53</v>
      </c>
      <c r="C12" s="27"/>
      <c r="D12" s="26">
        <v>80.486399606999996</v>
      </c>
      <c r="E12" s="26">
        <v>0</v>
      </c>
      <c r="F12" s="26">
        <v>8.82</v>
      </c>
      <c r="G12" s="26">
        <v>0</v>
      </c>
      <c r="H12" s="26">
        <f t="shared" si="0"/>
        <v>71.67</v>
      </c>
    </row>
    <row r="13" spans="1:8" x14ac:dyDescent="0.25">
      <c r="A13" s="19">
        <v>1.7</v>
      </c>
      <c r="B13" s="22" t="s">
        <v>2</v>
      </c>
      <c r="C13" s="27"/>
      <c r="D13" s="26">
        <v>34.741199607000006</v>
      </c>
      <c r="E13" s="26">
        <v>0</v>
      </c>
      <c r="F13" s="26">
        <v>5.9849999999999994</v>
      </c>
      <c r="G13" s="26">
        <v>0</v>
      </c>
      <c r="H13" s="26">
        <f t="shared" si="0"/>
        <v>28.76</v>
      </c>
    </row>
    <row r="14" spans="1:8" x14ac:dyDescent="0.25">
      <c r="A14" s="19">
        <v>1.71</v>
      </c>
      <c r="B14" s="22" t="s">
        <v>54</v>
      </c>
      <c r="C14" s="27"/>
      <c r="D14" s="26">
        <v>98.800199606999996</v>
      </c>
      <c r="E14" s="26">
        <v>2.0249999999999999</v>
      </c>
      <c r="F14" s="26">
        <v>5.88</v>
      </c>
      <c r="G14" s="26">
        <v>0</v>
      </c>
      <c r="H14" s="26">
        <f t="shared" si="0"/>
        <v>90.9</v>
      </c>
    </row>
    <row r="15" spans="1:8" x14ac:dyDescent="0.25">
      <c r="A15" s="19">
        <v>1.72</v>
      </c>
      <c r="B15" s="22" t="s">
        <v>55</v>
      </c>
      <c r="C15" s="27"/>
      <c r="D15" s="26">
        <v>90.075600393000016</v>
      </c>
      <c r="E15" s="26">
        <v>0</v>
      </c>
      <c r="F15" s="26">
        <v>2.2050000000000001</v>
      </c>
      <c r="G15" s="26">
        <v>0</v>
      </c>
      <c r="H15" s="26">
        <f t="shared" si="0"/>
        <v>87.87</v>
      </c>
    </row>
    <row r="16" spans="1:8" x14ac:dyDescent="0.25">
      <c r="A16" s="19">
        <v>1.73</v>
      </c>
      <c r="B16" s="22" t="s">
        <v>56</v>
      </c>
      <c r="C16" s="27"/>
      <c r="D16" s="26">
        <v>106.32627968999999</v>
      </c>
      <c r="E16" s="26">
        <v>11.25</v>
      </c>
      <c r="F16" s="26">
        <v>7.14</v>
      </c>
      <c r="G16" s="26">
        <v>0</v>
      </c>
      <c r="H16" s="26">
        <f t="shared" si="0"/>
        <v>87.94</v>
      </c>
    </row>
    <row r="17" spans="1:8" x14ac:dyDescent="0.25">
      <c r="A17" s="19">
        <v>1.74</v>
      </c>
      <c r="B17" s="22" t="s">
        <v>57</v>
      </c>
      <c r="C17" s="27"/>
      <c r="D17" s="26">
        <v>103.551650958</v>
      </c>
      <c r="E17" s="26">
        <v>9.8999999999999986</v>
      </c>
      <c r="F17" s="26">
        <v>2.94</v>
      </c>
      <c r="G17" s="26">
        <v>0</v>
      </c>
      <c r="H17" s="26">
        <f t="shared" si="0"/>
        <v>90.71</v>
      </c>
    </row>
    <row r="18" spans="1:8" x14ac:dyDescent="0.25">
      <c r="A18" s="19">
        <v>1.75</v>
      </c>
      <c r="B18" s="22" t="s">
        <v>20</v>
      </c>
      <c r="C18" s="27"/>
      <c r="D18" s="26">
        <v>46.079151357000001</v>
      </c>
      <c r="E18" s="26">
        <v>0</v>
      </c>
      <c r="F18" s="26">
        <v>1.9950000000000001</v>
      </c>
      <c r="G18" s="26">
        <v>0</v>
      </c>
      <c r="H18" s="26">
        <f t="shared" si="0"/>
        <v>44.08</v>
      </c>
    </row>
    <row r="19" spans="1:8" ht="26.25" x14ac:dyDescent="0.25">
      <c r="A19" s="19">
        <v>1.76</v>
      </c>
      <c r="B19" s="22" t="s">
        <v>60</v>
      </c>
      <c r="C19" s="27"/>
      <c r="D19" s="26">
        <v>84.63230398200001</v>
      </c>
      <c r="E19" s="26">
        <v>0</v>
      </c>
      <c r="F19" s="26">
        <v>9.9750000000000014</v>
      </c>
      <c r="G19" s="26">
        <v>0</v>
      </c>
      <c r="H19" s="26">
        <f t="shared" si="0"/>
        <v>74.66</v>
      </c>
    </row>
    <row r="20" spans="1:8" x14ac:dyDescent="0.25">
      <c r="A20" s="19">
        <v>1.77</v>
      </c>
      <c r="B20" s="22" t="s">
        <v>23</v>
      </c>
      <c r="C20" s="27"/>
      <c r="D20" s="26">
        <v>100.013001144</v>
      </c>
      <c r="E20" s="26">
        <v>0</v>
      </c>
      <c r="F20" s="26">
        <v>16.8</v>
      </c>
      <c r="G20" s="26">
        <v>5.04</v>
      </c>
      <c r="H20" s="26">
        <f t="shared" si="0"/>
        <v>78.17</v>
      </c>
    </row>
    <row r="21" spans="1:8" x14ac:dyDescent="0.25">
      <c r="A21" s="19">
        <v>1.78</v>
      </c>
      <c r="B21" s="22" t="s">
        <v>23</v>
      </c>
      <c r="C21" s="27"/>
      <c r="D21" s="26">
        <v>144.694936893</v>
      </c>
      <c r="E21" s="26">
        <v>0</v>
      </c>
      <c r="F21" s="26">
        <v>10.92</v>
      </c>
      <c r="G21" s="26">
        <v>1.26</v>
      </c>
      <c r="H21" s="26">
        <f t="shared" si="0"/>
        <v>132.51</v>
      </c>
    </row>
    <row r="22" spans="1:8" x14ac:dyDescent="0.25">
      <c r="A22" s="24"/>
      <c r="B22" s="16"/>
      <c r="C22" s="28"/>
      <c r="D22" s="26"/>
      <c r="E22" s="26"/>
      <c r="F22" s="26"/>
      <c r="G22" s="26"/>
      <c r="H22" s="26"/>
    </row>
    <row r="23" spans="1:8" x14ac:dyDescent="0.25">
      <c r="A23" s="24">
        <v>2.36</v>
      </c>
      <c r="B23" s="16" t="s">
        <v>43</v>
      </c>
      <c r="C23" s="28"/>
      <c r="D23" s="26">
        <v>49.642459170000002</v>
      </c>
      <c r="E23" s="26">
        <v>0</v>
      </c>
      <c r="F23" s="26">
        <v>1.9950000000000001</v>
      </c>
      <c r="G23" s="26">
        <v>0</v>
      </c>
      <c r="H23" s="26">
        <f t="shared" si="0"/>
        <v>47.65</v>
      </c>
    </row>
    <row r="24" spans="1:8" x14ac:dyDescent="0.25">
      <c r="A24" s="24">
        <v>2.37</v>
      </c>
      <c r="B24" s="16" t="s">
        <v>53</v>
      </c>
      <c r="C24" s="28"/>
      <c r="D24" s="26">
        <v>98.297160000000005</v>
      </c>
      <c r="E24" s="26">
        <v>2.0249999999999999</v>
      </c>
      <c r="F24" s="26">
        <v>5.88</v>
      </c>
      <c r="G24" s="26">
        <v>0</v>
      </c>
      <c r="H24" s="26">
        <f t="shared" si="0"/>
        <v>90.39</v>
      </c>
    </row>
    <row r="25" spans="1:8" x14ac:dyDescent="0.25">
      <c r="A25" s="24">
        <v>2.38</v>
      </c>
      <c r="B25" s="16" t="s">
        <v>54</v>
      </c>
      <c r="C25" s="28"/>
      <c r="D25" s="26">
        <v>42.459720000000004</v>
      </c>
      <c r="E25" s="26">
        <v>0</v>
      </c>
      <c r="F25" s="26">
        <v>3.99</v>
      </c>
      <c r="G25" s="26">
        <v>0</v>
      </c>
      <c r="H25" s="26">
        <f t="shared" si="0"/>
        <v>38.47</v>
      </c>
    </row>
    <row r="26" spans="1:8" x14ac:dyDescent="0.25">
      <c r="A26" s="24">
        <v>2.39</v>
      </c>
      <c r="B26" s="16" t="s">
        <v>55</v>
      </c>
      <c r="C26" s="28"/>
      <c r="D26" s="26">
        <v>88.543935162000011</v>
      </c>
      <c r="E26" s="26">
        <v>0</v>
      </c>
      <c r="F26" s="26">
        <v>2.2050000000000001</v>
      </c>
      <c r="G26" s="26">
        <v>0</v>
      </c>
      <c r="H26" s="26">
        <f t="shared" si="0"/>
        <v>86.34</v>
      </c>
    </row>
    <row r="27" spans="1:8" x14ac:dyDescent="0.25">
      <c r="A27" s="24">
        <v>2.4</v>
      </c>
      <c r="B27" s="16" t="s">
        <v>56</v>
      </c>
      <c r="C27" s="28"/>
      <c r="D27" s="26">
        <v>107.02962589500001</v>
      </c>
      <c r="E27" s="26">
        <v>6.0749999999999993</v>
      </c>
      <c r="F27" s="26">
        <v>7.1400000000000006</v>
      </c>
      <c r="G27" s="26">
        <v>0</v>
      </c>
      <c r="H27" s="26">
        <f t="shared" si="0"/>
        <v>93.81</v>
      </c>
    </row>
    <row r="28" spans="1:8" x14ac:dyDescent="0.25">
      <c r="A28" s="24">
        <v>2.41</v>
      </c>
      <c r="B28" s="16" t="s">
        <v>57</v>
      </c>
      <c r="C28" s="28"/>
      <c r="D28" s="26">
        <v>103.614568293</v>
      </c>
      <c r="E28" s="26">
        <v>7.1999999999999993</v>
      </c>
      <c r="F28" s="26">
        <v>3.0449999999999999</v>
      </c>
      <c r="G28" s="26">
        <v>0</v>
      </c>
      <c r="H28" s="26">
        <f t="shared" si="0"/>
        <v>93.37</v>
      </c>
    </row>
    <row r="29" spans="1:8" x14ac:dyDescent="0.25">
      <c r="A29" s="24">
        <v>2.42</v>
      </c>
      <c r="B29" s="16" t="s">
        <v>53</v>
      </c>
      <c r="C29" s="28"/>
      <c r="D29" s="26">
        <v>98.800199606999996</v>
      </c>
      <c r="E29" s="26">
        <v>2.0249999999999999</v>
      </c>
      <c r="F29" s="26">
        <v>5.88</v>
      </c>
      <c r="G29" s="26">
        <v>0</v>
      </c>
      <c r="H29" s="26">
        <f t="shared" si="0"/>
        <v>90.9</v>
      </c>
    </row>
    <row r="30" spans="1:8" x14ac:dyDescent="0.25">
      <c r="A30" s="24">
        <v>2.4300000000000002</v>
      </c>
      <c r="B30" s="16" t="s">
        <v>54</v>
      </c>
      <c r="C30" s="28"/>
      <c r="D30" s="26">
        <v>43.23</v>
      </c>
      <c r="E30" s="26">
        <v>0</v>
      </c>
      <c r="F30" s="26">
        <v>3.99</v>
      </c>
      <c r="G30" s="26">
        <v>0</v>
      </c>
      <c r="H30" s="26">
        <f t="shared" si="0"/>
        <v>39.24</v>
      </c>
    </row>
    <row r="31" spans="1:8" x14ac:dyDescent="0.25">
      <c r="A31" s="24">
        <v>2.44</v>
      </c>
      <c r="B31" s="16" t="s">
        <v>56</v>
      </c>
      <c r="C31" s="28"/>
      <c r="D31" s="26">
        <v>106.32627968999999</v>
      </c>
      <c r="E31" s="26">
        <v>12.375</v>
      </c>
      <c r="F31" s="26">
        <v>7.1400000000000006</v>
      </c>
      <c r="G31" s="26">
        <v>0</v>
      </c>
      <c r="H31" s="26">
        <f t="shared" si="0"/>
        <v>86.81</v>
      </c>
    </row>
    <row r="32" spans="1:8" x14ac:dyDescent="0.25">
      <c r="A32" s="24">
        <v>2.4500000000000002</v>
      </c>
      <c r="B32" s="16" t="s">
        <v>57</v>
      </c>
      <c r="C32" s="28"/>
      <c r="D32" s="26">
        <v>103.551650958</v>
      </c>
      <c r="E32" s="26">
        <v>8.7749999999999986</v>
      </c>
      <c r="F32" s="26">
        <v>2.94</v>
      </c>
      <c r="G32" s="26">
        <v>0</v>
      </c>
      <c r="H32" s="26">
        <f t="shared" si="0"/>
        <v>91.84</v>
      </c>
    </row>
    <row r="33" spans="1:8" x14ac:dyDescent="0.25">
      <c r="A33" s="24">
        <v>2.46</v>
      </c>
      <c r="B33" s="16" t="s">
        <v>55</v>
      </c>
      <c r="C33" s="28"/>
      <c r="D33" s="26">
        <v>90.075600393000016</v>
      </c>
      <c r="E33" s="26">
        <v>0</v>
      </c>
      <c r="F33" s="26">
        <v>2.2050000000000001</v>
      </c>
      <c r="G33" s="26">
        <v>0</v>
      </c>
      <c r="H33" s="26">
        <f t="shared" si="0"/>
        <v>87.87</v>
      </c>
    </row>
    <row r="34" spans="1:8" ht="39" x14ac:dyDescent="0.25">
      <c r="A34" s="24">
        <v>2.4700000000000002</v>
      </c>
      <c r="B34" s="16" t="s">
        <v>77</v>
      </c>
      <c r="C34" s="28"/>
      <c r="D34" s="26">
        <v>153.33546594000003</v>
      </c>
      <c r="E34" s="26">
        <v>11.925000000000001</v>
      </c>
      <c r="F34" s="26">
        <v>8.1795000000000009</v>
      </c>
      <c r="G34" s="26">
        <v>0</v>
      </c>
      <c r="H34" s="26">
        <f t="shared" si="0"/>
        <v>133.22999999999999</v>
      </c>
    </row>
    <row r="35" spans="1:8" ht="26.25" x14ac:dyDescent="0.25">
      <c r="A35" s="24">
        <v>2.48</v>
      </c>
      <c r="B35" s="16" t="s">
        <v>78</v>
      </c>
      <c r="C35" s="28"/>
      <c r="D35" s="26">
        <v>42.329278977000001</v>
      </c>
      <c r="E35" s="26">
        <v>0</v>
      </c>
      <c r="F35" s="26">
        <v>1.9950000000000001</v>
      </c>
      <c r="G35" s="26">
        <v>0</v>
      </c>
      <c r="H35" s="26">
        <f t="shared" si="0"/>
        <v>40.33</v>
      </c>
    </row>
    <row r="36" spans="1:8" x14ac:dyDescent="0.25">
      <c r="A36" s="24">
        <v>2.4900000000000002</v>
      </c>
      <c r="B36" s="16" t="s">
        <v>79</v>
      </c>
      <c r="C36" s="28"/>
      <c r="D36" s="26">
        <v>147.206162484</v>
      </c>
      <c r="E36" s="26">
        <v>11.25</v>
      </c>
      <c r="F36" s="26">
        <v>5.5754999999999999</v>
      </c>
      <c r="G36" s="26">
        <v>0</v>
      </c>
      <c r="H36" s="26">
        <f t="shared" si="0"/>
        <v>130.38</v>
      </c>
    </row>
    <row r="37" spans="1:8" x14ac:dyDescent="0.25">
      <c r="A37" s="24">
        <v>2.5</v>
      </c>
      <c r="B37" s="16" t="s">
        <v>80</v>
      </c>
      <c r="C37" s="28"/>
      <c r="D37" s="26">
        <v>41.295226023000005</v>
      </c>
      <c r="E37" s="26">
        <v>0</v>
      </c>
      <c r="F37" s="26">
        <v>2.31</v>
      </c>
      <c r="G37" s="26">
        <v>0</v>
      </c>
      <c r="H37" s="26">
        <f t="shared" si="0"/>
        <v>38.99</v>
      </c>
    </row>
    <row r="38" spans="1:8" x14ac:dyDescent="0.25">
      <c r="A38" s="24">
        <v>2.5099999999999998</v>
      </c>
      <c r="B38" s="16" t="s">
        <v>23</v>
      </c>
      <c r="C38" s="28"/>
      <c r="D38" s="26">
        <v>104.52963971100002</v>
      </c>
      <c r="E38" s="26">
        <v>0</v>
      </c>
      <c r="F38" s="26">
        <v>17.43</v>
      </c>
      <c r="G38" s="26">
        <v>5.04</v>
      </c>
      <c r="H38" s="26">
        <f t="shared" si="0"/>
        <v>82.06</v>
      </c>
    </row>
    <row r="39" spans="1:8" x14ac:dyDescent="0.25">
      <c r="A39" s="24">
        <v>2.52</v>
      </c>
      <c r="B39" s="16" t="s">
        <v>20</v>
      </c>
      <c r="C39" s="28"/>
      <c r="D39" s="26">
        <v>40.767565359000002</v>
      </c>
      <c r="E39" s="26">
        <v>0</v>
      </c>
      <c r="F39" s="26">
        <v>2.31</v>
      </c>
      <c r="G39" s="26">
        <v>0</v>
      </c>
      <c r="H39" s="26">
        <f t="shared" si="0"/>
        <v>38.46</v>
      </c>
    </row>
    <row r="40" spans="1:8" x14ac:dyDescent="0.25">
      <c r="A40" s="24">
        <v>2.5299999999999998</v>
      </c>
      <c r="B40" s="16" t="s">
        <v>81</v>
      </c>
      <c r="C40" s="28"/>
      <c r="D40" s="26">
        <v>40.599155034000006</v>
      </c>
      <c r="E40" s="26">
        <v>0</v>
      </c>
      <c r="F40" s="26">
        <v>2.31</v>
      </c>
      <c r="G40" s="26">
        <v>0</v>
      </c>
      <c r="H40" s="26">
        <f t="shared" si="0"/>
        <v>38.29</v>
      </c>
    </row>
    <row r="41" spans="1:8" x14ac:dyDescent="0.25">
      <c r="A41" s="24">
        <v>2.5499999999999998</v>
      </c>
      <c r="B41" s="16" t="s">
        <v>76</v>
      </c>
      <c r="C41" s="28"/>
      <c r="D41" s="26">
        <v>44.220359999999999</v>
      </c>
      <c r="E41" s="26">
        <v>0</v>
      </c>
      <c r="F41" s="26">
        <v>2.94</v>
      </c>
      <c r="G41" s="26">
        <v>0</v>
      </c>
      <c r="H41" s="26">
        <f t="shared" si="0"/>
        <v>41.28</v>
      </c>
    </row>
    <row r="42" spans="1:8" x14ac:dyDescent="0.25">
      <c r="A42" s="24">
        <v>2.56</v>
      </c>
      <c r="B42" s="16" t="s">
        <v>23</v>
      </c>
      <c r="C42" s="28"/>
      <c r="D42" s="26">
        <v>190.821736749</v>
      </c>
      <c r="E42" s="26">
        <v>0</v>
      </c>
      <c r="F42" s="26">
        <v>20.369999999999997</v>
      </c>
      <c r="G42" s="26">
        <v>0</v>
      </c>
      <c r="H42" s="26">
        <f t="shared" si="0"/>
        <v>170.45</v>
      </c>
    </row>
    <row r="43" spans="1:8" x14ac:dyDescent="0.25">
      <c r="A43" s="24">
        <v>2.57</v>
      </c>
      <c r="B43" s="16" t="s">
        <v>59</v>
      </c>
      <c r="C43" s="28"/>
      <c r="D43" s="26"/>
      <c r="E43" s="26"/>
      <c r="F43" s="26"/>
      <c r="G43" s="26"/>
      <c r="H43" s="26">
        <f t="shared" si="0"/>
        <v>0</v>
      </c>
    </row>
    <row r="44" spans="1:8" x14ac:dyDescent="0.25">
      <c r="A44" s="24">
        <v>2.58</v>
      </c>
      <c r="B44" s="16" t="s">
        <v>74</v>
      </c>
      <c r="C44" s="28"/>
      <c r="D44" s="26"/>
      <c r="E44" s="26"/>
      <c r="F44" s="26"/>
      <c r="G44" s="26"/>
      <c r="H44" s="26">
        <f t="shared" si="0"/>
        <v>0</v>
      </c>
    </row>
    <row r="45" spans="1:8" x14ac:dyDescent="0.25">
      <c r="A45" s="24"/>
      <c r="B45" s="16"/>
      <c r="C45" s="28"/>
      <c r="D45" s="26"/>
      <c r="E45" s="26"/>
      <c r="F45" s="26"/>
      <c r="G45" s="26"/>
      <c r="H45" s="26"/>
    </row>
    <row r="46" spans="1:8" x14ac:dyDescent="0.25">
      <c r="A46" s="24">
        <v>3.22</v>
      </c>
      <c r="B46" s="16" t="s">
        <v>43</v>
      </c>
      <c r="C46" s="28"/>
      <c r="D46" s="26">
        <v>49.642459170000002</v>
      </c>
      <c r="E46" s="26">
        <v>0</v>
      </c>
      <c r="F46" s="26">
        <v>1.9950000000000001</v>
      </c>
      <c r="G46" s="26">
        <v>0</v>
      </c>
      <c r="H46" s="26">
        <f t="shared" si="0"/>
        <v>47.65</v>
      </c>
    </row>
    <row r="47" spans="1:8" x14ac:dyDescent="0.25">
      <c r="A47" s="24">
        <v>3.23</v>
      </c>
      <c r="B47" s="16" t="s">
        <v>53</v>
      </c>
      <c r="C47" s="28"/>
      <c r="D47" s="26">
        <v>98.297160000000005</v>
      </c>
      <c r="E47" s="26">
        <v>2.0249999999999999</v>
      </c>
      <c r="F47" s="26">
        <v>5.88</v>
      </c>
      <c r="G47" s="26">
        <v>0</v>
      </c>
      <c r="H47" s="26">
        <f t="shared" si="0"/>
        <v>90.39</v>
      </c>
    </row>
    <row r="48" spans="1:8" x14ac:dyDescent="0.25">
      <c r="A48" s="24">
        <v>3.24</v>
      </c>
      <c r="B48" s="16" t="s">
        <v>54</v>
      </c>
      <c r="C48" s="28"/>
      <c r="D48" s="26">
        <v>42.459720000000004</v>
      </c>
      <c r="E48" s="26">
        <v>0</v>
      </c>
      <c r="F48" s="26">
        <v>3.99</v>
      </c>
      <c r="G48" s="26">
        <v>0</v>
      </c>
      <c r="H48" s="26">
        <f t="shared" si="0"/>
        <v>38.47</v>
      </c>
    </row>
    <row r="49" spans="1:8" x14ac:dyDescent="0.25">
      <c r="A49" s="24">
        <v>3.25</v>
      </c>
      <c r="B49" s="16" t="s">
        <v>56</v>
      </c>
      <c r="C49" s="28"/>
      <c r="D49" s="26">
        <v>107.02962589500001</v>
      </c>
      <c r="E49" s="26">
        <v>11.25</v>
      </c>
      <c r="F49" s="26">
        <v>7.14</v>
      </c>
      <c r="G49" s="26">
        <v>0</v>
      </c>
      <c r="H49" s="26">
        <f t="shared" si="0"/>
        <v>88.64</v>
      </c>
    </row>
    <row r="50" spans="1:8" x14ac:dyDescent="0.25">
      <c r="A50" s="24">
        <v>3.26</v>
      </c>
      <c r="B50" s="16" t="s">
        <v>57</v>
      </c>
      <c r="C50" s="28"/>
      <c r="D50" s="26">
        <v>103.614568293</v>
      </c>
      <c r="E50" s="26">
        <v>7.1999999999999993</v>
      </c>
      <c r="F50" s="26">
        <v>3.0449999999999999</v>
      </c>
      <c r="G50" s="26">
        <v>0</v>
      </c>
      <c r="H50" s="26">
        <f t="shared" si="0"/>
        <v>93.37</v>
      </c>
    </row>
    <row r="51" spans="1:8" x14ac:dyDescent="0.25">
      <c r="A51" s="24">
        <v>3.27</v>
      </c>
      <c r="B51" s="16" t="s">
        <v>55</v>
      </c>
      <c r="C51" s="28"/>
      <c r="D51" s="26">
        <v>88.543935162000011</v>
      </c>
      <c r="E51" s="26">
        <v>0</v>
      </c>
      <c r="F51" s="26">
        <v>2.2050000000000001</v>
      </c>
      <c r="G51" s="26">
        <v>0</v>
      </c>
      <c r="H51" s="26">
        <f t="shared" si="0"/>
        <v>86.34</v>
      </c>
    </row>
    <row r="52" spans="1:8" x14ac:dyDescent="0.25">
      <c r="A52" s="24">
        <v>3.28</v>
      </c>
      <c r="B52" s="16" t="s">
        <v>53</v>
      </c>
      <c r="C52" s="28"/>
      <c r="D52" s="26">
        <v>98.800199606999996</v>
      </c>
      <c r="E52" s="26">
        <v>2.0249999999999999</v>
      </c>
      <c r="F52" s="26">
        <v>5.88</v>
      </c>
      <c r="G52" s="26">
        <v>0</v>
      </c>
      <c r="H52" s="26">
        <f t="shared" si="0"/>
        <v>90.9</v>
      </c>
    </row>
    <row r="53" spans="1:8" x14ac:dyDescent="0.25">
      <c r="A53" s="24">
        <v>3.29</v>
      </c>
      <c r="B53" s="16" t="s">
        <v>56</v>
      </c>
      <c r="C53" s="28"/>
      <c r="D53" s="26">
        <v>106.32627968999999</v>
      </c>
      <c r="E53" s="26">
        <v>11.25</v>
      </c>
      <c r="F53" s="26">
        <v>7.14</v>
      </c>
      <c r="G53" s="26">
        <v>0</v>
      </c>
      <c r="H53" s="26">
        <f t="shared" si="0"/>
        <v>87.94</v>
      </c>
    </row>
    <row r="54" spans="1:8" x14ac:dyDescent="0.25">
      <c r="A54" s="24">
        <v>3.3</v>
      </c>
      <c r="B54" s="16" t="s">
        <v>57</v>
      </c>
      <c r="C54" s="28"/>
      <c r="D54" s="26">
        <v>103.551650958</v>
      </c>
      <c r="E54" s="26">
        <v>9.8999999999999986</v>
      </c>
      <c r="F54" s="26">
        <v>2.94</v>
      </c>
      <c r="G54" s="26">
        <v>0</v>
      </c>
      <c r="H54" s="26">
        <f t="shared" si="0"/>
        <v>90.71</v>
      </c>
    </row>
    <row r="55" spans="1:8" x14ac:dyDescent="0.25">
      <c r="A55" s="24">
        <v>3.31</v>
      </c>
      <c r="B55" s="16" t="s">
        <v>54</v>
      </c>
      <c r="C55" s="28"/>
      <c r="D55" s="26">
        <v>98.800199606999996</v>
      </c>
      <c r="E55" s="26">
        <v>2.0249999999999999</v>
      </c>
      <c r="F55" s="26">
        <v>5.88</v>
      </c>
      <c r="G55" s="26">
        <v>0</v>
      </c>
      <c r="H55" s="26">
        <f t="shared" si="0"/>
        <v>90.9</v>
      </c>
    </row>
    <row r="56" spans="1:8" x14ac:dyDescent="0.25">
      <c r="A56" s="24">
        <v>3.32</v>
      </c>
      <c r="B56" s="16" t="s">
        <v>55</v>
      </c>
      <c r="C56" s="28"/>
      <c r="D56" s="26">
        <v>90.075600393000016</v>
      </c>
      <c r="E56" s="26">
        <v>0</v>
      </c>
      <c r="F56" s="26">
        <v>2.2050000000000001</v>
      </c>
      <c r="G56" s="26">
        <v>0</v>
      </c>
      <c r="H56" s="26">
        <f t="shared" si="0"/>
        <v>87.87</v>
      </c>
    </row>
    <row r="57" spans="1:8" ht="39" x14ac:dyDescent="0.25">
      <c r="A57" s="24">
        <v>3.33</v>
      </c>
      <c r="B57" s="16" t="s">
        <v>91</v>
      </c>
      <c r="C57" s="28"/>
      <c r="D57" s="26">
        <v>148.548967242</v>
      </c>
      <c r="E57" s="26">
        <v>12.442500000000001</v>
      </c>
      <c r="F57" s="26">
        <v>5.04</v>
      </c>
      <c r="G57" s="26">
        <v>0</v>
      </c>
      <c r="H57" s="26">
        <f t="shared" si="0"/>
        <v>131.07</v>
      </c>
    </row>
    <row r="58" spans="1:8" x14ac:dyDescent="0.25">
      <c r="A58" s="24">
        <v>3.34</v>
      </c>
      <c r="B58" s="16" t="s">
        <v>86</v>
      </c>
      <c r="C58" s="28"/>
      <c r="D58" s="26">
        <v>42.167083947000002</v>
      </c>
      <c r="E58" s="26">
        <v>0</v>
      </c>
      <c r="F58" s="26">
        <v>1.9950000000000001</v>
      </c>
      <c r="G58" s="26">
        <v>0</v>
      </c>
      <c r="H58" s="26">
        <f t="shared" si="0"/>
        <v>40.17</v>
      </c>
    </row>
    <row r="59" spans="1:8" ht="39" x14ac:dyDescent="0.25">
      <c r="A59" s="24">
        <v>3.35</v>
      </c>
      <c r="B59" s="16" t="s">
        <v>87</v>
      </c>
      <c r="C59" s="28"/>
      <c r="D59" s="26">
        <v>142.01463916500003</v>
      </c>
      <c r="E59" s="26">
        <v>11.25</v>
      </c>
      <c r="F59" s="26">
        <v>8.6204999999999998</v>
      </c>
      <c r="G59" s="26">
        <v>0</v>
      </c>
      <c r="H59" s="26">
        <f t="shared" si="0"/>
        <v>122.14</v>
      </c>
    </row>
    <row r="60" spans="1:8" ht="26.25" x14ac:dyDescent="0.25">
      <c r="A60" s="24">
        <v>3.36</v>
      </c>
      <c r="B60" s="16" t="s">
        <v>88</v>
      </c>
      <c r="C60" s="28"/>
      <c r="D60" s="26">
        <v>40.137596970000004</v>
      </c>
      <c r="E60" s="26">
        <v>0</v>
      </c>
      <c r="F60" s="26">
        <v>2.31</v>
      </c>
      <c r="G60" s="26">
        <v>0</v>
      </c>
      <c r="H60" s="26">
        <f t="shared" si="0"/>
        <v>37.83</v>
      </c>
    </row>
    <row r="61" spans="1:8" x14ac:dyDescent="0.25">
      <c r="A61" s="24">
        <v>3.37</v>
      </c>
      <c r="B61" s="16" t="s">
        <v>89</v>
      </c>
      <c r="C61" s="28"/>
      <c r="D61" s="26">
        <v>40.380751572000008</v>
      </c>
      <c r="E61" s="26">
        <v>0</v>
      </c>
      <c r="F61" s="26">
        <v>2.31</v>
      </c>
      <c r="G61" s="26">
        <v>0</v>
      </c>
      <c r="H61" s="26">
        <f t="shared" si="0"/>
        <v>38.07</v>
      </c>
    </row>
    <row r="62" spans="1:8" x14ac:dyDescent="0.25">
      <c r="A62" s="24">
        <v>3.39</v>
      </c>
      <c r="B62" s="16" t="s">
        <v>76</v>
      </c>
      <c r="C62" s="28"/>
      <c r="D62" s="26">
        <v>44.216434323000001</v>
      </c>
      <c r="E62" s="26">
        <v>0</v>
      </c>
      <c r="F62" s="26">
        <v>2.94</v>
      </c>
      <c r="G62" s="26">
        <v>0</v>
      </c>
      <c r="H62" s="26">
        <f t="shared" si="0"/>
        <v>41.28</v>
      </c>
    </row>
    <row r="63" spans="1:8" x14ac:dyDescent="0.25">
      <c r="A63" s="24">
        <v>3.4</v>
      </c>
      <c r="B63" s="16" t="s">
        <v>20</v>
      </c>
      <c r="C63" s="28"/>
      <c r="D63" s="26">
        <v>41.861939097000004</v>
      </c>
      <c r="E63" s="26">
        <v>0</v>
      </c>
      <c r="F63" s="26">
        <v>2.31</v>
      </c>
      <c r="G63" s="26">
        <v>0</v>
      </c>
      <c r="H63" s="26">
        <f t="shared" si="0"/>
        <v>39.549999999999997</v>
      </c>
    </row>
    <row r="64" spans="1:8" x14ac:dyDescent="0.25">
      <c r="A64" s="24">
        <v>3.41</v>
      </c>
      <c r="B64" s="16" t="s">
        <v>23</v>
      </c>
      <c r="C64" s="28"/>
      <c r="D64" s="26">
        <v>104.67865234200002</v>
      </c>
      <c r="E64" s="26">
        <v>0</v>
      </c>
      <c r="F64" s="26">
        <v>17.43</v>
      </c>
      <c r="G64" s="26">
        <v>5.04</v>
      </c>
      <c r="H64" s="26">
        <f t="shared" si="0"/>
        <v>82.21</v>
      </c>
    </row>
    <row r="65" spans="1:8" x14ac:dyDescent="0.25">
      <c r="A65" s="24">
        <v>3.42</v>
      </c>
      <c r="B65" s="16" t="s">
        <v>23</v>
      </c>
      <c r="C65" s="28"/>
      <c r="D65" s="26">
        <v>190.91155965000002</v>
      </c>
      <c r="E65" s="26">
        <v>0</v>
      </c>
      <c r="F65" s="26">
        <v>20.275500000000001</v>
      </c>
      <c r="G65" s="26">
        <v>0</v>
      </c>
      <c r="H65" s="26">
        <f t="shared" si="0"/>
        <v>170.64</v>
      </c>
    </row>
    <row r="66" spans="1:8" x14ac:dyDescent="0.25">
      <c r="A66" s="24">
        <v>3.44</v>
      </c>
      <c r="B66" s="16" t="s">
        <v>23</v>
      </c>
      <c r="C66" s="28"/>
      <c r="D66" s="26"/>
      <c r="E66" s="26"/>
      <c r="F66" s="26"/>
      <c r="G66" s="26"/>
      <c r="H66" s="26"/>
    </row>
    <row r="67" spans="1:8" x14ac:dyDescent="0.25">
      <c r="A67" s="24">
        <v>3.45</v>
      </c>
      <c r="B67" s="16" t="s">
        <v>74</v>
      </c>
      <c r="C67" s="28"/>
      <c r="D67" s="26"/>
      <c r="E67" s="26"/>
      <c r="F67" s="26"/>
      <c r="G67" s="26"/>
      <c r="H67" s="26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9</vt:i4>
      </vt:variant>
    </vt:vector>
  </HeadingPairs>
  <TitlesOfParts>
    <vt:vector size="9" baseType="lpstr">
      <vt:lpstr>Лист1</vt:lpstr>
      <vt:lpstr>1эт</vt:lpstr>
      <vt:lpstr>2эт</vt:lpstr>
      <vt:lpstr>3эт</vt:lpstr>
      <vt:lpstr>Реестр</vt:lpstr>
      <vt:lpstr>Расчет</vt:lpstr>
      <vt:lpstr>СадПол</vt:lpstr>
      <vt:lpstr>СадОтксы</vt:lpstr>
      <vt:lpstr>СадСтены</vt:lpstr>
    </vt:vector>
  </TitlesOfParts>
  <Company>SPecialiST RePack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МирзаяновИИ</dc:creator>
  <cp:lastModifiedBy>МирзаяновИИ</cp:lastModifiedBy>
  <dcterms:created xsi:type="dcterms:W3CDTF">2025-11-18T09:13:38Z</dcterms:created>
  <dcterms:modified xsi:type="dcterms:W3CDTF">2025-11-20T12:39:25Z</dcterms:modified>
</cp:coreProperties>
</file>