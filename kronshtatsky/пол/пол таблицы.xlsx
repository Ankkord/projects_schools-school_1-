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kronshtatsky\пол\"/>
    </mc:Choice>
  </mc:AlternateContent>
  <bookViews>
    <workbookView xWindow="0" yWindow="0" windowWidth="16056" windowHeight="8520" activeTab="3"/>
  </bookViews>
  <sheets>
    <sheet name="7.6Плнтс" sheetId="61" r:id="rId1"/>
    <sheet name="7.5Линол" sheetId="60" r:id="rId2"/>
    <sheet name="7.4ПлЛш" sheetId="59" r:id="rId3"/>
    <sheet name="7.3Плт" sheetId="58" r:id="rId4"/>
    <sheet name="7.1Стж" sheetId="57" r:id="rId5"/>
    <sheet name="6.4Гр" sheetId="56" r:id="rId6"/>
    <sheet name="6.3ПлинКер" sheetId="54" r:id="rId7"/>
    <sheet name="6.2Плинт" sheetId="53" r:id="rId8"/>
    <sheet name="6.1НалПл" sheetId="52" r:id="rId9"/>
    <sheet name="Общ" sheetId="25" r:id="rId10"/>
    <sheet name="469" sheetId="50" state="hidden" r:id="rId11"/>
    <sheet name="459" sheetId="49" state="hidden" r:id="rId12"/>
    <sheet name="454" sheetId="47" state="hidden" r:id="rId13"/>
    <sheet name="449" sheetId="48" state="hidden" r:id="rId14"/>
    <sheet name="414" sheetId="46" state="hidden" r:id="rId15"/>
    <sheet name="409" sheetId="45" state="hidden" r:id="rId16"/>
    <sheet name="389" sheetId="44" state="hidden" r:id="rId17"/>
    <sheet name="370" sheetId="43" state="hidden" r:id="rId18"/>
    <sheet name="346" sheetId="42" state="hidden" r:id="rId19"/>
    <sheet name="336" sheetId="41" state="hidden" r:id="rId20"/>
    <sheet name="284" sheetId="40" state="hidden" r:id="rId21"/>
    <sheet name="211" sheetId="39" state="hidden" r:id="rId22"/>
    <sheet name="209" sheetId="38" state="hidden" r:id="rId23"/>
    <sheet name="207" sheetId="37" state="hidden" r:id="rId24"/>
    <sheet name="196 (2)" sheetId="51" state="hidden" r:id="rId25"/>
    <sheet name="196" sheetId="35" state="hidden" r:id="rId26"/>
    <sheet name="192" sheetId="34" state="hidden" r:id="rId27"/>
    <sheet name="188" sheetId="33" state="hidden" r:id="rId28"/>
    <sheet name="183" sheetId="32" state="hidden" r:id="rId29"/>
    <sheet name="179" sheetId="31" state="hidden" r:id="rId30"/>
    <sheet name="175" sheetId="30" state="hidden" r:id="rId31"/>
    <sheet name="170" sheetId="29" state="hidden" r:id="rId32"/>
    <sheet name="168пдвл" sheetId="28" r:id="rId33"/>
    <sheet name="ВОР" sheetId="19" r:id="rId34"/>
    <sheet name="Общи" sheetId="1" r:id="rId35"/>
    <sheet name="Тип Плиты" sheetId="6" r:id="rId36"/>
    <sheet name="1-Пл" sheetId="2" r:id="rId37"/>
    <sheet name="1Шл4в" sheetId="20" r:id="rId38"/>
    <sheet name="1-пом" sheetId="3" r:id="rId39"/>
    <sheet name="2-Пл" sheetId="4" r:id="rId40"/>
    <sheet name="3.5Нлв4в" sheetId="24" r:id="rId41"/>
    <sheet name="3.4Нлв4в" sheetId="23" r:id="rId42"/>
    <sheet name="3.3Нлв4в" sheetId="22" r:id="rId43"/>
    <sheet name="3.2Нлв4в" sheetId="21" r:id="rId44"/>
    <sheet name="3.1-Нал" sheetId="8" r:id="rId45"/>
    <sheet name="3.1-Пом" sheetId="10" r:id="rId46"/>
    <sheet name="4.Защ_вин" sheetId="11" r:id="rId47"/>
    <sheet name="2-пом" sheetId="5" r:id="rId48"/>
    <sheet name="5.3Л74в" sheetId="26" r:id="rId49"/>
    <sheet name="5.2.1Л14в" sheetId="27" r:id="rId50"/>
    <sheet name="5.1-Л4" sheetId="13" r:id="rId51"/>
    <sheet name="5.2 Л-1" sheetId="15" r:id="rId52"/>
    <sheet name="2-Пл (2)" sheetId="16" r:id="rId53"/>
    <sheet name="2.1КР3" sheetId="17" r:id="rId54"/>
    <sheet name="1.1КР1" sheetId="18" r:id="rId5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58" l="1"/>
  <c r="G4" i="58" s="1"/>
  <c r="G9" i="60" l="1"/>
  <c r="G4" i="60" s="1"/>
  <c r="B9" i="61"/>
  <c r="F3" i="61" s="1"/>
  <c r="B22" i="60" l="1"/>
  <c r="G3" i="60" s="1"/>
  <c r="B9" i="59"/>
  <c r="G3" i="59" s="1"/>
  <c r="B8" i="58"/>
  <c r="G3" i="58" s="1"/>
  <c r="B11" i="57" l="1"/>
  <c r="G3" i="57" s="1"/>
  <c r="B9" i="56" l="1"/>
  <c r="G3" i="56" s="1"/>
  <c r="B11" i="52" l="1"/>
  <c r="E8" i="52"/>
  <c r="G20" i="23"/>
  <c r="C21" i="23"/>
  <c r="J3" i="52" l="1"/>
  <c r="B7" i="54" l="1"/>
  <c r="G3" i="54" s="1"/>
  <c r="B9" i="53"/>
  <c r="F3" i="53" s="1"/>
  <c r="G24" i="51" l="1"/>
  <c r="C23" i="51"/>
  <c r="K16" i="51"/>
  <c r="K31" i="20" l="1"/>
  <c r="G36" i="20"/>
  <c r="C34" i="20"/>
  <c r="K3" i="20" s="1"/>
  <c r="G24" i="35" l="1"/>
  <c r="C24" i="35"/>
  <c r="K16" i="35"/>
  <c r="K3" i="35"/>
  <c r="G16" i="27" l="1"/>
  <c r="K17" i="27"/>
  <c r="C16" i="27"/>
  <c r="K3" i="27" s="1"/>
  <c r="I4" i="26" l="1"/>
  <c r="G20" i="26"/>
  <c r="C27" i="26"/>
  <c r="I3" i="26" s="1"/>
  <c r="C16" i="24"/>
  <c r="G21" i="24"/>
  <c r="J3" i="24" l="1"/>
  <c r="I3" i="23"/>
  <c r="C8" i="22"/>
  <c r="J3" i="22"/>
  <c r="C13" i="21"/>
  <c r="J3" i="21" s="1"/>
  <c r="K3" i="18" l="1"/>
  <c r="K24" i="17"/>
  <c r="G24" i="17"/>
  <c r="C24" i="17"/>
  <c r="K4" i="17" s="1"/>
  <c r="G8" i="18"/>
  <c r="C25" i="18"/>
  <c r="G19" i="17" l="1"/>
  <c r="K15" i="17"/>
  <c r="C12" i="17"/>
  <c r="E3" i="16"/>
  <c r="E23" i="6"/>
  <c r="E22" i="6"/>
  <c r="E21" i="6"/>
  <c r="E20" i="6"/>
  <c r="E19" i="6"/>
  <c r="E18" i="6"/>
  <c r="E17" i="6"/>
  <c r="E16" i="6"/>
  <c r="K3" i="17" l="1"/>
  <c r="K17" i="15"/>
  <c r="G12" i="15"/>
  <c r="C16" i="15"/>
  <c r="K3" i="15" l="1"/>
  <c r="F3" i="13"/>
  <c r="G30" i="11" l="1"/>
  <c r="K31" i="11"/>
  <c r="C21" i="11"/>
  <c r="H3" i="11" l="1"/>
  <c r="E3" i="8"/>
  <c r="C35" i="10"/>
  <c r="E4" i="8" s="1"/>
  <c r="C8" i="10"/>
  <c r="E3" i="6" l="1"/>
  <c r="E4" i="6"/>
  <c r="E5" i="6"/>
  <c r="E6" i="6"/>
  <c r="E7" i="6"/>
  <c r="E8" i="6"/>
  <c r="E9" i="6"/>
  <c r="E2" i="6"/>
  <c r="C25" i="5"/>
  <c r="E3" i="4" s="1"/>
  <c r="C15" i="3"/>
  <c r="E3" i="2" s="1"/>
  <c r="E239" i="1" l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32" i="1"/>
  <c r="E247" i="1"/>
  <c r="E248" i="1"/>
  <c r="E245" i="1"/>
  <c r="E246" i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F245" i="1" s="1"/>
  <c r="D233" i="1"/>
  <c r="F233" i="1" s="1"/>
  <c r="F246" i="1" s="1"/>
  <c r="D234" i="1"/>
  <c r="F234" i="1" s="1"/>
  <c r="D235" i="1"/>
  <c r="F235" i="1" s="1"/>
  <c r="D236" i="1"/>
  <c r="F236" i="1" s="1"/>
  <c r="F247" i="1" s="1"/>
  <c r="D237" i="1"/>
  <c r="F237" i="1" s="1"/>
  <c r="F248" i="1" s="1"/>
  <c r="D238" i="1"/>
  <c r="F238" i="1" s="1"/>
  <c r="D224" i="1"/>
  <c r="F224" i="1" s="1"/>
  <c r="E216" i="1"/>
  <c r="D239" i="1" l="1"/>
  <c r="D246" i="1"/>
  <c r="F249" i="1"/>
  <c r="D247" i="1"/>
  <c r="D248" i="1"/>
  <c r="D245" i="1"/>
  <c r="F239" i="1"/>
  <c r="J171" i="1"/>
  <c r="I171" i="1" s="1"/>
  <c r="E171" i="1" s="1"/>
  <c r="J172" i="1"/>
  <c r="I172" i="1" s="1"/>
  <c r="E172" i="1" s="1"/>
  <c r="J173" i="1"/>
  <c r="I173" i="1" s="1"/>
  <c r="E173" i="1" s="1"/>
  <c r="J174" i="1"/>
  <c r="I174" i="1" s="1"/>
  <c r="E174" i="1" s="1"/>
  <c r="J175" i="1"/>
  <c r="I175" i="1" s="1"/>
  <c r="E175" i="1" s="1"/>
  <c r="J176" i="1"/>
  <c r="I176" i="1" s="1"/>
  <c r="E176" i="1" s="1"/>
  <c r="J177" i="1"/>
  <c r="I177" i="1" s="1"/>
  <c r="E177" i="1" s="1"/>
  <c r="J178" i="1"/>
  <c r="I178" i="1" s="1"/>
  <c r="E178" i="1" s="1"/>
  <c r="J179" i="1"/>
  <c r="I179" i="1" s="1"/>
  <c r="E179" i="1" s="1"/>
  <c r="J180" i="1"/>
  <c r="I180" i="1" s="1"/>
  <c r="E180" i="1" s="1"/>
  <c r="J181" i="1"/>
  <c r="I181" i="1" s="1"/>
  <c r="E181" i="1" s="1"/>
  <c r="J182" i="1"/>
  <c r="I182" i="1" s="1"/>
  <c r="E182" i="1" s="1"/>
  <c r="J183" i="1"/>
  <c r="I183" i="1" s="1"/>
  <c r="E183" i="1" s="1"/>
  <c r="J184" i="1"/>
  <c r="I184" i="1" s="1"/>
  <c r="E184" i="1" s="1"/>
  <c r="J185" i="1"/>
  <c r="I185" i="1" s="1"/>
  <c r="E185" i="1" s="1"/>
  <c r="J186" i="1"/>
  <c r="I186" i="1" s="1"/>
  <c r="E186" i="1" s="1"/>
  <c r="J187" i="1"/>
  <c r="I187" i="1" s="1"/>
  <c r="E187" i="1" s="1"/>
  <c r="J188" i="1"/>
  <c r="I188" i="1" s="1"/>
  <c r="E188" i="1" s="1"/>
  <c r="J189" i="1"/>
  <c r="I189" i="1" s="1"/>
  <c r="E189" i="1" s="1"/>
  <c r="J190" i="1"/>
  <c r="I190" i="1" s="1"/>
  <c r="E190" i="1" s="1"/>
  <c r="J191" i="1"/>
  <c r="I191" i="1" s="1"/>
  <c r="E191" i="1" s="1"/>
  <c r="J192" i="1"/>
  <c r="I192" i="1" s="1"/>
  <c r="E192" i="1" s="1"/>
  <c r="J193" i="1"/>
  <c r="I193" i="1" s="1"/>
  <c r="E193" i="1" s="1"/>
  <c r="J194" i="1"/>
  <c r="I194" i="1" s="1"/>
  <c r="E194" i="1" s="1"/>
  <c r="J195" i="1"/>
  <c r="I195" i="1" s="1"/>
  <c r="E195" i="1" s="1"/>
  <c r="J196" i="1"/>
  <c r="I196" i="1" s="1"/>
  <c r="E196" i="1" s="1"/>
  <c r="J197" i="1"/>
  <c r="I197" i="1" s="1"/>
  <c r="E197" i="1" s="1"/>
  <c r="J198" i="1"/>
  <c r="I198" i="1" s="1"/>
  <c r="E198" i="1" s="1"/>
  <c r="J199" i="1"/>
  <c r="I199" i="1" s="1"/>
  <c r="E199" i="1" s="1"/>
  <c r="J200" i="1"/>
  <c r="I200" i="1" s="1"/>
  <c r="E200" i="1" s="1"/>
  <c r="J201" i="1"/>
  <c r="I201" i="1" s="1"/>
  <c r="E201" i="1" s="1"/>
  <c r="J202" i="1"/>
  <c r="I202" i="1" s="1"/>
  <c r="E202" i="1" s="1"/>
  <c r="J203" i="1"/>
  <c r="I203" i="1" s="1"/>
  <c r="E203" i="1" s="1"/>
  <c r="J204" i="1"/>
  <c r="I204" i="1" s="1"/>
  <c r="E204" i="1" s="1"/>
  <c r="J205" i="1"/>
  <c r="I205" i="1" s="1"/>
  <c r="E205" i="1" s="1"/>
  <c r="J206" i="1"/>
  <c r="I206" i="1" s="1"/>
  <c r="E206" i="1" s="1"/>
  <c r="J207" i="1"/>
  <c r="I207" i="1" s="1"/>
  <c r="E207" i="1" s="1"/>
  <c r="J208" i="1"/>
  <c r="I208" i="1" s="1"/>
  <c r="E208" i="1" s="1"/>
  <c r="J209" i="1"/>
  <c r="I209" i="1" s="1"/>
  <c r="E209" i="1" s="1"/>
  <c r="J210" i="1"/>
  <c r="I210" i="1" s="1"/>
  <c r="E210" i="1" s="1"/>
  <c r="J211" i="1"/>
  <c r="I211" i="1" s="1"/>
  <c r="E211" i="1" s="1"/>
  <c r="J212" i="1"/>
  <c r="I212" i="1" s="1"/>
  <c r="E212" i="1" s="1"/>
  <c r="J213" i="1"/>
  <c r="I213" i="1" s="1"/>
  <c r="E213" i="1" s="1"/>
  <c r="J214" i="1"/>
  <c r="I214" i="1" s="1"/>
  <c r="E214" i="1" s="1"/>
  <c r="J215" i="1"/>
  <c r="I215" i="1" s="1"/>
  <c r="E215" i="1" s="1"/>
  <c r="J138" i="1"/>
  <c r="I138" i="1" s="1"/>
  <c r="E138" i="1" s="1"/>
  <c r="J139" i="1"/>
  <c r="I139" i="1" s="1"/>
  <c r="E139" i="1" s="1"/>
  <c r="J140" i="1"/>
  <c r="I140" i="1" s="1"/>
  <c r="E140" i="1" s="1"/>
  <c r="J141" i="1"/>
  <c r="I141" i="1" s="1"/>
  <c r="E141" i="1" s="1"/>
  <c r="J142" i="1"/>
  <c r="I142" i="1" s="1"/>
  <c r="E142" i="1" s="1"/>
  <c r="J143" i="1"/>
  <c r="I143" i="1" s="1"/>
  <c r="E143" i="1" s="1"/>
  <c r="J144" i="1"/>
  <c r="I144" i="1" s="1"/>
  <c r="E144" i="1" s="1"/>
  <c r="J145" i="1"/>
  <c r="I145" i="1" s="1"/>
  <c r="E145" i="1" s="1"/>
  <c r="J146" i="1"/>
  <c r="I146" i="1" s="1"/>
  <c r="E146" i="1" s="1"/>
  <c r="J147" i="1"/>
  <c r="I147" i="1" s="1"/>
  <c r="E147" i="1" s="1"/>
  <c r="J148" i="1"/>
  <c r="I148" i="1" s="1"/>
  <c r="E148" i="1" s="1"/>
  <c r="J149" i="1"/>
  <c r="I149" i="1" s="1"/>
  <c r="E149" i="1" s="1"/>
  <c r="J150" i="1"/>
  <c r="I150" i="1" s="1"/>
  <c r="E150" i="1" s="1"/>
  <c r="J151" i="1"/>
  <c r="I151" i="1" s="1"/>
  <c r="E151" i="1" s="1"/>
  <c r="J152" i="1"/>
  <c r="I152" i="1" s="1"/>
  <c r="E152" i="1" s="1"/>
  <c r="J153" i="1"/>
  <c r="I153" i="1" s="1"/>
  <c r="E153" i="1" s="1"/>
  <c r="J154" i="1"/>
  <c r="I154" i="1" s="1"/>
  <c r="E154" i="1" s="1"/>
  <c r="J155" i="1"/>
  <c r="I155" i="1" s="1"/>
  <c r="E155" i="1" s="1"/>
  <c r="J156" i="1"/>
  <c r="I156" i="1" s="1"/>
  <c r="E156" i="1" s="1"/>
  <c r="J157" i="1"/>
  <c r="I157" i="1" s="1"/>
  <c r="E157" i="1" s="1"/>
  <c r="J158" i="1"/>
  <c r="I158" i="1" s="1"/>
  <c r="E158" i="1" s="1"/>
  <c r="J159" i="1"/>
  <c r="I159" i="1" s="1"/>
  <c r="E159" i="1" s="1"/>
  <c r="J160" i="1"/>
  <c r="I160" i="1" s="1"/>
  <c r="E160" i="1" s="1"/>
  <c r="J161" i="1"/>
  <c r="I161" i="1" s="1"/>
  <c r="E161" i="1" s="1"/>
  <c r="J162" i="1"/>
  <c r="I162" i="1" s="1"/>
  <c r="E162" i="1" s="1"/>
  <c r="J163" i="1"/>
  <c r="I163" i="1" s="1"/>
  <c r="E163" i="1" s="1"/>
  <c r="J164" i="1"/>
  <c r="I164" i="1" s="1"/>
  <c r="E164" i="1" s="1"/>
  <c r="J165" i="1"/>
  <c r="I165" i="1" s="1"/>
  <c r="E165" i="1" s="1"/>
  <c r="J166" i="1"/>
  <c r="I166" i="1" s="1"/>
  <c r="E166" i="1" s="1"/>
  <c r="J167" i="1"/>
  <c r="I167" i="1" s="1"/>
  <c r="E167" i="1" s="1"/>
  <c r="J168" i="1"/>
  <c r="I168" i="1" s="1"/>
  <c r="E168" i="1" s="1"/>
  <c r="J169" i="1"/>
  <c r="I169" i="1" s="1"/>
  <c r="E169" i="1" s="1"/>
  <c r="J170" i="1"/>
  <c r="I170" i="1" s="1"/>
  <c r="E170" i="1" s="1"/>
  <c r="J113" i="1"/>
  <c r="I113" i="1" s="1"/>
  <c r="E113" i="1" s="1"/>
  <c r="J114" i="1"/>
  <c r="I114" i="1" s="1"/>
  <c r="E114" i="1" s="1"/>
  <c r="J115" i="1"/>
  <c r="I115" i="1" s="1"/>
  <c r="E115" i="1" s="1"/>
  <c r="J116" i="1"/>
  <c r="I116" i="1" s="1"/>
  <c r="E116" i="1" s="1"/>
  <c r="J117" i="1"/>
  <c r="I117" i="1" s="1"/>
  <c r="E117" i="1" s="1"/>
  <c r="J118" i="1"/>
  <c r="I118" i="1" s="1"/>
  <c r="E118" i="1" s="1"/>
  <c r="J119" i="1"/>
  <c r="I119" i="1" s="1"/>
  <c r="E119" i="1" s="1"/>
  <c r="J120" i="1"/>
  <c r="I120" i="1" s="1"/>
  <c r="E120" i="1" s="1"/>
  <c r="J121" i="1"/>
  <c r="I121" i="1" s="1"/>
  <c r="E121" i="1" s="1"/>
  <c r="J122" i="1"/>
  <c r="I122" i="1" s="1"/>
  <c r="E122" i="1" s="1"/>
  <c r="J123" i="1"/>
  <c r="I123" i="1" s="1"/>
  <c r="E123" i="1" s="1"/>
  <c r="J124" i="1"/>
  <c r="I124" i="1" s="1"/>
  <c r="E124" i="1" s="1"/>
  <c r="J125" i="1"/>
  <c r="I125" i="1" s="1"/>
  <c r="E125" i="1" s="1"/>
  <c r="J126" i="1"/>
  <c r="I126" i="1" s="1"/>
  <c r="E126" i="1" s="1"/>
  <c r="J127" i="1"/>
  <c r="I127" i="1" s="1"/>
  <c r="E127" i="1" s="1"/>
  <c r="J128" i="1"/>
  <c r="I128" i="1" s="1"/>
  <c r="E128" i="1" s="1"/>
  <c r="J129" i="1"/>
  <c r="I129" i="1" s="1"/>
  <c r="E129" i="1" s="1"/>
  <c r="J130" i="1"/>
  <c r="I130" i="1" s="1"/>
  <c r="E130" i="1" s="1"/>
  <c r="J131" i="1"/>
  <c r="I131" i="1" s="1"/>
  <c r="E131" i="1" s="1"/>
  <c r="J132" i="1"/>
  <c r="I132" i="1" s="1"/>
  <c r="E132" i="1" s="1"/>
  <c r="J133" i="1"/>
  <c r="I133" i="1" s="1"/>
  <c r="E133" i="1" s="1"/>
  <c r="J134" i="1"/>
  <c r="I134" i="1" s="1"/>
  <c r="E134" i="1" s="1"/>
  <c r="J135" i="1"/>
  <c r="I135" i="1" s="1"/>
  <c r="E135" i="1" s="1"/>
  <c r="J136" i="1"/>
  <c r="I136" i="1" s="1"/>
  <c r="E136" i="1" s="1"/>
  <c r="J137" i="1"/>
  <c r="I137" i="1" s="1"/>
  <c r="E137" i="1" s="1"/>
  <c r="E34" i="1"/>
  <c r="J31" i="1"/>
  <c r="I31" i="1" s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I112" i="1" s="1"/>
  <c r="E112" i="1" s="1"/>
  <c r="J4" i="1"/>
  <c r="I4" i="1" s="1"/>
  <c r="J5" i="1"/>
  <c r="I5" i="1" s="1"/>
  <c r="J6" i="1"/>
  <c r="I6" i="1" s="1"/>
  <c r="J7" i="1"/>
  <c r="I7" i="1" s="1"/>
  <c r="J8" i="1"/>
  <c r="I8" i="1" s="1"/>
  <c r="J9" i="1"/>
  <c r="I9" i="1" s="1"/>
  <c r="J10" i="1"/>
  <c r="I10" i="1" s="1"/>
  <c r="J11" i="1"/>
  <c r="I11" i="1" s="1"/>
  <c r="J12" i="1"/>
  <c r="I12" i="1" s="1"/>
  <c r="J13" i="1"/>
  <c r="I13" i="1" s="1"/>
  <c r="J14" i="1"/>
  <c r="I14" i="1" s="1"/>
  <c r="J15" i="1"/>
  <c r="I15" i="1" s="1"/>
  <c r="J16" i="1"/>
  <c r="I16" i="1" s="1"/>
  <c r="J17" i="1"/>
  <c r="I17" i="1" s="1"/>
  <c r="J18" i="1"/>
  <c r="I18" i="1" s="1"/>
  <c r="J19" i="1"/>
  <c r="I19" i="1" s="1"/>
  <c r="J20" i="1"/>
  <c r="I20" i="1" s="1"/>
  <c r="J21" i="1"/>
  <c r="I21" i="1" s="1"/>
  <c r="J22" i="1"/>
  <c r="I22" i="1" s="1"/>
  <c r="J23" i="1"/>
  <c r="I23" i="1" s="1"/>
  <c r="J24" i="1"/>
  <c r="I24" i="1" s="1"/>
  <c r="J25" i="1"/>
  <c r="I25" i="1" s="1"/>
  <c r="J26" i="1"/>
  <c r="I26" i="1" s="1"/>
  <c r="J27" i="1"/>
  <c r="I27" i="1" s="1"/>
  <c r="J28" i="1"/>
  <c r="I28" i="1" s="1"/>
  <c r="J29" i="1"/>
  <c r="I29" i="1" s="1"/>
  <c r="J30" i="1"/>
  <c r="I30" i="1" s="1"/>
  <c r="J3" i="1"/>
  <c r="I3" i="1" s="1"/>
  <c r="P72" i="1"/>
  <c r="I38" i="1" l="1"/>
  <c r="E38" i="1" s="1"/>
  <c r="I54" i="1"/>
  <c r="E54" i="1" s="1"/>
  <c r="I101" i="1"/>
  <c r="E101" i="1" s="1"/>
  <c r="I37" i="1"/>
  <c r="E37" i="1" s="1"/>
  <c r="I100" i="1"/>
  <c r="E100" i="1" s="1"/>
  <c r="I84" i="1"/>
  <c r="E84" i="1" s="1"/>
  <c r="I36" i="1"/>
  <c r="E36" i="1" s="1"/>
  <c r="I99" i="1"/>
  <c r="E99" i="1" s="1"/>
  <c r="I67" i="1"/>
  <c r="E67" i="1" s="1"/>
  <c r="I98" i="1"/>
  <c r="E98" i="1" s="1"/>
  <c r="I82" i="1"/>
  <c r="E82" i="1" s="1"/>
  <c r="I50" i="1"/>
  <c r="E50" i="1" s="1"/>
  <c r="I81" i="1"/>
  <c r="E81" i="1" s="1"/>
  <c r="I49" i="1"/>
  <c r="E49" i="1" s="1"/>
  <c r="I96" i="1"/>
  <c r="E96" i="1" s="1"/>
  <c r="I48" i="1"/>
  <c r="E48" i="1" s="1"/>
  <c r="I63" i="1"/>
  <c r="E63" i="1" s="1"/>
  <c r="I86" i="1"/>
  <c r="E86" i="1" s="1"/>
  <c r="I69" i="1"/>
  <c r="E69" i="1" s="1"/>
  <c r="I68" i="1"/>
  <c r="E68" i="1" s="1"/>
  <c r="I52" i="1"/>
  <c r="E52" i="1" s="1"/>
  <c r="I83" i="1"/>
  <c r="E83" i="1" s="1"/>
  <c r="I51" i="1"/>
  <c r="E51" i="1" s="1"/>
  <c r="I35" i="1"/>
  <c r="E35" i="1" s="1"/>
  <c r="I66" i="1"/>
  <c r="E66" i="1" s="1"/>
  <c r="I97" i="1"/>
  <c r="E97" i="1" s="1"/>
  <c r="I65" i="1"/>
  <c r="E65" i="1" s="1"/>
  <c r="I33" i="1"/>
  <c r="E33" i="1" s="1"/>
  <c r="I80" i="1"/>
  <c r="E80" i="1" s="1"/>
  <c r="I64" i="1"/>
  <c r="E64" i="1" s="1"/>
  <c r="I32" i="1"/>
  <c r="E32" i="1" s="1"/>
  <c r="I111" i="1"/>
  <c r="E111" i="1" s="1"/>
  <c r="I95" i="1"/>
  <c r="E95" i="1" s="1"/>
  <c r="I79" i="1"/>
  <c r="E79" i="1" s="1"/>
  <c r="I47" i="1"/>
  <c r="E47" i="1" s="1"/>
  <c r="I110" i="1"/>
  <c r="E110" i="1" s="1"/>
  <c r="I94" i="1"/>
  <c r="E94" i="1" s="1"/>
  <c r="I78" i="1"/>
  <c r="E78" i="1" s="1"/>
  <c r="I62" i="1"/>
  <c r="E62" i="1" s="1"/>
  <c r="I46" i="1"/>
  <c r="E46" i="1" s="1"/>
  <c r="I109" i="1"/>
  <c r="E109" i="1" s="1"/>
  <c r="I93" i="1"/>
  <c r="E93" i="1" s="1"/>
  <c r="I77" i="1"/>
  <c r="E77" i="1" s="1"/>
  <c r="I61" i="1"/>
  <c r="E61" i="1" s="1"/>
  <c r="I45" i="1"/>
  <c r="E45" i="1" s="1"/>
  <c r="I102" i="1"/>
  <c r="E102" i="1" s="1"/>
  <c r="I85" i="1"/>
  <c r="E85" i="1" s="1"/>
  <c r="I108" i="1"/>
  <c r="E108" i="1" s="1"/>
  <c r="I76" i="1"/>
  <c r="E76" i="1" s="1"/>
  <c r="I44" i="1"/>
  <c r="E44" i="1" s="1"/>
  <c r="I107" i="1"/>
  <c r="E107" i="1" s="1"/>
  <c r="I91" i="1"/>
  <c r="E91" i="1" s="1"/>
  <c r="I75" i="1"/>
  <c r="E75" i="1" s="1"/>
  <c r="I59" i="1"/>
  <c r="E59" i="1" s="1"/>
  <c r="I43" i="1"/>
  <c r="E43" i="1" s="1"/>
  <c r="I106" i="1"/>
  <c r="E106" i="1" s="1"/>
  <c r="I90" i="1"/>
  <c r="E90" i="1" s="1"/>
  <c r="I74" i="1"/>
  <c r="E74" i="1" s="1"/>
  <c r="I58" i="1"/>
  <c r="E58" i="1" s="1"/>
  <c r="I42" i="1"/>
  <c r="E42" i="1" s="1"/>
  <c r="I105" i="1"/>
  <c r="E105" i="1" s="1"/>
  <c r="I89" i="1"/>
  <c r="E89" i="1" s="1"/>
  <c r="I73" i="1"/>
  <c r="E73" i="1" s="1"/>
  <c r="I57" i="1"/>
  <c r="E57" i="1" s="1"/>
  <c r="I41" i="1"/>
  <c r="E41" i="1" s="1"/>
  <c r="I104" i="1"/>
  <c r="E104" i="1" s="1"/>
  <c r="I88" i="1"/>
  <c r="E88" i="1" s="1"/>
  <c r="I72" i="1"/>
  <c r="E72" i="1" s="1"/>
  <c r="I56" i="1"/>
  <c r="E56" i="1" s="1"/>
  <c r="I40" i="1"/>
  <c r="E40" i="1" s="1"/>
  <c r="I70" i="1"/>
  <c r="E70" i="1" s="1"/>
  <c r="I53" i="1"/>
  <c r="E53" i="1" s="1"/>
  <c r="I92" i="1"/>
  <c r="E92" i="1" s="1"/>
  <c r="I60" i="1"/>
  <c r="E60" i="1" s="1"/>
  <c r="I103" i="1"/>
  <c r="E103" i="1" s="1"/>
  <c r="I87" i="1"/>
  <c r="E87" i="1" s="1"/>
  <c r="I71" i="1"/>
  <c r="E71" i="1" s="1"/>
  <c r="I55" i="1"/>
  <c r="E55" i="1" s="1"/>
  <c r="I39" i="1"/>
  <c r="E39" i="1" s="1"/>
  <c r="P171" i="1"/>
  <c r="O171" i="1" s="1"/>
  <c r="P172" i="1"/>
  <c r="O172" i="1" s="1"/>
  <c r="P173" i="1"/>
  <c r="O173" i="1" s="1"/>
  <c r="P174" i="1"/>
  <c r="O174" i="1" s="1"/>
  <c r="P175" i="1"/>
  <c r="O175" i="1" s="1"/>
  <c r="P176" i="1"/>
  <c r="O176" i="1" s="1"/>
  <c r="P177" i="1"/>
  <c r="O177" i="1" s="1"/>
  <c r="P178" i="1"/>
  <c r="O178" i="1" s="1"/>
  <c r="P179" i="1"/>
  <c r="O179" i="1" s="1"/>
  <c r="P180" i="1"/>
  <c r="O180" i="1" s="1"/>
  <c r="P181" i="1"/>
  <c r="O181" i="1" s="1"/>
  <c r="P182" i="1"/>
  <c r="O182" i="1" s="1"/>
  <c r="P183" i="1"/>
  <c r="O183" i="1" s="1"/>
  <c r="P184" i="1"/>
  <c r="O184" i="1" s="1"/>
  <c r="P185" i="1"/>
  <c r="O185" i="1" s="1"/>
  <c r="P186" i="1"/>
  <c r="O186" i="1" s="1"/>
  <c r="P187" i="1"/>
  <c r="O187" i="1" s="1"/>
  <c r="P188" i="1"/>
  <c r="O188" i="1" s="1"/>
  <c r="P189" i="1"/>
  <c r="O189" i="1" s="1"/>
  <c r="P190" i="1"/>
  <c r="O190" i="1" s="1"/>
  <c r="P191" i="1"/>
  <c r="O191" i="1" s="1"/>
  <c r="P192" i="1"/>
  <c r="O192" i="1" s="1"/>
  <c r="P193" i="1"/>
  <c r="O193" i="1" s="1"/>
  <c r="P194" i="1"/>
  <c r="O194" i="1" s="1"/>
  <c r="P195" i="1"/>
  <c r="O195" i="1" s="1"/>
  <c r="P196" i="1"/>
  <c r="O196" i="1" s="1"/>
  <c r="P197" i="1"/>
  <c r="O197" i="1" s="1"/>
  <c r="P198" i="1"/>
  <c r="O198" i="1" s="1"/>
  <c r="P199" i="1"/>
  <c r="O199" i="1" s="1"/>
  <c r="P200" i="1"/>
  <c r="O200" i="1" s="1"/>
  <c r="P201" i="1"/>
  <c r="O201" i="1" s="1"/>
  <c r="P202" i="1"/>
  <c r="O202" i="1" s="1"/>
  <c r="P203" i="1"/>
  <c r="O203" i="1" s="1"/>
  <c r="P204" i="1"/>
  <c r="O204" i="1" s="1"/>
  <c r="P205" i="1"/>
  <c r="O205" i="1" s="1"/>
  <c r="P206" i="1"/>
  <c r="O206" i="1" s="1"/>
  <c r="P207" i="1"/>
  <c r="O207" i="1" s="1"/>
  <c r="P208" i="1"/>
  <c r="O208" i="1" s="1"/>
  <c r="P209" i="1"/>
  <c r="O209" i="1" s="1"/>
  <c r="P210" i="1"/>
  <c r="O210" i="1" s="1"/>
  <c r="P211" i="1"/>
  <c r="O211" i="1" s="1"/>
  <c r="P212" i="1"/>
  <c r="O212" i="1" s="1"/>
  <c r="P213" i="1"/>
  <c r="O213" i="1" s="1"/>
  <c r="P214" i="1"/>
  <c r="O214" i="1" s="1"/>
  <c r="P215" i="1"/>
  <c r="O215" i="1" s="1"/>
  <c r="P162" i="1"/>
  <c r="O162" i="1" s="1"/>
  <c r="P163" i="1"/>
  <c r="O163" i="1" s="1"/>
  <c r="P164" i="1"/>
  <c r="O164" i="1" s="1"/>
  <c r="P165" i="1"/>
  <c r="O165" i="1" s="1"/>
  <c r="P166" i="1"/>
  <c r="O166" i="1" s="1"/>
  <c r="P167" i="1"/>
  <c r="O167" i="1" s="1"/>
  <c r="P168" i="1"/>
  <c r="O168" i="1" s="1"/>
  <c r="P169" i="1"/>
  <c r="O169" i="1" s="1"/>
  <c r="P170" i="1"/>
  <c r="O170" i="1" s="1"/>
  <c r="P113" i="1"/>
  <c r="O113" i="1" s="1"/>
  <c r="P114" i="1"/>
  <c r="O114" i="1" s="1"/>
  <c r="P115" i="1"/>
  <c r="O115" i="1" s="1"/>
  <c r="P116" i="1"/>
  <c r="O116" i="1" s="1"/>
  <c r="P117" i="1"/>
  <c r="O117" i="1" s="1"/>
  <c r="P118" i="1"/>
  <c r="O118" i="1" s="1"/>
  <c r="P119" i="1"/>
  <c r="O119" i="1" s="1"/>
  <c r="P120" i="1"/>
  <c r="O120" i="1" s="1"/>
  <c r="P121" i="1"/>
  <c r="O121" i="1" s="1"/>
  <c r="P122" i="1"/>
  <c r="O122" i="1" s="1"/>
  <c r="P123" i="1"/>
  <c r="O123" i="1" s="1"/>
  <c r="P124" i="1"/>
  <c r="O124" i="1" s="1"/>
  <c r="P125" i="1"/>
  <c r="O125" i="1" s="1"/>
  <c r="P126" i="1"/>
  <c r="O126" i="1" s="1"/>
  <c r="P127" i="1"/>
  <c r="O127" i="1" s="1"/>
  <c r="P128" i="1"/>
  <c r="O128" i="1" s="1"/>
  <c r="P129" i="1"/>
  <c r="O129" i="1" s="1"/>
  <c r="P130" i="1"/>
  <c r="O130" i="1" s="1"/>
  <c r="P131" i="1"/>
  <c r="O131" i="1" s="1"/>
  <c r="P132" i="1"/>
  <c r="O132" i="1" s="1"/>
  <c r="P133" i="1"/>
  <c r="O133" i="1" s="1"/>
  <c r="P134" i="1"/>
  <c r="O134" i="1" s="1"/>
  <c r="P135" i="1"/>
  <c r="O135" i="1" s="1"/>
  <c r="P136" i="1"/>
  <c r="O136" i="1" s="1"/>
  <c r="P137" i="1"/>
  <c r="O137" i="1" s="1"/>
  <c r="P138" i="1"/>
  <c r="O138" i="1" s="1"/>
  <c r="P139" i="1"/>
  <c r="O139" i="1" s="1"/>
  <c r="P140" i="1"/>
  <c r="O140" i="1" s="1"/>
  <c r="P141" i="1"/>
  <c r="O141" i="1" s="1"/>
  <c r="P142" i="1"/>
  <c r="O142" i="1" s="1"/>
  <c r="P143" i="1"/>
  <c r="O143" i="1" s="1"/>
  <c r="P144" i="1"/>
  <c r="O144" i="1" s="1"/>
  <c r="P145" i="1"/>
  <c r="O145" i="1" s="1"/>
  <c r="P146" i="1"/>
  <c r="O146" i="1" s="1"/>
  <c r="P147" i="1"/>
  <c r="O147" i="1" s="1"/>
  <c r="P148" i="1"/>
  <c r="O148" i="1" s="1"/>
  <c r="P149" i="1"/>
  <c r="O149" i="1" s="1"/>
  <c r="P150" i="1"/>
  <c r="O150" i="1" s="1"/>
  <c r="P151" i="1"/>
  <c r="O151" i="1" s="1"/>
  <c r="P152" i="1"/>
  <c r="O152" i="1" s="1"/>
  <c r="P153" i="1"/>
  <c r="O153" i="1" s="1"/>
  <c r="P154" i="1"/>
  <c r="O154" i="1" s="1"/>
  <c r="P155" i="1"/>
  <c r="O155" i="1" s="1"/>
  <c r="P156" i="1"/>
  <c r="O156" i="1" s="1"/>
  <c r="P157" i="1"/>
  <c r="O157" i="1" s="1"/>
  <c r="P158" i="1"/>
  <c r="O158" i="1" s="1"/>
  <c r="P159" i="1"/>
  <c r="O159" i="1" s="1"/>
  <c r="P160" i="1"/>
  <c r="O160" i="1" s="1"/>
  <c r="P161" i="1"/>
  <c r="O161" i="1" s="1"/>
  <c r="P102" i="1"/>
  <c r="O102" i="1" s="1"/>
  <c r="P103" i="1"/>
  <c r="O103" i="1" s="1"/>
  <c r="P104" i="1"/>
  <c r="O104" i="1" s="1"/>
  <c r="P105" i="1"/>
  <c r="O105" i="1" s="1"/>
  <c r="P106" i="1"/>
  <c r="O106" i="1" s="1"/>
  <c r="P107" i="1"/>
  <c r="O107" i="1" s="1"/>
  <c r="P108" i="1"/>
  <c r="O108" i="1" s="1"/>
  <c r="P109" i="1"/>
  <c r="O109" i="1" s="1"/>
  <c r="P110" i="1"/>
  <c r="O110" i="1" s="1"/>
  <c r="P111" i="1"/>
  <c r="O111" i="1" s="1"/>
  <c r="P112" i="1"/>
  <c r="O112" i="1" s="1"/>
  <c r="P100" i="1"/>
  <c r="O100" i="1" s="1"/>
  <c r="P101" i="1"/>
  <c r="O101" i="1" s="1"/>
  <c r="P97" i="1"/>
  <c r="O97" i="1" s="1"/>
  <c r="P98" i="1"/>
  <c r="O98" i="1" s="1"/>
  <c r="P99" i="1"/>
  <c r="O99" i="1" s="1"/>
  <c r="O72" i="1"/>
  <c r="P73" i="1"/>
  <c r="O73" i="1" s="1"/>
  <c r="P74" i="1"/>
  <c r="O74" i="1" s="1"/>
  <c r="P75" i="1"/>
  <c r="O75" i="1" s="1"/>
  <c r="P76" i="1"/>
  <c r="O76" i="1" s="1"/>
  <c r="P77" i="1"/>
  <c r="O77" i="1" s="1"/>
  <c r="P78" i="1"/>
  <c r="O78" i="1" s="1"/>
  <c r="P79" i="1"/>
  <c r="O79" i="1" s="1"/>
  <c r="P80" i="1"/>
  <c r="O80" i="1" s="1"/>
  <c r="P81" i="1"/>
  <c r="O81" i="1" s="1"/>
  <c r="P82" i="1"/>
  <c r="O82" i="1" s="1"/>
  <c r="P83" i="1"/>
  <c r="O83" i="1" s="1"/>
  <c r="P84" i="1"/>
  <c r="O84" i="1" s="1"/>
  <c r="P85" i="1"/>
  <c r="O85" i="1" s="1"/>
  <c r="P86" i="1"/>
  <c r="O86" i="1" s="1"/>
  <c r="P87" i="1"/>
  <c r="O87" i="1" s="1"/>
  <c r="P88" i="1"/>
  <c r="O88" i="1" s="1"/>
  <c r="P89" i="1"/>
  <c r="O89" i="1" s="1"/>
  <c r="P90" i="1"/>
  <c r="O90" i="1" s="1"/>
  <c r="P91" i="1"/>
  <c r="O91" i="1" s="1"/>
  <c r="P92" i="1"/>
  <c r="O92" i="1" s="1"/>
  <c r="P93" i="1"/>
  <c r="O93" i="1" s="1"/>
  <c r="P94" i="1"/>
  <c r="O94" i="1" s="1"/>
  <c r="P95" i="1"/>
  <c r="O95" i="1" s="1"/>
  <c r="P96" i="1"/>
  <c r="O96" i="1" s="1"/>
</calcChain>
</file>

<file path=xl/sharedStrings.xml><?xml version="1.0" encoding="utf-8"?>
<sst xmlns="http://schemas.openxmlformats.org/spreadsheetml/2006/main" count="2597" uniqueCount="762">
  <si>
    <t>№ пом.</t>
  </si>
  <si>
    <t>Тип пола</t>
  </si>
  <si>
    <t>Площадь, м2.</t>
  </si>
  <si>
    <t>№ п. п.</t>
  </si>
  <si>
    <t>П-1</t>
  </si>
  <si>
    <t>П-2</t>
  </si>
  <si>
    <t>П-3</t>
  </si>
  <si>
    <t>П-4</t>
  </si>
  <si>
    <t>П-5</t>
  </si>
  <si>
    <t>П-6</t>
  </si>
  <si>
    <t>П-7</t>
  </si>
  <si>
    <t>П-8</t>
  </si>
  <si>
    <t>П-8.1</t>
  </si>
  <si>
    <t>П-9</t>
  </si>
  <si>
    <t>П-10</t>
  </si>
  <si>
    <t>П-11</t>
  </si>
  <si>
    <t>П-12</t>
  </si>
  <si>
    <t>П-13</t>
  </si>
  <si>
    <t>П-14</t>
  </si>
  <si>
    <t>П-15</t>
  </si>
  <si>
    <t>Лестницы</t>
  </si>
  <si>
    <t>1.34(пандус)</t>
  </si>
  <si>
    <t>1.42 Моечная кухонной посуды 13,1</t>
  </si>
  <si>
    <t>1.43 Кладовая сухих продуктов 11,7</t>
  </si>
  <si>
    <t>1.44 Помещение с холодильным оборудованием 29,0</t>
  </si>
  <si>
    <t>1.45 Кладовая овощей 10,4</t>
  </si>
  <si>
    <t>1.46 Помещение персонала 8,7</t>
  </si>
  <si>
    <t>1.47 Помещение временного хранения отходов 9,0</t>
  </si>
  <si>
    <t>1.48 Раздаточная 7,5</t>
  </si>
  <si>
    <t>1.49 Санузел персонала 2,8</t>
  </si>
  <si>
    <t>1.50 Моечная оборотной тары 8,2</t>
  </si>
  <si>
    <t>1.51 Загрузочная 8,3</t>
  </si>
  <si>
    <t>1.52 Тамбур 2,6</t>
  </si>
  <si>
    <t>1.53 Помещение уборочного инвентаря 3,3</t>
  </si>
  <si>
    <t>1.54 Гардероб персонала с душем 7,4</t>
  </si>
  <si>
    <t>1.55 Цех первичной обработки 13,5</t>
  </si>
  <si>
    <t>1.56 Цех вторичной обработки 11,4</t>
  </si>
  <si>
    <t>1.57 Мясо-рыбный цех 20,6</t>
  </si>
  <si>
    <t>1.58 Коридор 57,7</t>
  </si>
  <si>
    <t>1.59 Тамбур 15,4</t>
  </si>
  <si>
    <t>1.60 Вестибюль с зоной для посетителей 87,9</t>
  </si>
  <si>
    <t>1.61 Пост охраны 15,6</t>
  </si>
  <si>
    <t>1.62 Туалет для МГН (для посетителей) 5,9</t>
  </si>
  <si>
    <t>1.63 Тамбур 11,3</t>
  </si>
  <si>
    <t>1.64 Раздевальная комната 23,5</t>
  </si>
  <si>
    <t>1.65 Буфет 6,4</t>
  </si>
  <si>
    <t>1.66 Туалет (в т.ч. МГН) 29,0</t>
  </si>
  <si>
    <t>1.67 Групповая 50,0</t>
  </si>
  <si>
    <t>1.68 Спальная 55,7</t>
  </si>
  <si>
    <t>1.69 Раздевальная комната 18,0</t>
  </si>
  <si>
    <t>1.70 Тамбур 4,7</t>
  </si>
  <si>
    <t>1.71 Буфет 6,4</t>
  </si>
  <si>
    <t>1.72 Туалет (в т.ч. МГН) 29,3</t>
  </si>
  <si>
    <t>1.73 Групповая 50,3</t>
  </si>
  <si>
    <t>1.74 Спальная 55,4</t>
  </si>
  <si>
    <t>1.75 Помещение уборочного инвентаря 6,1</t>
  </si>
  <si>
    <t>1.76 Комната персонала с гардеробом, душем и туалетом 6,3</t>
  </si>
  <si>
    <t>1.77 Коридор 41,2</t>
  </si>
  <si>
    <t>1.78 Коридор 60,0</t>
  </si>
  <si>
    <t>1.79 Лестничная клетка №5 (Тип Н2) 29,9</t>
  </si>
  <si>
    <t>1.80 Лестничная клетка №6 (Тип Л1) 24,9</t>
  </si>
  <si>
    <t>1.81 Лифтовой холл 6,3</t>
  </si>
  <si>
    <t>1.82 Коридор 24,5</t>
  </si>
  <si>
    <t>2.01 Учебный кабинет 2-4 класс 62,6</t>
  </si>
  <si>
    <t>естествознания 89,0</t>
  </si>
  <si>
    <t>2.03 Кабинет с рабочим местом для учителей 39,4</t>
  </si>
  <si>
    <t>2.04 Учебный кабинет 2-4 класс 63,0</t>
  </si>
  <si>
    <t>внеурочное время в том числе для групп продленного дня 64,4</t>
  </si>
  <si>
    <t>внеурочное время в том числе для групп продленного дня 63,3</t>
  </si>
  <si>
    <t>2.07 Учебный кабинет 2-4 класс 63,3</t>
  </si>
  <si>
    <t>2.08 Коридор 78,6</t>
  </si>
  <si>
    <t>2.09 Помещение уборочного инвентаря 5,1</t>
  </si>
  <si>
    <t>2.10 Раздевальная для девочек (МГН) 11,1</t>
  </si>
  <si>
    <t>2.11 Раздевальная для мальчиков (МГН) 11,2</t>
  </si>
  <si>
    <t>2.12 Раздевальная для мальчиков 25,7</t>
  </si>
  <si>
    <t>2.13 Душевая для мальчиков 13,2</t>
  </si>
  <si>
    <t>2.14 Санузел для мальчиков 7,8</t>
  </si>
  <si>
    <t>2.15 Раздевальная для девочек 26,6</t>
  </si>
  <si>
    <t>2.16 Санузел для девочек 9,5</t>
  </si>
  <si>
    <t>2.17 Душевая девочек 11,7</t>
  </si>
  <si>
    <t>2.18 Инвентарная (снарядная) 29,0</t>
  </si>
  <si>
    <t>2.19 Спортивный зал 15х24 м 349,3</t>
  </si>
  <si>
    <t>2.20 Комната инструктора (с душем и туалетом) 16,7</t>
  </si>
  <si>
    <t>2.21 Кабинет для индивидуальных занятий, в т.ч с учителем-логопедом 13,5</t>
  </si>
  <si>
    <t>2.22 Санузел персонала 5,1</t>
  </si>
  <si>
    <t>2.23 Помещение уборочного инвентаря 9,5</t>
  </si>
  <si>
    <t>2.24 Санузел для девочек 14,5</t>
  </si>
  <si>
    <t>2.25 Санузел для мальчиков 14,5</t>
  </si>
  <si>
    <t>2.26 Санузел для МГН 5,1</t>
  </si>
  <si>
    <t>2.27 Коридор 18,6</t>
  </si>
  <si>
    <t>2.28 Рекреация 199,6</t>
  </si>
  <si>
    <t>2.29 Технический центр (аппаратная) 15,0</t>
  </si>
  <si>
    <t>2.30 Коридор 108,0</t>
  </si>
  <si>
    <t>2.31 Лестничная клетка №1 (Тип Н2) 25,1</t>
  </si>
  <si>
    <t>2.32 Лестничная клетка №2 (Тип Н2) 26,5</t>
  </si>
  <si>
    <t>2.33 Лифтовой холл (зона безопасности) 6,5</t>
  </si>
  <si>
    <t>2.34 Лестничная клетка №3 (Тип Н2) 25,2</t>
  </si>
  <si>
    <t>2.35 Лестничная клетка №4 (Тип Н2) 28,7</t>
  </si>
  <si>
    <t>2.36 Раздаточная 8,1</t>
  </si>
  <si>
    <t>2.37 Раздевальная комната 23,5</t>
  </si>
  <si>
    <t>2.38 Буфет 6,4</t>
  </si>
  <si>
    <t>2.39 Туалет (в т.ч. МГН) 29,0</t>
  </si>
  <si>
    <t>2.40 Групповая 50,4</t>
  </si>
  <si>
    <t>2.41 Спальная 55,9</t>
  </si>
  <si>
    <t>2.42 Раздевальная комната 23,0</t>
  </si>
  <si>
    <t>2.43 Буфет 6,4</t>
  </si>
  <si>
    <t>2.44 Групповая 50,5</t>
  </si>
  <si>
    <t>2.45 Спальная 55,5</t>
  </si>
  <si>
    <t>2.46 Туалет (в т.ч. МГН) 29,0</t>
  </si>
  <si>
    <t>активных игр и занятий с детьми 71,0</t>
  </si>
  <si>
    <t>2.48 Помещение хранения для физкультурного зала 6,8</t>
  </si>
  <si>
    <t>2.49 Музыкальный зал 72,3</t>
  </si>
  <si>
    <t>2.51 Коридор 37,6</t>
  </si>
  <si>
    <t>2.52 Помещение уборочного инвентаря 5,6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</si>
  <si>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</si>
  <si>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</si>
  <si>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</si>
  <si>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59,9</t>
  </si>
  <si>
    <t>2.57 Лестничная клетка №6 (Тип Л1) 26,2</t>
  </si>
  <si>
    <t>2.58 Рекреация 74,5</t>
  </si>
  <si>
    <t>3.01 Учебный кабинет 2-4 класс 61,9</t>
  </si>
  <si>
    <t>трансформируемой перегородкой на два помещения 87,9</t>
  </si>
  <si>
    <t>3.03 Административный кабинет 29,2</t>
  </si>
  <si>
    <t>3.04 Учебный кабинет 2-4 класс 63,9</t>
  </si>
  <si>
    <t>3.05 Учебный кабинет 2-4 класс 63,0</t>
  </si>
  <si>
    <t>3.06 Учебный кабинет 2-4 класс 64,6</t>
  </si>
  <si>
    <t>3.07 Учебный кабинет 2-4 класс 63,0</t>
  </si>
  <si>
    <t>3.08 Учебный кабинет 2-4 класс 63,6</t>
  </si>
  <si>
    <t>3.09 Санузел для МГН 5,1</t>
  </si>
  <si>
    <t>3.10 Санузел для девочек 14,5</t>
  </si>
  <si>
    <t>3.11 Санузел для мальчиков 14,4</t>
  </si>
  <si>
    <t>243,9</t>
  </si>
  <si>
    <t>3.13 Книгохранилище 13,0</t>
  </si>
  <si>
    <t>3.14 Санузел персонала 5,1</t>
  </si>
  <si>
    <t>3.15 Помещение уборочного инвентаря 11,5</t>
  </si>
  <si>
    <t>3.16 Лифтовой холл (зона безопасности) 6,5</t>
  </si>
  <si>
    <t>3.17 Лестничная клетка №1 (Тип Н2) 25,2</t>
  </si>
  <si>
    <t>3.18 Рекреация 113,4</t>
  </si>
  <si>
    <t>3.19 Коридор 105,9</t>
  </si>
  <si>
    <t>3.20 Лестничная клетка №3 (Тип Н2) 25,2</t>
  </si>
  <si>
    <t>3.21 Лестничная клетка №4 (Тип Н2) 28,7</t>
  </si>
  <si>
    <t>3.22 Раздаточная 8,3</t>
  </si>
  <si>
    <t>3.23 Раздевальная комната 23,5</t>
  </si>
  <si>
    <t>3.24 Буфет 6,4</t>
  </si>
  <si>
    <t>3.25 Групповая 50,6</t>
  </si>
  <si>
    <t>3.26 Спальная 56,0</t>
  </si>
  <si>
    <t>3.27 Туалет (в т.ч. МГН) 29,0</t>
  </si>
  <si>
    <t>3.28 Раздевальная комната 23,3</t>
  </si>
  <si>
    <t>3.29 Групповая 50,8</t>
  </si>
  <si>
    <t>3.30 Спальная 55,7</t>
  </si>
  <si>
    <t>3.31 Буфет 6,4</t>
  </si>
  <si>
    <t>3.32 Туалет (в т.ч. МГН) 29,0</t>
  </si>
  <si>
    <t>для музыкального руководителя , воспитателя 74,6</t>
  </si>
  <si>
    <t>3.34 Вспомогательное помещение 6,6</t>
  </si>
  <si>
    <t>раздвижной трансформируемой перегородкой 74,1</t>
  </si>
  <si>
    <t>3.36 Помещение приёма и сортировки грязного белья 5,8</t>
  </si>
  <si>
    <t>3.37 Комната чистого белья 5,9</t>
  </si>
  <si>
    <t>3.38 Лестничная клетка №5 (Тип Н2) 30,9</t>
  </si>
  <si>
    <t>3.39 Лифтовой холл (зона безопасности) 6,3</t>
  </si>
  <si>
    <t>3.40 Помещение уборочного инвентаря 6,1</t>
  </si>
  <si>
    <t>3.41 Коридор 36,4</t>
  </si>
  <si>
    <t>3.42 Коридор 59,7</t>
  </si>
  <si>
    <t>3.43 Лестничная клетка №6 (Тип Л1) 26,2</t>
  </si>
  <si>
    <t>3.44 Коридор 21,4</t>
  </si>
  <si>
    <t>3.45 Рекреация 82,7</t>
  </si>
  <si>
    <t>по потолку</t>
  </si>
  <si>
    <t>0.01 337 Лестничная клетка №1 24,7</t>
  </si>
  <si>
    <t>0.03 339 Коридор 165,6</t>
  </si>
  <si>
    <t>0.12 0.52 Лестничная клетка №5 31,1</t>
  </si>
  <si>
    <t>0.17 0.54 Коридор 31,1</t>
  </si>
  <si>
    <t>0.18 0.55 Лестничная клетка №6 27,1</t>
  </si>
  <si>
    <t>0.26 1.08 Коридор 190,7</t>
  </si>
  <si>
    <t>0.02 82 Венткамера 57,9</t>
  </si>
  <si>
    <t>0.04 340 Насосная 58,8</t>
  </si>
  <si>
    <t>0.05 0.105 Венткамера 54,4</t>
  </si>
  <si>
    <t>0.06 342 ИТП 99,5</t>
  </si>
  <si>
    <t>0.07 0.113 Венткамера 40,7</t>
  </si>
  <si>
    <t>0.08 0.08 Помещение CC1 24,2</t>
  </si>
  <si>
    <t>158,3</t>
  </si>
  <si>
    <t>272,4</t>
  </si>
  <si>
    <t>64,6</t>
  </si>
  <si>
    <t>17,2</t>
  </si>
  <si>
    <t>177,7</t>
  </si>
  <si>
    <t>0.15 191 Помещение CC2 11,8</t>
  </si>
  <si>
    <t>12,8</t>
  </si>
  <si>
    <t>31,4</t>
  </si>
  <si>
    <t>289,1</t>
  </si>
  <si>
    <t>257,5</t>
  </si>
  <si>
    <t>27,1</t>
  </si>
  <si>
    <t>0.23 0.110 Венткамера 126,0</t>
  </si>
  <si>
    <t>0.24 0.111 Венткамера 71,2</t>
  </si>
  <si>
    <t>105,6</t>
  </si>
  <si>
    <t>182,4</t>
  </si>
  <si>
    <t>ТЕКСТ</t>
  </si>
  <si>
    <t>ТАБЛИЦА АР1.2</t>
  </si>
  <si>
    <t>АР1.2</t>
  </si>
  <si>
    <t>14,9</t>
  </si>
  <si>
    <t>22,1</t>
  </si>
  <si>
    <t>105,4</t>
  </si>
  <si>
    <t>131,2</t>
  </si>
  <si>
    <t>24,5</t>
  </si>
  <si>
    <t>27,9</t>
  </si>
  <si>
    <t>25,7</t>
  </si>
  <si>
    <t>30,6</t>
  </si>
  <si>
    <t>1.01 Тамбур 13,4</t>
  </si>
  <si>
    <t>1.09 Учебный кабинет 1 класс 62,9</t>
  </si>
  <si>
    <t>1.10 Учебный кабинет 1 класс 64,3</t>
  </si>
  <si>
    <t>1.11 Учебный кабинет 1 класс 64,4</t>
  </si>
  <si>
    <t>1.07 Гардероб для учителей 10,0</t>
  </si>
  <si>
    <t>1.03 Санузел для посетителей 5,8</t>
  </si>
  <si>
    <t>1.06 Санузел для МГН 5,9</t>
  </si>
  <si>
    <t>1.13 Санузел для девочек 15,8</t>
  </si>
  <si>
    <t>1.14 Санузел для МГН 5,4</t>
  </si>
  <si>
    <t>1.15 Санузел для мальчиков 15,8</t>
  </si>
  <si>
    <t>1.16 С/у (медблок) 2,4</t>
  </si>
  <si>
    <t>1.17 Процедурный кабинет 13,9</t>
  </si>
  <si>
    <t>1.18 Прививочный кабинет 13,9</t>
  </si>
  <si>
    <t>1.19 Кабинет врача 20,7</t>
  </si>
  <si>
    <t>1.20 Холл 20,4</t>
  </si>
  <si>
    <t>6,0</t>
  </si>
  <si>
    <t>1.22 Санузел персонала 4,7</t>
  </si>
  <si>
    <t>1.24 Кладовая инвентаря 10,1</t>
  </si>
  <si>
    <t>1.25 Артистическая 10,3</t>
  </si>
  <si>
    <t>1.26 Артистическая 10,7</t>
  </si>
  <si>
    <t>1.27 Коридор 25,9</t>
  </si>
  <si>
    <t>1.28 Серверная 22,1</t>
  </si>
  <si>
    <t>1.29 Электрощитовая 28,7</t>
  </si>
  <si>
    <t>1.30 Рекреация коридорного типа 92,2</t>
  </si>
  <si>
    <t>1.31 Коридор 113,0</t>
  </si>
  <si>
    <t>92,5</t>
  </si>
  <si>
    <t>6,2</t>
  </si>
  <si>
    <t>10,7</t>
  </si>
  <si>
    <t>30,8</t>
  </si>
  <si>
    <t>26,9</t>
  </si>
  <si>
    <t>1.36 Лифтовой холл 13,0</t>
  </si>
  <si>
    <t>1.37 Умывальная 11,8</t>
  </si>
  <si>
    <t>1.38 Обеденный зал на 150 мест 170,5</t>
  </si>
  <si>
    <t>1.39 Моечная столовой посуды 36,4</t>
  </si>
  <si>
    <t>1.40 Холодный цех 15,0</t>
  </si>
  <si>
    <t>1.41 Горячий цех 89,2</t>
  </si>
  <si>
    <t>1.42 Моечная кухонной посуды 13,6</t>
  </si>
  <si>
    <t>1.43 Кладовая сухих продуктов 12,1</t>
  </si>
  <si>
    <t>29,7</t>
  </si>
  <si>
    <t>1.45 Кладовая овощей 10,8</t>
  </si>
  <si>
    <t>1.46 Помещение персонала 9,3</t>
  </si>
  <si>
    <t>9,7</t>
  </si>
  <si>
    <t>1.48 Раздаточная 7,7</t>
  </si>
  <si>
    <t>1.49 Санузел персонала 3,3</t>
  </si>
  <si>
    <t>1.50 Моечная оборотной тары 8,7</t>
  </si>
  <si>
    <t>1.52 Тамбур 2,2</t>
  </si>
  <si>
    <t>3,3</t>
  </si>
  <si>
    <t>1.54 Гардероб персонала с душем 10,2</t>
  </si>
  <si>
    <t>1.55 Цех первичной обработки 13,9</t>
  </si>
  <si>
    <t>1.56 Цех вторичной обработки 12,2</t>
  </si>
  <si>
    <t>1.57 Мясо-рыбный цех 21,4</t>
  </si>
  <si>
    <t>1.58 Коридор 58,9</t>
  </si>
  <si>
    <t>1.59 Тамбур 15,3</t>
  </si>
  <si>
    <t>1.61 Пост охраны 16,8</t>
  </si>
  <si>
    <t>1.63 Тамбур 10,9</t>
  </si>
  <si>
    <t>1.64 Раздевальная комната 24,0</t>
  </si>
  <si>
    <t>1.65 Буфет 6,7</t>
  </si>
  <si>
    <t>1.66 Туалет (в т.ч. МГН) 29,6</t>
  </si>
  <si>
    <t>1.67 Групповая 51,3</t>
  </si>
  <si>
    <t>1.68 Спальная 56,6</t>
  </si>
  <si>
    <t>1.69 Раздевальная комната 18,5</t>
  </si>
  <si>
    <t>1.70 Тамбур 4,8</t>
  </si>
  <si>
    <t>1.71 Буфет 6,7</t>
  </si>
  <si>
    <t>1.72 Туалет (в т.ч. МГН) 29,9</t>
  </si>
  <si>
    <t>1.73 Групповая 51,2</t>
  </si>
  <si>
    <t>1.74 Спальная 56,3</t>
  </si>
  <si>
    <t>5,7</t>
  </si>
  <si>
    <t>1.81 Лифтовой холл 6,5</t>
  </si>
  <si>
    <t>1.78 Коридор 60,8</t>
  </si>
  <si>
    <t>1.82 Коридор 25,2</t>
  </si>
  <si>
    <t>4,7</t>
  </si>
  <si>
    <t>2.01 63,7</t>
  </si>
  <si>
    <t>2.02 90,2</t>
  </si>
  <si>
    <t>2.03 39,8</t>
  </si>
  <si>
    <t>2.04 64,0</t>
  </si>
  <si>
    <t>2.05 65,4</t>
  </si>
  <si>
    <t>2.06 64,1</t>
  </si>
  <si>
    <t>2.07 64,3</t>
  </si>
  <si>
    <t>2.08 78,8</t>
  </si>
  <si>
    <t>2.09 5,1</t>
  </si>
  <si>
    <t>2.10 13,1</t>
  </si>
  <si>
    <t>2.11 13,1</t>
  </si>
  <si>
    <t>2.12 27,0</t>
  </si>
  <si>
    <t>2.13 12,7</t>
  </si>
  <si>
    <t>2.14 8,5</t>
  </si>
  <si>
    <t>2.15 28,0</t>
  </si>
  <si>
    <t>2.16 10,7</t>
  </si>
  <si>
    <t>2.17 11,3</t>
  </si>
  <si>
    <t>2.18 31,5</t>
  </si>
  <si>
    <t>2.19 359,3</t>
  </si>
  <si>
    <t>2.20 23,7</t>
  </si>
  <si>
    <t>2.21 14,0</t>
  </si>
  <si>
    <t>2.22 5,4</t>
  </si>
  <si>
    <t>2.23 9,8</t>
  </si>
  <si>
    <t>2.24 15,8</t>
  </si>
  <si>
    <t>2.25 15,8</t>
  </si>
  <si>
    <t>2.26 5,4</t>
  </si>
  <si>
    <t>2.27 19,1</t>
  </si>
  <si>
    <t>2.28 192,9</t>
  </si>
  <si>
    <t>2.29 14,3</t>
  </si>
  <si>
    <t>2.30 115,5</t>
  </si>
  <si>
    <t>2.31 25,7</t>
  </si>
  <si>
    <t>2.32 27,9</t>
  </si>
  <si>
    <t>2.33 13,1</t>
  </si>
  <si>
    <t>2.34 25,7</t>
  </si>
  <si>
    <t>2.35 30,6</t>
  </si>
  <si>
    <t>2.36 8,3</t>
  </si>
  <si>
    <t>2.37 21,6</t>
  </si>
  <si>
    <t>2.38 6,7</t>
  </si>
  <si>
    <t>2.39 29,6</t>
  </si>
  <si>
    <t>2.40 51,3</t>
  </si>
  <si>
    <t>2.41 56,6</t>
  </si>
  <si>
    <t>2.42 21,5</t>
  </si>
  <si>
    <t>2.43 6,7</t>
  </si>
  <si>
    <t>2.44 51,3</t>
  </si>
  <si>
    <t>2.45 56,3</t>
  </si>
  <si>
    <t>2.46 29,6</t>
  </si>
  <si>
    <t>2.47 75,6</t>
  </si>
  <si>
    <t>2.48 7,0</t>
  </si>
  <si>
    <t>2.49 75,2</t>
  </si>
  <si>
    <t>2.50 6,2</t>
  </si>
  <si>
    <t>2.51 38,7</t>
  </si>
  <si>
    <t>2.52 5,8</t>
  </si>
  <si>
    <t>2.53 6,2</t>
  </si>
  <si>
    <t>2.54 32,1</t>
  </si>
  <si>
    <t>2.55 6,5</t>
  </si>
  <si>
    <t>2.56 63,1</t>
  </si>
  <si>
    <t>2.57 28,1</t>
  </si>
  <si>
    <t>2.58 76,2</t>
  </si>
  <si>
    <t>3.01 62,8</t>
  </si>
  <si>
    <t>3.02 89,1</t>
  </si>
  <si>
    <t>3.03 29,7</t>
  </si>
  <si>
    <t>3.04 64,6</t>
  </si>
  <si>
    <t>3.05 63,8</t>
  </si>
  <si>
    <t>3.06 65,4</t>
  </si>
  <si>
    <t>3.07 63,7</t>
  </si>
  <si>
    <t>3.08 64,3</t>
  </si>
  <si>
    <t>3.09 5,4</t>
  </si>
  <si>
    <t>3.10 15,8</t>
  </si>
  <si>
    <t>3.11 15,8</t>
  </si>
  <si>
    <t>3.12 246,5</t>
  </si>
  <si>
    <t>3.13 13,3</t>
  </si>
  <si>
    <t>3.14 5,4</t>
  </si>
  <si>
    <t>3.15 11,9</t>
  </si>
  <si>
    <t>3.16 13,0</t>
  </si>
  <si>
    <t>3.17 25,8</t>
  </si>
  <si>
    <t>3.18 107,2</t>
  </si>
  <si>
    <t>3.19 113,7</t>
  </si>
  <si>
    <t>3.20 25,7</t>
  </si>
  <si>
    <t>3.21 30,6</t>
  </si>
  <si>
    <t>3.22 8,5</t>
  </si>
  <si>
    <t>3.23 21,6</t>
  </si>
  <si>
    <t>3.24 6,7</t>
  </si>
  <si>
    <t>3.25 52,1</t>
  </si>
  <si>
    <t>3.26 57,0</t>
  </si>
  <si>
    <t>3.27 29,6</t>
  </si>
  <si>
    <t>3.28 21,6</t>
  </si>
  <si>
    <t>3.29 51,6</t>
  </si>
  <si>
    <t>3.30 56,3</t>
  </si>
  <si>
    <t>3.31 6,7</t>
  </si>
  <si>
    <t>3.32 29,6</t>
  </si>
  <si>
    <t>3.33 75,4</t>
  </si>
  <si>
    <t>3.34 6,9</t>
  </si>
  <si>
    <t>3.35 74,9</t>
  </si>
  <si>
    <t>3.36 6,0</t>
  </si>
  <si>
    <t>3.37 6,1</t>
  </si>
  <si>
    <t>3.38 32,1</t>
  </si>
  <si>
    <t>3.39 5,9</t>
  </si>
  <si>
    <t>3.40 6,3</t>
  </si>
  <si>
    <t>3.41 38,7</t>
  </si>
  <si>
    <t>3.42 62,9</t>
  </si>
  <si>
    <t>3.43 28,1</t>
  </si>
  <si>
    <t>3.44 21,8</t>
  </si>
  <si>
    <t>3.45 87,4</t>
  </si>
  <si>
    <t>мусор</t>
  </si>
  <si>
    <t>Табица экспликации полов</t>
  </si>
  <si>
    <t>Сумма</t>
  </si>
  <si>
    <t>По РД(1 стр)</t>
  </si>
  <si>
    <t>Разница</t>
  </si>
  <si>
    <t>п-14</t>
  </si>
  <si>
    <t>п-13</t>
  </si>
  <si>
    <t>п-10</t>
  </si>
  <si>
    <t>п-9</t>
  </si>
  <si>
    <t>итог</t>
  </si>
  <si>
    <t>сумма</t>
  </si>
  <si>
    <t>№ п.п.</t>
  </si>
  <si>
    <t>Наименование затрат</t>
  </si>
  <si>
    <t>Описание</t>
  </si>
  <si>
    <t>Ед. изм.</t>
  </si>
  <si>
    <t>Объем</t>
  </si>
  <si>
    <t>м2</t>
  </si>
  <si>
    <t>Спецификация выполненных работ</t>
  </si>
  <si>
    <t>Итог</t>
  </si>
  <si>
    <t>Помещения:</t>
  </si>
  <si>
    <t>Объем, м²</t>
  </si>
  <si>
    <t>сумма:</t>
  </si>
  <si>
    <t>1.07 Гардероб для учителей 9,8</t>
  </si>
  <si>
    <t>1.23 Помещение уборочного инвентаря 4,3</t>
  </si>
  <si>
    <t>1.27 Коридор 25,5</t>
  </si>
  <si>
    <t>1.31 Коридор 110,3</t>
  </si>
  <si>
    <t>1.37 Умывальная 11,4</t>
  </si>
  <si>
    <t>1.38 Обеденный зал на 150 мест 165,9</t>
  </si>
  <si>
    <t>1.60 Вестибюль с зоной для посетителей 86,8</t>
  </si>
  <si>
    <t>1.65 Буфет 6,3</t>
  </si>
  <si>
    <t>1.71 Буфет 6,3</t>
  </si>
  <si>
    <t>1.76 Комната персонала с гардеробом, душем и туалетом 8,2</t>
  </si>
  <si>
    <t>1.06 Санузел для МГН 5,6</t>
  </si>
  <si>
    <t>1.66 Туалет (в т.ч. МГН) 28,9</t>
  </si>
  <si>
    <t>1.72 Туалет (в т.ч. МГН) 29,2</t>
  </si>
  <si>
    <t>2.22 Санузел персонала 4,9</t>
  </si>
  <si>
    <t>2.23 Помещение уборочного инвентаря 9,3</t>
  </si>
  <si>
    <t>2.36 Раздаточная 8,0</t>
  </si>
  <si>
    <t>2.38 Буфет 6,3</t>
  </si>
  <si>
    <t>2.39 Туалет (в т.ч. МГН) 28,9</t>
  </si>
  <si>
    <t>2.43 Буфет 6,3</t>
  </si>
  <si>
    <t>2.46 Туалет (в т.ч. МГН) 28,9</t>
  </si>
  <si>
    <t>2.52 Помещение уборочного инвентаря 5,5</t>
  </si>
  <si>
    <t>3.24 Буфет 6,3</t>
  </si>
  <si>
    <t>3.31 Буфет 6,3</t>
  </si>
  <si>
    <t>3.32 Туалет (в т.ч. МГН) 28,9</t>
  </si>
  <si>
    <t>3.39 Лифтовой холл (зона безопасности) 6,1</t>
  </si>
  <si>
    <t>3.40 Помещение уборочного инвентаря 6,0</t>
  </si>
  <si>
    <t>1, этаж. Тип: КР-1</t>
  </si>
  <si>
    <t>Устройство покрытия пола СКБ с затиркой и укрытием ДВП / из керамогранитной плитки</t>
  </si>
  <si>
    <t>1, 2, 3 этажи. 
Тип: КР-3</t>
  </si>
  <si>
    <t>КР-3</t>
  </si>
  <si>
    <t>КР-4</t>
  </si>
  <si>
    <t>КР-10</t>
  </si>
  <si>
    <t>КР-8</t>
  </si>
  <si>
    <t>КР-9</t>
  </si>
  <si>
    <t>КР-2</t>
  </si>
  <si>
    <t>КР-1</t>
  </si>
  <si>
    <t>КР-6</t>
  </si>
  <si>
    <t>1.75 Помещение уборочного инвентаря 5,5</t>
  </si>
  <si>
    <t>Устройство покрытия пола СКБ с затиркой и укрытием ДВП / из керамогранитной плитки от 0,2м2/шт</t>
  </si>
  <si>
    <t>Устройство покрытия пола СКБ с затиркой и укрытием ДВП / из керамогранитной плитки до 0,2м2/шт</t>
  </si>
  <si>
    <t>Устройство наливных полов СКБ / толщ. до 10 мм</t>
  </si>
  <si>
    <t>Тип</t>
  </si>
  <si>
    <t>Пом</t>
  </si>
  <si>
    <t>Объем, м2.</t>
  </si>
  <si>
    <t>1.26</t>
  </si>
  <si>
    <t>2.02</t>
  </si>
  <si>
    <t>2.03</t>
  </si>
  <si>
    <t>2.04</t>
  </si>
  <si>
    <t>2.05</t>
  </si>
  <si>
    <t>2.06</t>
  </si>
  <si>
    <t>2.07</t>
  </si>
  <si>
    <t>2.37</t>
  </si>
  <si>
    <t>2.40</t>
  </si>
  <si>
    <t>2.41</t>
  </si>
  <si>
    <t>2.42</t>
  </si>
  <si>
    <t>2.44</t>
  </si>
  <si>
    <t>2.45</t>
  </si>
  <si>
    <t>2.47</t>
  </si>
  <si>
    <t>2.49</t>
  </si>
  <si>
    <t>2.51</t>
  </si>
  <si>
    <t>2.56</t>
  </si>
  <si>
    <t>3.01</t>
  </si>
  <si>
    <t>3.02</t>
  </si>
  <si>
    <t>3.03</t>
  </si>
  <si>
    <t>3.04</t>
  </si>
  <si>
    <t>3.05</t>
  </si>
  <si>
    <t>3.08</t>
  </si>
  <si>
    <t>3.23</t>
  </si>
  <si>
    <t>3.25</t>
  </si>
  <si>
    <t>3.28</t>
  </si>
  <si>
    <t>3.29</t>
  </si>
  <si>
    <t>3.33</t>
  </si>
  <si>
    <t>3.35</t>
  </si>
  <si>
    <t>3.41</t>
  </si>
  <si>
    <t>Итог:</t>
  </si>
  <si>
    <t>АРОР "Черновые отделочные работы" от 19.02.2026. 
Тип П-9, П-10.</t>
  </si>
  <si>
    <t>АРОР "Черновые отделочные работы" от 19.02.2026. 
Тип П-13</t>
  </si>
  <si>
    <t>Площадь,
м2.</t>
  </si>
  <si>
    <t>№ 
пом.</t>
  </si>
  <si>
    <t>Защитные мероприятия по защите линолеума и виниловая плитки от повреждений (доска ДВП)</t>
  </si>
  <si>
    <t>Л-7</t>
  </si>
  <si>
    <t>Л-1</t>
  </si>
  <si>
    <t>Л-4</t>
  </si>
  <si>
    <t>2 этаж. Тип: Л-4</t>
  </si>
  <si>
    <t>№ пом</t>
  </si>
  <si>
    <t>2.19</t>
  </si>
  <si>
    <t>№ п/п</t>
  </si>
  <si>
    <t>Устройство покрытия пола из линолеума.
Включая защиту ДВП</t>
  </si>
  <si>
    <t>1, 2, 3 этажи. 
Тип: Л-1</t>
  </si>
  <si>
    <t>1.03</t>
  </si>
  <si>
    <t>1.22</t>
  </si>
  <si>
    <t>1.13</t>
  </si>
  <si>
    <t>1.14</t>
  </si>
  <si>
    <t>1.15</t>
  </si>
  <si>
    <t>2.33</t>
  </si>
  <si>
    <t>2.25</t>
  </si>
  <si>
    <t>2.26</t>
  </si>
  <si>
    <t>2.24</t>
  </si>
  <si>
    <t>2.09</t>
  </si>
  <si>
    <t>2.10</t>
  </si>
  <si>
    <t>2.11</t>
  </si>
  <si>
    <t>2.13</t>
  </si>
  <si>
    <t>2.14</t>
  </si>
  <si>
    <t>2.16</t>
  </si>
  <si>
    <t>2.17</t>
  </si>
  <si>
    <t>2.18</t>
  </si>
  <si>
    <t>3.14</t>
  </si>
  <si>
    <t>3.15</t>
  </si>
  <si>
    <t>3.27</t>
  </si>
  <si>
    <t>3.16</t>
  </si>
  <si>
    <t>3.09</t>
  </si>
  <si>
    <t>3.10</t>
  </si>
  <si>
    <t>3.11</t>
  </si>
  <si>
    <t>3.22</t>
  </si>
  <si>
    <t>1.04</t>
  </si>
  <si>
    <t>1.08</t>
  </si>
  <si>
    <t>1.24</t>
  </si>
  <si>
    <t>1.25</t>
  </si>
  <si>
    <t>1.30</t>
  </si>
  <si>
    <t>1.36</t>
  </si>
  <si>
    <t>1.21</t>
  </si>
  <si>
    <t>1.20</t>
  </si>
  <si>
    <t>1.17</t>
  </si>
  <si>
    <t>1.18</t>
  </si>
  <si>
    <t>1.63</t>
  </si>
  <si>
    <t>1.54</t>
  </si>
  <si>
    <t>1.53</t>
  </si>
  <si>
    <t>1.52</t>
  </si>
  <si>
    <t>1.49</t>
  </si>
  <si>
    <t>1.47</t>
  </si>
  <si>
    <t>1.59</t>
  </si>
  <si>
    <t>1.70</t>
  </si>
  <si>
    <t>2.29</t>
  </si>
  <si>
    <t>1, 2, 3 этажи. 
Тип: КР-4</t>
  </si>
  <si>
    <t>1, 2 этажи. 
Тип: КР-1</t>
  </si>
  <si>
    <t>п1</t>
  </si>
  <si>
    <t>п9</t>
  </si>
  <si>
    <t>п9.1</t>
  </si>
  <si>
    <t>п10</t>
  </si>
  <si>
    <t>п10.1</t>
  </si>
  <si>
    <t>п13</t>
  </si>
  <si>
    <t>п13.1</t>
  </si>
  <si>
    <t>п13.2</t>
  </si>
  <si>
    <t>п13.3</t>
  </si>
  <si>
    <t>п14</t>
  </si>
  <si>
    <t>Помещение</t>
  </si>
  <si>
    <t>П-9.1</t>
  </si>
  <si>
    <t>П-10.1</t>
  </si>
  <si>
    <t>П-13.1</t>
  </si>
  <si>
    <t>П-13.2</t>
  </si>
  <si>
    <t>П-13.3</t>
  </si>
  <si>
    <t>1.61</t>
  </si>
  <si>
    <t>1.77</t>
  </si>
  <si>
    <t>1.78</t>
  </si>
  <si>
    <t>1.05</t>
  </si>
  <si>
    <t>1.09</t>
  </si>
  <si>
    <t>1.10</t>
  </si>
  <si>
    <t>1.11</t>
  </si>
  <si>
    <t>1.12</t>
  </si>
  <si>
    <t>1.28</t>
  </si>
  <si>
    <t>1.29</t>
  </si>
  <si>
    <t>1.64</t>
  </si>
  <si>
    <t>1.67</t>
  </si>
  <si>
    <t>1.68</t>
  </si>
  <si>
    <t>1.69</t>
  </si>
  <si>
    <t>1.73</t>
  </si>
  <si>
    <t>1.74</t>
  </si>
  <si>
    <t>1.19</t>
  </si>
  <si>
    <t>2.48</t>
  </si>
  <si>
    <t>2.50</t>
  </si>
  <si>
    <t>3.34</t>
  </si>
  <si>
    <t>3.42</t>
  </si>
  <si>
    <t>3.26</t>
  </si>
  <si>
    <t>3.30</t>
  </si>
  <si>
    <t>2.08</t>
  </si>
  <si>
    <t>2.12</t>
  </si>
  <si>
    <t>2.15</t>
  </si>
  <si>
    <t>2.21</t>
  </si>
  <si>
    <t>2.27</t>
  </si>
  <si>
    <t>2.28</t>
  </si>
  <si>
    <t>2.30</t>
  </si>
  <si>
    <t>2.58</t>
  </si>
  <si>
    <t>3.12</t>
  </si>
  <si>
    <t>3.13</t>
  </si>
  <si>
    <t>3.18</t>
  </si>
  <si>
    <t>3.19</t>
  </si>
  <si>
    <t>3.44</t>
  </si>
  <si>
    <t>3.45</t>
  </si>
  <si>
    <t>2.01</t>
  </si>
  <si>
    <t>3.06</t>
  </si>
  <si>
    <t>3.07</t>
  </si>
  <si>
    <t>Объем, м2</t>
  </si>
  <si>
    <t>431,9</t>
  </si>
  <si>
    <t>Пом.</t>
  </si>
  <si>
    <t>Спецификация работ</t>
  </si>
  <si>
    <t>Наименование</t>
  </si>
  <si>
    <t>Шлифование поверхности полов</t>
  </si>
  <si>
    <t>Устройство наливных полов с огрунтовкой поверхности и проклейкой демпферной лентой / толщ. от 11 мм до 15 мм</t>
  </si>
  <si>
    <t>1.01</t>
  </si>
  <si>
    <t>1.02</t>
  </si>
  <si>
    <t>1.06</t>
  </si>
  <si>
    <t>1.07</t>
  </si>
  <si>
    <t>1.16</t>
  </si>
  <si>
    <t>1.23</t>
  </si>
  <si>
    <t>1.27</t>
  </si>
  <si>
    <t>1.31</t>
  </si>
  <si>
    <t>1.32</t>
  </si>
  <si>
    <t>1.33</t>
  </si>
  <si>
    <t>1.34</t>
  </si>
  <si>
    <t>1.35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</si>
  <si>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</si>
  <si>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</si>
  <si>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</si>
  <si>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</si>
  <si>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</si>
  <si>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</si>
  <si>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</si>
  <si>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</si>
  <si>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</si>
  <si>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</si>
  <si>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1.48</t>
  </si>
  <si>
    <t>1.50</t>
  </si>
  <si>
    <t>1.51</t>
  </si>
  <si>
    <t>1.55</t>
  </si>
  <si>
    <t>1.56</t>
  </si>
  <si>
    <t>1.57</t>
  </si>
  <si>
    <t>1.58</t>
  </si>
  <si>
    <t>1.60</t>
  </si>
  <si>
    <t>1.62</t>
  </si>
  <si>
    <t>1.65</t>
  </si>
  <si>
    <t>1.66</t>
  </si>
  <si>
    <t>1.71</t>
  </si>
  <si>
    <t>1.72</t>
  </si>
  <si>
    <t>1.75</t>
  </si>
  <si>
    <t>1.76</t>
  </si>
  <si>
    <t>1.79</t>
  </si>
  <si>
    <t>1.80</t>
  </si>
  <si>
    <t>1.81</t>
  </si>
  <si>
    <t>1.82</t>
  </si>
  <si>
    <t>2.20</t>
  </si>
  <si>
    <t>2.22</t>
  </si>
  <si>
    <t>2.23</t>
  </si>
  <si>
    <t>2.31</t>
  </si>
  <si>
    <t>2.32</t>
  </si>
  <si>
    <t>2.34</t>
  </si>
  <si>
    <t>2.35</t>
  </si>
  <si>
    <t>2.36</t>
  </si>
  <si>
    <t>2.38</t>
  </si>
  <si>
    <t>2.39</t>
  </si>
  <si>
    <t>2.43</t>
  </si>
  <si>
    <t>2.46</t>
  </si>
  <si>
    <t>2.52</t>
  </si>
  <si>
    <t>2.53</t>
  </si>
  <si>
    <t>2.54</t>
  </si>
  <si>
    <t>2.55</t>
  </si>
  <si>
    <t>2.57</t>
  </si>
  <si>
    <t>3.17</t>
  </si>
  <si>
    <t>3.20</t>
  </si>
  <si>
    <t>3.21</t>
  </si>
  <si>
    <t>3.24</t>
  </si>
  <si>
    <t>3.31</t>
  </si>
  <si>
    <t>3.32</t>
  </si>
  <si>
    <t>3.36</t>
  </si>
  <si>
    <t>3.37</t>
  </si>
  <si>
    <t>3.38</t>
  </si>
  <si>
    <t>3.39</t>
  </si>
  <si>
    <t>3.40</t>
  </si>
  <si>
    <t>3.43</t>
  </si>
  <si>
    <t>Тип П-9, П-9.1, П-13, П-13.2. Самовыравнивающаяся смесь с последующей шлифовкой  − 13мм.</t>
  </si>
  <si>
    <t>Тип П-10, П-10.1. Самовыравнивающаяся  смесь с последующей шлифовкой  − 11 мм</t>
  </si>
  <si>
    <t>Тип П-14. Самовыравнивающаяся смесь с последующей шлифовкой  − 12мм.</t>
  </si>
  <si>
    <t>Типы П-9, П-9.1, П-10, П-10.1, П-13, П-13.1, П-13.2, П-13.3, П-14 (1-3 этаж)</t>
  </si>
  <si>
    <t>Тип П-13.1, П-13.3. Самовыравнивающаяся  смесь с последующей шлифовкой  − 14мм.</t>
  </si>
  <si>
    <t>Площадь</t>
  </si>
  <si>
    <t>П-3.1</t>
  </si>
  <si>
    <t>П-8.2</t>
  </si>
  <si>
    <t>Устройство покрытия пола из кварцвинила / на клею</t>
  </si>
  <si>
    <t xml:space="preserve">Л-7. Плитка виниловая </t>
  </si>
  <si>
    <t>3 этаж. П-11.</t>
  </si>
  <si>
    <t>Устройство покрытия пола из линолеума</t>
  </si>
  <si>
    <t>Затирка, уход, полировка полов мех.способом</t>
  </si>
  <si>
    <t xml:space="preserve"> Тип П-2. Железнение стяжки.</t>
  </si>
  <si>
    <t>Устройство стяжки СКБ / армированная сеткой от 41 мм до 60 мм</t>
  </si>
  <si>
    <t xml:space="preserve"> Тип П-8.2 Цементно−песчаная  стяжка M200  армированная  сеткой  5Bр1  с ячейкой  100x100  −  50мм.
Пом. 1.17</t>
  </si>
  <si>
    <t>Устройство стяжки СКБ / армированная сеткой от 61мм до 80 мм</t>
  </si>
  <si>
    <t>АРОР № СТ-МФ-1 от 08.05.2026, п.52. Тип П-8,  П-9,  П-9.1, П-10, П-11. Цементно−песчаная стяжка M200 армированная сеткой  5Bр1 с ячейкой 100x100 − 65мм. Пом. 1.27</t>
  </si>
  <si>
    <t>Устройство стяжки СКБ / неармированная с приготовлением раствора свыше 61 мм</t>
  </si>
  <si>
    <t>Наращивание подоконников ЦПС М200 толщиной 100 мм, шириной 200 мм</t>
  </si>
  <si>
    <t>Устройство стяжки СКБ / неармированная с приготовлением раствора от 21 мм до 40 мм</t>
  </si>
  <si>
    <t xml:space="preserve"> Тип П-3, П-3.1 - межэтажные площадки. Цементно−песчаная стяжка M150 выравнивающая  −  25мм.</t>
  </si>
  <si>
    <t>Устройство обмазочной гидроизоляции с проклеиванием швов армированной лентой из стекловолокна / в 2 слоя</t>
  </si>
  <si>
    <t xml:space="preserve">Тип П-5. Подвал. Обмазочная  гидроизоляция пола в 2 слоя. Мастика </t>
  </si>
  <si>
    <t>Ведомость работ</t>
  </si>
  <si>
    <t>Тип П-5. Обмазочная  гидроизоляция пола в 2 слоя, площадь  заведения стены (пилоны) на h=200 мм.</t>
  </si>
  <si>
    <t xml:space="preserve"> стены (пилоны) на h=200 мм</t>
  </si>
  <si>
    <t>Пол. Тип П-7, П-11, П-15</t>
  </si>
  <si>
    <t>Итог (Пол):</t>
  </si>
  <si>
    <t>Тип П-7, П-11, П-15 Грунтование мастикой   (536,170+105,690+12,000)*0,35=228,85 м2</t>
  </si>
  <si>
    <t>Тип П-7, П-11, П-15 в зоне входы в здание площадь стены (пилоны) на h=500 мм</t>
  </si>
  <si>
    <t>Устройство тепло-звукоизоляции полов / минвата / в 1 слой</t>
  </si>
  <si>
    <t>Пол. П-11</t>
  </si>
  <si>
    <t>Утепление полов керамзитом</t>
  </si>
  <si>
    <t>Тип П-8.1</t>
  </si>
  <si>
    <t>м3</t>
  </si>
  <si>
    <t>Установка стыковочных профилей</t>
  </si>
  <si>
    <t xml:space="preserve"> Внешние углы облицовки плиткой.</t>
  </si>
  <si>
    <t>пог. м</t>
  </si>
  <si>
    <t>Облицовка ступеней СКБ керамогранитной плиткой с затиркой швов</t>
  </si>
  <si>
    <t>1, 2, 3 этажи. Тип: КР-1.2, Проступь.</t>
  </si>
  <si>
    <t>1, 2, 3 этажи. Тип: КР-1.3, Подступенок.</t>
  </si>
  <si>
    <t xml:space="preserve">Тип: КР-9, Амфитеатр ступени. </t>
  </si>
  <si>
    <t xml:space="preserve"> КР-8. Отделка лестницы амфитеатра и торцов ступеней-сидений</t>
  </si>
  <si>
    <t>Устройство плинтуса из керамогранитной плитки СКБ</t>
  </si>
  <si>
    <t xml:space="preserve"> Тип: ПК-1</t>
  </si>
  <si>
    <t>ПК-1</t>
  </si>
  <si>
    <t>ПК-2</t>
  </si>
  <si>
    <t>ПК-3</t>
  </si>
  <si>
    <t>ПК-4</t>
  </si>
  <si>
    <t>ПК-5</t>
  </si>
  <si>
    <t>ПК-6</t>
  </si>
  <si>
    <t>ПК-7</t>
  </si>
  <si>
    <t>ПК-8</t>
  </si>
  <si>
    <t>ПЛ-4</t>
  </si>
  <si>
    <t>ПЛ-6</t>
  </si>
  <si>
    <t>ПЛ-8</t>
  </si>
  <si>
    <t xml:space="preserve"> Тип: ПК-4</t>
  </si>
  <si>
    <t xml:space="preserve"> Тип: ПК-3</t>
  </si>
  <si>
    <t>Тип: ПК-5 Плинтус H=100мм из керамогранита Kerama Marazzi Коллиано, арт.SG912900N</t>
  </si>
  <si>
    <t>Стены. П-1</t>
  </si>
  <si>
    <t>Подвал. Плинтус H=100мм</t>
  </si>
  <si>
    <t>Тип: КР-6</t>
  </si>
  <si>
    <t xml:space="preserve"> Подвал. Керамогранит Kerama Marazzi </t>
  </si>
  <si>
    <t>Тип: КР-2</t>
  </si>
  <si>
    <t>Тип: КР-1</t>
  </si>
  <si>
    <t>Тип: КР-3</t>
  </si>
  <si>
    <t>Тип: КР-10</t>
  </si>
  <si>
    <t>Тип: КР-1.1</t>
  </si>
  <si>
    <t>Установка напольного плинтуса / полимерного на клею</t>
  </si>
  <si>
    <t>Тип - ПЛ-4</t>
  </si>
  <si>
    <t>Плинтус H=100мм из керамогранита Kerama Marazzi Коллиано</t>
  </si>
  <si>
    <t>Укладка систем грязезащиты на пол</t>
  </si>
  <si>
    <t>Тип П-13 Самовыравнивающаяся смесь с последующей шлифовкой  − 13мм.</t>
  </si>
  <si>
    <t>Эт</t>
  </si>
  <si>
    <t>1</t>
  </si>
  <si>
    <t>2</t>
  </si>
  <si>
    <t>3</t>
  </si>
  <si>
    <t>пог.м</t>
  </si>
  <si>
    <t>Тип: Гр-1</t>
  </si>
  <si>
    <t>Толщина 50 мм.</t>
  </si>
  <si>
    <t xml:space="preserve">Устройство покрытия пола СКБ из керамогранитной плитки </t>
  </si>
  <si>
    <t xml:space="preserve"> размер 600x600</t>
  </si>
  <si>
    <t>1,77</t>
  </si>
  <si>
    <t xml:space="preserve"> размер 600x95</t>
  </si>
  <si>
    <t>Линолеум для коридоров БНК и ДОО - Линолеум TARKETT TEMPO PLUS 1004</t>
  </si>
  <si>
    <t>пог. м.</t>
  </si>
  <si>
    <t>Линолеум для спортзалов - Спортивные покрытия OMNISPORTS ACTION 40 GREY 200212004</t>
  </si>
  <si>
    <t>Этаж</t>
  </si>
  <si>
    <t>Установка напольного плинтуса</t>
  </si>
  <si>
    <t>пог.м.</t>
  </si>
  <si>
    <t>Пог.м.</t>
  </si>
  <si>
    <t>Устройство покрытия пола СКБ из керамогранитной плитки / Керамогранит Грани Таганая моноколор, арт. GT100, цвет бежевый, толщина 10мм, матовый</t>
  </si>
  <si>
    <t>Устройство плинтуса из керамогранитной плитки СКБ / Керамогранит Грани Таганая моноколор, арт. GT100, цвет бежевый, толщина 10мм, матовый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</si>
</sst>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₽_-;\-* #,##0.00\ _₽_-;_-* &quot;-&quot;??\ _₽_-;_-@_-"/>
    <numFmt numFmtId="164" formatCode="0.0"/>
    <numFmt numFmtId="165" formatCode="#,##0.000"/>
    <numFmt numFmtId="166" formatCode="_-* #,##0.0\ _₽_-;\-* #,##0.0\ _₽_-;_-* &quot;-&quot;??\ _₽_-;_-@_-"/>
    <numFmt numFmtId="167" formatCode="0.000"/>
  </numFmts>
  <fonts count="24" x14ac:knownFonts="1">
    <font>
      <sz val="11"/>
      <color theme="1"/>
      <name val="Calibri"/>
      <family val="2"/>
      <charset val="204"/>
      <scheme val="minor"/>
    </font>
    <font>
      <sz val="12"/>
      <color theme="1"/>
      <name val="ГОСТ тип А"/>
      <family val="2"/>
      <charset val="204"/>
    </font>
    <font>
      <sz val="12"/>
      <color theme="4" tint="-0.249977111117893"/>
      <name val="ГОСТ тип А"/>
      <family val="2"/>
      <charset val="204"/>
    </font>
    <font>
      <sz val="12"/>
      <color theme="1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sz val="14"/>
      <name val="ГОСТ тип А"/>
      <family val="2"/>
      <charset val="204"/>
    </font>
    <font>
      <sz val="14"/>
      <color rgb="FF000000"/>
      <name val="Times New Roman"/>
      <family val="1"/>
      <charset val="204"/>
    </font>
    <font>
      <sz val="10"/>
      <color theme="1"/>
      <name val="ГОСТ тип А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4" tint="-0.249977111117893"/>
      <name val="ГОСТ тип А"/>
      <family val="2"/>
      <charset val="204"/>
    </font>
    <font>
      <sz val="12"/>
      <color rgb="FFFF0000"/>
      <name val="ГОСТ тип А"/>
      <family val="2"/>
      <charset val="204"/>
    </font>
    <font>
      <b/>
      <sz val="12"/>
      <color theme="1"/>
      <name val="ГОСТ тип А"/>
      <family val="2"/>
      <charset val="204"/>
    </font>
    <font>
      <b/>
      <sz val="12"/>
      <color rgb="FF000000"/>
      <name val="ГОСТ тип А"/>
      <family val="2"/>
      <charset val="204"/>
    </font>
    <font>
      <sz val="11"/>
      <color theme="4" tint="-0.249977111117893"/>
      <name val="Calibri"/>
      <family val="2"/>
      <charset val="204"/>
      <scheme val="minor"/>
    </font>
    <font>
      <b/>
      <sz val="14"/>
      <color theme="4" tint="-0.249977111117893"/>
      <name val="ГОСТ тип А"/>
      <family val="2"/>
      <charset val="204"/>
    </font>
    <font>
      <b/>
      <sz val="11"/>
      <color theme="4" tint="-0.249977111117893"/>
      <name val="Calibri"/>
      <family val="2"/>
      <charset val="204"/>
      <scheme val="minor"/>
    </font>
    <font>
      <b/>
      <sz val="12"/>
      <color theme="4" tint="-0.499984740745262"/>
      <name val="ГОСТ тип А"/>
      <family val="2"/>
      <charset val="204"/>
    </font>
    <font>
      <sz val="11"/>
      <color theme="4" tint="-0.499984740745262"/>
      <name val="Calibri"/>
      <family val="2"/>
      <charset val="204"/>
      <scheme val="minor"/>
    </font>
    <font>
      <sz val="12"/>
      <color theme="4" tint="-0.499984740745262"/>
      <name val="ГОСТ тип А"/>
      <family val="2"/>
      <charset val="204"/>
    </font>
    <font>
      <b/>
      <sz val="10"/>
      <color theme="4" tint="-0.249977111117893"/>
      <name val="Times New Roman"/>
      <family val="1"/>
      <charset val="204"/>
    </font>
    <font>
      <b/>
      <sz val="14"/>
      <name val="ГОСТ тип А"/>
      <family val="2"/>
      <charset val="204"/>
    </font>
    <font>
      <b/>
      <sz val="10"/>
      <color theme="4" tint="-0.249977111117893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2" fontId="1" fillId="0" borderId="0" xfId="0" applyNumberFormat="1" applyFont="1"/>
    <xf numFmtId="2" fontId="1" fillId="0" borderId="1" xfId="0" applyNumberFormat="1" applyFont="1" applyBorder="1"/>
    <xf numFmtId="0" fontId="1" fillId="2" borderId="1" xfId="0" applyFont="1" applyFill="1" applyBorder="1"/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wrapText="1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/>
    <xf numFmtId="0" fontId="0" fillId="0" borderId="1" xfId="0" applyBorder="1"/>
    <xf numFmtId="165" fontId="8" fillId="0" borderId="6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49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1" xfId="0" applyNumberFormat="1" applyFont="1" applyBorder="1"/>
    <xf numFmtId="2" fontId="12" fillId="0" borderId="0" xfId="0" applyNumberFormat="1" applyFont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/>
    <xf numFmtId="2" fontId="11" fillId="4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2" fontId="11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13" fillId="0" borderId="1" xfId="0" applyFont="1" applyBorder="1" applyAlignment="1">
      <alignment horizontal="center" vertical="center"/>
    </xf>
    <xf numFmtId="166" fontId="13" fillId="0" borderId="1" xfId="1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49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2" fontId="16" fillId="4" borderId="1" xfId="0" applyNumberFormat="1" applyFont="1" applyFill="1" applyBorder="1" applyAlignment="1">
      <alignment horizontal="right"/>
    </xf>
    <xf numFmtId="2" fontId="16" fillId="0" borderId="1" xfId="0" applyNumberFormat="1" applyFont="1" applyBorder="1" applyAlignment="1">
      <alignment horizontal="right"/>
    </xf>
    <xf numFmtId="2" fontId="4" fillId="0" borderId="1" xfId="0" applyNumberFormat="1" applyFont="1" applyBorder="1"/>
    <xf numFmtId="2" fontId="4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center"/>
    </xf>
    <xf numFmtId="49" fontId="13" fillId="0" borderId="1" xfId="0" applyNumberFormat="1" applyFont="1" applyBorder="1"/>
    <xf numFmtId="0" fontId="13" fillId="0" borderId="1" xfId="0" applyFont="1" applyBorder="1" applyAlignment="1">
      <alignment horizontal="center" vertical="center"/>
    </xf>
    <xf numFmtId="166" fontId="13" fillId="0" borderId="1" xfId="1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17" fillId="0" borderId="1" xfId="0" applyNumberFormat="1" applyFont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16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4" borderId="1" xfId="0" applyNumberFormat="1" applyFont="1" applyFill="1" applyBorder="1" applyAlignment="1">
      <alignment horizontal="center" vertical="center"/>
    </xf>
    <xf numFmtId="0" fontId="15" fillId="4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49" fontId="15" fillId="4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9" fontId="15" fillId="4" borderId="8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15" fillId="4" borderId="0" xfId="0" applyNumberFormat="1" applyFont="1" applyFill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7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2" fontId="20" fillId="4" borderId="0" xfId="0" applyNumberFormat="1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2" fontId="20" fillId="0" borderId="8" xfId="0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19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0" fillId="0" borderId="1" xfId="0" applyNumberFormat="1" applyFill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2" fillId="0" borderId="3" xfId="0" applyFont="1" applyFill="1" applyBorder="1" applyAlignment="1">
      <alignment horizontal="left" vertical="center" wrapText="1"/>
    </xf>
    <xf numFmtId="0" fontId="22" fillId="0" borderId="4" xfId="0" applyFont="1" applyFill="1" applyBorder="1" applyAlignment="1">
      <alignment horizontal="left" vertical="center" wrapText="1"/>
    </xf>
    <xf numFmtId="0" fontId="22" fillId="0" borderId="5" xfId="0" applyFont="1" applyFill="1" applyBorder="1" applyAlignment="1">
      <alignment horizontal="left" vertical="center" wrapText="1"/>
    </xf>
    <xf numFmtId="0" fontId="21" fillId="0" borderId="1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3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right"/>
    </xf>
    <xf numFmtId="49" fontId="19" fillId="0" borderId="0" xfId="0" applyNumberFormat="1" applyFont="1" applyAlignment="1">
      <alignment horizontal="center" vertical="center"/>
    </xf>
    <xf numFmtId="49" fontId="19" fillId="0" borderId="10" xfId="0" applyNumberFormat="1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0" fontId="4" fillId="0" borderId="12" xfId="0" applyFont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/>
    </xf>
    <xf numFmtId="0" fontId="16" fillId="4" borderId="14" xfId="0" applyNumberFormat="1" applyFont="1" applyFill="1" applyBorder="1" applyAlignment="1">
      <alignment horizontal="center" vertical="center"/>
    </xf>
    <xf numFmtId="2" fontId="16" fillId="4" borderId="13" xfId="0" applyNumberFormat="1" applyFont="1" applyFill="1" applyBorder="1" applyAlignment="1">
      <alignment horizontal="center" vertical="center"/>
    </xf>
    <xf numFmtId="2" fontId="16" fillId="4" borderId="15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6" fontId="13" fillId="0" borderId="1" xfId="1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ГОСТ тип А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6" name="Таблица6" displayName="Таблица6" ref="A1:C193" totalsRowShown="0" headerRowDxfId="10" dataDxfId="9">
  <autoFilter ref="A1:C193">
    <filterColumn colId="1">
      <filters>
        <filter val="П-10"/>
        <filter val="П-10.1"/>
        <filter val="П-13"/>
        <filter val="П-13.1"/>
        <filter val="П-13.2"/>
        <filter val="П-13.3"/>
        <filter val="П-14"/>
        <filter val="П-9"/>
        <filter val="П-9.1"/>
      </filters>
    </filterColumn>
  </autoFilter>
  <sortState ref="A2:C193">
    <sortCondition ref="A1:A193"/>
  </sortState>
  <tableColumns count="3">
    <tableColumn id="1" name="Помещение" dataDxfId="8"/>
    <tableColumn id="2" name="Тип" dataDxfId="7"/>
    <tableColumn id="3" name="Площадь" dataDxfId="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1" name="Таблица1" displayName="Таблица1" ref="A2:D216" totalsRowShown="0" headerRowDxfId="5" dataDxfId="4">
  <autoFilter ref="A2:D216">
    <filterColumn colId="2">
      <filters>
        <filter val="П-10"/>
        <filter val="П-13"/>
        <filter val="П-14"/>
        <filter val="П-9"/>
      </filters>
    </filterColumn>
  </autoFilter>
  <tableColumns count="4">
    <tableColumn id="1" name="№ п. п." dataDxfId="3"/>
    <tableColumn id="2" name="№ пом." dataDxfId="2"/>
    <tableColumn id="3" name="Тип пола" dataDxfId="1"/>
    <tableColumn id="4" name="Площадь, м2.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"/>
  <sheetViews>
    <sheetView zoomScale="70" zoomScaleNormal="70" workbookViewId="0">
      <selection activeCell="E11" sqref="E11"/>
    </sheetView>
  </sheetViews>
  <sheetFormatPr defaultRowHeight="18" x14ac:dyDescent="0.3"/>
  <cols>
    <col min="1" max="2" width="7.21875" style="180" customWidth="1"/>
    <col min="3" max="3" width="7.109375" style="180" bestFit="1" customWidth="1"/>
    <col min="4" max="4" width="16" style="180" customWidth="1"/>
    <col min="5" max="5" width="10.21875" style="180" bestFit="1" customWidth="1"/>
    <col min="6" max="6" width="10" style="180" bestFit="1" customWidth="1"/>
    <col min="7" max="7" width="10.88671875" style="180" customWidth="1"/>
    <col min="8" max="16384" width="8.88671875" style="180"/>
  </cols>
  <sheetData>
    <row r="1" spans="1:6" ht="15" customHeight="1" x14ac:dyDescent="0.3">
      <c r="A1" s="187" t="s">
        <v>692</v>
      </c>
      <c r="B1" s="187"/>
      <c r="C1" s="187"/>
      <c r="D1" s="187"/>
      <c r="E1" s="187"/>
      <c r="F1" s="187"/>
    </row>
    <row r="2" spans="1:6" ht="15" customHeight="1" x14ac:dyDescent="0.3">
      <c r="A2" s="12" t="s">
        <v>389</v>
      </c>
      <c r="B2" s="188" t="s">
        <v>390</v>
      </c>
      <c r="C2" s="189"/>
      <c r="D2" s="190"/>
      <c r="E2" s="179" t="s">
        <v>392</v>
      </c>
      <c r="F2" s="14" t="s">
        <v>393</v>
      </c>
    </row>
    <row r="3" spans="1:6" ht="41.4" customHeight="1" x14ac:dyDescent="0.3">
      <c r="A3" s="177">
        <v>1</v>
      </c>
      <c r="B3" s="191" t="s">
        <v>757</v>
      </c>
      <c r="C3" s="192"/>
      <c r="D3" s="193"/>
      <c r="E3" s="177" t="s">
        <v>754</v>
      </c>
      <c r="F3" s="76">
        <f>B9</f>
        <v>347.70000000000005</v>
      </c>
    </row>
    <row r="4" spans="1:6" x14ac:dyDescent="0.3">
      <c r="C4" s="194"/>
      <c r="D4" s="195"/>
      <c r="E4" s="195"/>
      <c r="F4" s="195"/>
    </row>
    <row r="5" spans="1:6" x14ac:dyDescent="0.3">
      <c r="A5" s="183" t="s">
        <v>756</v>
      </c>
      <c r="B5" s="169" t="s">
        <v>393</v>
      </c>
      <c r="C5" s="196"/>
      <c r="D5" s="197"/>
      <c r="E5" s="197"/>
      <c r="F5" s="197"/>
    </row>
    <row r="6" spans="1:6" x14ac:dyDescent="0.3">
      <c r="A6" s="170" t="s">
        <v>743</v>
      </c>
      <c r="B6" s="171">
        <v>74.959999999999994</v>
      </c>
      <c r="C6" s="196"/>
      <c r="D6" s="197"/>
      <c r="E6" s="197"/>
      <c r="F6" s="197"/>
    </row>
    <row r="7" spans="1:6" x14ac:dyDescent="0.3">
      <c r="A7" s="170" t="s">
        <v>744</v>
      </c>
      <c r="B7" s="171">
        <v>124.78</v>
      </c>
      <c r="C7" s="196"/>
      <c r="D7" s="197"/>
      <c r="E7" s="197"/>
      <c r="F7" s="197"/>
    </row>
    <row r="8" spans="1:6" x14ac:dyDescent="0.3">
      <c r="A8" s="170" t="s">
        <v>745</v>
      </c>
      <c r="B8" s="171">
        <v>147.96</v>
      </c>
      <c r="C8" s="196"/>
      <c r="D8" s="197"/>
      <c r="E8" s="197"/>
      <c r="F8" s="197"/>
    </row>
    <row r="9" spans="1:6" x14ac:dyDescent="0.3">
      <c r="A9" s="172" t="s">
        <v>474</v>
      </c>
      <c r="B9" s="171">
        <f>SUM(B6:B8)</f>
        <v>347.70000000000005</v>
      </c>
      <c r="C9" s="196"/>
      <c r="D9" s="197"/>
      <c r="E9" s="197"/>
      <c r="F9" s="197"/>
    </row>
  </sheetData>
  <mergeCells count="4">
    <mergeCell ref="A1:F1"/>
    <mergeCell ref="B2:D2"/>
    <mergeCell ref="B3:D3"/>
    <mergeCell ref="C4:F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22"/>
  <sheetViews>
    <sheetView zoomScale="70" zoomScaleNormal="70" workbookViewId="0">
      <selection activeCell="C6" sqref="C6:E22"/>
    </sheetView>
  </sheetViews>
  <sheetFormatPr defaultRowHeight="18" x14ac:dyDescent="0.3"/>
  <cols>
    <col min="1" max="2" width="7.21875" style="180" customWidth="1"/>
    <col min="3" max="3" width="7.109375" style="180" bestFit="1" customWidth="1"/>
    <col min="4" max="4" width="16" style="180" customWidth="1"/>
    <col min="5" max="5" width="61.109375" style="180" bestFit="1" customWidth="1"/>
    <col min="6" max="6" width="10.21875" style="180" bestFit="1" customWidth="1"/>
    <col min="7" max="7" width="10" style="180" bestFit="1" customWidth="1"/>
    <col min="8" max="8" width="10.88671875" style="180" customWidth="1"/>
    <col min="9" max="16384" width="8.88671875" style="180"/>
  </cols>
  <sheetData>
    <row r="1" spans="1:7" ht="15" customHeight="1" x14ac:dyDescent="0.3">
      <c r="A1" s="187" t="s">
        <v>692</v>
      </c>
      <c r="B1" s="187"/>
      <c r="C1" s="187"/>
      <c r="D1" s="187"/>
      <c r="E1" s="187"/>
      <c r="F1" s="187"/>
      <c r="G1" s="187"/>
    </row>
    <row r="2" spans="1:7" ht="15" customHeight="1" x14ac:dyDescent="0.3">
      <c r="A2" s="12" t="s">
        <v>389</v>
      </c>
      <c r="B2" s="188" t="s">
        <v>390</v>
      </c>
      <c r="C2" s="189"/>
      <c r="D2" s="190"/>
      <c r="E2" s="179" t="s">
        <v>391</v>
      </c>
      <c r="F2" s="179" t="s">
        <v>392</v>
      </c>
      <c r="G2" s="14" t="s">
        <v>393</v>
      </c>
    </row>
    <row r="3" spans="1:7" ht="41.4" customHeight="1" x14ac:dyDescent="0.3">
      <c r="A3" s="177">
        <v>1</v>
      </c>
      <c r="B3" s="191" t="s">
        <v>679</v>
      </c>
      <c r="C3" s="192"/>
      <c r="D3" s="193"/>
      <c r="E3" s="181" t="s">
        <v>753</v>
      </c>
      <c r="F3" s="177" t="s">
        <v>394</v>
      </c>
      <c r="G3" s="76">
        <f>B22</f>
        <v>1014.5</v>
      </c>
    </row>
    <row r="4" spans="1:7" ht="41.4" customHeight="1" x14ac:dyDescent="0.3">
      <c r="A4" s="177">
        <v>2</v>
      </c>
      <c r="B4" s="191" t="s">
        <v>679</v>
      </c>
      <c r="C4" s="192"/>
      <c r="D4" s="193"/>
      <c r="E4" s="181" t="s">
        <v>755</v>
      </c>
      <c r="F4" s="177" t="s">
        <v>394</v>
      </c>
      <c r="G4" s="76">
        <f>G9</f>
        <v>419.8</v>
      </c>
    </row>
    <row r="5" spans="1:7" ht="9.6" customHeight="1" x14ac:dyDescent="0.3">
      <c r="A5" s="194"/>
      <c r="B5" s="195"/>
      <c r="C5" s="195"/>
      <c r="D5" s="195"/>
      <c r="E5" s="195"/>
      <c r="F5" s="195"/>
      <c r="G5" s="195"/>
    </row>
    <row r="6" spans="1:7" x14ac:dyDescent="0.3">
      <c r="A6" s="168" t="s">
        <v>593</v>
      </c>
      <c r="B6" s="169" t="s">
        <v>393</v>
      </c>
      <c r="C6" s="196"/>
      <c r="D6" s="197"/>
      <c r="E6" s="197"/>
      <c r="F6" s="168" t="s">
        <v>593</v>
      </c>
      <c r="G6" s="169" t="s">
        <v>393</v>
      </c>
    </row>
    <row r="7" spans="1:7" x14ac:dyDescent="0.3">
      <c r="A7" s="170" t="s">
        <v>554</v>
      </c>
      <c r="B7" s="171">
        <v>20.5</v>
      </c>
      <c r="C7" s="196"/>
      <c r="D7" s="197"/>
      <c r="E7" s="197"/>
      <c r="F7" s="170" t="s">
        <v>485</v>
      </c>
      <c r="G7" s="171">
        <v>349.3</v>
      </c>
    </row>
    <row r="8" spans="1:7" x14ac:dyDescent="0.3">
      <c r="A8" s="170" t="s">
        <v>551</v>
      </c>
      <c r="B8" s="171">
        <v>15.1</v>
      </c>
      <c r="C8" s="196"/>
      <c r="D8" s="197"/>
      <c r="E8" s="197"/>
      <c r="F8" s="170" t="s">
        <v>457</v>
      </c>
      <c r="G8" s="171">
        <v>70.5</v>
      </c>
    </row>
    <row r="9" spans="1:7" x14ac:dyDescent="0.3">
      <c r="A9" s="170" t="s">
        <v>581</v>
      </c>
      <c r="B9" s="171">
        <v>74.900000000000006</v>
      </c>
      <c r="C9" s="196"/>
      <c r="D9" s="197"/>
      <c r="E9" s="197"/>
      <c r="F9" s="172" t="s">
        <v>474</v>
      </c>
      <c r="G9" s="182">
        <f>SUM(G7:G8)</f>
        <v>419.8</v>
      </c>
    </row>
    <row r="10" spans="1:7" x14ac:dyDescent="0.3">
      <c r="A10" s="170" t="s">
        <v>578</v>
      </c>
      <c r="B10" s="171">
        <v>18.600000000000001</v>
      </c>
      <c r="C10" s="196"/>
      <c r="D10" s="197"/>
      <c r="E10" s="197"/>
      <c r="F10" s="198"/>
      <c r="G10" s="198"/>
    </row>
    <row r="11" spans="1:7" x14ac:dyDescent="0.3">
      <c r="A11" s="170" t="s">
        <v>579</v>
      </c>
      <c r="B11" s="171">
        <v>186.6</v>
      </c>
      <c r="C11" s="196"/>
      <c r="D11" s="197"/>
      <c r="E11" s="197"/>
      <c r="F11" s="199"/>
      <c r="G11" s="199"/>
    </row>
    <row r="12" spans="1:7" x14ac:dyDescent="0.3">
      <c r="A12" s="170" t="s">
        <v>580</v>
      </c>
      <c r="B12" s="171">
        <v>105.8</v>
      </c>
      <c r="C12" s="196"/>
      <c r="D12" s="197"/>
      <c r="E12" s="197"/>
      <c r="F12" s="199"/>
      <c r="G12" s="199"/>
    </row>
    <row r="13" spans="1:7" x14ac:dyDescent="0.3">
      <c r="A13" s="170" t="s">
        <v>574</v>
      </c>
      <c r="B13" s="171">
        <v>78.900000000000006</v>
      </c>
      <c r="C13" s="196"/>
      <c r="D13" s="197"/>
      <c r="E13" s="197"/>
      <c r="F13" s="199"/>
      <c r="G13" s="199"/>
    </row>
    <row r="14" spans="1:7" x14ac:dyDescent="0.3">
      <c r="A14" s="170" t="s">
        <v>459</v>
      </c>
      <c r="B14" s="171">
        <v>37.5</v>
      </c>
      <c r="C14" s="196"/>
      <c r="D14" s="197"/>
      <c r="E14" s="197"/>
      <c r="F14" s="199"/>
      <c r="G14" s="199"/>
    </row>
    <row r="15" spans="1:7" x14ac:dyDescent="0.3">
      <c r="A15" s="170" t="s">
        <v>460</v>
      </c>
      <c r="B15" s="171">
        <v>60.1</v>
      </c>
      <c r="C15" s="196"/>
      <c r="D15" s="197"/>
      <c r="E15" s="197"/>
      <c r="F15" s="199"/>
      <c r="G15" s="199"/>
    </row>
    <row r="16" spans="1:7" x14ac:dyDescent="0.3">
      <c r="A16" s="170" t="s">
        <v>587</v>
      </c>
      <c r="B16" s="171">
        <v>86.2</v>
      </c>
      <c r="C16" s="196"/>
      <c r="D16" s="197"/>
      <c r="E16" s="197"/>
      <c r="F16" s="199"/>
      <c r="G16" s="199"/>
    </row>
    <row r="17" spans="1:7" x14ac:dyDescent="0.3">
      <c r="A17" s="170" t="s">
        <v>586</v>
      </c>
      <c r="B17" s="171">
        <v>21.4</v>
      </c>
      <c r="C17" s="196"/>
      <c r="D17" s="197"/>
      <c r="E17" s="197"/>
      <c r="F17" s="199"/>
      <c r="G17" s="199"/>
    </row>
    <row r="18" spans="1:7" x14ac:dyDescent="0.3">
      <c r="A18" s="170" t="s">
        <v>584</v>
      </c>
      <c r="B18" s="171">
        <v>106.1</v>
      </c>
      <c r="C18" s="196"/>
      <c r="D18" s="197"/>
      <c r="E18" s="197"/>
      <c r="F18" s="199"/>
      <c r="G18" s="199"/>
    </row>
    <row r="19" spans="1:7" x14ac:dyDescent="0.3">
      <c r="A19" s="170" t="s">
        <v>585</v>
      </c>
      <c r="B19" s="171">
        <v>106.8</v>
      </c>
      <c r="C19" s="196"/>
      <c r="D19" s="197"/>
      <c r="E19" s="197"/>
      <c r="F19" s="199"/>
      <c r="G19" s="199"/>
    </row>
    <row r="20" spans="1:7" x14ac:dyDescent="0.3">
      <c r="A20" s="170" t="s">
        <v>473</v>
      </c>
      <c r="B20" s="171">
        <v>36.4</v>
      </c>
      <c r="C20" s="196"/>
      <c r="D20" s="197"/>
      <c r="E20" s="197"/>
      <c r="F20" s="199"/>
      <c r="G20" s="199"/>
    </row>
    <row r="21" spans="1:7" x14ac:dyDescent="0.3">
      <c r="A21" s="170" t="s">
        <v>571</v>
      </c>
      <c r="B21" s="171">
        <v>59.6</v>
      </c>
      <c r="C21" s="196"/>
      <c r="D21" s="197"/>
      <c r="E21" s="197"/>
      <c r="F21" s="199"/>
      <c r="G21" s="199"/>
    </row>
    <row r="22" spans="1:7" x14ac:dyDescent="0.3">
      <c r="A22" s="172" t="s">
        <v>474</v>
      </c>
      <c r="B22" s="182">
        <f>SUM(B7:B21)</f>
        <v>1014.5</v>
      </c>
      <c r="C22" s="196"/>
      <c r="D22" s="197"/>
      <c r="E22" s="197"/>
      <c r="F22" s="199"/>
      <c r="G22" s="199"/>
    </row>
  </sheetData>
  <mergeCells count="7">
    <mergeCell ref="C6:E22"/>
    <mergeCell ref="F10:G22"/>
    <mergeCell ref="A1:G1"/>
    <mergeCell ref="B2:D2"/>
    <mergeCell ref="B3:D3"/>
    <mergeCell ref="B4:D4"/>
    <mergeCell ref="A5:G5"/>
  </mergeCells>
  <pageMargins left="0.7" right="0.7" top="0.75" bottom="0.75" header="0.3" footer="0.3"/>
  <pageSetup paperSize="9" orientation="portrait" horizontalDpi="0" verticalDpi="0" r:id="rId1"/>
  <ignoredErrors>
    <ignoredError sqref="F7 A8:A14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9"/>
  <sheetViews>
    <sheetView zoomScale="70" zoomScaleNormal="70" workbookViewId="0">
      <selection activeCell="B4" sqref="B4:D4"/>
    </sheetView>
  </sheetViews>
  <sheetFormatPr defaultRowHeight="18" x14ac:dyDescent="0.3"/>
  <cols>
    <col min="1" max="2" width="7.21875" style="180" customWidth="1"/>
    <col min="3" max="3" width="7.109375" style="180" bestFit="1" customWidth="1"/>
    <col min="4" max="4" width="37.77734375" style="180" customWidth="1"/>
    <col min="5" max="5" width="11.88671875" style="180" bestFit="1" customWidth="1"/>
    <col min="6" max="6" width="10.21875" style="180" bestFit="1" customWidth="1"/>
    <col min="7" max="7" width="10" style="180" bestFit="1" customWidth="1"/>
    <col min="8" max="8" width="10.88671875" style="180" customWidth="1"/>
    <col min="9" max="16384" width="8.88671875" style="180"/>
  </cols>
  <sheetData>
    <row r="1" spans="1:7" ht="15" customHeight="1" x14ac:dyDescent="0.3">
      <c r="A1" s="187" t="s">
        <v>692</v>
      </c>
      <c r="B1" s="187"/>
      <c r="C1" s="187"/>
      <c r="D1" s="187"/>
      <c r="E1" s="187"/>
      <c r="F1" s="187"/>
      <c r="G1" s="187"/>
    </row>
    <row r="2" spans="1:7" ht="15" customHeight="1" x14ac:dyDescent="0.3">
      <c r="A2" s="12" t="s">
        <v>389</v>
      </c>
      <c r="B2" s="188" t="s">
        <v>390</v>
      </c>
      <c r="C2" s="189"/>
      <c r="D2" s="190"/>
      <c r="E2" s="179" t="s">
        <v>391</v>
      </c>
      <c r="F2" s="179" t="s">
        <v>392</v>
      </c>
      <c r="G2" s="14" t="s">
        <v>393</v>
      </c>
    </row>
    <row r="3" spans="1:7" ht="41.4" customHeight="1" x14ac:dyDescent="0.3">
      <c r="A3" s="177">
        <v>1</v>
      </c>
      <c r="B3" s="191" t="s">
        <v>749</v>
      </c>
      <c r="C3" s="192"/>
      <c r="D3" s="193"/>
      <c r="E3" s="178" t="s">
        <v>750</v>
      </c>
      <c r="F3" s="177" t="s">
        <v>394</v>
      </c>
      <c r="G3" s="76">
        <f>B9</f>
        <v>15.25</v>
      </c>
    </row>
    <row r="4" spans="1:7" ht="41.4" customHeight="1" x14ac:dyDescent="0.3">
      <c r="A4" s="177">
        <v>2</v>
      </c>
      <c r="B4" s="191" t="s">
        <v>712</v>
      </c>
      <c r="C4" s="192"/>
      <c r="D4" s="193"/>
      <c r="E4" s="178" t="s">
        <v>752</v>
      </c>
      <c r="F4" s="177" t="s">
        <v>758</v>
      </c>
      <c r="G4" s="76">
        <v>21.94</v>
      </c>
    </row>
    <row r="5" spans="1:7" x14ac:dyDescent="0.3">
      <c r="A5" s="168" t="s">
        <v>593</v>
      </c>
      <c r="B5" s="169" t="s">
        <v>393</v>
      </c>
      <c r="C5" s="194"/>
      <c r="D5" s="195"/>
      <c r="E5" s="195"/>
      <c r="F5" s="195"/>
      <c r="G5" s="195"/>
    </row>
    <row r="6" spans="1:7" x14ac:dyDescent="0.3">
      <c r="A6" s="170" t="s">
        <v>519</v>
      </c>
      <c r="B6" s="171">
        <v>5.63</v>
      </c>
      <c r="C6" s="196"/>
      <c r="D6" s="197"/>
      <c r="E6" s="197"/>
      <c r="F6" s="197"/>
      <c r="G6" s="197"/>
    </row>
    <row r="7" spans="1:7" x14ac:dyDescent="0.3">
      <c r="A7" s="170" t="s">
        <v>641</v>
      </c>
      <c r="B7" s="171">
        <v>4.92</v>
      </c>
      <c r="C7" s="196"/>
      <c r="D7" s="197"/>
      <c r="E7" s="197"/>
      <c r="F7" s="197"/>
      <c r="G7" s="197"/>
    </row>
    <row r="8" spans="1:7" x14ac:dyDescent="0.3">
      <c r="A8" s="170" t="s">
        <v>584</v>
      </c>
      <c r="B8" s="171">
        <v>4.7</v>
      </c>
      <c r="C8" s="196"/>
      <c r="D8" s="197"/>
      <c r="E8" s="197"/>
      <c r="F8" s="197"/>
      <c r="G8" s="197"/>
    </row>
    <row r="9" spans="1:7" x14ac:dyDescent="0.3">
      <c r="A9" s="172" t="s">
        <v>474</v>
      </c>
      <c r="B9" s="171">
        <f>SUM(B6:B8)</f>
        <v>15.25</v>
      </c>
      <c r="C9" s="196"/>
      <c r="D9" s="197"/>
      <c r="E9" s="197"/>
      <c r="F9" s="197"/>
      <c r="G9" s="197"/>
    </row>
  </sheetData>
  <mergeCells count="5">
    <mergeCell ref="A1:G1"/>
    <mergeCell ref="B2:D2"/>
    <mergeCell ref="B3:D3"/>
    <mergeCell ref="C5:G9"/>
    <mergeCell ref="B4:D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8"/>
  <sheetViews>
    <sheetView tabSelected="1" zoomScale="70" zoomScaleNormal="70" workbookViewId="0">
      <selection activeCell="E4" sqref="E4"/>
    </sheetView>
  </sheetViews>
  <sheetFormatPr defaultRowHeight="18" x14ac:dyDescent="0.3"/>
  <cols>
    <col min="1" max="2" width="7.21875" style="180" customWidth="1"/>
    <col min="3" max="3" width="9.21875" style="180" customWidth="1"/>
    <col min="4" max="4" width="37.77734375" style="180" customWidth="1"/>
    <col min="5" max="5" width="11.88671875" style="180" bestFit="1" customWidth="1"/>
    <col min="6" max="6" width="10.21875" style="180" bestFit="1" customWidth="1"/>
    <col min="7" max="7" width="10" style="180" bestFit="1" customWidth="1"/>
    <col min="8" max="8" width="10.88671875" style="180" customWidth="1"/>
    <col min="9" max="16384" width="8.88671875" style="180"/>
  </cols>
  <sheetData>
    <row r="1" spans="1:7" ht="15" customHeight="1" x14ac:dyDescent="0.3">
      <c r="A1" s="187" t="s">
        <v>692</v>
      </c>
      <c r="B1" s="187"/>
      <c r="C1" s="187"/>
      <c r="D1" s="187"/>
      <c r="E1" s="187"/>
      <c r="F1" s="187"/>
      <c r="G1" s="187"/>
    </row>
    <row r="2" spans="1:7" ht="15" customHeight="1" x14ac:dyDescent="0.3">
      <c r="A2" s="12" t="s">
        <v>389</v>
      </c>
      <c r="B2" s="188" t="s">
        <v>390</v>
      </c>
      <c r="C2" s="189"/>
      <c r="D2" s="190"/>
      <c r="E2" s="179" t="s">
        <v>391</v>
      </c>
      <c r="F2" s="179" t="s">
        <v>392</v>
      </c>
      <c r="G2" s="14" t="s">
        <v>393</v>
      </c>
    </row>
    <row r="3" spans="1:7" ht="85.2" customHeight="1" x14ac:dyDescent="0.3">
      <c r="A3" s="177">
        <v>1</v>
      </c>
      <c r="B3" s="191" t="s">
        <v>760</v>
      </c>
      <c r="C3" s="192"/>
      <c r="D3" s="193"/>
      <c r="E3" s="178" t="s">
        <v>750</v>
      </c>
      <c r="F3" s="177" t="s">
        <v>394</v>
      </c>
      <c r="G3" s="76">
        <f>B8</f>
        <v>102.6</v>
      </c>
    </row>
    <row r="4" spans="1:7" s="185" customFormat="1" ht="72" customHeight="1" x14ac:dyDescent="0.3">
      <c r="A4" s="184">
        <v>2</v>
      </c>
      <c r="B4" s="191" t="s">
        <v>761</v>
      </c>
      <c r="C4" s="192"/>
      <c r="D4" s="193"/>
      <c r="E4" s="186" t="s">
        <v>752</v>
      </c>
      <c r="F4" s="184" t="s">
        <v>394</v>
      </c>
      <c r="G4" s="76">
        <f>C8</f>
        <v>51.900000000000006</v>
      </c>
    </row>
    <row r="5" spans="1:7" x14ac:dyDescent="0.3">
      <c r="A5" s="168" t="s">
        <v>593</v>
      </c>
      <c r="B5" s="169" t="s">
        <v>393</v>
      </c>
      <c r="C5" s="169" t="s">
        <v>759</v>
      </c>
      <c r="D5" s="194"/>
      <c r="E5" s="195"/>
      <c r="F5" s="195"/>
      <c r="G5" s="195"/>
    </row>
    <row r="6" spans="1:7" x14ac:dyDescent="0.3">
      <c r="A6" s="170" t="s">
        <v>751</v>
      </c>
      <c r="B6" s="171">
        <v>41.8</v>
      </c>
      <c r="C6" s="171">
        <v>21.12</v>
      </c>
      <c r="D6" s="196"/>
      <c r="E6" s="197"/>
      <c r="F6" s="197"/>
      <c r="G6" s="197"/>
    </row>
    <row r="7" spans="1:7" x14ac:dyDescent="0.3">
      <c r="A7" s="170" t="s">
        <v>553</v>
      </c>
      <c r="B7" s="171">
        <v>60.8</v>
      </c>
      <c r="C7" s="171">
        <v>30.78</v>
      </c>
      <c r="D7" s="196"/>
      <c r="E7" s="197"/>
      <c r="F7" s="197"/>
      <c r="G7" s="197"/>
    </row>
    <row r="8" spans="1:7" x14ac:dyDescent="0.3">
      <c r="A8" s="172" t="s">
        <v>474</v>
      </c>
      <c r="B8" s="171">
        <f>SUM(B6:B7)</f>
        <v>102.6</v>
      </c>
      <c r="C8" s="171">
        <f>SUM(C6:C7)</f>
        <v>51.900000000000006</v>
      </c>
      <c r="D8" s="196"/>
      <c r="E8" s="197"/>
      <c r="F8" s="197"/>
      <c r="G8" s="197"/>
    </row>
  </sheetData>
  <mergeCells count="5">
    <mergeCell ref="A1:G1"/>
    <mergeCell ref="B2:D2"/>
    <mergeCell ref="B3:D3"/>
    <mergeCell ref="B4:D4"/>
    <mergeCell ref="D5:G8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11"/>
  <sheetViews>
    <sheetView zoomScale="70" zoomScaleNormal="70" workbookViewId="0">
      <selection activeCell="D24" sqref="D24"/>
    </sheetView>
  </sheetViews>
  <sheetFormatPr defaultRowHeight="18" x14ac:dyDescent="0.3"/>
  <cols>
    <col min="1" max="2" width="7.21875" style="176" customWidth="1"/>
    <col min="3" max="3" width="7.109375" style="176" bestFit="1" customWidth="1"/>
    <col min="4" max="4" width="37.77734375" style="176" customWidth="1"/>
    <col min="5" max="5" width="11.88671875" style="176" bestFit="1" customWidth="1"/>
    <col min="6" max="6" width="10.21875" style="176" bestFit="1" customWidth="1"/>
    <col min="7" max="7" width="10" style="176" bestFit="1" customWidth="1"/>
    <col min="8" max="8" width="10.88671875" style="176" customWidth="1"/>
    <col min="9" max="16384" width="8.88671875" style="176"/>
  </cols>
  <sheetData>
    <row r="1" spans="1:7" ht="15" customHeight="1" x14ac:dyDescent="0.3">
      <c r="A1" s="187" t="s">
        <v>692</v>
      </c>
      <c r="B1" s="187"/>
      <c r="C1" s="187"/>
      <c r="D1" s="187"/>
      <c r="E1" s="187"/>
      <c r="F1" s="187"/>
      <c r="G1" s="187"/>
    </row>
    <row r="2" spans="1:7" ht="15" customHeight="1" x14ac:dyDescent="0.3">
      <c r="A2" s="12" t="s">
        <v>389</v>
      </c>
      <c r="B2" s="188" t="s">
        <v>390</v>
      </c>
      <c r="C2" s="189"/>
      <c r="D2" s="190"/>
      <c r="E2" s="175" t="s">
        <v>391</v>
      </c>
      <c r="F2" s="175" t="s">
        <v>392</v>
      </c>
      <c r="G2" s="14" t="s">
        <v>393</v>
      </c>
    </row>
    <row r="3" spans="1:7" ht="41.4" customHeight="1" x14ac:dyDescent="0.3">
      <c r="A3" s="173">
        <v>1</v>
      </c>
      <c r="B3" s="191" t="s">
        <v>682</v>
      </c>
      <c r="C3" s="192"/>
      <c r="D3" s="193"/>
      <c r="E3" s="174" t="s">
        <v>748</v>
      </c>
      <c r="F3" s="173" t="s">
        <v>394</v>
      </c>
      <c r="G3" s="76">
        <f>B11</f>
        <v>258</v>
      </c>
    </row>
    <row r="4" spans="1:7" x14ac:dyDescent="0.3">
      <c r="A4" s="168" t="s">
        <v>593</v>
      </c>
      <c r="B4" s="169" t="s">
        <v>393</v>
      </c>
      <c r="C4" s="194"/>
      <c r="D4" s="195"/>
      <c r="E4" s="195"/>
      <c r="F4" s="195"/>
      <c r="G4" s="195"/>
    </row>
    <row r="5" spans="1:7" x14ac:dyDescent="0.3">
      <c r="A5" s="170" t="s">
        <v>561</v>
      </c>
      <c r="B5" s="171">
        <v>24</v>
      </c>
      <c r="C5" s="196"/>
      <c r="D5" s="197"/>
      <c r="E5" s="197"/>
      <c r="F5" s="197"/>
      <c r="G5" s="197"/>
    </row>
    <row r="6" spans="1:7" x14ac:dyDescent="0.3">
      <c r="A6" s="170" t="s">
        <v>562</v>
      </c>
      <c r="B6" s="171">
        <v>51.3</v>
      </c>
      <c r="C6" s="196"/>
      <c r="D6" s="197"/>
      <c r="E6" s="197"/>
      <c r="F6" s="197"/>
      <c r="G6" s="197"/>
    </row>
    <row r="7" spans="1:7" x14ac:dyDescent="0.3">
      <c r="A7" s="170" t="s">
        <v>563</v>
      </c>
      <c r="B7" s="171">
        <v>56.6</v>
      </c>
      <c r="C7" s="196"/>
      <c r="D7" s="197"/>
      <c r="E7" s="197"/>
      <c r="F7" s="197"/>
      <c r="G7" s="197"/>
    </row>
    <row r="8" spans="1:7" s="180" customFormat="1" x14ac:dyDescent="0.3">
      <c r="A8" s="170" t="s">
        <v>564</v>
      </c>
      <c r="B8" s="171">
        <v>18.5</v>
      </c>
      <c r="C8" s="196"/>
      <c r="D8" s="197"/>
      <c r="E8" s="197"/>
      <c r="F8" s="197"/>
      <c r="G8" s="197"/>
    </row>
    <row r="9" spans="1:7" s="180" customFormat="1" x14ac:dyDescent="0.3">
      <c r="A9" s="170" t="s">
        <v>565</v>
      </c>
      <c r="B9" s="171">
        <v>51.3</v>
      </c>
      <c r="C9" s="196"/>
      <c r="D9" s="197"/>
      <c r="E9" s="197"/>
      <c r="F9" s="197"/>
      <c r="G9" s="197"/>
    </row>
    <row r="10" spans="1:7" s="180" customFormat="1" x14ac:dyDescent="0.3">
      <c r="A10" s="170" t="s">
        <v>566</v>
      </c>
      <c r="B10" s="171">
        <v>56.3</v>
      </c>
      <c r="C10" s="196"/>
      <c r="D10" s="197"/>
      <c r="E10" s="197"/>
      <c r="F10" s="197"/>
      <c r="G10" s="197"/>
    </row>
    <row r="11" spans="1:7" x14ac:dyDescent="0.3">
      <c r="A11" s="172" t="s">
        <v>474</v>
      </c>
      <c r="B11" s="171">
        <f>SUM(B5:B10)</f>
        <v>258</v>
      </c>
      <c r="C11" s="196"/>
      <c r="D11" s="197"/>
      <c r="E11" s="197"/>
      <c r="F11" s="197"/>
      <c r="G11" s="197"/>
    </row>
  </sheetData>
  <mergeCells count="4">
    <mergeCell ref="A1:G1"/>
    <mergeCell ref="B2:D2"/>
    <mergeCell ref="B3:D3"/>
    <mergeCell ref="C4:G11"/>
  </mergeCells>
  <pageMargins left="0.7" right="0.7" top="0.75" bottom="0.75" header="0.3" footer="0.3"/>
  <pageSetup paperSize="9" orientation="portrait" horizontalDpi="0" verticalDpi="0" r:id="rId1"/>
  <ignoredErrors>
    <ignoredError sqref="A5:A10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9"/>
  <sheetViews>
    <sheetView zoomScale="70" zoomScaleNormal="70" workbookViewId="0">
      <selection activeCell="D30" sqref="D30"/>
    </sheetView>
  </sheetViews>
  <sheetFormatPr defaultRowHeight="18" x14ac:dyDescent="0.3"/>
  <cols>
    <col min="1" max="2" width="7.21875" style="167" customWidth="1"/>
    <col min="3" max="3" width="7.109375" style="167" bestFit="1" customWidth="1"/>
    <col min="4" max="4" width="16.77734375" style="167" customWidth="1"/>
    <col min="5" max="5" width="11.88671875" style="167" bestFit="1" customWidth="1"/>
    <col min="6" max="6" width="10.21875" style="167" bestFit="1" customWidth="1"/>
    <col min="7" max="7" width="10" style="167" bestFit="1" customWidth="1"/>
    <col min="8" max="8" width="10.88671875" style="167" customWidth="1"/>
    <col min="9" max="16384" width="8.88671875" style="167"/>
  </cols>
  <sheetData>
    <row r="1" spans="1:7" ht="15" customHeight="1" x14ac:dyDescent="0.3">
      <c r="A1" s="187" t="s">
        <v>692</v>
      </c>
      <c r="B1" s="187"/>
      <c r="C1" s="187"/>
      <c r="D1" s="187"/>
      <c r="E1" s="187"/>
      <c r="F1" s="187"/>
      <c r="G1" s="187"/>
    </row>
    <row r="2" spans="1:7" ht="15" customHeight="1" x14ac:dyDescent="0.3">
      <c r="A2" s="12" t="s">
        <v>389</v>
      </c>
      <c r="B2" s="188" t="s">
        <v>390</v>
      </c>
      <c r="C2" s="189"/>
      <c r="D2" s="190"/>
      <c r="E2" s="166" t="s">
        <v>391</v>
      </c>
      <c r="F2" s="166" t="s">
        <v>392</v>
      </c>
      <c r="G2" s="14" t="s">
        <v>393</v>
      </c>
    </row>
    <row r="3" spans="1:7" ht="41.4" customHeight="1" x14ac:dyDescent="0.3">
      <c r="A3" s="164">
        <v>1</v>
      </c>
      <c r="B3" s="200" t="s">
        <v>740</v>
      </c>
      <c r="C3" s="201"/>
      <c r="D3" s="202"/>
      <c r="E3" s="165" t="s">
        <v>747</v>
      </c>
      <c r="F3" s="164" t="s">
        <v>746</v>
      </c>
      <c r="G3" s="76">
        <f>B9</f>
        <v>37.090000000000003</v>
      </c>
    </row>
    <row r="4" spans="1:7" x14ac:dyDescent="0.3">
      <c r="A4" s="168" t="s">
        <v>593</v>
      </c>
      <c r="B4" s="169" t="s">
        <v>393</v>
      </c>
      <c r="C4" s="194"/>
      <c r="D4" s="195"/>
      <c r="E4" s="195"/>
      <c r="F4" s="195"/>
      <c r="G4" s="195"/>
    </row>
    <row r="5" spans="1:7" x14ac:dyDescent="0.3">
      <c r="A5" s="170" t="s">
        <v>598</v>
      </c>
      <c r="B5" s="171">
        <v>8.39</v>
      </c>
      <c r="C5" s="196"/>
      <c r="D5" s="197"/>
      <c r="E5" s="197"/>
      <c r="F5" s="197"/>
      <c r="G5" s="197"/>
    </row>
    <row r="6" spans="1:7" x14ac:dyDescent="0.3">
      <c r="A6" s="170" t="s">
        <v>530</v>
      </c>
      <c r="B6" s="171">
        <v>8.1999999999999993</v>
      </c>
      <c r="C6" s="196"/>
      <c r="D6" s="197"/>
      <c r="E6" s="197"/>
      <c r="F6" s="197"/>
      <c r="G6" s="197"/>
    </row>
    <row r="7" spans="1:7" x14ac:dyDescent="0.3">
      <c r="A7" s="170" t="s">
        <v>524</v>
      </c>
      <c r="B7" s="171">
        <v>8.4</v>
      </c>
      <c r="C7" s="196"/>
      <c r="D7" s="197"/>
      <c r="E7" s="197"/>
      <c r="F7" s="197"/>
      <c r="G7" s="197"/>
    </row>
    <row r="8" spans="1:7" x14ac:dyDescent="0.3">
      <c r="A8" s="170" t="s">
        <v>658</v>
      </c>
      <c r="B8" s="171">
        <v>12.1</v>
      </c>
      <c r="C8" s="196"/>
      <c r="D8" s="197"/>
      <c r="E8" s="197"/>
      <c r="F8" s="197"/>
      <c r="G8" s="197"/>
    </row>
    <row r="9" spans="1:7" x14ac:dyDescent="0.3">
      <c r="A9" s="172" t="s">
        <v>474</v>
      </c>
      <c r="B9" s="171">
        <f>SUM(B5:B8)</f>
        <v>37.090000000000003</v>
      </c>
      <c r="C9" s="196"/>
      <c r="D9" s="197"/>
      <c r="E9" s="197"/>
      <c r="F9" s="197"/>
      <c r="G9" s="197"/>
    </row>
  </sheetData>
  <mergeCells count="4">
    <mergeCell ref="A1:G1"/>
    <mergeCell ref="B2:D2"/>
    <mergeCell ref="B3:D3"/>
    <mergeCell ref="C4:G9"/>
  </mergeCells>
  <pageMargins left="0.7" right="0.7" top="0.75" bottom="0.75" header="0.3" footer="0.3"/>
  <pageSetup paperSize="9" orientation="portrait" horizontalDpi="0" verticalDpi="0" r:id="rId1"/>
  <ignoredErrors>
    <ignoredError sqref="A6:A8" twoDigitTextYea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7"/>
  <sheetViews>
    <sheetView zoomScale="70" zoomScaleNormal="70" workbookViewId="0">
      <selection activeCell="C4" sqref="C4:G7"/>
    </sheetView>
  </sheetViews>
  <sheetFormatPr defaultRowHeight="18" x14ac:dyDescent="0.3"/>
  <cols>
    <col min="1" max="2" width="7.21875" style="162" customWidth="1"/>
    <col min="3" max="3" width="7.109375" style="162" bestFit="1" customWidth="1"/>
    <col min="4" max="4" width="28.21875" style="162" customWidth="1"/>
    <col min="5" max="5" width="35.109375" style="162" customWidth="1"/>
    <col min="6" max="6" width="10.21875" style="162" bestFit="1" customWidth="1"/>
    <col min="7" max="7" width="10" style="162" bestFit="1" customWidth="1"/>
    <col min="8" max="8" width="10.88671875" style="162" customWidth="1"/>
    <col min="9" max="16384" width="8.88671875" style="162"/>
  </cols>
  <sheetData>
    <row r="1" spans="1:7" ht="15" customHeight="1" x14ac:dyDescent="0.3">
      <c r="A1" s="187" t="s">
        <v>692</v>
      </c>
      <c r="B1" s="187"/>
      <c r="C1" s="187"/>
      <c r="D1" s="187"/>
      <c r="E1" s="187"/>
      <c r="F1" s="187"/>
      <c r="G1" s="187"/>
    </row>
    <row r="2" spans="1:7" ht="15" customHeight="1" x14ac:dyDescent="0.3">
      <c r="A2" s="12" t="s">
        <v>389</v>
      </c>
      <c r="B2" s="188" t="s">
        <v>390</v>
      </c>
      <c r="C2" s="189"/>
      <c r="D2" s="190"/>
      <c r="E2" s="161" t="s">
        <v>391</v>
      </c>
      <c r="F2" s="161" t="s">
        <v>392</v>
      </c>
      <c r="G2" s="14" t="s">
        <v>393</v>
      </c>
    </row>
    <row r="3" spans="1:7" ht="54" customHeight="1" x14ac:dyDescent="0.3">
      <c r="A3" s="159">
        <v>1</v>
      </c>
      <c r="B3" s="200" t="s">
        <v>712</v>
      </c>
      <c r="C3" s="201"/>
      <c r="D3" s="202"/>
      <c r="E3" s="160" t="s">
        <v>739</v>
      </c>
      <c r="F3" s="159" t="s">
        <v>746</v>
      </c>
      <c r="G3" s="76">
        <f>B7</f>
        <v>20.420000000000002</v>
      </c>
    </row>
    <row r="4" spans="1:7" x14ac:dyDescent="0.3">
      <c r="A4" s="168" t="s">
        <v>593</v>
      </c>
      <c r="B4" s="169" t="s">
        <v>393</v>
      </c>
      <c r="C4" s="194"/>
      <c r="D4" s="195"/>
      <c r="E4" s="195"/>
      <c r="F4" s="195"/>
      <c r="G4" s="195"/>
    </row>
    <row r="5" spans="1:7" x14ac:dyDescent="0.3">
      <c r="A5" s="170" t="s">
        <v>645</v>
      </c>
      <c r="B5" s="171">
        <v>10.25</v>
      </c>
      <c r="C5" s="196"/>
      <c r="D5" s="197"/>
      <c r="E5" s="197"/>
      <c r="F5" s="197"/>
      <c r="G5" s="197"/>
    </row>
    <row r="6" spans="1:7" x14ac:dyDescent="0.3">
      <c r="A6" s="170" t="s">
        <v>658</v>
      </c>
      <c r="B6" s="171">
        <v>10.17</v>
      </c>
      <c r="C6" s="196"/>
      <c r="D6" s="197"/>
      <c r="E6" s="197"/>
      <c r="F6" s="197"/>
      <c r="G6" s="197"/>
    </row>
    <row r="7" spans="1:7" x14ac:dyDescent="0.3">
      <c r="A7" s="172" t="s">
        <v>474</v>
      </c>
      <c r="B7" s="171">
        <f>SUM(B5:B6)</f>
        <v>20.420000000000002</v>
      </c>
      <c r="C7" s="196"/>
      <c r="D7" s="197"/>
      <c r="E7" s="197"/>
      <c r="F7" s="197"/>
      <c r="G7" s="197"/>
    </row>
  </sheetData>
  <mergeCells count="4">
    <mergeCell ref="A1:G1"/>
    <mergeCell ref="B2:D2"/>
    <mergeCell ref="B3:D3"/>
    <mergeCell ref="C4:G7"/>
  </mergeCells>
  <pageMargins left="0.7" right="0.7" top="0.75" bottom="0.75" header="0.3" footer="0.3"/>
  <pageSetup paperSize="9" orientation="portrait" horizontalDpi="0" verticalDpi="0" r:id="rId1"/>
  <ignoredErrors>
    <ignoredError sqref="A5:A6" twoDigitTextYea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9"/>
  <sheetViews>
    <sheetView zoomScale="70" zoomScaleNormal="70" workbookViewId="0">
      <selection activeCell="B3" sqref="B3:C3"/>
    </sheetView>
  </sheetViews>
  <sheetFormatPr defaultRowHeight="18" x14ac:dyDescent="0.3"/>
  <cols>
    <col min="1" max="1" width="7.21875" style="162" customWidth="1"/>
    <col min="2" max="2" width="7.109375" style="162" bestFit="1" customWidth="1"/>
    <col min="3" max="3" width="35.21875" style="162" customWidth="1"/>
    <col min="4" max="4" width="14.44140625" style="162" bestFit="1" customWidth="1"/>
    <col min="5" max="5" width="10.21875" style="162" bestFit="1" customWidth="1"/>
    <col min="6" max="6" width="10" style="162" bestFit="1" customWidth="1"/>
    <col min="7" max="7" width="10.88671875" style="162" customWidth="1"/>
    <col min="8" max="16384" width="8.88671875" style="162"/>
  </cols>
  <sheetData>
    <row r="1" spans="1:6" ht="15" customHeight="1" x14ac:dyDescent="0.3">
      <c r="A1" s="187" t="s">
        <v>692</v>
      </c>
      <c r="B1" s="187"/>
      <c r="C1" s="187"/>
      <c r="D1" s="187"/>
      <c r="E1" s="187"/>
      <c r="F1" s="187"/>
    </row>
    <row r="2" spans="1:6" ht="15" customHeight="1" x14ac:dyDescent="0.3">
      <c r="A2" s="12" t="s">
        <v>389</v>
      </c>
      <c r="B2" s="205" t="s">
        <v>390</v>
      </c>
      <c r="C2" s="206"/>
      <c r="D2" s="161" t="s">
        <v>391</v>
      </c>
      <c r="E2" s="161" t="s">
        <v>392</v>
      </c>
      <c r="F2" s="14" t="s">
        <v>393</v>
      </c>
    </row>
    <row r="3" spans="1:6" ht="54" customHeight="1" x14ac:dyDescent="0.3">
      <c r="A3" s="159">
        <v>1</v>
      </c>
      <c r="B3" s="207" t="s">
        <v>737</v>
      </c>
      <c r="C3" s="208"/>
      <c r="D3" s="160" t="s">
        <v>738</v>
      </c>
      <c r="E3" s="159" t="s">
        <v>746</v>
      </c>
      <c r="F3" s="76">
        <f>B9</f>
        <v>1553.13</v>
      </c>
    </row>
    <row r="4" spans="1:6" x14ac:dyDescent="0.3">
      <c r="A4" s="198"/>
      <c r="B4" s="198"/>
      <c r="C4" s="198"/>
      <c r="D4" s="198"/>
      <c r="E4" s="198"/>
      <c r="F4" s="198"/>
    </row>
    <row r="5" spans="1:6" x14ac:dyDescent="0.3">
      <c r="A5" s="168" t="s">
        <v>742</v>
      </c>
      <c r="B5" s="169" t="s">
        <v>393</v>
      </c>
      <c r="C5" s="203"/>
      <c r="D5" s="204"/>
      <c r="E5" s="204"/>
      <c r="F5" s="204"/>
    </row>
    <row r="6" spans="1:6" x14ac:dyDescent="0.3">
      <c r="A6" s="170" t="s">
        <v>743</v>
      </c>
      <c r="B6" s="171">
        <v>371.2</v>
      </c>
      <c r="C6" s="203"/>
      <c r="D6" s="204"/>
      <c r="E6" s="204"/>
      <c r="F6" s="204"/>
    </row>
    <row r="7" spans="1:6" x14ac:dyDescent="0.3">
      <c r="A7" s="170" t="s">
        <v>744</v>
      </c>
      <c r="B7" s="171">
        <v>590.25</v>
      </c>
      <c r="C7" s="203"/>
      <c r="D7" s="204"/>
      <c r="E7" s="204"/>
      <c r="F7" s="204"/>
    </row>
    <row r="8" spans="1:6" x14ac:dyDescent="0.3">
      <c r="A8" s="170" t="s">
        <v>745</v>
      </c>
      <c r="B8" s="171">
        <v>591.67999999999995</v>
      </c>
      <c r="C8" s="203"/>
      <c r="D8" s="204"/>
      <c r="E8" s="204"/>
      <c r="F8" s="204"/>
    </row>
    <row r="9" spans="1:6" x14ac:dyDescent="0.3">
      <c r="A9" s="172" t="s">
        <v>474</v>
      </c>
      <c r="B9" s="171">
        <f>SUM(B6:B8)</f>
        <v>1553.13</v>
      </c>
      <c r="C9" s="203"/>
      <c r="D9" s="204"/>
      <c r="E9" s="204"/>
      <c r="F9" s="204"/>
    </row>
  </sheetData>
  <mergeCells count="5">
    <mergeCell ref="A4:F4"/>
    <mergeCell ref="C5:F9"/>
    <mergeCell ref="A1:F1"/>
    <mergeCell ref="B2:C2"/>
    <mergeCell ref="B3:C3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1"/>
  <sheetViews>
    <sheetView zoomScale="55" zoomScaleNormal="55" workbookViewId="0">
      <selection activeCell="F21" sqref="F21"/>
    </sheetView>
  </sheetViews>
  <sheetFormatPr defaultRowHeight="18" x14ac:dyDescent="0.3"/>
  <cols>
    <col min="1" max="2" width="7.21875" style="162" customWidth="1"/>
    <col min="3" max="3" width="7.109375" style="162" bestFit="1" customWidth="1"/>
    <col min="4" max="4" width="10.77734375" style="162" customWidth="1"/>
    <col min="5" max="5" width="12" style="162" customWidth="1"/>
    <col min="6" max="7" width="39" style="162" customWidth="1"/>
    <col min="8" max="8" width="5.5546875" style="162" bestFit="1" customWidth="1"/>
    <col min="9" max="9" width="10.21875" style="162" bestFit="1" customWidth="1"/>
    <col min="10" max="10" width="10" style="162" bestFit="1" customWidth="1"/>
    <col min="11" max="16384" width="8.88671875" style="162"/>
  </cols>
  <sheetData>
    <row r="1" spans="1:10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</row>
    <row r="2" spans="1:10" ht="15" customHeight="1" x14ac:dyDescent="0.3">
      <c r="A2" s="12" t="s">
        <v>389</v>
      </c>
      <c r="B2" s="188" t="s">
        <v>390</v>
      </c>
      <c r="C2" s="189"/>
      <c r="D2" s="189"/>
      <c r="E2" s="189"/>
      <c r="F2" s="190"/>
      <c r="G2" s="210" t="s">
        <v>391</v>
      </c>
      <c r="H2" s="211"/>
      <c r="I2" s="161" t="s">
        <v>392</v>
      </c>
      <c r="J2" s="14" t="s">
        <v>393</v>
      </c>
    </row>
    <row r="3" spans="1:10" ht="54" customHeight="1" x14ac:dyDescent="0.3">
      <c r="A3" s="159">
        <v>1</v>
      </c>
      <c r="B3" s="200" t="s">
        <v>597</v>
      </c>
      <c r="C3" s="201"/>
      <c r="D3" s="201"/>
      <c r="E3" s="201"/>
      <c r="F3" s="202"/>
      <c r="G3" s="212" t="s">
        <v>741</v>
      </c>
      <c r="H3" s="213"/>
      <c r="I3" s="159" t="s">
        <v>394</v>
      </c>
      <c r="J3" s="76">
        <f>B11+E8</f>
        <v>264.79999999999995</v>
      </c>
    </row>
    <row r="4" spans="1:10" x14ac:dyDescent="0.3">
      <c r="A4" s="198"/>
      <c r="B4" s="198"/>
      <c r="C4" s="198"/>
      <c r="D4" s="198"/>
      <c r="E4" s="198"/>
      <c r="F4" s="198"/>
      <c r="G4" s="198"/>
      <c r="H4" s="198"/>
      <c r="I4" s="198"/>
      <c r="J4" s="198"/>
    </row>
    <row r="5" spans="1:10" x14ac:dyDescent="0.3">
      <c r="A5" s="168" t="s">
        <v>593</v>
      </c>
      <c r="B5" s="169" t="s">
        <v>393</v>
      </c>
      <c r="C5" s="214"/>
      <c r="D5" s="168" t="s">
        <v>593</v>
      </c>
      <c r="E5" s="169" t="s">
        <v>393</v>
      </c>
      <c r="F5" s="196"/>
      <c r="G5" s="197"/>
      <c r="H5" s="197"/>
      <c r="I5" s="197"/>
      <c r="J5" s="197"/>
    </row>
    <row r="6" spans="1:10" x14ac:dyDescent="0.3">
      <c r="A6" s="170" t="s">
        <v>451</v>
      </c>
      <c r="B6" s="171">
        <v>23.5</v>
      </c>
      <c r="C6" s="214"/>
      <c r="D6" s="170" t="s">
        <v>467</v>
      </c>
      <c r="E6" s="171">
        <v>23.4</v>
      </c>
      <c r="F6" s="196"/>
      <c r="G6" s="197"/>
      <c r="H6" s="197"/>
      <c r="I6" s="197"/>
      <c r="J6" s="197"/>
    </row>
    <row r="7" spans="1:10" x14ac:dyDescent="0.3">
      <c r="A7" s="170" t="s">
        <v>454</v>
      </c>
      <c r="B7" s="171">
        <v>23.1</v>
      </c>
      <c r="C7" s="214"/>
      <c r="D7" s="170" t="s">
        <v>469</v>
      </c>
      <c r="E7" s="171">
        <v>23.2</v>
      </c>
      <c r="F7" s="196"/>
      <c r="G7" s="197"/>
      <c r="H7" s="197"/>
      <c r="I7" s="197"/>
      <c r="J7" s="197"/>
    </row>
    <row r="8" spans="1:10" x14ac:dyDescent="0.3">
      <c r="A8" s="170" t="s">
        <v>458</v>
      </c>
      <c r="B8" s="171">
        <v>72.5</v>
      </c>
      <c r="C8" s="214"/>
      <c r="D8" s="172" t="s">
        <v>474</v>
      </c>
      <c r="E8" s="171">
        <f>SUM(E6:E7)</f>
        <v>46.599999999999994</v>
      </c>
      <c r="F8" s="196"/>
      <c r="G8" s="197"/>
      <c r="H8" s="197"/>
      <c r="I8" s="197"/>
      <c r="J8" s="197"/>
    </row>
    <row r="9" spans="1:10" x14ac:dyDescent="0.3">
      <c r="A9" s="170" t="s">
        <v>459</v>
      </c>
      <c r="B9" s="171">
        <v>41.9</v>
      </c>
      <c r="C9" s="196"/>
      <c r="D9" s="209"/>
      <c r="E9" s="209"/>
      <c r="F9" s="197"/>
      <c r="G9" s="197"/>
      <c r="H9" s="197"/>
      <c r="I9" s="197"/>
      <c r="J9" s="197"/>
    </row>
    <row r="10" spans="1:10" x14ac:dyDescent="0.3">
      <c r="A10" s="170" t="s">
        <v>460</v>
      </c>
      <c r="B10" s="171">
        <v>57.2</v>
      </c>
      <c r="C10" s="196"/>
      <c r="D10" s="209"/>
      <c r="E10" s="209"/>
      <c r="F10" s="197"/>
      <c r="G10" s="197"/>
      <c r="H10" s="197"/>
      <c r="I10" s="197"/>
      <c r="J10" s="197"/>
    </row>
    <row r="11" spans="1:10" x14ac:dyDescent="0.3">
      <c r="A11" s="172" t="s">
        <v>474</v>
      </c>
      <c r="B11" s="171">
        <f>SUM(B6:B10)</f>
        <v>218.2</v>
      </c>
      <c r="C11" s="196"/>
      <c r="D11" s="209"/>
      <c r="E11" s="209"/>
      <c r="F11" s="197"/>
      <c r="G11" s="197"/>
      <c r="H11" s="197"/>
      <c r="I11" s="197"/>
      <c r="J11" s="197"/>
    </row>
  </sheetData>
  <mergeCells count="9">
    <mergeCell ref="A1:J1"/>
    <mergeCell ref="D9:E11"/>
    <mergeCell ref="G2:H2"/>
    <mergeCell ref="G3:H3"/>
    <mergeCell ref="B2:F2"/>
    <mergeCell ref="B3:F3"/>
    <mergeCell ref="A4:J4"/>
    <mergeCell ref="C5:C11"/>
    <mergeCell ref="F5:J11"/>
  </mergeCells>
  <pageMargins left="0.7" right="0.7" top="0.75" bottom="0.75" header="0.3" footer="0.3"/>
  <pageSetup paperSize="9" orientation="portrait" horizontalDpi="0" verticalDpi="0" r:id="rId1"/>
  <ignoredErrors>
    <ignoredError sqref="A6:A10 D6:D7" twoDigitTextYea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239"/>
  <sheetViews>
    <sheetView topLeftCell="A16" workbookViewId="0">
      <selection activeCell="G92" sqref="G92"/>
    </sheetView>
  </sheetViews>
  <sheetFormatPr defaultRowHeight="14.4" x14ac:dyDescent="0.3"/>
  <cols>
    <col min="1" max="1" width="13.21875" style="100" customWidth="1"/>
    <col min="2" max="2" width="8.88671875" style="101"/>
    <col min="3" max="3" width="10.6640625" style="101" customWidth="1"/>
    <col min="4" max="16384" width="8.88671875" style="101"/>
  </cols>
  <sheetData>
    <row r="1" spans="1:3" x14ac:dyDescent="0.3">
      <c r="A1" s="100" t="s">
        <v>545</v>
      </c>
      <c r="B1" s="101" t="s">
        <v>441</v>
      </c>
      <c r="C1" s="101" t="s">
        <v>673</v>
      </c>
    </row>
    <row r="2" spans="1:3" ht="14.4" hidden="1" customHeight="1" x14ac:dyDescent="0.3">
      <c r="A2" s="100" t="s">
        <v>598</v>
      </c>
      <c r="B2" s="101" t="s">
        <v>10</v>
      </c>
      <c r="C2" s="101">
        <v>13.2</v>
      </c>
    </row>
    <row r="3" spans="1:3" ht="14.4" hidden="1" customHeight="1" x14ac:dyDescent="0.3">
      <c r="A3" s="100" t="s">
        <v>598</v>
      </c>
      <c r="B3" s="101" t="s">
        <v>11</v>
      </c>
      <c r="C3" s="101">
        <v>13.2</v>
      </c>
    </row>
    <row r="4" spans="1:3" ht="14.4" hidden="1" customHeight="1" x14ac:dyDescent="0.3">
      <c r="A4" s="100" t="s">
        <v>599</v>
      </c>
      <c r="B4" s="101" t="s">
        <v>11</v>
      </c>
      <c r="C4" s="101">
        <v>16.7</v>
      </c>
    </row>
    <row r="5" spans="1:3" ht="14.4" hidden="1" customHeight="1" x14ac:dyDescent="0.3">
      <c r="A5" s="100" t="s">
        <v>489</v>
      </c>
      <c r="B5" s="101" t="s">
        <v>15</v>
      </c>
      <c r="C5" s="101">
        <v>5.3</v>
      </c>
    </row>
    <row r="6" spans="1:3" ht="14.4" hidden="1" customHeight="1" x14ac:dyDescent="0.3">
      <c r="A6" s="100" t="s">
        <v>514</v>
      </c>
      <c r="B6" s="101" t="s">
        <v>674</v>
      </c>
      <c r="C6" s="101">
        <v>380.4</v>
      </c>
    </row>
    <row r="7" spans="1:3" ht="14.4" hidden="1" customHeight="1" x14ac:dyDescent="0.3">
      <c r="A7" s="100" t="s">
        <v>514</v>
      </c>
      <c r="B7" s="101" t="s">
        <v>11</v>
      </c>
      <c r="C7" s="101">
        <v>380.4</v>
      </c>
    </row>
    <row r="8" spans="1:3" ht="14.4" hidden="1" customHeight="1" x14ac:dyDescent="0.3">
      <c r="A8" s="100" t="s">
        <v>514</v>
      </c>
      <c r="B8" s="101" t="s">
        <v>16</v>
      </c>
      <c r="C8" s="101">
        <v>380.4</v>
      </c>
    </row>
    <row r="9" spans="1:3" ht="14.4" customHeight="1" x14ac:dyDescent="0.3">
      <c r="A9" s="100" t="s">
        <v>554</v>
      </c>
      <c r="B9" s="101" t="s">
        <v>546</v>
      </c>
      <c r="C9" s="101">
        <v>22</v>
      </c>
    </row>
    <row r="10" spans="1:3" ht="14.4" hidden="1" customHeight="1" x14ac:dyDescent="0.3">
      <c r="A10" s="100" t="s">
        <v>600</v>
      </c>
      <c r="B10" s="101" t="s">
        <v>15</v>
      </c>
      <c r="C10" s="101">
        <v>6.1</v>
      </c>
    </row>
    <row r="11" spans="1:3" ht="14.4" hidden="1" customHeight="1" x14ac:dyDescent="0.3">
      <c r="A11" s="100" t="s">
        <v>601</v>
      </c>
      <c r="B11" s="101" t="s">
        <v>11</v>
      </c>
      <c r="C11" s="101">
        <v>10</v>
      </c>
    </row>
    <row r="12" spans="1:3" ht="14.4" hidden="1" customHeight="1" x14ac:dyDescent="0.3">
      <c r="A12" s="100" t="s">
        <v>515</v>
      </c>
      <c r="B12" s="101" t="s">
        <v>11</v>
      </c>
      <c r="C12" s="101">
        <v>105.4</v>
      </c>
    </row>
    <row r="13" spans="1:3" ht="14.4" customHeight="1" x14ac:dyDescent="0.3">
      <c r="A13" s="100" t="s">
        <v>555</v>
      </c>
      <c r="B13" s="101" t="s">
        <v>546</v>
      </c>
      <c r="C13" s="101">
        <v>63</v>
      </c>
    </row>
    <row r="14" spans="1:3" ht="14.4" customHeight="1" x14ac:dyDescent="0.3">
      <c r="A14" s="100" t="s">
        <v>556</v>
      </c>
      <c r="B14" s="101" t="s">
        <v>546</v>
      </c>
      <c r="C14" s="101">
        <v>64.3</v>
      </c>
    </row>
    <row r="15" spans="1:3" ht="14.4" customHeight="1" x14ac:dyDescent="0.3">
      <c r="A15" s="100" t="s">
        <v>557</v>
      </c>
      <c r="B15" s="101" t="s">
        <v>546</v>
      </c>
      <c r="C15" s="101">
        <v>64.400000000000006</v>
      </c>
    </row>
    <row r="16" spans="1:3" ht="14.4" customHeight="1" x14ac:dyDescent="0.3">
      <c r="A16" s="100" t="s">
        <v>558</v>
      </c>
      <c r="B16" s="101" t="s">
        <v>546</v>
      </c>
      <c r="C16" s="101">
        <v>131.19999999999999</v>
      </c>
    </row>
    <row r="17" spans="1:3" ht="14.4" hidden="1" customHeight="1" x14ac:dyDescent="0.3">
      <c r="A17" s="100" t="s">
        <v>491</v>
      </c>
      <c r="B17" s="101" t="s">
        <v>15</v>
      </c>
      <c r="C17" s="101">
        <v>15.6</v>
      </c>
    </row>
    <row r="18" spans="1:3" ht="14.4" hidden="1" customHeight="1" x14ac:dyDescent="0.3">
      <c r="A18" s="100" t="s">
        <v>492</v>
      </c>
      <c r="B18" s="101" t="s">
        <v>15</v>
      </c>
      <c r="C18" s="101">
        <v>5.4</v>
      </c>
    </row>
    <row r="19" spans="1:3" ht="14.4" hidden="1" customHeight="1" x14ac:dyDescent="0.3">
      <c r="A19" s="100" t="s">
        <v>493</v>
      </c>
      <c r="B19" s="101" t="s">
        <v>15</v>
      </c>
      <c r="C19" s="101">
        <v>15.5</v>
      </c>
    </row>
    <row r="20" spans="1:3" ht="14.4" hidden="1" customHeight="1" x14ac:dyDescent="0.3">
      <c r="A20" s="100" t="s">
        <v>602</v>
      </c>
      <c r="B20" s="101" t="s">
        <v>15</v>
      </c>
      <c r="C20" s="101">
        <v>2.4</v>
      </c>
    </row>
    <row r="21" spans="1:3" ht="14.4" hidden="1" customHeight="1" x14ac:dyDescent="0.3">
      <c r="A21" s="100" t="s">
        <v>522</v>
      </c>
      <c r="B21" s="101" t="s">
        <v>675</v>
      </c>
      <c r="C21" s="101">
        <v>13.9</v>
      </c>
    </row>
    <row r="22" spans="1:3" ht="14.4" hidden="1" customHeight="1" x14ac:dyDescent="0.3">
      <c r="A22" s="100" t="s">
        <v>523</v>
      </c>
      <c r="B22" s="101" t="s">
        <v>675</v>
      </c>
      <c r="C22" s="101">
        <v>13.9</v>
      </c>
    </row>
    <row r="23" spans="1:3" ht="14.4" customHeight="1" x14ac:dyDescent="0.3">
      <c r="A23" s="100" t="s">
        <v>567</v>
      </c>
      <c r="B23" s="101" t="s">
        <v>547</v>
      </c>
      <c r="C23" s="101">
        <v>20.7</v>
      </c>
    </row>
    <row r="24" spans="1:3" ht="14.4" hidden="1" customHeight="1" x14ac:dyDescent="0.3">
      <c r="A24" s="100" t="s">
        <v>521</v>
      </c>
      <c r="B24" s="101" t="s">
        <v>11</v>
      </c>
      <c r="C24" s="101">
        <v>20.399999999999999</v>
      </c>
    </row>
    <row r="25" spans="1:3" ht="14.4" hidden="1" customHeight="1" x14ac:dyDescent="0.3">
      <c r="A25" s="100" t="s">
        <v>520</v>
      </c>
      <c r="B25" s="101" t="s">
        <v>15</v>
      </c>
      <c r="C25" s="101">
        <v>6</v>
      </c>
    </row>
    <row r="26" spans="1:3" ht="14.4" hidden="1" customHeight="1" x14ac:dyDescent="0.3">
      <c r="A26" s="100" t="s">
        <v>490</v>
      </c>
      <c r="B26" s="101" t="s">
        <v>15</v>
      </c>
      <c r="C26" s="101">
        <v>4</v>
      </c>
    </row>
    <row r="27" spans="1:3" ht="14.4" hidden="1" customHeight="1" x14ac:dyDescent="0.3">
      <c r="A27" s="100" t="s">
        <v>603</v>
      </c>
      <c r="B27" s="101" t="s">
        <v>15</v>
      </c>
      <c r="C27" s="101">
        <v>5</v>
      </c>
    </row>
    <row r="28" spans="1:3" ht="14.4" hidden="1" customHeight="1" x14ac:dyDescent="0.3">
      <c r="A28" s="100" t="s">
        <v>516</v>
      </c>
      <c r="B28" s="101" t="s">
        <v>11</v>
      </c>
      <c r="C28" s="101">
        <v>10.1</v>
      </c>
    </row>
    <row r="29" spans="1:3" ht="14.4" hidden="1" customHeight="1" x14ac:dyDescent="0.3">
      <c r="A29" s="100" t="s">
        <v>517</v>
      </c>
      <c r="B29" s="101" t="s">
        <v>11</v>
      </c>
      <c r="C29" s="101">
        <v>10.3</v>
      </c>
    </row>
    <row r="30" spans="1:3" ht="14.4" hidden="1" customHeight="1" x14ac:dyDescent="0.3">
      <c r="A30" s="100" t="s">
        <v>444</v>
      </c>
      <c r="B30" s="101" t="s">
        <v>11</v>
      </c>
      <c r="C30" s="101">
        <v>10.7</v>
      </c>
    </row>
    <row r="31" spans="1:3" ht="14.4" hidden="1" customHeight="1" x14ac:dyDescent="0.3">
      <c r="A31" s="100" t="s">
        <v>604</v>
      </c>
      <c r="B31" s="101" t="s">
        <v>11</v>
      </c>
      <c r="C31" s="101">
        <v>25.9</v>
      </c>
    </row>
    <row r="32" spans="1:3" ht="14.4" customHeight="1" x14ac:dyDescent="0.3">
      <c r="A32" s="100" t="s">
        <v>559</v>
      </c>
      <c r="B32" s="101" t="s">
        <v>546</v>
      </c>
      <c r="C32" s="101">
        <v>22.1</v>
      </c>
    </row>
    <row r="33" spans="1:3" ht="14.4" customHeight="1" x14ac:dyDescent="0.3">
      <c r="A33" s="100" t="s">
        <v>560</v>
      </c>
      <c r="B33" s="101" t="s">
        <v>546</v>
      </c>
      <c r="C33" s="101">
        <v>28.7</v>
      </c>
    </row>
    <row r="34" spans="1:3" ht="14.4" hidden="1" customHeight="1" x14ac:dyDescent="0.3">
      <c r="A34" s="100" t="s">
        <v>518</v>
      </c>
      <c r="B34" s="101" t="s">
        <v>11</v>
      </c>
      <c r="C34" s="101">
        <v>99.9</v>
      </c>
    </row>
    <row r="35" spans="1:3" ht="14.4" hidden="1" customHeight="1" x14ac:dyDescent="0.3">
      <c r="A35" s="100" t="s">
        <v>605</v>
      </c>
      <c r="B35" s="101" t="s">
        <v>11</v>
      </c>
      <c r="C35" s="101">
        <v>112.9</v>
      </c>
    </row>
    <row r="36" spans="1:3" ht="14.4" hidden="1" customHeight="1" x14ac:dyDescent="0.3">
      <c r="A36" s="100" t="s">
        <v>606</v>
      </c>
      <c r="B36" s="101" t="s">
        <v>11</v>
      </c>
      <c r="C36" s="101">
        <v>24.5</v>
      </c>
    </row>
    <row r="37" spans="1:3" ht="14.4" hidden="1" customHeight="1" x14ac:dyDescent="0.3">
      <c r="A37" s="100" t="s">
        <v>607</v>
      </c>
      <c r="B37" s="101" t="s">
        <v>11</v>
      </c>
      <c r="C37" s="101">
        <v>27.9</v>
      </c>
    </row>
    <row r="38" spans="1:3" ht="14.4" hidden="1" customHeight="1" x14ac:dyDescent="0.3">
      <c r="A38" s="100" t="s">
        <v>608</v>
      </c>
      <c r="B38" s="101" t="s">
        <v>11</v>
      </c>
      <c r="C38" s="101">
        <v>25.7</v>
      </c>
    </row>
    <row r="39" spans="1:3" ht="14.4" hidden="1" customHeight="1" x14ac:dyDescent="0.3">
      <c r="A39" s="100" t="s">
        <v>608</v>
      </c>
      <c r="B39" s="101" t="s">
        <v>12</v>
      </c>
      <c r="C39" s="101">
        <v>25.7</v>
      </c>
    </row>
    <row r="40" spans="1:3" ht="14.4" hidden="1" customHeight="1" x14ac:dyDescent="0.3">
      <c r="A40" s="100" t="s">
        <v>609</v>
      </c>
      <c r="B40" s="101" t="s">
        <v>11</v>
      </c>
      <c r="C40" s="101">
        <v>30.6</v>
      </c>
    </row>
    <row r="41" spans="1:3" ht="14.4" hidden="1" customHeight="1" x14ac:dyDescent="0.3">
      <c r="A41" s="100" t="s">
        <v>519</v>
      </c>
      <c r="B41" s="101" t="s">
        <v>11</v>
      </c>
      <c r="C41" s="101">
        <v>6.7</v>
      </c>
    </row>
    <row r="42" spans="1:3" ht="14.4" hidden="1" customHeight="1" x14ac:dyDescent="0.3">
      <c r="A42" s="100" t="s">
        <v>610</v>
      </c>
      <c r="B42" s="101" t="s">
        <v>15</v>
      </c>
      <c r="C42" s="101">
        <v>11</v>
      </c>
    </row>
    <row r="43" spans="1:3" ht="14.4" hidden="1" customHeight="1" x14ac:dyDescent="0.3">
      <c r="A43" s="100" t="s">
        <v>611</v>
      </c>
      <c r="B43" s="101" t="s">
        <v>11</v>
      </c>
      <c r="C43" s="101">
        <v>171.1</v>
      </c>
    </row>
    <row r="44" spans="1:3" ht="14.4" hidden="1" customHeight="1" x14ac:dyDescent="0.3">
      <c r="A44" s="100" t="s">
        <v>612</v>
      </c>
      <c r="B44" s="101" t="s">
        <v>15</v>
      </c>
      <c r="C44" s="101">
        <v>36.4</v>
      </c>
    </row>
    <row r="45" spans="1:3" ht="14.4" hidden="1" customHeight="1" x14ac:dyDescent="0.3">
      <c r="A45" s="100" t="s">
        <v>613</v>
      </c>
      <c r="B45" s="101" t="s">
        <v>15</v>
      </c>
      <c r="C45" s="101">
        <v>15</v>
      </c>
    </row>
    <row r="46" spans="1:3" ht="14.4" hidden="1" customHeight="1" x14ac:dyDescent="0.3">
      <c r="A46" s="100" t="s">
        <v>614</v>
      </c>
      <c r="B46" s="101" t="s">
        <v>15</v>
      </c>
      <c r="C46" s="101">
        <v>89.2</v>
      </c>
    </row>
    <row r="47" spans="1:3" ht="14.4" hidden="1" customHeight="1" x14ac:dyDescent="0.3">
      <c r="A47" s="100" t="s">
        <v>615</v>
      </c>
      <c r="B47" s="101" t="s">
        <v>15</v>
      </c>
      <c r="C47" s="101">
        <v>13.6</v>
      </c>
    </row>
    <row r="48" spans="1:3" ht="14.4" hidden="1" customHeight="1" x14ac:dyDescent="0.3">
      <c r="A48" s="100" t="s">
        <v>616</v>
      </c>
      <c r="B48" s="101" t="s">
        <v>11</v>
      </c>
      <c r="C48" s="101">
        <v>12.1</v>
      </c>
    </row>
    <row r="49" spans="1:3" ht="14.4" hidden="1" customHeight="1" x14ac:dyDescent="0.3">
      <c r="A49" s="100" t="s">
        <v>617</v>
      </c>
      <c r="B49" s="101" t="s">
        <v>15</v>
      </c>
      <c r="C49" s="101">
        <v>29.7</v>
      </c>
    </row>
    <row r="50" spans="1:3" ht="14.4" hidden="1" customHeight="1" x14ac:dyDescent="0.3">
      <c r="A50" s="100" t="s">
        <v>618</v>
      </c>
      <c r="B50" s="101" t="s">
        <v>11</v>
      </c>
      <c r="C50" s="101">
        <v>10.8</v>
      </c>
    </row>
    <row r="51" spans="1:3" ht="14.4" hidden="1" customHeight="1" x14ac:dyDescent="0.3">
      <c r="A51" s="100" t="s">
        <v>619</v>
      </c>
      <c r="B51" s="101" t="s">
        <v>11</v>
      </c>
      <c r="C51" s="101">
        <v>9.1</v>
      </c>
    </row>
    <row r="52" spans="1:3" ht="14.4" hidden="1" customHeight="1" x14ac:dyDescent="0.3">
      <c r="A52" s="100" t="s">
        <v>529</v>
      </c>
      <c r="B52" s="101" t="s">
        <v>15</v>
      </c>
      <c r="C52" s="101">
        <v>9.4</v>
      </c>
    </row>
    <row r="53" spans="1:3" ht="14.4" hidden="1" customHeight="1" x14ac:dyDescent="0.3">
      <c r="A53" s="100" t="s">
        <v>620</v>
      </c>
      <c r="B53" s="101" t="s">
        <v>11</v>
      </c>
      <c r="C53" s="101">
        <v>7.7</v>
      </c>
    </row>
    <row r="54" spans="1:3" ht="14.4" hidden="1" customHeight="1" x14ac:dyDescent="0.3">
      <c r="A54" s="100" t="s">
        <v>528</v>
      </c>
      <c r="B54" s="101" t="s">
        <v>15</v>
      </c>
      <c r="C54" s="101">
        <v>3.1</v>
      </c>
    </row>
    <row r="55" spans="1:3" ht="14.4" hidden="1" customHeight="1" x14ac:dyDescent="0.3">
      <c r="A55" s="100" t="s">
        <v>621</v>
      </c>
      <c r="B55" s="101" t="s">
        <v>15</v>
      </c>
      <c r="C55" s="101">
        <v>8.4</v>
      </c>
    </row>
    <row r="56" spans="1:3" ht="14.4" hidden="1" customHeight="1" x14ac:dyDescent="0.3">
      <c r="A56" s="100" t="s">
        <v>622</v>
      </c>
      <c r="B56" s="101" t="s">
        <v>15</v>
      </c>
      <c r="C56" s="101">
        <v>8.4</v>
      </c>
    </row>
    <row r="57" spans="1:3" ht="14.4" hidden="1" customHeight="1" x14ac:dyDescent="0.3">
      <c r="A57" s="100" t="s">
        <v>527</v>
      </c>
      <c r="B57" s="101" t="s">
        <v>10</v>
      </c>
      <c r="C57" s="101">
        <v>2.6</v>
      </c>
    </row>
    <row r="58" spans="1:3" ht="14.4" hidden="1" customHeight="1" x14ac:dyDescent="0.3">
      <c r="A58" s="100" t="s">
        <v>526</v>
      </c>
      <c r="B58" s="101" t="s">
        <v>15</v>
      </c>
      <c r="C58" s="101">
        <v>3.6</v>
      </c>
    </row>
    <row r="59" spans="1:3" ht="14.4" hidden="1" customHeight="1" x14ac:dyDescent="0.3">
      <c r="A59" s="100" t="s">
        <v>525</v>
      </c>
      <c r="B59" s="101" t="s">
        <v>15</v>
      </c>
      <c r="C59" s="101">
        <v>10.4</v>
      </c>
    </row>
    <row r="60" spans="1:3" ht="14.4" hidden="1" customHeight="1" x14ac:dyDescent="0.3">
      <c r="A60" s="100" t="s">
        <v>623</v>
      </c>
      <c r="B60" s="101" t="s">
        <v>15</v>
      </c>
      <c r="C60" s="101">
        <v>13.9</v>
      </c>
    </row>
    <row r="61" spans="1:3" ht="14.4" hidden="1" customHeight="1" x14ac:dyDescent="0.3">
      <c r="A61" s="100" t="s">
        <v>624</v>
      </c>
      <c r="B61" s="101" t="s">
        <v>15</v>
      </c>
      <c r="C61" s="101">
        <v>12.2</v>
      </c>
    </row>
    <row r="62" spans="1:3" ht="14.4" hidden="1" customHeight="1" x14ac:dyDescent="0.3">
      <c r="A62" s="100" t="s">
        <v>625</v>
      </c>
      <c r="B62" s="101" t="s">
        <v>15</v>
      </c>
      <c r="C62" s="101">
        <v>21.5</v>
      </c>
    </row>
    <row r="63" spans="1:3" ht="14.4" hidden="1" customHeight="1" x14ac:dyDescent="0.3">
      <c r="A63" s="100" t="s">
        <v>626</v>
      </c>
      <c r="B63" s="101" t="s">
        <v>11</v>
      </c>
      <c r="C63" s="101">
        <v>59.1</v>
      </c>
    </row>
    <row r="64" spans="1:3" ht="14.4" hidden="1" customHeight="1" x14ac:dyDescent="0.3">
      <c r="A64" s="100" t="s">
        <v>530</v>
      </c>
      <c r="B64" s="101" t="s">
        <v>10</v>
      </c>
      <c r="C64" s="101">
        <v>15.4</v>
      </c>
    </row>
    <row r="65" spans="1:3" ht="14.4" hidden="1" customHeight="1" x14ac:dyDescent="0.3">
      <c r="A65" s="100" t="s">
        <v>530</v>
      </c>
      <c r="B65" s="101" t="s">
        <v>11</v>
      </c>
      <c r="C65" s="101">
        <v>15.4</v>
      </c>
    </row>
    <row r="66" spans="1:3" ht="14.4" hidden="1" customHeight="1" x14ac:dyDescent="0.3">
      <c r="A66" s="100" t="s">
        <v>627</v>
      </c>
      <c r="B66" s="101" t="s">
        <v>11</v>
      </c>
      <c r="C66" s="101">
        <v>92.7</v>
      </c>
    </row>
    <row r="67" spans="1:3" ht="14.4" customHeight="1" x14ac:dyDescent="0.3">
      <c r="A67" s="100" t="s">
        <v>551</v>
      </c>
      <c r="B67" s="101" t="s">
        <v>13</v>
      </c>
      <c r="C67" s="101">
        <v>16.8</v>
      </c>
    </row>
    <row r="68" spans="1:3" ht="14.4" hidden="1" customHeight="1" x14ac:dyDescent="0.3">
      <c r="A68" s="100" t="s">
        <v>628</v>
      </c>
      <c r="B68" s="101" t="s">
        <v>15</v>
      </c>
      <c r="C68" s="101">
        <v>6.2</v>
      </c>
    </row>
    <row r="69" spans="1:3" ht="14.4" hidden="1" customHeight="1" x14ac:dyDescent="0.3">
      <c r="A69" s="100" t="s">
        <v>524</v>
      </c>
      <c r="B69" s="101" t="s">
        <v>10</v>
      </c>
      <c r="C69" s="101">
        <v>10.9</v>
      </c>
    </row>
    <row r="70" spans="1:3" ht="14.4" hidden="1" customHeight="1" x14ac:dyDescent="0.3">
      <c r="A70" s="100" t="s">
        <v>524</v>
      </c>
      <c r="B70" s="101" t="s">
        <v>11</v>
      </c>
      <c r="C70" s="101">
        <v>10.9</v>
      </c>
    </row>
    <row r="71" spans="1:3" ht="14.4" customHeight="1" x14ac:dyDescent="0.3">
      <c r="A71" s="100" t="s">
        <v>561</v>
      </c>
      <c r="B71" s="101" t="s">
        <v>14</v>
      </c>
      <c r="C71" s="101">
        <v>24</v>
      </c>
    </row>
    <row r="72" spans="1:3" ht="14.4" hidden="1" customHeight="1" x14ac:dyDescent="0.3">
      <c r="A72" s="100" t="s">
        <v>629</v>
      </c>
      <c r="B72" s="101" t="s">
        <v>15</v>
      </c>
      <c r="C72" s="101">
        <v>6.7</v>
      </c>
    </row>
    <row r="73" spans="1:3" ht="14.4" hidden="1" customHeight="1" x14ac:dyDescent="0.3">
      <c r="A73" s="100" t="s">
        <v>630</v>
      </c>
      <c r="B73" s="101" t="s">
        <v>15</v>
      </c>
      <c r="C73" s="101">
        <v>29.7</v>
      </c>
    </row>
    <row r="74" spans="1:3" ht="14.4" customHeight="1" x14ac:dyDescent="0.3">
      <c r="A74" s="100" t="s">
        <v>562</v>
      </c>
      <c r="B74" s="101" t="s">
        <v>14</v>
      </c>
      <c r="C74" s="101">
        <v>51.3</v>
      </c>
    </row>
    <row r="75" spans="1:3" ht="14.4" customHeight="1" x14ac:dyDescent="0.3">
      <c r="A75" s="100" t="s">
        <v>563</v>
      </c>
      <c r="B75" s="101" t="s">
        <v>14</v>
      </c>
      <c r="C75" s="101">
        <v>56.6</v>
      </c>
    </row>
    <row r="76" spans="1:3" ht="14.4" customHeight="1" x14ac:dyDescent="0.3">
      <c r="A76" s="100" t="s">
        <v>564</v>
      </c>
      <c r="B76" s="101" t="s">
        <v>14</v>
      </c>
      <c r="C76" s="101">
        <v>18.5</v>
      </c>
    </row>
    <row r="77" spans="1:3" ht="14.4" hidden="1" customHeight="1" x14ac:dyDescent="0.3">
      <c r="A77" s="100" t="s">
        <v>531</v>
      </c>
      <c r="B77" s="101" t="s">
        <v>10</v>
      </c>
      <c r="C77" s="101">
        <v>4.8</v>
      </c>
    </row>
    <row r="78" spans="1:3" ht="14.4" hidden="1" customHeight="1" x14ac:dyDescent="0.3">
      <c r="A78" s="100" t="s">
        <v>631</v>
      </c>
      <c r="B78" s="101" t="s">
        <v>15</v>
      </c>
      <c r="C78" s="101">
        <v>6.7</v>
      </c>
    </row>
    <row r="79" spans="1:3" ht="14.4" hidden="1" customHeight="1" x14ac:dyDescent="0.3">
      <c r="A79" s="100" t="s">
        <v>632</v>
      </c>
      <c r="B79" s="101" t="s">
        <v>15</v>
      </c>
      <c r="C79" s="101">
        <v>30</v>
      </c>
    </row>
    <row r="80" spans="1:3" ht="14.4" customHeight="1" x14ac:dyDescent="0.3">
      <c r="A80" s="100" t="s">
        <v>565</v>
      </c>
      <c r="B80" s="101" t="s">
        <v>14</v>
      </c>
      <c r="C80" s="101">
        <v>51.3</v>
      </c>
    </row>
    <row r="81" spans="1:3" ht="14.4" customHeight="1" x14ac:dyDescent="0.3">
      <c r="A81" s="100" t="s">
        <v>566</v>
      </c>
      <c r="B81" s="101" t="s">
        <v>14</v>
      </c>
      <c r="C81" s="101">
        <v>56.3</v>
      </c>
    </row>
    <row r="82" spans="1:3" ht="14.4" hidden="1" customHeight="1" x14ac:dyDescent="0.3">
      <c r="A82" s="100" t="s">
        <v>633</v>
      </c>
      <c r="B82" s="101" t="s">
        <v>15</v>
      </c>
      <c r="C82" s="101">
        <v>6.4</v>
      </c>
    </row>
    <row r="83" spans="1:3" ht="14.4" hidden="1" customHeight="1" x14ac:dyDescent="0.3">
      <c r="A83" s="100" t="s">
        <v>634</v>
      </c>
      <c r="B83" s="101" t="s">
        <v>11</v>
      </c>
      <c r="C83" s="101">
        <v>10.7</v>
      </c>
    </row>
    <row r="84" spans="1:3" ht="14.4" hidden="1" customHeight="1" x14ac:dyDescent="0.3">
      <c r="A84" s="100" t="s">
        <v>634</v>
      </c>
      <c r="B84" s="101" t="s">
        <v>15</v>
      </c>
      <c r="C84" s="101">
        <v>10.7</v>
      </c>
    </row>
    <row r="85" spans="1:3" ht="14.4" customHeight="1" x14ac:dyDescent="0.3">
      <c r="A85" s="100" t="s">
        <v>552</v>
      </c>
      <c r="B85" s="101" t="s">
        <v>13</v>
      </c>
      <c r="C85" s="101">
        <v>41.8</v>
      </c>
    </row>
    <row r="86" spans="1:3" ht="14.4" customHeight="1" x14ac:dyDescent="0.3">
      <c r="A86" s="100" t="s">
        <v>553</v>
      </c>
      <c r="B86" s="101" t="s">
        <v>13</v>
      </c>
      <c r="C86" s="101">
        <v>60.8</v>
      </c>
    </row>
    <row r="87" spans="1:3" ht="14.4" hidden="1" customHeight="1" x14ac:dyDescent="0.3">
      <c r="A87" s="100" t="s">
        <v>635</v>
      </c>
      <c r="B87" s="101" t="s">
        <v>11</v>
      </c>
      <c r="C87" s="101">
        <v>30.8</v>
      </c>
    </row>
    <row r="88" spans="1:3" ht="14.4" hidden="1" customHeight="1" x14ac:dyDescent="0.3">
      <c r="A88" s="100" t="s">
        <v>636</v>
      </c>
      <c r="B88" s="101" t="s">
        <v>11</v>
      </c>
      <c r="C88" s="101">
        <v>26.9</v>
      </c>
    </row>
    <row r="89" spans="1:3" ht="14.4" hidden="1" customHeight="1" x14ac:dyDescent="0.3">
      <c r="A89" s="100" t="s">
        <v>637</v>
      </c>
      <c r="B89" s="101" t="s">
        <v>11</v>
      </c>
      <c r="C89" s="101">
        <v>6.5</v>
      </c>
    </row>
    <row r="90" spans="1:3" ht="14.4" hidden="1" customHeight="1" x14ac:dyDescent="0.3">
      <c r="A90" s="100" t="s">
        <v>638</v>
      </c>
      <c r="B90" s="101" t="s">
        <v>11</v>
      </c>
      <c r="C90" s="101">
        <v>25.2</v>
      </c>
    </row>
    <row r="91" spans="1:3" ht="14.4" customHeight="1" x14ac:dyDescent="0.3">
      <c r="A91" s="100" t="s">
        <v>588</v>
      </c>
      <c r="B91" s="101" t="s">
        <v>550</v>
      </c>
      <c r="C91" s="101">
        <v>63.7</v>
      </c>
    </row>
    <row r="92" spans="1:3" ht="14.4" customHeight="1" x14ac:dyDescent="0.3">
      <c r="A92" s="100" t="s">
        <v>445</v>
      </c>
      <c r="B92" s="101" t="s">
        <v>550</v>
      </c>
      <c r="C92" s="101">
        <v>90.2</v>
      </c>
    </row>
    <row r="93" spans="1:3" ht="14.4" customHeight="1" x14ac:dyDescent="0.3">
      <c r="A93" s="100" t="s">
        <v>446</v>
      </c>
      <c r="B93" s="101" t="s">
        <v>550</v>
      </c>
      <c r="C93" s="101">
        <v>40.1</v>
      </c>
    </row>
    <row r="94" spans="1:3" ht="14.4" customHeight="1" x14ac:dyDescent="0.3">
      <c r="A94" s="100" t="s">
        <v>447</v>
      </c>
      <c r="B94" s="101" t="s">
        <v>550</v>
      </c>
      <c r="C94" s="101">
        <v>64</v>
      </c>
    </row>
    <row r="95" spans="1:3" ht="14.4" customHeight="1" x14ac:dyDescent="0.3">
      <c r="A95" s="100" t="s">
        <v>448</v>
      </c>
      <c r="B95" s="101" t="s">
        <v>550</v>
      </c>
      <c r="C95" s="101">
        <v>65.400000000000006</v>
      </c>
    </row>
    <row r="96" spans="1:3" ht="14.4" customHeight="1" x14ac:dyDescent="0.3">
      <c r="A96" s="100" t="s">
        <v>449</v>
      </c>
      <c r="B96" s="101" t="s">
        <v>550</v>
      </c>
      <c r="C96" s="101">
        <v>64.099999999999994</v>
      </c>
    </row>
    <row r="97" spans="1:3" ht="14.4" customHeight="1" x14ac:dyDescent="0.3">
      <c r="A97" s="100" t="s">
        <v>450</v>
      </c>
      <c r="B97" s="101" t="s">
        <v>550</v>
      </c>
      <c r="C97" s="101">
        <v>64.3</v>
      </c>
    </row>
    <row r="98" spans="1:3" ht="14.4" customHeight="1" x14ac:dyDescent="0.3">
      <c r="A98" s="100" t="s">
        <v>574</v>
      </c>
      <c r="B98" s="101" t="s">
        <v>549</v>
      </c>
      <c r="C98" s="101">
        <v>79.7</v>
      </c>
    </row>
    <row r="99" spans="1:3" ht="14.4" hidden="1" customHeight="1" x14ac:dyDescent="0.3">
      <c r="A99" s="100" t="s">
        <v>498</v>
      </c>
      <c r="B99" s="101" t="s">
        <v>19</v>
      </c>
      <c r="C99" s="101">
        <v>5.4</v>
      </c>
    </row>
    <row r="100" spans="1:3" ht="14.4" hidden="1" customHeight="1" x14ac:dyDescent="0.3">
      <c r="A100" s="100" t="s">
        <v>499</v>
      </c>
      <c r="B100" s="101" t="s">
        <v>19</v>
      </c>
      <c r="C100" s="101">
        <v>11.5</v>
      </c>
    </row>
    <row r="101" spans="1:3" ht="14.4" hidden="1" customHeight="1" x14ac:dyDescent="0.3">
      <c r="A101" s="100" t="s">
        <v>500</v>
      </c>
      <c r="B101" s="101" t="s">
        <v>19</v>
      </c>
      <c r="C101" s="101">
        <v>11.6</v>
      </c>
    </row>
    <row r="102" spans="1:3" ht="14.4" customHeight="1" x14ac:dyDescent="0.3">
      <c r="A102" s="100" t="s">
        <v>575</v>
      </c>
      <c r="B102" s="101" t="s">
        <v>549</v>
      </c>
      <c r="C102" s="101">
        <v>27</v>
      </c>
    </row>
    <row r="103" spans="1:3" ht="14.4" hidden="1" customHeight="1" x14ac:dyDescent="0.3">
      <c r="A103" s="100" t="s">
        <v>501</v>
      </c>
      <c r="B103" s="101" t="s">
        <v>19</v>
      </c>
      <c r="C103" s="101">
        <v>13.6</v>
      </c>
    </row>
    <row r="104" spans="1:3" ht="14.4" hidden="1" customHeight="1" x14ac:dyDescent="0.3">
      <c r="A104" s="100" t="s">
        <v>502</v>
      </c>
      <c r="B104" s="101" t="s">
        <v>19</v>
      </c>
      <c r="C104" s="101">
        <v>8.5</v>
      </c>
    </row>
    <row r="105" spans="1:3" ht="14.4" customHeight="1" x14ac:dyDescent="0.3">
      <c r="A105" s="100" t="s">
        <v>576</v>
      </c>
      <c r="B105" s="101" t="s">
        <v>549</v>
      </c>
      <c r="C105" s="101">
        <v>28</v>
      </c>
    </row>
    <row r="106" spans="1:3" ht="14.4" hidden="1" customHeight="1" x14ac:dyDescent="0.3">
      <c r="A106" s="100" t="s">
        <v>503</v>
      </c>
      <c r="B106" s="101" t="s">
        <v>19</v>
      </c>
      <c r="C106" s="101">
        <v>10.7</v>
      </c>
    </row>
    <row r="107" spans="1:3" ht="14.4" hidden="1" customHeight="1" x14ac:dyDescent="0.3">
      <c r="A107" s="100" t="s">
        <v>504</v>
      </c>
      <c r="B107" s="101" t="s">
        <v>19</v>
      </c>
      <c r="C107" s="101">
        <v>12.2</v>
      </c>
    </row>
    <row r="108" spans="1:3" ht="14.4" hidden="1" customHeight="1" x14ac:dyDescent="0.3">
      <c r="A108" s="100" t="s">
        <v>505</v>
      </c>
      <c r="B108" s="101" t="s">
        <v>16</v>
      </c>
      <c r="C108" s="101">
        <v>31.5</v>
      </c>
    </row>
    <row r="109" spans="1:3" ht="14.4" customHeight="1" x14ac:dyDescent="0.3">
      <c r="A109" s="100" t="s">
        <v>485</v>
      </c>
      <c r="B109" s="101" t="s">
        <v>18</v>
      </c>
      <c r="C109" s="101">
        <v>359.3</v>
      </c>
    </row>
    <row r="110" spans="1:3" ht="14.4" hidden="1" customHeight="1" x14ac:dyDescent="0.3">
      <c r="A110" s="100" t="s">
        <v>639</v>
      </c>
      <c r="B110" s="101" t="s">
        <v>19</v>
      </c>
      <c r="C110" s="101">
        <v>23.4</v>
      </c>
    </row>
    <row r="111" spans="1:3" ht="14.4" customHeight="1" x14ac:dyDescent="0.3">
      <c r="A111" s="100" t="s">
        <v>577</v>
      </c>
      <c r="B111" s="101" t="s">
        <v>549</v>
      </c>
      <c r="C111" s="101">
        <v>14</v>
      </c>
    </row>
    <row r="112" spans="1:3" ht="14.4" hidden="1" customHeight="1" x14ac:dyDescent="0.3">
      <c r="A112" s="100" t="s">
        <v>640</v>
      </c>
      <c r="B112" s="101" t="s">
        <v>19</v>
      </c>
      <c r="C112" s="101">
        <v>5.4</v>
      </c>
    </row>
    <row r="113" spans="1:5" ht="14.4" hidden="1" customHeight="1" x14ac:dyDescent="0.3">
      <c r="A113" s="100" t="s">
        <v>641</v>
      </c>
      <c r="B113" s="101" t="s">
        <v>19</v>
      </c>
      <c r="C113" s="101">
        <v>9.8000000000000007</v>
      </c>
    </row>
    <row r="114" spans="1:5" ht="14.4" hidden="1" customHeight="1" x14ac:dyDescent="0.3">
      <c r="A114" s="100" t="s">
        <v>497</v>
      </c>
      <c r="B114" s="101" t="s">
        <v>19</v>
      </c>
      <c r="C114" s="101">
        <v>15.6</v>
      </c>
    </row>
    <row r="115" spans="1:5" ht="14.4" hidden="1" customHeight="1" x14ac:dyDescent="0.3">
      <c r="A115" s="100" t="s">
        <v>495</v>
      </c>
      <c r="B115" s="101" t="s">
        <v>19</v>
      </c>
      <c r="C115" s="101">
        <v>15.5</v>
      </c>
    </row>
    <row r="116" spans="1:5" ht="14.4" hidden="1" customHeight="1" x14ac:dyDescent="0.3">
      <c r="A116" s="100" t="s">
        <v>496</v>
      </c>
      <c r="B116" s="101" t="s">
        <v>19</v>
      </c>
      <c r="C116" s="101">
        <v>5.4</v>
      </c>
    </row>
    <row r="117" spans="1:5" ht="14.4" customHeight="1" x14ac:dyDescent="0.3">
      <c r="A117" s="100" t="s">
        <v>578</v>
      </c>
      <c r="B117" s="101" t="s">
        <v>549</v>
      </c>
      <c r="C117" s="101">
        <v>19.100000000000001</v>
      </c>
    </row>
    <row r="118" spans="1:5" ht="14.4" customHeight="1" x14ac:dyDescent="0.3">
      <c r="A118" s="100" t="s">
        <v>579</v>
      </c>
      <c r="B118" s="101" t="s">
        <v>549</v>
      </c>
      <c r="C118" s="101">
        <v>201.1</v>
      </c>
    </row>
    <row r="119" spans="1:5" ht="14.4" hidden="1" customHeight="1" x14ac:dyDescent="0.3">
      <c r="A119" s="100" t="s">
        <v>532</v>
      </c>
      <c r="B119" s="101" t="s">
        <v>16</v>
      </c>
      <c r="C119" s="101">
        <v>14.3</v>
      </c>
    </row>
    <row r="120" spans="1:5" ht="14.4" customHeight="1" x14ac:dyDescent="0.3">
      <c r="A120" s="100" t="s">
        <v>580</v>
      </c>
      <c r="B120" s="101" t="s">
        <v>549</v>
      </c>
      <c r="C120" s="101">
        <v>115.4</v>
      </c>
    </row>
    <row r="121" spans="1:5" ht="14.4" hidden="1" customHeight="1" x14ac:dyDescent="0.3">
      <c r="A121" s="100" t="s">
        <v>642</v>
      </c>
      <c r="B121" s="101" t="s">
        <v>16</v>
      </c>
      <c r="C121" s="101">
        <v>25.7</v>
      </c>
    </row>
    <row r="122" spans="1:5" ht="14.4" hidden="1" customHeight="1" x14ac:dyDescent="0.3">
      <c r="A122" s="100" t="s">
        <v>643</v>
      </c>
      <c r="B122" s="101" t="s">
        <v>16</v>
      </c>
      <c r="C122" s="101">
        <v>27.9</v>
      </c>
    </row>
    <row r="123" spans="1:5" ht="14.4" hidden="1" customHeight="1" x14ac:dyDescent="0.3">
      <c r="A123" s="100" t="s">
        <v>494</v>
      </c>
      <c r="B123" s="101" t="s">
        <v>16</v>
      </c>
      <c r="C123" s="101">
        <v>6.7</v>
      </c>
    </row>
    <row r="124" spans="1:5" ht="14.4" hidden="1" customHeight="1" x14ac:dyDescent="0.3">
      <c r="A124" s="100" t="s">
        <v>644</v>
      </c>
      <c r="B124" s="101" t="s">
        <v>16</v>
      </c>
      <c r="C124" s="101">
        <v>25.7</v>
      </c>
    </row>
    <row r="125" spans="1:5" hidden="1" x14ac:dyDescent="0.3">
      <c r="A125" s="100" t="s">
        <v>645</v>
      </c>
      <c r="B125" s="101" t="s">
        <v>16</v>
      </c>
      <c r="C125" s="101">
        <v>30.6</v>
      </c>
    </row>
    <row r="126" spans="1:5" hidden="1" x14ac:dyDescent="0.3">
      <c r="A126" s="100" t="s">
        <v>646</v>
      </c>
      <c r="B126" s="101" t="s">
        <v>16</v>
      </c>
      <c r="C126" s="101">
        <v>8.4</v>
      </c>
    </row>
    <row r="127" spans="1:5" x14ac:dyDescent="0.3">
      <c r="A127" s="100" t="s">
        <v>451</v>
      </c>
      <c r="B127" s="101" t="s">
        <v>17</v>
      </c>
      <c r="C127" s="101">
        <v>24</v>
      </c>
      <c r="E127" s="101">
        <v>23.4</v>
      </c>
    </row>
    <row r="128" spans="1:5" hidden="1" x14ac:dyDescent="0.3">
      <c r="A128" s="100" t="s">
        <v>647</v>
      </c>
      <c r="B128" s="101" t="s">
        <v>19</v>
      </c>
      <c r="C128" s="101">
        <v>6.7</v>
      </c>
    </row>
    <row r="129" spans="1:5" hidden="1" x14ac:dyDescent="0.3">
      <c r="A129" s="100" t="s">
        <v>648</v>
      </c>
      <c r="B129" s="101" t="s">
        <v>19</v>
      </c>
      <c r="C129" s="101">
        <v>29.7</v>
      </c>
    </row>
    <row r="130" spans="1:5" x14ac:dyDescent="0.3">
      <c r="A130" s="100" t="s">
        <v>452</v>
      </c>
      <c r="B130" s="101" t="s">
        <v>548</v>
      </c>
      <c r="C130" s="101">
        <v>51.3</v>
      </c>
      <c r="E130" s="101">
        <v>50.9</v>
      </c>
    </row>
    <row r="131" spans="1:5" x14ac:dyDescent="0.3">
      <c r="A131" s="100" t="s">
        <v>453</v>
      </c>
      <c r="B131" s="101" t="s">
        <v>548</v>
      </c>
      <c r="C131" s="101">
        <v>56.6</v>
      </c>
      <c r="E131" s="101">
        <v>55.8</v>
      </c>
    </row>
    <row r="132" spans="1:5" x14ac:dyDescent="0.3">
      <c r="A132" s="100" t="s">
        <v>454</v>
      </c>
      <c r="B132" s="101" t="s">
        <v>17</v>
      </c>
      <c r="C132" s="101">
        <v>23.8</v>
      </c>
      <c r="E132" s="101">
        <v>23.01</v>
      </c>
    </row>
    <row r="133" spans="1:5" hidden="1" x14ac:dyDescent="0.3">
      <c r="A133" s="100" t="s">
        <v>649</v>
      </c>
      <c r="B133" s="101" t="s">
        <v>19</v>
      </c>
      <c r="C133" s="101">
        <v>6.7</v>
      </c>
    </row>
    <row r="134" spans="1:5" x14ac:dyDescent="0.3">
      <c r="A134" s="100" t="s">
        <v>455</v>
      </c>
      <c r="B134" s="101" t="s">
        <v>548</v>
      </c>
      <c r="C134" s="101">
        <v>51.3</v>
      </c>
      <c r="E134" s="101">
        <v>50.45</v>
      </c>
    </row>
    <row r="135" spans="1:5" ht="14.4" customHeight="1" x14ac:dyDescent="0.3">
      <c r="A135" s="100" t="s">
        <v>456</v>
      </c>
      <c r="B135" s="101" t="s">
        <v>548</v>
      </c>
      <c r="C135" s="101">
        <v>56.3</v>
      </c>
      <c r="E135" s="101">
        <v>54.22</v>
      </c>
    </row>
    <row r="136" spans="1:5" ht="14.4" hidden="1" customHeight="1" x14ac:dyDescent="0.3">
      <c r="A136" s="100" t="s">
        <v>650</v>
      </c>
      <c r="B136" s="101" t="s">
        <v>19</v>
      </c>
      <c r="C136" s="101">
        <v>29.7</v>
      </c>
    </row>
    <row r="137" spans="1:5" ht="14.4" customHeight="1" x14ac:dyDescent="0.3">
      <c r="A137" s="100" t="s">
        <v>457</v>
      </c>
      <c r="B137" s="101" t="s">
        <v>18</v>
      </c>
      <c r="C137" s="101">
        <v>75.599999999999994</v>
      </c>
    </row>
    <row r="138" spans="1:5" ht="14.4" customHeight="1" x14ac:dyDescent="0.3">
      <c r="A138" s="100" t="s">
        <v>568</v>
      </c>
      <c r="B138" s="101" t="s">
        <v>17</v>
      </c>
      <c r="C138" s="101">
        <v>7</v>
      </c>
    </row>
    <row r="139" spans="1:5" ht="14.4" customHeight="1" x14ac:dyDescent="0.3">
      <c r="A139" s="100" t="s">
        <v>458</v>
      </c>
      <c r="B139" s="101" t="s">
        <v>17</v>
      </c>
      <c r="C139" s="101">
        <v>75.2</v>
      </c>
      <c r="E139" s="101">
        <v>73</v>
      </c>
    </row>
    <row r="140" spans="1:5" ht="14.4" customHeight="1" x14ac:dyDescent="0.3">
      <c r="A140" s="100" t="s">
        <v>569</v>
      </c>
      <c r="B140" s="101" t="s">
        <v>17</v>
      </c>
      <c r="C140" s="101">
        <v>6.2</v>
      </c>
      <c r="E140" s="101">
        <v>6</v>
      </c>
    </row>
    <row r="141" spans="1:5" ht="14.4" customHeight="1" x14ac:dyDescent="0.3">
      <c r="A141" s="100" t="s">
        <v>459</v>
      </c>
      <c r="B141" s="101" t="s">
        <v>17</v>
      </c>
      <c r="C141" s="101">
        <v>37.1</v>
      </c>
      <c r="E141" s="101">
        <v>42.4</v>
      </c>
    </row>
    <row r="142" spans="1:5" ht="14.4" hidden="1" customHeight="1" x14ac:dyDescent="0.3">
      <c r="A142" s="100" t="s">
        <v>651</v>
      </c>
      <c r="B142" s="101" t="s">
        <v>19</v>
      </c>
      <c r="C142" s="101">
        <v>5.8</v>
      </c>
    </row>
    <row r="143" spans="1:5" ht="14.4" hidden="1" customHeight="1" x14ac:dyDescent="0.3">
      <c r="A143" s="100" t="s">
        <v>652</v>
      </c>
      <c r="B143" s="101" t="s">
        <v>16</v>
      </c>
      <c r="C143" s="101">
        <v>6.2</v>
      </c>
    </row>
    <row r="144" spans="1:5" ht="14.4" hidden="1" customHeight="1" x14ac:dyDescent="0.3">
      <c r="A144" s="100" t="s">
        <v>653</v>
      </c>
      <c r="B144" s="101" t="s">
        <v>16</v>
      </c>
      <c r="C144" s="101">
        <v>32.1</v>
      </c>
    </row>
    <row r="145" spans="1:5" ht="14.4" hidden="1" customHeight="1" x14ac:dyDescent="0.3">
      <c r="A145" s="100" t="s">
        <v>654</v>
      </c>
      <c r="B145" s="101" t="s">
        <v>16</v>
      </c>
      <c r="C145" s="101">
        <v>6.5</v>
      </c>
    </row>
    <row r="146" spans="1:5" ht="14.4" customHeight="1" x14ac:dyDescent="0.3">
      <c r="A146" s="100" t="s">
        <v>460</v>
      </c>
      <c r="B146" s="101" t="s">
        <v>17</v>
      </c>
      <c r="C146" s="101">
        <v>60.9</v>
      </c>
      <c r="E146" s="101">
        <v>59.6</v>
      </c>
    </row>
    <row r="147" spans="1:5" ht="14.4" hidden="1" customHeight="1" x14ac:dyDescent="0.3">
      <c r="A147" s="100" t="s">
        <v>655</v>
      </c>
      <c r="B147" s="101" t="s">
        <v>16</v>
      </c>
      <c r="C147" s="101">
        <v>28.1</v>
      </c>
    </row>
    <row r="148" spans="1:5" ht="14.4" customHeight="1" x14ac:dyDescent="0.3">
      <c r="A148" s="100" t="s">
        <v>581</v>
      </c>
      <c r="B148" s="101" t="s">
        <v>549</v>
      </c>
      <c r="C148" s="101">
        <v>76.2</v>
      </c>
    </row>
    <row r="149" spans="1:5" x14ac:dyDescent="0.3">
      <c r="A149" s="100" t="s">
        <v>461</v>
      </c>
      <c r="B149" s="101" t="s">
        <v>550</v>
      </c>
      <c r="C149" s="101">
        <v>62.8</v>
      </c>
    </row>
    <row r="150" spans="1:5" x14ac:dyDescent="0.3">
      <c r="A150" s="100" t="s">
        <v>462</v>
      </c>
      <c r="B150" s="101" t="s">
        <v>550</v>
      </c>
      <c r="C150" s="101">
        <v>89.1</v>
      </c>
    </row>
    <row r="151" spans="1:5" x14ac:dyDescent="0.3">
      <c r="A151" s="100" t="s">
        <v>463</v>
      </c>
      <c r="B151" s="101" t="s">
        <v>550</v>
      </c>
      <c r="C151" s="101">
        <v>29.7</v>
      </c>
    </row>
    <row r="152" spans="1:5" x14ac:dyDescent="0.3">
      <c r="A152" s="100" t="s">
        <v>464</v>
      </c>
      <c r="B152" s="101" t="s">
        <v>550</v>
      </c>
      <c r="C152" s="101">
        <v>64.8</v>
      </c>
    </row>
    <row r="153" spans="1:5" x14ac:dyDescent="0.3">
      <c r="A153" s="100" t="s">
        <v>465</v>
      </c>
      <c r="B153" s="101" t="s">
        <v>550</v>
      </c>
      <c r="C153" s="101">
        <v>63.8</v>
      </c>
    </row>
    <row r="154" spans="1:5" x14ac:dyDescent="0.3">
      <c r="A154" s="100" t="s">
        <v>589</v>
      </c>
      <c r="B154" s="101" t="s">
        <v>550</v>
      </c>
      <c r="C154" s="101">
        <v>65.5</v>
      </c>
    </row>
    <row r="155" spans="1:5" x14ac:dyDescent="0.3">
      <c r="A155" s="100" t="s">
        <v>590</v>
      </c>
      <c r="B155" s="101" t="s">
        <v>550</v>
      </c>
      <c r="C155" s="101">
        <v>63.7</v>
      </c>
    </row>
    <row r="156" spans="1:5" x14ac:dyDescent="0.3">
      <c r="A156" s="100" t="s">
        <v>466</v>
      </c>
      <c r="B156" s="101" t="s">
        <v>550</v>
      </c>
      <c r="C156" s="101">
        <v>64.3</v>
      </c>
    </row>
    <row r="157" spans="1:5" hidden="1" x14ac:dyDescent="0.3">
      <c r="A157" s="100" t="s">
        <v>510</v>
      </c>
      <c r="B157" s="101" t="s">
        <v>19</v>
      </c>
      <c r="C157" s="101">
        <v>5.4</v>
      </c>
    </row>
    <row r="158" spans="1:5" hidden="1" x14ac:dyDescent="0.3">
      <c r="A158" s="100" t="s">
        <v>511</v>
      </c>
      <c r="B158" s="101" t="s">
        <v>19</v>
      </c>
      <c r="C158" s="101">
        <v>15.6</v>
      </c>
    </row>
    <row r="159" spans="1:5" hidden="1" x14ac:dyDescent="0.3">
      <c r="A159" s="100" t="s">
        <v>512</v>
      </c>
      <c r="B159" s="101" t="s">
        <v>19</v>
      </c>
      <c r="C159" s="101">
        <v>15.5</v>
      </c>
    </row>
    <row r="160" spans="1:5" x14ac:dyDescent="0.3">
      <c r="A160" s="100" t="s">
        <v>582</v>
      </c>
      <c r="B160" s="101" t="s">
        <v>549</v>
      </c>
      <c r="C160" s="101">
        <v>245.9</v>
      </c>
    </row>
    <row r="161" spans="1:3" x14ac:dyDescent="0.3">
      <c r="A161" s="100" t="s">
        <v>583</v>
      </c>
      <c r="B161" s="101" t="s">
        <v>549</v>
      </c>
      <c r="C161" s="101">
        <v>13.3</v>
      </c>
    </row>
    <row r="162" spans="1:3" hidden="1" x14ac:dyDescent="0.3">
      <c r="A162" s="100" t="s">
        <v>506</v>
      </c>
      <c r="B162" s="101" t="s">
        <v>19</v>
      </c>
      <c r="C162" s="101">
        <v>5.4</v>
      </c>
    </row>
    <row r="163" spans="1:3" hidden="1" x14ac:dyDescent="0.3">
      <c r="A163" s="100" t="s">
        <v>507</v>
      </c>
      <c r="B163" s="101" t="s">
        <v>19</v>
      </c>
      <c r="C163" s="101">
        <v>11.9</v>
      </c>
    </row>
    <row r="164" spans="1:3" ht="14.4" hidden="1" customHeight="1" x14ac:dyDescent="0.3">
      <c r="A164" s="100" t="s">
        <v>509</v>
      </c>
      <c r="B164" s="101" t="s">
        <v>16</v>
      </c>
      <c r="C164" s="101">
        <v>6.7</v>
      </c>
    </row>
    <row r="165" spans="1:3" ht="14.4" hidden="1" customHeight="1" x14ac:dyDescent="0.3">
      <c r="A165" s="100" t="s">
        <v>656</v>
      </c>
      <c r="B165" s="101" t="s">
        <v>16</v>
      </c>
      <c r="C165" s="101">
        <v>25.8</v>
      </c>
    </row>
    <row r="166" spans="1:3" ht="14.4" customHeight="1" x14ac:dyDescent="0.3">
      <c r="A166" s="100" t="s">
        <v>584</v>
      </c>
      <c r="B166" s="101" t="s">
        <v>549</v>
      </c>
      <c r="C166" s="101">
        <v>114.5</v>
      </c>
    </row>
    <row r="167" spans="1:3" ht="14.4" customHeight="1" x14ac:dyDescent="0.3">
      <c r="A167" s="100" t="s">
        <v>585</v>
      </c>
      <c r="B167" s="101" t="s">
        <v>549</v>
      </c>
      <c r="C167" s="101">
        <v>113.1</v>
      </c>
    </row>
    <row r="168" spans="1:3" ht="14.4" hidden="1" customHeight="1" x14ac:dyDescent="0.3">
      <c r="A168" s="100" t="s">
        <v>657</v>
      </c>
      <c r="B168" s="101" t="s">
        <v>16</v>
      </c>
      <c r="C168" s="101">
        <v>25.7</v>
      </c>
    </row>
    <row r="169" spans="1:3" ht="14.4" hidden="1" customHeight="1" x14ac:dyDescent="0.3">
      <c r="A169" s="100" t="s">
        <v>658</v>
      </c>
      <c r="B169" s="101" t="s">
        <v>16</v>
      </c>
      <c r="C169" s="101">
        <v>30.6</v>
      </c>
    </row>
    <row r="170" spans="1:3" ht="14.4" hidden="1" customHeight="1" x14ac:dyDescent="0.3">
      <c r="A170" s="100" t="s">
        <v>513</v>
      </c>
      <c r="B170" s="101" t="s">
        <v>16</v>
      </c>
      <c r="C170" s="101">
        <v>8.6</v>
      </c>
    </row>
    <row r="171" spans="1:3" ht="14.4" customHeight="1" x14ac:dyDescent="0.3">
      <c r="A171" s="100" t="s">
        <v>467</v>
      </c>
      <c r="B171" s="101" t="s">
        <v>17</v>
      </c>
      <c r="C171" s="101">
        <v>24</v>
      </c>
    </row>
    <row r="172" spans="1:3" ht="14.4" hidden="1" customHeight="1" x14ac:dyDescent="0.3">
      <c r="A172" s="100" t="s">
        <v>659</v>
      </c>
      <c r="B172" s="101" t="s">
        <v>19</v>
      </c>
      <c r="C172" s="101">
        <v>6.7</v>
      </c>
    </row>
    <row r="173" spans="1:3" ht="14.4" customHeight="1" x14ac:dyDescent="0.3">
      <c r="A173" s="100" t="s">
        <v>468</v>
      </c>
      <c r="B173" s="101" t="s">
        <v>548</v>
      </c>
      <c r="C173" s="101">
        <v>52.1</v>
      </c>
    </row>
    <row r="174" spans="1:3" ht="14.4" customHeight="1" x14ac:dyDescent="0.3">
      <c r="A174" s="100" t="s">
        <v>572</v>
      </c>
      <c r="B174" s="101" t="s">
        <v>548</v>
      </c>
      <c r="C174" s="101">
        <v>57</v>
      </c>
    </row>
    <row r="175" spans="1:3" ht="14.4" hidden="1" customHeight="1" x14ac:dyDescent="0.3">
      <c r="A175" s="100" t="s">
        <v>508</v>
      </c>
      <c r="B175" s="101" t="s">
        <v>19</v>
      </c>
      <c r="C175" s="101">
        <v>29.7</v>
      </c>
    </row>
    <row r="176" spans="1:3" ht="14.4" customHeight="1" x14ac:dyDescent="0.3">
      <c r="A176" s="100" t="s">
        <v>469</v>
      </c>
      <c r="B176" s="101" t="s">
        <v>17</v>
      </c>
      <c r="C176" s="101">
        <v>24</v>
      </c>
    </row>
    <row r="177" spans="1:3" ht="14.4" customHeight="1" x14ac:dyDescent="0.3">
      <c r="A177" s="100" t="s">
        <v>470</v>
      </c>
      <c r="B177" s="101" t="s">
        <v>548</v>
      </c>
      <c r="C177" s="101">
        <v>51.6</v>
      </c>
    </row>
    <row r="178" spans="1:3" ht="14.4" customHeight="1" x14ac:dyDescent="0.3">
      <c r="A178" s="100" t="s">
        <v>573</v>
      </c>
      <c r="B178" s="101" t="s">
        <v>548</v>
      </c>
      <c r="C178" s="101">
        <v>56.3</v>
      </c>
    </row>
    <row r="179" spans="1:3" ht="14.4" hidden="1" customHeight="1" x14ac:dyDescent="0.3">
      <c r="A179" s="100" t="s">
        <v>660</v>
      </c>
      <c r="B179" s="101" t="s">
        <v>19</v>
      </c>
      <c r="C179" s="101">
        <v>6.7</v>
      </c>
    </row>
    <row r="180" spans="1:3" ht="14.4" hidden="1" customHeight="1" x14ac:dyDescent="0.3">
      <c r="A180" s="100" t="s">
        <v>661</v>
      </c>
      <c r="B180" s="101" t="s">
        <v>19</v>
      </c>
      <c r="C180" s="101">
        <v>29.7</v>
      </c>
    </row>
    <row r="181" spans="1:3" ht="14.4" customHeight="1" x14ac:dyDescent="0.3">
      <c r="A181" s="100" t="s">
        <v>471</v>
      </c>
      <c r="B181" s="101" t="s">
        <v>548</v>
      </c>
      <c r="C181" s="101">
        <v>75.5</v>
      </c>
    </row>
    <row r="182" spans="1:3" ht="14.4" customHeight="1" x14ac:dyDescent="0.3">
      <c r="A182" s="100" t="s">
        <v>570</v>
      </c>
      <c r="B182" s="101" t="s">
        <v>17</v>
      </c>
      <c r="C182" s="101">
        <v>6.9</v>
      </c>
    </row>
    <row r="183" spans="1:3" ht="14.4" customHeight="1" x14ac:dyDescent="0.3">
      <c r="A183" s="100" t="s">
        <v>472</v>
      </c>
      <c r="B183" s="101" t="s">
        <v>548</v>
      </c>
      <c r="C183" s="101">
        <v>74.900000000000006</v>
      </c>
    </row>
    <row r="184" spans="1:3" ht="14.4" hidden="1" customHeight="1" x14ac:dyDescent="0.3">
      <c r="A184" s="100" t="s">
        <v>662</v>
      </c>
      <c r="B184" s="101" t="s">
        <v>16</v>
      </c>
      <c r="C184" s="101">
        <v>6</v>
      </c>
    </row>
    <row r="185" spans="1:3" ht="14.4" hidden="1" customHeight="1" x14ac:dyDescent="0.3">
      <c r="A185" s="100" t="s">
        <v>663</v>
      </c>
      <c r="B185" s="101" t="s">
        <v>16</v>
      </c>
      <c r="C185" s="101">
        <v>6.1</v>
      </c>
    </row>
    <row r="186" spans="1:3" ht="14.4" hidden="1" customHeight="1" x14ac:dyDescent="0.3">
      <c r="A186" s="100" t="s">
        <v>664</v>
      </c>
      <c r="B186" s="101" t="s">
        <v>16</v>
      </c>
      <c r="C186" s="101">
        <v>32.1</v>
      </c>
    </row>
    <row r="187" spans="1:3" ht="14.4" hidden="1" customHeight="1" x14ac:dyDescent="0.3">
      <c r="A187" s="100" t="s">
        <v>665</v>
      </c>
      <c r="B187" s="101" t="s">
        <v>16</v>
      </c>
      <c r="C187" s="101">
        <v>6.1</v>
      </c>
    </row>
    <row r="188" spans="1:3" ht="14.4" hidden="1" customHeight="1" x14ac:dyDescent="0.3">
      <c r="A188" s="100" t="s">
        <v>666</v>
      </c>
      <c r="B188" s="101" t="s">
        <v>19</v>
      </c>
      <c r="C188" s="101">
        <v>6.3</v>
      </c>
    </row>
    <row r="189" spans="1:3" ht="14.4" customHeight="1" x14ac:dyDescent="0.3">
      <c r="A189" s="100" t="s">
        <v>473</v>
      </c>
      <c r="B189" s="101" t="s">
        <v>17</v>
      </c>
      <c r="C189" s="101">
        <v>37.1</v>
      </c>
    </row>
    <row r="190" spans="1:3" ht="14.4" customHeight="1" x14ac:dyDescent="0.3">
      <c r="A190" s="100" t="s">
        <v>571</v>
      </c>
      <c r="B190" s="101" t="s">
        <v>17</v>
      </c>
      <c r="C190" s="101">
        <v>60.7</v>
      </c>
    </row>
    <row r="191" spans="1:3" ht="14.4" hidden="1" customHeight="1" x14ac:dyDescent="0.3">
      <c r="A191" s="100" t="s">
        <v>667</v>
      </c>
      <c r="B191" s="101" t="s">
        <v>16</v>
      </c>
      <c r="C191" s="101">
        <v>28.1</v>
      </c>
    </row>
    <row r="192" spans="1:3" ht="14.4" customHeight="1" x14ac:dyDescent="0.3">
      <c r="A192" s="100" t="s">
        <v>586</v>
      </c>
      <c r="B192" s="101" t="s">
        <v>549</v>
      </c>
      <c r="C192" s="101">
        <v>21.8</v>
      </c>
    </row>
    <row r="193" spans="1:10" ht="14.4" customHeight="1" x14ac:dyDescent="0.3">
      <c r="A193" s="100" t="s">
        <v>587</v>
      </c>
      <c r="B193" s="101" t="s">
        <v>549</v>
      </c>
      <c r="C193" s="101">
        <v>87.5</v>
      </c>
    </row>
    <row r="197" spans="1:10" ht="18" x14ac:dyDescent="0.3">
      <c r="G197" s="134"/>
      <c r="H197" s="134"/>
      <c r="I197" s="134"/>
      <c r="J197" s="134"/>
    </row>
    <row r="198" spans="1:10" ht="18" x14ac:dyDescent="0.3">
      <c r="G198" s="134"/>
      <c r="H198" s="134"/>
      <c r="I198" s="134"/>
      <c r="J198" s="134"/>
    </row>
    <row r="199" spans="1:10" ht="18" x14ac:dyDescent="0.3">
      <c r="G199" s="134"/>
      <c r="H199" s="134">
        <v>1</v>
      </c>
      <c r="I199" s="134">
        <v>2</v>
      </c>
      <c r="J199" s="134">
        <v>3</v>
      </c>
    </row>
    <row r="200" spans="1:10" ht="18" x14ac:dyDescent="0.3">
      <c r="G200" s="134" t="s">
        <v>714</v>
      </c>
      <c r="H200" s="145">
        <v>0</v>
      </c>
      <c r="I200" s="145">
        <v>43.45</v>
      </c>
      <c r="J200" s="145">
        <v>48.41</v>
      </c>
    </row>
    <row r="201" spans="1:10" ht="18" x14ac:dyDescent="0.3">
      <c r="G201" s="134" t="s">
        <v>715</v>
      </c>
      <c r="H201" s="145">
        <v>0</v>
      </c>
      <c r="I201" s="145">
        <v>0</v>
      </c>
      <c r="J201" s="145">
        <v>0</v>
      </c>
    </row>
    <row r="202" spans="1:10" ht="18" x14ac:dyDescent="0.3">
      <c r="G202" s="134" t="s">
        <v>716</v>
      </c>
      <c r="H202" s="145">
        <v>412.19</v>
      </c>
      <c r="I202" s="145">
        <v>17.489999999999998</v>
      </c>
      <c r="J202" s="145">
        <v>0</v>
      </c>
    </row>
    <row r="203" spans="1:10" ht="18" x14ac:dyDescent="0.3">
      <c r="G203" s="134" t="s">
        <v>717</v>
      </c>
      <c r="H203" s="145">
        <v>166.47</v>
      </c>
      <c r="I203" s="145">
        <v>139.22999999999999</v>
      </c>
      <c r="J203" s="145">
        <v>88.32</v>
      </c>
    </row>
    <row r="204" spans="1:10" ht="18" x14ac:dyDescent="0.3">
      <c r="G204" s="134" t="s">
        <v>718</v>
      </c>
      <c r="H204" s="145">
        <v>70.17</v>
      </c>
      <c r="I204" s="145"/>
      <c r="J204" s="145"/>
    </row>
    <row r="205" spans="1:10" ht="18" x14ac:dyDescent="0.3">
      <c r="G205" s="134" t="s">
        <v>719</v>
      </c>
      <c r="H205" s="145"/>
      <c r="I205" s="145"/>
      <c r="J205" s="145"/>
    </row>
    <row r="206" spans="1:10" ht="18" x14ac:dyDescent="0.3">
      <c r="A206" s="102" t="s">
        <v>545</v>
      </c>
      <c r="B206" s="103" t="s">
        <v>441</v>
      </c>
      <c r="C206" s="103" t="s">
        <v>673</v>
      </c>
      <c r="G206" s="134" t="s">
        <v>720</v>
      </c>
      <c r="H206" s="145"/>
      <c r="I206" s="145"/>
      <c r="J206" s="145"/>
    </row>
    <row r="207" spans="1:10" ht="18" x14ac:dyDescent="0.3">
      <c r="A207" s="104" t="s">
        <v>554</v>
      </c>
      <c r="B207" s="105" t="s">
        <v>546</v>
      </c>
      <c r="C207" s="105">
        <v>22</v>
      </c>
      <c r="G207" s="134" t="s">
        <v>721</v>
      </c>
      <c r="H207" s="145"/>
      <c r="I207" s="145"/>
      <c r="J207" s="145"/>
    </row>
    <row r="208" spans="1:10" ht="18" x14ac:dyDescent="0.3">
      <c r="A208" s="106" t="s">
        <v>555</v>
      </c>
      <c r="B208" s="107" t="s">
        <v>546</v>
      </c>
      <c r="C208" s="107">
        <v>63</v>
      </c>
      <c r="G208" s="134"/>
      <c r="H208" s="145"/>
      <c r="I208" s="145"/>
      <c r="J208" s="145"/>
    </row>
    <row r="209" spans="1:10" ht="18" x14ac:dyDescent="0.3">
      <c r="A209" s="104" t="s">
        <v>556</v>
      </c>
      <c r="B209" s="105" t="s">
        <v>546</v>
      </c>
      <c r="C209" s="105">
        <v>64.3</v>
      </c>
      <c r="G209" s="134"/>
      <c r="H209" s="145"/>
      <c r="I209" s="145"/>
      <c r="J209" s="145"/>
    </row>
    <row r="210" spans="1:10" ht="18" x14ac:dyDescent="0.3">
      <c r="A210" s="106" t="s">
        <v>557</v>
      </c>
      <c r="B210" s="107" t="s">
        <v>546</v>
      </c>
      <c r="C210" s="107">
        <v>64.400000000000006</v>
      </c>
      <c r="G210" s="134"/>
      <c r="H210" s="145"/>
      <c r="I210" s="145"/>
      <c r="J210" s="145"/>
    </row>
    <row r="211" spans="1:10" ht="18" x14ac:dyDescent="0.3">
      <c r="A211" s="104" t="s">
        <v>558</v>
      </c>
      <c r="B211" s="105" t="s">
        <v>546</v>
      </c>
      <c r="C211" s="105">
        <v>131.19999999999999</v>
      </c>
      <c r="G211" s="134" t="s">
        <v>722</v>
      </c>
      <c r="H211" s="145">
        <v>365.16</v>
      </c>
      <c r="I211" s="145">
        <v>741.6</v>
      </c>
      <c r="J211" s="145">
        <v>746.27</v>
      </c>
    </row>
    <row r="212" spans="1:10" ht="18" x14ac:dyDescent="0.3">
      <c r="A212" s="104" t="s">
        <v>588</v>
      </c>
      <c r="B212" s="105" t="s">
        <v>550</v>
      </c>
      <c r="C212" s="105">
        <v>63.7</v>
      </c>
      <c r="G212" s="134" t="s">
        <v>723</v>
      </c>
      <c r="H212" s="134"/>
      <c r="I212" s="145"/>
      <c r="J212" s="145">
        <v>100.54</v>
      </c>
    </row>
    <row r="213" spans="1:10" ht="18" x14ac:dyDescent="0.3">
      <c r="A213" s="106" t="s">
        <v>445</v>
      </c>
      <c r="B213" s="107" t="s">
        <v>550</v>
      </c>
      <c r="C213" s="107">
        <v>90.2</v>
      </c>
      <c r="G213" s="134" t="s">
        <v>724</v>
      </c>
      <c r="H213" s="145">
        <v>19.45</v>
      </c>
      <c r="I213" s="145"/>
      <c r="J213" s="145"/>
    </row>
    <row r="214" spans="1:10" ht="18" x14ac:dyDescent="0.3">
      <c r="A214" s="104" t="s">
        <v>446</v>
      </c>
      <c r="B214" s="105" t="s">
        <v>550</v>
      </c>
      <c r="C214" s="105">
        <v>40.1</v>
      </c>
      <c r="G214" s="134"/>
      <c r="H214" s="134"/>
      <c r="I214" s="134"/>
      <c r="J214" s="134"/>
    </row>
    <row r="215" spans="1:10" ht="18" x14ac:dyDescent="0.3">
      <c r="A215" s="106" t="s">
        <v>447</v>
      </c>
      <c r="B215" s="107" t="s">
        <v>550</v>
      </c>
      <c r="C215" s="107">
        <v>64</v>
      </c>
      <c r="G215" s="134"/>
      <c r="H215" s="134"/>
      <c r="I215" s="134"/>
      <c r="J215" s="134"/>
    </row>
    <row r="216" spans="1:10" x14ac:dyDescent="0.3">
      <c r="A216" s="104" t="s">
        <v>448</v>
      </c>
      <c r="B216" s="105" t="s">
        <v>550</v>
      </c>
      <c r="C216" s="105">
        <v>65.400000000000006</v>
      </c>
    </row>
    <row r="217" spans="1:10" x14ac:dyDescent="0.3">
      <c r="A217" s="106" t="s">
        <v>449</v>
      </c>
      <c r="B217" s="107" t="s">
        <v>550</v>
      </c>
      <c r="C217" s="107">
        <v>64.099999999999994</v>
      </c>
    </row>
    <row r="218" spans="1:10" x14ac:dyDescent="0.3">
      <c r="A218" s="104" t="s">
        <v>450</v>
      </c>
      <c r="B218" s="105" t="s">
        <v>550</v>
      </c>
      <c r="C218" s="105">
        <v>64.3</v>
      </c>
    </row>
    <row r="219" spans="1:10" x14ac:dyDescent="0.3">
      <c r="A219" s="106" t="s">
        <v>574</v>
      </c>
      <c r="B219" s="107" t="s">
        <v>549</v>
      </c>
      <c r="C219" s="107">
        <v>79.7</v>
      </c>
    </row>
    <row r="220" spans="1:10" x14ac:dyDescent="0.3">
      <c r="A220" s="104" t="s">
        <v>575</v>
      </c>
      <c r="B220" s="105" t="s">
        <v>549</v>
      </c>
      <c r="C220" s="105">
        <v>27</v>
      </c>
    </row>
    <row r="221" spans="1:10" x14ac:dyDescent="0.3">
      <c r="A221" s="106" t="s">
        <v>576</v>
      </c>
      <c r="B221" s="107" t="s">
        <v>549</v>
      </c>
      <c r="C221" s="107">
        <v>28</v>
      </c>
    </row>
    <row r="222" spans="1:10" x14ac:dyDescent="0.3">
      <c r="A222" s="104" t="s">
        <v>577</v>
      </c>
      <c r="B222" s="105" t="s">
        <v>549</v>
      </c>
      <c r="C222" s="105">
        <v>14</v>
      </c>
    </row>
    <row r="223" spans="1:10" x14ac:dyDescent="0.3">
      <c r="A223" s="106" t="s">
        <v>578</v>
      </c>
      <c r="B223" s="107" t="s">
        <v>549</v>
      </c>
      <c r="C223" s="107">
        <v>19.100000000000001</v>
      </c>
    </row>
    <row r="224" spans="1:10" x14ac:dyDescent="0.3">
      <c r="A224" s="104" t="s">
        <v>579</v>
      </c>
      <c r="B224" s="105" t="s">
        <v>549</v>
      </c>
      <c r="C224" s="105">
        <v>201.1</v>
      </c>
    </row>
    <row r="225" spans="1:3" x14ac:dyDescent="0.3">
      <c r="A225" s="106" t="s">
        <v>580</v>
      </c>
      <c r="B225" s="107" t="s">
        <v>549</v>
      </c>
      <c r="C225" s="107">
        <v>115.4</v>
      </c>
    </row>
    <row r="226" spans="1:3" x14ac:dyDescent="0.3">
      <c r="A226" s="104" t="s">
        <v>581</v>
      </c>
      <c r="B226" s="105" t="s">
        <v>549</v>
      </c>
      <c r="C226" s="105">
        <v>76.2</v>
      </c>
    </row>
    <row r="227" spans="1:3" x14ac:dyDescent="0.3">
      <c r="A227" s="106" t="s">
        <v>461</v>
      </c>
      <c r="B227" s="107" t="s">
        <v>550</v>
      </c>
      <c r="C227" s="107">
        <v>62.8</v>
      </c>
    </row>
    <row r="228" spans="1:3" x14ac:dyDescent="0.3">
      <c r="A228" s="104" t="s">
        <v>462</v>
      </c>
      <c r="B228" s="105" t="s">
        <v>550</v>
      </c>
      <c r="C228" s="105">
        <v>89.1</v>
      </c>
    </row>
    <row r="229" spans="1:3" x14ac:dyDescent="0.3">
      <c r="A229" s="106" t="s">
        <v>463</v>
      </c>
      <c r="B229" s="107" t="s">
        <v>550</v>
      </c>
      <c r="C229" s="107">
        <v>29.7</v>
      </c>
    </row>
    <row r="230" spans="1:3" x14ac:dyDescent="0.3">
      <c r="A230" s="104" t="s">
        <v>464</v>
      </c>
      <c r="B230" s="105" t="s">
        <v>550</v>
      </c>
      <c r="C230" s="105">
        <v>64.8</v>
      </c>
    </row>
    <row r="231" spans="1:3" x14ac:dyDescent="0.3">
      <c r="A231" s="106" t="s">
        <v>465</v>
      </c>
      <c r="B231" s="107" t="s">
        <v>550</v>
      </c>
      <c r="C231" s="107">
        <v>63.8</v>
      </c>
    </row>
    <row r="232" spans="1:3" x14ac:dyDescent="0.3">
      <c r="A232" s="104" t="s">
        <v>589</v>
      </c>
      <c r="B232" s="105" t="s">
        <v>550</v>
      </c>
      <c r="C232" s="105">
        <v>65.5</v>
      </c>
    </row>
    <row r="233" spans="1:3" x14ac:dyDescent="0.3">
      <c r="A233" s="106" t="s">
        <v>590</v>
      </c>
      <c r="B233" s="107" t="s">
        <v>550</v>
      </c>
      <c r="C233" s="107">
        <v>63.7</v>
      </c>
    </row>
    <row r="234" spans="1:3" x14ac:dyDescent="0.3">
      <c r="A234" s="104" t="s">
        <v>466</v>
      </c>
      <c r="B234" s="105" t="s">
        <v>550</v>
      </c>
      <c r="C234" s="105">
        <v>64.3</v>
      </c>
    </row>
    <row r="235" spans="1:3" x14ac:dyDescent="0.3">
      <c r="A235" s="104" t="s">
        <v>583</v>
      </c>
      <c r="B235" s="105" t="s">
        <v>549</v>
      </c>
      <c r="C235" s="105">
        <v>13.3</v>
      </c>
    </row>
    <row r="236" spans="1:3" x14ac:dyDescent="0.3">
      <c r="A236" s="106" t="s">
        <v>584</v>
      </c>
      <c r="B236" s="107" t="s">
        <v>549</v>
      </c>
      <c r="C236" s="107">
        <v>114.5</v>
      </c>
    </row>
    <row r="237" spans="1:3" x14ac:dyDescent="0.3">
      <c r="A237" s="104" t="s">
        <v>585</v>
      </c>
      <c r="B237" s="105" t="s">
        <v>549</v>
      </c>
      <c r="C237" s="105">
        <v>113.1</v>
      </c>
    </row>
    <row r="238" spans="1:3" x14ac:dyDescent="0.3">
      <c r="A238" s="106" t="s">
        <v>586</v>
      </c>
      <c r="B238" s="107" t="s">
        <v>549</v>
      </c>
      <c r="C238" s="107">
        <v>21.8</v>
      </c>
    </row>
    <row r="239" spans="1:3" x14ac:dyDescent="0.3">
      <c r="A239" s="110" t="s">
        <v>587</v>
      </c>
      <c r="B239" s="111" t="s">
        <v>549</v>
      </c>
      <c r="C239" s="111">
        <v>87.5</v>
      </c>
    </row>
  </sheetData>
  <pageMargins left="0.7" right="0.7" top="0.75" bottom="0.75" header="0.3" footer="0.3"/>
  <ignoredErrors>
    <ignoredError sqref="A23:A81" twoDigitTextYear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9" customWidth="1"/>
    <col min="2" max="2" width="47.88671875" style="139" customWidth="1"/>
    <col min="3" max="3" width="13.44140625" style="139" bestFit="1" customWidth="1"/>
    <col min="4" max="4" width="10.21875" style="139" bestFit="1" customWidth="1"/>
    <col min="5" max="5" width="8.33203125" style="139" bestFit="1" customWidth="1"/>
    <col min="6" max="6" width="10.88671875" style="139" customWidth="1"/>
    <col min="7" max="16384" width="8.88671875" style="139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7" t="s">
        <v>390</v>
      </c>
      <c r="C2" s="142" t="s">
        <v>391</v>
      </c>
      <c r="D2" s="142" t="s">
        <v>392</v>
      </c>
      <c r="E2" s="14" t="s">
        <v>393</v>
      </c>
    </row>
    <row r="3" spans="1:5" ht="54" x14ac:dyDescent="0.3">
      <c r="A3" s="136">
        <v>1</v>
      </c>
      <c r="B3" s="138" t="s">
        <v>439</v>
      </c>
      <c r="C3" s="143" t="s">
        <v>735</v>
      </c>
      <c r="D3" s="136" t="s">
        <v>394</v>
      </c>
      <c r="E3" s="76">
        <v>207.1</v>
      </c>
    </row>
    <row r="4" spans="1:5" ht="54" x14ac:dyDescent="0.3">
      <c r="A4" s="136">
        <v>2</v>
      </c>
      <c r="B4" s="138" t="s">
        <v>439</v>
      </c>
      <c r="C4" s="143" t="s">
        <v>736</v>
      </c>
      <c r="D4" s="136" t="s">
        <v>394</v>
      </c>
      <c r="E4" s="76">
        <v>207.5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9" customWidth="1"/>
    <col min="2" max="2" width="47.88671875" style="139" customWidth="1"/>
    <col min="3" max="3" width="12.44140625" style="139" bestFit="1" customWidth="1"/>
    <col min="4" max="4" width="10.21875" style="139" bestFit="1" customWidth="1"/>
    <col min="5" max="5" width="8.33203125" style="139" bestFit="1" customWidth="1"/>
    <col min="6" max="6" width="10.88671875" style="139" customWidth="1"/>
    <col min="7" max="16384" width="8.88671875" style="139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7" t="s">
        <v>390</v>
      </c>
      <c r="C2" s="142" t="s">
        <v>391</v>
      </c>
      <c r="D2" s="142" t="s">
        <v>392</v>
      </c>
      <c r="E2" s="14" t="s">
        <v>393</v>
      </c>
    </row>
    <row r="3" spans="1:5" ht="54" x14ac:dyDescent="0.3">
      <c r="A3" s="136">
        <v>1</v>
      </c>
      <c r="B3" s="138" t="s">
        <v>439</v>
      </c>
      <c r="C3" s="143" t="s">
        <v>734</v>
      </c>
      <c r="D3" s="136" t="s">
        <v>394</v>
      </c>
      <c r="E3" s="76">
        <v>15.88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9" customWidth="1"/>
    <col min="2" max="2" width="47.88671875" style="139" customWidth="1"/>
    <col min="3" max="3" width="12.44140625" style="139" bestFit="1" customWidth="1"/>
    <col min="4" max="4" width="10.21875" style="139" bestFit="1" customWidth="1"/>
    <col min="5" max="5" width="8.33203125" style="139" bestFit="1" customWidth="1"/>
    <col min="6" max="6" width="10.88671875" style="139" customWidth="1"/>
    <col min="7" max="16384" width="8.88671875" style="139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7" t="s">
        <v>390</v>
      </c>
      <c r="C2" s="142" t="s">
        <v>391</v>
      </c>
      <c r="D2" s="142" t="s">
        <v>392</v>
      </c>
      <c r="E2" s="14" t="s">
        <v>393</v>
      </c>
    </row>
    <row r="3" spans="1:5" ht="54" x14ac:dyDescent="0.3">
      <c r="A3" s="136">
        <v>1</v>
      </c>
      <c r="B3" s="138" t="s">
        <v>439</v>
      </c>
      <c r="C3" s="143" t="s">
        <v>732</v>
      </c>
      <c r="D3" s="136" t="s">
        <v>394</v>
      </c>
      <c r="E3" s="76">
        <v>31.2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9" customWidth="1"/>
    <col min="2" max="2" width="47.88671875" style="139" customWidth="1"/>
    <col min="3" max="3" width="12.44140625" style="139" bestFit="1" customWidth="1"/>
    <col min="4" max="4" width="10.21875" style="139" bestFit="1" customWidth="1"/>
    <col min="5" max="5" width="9.44140625" style="139" bestFit="1" customWidth="1"/>
    <col min="6" max="6" width="10.88671875" style="139" customWidth="1"/>
    <col min="7" max="16384" width="8.88671875" style="139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7" t="s">
        <v>390</v>
      </c>
      <c r="C2" s="142" t="s">
        <v>391</v>
      </c>
      <c r="D2" s="142" t="s">
        <v>392</v>
      </c>
      <c r="E2" s="14" t="s">
        <v>393</v>
      </c>
    </row>
    <row r="3" spans="1:5" ht="54" x14ac:dyDescent="0.3">
      <c r="A3" s="136">
        <v>1</v>
      </c>
      <c r="B3" s="138" t="s">
        <v>439</v>
      </c>
      <c r="C3" s="143" t="s">
        <v>733</v>
      </c>
      <c r="D3" s="136" t="s">
        <v>394</v>
      </c>
      <c r="E3" s="76">
        <v>-109.68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9" customWidth="1"/>
    <col min="2" max="2" width="47.88671875" style="139" customWidth="1"/>
    <col min="3" max="3" width="17.77734375" style="139" bestFit="1" customWidth="1"/>
    <col min="4" max="4" width="12.88671875" style="139" customWidth="1"/>
    <col min="5" max="5" width="11.6640625" style="139" customWidth="1"/>
    <col min="6" max="6" width="10.88671875" style="139" customWidth="1"/>
    <col min="7" max="16384" width="8.88671875" style="139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7" t="s">
        <v>390</v>
      </c>
      <c r="C2" s="142" t="s">
        <v>391</v>
      </c>
      <c r="D2" s="142" t="s">
        <v>392</v>
      </c>
      <c r="E2" s="14" t="s">
        <v>393</v>
      </c>
    </row>
    <row r="3" spans="1:5" ht="72" x14ac:dyDescent="0.3">
      <c r="A3" s="136">
        <v>1</v>
      </c>
      <c r="B3" s="138" t="s">
        <v>439</v>
      </c>
      <c r="C3" s="143" t="s">
        <v>731</v>
      </c>
      <c r="D3" s="136" t="s">
        <v>394</v>
      </c>
      <c r="E3" s="76">
        <v>90.33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9" customWidth="1"/>
    <col min="2" max="2" width="47.88671875" style="139" customWidth="1"/>
    <col min="3" max="3" width="12.44140625" style="139" bestFit="1" customWidth="1"/>
    <col min="4" max="4" width="12.88671875" style="139" customWidth="1"/>
    <col min="5" max="5" width="11.6640625" style="139" customWidth="1"/>
    <col min="6" max="6" width="10.88671875" style="139" customWidth="1"/>
    <col min="7" max="16384" width="8.88671875" style="139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7" t="s">
        <v>390</v>
      </c>
      <c r="C2" s="142" t="s">
        <v>391</v>
      </c>
      <c r="D2" s="142" t="s">
        <v>392</v>
      </c>
      <c r="E2" s="14" t="s">
        <v>393</v>
      </c>
    </row>
    <row r="3" spans="1:5" ht="54" x14ac:dyDescent="0.3">
      <c r="A3" s="136">
        <v>1</v>
      </c>
      <c r="B3" s="138" t="s">
        <v>439</v>
      </c>
      <c r="C3" s="143" t="s">
        <v>730</v>
      </c>
      <c r="D3" s="136" t="s">
        <v>394</v>
      </c>
      <c r="E3" s="76">
        <v>20.54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4" customWidth="1"/>
    <col min="2" max="2" width="40.109375" style="134" customWidth="1"/>
    <col min="3" max="3" width="35.109375" style="134" bestFit="1" customWidth="1"/>
    <col min="4" max="4" width="12.88671875" style="134" customWidth="1"/>
    <col min="5" max="5" width="11.6640625" style="134" customWidth="1"/>
    <col min="6" max="6" width="10.88671875" style="134" customWidth="1"/>
    <col min="7" max="16384" width="8.88671875" style="134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0" t="s">
        <v>390</v>
      </c>
      <c r="C2" s="16" t="s">
        <v>391</v>
      </c>
      <c r="D2" s="16" t="s">
        <v>392</v>
      </c>
      <c r="E2" s="14" t="s">
        <v>393</v>
      </c>
    </row>
    <row r="3" spans="1:5" ht="36" x14ac:dyDescent="0.3">
      <c r="A3" s="129">
        <v>1</v>
      </c>
      <c r="B3" s="132" t="s">
        <v>712</v>
      </c>
      <c r="C3" s="143" t="s">
        <v>728</v>
      </c>
      <c r="D3" s="129" t="s">
        <v>706</v>
      </c>
      <c r="E3" s="76">
        <v>210</v>
      </c>
    </row>
    <row r="4" spans="1:5" ht="36" x14ac:dyDescent="0.3">
      <c r="A4" s="129">
        <v>2</v>
      </c>
      <c r="B4" s="132" t="s">
        <v>712</v>
      </c>
      <c r="C4" s="143" t="s">
        <v>729</v>
      </c>
      <c r="D4" s="129" t="s">
        <v>706</v>
      </c>
      <c r="E4" s="76">
        <v>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6"/>
  <sheetViews>
    <sheetView zoomScale="55" zoomScaleNormal="55" workbookViewId="0">
      <selection activeCell="B3" sqref="B3:E3"/>
    </sheetView>
  </sheetViews>
  <sheetFormatPr defaultRowHeight="18" x14ac:dyDescent="0.3"/>
  <cols>
    <col min="1" max="1" width="7.21875" style="134" customWidth="1"/>
    <col min="2" max="2" width="40.109375" style="134" customWidth="1"/>
    <col min="3" max="3" width="58.77734375" style="134" customWidth="1"/>
    <col min="4" max="4" width="12.88671875" style="134" customWidth="1"/>
    <col min="5" max="5" width="11.6640625" style="134" customWidth="1"/>
    <col min="6" max="6" width="10.88671875" style="134" customWidth="1"/>
    <col min="7" max="16384" width="8.88671875" style="134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0" t="s">
        <v>390</v>
      </c>
      <c r="C2" s="16" t="s">
        <v>391</v>
      </c>
      <c r="D2" s="16" t="s">
        <v>392</v>
      </c>
      <c r="E2" s="14" t="s">
        <v>393</v>
      </c>
    </row>
    <row r="3" spans="1:5" ht="36" x14ac:dyDescent="0.3">
      <c r="A3" s="129">
        <v>1</v>
      </c>
      <c r="B3" s="132" t="s">
        <v>712</v>
      </c>
      <c r="C3" s="143" t="s">
        <v>713</v>
      </c>
      <c r="D3" s="129" t="s">
        <v>706</v>
      </c>
      <c r="E3" s="76">
        <v>91.86</v>
      </c>
    </row>
    <row r="4" spans="1:5" ht="36" x14ac:dyDescent="0.3">
      <c r="A4" s="129">
        <v>2</v>
      </c>
      <c r="B4" s="132" t="s">
        <v>712</v>
      </c>
      <c r="C4" s="143" t="s">
        <v>725</v>
      </c>
      <c r="D4" s="129" t="s">
        <v>706</v>
      </c>
      <c r="E4" s="76">
        <v>394.02</v>
      </c>
    </row>
    <row r="5" spans="1:5" ht="36" x14ac:dyDescent="0.3">
      <c r="A5" s="129">
        <v>3</v>
      </c>
      <c r="B5" s="132" t="s">
        <v>712</v>
      </c>
      <c r="C5" s="143" t="s">
        <v>726</v>
      </c>
      <c r="D5" s="129" t="s">
        <v>706</v>
      </c>
      <c r="E5" s="76">
        <v>381.88</v>
      </c>
    </row>
    <row r="6" spans="1:5" ht="57" customHeight="1" x14ac:dyDescent="0.3">
      <c r="A6" s="129">
        <v>4</v>
      </c>
      <c r="B6" s="132" t="s">
        <v>712</v>
      </c>
      <c r="C6" s="144" t="s">
        <v>727</v>
      </c>
      <c r="D6" s="129" t="s">
        <v>706</v>
      </c>
      <c r="E6" s="76">
        <v>38.270000000000003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4"/>
  <sheetViews>
    <sheetView zoomScale="55" zoomScaleNormal="55" workbookViewId="0">
      <selection activeCell="B3" sqref="B3:E3"/>
    </sheetView>
  </sheetViews>
  <sheetFormatPr defaultRowHeight="18" x14ac:dyDescent="0.3"/>
  <cols>
    <col min="1" max="1" width="7.21875" style="134" customWidth="1"/>
    <col min="2" max="2" width="8.77734375" style="134" customWidth="1"/>
    <col min="3" max="3" width="19.77734375" style="134" customWidth="1"/>
    <col min="4" max="4" width="7.44140625" style="134" customWidth="1"/>
    <col min="5" max="5" width="4" style="134" customWidth="1"/>
    <col min="6" max="7" width="8.88671875" style="134"/>
    <col min="8" max="8" width="6.21875" style="134" customWidth="1"/>
    <col min="9" max="9" width="15.21875" style="134" customWidth="1"/>
    <col min="10" max="10" width="8.88671875" style="134"/>
    <col min="11" max="11" width="11.6640625" style="134" customWidth="1"/>
    <col min="12" max="16384" width="8.88671875" style="134"/>
  </cols>
  <sheetData>
    <row r="1" spans="1:11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15" customHeight="1" x14ac:dyDescent="0.3">
      <c r="A2" s="12" t="s">
        <v>389</v>
      </c>
      <c r="B2" s="217" t="s">
        <v>390</v>
      </c>
      <c r="C2" s="217"/>
      <c r="D2" s="217"/>
      <c r="E2" s="217"/>
      <c r="F2" s="218" t="s">
        <v>391</v>
      </c>
      <c r="G2" s="218"/>
      <c r="H2" s="218"/>
      <c r="I2" s="218"/>
      <c r="J2" s="16" t="s">
        <v>392</v>
      </c>
      <c r="K2" s="14" t="s">
        <v>393</v>
      </c>
    </row>
    <row r="3" spans="1:11" ht="57" customHeight="1" x14ac:dyDescent="0.3">
      <c r="A3" s="129">
        <v>1</v>
      </c>
      <c r="B3" s="215" t="s">
        <v>707</v>
      </c>
      <c r="C3" s="215"/>
      <c r="D3" s="215"/>
      <c r="E3" s="215"/>
      <c r="F3" s="216" t="s">
        <v>710</v>
      </c>
      <c r="G3" s="216"/>
      <c r="H3" s="216"/>
      <c r="I3" s="216"/>
      <c r="J3" s="129" t="s">
        <v>394</v>
      </c>
      <c r="K3" s="147">
        <v>129.4</v>
      </c>
    </row>
    <row r="4" spans="1:11" ht="55.2" customHeight="1" x14ac:dyDescent="0.3">
      <c r="A4" s="129">
        <v>2</v>
      </c>
      <c r="B4" s="215" t="s">
        <v>707</v>
      </c>
      <c r="C4" s="215"/>
      <c r="D4" s="215"/>
      <c r="E4" s="215"/>
      <c r="F4" s="216" t="s">
        <v>711</v>
      </c>
      <c r="G4" s="216"/>
      <c r="H4" s="216"/>
      <c r="I4" s="216"/>
      <c r="J4" s="129" t="s">
        <v>394</v>
      </c>
      <c r="K4" s="147">
        <v>45.7</v>
      </c>
    </row>
  </sheetData>
  <mergeCells count="7">
    <mergeCell ref="B4:E4"/>
    <mergeCell ref="F4:I4"/>
    <mergeCell ref="A1:K1"/>
    <mergeCell ref="B2:E2"/>
    <mergeCell ref="F2:I2"/>
    <mergeCell ref="B3:E3"/>
    <mergeCell ref="F3:I3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4"/>
  <sheetViews>
    <sheetView zoomScale="55" zoomScaleNormal="55" workbookViewId="0">
      <selection activeCell="B3" sqref="B3:E3"/>
    </sheetView>
  </sheetViews>
  <sheetFormatPr defaultRowHeight="18" x14ac:dyDescent="0.3"/>
  <cols>
    <col min="1" max="1" width="7.21875" style="134" customWidth="1"/>
    <col min="2" max="2" width="8.77734375" style="134" customWidth="1"/>
    <col min="3" max="3" width="19.77734375" style="134" customWidth="1"/>
    <col min="4" max="4" width="7.44140625" style="134" customWidth="1"/>
    <col min="5" max="5" width="4" style="134" customWidth="1"/>
    <col min="6" max="7" width="8.88671875" style="134"/>
    <col min="8" max="8" width="6.21875" style="134" customWidth="1"/>
    <col min="9" max="9" width="3" style="134" customWidth="1"/>
    <col min="10" max="10" width="8.88671875" style="134"/>
    <col min="11" max="11" width="11.6640625" style="134" customWidth="1"/>
    <col min="12" max="16384" width="8.88671875" style="134"/>
  </cols>
  <sheetData>
    <row r="1" spans="1:11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15" customHeight="1" x14ac:dyDescent="0.3">
      <c r="A2" s="12" t="s">
        <v>389</v>
      </c>
      <c r="B2" s="217" t="s">
        <v>390</v>
      </c>
      <c r="C2" s="217"/>
      <c r="D2" s="217"/>
      <c r="E2" s="217"/>
      <c r="F2" s="218" t="s">
        <v>391</v>
      </c>
      <c r="G2" s="218"/>
      <c r="H2" s="218"/>
      <c r="I2" s="218"/>
      <c r="J2" s="16" t="s">
        <v>392</v>
      </c>
      <c r="K2" s="14" t="s">
        <v>393</v>
      </c>
    </row>
    <row r="3" spans="1:11" ht="57" customHeight="1" x14ac:dyDescent="0.3">
      <c r="A3" s="129">
        <v>1</v>
      </c>
      <c r="B3" s="215" t="s">
        <v>707</v>
      </c>
      <c r="C3" s="215"/>
      <c r="D3" s="215"/>
      <c r="E3" s="215"/>
      <c r="F3" s="216" t="s">
        <v>708</v>
      </c>
      <c r="G3" s="216"/>
      <c r="H3" s="216"/>
      <c r="I3" s="216"/>
      <c r="J3" s="129" t="s">
        <v>394</v>
      </c>
      <c r="K3" s="147">
        <v>338.3</v>
      </c>
    </row>
    <row r="4" spans="1:11" ht="55.2" customHeight="1" x14ac:dyDescent="0.3">
      <c r="A4" s="129">
        <v>2</v>
      </c>
      <c r="B4" s="215" t="s">
        <v>707</v>
      </c>
      <c r="C4" s="215"/>
      <c r="D4" s="215"/>
      <c r="E4" s="215"/>
      <c r="F4" s="216" t="s">
        <v>709</v>
      </c>
      <c r="G4" s="216"/>
      <c r="H4" s="216"/>
      <c r="I4" s="216"/>
      <c r="J4" s="129" t="s">
        <v>394</v>
      </c>
      <c r="K4" s="147">
        <v>190.6</v>
      </c>
    </row>
  </sheetData>
  <mergeCells count="7">
    <mergeCell ref="B4:E4"/>
    <mergeCell ref="F4:I4"/>
    <mergeCell ref="A1:K1"/>
    <mergeCell ref="B2:E2"/>
    <mergeCell ref="F2:I2"/>
    <mergeCell ref="B3:E3"/>
    <mergeCell ref="F3:I3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3"/>
  <sheetViews>
    <sheetView zoomScale="55" zoomScaleNormal="55" workbookViewId="0">
      <selection activeCell="B3" sqref="B3:E3"/>
    </sheetView>
  </sheetViews>
  <sheetFormatPr defaultRowHeight="18" x14ac:dyDescent="0.3"/>
  <cols>
    <col min="1" max="1" width="7.21875" style="134" customWidth="1"/>
    <col min="2" max="2" width="8.77734375" style="134" customWidth="1"/>
    <col min="3" max="3" width="19.77734375" style="134" customWidth="1"/>
    <col min="4" max="4" width="7.44140625" style="134" customWidth="1"/>
    <col min="5" max="5" width="4" style="134" customWidth="1"/>
    <col min="6" max="7" width="8.88671875" style="134"/>
    <col min="8" max="8" width="6.21875" style="134" customWidth="1"/>
    <col min="9" max="9" width="3" style="134" customWidth="1"/>
    <col min="10" max="10" width="8.88671875" style="134"/>
    <col min="11" max="11" width="11.6640625" style="134" customWidth="1"/>
    <col min="12" max="16384" width="8.88671875" style="134"/>
  </cols>
  <sheetData>
    <row r="1" spans="1:11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15" customHeight="1" x14ac:dyDescent="0.3">
      <c r="A2" s="12" t="s">
        <v>389</v>
      </c>
      <c r="B2" s="217" t="s">
        <v>390</v>
      </c>
      <c r="C2" s="217"/>
      <c r="D2" s="217"/>
      <c r="E2" s="217"/>
      <c r="F2" s="218" t="s">
        <v>391</v>
      </c>
      <c r="G2" s="218"/>
      <c r="H2" s="218"/>
      <c r="I2" s="218"/>
      <c r="J2" s="16" t="s">
        <v>392</v>
      </c>
      <c r="K2" s="14" t="s">
        <v>393</v>
      </c>
    </row>
    <row r="3" spans="1:11" ht="46.2" customHeight="1" x14ac:dyDescent="0.3">
      <c r="A3" s="129">
        <v>1</v>
      </c>
      <c r="B3" s="215" t="s">
        <v>704</v>
      </c>
      <c r="C3" s="215"/>
      <c r="D3" s="215"/>
      <c r="E3" s="215"/>
      <c r="F3" s="216" t="s">
        <v>705</v>
      </c>
      <c r="G3" s="216"/>
      <c r="H3" s="216"/>
      <c r="I3" s="216"/>
      <c r="J3" s="129" t="s">
        <v>706</v>
      </c>
      <c r="K3" s="147">
        <v>416.23500000000001</v>
      </c>
    </row>
  </sheetData>
  <mergeCells count="5">
    <mergeCell ref="A1:K1"/>
    <mergeCell ref="B2:E2"/>
    <mergeCell ref="F2:I2"/>
    <mergeCell ref="B3:E3"/>
    <mergeCell ref="F3:I3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3"/>
  <sheetViews>
    <sheetView zoomScale="55" zoomScaleNormal="55" workbookViewId="0">
      <selection activeCell="B3" sqref="B3:E3"/>
    </sheetView>
  </sheetViews>
  <sheetFormatPr defaultRowHeight="18" x14ac:dyDescent="0.3"/>
  <cols>
    <col min="1" max="1" width="7.21875" style="134" customWidth="1"/>
    <col min="2" max="2" width="8.77734375" style="134" customWidth="1"/>
    <col min="3" max="3" width="19.77734375" style="134" customWidth="1"/>
    <col min="4" max="4" width="7.44140625" style="134" customWidth="1"/>
    <col min="5" max="5" width="7.21875" style="134" customWidth="1"/>
    <col min="6" max="7" width="8.88671875" style="134"/>
    <col min="8" max="8" width="6.21875" style="134" customWidth="1"/>
    <col min="9" max="9" width="3" style="134" customWidth="1"/>
    <col min="10" max="10" width="8.88671875" style="134"/>
    <col min="11" max="11" width="11.6640625" style="134" customWidth="1"/>
    <col min="12" max="16384" width="8.88671875" style="134"/>
  </cols>
  <sheetData>
    <row r="1" spans="1:11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15" customHeight="1" x14ac:dyDescent="0.3">
      <c r="A2" s="12" t="s">
        <v>389</v>
      </c>
      <c r="B2" s="217" t="s">
        <v>390</v>
      </c>
      <c r="C2" s="217"/>
      <c r="D2" s="217"/>
      <c r="E2" s="217"/>
      <c r="F2" s="218" t="s">
        <v>391</v>
      </c>
      <c r="G2" s="218"/>
      <c r="H2" s="218"/>
      <c r="I2" s="218"/>
      <c r="J2" s="16" t="s">
        <v>392</v>
      </c>
      <c r="K2" s="14" t="s">
        <v>393</v>
      </c>
    </row>
    <row r="3" spans="1:11" ht="46.2" customHeight="1" x14ac:dyDescent="0.3">
      <c r="A3" s="129">
        <v>1</v>
      </c>
      <c r="B3" s="215" t="s">
        <v>701</v>
      </c>
      <c r="C3" s="215"/>
      <c r="D3" s="215"/>
      <c r="E3" s="215"/>
      <c r="F3" s="216" t="s">
        <v>702</v>
      </c>
      <c r="G3" s="216"/>
      <c r="H3" s="216"/>
      <c r="I3" s="216"/>
      <c r="J3" s="129" t="s">
        <v>703</v>
      </c>
      <c r="K3" s="147">
        <v>1.415</v>
      </c>
    </row>
  </sheetData>
  <mergeCells count="5">
    <mergeCell ref="A1:K1"/>
    <mergeCell ref="B2:E2"/>
    <mergeCell ref="F2:I2"/>
    <mergeCell ref="B3:E3"/>
    <mergeCell ref="F3:I3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3"/>
  <sheetViews>
    <sheetView zoomScale="55" zoomScaleNormal="55" workbookViewId="0">
      <selection activeCell="B3" sqref="B3:E3"/>
    </sheetView>
  </sheetViews>
  <sheetFormatPr defaultRowHeight="18" x14ac:dyDescent="0.3"/>
  <cols>
    <col min="1" max="1" width="7.21875" style="134" customWidth="1"/>
    <col min="2" max="2" width="8.77734375" style="134" customWidth="1"/>
    <col min="3" max="3" width="19.77734375" style="134" customWidth="1"/>
    <col min="4" max="4" width="7.44140625" style="134" customWidth="1"/>
    <col min="5" max="5" width="11.88671875" style="134" customWidth="1"/>
    <col min="6" max="7" width="8.88671875" style="134"/>
    <col min="8" max="8" width="6.21875" style="134" customWidth="1"/>
    <col min="9" max="9" width="3" style="134" customWidth="1"/>
    <col min="10" max="10" width="8.88671875" style="134"/>
    <col min="11" max="11" width="11.6640625" style="134" customWidth="1"/>
    <col min="12" max="16384" width="8.88671875" style="134"/>
  </cols>
  <sheetData>
    <row r="1" spans="1:11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15" customHeight="1" x14ac:dyDescent="0.3">
      <c r="A2" s="12" t="s">
        <v>389</v>
      </c>
      <c r="B2" s="217" t="s">
        <v>390</v>
      </c>
      <c r="C2" s="217"/>
      <c r="D2" s="217"/>
      <c r="E2" s="217"/>
      <c r="F2" s="218" t="s">
        <v>391</v>
      </c>
      <c r="G2" s="218"/>
      <c r="H2" s="218"/>
      <c r="I2" s="218"/>
      <c r="J2" s="16" t="s">
        <v>392</v>
      </c>
      <c r="K2" s="14" t="s">
        <v>393</v>
      </c>
    </row>
    <row r="3" spans="1:11" ht="46.2" customHeight="1" x14ac:dyDescent="0.3">
      <c r="A3" s="129">
        <v>1</v>
      </c>
      <c r="B3" s="215" t="s">
        <v>701</v>
      </c>
      <c r="C3" s="215"/>
      <c r="D3" s="215"/>
      <c r="E3" s="215"/>
      <c r="F3" s="216" t="s">
        <v>702</v>
      </c>
      <c r="G3" s="216"/>
      <c r="H3" s="216"/>
      <c r="I3" s="216"/>
      <c r="J3" s="129" t="s">
        <v>703</v>
      </c>
      <c r="K3" s="147">
        <v>1.415</v>
      </c>
    </row>
  </sheetData>
  <mergeCells count="5">
    <mergeCell ref="A1:K1"/>
    <mergeCell ref="B2:E2"/>
    <mergeCell ref="F2:I2"/>
    <mergeCell ref="B3:E3"/>
    <mergeCell ref="F3:I3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3"/>
  <sheetViews>
    <sheetView zoomScale="55" zoomScaleNormal="55" workbookViewId="0">
      <selection activeCell="B3" sqref="B3:E3"/>
    </sheetView>
  </sheetViews>
  <sheetFormatPr defaultRowHeight="18" x14ac:dyDescent="0.3"/>
  <cols>
    <col min="1" max="1" width="7.21875" style="134" customWidth="1"/>
    <col min="2" max="2" width="8.77734375" style="134" customWidth="1"/>
    <col min="3" max="3" width="19.77734375" style="134" customWidth="1"/>
    <col min="4" max="4" width="7.44140625" style="134" customWidth="1"/>
    <col min="5" max="5" width="11.88671875" style="134" customWidth="1"/>
    <col min="6" max="7" width="8.88671875" style="134"/>
    <col min="8" max="8" width="6.21875" style="134" customWidth="1"/>
    <col min="9" max="9" width="3" style="134" customWidth="1"/>
    <col min="10" max="10" width="8.88671875" style="134"/>
    <col min="11" max="11" width="11.6640625" style="134" customWidth="1"/>
    <col min="12" max="16384" width="8.88671875" style="134"/>
  </cols>
  <sheetData>
    <row r="1" spans="1:11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15" customHeight="1" x14ac:dyDescent="0.3">
      <c r="A2" s="12" t="s">
        <v>389</v>
      </c>
      <c r="B2" s="217" t="s">
        <v>390</v>
      </c>
      <c r="C2" s="217"/>
      <c r="D2" s="217"/>
      <c r="E2" s="217"/>
      <c r="F2" s="218" t="s">
        <v>391</v>
      </c>
      <c r="G2" s="218"/>
      <c r="H2" s="218"/>
      <c r="I2" s="218"/>
      <c r="J2" s="16" t="s">
        <v>392</v>
      </c>
      <c r="K2" s="14" t="s">
        <v>393</v>
      </c>
    </row>
    <row r="3" spans="1:11" ht="46.2" customHeight="1" x14ac:dyDescent="0.3">
      <c r="A3" s="129">
        <v>1</v>
      </c>
      <c r="B3" s="215" t="s">
        <v>699</v>
      </c>
      <c r="C3" s="215"/>
      <c r="D3" s="215"/>
      <c r="E3" s="215"/>
      <c r="F3" s="216" t="s">
        <v>700</v>
      </c>
      <c r="G3" s="216"/>
      <c r="H3" s="216"/>
      <c r="I3" s="216"/>
      <c r="J3" s="129" t="s">
        <v>394</v>
      </c>
      <c r="K3" s="76">
        <v>1.9630000000000001</v>
      </c>
    </row>
  </sheetData>
  <mergeCells count="5">
    <mergeCell ref="A1:K1"/>
    <mergeCell ref="B2:E2"/>
    <mergeCell ref="F2:I2"/>
    <mergeCell ref="B3:E3"/>
    <mergeCell ref="F3:I3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24"/>
  <sheetViews>
    <sheetView zoomScale="55" zoomScaleNormal="55" workbookViewId="0">
      <selection activeCell="B3" sqref="B3:E3"/>
    </sheetView>
  </sheetViews>
  <sheetFormatPr defaultRowHeight="18" x14ac:dyDescent="0.3"/>
  <cols>
    <col min="1" max="1" width="7.21875" style="150" customWidth="1"/>
    <col min="2" max="2" width="8.77734375" style="150" customWidth="1"/>
    <col min="3" max="3" width="19.77734375" style="150" customWidth="1"/>
    <col min="4" max="4" width="3.21875" style="150" customWidth="1"/>
    <col min="5" max="5" width="11.88671875" style="150" customWidth="1"/>
    <col min="6" max="7" width="8.88671875" style="150"/>
    <col min="8" max="8" width="2.33203125" style="150" customWidth="1"/>
    <col min="9" max="9" width="10.33203125" style="150" customWidth="1"/>
    <col min="10" max="10" width="8.88671875" style="150"/>
    <col min="11" max="11" width="11.6640625" style="150" customWidth="1"/>
    <col min="12" max="16384" width="8.88671875" style="150"/>
  </cols>
  <sheetData>
    <row r="1" spans="1:11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15" customHeight="1" x14ac:dyDescent="0.3">
      <c r="A2" s="12" t="s">
        <v>389</v>
      </c>
      <c r="B2" s="217" t="s">
        <v>390</v>
      </c>
      <c r="C2" s="217"/>
      <c r="D2" s="217"/>
      <c r="E2" s="217"/>
      <c r="F2" s="218" t="s">
        <v>391</v>
      </c>
      <c r="G2" s="218"/>
      <c r="H2" s="218"/>
      <c r="I2" s="218"/>
      <c r="J2" s="149" t="s">
        <v>392</v>
      </c>
      <c r="K2" s="14" t="s">
        <v>393</v>
      </c>
    </row>
    <row r="3" spans="1:11" ht="82.2" customHeight="1" x14ac:dyDescent="0.3">
      <c r="A3" s="148">
        <v>1</v>
      </c>
      <c r="B3" s="215" t="s">
        <v>690</v>
      </c>
      <c r="C3" s="215"/>
      <c r="D3" s="215"/>
      <c r="E3" s="215"/>
      <c r="F3" s="220" t="s">
        <v>694</v>
      </c>
      <c r="G3" s="220"/>
      <c r="H3" s="220"/>
      <c r="I3" s="220"/>
      <c r="J3" s="148" t="s">
        <v>394</v>
      </c>
      <c r="K3" s="76">
        <v>105.69</v>
      </c>
    </row>
    <row r="4" spans="1:11" ht="82.2" customHeight="1" x14ac:dyDescent="0.3">
      <c r="A4" s="148">
        <v>2</v>
      </c>
      <c r="B4" s="215" t="s">
        <v>690</v>
      </c>
      <c r="C4" s="215"/>
      <c r="D4" s="215"/>
      <c r="E4" s="215"/>
      <c r="F4" s="216" t="s">
        <v>698</v>
      </c>
      <c r="G4" s="216"/>
      <c r="H4" s="216"/>
      <c r="I4" s="216"/>
      <c r="J4" s="148" t="s">
        <v>394</v>
      </c>
      <c r="K4" s="76">
        <v>12</v>
      </c>
    </row>
    <row r="5" spans="1:11" x14ac:dyDescent="0.3">
      <c r="A5" s="140" t="s">
        <v>593</v>
      </c>
      <c r="B5" s="141" t="s">
        <v>441</v>
      </c>
      <c r="C5" s="141" t="s">
        <v>673</v>
      </c>
      <c r="D5" s="198"/>
      <c r="E5" s="140" t="s">
        <v>593</v>
      </c>
      <c r="F5" s="141" t="s">
        <v>441</v>
      </c>
      <c r="G5" s="141" t="s">
        <v>673</v>
      </c>
      <c r="H5" s="198"/>
      <c r="I5" s="140" t="s">
        <v>593</v>
      </c>
      <c r="J5" s="141" t="s">
        <v>441</v>
      </c>
      <c r="K5" s="141" t="s">
        <v>673</v>
      </c>
    </row>
    <row r="6" spans="1:11" x14ac:dyDescent="0.3">
      <c r="A6" s="106" t="s">
        <v>489</v>
      </c>
      <c r="B6" s="107" t="s">
        <v>15</v>
      </c>
      <c r="C6" s="118">
        <v>1.0711073292923112</v>
      </c>
      <c r="D6" s="199"/>
      <c r="E6" s="104" t="s">
        <v>498</v>
      </c>
      <c r="F6" s="105" t="s">
        <v>19</v>
      </c>
      <c r="G6" s="117">
        <v>1.0913169015431097</v>
      </c>
      <c r="H6" s="199"/>
      <c r="I6" s="104" t="s">
        <v>510</v>
      </c>
      <c r="J6" s="105" t="s">
        <v>19</v>
      </c>
      <c r="K6" s="117">
        <v>1.0913169015431097</v>
      </c>
    </row>
    <row r="7" spans="1:11" x14ac:dyDescent="0.3">
      <c r="A7" s="104" t="s">
        <v>600</v>
      </c>
      <c r="B7" s="105" t="s">
        <v>15</v>
      </c>
      <c r="C7" s="117">
        <v>1.2327839072986979</v>
      </c>
      <c r="D7" s="199"/>
      <c r="E7" s="106" t="s">
        <v>499</v>
      </c>
      <c r="F7" s="107" t="s">
        <v>19</v>
      </c>
      <c r="G7" s="118">
        <v>2.3241008088418078</v>
      </c>
      <c r="H7" s="199"/>
      <c r="I7" s="106" t="s">
        <v>511</v>
      </c>
      <c r="J7" s="107" t="s">
        <v>19</v>
      </c>
      <c r="K7" s="118">
        <v>3.152693271124539</v>
      </c>
    </row>
    <row r="8" spans="1:11" x14ac:dyDescent="0.3">
      <c r="A8" s="106" t="s">
        <v>491</v>
      </c>
      <c r="B8" s="107" t="s">
        <v>15</v>
      </c>
      <c r="C8" s="118">
        <v>3.152693271124539</v>
      </c>
      <c r="D8" s="199"/>
      <c r="E8" s="104" t="s">
        <v>500</v>
      </c>
      <c r="F8" s="105" t="s">
        <v>19</v>
      </c>
      <c r="G8" s="117">
        <v>2.344310381092606</v>
      </c>
      <c r="H8" s="199"/>
      <c r="I8" s="104" t="s">
        <v>512</v>
      </c>
      <c r="J8" s="105" t="s">
        <v>19</v>
      </c>
      <c r="K8" s="117">
        <v>3.1324836988737408</v>
      </c>
    </row>
    <row r="9" spans="1:11" x14ac:dyDescent="0.3">
      <c r="A9" s="104" t="s">
        <v>492</v>
      </c>
      <c r="B9" s="105" t="s">
        <v>15</v>
      </c>
      <c r="C9" s="117">
        <v>1.0913169015431097</v>
      </c>
      <c r="D9" s="199"/>
      <c r="E9" s="106" t="s">
        <v>501</v>
      </c>
      <c r="F9" s="107" t="s">
        <v>19</v>
      </c>
      <c r="G9" s="118">
        <v>2.7485018261085723</v>
      </c>
      <c r="H9" s="199"/>
      <c r="I9" s="106" t="s">
        <v>506</v>
      </c>
      <c r="J9" s="107" t="s">
        <v>19</v>
      </c>
      <c r="K9" s="118">
        <v>1.0913169015431097</v>
      </c>
    </row>
    <row r="10" spans="1:11" x14ac:dyDescent="0.3">
      <c r="A10" s="106" t="s">
        <v>493</v>
      </c>
      <c r="B10" s="107" t="s">
        <v>15</v>
      </c>
      <c r="C10" s="118">
        <v>3.1324836988737408</v>
      </c>
      <c r="D10" s="199"/>
      <c r="E10" s="104" t="s">
        <v>502</v>
      </c>
      <c r="F10" s="105" t="s">
        <v>19</v>
      </c>
      <c r="G10" s="117">
        <v>1.7178136413178577</v>
      </c>
      <c r="H10" s="199"/>
      <c r="I10" s="104" t="s">
        <v>507</v>
      </c>
      <c r="J10" s="105" t="s">
        <v>19</v>
      </c>
      <c r="K10" s="117">
        <v>2.4049390978450012</v>
      </c>
    </row>
    <row r="11" spans="1:11" x14ac:dyDescent="0.3">
      <c r="A11" s="104" t="s">
        <v>602</v>
      </c>
      <c r="B11" s="105" t="s">
        <v>15</v>
      </c>
      <c r="C11" s="117">
        <v>0.48502973401915983</v>
      </c>
      <c r="D11" s="199"/>
      <c r="E11" s="106" t="s">
        <v>503</v>
      </c>
      <c r="F11" s="107" t="s">
        <v>19</v>
      </c>
      <c r="G11" s="118">
        <v>2.1624242308354207</v>
      </c>
      <c r="H11" s="199"/>
      <c r="I11" s="106" t="s">
        <v>659</v>
      </c>
      <c r="J11" s="107" t="s">
        <v>19</v>
      </c>
      <c r="K11" s="118">
        <v>1.3540413408034879</v>
      </c>
    </row>
    <row r="12" spans="1:11" x14ac:dyDescent="0.3">
      <c r="A12" s="106" t="s">
        <v>520</v>
      </c>
      <c r="B12" s="107" t="s">
        <v>15</v>
      </c>
      <c r="C12" s="118">
        <v>1.2125743350478997</v>
      </c>
      <c r="D12" s="199"/>
      <c r="E12" s="104" t="s">
        <v>504</v>
      </c>
      <c r="F12" s="105" t="s">
        <v>19</v>
      </c>
      <c r="G12" s="117">
        <v>2.4655678145973958</v>
      </c>
      <c r="H12" s="199"/>
      <c r="I12" s="104" t="s">
        <v>508</v>
      </c>
      <c r="J12" s="105" t="s">
        <v>19</v>
      </c>
      <c r="K12" s="117">
        <v>6.0022429584871029</v>
      </c>
    </row>
    <row r="13" spans="1:11" x14ac:dyDescent="0.3">
      <c r="A13" s="104" t="s">
        <v>490</v>
      </c>
      <c r="B13" s="105" t="s">
        <v>15</v>
      </c>
      <c r="C13" s="117">
        <v>0.80838289003193309</v>
      </c>
      <c r="D13" s="199"/>
      <c r="E13" s="106" t="s">
        <v>639</v>
      </c>
      <c r="F13" s="107" t="s">
        <v>19</v>
      </c>
      <c r="G13" s="118">
        <v>4.7290399066868085</v>
      </c>
      <c r="H13" s="199"/>
      <c r="I13" s="106" t="s">
        <v>660</v>
      </c>
      <c r="J13" s="107" t="s">
        <v>19</v>
      </c>
      <c r="K13" s="118">
        <v>1.3540413408034879</v>
      </c>
    </row>
    <row r="14" spans="1:11" x14ac:dyDescent="0.3">
      <c r="A14" s="106" t="s">
        <v>603</v>
      </c>
      <c r="B14" s="107" t="s">
        <v>15</v>
      </c>
      <c r="C14" s="118">
        <v>1.0104786125399163</v>
      </c>
      <c r="D14" s="199"/>
      <c r="E14" s="104" t="s">
        <v>640</v>
      </c>
      <c r="F14" s="105" t="s">
        <v>19</v>
      </c>
      <c r="G14" s="117">
        <v>1.0913169015431097</v>
      </c>
      <c r="H14" s="199"/>
      <c r="I14" s="104" t="s">
        <v>661</v>
      </c>
      <c r="J14" s="105" t="s">
        <v>19</v>
      </c>
      <c r="K14" s="117">
        <v>6.0022429584871029</v>
      </c>
    </row>
    <row r="15" spans="1:11" x14ac:dyDescent="0.3">
      <c r="A15" s="104" t="s">
        <v>610</v>
      </c>
      <c r="B15" s="105" t="s">
        <v>15</v>
      </c>
      <c r="C15" s="117">
        <v>2.2230529475878158</v>
      </c>
      <c r="D15" s="199"/>
      <c r="E15" s="106" t="s">
        <v>641</v>
      </c>
      <c r="F15" s="107" t="s">
        <v>19</v>
      </c>
      <c r="G15" s="118">
        <v>1.9805380805782362</v>
      </c>
      <c r="H15" s="199"/>
      <c r="I15" s="108" t="s">
        <v>666</v>
      </c>
      <c r="J15" s="109" t="s">
        <v>19</v>
      </c>
      <c r="K15" s="163">
        <v>1.2732030518002946</v>
      </c>
    </row>
    <row r="16" spans="1:11" x14ac:dyDescent="0.3">
      <c r="A16" s="106" t="s">
        <v>629</v>
      </c>
      <c r="B16" s="107" t="s">
        <v>15</v>
      </c>
      <c r="C16" s="118">
        <v>1.3540413408034879</v>
      </c>
      <c r="D16" s="199"/>
      <c r="E16" s="104" t="s">
        <v>497</v>
      </c>
      <c r="F16" s="105" t="s">
        <v>19</v>
      </c>
      <c r="G16" s="117">
        <v>3.152693271124539</v>
      </c>
      <c r="H16" s="199"/>
      <c r="I16" s="219" t="s">
        <v>696</v>
      </c>
      <c r="J16" s="219"/>
      <c r="K16" s="145">
        <f>SUM(K6:K15)</f>
        <v>26.858521521310973</v>
      </c>
    </row>
    <row r="17" spans="1:11" x14ac:dyDescent="0.3">
      <c r="A17" s="104" t="s">
        <v>630</v>
      </c>
      <c r="B17" s="105" t="s">
        <v>15</v>
      </c>
      <c r="C17" s="117">
        <v>4.2985760177448045</v>
      </c>
      <c r="D17" s="199"/>
      <c r="E17" s="106" t="s">
        <v>495</v>
      </c>
      <c r="F17" s="107" t="s">
        <v>19</v>
      </c>
      <c r="G17" s="118">
        <v>3.1324836988737408</v>
      </c>
      <c r="H17" s="199"/>
      <c r="I17" s="199"/>
      <c r="J17" s="199"/>
      <c r="K17" s="199"/>
    </row>
    <row r="18" spans="1:11" x14ac:dyDescent="0.3">
      <c r="A18" s="106" t="s">
        <v>531</v>
      </c>
      <c r="B18" s="107" t="s">
        <v>10</v>
      </c>
      <c r="C18" s="118">
        <v>0.97005946803831966</v>
      </c>
      <c r="D18" s="199"/>
      <c r="E18" s="104" t="s">
        <v>496</v>
      </c>
      <c r="F18" s="105" t="s">
        <v>19</v>
      </c>
      <c r="G18" s="117">
        <v>1.0913169015431097</v>
      </c>
      <c r="H18" s="199"/>
      <c r="I18" s="199"/>
      <c r="J18" s="199"/>
      <c r="K18" s="199"/>
    </row>
    <row r="19" spans="1:11" x14ac:dyDescent="0.3">
      <c r="A19" s="104" t="s">
        <v>631</v>
      </c>
      <c r="B19" s="105" t="s">
        <v>15</v>
      </c>
      <c r="C19" s="117">
        <v>1.3540413408034879</v>
      </c>
      <c r="D19" s="199"/>
      <c r="E19" s="106" t="s">
        <v>647</v>
      </c>
      <c r="F19" s="107" t="s">
        <v>19</v>
      </c>
      <c r="G19" s="118">
        <v>1.3540413408034879</v>
      </c>
      <c r="H19" s="199"/>
      <c r="I19" s="199"/>
      <c r="J19" s="199"/>
      <c r="K19" s="199"/>
    </row>
    <row r="20" spans="1:11" x14ac:dyDescent="0.3">
      <c r="A20" s="106" t="s">
        <v>632</v>
      </c>
      <c r="B20" s="107" t="s">
        <v>15</v>
      </c>
      <c r="C20" s="118">
        <v>6.0628716752394984</v>
      </c>
      <c r="D20" s="199"/>
      <c r="E20" s="104" t="s">
        <v>648</v>
      </c>
      <c r="F20" s="105" t="s">
        <v>19</v>
      </c>
      <c r="G20" s="117">
        <v>6.0022429584871029</v>
      </c>
      <c r="H20" s="199"/>
      <c r="I20" s="199"/>
      <c r="J20" s="199"/>
      <c r="K20" s="199"/>
    </row>
    <row r="21" spans="1:11" x14ac:dyDescent="0.3">
      <c r="A21" s="104" t="s">
        <v>633</v>
      </c>
      <c r="B21" s="105" t="s">
        <v>15</v>
      </c>
      <c r="C21" s="117">
        <v>1.293412624051093</v>
      </c>
      <c r="D21" s="199"/>
      <c r="E21" s="106" t="s">
        <v>649</v>
      </c>
      <c r="F21" s="107" t="s">
        <v>19</v>
      </c>
      <c r="G21" s="118">
        <v>1.3540413408034879</v>
      </c>
      <c r="H21" s="199"/>
      <c r="I21" s="199"/>
      <c r="J21" s="199"/>
      <c r="K21" s="199"/>
    </row>
    <row r="22" spans="1:11" x14ac:dyDescent="0.3">
      <c r="A22" s="106" t="s">
        <v>634</v>
      </c>
      <c r="B22" s="107" t="s">
        <v>15</v>
      </c>
      <c r="C22" s="118">
        <v>2.1624242308354207</v>
      </c>
      <c r="D22" s="199"/>
      <c r="E22" s="104" t="s">
        <v>650</v>
      </c>
      <c r="F22" s="105" t="s">
        <v>19</v>
      </c>
      <c r="G22" s="117">
        <v>6.0022429584871029</v>
      </c>
      <c r="H22" s="199"/>
      <c r="I22" s="199"/>
      <c r="J22" s="199"/>
      <c r="K22" s="199"/>
    </row>
    <row r="23" spans="1:11" x14ac:dyDescent="0.3">
      <c r="A23" s="219" t="s">
        <v>696</v>
      </c>
      <c r="B23" s="219"/>
      <c r="C23" s="145">
        <f>SUM(C6:C22)</f>
        <v>32.915330324875235</v>
      </c>
      <c r="D23" s="199"/>
      <c r="E23" s="106" t="s">
        <v>651</v>
      </c>
      <c r="F23" s="107" t="s">
        <v>19</v>
      </c>
      <c r="G23" s="118">
        <v>1.172155190546303</v>
      </c>
      <c r="H23" s="199"/>
      <c r="I23" s="140" t="s">
        <v>593</v>
      </c>
      <c r="J23" s="141" t="s">
        <v>441</v>
      </c>
      <c r="K23" s="141" t="s">
        <v>673</v>
      </c>
    </row>
    <row r="24" spans="1:11" x14ac:dyDescent="0.3">
      <c r="A24" s="199"/>
      <c r="B24" s="199"/>
      <c r="C24" s="199"/>
      <c r="D24" s="199"/>
      <c r="E24" s="219" t="s">
        <v>696</v>
      </c>
      <c r="F24" s="219"/>
      <c r="G24" s="145">
        <f>SUM(G6:G23)</f>
        <v>45.916148153813801</v>
      </c>
      <c r="H24" s="199"/>
      <c r="I24" s="104" t="s">
        <v>598</v>
      </c>
      <c r="J24" s="105" t="s">
        <v>10</v>
      </c>
      <c r="K24" s="105">
        <v>12</v>
      </c>
    </row>
  </sheetData>
  <mergeCells count="14">
    <mergeCell ref="A1:K1"/>
    <mergeCell ref="B2:E2"/>
    <mergeCell ref="F2:I2"/>
    <mergeCell ref="B3:E3"/>
    <mergeCell ref="F3:I3"/>
    <mergeCell ref="A24:C24"/>
    <mergeCell ref="I17:K22"/>
    <mergeCell ref="B4:E4"/>
    <mergeCell ref="F4:I4"/>
    <mergeCell ref="D5:D24"/>
    <mergeCell ref="H5:H24"/>
    <mergeCell ref="I16:J16"/>
    <mergeCell ref="A23:B23"/>
    <mergeCell ref="E24:F24"/>
  </mergeCells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24"/>
  <sheetViews>
    <sheetView zoomScale="55" zoomScaleNormal="55" workbookViewId="0">
      <selection activeCell="B3" sqref="B3:E3"/>
    </sheetView>
  </sheetViews>
  <sheetFormatPr defaultRowHeight="18" x14ac:dyDescent="0.3"/>
  <cols>
    <col min="1" max="1" width="7.21875" style="134" customWidth="1"/>
    <col min="2" max="2" width="8.77734375" style="134" customWidth="1"/>
    <col min="3" max="3" width="19.77734375" style="134" customWidth="1"/>
    <col min="4" max="4" width="7.44140625" style="134" customWidth="1"/>
    <col min="5" max="5" width="11.88671875" style="134" customWidth="1"/>
    <col min="6" max="7" width="8.88671875" style="134"/>
    <col min="8" max="8" width="6.21875" style="134" customWidth="1"/>
    <col min="9" max="10" width="8.88671875" style="134"/>
    <col min="11" max="11" width="11.6640625" style="134" customWidth="1"/>
    <col min="12" max="16384" width="8.88671875" style="134"/>
  </cols>
  <sheetData>
    <row r="1" spans="1:11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15" customHeight="1" x14ac:dyDescent="0.3">
      <c r="A2" s="12" t="s">
        <v>389</v>
      </c>
      <c r="B2" s="217" t="s">
        <v>390</v>
      </c>
      <c r="C2" s="217"/>
      <c r="D2" s="217"/>
      <c r="E2" s="217"/>
      <c r="F2" s="218" t="s">
        <v>391</v>
      </c>
      <c r="G2" s="218"/>
      <c r="H2" s="218"/>
      <c r="I2" s="218"/>
      <c r="J2" s="16" t="s">
        <v>392</v>
      </c>
      <c r="K2" s="14" t="s">
        <v>393</v>
      </c>
    </row>
    <row r="3" spans="1:11" ht="82.2" customHeight="1" x14ac:dyDescent="0.3">
      <c r="A3" s="129">
        <v>1</v>
      </c>
      <c r="B3" s="215" t="s">
        <v>690</v>
      </c>
      <c r="C3" s="215"/>
      <c r="D3" s="215"/>
      <c r="E3" s="215"/>
      <c r="F3" s="216" t="s">
        <v>695</v>
      </c>
      <c r="G3" s="216"/>
      <c r="H3" s="216"/>
      <c r="I3" s="216"/>
      <c r="J3" s="129" t="s">
        <v>394</v>
      </c>
      <c r="K3" s="76">
        <f>K16+G24+C24</f>
        <v>536.16999999999996</v>
      </c>
    </row>
    <row r="4" spans="1:11" ht="82.2" customHeight="1" x14ac:dyDescent="0.3">
      <c r="A4" s="129">
        <v>2</v>
      </c>
      <c r="B4" s="215" t="s">
        <v>690</v>
      </c>
      <c r="C4" s="215"/>
      <c r="D4" s="215"/>
      <c r="E4" s="215"/>
      <c r="F4" s="220" t="s">
        <v>697</v>
      </c>
      <c r="G4" s="220"/>
      <c r="H4" s="220"/>
      <c r="I4" s="220"/>
      <c r="J4" s="129" t="s">
        <v>394</v>
      </c>
      <c r="K4" s="76">
        <v>163.47</v>
      </c>
    </row>
    <row r="5" spans="1:11" x14ac:dyDescent="0.3">
      <c r="A5" s="140" t="s">
        <v>593</v>
      </c>
      <c r="B5" s="141" t="s">
        <v>441</v>
      </c>
      <c r="C5" s="141" t="s">
        <v>673</v>
      </c>
      <c r="D5" s="198"/>
      <c r="E5" s="140" t="s">
        <v>593</v>
      </c>
      <c r="F5" s="141" t="s">
        <v>441</v>
      </c>
      <c r="G5" s="141" t="s">
        <v>673</v>
      </c>
      <c r="H5" s="198"/>
      <c r="I5" s="140" t="s">
        <v>593</v>
      </c>
      <c r="J5" s="141" t="s">
        <v>441</v>
      </c>
      <c r="K5" s="141" t="s">
        <v>673</v>
      </c>
    </row>
    <row r="6" spans="1:11" x14ac:dyDescent="0.3">
      <c r="A6" s="104" t="s">
        <v>598</v>
      </c>
      <c r="B6" s="105" t="s">
        <v>10</v>
      </c>
      <c r="C6" s="105">
        <v>13.2</v>
      </c>
      <c r="D6" s="199"/>
      <c r="E6" s="104" t="s">
        <v>498</v>
      </c>
      <c r="F6" s="105" t="s">
        <v>19</v>
      </c>
      <c r="G6" s="105">
        <v>5.4</v>
      </c>
      <c r="H6" s="199"/>
      <c r="I6" s="104" t="s">
        <v>510</v>
      </c>
      <c r="J6" s="105" t="s">
        <v>19</v>
      </c>
      <c r="K6" s="105">
        <v>5.4</v>
      </c>
    </row>
    <row r="7" spans="1:11" x14ac:dyDescent="0.3">
      <c r="A7" s="106" t="s">
        <v>489</v>
      </c>
      <c r="B7" s="107" t="s">
        <v>15</v>
      </c>
      <c r="C7" s="107">
        <v>5.3</v>
      </c>
      <c r="D7" s="199"/>
      <c r="E7" s="106" t="s">
        <v>499</v>
      </c>
      <c r="F7" s="107" t="s">
        <v>19</v>
      </c>
      <c r="G7" s="107">
        <v>11.5</v>
      </c>
      <c r="H7" s="199"/>
      <c r="I7" s="106" t="s">
        <v>511</v>
      </c>
      <c r="J7" s="107" t="s">
        <v>19</v>
      </c>
      <c r="K7" s="107">
        <v>15.6</v>
      </c>
    </row>
    <row r="8" spans="1:11" x14ac:dyDescent="0.3">
      <c r="A8" s="104" t="s">
        <v>600</v>
      </c>
      <c r="B8" s="105" t="s">
        <v>15</v>
      </c>
      <c r="C8" s="105">
        <v>6.1</v>
      </c>
      <c r="D8" s="199"/>
      <c r="E8" s="104" t="s">
        <v>500</v>
      </c>
      <c r="F8" s="105" t="s">
        <v>19</v>
      </c>
      <c r="G8" s="105">
        <v>11.6</v>
      </c>
      <c r="H8" s="199"/>
      <c r="I8" s="104" t="s">
        <v>512</v>
      </c>
      <c r="J8" s="105" t="s">
        <v>19</v>
      </c>
      <c r="K8" s="105">
        <v>15.5</v>
      </c>
    </row>
    <row r="9" spans="1:11" x14ac:dyDescent="0.3">
      <c r="A9" s="106" t="s">
        <v>491</v>
      </c>
      <c r="B9" s="107" t="s">
        <v>15</v>
      </c>
      <c r="C9" s="107">
        <v>15.6</v>
      </c>
      <c r="D9" s="199"/>
      <c r="E9" s="106" t="s">
        <v>501</v>
      </c>
      <c r="F9" s="107" t="s">
        <v>19</v>
      </c>
      <c r="G9" s="107">
        <v>13.6</v>
      </c>
      <c r="H9" s="199"/>
      <c r="I9" s="106" t="s">
        <v>506</v>
      </c>
      <c r="J9" s="107" t="s">
        <v>19</v>
      </c>
      <c r="K9" s="107">
        <v>5.4</v>
      </c>
    </row>
    <row r="10" spans="1:11" x14ac:dyDescent="0.3">
      <c r="A10" s="104" t="s">
        <v>492</v>
      </c>
      <c r="B10" s="105" t="s">
        <v>15</v>
      </c>
      <c r="C10" s="105">
        <v>5.4</v>
      </c>
      <c r="D10" s="199"/>
      <c r="E10" s="104" t="s">
        <v>502</v>
      </c>
      <c r="F10" s="105" t="s">
        <v>19</v>
      </c>
      <c r="G10" s="105">
        <v>8.5</v>
      </c>
      <c r="H10" s="199"/>
      <c r="I10" s="104" t="s">
        <v>507</v>
      </c>
      <c r="J10" s="105" t="s">
        <v>19</v>
      </c>
      <c r="K10" s="105">
        <v>11.9</v>
      </c>
    </row>
    <row r="11" spans="1:11" x14ac:dyDescent="0.3">
      <c r="A11" s="106" t="s">
        <v>493</v>
      </c>
      <c r="B11" s="107" t="s">
        <v>15</v>
      </c>
      <c r="C11" s="107">
        <v>15.5</v>
      </c>
      <c r="D11" s="199"/>
      <c r="E11" s="106" t="s">
        <v>503</v>
      </c>
      <c r="F11" s="107" t="s">
        <v>19</v>
      </c>
      <c r="G11" s="107">
        <v>10.7</v>
      </c>
      <c r="H11" s="199"/>
      <c r="I11" s="106" t="s">
        <v>659</v>
      </c>
      <c r="J11" s="107" t="s">
        <v>19</v>
      </c>
      <c r="K11" s="107">
        <v>6.7</v>
      </c>
    </row>
    <row r="12" spans="1:11" x14ac:dyDescent="0.3">
      <c r="A12" s="104" t="s">
        <v>602</v>
      </c>
      <c r="B12" s="105" t="s">
        <v>15</v>
      </c>
      <c r="C12" s="105">
        <v>2.4</v>
      </c>
      <c r="D12" s="199"/>
      <c r="E12" s="104" t="s">
        <v>504</v>
      </c>
      <c r="F12" s="105" t="s">
        <v>19</v>
      </c>
      <c r="G12" s="105">
        <v>12.2</v>
      </c>
      <c r="H12" s="199"/>
      <c r="I12" s="104" t="s">
        <v>508</v>
      </c>
      <c r="J12" s="105" t="s">
        <v>19</v>
      </c>
      <c r="K12" s="105">
        <v>29.7</v>
      </c>
    </row>
    <row r="13" spans="1:11" x14ac:dyDescent="0.3">
      <c r="A13" s="106" t="s">
        <v>520</v>
      </c>
      <c r="B13" s="107" t="s">
        <v>15</v>
      </c>
      <c r="C13" s="107">
        <v>6</v>
      </c>
      <c r="D13" s="199"/>
      <c r="E13" s="106" t="s">
        <v>639</v>
      </c>
      <c r="F13" s="107" t="s">
        <v>19</v>
      </c>
      <c r="G13" s="107">
        <v>23.4</v>
      </c>
      <c r="H13" s="199"/>
      <c r="I13" s="106" t="s">
        <v>660</v>
      </c>
      <c r="J13" s="107" t="s">
        <v>19</v>
      </c>
      <c r="K13" s="107">
        <v>6.7</v>
      </c>
    </row>
    <row r="14" spans="1:11" x14ac:dyDescent="0.3">
      <c r="A14" s="104" t="s">
        <v>490</v>
      </c>
      <c r="B14" s="105" t="s">
        <v>15</v>
      </c>
      <c r="C14" s="105">
        <v>4</v>
      </c>
      <c r="D14" s="199"/>
      <c r="E14" s="104" t="s">
        <v>640</v>
      </c>
      <c r="F14" s="105" t="s">
        <v>19</v>
      </c>
      <c r="G14" s="105">
        <v>5.4</v>
      </c>
      <c r="H14" s="199"/>
      <c r="I14" s="104" t="s">
        <v>661</v>
      </c>
      <c r="J14" s="105" t="s">
        <v>19</v>
      </c>
      <c r="K14" s="105">
        <v>29.7</v>
      </c>
    </row>
    <row r="15" spans="1:11" x14ac:dyDescent="0.3">
      <c r="A15" s="106" t="s">
        <v>603</v>
      </c>
      <c r="B15" s="107" t="s">
        <v>15</v>
      </c>
      <c r="C15" s="107">
        <v>5</v>
      </c>
      <c r="D15" s="199"/>
      <c r="E15" s="106" t="s">
        <v>641</v>
      </c>
      <c r="F15" s="107" t="s">
        <v>19</v>
      </c>
      <c r="G15" s="107">
        <v>9.8000000000000007</v>
      </c>
      <c r="H15" s="199"/>
      <c r="I15" s="108" t="s">
        <v>666</v>
      </c>
      <c r="J15" s="109" t="s">
        <v>19</v>
      </c>
      <c r="K15" s="109">
        <v>6.3</v>
      </c>
    </row>
    <row r="16" spans="1:11" x14ac:dyDescent="0.3">
      <c r="A16" s="104" t="s">
        <v>610</v>
      </c>
      <c r="B16" s="105" t="s">
        <v>15</v>
      </c>
      <c r="C16" s="105">
        <v>11</v>
      </c>
      <c r="D16" s="199"/>
      <c r="E16" s="104" t="s">
        <v>497</v>
      </c>
      <c r="F16" s="105" t="s">
        <v>19</v>
      </c>
      <c r="G16" s="105">
        <v>15.6</v>
      </c>
      <c r="H16" s="199"/>
      <c r="I16" s="219" t="s">
        <v>696</v>
      </c>
      <c r="J16" s="219"/>
      <c r="K16" s="134">
        <f>SUM(K6:K15)</f>
        <v>132.9</v>
      </c>
    </row>
    <row r="17" spans="1:11" x14ac:dyDescent="0.3">
      <c r="A17" s="106" t="s">
        <v>629</v>
      </c>
      <c r="B17" s="107" t="s">
        <v>15</v>
      </c>
      <c r="C17" s="107">
        <v>6.7</v>
      </c>
      <c r="D17" s="199"/>
      <c r="E17" s="106" t="s">
        <v>495</v>
      </c>
      <c r="F17" s="107" t="s">
        <v>19</v>
      </c>
      <c r="G17" s="107">
        <v>15.5</v>
      </c>
      <c r="H17" s="199"/>
      <c r="I17" s="199"/>
      <c r="J17" s="199"/>
      <c r="K17" s="199"/>
    </row>
    <row r="18" spans="1:11" x14ac:dyDescent="0.3">
      <c r="A18" s="104" t="s">
        <v>630</v>
      </c>
      <c r="B18" s="105" t="s">
        <v>15</v>
      </c>
      <c r="C18" s="105">
        <v>21.27</v>
      </c>
      <c r="D18" s="199"/>
      <c r="E18" s="104" t="s">
        <v>496</v>
      </c>
      <c r="F18" s="105" t="s">
        <v>19</v>
      </c>
      <c r="G18" s="105">
        <v>5.4</v>
      </c>
      <c r="H18" s="199"/>
      <c r="I18" s="199"/>
      <c r="J18" s="199"/>
      <c r="K18" s="199"/>
    </row>
    <row r="19" spans="1:11" x14ac:dyDescent="0.3">
      <c r="A19" s="106" t="s">
        <v>531</v>
      </c>
      <c r="B19" s="107" t="s">
        <v>10</v>
      </c>
      <c r="C19" s="107">
        <v>4.8</v>
      </c>
      <c r="D19" s="199"/>
      <c r="E19" s="106" t="s">
        <v>647</v>
      </c>
      <c r="F19" s="107" t="s">
        <v>19</v>
      </c>
      <c r="G19" s="107">
        <v>6.7</v>
      </c>
      <c r="H19" s="199"/>
      <c r="I19" s="199"/>
      <c r="J19" s="199"/>
      <c r="K19" s="199"/>
    </row>
    <row r="20" spans="1:11" x14ac:dyDescent="0.3">
      <c r="A20" s="104" t="s">
        <v>631</v>
      </c>
      <c r="B20" s="105" t="s">
        <v>15</v>
      </c>
      <c r="C20" s="105">
        <v>6.7</v>
      </c>
      <c r="D20" s="199"/>
      <c r="E20" s="104" t="s">
        <v>648</v>
      </c>
      <c r="F20" s="105" t="s">
        <v>19</v>
      </c>
      <c r="G20" s="105">
        <v>29.7</v>
      </c>
      <c r="H20" s="199"/>
      <c r="I20" s="199"/>
      <c r="J20" s="199"/>
      <c r="K20" s="199"/>
    </row>
    <row r="21" spans="1:11" x14ac:dyDescent="0.3">
      <c r="A21" s="106" t="s">
        <v>632</v>
      </c>
      <c r="B21" s="107" t="s">
        <v>15</v>
      </c>
      <c r="C21" s="107">
        <v>30</v>
      </c>
      <c r="D21" s="199"/>
      <c r="E21" s="106" t="s">
        <v>649</v>
      </c>
      <c r="F21" s="107" t="s">
        <v>19</v>
      </c>
      <c r="G21" s="107">
        <v>6.7</v>
      </c>
      <c r="H21" s="199"/>
      <c r="I21" s="199"/>
      <c r="J21" s="199"/>
      <c r="K21" s="199"/>
    </row>
    <row r="22" spans="1:11" x14ac:dyDescent="0.3">
      <c r="A22" s="104" t="s">
        <v>633</v>
      </c>
      <c r="B22" s="105" t="s">
        <v>15</v>
      </c>
      <c r="C22" s="105">
        <v>6.4</v>
      </c>
      <c r="D22" s="199"/>
      <c r="E22" s="104" t="s">
        <v>650</v>
      </c>
      <c r="F22" s="105" t="s">
        <v>19</v>
      </c>
      <c r="G22" s="105">
        <v>29.7</v>
      </c>
      <c r="H22" s="199"/>
      <c r="I22" s="199"/>
      <c r="J22" s="199"/>
      <c r="K22" s="199"/>
    </row>
    <row r="23" spans="1:11" x14ac:dyDescent="0.3">
      <c r="A23" s="106" t="s">
        <v>634</v>
      </c>
      <c r="B23" s="107" t="s">
        <v>15</v>
      </c>
      <c r="C23" s="107">
        <v>10.7</v>
      </c>
      <c r="D23" s="199"/>
      <c r="E23" s="106" t="s">
        <v>651</v>
      </c>
      <c r="F23" s="107" t="s">
        <v>19</v>
      </c>
      <c r="G23" s="107">
        <v>5.8</v>
      </c>
      <c r="H23" s="199"/>
      <c r="I23" s="199"/>
      <c r="J23" s="199"/>
      <c r="K23" s="199"/>
    </row>
    <row r="24" spans="1:11" x14ac:dyDescent="0.3">
      <c r="A24" s="219" t="s">
        <v>696</v>
      </c>
      <c r="B24" s="219"/>
      <c r="C24" s="134">
        <f>SUM(C6:C23)</f>
        <v>176.07</v>
      </c>
      <c r="D24" s="199"/>
      <c r="E24" s="219" t="s">
        <v>696</v>
      </c>
      <c r="F24" s="219"/>
      <c r="G24" s="146">
        <f>SUM(G6:G23)</f>
        <v>227.19999999999996</v>
      </c>
      <c r="H24" s="199"/>
      <c r="I24" s="199"/>
      <c r="J24" s="199"/>
      <c r="K24" s="199"/>
    </row>
  </sheetData>
  <mergeCells count="13">
    <mergeCell ref="A1:K1"/>
    <mergeCell ref="B3:E3"/>
    <mergeCell ref="F3:I3"/>
    <mergeCell ref="B2:E2"/>
    <mergeCell ref="F2:I2"/>
    <mergeCell ref="B4:E4"/>
    <mergeCell ref="F4:I4"/>
    <mergeCell ref="D5:D24"/>
    <mergeCell ref="H5:H24"/>
    <mergeCell ref="I16:J16"/>
    <mergeCell ref="I17:K24"/>
    <mergeCell ref="A24:B24"/>
    <mergeCell ref="E24:F24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4" customWidth="1"/>
    <col min="2" max="2" width="33.88671875" style="134" customWidth="1"/>
    <col min="3" max="3" width="46" style="134" customWidth="1"/>
    <col min="4" max="4" width="7.44140625" style="134" customWidth="1"/>
    <col min="5" max="5" width="11.88671875" style="134" customWidth="1"/>
    <col min="6" max="16384" width="8.88671875" style="134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0" t="s">
        <v>390</v>
      </c>
      <c r="C2" s="131" t="s">
        <v>391</v>
      </c>
      <c r="D2" s="16" t="s">
        <v>392</v>
      </c>
      <c r="E2" s="14" t="s">
        <v>393</v>
      </c>
    </row>
    <row r="3" spans="1:5" ht="90" x14ac:dyDescent="0.3">
      <c r="A3" s="129">
        <v>1</v>
      </c>
      <c r="B3" s="135" t="s">
        <v>690</v>
      </c>
      <c r="C3" s="133" t="s">
        <v>693</v>
      </c>
      <c r="D3" s="129" t="s">
        <v>394</v>
      </c>
      <c r="E3" s="76">
        <v>62.228000000000002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4" customWidth="1"/>
    <col min="2" max="2" width="33.88671875" style="134" customWidth="1"/>
    <col min="3" max="3" width="46" style="134" customWidth="1"/>
    <col min="4" max="4" width="7.44140625" style="134" customWidth="1"/>
    <col min="5" max="5" width="11.88671875" style="134" customWidth="1"/>
    <col min="6" max="16384" width="8.88671875" style="134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0" t="s">
        <v>390</v>
      </c>
      <c r="C2" s="131" t="s">
        <v>391</v>
      </c>
      <c r="D2" s="16" t="s">
        <v>392</v>
      </c>
      <c r="E2" s="14" t="s">
        <v>393</v>
      </c>
    </row>
    <row r="3" spans="1:5" ht="90" x14ac:dyDescent="0.3">
      <c r="A3" s="129">
        <v>1</v>
      </c>
      <c r="B3" s="135" t="s">
        <v>690</v>
      </c>
      <c r="C3" s="133" t="s">
        <v>691</v>
      </c>
      <c r="D3" s="129" t="s">
        <v>394</v>
      </c>
      <c r="E3" s="76">
        <v>8.1300000000000008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34" customWidth="1"/>
    <col min="2" max="2" width="33.88671875" style="134" customWidth="1"/>
    <col min="3" max="3" width="46" style="134" customWidth="1"/>
    <col min="4" max="4" width="7.44140625" style="134" customWidth="1"/>
    <col min="5" max="5" width="11.88671875" style="134" customWidth="1"/>
    <col min="6" max="16384" width="8.88671875" style="134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30" t="s">
        <v>390</v>
      </c>
      <c r="C2" s="131" t="s">
        <v>391</v>
      </c>
      <c r="D2" s="16" t="s">
        <v>392</v>
      </c>
      <c r="E2" s="14" t="s">
        <v>393</v>
      </c>
    </row>
    <row r="3" spans="1:5" ht="72" x14ac:dyDescent="0.3">
      <c r="A3" s="129">
        <v>1</v>
      </c>
      <c r="B3" s="135" t="s">
        <v>688</v>
      </c>
      <c r="C3" s="133" t="s">
        <v>689</v>
      </c>
      <c r="D3" s="129" t="s">
        <v>394</v>
      </c>
      <c r="E3" s="76">
        <v>200.6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28" customWidth="1"/>
    <col min="2" max="2" width="33.88671875" style="128" customWidth="1"/>
    <col min="3" max="3" width="46" style="128" customWidth="1"/>
    <col min="4" max="4" width="7.44140625" style="128" customWidth="1"/>
    <col min="5" max="5" width="11.88671875" style="128" customWidth="1"/>
    <col min="6" max="16384" width="8.88671875" style="128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25" t="s">
        <v>390</v>
      </c>
      <c r="C2" s="126" t="s">
        <v>391</v>
      </c>
      <c r="D2" s="16" t="s">
        <v>392</v>
      </c>
      <c r="E2" s="14" t="s">
        <v>393</v>
      </c>
    </row>
    <row r="3" spans="1:5" ht="72" x14ac:dyDescent="0.3">
      <c r="A3" s="124">
        <v>1</v>
      </c>
      <c r="B3" s="135" t="s">
        <v>686</v>
      </c>
      <c r="C3" s="127" t="s">
        <v>687</v>
      </c>
      <c r="D3" s="124" t="s">
        <v>394</v>
      </c>
      <c r="E3" s="76">
        <v>6.22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28" customWidth="1"/>
    <col min="2" max="2" width="33.88671875" style="128" customWidth="1"/>
    <col min="3" max="3" width="46" style="128" customWidth="1"/>
    <col min="4" max="4" width="7.44140625" style="128" customWidth="1"/>
    <col min="5" max="5" width="11.88671875" style="128" customWidth="1"/>
    <col min="6" max="16384" width="8.88671875" style="128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25" t="s">
        <v>390</v>
      </c>
      <c r="C2" s="126" t="s">
        <v>391</v>
      </c>
      <c r="D2" s="16" t="s">
        <v>392</v>
      </c>
      <c r="E2" s="14" t="s">
        <v>393</v>
      </c>
    </row>
    <row r="3" spans="1:5" ht="90" x14ac:dyDescent="0.3">
      <c r="A3" s="124">
        <v>1</v>
      </c>
      <c r="B3" s="135" t="s">
        <v>684</v>
      </c>
      <c r="C3" s="127" t="s">
        <v>685</v>
      </c>
      <c r="D3" s="124" t="s">
        <v>394</v>
      </c>
      <c r="E3" s="76">
        <v>25.47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"/>
  <sheetViews>
    <sheetView zoomScale="70" zoomScaleNormal="70" workbookViewId="0">
      <selection activeCell="B3" sqref="B3:E3"/>
    </sheetView>
  </sheetViews>
  <sheetFormatPr defaultRowHeight="18" x14ac:dyDescent="0.3"/>
  <cols>
    <col min="1" max="1" width="7.21875" style="128" customWidth="1"/>
    <col min="2" max="2" width="33.88671875" style="128" customWidth="1"/>
    <col min="3" max="3" width="46" style="128" customWidth="1"/>
    <col min="4" max="4" width="7.44140625" style="128" customWidth="1"/>
    <col min="5" max="5" width="11.88671875" style="128" customWidth="1"/>
    <col min="6" max="16384" width="8.88671875" style="128"/>
  </cols>
  <sheetData>
    <row r="1" spans="1:5" ht="15" customHeight="1" x14ac:dyDescent="0.3">
      <c r="A1" s="187" t="s">
        <v>692</v>
      </c>
      <c r="B1" s="187"/>
      <c r="C1" s="187"/>
      <c r="D1" s="187"/>
      <c r="E1" s="187"/>
    </row>
    <row r="2" spans="1:5" ht="15" customHeight="1" x14ac:dyDescent="0.3">
      <c r="A2" s="12" t="s">
        <v>389</v>
      </c>
      <c r="B2" s="125" t="s">
        <v>390</v>
      </c>
      <c r="C2" s="126" t="s">
        <v>391</v>
      </c>
      <c r="D2" s="16" t="s">
        <v>392</v>
      </c>
      <c r="E2" s="14" t="s">
        <v>393</v>
      </c>
    </row>
    <row r="3" spans="1:5" ht="72" x14ac:dyDescent="0.3">
      <c r="A3" s="124">
        <v>1</v>
      </c>
      <c r="B3" s="135" t="s">
        <v>682</v>
      </c>
      <c r="C3" s="127" t="s">
        <v>683</v>
      </c>
      <c r="D3" s="124" t="s">
        <v>394</v>
      </c>
      <c r="E3" s="116">
        <v>13.8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"/>
  <sheetViews>
    <sheetView zoomScaleNormal="100" workbookViewId="0">
      <selection activeCell="B3" sqref="B3:E3"/>
    </sheetView>
  </sheetViews>
  <sheetFormatPr defaultRowHeight="18" x14ac:dyDescent="0.3"/>
  <cols>
    <col min="1" max="1" width="7.21875" style="128" customWidth="1"/>
    <col min="2" max="2" width="7.88671875" style="128" customWidth="1"/>
    <col min="3" max="3" width="14.109375" style="128" customWidth="1"/>
    <col min="4" max="4" width="4.109375" style="128" customWidth="1"/>
    <col min="5" max="5" width="7.109375" style="128" customWidth="1"/>
    <col min="6" max="6" width="15.44140625" style="128" customWidth="1"/>
    <col min="7" max="7" width="13.6640625" style="128" customWidth="1"/>
    <col min="8" max="8" width="7.44140625" style="128" customWidth="1"/>
    <col min="9" max="9" width="11.88671875" style="128" customWidth="1"/>
    <col min="10" max="16384" width="8.88671875" style="128"/>
  </cols>
  <sheetData>
    <row r="1" spans="1:9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</row>
    <row r="2" spans="1:9" ht="15" customHeight="1" x14ac:dyDescent="0.3">
      <c r="A2" s="12" t="s">
        <v>389</v>
      </c>
      <c r="B2" s="217" t="s">
        <v>390</v>
      </c>
      <c r="C2" s="217"/>
      <c r="D2" s="217"/>
      <c r="E2" s="217"/>
      <c r="F2" s="210" t="s">
        <v>391</v>
      </c>
      <c r="G2" s="221"/>
      <c r="H2" s="16" t="s">
        <v>392</v>
      </c>
      <c r="I2" s="14" t="s">
        <v>393</v>
      </c>
    </row>
    <row r="3" spans="1:9" ht="34.200000000000003" customHeight="1" x14ac:dyDescent="0.3">
      <c r="A3" s="124">
        <v>1</v>
      </c>
      <c r="B3" s="215" t="s">
        <v>680</v>
      </c>
      <c r="C3" s="215"/>
      <c r="D3" s="215"/>
      <c r="E3" s="215"/>
      <c r="F3" s="222" t="s">
        <v>681</v>
      </c>
      <c r="G3" s="223"/>
      <c r="H3" s="124" t="s">
        <v>394</v>
      </c>
      <c r="I3" s="116">
        <v>3.2</v>
      </c>
    </row>
  </sheetData>
  <mergeCells count="5">
    <mergeCell ref="A1:I1"/>
    <mergeCell ref="B2:E2"/>
    <mergeCell ref="F2:G2"/>
    <mergeCell ref="B3:E3"/>
    <mergeCell ref="F3:G3"/>
  </mergeCells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13"/>
  <sheetViews>
    <sheetView workbookViewId="0">
      <selection activeCell="C7" sqref="C7:C8"/>
    </sheetView>
  </sheetViews>
  <sheetFormatPr defaultRowHeight="14.4" x14ac:dyDescent="0.3"/>
  <sheetData>
    <row r="4" spans="2:3" x14ac:dyDescent="0.3">
      <c r="B4" t="s">
        <v>535</v>
      </c>
      <c r="C4">
        <v>1827.2</v>
      </c>
    </row>
    <row r="5" spans="2:3" x14ac:dyDescent="0.3">
      <c r="B5" t="s">
        <v>536</v>
      </c>
      <c r="C5">
        <v>118.8</v>
      </c>
    </row>
    <row r="6" spans="2:3" x14ac:dyDescent="0.3">
      <c r="B6" t="s">
        <v>537</v>
      </c>
      <c r="C6">
        <v>395.7</v>
      </c>
    </row>
    <row r="7" spans="2:3" x14ac:dyDescent="0.3">
      <c r="B7" t="s">
        <v>538</v>
      </c>
      <c r="C7">
        <v>259.5</v>
      </c>
    </row>
    <row r="8" spans="2:3" x14ac:dyDescent="0.3">
      <c r="B8" t="s">
        <v>539</v>
      </c>
      <c r="C8">
        <v>20.7</v>
      </c>
    </row>
    <row r="9" spans="2:3" x14ac:dyDescent="0.3">
      <c r="B9" t="s">
        <v>540</v>
      </c>
      <c r="C9">
        <v>382.5</v>
      </c>
    </row>
    <row r="10" spans="2:3" x14ac:dyDescent="0.3">
      <c r="B10" t="s">
        <v>541</v>
      </c>
      <c r="C10">
        <v>583.20000000000005</v>
      </c>
    </row>
    <row r="11" spans="2:3" x14ac:dyDescent="0.3">
      <c r="B11" t="s">
        <v>542</v>
      </c>
      <c r="C11">
        <v>1141.4000000000001</v>
      </c>
    </row>
    <row r="12" spans="2:3" x14ac:dyDescent="0.3">
      <c r="B12" t="s">
        <v>543</v>
      </c>
      <c r="C12">
        <v>954.9</v>
      </c>
    </row>
    <row r="13" spans="2:3" x14ac:dyDescent="0.3">
      <c r="B13" t="s">
        <v>544</v>
      </c>
      <c r="C13">
        <v>434.8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258"/>
  <sheetViews>
    <sheetView topLeftCell="B174" zoomScale="85" zoomScaleNormal="85" workbookViewId="0">
      <selection activeCell="D2" sqref="B2:D215"/>
    </sheetView>
  </sheetViews>
  <sheetFormatPr defaultColWidth="9.109375" defaultRowHeight="15.6" x14ac:dyDescent="0.3"/>
  <cols>
    <col min="1" max="1" width="9.5546875" style="2" hidden="1" customWidth="1"/>
    <col min="2" max="2" width="11.33203125" style="2" customWidth="1"/>
    <col min="3" max="3" width="11.5546875" style="2" customWidth="1"/>
    <col min="4" max="5" width="15.109375" style="2" customWidth="1"/>
    <col min="6" max="6" width="15.109375" style="3" customWidth="1"/>
    <col min="7" max="8" width="9.109375" style="1" customWidth="1"/>
    <col min="9" max="10" width="9.109375" style="1"/>
    <col min="11" max="11" width="34.44140625" style="1" customWidth="1"/>
    <col min="12" max="14" width="9.109375" style="1"/>
    <col min="15" max="15" width="9.109375" style="1" hidden="1" customWidth="1"/>
    <col min="16" max="16" width="8.109375" style="1" hidden="1" customWidth="1"/>
    <col min="17" max="17" width="9.109375" style="1" hidden="1" customWidth="1"/>
    <col min="18" max="18" width="11.6640625" style="2" hidden="1" customWidth="1"/>
    <col min="19" max="19" width="8.33203125" style="2" customWidth="1"/>
    <col min="20" max="16384" width="9.109375" style="1"/>
  </cols>
  <sheetData>
    <row r="1" spans="1:17" x14ac:dyDescent="0.3">
      <c r="I1" s="224" t="s">
        <v>195</v>
      </c>
      <c r="J1" s="224"/>
      <c r="K1" s="224"/>
      <c r="O1" s="1" t="s">
        <v>378</v>
      </c>
    </row>
    <row r="2" spans="1:17" x14ac:dyDescent="0.3">
      <c r="A2" s="2" t="s">
        <v>3</v>
      </c>
      <c r="B2" s="2" t="s">
        <v>0</v>
      </c>
      <c r="C2" s="2" t="s">
        <v>1</v>
      </c>
      <c r="D2" s="2" t="s">
        <v>2</v>
      </c>
      <c r="I2" s="7" t="s">
        <v>165</v>
      </c>
      <c r="J2" s="7" t="s">
        <v>193</v>
      </c>
      <c r="K2" s="8" t="s">
        <v>194</v>
      </c>
      <c r="O2" s="2"/>
      <c r="P2" s="2"/>
      <c r="Q2" s="2"/>
    </row>
    <row r="3" spans="1:17" hidden="1" x14ac:dyDescent="0.3">
      <c r="A3" s="2">
        <v>15</v>
      </c>
      <c r="B3" s="3">
        <v>0.01</v>
      </c>
      <c r="C3" s="2" t="s">
        <v>6</v>
      </c>
      <c r="D3" s="2">
        <v>24.7</v>
      </c>
      <c r="I3" s="7">
        <f>VALUE(J3)</f>
        <v>24.7</v>
      </c>
      <c r="J3" s="7" t="str">
        <f t="shared" ref="J3:J66" si="0">TRIM(RIGHTB(SUBSTITUTE(K3," ",REPT(" ",99)),99))</f>
        <v>24,7</v>
      </c>
      <c r="K3" s="8" t="s">
        <v>166</v>
      </c>
      <c r="O3" s="2"/>
      <c r="P3" s="2"/>
      <c r="Q3" s="2"/>
    </row>
    <row r="4" spans="1:17" hidden="1" x14ac:dyDescent="0.3">
      <c r="A4" s="2">
        <v>18</v>
      </c>
      <c r="B4" s="3">
        <v>0.02</v>
      </c>
      <c r="C4" s="2" t="s">
        <v>8</v>
      </c>
      <c r="D4" s="2">
        <v>57.9</v>
      </c>
      <c r="I4" s="7">
        <f t="shared" ref="I4:I67" si="1">VALUE(J4)</f>
        <v>57.9</v>
      </c>
      <c r="J4" s="7" t="str">
        <f t="shared" si="0"/>
        <v>57,9</v>
      </c>
      <c r="K4" s="8" t="s">
        <v>172</v>
      </c>
      <c r="O4" s="2"/>
      <c r="P4" s="2"/>
      <c r="Q4" s="2"/>
    </row>
    <row r="5" spans="1:17" hidden="1" x14ac:dyDescent="0.3">
      <c r="A5" s="2">
        <v>12</v>
      </c>
      <c r="B5" s="3">
        <v>0.03</v>
      </c>
      <c r="C5" s="2" t="s">
        <v>5</v>
      </c>
      <c r="D5" s="2">
        <v>165.6</v>
      </c>
      <c r="I5" s="7">
        <f t="shared" si="1"/>
        <v>165.6</v>
      </c>
      <c r="J5" s="7" t="str">
        <f t="shared" si="0"/>
        <v>165,6</v>
      </c>
      <c r="K5" s="8" t="s">
        <v>167</v>
      </c>
      <c r="O5" s="2"/>
      <c r="P5" s="2"/>
      <c r="Q5" s="2"/>
    </row>
    <row r="6" spans="1:17" hidden="1" x14ac:dyDescent="0.3">
      <c r="A6" s="2">
        <v>19</v>
      </c>
      <c r="B6" s="3">
        <v>0.04</v>
      </c>
      <c r="C6" s="2" t="s">
        <v>8</v>
      </c>
      <c r="D6" s="2">
        <v>58.8</v>
      </c>
      <c r="I6" s="7">
        <f t="shared" si="1"/>
        <v>58.8</v>
      </c>
      <c r="J6" s="7" t="str">
        <f t="shared" si="0"/>
        <v>58,8</v>
      </c>
      <c r="K6" s="8" t="s">
        <v>173</v>
      </c>
      <c r="O6" s="2"/>
      <c r="P6" s="2"/>
      <c r="Q6" s="2"/>
    </row>
    <row r="7" spans="1:17" hidden="1" x14ac:dyDescent="0.3">
      <c r="A7" s="2">
        <v>20</v>
      </c>
      <c r="B7" s="3">
        <v>0.05</v>
      </c>
      <c r="C7" s="2" t="s">
        <v>8</v>
      </c>
      <c r="D7" s="2">
        <v>54.4</v>
      </c>
      <c r="I7" s="7">
        <f t="shared" si="1"/>
        <v>54.4</v>
      </c>
      <c r="J7" s="7" t="str">
        <f t="shared" si="0"/>
        <v>54,4</v>
      </c>
      <c r="K7" s="8" t="s">
        <v>174</v>
      </c>
      <c r="O7" s="2"/>
      <c r="P7" s="2"/>
      <c r="Q7" s="2"/>
    </row>
    <row r="8" spans="1:17" hidden="1" x14ac:dyDescent="0.3">
      <c r="A8" s="2">
        <v>21</v>
      </c>
      <c r="B8" s="3">
        <v>0.06</v>
      </c>
      <c r="C8" s="2" t="s">
        <v>8</v>
      </c>
      <c r="D8" s="2">
        <v>99.5</v>
      </c>
      <c r="I8" s="7">
        <f t="shared" si="1"/>
        <v>99.5</v>
      </c>
      <c r="J8" s="7" t="str">
        <f t="shared" si="0"/>
        <v>99,5</v>
      </c>
      <c r="K8" s="8" t="s">
        <v>175</v>
      </c>
      <c r="O8" s="2"/>
      <c r="P8" s="2"/>
      <c r="Q8" s="2"/>
    </row>
    <row r="9" spans="1:17" hidden="1" x14ac:dyDescent="0.3">
      <c r="A9" s="2">
        <v>22</v>
      </c>
      <c r="B9" s="3">
        <v>7.0000000000000007E-2</v>
      </c>
      <c r="C9" s="2" t="s">
        <v>8</v>
      </c>
      <c r="D9" s="2">
        <v>40.700000000000003</v>
      </c>
      <c r="I9" s="7">
        <f t="shared" si="1"/>
        <v>40.700000000000003</v>
      </c>
      <c r="J9" s="7" t="str">
        <f t="shared" si="0"/>
        <v>40,7</v>
      </c>
      <c r="K9" s="8" t="s">
        <v>176</v>
      </c>
      <c r="O9" s="2"/>
      <c r="P9" s="2"/>
      <c r="Q9" s="2"/>
    </row>
    <row r="10" spans="1:17" hidden="1" x14ac:dyDescent="0.3">
      <c r="A10" s="2">
        <v>25</v>
      </c>
      <c r="B10" s="3">
        <v>0.08</v>
      </c>
      <c r="C10" s="2" t="s">
        <v>9</v>
      </c>
      <c r="D10" s="2">
        <v>24.2</v>
      </c>
      <c r="I10" s="7">
        <f t="shared" si="1"/>
        <v>24.2</v>
      </c>
      <c r="J10" s="7" t="str">
        <f t="shared" si="0"/>
        <v>24,2</v>
      </c>
      <c r="K10" s="8" t="s">
        <v>177</v>
      </c>
      <c r="O10" s="2"/>
      <c r="P10" s="2"/>
      <c r="Q10" s="2"/>
    </row>
    <row r="11" spans="1:17" hidden="1" x14ac:dyDescent="0.3">
      <c r="A11" s="2">
        <v>1</v>
      </c>
      <c r="B11" s="3">
        <v>0.09</v>
      </c>
      <c r="C11" s="2" t="s">
        <v>4</v>
      </c>
      <c r="D11" s="2">
        <v>158.30000000000001</v>
      </c>
      <c r="I11" s="7">
        <f t="shared" si="1"/>
        <v>158.30000000000001</v>
      </c>
      <c r="J11" s="7" t="str">
        <f t="shared" si="0"/>
        <v>158,3</v>
      </c>
      <c r="K11" s="8" t="s">
        <v>178</v>
      </c>
      <c r="O11" s="2"/>
      <c r="P11" s="2"/>
      <c r="Q11" s="2"/>
    </row>
    <row r="12" spans="1:17" hidden="1" x14ac:dyDescent="0.3">
      <c r="A12" s="2">
        <v>2</v>
      </c>
      <c r="B12" s="3">
        <v>0.1</v>
      </c>
      <c r="C12" s="2" t="s">
        <v>4</v>
      </c>
      <c r="D12" s="2">
        <v>272.39999999999998</v>
      </c>
      <c r="I12" s="7">
        <f t="shared" si="1"/>
        <v>272.39999999999998</v>
      </c>
      <c r="J12" s="7" t="str">
        <f t="shared" si="0"/>
        <v>272,4</v>
      </c>
      <c r="K12" s="8" t="s">
        <v>179</v>
      </c>
      <c r="O12" s="2"/>
      <c r="P12" s="2"/>
      <c r="Q12" s="2"/>
    </row>
    <row r="13" spans="1:17" hidden="1" x14ac:dyDescent="0.3">
      <c r="A13" s="2">
        <v>3</v>
      </c>
      <c r="B13" s="3">
        <v>0.11</v>
      </c>
      <c r="C13" s="2" t="s">
        <v>4</v>
      </c>
      <c r="D13" s="2">
        <v>64.599999999999994</v>
      </c>
      <c r="I13" s="7">
        <f t="shared" si="1"/>
        <v>64.599999999999994</v>
      </c>
      <c r="J13" s="7" t="str">
        <f t="shared" si="0"/>
        <v>64,6</v>
      </c>
      <c r="K13" s="8" t="s">
        <v>180</v>
      </c>
      <c r="O13" s="2"/>
      <c r="P13" s="2"/>
      <c r="Q13" s="2"/>
    </row>
    <row r="14" spans="1:17" hidden="1" x14ac:dyDescent="0.3">
      <c r="A14" s="2">
        <v>16</v>
      </c>
      <c r="B14" s="3">
        <v>0.12</v>
      </c>
      <c r="C14" s="2" t="s">
        <v>6</v>
      </c>
      <c r="D14" s="2">
        <v>31.1</v>
      </c>
      <c r="I14" s="7">
        <f t="shared" si="1"/>
        <v>31.1</v>
      </c>
      <c r="J14" s="7" t="str">
        <f t="shared" si="0"/>
        <v>31,1</v>
      </c>
      <c r="K14" s="8" t="s">
        <v>168</v>
      </c>
      <c r="O14" s="2"/>
      <c r="P14" s="2"/>
      <c r="Q14" s="2"/>
    </row>
    <row r="15" spans="1:17" hidden="1" x14ac:dyDescent="0.3">
      <c r="A15" s="5"/>
      <c r="B15" s="6">
        <v>0.13</v>
      </c>
      <c r="C15" s="5" t="s">
        <v>4</v>
      </c>
      <c r="D15" s="5">
        <v>17.2</v>
      </c>
      <c r="I15" s="7">
        <f t="shared" si="1"/>
        <v>17.2</v>
      </c>
      <c r="J15" s="7" t="str">
        <f t="shared" si="0"/>
        <v>17,2</v>
      </c>
      <c r="K15" s="8" t="s">
        <v>181</v>
      </c>
      <c r="O15" s="2"/>
      <c r="P15" s="2"/>
      <c r="Q15" s="2"/>
    </row>
    <row r="16" spans="1:17" hidden="1" x14ac:dyDescent="0.3">
      <c r="A16" s="2">
        <v>4</v>
      </c>
      <c r="B16" s="3">
        <v>0.14000000000000001</v>
      </c>
      <c r="C16" s="2" t="s">
        <v>4</v>
      </c>
      <c r="D16" s="2">
        <v>177.7</v>
      </c>
      <c r="I16" s="7">
        <f t="shared" si="1"/>
        <v>177.7</v>
      </c>
      <c r="J16" s="7" t="str">
        <f t="shared" si="0"/>
        <v>177,7</v>
      </c>
      <c r="K16" s="8" t="s">
        <v>182</v>
      </c>
      <c r="O16" s="2"/>
      <c r="P16" s="2"/>
      <c r="Q16" s="2"/>
    </row>
    <row r="17" spans="1:17" hidden="1" x14ac:dyDescent="0.3">
      <c r="A17" s="2">
        <v>26</v>
      </c>
      <c r="B17" s="3">
        <v>0.15</v>
      </c>
      <c r="C17" s="2" t="s">
        <v>9</v>
      </c>
      <c r="D17" s="2">
        <v>11.8</v>
      </c>
      <c r="I17" s="7">
        <f t="shared" si="1"/>
        <v>11.8</v>
      </c>
      <c r="J17" s="7" t="str">
        <f t="shared" si="0"/>
        <v>11,8</v>
      </c>
      <c r="K17" s="8" t="s">
        <v>183</v>
      </c>
      <c r="O17" s="2"/>
      <c r="P17" s="2"/>
      <c r="Q17" s="2"/>
    </row>
    <row r="18" spans="1:17" hidden="1" x14ac:dyDescent="0.3">
      <c r="A18" s="2">
        <v>27</v>
      </c>
      <c r="B18" s="3">
        <v>0.16</v>
      </c>
      <c r="C18" s="2" t="s">
        <v>9</v>
      </c>
      <c r="D18" s="2">
        <v>12.8</v>
      </c>
      <c r="I18" s="7">
        <f t="shared" si="1"/>
        <v>12.8</v>
      </c>
      <c r="J18" s="7" t="str">
        <f t="shared" si="0"/>
        <v>12,8</v>
      </c>
      <c r="K18" s="8" t="s">
        <v>184</v>
      </c>
      <c r="O18" s="2"/>
      <c r="P18" s="2"/>
      <c r="Q18" s="2"/>
    </row>
    <row r="19" spans="1:17" hidden="1" x14ac:dyDescent="0.3">
      <c r="A19" s="2">
        <v>13</v>
      </c>
      <c r="B19" s="3">
        <v>0.17</v>
      </c>
      <c r="C19" s="2" t="s">
        <v>5</v>
      </c>
      <c r="D19" s="2">
        <v>31.1</v>
      </c>
      <c r="I19" s="7">
        <f t="shared" si="1"/>
        <v>31.1</v>
      </c>
      <c r="J19" s="7" t="str">
        <f t="shared" si="0"/>
        <v>31,1</v>
      </c>
      <c r="K19" s="8" t="s">
        <v>169</v>
      </c>
      <c r="O19" s="2"/>
      <c r="P19" s="2"/>
      <c r="Q19" s="2"/>
    </row>
    <row r="20" spans="1:17" hidden="1" x14ac:dyDescent="0.3">
      <c r="A20" s="2">
        <v>17</v>
      </c>
      <c r="B20" s="3">
        <v>0.18</v>
      </c>
      <c r="C20" s="2" t="s">
        <v>6</v>
      </c>
      <c r="D20" s="2">
        <v>27.1</v>
      </c>
      <c r="I20" s="7">
        <f t="shared" si="1"/>
        <v>27.1</v>
      </c>
      <c r="J20" s="7" t="str">
        <f t="shared" si="0"/>
        <v>27,1</v>
      </c>
      <c r="K20" s="8" t="s">
        <v>170</v>
      </c>
      <c r="O20" s="2"/>
      <c r="P20" s="2"/>
      <c r="Q20" s="2"/>
    </row>
    <row r="21" spans="1:17" hidden="1" x14ac:dyDescent="0.3">
      <c r="A21" s="2">
        <v>5</v>
      </c>
      <c r="B21" s="3">
        <v>0.19</v>
      </c>
      <c r="C21" s="2" t="s">
        <v>4</v>
      </c>
      <c r="D21" s="2">
        <v>31.4</v>
      </c>
      <c r="I21" s="7">
        <f t="shared" si="1"/>
        <v>31.4</v>
      </c>
      <c r="J21" s="7" t="str">
        <f t="shared" si="0"/>
        <v>31,4</v>
      </c>
      <c r="K21" s="8" t="s">
        <v>185</v>
      </c>
      <c r="O21" s="2"/>
      <c r="P21" s="2"/>
      <c r="Q21" s="2"/>
    </row>
    <row r="22" spans="1:17" hidden="1" x14ac:dyDescent="0.3">
      <c r="A22" s="2">
        <v>6</v>
      </c>
      <c r="B22" s="3">
        <v>0.2</v>
      </c>
      <c r="C22" s="2" t="s">
        <v>4</v>
      </c>
      <c r="D22" s="2">
        <v>289.10000000000002</v>
      </c>
      <c r="I22" s="7">
        <f t="shared" si="1"/>
        <v>289.10000000000002</v>
      </c>
      <c r="J22" s="7" t="str">
        <f t="shared" si="0"/>
        <v>289,1</v>
      </c>
      <c r="K22" s="8" t="s">
        <v>186</v>
      </c>
      <c r="O22" s="2"/>
      <c r="P22" s="2"/>
      <c r="Q22" s="2"/>
    </row>
    <row r="23" spans="1:17" hidden="1" x14ac:dyDescent="0.3">
      <c r="A23" s="2">
        <v>7</v>
      </c>
      <c r="B23" s="3">
        <v>0.21</v>
      </c>
      <c r="C23" s="2" t="s">
        <v>4</v>
      </c>
      <c r="D23" s="2">
        <v>257.5</v>
      </c>
      <c r="I23" s="7">
        <f t="shared" si="1"/>
        <v>257.5</v>
      </c>
      <c r="J23" s="7" t="str">
        <f t="shared" si="0"/>
        <v>257,5</v>
      </c>
      <c r="K23" s="8" t="s">
        <v>187</v>
      </c>
      <c r="O23" s="2"/>
      <c r="P23" s="2"/>
      <c r="Q23" s="2"/>
    </row>
    <row r="24" spans="1:17" hidden="1" x14ac:dyDescent="0.3">
      <c r="A24" s="2">
        <v>8</v>
      </c>
      <c r="B24" s="3">
        <v>0.22</v>
      </c>
      <c r="C24" s="2" t="s">
        <v>4</v>
      </c>
      <c r="D24" s="2">
        <v>27.1</v>
      </c>
      <c r="I24" s="7">
        <f t="shared" si="1"/>
        <v>27.1</v>
      </c>
      <c r="J24" s="7" t="str">
        <f t="shared" si="0"/>
        <v>27,1</v>
      </c>
      <c r="K24" s="8" t="s">
        <v>188</v>
      </c>
      <c r="O24" s="2"/>
      <c r="P24" s="2"/>
      <c r="Q24" s="2"/>
    </row>
    <row r="25" spans="1:17" hidden="1" x14ac:dyDescent="0.3">
      <c r="A25" s="2">
        <v>23</v>
      </c>
      <c r="B25" s="3">
        <v>0.23</v>
      </c>
      <c r="C25" s="2" t="s">
        <v>8</v>
      </c>
      <c r="D25" s="2">
        <v>126</v>
      </c>
      <c r="I25" s="7">
        <f t="shared" si="1"/>
        <v>126</v>
      </c>
      <c r="J25" s="7" t="str">
        <f t="shared" si="0"/>
        <v>126,0</v>
      </c>
      <c r="K25" s="8" t="s">
        <v>189</v>
      </c>
      <c r="O25" s="2"/>
      <c r="P25" s="2"/>
      <c r="Q25" s="2"/>
    </row>
    <row r="26" spans="1:17" hidden="1" x14ac:dyDescent="0.3">
      <c r="A26" s="2">
        <v>24</v>
      </c>
      <c r="B26" s="3">
        <v>0.24</v>
      </c>
      <c r="C26" s="2" t="s">
        <v>8</v>
      </c>
      <c r="D26" s="2">
        <v>71.2</v>
      </c>
      <c r="I26" s="7">
        <f t="shared" si="1"/>
        <v>71.2</v>
      </c>
      <c r="J26" s="7" t="str">
        <f t="shared" si="0"/>
        <v>71,2</v>
      </c>
      <c r="K26" s="8" t="s">
        <v>190</v>
      </c>
      <c r="O26" s="2"/>
      <c r="P26" s="2"/>
      <c r="Q26" s="2"/>
    </row>
    <row r="27" spans="1:17" hidden="1" x14ac:dyDescent="0.3">
      <c r="A27" s="2">
        <v>9</v>
      </c>
      <c r="B27" s="3">
        <v>0.25</v>
      </c>
      <c r="C27" s="2" t="s">
        <v>4</v>
      </c>
      <c r="D27" s="2">
        <v>243.9</v>
      </c>
      <c r="I27" s="7">
        <f t="shared" si="1"/>
        <v>243.9</v>
      </c>
      <c r="J27" s="7" t="str">
        <f t="shared" si="0"/>
        <v>243,9</v>
      </c>
      <c r="K27" s="8" t="s">
        <v>131</v>
      </c>
      <c r="O27" s="2"/>
      <c r="P27" s="2"/>
      <c r="Q27" s="2"/>
    </row>
    <row r="28" spans="1:17" hidden="1" x14ac:dyDescent="0.3">
      <c r="A28" s="2">
        <v>14</v>
      </c>
      <c r="B28" s="3">
        <v>0.26</v>
      </c>
      <c r="C28" s="2" t="s">
        <v>5</v>
      </c>
      <c r="D28" s="2">
        <v>190.7</v>
      </c>
      <c r="I28" s="7">
        <f t="shared" si="1"/>
        <v>190.7</v>
      </c>
      <c r="J28" s="7" t="str">
        <f t="shared" si="0"/>
        <v>190,7</v>
      </c>
      <c r="K28" s="8" t="s">
        <v>171</v>
      </c>
      <c r="O28" s="2"/>
      <c r="P28" s="2"/>
      <c r="Q28" s="2"/>
    </row>
    <row r="29" spans="1:17" hidden="1" x14ac:dyDescent="0.3">
      <c r="A29" s="2">
        <v>10</v>
      </c>
      <c r="B29" s="3">
        <v>0.27</v>
      </c>
      <c r="C29" s="2" t="s">
        <v>4</v>
      </c>
      <c r="D29" s="2">
        <v>105.6</v>
      </c>
      <c r="I29" s="7">
        <f t="shared" si="1"/>
        <v>105.6</v>
      </c>
      <c r="J29" s="7" t="str">
        <f t="shared" si="0"/>
        <v>105,6</v>
      </c>
      <c r="K29" s="8" t="s">
        <v>191</v>
      </c>
      <c r="O29" s="2"/>
      <c r="P29" s="2"/>
      <c r="Q29" s="2"/>
    </row>
    <row r="30" spans="1:17" hidden="1" x14ac:dyDescent="0.3">
      <c r="A30" s="2">
        <v>11</v>
      </c>
      <c r="B30" s="3">
        <v>0.28000000000000003</v>
      </c>
      <c r="C30" s="2" t="s">
        <v>4</v>
      </c>
      <c r="D30" s="2">
        <v>182.4</v>
      </c>
      <c r="I30" s="7">
        <f t="shared" si="1"/>
        <v>182.4</v>
      </c>
      <c r="J30" s="7" t="str">
        <f t="shared" si="0"/>
        <v>182,4</v>
      </c>
      <c r="K30" s="8" t="s">
        <v>192</v>
      </c>
      <c r="O30" s="2"/>
      <c r="P30" s="2"/>
      <c r="Q30" s="2"/>
    </row>
    <row r="31" spans="1:17" hidden="1" x14ac:dyDescent="0.3">
      <c r="A31" s="2">
        <v>28</v>
      </c>
      <c r="B31" s="3">
        <v>1.01</v>
      </c>
      <c r="C31" s="2" t="s">
        <v>10</v>
      </c>
      <c r="D31" s="2">
        <v>13.2</v>
      </c>
      <c r="I31" s="7">
        <f t="shared" si="1"/>
        <v>13.4</v>
      </c>
      <c r="J31" s="7" t="str">
        <f t="shared" si="0"/>
        <v>13,4</v>
      </c>
      <c r="K31" s="1" t="s">
        <v>204</v>
      </c>
    </row>
    <row r="32" spans="1:17" hidden="1" x14ac:dyDescent="0.3">
      <c r="A32" s="2">
        <v>33</v>
      </c>
      <c r="B32" s="3">
        <v>1.02</v>
      </c>
      <c r="C32" s="2" t="s">
        <v>11</v>
      </c>
      <c r="D32" s="2">
        <v>16.399999999999999</v>
      </c>
      <c r="E32" s="2">
        <f>Таблица1[[#This Row],[Площадь, м2.]]-I32</f>
        <v>1.4999999999999982</v>
      </c>
      <c r="F32" s="3">
        <v>17.600000000000001</v>
      </c>
      <c r="G32" s="1">
        <f>F32-Таблица1[[#This Row],[Площадь, м2.]]</f>
        <v>1.2000000000000028</v>
      </c>
      <c r="I32" s="7">
        <f t="shared" si="1"/>
        <v>14.9</v>
      </c>
      <c r="J32" s="7" t="str">
        <f t="shared" si="0"/>
        <v>14,9</v>
      </c>
      <c r="K32" s="1" t="s">
        <v>196</v>
      </c>
    </row>
    <row r="33" spans="1:11" hidden="1" x14ac:dyDescent="0.3">
      <c r="A33" s="2">
        <v>94</v>
      </c>
      <c r="B33" s="3">
        <v>1.03</v>
      </c>
      <c r="C33" s="2" t="s">
        <v>15</v>
      </c>
      <c r="D33" s="2">
        <v>5.8</v>
      </c>
      <c r="E33" s="2">
        <f>Таблица1[[#This Row],[Площадь, м2.]]-I33</f>
        <v>0</v>
      </c>
      <c r="G33" s="1">
        <f>F33-Таблица1[[#This Row],[Площадь, м2.]]</f>
        <v>-5.8</v>
      </c>
      <c r="I33" s="7">
        <f t="shared" si="1"/>
        <v>5.8</v>
      </c>
      <c r="J33" s="7" t="str">
        <f t="shared" si="0"/>
        <v>5,8</v>
      </c>
      <c r="K33" s="1" t="s">
        <v>209</v>
      </c>
    </row>
    <row r="34" spans="1:11" hidden="1" x14ac:dyDescent="0.3">
      <c r="A34" s="2">
        <v>34</v>
      </c>
      <c r="B34" s="3">
        <v>1.04</v>
      </c>
      <c r="C34" s="2" t="s">
        <v>11</v>
      </c>
      <c r="D34" s="2">
        <v>43.1</v>
      </c>
      <c r="E34" s="2">
        <f>Таблица1[[#This Row],[Площадь, м2.]]-I34</f>
        <v>0</v>
      </c>
      <c r="F34" s="3">
        <v>357.2</v>
      </c>
      <c r="G34" s="1">
        <f>F34-Таблица1[[#This Row],[Площадь, м2.]]</f>
        <v>314.09999999999997</v>
      </c>
      <c r="I34" s="4">
        <v>43.1</v>
      </c>
      <c r="J34" s="7">
        <v>0</v>
      </c>
    </row>
    <row r="35" spans="1:11" x14ac:dyDescent="0.3">
      <c r="A35" s="2">
        <v>55</v>
      </c>
      <c r="B35" s="38">
        <v>1.05</v>
      </c>
      <c r="C35" s="2" t="s">
        <v>13</v>
      </c>
      <c r="D35" s="2">
        <v>22.1</v>
      </c>
      <c r="E35" s="2">
        <f>Таблица1[[#This Row],[Площадь, м2.]]-I35</f>
        <v>0</v>
      </c>
      <c r="G35" s="1">
        <f>F35-Таблица1[[#This Row],[Площадь, м2.]]</f>
        <v>-22.1</v>
      </c>
      <c r="I35" s="7">
        <f t="shared" si="1"/>
        <v>22.1</v>
      </c>
      <c r="J35" s="7" t="str">
        <f t="shared" si="0"/>
        <v>22,1</v>
      </c>
      <c r="K35" s="1" t="s">
        <v>197</v>
      </c>
    </row>
    <row r="36" spans="1:11" hidden="1" x14ac:dyDescent="0.3">
      <c r="A36" s="2">
        <v>95</v>
      </c>
      <c r="B36" s="3">
        <v>1.06</v>
      </c>
      <c r="C36" s="2" t="s">
        <v>15</v>
      </c>
      <c r="D36" s="2">
        <v>5.9</v>
      </c>
      <c r="E36" s="2">
        <f>Таблица1[[#This Row],[Площадь, м2.]]-I36</f>
        <v>0</v>
      </c>
      <c r="G36" s="1">
        <f>F36-Таблица1[[#This Row],[Площадь, м2.]]</f>
        <v>-5.9</v>
      </c>
      <c r="I36" s="7">
        <f t="shared" si="1"/>
        <v>5.9</v>
      </c>
      <c r="J36" s="7" t="str">
        <f t="shared" si="0"/>
        <v>5,9</v>
      </c>
      <c r="K36" s="1" t="s">
        <v>210</v>
      </c>
    </row>
    <row r="37" spans="1:11" hidden="1" x14ac:dyDescent="0.3">
      <c r="A37" s="2">
        <v>35</v>
      </c>
      <c r="B37" s="3">
        <v>1.07</v>
      </c>
      <c r="C37" s="2" t="s">
        <v>11</v>
      </c>
      <c r="D37" s="2">
        <v>10</v>
      </c>
      <c r="E37" s="2">
        <f>Таблица1[[#This Row],[Площадь, м2.]]-I37</f>
        <v>0</v>
      </c>
      <c r="F37" s="3">
        <v>10</v>
      </c>
      <c r="G37" s="1">
        <f>F37-Таблица1[[#This Row],[Площадь, м2.]]</f>
        <v>0</v>
      </c>
      <c r="I37" s="7">
        <f t="shared" si="1"/>
        <v>10</v>
      </c>
      <c r="J37" s="7" t="str">
        <f t="shared" si="0"/>
        <v>10,0</v>
      </c>
      <c r="K37" s="1" t="s">
        <v>208</v>
      </c>
    </row>
    <row r="38" spans="1:11" hidden="1" x14ac:dyDescent="0.3">
      <c r="A38" s="2">
        <v>36</v>
      </c>
      <c r="B38" s="3">
        <v>1.08</v>
      </c>
      <c r="C38" s="2" t="s">
        <v>11</v>
      </c>
      <c r="D38" s="2">
        <v>105.4</v>
      </c>
      <c r="E38" s="2">
        <f>Таблица1[[#This Row],[Площадь, м2.]]-I38</f>
        <v>0</v>
      </c>
      <c r="F38" s="3">
        <v>22.1</v>
      </c>
      <c r="G38" s="1">
        <f>F38-Таблица1[[#This Row],[Площадь, м2.]]</f>
        <v>-83.300000000000011</v>
      </c>
      <c r="I38" s="7">
        <f t="shared" si="1"/>
        <v>105.4</v>
      </c>
      <c r="J38" s="7" t="str">
        <f t="shared" si="0"/>
        <v>105,4</v>
      </c>
      <c r="K38" s="1" t="s">
        <v>198</v>
      </c>
    </row>
    <row r="39" spans="1:11" x14ac:dyDescent="0.3">
      <c r="A39" s="2">
        <v>56</v>
      </c>
      <c r="B39" s="38">
        <v>1.0900000000000001</v>
      </c>
      <c r="C39" s="2" t="s">
        <v>13</v>
      </c>
      <c r="D39" s="2">
        <v>62.9</v>
      </c>
      <c r="E39" s="2">
        <f>Таблица1[[#This Row],[Площадь, м2.]]-I39</f>
        <v>0</v>
      </c>
      <c r="G39" s="1">
        <f>F39-Таблица1[[#This Row],[Площадь, м2.]]</f>
        <v>-62.9</v>
      </c>
      <c r="I39" s="7">
        <f t="shared" si="1"/>
        <v>62.9</v>
      </c>
      <c r="J39" s="7" t="str">
        <f t="shared" si="0"/>
        <v>62,9</v>
      </c>
      <c r="K39" s="1" t="s">
        <v>205</v>
      </c>
    </row>
    <row r="40" spans="1:11" x14ac:dyDescent="0.3">
      <c r="A40" s="2">
        <v>57</v>
      </c>
      <c r="B40" s="38">
        <v>1.1000000000000001</v>
      </c>
      <c r="C40" s="2" t="s">
        <v>13</v>
      </c>
      <c r="D40" s="2">
        <v>64.3</v>
      </c>
      <c r="E40" s="2">
        <f>Таблица1[[#This Row],[Площадь, м2.]]-I40</f>
        <v>0</v>
      </c>
      <c r="G40" s="1">
        <f>F40-Таблица1[[#This Row],[Площадь, м2.]]</f>
        <v>-64.3</v>
      </c>
      <c r="I40" s="7">
        <f t="shared" si="1"/>
        <v>64.3</v>
      </c>
      <c r="J40" s="7" t="str">
        <f t="shared" si="0"/>
        <v>64,3</v>
      </c>
      <c r="K40" s="1" t="s">
        <v>206</v>
      </c>
    </row>
    <row r="41" spans="1:11" x14ac:dyDescent="0.3">
      <c r="A41" s="2">
        <v>58</v>
      </c>
      <c r="B41" s="38">
        <v>1.1100000000000001</v>
      </c>
      <c r="C41" s="2" t="s">
        <v>13</v>
      </c>
      <c r="D41" s="2">
        <v>64.400000000000006</v>
      </c>
      <c r="E41" s="2">
        <f>Таблица1[[#This Row],[Площадь, м2.]]-I41</f>
        <v>0</v>
      </c>
      <c r="G41" s="1">
        <f>F41-Таблица1[[#This Row],[Площадь, м2.]]</f>
        <v>-64.400000000000006</v>
      </c>
      <c r="I41" s="7">
        <f t="shared" si="1"/>
        <v>64.400000000000006</v>
      </c>
      <c r="J41" s="7" t="str">
        <f t="shared" si="0"/>
        <v>64,4</v>
      </c>
      <c r="K41" s="1" t="s">
        <v>207</v>
      </c>
    </row>
    <row r="42" spans="1:11" x14ac:dyDescent="0.3">
      <c r="A42" s="2">
        <v>59</v>
      </c>
      <c r="B42" s="38">
        <v>1.1200000000000001</v>
      </c>
      <c r="C42" s="2" t="s">
        <v>13</v>
      </c>
      <c r="D42" s="2">
        <v>131.19999999999999</v>
      </c>
      <c r="E42" s="2">
        <f>Таблица1[[#This Row],[Площадь, м2.]]-I42</f>
        <v>0</v>
      </c>
      <c r="G42" s="1">
        <f>F42-Таблица1[[#This Row],[Площадь, м2.]]</f>
        <v>-131.19999999999999</v>
      </c>
      <c r="I42" s="7">
        <f t="shared" si="1"/>
        <v>131.19999999999999</v>
      </c>
      <c r="J42" s="7" t="str">
        <f t="shared" si="0"/>
        <v>131,2</v>
      </c>
      <c r="K42" s="1" t="s">
        <v>199</v>
      </c>
    </row>
    <row r="43" spans="1:11" hidden="1" x14ac:dyDescent="0.3">
      <c r="A43" s="2">
        <v>96</v>
      </c>
      <c r="B43" s="3">
        <v>1.1299999999999999</v>
      </c>
      <c r="C43" s="2" t="s">
        <v>15</v>
      </c>
      <c r="D43" s="2">
        <v>15.8</v>
      </c>
      <c r="E43" s="2">
        <f>Таблица1[[#This Row],[Площадь, м2.]]-I43</f>
        <v>0</v>
      </c>
      <c r="G43" s="1">
        <f>F43-Таблица1[[#This Row],[Площадь, м2.]]</f>
        <v>-15.8</v>
      </c>
      <c r="I43" s="7">
        <f t="shared" si="1"/>
        <v>15.8</v>
      </c>
      <c r="J43" s="7" t="str">
        <f t="shared" si="0"/>
        <v>15,8</v>
      </c>
      <c r="K43" s="1" t="s">
        <v>211</v>
      </c>
    </row>
    <row r="44" spans="1:11" hidden="1" x14ac:dyDescent="0.3">
      <c r="A44" s="2">
        <v>97</v>
      </c>
      <c r="B44" s="3">
        <v>1.1399999999999999</v>
      </c>
      <c r="C44" s="2" t="s">
        <v>15</v>
      </c>
      <c r="D44" s="2">
        <v>5.4</v>
      </c>
      <c r="E44" s="2">
        <f>Таблица1[[#This Row],[Площадь, м2.]]-I44</f>
        <v>0</v>
      </c>
      <c r="G44" s="1">
        <f>F44-Таблица1[[#This Row],[Площадь, м2.]]</f>
        <v>-5.4</v>
      </c>
      <c r="I44" s="7">
        <f t="shared" si="1"/>
        <v>5.4</v>
      </c>
      <c r="J44" s="7" t="str">
        <f t="shared" si="0"/>
        <v>5,4</v>
      </c>
      <c r="K44" s="1" t="s">
        <v>212</v>
      </c>
    </row>
    <row r="45" spans="1:11" hidden="1" x14ac:dyDescent="0.3">
      <c r="A45" s="2">
        <v>98</v>
      </c>
      <c r="B45" s="3">
        <v>1.1499999999999999</v>
      </c>
      <c r="C45" s="2" t="s">
        <v>15</v>
      </c>
      <c r="D45" s="2">
        <v>15.8</v>
      </c>
      <c r="E45" s="2">
        <f>Таблица1[[#This Row],[Площадь, м2.]]-I45</f>
        <v>0</v>
      </c>
      <c r="G45" s="1">
        <f>F45-Таблица1[[#This Row],[Площадь, м2.]]</f>
        <v>-15.8</v>
      </c>
      <c r="I45" s="7">
        <f t="shared" si="1"/>
        <v>15.8</v>
      </c>
      <c r="J45" s="7" t="str">
        <f t="shared" si="0"/>
        <v>15,8</v>
      </c>
      <c r="K45" s="1" t="s">
        <v>213</v>
      </c>
    </row>
    <row r="46" spans="1:11" hidden="1" x14ac:dyDescent="0.3">
      <c r="A46" s="2">
        <v>99</v>
      </c>
      <c r="B46" s="3">
        <v>1.1599999999999999</v>
      </c>
      <c r="C46" s="2" t="s">
        <v>15</v>
      </c>
      <c r="D46" s="2">
        <v>2.4</v>
      </c>
      <c r="E46" s="2">
        <f>Таблица1[[#This Row],[Площадь, м2.]]-I46</f>
        <v>0</v>
      </c>
      <c r="G46" s="1">
        <f>F46-Таблица1[[#This Row],[Площадь, м2.]]</f>
        <v>-2.4</v>
      </c>
      <c r="I46" s="7">
        <f t="shared" si="1"/>
        <v>2.4</v>
      </c>
      <c r="J46" s="7" t="str">
        <f t="shared" si="0"/>
        <v>2,4</v>
      </c>
      <c r="K46" s="1" t="s">
        <v>214</v>
      </c>
    </row>
    <row r="47" spans="1:11" hidden="1" x14ac:dyDescent="0.3">
      <c r="A47" s="2">
        <v>37</v>
      </c>
      <c r="B47" s="3">
        <v>1.17</v>
      </c>
      <c r="C47" s="2" t="s">
        <v>11</v>
      </c>
      <c r="D47" s="2">
        <v>13.9</v>
      </c>
      <c r="E47" s="2">
        <f>Таблица1[[#This Row],[Площадь, м2.]]-I47</f>
        <v>0</v>
      </c>
      <c r="F47" s="3">
        <v>13.9</v>
      </c>
      <c r="G47" s="1">
        <f>F47-Таблица1[[#This Row],[Площадь, м2.]]</f>
        <v>0</v>
      </c>
      <c r="I47" s="7">
        <f t="shared" si="1"/>
        <v>13.9</v>
      </c>
      <c r="J47" s="7" t="str">
        <f t="shared" si="0"/>
        <v>13,9</v>
      </c>
      <c r="K47" s="1" t="s">
        <v>215</v>
      </c>
    </row>
    <row r="48" spans="1:11" hidden="1" x14ac:dyDescent="0.3">
      <c r="A48" s="2">
        <v>38</v>
      </c>
      <c r="B48" s="3">
        <v>1.18</v>
      </c>
      <c r="C48" s="2" t="s">
        <v>11</v>
      </c>
      <c r="D48" s="2">
        <v>13.9</v>
      </c>
      <c r="E48" s="2">
        <f>Таблица1[[#This Row],[Площадь, м2.]]-I48</f>
        <v>0</v>
      </c>
      <c r="F48" s="3">
        <v>13.9</v>
      </c>
      <c r="G48" s="1">
        <f>F48-Таблица1[[#This Row],[Площадь, м2.]]</f>
        <v>0</v>
      </c>
      <c r="I48" s="7">
        <f t="shared" si="1"/>
        <v>13.9</v>
      </c>
      <c r="J48" s="7" t="str">
        <f t="shared" si="0"/>
        <v>13,9</v>
      </c>
      <c r="K48" s="1" t="s">
        <v>216</v>
      </c>
    </row>
    <row r="49" spans="1:11" x14ac:dyDescent="0.3">
      <c r="A49" s="2">
        <v>60</v>
      </c>
      <c r="B49" s="38">
        <v>1.19</v>
      </c>
      <c r="C49" s="2" t="s">
        <v>13</v>
      </c>
      <c r="D49" s="2">
        <v>20.7</v>
      </c>
      <c r="E49" s="2">
        <f>Таблица1[[#This Row],[Площадь, м2.]]-I49</f>
        <v>0</v>
      </c>
      <c r="G49" s="1">
        <f>F49-Таблица1[[#This Row],[Площадь, м2.]]</f>
        <v>-20.7</v>
      </c>
      <c r="I49" s="7">
        <f t="shared" si="1"/>
        <v>20.7</v>
      </c>
      <c r="J49" s="7" t="str">
        <f t="shared" si="0"/>
        <v>20,7</v>
      </c>
      <c r="K49" s="1" t="s">
        <v>217</v>
      </c>
    </row>
    <row r="50" spans="1:11" x14ac:dyDescent="0.3">
      <c r="A50" s="2">
        <v>61</v>
      </c>
      <c r="B50" s="3">
        <v>1.2</v>
      </c>
      <c r="C50" s="2" t="s">
        <v>13</v>
      </c>
      <c r="D50" s="2">
        <v>20.399999999999999</v>
      </c>
      <c r="E50" s="2">
        <f>Таблица1[[#This Row],[Площадь, м2.]]-I50</f>
        <v>0</v>
      </c>
      <c r="G50" s="1">
        <f>F50-Таблица1[[#This Row],[Площадь, м2.]]</f>
        <v>-20.399999999999999</v>
      </c>
      <c r="I50" s="7">
        <f t="shared" si="1"/>
        <v>20.399999999999999</v>
      </c>
      <c r="J50" s="7" t="str">
        <f t="shared" si="0"/>
        <v>20,4</v>
      </c>
      <c r="K50" s="1" t="s">
        <v>218</v>
      </c>
    </row>
    <row r="51" spans="1:11" hidden="1" x14ac:dyDescent="0.3">
      <c r="A51" s="2">
        <v>100</v>
      </c>
      <c r="B51" s="3">
        <v>1.21</v>
      </c>
      <c r="C51" s="2" t="s">
        <v>15</v>
      </c>
      <c r="D51" s="2">
        <v>6</v>
      </c>
      <c r="E51" s="2">
        <f>Таблица1[[#This Row],[Площадь, м2.]]-I51</f>
        <v>0</v>
      </c>
      <c r="G51" s="1">
        <f>F51-Таблица1[[#This Row],[Площадь, м2.]]</f>
        <v>-6</v>
      </c>
      <c r="I51" s="7">
        <f t="shared" si="1"/>
        <v>6</v>
      </c>
      <c r="J51" s="7" t="str">
        <f t="shared" si="0"/>
        <v>6,0</v>
      </c>
      <c r="K51" s="1" t="s">
        <v>219</v>
      </c>
    </row>
    <row r="52" spans="1:11" hidden="1" x14ac:dyDescent="0.3">
      <c r="A52" s="2">
        <v>101</v>
      </c>
      <c r="B52" s="3">
        <v>1.22</v>
      </c>
      <c r="C52" s="2" t="s">
        <v>15</v>
      </c>
      <c r="D52" s="2">
        <v>4.7</v>
      </c>
      <c r="E52" s="2">
        <f>Таблица1[[#This Row],[Площадь, м2.]]-I52</f>
        <v>0</v>
      </c>
      <c r="G52" s="1">
        <f>F52-Таблица1[[#This Row],[Площадь, м2.]]</f>
        <v>-4.7</v>
      </c>
      <c r="I52" s="7">
        <f t="shared" si="1"/>
        <v>4.7</v>
      </c>
      <c r="J52" s="7" t="str">
        <f t="shared" si="0"/>
        <v>4,7</v>
      </c>
      <c r="K52" s="1" t="s">
        <v>220</v>
      </c>
    </row>
    <row r="53" spans="1:11" hidden="1" x14ac:dyDescent="0.3">
      <c r="A53" s="2">
        <v>102</v>
      </c>
      <c r="B53" s="3">
        <v>1.23</v>
      </c>
      <c r="C53" s="2" t="s">
        <v>15</v>
      </c>
      <c r="D53" s="2">
        <v>4.7</v>
      </c>
      <c r="E53" s="2">
        <f>Таблица1[[#This Row],[Площадь, м2.]]-I53</f>
        <v>0</v>
      </c>
      <c r="G53" s="1">
        <f>F53-Таблица1[[#This Row],[Площадь, м2.]]</f>
        <v>-4.7</v>
      </c>
      <c r="I53" s="7">
        <f t="shared" si="1"/>
        <v>4.7</v>
      </c>
      <c r="J53" s="7" t="str">
        <f t="shared" si="0"/>
        <v>4,7</v>
      </c>
      <c r="K53" s="1" t="s">
        <v>274</v>
      </c>
    </row>
    <row r="54" spans="1:11" x14ac:dyDescent="0.3">
      <c r="A54" s="2">
        <v>62</v>
      </c>
      <c r="B54" s="3">
        <v>1.24</v>
      </c>
      <c r="C54" s="2" t="s">
        <v>13</v>
      </c>
      <c r="D54" s="2">
        <v>10.1</v>
      </c>
      <c r="E54" s="2">
        <f>Таблица1[[#This Row],[Площадь, м2.]]-I54</f>
        <v>0</v>
      </c>
      <c r="G54" s="1">
        <f>F54-Таблица1[[#This Row],[Площадь, м2.]]</f>
        <v>-10.1</v>
      </c>
      <c r="I54" s="7">
        <f t="shared" si="1"/>
        <v>10.1</v>
      </c>
      <c r="J54" s="7" t="str">
        <f t="shared" si="0"/>
        <v>10,1</v>
      </c>
      <c r="K54" s="1" t="s">
        <v>221</v>
      </c>
    </row>
    <row r="55" spans="1:11" x14ac:dyDescent="0.3">
      <c r="A55" s="2">
        <v>63</v>
      </c>
      <c r="B55" s="3">
        <v>1.25</v>
      </c>
      <c r="C55" s="2" t="s">
        <v>13</v>
      </c>
      <c r="D55" s="2">
        <v>10.3</v>
      </c>
      <c r="E55" s="2">
        <f>Таблица1[[#This Row],[Площадь, м2.]]-I55</f>
        <v>0</v>
      </c>
      <c r="G55" s="1">
        <f>F55-Таблица1[[#This Row],[Площадь, м2.]]</f>
        <v>-10.3</v>
      </c>
      <c r="I55" s="7">
        <f t="shared" si="1"/>
        <v>10.3</v>
      </c>
      <c r="J55" s="7" t="str">
        <f t="shared" si="0"/>
        <v>10,3</v>
      </c>
      <c r="K55" s="1" t="s">
        <v>222</v>
      </c>
    </row>
    <row r="56" spans="1:11" x14ac:dyDescent="0.3">
      <c r="A56" s="2">
        <v>64</v>
      </c>
      <c r="B56" s="3">
        <v>1.26</v>
      </c>
      <c r="C56" s="2" t="s">
        <v>13</v>
      </c>
      <c r="D56" s="2">
        <v>10.7</v>
      </c>
      <c r="E56" s="2">
        <f>Таблица1[[#This Row],[Площадь, м2.]]-I56</f>
        <v>0</v>
      </c>
      <c r="G56" s="1">
        <f>F56-Таблица1[[#This Row],[Площадь, м2.]]</f>
        <v>-10.7</v>
      </c>
      <c r="I56" s="7">
        <f t="shared" si="1"/>
        <v>10.7</v>
      </c>
      <c r="J56" s="7" t="str">
        <f t="shared" si="0"/>
        <v>10,7</v>
      </c>
      <c r="K56" s="1" t="s">
        <v>223</v>
      </c>
    </row>
    <row r="57" spans="1:11" x14ac:dyDescent="0.3">
      <c r="A57" s="2">
        <v>65</v>
      </c>
      <c r="B57" s="3">
        <v>1.27</v>
      </c>
      <c r="C57" s="2" t="s">
        <v>13</v>
      </c>
      <c r="D57" s="2">
        <v>25.9</v>
      </c>
      <c r="E57" s="2">
        <f>Таблица1[[#This Row],[Площадь, м2.]]-I57</f>
        <v>0</v>
      </c>
      <c r="G57" s="1">
        <f>F57-Таблица1[[#This Row],[Площадь, м2.]]</f>
        <v>-25.9</v>
      </c>
      <c r="I57" s="7">
        <f t="shared" si="1"/>
        <v>25.9</v>
      </c>
      <c r="J57" s="7" t="str">
        <f t="shared" si="0"/>
        <v>25,9</v>
      </c>
      <c r="K57" s="1" t="s">
        <v>224</v>
      </c>
    </row>
    <row r="58" spans="1:11" x14ac:dyDescent="0.3">
      <c r="A58" s="2">
        <v>66</v>
      </c>
      <c r="B58" s="38">
        <v>1.28</v>
      </c>
      <c r="C58" s="2" t="s">
        <v>13</v>
      </c>
      <c r="D58" s="2">
        <v>22.1</v>
      </c>
      <c r="E58" s="2">
        <f>Таблица1[[#This Row],[Площадь, м2.]]-I58</f>
        <v>0</v>
      </c>
      <c r="G58" s="1">
        <f>F58-Таблица1[[#This Row],[Площадь, м2.]]</f>
        <v>-22.1</v>
      </c>
      <c r="I58" s="7">
        <f t="shared" si="1"/>
        <v>22.1</v>
      </c>
      <c r="J58" s="7" t="str">
        <f t="shared" si="0"/>
        <v>22,1</v>
      </c>
      <c r="K58" s="1" t="s">
        <v>225</v>
      </c>
    </row>
    <row r="59" spans="1:11" hidden="1" x14ac:dyDescent="0.3">
      <c r="A59" s="2">
        <v>39</v>
      </c>
      <c r="B59" s="38">
        <v>1.29</v>
      </c>
      <c r="C59" s="2" t="s">
        <v>11</v>
      </c>
      <c r="D59" s="2">
        <v>28.7</v>
      </c>
      <c r="E59" s="2">
        <f>Таблица1[[#This Row],[Площадь, м2.]]-I59</f>
        <v>0</v>
      </c>
      <c r="F59" s="3">
        <v>45.9</v>
      </c>
      <c r="G59" s="1">
        <f>F59-Таблица1[[#This Row],[Площадь, м2.]]</f>
        <v>17.2</v>
      </c>
      <c r="I59" s="7">
        <f t="shared" si="1"/>
        <v>28.7</v>
      </c>
      <c r="J59" s="7" t="str">
        <f t="shared" si="0"/>
        <v>28,7</v>
      </c>
      <c r="K59" s="1" t="s">
        <v>226</v>
      </c>
    </row>
    <row r="60" spans="1:11" x14ac:dyDescent="0.3">
      <c r="A60" s="2">
        <v>67</v>
      </c>
      <c r="B60" s="3">
        <v>1.3</v>
      </c>
      <c r="C60" s="2" t="s">
        <v>13</v>
      </c>
      <c r="D60" s="2">
        <v>92.2</v>
      </c>
      <c r="E60" s="2">
        <f>Таблица1[[#This Row],[Площадь, м2.]]-I60</f>
        <v>0</v>
      </c>
      <c r="G60" s="1">
        <f>F60-Таблица1[[#This Row],[Площадь, м2.]]</f>
        <v>-92.2</v>
      </c>
      <c r="I60" s="7">
        <f t="shared" si="1"/>
        <v>92.2</v>
      </c>
      <c r="J60" s="7" t="str">
        <f t="shared" si="0"/>
        <v>92,2</v>
      </c>
      <c r="K60" s="1" t="s">
        <v>227</v>
      </c>
    </row>
    <row r="61" spans="1:11" x14ac:dyDescent="0.3">
      <c r="A61" s="2">
        <v>68</v>
      </c>
      <c r="B61" s="3">
        <v>1.31</v>
      </c>
      <c r="C61" s="2" t="s">
        <v>13</v>
      </c>
      <c r="D61" s="2">
        <v>113</v>
      </c>
      <c r="E61" s="2">
        <f>Таблица1[[#This Row],[Площадь, м2.]]-I61</f>
        <v>0</v>
      </c>
      <c r="G61" s="1">
        <f>F61-Таблица1[[#This Row],[Площадь, м2.]]</f>
        <v>-113</v>
      </c>
      <c r="I61" s="7">
        <f t="shared" si="1"/>
        <v>113</v>
      </c>
      <c r="J61" s="7" t="str">
        <f t="shared" si="0"/>
        <v>113,0</v>
      </c>
      <c r="K61" s="1" t="s">
        <v>228</v>
      </c>
    </row>
    <row r="62" spans="1:11" hidden="1" x14ac:dyDescent="0.3">
      <c r="A62" s="2">
        <v>40</v>
      </c>
      <c r="B62" s="3">
        <v>1.32</v>
      </c>
      <c r="C62" s="2" t="s">
        <v>11</v>
      </c>
      <c r="D62" s="2">
        <v>24.5</v>
      </c>
      <c r="E62" s="2">
        <f>Таблица1[[#This Row],[Площадь, м2.]]-I62</f>
        <v>0</v>
      </c>
      <c r="F62" s="3">
        <v>14.4</v>
      </c>
      <c r="G62" s="1">
        <f>F62-Таблица1[[#This Row],[Площадь, м2.]]</f>
        <v>-10.1</v>
      </c>
      <c r="I62" s="7">
        <f t="shared" si="1"/>
        <v>24.5</v>
      </c>
      <c r="J62" s="7" t="str">
        <f t="shared" si="0"/>
        <v>24,5</v>
      </c>
      <c r="K62" s="1" t="s">
        <v>200</v>
      </c>
    </row>
    <row r="63" spans="1:11" hidden="1" x14ac:dyDescent="0.3">
      <c r="A63" s="2">
        <v>41</v>
      </c>
      <c r="B63" s="3">
        <v>1.33</v>
      </c>
      <c r="C63" s="2" t="s">
        <v>11</v>
      </c>
      <c r="D63" s="2">
        <v>27.9</v>
      </c>
      <c r="E63" s="2">
        <f>Таблица1[[#This Row],[Площадь, м2.]]-I63</f>
        <v>0</v>
      </c>
      <c r="F63" s="3">
        <v>17.899999999999999</v>
      </c>
      <c r="G63" s="1">
        <f>F63-Таблица1[[#This Row],[Площадь, м2.]]</f>
        <v>-10</v>
      </c>
      <c r="I63" s="7">
        <f t="shared" si="1"/>
        <v>27.9</v>
      </c>
      <c r="J63" s="7" t="str">
        <f t="shared" si="0"/>
        <v>27,9</v>
      </c>
      <c r="K63" s="1" t="s">
        <v>201</v>
      </c>
    </row>
    <row r="64" spans="1:11" hidden="1" x14ac:dyDescent="0.3">
      <c r="A64" s="2">
        <v>42</v>
      </c>
      <c r="B64" s="3">
        <v>1.34</v>
      </c>
      <c r="C64" s="2" t="s">
        <v>11</v>
      </c>
      <c r="D64" s="2">
        <v>25.7</v>
      </c>
      <c r="E64" s="2">
        <f>Таблица1[[#This Row],[Площадь, м2.]]-I64</f>
        <v>0</v>
      </c>
      <c r="F64" s="3">
        <v>15.5</v>
      </c>
      <c r="G64" s="1">
        <f>F64-Таблица1[[#This Row],[Площадь, м2.]]</f>
        <v>-10.199999999999999</v>
      </c>
      <c r="I64" s="7">
        <f t="shared" si="1"/>
        <v>25.7</v>
      </c>
      <c r="J64" s="7" t="str">
        <f t="shared" si="0"/>
        <v>25,7</v>
      </c>
      <c r="K64" s="1" t="s">
        <v>202</v>
      </c>
    </row>
    <row r="65" spans="1:17" hidden="1" x14ac:dyDescent="0.3">
      <c r="A65" s="2">
        <v>43</v>
      </c>
      <c r="B65" s="3">
        <v>1.35</v>
      </c>
      <c r="C65" s="2" t="s">
        <v>11</v>
      </c>
      <c r="D65" s="2">
        <v>30.6</v>
      </c>
      <c r="E65" s="2">
        <f>Таблица1[[#This Row],[Площадь, м2.]]-I65</f>
        <v>0</v>
      </c>
      <c r="F65" s="3">
        <v>23.4</v>
      </c>
      <c r="G65" s="1">
        <f>F65-Таблица1[[#This Row],[Площадь, м2.]]</f>
        <v>-7.2000000000000028</v>
      </c>
      <c r="I65" s="7">
        <f t="shared" si="1"/>
        <v>30.6</v>
      </c>
      <c r="J65" s="7" t="str">
        <f t="shared" si="0"/>
        <v>30,6</v>
      </c>
      <c r="K65" s="1" t="s">
        <v>203</v>
      </c>
    </row>
    <row r="66" spans="1:17" hidden="1" x14ac:dyDescent="0.3">
      <c r="A66" s="2">
        <v>44</v>
      </c>
      <c r="B66" s="3">
        <v>1.36</v>
      </c>
      <c r="C66" s="2" t="s">
        <v>11</v>
      </c>
      <c r="D66" s="2">
        <v>13</v>
      </c>
      <c r="E66" s="2">
        <f>Таблица1[[#This Row],[Площадь, м2.]]-I66</f>
        <v>0</v>
      </c>
      <c r="F66" s="3">
        <v>25.9</v>
      </c>
      <c r="G66" s="1">
        <f>F66-Таблица1[[#This Row],[Площадь, м2.]]</f>
        <v>12.899999999999999</v>
      </c>
      <c r="I66" s="7">
        <f t="shared" si="1"/>
        <v>13</v>
      </c>
      <c r="J66" s="7" t="str">
        <f t="shared" si="0"/>
        <v>13,0</v>
      </c>
      <c r="K66" s="1" t="s">
        <v>234</v>
      </c>
    </row>
    <row r="67" spans="1:17" hidden="1" x14ac:dyDescent="0.3">
      <c r="A67" s="2">
        <v>45</v>
      </c>
      <c r="B67" s="3">
        <v>1.37</v>
      </c>
      <c r="C67" s="2" t="s">
        <v>11</v>
      </c>
      <c r="D67" s="2">
        <v>11.8</v>
      </c>
      <c r="E67" s="2">
        <f>Таблица1[[#This Row],[Площадь, м2.]]-I67</f>
        <v>0</v>
      </c>
      <c r="F67" s="3">
        <v>11.8</v>
      </c>
      <c r="G67" s="1">
        <f>F67-Таблица1[[#This Row],[Площадь, м2.]]</f>
        <v>0</v>
      </c>
      <c r="I67" s="7">
        <f t="shared" si="1"/>
        <v>11.8</v>
      </c>
      <c r="J67" s="7" t="str">
        <f t="shared" ref="J67:J130" si="2">TRIM(RIGHTB(SUBSTITUTE(K67," ",REPT(" ",99)),99))</f>
        <v>11,8</v>
      </c>
      <c r="K67" s="1" t="s">
        <v>235</v>
      </c>
    </row>
    <row r="68" spans="1:17" hidden="1" x14ac:dyDescent="0.3">
      <c r="A68" s="2">
        <v>46</v>
      </c>
      <c r="B68" s="3">
        <v>1.38</v>
      </c>
      <c r="C68" s="2" t="s">
        <v>11</v>
      </c>
      <c r="D68" s="2">
        <v>170.5</v>
      </c>
      <c r="E68" s="2">
        <f>Таблица1[[#This Row],[Площадь, м2.]]-I68</f>
        <v>0</v>
      </c>
      <c r="F68" s="3">
        <v>170.5</v>
      </c>
      <c r="G68" s="1">
        <f>F68-Таблица1[[#This Row],[Площадь, м2.]]</f>
        <v>0</v>
      </c>
      <c r="I68" s="7">
        <f t="shared" ref="I68:I131" si="3">VALUE(J68)</f>
        <v>170.5</v>
      </c>
      <c r="J68" s="7" t="str">
        <f t="shared" si="2"/>
        <v>170,5</v>
      </c>
      <c r="K68" s="1" t="s">
        <v>236</v>
      </c>
    </row>
    <row r="69" spans="1:17" hidden="1" x14ac:dyDescent="0.3">
      <c r="A69" s="2">
        <v>103</v>
      </c>
      <c r="B69" s="3">
        <v>1.39</v>
      </c>
      <c r="C69" s="2" t="s">
        <v>15</v>
      </c>
      <c r="D69" s="2">
        <v>36.4</v>
      </c>
      <c r="E69" s="2">
        <f>Таблица1[[#This Row],[Площадь, м2.]]-I69</f>
        <v>0</v>
      </c>
      <c r="G69" s="1">
        <f>F69-Таблица1[[#This Row],[Площадь, м2.]]</f>
        <v>-36.4</v>
      </c>
      <c r="I69" s="7">
        <f t="shared" si="3"/>
        <v>36.4</v>
      </c>
      <c r="J69" s="7" t="str">
        <f t="shared" si="2"/>
        <v>36,4</v>
      </c>
      <c r="K69" s="1" t="s">
        <v>237</v>
      </c>
    </row>
    <row r="70" spans="1:17" hidden="1" x14ac:dyDescent="0.3">
      <c r="A70" s="2">
        <v>104</v>
      </c>
      <c r="B70" s="3">
        <v>1.4</v>
      </c>
      <c r="C70" s="2" t="s">
        <v>15</v>
      </c>
      <c r="D70" s="2">
        <v>15</v>
      </c>
      <c r="E70" s="2">
        <f>Таблица1[[#This Row],[Площадь, м2.]]-I70</f>
        <v>0</v>
      </c>
      <c r="G70" s="1">
        <f>F70-Таблица1[[#This Row],[Площадь, м2.]]</f>
        <v>-15</v>
      </c>
      <c r="I70" s="7">
        <f t="shared" si="3"/>
        <v>15</v>
      </c>
      <c r="J70" s="7" t="str">
        <f t="shared" si="2"/>
        <v>15,0</v>
      </c>
      <c r="K70" s="1" t="s">
        <v>238</v>
      </c>
    </row>
    <row r="71" spans="1:17" hidden="1" x14ac:dyDescent="0.3">
      <c r="A71" s="2">
        <v>105</v>
      </c>
      <c r="B71" s="3">
        <v>1.41</v>
      </c>
      <c r="C71" s="2" t="s">
        <v>15</v>
      </c>
      <c r="D71" s="2">
        <v>89.2</v>
      </c>
      <c r="E71" s="2">
        <f>Таблица1[[#This Row],[Площадь, м2.]]-I71</f>
        <v>0</v>
      </c>
      <c r="G71" s="1">
        <f>F71-Таблица1[[#This Row],[Площадь, м2.]]</f>
        <v>-89.2</v>
      </c>
      <c r="I71" s="7">
        <f t="shared" si="3"/>
        <v>89.2</v>
      </c>
      <c r="J71" s="7" t="str">
        <f t="shared" si="2"/>
        <v>89,2</v>
      </c>
      <c r="K71" s="1" t="s">
        <v>239</v>
      </c>
    </row>
    <row r="72" spans="1:17" hidden="1" x14ac:dyDescent="0.3">
      <c r="A72" s="2">
        <v>106</v>
      </c>
      <c r="B72" s="3">
        <v>1.42</v>
      </c>
      <c r="C72" s="2" t="s">
        <v>15</v>
      </c>
      <c r="D72" s="2">
        <v>13.6</v>
      </c>
      <c r="E72" s="2">
        <f>Таблица1[[#This Row],[Площадь, м2.]]-I72</f>
        <v>0</v>
      </c>
      <c r="G72" s="1">
        <f>F72-Таблица1[[#This Row],[Площадь, м2.]]</f>
        <v>-13.6</v>
      </c>
      <c r="I72" s="7">
        <f t="shared" si="3"/>
        <v>13.6</v>
      </c>
      <c r="J72" s="7" t="str">
        <f t="shared" si="2"/>
        <v>13,6</v>
      </c>
      <c r="K72" s="1" t="s">
        <v>240</v>
      </c>
      <c r="O72" s="1">
        <f>VALUE(SUBSTITUTE(TRIM(RIGHTB(SUBSTITUTE(P72," ",REPT(" ",99)),99)),",","."))</f>
        <v>46035</v>
      </c>
      <c r="P72" s="1" t="str">
        <f t="shared" ref="P72:P132" si="4">TRIM(RIGHTB(SUBSTITUTE(Q72," ",REPT(" ",99)),99))</f>
        <v>13,1</v>
      </c>
      <c r="Q72" s="1" t="s">
        <v>22</v>
      </c>
    </row>
    <row r="73" spans="1:17" hidden="1" x14ac:dyDescent="0.3">
      <c r="A73" s="2">
        <v>47</v>
      </c>
      <c r="B73" s="3">
        <v>1.43</v>
      </c>
      <c r="C73" s="2" t="s">
        <v>11</v>
      </c>
      <c r="D73" s="2">
        <v>12.1</v>
      </c>
      <c r="E73" s="2">
        <f>Таблица1[[#This Row],[Площадь, м2.]]-I73</f>
        <v>0</v>
      </c>
      <c r="F73" s="3">
        <v>12.1</v>
      </c>
      <c r="G73" s="1">
        <f>F73-Таблица1[[#This Row],[Площадь, м2.]]</f>
        <v>0</v>
      </c>
      <c r="I73" s="7">
        <f t="shared" si="3"/>
        <v>12.1</v>
      </c>
      <c r="J73" s="7" t="str">
        <f t="shared" si="2"/>
        <v>12,1</v>
      </c>
      <c r="K73" s="1" t="s">
        <v>241</v>
      </c>
      <c r="O73" s="1">
        <f t="shared" ref="O73:O96" si="5">VALUE(SUBSTITUTE(TRIM(RIGHTB(SUBSTITUTE(P73," ",REPT(" ",99)),99)),",","."))</f>
        <v>46214</v>
      </c>
      <c r="P73" s="1" t="str">
        <f t="shared" si="4"/>
        <v>11,7</v>
      </c>
      <c r="Q73" s="1" t="s">
        <v>23</v>
      </c>
    </row>
    <row r="74" spans="1:17" hidden="1" x14ac:dyDescent="0.3">
      <c r="A74" s="2">
        <v>107</v>
      </c>
      <c r="B74" s="3">
        <v>1.44</v>
      </c>
      <c r="C74" s="2" t="s">
        <v>15</v>
      </c>
      <c r="D74" s="2">
        <v>29.7</v>
      </c>
      <c r="E74" s="2">
        <f>Таблица1[[#This Row],[Площадь, м2.]]-I74</f>
        <v>0</v>
      </c>
      <c r="G74" s="1">
        <f>F74-Таблица1[[#This Row],[Площадь, м2.]]</f>
        <v>-29.7</v>
      </c>
      <c r="I74" s="7">
        <f t="shared" si="3"/>
        <v>29.7</v>
      </c>
      <c r="J74" s="7" t="str">
        <f t="shared" si="2"/>
        <v>29,7</v>
      </c>
      <c r="K74" s="1" t="s">
        <v>242</v>
      </c>
      <c r="O74" s="1" t="e">
        <f t="shared" si="5"/>
        <v>#VALUE!</v>
      </c>
      <c r="P74" s="1" t="str">
        <f t="shared" si="4"/>
        <v>29,0</v>
      </c>
      <c r="Q74" s="1" t="s">
        <v>24</v>
      </c>
    </row>
    <row r="75" spans="1:17" hidden="1" x14ac:dyDescent="0.3">
      <c r="A75" s="2">
        <v>48</v>
      </c>
      <c r="B75" s="3">
        <v>1.45</v>
      </c>
      <c r="C75" s="2" t="s">
        <v>11</v>
      </c>
      <c r="D75" s="2">
        <v>10.8</v>
      </c>
      <c r="E75" s="2">
        <f>Таблица1[[#This Row],[Площадь, м2.]]-I75</f>
        <v>0</v>
      </c>
      <c r="F75" s="3">
        <v>10.8</v>
      </c>
      <c r="G75" s="1">
        <f>F75-Таблица1[[#This Row],[Площадь, м2.]]</f>
        <v>0</v>
      </c>
      <c r="I75" s="7">
        <f t="shared" si="3"/>
        <v>10.8</v>
      </c>
      <c r="J75" s="7" t="str">
        <f t="shared" si="2"/>
        <v>10,8</v>
      </c>
      <c r="K75" s="1" t="s">
        <v>243</v>
      </c>
      <c r="O75" s="1">
        <f t="shared" si="5"/>
        <v>46122</v>
      </c>
      <c r="P75" s="1" t="str">
        <f t="shared" si="4"/>
        <v>10,4</v>
      </c>
      <c r="Q75" s="1" t="s">
        <v>25</v>
      </c>
    </row>
    <row r="76" spans="1:17" x14ac:dyDescent="0.3">
      <c r="A76" s="2">
        <v>69</v>
      </c>
      <c r="B76" s="3">
        <v>1.46</v>
      </c>
      <c r="C76" s="2" t="s">
        <v>13</v>
      </c>
      <c r="D76" s="2">
        <v>9.3000000000000007</v>
      </c>
      <c r="E76" s="2">
        <f>Таблица1[[#This Row],[Площадь, м2.]]-I76</f>
        <v>0</v>
      </c>
      <c r="G76" s="1">
        <f>F76-Таблица1[[#This Row],[Площадь, м2.]]</f>
        <v>-9.3000000000000007</v>
      </c>
      <c r="I76" s="7">
        <f t="shared" si="3"/>
        <v>9.3000000000000007</v>
      </c>
      <c r="J76" s="7" t="str">
        <f t="shared" si="2"/>
        <v>9,3</v>
      </c>
      <c r="K76" s="1" t="s">
        <v>244</v>
      </c>
      <c r="O76" s="1">
        <f t="shared" si="5"/>
        <v>46211</v>
      </c>
      <c r="P76" s="1" t="str">
        <f t="shared" si="4"/>
        <v>8,7</v>
      </c>
      <c r="Q76" s="1" t="s">
        <v>26</v>
      </c>
    </row>
    <row r="77" spans="1:17" hidden="1" x14ac:dyDescent="0.3">
      <c r="A77" s="2">
        <v>108</v>
      </c>
      <c r="B77" s="3">
        <v>1.47</v>
      </c>
      <c r="C77" s="2" t="s">
        <v>15</v>
      </c>
      <c r="D77" s="2">
        <v>9.6999999999999993</v>
      </c>
      <c r="E77" s="2">
        <f>Таблица1[[#This Row],[Площадь, м2.]]-I77</f>
        <v>0</v>
      </c>
      <c r="G77" s="1">
        <f>F77-Таблица1[[#This Row],[Площадь, м2.]]</f>
        <v>-9.6999999999999993</v>
      </c>
      <c r="I77" s="7">
        <f t="shared" si="3"/>
        <v>9.6999999999999993</v>
      </c>
      <c r="J77" s="7" t="str">
        <f t="shared" si="2"/>
        <v>9,7</v>
      </c>
      <c r="K77" s="1" t="s">
        <v>245</v>
      </c>
      <c r="O77" s="1" t="e">
        <f t="shared" si="5"/>
        <v>#VALUE!</v>
      </c>
      <c r="P77" s="1" t="str">
        <f t="shared" si="4"/>
        <v>9,0</v>
      </c>
      <c r="Q77" s="1" t="s">
        <v>27</v>
      </c>
    </row>
    <row r="78" spans="1:17" hidden="1" x14ac:dyDescent="0.3">
      <c r="A78" s="2">
        <v>49</v>
      </c>
      <c r="B78" s="3">
        <v>1.48</v>
      </c>
      <c r="C78" s="2" t="s">
        <v>11</v>
      </c>
      <c r="D78" s="2">
        <v>7.7</v>
      </c>
      <c r="E78" s="2">
        <f>Таблица1[[#This Row],[Площадь, м2.]]-I78</f>
        <v>0</v>
      </c>
      <c r="F78" s="3">
        <v>7.7</v>
      </c>
      <c r="G78" s="1">
        <f>F78-Таблица1[[#This Row],[Площадь, м2.]]</f>
        <v>0</v>
      </c>
      <c r="I78" s="7">
        <f t="shared" si="3"/>
        <v>7.7</v>
      </c>
      <c r="J78" s="7" t="str">
        <f t="shared" si="2"/>
        <v>7,7</v>
      </c>
      <c r="K78" s="1" t="s">
        <v>246</v>
      </c>
      <c r="O78" s="1">
        <f t="shared" si="5"/>
        <v>46149</v>
      </c>
      <c r="P78" s="1" t="str">
        <f t="shared" si="4"/>
        <v>7,5</v>
      </c>
      <c r="Q78" s="1" t="s">
        <v>28</v>
      </c>
    </row>
    <row r="79" spans="1:17" hidden="1" x14ac:dyDescent="0.3">
      <c r="A79" s="2">
        <v>109</v>
      </c>
      <c r="B79" s="3">
        <v>1.49</v>
      </c>
      <c r="C79" s="2" t="s">
        <v>15</v>
      </c>
      <c r="D79" s="2">
        <v>3.3</v>
      </c>
      <c r="E79" s="2">
        <f>Таблица1[[#This Row],[Площадь, м2.]]-I79</f>
        <v>0</v>
      </c>
      <c r="G79" s="1">
        <f>F79-Таблица1[[#This Row],[Площадь, м2.]]</f>
        <v>-3.3</v>
      </c>
      <c r="I79" s="7">
        <f t="shared" si="3"/>
        <v>3.3</v>
      </c>
      <c r="J79" s="7" t="str">
        <f t="shared" si="2"/>
        <v>3,3</v>
      </c>
      <c r="K79" s="1" t="s">
        <v>247</v>
      </c>
      <c r="O79" s="1">
        <f t="shared" si="5"/>
        <v>46236</v>
      </c>
      <c r="P79" s="1" t="str">
        <f t="shared" si="4"/>
        <v>2,8</v>
      </c>
      <c r="Q79" s="1" t="s">
        <v>29</v>
      </c>
    </row>
    <row r="80" spans="1:17" hidden="1" x14ac:dyDescent="0.3">
      <c r="A80" s="2">
        <v>110</v>
      </c>
      <c r="B80" s="3">
        <v>1.5</v>
      </c>
      <c r="C80" s="2" t="s">
        <v>15</v>
      </c>
      <c r="D80" s="2">
        <v>8.6999999999999993</v>
      </c>
      <c r="E80" s="2">
        <f>Таблица1[[#This Row],[Площадь, м2.]]-I80</f>
        <v>0</v>
      </c>
      <c r="G80" s="1">
        <f>F80-Таблица1[[#This Row],[Площадь, м2.]]</f>
        <v>-8.6999999999999993</v>
      </c>
      <c r="I80" s="7">
        <f t="shared" si="3"/>
        <v>8.6999999999999993</v>
      </c>
      <c r="J80" s="7" t="str">
        <f t="shared" si="2"/>
        <v>8,7</v>
      </c>
      <c r="K80" s="1" t="s">
        <v>248</v>
      </c>
      <c r="O80" s="1">
        <f t="shared" si="5"/>
        <v>46061</v>
      </c>
      <c r="P80" s="1" t="str">
        <f t="shared" si="4"/>
        <v>8,2</v>
      </c>
      <c r="Q80" s="1" t="s">
        <v>30</v>
      </c>
    </row>
    <row r="81" spans="1:18" hidden="1" x14ac:dyDescent="0.3">
      <c r="A81" s="2">
        <v>111</v>
      </c>
      <c r="B81" s="3">
        <v>1.51</v>
      </c>
      <c r="C81" s="2" t="s">
        <v>15</v>
      </c>
      <c r="D81" s="2">
        <v>8.3000000000000007</v>
      </c>
      <c r="E81" s="2">
        <f>Таблица1[[#This Row],[Площадь, м2.]]-I81</f>
        <v>0</v>
      </c>
      <c r="G81" s="1">
        <f>F81-Таблица1[[#This Row],[Площадь, м2.]]</f>
        <v>-8.3000000000000007</v>
      </c>
      <c r="I81" s="7">
        <f t="shared" si="3"/>
        <v>8.3000000000000007</v>
      </c>
      <c r="J81" s="7" t="str">
        <f t="shared" si="2"/>
        <v>8,3</v>
      </c>
      <c r="K81" s="1" t="s">
        <v>31</v>
      </c>
      <c r="O81" s="1">
        <f t="shared" si="5"/>
        <v>46089</v>
      </c>
      <c r="P81" s="1" t="str">
        <f t="shared" si="4"/>
        <v>8,3</v>
      </c>
      <c r="Q81" s="1" t="s">
        <v>31</v>
      </c>
    </row>
    <row r="82" spans="1:18" hidden="1" x14ac:dyDescent="0.3">
      <c r="A82" s="2">
        <v>29</v>
      </c>
      <c r="B82" s="3">
        <v>1.52</v>
      </c>
      <c r="C82" s="2" t="s">
        <v>10</v>
      </c>
      <c r="D82" s="2">
        <v>2.2000000000000002</v>
      </c>
      <c r="E82" s="2">
        <f>Таблица1[[#This Row],[Площадь, м2.]]-I82</f>
        <v>0</v>
      </c>
      <c r="G82" s="1">
        <f>F82-Таблица1[[#This Row],[Площадь, м2.]]</f>
        <v>-2.2000000000000002</v>
      </c>
      <c r="I82" s="7">
        <f t="shared" si="3"/>
        <v>2.2000000000000002</v>
      </c>
      <c r="J82" s="7" t="str">
        <f t="shared" si="2"/>
        <v>2,2</v>
      </c>
      <c r="K82" s="1" t="s">
        <v>249</v>
      </c>
      <c r="O82" s="1">
        <f t="shared" si="5"/>
        <v>46175</v>
      </c>
      <c r="P82" s="1" t="str">
        <f t="shared" si="4"/>
        <v>2,6</v>
      </c>
      <c r="Q82" s="1" t="s">
        <v>32</v>
      </c>
      <c r="R82" s="2">
        <v>2.6</v>
      </c>
    </row>
    <row r="83" spans="1:18" hidden="1" x14ac:dyDescent="0.3">
      <c r="A83" s="2">
        <v>112</v>
      </c>
      <c r="B83" s="3">
        <v>1.53</v>
      </c>
      <c r="C83" s="2" t="s">
        <v>15</v>
      </c>
      <c r="D83" s="2">
        <v>3.3</v>
      </c>
      <c r="E83" s="2">
        <f>Таблица1[[#This Row],[Площадь, м2.]]-I83</f>
        <v>0</v>
      </c>
      <c r="G83" s="1">
        <f>F83-Таблица1[[#This Row],[Площадь, м2.]]</f>
        <v>-3.3</v>
      </c>
      <c r="I83" s="7">
        <f t="shared" si="3"/>
        <v>3.3</v>
      </c>
      <c r="J83" s="7" t="str">
        <f t="shared" si="2"/>
        <v>3,3</v>
      </c>
      <c r="K83" s="1" t="s">
        <v>250</v>
      </c>
      <c r="O83" s="1">
        <f t="shared" si="5"/>
        <v>46084</v>
      </c>
      <c r="P83" s="1" t="str">
        <f t="shared" si="4"/>
        <v>3,3</v>
      </c>
      <c r="Q83" s="1" t="s">
        <v>33</v>
      </c>
    </row>
    <row r="84" spans="1:18" hidden="1" x14ac:dyDescent="0.3">
      <c r="A84" s="2">
        <v>113</v>
      </c>
      <c r="B84" s="3">
        <v>1.54</v>
      </c>
      <c r="C84" s="2" t="s">
        <v>15</v>
      </c>
      <c r="D84" s="2">
        <v>10.199999999999999</v>
      </c>
      <c r="E84" s="2">
        <f>Таблица1[[#This Row],[Площадь, м2.]]-I84</f>
        <v>0</v>
      </c>
      <c r="G84" s="1">
        <f>F84-Таблица1[[#This Row],[Площадь, м2.]]</f>
        <v>-10.199999999999999</v>
      </c>
      <c r="I84" s="7">
        <f t="shared" si="3"/>
        <v>10.199999999999999</v>
      </c>
      <c r="J84" s="7" t="str">
        <f t="shared" si="2"/>
        <v>10,2</v>
      </c>
      <c r="K84" s="1" t="s">
        <v>251</v>
      </c>
      <c r="O84" s="1">
        <f t="shared" si="5"/>
        <v>46119</v>
      </c>
      <c r="P84" s="1" t="str">
        <f t="shared" si="4"/>
        <v>7,4</v>
      </c>
      <c r="Q84" s="1" t="s">
        <v>34</v>
      </c>
    </row>
    <row r="85" spans="1:18" hidden="1" x14ac:dyDescent="0.3">
      <c r="A85" s="2">
        <v>114</v>
      </c>
      <c r="B85" s="3">
        <v>1.55</v>
      </c>
      <c r="C85" s="2" t="s">
        <v>15</v>
      </c>
      <c r="D85" s="2">
        <v>13.9</v>
      </c>
      <c r="E85" s="2">
        <f>Таблица1[[#This Row],[Площадь, м2.]]-I85</f>
        <v>0</v>
      </c>
      <c r="G85" s="1">
        <f>F85-Таблица1[[#This Row],[Площадь, м2.]]</f>
        <v>-13.9</v>
      </c>
      <c r="I85" s="7">
        <f t="shared" si="3"/>
        <v>13.9</v>
      </c>
      <c r="J85" s="7" t="str">
        <f t="shared" si="2"/>
        <v>13,9</v>
      </c>
      <c r="K85" s="1" t="s">
        <v>252</v>
      </c>
      <c r="O85" s="1">
        <f t="shared" si="5"/>
        <v>46155</v>
      </c>
      <c r="P85" s="1" t="str">
        <f t="shared" si="4"/>
        <v>13,5</v>
      </c>
      <c r="Q85" s="1" t="s">
        <v>35</v>
      </c>
    </row>
    <row r="86" spans="1:18" hidden="1" x14ac:dyDescent="0.3">
      <c r="A86" s="2">
        <v>115</v>
      </c>
      <c r="B86" s="3">
        <v>1.56</v>
      </c>
      <c r="C86" s="2" t="s">
        <v>15</v>
      </c>
      <c r="D86" s="2">
        <v>12.2</v>
      </c>
      <c r="E86" s="2">
        <f>Таблица1[[#This Row],[Площадь, м2.]]-I86</f>
        <v>0</v>
      </c>
      <c r="G86" s="1">
        <f>F86-Таблица1[[#This Row],[Площадь, м2.]]</f>
        <v>-12.2</v>
      </c>
      <c r="I86" s="7">
        <f t="shared" si="3"/>
        <v>12.2</v>
      </c>
      <c r="J86" s="7" t="str">
        <f t="shared" si="2"/>
        <v>12,2</v>
      </c>
      <c r="K86" s="1" t="s">
        <v>253</v>
      </c>
      <c r="O86" s="1">
        <f t="shared" si="5"/>
        <v>46123</v>
      </c>
      <c r="P86" s="1" t="str">
        <f t="shared" si="4"/>
        <v>11,4</v>
      </c>
      <c r="Q86" s="1" t="s">
        <v>36</v>
      </c>
    </row>
    <row r="87" spans="1:18" hidden="1" x14ac:dyDescent="0.3">
      <c r="A87" s="2">
        <v>116</v>
      </c>
      <c r="B87" s="3">
        <v>1.57</v>
      </c>
      <c r="C87" s="2" t="s">
        <v>15</v>
      </c>
      <c r="D87" s="2">
        <v>21.4</v>
      </c>
      <c r="E87" s="2">
        <f>Таблица1[[#This Row],[Площадь, м2.]]-I87</f>
        <v>0</v>
      </c>
      <c r="G87" s="1">
        <f>F87-Таблица1[[#This Row],[Площадь, м2.]]</f>
        <v>-21.4</v>
      </c>
      <c r="I87" s="7">
        <f t="shared" si="3"/>
        <v>21.4</v>
      </c>
      <c r="J87" s="7" t="str">
        <f t="shared" si="2"/>
        <v>21,4</v>
      </c>
      <c r="K87" s="1" t="s">
        <v>254</v>
      </c>
      <c r="O87" s="1">
        <f t="shared" si="5"/>
        <v>46193</v>
      </c>
      <c r="P87" s="1" t="str">
        <f t="shared" si="4"/>
        <v>20,6</v>
      </c>
      <c r="Q87" s="1" t="s">
        <v>37</v>
      </c>
    </row>
    <row r="88" spans="1:18" x14ac:dyDescent="0.3">
      <c r="A88" s="2">
        <v>70</v>
      </c>
      <c r="B88" s="3">
        <v>1.58</v>
      </c>
      <c r="C88" s="2" t="s">
        <v>13</v>
      </c>
      <c r="D88" s="2">
        <v>58.9</v>
      </c>
      <c r="E88" s="2">
        <f>Таблица1[[#This Row],[Площадь, м2.]]-I88</f>
        <v>0</v>
      </c>
      <c r="G88" s="1">
        <f>F88-Таблица1[[#This Row],[Площадь, м2.]]</f>
        <v>-58.9</v>
      </c>
      <c r="I88" s="7">
        <f t="shared" si="3"/>
        <v>58.9</v>
      </c>
      <c r="J88" s="7" t="str">
        <f t="shared" si="2"/>
        <v>58,9</v>
      </c>
      <c r="K88" s="1" t="s">
        <v>255</v>
      </c>
      <c r="O88" s="1" t="e">
        <f t="shared" si="5"/>
        <v>#VALUE!</v>
      </c>
      <c r="P88" s="1" t="str">
        <f t="shared" si="4"/>
        <v>57,7</v>
      </c>
      <c r="Q88" s="1" t="s">
        <v>38</v>
      </c>
    </row>
    <row r="89" spans="1:18" hidden="1" x14ac:dyDescent="0.3">
      <c r="A89" s="2">
        <v>30</v>
      </c>
      <c r="B89" s="3">
        <v>1.59</v>
      </c>
      <c r="C89" s="2" t="s">
        <v>10</v>
      </c>
      <c r="D89" s="2">
        <v>15.3</v>
      </c>
      <c r="E89" s="2">
        <f>Таблица1[[#This Row],[Площадь, м2.]]-I89</f>
        <v>0</v>
      </c>
      <c r="G89" s="1">
        <f>F89-Таблица1[[#This Row],[Площадь, м2.]]</f>
        <v>-15.3</v>
      </c>
      <c r="I89" s="7">
        <f t="shared" si="3"/>
        <v>15.3</v>
      </c>
      <c r="J89" s="7" t="str">
        <f t="shared" si="2"/>
        <v>15,3</v>
      </c>
      <c r="K89" s="1" t="s">
        <v>256</v>
      </c>
      <c r="O89" s="1">
        <f t="shared" si="5"/>
        <v>46127</v>
      </c>
      <c r="P89" s="1" t="str">
        <f t="shared" si="4"/>
        <v>15,4</v>
      </c>
      <c r="Q89" s="1" t="s">
        <v>39</v>
      </c>
      <c r="R89" s="2">
        <v>15.4</v>
      </c>
    </row>
    <row r="90" spans="1:18" hidden="1" x14ac:dyDescent="0.3">
      <c r="A90" s="2">
        <v>50</v>
      </c>
      <c r="B90" s="3">
        <v>1.6</v>
      </c>
      <c r="C90" s="2" t="s">
        <v>11</v>
      </c>
      <c r="D90" s="2">
        <v>92.5</v>
      </c>
      <c r="E90" s="2">
        <f>Таблица1[[#This Row],[Площадь, м2.]]-I90</f>
        <v>0</v>
      </c>
      <c r="F90" s="3">
        <v>92.5</v>
      </c>
      <c r="G90" s="1">
        <f>F90-Таблица1[[#This Row],[Площадь, м2.]]</f>
        <v>0</v>
      </c>
      <c r="I90" s="7">
        <f t="shared" si="3"/>
        <v>92.5</v>
      </c>
      <c r="J90" s="7" t="str">
        <f t="shared" si="2"/>
        <v>92,5</v>
      </c>
      <c r="K90" s="1" t="s">
        <v>229</v>
      </c>
      <c r="O90" s="1" t="e">
        <f t="shared" si="5"/>
        <v>#VALUE!</v>
      </c>
      <c r="P90" s="1" t="str">
        <f t="shared" si="4"/>
        <v>87,9</v>
      </c>
      <c r="Q90" s="1" t="s">
        <v>40</v>
      </c>
    </row>
    <row r="91" spans="1:18" x14ac:dyDescent="0.3">
      <c r="A91" s="2">
        <v>71</v>
      </c>
      <c r="B91" s="38">
        <v>1.61</v>
      </c>
      <c r="C91" s="2" t="s">
        <v>13</v>
      </c>
      <c r="D91" s="2">
        <v>16.8</v>
      </c>
      <c r="E91" s="2">
        <f>Таблица1[[#This Row],[Площадь, м2.]]-I91</f>
        <v>0</v>
      </c>
      <c r="G91" s="1">
        <f>F91-Таблица1[[#This Row],[Площадь, м2.]]</f>
        <v>-16.8</v>
      </c>
      <c r="I91" s="7">
        <f t="shared" si="3"/>
        <v>16.8</v>
      </c>
      <c r="J91" s="7" t="str">
        <f t="shared" si="2"/>
        <v>16,8</v>
      </c>
      <c r="K91" s="1" t="s">
        <v>257</v>
      </c>
      <c r="O91" s="1">
        <f t="shared" si="5"/>
        <v>46188</v>
      </c>
      <c r="P91" s="1" t="str">
        <f t="shared" si="4"/>
        <v>15,6</v>
      </c>
      <c r="Q91" s="1" t="s">
        <v>41</v>
      </c>
    </row>
    <row r="92" spans="1:18" hidden="1" x14ac:dyDescent="0.3">
      <c r="A92" s="2">
        <v>117</v>
      </c>
      <c r="B92" s="3">
        <v>1.62</v>
      </c>
      <c r="C92" s="2" t="s">
        <v>15</v>
      </c>
      <c r="D92" s="2">
        <v>6.2</v>
      </c>
      <c r="E92" s="2">
        <f>Таблица1[[#This Row],[Площадь, м2.]]-I92</f>
        <v>0</v>
      </c>
      <c r="G92" s="1">
        <f>F92-Таблица1[[#This Row],[Площадь, м2.]]</f>
        <v>-6.2</v>
      </c>
      <c r="I92" s="7">
        <f t="shared" si="3"/>
        <v>6.2</v>
      </c>
      <c r="J92" s="7" t="str">
        <f t="shared" si="2"/>
        <v>6,2</v>
      </c>
      <c r="K92" s="1" t="s">
        <v>230</v>
      </c>
      <c r="O92" s="1">
        <f t="shared" si="5"/>
        <v>46270</v>
      </c>
      <c r="P92" s="1" t="str">
        <f t="shared" si="4"/>
        <v>5,9</v>
      </c>
      <c r="Q92" s="1" t="s">
        <v>42</v>
      </c>
    </row>
    <row r="93" spans="1:18" hidden="1" x14ac:dyDescent="0.3">
      <c r="A93" s="2">
        <v>31</v>
      </c>
      <c r="B93" s="3">
        <v>1.63</v>
      </c>
      <c r="C93" s="2" t="s">
        <v>10</v>
      </c>
      <c r="D93" s="2">
        <v>10.9</v>
      </c>
      <c r="E93" s="2">
        <f>Таблица1[[#This Row],[Площадь, м2.]]-I93</f>
        <v>0</v>
      </c>
      <c r="G93" s="1">
        <f>F93-Таблица1[[#This Row],[Площадь, м2.]]</f>
        <v>-10.9</v>
      </c>
      <c r="I93" s="7">
        <f t="shared" si="3"/>
        <v>10.9</v>
      </c>
      <c r="J93" s="7" t="str">
        <f t="shared" si="2"/>
        <v>10,9</v>
      </c>
      <c r="K93" s="1" t="s">
        <v>258</v>
      </c>
      <c r="O93" s="1">
        <f t="shared" si="5"/>
        <v>46092</v>
      </c>
      <c r="P93" s="1" t="str">
        <f t="shared" si="4"/>
        <v>11,3</v>
      </c>
      <c r="Q93" s="1" t="s">
        <v>43</v>
      </c>
      <c r="R93" s="2">
        <v>11.3</v>
      </c>
    </row>
    <row r="94" spans="1:18" x14ac:dyDescent="0.3">
      <c r="A94" s="2">
        <v>84</v>
      </c>
      <c r="B94" s="38">
        <v>1.64</v>
      </c>
      <c r="C94" s="2" t="s">
        <v>14</v>
      </c>
      <c r="D94" s="2">
        <v>24</v>
      </c>
      <c r="E94" s="2">
        <f>Таблица1[[#This Row],[Площадь, м2.]]-I94</f>
        <v>0</v>
      </c>
      <c r="G94" s="1">
        <f>F94-Таблица1[[#This Row],[Площадь, м2.]]</f>
        <v>-24</v>
      </c>
      <c r="I94" s="7">
        <f t="shared" si="3"/>
        <v>24</v>
      </c>
      <c r="J94" s="7" t="str">
        <f t="shared" si="2"/>
        <v>24,0</v>
      </c>
      <c r="K94" s="1" t="s">
        <v>259</v>
      </c>
      <c r="O94" s="1">
        <f t="shared" si="5"/>
        <v>46165</v>
      </c>
      <c r="P94" s="1" t="str">
        <f t="shared" si="4"/>
        <v>23,5</v>
      </c>
      <c r="Q94" s="1" t="s">
        <v>44</v>
      </c>
    </row>
    <row r="95" spans="1:18" hidden="1" x14ac:dyDescent="0.3">
      <c r="A95" s="2">
        <v>118</v>
      </c>
      <c r="B95" s="3">
        <v>1.65</v>
      </c>
      <c r="C95" s="2" t="s">
        <v>15</v>
      </c>
      <c r="D95" s="2">
        <v>6.7</v>
      </c>
      <c r="E95" s="2">
        <f>Таблица1[[#This Row],[Площадь, м2.]]-I95</f>
        <v>0</v>
      </c>
      <c r="G95" s="1">
        <f>F95-Таблица1[[#This Row],[Площадь, м2.]]</f>
        <v>-6.7</v>
      </c>
      <c r="I95" s="7">
        <f t="shared" si="3"/>
        <v>6.7</v>
      </c>
      <c r="J95" s="7" t="str">
        <f t="shared" si="2"/>
        <v>6,7</v>
      </c>
      <c r="K95" s="1" t="s">
        <v>260</v>
      </c>
      <c r="O95" s="1">
        <f t="shared" si="5"/>
        <v>46118</v>
      </c>
      <c r="P95" s="1" t="str">
        <f t="shared" si="4"/>
        <v>6,4</v>
      </c>
      <c r="Q95" s="1" t="s">
        <v>45</v>
      </c>
    </row>
    <row r="96" spans="1:18" hidden="1" x14ac:dyDescent="0.3">
      <c r="A96" s="2">
        <v>119</v>
      </c>
      <c r="B96" s="3">
        <v>1.66</v>
      </c>
      <c r="C96" s="2" t="s">
        <v>15</v>
      </c>
      <c r="D96" s="2">
        <v>29.6</v>
      </c>
      <c r="E96" s="2">
        <f>Таблица1[[#This Row],[Площадь, м2.]]-I96</f>
        <v>0</v>
      </c>
      <c r="G96" s="1">
        <f>F96-Таблица1[[#This Row],[Площадь, м2.]]</f>
        <v>-29.6</v>
      </c>
      <c r="I96" s="7">
        <f t="shared" si="3"/>
        <v>29.6</v>
      </c>
      <c r="J96" s="7" t="str">
        <f t="shared" si="2"/>
        <v>29,6</v>
      </c>
      <c r="K96" s="1" t="s">
        <v>261</v>
      </c>
      <c r="O96" s="1" t="e">
        <f t="shared" si="5"/>
        <v>#VALUE!</v>
      </c>
      <c r="P96" s="1" t="str">
        <f t="shared" si="4"/>
        <v>29,0</v>
      </c>
      <c r="Q96" s="1" t="s">
        <v>46</v>
      </c>
    </row>
    <row r="97" spans="1:18" x14ac:dyDescent="0.3">
      <c r="A97" s="2">
        <v>85</v>
      </c>
      <c r="B97" s="38">
        <v>1.67</v>
      </c>
      <c r="C97" s="2" t="s">
        <v>14</v>
      </c>
      <c r="D97" s="2">
        <v>51.3</v>
      </c>
      <c r="E97" s="2">
        <f>Таблица1[[#This Row],[Площадь, м2.]]-I97</f>
        <v>0</v>
      </c>
      <c r="G97" s="1">
        <f>F97-Таблица1[[#This Row],[Площадь, м2.]]</f>
        <v>-51.3</v>
      </c>
      <c r="I97" s="7">
        <f t="shared" si="3"/>
        <v>51.3</v>
      </c>
      <c r="J97" s="7" t="str">
        <f t="shared" si="2"/>
        <v>51,3</v>
      </c>
      <c r="K97" s="1" t="s">
        <v>262</v>
      </c>
      <c r="O97" s="1" t="e">
        <f t="shared" ref="O97" si="6">VALUE(SUBSTITUTE(TRIM(RIGHTB(SUBSTITUTE(P97," ",REPT(" ",99)),99)),",","."))</f>
        <v>#VALUE!</v>
      </c>
      <c r="P97" s="1" t="str">
        <f t="shared" si="4"/>
        <v>50,0</v>
      </c>
      <c r="Q97" s="1" t="s">
        <v>47</v>
      </c>
    </row>
    <row r="98" spans="1:18" x14ac:dyDescent="0.3">
      <c r="A98" s="2">
        <v>86</v>
      </c>
      <c r="B98" s="38">
        <v>1.68</v>
      </c>
      <c r="C98" s="2" t="s">
        <v>14</v>
      </c>
      <c r="D98" s="2">
        <v>56.6</v>
      </c>
      <c r="E98" s="2">
        <f>Таблица1[[#This Row],[Площадь, м2.]]-I98</f>
        <v>0</v>
      </c>
      <c r="G98" s="1">
        <f>F98-Таблица1[[#This Row],[Площадь, м2.]]</f>
        <v>-56.6</v>
      </c>
      <c r="I98" s="7">
        <f t="shared" si="3"/>
        <v>56.6</v>
      </c>
      <c r="J98" s="7" t="str">
        <f t="shared" si="2"/>
        <v>56,6</v>
      </c>
      <c r="K98" s="1" t="s">
        <v>263</v>
      </c>
      <c r="O98" s="1" t="e">
        <f t="shared" ref="O98" si="7">VALUE(SUBSTITUTE(TRIM(RIGHTB(SUBSTITUTE(P98," ",REPT(" ",99)),99)),",","."))</f>
        <v>#VALUE!</v>
      </c>
      <c r="P98" s="1" t="str">
        <f t="shared" si="4"/>
        <v>55,7</v>
      </c>
      <c r="Q98" s="1" t="s">
        <v>48</v>
      </c>
    </row>
    <row r="99" spans="1:18" x14ac:dyDescent="0.3">
      <c r="A99" s="2">
        <v>87</v>
      </c>
      <c r="B99" s="38">
        <v>1.69</v>
      </c>
      <c r="C99" s="2" t="s">
        <v>14</v>
      </c>
      <c r="D99" s="2">
        <v>18.5</v>
      </c>
      <c r="E99" s="2">
        <f>Таблица1[[#This Row],[Площадь, м2.]]-I99</f>
        <v>0</v>
      </c>
      <c r="G99" s="1">
        <f>F99-Таблица1[[#This Row],[Площадь, м2.]]</f>
        <v>-18.5</v>
      </c>
      <c r="I99" s="7">
        <f t="shared" si="3"/>
        <v>18.5</v>
      </c>
      <c r="J99" s="7" t="str">
        <f t="shared" si="2"/>
        <v>18,5</v>
      </c>
      <c r="K99" s="1" t="s">
        <v>264</v>
      </c>
      <c r="O99" s="1" t="e">
        <f t="shared" ref="O99" si="8">VALUE(SUBSTITUTE(TRIM(RIGHTB(SUBSTITUTE(P99," ",REPT(" ",99)),99)),",","."))</f>
        <v>#VALUE!</v>
      </c>
      <c r="P99" s="1" t="str">
        <f t="shared" si="4"/>
        <v>18,0</v>
      </c>
      <c r="Q99" s="1" t="s">
        <v>49</v>
      </c>
    </row>
    <row r="100" spans="1:18" hidden="1" x14ac:dyDescent="0.3">
      <c r="A100" s="2">
        <v>32</v>
      </c>
      <c r="B100" s="3">
        <v>1.7</v>
      </c>
      <c r="C100" s="2" t="s">
        <v>10</v>
      </c>
      <c r="D100" s="2">
        <v>4.8</v>
      </c>
      <c r="E100" s="2">
        <f>Таблица1[[#This Row],[Площадь, м2.]]-I100</f>
        <v>0</v>
      </c>
      <c r="G100" s="1">
        <f>F100-Таблица1[[#This Row],[Площадь, м2.]]</f>
        <v>-4.8</v>
      </c>
      <c r="I100" s="7">
        <f t="shared" si="3"/>
        <v>4.8</v>
      </c>
      <c r="J100" s="7" t="str">
        <f t="shared" si="2"/>
        <v>4,8</v>
      </c>
      <c r="K100" s="1" t="s">
        <v>265</v>
      </c>
      <c r="O100" s="1">
        <f t="shared" ref="O100" si="9">VALUE(SUBSTITUTE(TRIM(RIGHTB(SUBSTITUTE(P100," ",REPT(" ",99)),99)),",","."))</f>
        <v>46207</v>
      </c>
      <c r="P100" s="1" t="str">
        <f t="shared" si="4"/>
        <v>4,7</v>
      </c>
      <c r="Q100" s="1" t="s">
        <v>50</v>
      </c>
      <c r="R100" s="2">
        <v>4.7</v>
      </c>
    </row>
    <row r="101" spans="1:18" hidden="1" x14ac:dyDescent="0.3">
      <c r="A101" s="2">
        <v>120</v>
      </c>
      <c r="B101" s="3">
        <v>1.71</v>
      </c>
      <c r="C101" s="2" t="s">
        <v>15</v>
      </c>
      <c r="D101" s="2">
        <v>6.7</v>
      </c>
      <c r="E101" s="2">
        <f>Таблица1[[#This Row],[Площадь, м2.]]-I101</f>
        <v>0</v>
      </c>
      <c r="G101" s="1">
        <f>F101-Таблица1[[#This Row],[Площадь, м2.]]</f>
        <v>-6.7</v>
      </c>
      <c r="I101" s="7">
        <f t="shared" si="3"/>
        <v>6.7</v>
      </c>
      <c r="J101" s="7" t="str">
        <f t="shared" si="2"/>
        <v>6,7</v>
      </c>
      <c r="K101" s="1" t="s">
        <v>266</v>
      </c>
      <c r="O101" s="1">
        <f t="shared" ref="O101" si="10">VALUE(SUBSTITUTE(TRIM(RIGHTB(SUBSTITUTE(P101," ",REPT(" ",99)),99)),",","."))</f>
        <v>46118</v>
      </c>
      <c r="P101" s="1" t="str">
        <f t="shared" si="4"/>
        <v>6,4</v>
      </c>
      <c r="Q101" s="1" t="s">
        <v>51</v>
      </c>
    </row>
    <row r="102" spans="1:18" hidden="1" x14ac:dyDescent="0.3">
      <c r="A102" s="2">
        <v>121</v>
      </c>
      <c r="B102" s="3">
        <v>1.72</v>
      </c>
      <c r="C102" s="2" t="s">
        <v>15</v>
      </c>
      <c r="D102" s="2">
        <v>29.9</v>
      </c>
      <c r="E102" s="2">
        <f>Таблица1[[#This Row],[Площадь, м2.]]-I102</f>
        <v>0</v>
      </c>
      <c r="G102" s="1">
        <f>F102-Таблица1[[#This Row],[Площадь, м2.]]</f>
        <v>-29.9</v>
      </c>
      <c r="I102" s="7">
        <f t="shared" si="3"/>
        <v>29.9</v>
      </c>
      <c r="J102" s="7" t="str">
        <f t="shared" si="2"/>
        <v>29,9</v>
      </c>
      <c r="K102" s="1" t="s">
        <v>267</v>
      </c>
      <c r="O102" s="1">
        <f t="shared" ref="O102" si="11">VALUE(SUBSTITUTE(TRIM(RIGHTB(SUBSTITUTE(P102," ",REPT(" ",99)),99)),",","."))</f>
        <v>46110</v>
      </c>
      <c r="P102" s="1" t="str">
        <f t="shared" si="4"/>
        <v>29,3</v>
      </c>
      <c r="Q102" s="1" t="s">
        <v>52</v>
      </c>
    </row>
    <row r="103" spans="1:18" x14ac:dyDescent="0.3">
      <c r="A103" s="2">
        <v>88</v>
      </c>
      <c r="B103" s="38">
        <v>1.73</v>
      </c>
      <c r="C103" s="2" t="s">
        <v>14</v>
      </c>
      <c r="D103" s="2">
        <v>51.2</v>
      </c>
      <c r="E103" s="2">
        <f>Таблица1[[#This Row],[Площадь, м2.]]-I103</f>
        <v>0</v>
      </c>
      <c r="G103" s="1">
        <f>F103-Таблица1[[#This Row],[Площадь, м2.]]</f>
        <v>-51.2</v>
      </c>
      <c r="I103" s="7">
        <f t="shared" si="3"/>
        <v>51.2</v>
      </c>
      <c r="J103" s="7" t="str">
        <f t="shared" si="2"/>
        <v>51,2</v>
      </c>
      <c r="K103" s="1" t="s">
        <v>268</v>
      </c>
      <c r="O103" s="1" t="e">
        <f t="shared" ref="O103" si="12">VALUE(SUBSTITUTE(TRIM(RIGHTB(SUBSTITUTE(P103," ",REPT(" ",99)),99)),",","."))</f>
        <v>#VALUE!</v>
      </c>
      <c r="P103" s="1" t="str">
        <f t="shared" si="4"/>
        <v>50,3</v>
      </c>
      <c r="Q103" s="1" t="s">
        <v>53</v>
      </c>
    </row>
    <row r="104" spans="1:18" x14ac:dyDescent="0.3">
      <c r="A104" s="2">
        <v>89</v>
      </c>
      <c r="B104" s="38">
        <v>1.74</v>
      </c>
      <c r="C104" s="2" t="s">
        <v>14</v>
      </c>
      <c r="D104" s="2">
        <v>56.3</v>
      </c>
      <c r="E104" s="2">
        <f>Таблица1[[#This Row],[Площадь, м2.]]-I104</f>
        <v>0</v>
      </c>
      <c r="G104" s="1">
        <f>F104-Таблица1[[#This Row],[Площадь, м2.]]</f>
        <v>-56.3</v>
      </c>
      <c r="I104" s="7">
        <f t="shared" si="3"/>
        <v>56.3</v>
      </c>
      <c r="J104" s="7" t="str">
        <f t="shared" si="2"/>
        <v>56,3</v>
      </c>
      <c r="K104" s="1" t="s">
        <v>269</v>
      </c>
      <c r="O104" s="1" t="e">
        <f t="shared" ref="O104" si="13">VALUE(SUBSTITUTE(TRIM(RIGHTB(SUBSTITUTE(P104," ",REPT(" ",99)),99)),",","."))</f>
        <v>#VALUE!</v>
      </c>
      <c r="P104" s="1" t="str">
        <f t="shared" si="4"/>
        <v>55,4</v>
      </c>
      <c r="Q104" s="1" t="s">
        <v>54</v>
      </c>
    </row>
    <row r="105" spans="1:18" hidden="1" x14ac:dyDescent="0.3">
      <c r="A105" s="2">
        <v>122</v>
      </c>
      <c r="B105" s="3">
        <v>1.75</v>
      </c>
      <c r="C105" s="2" t="s">
        <v>15</v>
      </c>
      <c r="D105" s="2">
        <v>5.7</v>
      </c>
      <c r="E105" s="2">
        <f>Таблица1[[#This Row],[Площадь, м2.]]-I105</f>
        <v>0</v>
      </c>
      <c r="G105" s="1">
        <f>F105-Таблица1[[#This Row],[Площадь, м2.]]</f>
        <v>-5.7</v>
      </c>
      <c r="I105" s="7">
        <f t="shared" si="3"/>
        <v>5.7</v>
      </c>
      <c r="J105" s="7" t="str">
        <f t="shared" si="2"/>
        <v>5,7</v>
      </c>
      <c r="K105" s="1" t="s">
        <v>270</v>
      </c>
      <c r="O105" s="1">
        <f t="shared" ref="O105" si="14">VALUE(SUBSTITUTE(TRIM(RIGHTB(SUBSTITUTE(P105," ",REPT(" ",99)),99)),",","."))</f>
        <v>46028</v>
      </c>
      <c r="P105" s="1" t="str">
        <f t="shared" si="4"/>
        <v>6,1</v>
      </c>
      <c r="Q105" s="1" t="s">
        <v>55</v>
      </c>
    </row>
    <row r="106" spans="1:18" x14ac:dyDescent="0.3">
      <c r="A106" s="2">
        <v>72</v>
      </c>
      <c r="B106" s="3">
        <v>1.76</v>
      </c>
      <c r="C106" s="2" t="s">
        <v>13</v>
      </c>
      <c r="D106" s="2">
        <v>6.3</v>
      </c>
      <c r="E106" s="2">
        <f>Таблица1[[#This Row],[Площадь, м2.]]-I106</f>
        <v>-4.3999999999999995</v>
      </c>
      <c r="G106" s="1">
        <f>F106-Таблица1[[#This Row],[Площадь, м2.]]</f>
        <v>-6.3</v>
      </c>
      <c r="I106" s="7">
        <f t="shared" si="3"/>
        <v>10.7</v>
      </c>
      <c r="J106" s="7" t="str">
        <f t="shared" si="2"/>
        <v>10,7</v>
      </c>
      <c r="K106" s="1" t="s">
        <v>231</v>
      </c>
      <c r="O106" s="1">
        <f t="shared" ref="O106" si="15">VALUE(SUBSTITUTE(TRIM(RIGHTB(SUBSTITUTE(P106," ",REPT(" ",99)),99)),",","."))</f>
        <v>46087</v>
      </c>
      <c r="P106" s="1" t="str">
        <f t="shared" si="4"/>
        <v>6,3</v>
      </c>
      <c r="Q106" s="1" t="s">
        <v>56</v>
      </c>
    </row>
    <row r="107" spans="1:18" x14ac:dyDescent="0.3">
      <c r="A107" s="2">
        <v>73</v>
      </c>
      <c r="B107" s="38">
        <v>1.77</v>
      </c>
      <c r="C107" s="2" t="s">
        <v>13</v>
      </c>
      <c r="D107" s="2">
        <v>41.2</v>
      </c>
      <c r="E107" s="2">
        <f>Таблица1[[#This Row],[Площадь, м2.]]-I107</f>
        <v>0</v>
      </c>
      <c r="G107" s="1">
        <f>F107-Таблица1[[#This Row],[Площадь, м2.]]</f>
        <v>-41.2</v>
      </c>
      <c r="I107" s="7">
        <f t="shared" si="3"/>
        <v>41.2</v>
      </c>
      <c r="J107" s="7" t="str">
        <f t="shared" si="2"/>
        <v>41,2</v>
      </c>
      <c r="K107" s="1" t="s">
        <v>57</v>
      </c>
      <c r="O107" s="1" t="e">
        <f t="shared" ref="O107" si="16">VALUE(SUBSTITUTE(TRIM(RIGHTB(SUBSTITUTE(P107," ",REPT(" ",99)),99)),",","."))</f>
        <v>#VALUE!</v>
      </c>
      <c r="P107" s="1" t="str">
        <f t="shared" si="4"/>
        <v>41,2</v>
      </c>
      <c r="Q107" s="1" t="s">
        <v>57</v>
      </c>
    </row>
    <row r="108" spans="1:18" x14ac:dyDescent="0.3">
      <c r="B108" s="38">
        <v>1.78</v>
      </c>
      <c r="C108" s="2" t="s">
        <v>13</v>
      </c>
      <c r="D108" s="2">
        <v>60</v>
      </c>
      <c r="E108" s="2">
        <f>Таблица1[[#This Row],[Площадь, м2.]]-I108</f>
        <v>-0.79999999999999716</v>
      </c>
      <c r="G108" s="1">
        <f>F108-Таблица1[[#This Row],[Площадь, м2.]]</f>
        <v>-60</v>
      </c>
      <c r="I108" s="7">
        <f t="shared" si="3"/>
        <v>60.8</v>
      </c>
      <c r="J108" s="7" t="str">
        <f t="shared" si="2"/>
        <v>60,8</v>
      </c>
      <c r="K108" s="1" t="s">
        <v>272</v>
      </c>
      <c r="O108" s="1" t="e">
        <f t="shared" ref="O108" si="17">VALUE(SUBSTITUTE(TRIM(RIGHTB(SUBSTITUTE(P108," ",REPT(" ",99)),99)),",","."))</f>
        <v>#VALUE!</v>
      </c>
      <c r="P108" s="1" t="str">
        <f t="shared" si="4"/>
        <v>60,0</v>
      </c>
      <c r="Q108" s="1" t="s">
        <v>58</v>
      </c>
    </row>
    <row r="109" spans="1:18" hidden="1" x14ac:dyDescent="0.3">
      <c r="A109" s="2">
        <v>51</v>
      </c>
      <c r="B109" s="3">
        <v>1.79</v>
      </c>
      <c r="C109" s="2" t="s">
        <v>11</v>
      </c>
      <c r="D109" s="2">
        <v>29.9</v>
      </c>
      <c r="E109" s="2">
        <f>Таблица1[[#This Row],[Площадь, м2.]]-I109</f>
        <v>-0.90000000000000213</v>
      </c>
      <c r="F109" s="3">
        <v>26</v>
      </c>
      <c r="G109" s="1">
        <f>F109-Таблица1[[#This Row],[Площадь, м2.]]</f>
        <v>-3.8999999999999986</v>
      </c>
      <c r="I109" s="7">
        <f t="shared" si="3"/>
        <v>30.8</v>
      </c>
      <c r="J109" s="7" t="str">
        <f t="shared" si="2"/>
        <v>30,8</v>
      </c>
      <c r="K109" s="1" t="s">
        <v>232</v>
      </c>
      <c r="O109" s="1">
        <f t="shared" ref="O109" si="18">VALUE(SUBSTITUTE(TRIM(RIGHTB(SUBSTITUTE(P109," ",REPT(" ",99)),99)),",","."))</f>
        <v>46294</v>
      </c>
      <c r="P109" s="1" t="str">
        <f t="shared" si="4"/>
        <v>29,9</v>
      </c>
      <c r="Q109" s="1" t="s">
        <v>59</v>
      </c>
    </row>
    <row r="110" spans="1:18" hidden="1" x14ac:dyDescent="0.3">
      <c r="A110" s="2">
        <v>52</v>
      </c>
      <c r="B110" s="3">
        <v>1.8</v>
      </c>
      <c r="C110" s="2" t="s">
        <v>11</v>
      </c>
      <c r="D110" s="2">
        <v>24.9</v>
      </c>
      <c r="E110" s="2">
        <f>Таблица1[[#This Row],[Площадь, м2.]]-I110</f>
        <v>-2</v>
      </c>
      <c r="F110" s="3">
        <v>19.3</v>
      </c>
      <c r="G110" s="1">
        <f>F110-Таблица1[[#This Row],[Площадь, м2.]]</f>
        <v>-5.5999999999999979</v>
      </c>
      <c r="I110" s="7">
        <f t="shared" si="3"/>
        <v>26.9</v>
      </c>
      <c r="J110" s="7" t="str">
        <f t="shared" si="2"/>
        <v>26,9</v>
      </c>
      <c r="K110" s="1" t="s">
        <v>233</v>
      </c>
      <c r="O110" s="1">
        <f t="shared" ref="O110" si="19">VALUE(SUBSTITUTE(TRIM(RIGHTB(SUBSTITUTE(P110," ",REPT(" ",99)),99)),",","."))</f>
        <v>46289</v>
      </c>
      <c r="P110" s="1" t="str">
        <f t="shared" si="4"/>
        <v>24,9</v>
      </c>
      <c r="Q110" s="1" t="s">
        <v>60</v>
      </c>
    </row>
    <row r="111" spans="1:18" hidden="1" x14ac:dyDescent="0.3">
      <c r="A111" s="2">
        <v>53</v>
      </c>
      <c r="B111" s="3">
        <v>1.81</v>
      </c>
      <c r="C111" s="2" t="s">
        <v>11</v>
      </c>
      <c r="D111" s="2">
        <v>6.3</v>
      </c>
      <c r="E111" s="2">
        <f>Таблица1[[#This Row],[Площадь, м2.]]-I111</f>
        <v>-0.20000000000000018</v>
      </c>
      <c r="F111" s="3">
        <v>6.5</v>
      </c>
      <c r="G111" s="1">
        <f>F111-Таблица1[[#This Row],[Площадь, м2.]]</f>
        <v>0.20000000000000018</v>
      </c>
      <c r="I111" s="7">
        <f t="shared" si="3"/>
        <v>6.5</v>
      </c>
      <c r="J111" s="7" t="str">
        <f t="shared" si="2"/>
        <v>6,5</v>
      </c>
      <c r="K111" s="1" t="s">
        <v>271</v>
      </c>
      <c r="O111" s="1">
        <f t="shared" ref="O111" si="20">VALUE(SUBSTITUTE(TRIM(RIGHTB(SUBSTITUTE(P111," ",REPT(" ",99)),99)),",","."))</f>
        <v>46087</v>
      </c>
      <c r="P111" s="1" t="str">
        <f t="shared" si="4"/>
        <v>6,3</v>
      </c>
      <c r="Q111" s="1" t="s">
        <v>61</v>
      </c>
    </row>
    <row r="112" spans="1:18" x14ac:dyDescent="0.3">
      <c r="A112" s="2">
        <v>74</v>
      </c>
      <c r="B112" s="3">
        <v>1.82</v>
      </c>
      <c r="C112" s="2" t="s">
        <v>13</v>
      </c>
      <c r="D112" s="2">
        <v>24.5</v>
      </c>
      <c r="E112" s="2">
        <f>Таблица1[[#This Row],[Площадь, м2.]]-I112</f>
        <v>-0.69999999999999929</v>
      </c>
      <c r="G112" s="1">
        <f>F112-Таблица1[[#This Row],[Площадь, м2.]]</f>
        <v>-24.5</v>
      </c>
      <c r="I112" s="7">
        <f t="shared" si="3"/>
        <v>25.2</v>
      </c>
      <c r="J112" s="7" t="str">
        <f t="shared" si="2"/>
        <v>25,2</v>
      </c>
      <c r="K112" s="1" t="s">
        <v>273</v>
      </c>
      <c r="O112" s="1">
        <f t="shared" ref="O112" si="21">VALUE(SUBSTITUTE(TRIM(RIGHTB(SUBSTITUTE(P112," ",REPT(" ",99)),99)),",","."))</f>
        <v>46166</v>
      </c>
      <c r="P112" s="1" t="str">
        <f t="shared" si="4"/>
        <v>24,5</v>
      </c>
      <c r="Q112" s="1" t="s">
        <v>62</v>
      </c>
    </row>
    <row r="113" spans="1:17" x14ac:dyDescent="0.3">
      <c r="A113" s="2">
        <v>143</v>
      </c>
      <c r="B113" s="38">
        <v>2.0099999999999998</v>
      </c>
      <c r="C113" s="2" t="s">
        <v>17</v>
      </c>
      <c r="D113" s="2">
        <v>62.6</v>
      </c>
      <c r="E113" s="2">
        <f>Таблица1[[#This Row],[Площадь, м2.]]-I113</f>
        <v>-1.1000000000000014</v>
      </c>
      <c r="F113" s="3">
        <v>63.7</v>
      </c>
      <c r="G113" s="1">
        <f>F113-Таблица1[[#This Row],[Площадь, м2.]]</f>
        <v>1.1000000000000014</v>
      </c>
      <c r="I113" s="7">
        <f t="shared" si="3"/>
        <v>63.7</v>
      </c>
      <c r="J113" s="7" t="str">
        <f t="shared" si="2"/>
        <v>63,7</v>
      </c>
      <c r="K113" s="1" t="s">
        <v>275</v>
      </c>
      <c r="O113" s="1" t="e">
        <f t="shared" ref="O113" si="22">VALUE(SUBSTITUTE(TRIM(RIGHTB(SUBSTITUTE(P113," ",REPT(" ",99)),99)),",","."))</f>
        <v>#VALUE!</v>
      </c>
      <c r="P113" s="1" t="str">
        <f t="shared" si="4"/>
        <v>62,6</v>
      </c>
      <c r="Q113" s="1" t="s">
        <v>63</v>
      </c>
    </row>
    <row r="114" spans="1:17" x14ac:dyDescent="0.3">
      <c r="A114" s="2">
        <v>144</v>
      </c>
      <c r="B114" s="38">
        <v>2.02</v>
      </c>
      <c r="C114" s="2" t="s">
        <v>17</v>
      </c>
      <c r="D114" s="2">
        <v>89</v>
      </c>
      <c r="E114" s="2">
        <f>Таблица1[[#This Row],[Площадь, м2.]]-I114</f>
        <v>-1.2000000000000028</v>
      </c>
      <c r="F114" s="3">
        <v>90.2</v>
      </c>
      <c r="G114" s="1">
        <f>F114-Таблица1[[#This Row],[Площадь, м2.]]</f>
        <v>1.2000000000000028</v>
      </c>
      <c r="I114" s="7">
        <f t="shared" si="3"/>
        <v>90.2</v>
      </c>
      <c r="J114" s="7" t="str">
        <f t="shared" si="2"/>
        <v>90,2</v>
      </c>
      <c r="K114" s="1" t="s">
        <v>276</v>
      </c>
      <c r="O114" s="1" t="e">
        <f t="shared" ref="O114" si="23">VALUE(SUBSTITUTE(TRIM(RIGHTB(SUBSTITUTE(P114," ",REPT(" ",99)),99)),",","."))</f>
        <v>#VALUE!</v>
      </c>
      <c r="P114" s="1" t="str">
        <f t="shared" si="4"/>
        <v>89,0</v>
      </c>
      <c r="Q114" s="1" t="s">
        <v>64</v>
      </c>
    </row>
    <row r="115" spans="1:17" x14ac:dyDescent="0.3">
      <c r="A115" s="2">
        <v>145</v>
      </c>
      <c r="B115" s="38">
        <v>2.0299999999999998</v>
      </c>
      <c r="C115" s="2" t="s">
        <v>17</v>
      </c>
      <c r="D115" s="2">
        <v>39.4</v>
      </c>
      <c r="E115" s="2">
        <f>Таблица1[[#This Row],[Площадь, м2.]]-I115</f>
        <v>-0.39999999999999858</v>
      </c>
      <c r="F115" s="3">
        <v>39.799999999999997</v>
      </c>
      <c r="G115" s="1">
        <f>F115-Таблица1[[#This Row],[Площадь, м2.]]</f>
        <v>0.39999999999999858</v>
      </c>
      <c r="I115" s="7">
        <f t="shared" si="3"/>
        <v>39.799999999999997</v>
      </c>
      <c r="J115" s="7" t="str">
        <f t="shared" si="2"/>
        <v>39,8</v>
      </c>
      <c r="K115" s="1" t="s">
        <v>277</v>
      </c>
      <c r="O115" s="1" t="e">
        <f t="shared" ref="O115" si="24">VALUE(SUBSTITUTE(TRIM(RIGHTB(SUBSTITUTE(P115," ",REPT(" ",99)),99)),",","."))</f>
        <v>#VALUE!</v>
      </c>
      <c r="P115" s="1" t="str">
        <f t="shared" si="4"/>
        <v>39,4</v>
      </c>
      <c r="Q115" s="1" t="s">
        <v>65</v>
      </c>
    </row>
    <row r="116" spans="1:17" x14ac:dyDescent="0.3">
      <c r="A116" s="2">
        <v>146</v>
      </c>
      <c r="B116" s="38">
        <v>2.04</v>
      </c>
      <c r="C116" s="2" t="s">
        <v>17</v>
      </c>
      <c r="D116" s="2">
        <v>63</v>
      </c>
      <c r="E116" s="2">
        <f>Таблица1[[#This Row],[Площадь, м2.]]-I116</f>
        <v>-1</v>
      </c>
      <c r="F116" s="3">
        <v>64</v>
      </c>
      <c r="G116" s="1">
        <f>F116-Таблица1[[#This Row],[Площадь, м2.]]</f>
        <v>1</v>
      </c>
      <c r="I116" s="7">
        <f t="shared" si="3"/>
        <v>64</v>
      </c>
      <c r="J116" s="7" t="str">
        <f t="shared" si="2"/>
        <v>64,0</v>
      </c>
      <c r="K116" s="1" t="s">
        <v>278</v>
      </c>
      <c r="O116" s="1" t="e">
        <f t="shared" ref="O116" si="25">VALUE(SUBSTITUTE(TRIM(RIGHTB(SUBSTITUTE(P116," ",REPT(" ",99)),99)),",","."))</f>
        <v>#VALUE!</v>
      </c>
      <c r="P116" s="1" t="str">
        <f t="shared" si="4"/>
        <v>63,0</v>
      </c>
      <c r="Q116" s="1" t="s">
        <v>66</v>
      </c>
    </row>
    <row r="117" spans="1:17" x14ac:dyDescent="0.3">
      <c r="A117" s="2">
        <v>147</v>
      </c>
      <c r="B117" s="38">
        <v>2.0499999999999998</v>
      </c>
      <c r="C117" s="2" t="s">
        <v>17</v>
      </c>
      <c r="D117" s="2">
        <v>64.400000000000006</v>
      </c>
      <c r="E117" s="2">
        <f>Таблица1[[#This Row],[Площадь, м2.]]-I117</f>
        <v>-1</v>
      </c>
      <c r="F117" s="3">
        <v>65.400000000000006</v>
      </c>
      <c r="G117" s="1">
        <f>F117-Таблица1[[#This Row],[Площадь, м2.]]</f>
        <v>1</v>
      </c>
      <c r="I117" s="7">
        <f t="shared" si="3"/>
        <v>65.400000000000006</v>
      </c>
      <c r="J117" s="7" t="str">
        <f t="shared" si="2"/>
        <v>65,4</v>
      </c>
      <c r="K117" s="1" t="s">
        <v>279</v>
      </c>
      <c r="O117" s="1" t="e">
        <f t="shared" ref="O117" si="26">VALUE(SUBSTITUTE(TRIM(RIGHTB(SUBSTITUTE(P117," ",REPT(" ",99)),99)),",","."))</f>
        <v>#VALUE!</v>
      </c>
      <c r="P117" s="1" t="str">
        <f t="shared" si="4"/>
        <v>64,4</v>
      </c>
      <c r="Q117" s="1" t="s">
        <v>67</v>
      </c>
    </row>
    <row r="118" spans="1:17" x14ac:dyDescent="0.3">
      <c r="A118" s="2">
        <v>148</v>
      </c>
      <c r="B118" s="38">
        <v>2.06</v>
      </c>
      <c r="C118" s="2" t="s">
        <v>17</v>
      </c>
      <c r="D118" s="2">
        <v>63.3</v>
      </c>
      <c r="E118" s="2">
        <f>Таблица1[[#This Row],[Площадь, м2.]]-I118</f>
        <v>-0.79999999999999716</v>
      </c>
      <c r="F118" s="3">
        <v>64.099999999999994</v>
      </c>
      <c r="G118" s="1">
        <f>F118-Таблица1[[#This Row],[Площадь, м2.]]</f>
        <v>0.79999999999999716</v>
      </c>
      <c r="I118" s="7">
        <f t="shared" si="3"/>
        <v>64.099999999999994</v>
      </c>
      <c r="J118" s="7" t="str">
        <f t="shared" si="2"/>
        <v>64,1</v>
      </c>
      <c r="K118" s="1" t="s">
        <v>280</v>
      </c>
      <c r="O118" s="1" t="e">
        <f t="shared" ref="O118" si="27">VALUE(SUBSTITUTE(TRIM(RIGHTB(SUBSTITUTE(P118," ",REPT(" ",99)),99)),",","."))</f>
        <v>#VALUE!</v>
      </c>
      <c r="P118" s="1" t="str">
        <f t="shared" si="4"/>
        <v>63,3</v>
      </c>
      <c r="Q118" s="1" t="s">
        <v>68</v>
      </c>
    </row>
    <row r="119" spans="1:17" x14ac:dyDescent="0.3">
      <c r="A119" s="2">
        <v>149</v>
      </c>
      <c r="B119" s="38">
        <v>2.0699999999999998</v>
      </c>
      <c r="C119" s="2" t="s">
        <v>17</v>
      </c>
      <c r="D119" s="2">
        <v>63.3</v>
      </c>
      <c r="E119" s="2">
        <f>Таблица1[[#This Row],[Площадь, м2.]]-I119</f>
        <v>-1</v>
      </c>
      <c r="F119" s="3">
        <v>64.3</v>
      </c>
      <c r="G119" s="1">
        <f>F119-Таблица1[[#This Row],[Площадь, м2.]]</f>
        <v>1</v>
      </c>
      <c r="I119" s="7">
        <f t="shared" si="3"/>
        <v>64.3</v>
      </c>
      <c r="J119" s="7" t="str">
        <f t="shared" si="2"/>
        <v>64,3</v>
      </c>
      <c r="K119" s="1" t="s">
        <v>281</v>
      </c>
      <c r="O119" s="1" t="e">
        <f t="shared" ref="O119" si="28">VALUE(SUBSTITUTE(TRIM(RIGHTB(SUBSTITUTE(P119," ",REPT(" ",99)),99)),",","."))</f>
        <v>#VALUE!</v>
      </c>
      <c r="P119" s="1" t="str">
        <f t="shared" si="4"/>
        <v>63,3</v>
      </c>
      <c r="Q119" s="1" t="s">
        <v>69</v>
      </c>
    </row>
    <row r="120" spans="1:17" x14ac:dyDescent="0.3">
      <c r="A120" s="2">
        <v>75</v>
      </c>
      <c r="B120" s="38">
        <v>2.08</v>
      </c>
      <c r="C120" s="2" t="s">
        <v>13</v>
      </c>
      <c r="D120" s="2">
        <v>78.599999999999994</v>
      </c>
      <c r="E120" s="2">
        <f>Таблица1[[#This Row],[Площадь, м2.]]-I120</f>
        <v>-0.20000000000000284</v>
      </c>
      <c r="G120" s="1">
        <f>F120-Таблица1[[#This Row],[Площадь, м2.]]</f>
        <v>-78.599999999999994</v>
      </c>
      <c r="I120" s="7">
        <f t="shared" si="3"/>
        <v>78.8</v>
      </c>
      <c r="J120" s="7" t="str">
        <f t="shared" si="2"/>
        <v>78,8</v>
      </c>
      <c r="K120" s="1" t="s">
        <v>282</v>
      </c>
      <c r="O120" s="1" t="e">
        <f t="shared" ref="O120" si="29">VALUE(SUBSTITUTE(TRIM(RIGHTB(SUBSTITUTE(P120," ",REPT(" ",99)),99)),",","."))</f>
        <v>#VALUE!</v>
      </c>
      <c r="P120" s="1" t="str">
        <f t="shared" si="4"/>
        <v>78,6</v>
      </c>
      <c r="Q120" s="1" t="s">
        <v>70</v>
      </c>
    </row>
    <row r="121" spans="1:17" hidden="1" x14ac:dyDescent="0.3">
      <c r="A121" s="2">
        <v>185</v>
      </c>
      <c r="B121" s="3">
        <v>2.09</v>
      </c>
      <c r="C121" s="2" t="s">
        <v>19</v>
      </c>
      <c r="D121" s="2">
        <v>5.0999999999999996</v>
      </c>
      <c r="E121" s="2">
        <f>Таблица1[[#This Row],[Площадь, м2.]]-I121</f>
        <v>0</v>
      </c>
      <c r="G121" s="1">
        <f>F121-Таблица1[[#This Row],[Площадь, м2.]]</f>
        <v>-5.0999999999999996</v>
      </c>
      <c r="I121" s="7">
        <f t="shared" si="3"/>
        <v>5.0999999999999996</v>
      </c>
      <c r="J121" s="7" t="str">
        <f t="shared" si="2"/>
        <v>5,1</v>
      </c>
      <c r="K121" s="1" t="s">
        <v>283</v>
      </c>
      <c r="O121" s="1">
        <f t="shared" ref="O121" si="30">VALUE(SUBSTITUTE(TRIM(RIGHTB(SUBSTITUTE(P121," ",REPT(" ",99)),99)),",","."))</f>
        <v>46027</v>
      </c>
      <c r="P121" s="1" t="str">
        <f t="shared" si="4"/>
        <v>5,1</v>
      </c>
      <c r="Q121" s="1" t="s">
        <v>71</v>
      </c>
    </row>
    <row r="122" spans="1:17" hidden="1" x14ac:dyDescent="0.3">
      <c r="A122" s="2">
        <v>186</v>
      </c>
      <c r="B122" s="3">
        <v>2.1</v>
      </c>
      <c r="C122" s="2" t="s">
        <v>19</v>
      </c>
      <c r="D122" s="2">
        <v>13.1</v>
      </c>
      <c r="E122" s="2">
        <f>Таблица1[[#This Row],[Площадь, м2.]]-I122</f>
        <v>0</v>
      </c>
      <c r="G122" s="1">
        <f>F122-Таблица1[[#This Row],[Площадь, м2.]]</f>
        <v>-13.1</v>
      </c>
      <c r="I122" s="7">
        <f t="shared" si="3"/>
        <v>13.1</v>
      </c>
      <c r="J122" s="7" t="str">
        <f t="shared" si="2"/>
        <v>13,1</v>
      </c>
      <c r="K122" s="1" t="s">
        <v>284</v>
      </c>
      <c r="O122" s="1">
        <f t="shared" ref="O122" si="31">VALUE(SUBSTITUTE(TRIM(RIGHTB(SUBSTITUTE(P122," ",REPT(" ",99)),99)),",","."))</f>
        <v>46033</v>
      </c>
      <c r="P122" s="1" t="str">
        <f t="shared" si="4"/>
        <v>11,1</v>
      </c>
      <c r="Q122" s="1" t="s">
        <v>72</v>
      </c>
    </row>
    <row r="123" spans="1:17" hidden="1" x14ac:dyDescent="0.3">
      <c r="A123" s="2">
        <v>187</v>
      </c>
      <c r="B123" s="3">
        <v>2.11</v>
      </c>
      <c r="C123" s="2" t="s">
        <v>19</v>
      </c>
      <c r="D123" s="2">
        <v>13.1</v>
      </c>
      <c r="E123" s="2">
        <f>Таблица1[[#This Row],[Площадь, м2.]]-I123</f>
        <v>0</v>
      </c>
      <c r="G123" s="1">
        <f>F123-Таблица1[[#This Row],[Площадь, м2.]]</f>
        <v>-13.1</v>
      </c>
      <c r="I123" s="7">
        <f t="shared" si="3"/>
        <v>13.1</v>
      </c>
      <c r="J123" s="7" t="str">
        <f t="shared" si="2"/>
        <v>13,1</v>
      </c>
      <c r="K123" s="1" t="s">
        <v>285</v>
      </c>
      <c r="O123" s="1">
        <f t="shared" ref="O123" si="32">VALUE(SUBSTITUTE(TRIM(RIGHTB(SUBSTITUTE(P123," ",REPT(" ",99)),99)),",","."))</f>
        <v>46064</v>
      </c>
      <c r="P123" s="1" t="str">
        <f t="shared" si="4"/>
        <v>11,2</v>
      </c>
      <c r="Q123" s="1" t="s">
        <v>73</v>
      </c>
    </row>
    <row r="124" spans="1:17" x14ac:dyDescent="0.3">
      <c r="A124" s="2">
        <v>150</v>
      </c>
      <c r="B124" s="38">
        <v>2.12</v>
      </c>
      <c r="C124" s="2" t="s">
        <v>17</v>
      </c>
      <c r="D124" s="2">
        <v>27</v>
      </c>
      <c r="E124" s="2">
        <f>Таблица1[[#This Row],[Площадь, м2.]]-I124</f>
        <v>0</v>
      </c>
      <c r="F124" s="3">
        <v>27</v>
      </c>
      <c r="G124" s="1">
        <f>F124-Таблица1[[#This Row],[Площадь, м2.]]</f>
        <v>0</v>
      </c>
      <c r="I124" s="7">
        <f t="shared" si="3"/>
        <v>27</v>
      </c>
      <c r="J124" s="7" t="str">
        <f t="shared" si="2"/>
        <v>27,0</v>
      </c>
      <c r="K124" s="1" t="s">
        <v>286</v>
      </c>
      <c r="O124" s="1">
        <f t="shared" ref="O124" si="33">VALUE(SUBSTITUTE(TRIM(RIGHTB(SUBSTITUTE(P124," ",REPT(" ",99)),99)),",","."))</f>
        <v>46228</v>
      </c>
      <c r="P124" s="1" t="str">
        <f t="shared" si="4"/>
        <v>25,7</v>
      </c>
      <c r="Q124" s="1" t="s">
        <v>74</v>
      </c>
    </row>
    <row r="125" spans="1:17" hidden="1" x14ac:dyDescent="0.3">
      <c r="A125" s="2">
        <v>188</v>
      </c>
      <c r="B125" s="3">
        <v>2.13</v>
      </c>
      <c r="C125" s="2" t="s">
        <v>19</v>
      </c>
      <c r="D125" s="2">
        <v>12.7</v>
      </c>
      <c r="E125" s="2">
        <f>Таблица1[[#This Row],[Площадь, м2.]]-I125</f>
        <v>0</v>
      </c>
      <c r="G125" s="1">
        <f>F125-Таблица1[[#This Row],[Площадь, м2.]]</f>
        <v>-12.7</v>
      </c>
      <c r="I125" s="7">
        <f t="shared" si="3"/>
        <v>12.7</v>
      </c>
      <c r="J125" s="7" t="str">
        <f t="shared" si="2"/>
        <v>12,7</v>
      </c>
      <c r="K125" s="1" t="s">
        <v>287</v>
      </c>
      <c r="O125" s="1">
        <f t="shared" ref="O125" si="34">VALUE(SUBSTITUTE(TRIM(RIGHTB(SUBSTITUTE(P125," ",REPT(" ",99)),99)),",","."))</f>
        <v>46066</v>
      </c>
      <c r="P125" s="1" t="str">
        <f t="shared" si="4"/>
        <v>13,2</v>
      </c>
      <c r="Q125" s="1" t="s">
        <v>75</v>
      </c>
    </row>
    <row r="126" spans="1:17" hidden="1" x14ac:dyDescent="0.3">
      <c r="A126" s="2">
        <v>189</v>
      </c>
      <c r="B126" s="3">
        <v>2.14</v>
      </c>
      <c r="C126" s="2" t="s">
        <v>19</v>
      </c>
      <c r="D126" s="2">
        <v>8.5</v>
      </c>
      <c r="E126" s="2">
        <f>Таблица1[[#This Row],[Площадь, м2.]]-I126</f>
        <v>0</v>
      </c>
      <c r="G126" s="1">
        <f>F126-Таблица1[[#This Row],[Площадь, м2.]]</f>
        <v>-8.5</v>
      </c>
      <c r="I126" s="7">
        <f t="shared" si="3"/>
        <v>8.5</v>
      </c>
      <c r="J126" s="7" t="str">
        <f t="shared" si="2"/>
        <v>8,5</v>
      </c>
      <c r="K126" s="1" t="s">
        <v>288</v>
      </c>
      <c r="O126" s="1">
        <f t="shared" ref="O126" si="35">VALUE(SUBSTITUTE(TRIM(RIGHTB(SUBSTITUTE(P126," ",REPT(" ",99)),99)),",","."))</f>
        <v>46241</v>
      </c>
      <c r="P126" s="1" t="str">
        <f t="shared" si="4"/>
        <v>7,8</v>
      </c>
      <c r="Q126" s="1" t="s">
        <v>76</v>
      </c>
    </row>
    <row r="127" spans="1:17" x14ac:dyDescent="0.3">
      <c r="A127" s="2">
        <v>151</v>
      </c>
      <c r="B127" s="38">
        <v>2.15</v>
      </c>
      <c r="C127" s="2" t="s">
        <v>17</v>
      </c>
      <c r="D127" s="2">
        <v>28</v>
      </c>
      <c r="E127" s="2">
        <f>Таблица1[[#This Row],[Площадь, м2.]]-I127</f>
        <v>0</v>
      </c>
      <c r="F127" s="3">
        <v>28</v>
      </c>
      <c r="G127" s="1">
        <f>F127-Таблица1[[#This Row],[Площадь, м2.]]</f>
        <v>0</v>
      </c>
      <c r="I127" s="7">
        <f t="shared" si="3"/>
        <v>28</v>
      </c>
      <c r="J127" s="7" t="str">
        <f t="shared" si="2"/>
        <v>28,0</v>
      </c>
      <c r="K127" s="1" t="s">
        <v>289</v>
      </c>
      <c r="O127" s="1">
        <f t="shared" ref="O127" si="36">VALUE(SUBSTITUTE(TRIM(RIGHTB(SUBSTITUTE(P127," ",REPT(" ",99)),99)),",","."))</f>
        <v>46199</v>
      </c>
      <c r="P127" s="1" t="str">
        <f t="shared" si="4"/>
        <v>26,6</v>
      </c>
      <c r="Q127" s="1" t="s">
        <v>77</v>
      </c>
    </row>
    <row r="128" spans="1:17" hidden="1" x14ac:dyDescent="0.3">
      <c r="A128" s="2">
        <v>190</v>
      </c>
      <c r="B128" s="3">
        <v>2.16</v>
      </c>
      <c r="C128" s="2" t="s">
        <v>19</v>
      </c>
      <c r="D128" s="2">
        <v>10.7</v>
      </c>
      <c r="E128" s="2">
        <f>Таблица1[[#This Row],[Площадь, м2.]]-I128</f>
        <v>0</v>
      </c>
      <c r="G128" s="1">
        <f>F128-Таблица1[[#This Row],[Площадь, м2.]]</f>
        <v>-10.7</v>
      </c>
      <c r="I128" s="7">
        <f t="shared" si="3"/>
        <v>10.7</v>
      </c>
      <c r="J128" s="7" t="str">
        <f t="shared" si="2"/>
        <v>10,7</v>
      </c>
      <c r="K128" s="1" t="s">
        <v>290</v>
      </c>
      <c r="O128" s="1">
        <f t="shared" ref="O128" si="37">VALUE(SUBSTITUTE(TRIM(RIGHTB(SUBSTITUTE(P128," ",REPT(" ",99)),99)),",","."))</f>
        <v>46151</v>
      </c>
      <c r="P128" s="1" t="str">
        <f t="shared" si="4"/>
        <v>9,5</v>
      </c>
      <c r="Q128" s="1" t="s">
        <v>78</v>
      </c>
    </row>
    <row r="129" spans="1:17" hidden="1" x14ac:dyDescent="0.3">
      <c r="A129" s="2">
        <v>191</v>
      </c>
      <c r="B129" s="3">
        <v>2.17</v>
      </c>
      <c r="C129" s="2" t="s">
        <v>19</v>
      </c>
      <c r="D129" s="2">
        <v>11.3</v>
      </c>
      <c r="E129" s="2">
        <f>Таблица1[[#This Row],[Площадь, м2.]]-I129</f>
        <v>0</v>
      </c>
      <c r="G129" s="1">
        <f>F129-Таблица1[[#This Row],[Площадь, м2.]]</f>
        <v>-11.3</v>
      </c>
      <c r="I129" s="7">
        <f t="shared" si="3"/>
        <v>11.3</v>
      </c>
      <c r="J129" s="7" t="str">
        <f t="shared" si="2"/>
        <v>11,3</v>
      </c>
      <c r="K129" s="1" t="s">
        <v>291</v>
      </c>
      <c r="O129" s="1">
        <f t="shared" ref="O129" si="38">VALUE(SUBSTITUTE(TRIM(RIGHTB(SUBSTITUTE(P129," ",REPT(" ",99)),99)),",","."))</f>
        <v>46214</v>
      </c>
      <c r="P129" s="1" t="str">
        <f t="shared" si="4"/>
        <v>11,7</v>
      </c>
      <c r="Q129" s="1" t="s">
        <v>79</v>
      </c>
    </row>
    <row r="130" spans="1:17" x14ac:dyDescent="0.3">
      <c r="A130" s="2">
        <v>152</v>
      </c>
      <c r="B130" s="3">
        <v>2.1800000000000002</v>
      </c>
      <c r="C130" s="2" t="s">
        <v>17</v>
      </c>
      <c r="D130" s="2">
        <v>31.5</v>
      </c>
      <c r="E130" s="2">
        <f>Таблица1[[#This Row],[Площадь, м2.]]-I130</f>
        <v>0</v>
      </c>
      <c r="F130" s="3">
        <v>31.5</v>
      </c>
      <c r="G130" s="1">
        <f>F130-Таблица1[[#This Row],[Площадь, м2.]]</f>
        <v>0</v>
      </c>
      <c r="I130" s="7">
        <f t="shared" si="3"/>
        <v>31.5</v>
      </c>
      <c r="J130" s="7" t="str">
        <f t="shared" si="2"/>
        <v>31,5</v>
      </c>
      <c r="K130" s="1" t="s">
        <v>292</v>
      </c>
      <c r="O130" s="1" t="e">
        <f t="shared" ref="O130" si="39">VALUE(SUBSTITUTE(TRIM(RIGHTB(SUBSTITUTE(P130," ",REPT(" ",99)),99)),",","."))</f>
        <v>#VALUE!</v>
      </c>
      <c r="P130" s="1" t="str">
        <f t="shared" si="4"/>
        <v>29,0</v>
      </c>
      <c r="Q130" s="1" t="s">
        <v>80</v>
      </c>
    </row>
    <row r="131" spans="1:17" x14ac:dyDescent="0.3">
      <c r="A131" s="2">
        <v>184</v>
      </c>
      <c r="B131" s="38">
        <v>2.19</v>
      </c>
      <c r="C131" s="2" t="s">
        <v>18</v>
      </c>
      <c r="D131" s="2">
        <v>359.3</v>
      </c>
      <c r="E131" s="2">
        <f>Таблица1[[#This Row],[Площадь, м2.]]-I131</f>
        <v>0</v>
      </c>
      <c r="G131" s="1">
        <f>F131-Таблица1[[#This Row],[Площадь, м2.]]</f>
        <v>-359.3</v>
      </c>
      <c r="I131" s="7">
        <f t="shared" si="3"/>
        <v>359.3</v>
      </c>
      <c r="J131" s="7" t="str">
        <f t="shared" ref="J131:J194" si="40">TRIM(RIGHTB(SUBSTITUTE(K131," ",REPT(" ",99)),99))</f>
        <v>359,3</v>
      </c>
      <c r="K131" s="1" t="s">
        <v>293</v>
      </c>
      <c r="O131" s="1" t="e">
        <f t="shared" ref="O131" si="41">VALUE(SUBSTITUTE(TRIM(RIGHTB(SUBSTITUTE(P131," ",REPT(" ",99)),99)),",","."))</f>
        <v>#VALUE!</v>
      </c>
      <c r="P131" s="1" t="str">
        <f t="shared" si="4"/>
        <v>349,3</v>
      </c>
      <c r="Q131" s="1" t="s">
        <v>81</v>
      </c>
    </row>
    <row r="132" spans="1:17" hidden="1" x14ac:dyDescent="0.3">
      <c r="A132" s="2">
        <v>192</v>
      </c>
      <c r="B132" s="3">
        <v>2.2000000000000002</v>
      </c>
      <c r="C132" s="2" t="s">
        <v>19</v>
      </c>
      <c r="D132" s="2">
        <v>23.7</v>
      </c>
      <c r="E132" s="2">
        <f>Таблица1[[#This Row],[Площадь, м2.]]-I132</f>
        <v>0</v>
      </c>
      <c r="G132" s="1">
        <f>F132-Таблица1[[#This Row],[Площадь, м2.]]</f>
        <v>-23.7</v>
      </c>
      <c r="I132" s="7">
        <f t="shared" ref="I132:I195" si="42">VALUE(J132)</f>
        <v>23.7</v>
      </c>
      <c r="J132" s="7" t="str">
        <f t="shared" si="40"/>
        <v>23,7</v>
      </c>
      <c r="K132" s="1" t="s">
        <v>294</v>
      </c>
      <c r="O132" s="1">
        <f t="shared" ref="O132" si="43">VALUE(SUBSTITUTE(TRIM(RIGHTB(SUBSTITUTE(P132," ",REPT(" ",99)),99)),",","."))</f>
        <v>46219</v>
      </c>
      <c r="P132" s="1" t="str">
        <f t="shared" si="4"/>
        <v>16,7</v>
      </c>
      <c r="Q132" s="1" t="s">
        <v>82</v>
      </c>
    </row>
    <row r="133" spans="1:17" x14ac:dyDescent="0.3">
      <c r="A133" s="2">
        <v>153</v>
      </c>
      <c r="B133" s="38">
        <v>2.21</v>
      </c>
      <c r="C133" s="2" t="s">
        <v>17</v>
      </c>
      <c r="D133" s="2">
        <v>14</v>
      </c>
      <c r="E133" s="2">
        <f>Таблица1[[#This Row],[Площадь, м2.]]-I133</f>
        <v>0</v>
      </c>
      <c r="F133" s="3">
        <v>14</v>
      </c>
      <c r="G133" s="1">
        <f>F133-Таблица1[[#This Row],[Площадь, м2.]]</f>
        <v>0</v>
      </c>
      <c r="I133" s="7">
        <f t="shared" si="42"/>
        <v>14</v>
      </c>
      <c r="J133" s="7" t="str">
        <f t="shared" si="40"/>
        <v>14,0</v>
      </c>
      <c r="K133" s="1" t="s">
        <v>295</v>
      </c>
      <c r="O133" s="1">
        <f t="shared" ref="O133" si="44">VALUE(SUBSTITUTE(TRIM(RIGHTB(SUBSTITUTE(P133," ",REPT(" ",99)),99)),",","."))</f>
        <v>46155</v>
      </c>
      <c r="P133" s="1" t="str">
        <f t="shared" ref="P133:P191" si="45">TRIM(RIGHTB(SUBSTITUTE(Q133," ",REPT(" ",99)),99))</f>
        <v>13,5</v>
      </c>
      <c r="Q133" s="1" t="s">
        <v>83</v>
      </c>
    </row>
    <row r="134" spans="1:17" hidden="1" x14ac:dyDescent="0.3">
      <c r="A134" s="2">
        <v>193</v>
      </c>
      <c r="B134" s="3">
        <v>2.2200000000000002</v>
      </c>
      <c r="C134" s="2" t="s">
        <v>19</v>
      </c>
      <c r="D134" s="2">
        <v>5.4</v>
      </c>
      <c r="E134" s="2">
        <f>Таблица1[[#This Row],[Площадь, м2.]]-I134</f>
        <v>0</v>
      </c>
      <c r="G134" s="1">
        <f>F134-Таблица1[[#This Row],[Площадь, м2.]]</f>
        <v>-5.4</v>
      </c>
      <c r="I134" s="7">
        <f t="shared" si="42"/>
        <v>5.4</v>
      </c>
      <c r="J134" s="7" t="str">
        <f t="shared" si="40"/>
        <v>5,4</v>
      </c>
      <c r="K134" s="1" t="s">
        <v>296</v>
      </c>
      <c r="O134" s="1">
        <f t="shared" ref="O134" si="46">VALUE(SUBSTITUTE(TRIM(RIGHTB(SUBSTITUTE(P134," ",REPT(" ",99)),99)),",","."))</f>
        <v>46027</v>
      </c>
      <c r="P134" s="1" t="str">
        <f t="shared" si="45"/>
        <v>5,1</v>
      </c>
      <c r="Q134" s="1" t="s">
        <v>84</v>
      </c>
    </row>
    <row r="135" spans="1:17" hidden="1" x14ac:dyDescent="0.3">
      <c r="A135" s="2">
        <v>194</v>
      </c>
      <c r="B135" s="3">
        <v>2.23</v>
      </c>
      <c r="C135" s="2" t="s">
        <v>19</v>
      </c>
      <c r="D135" s="2">
        <v>9.8000000000000007</v>
      </c>
      <c r="E135" s="2">
        <f>Таблица1[[#This Row],[Площадь, м2.]]-I135</f>
        <v>0</v>
      </c>
      <c r="G135" s="1">
        <f>F135-Таблица1[[#This Row],[Площадь, м2.]]</f>
        <v>-9.8000000000000007</v>
      </c>
      <c r="I135" s="7">
        <f t="shared" si="42"/>
        <v>9.8000000000000007</v>
      </c>
      <c r="J135" s="7" t="str">
        <f t="shared" si="40"/>
        <v>9,8</v>
      </c>
      <c r="K135" s="1" t="s">
        <v>297</v>
      </c>
      <c r="O135" s="1">
        <f t="shared" ref="O135" si="47">VALUE(SUBSTITUTE(TRIM(RIGHTB(SUBSTITUTE(P135," ",REPT(" ",99)),99)),",","."))</f>
        <v>46151</v>
      </c>
      <c r="P135" s="1" t="str">
        <f t="shared" si="45"/>
        <v>9,5</v>
      </c>
      <c r="Q135" s="1" t="s">
        <v>85</v>
      </c>
    </row>
    <row r="136" spans="1:17" hidden="1" x14ac:dyDescent="0.3">
      <c r="A136" s="2">
        <v>195</v>
      </c>
      <c r="B136" s="3">
        <v>2.2400000000000002</v>
      </c>
      <c r="C136" s="2" t="s">
        <v>19</v>
      </c>
      <c r="D136" s="2">
        <v>15.8</v>
      </c>
      <c r="E136" s="2">
        <f>Таблица1[[#This Row],[Площадь, м2.]]-I136</f>
        <v>0</v>
      </c>
      <c r="G136" s="1">
        <f>F136-Таблица1[[#This Row],[Площадь, м2.]]</f>
        <v>-15.8</v>
      </c>
      <c r="I136" s="7">
        <f t="shared" si="42"/>
        <v>15.8</v>
      </c>
      <c r="J136" s="7" t="str">
        <f t="shared" si="40"/>
        <v>15,8</v>
      </c>
      <c r="K136" s="1" t="s">
        <v>298</v>
      </c>
      <c r="O136" s="1">
        <f t="shared" ref="O136" si="48">VALUE(SUBSTITUTE(TRIM(RIGHTB(SUBSTITUTE(P136," ",REPT(" ",99)),99)),",","."))</f>
        <v>46156</v>
      </c>
      <c r="P136" s="1" t="str">
        <f t="shared" si="45"/>
        <v>14,5</v>
      </c>
      <c r="Q136" s="1" t="s">
        <v>86</v>
      </c>
    </row>
    <row r="137" spans="1:17" hidden="1" x14ac:dyDescent="0.3">
      <c r="A137" s="2">
        <v>196</v>
      </c>
      <c r="B137" s="3">
        <v>2.25</v>
      </c>
      <c r="C137" s="2" t="s">
        <v>19</v>
      </c>
      <c r="D137" s="2">
        <v>15.8</v>
      </c>
      <c r="E137" s="2">
        <f>Таблица1[[#This Row],[Площадь, м2.]]-I137</f>
        <v>0</v>
      </c>
      <c r="G137" s="1">
        <f>F137-Таблица1[[#This Row],[Площадь, м2.]]</f>
        <v>-15.8</v>
      </c>
      <c r="I137" s="7">
        <f t="shared" si="42"/>
        <v>15.8</v>
      </c>
      <c r="J137" s="7" t="str">
        <f t="shared" si="40"/>
        <v>15,8</v>
      </c>
      <c r="K137" s="1" t="s">
        <v>299</v>
      </c>
      <c r="O137" s="1">
        <f t="shared" ref="O137" si="49">VALUE(SUBSTITUTE(TRIM(RIGHTB(SUBSTITUTE(P137," ",REPT(" ",99)),99)),",","."))</f>
        <v>46156</v>
      </c>
      <c r="P137" s="1" t="str">
        <f t="shared" si="45"/>
        <v>14,5</v>
      </c>
      <c r="Q137" s="1" t="s">
        <v>87</v>
      </c>
    </row>
    <row r="138" spans="1:17" hidden="1" x14ac:dyDescent="0.3">
      <c r="A138" s="2">
        <v>197</v>
      </c>
      <c r="B138" s="3">
        <v>2.2599999999999998</v>
      </c>
      <c r="C138" s="2" t="s">
        <v>19</v>
      </c>
      <c r="D138" s="2">
        <v>5.4</v>
      </c>
      <c r="E138" s="2">
        <f>Таблица1[[#This Row],[Площадь, м2.]]-I138</f>
        <v>0</v>
      </c>
      <c r="G138" s="1">
        <f>F138-Таблица1[[#This Row],[Площадь, м2.]]</f>
        <v>-5.4</v>
      </c>
      <c r="I138" s="7">
        <f t="shared" si="42"/>
        <v>5.4</v>
      </c>
      <c r="J138" s="7" t="str">
        <f t="shared" si="40"/>
        <v>5,4</v>
      </c>
      <c r="K138" s="1" t="s">
        <v>300</v>
      </c>
      <c r="O138" s="1">
        <f t="shared" ref="O138" si="50">VALUE(SUBSTITUTE(TRIM(RIGHTB(SUBSTITUTE(P138," ",REPT(" ",99)),99)),",","."))</f>
        <v>46027</v>
      </c>
      <c r="P138" s="1" t="str">
        <f t="shared" si="45"/>
        <v>5,1</v>
      </c>
      <c r="Q138" s="1" t="s">
        <v>88</v>
      </c>
    </row>
    <row r="139" spans="1:17" x14ac:dyDescent="0.3">
      <c r="A139" s="2">
        <v>76</v>
      </c>
      <c r="B139" s="38">
        <v>2.27</v>
      </c>
      <c r="C139" s="2" t="s">
        <v>13</v>
      </c>
      <c r="D139" s="2">
        <v>19.100000000000001</v>
      </c>
      <c r="E139" s="2">
        <f>Таблица1[[#This Row],[Площадь, м2.]]-I139</f>
        <v>0</v>
      </c>
      <c r="G139" s="1">
        <f>F139-Таблица1[[#This Row],[Площадь, м2.]]</f>
        <v>-19.100000000000001</v>
      </c>
      <c r="I139" s="7">
        <f t="shared" si="42"/>
        <v>19.100000000000001</v>
      </c>
      <c r="J139" s="7" t="str">
        <f t="shared" si="40"/>
        <v>19,1</v>
      </c>
      <c r="K139" s="1" t="s">
        <v>301</v>
      </c>
      <c r="O139" s="1">
        <f t="shared" ref="O139" si="51">VALUE(SUBSTITUTE(TRIM(RIGHTB(SUBSTITUTE(P139," ",REPT(" ",99)),99)),",","."))</f>
        <v>46191</v>
      </c>
      <c r="P139" s="1" t="str">
        <f t="shared" si="45"/>
        <v>18,6</v>
      </c>
      <c r="Q139" s="1" t="s">
        <v>89</v>
      </c>
    </row>
    <row r="140" spans="1:17" x14ac:dyDescent="0.3">
      <c r="A140" s="2">
        <v>154</v>
      </c>
      <c r="B140" s="38">
        <v>2.2799999999999998</v>
      </c>
      <c r="C140" s="2" t="s">
        <v>17</v>
      </c>
      <c r="D140" s="2">
        <v>192.9</v>
      </c>
      <c r="E140" s="2">
        <f>Таблица1[[#This Row],[Площадь, м2.]]-I140</f>
        <v>0</v>
      </c>
      <c r="F140" s="3">
        <v>377.8</v>
      </c>
      <c r="G140" s="1">
        <f>F140-Таблица1[[#This Row],[Площадь, м2.]]</f>
        <v>184.9</v>
      </c>
      <c r="I140" s="7">
        <f t="shared" si="42"/>
        <v>192.9</v>
      </c>
      <c r="J140" s="7" t="str">
        <f t="shared" si="40"/>
        <v>192,9</v>
      </c>
      <c r="K140" s="1" t="s">
        <v>302</v>
      </c>
      <c r="O140" s="1" t="e">
        <f t="shared" ref="O140" si="52">VALUE(SUBSTITUTE(TRIM(RIGHTB(SUBSTITUTE(P140," ",REPT(" ",99)),99)),",","."))</f>
        <v>#VALUE!</v>
      </c>
      <c r="P140" s="1" t="str">
        <f t="shared" si="45"/>
        <v>199,6</v>
      </c>
      <c r="Q140" s="1" t="s">
        <v>90</v>
      </c>
    </row>
    <row r="141" spans="1:17" x14ac:dyDescent="0.3">
      <c r="A141" s="2">
        <v>155</v>
      </c>
      <c r="B141" s="3">
        <v>2.29</v>
      </c>
      <c r="C141" s="2" t="s">
        <v>17</v>
      </c>
      <c r="D141" s="2">
        <v>14.3</v>
      </c>
      <c r="E141" s="2">
        <f>Таблица1[[#This Row],[Площадь, м2.]]-I141</f>
        <v>0</v>
      </c>
      <c r="F141" s="3">
        <v>14.3</v>
      </c>
      <c r="G141" s="1">
        <f>F141-Таблица1[[#This Row],[Площадь, м2.]]</f>
        <v>0</v>
      </c>
      <c r="I141" s="7">
        <f t="shared" si="42"/>
        <v>14.3</v>
      </c>
      <c r="J141" s="7" t="str">
        <f t="shared" si="40"/>
        <v>14,3</v>
      </c>
      <c r="K141" s="1" t="s">
        <v>303</v>
      </c>
      <c r="O141" s="1" t="e">
        <f t="shared" ref="O141" si="53">VALUE(SUBSTITUTE(TRIM(RIGHTB(SUBSTITUTE(P141," ",REPT(" ",99)),99)),",","."))</f>
        <v>#VALUE!</v>
      </c>
      <c r="P141" s="1" t="str">
        <f t="shared" si="45"/>
        <v>15,0</v>
      </c>
      <c r="Q141" s="1" t="s">
        <v>91</v>
      </c>
    </row>
    <row r="142" spans="1:17" x14ac:dyDescent="0.3">
      <c r="A142" s="2">
        <v>77</v>
      </c>
      <c r="B142" s="38">
        <v>2.2999999999999998</v>
      </c>
      <c r="C142" s="2" t="s">
        <v>13</v>
      </c>
      <c r="D142" s="2">
        <v>115.5</v>
      </c>
      <c r="E142" s="2">
        <f>Таблица1[[#This Row],[Площадь, м2.]]-I142</f>
        <v>0</v>
      </c>
      <c r="G142" s="1">
        <f>F142-Таблица1[[#This Row],[Площадь, м2.]]</f>
        <v>-115.5</v>
      </c>
      <c r="I142" s="7">
        <f t="shared" si="42"/>
        <v>115.5</v>
      </c>
      <c r="J142" s="7" t="str">
        <f t="shared" si="40"/>
        <v>115,5</v>
      </c>
      <c r="K142" s="1" t="s">
        <v>304</v>
      </c>
      <c r="O142" s="1" t="e">
        <f t="shared" ref="O142" si="54">VALUE(SUBSTITUTE(TRIM(RIGHTB(SUBSTITUTE(P142," ",REPT(" ",99)),99)),",","."))</f>
        <v>#VALUE!</v>
      </c>
      <c r="P142" s="1" t="str">
        <f t="shared" si="45"/>
        <v>108,0</v>
      </c>
      <c r="Q142" s="1" t="s">
        <v>92</v>
      </c>
    </row>
    <row r="143" spans="1:17" hidden="1" x14ac:dyDescent="0.3">
      <c r="A143" s="2">
        <v>123</v>
      </c>
      <c r="B143" s="3">
        <v>2.31</v>
      </c>
      <c r="C143" s="2" t="s">
        <v>16</v>
      </c>
      <c r="D143" s="2">
        <v>25.7</v>
      </c>
      <c r="E143" s="2">
        <f>Таблица1[[#This Row],[Площадь, м2.]]-I143</f>
        <v>0</v>
      </c>
      <c r="F143" s="3">
        <v>13.5</v>
      </c>
      <c r="G143" s="1">
        <f>F143-Таблица1[[#This Row],[Площадь, м2.]]</f>
        <v>-12.2</v>
      </c>
      <c r="I143" s="7">
        <f t="shared" si="42"/>
        <v>25.7</v>
      </c>
      <c r="J143" s="7" t="str">
        <f t="shared" si="40"/>
        <v>25,7</v>
      </c>
      <c r="K143" s="1" t="s">
        <v>305</v>
      </c>
      <c r="O143" s="1">
        <f t="shared" ref="O143" si="55">VALUE(SUBSTITUTE(TRIM(RIGHTB(SUBSTITUTE(P143," ",REPT(" ",99)),99)),",","."))</f>
        <v>46047</v>
      </c>
      <c r="P143" s="1" t="str">
        <f t="shared" si="45"/>
        <v>25,1</v>
      </c>
      <c r="Q143" s="1" t="s">
        <v>93</v>
      </c>
    </row>
    <row r="144" spans="1:17" hidden="1" x14ac:dyDescent="0.3">
      <c r="A144" s="2">
        <v>124</v>
      </c>
      <c r="B144" s="3">
        <v>2.3199999999999998</v>
      </c>
      <c r="C144" s="2" t="s">
        <v>16</v>
      </c>
      <c r="D144" s="2">
        <v>27.9</v>
      </c>
      <c r="E144" s="2">
        <f>Таблица1[[#This Row],[Площадь, м2.]]-I144</f>
        <v>0</v>
      </c>
      <c r="F144" s="3">
        <v>27.9</v>
      </c>
      <c r="G144" s="1">
        <f>F144-Таблица1[[#This Row],[Площадь, м2.]]</f>
        <v>0</v>
      </c>
      <c r="I144" s="7">
        <f t="shared" si="42"/>
        <v>27.9</v>
      </c>
      <c r="J144" s="7" t="str">
        <f t="shared" si="40"/>
        <v>27,9</v>
      </c>
      <c r="K144" s="1" t="s">
        <v>306</v>
      </c>
      <c r="O144" s="1">
        <f t="shared" ref="O144" si="56">VALUE(SUBSTITUTE(TRIM(RIGHTB(SUBSTITUTE(P144," ",REPT(" ",99)),99)),",","."))</f>
        <v>46168</v>
      </c>
      <c r="P144" s="1" t="str">
        <f t="shared" si="45"/>
        <v>26,5</v>
      </c>
      <c r="Q144" s="1" t="s">
        <v>94</v>
      </c>
    </row>
    <row r="145" spans="1:17" hidden="1" x14ac:dyDescent="0.3">
      <c r="A145" s="2">
        <v>125</v>
      </c>
      <c r="B145" s="3">
        <v>2.33</v>
      </c>
      <c r="C145" s="2" t="s">
        <v>16</v>
      </c>
      <c r="D145" s="2">
        <v>13.1</v>
      </c>
      <c r="E145" s="2">
        <f>Таблица1[[#This Row],[Площадь, м2.]]-I145</f>
        <v>0</v>
      </c>
      <c r="F145" s="3">
        <v>25.9</v>
      </c>
      <c r="G145" s="1">
        <f>F145-Таблица1[[#This Row],[Площадь, м2.]]</f>
        <v>12.799999999999999</v>
      </c>
      <c r="I145" s="7">
        <f t="shared" si="42"/>
        <v>13.1</v>
      </c>
      <c r="J145" s="7" t="str">
        <f t="shared" si="40"/>
        <v>13,1</v>
      </c>
      <c r="K145" s="1" t="s">
        <v>307</v>
      </c>
      <c r="O145" s="1">
        <f t="shared" ref="O145" si="57">VALUE(SUBSTITUTE(TRIM(RIGHTB(SUBSTITUTE(P145," ",REPT(" ",99)),99)),",","."))</f>
        <v>46148</v>
      </c>
      <c r="P145" s="1" t="str">
        <f t="shared" si="45"/>
        <v>6,5</v>
      </c>
      <c r="Q145" s="1" t="s">
        <v>95</v>
      </c>
    </row>
    <row r="146" spans="1:17" hidden="1" x14ac:dyDescent="0.3">
      <c r="A146" s="2">
        <v>126</v>
      </c>
      <c r="B146" s="3">
        <v>2.34</v>
      </c>
      <c r="C146" s="2" t="s">
        <v>16</v>
      </c>
      <c r="D146" s="2">
        <v>25.7</v>
      </c>
      <c r="E146" s="2">
        <f>Таблица1[[#This Row],[Площадь, м2.]]-I146</f>
        <v>0</v>
      </c>
      <c r="F146" s="3">
        <v>13.6</v>
      </c>
      <c r="G146" s="1">
        <f>F146-Таблица1[[#This Row],[Площадь, м2.]]</f>
        <v>-12.1</v>
      </c>
      <c r="I146" s="7">
        <f t="shared" si="42"/>
        <v>25.7</v>
      </c>
      <c r="J146" s="7" t="str">
        <f t="shared" si="40"/>
        <v>25,7</v>
      </c>
      <c r="K146" s="1" t="s">
        <v>308</v>
      </c>
      <c r="O146" s="1">
        <f t="shared" ref="O146" si="58">VALUE(SUBSTITUTE(TRIM(RIGHTB(SUBSTITUTE(P146," ",REPT(" ",99)),99)),",","."))</f>
        <v>46078</v>
      </c>
      <c r="P146" s="1" t="str">
        <f t="shared" si="45"/>
        <v>25,2</v>
      </c>
      <c r="Q146" s="1" t="s">
        <v>96</v>
      </c>
    </row>
    <row r="147" spans="1:17" hidden="1" x14ac:dyDescent="0.3">
      <c r="A147" s="2">
        <v>127</v>
      </c>
      <c r="B147" s="3">
        <v>2.35</v>
      </c>
      <c r="C147" s="2" t="s">
        <v>16</v>
      </c>
      <c r="D147" s="2">
        <v>30.6</v>
      </c>
      <c r="E147" s="2">
        <f>Таблица1[[#This Row],[Площадь, м2.]]-I147</f>
        <v>0</v>
      </c>
      <c r="F147" s="3">
        <v>23.4</v>
      </c>
      <c r="G147" s="1">
        <f>F147-Таблица1[[#This Row],[Площадь, м2.]]</f>
        <v>-7.2000000000000028</v>
      </c>
      <c r="I147" s="7">
        <f t="shared" si="42"/>
        <v>30.6</v>
      </c>
      <c r="J147" s="7" t="str">
        <f t="shared" si="40"/>
        <v>30,6</v>
      </c>
      <c r="K147" s="1" t="s">
        <v>309</v>
      </c>
      <c r="O147" s="1">
        <f t="shared" ref="O147" si="59">VALUE(SUBSTITUTE(TRIM(RIGHTB(SUBSTITUTE(P147," ",REPT(" ",99)),99)),",","."))</f>
        <v>46231</v>
      </c>
      <c r="P147" s="1" t="str">
        <f t="shared" si="45"/>
        <v>28,7</v>
      </c>
      <c r="Q147" s="1" t="s">
        <v>97</v>
      </c>
    </row>
    <row r="148" spans="1:17" hidden="1" x14ac:dyDescent="0.3">
      <c r="A148" s="2">
        <v>128</v>
      </c>
      <c r="B148" s="3">
        <v>2.36</v>
      </c>
      <c r="C148" s="2" t="s">
        <v>16</v>
      </c>
      <c r="D148" s="2">
        <v>8.3000000000000007</v>
      </c>
      <c r="E148" s="2">
        <f>Таблица1[[#This Row],[Площадь, м2.]]-I148</f>
        <v>0</v>
      </c>
      <c r="F148" s="3">
        <v>8.3000000000000007</v>
      </c>
      <c r="G148" s="1">
        <f>F148-Таблица1[[#This Row],[Площадь, м2.]]</f>
        <v>0</v>
      </c>
      <c r="I148" s="7">
        <f t="shared" si="42"/>
        <v>8.3000000000000007</v>
      </c>
      <c r="J148" s="7" t="str">
        <f t="shared" si="40"/>
        <v>8,3</v>
      </c>
      <c r="K148" s="1" t="s">
        <v>310</v>
      </c>
      <c r="O148" s="1">
        <f t="shared" ref="O148" si="60">VALUE(SUBSTITUTE(TRIM(RIGHTB(SUBSTITUTE(P148," ",REPT(" ",99)),99)),",","."))</f>
        <v>46030</v>
      </c>
      <c r="P148" s="1" t="str">
        <f t="shared" si="45"/>
        <v>8,1</v>
      </c>
      <c r="Q148" s="1" t="s">
        <v>98</v>
      </c>
    </row>
    <row r="149" spans="1:17" x14ac:dyDescent="0.3">
      <c r="A149" s="2">
        <v>156</v>
      </c>
      <c r="B149" s="38">
        <v>2.37</v>
      </c>
      <c r="C149" s="2" t="s">
        <v>17</v>
      </c>
      <c r="D149" s="2">
        <v>21.6</v>
      </c>
      <c r="E149" s="2">
        <f>Таблица1[[#This Row],[Площадь, м2.]]-I149</f>
        <v>0</v>
      </c>
      <c r="F149" s="3">
        <v>21.6</v>
      </c>
      <c r="G149" s="1">
        <f>F149-Таблица1[[#This Row],[Площадь, м2.]]</f>
        <v>0</v>
      </c>
      <c r="I149" s="7">
        <f t="shared" si="42"/>
        <v>21.6</v>
      </c>
      <c r="J149" s="7" t="str">
        <f t="shared" si="40"/>
        <v>21,6</v>
      </c>
      <c r="K149" s="1" t="s">
        <v>311</v>
      </c>
      <c r="O149" s="1">
        <f t="shared" ref="O149" si="61">VALUE(SUBSTITUTE(TRIM(RIGHTB(SUBSTITUTE(P149," ",REPT(" ",99)),99)),",","."))</f>
        <v>46165</v>
      </c>
      <c r="P149" s="1" t="str">
        <f t="shared" si="45"/>
        <v>23,5</v>
      </c>
      <c r="Q149" s="1" t="s">
        <v>99</v>
      </c>
    </row>
    <row r="150" spans="1:17" hidden="1" x14ac:dyDescent="0.3">
      <c r="A150" s="2">
        <v>198</v>
      </c>
      <c r="B150" s="3">
        <v>2.38</v>
      </c>
      <c r="C150" s="2" t="s">
        <v>19</v>
      </c>
      <c r="D150" s="2">
        <v>6.7</v>
      </c>
      <c r="E150" s="2">
        <f>Таблица1[[#This Row],[Площадь, м2.]]-I150</f>
        <v>0</v>
      </c>
      <c r="G150" s="1">
        <f>F150-Таблица1[[#This Row],[Площадь, м2.]]</f>
        <v>-6.7</v>
      </c>
      <c r="I150" s="7">
        <f t="shared" si="42"/>
        <v>6.7</v>
      </c>
      <c r="J150" s="7" t="str">
        <f t="shared" si="40"/>
        <v>6,7</v>
      </c>
      <c r="K150" s="1" t="s">
        <v>312</v>
      </c>
      <c r="O150" s="1">
        <f t="shared" ref="O150" si="62">VALUE(SUBSTITUTE(TRIM(RIGHTB(SUBSTITUTE(P150," ",REPT(" ",99)),99)),",","."))</f>
        <v>46118</v>
      </c>
      <c r="P150" s="1" t="str">
        <f t="shared" si="45"/>
        <v>6,4</v>
      </c>
      <c r="Q150" s="1" t="s">
        <v>100</v>
      </c>
    </row>
    <row r="151" spans="1:17" hidden="1" x14ac:dyDescent="0.3">
      <c r="A151" s="2">
        <v>199</v>
      </c>
      <c r="B151" s="3">
        <v>2.39</v>
      </c>
      <c r="C151" s="2" t="s">
        <v>19</v>
      </c>
      <c r="D151" s="2">
        <v>29.6</v>
      </c>
      <c r="E151" s="2">
        <f>Таблица1[[#This Row],[Площадь, м2.]]-I151</f>
        <v>0</v>
      </c>
      <c r="G151" s="1">
        <f>F151-Таблица1[[#This Row],[Площадь, м2.]]</f>
        <v>-29.6</v>
      </c>
      <c r="I151" s="7">
        <f t="shared" si="42"/>
        <v>29.6</v>
      </c>
      <c r="J151" s="7" t="str">
        <f t="shared" si="40"/>
        <v>29,6</v>
      </c>
      <c r="K151" s="1" t="s">
        <v>313</v>
      </c>
      <c r="O151" s="1" t="e">
        <f t="shared" ref="O151" si="63">VALUE(SUBSTITUTE(TRIM(RIGHTB(SUBSTITUTE(P151," ",REPT(" ",99)),99)),",","."))</f>
        <v>#VALUE!</v>
      </c>
      <c r="P151" s="1" t="str">
        <f t="shared" si="45"/>
        <v>29,0</v>
      </c>
      <c r="Q151" s="1" t="s">
        <v>101</v>
      </c>
    </row>
    <row r="152" spans="1:17" x14ac:dyDescent="0.3">
      <c r="A152" s="2">
        <v>157</v>
      </c>
      <c r="B152" s="38">
        <v>2.4</v>
      </c>
      <c r="C152" s="2" t="s">
        <v>17</v>
      </c>
      <c r="D152" s="2">
        <v>51.3</v>
      </c>
      <c r="E152" s="2">
        <f>Таблица1[[#This Row],[Площадь, м2.]]-I152</f>
        <v>0</v>
      </c>
      <c r="F152" s="3">
        <v>51.3</v>
      </c>
      <c r="G152" s="1">
        <f>F152-Таблица1[[#This Row],[Площадь, м2.]]</f>
        <v>0</v>
      </c>
      <c r="I152" s="7">
        <f t="shared" si="42"/>
        <v>51.3</v>
      </c>
      <c r="J152" s="7" t="str">
        <f t="shared" si="40"/>
        <v>51,3</v>
      </c>
      <c r="K152" s="1" t="s">
        <v>314</v>
      </c>
      <c r="O152" s="1" t="e">
        <f t="shared" ref="O152" si="64">VALUE(SUBSTITUTE(TRIM(RIGHTB(SUBSTITUTE(P152," ",REPT(" ",99)),99)),",","."))</f>
        <v>#VALUE!</v>
      </c>
      <c r="P152" s="1" t="str">
        <f t="shared" si="45"/>
        <v>50,4</v>
      </c>
      <c r="Q152" s="1" t="s">
        <v>102</v>
      </c>
    </row>
    <row r="153" spans="1:17" x14ac:dyDescent="0.3">
      <c r="A153" s="2">
        <v>90</v>
      </c>
      <c r="B153" s="38">
        <v>2.41</v>
      </c>
      <c r="C153" s="2" t="s">
        <v>14</v>
      </c>
      <c r="D153" s="2">
        <v>56.6</v>
      </c>
      <c r="E153" s="2">
        <f>Таблица1[[#This Row],[Площадь, м2.]]-I153</f>
        <v>0</v>
      </c>
      <c r="G153" s="1">
        <f>F153-Таблица1[[#This Row],[Площадь, м2.]]</f>
        <v>-56.6</v>
      </c>
      <c r="I153" s="7">
        <f t="shared" si="42"/>
        <v>56.6</v>
      </c>
      <c r="J153" s="7" t="str">
        <f t="shared" si="40"/>
        <v>56,6</v>
      </c>
      <c r="K153" s="1" t="s">
        <v>315</v>
      </c>
      <c r="O153" s="1" t="e">
        <f t="shared" ref="O153" si="65">VALUE(SUBSTITUTE(TRIM(RIGHTB(SUBSTITUTE(P153," ",REPT(" ",99)),99)),",","."))</f>
        <v>#VALUE!</v>
      </c>
      <c r="P153" s="1" t="str">
        <f t="shared" si="45"/>
        <v>55,9</v>
      </c>
      <c r="Q153" s="1" t="s">
        <v>103</v>
      </c>
    </row>
    <row r="154" spans="1:17" x14ac:dyDescent="0.3">
      <c r="A154" s="2">
        <v>158</v>
      </c>
      <c r="B154" s="38">
        <v>2.42</v>
      </c>
      <c r="C154" s="2" t="s">
        <v>17</v>
      </c>
      <c r="D154" s="2">
        <v>21.5</v>
      </c>
      <c r="E154" s="2">
        <f>Таблица1[[#This Row],[Площадь, м2.]]-I154</f>
        <v>0</v>
      </c>
      <c r="F154" s="3">
        <v>20.3</v>
      </c>
      <c r="G154" s="1">
        <f>F154-Таблица1[[#This Row],[Площадь, м2.]]</f>
        <v>-1.1999999999999993</v>
      </c>
      <c r="I154" s="7">
        <f t="shared" si="42"/>
        <v>21.5</v>
      </c>
      <c r="J154" s="7" t="str">
        <f t="shared" si="40"/>
        <v>21,5</v>
      </c>
      <c r="K154" s="1" t="s">
        <v>316</v>
      </c>
      <c r="O154" s="1" t="e">
        <f t="shared" ref="O154" si="66">VALUE(SUBSTITUTE(TRIM(RIGHTB(SUBSTITUTE(P154," ",REPT(" ",99)),99)),",","."))</f>
        <v>#VALUE!</v>
      </c>
      <c r="P154" s="1" t="str">
        <f t="shared" si="45"/>
        <v>23,0</v>
      </c>
      <c r="Q154" s="1" t="s">
        <v>104</v>
      </c>
    </row>
    <row r="155" spans="1:17" hidden="1" x14ac:dyDescent="0.3">
      <c r="A155" s="2">
        <v>200</v>
      </c>
      <c r="B155" s="3">
        <v>2.4300000000000002</v>
      </c>
      <c r="C155" s="2" t="s">
        <v>19</v>
      </c>
      <c r="D155" s="2">
        <v>6.7</v>
      </c>
      <c r="E155" s="2">
        <f>Таблица1[[#This Row],[Площадь, м2.]]-I155</f>
        <v>0</v>
      </c>
      <c r="G155" s="1">
        <f>F155-Таблица1[[#This Row],[Площадь, м2.]]</f>
        <v>-6.7</v>
      </c>
      <c r="I155" s="7">
        <f t="shared" si="42"/>
        <v>6.7</v>
      </c>
      <c r="J155" s="7" t="str">
        <f t="shared" si="40"/>
        <v>6,7</v>
      </c>
      <c r="K155" s="1" t="s">
        <v>317</v>
      </c>
      <c r="O155" s="1">
        <f t="shared" ref="O155" si="67">VALUE(SUBSTITUTE(TRIM(RIGHTB(SUBSTITUTE(P155," ",REPT(" ",99)),99)),",","."))</f>
        <v>46118</v>
      </c>
      <c r="P155" s="1" t="str">
        <f t="shared" si="45"/>
        <v>6,4</v>
      </c>
      <c r="Q155" s="1" t="s">
        <v>105</v>
      </c>
    </row>
    <row r="156" spans="1:17" x14ac:dyDescent="0.3">
      <c r="A156" s="2">
        <v>159</v>
      </c>
      <c r="B156" s="38">
        <v>2.44</v>
      </c>
      <c r="C156" s="2" t="s">
        <v>17</v>
      </c>
      <c r="D156" s="2">
        <v>51.3</v>
      </c>
      <c r="E156" s="2">
        <f>Таблица1[[#This Row],[Площадь, м2.]]-I156</f>
        <v>0</v>
      </c>
      <c r="F156" s="3">
        <v>51.3</v>
      </c>
      <c r="G156" s="1">
        <f>F156-Таблица1[[#This Row],[Площадь, м2.]]</f>
        <v>0</v>
      </c>
      <c r="I156" s="7">
        <f t="shared" si="42"/>
        <v>51.3</v>
      </c>
      <c r="J156" s="7" t="str">
        <f t="shared" si="40"/>
        <v>51,3</v>
      </c>
      <c r="K156" s="1" t="s">
        <v>318</v>
      </c>
      <c r="O156" s="1" t="e">
        <f t="shared" ref="O156" si="68">VALUE(SUBSTITUTE(TRIM(RIGHTB(SUBSTITUTE(P156," ",REPT(" ",99)),99)),",","."))</f>
        <v>#VALUE!</v>
      </c>
      <c r="P156" s="1" t="str">
        <f t="shared" si="45"/>
        <v>50,5</v>
      </c>
      <c r="Q156" s="1" t="s">
        <v>106</v>
      </c>
    </row>
    <row r="157" spans="1:17" x14ac:dyDescent="0.3">
      <c r="A157" s="2">
        <v>91</v>
      </c>
      <c r="B157" s="38">
        <v>2.4500000000000002</v>
      </c>
      <c r="C157" s="2" t="s">
        <v>14</v>
      </c>
      <c r="D157" s="2">
        <v>56.3</v>
      </c>
      <c r="E157" s="2">
        <f>Таблица1[[#This Row],[Площадь, м2.]]-I157</f>
        <v>0</v>
      </c>
      <c r="G157" s="1">
        <f>F157-Таблица1[[#This Row],[Площадь, м2.]]</f>
        <v>-56.3</v>
      </c>
      <c r="I157" s="7">
        <f t="shared" si="42"/>
        <v>56.3</v>
      </c>
      <c r="J157" s="7" t="str">
        <f t="shared" si="40"/>
        <v>56,3</v>
      </c>
      <c r="K157" s="1" t="s">
        <v>319</v>
      </c>
      <c r="O157" s="1" t="e">
        <f t="shared" ref="O157" si="69">VALUE(SUBSTITUTE(TRIM(RIGHTB(SUBSTITUTE(P157," ",REPT(" ",99)),99)),",","."))</f>
        <v>#VALUE!</v>
      </c>
      <c r="P157" s="1" t="str">
        <f t="shared" si="45"/>
        <v>55,5</v>
      </c>
      <c r="Q157" s="1" t="s">
        <v>107</v>
      </c>
    </row>
    <row r="158" spans="1:17" hidden="1" x14ac:dyDescent="0.3">
      <c r="A158" s="2">
        <v>201</v>
      </c>
      <c r="B158" s="3">
        <v>2.46</v>
      </c>
      <c r="C158" s="2" t="s">
        <v>19</v>
      </c>
      <c r="D158" s="2">
        <v>29.6</v>
      </c>
      <c r="E158" s="2">
        <f>Таблица1[[#This Row],[Площадь, м2.]]-I158</f>
        <v>0</v>
      </c>
      <c r="G158" s="1">
        <f>F158-Таблица1[[#This Row],[Площадь, м2.]]</f>
        <v>-29.6</v>
      </c>
      <c r="I158" s="7">
        <f t="shared" si="42"/>
        <v>29.6</v>
      </c>
      <c r="J158" s="7" t="str">
        <f t="shared" si="40"/>
        <v>29,6</v>
      </c>
      <c r="K158" s="1" t="s">
        <v>320</v>
      </c>
      <c r="O158" s="1" t="e">
        <f t="shared" ref="O158" si="70">VALUE(SUBSTITUTE(TRIM(RIGHTB(SUBSTITUTE(P158," ",REPT(" ",99)),99)),",","."))</f>
        <v>#VALUE!</v>
      </c>
      <c r="P158" s="1" t="str">
        <f t="shared" si="45"/>
        <v>29,0</v>
      </c>
      <c r="Q158" s="1" t="s">
        <v>108</v>
      </c>
    </row>
    <row r="159" spans="1:17" x14ac:dyDescent="0.3">
      <c r="A159" s="2">
        <v>160</v>
      </c>
      <c r="B159" s="38">
        <v>2.4700000000000002</v>
      </c>
      <c r="C159" s="2" t="s">
        <v>17</v>
      </c>
      <c r="D159" s="2">
        <v>75.599999999999994</v>
      </c>
      <c r="E159" s="2">
        <f>Таблица1[[#This Row],[Площадь, м2.]]-I159</f>
        <v>0</v>
      </c>
      <c r="F159" s="3">
        <v>81.7</v>
      </c>
      <c r="G159" s="1">
        <f>F159-Таблица1[[#This Row],[Площадь, м2.]]</f>
        <v>6.1000000000000085</v>
      </c>
      <c r="I159" s="7">
        <f t="shared" si="42"/>
        <v>75.599999999999994</v>
      </c>
      <c r="J159" s="7" t="str">
        <f t="shared" si="40"/>
        <v>75,6</v>
      </c>
      <c r="K159" s="1" t="s">
        <v>321</v>
      </c>
      <c r="O159" s="1" t="e">
        <f t="shared" ref="O159" si="71">VALUE(SUBSTITUTE(TRIM(RIGHTB(SUBSTITUTE(P159," ",REPT(" ",99)),99)),",","."))</f>
        <v>#VALUE!</v>
      </c>
      <c r="P159" s="1" t="str">
        <f t="shared" si="45"/>
        <v>71,0</v>
      </c>
      <c r="Q159" s="1" t="s">
        <v>109</v>
      </c>
    </row>
    <row r="160" spans="1:17" x14ac:dyDescent="0.3">
      <c r="A160" s="2">
        <v>161</v>
      </c>
      <c r="B160" s="38">
        <v>2.48</v>
      </c>
      <c r="C160" s="2" t="s">
        <v>17</v>
      </c>
      <c r="D160" s="2">
        <v>7</v>
      </c>
      <c r="E160" s="2">
        <f>Таблица1[[#This Row],[Площадь, м2.]]-I160</f>
        <v>0</v>
      </c>
      <c r="F160" s="3">
        <v>7</v>
      </c>
      <c r="G160" s="1">
        <f>F160-Таблица1[[#This Row],[Площадь, м2.]]</f>
        <v>0</v>
      </c>
      <c r="I160" s="7">
        <f t="shared" si="42"/>
        <v>7</v>
      </c>
      <c r="J160" s="7" t="str">
        <f t="shared" si="40"/>
        <v>7,0</v>
      </c>
      <c r="K160" s="1" t="s">
        <v>322</v>
      </c>
      <c r="O160" s="1">
        <f t="shared" ref="O160" si="72">VALUE(SUBSTITUTE(TRIM(RIGHTB(SUBSTITUTE(P160," ",REPT(" ",99)),99)),",","."))</f>
        <v>46240</v>
      </c>
      <c r="P160" s="1" t="str">
        <f t="shared" si="45"/>
        <v>6,8</v>
      </c>
      <c r="Q160" s="1" t="s">
        <v>110</v>
      </c>
    </row>
    <row r="161" spans="1:17" x14ac:dyDescent="0.3">
      <c r="A161" s="2">
        <v>162</v>
      </c>
      <c r="B161" s="38">
        <v>2.4900000000000002</v>
      </c>
      <c r="C161" s="2" t="s">
        <v>17</v>
      </c>
      <c r="D161" s="2">
        <v>75.2</v>
      </c>
      <c r="E161" s="2">
        <f>Таблица1[[#This Row],[Площадь, м2.]]-I161</f>
        <v>0</v>
      </c>
      <c r="F161" s="3">
        <v>75.2</v>
      </c>
      <c r="G161" s="1">
        <f>F161-Таблица1[[#This Row],[Площадь, м2.]]</f>
        <v>0</v>
      </c>
      <c r="I161" s="7">
        <f t="shared" si="42"/>
        <v>75.2</v>
      </c>
      <c r="J161" s="7" t="str">
        <f t="shared" si="40"/>
        <v>75,2</v>
      </c>
      <c r="K161" s="1" t="s">
        <v>323</v>
      </c>
      <c r="O161" s="1" t="e">
        <f t="shared" ref="O161" si="73">VALUE(SUBSTITUTE(TRIM(RIGHTB(SUBSTITUTE(P161," ",REPT(" ",99)),99)),",","."))</f>
        <v>#VALUE!</v>
      </c>
      <c r="P161" s="1" t="str">
        <f t="shared" si="45"/>
        <v>72,3</v>
      </c>
      <c r="Q161" s="1" t="s">
        <v>111</v>
      </c>
    </row>
    <row r="162" spans="1:17" x14ac:dyDescent="0.3">
      <c r="A162" s="2">
        <v>163</v>
      </c>
      <c r="B162" s="38">
        <v>2.5</v>
      </c>
      <c r="C162" s="2" t="s">
        <v>17</v>
      </c>
      <c r="D162" s="2">
        <v>6.2</v>
      </c>
      <c r="E162" s="2">
        <f>Таблица1[[#This Row],[Площадь, м2.]]-I162</f>
        <v>0</v>
      </c>
      <c r="F162" s="3">
        <v>6.2</v>
      </c>
      <c r="G162" s="1">
        <f>F162-Таблица1[[#This Row],[Площадь, м2.]]</f>
        <v>0</v>
      </c>
      <c r="I162" s="7">
        <f t="shared" si="42"/>
        <v>6.2</v>
      </c>
      <c r="J162" s="7" t="str">
        <f t="shared" si="40"/>
        <v>6,2</v>
      </c>
      <c r="K162" s="1" t="s">
        <v>324</v>
      </c>
      <c r="O162" s="1" t="e">
        <f t="shared" ref="O162" si="74">VALUE(SUBSTITUTE(TRIM(RIGHTB(SUBSTITUTE(P162," ",REPT(" ",99)),99)),",","."))</f>
        <v>#VALUE!</v>
      </c>
      <c r="P162" s="1" t="str">
        <f t="shared" si="45"/>
        <v/>
      </c>
    </row>
    <row r="163" spans="1:17" x14ac:dyDescent="0.3">
      <c r="A163" s="2">
        <v>78</v>
      </c>
      <c r="B163" s="38">
        <v>2.5099999999999998</v>
      </c>
      <c r="C163" s="2" t="s">
        <v>13</v>
      </c>
      <c r="D163" s="2">
        <v>38.700000000000003</v>
      </c>
      <c r="E163" s="2">
        <f>Таблица1[[#This Row],[Площадь, м2.]]-I163</f>
        <v>0</v>
      </c>
      <c r="G163" s="1">
        <f>F163-Таблица1[[#This Row],[Площадь, м2.]]</f>
        <v>-38.700000000000003</v>
      </c>
      <c r="I163" s="7">
        <f t="shared" si="42"/>
        <v>38.700000000000003</v>
      </c>
      <c r="J163" s="7" t="str">
        <f t="shared" si="40"/>
        <v>38,7</v>
      </c>
      <c r="K163" s="1" t="s">
        <v>325</v>
      </c>
      <c r="O163" s="1" t="e">
        <f t="shared" ref="O163" si="75">VALUE(SUBSTITUTE(TRIM(RIGHTB(SUBSTITUTE(P163," ",REPT(" ",99)),99)),",","."))</f>
        <v>#VALUE!</v>
      </c>
      <c r="P163" s="1" t="str">
        <f t="shared" si="45"/>
        <v>37,6</v>
      </c>
      <c r="Q163" s="1" t="s">
        <v>112</v>
      </c>
    </row>
    <row r="164" spans="1:17" hidden="1" x14ac:dyDescent="0.3">
      <c r="A164" s="2">
        <v>202</v>
      </c>
      <c r="B164" s="3">
        <v>2.52</v>
      </c>
      <c r="C164" s="2" t="s">
        <v>19</v>
      </c>
      <c r="D164" s="2">
        <v>5.8</v>
      </c>
      <c r="E164" s="2">
        <f>Таблица1[[#This Row],[Площадь, м2.]]-I164</f>
        <v>0</v>
      </c>
      <c r="G164" s="1">
        <f>F164-Таблица1[[#This Row],[Площадь, м2.]]</f>
        <v>-5.8</v>
      </c>
      <c r="I164" s="7">
        <f t="shared" si="42"/>
        <v>5.8</v>
      </c>
      <c r="J164" s="7" t="str">
        <f t="shared" si="40"/>
        <v>5,8</v>
      </c>
      <c r="K164" s="1" t="s">
        <v>326</v>
      </c>
      <c r="O164" s="1">
        <f t="shared" ref="O164" si="76">VALUE(SUBSTITUTE(TRIM(RIGHTB(SUBSTITUTE(P164," ",REPT(" ",99)),99)),",","."))</f>
        <v>46178</v>
      </c>
      <c r="P164" s="1" t="str">
        <f t="shared" si="45"/>
        <v>5,6</v>
      </c>
      <c r="Q164" s="1" t="s">
        <v>113</v>
      </c>
    </row>
    <row r="165" spans="1:17" hidden="1" x14ac:dyDescent="0.3">
      <c r="A165" s="2">
        <v>129</v>
      </c>
      <c r="B165" s="3">
        <v>2.5299999999999998</v>
      </c>
      <c r="C165" s="2" t="s">
        <v>16</v>
      </c>
      <c r="D165" s="2">
        <v>6.2</v>
      </c>
      <c r="E165" s="2">
        <f>Таблица1[[#This Row],[Площадь, м2.]]-I165</f>
        <v>0</v>
      </c>
      <c r="F165" s="3">
        <v>6.2</v>
      </c>
      <c r="G165" s="1">
        <f>F165-Таблица1[[#This Row],[Площадь, м2.]]</f>
        <v>0</v>
      </c>
      <c r="I165" s="7">
        <f t="shared" si="42"/>
        <v>6.2</v>
      </c>
      <c r="J165" s="7" t="str">
        <f t="shared" si="40"/>
        <v>6,2</v>
      </c>
      <c r="K165" s="1" t="s">
        <v>327</v>
      </c>
      <c r="O165" s="1" t="e">
        <f t="shared" ref="O165" si="77">VALUE(SUBSTITUTE(TRIM(RIGHTB(SUBSTITUTE(P165," ",REPT(" ",99)),99)),",","."))</f>
        <v>#VALUE!</v>
      </c>
      <c r="P165" s="1" t="str">
        <f t="shared" si="45"/>
        <v>6,0</v>
      </c>
      <c r="Q165" s="1" t="s">
        <v>114</v>
      </c>
    </row>
    <row r="166" spans="1:17" hidden="1" x14ac:dyDescent="0.3">
      <c r="A166" s="2">
        <v>130</v>
      </c>
      <c r="B166" s="3">
        <v>2.54</v>
      </c>
      <c r="C166" s="2" t="s">
        <v>16</v>
      </c>
      <c r="D166" s="2">
        <v>32.1</v>
      </c>
      <c r="E166" s="2">
        <f>Таблица1[[#This Row],[Площадь, м2.]]-I166</f>
        <v>0</v>
      </c>
      <c r="F166" s="3">
        <v>26.3</v>
      </c>
      <c r="G166" s="1">
        <f>F166-Таблица1[[#This Row],[Площадь, м2.]]</f>
        <v>-5.8000000000000007</v>
      </c>
      <c r="I166" s="7">
        <f t="shared" si="42"/>
        <v>32.1</v>
      </c>
      <c r="J166" s="7" t="str">
        <f t="shared" si="40"/>
        <v>32,1</v>
      </c>
      <c r="K166" s="1" t="s">
        <v>328</v>
      </c>
      <c r="O166" s="1">
        <f t="shared" ref="O166" si="78">VALUE(SUBSTITUTE(TRIM(RIGHTB(SUBSTITUTE(P166," ",REPT(" ",99)),99)),",","."))</f>
        <v>46112</v>
      </c>
      <c r="P166" s="1" t="str">
        <f t="shared" si="45"/>
        <v>31,3</v>
      </c>
      <c r="Q166" s="1" t="s">
        <v>115</v>
      </c>
    </row>
    <row r="167" spans="1:17" hidden="1" x14ac:dyDescent="0.3">
      <c r="A167" s="2">
        <v>131</v>
      </c>
      <c r="B167" s="3">
        <v>2.5499999999999998</v>
      </c>
      <c r="C167" s="2" t="s">
        <v>16</v>
      </c>
      <c r="D167" s="2">
        <v>6.5</v>
      </c>
      <c r="E167" s="2">
        <f>Таблица1[[#This Row],[Площадь, м2.]]-I167</f>
        <v>0</v>
      </c>
      <c r="F167" s="3">
        <v>6.5</v>
      </c>
      <c r="G167" s="1">
        <f>F167-Таблица1[[#This Row],[Площадь, м2.]]</f>
        <v>0</v>
      </c>
      <c r="I167" s="7">
        <f t="shared" si="42"/>
        <v>6.5</v>
      </c>
      <c r="J167" s="7" t="str">
        <f t="shared" si="40"/>
        <v>6,5</v>
      </c>
      <c r="K167" s="1" t="s">
        <v>329</v>
      </c>
      <c r="O167" s="1">
        <f t="shared" ref="O167" si="79">VALUE(SUBSTITUTE(TRIM(RIGHTB(SUBSTITUTE(P167," ",REPT(" ",99)),99)),",","."))</f>
        <v>46087</v>
      </c>
      <c r="P167" s="1" t="str">
        <f t="shared" si="45"/>
        <v>6,3</v>
      </c>
      <c r="Q167" s="1" t="s">
        <v>116</v>
      </c>
    </row>
    <row r="168" spans="1:17" x14ac:dyDescent="0.3">
      <c r="A168" s="2">
        <v>79</v>
      </c>
      <c r="B168" s="38">
        <v>2.56</v>
      </c>
      <c r="C168" s="2" t="s">
        <v>13</v>
      </c>
      <c r="D168" s="2">
        <v>63.1</v>
      </c>
      <c r="E168" s="2">
        <f>Таблица1[[#This Row],[Площадь, м2.]]-I168</f>
        <v>0</v>
      </c>
      <c r="G168" s="1">
        <f>F168-Таблица1[[#This Row],[Площадь, м2.]]</f>
        <v>-63.1</v>
      </c>
      <c r="I168" s="7">
        <f t="shared" si="42"/>
        <v>63.1</v>
      </c>
      <c r="J168" s="7" t="str">
        <f t="shared" si="40"/>
        <v>63,1</v>
      </c>
      <c r="K168" s="1" t="s">
        <v>330</v>
      </c>
      <c r="O168" s="1" t="e">
        <f t="shared" ref="O168" si="80">VALUE(SUBSTITUTE(TRIM(RIGHTB(SUBSTITUTE(P168," ",REPT(" ",99)),99)),",","."))</f>
        <v>#VALUE!</v>
      </c>
      <c r="P168" s="1" t="str">
        <f t="shared" si="45"/>
        <v>59,9</v>
      </c>
      <c r="Q168" s="1" t="s">
        <v>117</v>
      </c>
    </row>
    <row r="169" spans="1:17" hidden="1" x14ac:dyDescent="0.3">
      <c r="A169" s="2">
        <v>132</v>
      </c>
      <c r="B169" s="3">
        <v>2.57</v>
      </c>
      <c r="C169" s="2" t="s">
        <v>16</v>
      </c>
      <c r="D169" s="2">
        <v>28.1</v>
      </c>
      <c r="E169" s="2">
        <f>Таблица1[[#This Row],[Площадь, м2.]]-I169</f>
        <v>0</v>
      </c>
      <c r="F169" s="3">
        <v>18.399999999999999</v>
      </c>
      <c r="G169" s="1">
        <f>F169-Таблица1[[#This Row],[Площадь, м2.]]</f>
        <v>-9.7000000000000028</v>
      </c>
      <c r="I169" s="7">
        <f t="shared" si="42"/>
        <v>28.1</v>
      </c>
      <c r="J169" s="7" t="str">
        <f t="shared" si="40"/>
        <v>28,1</v>
      </c>
      <c r="K169" s="1" t="s">
        <v>331</v>
      </c>
      <c r="O169" s="1">
        <f t="shared" ref="O169" si="81">VALUE(SUBSTITUTE(TRIM(RIGHTB(SUBSTITUTE(P169," ",REPT(" ",99)),99)),",","."))</f>
        <v>46079</v>
      </c>
      <c r="P169" s="1" t="str">
        <f t="shared" si="45"/>
        <v>26,2</v>
      </c>
      <c r="Q169" s="1" t="s">
        <v>118</v>
      </c>
    </row>
    <row r="170" spans="1:17" x14ac:dyDescent="0.3">
      <c r="A170" s="2">
        <v>164</v>
      </c>
      <c r="B170" s="38">
        <v>2.58</v>
      </c>
      <c r="C170" s="2" t="s">
        <v>17</v>
      </c>
      <c r="D170" s="2">
        <v>76.2</v>
      </c>
      <c r="E170" s="2">
        <f>Таблица1[[#This Row],[Площадь, м2.]]-I170</f>
        <v>0</v>
      </c>
      <c r="F170" s="3">
        <v>79.599999999999994</v>
      </c>
      <c r="G170" s="1">
        <f>F170-Таблица1[[#This Row],[Площадь, м2.]]</f>
        <v>3.3999999999999915</v>
      </c>
      <c r="I170" s="7">
        <f t="shared" si="42"/>
        <v>76.2</v>
      </c>
      <c r="J170" s="7" t="str">
        <f t="shared" si="40"/>
        <v>76,2</v>
      </c>
      <c r="K170" s="1" t="s">
        <v>332</v>
      </c>
      <c r="O170" s="1" t="e">
        <f t="shared" ref="O170" si="82">VALUE(SUBSTITUTE(TRIM(RIGHTB(SUBSTITUTE(P170," ",REPT(" ",99)),99)),",","."))</f>
        <v>#VALUE!</v>
      </c>
      <c r="P170" s="1" t="str">
        <f t="shared" si="45"/>
        <v>74,5</v>
      </c>
      <c r="Q170" s="1" t="s">
        <v>119</v>
      </c>
    </row>
    <row r="171" spans="1:17" x14ac:dyDescent="0.3">
      <c r="A171" s="2">
        <v>165</v>
      </c>
      <c r="B171" s="38">
        <v>3.01</v>
      </c>
      <c r="C171" s="2" t="s">
        <v>17</v>
      </c>
      <c r="D171" s="2">
        <v>62.8</v>
      </c>
      <c r="E171" s="2">
        <f>Таблица1[[#This Row],[Площадь, м2.]]-I171</f>
        <v>0</v>
      </c>
      <c r="F171" s="3">
        <v>62.8</v>
      </c>
      <c r="G171" s="1">
        <f>F171-Таблица1[[#This Row],[Площадь, м2.]]</f>
        <v>0</v>
      </c>
      <c r="I171" s="7">
        <f t="shared" si="42"/>
        <v>62.8</v>
      </c>
      <c r="J171" s="7" t="str">
        <f t="shared" si="40"/>
        <v>62,8</v>
      </c>
      <c r="K171" s="1" t="s">
        <v>333</v>
      </c>
      <c r="O171" s="1" t="e">
        <f t="shared" ref="O171" si="83">VALUE(SUBSTITUTE(TRIM(RIGHTB(SUBSTITUTE(P171," ",REPT(" ",99)),99)),",","."))</f>
        <v>#VALUE!</v>
      </c>
      <c r="P171" s="1" t="str">
        <f t="shared" si="45"/>
        <v>61,9</v>
      </c>
      <c r="Q171" s="1" t="s">
        <v>120</v>
      </c>
    </row>
    <row r="172" spans="1:17" x14ac:dyDescent="0.3">
      <c r="A172" s="2">
        <v>166</v>
      </c>
      <c r="B172" s="38">
        <v>3.02</v>
      </c>
      <c r="C172" s="2" t="s">
        <v>17</v>
      </c>
      <c r="D172" s="2">
        <v>89.1</v>
      </c>
      <c r="E172" s="2">
        <f>Таблица1[[#This Row],[Площадь, м2.]]-I172</f>
        <v>0</v>
      </c>
      <c r="F172" s="3">
        <v>89.1</v>
      </c>
      <c r="G172" s="1">
        <f>F172-Таблица1[[#This Row],[Площадь, м2.]]</f>
        <v>0</v>
      </c>
      <c r="I172" s="7">
        <f t="shared" si="42"/>
        <v>89.1</v>
      </c>
      <c r="J172" s="7" t="str">
        <f t="shared" si="40"/>
        <v>89,1</v>
      </c>
      <c r="K172" s="1" t="s">
        <v>334</v>
      </c>
      <c r="O172" s="1" t="e">
        <f t="shared" ref="O172" si="84">VALUE(SUBSTITUTE(TRIM(RIGHTB(SUBSTITUTE(P172," ",REPT(" ",99)),99)),",","."))</f>
        <v>#VALUE!</v>
      </c>
      <c r="P172" s="1" t="str">
        <f t="shared" si="45"/>
        <v>87,9</v>
      </c>
      <c r="Q172" s="1" t="s">
        <v>121</v>
      </c>
    </row>
    <row r="173" spans="1:17" x14ac:dyDescent="0.3">
      <c r="A173" s="2">
        <v>167</v>
      </c>
      <c r="B173" s="38">
        <v>3.03</v>
      </c>
      <c r="C173" s="2" t="s">
        <v>17</v>
      </c>
      <c r="D173" s="2">
        <v>29.7</v>
      </c>
      <c r="E173" s="2">
        <f>Таблица1[[#This Row],[Площадь, м2.]]-I173</f>
        <v>0</v>
      </c>
      <c r="F173" s="3">
        <v>29.7</v>
      </c>
      <c r="G173" s="1">
        <f>F173-Таблица1[[#This Row],[Площадь, м2.]]</f>
        <v>0</v>
      </c>
      <c r="I173" s="7">
        <f t="shared" si="42"/>
        <v>29.7</v>
      </c>
      <c r="J173" s="7" t="str">
        <f t="shared" si="40"/>
        <v>29,7</v>
      </c>
      <c r="K173" s="1" t="s">
        <v>335</v>
      </c>
      <c r="O173" s="1" t="e">
        <f t="shared" ref="O173" si="85">VALUE(SUBSTITUTE(TRIM(RIGHTB(SUBSTITUTE(P173," ",REPT(" ",99)),99)),",","."))</f>
        <v>#VALUE!</v>
      </c>
      <c r="P173" s="1" t="str">
        <f t="shared" si="45"/>
        <v>29,2</v>
      </c>
      <c r="Q173" s="1" t="s">
        <v>122</v>
      </c>
    </row>
    <row r="174" spans="1:17" x14ac:dyDescent="0.3">
      <c r="A174" s="2">
        <v>168</v>
      </c>
      <c r="B174" s="38">
        <v>3.04</v>
      </c>
      <c r="C174" s="2" t="s">
        <v>17</v>
      </c>
      <c r="D174" s="2">
        <v>64.599999999999994</v>
      </c>
      <c r="E174" s="2">
        <f>Таблица1[[#This Row],[Площадь, м2.]]-I174</f>
        <v>0</v>
      </c>
      <c r="F174" s="3">
        <v>64.599999999999994</v>
      </c>
      <c r="G174" s="1">
        <f>F174-Таблица1[[#This Row],[Площадь, м2.]]</f>
        <v>0</v>
      </c>
      <c r="I174" s="7">
        <f t="shared" si="42"/>
        <v>64.599999999999994</v>
      </c>
      <c r="J174" s="7" t="str">
        <f t="shared" si="40"/>
        <v>64,6</v>
      </c>
      <c r="K174" s="1" t="s">
        <v>336</v>
      </c>
      <c r="O174" s="1" t="e">
        <f t="shared" ref="O174" si="86">VALUE(SUBSTITUTE(TRIM(RIGHTB(SUBSTITUTE(P174," ",REPT(" ",99)),99)),",","."))</f>
        <v>#VALUE!</v>
      </c>
      <c r="P174" s="1" t="str">
        <f t="shared" si="45"/>
        <v>63,9</v>
      </c>
      <c r="Q174" s="1" t="s">
        <v>123</v>
      </c>
    </row>
    <row r="175" spans="1:17" x14ac:dyDescent="0.3">
      <c r="A175" s="2">
        <v>169</v>
      </c>
      <c r="B175" s="38">
        <v>3.05</v>
      </c>
      <c r="C175" s="2" t="s">
        <v>17</v>
      </c>
      <c r="D175" s="2">
        <v>63.8</v>
      </c>
      <c r="E175" s="2">
        <f>Таблица1[[#This Row],[Площадь, м2.]]-I175</f>
        <v>0</v>
      </c>
      <c r="F175" s="3">
        <v>69.5</v>
      </c>
      <c r="G175" s="1">
        <f>F175-Таблица1[[#This Row],[Площадь, м2.]]</f>
        <v>5.7000000000000028</v>
      </c>
      <c r="I175" s="7">
        <f t="shared" si="42"/>
        <v>63.8</v>
      </c>
      <c r="J175" s="7" t="str">
        <f t="shared" si="40"/>
        <v>63,8</v>
      </c>
      <c r="K175" s="1" t="s">
        <v>337</v>
      </c>
      <c r="O175" s="1" t="e">
        <f t="shared" ref="O175" si="87">VALUE(SUBSTITUTE(TRIM(RIGHTB(SUBSTITUTE(P175," ",REPT(" ",99)),99)),",","."))</f>
        <v>#VALUE!</v>
      </c>
      <c r="P175" s="1" t="str">
        <f t="shared" si="45"/>
        <v>63,0</v>
      </c>
      <c r="Q175" s="1" t="s">
        <v>124</v>
      </c>
    </row>
    <row r="176" spans="1:17" x14ac:dyDescent="0.3">
      <c r="A176" s="2">
        <v>170</v>
      </c>
      <c r="B176" s="38">
        <v>3.06</v>
      </c>
      <c r="C176" s="2" t="s">
        <v>17</v>
      </c>
      <c r="D176" s="2">
        <v>65.400000000000006</v>
      </c>
      <c r="E176" s="2">
        <f>Таблица1[[#This Row],[Площадь, м2.]]-I176</f>
        <v>0</v>
      </c>
      <c r="F176" s="3">
        <v>65.400000000000006</v>
      </c>
      <c r="G176" s="1">
        <f>F176-Таблица1[[#This Row],[Площадь, м2.]]</f>
        <v>0</v>
      </c>
      <c r="I176" s="7">
        <f t="shared" si="42"/>
        <v>65.400000000000006</v>
      </c>
      <c r="J176" s="7" t="str">
        <f t="shared" si="40"/>
        <v>65,4</v>
      </c>
      <c r="K176" s="1" t="s">
        <v>338</v>
      </c>
      <c r="O176" s="1" t="e">
        <f t="shared" ref="O176" si="88">VALUE(SUBSTITUTE(TRIM(RIGHTB(SUBSTITUTE(P176," ",REPT(" ",99)),99)),",","."))</f>
        <v>#VALUE!</v>
      </c>
      <c r="P176" s="1" t="str">
        <f t="shared" si="45"/>
        <v>64,6</v>
      </c>
      <c r="Q176" s="1" t="s">
        <v>125</v>
      </c>
    </row>
    <row r="177" spans="1:17" x14ac:dyDescent="0.3">
      <c r="A177" s="2">
        <v>171</v>
      </c>
      <c r="B177" s="38">
        <v>3.07</v>
      </c>
      <c r="C177" s="2" t="s">
        <v>17</v>
      </c>
      <c r="D177" s="2">
        <v>63.7</v>
      </c>
      <c r="E177" s="2">
        <f>Таблица1[[#This Row],[Площадь, м2.]]-I177</f>
        <v>0</v>
      </c>
      <c r="F177" s="3">
        <v>63.7</v>
      </c>
      <c r="G177" s="1">
        <f>F177-Таблица1[[#This Row],[Площадь, м2.]]</f>
        <v>0</v>
      </c>
      <c r="I177" s="7">
        <f t="shared" si="42"/>
        <v>63.7</v>
      </c>
      <c r="J177" s="7" t="str">
        <f t="shared" si="40"/>
        <v>63,7</v>
      </c>
      <c r="K177" s="1" t="s">
        <v>339</v>
      </c>
      <c r="O177" s="1" t="e">
        <f t="shared" ref="O177" si="89">VALUE(SUBSTITUTE(TRIM(RIGHTB(SUBSTITUTE(P177," ",REPT(" ",99)),99)),",","."))</f>
        <v>#VALUE!</v>
      </c>
      <c r="P177" s="1" t="str">
        <f t="shared" si="45"/>
        <v>63,0</v>
      </c>
      <c r="Q177" s="1" t="s">
        <v>126</v>
      </c>
    </row>
    <row r="178" spans="1:17" x14ac:dyDescent="0.3">
      <c r="A178" s="2">
        <v>172</v>
      </c>
      <c r="B178" s="38">
        <v>3.08</v>
      </c>
      <c r="C178" s="2" t="s">
        <v>17</v>
      </c>
      <c r="D178" s="2">
        <v>64.3</v>
      </c>
      <c r="E178" s="2">
        <f>Таблица1[[#This Row],[Площадь, м2.]]-I178</f>
        <v>0</v>
      </c>
      <c r="F178" s="3">
        <v>123.1</v>
      </c>
      <c r="G178" s="1">
        <f>F178-Таблица1[[#This Row],[Площадь, м2.]]</f>
        <v>58.8</v>
      </c>
      <c r="I178" s="7">
        <f t="shared" si="42"/>
        <v>64.3</v>
      </c>
      <c r="J178" s="7" t="str">
        <f t="shared" si="40"/>
        <v>64,3</v>
      </c>
      <c r="K178" s="1" t="s">
        <v>340</v>
      </c>
      <c r="O178" s="1" t="e">
        <f t="shared" ref="O178" si="90">VALUE(SUBSTITUTE(TRIM(RIGHTB(SUBSTITUTE(P178," ",REPT(" ",99)),99)),",","."))</f>
        <v>#VALUE!</v>
      </c>
      <c r="P178" s="1" t="str">
        <f t="shared" si="45"/>
        <v>63,6</v>
      </c>
      <c r="Q178" s="1" t="s">
        <v>127</v>
      </c>
    </row>
    <row r="179" spans="1:17" hidden="1" x14ac:dyDescent="0.3">
      <c r="A179" s="2">
        <v>203</v>
      </c>
      <c r="B179" s="3">
        <v>3.09</v>
      </c>
      <c r="C179" s="2" t="s">
        <v>19</v>
      </c>
      <c r="D179" s="2">
        <v>5.4</v>
      </c>
      <c r="E179" s="2">
        <f>Таблица1[[#This Row],[Площадь, м2.]]-I179</f>
        <v>0</v>
      </c>
      <c r="G179" s="1">
        <f>F179-Таблица1[[#This Row],[Площадь, м2.]]</f>
        <v>-5.4</v>
      </c>
      <c r="I179" s="7">
        <f t="shared" si="42"/>
        <v>5.4</v>
      </c>
      <c r="J179" s="7" t="str">
        <f t="shared" si="40"/>
        <v>5,4</v>
      </c>
      <c r="K179" s="1" t="s">
        <v>341</v>
      </c>
      <c r="O179" s="1">
        <f t="shared" ref="O179" si="91">VALUE(SUBSTITUTE(TRIM(RIGHTB(SUBSTITUTE(P179," ",REPT(" ",99)),99)),",","."))</f>
        <v>46027</v>
      </c>
      <c r="P179" s="1" t="str">
        <f t="shared" si="45"/>
        <v>5,1</v>
      </c>
      <c r="Q179" s="1" t="s">
        <v>128</v>
      </c>
    </row>
    <row r="180" spans="1:17" hidden="1" x14ac:dyDescent="0.3">
      <c r="A180" s="2">
        <v>204</v>
      </c>
      <c r="B180" s="3">
        <v>3.1</v>
      </c>
      <c r="C180" s="2" t="s">
        <v>19</v>
      </c>
      <c r="D180" s="2">
        <v>15.8</v>
      </c>
      <c r="E180" s="2">
        <f>Таблица1[[#This Row],[Площадь, м2.]]-I180</f>
        <v>0</v>
      </c>
      <c r="G180" s="1">
        <f>F180-Таблица1[[#This Row],[Площадь, м2.]]</f>
        <v>-15.8</v>
      </c>
      <c r="I180" s="7">
        <f t="shared" si="42"/>
        <v>15.8</v>
      </c>
      <c r="J180" s="7" t="str">
        <f t="shared" si="40"/>
        <v>15,8</v>
      </c>
      <c r="K180" s="1" t="s">
        <v>342</v>
      </c>
      <c r="O180" s="1">
        <f t="shared" ref="O180" si="92">VALUE(SUBSTITUTE(TRIM(RIGHTB(SUBSTITUTE(P180," ",REPT(" ",99)),99)),",","."))</f>
        <v>46156</v>
      </c>
      <c r="P180" s="1" t="str">
        <f t="shared" si="45"/>
        <v>14,5</v>
      </c>
      <c r="Q180" s="1" t="s">
        <v>129</v>
      </c>
    </row>
    <row r="181" spans="1:17" hidden="1" x14ac:dyDescent="0.3">
      <c r="A181" s="2">
        <v>205</v>
      </c>
      <c r="B181" s="3">
        <v>3.11</v>
      </c>
      <c r="C181" s="2" t="s">
        <v>19</v>
      </c>
      <c r="D181" s="2">
        <v>15.8</v>
      </c>
      <c r="E181" s="2">
        <f>Таблица1[[#This Row],[Площадь, м2.]]-I181</f>
        <v>0</v>
      </c>
      <c r="G181" s="1">
        <f>F181-Таблица1[[#This Row],[Площадь, м2.]]</f>
        <v>-15.8</v>
      </c>
      <c r="I181" s="7">
        <f t="shared" si="42"/>
        <v>15.8</v>
      </c>
      <c r="J181" s="7" t="str">
        <f t="shared" si="40"/>
        <v>15,8</v>
      </c>
      <c r="K181" s="1" t="s">
        <v>343</v>
      </c>
      <c r="O181" s="1">
        <f t="shared" ref="O181" si="93">VALUE(SUBSTITUTE(TRIM(RIGHTB(SUBSTITUTE(P181," ",REPT(" ",99)),99)),",","."))</f>
        <v>46126</v>
      </c>
      <c r="P181" s="1" t="str">
        <f t="shared" si="45"/>
        <v>14,4</v>
      </c>
      <c r="Q181" s="1" t="s">
        <v>130</v>
      </c>
    </row>
    <row r="182" spans="1:17" x14ac:dyDescent="0.3">
      <c r="A182" s="2">
        <v>173</v>
      </c>
      <c r="B182" s="38">
        <v>3.12</v>
      </c>
      <c r="C182" s="2" t="s">
        <v>17</v>
      </c>
      <c r="D182" s="2">
        <v>246.5</v>
      </c>
      <c r="E182" s="2">
        <f>Таблица1[[#This Row],[Площадь, м2.]]-I182</f>
        <v>0</v>
      </c>
      <c r="F182" s="3">
        <v>256.89999999999998</v>
      </c>
      <c r="G182" s="1">
        <f>F182-Таблица1[[#This Row],[Площадь, м2.]]</f>
        <v>10.399999999999977</v>
      </c>
      <c r="I182" s="7">
        <f t="shared" si="42"/>
        <v>246.5</v>
      </c>
      <c r="J182" s="7" t="str">
        <f t="shared" si="40"/>
        <v>246,5</v>
      </c>
      <c r="K182" s="1" t="s">
        <v>344</v>
      </c>
      <c r="O182" s="1" t="e">
        <f t="shared" ref="O182" si="94">VALUE(SUBSTITUTE(TRIM(RIGHTB(SUBSTITUTE(P182," ",REPT(" ",99)),99)),",","."))</f>
        <v>#VALUE!</v>
      </c>
      <c r="P182" s="1" t="str">
        <f t="shared" si="45"/>
        <v>243,9</v>
      </c>
      <c r="Q182" s="1" t="s">
        <v>131</v>
      </c>
    </row>
    <row r="183" spans="1:17" x14ac:dyDescent="0.3">
      <c r="A183" s="2">
        <v>174</v>
      </c>
      <c r="B183" s="38">
        <v>3.13</v>
      </c>
      <c r="C183" s="2" t="s">
        <v>17</v>
      </c>
      <c r="D183" s="2">
        <v>13.3</v>
      </c>
      <c r="E183" s="2">
        <f>Таблица1[[#This Row],[Площадь, м2.]]-I183</f>
        <v>0</v>
      </c>
      <c r="F183" s="3">
        <v>13.3</v>
      </c>
      <c r="G183" s="1">
        <f>F183-Таблица1[[#This Row],[Площадь, м2.]]</f>
        <v>0</v>
      </c>
      <c r="I183" s="7">
        <f t="shared" si="42"/>
        <v>13.3</v>
      </c>
      <c r="J183" s="7" t="str">
        <f t="shared" si="40"/>
        <v>13,3</v>
      </c>
      <c r="K183" s="1" t="s">
        <v>345</v>
      </c>
      <c r="O183" s="1" t="e">
        <f t="shared" ref="O183" si="95">VALUE(SUBSTITUTE(TRIM(RIGHTB(SUBSTITUTE(P183," ",REPT(" ",99)),99)),",","."))</f>
        <v>#VALUE!</v>
      </c>
      <c r="P183" s="1" t="str">
        <f t="shared" si="45"/>
        <v>13,0</v>
      </c>
      <c r="Q183" s="1" t="s">
        <v>132</v>
      </c>
    </row>
    <row r="184" spans="1:17" hidden="1" x14ac:dyDescent="0.3">
      <c r="A184" s="2">
        <v>206</v>
      </c>
      <c r="B184" s="3">
        <v>3.14</v>
      </c>
      <c r="C184" s="2" t="s">
        <v>19</v>
      </c>
      <c r="D184" s="2">
        <v>5.4</v>
      </c>
      <c r="E184" s="2">
        <f>Таблица1[[#This Row],[Площадь, м2.]]-I184</f>
        <v>0</v>
      </c>
      <c r="G184" s="1">
        <f>F184-Таблица1[[#This Row],[Площадь, м2.]]</f>
        <v>-5.4</v>
      </c>
      <c r="I184" s="7">
        <f t="shared" si="42"/>
        <v>5.4</v>
      </c>
      <c r="J184" s="7" t="str">
        <f t="shared" si="40"/>
        <v>5,4</v>
      </c>
      <c r="K184" s="1" t="s">
        <v>346</v>
      </c>
      <c r="O184" s="1">
        <f t="shared" ref="O184" si="96">VALUE(SUBSTITUTE(TRIM(RIGHTB(SUBSTITUTE(P184," ",REPT(" ",99)),99)),",","."))</f>
        <v>46027</v>
      </c>
      <c r="P184" s="1" t="str">
        <f t="shared" si="45"/>
        <v>5,1</v>
      </c>
      <c r="Q184" s="1" t="s">
        <v>133</v>
      </c>
    </row>
    <row r="185" spans="1:17" hidden="1" x14ac:dyDescent="0.3">
      <c r="A185" s="2">
        <v>207</v>
      </c>
      <c r="B185" s="3">
        <v>3.15</v>
      </c>
      <c r="C185" s="2" t="s">
        <v>19</v>
      </c>
      <c r="D185" s="2">
        <v>11.9</v>
      </c>
      <c r="E185" s="2">
        <f>Таблица1[[#This Row],[Площадь, м2.]]-I185</f>
        <v>0</v>
      </c>
      <c r="G185" s="1">
        <f>F185-Таблица1[[#This Row],[Площадь, м2.]]</f>
        <v>-11.9</v>
      </c>
      <c r="I185" s="7">
        <f t="shared" si="42"/>
        <v>11.9</v>
      </c>
      <c r="J185" s="7" t="str">
        <f t="shared" si="40"/>
        <v>11,9</v>
      </c>
      <c r="K185" s="1" t="s">
        <v>347</v>
      </c>
      <c r="O185" s="1">
        <f t="shared" ref="O185" si="97">VALUE(SUBSTITUTE(TRIM(RIGHTB(SUBSTITUTE(P185," ",REPT(" ",99)),99)),",","."))</f>
        <v>46153</v>
      </c>
      <c r="P185" s="1" t="str">
        <f t="shared" si="45"/>
        <v>11,5</v>
      </c>
      <c r="Q185" s="1" t="s">
        <v>134</v>
      </c>
    </row>
    <row r="186" spans="1:17" hidden="1" x14ac:dyDescent="0.3">
      <c r="A186" s="2">
        <v>133</v>
      </c>
      <c r="B186" s="3">
        <v>3.16</v>
      </c>
      <c r="C186" s="2" t="s">
        <v>16</v>
      </c>
      <c r="D186" s="2">
        <v>13</v>
      </c>
      <c r="E186" s="2">
        <f>Таблица1[[#This Row],[Площадь, м2.]]-I186</f>
        <v>0</v>
      </c>
      <c r="F186" s="3">
        <v>25.8</v>
      </c>
      <c r="G186" s="1">
        <f>F186-Таблица1[[#This Row],[Площадь, м2.]]</f>
        <v>12.8</v>
      </c>
      <c r="I186" s="7">
        <f t="shared" si="42"/>
        <v>13</v>
      </c>
      <c r="J186" s="7" t="str">
        <f t="shared" si="40"/>
        <v>13,0</v>
      </c>
      <c r="K186" s="1" t="s">
        <v>348</v>
      </c>
      <c r="O186" s="1">
        <f t="shared" ref="O186" si="98">VALUE(SUBSTITUTE(TRIM(RIGHTB(SUBSTITUTE(P186," ",REPT(" ",99)),99)),",","."))</f>
        <v>46148</v>
      </c>
      <c r="P186" s="1" t="str">
        <f t="shared" si="45"/>
        <v>6,5</v>
      </c>
      <c r="Q186" s="1" t="s">
        <v>135</v>
      </c>
    </row>
    <row r="187" spans="1:17" hidden="1" x14ac:dyDescent="0.3">
      <c r="A187" s="2">
        <v>134</v>
      </c>
      <c r="B187" s="3">
        <v>3.17</v>
      </c>
      <c r="C187" s="2" t="s">
        <v>16</v>
      </c>
      <c r="D187" s="2">
        <v>25.8</v>
      </c>
      <c r="E187" s="2">
        <f>Таблица1[[#This Row],[Площадь, м2.]]-I187</f>
        <v>0</v>
      </c>
      <c r="F187" s="3">
        <v>45</v>
      </c>
      <c r="G187" s="1">
        <f>F187-Таблица1[[#This Row],[Площадь, м2.]]</f>
        <v>19.2</v>
      </c>
      <c r="I187" s="7">
        <f t="shared" si="42"/>
        <v>25.8</v>
      </c>
      <c r="J187" s="7" t="str">
        <f t="shared" si="40"/>
        <v>25,8</v>
      </c>
      <c r="K187" s="1" t="s">
        <v>349</v>
      </c>
      <c r="O187" s="1">
        <f t="shared" ref="O187" si="99">VALUE(SUBSTITUTE(TRIM(RIGHTB(SUBSTITUTE(P187," ",REPT(" ",99)),99)),",","."))</f>
        <v>46078</v>
      </c>
      <c r="P187" s="1" t="str">
        <f t="shared" si="45"/>
        <v>25,2</v>
      </c>
      <c r="Q187" s="1" t="s">
        <v>136</v>
      </c>
    </row>
    <row r="188" spans="1:17" x14ac:dyDescent="0.3">
      <c r="A188" s="2">
        <v>175</v>
      </c>
      <c r="B188" s="38">
        <v>3.18</v>
      </c>
      <c r="C188" s="2" t="s">
        <v>17</v>
      </c>
      <c r="D188" s="2">
        <v>107.2</v>
      </c>
      <c r="E188" s="2">
        <f>Таблица1[[#This Row],[Площадь, м2.]]-I188</f>
        <v>0</v>
      </c>
      <c r="F188" s="3">
        <v>207</v>
      </c>
      <c r="G188" s="1">
        <f>F188-Таблица1[[#This Row],[Площадь, м2.]]</f>
        <v>99.8</v>
      </c>
      <c r="I188" s="7">
        <f t="shared" si="42"/>
        <v>107.2</v>
      </c>
      <c r="J188" s="7" t="str">
        <f t="shared" si="40"/>
        <v>107,2</v>
      </c>
      <c r="K188" s="1" t="s">
        <v>350</v>
      </c>
      <c r="O188" s="1" t="e">
        <f t="shared" ref="O188" si="100">VALUE(SUBSTITUTE(TRIM(RIGHTB(SUBSTITUTE(P188," ",REPT(" ",99)),99)),",","."))</f>
        <v>#VALUE!</v>
      </c>
      <c r="P188" s="1" t="str">
        <f t="shared" si="45"/>
        <v>113,4</v>
      </c>
      <c r="Q188" s="1" t="s">
        <v>137</v>
      </c>
    </row>
    <row r="189" spans="1:17" x14ac:dyDescent="0.3">
      <c r="A189" s="2">
        <v>80</v>
      </c>
      <c r="B189" s="38">
        <v>3.19</v>
      </c>
      <c r="C189" s="2" t="s">
        <v>13</v>
      </c>
      <c r="D189" s="2">
        <v>113.7</v>
      </c>
      <c r="E189" s="2">
        <f>Таблица1[[#This Row],[Площадь, м2.]]-I189</f>
        <v>0</v>
      </c>
      <c r="G189" s="1">
        <f>F189-Таблица1[[#This Row],[Площадь, м2.]]</f>
        <v>-113.7</v>
      </c>
      <c r="I189" s="7">
        <f t="shared" si="42"/>
        <v>113.7</v>
      </c>
      <c r="J189" s="7" t="str">
        <f t="shared" si="40"/>
        <v>113,7</v>
      </c>
      <c r="K189" s="1" t="s">
        <v>351</v>
      </c>
      <c r="O189" s="1" t="e">
        <f t="shared" ref="O189" si="101">VALUE(SUBSTITUTE(TRIM(RIGHTB(SUBSTITUTE(P189," ",REPT(" ",99)),99)),",","."))</f>
        <v>#VALUE!</v>
      </c>
      <c r="P189" s="1" t="str">
        <f t="shared" si="45"/>
        <v>105,9</v>
      </c>
      <c r="Q189" s="1" t="s">
        <v>138</v>
      </c>
    </row>
    <row r="190" spans="1:17" hidden="1" x14ac:dyDescent="0.3">
      <c r="A190" s="2">
        <v>135</v>
      </c>
      <c r="B190" s="3">
        <v>3.2</v>
      </c>
      <c r="C190" s="2" t="s">
        <v>16</v>
      </c>
      <c r="D190" s="2">
        <v>25.7</v>
      </c>
      <c r="E190" s="2">
        <f>Таблица1[[#This Row],[Площадь, м2.]]-I190</f>
        <v>0</v>
      </c>
      <c r="F190" s="3">
        <v>48.5</v>
      </c>
      <c r="G190" s="1">
        <f>F190-Таблица1[[#This Row],[Площадь, м2.]]</f>
        <v>22.8</v>
      </c>
      <c r="I190" s="7">
        <f t="shared" si="42"/>
        <v>25.7</v>
      </c>
      <c r="J190" s="7" t="str">
        <f t="shared" si="40"/>
        <v>25,7</v>
      </c>
      <c r="K190" s="1" t="s">
        <v>352</v>
      </c>
      <c r="O190" s="1">
        <f t="shared" ref="O190" si="102">VALUE(SUBSTITUTE(TRIM(RIGHTB(SUBSTITUTE(P190," ",REPT(" ",99)),99)),",","."))</f>
        <v>46078</v>
      </c>
      <c r="P190" s="1" t="str">
        <f t="shared" si="45"/>
        <v>25,2</v>
      </c>
      <c r="Q190" s="1" t="s">
        <v>139</v>
      </c>
    </row>
    <row r="191" spans="1:17" hidden="1" x14ac:dyDescent="0.3">
      <c r="A191" s="2">
        <v>136</v>
      </c>
      <c r="B191" s="3">
        <v>3.21</v>
      </c>
      <c r="C191" s="2" t="s">
        <v>16</v>
      </c>
      <c r="D191" s="2">
        <v>30.6</v>
      </c>
      <c r="E191" s="2">
        <f>Таблица1[[#This Row],[Площадь, м2.]]-I191</f>
        <v>0</v>
      </c>
      <c r="F191" s="3">
        <v>29.4</v>
      </c>
      <c r="G191" s="1">
        <f>F191-Таблица1[[#This Row],[Площадь, м2.]]</f>
        <v>-1.2000000000000028</v>
      </c>
      <c r="I191" s="7">
        <f t="shared" si="42"/>
        <v>30.6</v>
      </c>
      <c r="J191" s="7" t="str">
        <f t="shared" si="40"/>
        <v>30,6</v>
      </c>
      <c r="K191" s="1" t="s">
        <v>353</v>
      </c>
      <c r="O191" s="1">
        <f t="shared" ref="O191" si="103">VALUE(SUBSTITUTE(TRIM(RIGHTB(SUBSTITUTE(P191," ",REPT(" ",99)),99)),",","."))</f>
        <v>46231</v>
      </c>
      <c r="P191" s="1" t="str">
        <f t="shared" si="45"/>
        <v>28,7</v>
      </c>
      <c r="Q191" s="1" t="s">
        <v>140</v>
      </c>
    </row>
    <row r="192" spans="1:17" hidden="1" x14ac:dyDescent="0.3">
      <c r="A192" s="2">
        <v>137</v>
      </c>
      <c r="B192" s="3">
        <v>3.22</v>
      </c>
      <c r="C192" s="2" t="s">
        <v>16</v>
      </c>
      <c r="D192" s="2">
        <v>8.5</v>
      </c>
      <c r="E192" s="2">
        <f>Таблица1[[#This Row],[Площадь, м2.]]-I192</f>
        <v>0</v>
      </c>
      <c r="F192" s="3">
        <v>8.5</v>
      </c>
      <c r="G192" s="1">
        <f>F192-Таблица1[[#This Row],[Площадь, м2.]]</f>
        <v>0</v>
      </c>
      <c r="I192" s="7">
        <f t="shared" si="42"/>
        <v>8.5</v>
      </c>
      <c r="J192" s="7" t="str">
        <f t="shared" si="40"/>
        <v>8,5</v>
      </c>
      <c r="K192" s="1" t="s">
        <v>354</v>
      </c>
      <c r="O192" s="1">
        <f t="shared" ref="O192" si="104">VALUE(SUBSTITUTE(TRIM(RIGHTB(SUBSTITUTE(P192," ",REPT(" ",99)),99)),",","."))</f>
        <v>46089</v>
      </c>
      <c r="P192" s="1" t="str">
        <f t="shared" ref="P192:P215" si="105">TRIM(RIGHTB(SUBSTITUTE(Q192," ",REPT(" ",99)),99))</f>
        <v>8,3</v>
      </c>
      <c r="Q192" s="1" t="s">
        <v>141</v>
      </c>
    </row>
    <row r="193" spans="1:17" x14ac:dyDescent="0.3">
      <c r="A193" s="2">
        <v>176</v>
      </c>
      <c r="B193" s="38">
        <v>3.23</v>
      </c>
      <c r="C193" s="2" t="s">
        <v>17</v>
      </c>
      <c r="D193" s="2">
        <v>21.6</v>
      </c>
      <c r="E193" s="2">
        <f>Таблица1[[#This Row],[Площадь, м2.]]-I193</f>
        <v>0</v>
      </c>
      <c r="F193" s="3">
        <v>21.6</v>
      </c>
      <c r="G193" s="1">
        <f>F193-Таблица1[[#This Row],[Площадь, м2.]]</f>
        <v>0</v>
      </c>
      <c r="I193" s="7">
        <f t="shared" si="42"/>
        <v>21.6</v>
      </c>
      <c r="J193" s="7" t="str">
        <f t="shared" si="40"/>
        <v>21,6</v>
      </c>
      <c r="K193" s="1" t="s">
        <v>355</v>
      </c>
      <c r="O193" s="1">
        <f t="shared" ref="O193" si="106">VALUE(SUBSTITUTE(TRIM(RIGHTB(SUBSTITUTE(P193," ",REPT(" ",99)),99)),",","."))</f>
        <v>46165</v>
      </c>
      <c r="P193" s="1" t="str">
        <f t="shared" si="105"/>
        <v>23,5</v>
      </c>
      <c r="Q193" s="1" t="s">
        <v>142</v>
      </c>
    </row>
    <row r="194" spans="1:17" hidden="1" x14ac:dyDescent="0.3">
      <c r="A194" s="2">
        <v>208</v>
      </c>
      <c r="B194" s="3">
        <v>3.24</v>
      </c>
      <c r="C194" s="2" t="s">
        <v>19</v>
      </c>
      <c r="D194" s="2">
        <v>6.7</v>
      </c>
      <c r="E194" s="2">
        <f>Таблица1[[#This Row],[Площадь, м2.]]-I194</f>
        <v>0</v>
      </c>
      <c r="G194" s="1">
        <f>F194-Таблица1[[#This Row],[Площадь, м2.]]</f>
        <v>-6.7</v>
      </c>
      <c r="I194" s="7">
        <f t="shared" si="42"/>
        <v>6.7</v>
      </c>
      <c r="J194" s="7" t="str">
        <f t="shared" si="40"/>
        <v>6,7</v>
      </c>
      <c r="K194" s="1" t="s">
        <v>356</v>
      </c>
      <c r="O194" s="1">
        <f t="shared" ref="O194" si="107">VALUE(SUBSTITUTE(TRIM(RIGHTB(SUBSTITUTE(P194," ",REPT(" ",99)),99)),",","."))</f>
        <v>46118</v>
      </c>
      <c r="P194" s="1" t="str">
        <f t="shared" si="105"/>
        <v>6,4</v>
      </c>
      <c r="Q194" s="1" t="s">
        <v>143</v>
      </c>
    </row>
    <row r="195" spans="1:17" x14ac:dyDescent="0.3">
      <c r="A195" s="2">
        <v>177</v>
      </c>
      <c r="B195" s="38">
        <v>3.25</v>
      </c>
      <c r="C195" s="2" t="s">
        <v>17</v>
      </c>
      <c r="D195" s="2">
        <v>52.1</v>
      </c>
      <c r="E195" s="2">
        <f>Таблица1[[#This Row],[Площадь, м2.]]-I195</f>
        <v>0</v>
      </c>
      <c r="F195" s="3">
        <v>52.1</v>
      </c>
      <c r="G195" s="1">
        <f>F195-Таблица1[[#This Row],[Площадь, м2.]]</f>
        <v>0</v>
      </c>
      <c r="I195" s="7">
        <f t="shared" si="42"/>
        <v>52.1</v>
      </c>
      <c r="J195" s="7" t="str">
        <f t="shared" ref="J195:J215" si="108">TRIM(RIGHTB(SUBSTITUTE(K195," ",REPT(" ",99)),99))</f>
        <v>52,1</v>
      </c>
      <c r="K195" s="1" t="s">
        <v>357</v>
      </c>
      <c r="O195" s="1" t="e">
        <f t="shared" ref="O195" si="109">VALUE(SUBSTITUTE(TRIM(RIGHTB(SUBSTITUTE(P195," ",REPT(" ",99)),99)),",","."))</f>
        <v>#VALUE!</v>
      </c>
      <c r="P195" s="1" t="str">
        <f t="shared" si="105"/>
        <v>50,6</v>
      </c>
      <c r="Q195" s="1" t="s">
        <v>144</v>
      </c>
    </row>
    <row r="196" spans="1:17" x14ac:dyDescent="0.3">
      <c r="A196" s="2">
        <v>92</v>
      </c>
      <c r="B196" s="38">
        <v>3.26</v>
      </c>
      <c r="C196" s="2" t="s">
        <v>14</v>
      </c>
      <c r="D196" s="2">
        <v>57</v>
      </c>
      <c r="E196" s="2">
        <f>Таблица1[[#This Row],[Площадь, м2.]]-I196</f>
        <v>0</v>
      </c>
      <c r="G196" s="1">
        <f>F196-Таблица1[[#This Row],[Площадь, м2.]]</f>
        <v>-57</v>
      </c>
      <c r="I196" s="7">
        <f t="shared" ref="I196:I215" si="110">VALUE(J196)</f>
        <v>57</v>
      </c>
      <c r="J196" s="7" t="str">
        <f t="shared" si="108"/>
        <v>57,0</v>
      </c>
      <c r="K196" s="1" t="s">
        <v>358</v>
      </c>
      <c r="O196" s="1" t="e">
        <f t="shared" ref="O196" si="111">VALUE(SUBSTITUTE(TRIM(RIGHTB(SUBSTITUTE(P196," ",REPT(" ",99)),99)),",","."))</f>
        <v>#VALUE!</v>
      </c>
      <c r="P196" s="1" t="str">
        <f t="shared" si="105"/>
        <v>56,0</v>
      </c>
      <c r="Q196" s="1" t="s">
        <v>145</v>
      </c>
    </row>
    <row r="197" spans="1:17" hidden="1" x14ac:dyDescent="0.3">
      <c r="A197" s="2">
        <v>209</v>
      </c>
      <c r="B197" s="3">
        <v>3.27</v>
      </c>
      <c r="C197" s="2" t="s">
        <v>19</v>
      </c>
      <c r="D197" s="2">
        <v>29.6</v>
      </c>
      <c r="E197" s="2">
        <f>Таблица1[[#This Row],[Площадь, м2.]]-I197</f>
        <v>0</v>
      </c>
      <c r="G197" s="1">
        <f>F197-Таблица1[[#This Row],[Площадь, м2.]]</f>
        <v>-29.6</v>
      </c>
      <c r="I197" s="7">
        <f t="shared" si="110"/>
        <v>29.6</v>
      </c>
      <c r="J197" s="7" t="str">
        <f t="shared" si="108"/>
        <v>29,6</v>
      </c>
      <c r="K197" s="1" t="s">
        <v>359</v>
      </c>
      <c r="O197" s="1" t="e">
        <f t="shared" ref="O197" si="112">VALUE(SUBSTITUTE(TRIM(RIGHTB(SUBSTITUTE(P197," ",REPT(" ",99)),99)),",","."))</f>
        <v>#VALUE!</v>
      </c>
      <c r="P197" s="1" t="str">
        <f t="shared" si="105"/>
        <v>29,0</v>
      </c>
      <c r="Q197" s="1" t="s">
        <v>146</v>
      </c>
    </row>
    <row r="198" spans="1:17" x14ac:dyDescent="0.3">
      <c r="A198" s="2">
        <v>178</v>
      </c>
      <c r="B198" s="38">
        <v>3.28</v>
      </c>
      <c r="C198" s="2" t="s">
        <v>17</v>
      </c>
      <c r="D198" s="2">
        <v>21.6</v>
      </c>
      <c r="E198" s="2">
        <f>Таблица1[[#This Row],[Площадь, м2.]]-I198</f>
        <v>0</v>
      </c>
      <c r="F198" s="3">
        <v>21.6</v>
      </c>
      <c r="G198" s="1">
        <f>F198-Таблица1[[#This Row],[Площадь, м2.]]</f>
        <v>0</v>
      </c>
      <c r="I198" s="7">
        <f t="shared" si="110"/>
        <v>21.6</v>
      </c>
      <c r="J198" s="7" t="str">
        <f t="shared" si="108"/>
        <v>21,6</v>
      </c>
      <c r="K198" s="1" t="s">
        <v>360</v>
      </c>
      <c r="O198" s="1">
        <f t="shared" ref="O198" si="113">VALUE(SUBSTITUTE(TRIM(RIGHTB(SUBSTITUTE(P198," ",REPT(" ",99)),99)),",","."))</f>
        <v>46104</v>
      </c>
      <c r="P198" s="1" t="str">
        <f t="shared" si="105"/>
        <v>23,3</v>
      </c>
      <c r="Q198" s="1" t="s">
        <v>147</v>
      </c>
    </row>
    <row r="199" spans="1:17" x14ac:dyDescent="0.3">
      <c r="A199" s="2">
        <v>179</v>
      </c>
      <c r="B199" s="38">
        <v>3.29</v>
      </c>
      <c r="C199" s="2" t="s">
        <v>17</v>
      </c>
      <c r="D199" s="2">
        <v>51.6</v>
      </c>
      <c r="E199" s="2">
        <f>Таблица1[[#This Row],[Площадь, м2.]]-I199</f>
        <v>0</v>
      </c>
      <c r="F199" s="3">
        <v>51.6</v>
      </c>
      <c r="G199" s="1">
        <f>F199-Таблица1[[#This Row],[Площадь, м2.]]</f>
        <v>0</v>
      </c>
      <c r="I199" s="7">
        <f t="shared" si="110"/>
        <v>51.6</v>
      </c>
      <c r="J199" s="7" t="str">
        <f t="shared" si="108"/>
        <v>51,6</v>
      </c>
      <c r="K199" s="1" t="s">
        <v>361</v>
      </c>
      <c r="O199" s="1" t="e">
        <f t="shared" ref="O199" si="114">VALUE(SUBSTITUTE(TRIM(RIGHTB(SUBSTITUTE(P199," ",REPT(" ",99)),99)),",","."))</f>
        <v>#VALUE!</v>
      </c>
      <c r="P199" s="1" t="str">
        <f t="shared" si="105"/>
        <v>50,8</v>
      </c>
      <c r="Q199" s="1" t="s">
        <v>148</v>
      </c>
    </row>
    <row r="200" spans="1:17" x14ac:dyDescent="0.3">
      <c r="A200" s="2">
        <v>93</v>
      </c>
      <c r="B200" s="38">
        <v>3.3</v>
      </c>
      <c r="C200" s="2" t="s">
        <v>14</v>
      </c>
      <c r="D200" s="2">
        <v>56.3</v>
      </c>
      <c r="E200" s="2">
        <f>Таблица1[[#This Row],[Площадь, м2.]]-I200</f>
        <v>0</v>
      </c>
      <c r="G200" s="1">
        <f>F200-Таблица1[[#This Row],[Площадь, м2.]]</f>
        <v>-56.3</v>
      </c>
      <c r="I200" s="7">
        <f t="shared" si="110"/>
        <v>56.3</v>
      </c>
      <c r="J200" s="7" t="str">
        <f t="shared" si="108"/>
        <v>56,3</v>
      </c>
      <c r="K200" s="1" t="s">
        <v>362</v>
      </c>
      <c r="O200" s="1" t="e">
        <f t="shared" ref="O200" si="115">VALUE(SUBSTITUTE(TRIM(RIGHTB(SUBSTITUTE(P200," ",REPT(" ",99)),99)),",","."))</f>
        <v>#VALUE!</v>
      </c>
      <c r="P200" s="1" t="str">
        <f t="shared" si="105"/>
        <v>55,7</v>
      </c>
      <c r="Q200" s="1" t="s">
        <v>149</v>
      </c>
    </row>
    <row r="201" spans="1:17" hidden="1" x14ac:dyDescent="0.3">
      <c r="A201" s="2">
        <v>210</v>
      </c>
      <c r="B201" s="3">
        <v>3.31</v>
      </c>
      <c r="C201" s="2" t="s">
        <v>19</v>
      </c>
      <c r="D201" s="2">
        <v>6.7</v>
      </c>
      <c r="E201" s="2">
        <f>Таблица1[[#This Row],[Площадь, м2.]]-I201</f>
        <v>0</v>
      </c>
      <c r="G201" s="1">
        <f>F201-Таблица1[[#This Row],[Площадь, м2.]]</f>
        <v>-6.7</v>
      </c>
      <c r="I201" s="7">
        <f t="shared" si="110"/>
        <v>6.7</v>
      </c>
      <c r="J201" s="7" t="str">
        <f t="shared" si="108"/>
        <v>6,7</v>
      </c>
      <c r="K201" s="1" t="s">
        <v>363</v>
      </c>
      <c r="O201" s="1">
        <f t="shared" ref="O201" si="116">VALUE(SUBSTITUTE(TRIM(RIGHTB(SUBSTITUTE(P201," ",REPT(" ",99)),99)),",","."))</f>
        <v>46118</v>
      </c>
      <c r="P201" s="1" t="str">
        <f t="shared" si="105"/>
        <v>6,4</v>
      </c>
      <c r="Q201" s="1" t="s">
        <v>150</v>
      </c>
    </row>
    <row r="202" spans="1:17" hidden="1" x14ac:dyDescent="0.3">
      <c r="A202" s="2">
        <v>211</v>
      </c>
      <c r="B202" s="3">
        <v>3.32</v>
      </c>
      <c r="C202" s="2" t="s">
        <v>19</v>
      </c>
      <c r="D202" s="2">
        <v>29.6</v>
      </c>
      <c r="E202" s="2">
        <f>Таблица1[[#This Row],[Площадь, м2.]]-I202</f>
        <v>0</v>
      </c>
      <c r="G202" s="1">
        <f>F202-Таблица1[[#This Row],[Площадь, м2.]]</f>
        <v>-29.6</v>
      </c>
      <c r="I202" s="7">
        <f t="shared" si="110"/>
        <v>29.6</v>
      </c>
      <c r="J202" s="7" t="str">
        <f t="shared" si="108"/>
        <v>29,6</v>
      </c>
      <c r="K202" s="1" t="s">
        <v>364</v>
      </c>
      <c r="O202" s="1" t="e">
        <f t="shared" ref="O202" si="117">VALUE(SUBSTITUTE(TRIM(RIGHTB(SUBSTITUTE(P202," ",REPT(" ",99)),99)),",","."))</f>
        <v>#VALUE!</v>
      </c>
      <c r="P202" s="1" t="str">
        <f t="shared" si="105"/>
        <v>29,0</v>
      </c>
      <c r="Q202" s="1" t="s">
        <v>151</v>
      </c>
    </row>
    <row r="203" spans="1:17" x14ac:dyDescent="0.3">
      <c r="A203" s="2">
        <v>180</v>
      </c>
      <c r="B203" s="38">
        <v>3.33</v>
      </c>
      <c r="C203" s="2" t="s">
        <v>17</v>
      </c>
      <c r="D203" s="2">
        <v>75.400000000000006</v>
      </c>
      <c r="E203" s="2">
        <f>Таблица1[[#This Row],[Площадь, м2.]]-I203</f>
        <v>0</v>
      </c>
      <c r="F203" s="3">
        <v>78.3</v>
      </c>
      <c r="G203" s="1">
        <f>F203-Таблица1[[#This Row],[Площадь, м2.]]</f>
        <v>2.8999999999999915</v>
      </c>
      <c r="I203" s="7">
        <f t="shared" si="110"/>
        <v>75.400000000000006</v>
      </c>
      <c r="J203" s="7" t="str">
        <f t="shared" si="108"/>
        <v>75,4</v>
      </c>
      <c r="K203" s="1" t="s">
        <v>365</v>
      </c>
      <c r="O203" s="1" t="e">
        <f t="shared" ref="O203" si="118">VALUE(SUBSTITUTE(TRIM(RIGHTB(SUBSTITUTE(P203," ",REPT(" ",99)),99)),",","."))</f>
        <v>#VALUE!</v>
      </c>
      <c r="P203" s="1" t="str">
        <f t="shared" si="105"/>
        <v>74,6</v>
      </c>
      <c r="Q203" s="1" t="s">
        <v>152</v>
      </c>
    </row>
    <row r="204" spans="1:17" x14ac:dyDescent="0.3">
      <c r="A204" s="2">
        <v>181</v>
      </c>
      <c r="B204" s="38">
        <v>3.34</v>
      </c>
      <c r="C204" s="2" t="s">
        <v>17</v>
      </c>
      <c r="D204" s="2">
        <v>6.9</v>
      </c>
      <c r="E204" s="2">
        <f>Таблица1[[#This Row],[Площадь, м2.]]-I204</f>
        <v>0</v>
      </c>
      <c r="F204" s="3">
        <v>6.9</v>
      </c>
      <c r="G204" s="1">
        <f>F204-Таблица1[[#This Row],[Площадь, м2.]]</f>
        <v>0</v>
      </c>
      <c r="I204" s="7">
        <f t="shared" si="110"/>
        <v>6.9</v>
      </c>
      <c r="J204" s="7" t="str">
        <f t="shared" si="108"/>
        <v>6,9</v>
      </c>
      <c r="K204" s="1" t="s">
        <v>366</v>
      </c>
      <c r="O204" s="1">
        <f t="shared" ref="O204" si="119">VALUE(SUBSTITUTE(TRIM(RIGHTB(SUBSTITUTE(P204," ",REPT(" ",99)),99)),",","."))</f>
        <v>46179</v>
      </c>
      <c r="P204" s="1" t="str">
        <f t="shared" si="105"/>
        <v>6,6</v>
      </c>
      <c r="Q204" s="1" t="s">
        <v>153</v>
      </c>
    </row>
    <row r="205" spans="1:17" x14ac:dyDescent="0.3">
      <c r="A205" s="2">
        <v>182</v>
      </c>
      <c r="B205" s="38">
        <v>3.35</v>
      </c>
      <c r="C205" s="2" t="s">
        <v>17</v>
      </c>
      <c r="D205" s="2">
        <v>74.900000000000006</v>
      </c>
      <c r="E205" s="2">
        <f>Таблица1[[#This Row],[Площадь, м2.]]-I205</f>
        <v>0</v>
      </c>
      <c r="F205" s="3">
        <v>77.8</v>
      </c>
      <c r="G205" s="1">
        <f>F205-Таблица1[[#This Row],[Площадь, м2.]]</f>
        <v>2.8999999999999915</v>
      </c>
      <c r="I205" s="7">
        <f t="shared" si="110"/>
        <v>74.900000000000006</v>
      </c>
      <c r="J205" s="7" t="str">
        <f t="shared" si="108"/>
        <v>74,9</v>
      </c>
      <c r="K205" s="1" t="s">
        <v>367</v>
      </c>
      <c r="O205" s="1" t="e">
        <f t="shared" ref="O205" si="120">VALUE(SUBSTITUTE(TRIM(RIGHTB(SUBSTITUTE(P205," ",REPT(" ",99)),99)),",","."))</f>
        <v>#VALUE!</v>
      </c>
      <c r="P205" s="1" t="str">
        <f t="shared" si="105"/>
        <v>74,1</v>
      </c>
      <c r="Q205" s="1" t="s">
        <v>154</v>
      </c>
    </row>
    <row r="206" spans="1:17" hidden="1" x14ac:dyDescent="0.3">
      <c r="A206" s="2">
        <v>138</v>
      </c>
      <c r="B206" s="3">
        <v>3.36</v>
      </c>
      <c r="C206" s="2" t="s">
        <v>16</v>
      </c>
      <c r="D206" s="2">
        <v>6</v>
      </c>
      <c r="E206" s="2">
        <f>Таблица1[[#This Row],[Площадь, м2.]]-I206</f>
        <v>0</v>
      </c>
      <c r="F206" s="3">
        <v>6</v>
      </c>
      <c r="G206" s="1">
        <f>F206-Таблица1[[#This Row],[Площадь, м2.]]</f>
        <v>0</v>
      </c>
      <c r="I206" s="7">
        <f t="shared" si="110"/>
        <v>6</v>
      </c>
      <c r="J206" s="7" t="str">
        <f t="shared" si="108"/>
        <v>6,0</v>
      </c>
      <c r="K206" s="1" t="s">
        <v>368</v>
      </c>
      <c r="O206" s="1">
        <f t="shared" ref="O206" si="121">VALUE(SUBSTITUTE(TRIM(RIGHTB(SUBSTITUTE(P206," ",REPT(" ",99)),99)),",","."))</f>
        <v>46239</v>
      </c>
      <c r="P206" s="1" t="str">
        <f t="shared" si="105"/>
        <v>5,8</v>
      </c>
      <c r="Q206" s="1" t="s">
        <v>155</v>
      </c>
    </row>
    <row r="207" spans="1:17" hidden="1" x14ac:dyDescent="0.3">
      <c r="A207" s="2">
        <v>139</v>
      </c>
      <c r="B207" s="3">
        <v>3.37</v>
      </c>
      <c r="C207" s="2" t="s">
        <v>16</v>
      </c>
      <c r="D207" s="2">
        <v>6.1</v>
      </c>
      <c r="E207" s="2">
        <f>Таблица1[[#This Row],[Площадь, м2.]]-I207</f>
        <v>0</v>
      </c>
      <c r="F207" s="3">
        <v>6.1</v>
      </c>
      <c r="G207" s="1">
        <f>F207-Таблица1[[#This Row],[Площадь, м2.]]</f>
        <v>0</v>
      </c>
      <c r="I207" s="7">
        <f t="shared" si="110"/>
        <v>6.1</v>
      </c>
      <c r="J207" s="7" t="str">
        <f t="shared" si="108"/>
        <v>6,1</v>
      </c>
      <c r="K207" s="1" t="s">
        <v>369</v>
      </c>
      <c r="O207" s="1">
        <f t="shared" ref="O207" si="122">VALUE(SUBSTITUTE(TRIM(RIGHTB(SUBSTITUTE(P207," ",REPT(" ",99)),99)),",","."))</f>
        <v>46270</v>
      </c>
      <c r="P207" s="1" t="str">
        <f t="shared" si="105"/>
        <v>5,9</v>
      </c>
      <c r="Q207" s="1" t="s">
        <v>156</v>
      </c>
    </row>
    <row r="208" spans="1:17" hidden="1" x14ac:dyDescent="0.3">
      <c r="A208" s="2">
        <v>140</v>
      </c>
      <c r="B208" s="3">
        <v>3.38</v>
      </c>
      <c r="C208" s="2" t="s">
        <v>16</v>
      </c>
      <c r="D208" s="2">
        <v>32.1</v>
      </c>
      <c r="E208" s="2">
        <f>Таблица1[[#This Row],[Площадь, м2.]]-I208</f>
        <v>0</v>
      </c>
      <c r="F208" s="3">
        <v>32.1</v>
      </c>
      <c r="G208" s="1">
        <f>F208-Таблица1[[#This Row],[Площадь, м2.]]</f>
        <v>0</v>
      </c>
      <c r="I208" s="7">
        <f t="shared" si="110"/>
        <v>32.1</v>
      </c>
      <c r="J208" s="7" t="str">
        <f t="shared" si="108"/>
        <v>32,1</v>
      </c>
      <c r="K208" s="1" t="s">
        <v>370</v>
      </c>
      <c r="O208" s="1">
        <f t="shared" ref="O208" si="123">VALUE(SUBSTITUTE(TRIM(RIGHTB(SUBSTITUTE(P208," ",REPT(" ",99)),99)),",","."))</f>
        <v>46295</v>
      </c>
      <c r="P208" s="1" t="str">
        <f t="shared" si="105"/>
        <v>30,9</v>
      </c>
      <c r="Q208" s="1" t="s">
        <v>157</v>
      </c>
    </row>
    <row r="209" spans="1:19" hidden="1" x14ac:dyDescent="0.3">
      <c r="A209" s="2">
        <v>141</v>
      </c>
      <c r="B209" s="3">
        <v>3.39</v>
      </c>
      <c r="C209" s="2" t="s">
        <v>16</v>
      </c>
      <c r="D209" s="2">
        <v>5.9</v>
      </c>
      <c r="E209" s="2">
        <f>Таблица1[[#This Row],[Площадь, м2.]]-I209</f>
        <v>0</v>
      </c>
      <c r="F209" s="3">
        <v>5.9</v>
      </c>
      <c r="G209" s="1">
        <f>F209-Таблица1[[#This Row],[Площадь, м2.]]</f>
        <v>0</v>
      </c>
      <c r="I209" s="7">
        <f t="shared" si="110"/>
        <v>5.9</v>
      </c>
      <c r="J209" s="7" t="str">
        <f t="shared" si="108"/>
        <v>5,9</v>
      </c>
      <c r="K209" s="1" t="s">
        <v>371</v>
      </c>
      <c r="O209" s="1">
        <f t="shared" ref="O209" si="124">VALUE(SUBSTITUTE(TRIM(RIGHTB(SUBSTITUTE(P209," ",REPT(" ",99)),99)),",","."))</f>
        <v>46087</v>
      </c>
      <c r="P209" s="1" t="str">
        <f t="shared" si="105"/>
        <v>6,3</v>
      </c>
      <c r="Q209" s="1" t="s">
        <v>158</v>
      </c>
    </row>
    <row r="210" spans="1:19" hidden="1" x14ac:dyDescent="0.3">
      <c r="A210" s="2">
        <v>212</v>
      </c>
      <c r="B210" s="3">
        <v>3.4</v>
      </c>
      <c r="C210" s="2" t="s">
        <v>19</v>
      </c>
      <c r="D210" s="2">
        <v>6.3</v>
      </c>
      <c r="E210" s="2">
        <f>Таблица1[[#This Row],[Площадь, м2.]]-I210</f>
        <v>0</v>
      </c>
      <c r="G210" s="1">
        <f>F210-Таблица1[[#This Row],[Площадь, м2.]]</f>
        <v>-6.3</v>
      </c>
      <c r="I210" s="7">
        <f t="shared" si="110"/>
        <v>6.3</v>
      </c>
      <c r="J210" s="7" t="str">
        <f t="shared" si="108"/>
        <v>6,3</v>
      </c>
      <c r="K210" s="1" t="s">
        <v>372</v>
      </c>
      <c r="O210" s="1">
        <f t="shared" ref="O210" si="125">VALUE(SUBSTITUTE(TRIM(RIGHTB(SUBSTITUTE(P210," ",REPT(" ",99)),99)),",","."))</f>
        <v>46028</v>
      </c>
      <c r="P210" s="1" t="str">
        <f t="shared" si="105"/>
        <v>6,1</v>
      </c>
      <c r="Q210" s="1" t="s">
        <v>159</v>
      </c>
    </row>
    <row r="211" spans="1:19" x14ac:dyDescent="0.3">
      <c r="A211" s="2">
        <v>81</v>
      </c>
      <c r="B211" s="38">
        <v>3.41</v>
      </c>
      <c r="C211" s="2" t="s">
        <v>13</v>
      </c>
      <c r="D211" s="2">
        <v>36.4</v>
      </c>
      <c r="E211" s="2">
        <f>Таблица1[[#This Row],[Площадь, м2.]]-I211</f>
        <v>-2.3000000000000043</v>
      </c>
      <c r="G211" s="1">
        <f>F211-Таблица1[[#This Row],[Площадь, м2.]]</f>
        <v>-36.4</v>
      </c>
      <c r="I211" s="7">
        <f t="shared" si="110"/>
        <v>38.700000000000003</v>
      </c>
      <c r="J211" s="7" t="str">
        <f t="shared" si="108"/>
        <v>38,7</v>
      </c>
      <c r="K211" s="1" t="s">
        <v>373</v>
      </c>
      <c r="O211" s="1" t="e">
        <f t="shared" ref="O211" si="126">VALUE(SUBSTITUTE(TRIM(RIGHTB(SUBSTITUTE(P211," ",REPT(" ",99)),99)),",","."))</f>
        <v>#VALUE!</v>
      </c>
      <c r="P211" s="1" t="str">
        <f t="shared" si="105"/>
        <v>36,4</v>
      </c>
      <c r="Q211" s="1" t="s">
        <v>160</v>
      </c>
    </row>
    <row r="212" spans="1:19" x14ac:dyDescent="0.3">
      <c r="A212" s="2">
        <v>82</v>
      </c>
      <c r="B212" s="38">
        <v>3.42</v>
      </c>
      <c r="C212" s="2" t="s">
        <v>13</v>
      </c>
      <c r="D212" s="2">
        <v>59.7</v>
      </c>
      <c r="E212" s="2">
        <f>Таблица1[[#This Row],[Площадь, м2.]]-I212</f>
        <v>-3.1999999999999957</v>
      </c>
      <c r="G212" s="1">
        <f>F212-Таблица1[[#This Row],[Площадь, м2.]]</f>
        <v>-59.7</v>
      </c>
      <c r="I212" s="7">
        <f t="shared" si="110"/>
        <v>62.9</v>
      </c>
      <c r="J212" s="7" t="str">
        <f t="shared" si="108"/>
        <v>62,9</v>
      </c>
      <c r="K212" s="1" t="s">
        <v>374</v>
      </c>
      <c r="O212" s="1" t="e">
        <f t="shared" ref="O212" si="127">VALUE(SUBSTITUTE(TRIM(RIGHTB(SUBSTITUTE(P212," ",REPT(" ",99)),99)),",","."))</f>
        <v>#VALUE!</v>
      </c>
      <c r="P212" s="1" t="str">
        <f t="shared" si="105"/>
        <v>59,7</v>
      </c>
      <c r="Q212" s="1" t="s">
        <v>161</v>
      </c>
    </row>
    <row r="213" spans="1:19" hidden="1" x14ac:dyDescent="0.3">
      <c r="A213" s="2">
        <v>142</v>
      </c>
      <c r="B213" s="3">
        <v>3.43</v>
      </c>
      <c r="C213" s="2" t="s">
        <v>16</v>
      </c>
      <c r="D213" s="2">
        <v>26.2</v>
      </c>
      <c r="E213" s="2">
        <f>Таблица1[[#This Row],[Площадь, м2.]]-I213</f>
        <v>-1.9000000000000021</v>
      </c>
      <c r="F213" s="3">
        <v>28</v>
      </c>
      <c r="G213" s="1">
        <f>F213-Таблица1[[#This Row],[Площадь, м2.]]</f>
        <v>1.8000000000000007</v>
      </c>
      <c r="I213" s="7">
        <f t="shared" si="110"/>
        <v>28.1</v>
      </c>
      <c r="J213" s="7" t="str">
        <f t="shared" si="108"/>
        <v>28,1</v>
      </c>
      <c r="K213" s="1" t="s">
        <v>375</v>
      </c>
      <c r="O213" s="1">
        <f t="shared" ref="O213" si="128">VALUE(SUBSTITUTE(TRIM(RIGHTB(SUBSTITUTE(P213," ",REPT(" ",99)),99)),",","."))</f>
        <v>46079</v>
      </c>
      <c r="P213" s="1" t="str">
        <f t="shared" si="105"/>
        <v>26,2</v>
      </c>
      <c r="Q213" s="1" t="s">
        <v>162</v>
      </c>
    </row>
    <row r="214" spans="1:19" x14ac:dyDescent="0.3">
      <c r="A214" s="2">
        <v>83</v>
      </c>
      <c r="B214" s="38">
        <v>3.44</v>
      </c>
      <c r="C214" s="2" t="s">
        <v>13</v>
      </c>
      <c r="D214" s="2">
        <v>21.4</v>
      </c>
      <c r="E214" s="2">
        <f>Таблица1[[#This Row],[Площадь, м2.]]-I214</f>
        <v>-0.40000000000000213</v>
      </c>
      <c r="G214" s="1">
        <f>F214-Таблица1[[#This Row],[Площадь, м2.]]</f>
        <v>-21.4</v>
      </c>
      <c r="I214" s="7">
        <f t="shared" si="110"/>
        <v>21.8</v>
      </c>
      <c r="J214" s="7" t="str">
        <f t="shared" si="108"/>
        <v>21,8</v>
      </c>
      <c r="K214" s="1" t="s">
        <v>376</v>
      </c>
      <c r="O214" s="1">
        <f t="shared" ref="O214" si="129">VALUE(SUBSTITUTE(TRIM(RIGHTB(SUBSTITUTE(P214," ",REPT(" ",99)),99)),",","."))</f>
        <v>46133</v>
      </c>
      <c r="P214" s="1" t="str">
        <f t="shared" si="105"/>
        <v>21,4</v>
      </c>
      <c r="Q214" s="1" t="s">
        <v>163</v>
      </c>
    </row>
    <row r="215" spans="1:19" x14ac:dyDescent="0.3">
      <c r="A215" s="2">
        <v>183</v>
      </c>
      <c r="B215" s="38">
        <v>3.45</v>
      </c>
      <c r="C215" s="2" t="s">
        <v>17</v>
      </c>
      <c r="D215" s="2">
        <v>82.7</v>
      </c>
      <c r="E215" s="2">
        <f>Таблица1[[#This Row],[Площадь, м2.]]-I215</f>
        <v>-4.7000000000000028</v>
      </c>
      <c r="F215" s="3">
        <v>87.4</v>
      </c>
      <c r="G215" s="1">
        <f>F215-Таблица1[[#This Row],[Площадь, м2.]]</f>
        <v>4.7000000000000028</v>
      </c>
      <c r="I215" s="7">
        <f t="shared" si="110"/>
        <v>87.4</v>
      </c>
      <c r="J215" s="7" t="str">
        <f t="shared" si="108"/>
        <v>87,4</v>
      </c>
      <c r="K215" s="1" t="s">
        <v>377</v>
      </c>
      <c r="O215" s="1" t="e">
        <f t="shared" ref="O215" si="130">VALUE(SUBSTITUTE(TRIM(RIGHTB(SUBSTITUTE(P215," ",REPT(" ",99)),99)),",","."))</f>
        <v>#VALUE!</v>
      </c>
      <c r="P215" s="1" t="str">
        <f t="shared" si="105"/>
        <v>82,7</v>
      </c>
      <c r="Q215" s="1" t="s">
        <v>164</v>
      </c>
    </row>
    <row r="216" spans="1:19" hidden="1" x14ac:dyDescent="0.3">
      <c r="A216" s="2">
        <v>54</v>
      </c>
      <c r="B216" s="3" t="s">
        <v>21</v>
      </c>
      <c r="C216" s="2" t="s">
        <v>12</v>
      </c>
      <c r="D216" s="2">
        <v>13.8</v>
      </c>
      <c r="E216" s="2">
        <f>Таблица1[[#This Row],[Площадь, м2.]]-I216</f>
        <v>13.8</v>
      </c>
      <c r="G216" s="1">
        <f>F216-Таблица1[[#This Row],[Площадь, м2.]]</f>
        <v>-13.8</v>
      </c>
    </row>
    <row r="217" spans="1:19" x14ac:dyDescent="0.3">
      <c r="A217" s="2" t="s">
        <v>20</v>
      </c>
    </row>
    <row r="218" spans="1:19" x14ac:dyDescent="0.3">
      <c r="A218" s="2" t="s">
        <v>3</v>
      </c>
      <c r="D218" s="1"/>
      <c r="E218" s="1"/>
      <c r="F218" s="9"/>
      <c r="O218" s="2"/>
      <c r="P218" s="2"/>
      <c r="R218" s="1"/>
      <c r="S218" s="1"/>
    </row>
    <row r="219" spans="1:19" x14ac:dyDescent="0.3">
      <c r="D219" s="1"/>
      <c r="E219" s="1"/>
      <c r="F219" s="9"/>
      <c r="O219" s="2"/>
      <c r="P219" s="2"/>
      <c r="R219" s="1"/>
      <c r="S219" s="1"/>
    </row>
    <row r="220" spans="1:19" x14ac:dyDescent="0.3">
      <c r="D220" s="1"/>
      <c r="E220" s="1"/>
      <c r="F220" s="9"/>
      <c r="O220" s="2"/>
      <c r="P220" s="2"/>
      <c r="R220" s="1"/>
      <c r="S220" s="1"/>
    </row>
    <row r="221" spans="1:19" x14ac:dyDescent="0.3">
      <c r="D221" s="1"/>
      <c r="E221" s="1"/>
      <c r="F221" s="9"/>
      <c r="O221" s="2"/>
      <c r="P221" s="2"/>
      <c r="R221" s="1"/>
      <c r="S221" s="1"/>
    </row>
    <row r="222" spans="1:19" x14ac:dyDescent="0.3">
      <c r="D222" s="1"/>
      <c r="E222" s="1"/>
      <c r="F222" s="9"/>
      <c r="O222" s="2"/>
      <c r="P222" s="2"/>
      <c r="R222" s="1"/>
      <c r="S222" s="1"/>
    </row>
    <row r="223" spans="1:19" x14ac:dyDescent="0.3">
      <c r="C223" s="7" t="s">
        <v>379</v>
      </c>
      <c r="D223" s="8" t="s">
        <v>380</v>
      </c>
      <c r="E223" s="8" t="s">
        <v>381</v>
      </c>
      <c r="F223" s="10" t="s">
        <v>382</v>
      </c>
      <c r="O223" s="2"/>
      <c r="P223" s="2"/>
      <c r="R223" s="1"/>
      <c r="S223" s="1"/>
    </row>
    <row r="224" spans="1:19" x14ac:dyDescent="0.3">
      <c r="C224" s="7" t="s">
        <v>4</v>
      </c>
      <c r="D224" s="8">
        <f>SUMIF(Таблица1[[#All],[Тип пола]],C224,Таблица1[[#All],[Площадь, м2.]])</f>
        <v>1827.2</v>
      </c>
      <c r="E224" s="8">
        <v>1827.1</v>
      </c>
      <c r="F224" s="10">
        <f>D224-E224</f>
        <v>0.10000000000013642</v>
      </c>
      <c r="O224" s="2"/>
      <c r="P224" s="2"/>
      <c r="R224" s="1"/>
      <c r="S224" s="1"/>
    </row>
    <row r="225" spans="3:19" x14ac:dyDescent="0.3">
      <c r="C225" s="7" t="s">
        <v>5</v>
      </c>
      <c r="D225" s="8">
        <f>SUMIF(Таблица1[[#All],[Тип пола]],C225,Таблица1[[#All],[Площадь, м2.]])</f>
        <v>387.4</v>
      </c>
      <c r="E225" s="8">
        <v>390.6</v>
      </c>
      <c r="F225" s="10">
        <f t="shared" ref="F225:F238" si="131">D225-E225</f>
        <v>-3.2000000000000455</v>
      </c>
      <c r="O225" s="2"/>
      <c r="P225" s="2"/>
      <c r="R225" s="1"/>
      <c r="S225" s="1"/>
    </row>
    <row r="226" spans="3:19" x14ac:dyDescent="0.3">
      <c r="C226" s="7" t="s">
        <v>6</v>
      </c>
      <c r="D226" s="8">
        <f>SUMIF(Таблица1[[#All],[Тип пола]],C226,Таблица1[[#All],[Площадь, м2.]])</f>
        <v>82.9</v>
      </c>
      <c r="E226" s="8">
        <v>86.3</v>
      </c>
      <c r="F226" s="10">
        <f t="shared" si="131"/>
        <v>-3.3999999999999915</v>
      </c>
      <c r="O226" s="2"/>
      <c r="P226" s="2"/>
      <c r="R226" s="1"/>
      <c r="S226" s="1"/>
    </row>
    <row r="227" spans="3:19" x14ac:dyDescent="0.3">
      <c r="C227" s="7" t="s">
        <v>8</v>
      </c>
      <c r="D227" s="8">
        <f>SUMIF(Таблица1[[#All],[Тип пола]],C227,Таблица1[[#All],[Площадь, м2.]])</f>
        <v>508.5</v>
      </c>
      <c r="E227" s="8">
        <v>501.7</v>
      </c>
      <c r="F227" s="10">
        <f t="shared" si="131"/>
        <v>6.8000000000000114</v>
      </c>
      <c r="O227" s="2"/>
      <c r="P227" s="2"/>
      <c r="R227" s="1"/>
      <c r="S227" s="1"/>
    </row>
    <row r="228" spans="3:19" x14ac:dyDescent="0.3">
      <c r="C228" s="7" t="s">
        <v>9</v>
      </c>
      <c r="D228" s="8">
        <f>SUMIF(Таблица1[[#All],[Тип пола]],C228,Таблица1[[#All],[Площадь, м2.]])</f>
        <v>48.8</v>
      </c>
      <c r="E228" s="8">
        <v>49</v>
      </c>
      <c r="F228" s="10">
        <f t="shared" si="131"/>
        <v>-0.20000000000000284</v>
      </c>
      <c r="O228" s="2"/>
      <c r="P228" s="2"/>
      <c r="R228" s="1"/>
      <c r="S228" s="1"/>
    </row>
    <row r="229" spans="3:19" x14ac:dyDescent="0.3">
      <c r="C229" s="7" t="s">
        <v>10</v>
      </c>
      <c r="D229" s="11">
        <f>SUMIF(Таблица1[[#All],[Тип пола]],C229,Таблица1[[#All],[Площадь, м2.]])</f>
        <v>46.4</v>
      </c>
      <c r="E229" s="8">
        <v>48.4</v>
      </c>
      <c r="F229" s="10">
        <f t="shared" si="131"/>
        <v>-2</v>
      </c>
      <c r="O229" s="2"/>
      <c r="P229" s="2"/>
      <c r="R229" s="1"/>
      <c r="S229" s="1"/>
    </row>
    <row r="230" spans="3:19" x14ac:dyDescent="0.3">
      <c r="C230" s="7" t="s">
        <v>11</v>
      </c>
      <c r="D230" s="11">
        <f>SUMIF(Таблица1[[#All],[Тип пола]],C230,Таблица1[[#All],[Площадь, м2.]])</f>
        <v>719.6</v>
      </c>
      <c r="E230" s="8">
        <v>892.9</v>
      </c>
      <c r="F230" s="10">
        <f t="shared" si="131"/>
        <v>-173.29999999999995</v>
      </c>
      <c r="O230" s="2"/>
      <c r="P230" s="2"/>
      <c r="R230" s="1"/>
      <c r="S230" s="1"/>
    </row>
    <row r="231" spans="3:19" x14ac:dyDescent="0.3">
      <c r="C231" s="7" t="s">
        <v>12</v>
      </c>
      <c r="D231" s="8">
        <f>SUMIF(Таблица1[[#All],[Тип пола]],C231,Таблица1[[#All],[Площадь, м2.]])</f>
        <v>13.8</v>
      </c>
      <c r="E231" s="8">
        <v>13.8</v>
      </c>
      <c r="F231" s="10">
        <f t="shared" si="131"/>
        <v>0</v>
      </c>
      <c r="O231" s="2"/>
      <c r="P231" s="2"/>
      <c r="R231" s="1"/>
      <c r="S231" s="1"/>
    </row>
    <row r="232" spans="3:19" x14ac:dyDescent="0.3">
      <c r="C232" s="7" t="s">
        <v>13</v>
      </c>
      <c r="D232" s="11">
        <f>SUMIF(Таблица1[[#All],[Тип пола]],C232,Таблица1[[#All],[Площадь, м2.]])</f>
        <v>1433.5000000000002</v>
      </c>
      <c r="E232" s="8">
        <v>901.8</v>
      </c>
      <c r="F232" s="10">
        <f t="shared" si="131"/>
        <v>531.70000000000027</v>
      </c>
      <c r="O232" s="2"/>
      <c r="P232" s="2"/>
      <c r="R232" s="1"/>
      <c r="S232" s="1"/>
    </row>
    <row r="233" spans="3:19" x14ac:dyDescent="0.3">
      <c r="C233" s="7" t="s">
        <v>14</v>
      </c>
      <c r="D233" s="11">
        <f>SUMIF(Таблица1[[#All],[Тип пола]],C233,Таблица1[[#All],[Площадь, м2.]])</f>
        <v>484.10000000000008</v>
      </c>
      <c r="E233" s="8">
        <v>259.5</v>
      </c>
      <c r="F233" s="10">
        <f t="shared" si="131"/>
        <v>224.60000000000008</v>
      </c>
      <c r="O233" s="2"/>
      <c r="P233" s="2"/>
      <c r="R233" s="1"/>
      <c r="S233" s="1"/>
    </row>
    <row r="234" spans="3:19" x14ac:dyDescent="0.3">
      <c r="C234" s="7" t="s">
        <v>15</v>
      </c>
      <c r="D234" s="11">
        <f>SUMIF(Таблица1[[#All],[Тип пола]],C234,Таблица1[[#All],[Площадь, м2.]])</f>
        <v>426.19999999999993</v>
      </c>
      <c r="E234" s="8">
        <v>428.2</v>
      </c>
      <c r="F234" s="10">
        <f t="shared" si="131"/>
        <v>-2.0000000000000568</v>
      </c>
      <c r="O234" s="2"/>
      <c r="P234" s="2"/>
      <c r="R234" s="1"/>
      <c r="S234" s="1"/>
    </row>
    <row r="235" spans="3:19" x14ac:dyDescent="0.3">
      <c r="C235" s="7" t="s">
        <v>16</v>
      </c>
      <c r="D235" s="11">
        <f>SUMIF(Таблица1[[#All],[Тип пола]],C235,Таблица1[[#All],[Площадь, м2.]])</f>
        <v>384.1</v>
      </c>
      <c r="E235" s="8">
        <v>205.8</v>
      </c>
      <c r="F235" s="10">
        <f t="shared" si="131"/>
        <v>178.3</v>
      </c>
      <c r="O235" s="2"/>
      <c r="P235" s="2"/>
      <c r="R235" s="1"/>
      <c r="S235" s="1"/>
    </row>
    <row r="236" spans="3:19" x14ac:dyDescent="0.3">
      <c r="C236" s="7" t="s">
        <v>17</v>
      </c>
      <c r="D236" s="11">
        <f>SUMIF(Таблица1[[#All],[Тип пола]],C236,Таблица1[[#All],[Площадь, м2.]])</f>
        <v>2395.7999999999997</v>
      </c>
      <c r="E236" s="8">
        <v>3204</v>
      </c>
      <c r="F236" s="10">
        <f t="shared" si="131"/>
        <v>-808.20000000000027</v>
      </c>
      <c r="O236" s="2"/>
      <c r="P236" s="2"/>
      <c r="R236" s="1"/>
      <c r="S236" s="1"/>
    </row>
    <row r="237" spans="3:19" x14ac:dyDescent="0.3">
      <c r="C237" s="7" t="s">
        <v>18</v>
      </c>
      <c r="D237" s="11">
        <f>SUMIF(Таблица1[[#All],[Тип пола]],C237,Таблица1[[#All],[Площадь, м2.]])</f>
        <v>359.3</v>
      </c>
      <c r="E237" s="8">
        <v>359.8</v>
      </c>
      <c r="F237" s="10">
        <f t="shared" si="131"/>
        <v>-0.5</v>
      </c>
      <c r="O237" s="2"/>
      <c r="P237" s="2"/>
      <c r="R237" s="1"/>
      <c r="S237" s="1"/>
    </row>
    <row r="238" spans="3:19" x14ac:dyDescent="0.3">
      <c r="C238" s="7" t="s">
        <v>19</v>
      </c>
      <c r="D238" s="11">
        <f>SUMIF(Таблица1[[#All],[Тип пола]],C238,Таблица1[[#All],[Площадь, м2.]])</f>
        <v>362</v>
      </c>
      <c r="E238" s="8">
        <v>362.4</v>
      </c>
      <c r="F238" s="10">
        <f t="shared" si="131"/>
        <v>-0.39999999999997726</v>
      </c>
      <c r="O238" s="2"/>
      <c r="P238" s="2"/>
      <c r="R238" s="1"/>
      <c r="S238" s="1"/>
    </row>
    <row r="239" spans="3:19" x14ac:dyDescent="0.3">
      <c r="C239" s="2" t="s">
        <v>388</v>
      </c>
      <c r="D239" s="9">
        <f t="shared" ref="D239:E239" si="132">SUM(D224:D238)</f>
        <v>9479.6</v>
      </c>
      <c r="E239" s="9">
        <f t="shared" si="132"/>
        <v>9531.2999999999993</v>
      </c>
      <c r="F239" s="9">
        <f>SUM(F224:F238)</f>
        <v>-51.699999999999704</v>
      </c>
      <c r="O239" s="2"/>
      <c r="P239" s="2"/>
      <c r="R239" s="1"/>
      <c r="S239" s="1"/>
    </row>
    <row r="240" spans="3:19" x14ac:dyDescent="0.3">
      <c r="D240" s="1"/>
      <c r="E240" s="1"/>
      <c r="F240" s="9"/>
      <c r="O240" s="2"/>
      <c r="P240" s="2"/>
      <c r="R240" s="1"/>
      <c r="S240" s="1"/>
    </row>
    <row r="241" spans="3:19" x14ac:dyDescent="0.3">
      <c r="C241" s="7" t="s">
        <v>20</v>
      </c>
      <c r="D241" s="8"/>
      <c r="E241" s="8"/>
      <c r="F241" s="10"/>
      <c r="O241" s="2"/>
      <c r="P241" s="2"/>
      <c r="R241" s="1"/>
      <c r="S241" s="1"/>
    </row>
    <row r="242" spans="3:19" x14ac:dyDescent="0.3">
      <c r="C242" s="7" t="s">
        <v>6</v>
      </c>
      <c r="D242" s="8"/>
      <c r="E242" s="8">
        <v>71.400000000000006</v>
      </c>
      <c r="F242" s="10"/>
      <c r="O242" s="2"/>
      <c r="P242" s="2"/>
      <c r="R242" s="1"/>
      <c r="S242" s="1"/>
    </row>
    <row r="243" spans="3:19" x14ac:dyDescent="0.3">
      <c r="C243" s="7" t="s">
        <v>7</v>
      </c>
      <c r="D243" s="8"/>
      <c r="E243" s="8">
        <v>271.89999999999998</v>
      </c>
      <c r="F243" s="10"/>
      <c r="O243" s="2"/>
      <c r="P243" s="2"/>
      <c r="R243" s="1"/>
      <c r="S243" s="1"/>
    </row>
    <row r="244" spans="3:19" x14ac:dyDescent="0.3">
      <c r="D244" s="1"/>
      <c r="E244" s="1"/>
      <c r="F244" s="9"/>
      <c r="O244" s="2"/>
      <c r="P244" s="2"/>
      <c r="R244" s="1"/>
      <c r="S244" s="1"/>
    </row>
    <row r="245" spans="3:19" x14ac:dyDescent="0.3">
      <c r="C245" s="2" t="s">
        <v>386</v>
      </c>
      <c r="D245" s="1">
        <f>D232</f>
        <v>1433.5000000000002</v>
      </c>
      <c r="E245" s="1">
        <f t="shared" ref="E245:F245" si="133">E232</f>
        <v>901.8</v>
      </c>
      <c r="F245" s="9">
        <f t="shared" si="133"/>
        <v>531.70000000000027</v>
      </c>
      <c r="O245" s="2"/>
      <c r="P245" s="2"/>
      <c r="R245" s="1"/>
      <c r="S245" s="1"/>
    </row>
    <row r="246" spans="3:19" x14ac:dyDescent="0.3">
      <c r="C246" s="2" t="s">
        <v>385</v>
      </c>
      <c r="D246" s="1">
        <f>D233</f>
        <v>484.10000000000008</v>
      </c>
      <c r="E246" s="1">
        <f t="shared" ref="E246:F246" si="134">E233</f>
        <v>259.5</v>
      </c>
      <c r="F246" s="9">
        <f t="shared" si="134"/>
        <v>224.60000000000008</v>
      </c>
      <c r="O246" s="2"/>
      <c r="P246" s="2"/>
      <c r="R246" s="1"/>
      <c r="S246" s="1"/>
    </row>
    <row r="247" spans="3:19" x14ac:dyDescent="0.3">
      <c r="C247" s="2" t="s">
        <v>384</v>
      </c>
      <c r="D247" s="1">
        <f>D236</f>
        <v>2395.7999999999997</v>
      </c>
      <c r="E247" s="1">
        <f t="shared" ref="E247:F247" si="135">E236</f>
        <v>3204</v>
      </c>
      <c r="F247" s="9">
        <f t="shared" si="135"/>
        <v>-808.20000000000027</v>
      </c>
      <c r="O247" s="2"/>
      <c r="P247" s="2"/>
      <c r="R247" s="1"/>
      <c r="S247" s="1"/>
    </row>
    <row r="248" spans="3:19" x14ac:dyDescent="0.3">
      <c r="C248" s="2" t="s">
        <v>383</v>
      </c>
      <c r="D248" s="1">
        <f>D237</f>
        <v>359.3</v>
      </c>
      <c r="E248" s="1">
        <f t="shared" ref="E248:F248" si="136">E237</f>
        <v>359.8</v>
      </c>
      <c r="F248" s="9">
        <f t="shared" si="136"/>
        <v>-0.5</v>
      </c>
      <c r="O248" s="2"/>
      <c r="P248" s="2"/>
      <c r="R248" s="1"/>
      <c r="S248" s="1"/>
    </row>
    <row r="249" spans="3:19" x14ac:dyDescent="0.3">
      <c r="D249" s="1"/>
      <c r="E249" s="1" t="s">
        <v>387</v>
      </c>
      <c r="F249" s="9">
        <f>SUM(F245:F248)</f>
        <v>-52.399999999999864</v>
      </c>
      <c r="O249" s="2"/>
      <c r="P249" s="2"/>
      <c r="R249" s="1"/>
      <c r="S249" s="1"/>
    </row>
    <row r="250" spans="3:19" x14ac:dyDescent="0.3">
      <c r="D250" s="1"/>
      <c r="E250" s="1"/>
      <c r="F250" s="9"/>
      <c r="O250" s="2"/>
      <c r="P250" s="2"/>
      <c r="R250" s="1"/>
      <c r="S250" s="1"/>
    </row>
    <row r="251" spans="3:19" x14ac:dyDescent="0.3">
      <c r="D251" s="1"/>
      <c r="E251" s="1"/>
      <c r="F251" s="9"/>
      <c r="O251" s="2"/>
      <c r="P251" s="2"/>
      <c r="R251" s="1"/>
      <c r="S251" s="1"/>
    </row>
    <row r="252" spans="3:19" x14ac:dyDescent="0.3">
      <c r="D252" s="1"/>
      <c r="E252" s="1"/>
      <c r="F252" s="9"/>
      <c r="O252" s="2"/>
      <c r="P252" s="2"/>
      <c r="R252" s="1"/>
      <c r="S252" s="1"/>
    </row>
    <row r="253" spans="3:19" x14ac:dyDescent="0.3">
      <c r="D253" s="1"/>
      <c r="E253" s="1"/>
      <c r="F253" s="9"/>
      <c r="O253" s="2"/>
      <c r="P253" s="2"/>
      <c r="R253" s="1"/>
      <c r="S253" s="1"/>
    </row>
    <row r="254" spans="3:19" x14ac:dyDescent="0.3">
      <c r="D254" s="1"/>
      <c r="E254" s="1"/>
      <c r="F254" s="9"/>
      <c r="O254" s="2"/>
      <c r="P254" s="2"/>
      <c r="R254" s="1"/>
      <c r="S254" s="1"/>
    </row>
    <row r="255" spans="3:19" x14ac:dyDescent="0.3">
      <c r="D255" s="1"/>
      <c r="E255" s="1"/>
      <c r="F255" s="9"/>
      <c r="O255" s="2"/>
      <c r="P255" s="2"/>
      <c r="R255" s="1"/>
      <c r="S255" s="1"/>
    </row>
    <row r="256" spans="3:19" x14ac:dyDescent="0.3">
      <c r="D256" s="1"/>
      <c r="E256" s="1"/>
      <c r="F256" s="9"/>
      <c r="O256" s="2"/>
      <c r="P256" s="2"/>
      <c r="R256" s="1"/>
      <c r="S256" s="1"/>
    </row>
    <row r="257" spans="4:19" x14ac:dyDescent="0.3">
      <c r="D257" s="1"/>
      <c r="E257" s="1"/>
      <c r="F257" s="9"/>
      <c r="O257" s="2"/>
      <c r="P257" s="2"/>
      <c r="R257" s="1"/>
      <c r="S257" s="1"/>
    </row>
    <row r="258" spans="4:19" x14ac:dyDescent="0.3">
      <c r="D258" s="1"/>
      <c r="E258" s="1"/>
      <c r="F258" s="9"/>
      <c r="O258" s="2"/>
      <c r="P258" s="2"/>
      <c r="R258" s="1"/>
      <c r="S258" s="1"/>
    </row>
  </sheetData>
  <mergeCells count="1">
    <mergeCell ref="I1:K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="85" zoomScaleNormal="85" workbookViewId="0">
      <selection activeCell="D19" sqref="D19"/>
    </sheetView>
  </sheetViews>
  <sheetFormatPr defaultRowHeight="14.4" x14ac:dyDescent="0.3"/>
  <cols>
    <col min="7" max="7" width="11.44140625" customWidth="1"/>
  </cols>
  <sheetData>
    <row r="1" spans="1:7" x14ac:dyDescent="0.3">
      <c r="A1" s="29"/>
      <c r="B1" s="29">
        <v>1</v>
      </c>
      <c r="C1" s="29">
        <v>2</v>
      </c>
      <c r="D1" s="29">
        <v>3</v>
      </c>
      <c r="E1" s="29" t="s">
        <v>396</v>
      </c>
    </row>
    <row r="2" spans="1:7" ht="18" x14ac:dyDescent="0.3">
      <c r="A2" s="29" t="s">
        <v>435</v>
      </c>
      <c r="B2" s="29">
        <v>1041.2</v>
      </c>
      <c r="C2" s="29"/>
      <c r="D2" s="29"/>
      <c r="E2" s="29">
        <f>SUM(B2:D2)</f>
        <v>1041.2</v>
      </c>
      <c r="G2" s="30">
        <v>1132.5</v>
      </c>
    </row>
    <row r="3" spans="1:7" ht="18" x14ac:dyDescent="0.3">
      <c r="A3" s="29" t="s">
        <v>434</v>
      </c>
      <c r="B3" s="29">
        <v>32.9</v>
      </c>
      <c r="C3" s="29"/>
      <c r="D3" s="29"/>
      <c r="E3" s="29">
        <f t="shared" ref="E3:E9" si="0">SUM(B3:D3)</f>
        <v>32.9</v>
      </c>
      <c r="G3" s="30">
        <v>31.2</v>
      </c>
    </row>
    <row r="4" spans="1:7" ht="18" x14ac:dyDescent="0.3">
      <c r="A4" s="29" t="s">
        <v>429</v>
      </c>
      <c r="B4" s="29">
        <v>113</v>
      </c>
      <c r="C4" s="29">
        <v>267.89999999999998</v>
      </c>
      <c r="D4" s="29">
        <v>156.1</v>
      </c>
      <c r="E4" s="29">
        <f t="shared" si="0"/>
        <v>537</v>
      </c>
      <c r="G4" s="30">
        <v>560.4</v>
      </c>
    </row>
    <row r="5" spans="1:7" ht="18" x14ac:dyDescent="0.3">
      <c r="A5" s="29" t="s">
        <v>430</v>
      </c>
      <c r="B5" s="29">
        <v>9.4</v>
      </c>
      <c r="C5" s="29">
        <v>9.1999999999999993</v>
      </c>
      <c r="D5" s="29">
        <v>9.4</v>
      </c>
      <c r="E5" s="29">
        <f t="shared" si="0"/>
        <v>28</v>
      </c>
      <c r="G5" s="30">
        <v>28</v>
      </c>
    </row>
    <row r="6" spans="1:7" ht="18" x14ac:dyDescent="0.3">
      <c r="A6" s="29" t="s">
        <v>436</v>
      </c>
      <c r="B6" s="29">
        <v>371.2</v>
      </c>
      <c r="C6" s="29"/>
      <c r="D6" s="29"/>
      <c r="E6" s="29">
        <f t="shared" si="0"/>
        <v>371.2</v>
      </c>
      <c r="G6" s="30">
        <v>370.9</v>
      </c>
    </row>
    <row r="7" spans="1:7" x14ac:dyDescent="0.3">
      <c r="A7" s="29" t="s">
        <v>432</v>
      </c>
      <c r="B7" s="29"/>
      <c r="C7" s="29">
        <v>45.7</v>
      </c>
      <c r="D7" s="29"/>
      <c r="E7" s="29">
        <f t="shared" si="0"/>
        <v>45.7</v>
      </c>
    </row>
    <row r="8" spans="1:7" x14ac:dyDescent="0.3">
      <c r="A8" s="29" t="s">
        <v>433</v>
      </c>
      <c r="B8" s="29"/>
      <c r="C8" s="29">
        <v>129.4</v>
      </c>
      <c r="D8" s="29"/>
      <c r="E8" s="29">
        <f t="shared" si="0"/>
        <v>129.4</v>
      </c>
    </row>
    <row r="9" spans="1:7" ht="18" x14ac:dyDescent="0.3">
      <c r="A9" s="29" t="s">
        <v>431</v>
      </c>
      <c r="B9" s="29">
        <v>120.9</v>
      </c>
      <c r="C9" s="29">
        <v>43.3</v>
      </c>
      <c r="D9" s="29">
        <v>42.7</v>
      </c>
      <c r="E9" s="29">
        <f t="shared" si="0"/>
        <v>206.89999999999998</v>
      </c>
      <c r="G9" s="30">
        <v>207.1</v>
      </c>
    </row>
    <row r="16" spans="1:7" ht="18" x14ac:dyDescent="0.3">
      <c r="A16" s="29" t="s">
        <v>435</v>
      </c>
      <c r="B16">
        <v>1056.5999999999999</v>
      </c>
      <c r="C16">
        <v>75.7</v>
      </c>
      <c r="D16" s="29">
        <v>0</v>
      </c>
      <c r="E16" s="29">
        <f>SUM(B16:D16)</f>
        <v>1132.3</v>
      </c>
      <c r="G16" s="30">
        <v>1132.5</v>
      </c>
    </row>
    <row r="17" spans="1:7" ht="18" x14ac:dyDescent="0.3">
      <c r="A17" s="29" t="s">
        <v>434</v>
      </c>
      <c r="B17" s="29">
        <v>31.2</v>
      </c>
      <c r="C17" s="29">
        <v>0</v>
      </c>
      <c r="D17" s="29">
        <v>0</v>
      </c>
      <c r="E17" s="29">
        <f t="shared" ref="E17:E23" si="1">SUM(B17:D17)</f>
        <v>31.2</v>
      </c>
      <c r="G17" s="30">
        <v>31.2</v>
      </c>
    </row>
    <row r="18" spans="1:7" ht="18" x14ac:dyDescent="0.3">
      <c r="A18" s="29" t="s">
        <v>429</v>
      </c>
      <c r="B18" s="29">
        <v>127.2</v>
      </c>
      <c r="C18" s="29">
        <v>277.5</v>
      </c>
      <c r="D18" s="29">
        <v>155.69999999999999</v>
      </c>
      <c r="E18" s="29">
        <f t="shared" si="1"/>
        <v>560.4</v>
      </c>
      <c r="G18" s="30">
        <v>560.4</v>
      </c>
    </row>
    <row r="19" spans="1:7" ht="18" x14ac:dyDescent="0.3">
      <c r="A19" s="29" t="s">
        <v>430</v>
      </c>
      <c r="B19" s="29">
        <v>9.4</v>
      </c>
      <c r="C19" s="29">
        <v>9.1999999999999993</v>
      </c>
      <c r="D19" s="29">
        <v>9.4</v>
      </c>
      <c r="E19" s="29">
        <f t="shared" si="1"/>
        <v>28</v>
      </c>
      <c r="G19" s="30">
        <v>28</v>
      </c>
    </row>
    <row r="20" spans="1:7" ht="18" x14ac:dyDescent="0.3">
      <c r="A20" s="29" t="s">
        <v>436</v>
      </c>
      <c r="B20" s="29">
        <v>370.9</v>
      </c>
      <c r="C20" s="29">
        <v>0</v>
      </c>
      <c r="D20" s="29">
        <v>0</v>
      </c>
      <c r="E20" s="29">
        <f t="shared" si="1"/>
        <v>370.9</v>
      </c>
      <c r="G20" s="30">
        <v>370.9</v>
      </c>
    </row>
    <row r="21" spans="1:7" x14ac:dyDescent="0.3">
      <c r="A21" s="29" t="s">
        <v>432</v>
      </c>
      <c r="B21" s="29">
        <v>0</v>
      </c>
      <c r="C21" s="29">
        <v>0</v>
      </c>
      <c r="D21" s="29">
        <v>0</v>
      </c>
      <c r="E21" s="29">
        <f t="shared" si="1"/>
        <v>0</v>
      </c>
    </row>
    <row r="22" spans="1:7" x14ac:dyDescent="0.3">
      <c r="A22" s="29" t="s">
        <v>433</v>
      </c>
      <c r="B22" s="29">
        <v>0</v>
      </c>
      <c r="C22" s="29">
        <v>0</v>
      </c>
      <c r="D22" s="29">
        <v>0</v>
      </c>
      <c r="E22" s="29">
        <f t="shared" si="1"/>
        <v>0</v>
      </c>
    </row>
    <row r="23" spans="1:7" ht="18" x14ac:dyDescent="0.3">
      <c r="A23" s="29" t="s">
        <v>431</v>
      </c>
      <c r="B23" s="29">
        <v>121.1</v>
      </c>
      <c r="C23" s="29">
        <v>43.3</v>
      </c>
      <c r="D23" s="29">
        <v>42.7</v>
      </c>
      <c r="E23" s="29">
        <f t="shared" si="1"/>
        <v>207.09999999999997</v>
      </c>
      <c r="G23" s="30">
        <v>207.1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3" sqref="A1:E3"/>
    </sheetView>
  </sheetViews>
  <sheetFormatPr defaultRowHeight="14.4" x14ac:dyDescent="0.3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2"/>
      <c r="B1" s="13" t="s">
        <v>692</v>
      </c>
      <c r="C1" s="14"/>
      <c r="D1" s="14"/>
      <c r="E1" s="15"/>
    </row>
    <row r="2" spans="1:5" ht="18" x14ac:dyDescent="0.3">
      <c r="A2" s="12" t="s">
        <v>389</v>
      </c>
      <c r="B2" s="16" t="s">
        <v>390</v>
      </c>
      <c r="C2" s="16" t="s">
        <v>391</v>
      </c>
      <c r="D2" s="16" t="s">
        <v>392</v>
      </c>
      <c r="E2" s="14" t="s">
        <v>393</v>
      </c>
    </row>
    <row r="3" spans="1:5" ht="54" x14ac:dyDescent="0.3">
      <c r="A3" s="17">
        <v>1</v>
      </c>
      <c r="B3" s="18" t="s">
        <v>427</v>
      </c>
      <c r="C3" s="19" t="s">
        <v>426</v>
      </c>
      <c r="D3" s="19" t="s">
        <v>394</v>
      </c>
      <c r="E3" s="20">
        <f>'1-пом'!C15</f>
        <v>438.7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36"/>
  <sheetViews>
    <sheetView zoomScale="115" zoomScaleNormal="115" workbookViewId="0">
      <selection activeCell="I14" sqref="I14"/>
    </sheetView>
  </sheetViews>
  <sheetFormatPr defaultRowHeight="14.4" x14ac:dyDescent="0.3"/>
  <cols>
    <col min="1" max="1" width="7.88671875" style="86" customWidth="1"/>
    <col min="2" max="2" width="8.88671875" style="86"/>
    <col min="3" max="3" width="10.6640625" style="86" customWidth="1"/>
    <col min="4" max="4" width="2.44140625" style="86" customWidth="1"/>
    <col min="5" max="5" width="6.88671875" style="86" customWidth="1"/>
    <col min="6" max="6" width="8.88671875" style="86"/>
    <col min="7" max="7" width="11.33203125" style="86" customWidth="1"/>
    <col min="8" max="8" width="2.33203125" style="86" customWidth="1"/>
    <col min="9" max="9" width="6.5546875" style="86" customWidth="1"/>
    <col min="10" max="10" width="8.88671875" style="86" customWidth="1"/>
    <col min="11" max="11" width="11" style="86" customWidth="1"/>
    <col min="12" max="16384" width="8.88671875" style="86"/>
  </cols>
  <sheetData>
    <row r="1" spans="1:11" x14ac:dyDescent="0.3">
      <c r="A1" s="90"/>
      <c r="B1" s="225" t="s">
        <v>594</v>
      </c>
      <c r="C1" s="226"/>
      <c r="D1" s="226"/>
      <c r="E1" s="226"/>
      <c r="F1" s="226"/>
      <c r="G1" s="226"/>
      <c r="H1" s="226"/>
      <c r="I1" s="226"/>
      <c r="J1" s="226"/>
      <c r="K1" s="227"/>
    </row>
    <row r="2" spans="1:11" x14ac:dyDescent="0.3">
      <c r="A2" s="35" t="s">
        <v>389</v>
      </c>
      <c r="B2" s="231" t="s">
        <v>595</v>
      </c>
      <c r="C2" s="232"/>
      <c r="D2" s="229" t="s">
        <v>391</v>
      </c>
      <c r="E2" s="229"/>
      <c r="F2" s="229"/>
      <c r="G2" s="229"/>
      <c r="H2" s="229"/>
      <c r="I2" s="229"/>
      <c r="J2" s="91" t="s">
        <v>392</v>
      </c>
      <c r="K2" s="91" t="s">
        <v>393</v>
      </c>
    </row>
    <row r="3" spans="1:11" ht="30" customHeight="1" x14ac:dyDescent="0.3">
      <c r="A3" s="35">
        <v>1</v>
      </c>
      <c r="B3" s="233" t="s">
        <v>596</v>
      </c>
      <c r="C3" s="234"/>
      <c r="D3" s="230" t="s">
        <v>671</v>
      </c>
      <c r="E3" s="230"/>
      <c r="F3" s="230"/>
      <c r="G3" s="230"/>
      <c r="H3" s="230"/>
      <c r="I3" s="230"/>
      <c r="J3" s="91" t="s">
        <v>394</v>
      </c>
      <c r="K3" s="120">
        <f>C34+G36+K31</f>
        <v>4700.0259999999998</v>
      </c>
    </row>
    <row r="4" spans="1:11" x14ac:dyDescent="0.3">
      <c r="A4" s="228"/>
      <c r="B4" s="228"/>
      <c r="C4" s="228"/>
      <c r="D4" s="228"/>
      <c r="E4" s="228"/>
      <c r="F4" s="228"/>
      <c r="G4" s="228"/>
      <c r="H4" s="228"/>
      <c r="I4" s="228"/>
      <c r="J4" s="228"/>
      <c r="K4" s="228"/>
    </row>
    <row r="5" spans="1:11" ht="31.2" x14ac:dyDescent="0.3">
      <c r="A5" s="151" t="s">
        <v>0</v>
      </c>
      <c r="B5" s="151" t="s">
        <v>1</v>
      </c>
      <c r="C5" s="151" t="s">
        <v>2</v>
      </c>
      <c r="D5" s="236"/>
      <c r="E5" s="151" t="s">
        <v>0</v>
      </c>
      <c r="F5" s="151" t="s">
        <v>1</v>
      </c>
      <c r="G5" s="151" t="s">
        <v>2</v>
      </c>
      <c r="H5" s="236"/>
      <c r="I5" s="151" t="s">
        <v>0</v>
      </c>
      <c r="J5" s="151" t="s">
        <v>1</v>
      </c>
      <c r="K5" s="151" t="s">
        <v>2</v>
      </c>
    </row>
    <row r="6" spans="1:11" ht="15.6" x14ac:dyDescent="0.3">
      <c r="A6" s="152">
        <v>1.05</v>
      </c>
      <c r="B6" s="153" t="s">
        <v>13</v>
      </c>
      <c r="C6" s="153">
        <v>22.1</v>
      </c>
      <c r="D6" s="236"/>
      <c r="E6" s="154">
        <v>2.0099999999999998</v>
      </c>
      <c r="F6" s="155" t="s">
        <v>17</v>
      </c>
      <c r="G6" s="155">
        <v>62.2</v>
      </c>
      <c r="H6" s="236"/>
      <c r="I6" s="154">
        <v>3.01</v>
      </c>
      <c r="J6" s="155" t="s">
        <v>17</v>
      </c>
      <c r="K6" s="155">
        <v>62.8</v>
      </c>
    </row>
    <row r="7" spans="1:11" ht="15.6" x14ac:dyDescent="0.3">
      <c r="A7" s="154">
        <v>1.0900000000000001</v>
      </c>
      <c r="B7" s="155" t="s">
        <v>13</v>
      </c>
      <c r="C7" s="155">
        <v>62.9</v>
      </c>
      <c r="D7" s="236"/>
      <c r="E7" s="152">
        <v>2.02</v>
      </c>
      <c r="F7" s="153" t="s">
        <v>17</v>
      </c>
      <c r="G7" s="153">
        <v>89</v>
      </c>
      <c r="H7" s="236"/>
      <c r="I7" s="152">
        <v>3.02</v>
      </c>
      <c r="J7" s="153" t="s">
        <v>17</v>
      </c>
      <c r="K7" s="153">
        <v>89.1</v>
      </c>
    </row>
    <row r="8" spans="1:11" ht="15.6" x14ac:dyDescent="0.3">
      <c r="A8" s="152">
        <v>1.1000000000000001</v>
      </c>
      <c r="B8" s="153" t="s">
        <v>13</v>
      </c>
      <c r="C8" s="153">
        <v>64.3</v>
      </c>
      <c r="D8" s="236"/>
      <c r="E8" s="154">
        <v>2.0299999999999998</v>
      </c>
      <c r="F8" s="155" t="s">
        <v>17</v>
      </c>
      <c r="G8" s="155">
        <v>39.4</v>
      </c>
      <c r="H8" s="236"/>
      <c r="I8" s="154">
        <v>3.03</v>
      </c>
      <c r="J8" s="155" t="s">
        <v>17</v>
      </c>
      <c r="K8" s="155">
        <v>29.7</v>
      </c>
    </row>
    <row r="9" spans="1:11" ht="15.6" x14ac:dyDescent="0.3">
      <c r="A9" s="154">
        <v>1.1100000000000001</v>
      </c>
      <c r="B9" s="155" t="s">
        <v>13</v>
      </c>
      <c r="C9" s="155">
        <v>64.400000000000006</v>
      </c>
      <c r="D9" s="236"/>
      <c r="E9" s="152">
        <v>2.04</v>
      </c>
      <c r="F9" s="153" t="s">
        <v>17</v>
      </c>
      <c r="G9" s="153">
        <v>63</v>
      </c>
      <c r="H9" s="236"/>
      <c r="I9" s="152">
        <v>3.04</v>
      </c>
      <c r="J9" s="153" t="s">
        <v>17</v>
      </c>
      <c r="K9" s="153">
        <v>64.599999999999994</v>
      </c>
    </row>
    <row r="10" spans="1:11" ht="15.6" x14ac:dyDescent="0.3">
      <c r="A10" s="152">
        <v>1.1200000000000001</v>
      </c>
      <c r="B10" s="153" t="s">
        <v>13</v>
      </c>
      <c r="C10" s="153">
        <v>131.19999999999999</v>
      </c>
      <c r="D10" s="236"/>
      <c r="E10" s="154">
        <v>2.0499999999999998</v>
      </c>
      <c r="F10" s="155" t="s">
        <v>17</v>
      </c>
      <c r="G10" s="155">
        <v>64.400000000000006</v>
      </c>
      <c r="H10" s="236"/>
      <c r="I10" s="154">
        <v>3.05</v>
      </c>
      <c r="J10" s="155" t="s">
        <v>17</v>
      </c>
      <c r="K10" s="155">
        <v>63.8</v>
      </c>
    </row>
    <row r="11" spans="1:11" ht="15.6" x14ac:dyDescent="0.3">
      <c r="A11" s="154">
        <v>1.19</v>
      </c>
      <c r="B11" s="155" t="s">
        <v>13</v>
      </c>
      <c r="C11" s="155">
        <v>20.7</v>
      </c>
      <c r="D11" s="236"/>
      <c r="E11" s="152">
        <v>2.06</v>
      </c>
      <c r="F11" s="153" t="s">
        <v>17</v>
      </c>
      <c r="G11" s="153">
        <v>63.3</v>
      </c>
      <c r="H11" s="236"/>
      <c r="I11" s="152">
        <v>3.06</v>
      </c>
      <c r="J11" s="153" t="s">
        <v>17</v>
      </c>
      <c r="K11" s="153">
        <v>65.400000000000006</v>
      </c>
    </row>
    <row r="12" spans="1:11" ht="15.6" x14ac:dyDescent="0.3">
      <c r="A12" s="152">
        <v>1.2</v>
      </c>
      <c r="B12" s="153" t="s">
        <v>13</v>
      </c>
      <c r="C12" s="153">
        <v>20.399999999999999</v>
      </c>
      <c r="D12" s="236"/>
      <c r="E12" s="154">
        <v>2.0699999999999998</v>
      </c>
      <c r="F12" s="155" t="s">
        <v>17</v>
      </c>
      <c r="G12" s="155">
        <v>63.3</v>
      </c>
      <c r="H12" s="236"/>
      <c r="I12" s="154">
        <v>3.07</v>
      </c>
      <c r="J12" s="155" t="s">
        <v>17</v>
      </c>
      <c r="K12" s="155">
        <v>63.7</v>
      </c>
    </row>
    <row r="13" spans="1:11" ht="15.6" x14ac:dyDescent="0.3">
      <c r="A13" s="154">
        <v>1.24</v>
      </c>
      <c r="B13" s="155" t="s">
        <v>13</v>
      </c>
      <c r="C13" s="155">
        <v>10.1</v>
      </c>
      <c r="D13" s="236"/>
      <c r="E13" s="152">
        <v>2.08</v>
      </c>
      <c r="F13" s="153" t="s">
        <v>13</v>
      </c>
      <c r="G13" s="153">
        <v>78.2</v>
      </c>
      <c r="H13" s="236"/>
      <c r="I13" s="152">
        <v>3.08</v>
      </c>
      <c r="J13" s="153" t="s">
        <v>17</v>
      </c>
      <c r="K13" s="153">
        <v>64.3</v>
      </c>
    </row>
    <row r="14" spans="1:11" ht="15.6" x14ac:dyDescent="0.3">
      <c r="A14" s="152">
        <v>1.25</v>
      </c>
      <c r="B14" s="153" t="s">
        <v>13</v>
      </c>
      <c r="C14" s="153">
        <v>10.3</v>
      </c>
      <c r="D14" s="236"/>
      <c r="E14" s="154">
        <v>2.12</v>
      </c>
      <c r="F14" s="155" t="s">
        <v>17</v>
      </c>
      <c r="G14" s="155">
        <v>27</v>
      </c>
      <c r="H14" s="236"/>
      <c r="I14" s="154">
        <v>3.12</v>
      </c>
      <c r="J14" s="155" t="s">
        <v>17</v>
      </c>
      <c r="K14" s="155">
        <v>246.5</v>
      </c>
    </row>
    <row r="15" spans="1:11" ht="15.6" x14ac:dyDescent="0.3">
      <c r="A15" s="154">
        <v>1.26</v>
      </c>
      <c r="B15" s="155" t="s">
        <v>13</v>
      </c>
      <c r="C15" s="155">
        <v>10.7</v>
      </c>
      <c r="D15" s="236"/>
      <c r="E15" s="152">
        <v>2.15</v>
      </c>
      <c r="F15" s="153" t="s">
        <v>17</v>
      </c>
      <c r="G15" s="153">
        <v>28</v>
      </c>
      <c r="H15" s="236"/>
      <c r="I15" s="152">
        <v>3.13</v>
      </c>
      <c r="J15" s="153" t="s">
        <v>17</v>
      </c>
      <c r="K15" s="153">
        <v>13.3</v>
      </c>
    </row>
    <row r="16" spans="1:11" ht="15.6" x14ac:dyDescent="0.3">
      <c r="A16" s="152">
        <v>1.27</v>
      </c>
      <c r="B16" s="153" t="s">
        <v>13</v>
      </c>
      <c r="C16" s="153">
        <v>25.9</v>
      </c>
      <c r="D16" s="236"/>
      <c r="E16" s="154">
        <v>2.1800000000000002</v>
      </c>
      <c r="F16" s="155" t="s">
        <v>17</v>
      </c>
      <c r="G16" s="155">
        <v>31.5</v>
      </c>
      <c r="H16" s="236"/>
      <c r="I16" s="154">
        <v>3.18</v>
      </c>
      <c r="J16" s="155" t="s">
        <v>17</v>
      </c>
      <c r="K16" s="155">
        <v>107.2</v>
      </c>
    </row>
    <row r="17" spans="1:11" ht="15.6" x14ac:dyDescent="0.3">
      <c r="A17" s="154">
        <v>1.28</v>
      </c>
      <c r="B17" s="155" t="s">
        <v>13</v>
      </c>
      <c r="C17" s="155">
        <v>22.1</v>
      </c>
      <c r="D17" s="236"/>
      <c r="E17" s="152">
        <v>2.19</v>
      </c>
      <c r="F17" s="153" t="s">
        <v>18</v>
      </c>
      <c r="G17" s="153">
        <v>359.3</v>
      </c>
      <c r="H17" s="236"/>
      <c r="I17" s="152">
        <v>3.19</v>
      </c>
      <c r="J17" s="153" t="s">
        <v>13</v>
      </c>
      <c r="K17" s="153">
        <v>113.7</v>
      </c>
    </row>
    <row r="18" spans="1:11" ht="15.6" x14ac:dyDescent="0.3">
      <c r="A18" s="154" t="s">
        <v>560</v>
      </c>
      <c r="B18" s="155" t="s">
        <v>13</v>
      </c>
      <c r="C18" s="154">
        <v>28.125999999999998</v>
      </c>
      <c r="D18" s="236"/>
      <c r="E18" s="154">
        <v>2.21</v>
      </c>
      <c r="F18" s="155" t="s">
        <v>17</v>
      </c>
      <c r="G18" s="155">
        <v>14</v>
      </c>
      <c r="H18" s="236"/>
      <c r="I18" s="154">
        <v>3.23</v>
      </c>
      <c r="J18" s="155" t="s">
        <v>17</v>
      </c>
      <c r="K18" s="155">
        <v>21.6</v>
      </c>
    </row>
    <row r="19" spans="1:11" ht="15.6" x14ac:dyDescent="0.3">
      <c r="A19" s="152">
        <v>1.3</v>
      </c>
      <c r="B19" s="153" t="s">
        <v>13</v>
      </c>
      <c r="C19" s="153">
        <v>92.2</v>
      </c>
      <c r="D19" s="236"/>
      <c r="E19" s="152">
        <v>2.27</v>
      </c>
      <c r="F19" s="153" t="s">
        <v>13</v>
      </c>
      <c r="G19" s="153">
        <v>19.100000000000001</v>
      </c>
      <c r="H19" s="236"/>
      <c r="I19" s="152">
        <v>3.25</v>
      </c>
      <c r="J19" s="153" t="s">
        <v>17</v>
      </c>
      <c r="K19" s="153">
        <v>52.1</v>
      </c>
    </row>
    <row r="20" spans="1:11" ht="15.6" x14ac:dyDescent="0.3">
      <c r="A20" s="154">
        <v>1.31</v>
      </c>
      <c r="B20" s="155" t="s">
        <v>13</v>
      </c>
      <c r="C20" s="155">
        <v>113</v>
      </c>
      <c r="D20" s="236"/>
      <c r="E20" s="154">
        <v>2.2799999999999998</v>
      </c>
      <c r="F20" s="155" t="s">
        <v>17</v>
      </c>
      <c r="G20" s="155">
        <v>192.9</v>
      </c>
      <c r="H20" s="236"/>
      <c r="I20" s="154">
        <v>3.26</v>
      </c>
      <c r="J20" s="155" t="s">
        <v>14</v>
      </c>
      <c r="K20" s="155">
        <v>57</v>
      </c>
    </row>
    <row r="21" spans="1:11" ht="15.6" x14ac:dyDescent="0.3">
      <c r="A21" s="152">
        <v>1.46</v>
      </c>
      <c r="B21" s="153" t="s">
        <v>13</v>
      </c>
      <c r="C21" s="153">
        <v>9.3000000000000007</v>
      </c>
      <c r="D21" s="236"/>
      <c r="E21" s="152">
        <v>2.29</v>
      </c>
      <c r="F21" s="153" t="s">
        <v>17</v>
      </c>
      <c r="G21" s="153">
        <v>14.3</v>
      </c>
      <c r="H21" s="236"/>
      <c r="I21" s="152">
        <v>3.28</v>
      </c>
      <c r="J21" s="153" t="s">
        <v>17</v>
      </c>
      <c r="K21" s="153">
        <v>21.6</v>
      </c>
    </row>
    <row r="22" spans="1:11" ht="15.6" x14ac:dyDescent="0.3">
      <c r="A22" s="154">
        <v>1.58</v>
      </c>
      <c r="B22" s="155" t="s">
        <v>13</v>
      </c>
      <c r="C22" s="155">
        <v>58.9</v>
      </c>
      <c r="D22" s="236"/>
      <c r="E22" s="154">
        <v>2.2999999999999998</v>
      </c>
      <c r="F22" s="155" t="s">
        <v>13</v>
      </c>
      <c r="G22" s="155">
        <v>115.5</v>
      </c>
      <c r="H22" s="236"/>
      <c r="I22" s="154">
        <v>3.29</v>
      </c>
      <c r="J22" s="155" t="s">
        <v>17</v>
      </c>
      <c r="K22" s="155">
        <v>51.6</v>
      </c>
    </row>
    <row r="23" spans="1:11" ht="15.6" x14ac:dyDescent="0.3">
      <c r="A23" s="152">
        <v>1.61</v>
      </c>
      <c r="B23" s="153" t="s">
        <v>13</v>
      </c>
      <c r="C23" s="153">
        <v>16.8</v>
      </c>
      <c r="D23" s="236"/>
      <c r="E23" s="152">
        <v>2.37</v>
      </c>
      <c r="F23" s="153" t="s">
        <v>17</v>
      </c>
      <c r="G23" s="153">
        <v>21.6</v>
      </c>
      <c r="H23" s="236"/>
      <c r="I23" s="152">
        <v>3.3</v>
      </c>
      <c r="J23" s="153" t="s">
        <v>14</v>
      </c>
      <c r="K23" s="153">
        <v>56.3</v>
      </c>
    </row>
    <row r="24" spans="1:11" ht="15.6" x14ac:dyDescent="0.3">
      <c r="A24" s="154">
        <v>1.64</v>
      </c>
      <c r="B24" s="155" t="s">
        <v>14</v>
      </c>
      <c r="C24" s="155">
        <v>24</v>
      </c>
      <c r="D24" s="236"/>
      <c r="E24" s="154">
        <v>2.4</v>
      </c>
      <c r="F24" s="155" t="s">
        <v>17</v>
      </c>
      <c r="G24" s="155">
        <v>51.3</v>
      </c>
      <c r="H24" s="236"/>
      <c r="I24" s="154">
        <v>3.33</v>
      </c>
      <c r="J24" s="155" t="s">
        <v>17</v>
      </c>
      <c r="K24" s="155">
        <v>75.400000000000006</v>
      </c>
    </row>
    <row r="25" spans="1:11" ht="15.6" x14ac:dyDescent="0.3">
      <c r="A25" s="152">
        <v>1.67</v>
      </c>
      <c r="B25" s="153" t="s">
        <v>14</v>
      </c>
      <c r="C25" s="153">
        <v>51.3</v>
      </c>
      <c r="D25" s="236"/>
      <c r="E25" s="152">
        <v>2.41</v>
      </c>
      <c r="F25" s="153" t="s">
        <v>14</v>
      </c>
      <c r="G25" s="153">
        <v>56.6</v>
      </c>
      <c r="H25" s="236"/>
      <c r="I25" s="152">
        <v>3.34</v>
      </c>
      <c r="J25" s="153" t="s">
        <v>17</v>
      </c>
      <c r="K25" s="153">
        <v>6.9</v>
      </c>
    </row>
    <row r="26" spans="1:11" ht="15.6" x14ac:dyDescent="0.3">
      <c r="A26" s="154">
        <v>1.68</v>
      </c>
      <c r="B26" s="155" t="s">
        <v>14</v>
      </c>
      <c r="C26" s="155">
        <v>56.6</v>
      </c>
      <c r="D26" s="236"/>
      <c r="E26" s="154">
        <v>2.42</v>
      </c>
      <c r="F26" s="155" t="s">
        <v>17</v>
      </c>
      <c r="G26" s="155">
        <v>21.5</v>
      </c>
      <c r="H26" s="236"/>
      <c r="I26" s="154">
        <v>3.35</v>
      </c>
      <c r="J26" s="155" t="s">
        <v>17</v>
      </c>
      <c r="K26" s="155">
        <v>74.900000000000006</v>
      </c>
    </row>
    <row r="27" spans="1:11" ht="15.6" x14ac:dyDescent="0.3">
      <c r="A27" s="152">
        <v>1.69</v>
      </c>
      <c r="B27" s="153" t="s">
        <v>14</v>
      </c>
      <c r="C27" s="153">
        <v>18.5</v>
      </c>
      <c r="D27" s="236"/>
      <c r="E27" s="152">
        <v>2.44</v>
      </c>
      <c r="F27" s="153" t="s">
        <v>17</v>
      </c>
      <c r="G27" s="153">
        <v>51.3</v>
      </c>
      <c r="H27" s="236"/>
      <c r="I27" s="152">
        <v>3.41</v>
      </c>
      <c r="J27" s="153" t="s">
        <v>13</v>
      </c>
      <c r="K27" s="153">
        <v>36.4</v>
      </c>
    </row>
    <row r="28" spans="1:11" ht="15.6" x14ac:dyDescent="0.3">
      <c r="A28" s="154">
        <v>1.73</v>
      </c>
      <c r="B28" s="155" t="s">
        <v>14</v>
      </c>
      <c r="C28" s="155">
        <v>51.2</v>
      </c>
      <c r="D28" s="236"/>
      <c r="E28" s="154">
        <v>2.4500000000000002</v>
      </c>
      <c r="F28" s="155" t="s">
        <v>14</v>
      </c>
      <c r="G28" s="155">
        <v>56.3</v>
      </c>
      <c r="H28" s="236"/>
      <c r="I28" s="154">
        <v>3.42</v>
      </c>
      <c r="J28" s="155" t="s">
        <v>13</v>
      </c>
      <c r="K28" s="155">
        <v>59.7</v>
      </c>
    </row>
    <row r="29" spans="1:11" ht="15.6" x14ac:dyDescent="0.3">
      <c r="A29" s="152">
        <v>1.74</v>
      </c>
      <c r="B29" s="153" t="s">
        <v>14</v>
      </c>
      <c r="C29" s="153">
        <v>56.3</v>
      </c>
      <c r="D29" s="236"/>
      <c r="E29" s="152">
        <v>2.4700000000000002</v>
      </c>
      <c r="F29" s="153" t="s">
        <v>17</v>
      </c>
      <c r="G29" s="153">
        <v>75.599999999999994</v>
      </c>
      <c r="H29" s="236"/>
      <c r="I29" s="152">
        <v>3.44</v>
      </c>
      <c r="J29" s="153" t="s">
        <v>13</v>
      </c>
      <c r="K29" s="153">
        <v>21.4</v>
      </c>
    </row>
    <row r="30" spans="1:11" ht="15.6" x14ac:dyDescent="0.3">
      <c r="A30" s="154">
        <v>1.76</v>
      </c>
      <c r="B30" s="155" t="s">
        <v>13</v>
      </c>
      <c r="C30" s="155">
        <v>6.3</v>
      </c>
      <c r="D30" s="236"/>
      <c r="E30" s="154">
        <v>2.48</v>
      </c>
      <c r="F30" s="155" t="s">
        <v>17</v>
      </c>
      <c r="G30" s="155">
        <v>7</v>
      </c>
      <c r="H30" s="236"/>
      <c r="I30" s="156">
        <v>3.45</v>
      </c>
      <c r="J30" s="157" t="s">
        <v>17</v>
      </c>
      <c r="K30" s="157">
        <v>82.7</v>
      </c>
    </row>
    <row r="31" spans="1:11" ht="15.6" x14ac:dyDescent="0.3">
      <c r="A31" s="152">
        <v>1.77</v>
      </c>
      <c r="B31" s="153" t="s">
        <v>13</v>
      </c>
      <c r="C31" s="153">
        <v>41.2</v>
      </c>
      <c r="D31" s="236"/>
      <c r="E31" s="152">
        <v>2.4900000000000002</v>
      </c>
      <c r="F31" s="153" t="s">
        <v>17</v>
      </c>
      <c r="G31" s="153">
        <v>75.2</v>
      </c>
      <c r="H31" s="236"/>
      <c r="I31" s="235" t="s">
        <v>396</v>
      </c>
      <c r="J31" s="235"/>
      <c r="K31" s="158">
        <f>SUM(K6:K30)</f>
        <v>1601.7000000000003</v>
      </c>
    </row>
    <row r="32" spans="1:11" ht="15.6" x14ac:dyDescent="0.3">
      <c r="A32" s="154">
        <v>1.78</v>
      </c>
      <c r="B32" s="155" t="s">
        <v>13</v>
      </c>
      <c r="C32" s="155">
        <v>60</v>
      </c>
      <c r="D32" s="236"/>
      <c r="E32" s="154">
        <v>2.5</v>
      </c>
      <c r="F32" s="155" t="s">
        <v>17</v>
      </c>
      <c r="G32" s="155">
        <v>6.2</v>
      </c>
      <c r="H32" s="236"/>
      <c r="I32" s="237"/>
      <c r="J32" s="237"/>
      <c r="K32" s="237"/>
    </row>
    <row r="33" spans="1:11" ht="15.6" x14ac:dyDescent="0.3">
      <c r="A33" s="152">
        <v>1.82</v>
      </c>
      <c r="B33" s="153" t="s">
        <v>13</v>
      </c>
      <c r="C33" s="153">
        <v>24.5</v>
      </c>
      <c r="D33" s="236"/>
      <c r="E33" s="152">
        <v>2.5099999999999998</v>
      </c>
      <c r="F33" s="153" t="s">
        <v>13</v>
      </c>
      <c r="G33" s="153">
        <v>38.700000000000003</v>
      </c>
      <c r="H33" s="236"/>
      <c r="I33" s="238"/>
      <c r="J33" s="238"/>
      <c r="K33" s="238"/>
    </row>
    <row r="34" spans="1:11" ht="15.6" x14ac:dyDescent="0.3">
      <c r="A34" s="235" t="s">
        <v>396</v>
      </c>
      <c r="B34" s="235"/>
      <c r="C34" s="158">
        <f>SUM(C6:C33)</f>
        <v>1173.3259999999998</v>
      </c>
      <c r="D34" s="236"/>
      <c r="E34" s="154">
        <v>2.56</v>
      </c>
      <c r="F34" s="155" t="s">
        <v>13</v>
      </c>
      <c r="G34" s="155">
        <v>63.1</v>
      </c>
      <c r="H34" s="236"/>
      <c r="I34" s="238"/>
      <c r="J34" s="238"/>
      <c r="K34" s="238"/>
    </row>
    <row r="35" spans="1:11" ht="15.6" x14ac:dyDescent="0.3">
      <c r="A35" s="237"/>
      <c r="B35" s="237"/>
      <c r="C35" s="237"/>
      <c r="D35" s="236"/>
      <c r="E35" s="152">
        <v>2.58</v>
      </c>
      <c r="F35" s="153" t="s">
        <v>17</v>
      </c>
      <c r="G35" s="153">
        <v>76.2</v>
      </c>
      <c r="H35" s="236"/>
      <c r="I35" s="238"/>
      <c r="J35" s="238"/>
      <c r="K35" s="238"/>
    </row>
    <row r="36" spans="1:11" x14ac:dyDescent="0.3">
      <c r="A36" s="238"/>
      <c r="B36" s="238"/>
      <c r="C36" s="238"/>
      <c r="D36" s="236"/>
      <c r="E36" s="235" t="s">
        <v>396</v>
      </c>
      <c r="F36" s="235"/>
      <c r="G36" s="158">
        <f>SUM(G6:G35)</f>
        <v>1924.9999999999998</v>
      </c>
      <c r="H36" s="236"/>
      <c r="I36" s="238"/>
      <c r="J36" s="238"/>
      <c r="K36" s="238"/>
    </row>
  </sheetData>
  <mergeCells count="13">
    <mergeCell ref="A34:B34"/>
    <mergeCell ref="E36:F36"/>
    <mergeCell ref="I31:J31"/>
    <mergeCell ref="H5:H36"/>
    <mergeCell ref="D5:D36"/>
    <mergeCell ref="A35:C36"/>
    <mergeCell ref="I32:K36"/>
    <mergeCell ref="B1:K1"/>
    <mergeCell ref="A4:K4"/>
    <mergeCell ref="D2:I2"/>
    <mergeCell ref="D3:I3"/>
    <mergeCell ref="B2:C2"/>
    <mergeCell ref="B3:C3"/>
  </mergeCells>
  <pageMargins left="0.7" right="0.7" top="0.75" bottom="0.75" header="0.3" footer="0.3"/>
  <pageSetup paperSize="9" orientation="portrait" horizontalDpi="0" verticalDpi="0" r:id="rId1"/>
  <ignoredErrors>
    <ignoredError sqref="A1:K2 A73:C1048576 H5 D37:K1048576 A4:K4 A3:J3 I32 L1:XFD1048576" twoDigitTextYear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sqref="A1:C1"/>
    </sheetView>
  </sheetViews>
  <sheetFormatPr defaultRowHeight="18" x14ac:dyDescent="0.35"/>
  <cols>
    <col min="1" max="1" width="8.88671875" style="22"/>
    <col min="2" max="2" width="40" style="26" customWidth="1"/>
    <col min="3" max="3" width="12" style="28" customWidth="1"/>
    <col min="4" max="16384" width="8.88671875" style="22"/>
  </cols>
  <sheetData>
    <row r="1" spans="1:3" x14ac:dyDescent="0.35">
      <c r="A1" s="239" t="s">
        <v>395</v>
      </c>
      <c r="B1" s="240"/>
      <c r="C1" s="241"/>
    </row>
    <row r="2" spans="1:3" x14ac:dyDescent="0.35">
      <c r="A2" s="21" t="s">
        <v>389</v>
      </c>
      <c r="B2" s="23" t="s">
        <v>397</v>
      </c>
      <c r="C2" s="27" t="s">
        <v>398</v>
      </c>
    </row>
    <row r="3" spans="1:3" x14ac:dyDescent="0.35">
      <c r="A3" s="21">
        <v>1</v>
      </c>
      <c r="B3" s="24" t="s">
        <v>400</v>
      </c>
      <c r="C3" s="27">
        <v>9.1</v>
      </c>
    </row>
    <row r="4" spans="1:3" ht="36" x14ac:dyDescent="0.35">
      <c r="A4" s="21">
        <v>2</v>
      </c>
      <c r="B4" s="24" t="s">
        <v>401</v>
      </c>
      <c r="C4" s="27">
        <v>4.3</v>
      </c>
    </row>
    <row r="5" spans="1:3" x14ac:dyDescent="0.35">
      <c r="A5" s="21">
        <v>3</v>
      </c>
      <c r="B5" s="24" t="s">
        <v>402</v>
      </c>
      <c r="C5" s="27">
        <v>25.5</v>
      </c>
    </row>
    <row r="6" spans="1:3" x14ac:dyDescent="0.35">
      <c r="A6" s="21">
        <v>4</v>
      </c>
      <c r="B6" s="24" t="s">
        <v>403</v>
      </c>
      <c r="C6" s="27">
        <v>106.5</v>
      </c>
    </row>
    <row r="7" spans="1:3" x14ac:dyDescent="0.35">
      <c r="A7" s="21">
        <v>5</v>
      </c>
      <c r="B7" s="24" t="s">
        <v>404</v>
      </c>
      <c r="C7" s="27">
        <v>10</v>
      </c>
    </row>
    <row r="8" spans="1:3" ht="16.8" customHeight="1" x14ac:dyDescent="0.35">
      <c r="A8" s="21">
        <v>6</v>
      </c>
      <c r="B8" s="24" t="s">
        <v>405</v>
      </c>
      <c r="C8" s="27">
        <v>161</v>
      </c>
    </row>
    <row r="9" spans="1:3" ht="36" x14ac:dyDescent="0.35">
      <c r="A9" s="21">
        <v>7</v>
      </c>
      <c r="B9" s="24" t="s">
        <v>406</v>
      </c>
      <c r="C9" s="27">
        <v>88.8</v>
      </c>
    </row>
    <row r="10" spans="1:3" x14ac:dyDescent="0.35">
      <c r="A10" s="21">
        <v>8</v>
      </c>
      <c r="B10" s="24" t="s">
        <v>407</v>
      </c>
      <c r="C10" s="27">
        <v>6.5</v>
      </c>
    </row>
    <row r="11" spans="1:3" x14ac:dyDescent="0.35">
      <c r="A11" s="21">
        <v>9</v>
      </c>
      <c r="B11" s="24" t="s">
        <v>408</v>
      </c>
      <c r="C11" s="27">
        <v>6.5</v>
      </c>
    </row>
    <row r="12" spans="1:3" ht="36" x14ac:dyDescent="0.35">
      <c r="A12" s="21">
        <v>10</v>
      </c>
      <c r="B12" s="24" t="s">
        <v>437</v>
      </c>
      <c r="C12" s="27">
        <v>5.3</v>
      </c>
    </row>
    <row r="13" spans="1:3" ht="36" x14ac:dyDescent="0.35">
      <c r="A13" s="21">
        <v>11</v>
      </c>
      <c r="B13" s="24" t="s">
        <v>409</v>
      </c>
      <c r="C13" s="27">
        <v>9.4</v>
      </c>
    </row>
    <row r="14" spans="1:3" x14ac:dyDescent="0.35">
      <c r="A14" s="21">
        <v>12</v>
      </c>
      <c r="B14" s="24" t="s">
        <v>61</v>
      </c>
      <c r="C14" s="27">
        <v>5.8</v>
      </c>
    </row>
    <row r="15" spans="1:3" x14ac:dyDescent="0.35">
      <c r="A15" s="21"/>
      <c r="B15" s="25" t="s">
        <v>399</v>
      </c>
      <c r="C15" s="27">
        <f>SUM(C3:C14)</f>
        <v>438.7</v>
      </c>
    </row>
  </sheetData>
  <mergeCells count="1">
    <mergeCell ref="A1:C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25" sqref="C25"/>
    </sheetView>
  </sheetViews>
  <sheetFormatPr defaultRowHeight="14.4" x14ac:dyDescent="0.3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2"/>
      <c r="B1" s="13" t="s">
        <v>692</v>
      </c>
      <c r="C1" s="14"/>
      <c r="D1" s="14"/>
      <c r="E1" s="15"/>
    </row>
    <row r="2" spans="1:5" ht="18" x14ac:dyDescent="0.3">
      <c r="A2" s="12" t="s">
        <v>389</v>
      </c>
      <c r="B2" s="16" t="s">
        <v>390</v>
      </c>
      <c r="C2" s="16" t="s">
        <v>391</v>
      </c>
      <c r="D2" s="16" t="s">
        <v>392</v>
      </c>
      <c r="E2" s="14" t="s">
        <v>393</v>
      </c>
    </row>
    <row r="3" spans="1:5" ht="54" x14ac:dyDescent="0.3">
      <c r="A3" s="17">
        <v>1</v>
      </c>
      <c r="B3" s="18" t="s">
        <v>427</v>
      </c>
      <c r="C3" s="19" t="s">
        <v>428</v>
      </c>
      <c r="D3" s="19" t="s">
        <v>394</v>
      </c>
      <c r="E3" s="20">
        <f>'2-пом'!C25</f>
        <v>256.98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21"/>
  <sheetViews>
    <sheetView zoomScale="85" zoomScaleNormal="85" workbookViewId="0">
      <selection activeCell="H5" sqref="H5:J21"/>
    </sheetView>
  </sheetViews>
  <sheetFormatPr defaultRowHeight="18" x14ac:dyDescent="0.3"/>
  <cols>
    <col min="1" max="1" width="7.21875" style="92" customWidth="1"/>
    <col min="2" max="2" width="7.88671875" style="92" customWidth="1"/>
    <col min="3" max="3" width="14.109375" style="92" customWidth="1"/>
    <col min="4" max="4" width="4.109375" style="92" customWidth="1"/>
    <col min="5" max="5" width="7.109375" style="92" customWidth="1"/>
    <col min="6" max="6" width="15.44140625" style="92" customWidth="1"/>
    <col min="7" max="7" width="13.6640625" style="92" customWidth="1"/>
    <col min="8" max="8" width="20.5546875" style="92" customWidth="1"/>
    <col min="9" max="9" width="7.44140625" style="92" customWidth="1"/>
    <col min="10" max="10" width="11.88671875" style="92" customWidth="1"/>
    <col min="11" max="16384" width="8.88671875" style="92"/>
  </cols>
  <sheetData>
    <row r="1" spans="1:10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</row>
    <row r="2" spans="1:10" ht="15" customHeight="1" x14ac:dyDescent="0.3">
      <c r="A2" s="12" t="s">
        <v>389</v>
      </c>
      <c r="B2" s="217" t="s">
        <v>390</v>
      </c>
      <c r="C2" s="217"/>
      <c r="D2" s="217"/>
      <c r="E2" s="217"/>
      <c r="F2" s="210" t="s">
        <v>391</v>
      </c>
      <c r="G2" s="221"/>
      <c r="H2" s="211"/>
      <c r="I2" s="16" t="s">
        <v>392</v>
      </c>
      <c r="J2" s="14" t="s">
        <v>393</v>
      </c>
    </row>
    <row r="3" spans="1:10" ht="114.6" customHeight="1" x14ac:dyDescent="0.3">
      <c r="A3" s="75">
        <v>1</v>
      </c>
      <c r="B3" s="215" t="s">
        <v>597</v>
      </c>
      <c r="C3" s="215"/>
      <c r="D3" s="215"/>
      <c r="E3" s="215"/>
      <c r="F3" s="222" t="s">
        <v>672</v>
      </c>
      <c r="G3" s="223"/>
      <c r="H3" s="246"/>
      <c r="I3" s="75" t="s">
        <v>394</v>
      </c>
      <c r="J3" s="76">
        <f>G21+C16</f>
        <v>1532.5709999999999</v>
      </c>
    </row>
    <row r="4" spans="1:10" ht="20.399999999999999" customHeight="1" x14ac:dyDescent="0.3">
      <c r="A4" s="198"/>
      <c r="B4" s="198"/>
      <c r="C4" s="198"/>
      <c r="D4" s="198"/>
      <c r="E4" s="198"/>
      <c r="F4" s="198"/>
      <c r="G4" s="198"/>
      <c r="H4" s="198"/>
      <c r="I4" s="198"/>
      <c r="J4" s="198"/>
    </row>
    <row r="5" spans="1:10" x14ac:dyDescent="0.3">
      <c r="A5" s="87" t="s">
        <v>593</v>
      </c>
      <c r="B5" s="87" t="s">
        <v>441</v>
      </c>
      <c r="C5" s="87" t="s">
        <v>591</v>
      </c>
      <c r="D5" s="245"/>
      <c r="E5" s="87" t="s">
        <v>593</v>
      </c>
      <c r="F5" s="87" t="s">
        <v>441</v>
      </c>
      <c r="G5" s="87" t="s">
        <v>591</v>
      </c>
      <c r="H5" s="242"/>
      <c r="I5" s="243"/>
      <c r="J5" s="243"/>
    </row>
    <row r="6" spans="1:10" x14ac:dyDescent="0.3">
      <c r="A6" s="89" t="s">
        <v>452</v>
      </c>
      <c r="B6" s="89" t="s">
        <v>548</v>
      </c>
      <c r="C6" s="99">
        <v>50.786999999999999</v>
      </c>
      <c r="D6" s="245"/>
      <c r="E6" s="89" t="s">
        <v>588</v>
      </c>
      <c r="F6" s="89" t="s">
        <v>550</v>
      </c>
      <c r="G6" s="99">
        <v>63.7</v>
      </c>
      <c r="H6" s="242"/>
      <c r="I6" s="243"/>
      <c r="J6" s="243"/>
    </row>
    <row r="7" spans="1:10" x14ac:dyDescent="0.3">
      <c r="A7" s="88" t="s">
        <v>453</v>
      </c>
      <c r="B7" s="88" t="s">
        <v>548</v>
      </c>
      <c r="C7" s="89">
        <v>56.033999999999999</v>
      </c>
      <c r="D7" s="245"/>
      <c r="E7" s="88" t="s">
        <v>445</v>
      </c>
      <c r="F7" s="88" t="s">
        <v>550</v>
      </c>
      <c r="G7" s="89">
        <v>90.2</v>
      </c>
      <c r="H7" s="242"/>
      <c r="I7" s="243"/>
      <c r="J7" s="243"/>
    </row>
    <row r="8" spans="1:10" x14ac:dyDescent="0.3">
      <c r="A8" s="89" t="s">
        <v>455</v>
      </c>
      <c r="B8" s="89" t="s">
        <v>548</v>
      </c>
      <c r="C8" s="89">
        <v>50.786999999999999</v>
      </c>
      <c r="D8" s="245"/>
      <c r="E8" s="89" t="s">
        <v>446</v>
      </c>
      <c r="F8" s="89" t="s">
        <v>550</v>
      </c>
      <c r="G8" s="89">
        <v>40.1</v>
      </c>
      <c r="H8" s="242"/>
      <c r="I8" s="243"/>
      <c r="J8" s="243"/>
    </row>
    <row r="9" spans="1:10" x14ac:dyDescent="0.3">
      <c r="A9" s="88" t="s">
        <v>456</v>
      </c>
      <c r="B9" s="88" t="s">
        <v>548</v>
      </c>
      <c r="C9" s="89">
        <v>55.736999999999995</v>
      </c>
      <c r="D9" s="245"/>
      <c r="E9" s="88" t="s">
        <v>447</v>
      </c>
      <c r="F9" s="88" t="s">
        <v>550</v>
      </c>
      <c r="G9" s="89">
        <v>64</v>
      </c>
      <c r="H9" s="242"/>
      <c r="I9" s="243"/>
      <c r="J9" s="243"/>
    </row>
    <row r="10" spans="1:10" x14ac:dyDescent="0.3">
      <c r="A10" s="89" t="s">
        <v>468</v>
      </c>
      <c r="B10" s="89" t="s">
        <v>548</v>
      </c>
      <c r="C10" s="89">
        <v>51.579000000000001</v>
      </c>
      <c r="D10" s="245"/>
      <c r="E10" s="89" t="s">
        <v>448</v>
      </c>
      <c r="F10" s="89" t="s">
        <v>550</v>
      </c>
      <c r="G10" s="89">
        <v>65.400000000000006</v>
      </c>
      <c r="H10" s="242"/>
      <c r="I10" s="243"/>
      <c r="J10" s="243"/>
    </row>
    <row r="11" spans="1:10" x14ac:dyDescent="0.3">
      <c r="A11" s="88" t="s">
        <v>572</v>
      </c>
      <c r="B11" s="88" t="s">
        <v>548</v>
      </c>
      <c r="C11" s="89">
        <v>56.43</v>
      </c>
      <c r="D11" s="245"/>
      <c r="E11" s="88" t="s">
        <v>449</v>
      </c>
      <c r="F11" s="88" t="s">
        <v>550</v>
      </c>
      <c r="G11" s="89">
        <v>64.099999999999994</v>
      </c>
      <c r="H11" s="242"/>
      <c r="I11" s="243"/>
      <c r="J11" s="243"/>
    </row>
    <row r="12" spans="1:10" x14ac:dyDescent="0.3">
      <c r="A12" s="89" t="s">
        <v>470</v>
      </c>
      <c r="B12" s="89" t="s">
        <v>548</v>
      </c>
      <c r="C12" s="89">
        <v>51.084000000000003</v>
      </c>
      <c r="D12" s="245"/>
      <c r="E12" s="89" t="s">
        <v>450</v>
      </c>
      <c r="F12" s="89" t="s">
        <v>550</v>
      </c>
      <c r="G12" s="89">
        <v>64.3</v>
      </c>
      <c r="H12" s="242"/>
      <c r="I12" s="243"/>
      <c r="J12" s="243"/>
    </row>
    <row r="13" spans="1:10" x14ac:dyDescent="0.3">
      <c r="A13" s="88" t="s">
        <v>573</v>
      </c>
      <c r="B13" s="88" t="s">
        <v>548</v>
      </c>
      <c r="C13" s="89">
        <v>55.736999999999995</v>
      </c>
      <c r="D13" s="245"/>
      <c r="E13" s="88" t="s">
        <v>461</v>
      </c>
      <c r="F13" s="88" t="s">
        <v>550</v>
      </c>
      <c r="G13" s="89">
        <v>62.8</v>
      </c>
      <c r="H13" s="242"/>
      <c r="I13" s="243"/>
      <c r="J13" s="243"/>
    </row>
    <row r="14" spans="1:10" x14ac:dyDescent="0.3">
      <c r="A14" s="89" t="s">
        <v>471</v>
      </c>
      <c r="B14" s="89" t="s">
        <v>548</v>
      </c>
      <c r="C14" s="89">
        <v>74.745000000000005</v>
      </c>
      <c r="D14" s="245"/>
      <c r="E14" s="89" t="s">
        <v>462</v>
      </c>
      <c r="F14" s="89" t="s">
        <v>550</v>
      </c>
      <c r="G14" s="89">
        <v>89.1</v>
      </c>
      <c r="H14" s="242"/>
      <c r="I14" s="243"/>
      <c r="J14" s="243"/>
    </row>
    <row r="15" spans="1:10" x14ac:dyDescent="0.3">
      <c r="A15" s="88" t="s">
        <v>472</v>
      </c>
      <c r="B15" s="88" t="s">
        <v>548</v>
      </c>
      <c r="C15" s="89">
        <v>74.15100000000001</v>
      </c>
      <c r="D15" s="245"/>
      <c r="E15" s="88" t="s">
        <v>463</v>
      </c>
      <c r="F15" s="88" t="s">
        <v>550</v>
      </c>
      <c r="G15" s="89">
        <v>29.7</v>
      </c>
      <c r="H15" s="242"/>
      <c r="I15" s="243"/>
      <c r="J15" s="243"/>
    </row>
    <row r="16" spans="1:10" x14ac:dyDescent="0.3">
      <c r="B16" s="88" t="s">
        <v>396</v>
      </c>
      <c r="C16" s="99">
        <f>SUM(C6:C15)</f>
        <v>577.07099999999991</v>
      </c>
      <c r="D16" s="245"/>
      <c r="E16" s="89" t="s">
        <v>464</v>
      </c>
      <c r="F16" s="89" t="s">
        <v>550</v>
      </c>
      <c r="G16" s="89">
        <v>64.8</v>
      </c>
      <c r="H16" s="242"/>
      <c r="I16" s="243"/>
      <c r="J16" s="243"/>
    </row>
    <row r="17" spans="1:10" x14ac:dyDescent="0.3">
      <c r="A17" s="244"/>
      <c r="B17" s="244"/>
      <c r="C17" s="244"/>
      <c r="D17" s="245"/>
      <c r="E17" s="88" t="s">
        <v>465</v>
      </c>
      <c r="F17" s="88" t="s">
        <v>550</v>
      </c>
      <c r="G17" s="89">
        <v>63.8</v>
      </c>
      <c r="H17" s="242"/>
      <c r="I17" s="243"/>
      <c r="J17" s="243"/>
    </row>
    <row r="18" spans="1:10" x14ac:dyDescent="0.3">
      <c r="A18" s="244"/>
      <c r="B18" s="244"/>
      <c r="C18" s="244"/>
      <c r="D18" s="245"/>
      <c r="E18" s="89" t="s">
        <v>589</v>
      </c>
      <c r="F18" s="89" t="s">
        <v>550</v>
      </c>
      <c r="G18" s="89">
        <v>65.5</v>
      </c>
      <c r="H18" s="242"/>
      <c r="I18" s="243"/>
      <c r="J18" s="243"/>
    </row>
    <row r="19" spans="1:10" x14ac:dyDescent="0.3">
      <c r="A19" s="244"/>
      <c r="B19" s="244"/>
      <c r="C19" s="244"/>
      <c r="D19" s="245"/>
      <c r="E19" s="88" t="s">
        <v>590</v>
      </c>
      <c r="F19" s="88" t="s">
        <v>550</v>
      </c>
      <c r="G19" s="89">
        <v>63.7</v>
      </c>
      <c r="H19" s="242"/>
      <c r="I19" s="243"/>
      <c r="J19" s="243"/>
    </row>
    <row r="20" spans="1:10" x14ac:dyDescent="0.3">
      <c r="A20" s="244"/>
      <c r="B20" s="244"/>
      <c r="C20" s="244"/>
      <c r="D20" s="245"/>
      <c r="E20" s="89" t="s">
        <v>466</v>
      </c>
      <c r="F20" s="89" t="s">
        <v>550</v>
      </c>
      <c r="G20" s="89">
        <v>64.3</v>
      </c>
      <c r="H20" s="242"/>
      <c r="I20" s="243"/>
      <c r="J20" s="243"/>
    </row>
    <row r="21" spans="1:10" x14ac:dyDescent="0.3">
      <c r="A21" s="244"/>
      <c r="B21" s="244"/>
      <c r="C21" s="244"/>
      <c r="D21" s="245"/>
      <c r="F21" s="88" t="s">
        <v>396</v>
      </c>
      <c r="G21" s="99">
        <f>SUM(G6:G20)</f>
        <v>955.5</v>
      </c>
      <c r="H21" s="242"/>
      <c r="I21" s="243"/>
      <c r="J21" s="243"/>
    </row>
  </sheetData>
  <mergeCells count="9">
    <mergeCell ref="H5:J21"/>
    <mergeCell ref="A17:C21"/>
    <mergeCell ref="D5:D21"/>
    <mergeCell ref="A1:J1"/>
    <mergeCell ref="B2:E2"/>
    <mergeCell ref="F2:H2"/>
    <mergeCell ref="B3:E3"/>
    <mergeCell ref="F3:H3"/>
    <mergeCell ref="A4:J4"/>
  </mergeCells>
  <pageMargins left="0.7" right="0.7" top="0.75" bottom="0.75" header="0.3" footer="0.3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21"/>
  <sheetViews>
    <sheetView zoomScale="85" zoomScaleNormal="85" workbookViewId="0">
      <selection activeCell="I3" sqref="I3"/>
    </sheetView>
  </sheetViews>
  <sheetFormatPr defaultRowHeight="18" x14ac:dyDescent="0.3"/>
  <cols>
    <col min="1" max="1" width="7.21875" style="92" customWidth="1"/>
    <col min="2" max="2" width="7.88671875" style="92" customWidth="1"/>
    <col min="3" max="3" width="14.109375" style="92" customWidth="1"/>
    <col min="4" max="4" width="4.109375" style="92" customWidth="1"/>
    <col min="5" max="5" width="7.109375" style="92" customWidth="1"/>
    <col min="6" max="6" width="15.44140625" style="92" customWidth="1"/>
    <col min="7" max="7" width="28.21875" style="92" customWidth="1"/>
    <col min="8" max="8" width="12.77734375" style="92" customWidth="1"/>
    <col min="9" max="9" width="11.88671875" style="92" customWidth="1"/>
    <col min="10" max="16384" width="8.88671875" style="92"/>
  </cols>
  <sheetData>
    <row r="1" spans="1:9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</row>
    <row r="2" spans="1:9" ht="15" customHeight="1" x14ac:dyDescent="0.3">
      <c r="A2" s="12" t="s">
        <v>389</v>
      </c>
      <c r="B2" s="217" t="s">
        <v>390</v>
      </c>
      <c r="C2" s="217"/>
      <c r="D2" s="217"/>
      <c r="E2" s="217"/>
      <c r="F2" s="210" t="s">
        <v>391</v>
      </c>
      <c r="G2" s="221"/>
      <c r="H2" s="16" t="s">
        <v>392</v>
      </c>
      <c r="I2" s="14" t="s">
        <v>393</v>
      </c>
    </row>
    <row r="3" spans="1:9" ht="98.4" customHeight="1" x14ac:dyDescent="0.3">
      <c r="A3" s="75">
        <v>1</v>
      </c>
      <c r="B3" s="215" t="s">
        <v>597</v>
      </c>
      <c r="C3" s="215"/>
      <c r="D3" s="215"/>
      <c r="E3" s="215"/>
      <c r="F3" s="222" t="s">
        <v>668</v>
      </c>
      <c r="G3" s="223"/>
      <c r="H3" s="75" t="s">
        <v>394</v>
      </c>
      <c r="I3" s="76">
        <f>G20+C21</f>
        <v>1789.6</v>
      </c>
    </row>
    <row r="4" spans="1:9" ht="20.399999999999999" customHeight="1" x14ac:dyDescent="0.3">
      <c r="A4" s="198"/>
      <c r="B4" s="198"/>
      <c r="C4" s="198"/>
      <c r="D4" s="198"/>
      <c r="E4" s="198"/>
      <c r="F4" s="198"/>
      <c r="G4" s="198"/>
      <c r="H4" s="198"/>
      <c r="I4" s="198"/>
    </row>
    <row r="5" spans="1:9" x14ac:dyDescent="0.3">
      <c r="A5" s="87" t="s">
        <v>593</v>
      </c>
      <c r="B5" s="87" t="s">
        <v>441</v>
      </c>
      <c r="C5" s="87" t="s">
        <v>591</v>
      </c>
      <c r="D5" s="242"/>
      <c r="E5" s="87" t="s">
        <v>593</v>
      </c>
      <c r="F5" s="87" t="s">
        <v>441</v>
      </c>
      <c r="G5" s="87" t="s">
        <v>591</v>
      </c>
      <c r="H5" s="199"/>
      <c r="I5" s="199"/>
    </row>
    <row r="6" spans="1:9" x14ac:dyDescent="0.3">
      <c r="A6" s="88" t="s">
        <v>551</v>
      </c>
      <c r="B6" s="88" t="s">
        <v>13</v>
      </c>
      <c r="C6" s="98">
        <v>16.8</v>
      </c>
      <c r="D6" s="242"/>
      <c r="E6" s="89" t="s">
        <v>574</v>
      </c>
      <c r="F6" s="89" t="s">
        <v>549</v>
      </c>
      <c r="G6" s="99">
        <v>79.7</v>
      </c>
      <c r="H6" s="199"/>
      <c r="I6" s="199"/>
    </row>
    <row r="7" spans="1:9" x14ac:dyDescent="0.3">
      <c r="A7" s="89" t="s">
        <v>552</v>
      </c>
      <c r="B7" s="89" t="s">
        <v>13</v>
      </c>
      <c r="C7" s="98">
        <v>41.8</v>
      </c>
      <c r="D7" s="242"/>
      <c r="E7" s="88" t="s">
        <v>575</v>
      </c>
      <c r="F7" s="88" t="s">
        <v>549</v>
      </c>
      <c r="G7" s="99">
        <v>27</v>
      </c>
      <c r="H7" s="199"/>
      <c r="I7" s="199"/>
    </row>
    <row r="8" spans="1:9" x14ac:dyDescent="0.3">
      <c r="A8" s="88" t="s">
        <v>553</v>
      </c>
      <c r="B8" s="88" t="s">
        <v>13</v>
      </c>
      <c r="C8" s="98">
        <v>60.8</v>
      </c>
      <c r="D8" s="242"/>
      <c r="E8" s="89" t="s">
        <v>576</v>
      </c>
      <c r="F8" s="89" t="s">
        <v>549</v>
      </c>
      <c r="G8" s="99">
        <v>28</v>
      </c>
      <c r="H8" s="199"/>
      <c r="I8" s="199"/>
    </row>
    <row r="9" spans="1:9" x14ac:dyDescent="0.3">
      <c r="A9" s="89" t="s">
        <v>554</v>
      </c>
      <c r="B9" s="89" t="s">
        <v>546</v>
      </c>
      <c r="C9" s="99">
        <v>22</v>
      </c>
      <c r="D9" s="242"/>
      <c r="E9" s="88" t="s">
        <v>577</v>
      </c>
      <c r="F9" s="88" t="s">
        <v>549</v>
      </c>
      <c r="G9" s="99">
        <v>14</v>
      </c>
      <c r="H9" s="199"/>
      <c r="I9" s="199"/>
    </row>
    <row r="10" spans="1:9" x14ac:dyDescent="0.3">
      <c r="A10" s="88" t="s">
        <v>555</v>
      </c>
      <c r="B10" s="88" t="s">
        <v>546</v>
      </c>
      <c r="C10" s="89">
        <v>63</v>
      </c>
      <c r="D10" s="242"/>
      <c r="E10" s="89" t="s">
        <v>578</v>
      </c>
      <c r="F10" s="89" t="s">
        <v>549</v>
      </c>
      <c r="G10" s="99">
        <v>19.100000000000001</v>
      </c>
      <c r="H10" s="199"/>
      <c r="I10" s="199"/>
    </row>
    <row r="11" spans="1:9" x14ac:dyDescent="0.3">
      <c r="A11" s="89" t="s">
        <v>556</v>
      </c>
      <c r="B11" s="89" t="s">
        <v>546</v>
      </c>
      <c r="C11" s="89">
        <v>64.3</v>
      </c>
      <c r="D11" s="242"/>
      <c r="E11" s="88" t="s">
        <v>579</v>
      </c>
      <c r="F11" s="88" t="s">
        <v>549</v>
      </c>
      <c r="G11" s="99">
        <v>201.1</v>
      </c>
      <c r="H11" s="199"/>
      <c r="I11" s="199"/>
    </row>
    <row r="12" spans="1:9" x14ac:dyDescent="0.3">
      <c r="A12" s="88" t="s">
        <v>557</v>
      </c>
      <c r="B12" s="88" t="s">
        <v>546</v>
      </c>
      <c r="C12" s="89">
        <v>64.400000000000006</v>
      </c>
      <c r="D12" s="242"/>
      <c r="E12" s="89" t="s">
        <v>580</v>
      </c>
      <c r="F12" s="89" t="s">
        <v>549</v>
      </c>
      <c r="G12" s="99">
        <v>115.4</v>
      </c>
      <c r="H12" s="199"/>
      <c r="I12" s="199"/>
    </row>
    <row r="13" spans="1:9" x14ac:dyDescent="0.3">
      <c r="A13" s="89" t="s">
        <v>558</v>
      </c>
      <c r="B13" s="89" t="s">
        <v>546</v>
      </c>
      <c r="C13" s="89">
        <v>131.19999999999999</v>
      </c>
      <c r="D13" s="242"/>
      <c r="E13" s="88" t="s">
        <v>581</v>
      </c>
      <c r="F13" s="88" t="s">
        <v>549</v>
      </c>
      <c r="G13" s="99">
        <v>76.2</v>
      </c>
      <c r="H13" s="199"/>
      <c r="I13" s="199"/>
    </row>
    <row r="14" spans="1:9" x14ac:dyDescent="0.3">
      <c r="A14" s="88" t="s">
        <v>559</v>
      </c>
      <c r="B14" s="88" t="s">
        <v>546</v>
      </c>
      <c r="C14" s="89">
        <v>22.1</v>
      </c>
      <c r="D14" s="242"/>
      <c r="E14" s="89" t="s">
        <v>582</v>
      </c>
      <c r="F14" s="89" t="s">
        <v>549</v>
      </c>
      <c r="G14" s="99">
        <v>245.9</v>
      </c>
      <c r="H14" s="199"/>
      <c r="I14" s="199"/>
    </row>
    <row r="15" spans="1:9" x14ac:dyDescent="0.3">
      <c r="A15" s="89" t="s">
        <v>560</v>
      </c>
      <c r="B15" s="89" t="s">
        <v>546</v>
      </c>
      <c r="C15" s="89">
        <v>28.7</v>
      </c>
      <c r="D15" s="242"/>
      <c r="E15" s="88" t="s">
        <v>583</v>
      </c>
      <c r="F15" s="88" t="s">
        <v>549</v>
      </c>
      <c r="G15" s="99">
        <v>13.3</v>
      </c>
      <c r="H15" s="199"/>
      <c r="I15" s="199"/>
    </row>
    <row r="16" spans="1:9" x14ac:dyDescent="0.3">
      <c r="A16" s="89" t="s">
        <v>568</v>
      </c>
      <c r="B16" s="89" t="s">
        <v>17</v>
      </c>
      <c r="C16" s="89">
        <v>7</v>
      </c>
      <c r="D16" s="242"/>
      <c r="E16" s="89" t="s">
        <v>584</v>
      </c>
      <c r="F16" s="89" t="s">
        <v>549</v>
      </c>
      <c r="G16" s="99">
        <v>114.5</v>
      </c>
      <c r="H16" s="199"/>
      <c r="I16" s="199"/>
    </row>
    <row r="17" spans="1:9" x14ac:dyDescent="0.3">
      <c r="A17" s="89" t="s">
        <v>569</v>
      </c>
      <c r="B17" s="89" t="s">
        <v>17</v>
      </c>
      <c r="C17" s="89">
        <v>6.2</v>
      </c>
      <c r="D17" s="242"/>
      <c r="E17" s="88" t="s">
        <v>585</v>
      </c>
      <c r="F17" s="88" t="s">
        <v>549</v>
      </c>
      <c r="G17" s="99">
        <v>113.1</v>
      </c>
      <c r="H17" s="199"/>
      <c r="I17" s="199"/>
    </row>
    <row r="18" spans="1:9" x14ac:dyDescent="0.3">
      <c r="A18" s="88" t="s">
        <v>570</v>
      </c>
      <c r="B18" s="88" t="s">
        <v>17</v>
      </c>
      <c r="C18" s="89">
        <v>6.9</v>
      </c>
      <c r="D18" s="242"/>
      <c r="E18" s="89" t="s">
        <v>586</v>
      </c>
      <c r="F18" s="89" t="s">
        <v>549</v>
      </c>
      <c r="G18" s="99">
        <v>21.8</v>
      </c>
      <c r="H18" s="199"/>
      <c r="I18" s="199"/>
    </row>
    <row r="19" spans="1:9" x14ac:dyDescent="0.3">
      <c r="A19" s="89" t="s">
        <v>473</v>
      </c>
      <c r="B19" s="89" t="s">
        <v>17</v>
      </c>
      <c r="C19" s="89">
        <v>37.1</v>
      </c>
      <c r="D19" s="242"/>
      <c r="E19" s="88" t="s">
        <v>587</v>
      </c>
      <c r="F19" s="88" t="s">
        <v>549</v>
      </c>
      <c r="G19" s="99">
        <v>87.5</v>
      </c>
      <c r="H19" s="199"/>
      <c r="I19" s="199"/>
    </row>
    <row r="20" spans="1:9" x14ac:dyDescent="0.3">
      <c r="A20" s="88" t="s">
        <v>571</v>
      </c>
      <c r="B20" s="88" t="s">
        <v>17</v>
      </c>
      <c r="C20" s="89">
        <v>60.7</v>
      </c>
      <c r="D20" s="242"/>
      <c r="E20" s="112"/>
      <c r="F20" s="112" t="s">
        <v>474</v>
      </c>
      <c r="G20" s="113">
        <f>SUM(G6:G19)</f>
        <v>1156.5999999999999</v>
      </c>
      <c r="H20" s="199"/>
      <c r="I20" s="199"/>
    </row>
    <row r="21" spans="1:9" x14ac:dyDescent="0.3">
      <c r="A21" s="75"/>
      <c r="B21" s="112" t="s">
        <v>474</v>
      </c>
      <c r="C21" s="114">
        <f>SUM(C6:C20)</f>
        <v>633.00000000000011</v>
      </c>
      <c r="D21" s="242"/>
      <c r="E21" s="247"/>
      <c r="F21" s="247"/>
      <c r="G21" s="247"/>
      <c r="H21" s="199"/>
      <c r="I21" s="199"/>
    </row>
  </sheetData>
  <mergeCells count="9">
    <mergeCell ref="D5:D21"/>
    <mergeCell ref="E21:G21"/>
    <mergeCell ref="H5:I21"/>
    <mergeCell ref="A1:I1"/>
    <mergeCell ref="B2:E2"/>
    <mergeCell ref="F2:G2"/>
    <mergeCell ref="B3:E3"/>
    <mergeCell ref="F3:G3"/>
    <mergeCell ref="A4:I4"/>
  </mergeCells>
  <pageMargins left="0.7" right="0.7" top="0.75" bottom="0.75" header="0.3" footer="0.3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8"/>
  <sheetViews>
    <sheetView zoomScale="85" zoomScaleNormal="85" workbookViewId="0">
      <selection activeCell="C13" sqref="C13"/>
    </sheetView>
  </sheetViews>
  <sheetFormatPr defaultRowHeight="18" x14ac:dyDescent="0.3"/>
  <cols>
    <col min="1" max="1" width="7.21875" style="92" customWidth="1"/>
    <col min="2" max="2" width="7.88671875" style="92" customWidth="1"/>
    <col min="3" max="3" width="14.109375" style="92" customWidth="1"/>
    <col min="4" max="4" width="4.109375" style="92" customWidth="1"/>
    <col min="5" max="5" width="7.109375" style="92" customWidth="1"/>
    <col min="6" max="6" width="9.88671875" style="92" customWidth="1"/>
    <col min="7" max="7" width="5.33203125" style="92" customWidth="1"/>
    <col min="8" max="8" width="20.5546875" style="92" customWidth="1"/>
    <col min="9" max="9" width="7.44140625" style="92" customWidth="1"/>
    <col min="10" max="10" width="11.88671875" style="92" customWidth="1"/>
    <col min="11" max="16384" width="8.88671875" style="92"/>
  </cols>
  <sheetData>
    <row r="1" spans="1:10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</row>
    <row r="2" spans="1:10" ht="15" customHeight="1" x14ac:dyDescent="0.3">
      <c r="A2" s="12" t="s">
        <v>389</v>
      </c>
      <c r="B2" s="217" t="s">
        <v>390</v>
      </c>
      <c r="C2" s="217"/>
      <c r="D2" s="217"/>
      <c r="E2" s="217"/>
      <c r="F2" s="210" t="s">
        <v>391</v>
      </c>
      <c r="G2" s="221"/>
      <c r="H2" s="211"/>
      <c r="I2" s="16" t="s">
        <v>392</v>
      </c>
      <c r="J2" s="14" t="s">
        <v>393</v>
      </c>
    </row>
    <row r="3" spans="1:10" ht="99.6" customHeight="1" x14ac:dyDescent="0.3">
      <c r="A3" s="75">
        <v>1</v>
      </c>
      <c r="B3" s="215" t="s">
        <v>597</v>
      </c>
      <c r="C3" s="215"/>
      <c r="D3" s="215"/>
      <c r="E3" s="215"/>
      <c r="F3" s="222" t="s">
        <v>670</v>
      </c>
      <c r="G3" s="223"/>
      <c r="H3" s="246"/>
      <c r="I3" s="75" t="s">
        <v>394</v>
      </c>
      <c r="J3" s="76" t="str">
        <f>C8</f>
        <v>431,9</v>
      </c>
    </row>
    <row r="4" spans="1:10" ht="20.399999999999999" customHeight="1" x14ac:dyDescent="0.3">
      <c r="A4" s="198"/>
      <c r="B4" s="198"/>
      <c r="C4" s="198"/>
      <c r="D4" s="198"/>
      <c r="E4" s="198"/>
      <c r="F4" s="198"/>
      <c r="G4" s="198"/>
      <c r="H4" s="198"/>
      <c r="I4" s="198"/>
      <c r="J4" s="198"/>
    </row>
    <row r="5" spans="1:10" ht="32.4" customHeight="1" x14ac:dyDescent="0.3">
      <c r="A5" s="67" t="s">
        <v>478</v>
      </c>
      <c r="B5" s="67" t="s">
        <v>1</v>
      </c>
      <c r="C5" s="67" t="s">
        <v>477</v>
      </c>
      <c r="D5" s="248"/>
      <c r="E5" s="199"/>
      <c r="F5" s="199"/>
      <c r="G5" s="199"/>
      <c r="H5" s="199"/>
      <c r="I5" s="199"/>
      <c r="J5" s="199"/>
    </row>
    <row r="6" spans="1:10" x14ac:dyDescent="0.3">
      <c r="A6" s="88" t="s">
        <v>485</v>
      </c>
      <c r="B6" s="88" t="s">
        <v>18</v>
      </c>
      <c r="C6" s="249" t="s">
        <v>592</v>
      </c>
      <c r="D6" s="248"/>
      <c r="E6" s="199"/>
      <c r="F6" s="199"/>
      <c r="G6" s="199"/>
      <c r="H6" s="199"/>
      <c r="I6" s="199"/>
      <c r="J6" s="199"/>
    </row>
    <row r="7" spans="1:10" x14ac:dyDescent="0.3">
      <c r="A7" s="89" t="s">
        <v>457</v>
      </c>
      <c r="B7" s="89" t="s">
        <v>18</v>
      </c>
      <c r="C7" s="249"/>
      <c r="D7" s="248"/>
      <c r="E7" s="199"/>
      <c r="F7" s="199"/>
      <c r="G7" s="199"/>
      <c r="H7" s="199"/>
      <c r="I7" s="199"/>
      <c r="J7" s="199"/>
    </row>
    <row r="8" spans="1:10" x14ac:dyDescent="0.3">
      <c r="A8" s="12"/>
      <c r="B8" s="75" t="s">
        <v>474</v>
      </c>
      <c r="C8" s="14" t="str">
        <f>C6</f>
        <v>431,9</v>
      </c>
      <c r="D8" s="248"/>
      <c r="E8" s="199"/>
      <c r="F8" s="199"/>
      <c r="G8" s="199"/>
      <c r="H8" s="199"/>
      <c r="I8" s="199"/>
      <c r="J8" s="199"/>
    </row>
  </sheetData>
  <mergeCells count="8">
    <mergeCell ref="D5:J8"/>
    <mergeCell ref="C6:C7"/>
    <mergeCell ref="A1:J1"/>
    <mergeCell ref="B2:E2"/>
    <mergeCell ref="F2:H2"/>
    <mergeCell ref="B3:E3"/>
    <mergeCell ref="F3:H3"/>
    <mergeCell ref="A4:J4"/>
  </mergeCells>
  <pageMargins left="0.7" right="0.7" top="0.75" bottom="0.75" header="0.3" footer="0.3"/>
  <pageSetup paperSize="9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3"/>
  <sheetViews>
    <sheetView zoomScale="85" zoomScaleNormal="85" workbookViewId="0">
      <selection activeCell="F26" sqref="F25:F26"/>
    </sheetView>
  </sheetViews>
  <sheetFormatPr defaultRowHeight="18" x14ac:dyDescent="0.3"/>
  <cols>
    <col min="1" max="1" width="7.21875" style="92" customWidth="1"/>
    <col min="2" max="2" width="7.88671875" style="92" customWidth="1"/>
    <col min="3" max="3" width="14.109375" style="92" customWidth="1"/>
    <col min="4" max="4" width="4.109375" style="92" customWidth="1"/>
    <col min="5" max="5" width="7.109375" style="92" customWidth="1"/>
    <col min="6" max="6" width="9.88671875" style="92" customWidth="1"/>
    <col min="7" max="7" width="5.33203125" style="92" customWidth="1"/>
    <col min="8" max="8" width="20.5546875" style="92" customWidth="1"/>
    <col min="9" max="9" width="7.44140625" style="92" customWidth="1"/>
    <col min="10" max="10" width="11.88671875" style="92" customWidth="1"/>
    <col min="11" max="16384" width="8.88671875" style="92"/>
  </cols>
  <sheetData>
    <row r="1" spans="1:10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  <c r="J1" s="187"/>
    </row>
    <row r="2" spans="1:10" ht="15" customHeight="1" x14ac:dyDescent="0.3">
      <c r="A2" s="12" t="s">
        <v>389</v>
      </c>
      <c r="B2" s="217" t="s">
        <v>390</v>
      </c>
      <c r="C2" s="217"/>
      <c r="D2" s="217"/>
      <c r="E2" s="217"/>
      <c r="F2" s="210" t="s">
        <v>391</v>
      </c>
      <c r="G2" s="221"/>
      <c r="H2" s="211"/>
      <c r="I2" s="16" t="s">
        <v>392</v>
      </c>
      <c r="J2" s="14" t="s">
        <v>393</v>
      </c>
    </row>
    <row r="3" spans="1:10" ht="99.6" customHeight="1" x14ac:dyDescent="0.3">
      <c r="A3" s="75">
        <v>1</v>
      </c>
      <c r="B3" s="215" t="s">
        <v>597</v>
      </c>
      <c r="C3" s="215"/>
      <c r="D3" s="215"/>
      <c r="E3" s="215"/>
      <c r="F3" s="222" t="s">
        <v>669</v>
      </c>
      <c r="G3" s="223"/>
      <c r="H3" s="246"/>
      <c r="I3" s="75" t="s">
        <v>394</v>
      </c>
      <c r="J3" s="76">
        <f>C13</f>
        <v>267.89999999999998</v>
      </c>
    </row>
    <row r="4" spans="1:10" ht="20.399999999999999" customHeight="1" x14ac:dyDescent="0.3">
      <c r="A4" s="198"/>
      <c r="B4" s="198"/>
      <c r="C4" s="198"/>
      <c r="D4" s="198"/>
      <c r="E4" s="198"/>
      <c r="F4" s="198"/>
      <c r="G4" s="198"/>
      <c r="H4" s="198"/>
      <c r="I4" s="198"/>
      <c r="J4" s="198"/>
    </row>
    <row r="5" spans="1:10" ht="32.4" customHeight="1" x14ac:dyDescent="0.3">
      <c r="A5" s="67" t="s">
        <v>478</v>
      </c>
      <c r="B5" s="67" t="s">
        <v>1</v>
      </c>
      <c r="C5" s="67" t="s">
        <v>477</v>
      </c>
      <c r="D5" s="248"/>
      <c r="E5" s="199"/>
      <c r="F5" s="199"/>
      <c r="G5" s="199"/>
      <c r="H5" s="199"/>
      <c r="I5" s="199"/>
      <c r="J5" s="199"/>
    </row>
    <row r="6" spans="1:10" x14ac:dyDescent="0.3">
      <c r="A6" s="93" t="s">
        <v>561</v>
      </c>
      <c r="B6" s="94" t="s">
        <v>14</v>
      </c>
      <c r="C6" s="250">
        <v>248.1</v>
      </c>
      <c r="D6" s="248"/>
      <c r="E6" s="199"/>
      <c r="F6" s="199"/>
      <c r="G6" s="199"/>
      <c r="H6" s="199"/>
      <c r="I6" s="199"/>
      <c r="J6" s="199"/>
    </row>
    <row r="7" spans="1:10" x14ac:dyDescent="0.3">
      <c r="A7" s="95" t="s">
        <v>562</v>
      </c>
      <c r="B7" s="96" t="s">
        <v>14</v>
      </c>
      <c r="C7" s="251"/>
      <c r="D7" s="248"/>
      <c r="E7" s="199"/>
      <c r="F7" s="199"/>
      <c r="G7" s="199"/>
      <c r="H7" s="199"/>
      <c r="I7" s="199"/>
      <c r="J7" s="199"/>
    </row>
    <row r="8" spans="1:10" x14ac:dyDescent="0.3">
      <c r="A8" s="93" t="s">
        <v>563</v>
      </c>
      <c r="B8" s="94" t="s">
        <v>14</v>
      </c>
      <c r="C8" s="251"/>
      <c r="D8" s="248"/>
      <c r="E8" s="199"/>
      <c r="F8" s="199"/>
      <c r="G8" s="199"/>
      <c r="H8" s="199"/>
      <c r="I8" s="199"/>
      <c r="J8" s="199"/>
    </row>
    <row r="9" spans="1:10" x14ac:dyDescent="0.3">
      <c r="A9" s="95" t="s">
        <v>564</v>
      </c>
      <c r="B9" s="96" t="s">
        <v>14</v>
      </c>
      <c r="C9" s="251"/>
      <c r="D9" s="248"/>
      <c r="E9" s="199"/>
      <c r="F9" s="199"/>
      <c r="G9" s="199"/>
      <c r="H9" s="199"/>
      <c r="I9" s="199"/>
      <c r="J9" s="199"/>
    </row>
    <row r="10" spans="1:10" x14ac:dyDescent="0.3">
      <c r="A10" s="93" t="s">
        <v>565</v>
      </c>
      <c r="B10" s="94" t="s">
        <v>14</v>
      </c>
      <c r="C10" s="251"/>
      <c r="D10" s="248"/>
      <c r="E10" s="199"/>
      <c r="F10" s="199"/>
      <c r="G10" s="199"/>
      <c r="H10" s="199"/>
      <c r="I10" s="199"/>
      <c r="J10" s="199"/>
    </row>
    <row r="11" spans="1:10" x14ac:dyDescent="0.3">
      <c r="A11" s="95" t="s">
        <v>566</v>
      </c>
      <c r="B11" s="96" t="s">
        <v>14</v>
      </c>
      <c r="C11" s="252"/>
      <c r="D11" s="248"/>
      <c r="E11" s="199"/>
      <c r="F11" s="199"/>
      <c r="G11" s="199"/>
      <c r="H11" s="199"/>
      <c r="I11" s="199"/>
      <c r="J11" s="199"/>
    </row>
    <row r="12" spans="1:10" x14ac:dyDescent="0.3">
      <c r="A12" s="93" t="s">
        <v>567</v>
      </c>
      <c r="B12" s="94" t="s">
        <v>547</v>
      </c>
      <c r="C12" s="97">
        <v>19.8</v>
      </c>
      <c r="D12" s="248"/>
      <c r="E12" s="199"/>
      <c r="F12" s="199"/>
      <c r="G12" s="199"/>
      <c r="H12" s="199"/>
      <c r="I12" s="199"/>
      <c r="J12" s="199"/>
    </row>
    <row r="13" spans="1:10" x14ac:dyDescent="0.3">
      <c r="A13" s="12"/>
      <c r="B13" s="75" t="s">
        <v>474</v>
      </c>
      <c r="C13" s="14">
        <f>SUM(C6:C12)</f>
        <v>267.89999999999998</v>
      </c>
      <c r="D13" s="248"/>
      <c r="E13" s="199"/>
      <c r="F13" s="199"/>
      <c r="G13" s="199"/>
      <c r="H13" s="199"/>
      <c r="I13" s="199"/>
      <c r="J13" s="199"/>
    </row>
  </sheetData>
  <mergeCells count="8">
    <mergeCell ref="D5:J13"/>
    <mergeCell ref="C6:C11"/>
    <mergeCell ref="A1:J1"/>
    <mergeCell ref="B2:E2"/>
    <mergeCell ref="F2:H2"/>
    <mergeCell ref="B3:E3"/>
    <mergeCell ref="F3:H3"/>
    <mergeCell ref="A4:J4"/>
  </mergeCells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70" zoomScaleNormal="70" workbookViewId="0">
      <selection activeCell="C3" sqref="C3"/>
    </sheetView>
  </sheetViews>
  <sheetFormatPr defaultRowHeight="18" x14ac:dyDescent="0.35"/>
  <cols>
    <col min="1" max="1" width="8.6640625" style="22" customWidth="1"/>
    <col min="2" max="2" width="33.44140625" style="22" customWidth="1"/>
    <col min="3" max="3" width="35.44140625" style="22" customWidth="1"/>
    <col min="4" max="4" width="11.6640625" style="22" customWidth="1"/>
    <col min="5" max="5" width="11.44140625" style="22" customWidth="1"/>
    <col min="6" max="16384" width="8.88671875" style="22"/>
  </cols>
  <sheetData>
    <row r="1" spans="1:5" x14ac:dyDescent="0.35">
      <c r="A1" s="253" t="s">
        <v>692</v>
      </c>
      <c r="B1" s="254"/>
      <c r="C1" s="254"/>
      <c r="D1" s="254"/>
      <c r="E1" s="255"/>
    </row>
    <row r="2" spans="1:5" x14ac:dyDescent="0.35">
      <c r="A2" s="12" t="s">
        <v>389</v>
      </c>
      <c r="B2" s="16" t="s">
        <v>390</v>
      </c>
      <c r="C2" s="16" t="s">
        <v>391</v>
      </c>
      <c r="D2" s="16" t="s">
        <v>392</v>
      </c>
      <c r="E2" s="14" t="s">
        <v>393</v>
      </c>
    </row>
    <row r="3" spans="1:5" ht="54" x14ac:dyDescent="0.35">
      <c r="A3" s="17">
        <v>1</v>
      </c>
      <c r="B3" s="18" t="s">
        <v>440</v>
      </c>
      <c r="C3" s="19" t="s">
        <v>475</v>
      </c>
      <c r="D3" s="19" t="s">
        <v>394</v>
      </c>
      <c r="E3" s="20">
        <f>'3.1-Пом'!C8</f>
        <v>289.5</v>
      </c>
    </row>
    <row r="4" spans="1:5" ht="54" x14ac:dyDescent="0.35">
      <c r="A4" s="17">
        <v>2</v>
      </c>
      <c r="B4" s="18" t="s">
        <v>440</v>
      </c>
      <c r="C4" s="19" t="s">
        <v>476</v>
      </c>
      <c r="D4" s="19" t="s">
        <v>394</v>
      </c>
      <c r="E4" s="20">
        <f>'3.1-Пом'!C35</f>
        <v>1386.8000000000002</v>
      </c>
    </row>
    <row r="6" spans="1:5" ht="10.8" customHeight="1" x14ac:dyDescent="0.35"/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C35" sqref="A1:C35"/>
    </sheetView>
  </sheetViews>
  <sheetFormatPr defaultRowHeight="13.2" x14ac:dyDescent="0.25"/>
  <cols>
    <col min="1" max="1" width="7.21875" style="33" customWidth="1"/>
    <col min="2" max="2" width="7.109375" style="36" customWidth="1"/>
    <col min="3" max="3" width="9.21875" style="33" bestFit="1" customWidth="1"/>
    <col min="4" max="16384" width="8.88671875" style="33"/>
  </cols>
  <sheetData>
    <row r="1" spans="1:3" x14ac:dyDescent="0.25">
      <c r="A1" s="31" t="s">
        <v>442</v>
      </c>
      <c r="B1" s="35" t="s">
        <v>441</v>
      </c>
      <c r="C1" s="32" t="s">
        <v>443</v>
      </c>
    </row>
    <row r="2" spans="1:3" x14ac:dyDescent="0.25">
      <c r="A2" s="34" t="s">
        <v>444</v>
      </c>
      <c r="B2" s="35" t="s">
        <v>13</v>
      </c>
      <c r="C2" s="32">
        <v>21</v>
      </c>
    </row>
    <row r="3" spans="1:3" x14ac:dyDescent="0.25">
      <c r="A3" s="34" t="s">
        <v>453</v>
      </c>
      <c r="B3" s="35" t="s">
        <v>14</v>
      </c>
      <c r="C3" s="32">
        <v>39.25</v>
      </c>
    </row>
    <row r="4" spans="1:3" x14ac:dyDescent="0.25">
      <c r="A4" s="34" t="s">
        <v>456</v>
      </c>
      <c r="B4" s="35" t="s">
        <v>14</v>
      </c>
      <c r="C4" s="32">
        <v>39.25</v>
      </c>
    </row>
    <row r="5" spans="1:3" x14ac:dyDescent="0.25">
      <c r="A5" s="34" t="s">
        <v>459</v>
      </c>
      <c r="B5" s="35" t="s">
        <v>13</v>
      </c>
      <c r="C5" s="32">
        <v>47.5</v>
      </c>
    </row>
    <row r="6" spans="1:3" x14ac:dyDescent="0.25">
      <c r="A6" s="34" t="s">
        <v>460</v>
      </c>
      <c r="B6" s="35" t="s">
        <v>13</v>
      </c>
      <c r="C6" s="32">
        <v>47.5</v>
      </c>
    </row>
    <row r="7" spans="1:3" x14ac:dyDescent="0.25">
      <c r="A7" s="34" t="s">
        <v>473</v>
      </c>
      <c r="B7" s="35" t="s">
        <v>13</v>
      </c>
      <c r="C7" s="32">
        <v>95</v>
      </c>
    </row>
    <row r="8" spans="1:3" x14ac:dyDescent="0.25">
      <c r="A8" s="32"/>
      <c r="B8" s="35" t="s">
        <v>474</v>
      </c>
      <c r="C8" s="37">
        <f>SUM(C2:C7)</f>
        <v>289.5</v>
      </c>
    </row>
    <row r="10" spans="1:3" x14ac:dyDescent="0.25">
      <c r="A10" s="31" t="s">
        <v>442</v>
      </c>
      <c r="B10" s="35" t="s">
        <v>441</v>
      </c>
      <c r="C10" s="32" t="s">
        <v>443</v>
      </c>
    </row>
    <row r="11" spans="1:3" x14ac:dyDescent="0.25">
      <c r="A11" s="34" t="s">
        <v>445</v>
      </c>
      <c r="B11" s="35" t="s">
        <v>17</v>
      </c>
      <c r="C11" s="32">
        <v>89.5</v>
      </c>
    </row>
    <row r="12" spans="1:3" x14ac:dyDescent="0.25">
      <c r="A12" s="34" t="s">
        <v>446</v>
      </c>
      <c r="B12" s="35" t="s">
        <v>17</v>
      </c>
      <c r="C12" s="32">
        <v>40</v>
      </c>
    </row>
    <row r="13" spans="1:3" x14ac:dyDescent="0.25">
      <c r="A13" s="34" t="s">
        <v>447</v>
      </c>
      <c r="B13" s="35" t="s">
        <v>17</v>
      </c>
      <c r="C13" s="32">
        <v>64.5</v>
      </c>
    </row>
    <row r="14" spans="1:3" x14ac:dyDescent="0.25">
      <c r="A14" s="34" t="s">
        <v>448</v>
      </c>
      <c r="B14" s="35" t="s">
        <v>17</v>
      </c>
      <c r="C14" s="32">
        <v>64.2</v>
      </c>
    </row>
    <row r="15" spans="1:3" x14ac:dyDescent="0.25">
      <c r="A15" s="34" t="s">
        <v>449</v>
      </c>
      <c r="B15" s="35" t="s">
        <v>17</v>
      </c>
      <c r="C15" s="32">
        <v>64.5</v>
      </c>
    </row>
    <row r="16" spans="1:3" x14ac:dyDescent="0.25">
      <c r="A16" s="34" t="s">
        <v>450</v>
      </c>
      <c r="B16" s="35" t="s">
        <v>17</v>
      </c>
      <c r="C16" s="32">
        <v>63.5</v>
      </c>
    </row>
    <row r="17" spans="1:3" x14ac:dyDescent="0.25">
      <c r="A17" s="34" t="s">
        <v>451</v>
      </c>
      <c r="B17" s="35" t="s">
        <v>17</v>
      </c>
      <c r="C17" s="32">
        <v>21.4</v>
      </c>
    </row>
    <row r="18" spans="1:3" x14ac:dyDescent="0.25">
      <c r="A18" s="34" t="s">
        <v>452</v>
      </c>
      <c r="B18" s="35" t="s">
        <v>17</v>
      </c>
      <c r="C18" s="32">
        <v>39.25</v>
      </c>
    </row>
    <row r="19" spans="1:3" x14ac:dyDescent="0.25">
      <c r="A19" s="34" t="s">
        <v>454</v>
      </c>
      <c r="B19" s="35" t="s">
        <v>17</v>
      </c>
      <c r="C19" s="32">
        <v>21.4</v>
      </c>
    </row>
    <row r="20" spans="1:3" x14ac:dyDescent="0.25">
      <c r="A20" s="34" t="s">
        <v>455</v>
      </c>
      <c r="B20" s="35" t="s">
        <v>17</v>
      </c>
      <c r="C20" s="32">
        <v>39.25</v>
      </c>
    </row>
    <row r="21" spans="1:3" x14ac:dyDescent="0.25">
      <c r="A21" s="34" t="s">
        <v>457</v>
      </c>
      <c r="B21" s="35" t="s">
        <v>17</v>
      </c>
      <c r="C21" s="32">
        <v>80</v>
      </c>
    </row>
    <row r="22" spans="1:3" x14ac:dyDescent="0.25">
      <c r="A22" s="34" t="s">
        <v>458</v>
      </c>
      <c r="B22" s="35" t="s">
        <v>17</v>
      </c>
      <c r="C22" s="32">
        <v>80</v>
      </c>
    </row>
    <row r="23" spans="1:3" x14ac:dyDescent="0.25">
      <c r="A23" s="34" t="s">
        <v>461</v>
      </c>
      <c r="B23" s="35" t="s">
        <v>17</v>
      </c>
      <c r="C23" s="32">
        <v>63.5</v>
      </c>
    </row>
    <row r="24" spans="1:3" x14ac:dyDescent="0.25">
      <c r="A24" s="34" t="s">
        <v>462</v>
      </c>
      <c r="B24" s="35" t="s">
        <v>17</v>
      </c>
      <c r="C24" s="32">
        <v>88.5</v>
      </c>
    </row>
    <row r="25" spans="1:3" x14ac:dyDescent="0.25">
      <c r="A25" s="34" t="s">
        <v>463</v>
      </c>
      <c r="B25" s="35" t="s">
        <v>17</v>
      </c>
      <c r="C25" s="32">
        <v>29.5</v>
      </c>
    </row>
    <row r="26" spans="1:3" x14ac:dyDescent="0.25">
      <c r="A26" s="34" t="s">
        <v>464</v>
      </c>
      <c r="B26" s="35" t="s">
        <v>17</v>
      </c>
      <c r="C26" s="32">
        <v>64</v>
      </c>
    </row>
    <row r="27" spans="1:3" x14ac:dyDescent="0.25">
      <c r="A27" s="34" t="s">
        <v>465</v>
      </c>
      <c r="B27" s="35" t="s">
        <v>17</v>
      </c>
      <c r="C27" s="32">
        <v>62</v>
      </c>
    </row>
    <row r="28" spans="1:3" x14ac:dyDescent="0.25">
      <c r="A28" s="34" t="s">
        <v>466</v>
      </c>
      <c r="B28" s="35" t="s">
        <v>17</v>
      </c>
      <c r="C28" s="32">
        <v>59</v>
      </c>
    </row>
    <row r="29" spans="1:3" x14ac:dyDescent="0.25">
      <c r="A29" s="34" t="s">
        <v>467</v>
      </c>
      <c r="B29" s="35" t="s">
        <v>17</v>
      </c>
      <c r="C29" s="32">
        <v>21.4</v>
      </c>
    </row>
    <row r="30" spans="1:3" x14ac:dyDescent="0.25">
      <c r="A30" s="34" t="s">
        <v>468</v>
      </c>
      <c r="B30" s="35" t="s">
        <v>17</v>
      </c>
      <c r="C30" s="32">
        <v>78.5</v>
      </c>
    </row>
    <row r="31" spans="1:3" x14ac:dyDescent="0.25">
      <c r="A31" s="34" t="s">
        <v>469</v>
      </c>
      <c r="B31" s="35" t="s">
        <v>17</v>
      </c>
      <c r="C31" s="32">
        <v>21.4</v>
      </c>
    </row>
    <row r="32" spans="1:3" x14ac:dyDescent="0.25">
      <c r="A32" s="34" t="s">
        <v>470</v>
      </c>
      <c r="B32" s="35" t="s">
        <v>17</v>
      </c>
      <c r="C32" s="32">
        <v>78.5</v>
      </c>
    </row>
    <row r="33" spans="1:3" x14ac:dyDescent="0.25">
      <c r="A33" s="34" t="s">
        <v>471</v>
      </c>
      <c r="B33" s="35" t="s">
        <v>17</v>
      </c>
      <c r="C33" s="32">
        <v>80</v>
      </c>
    </row>
    <row r="34" spans="1:3" x14ac:dyDescent="0.25">
      <c r="A34" s="34" t="s">
        <v>472</v>
      </c>
      <c r="B34" s="35" t="s">
        <v>17</v>
      </c>
      <c r="C34" s="32">
        <v>73</v>
      </c>
    </row>
    <row r="35" spans="1:3" x14ac:dyDescent="0.25">
      <c r="A35" s="32"/>
      <c r="B35" s="35" t="s">
        <v>474</v>
      </c>
      <c r="C35" s="37">
        <f>SUM(C11:C34)</f>
        <v>1386.8000000000002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Normal="100" workbookViewId="0">
      <selection activeCell="A38" sqref="A38"/>
    </sheetView>
  </sheetViews>
  <sheetFormatPr defaultRowHeight="15.6" x14ac:dyDescent="0.3"/>
  <cols>
    <col min="1" max="1" width="7.21875" style="42" customWidth="1"/>
    <col min="2" max="2" width="7.88671875" style="42" customWidth="1"/>
    <col min="3" max="3" width="9.88671875" style="42" customWidth="1"/>
    <col min="4" max="4" width="4.109375" style="42" customWidth="1"/>
    <col min="5" max="5" width="7.109375" style="42" customWidth="1"/>
    <col min="6" max="6" width="7.6640625" style="42" customWidth="1"/>
    <col min="7" max="7" width="9.88671875" style="42" customWidth="1"/>
    <col min="8" max="8" width="5.33203125" style="42" customWidth="1"/>
    <col min="9" max="9" width="7.88671875" style="42" customWidth="1"/>
    <col min="10" max="10" width="8.21875" style="42" customWidth="1"/>
    <col min="11" max="11" width="9.88671875" style="42" customWidth="1"/>
    <col min="12" max="16384" width="8.88671875" style="42"/>
  </cols>
  <sheetData>
    <row r="1" spans="1:11" ht="15" customHeight="1" x14ac:dyDescent="0.3">
      <c r="A1" s="256" t="s">
        <v>692</v>
      </c>
      <c r="B1" s="256"/>
      <c r="C1" s="256"/>
      <c r="D1" s="256"/>
      <c r="E1" s="256"/>
      <c r="F1" s="256"/>
      <c r="G1" s="256"/>
      <c r="H1" s="256"/>
      <c r="I1" s="256"/>
      <c r="J1" s="259"/>
      <c r="K1" s="259"/>
    </row>
    <row r="2" spans="1:11" ht="15" customHeight="1" x14ac:dyDescent="0.3">
      <c r="A2" s="40" t="s">
        <v>389</v>
      </c>
      <c r="B2" s="260" t="s">
        <v>390</v>
      </c>
      <c r="C2" s="260"/>
      <c r="D2" s="260"/>
      <c r="E2" s="260"/>
      <c r="F2" s="260"/>
      <c r="G2" s="41" t="s">
        <v>392</v>
      </c>
      <c r="H2" s="258" t="s">
        <v>393</v>
      </c>
      <c r="I2" s="258"/>
      <c r="J2" s="259"/>
      <c r="K2" s="259"/>
    </row>
    <row r="3" spans="1:11" ht="59.4" customHeight="1" x14ac:dyDescent="0.3">
      <c r="A3" s="49">
        <v>1</v>
      </c>
      <c r="B3" s="261" t="s">
        <v>479</v>
      </c>
      <c r="C3" s="261"/>
      <c r="D3" s="261"/>
      <c r="E3" s="261"/>
      <c r="F3" s="261"/>
      <c r="G3" s="49" t="s">
        <v>394</v>
      </c>
      <c r="H3" s="257">
        <f>C21+G30+K31</f>
        <v>4099.5</v>
      </c>
      <c r="I3" s="257"/>
      <c r="J3" s="259"/>
      <c r="K3" s="259"/>
    </row>
    <row r="4" spans="1:11" ht="15" customHeight="1" x14ac:dyDescent="0.3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</row>
    <row r="5" spans="1:11" ht="32.4" customHeight="1" x14ac:dyDescent="0.3">
      <c r="A5" s="39" t="s">
        <v>478</v>
      </c>
      <c r="B5" s="39" t="s">
        <v>1</v>
      </c>
      <c r="C5" s="39" t="s">
        <v>477</v>
      </c>
      <c r="D5" s="259"/>
      <c r="E5" s="39" t="s">
        <v>478</v>
      </c>
      <c r="F5" s="39" t="s">
        <v>1</v>
      </c>
      <c r="G5" s="39" t="s">
        <v>477</v>
      </c>
      <c r="H5" s="259"/>
      <c r="I5" s="39" t="s">
        <v>478</v>
      </c>
      <c r="J5" s="39" t="s">
        <v>1</v>
      </c>
      <c r="K5" s="39" t="s">
        <v>477</v>
      </c>
    </row>
    <row r="6" spans="1:11" x14ac:dyDescent="0.3">
      <c r="A6" s="43">
        <v>1.05</v>
      </c>
      <c r="B6" s="44" t="s">
        <v>480</v>
      </c>
      <c r="C6" s="44">
        <v>22.1</v>
      </c>
      <c r="D6" s="259"/>
      <c r="E6" s="45">
        <v>2.0099999999999998</v>
      </c>
      <c r="F6" s="46" t="s">
        <v>480</v>
      </c>
      <c r="G6" s="46">
        <v>62.6</v>
      </c>
      <c r="H6" s="259"/>
      <c r="I6" s="45">
        <v>3.01</v>
      </c>
      <c r="J6" s="46" t="s">
        <v>480</v>
      </c>
      <c r="K6" s="46">
        <v>62.8</v>
      </c>
    </row>
    <row r="7" spans="1:11" x14ac:dyDescent="0.3">
      <c r="A7" s="45">
        <v>1.0900000000000001</v>
      </c>
      <c r="B7" s="46" t="s">
        <v>480</v>
      </c>
      <c r="C7" s="46">
        <v>61.9</v>
      </c>
      <c r="D7" s="259"/>
      <c r="E7" s="43">
        <v>2.02</v>
      </c>
      <c r="F7" s="44" t="s">
        <v>480</v>
      </c>
      <c r="G7" s="44">
        <v>89</v>
      </c>
      <c r="H7" s="259"/>
      <c r="I7" s="43">
        <v>3.02</v>
      </c>
      <c r="J7" s="44" t="s">
        <v>480</v>
      </c>
      <c r="K7" s="44">
        <v>89.1</v>
      </c>
    </row>
    <row r="8" spans="1:11" x14ac:dyDescent="0.3">
      <c r="A8" s="43">
        <v>1.1000000000000001</v>
      </c>
      <c r="B8" s="44" t="s">
        <v>480</v>
      </c>
      <c r="C8" s="44">
        <v>63.3</v>
      </c>
      <c r="D8" s="259"/>
      <c r="E8" s="45">
        <v>2.0299999999999998</v>
      </c>
      <c r="F8" s="46" t="s">
        <v>480</v>
      </c>
      <c r="G8" s="46">
        <v>39.4</v>
      </c>
      <c r="H8" s="259"/>
      <c r="I8" s="45">
        <v>3.03</v>
      </c>
      <c r="J8" s="46" t="s">
        <v>480</v>
      </c>
      <c r="K8" s="46">
        <v>29.7</v>
      </c>
    </row>
    <row r="9" spans="1:11" x14ac:dyDescent="0.3">
      <c r="A9" s="45">
        <v>1.1100000000000001</v>
      </c>
      <c r="B9" s="46" t="s">
        <v>480</v>
      </c>
      <c r="C9" s="46">
        <v>63.4</v>
      </c>
      <c r="D9" s="259"/>
      <c r="E9" s="43">
        <v>2.04</v>
      </c>
      <c r="F9" s="44" t="s">
        <v>480</v>
      </c>
      <c r="G9" s="44">
        <v>63</v>
      </c>
      <c r="H9" s="259"/>
      <c r="I9" s="43">
        <v>3.04</v>
      </c>
      <c r="J9" s="44" t="s">
        <v>480</v>
      </c>
      <c r="K9" s="44">
        <v>64.599999999999994</v>
      </c>
    </row>
    <row r="10" spans="1:11" x14ac:dyDescent="0.3">
      <c r="A10" s="43">
        <v>1.1200000000000001</v>
      </c>
      <c r="B10" s="44" t="s">
        <v>480</v>
      </c>
      <c r="C10" s="44">
        <v>131.19999999999999</v>
      </c>
      <c r="D10" s="259"/>
      <c r="E10" s="45">
        <v>2.0499999999999998</v>
      </c>
      <c r="F10" s="46" t="s">
        <v>480</v>
      </c>
      <c r="G10" s="46">
        <v>64.400000000000006</v>
      </c>
      <c r="H10" s="259"/>
      <c r="I10" s="45">
        <v>3.05</v>
      </c>
      <c r="J10" s="46" t="s">
        <v>480</v>
      </c>
      <c r="K10" s="46">
        <v>63.8</v>
      </c>
    </row>
    <row r="11" spans="1:11" x14ac:dyDescent="0.3">
      <c r="A11" s="45">
        <v>1.19</v>
      </c>
      <c r="B11" s="46" t="s">
        <v>481</v>
      </c>
      <c r="C11" s="46">
        <v>20.7</v>
      </c>
      <c r="D11" s="259"/>
      <c r="E11" s="43">
        <v>2.06</v>
      </c>
      <c r="F11" s="44" t="s">
        <v>480</v>
      </c>
      <c r="G11" s="44">
        <v>63.3</v>
      </c>
      <c r="H11" s="259"/>
      <c r="I11" s="43">
        <v>3.06</v>
      </c>
      <c r="J11" s="44" t="s">
        <v>480</v>
      </c>
      <c r="K11" s="44">
        <v>65.400000000000006</v>
      </c>
    </row>
    <row r="12" spans="1:11" x14ac:dyDescent="0.3">
      <c r="A12" s="43">
        <v>1.61</v>
      </c>
      <c r="B12" s="44" t="s">
        <v>481</v>
      </c>
      <c r="C12" s="44">
        <v>16.8</v>
      </c>
      <c r="D12" s="259"/>
      <c r="E12" s="45">
        <v>2.0699999999999998</v>
      </c>
      <c r="F12" s="46" t="s">
        <v>480</v>
      </c>
      <c r="G12" s="46">
        <v>63.3</v>
      </c>
      <c r="H12" s="259"/>
      <c r="I12" s="45">
        <v>3.07</v>
      </c>
      <c r="J12" s="46" t="s">
        <v>480</v>
      </c>
      <c r="K12" s="46">
        <v>63.7</v>
      </c>
    </row>
    <row r="13" spans="1:11" x14ac:dyDescent="0.3">
      <c r="A13" s="45">
        <v>1.64</v>
      </c>
      <c r="B13" s="46" t="s">
        <v>481</v>
      </c>
      <c r="C13" s="46">
        <v>24</v>
      </c>
      <c r="D13" s="259"/>
      <c r="E13" s="43">
        <v>2.08</v>
      </c>
      <c r="F13" s="44" t="s">
        <v>480</v>
      </c>
      <c r="G13" s="44">
        <v>78.599999999999994</v>
      </c>
      <c r="H13" s="259"/>
      <c r="I13" s="43">
        <v>3.08</v>
      </c>
      <c r="J13" s="44" t="s">
        <v>480</v>
      </c>
      <c r="K13" s="44">
        <v>64.3</v>
      </c>
    </row>
    <row r="14" spans="1:11" x14ac:dyDescent="0.3">
      <c r="A14" s="43">
        <v>1.67</v>
      </c>
      <c r="B14" s="44" t="s">
        <v>481</v>
      </c>
      <c r="C14" s="44">
        <v>51.3</v>
      </c>
      <c r="D14" s="259"/>
      <c r="E14" s="45">
        <v>2.12</v>
      </c>
      <c r="F14" s="46" t="s">
        <v>480</v>
      </c>
      <c r="G14" s="46">
        <v>27</v>
      </c>
      <c r="H14" s="259"/>
      <c r="I14" s="45">
        <v>3.12</v>
      </c>
      <c r="J14" s="46" t="s">
        <v>15</v>
      </c>
      <c r="K14" s="46">
        <v>244.5</v>
      </c>
    </row>
    <row r="15" spans="1:11" x14ac:dyDescent="0.3">
      <c r="A15" s="45">
        <v>1.68</v>
      </c>
      <c r="B15" s="46" t="s">
        <v>481</v>
      </c>
      <c r="C15" s="46">
        <v>54.6</v>
      </c>
      <c r="D15" s="259"/>
      <c r="E15" s="43">
        <v>2.15</v>
      </c>
      <c r="F15" s="44" t="s">
        <v>480</v>
      </c>
      <c r="G15" s="44">
        <v>28</v>
      </c>
      <c r="H15" s="259"/>
      <c r="I15" s="43">
        <v>3.13</v>
      </c>
      <c r="J15" s="44" t="s">
        <v>480</v>
      </c>
      <c r="K15" s="44">
        <v>13.3</v>
      </c>
    </row>
    <row r="16" spans="1:11" x14ac:dyDescent="0.3">
      <c r="A16" s="43">
        <v>1.69</v>
      </c>
      <c r="B16" s="44" t="s">
        <v>481</v>
      </c>
      <c r="C16" s="44">
        <v>18.5</v>
      </c>
      <c r="D16" s="259"/>
      <c r="E16" s="45">
        <v>2.19</v>
      </c>
      <c r="F16" s="46" t="s">
        <v>482</v>
      </c>
      <c r="G16" s="46">
        <v>359.3</v>
      </c>
      <c r="H16" s="259"/>
      <c r="I16" s="45">
        <v>3.18</v>
      </c>
      <c r="J16" s="46" t="s">
        <v>480</v>
      </c>
      <c r="K16" s="46">
        <v>107.2</v>
      </c>
    </row>
    <row r="17" spans="1:11" x14ac:dyDescent="0.3">
      <c r="A17" s="45">
        <v>1.73</v>
      </c>
      <c r="B17" s="46" t="s">
        <v>481</v>
      </c>
      <c r="C17" s="46">
        <v>51.2</v>
      </c>
      <c r="D17" s="259"/>
      <c r="E17" s="43">
        <v>2.21</v>
      </c>
      <c r="F17" s="44" t="s">
        <v>480</v>
      </c>
      <c r="G17" s="44">
        <v>14</v>
      </c>
      <c r="H17" s="259"/>
      <c r="I17" s="43">
        <v>3.19</v>
      </c>
      <c r="J17" s="44" t="s">
        <v>480</v>
      </c>
      <c r="K17" s="44">
        <v>113.7</v>
      </c>
    </row>
    <row r="18" spans="1:11" x14ac:dyDescent="0.3">
      <c r="A18" s="43">
        <v>1.74</v>
      </c>
      <c r="B18" s="44" t="s">
        <v>481</v>
      </c>
      <c r="C18" s="44">
        <v>55.3</v>
      </c>
      <c r="D18" s="259"/>
      <c r="E18" s="45">
        <v>2.27</v>
      </c>
      <c r="F18" s="46" t="s">
        <v>480</v>
      </c>
      <c r="G18" s="46">
        <v>19.100000000000001</v>
      </c>
      <c r="H18" s="259"/>
      <c r="I18" s="45">
        <v>3.23</v>
      </c>
      <c r="J18" s="46" t="s">
        <v>481</v>
      </c>
      <c r="K18" s="46">
        <v>21.6</v>
      </c>
    </row>
    <row r="19" spans="1:11" x14ac:dyDescent="0.3">
      <c r="A19" s="45">
        <v>1.77</v>
      </c>
      <c r="B19" s="46" t="s">
        <v>481</v>
      </c>
      <c r="C19" s="46">
        <v>41.2</v>
      </c>
      <c r="D19" s="259"/>
      <c r="E19" s="43">
        <v>2.2799999999999998</v>
      </c>
      <c r="F19" s="44" t="s">
        <v>480</v>
      </c>
      <c r="G19" s="44">
        <v>192.9</v>
      </c>
      <c r="H19" s="259"/>
      <c r="I19" s="43">
        <v>3.25</v>
      </c>
      <c r="J19" s="44" t="s">
        <v>481</v>
      </c>
      <c r="K19" s="44">
        <v>52.1</v>
      </c>
    </row>
    <row r="20" spans="1:11" x14ac:dyDescent="0.3">
      <c r="A20" s="43">
        <v>1.78</v>
      </c>
      <c r="B20" s="44" t="s">
        <v>481</v>
      </c>
      <c r="C20" s="44">
        <v>59.3</v>
      </c>
      <c r="D20" s="259"/>
      <c r="E20" s="45">
        <v>2.2999999999999998</v>
      </c>
      <c r="F20" s="46" t="s">
        <v>480</v>
      </c>
      <c r="G20" s="46">
        <v>115.5</v>
      </c>
      <c r="H20" s="259"/>
      <c r="I20" s="45">
        <v>3.26</v>
      </c>
      <c r="J20" s="46" t="s">
        <v>481</v>
      </c>
      <c r="K20" s="46">
        <v>57</v>
      </c>
    </row>
    <row r="21" spans="1:11" x14ac:dyDescent="0.3">
      <c r="B21" s="50" t="s">
        <v>474</v>
      </c>
      <c r="C21" s="42">
        <f>SUM(C6:C20)</f>
        <v>734.8</v>
      </c>
      <c r="D21" s="259"/>
      <c r="E21" s="43">
        <v>2.37</v>
      </c>
      <c r="F21" s="44" t="s">
        <v>481</v>
      </c>
      <c r="G21" s="44">
        <v>21.6</v>
      </c>
      <c r="H21" s="259"/>
      <c r="I21" s="43">
        <v>3.28</v>
      </c>
      <c r="J21" s="44" t="s">
        <v>481</v>
      </c>
      <c r="K21" s="44">
        <v>21.6</v>
      </c>
    </row>
    <row r="22" spans="1:11" x14ac:dyDescent="0.3">
      <c r="A22" s="259"/>
      <c r="B22" s="259"/>
      <c r="C22" s="259"/>
      <c r="D22" s="259"/>
      <c r="E22" s="45">
        <v>2.4</v>
      </c>
      <c r="F22" s="46" t="s">
        <v>481</v>
      </c>
      <c r="G22" s="46">
        <v>51.3</v>
      </c>
      <c r="H22" s="259"/>
      <c r="I22" s="45">
        <v>3.29</v>
      </c>
      <c r="J22" s="46" t="s">
        <v>481</v>
      </c>
      <c r="K22" s="46">
        <v>51.6</v>
      </c>
    </row>
    <row r="23" spans="1:11" x14ac:dyDescent="0.3">
      <c r="A23" s="259"/>
      <c r="B23" s="259"/>
      <c r="C23" s="259"/>
      <c r="D23" s="259"/>
      <c r="E23" s="43">
        <v>2.41</v>
      </c>
      <c r="F23" s="44" t="s">
        <v>481</v>
      </c>
      <c r="G23" s="44">
        <v>56.6</v>
      </c>
      <c r="H23" s="259"/>
      <c r="I23" s="43">
        <v>3.3</v>
      </c>
      <c r="J23" s="44" t="s">
        <v>481</v>
      </c>
      <c r="K23" s="44">
        <v>56.3</v>
      </c>
    </row>
    <row r="24" spans="1:11" x14ac:dyDescent="0.3">
      <c r="A24" s="259"/>
      <c r="B24" s="259"/>
      <c r="C24" s="259"/>
      <c r="D24" s="259"/>
      <c r="E24" s="45">
        <v>2.42</v>
      </c>
      <c r="F24" s="46" t="s">
        <v>481</v>
      </c>
      <c r="G24" s="46">
        <v>21.5</v>
      </c>
      <c r="H24" s="259"/>
      <c r="I24" s="45">
        <v>3.33</v>
      </c>
      <c r="J24" s="46" t="s">
        <v>481</v>
      </c>
      <c r="K24" s="46">
        <v>75.400000000000006</v>
      </c>
    </row>
    <row r="25" spans="1:11" x14ac:dyDescent="0.3">
      <c r="A25" s="259"/>
      <c r="B25" s="259"/>
      <c r="C25" s="259"/>
      <c r="D25" s="259"/>
      <c r="E25" s="43">
        <v>2.44</v>
      </c>
      <c r="F25" s="44" t="s">
        <v>481</v>
      </c>
      <c r="G25" s="44">
        <v>51.3</v>
      </c>
      <c r="H25" s="259"/>
      <c r="I25" s="43">
        <v>3.34</v>
      </c>
      <c r="J25" s="44" t="s">
        <v>481</v>
      </c>
      <c r="K25" s="44">
        <v>6.9</v>
      </c>
    </row>
    <row r="26" spans="1:11" x14ac:dyDescent="0.3">
      <c r="A26" s="259"/>
      <c r="B26" s="259"/>
      <c r="C26" s="259"/>
      <c r="D26" s="259"/>
      <c r="E26" s="45">
        <v>2.4500000000000002</v>
      </c>
      <c r="F26" s="46" t="s">
        <v>481</v>
      </c>
      <c r="G26" s="46">
        <v>56.3</v>
      </c>
      <c r="H26" s="259"/>
      <c r="I26" s="45">
        <v>3.35</v>
      </c>
      <c r="J26" s="46" t="s">
        <v>481</v>
      </c>
      <c r="K26" s="46">
        <v>74.900000000000006</v>
      </c>
    </row>
    <row r="27" spans="1:11" x14ac:dyDescent="0.3">
      <c r="A27" s="259"/>
      <c r="B27" s="259"/>
      <c r="C27" s="259"/>
      <c r="D27" s="259"/>
      <c r="E27" s="43">
        <v>2.4700000000000002</v>
      </c>
      <c r="F27" s="44" t="s">
        <v>482</v>
      </c>
      <c r="G27" s="44">
        <v>75.599999999999994</v>
      </c>
      <c r="H27" s="259"/>
      <c r="I27" s="43">
        <v>3.41</v>
      </c>
      <c r="J27" s="44" t="s">
        <v>481</v>
      </c>
      <c r="K27" s="44">
        <v>36.4</v>
      </c>
    </row>
    <row r="28" spans="1:11" x14ac:dyDescent="0.3">
      <c r="A28" s="259"/>
      <c r="B28" s="259"/>
      <c r="C28" s="259"/>
      <c r="D28" s="259"/>
      <c r="E28" s="43">
        <v>2.4900000000000002</v>
      </c>
      <c r="F28" s="44" t="s">
        <v>481</v>
      </c>
      <c r="G28" s="44">
        <v>75.2</v>
      </c>
      <c r="H28" s="259"/>
      <c r="I28" s="45">
        <v>3.42</v>
      </c>
      <c r="J28" s="46" t="s">
        <v>481</v>
      </c>
      <c r="K28" s="46">
        <v>59.7</v>
      </c>
    </row>
    <row r="29" spans="1:11" x14ac:dyDescent="0.3">
      <c r="A29" s="259"/>
      <c r="B29" s="259"/>
      <c r="C29" s="259"/>
      <c r="D29" s="259"/>
      <c r="E29" s="43">
        <v>2.58</v>
      </c>
      <c r="F29" s="44" t="s">
        <v>480</v>
      </c>
      <c r="G29" s="44">
        <v>76.2</v>
      </c>
      <c r="H29" s="259"/>
      <c r="I29" s="43">
        <v>3.44</v>
      </c>
      <c r="J29" s="44" t="s">
        <v>480</v>
      </c>
      <c r="K29" s="44">
        <v>21.4</v>
      </c>
    </row>
    <row r="30" spans="1:11" x14ac:dyDescent="0.3">
      <c r="A30" s="259"/>
      <c r="B30" s="259"/>
      <c r="C30" s="259"/>
      <c r="D30" s="259"/>
      <c r="F30" s="50" t="s">
        <v>474</v>
      </c>
      <c r="G30" s="42">
        <f>SUM(G6:G29)</f>
        <v>1764.9999999999998</v>
      </c>
      <c r="H30" s="259"/>
      <c r="I30" s="47">
        <v>3.45</v>
      </c>
      <c r="J30" s="48" t="s">
        <v>480</v>
      </c>
      <c r="K30" s="48">
        <v>82.7</v>
      </c>
    </row>
    <row r="31" spans="1:11" x14ac:dyDescent="0.3">
      <c r="A31" s="259"/>
      <c r="B31" s="259"/>
      <c r="C31" s="259"/>
      <c r="D31" s="259"/>
      <c r="E31" s="259"/>
      <c r="F31" s="259"/>
      <c r="G31" s="259"/>
      <c r="H31" s="259"/>
      <c r="J31" s="50" t="s">
        <v>474</v>
      </c>
      <c r="K31" s="42">
        <f>SUM(K6:K30)</f>
        <v>1599.7000000000003</v>
      </c>
    </row>
  </sheetData>
  <mergeCells count="11">
    <mergeCell ref="H5:H31"/>
    <mergeCell ref="E31:G31"/>
    <mergeCell ref="D5:D31"/>
    <mergeCell ref="A22:C31"/>
    <mergeCell ref="A4:K4"/>
    <mergeCell ref="A1:I1"/>
    <mergeCell ref="H3:I3"/>
    <mergeCell ref="H2:I2"/>
    <mergeCell ref="J1:K3"/>
    <mergeCell ref="B2:F2"/>
    <mergeCell ref="B3:F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B18" sqref="B18"/>
    </sheetView>
  </sheetViews>
  <sheetFormatPr defaultRowHeight="18" x14ac:dyDescent="0.35"/>
  <cols>
    <col min="1" max="1" width="8.88671875" style="22"/>
    <col min="2" max="2" width="40" style="26" customWidth="1"/>
    <col min="3" max="3" width="12" style="28" customWidth="1"/>
    <col min="4" max="16384" width="8.88671875" style="22"/>
  </cols>
  <sheetData>
    <row r="1" spans="1:3" x14ac:dyDescent="0.35">
      <c r="A1" s="239" t="s">
        <v>395</v>
      </c>
      <c r="B1" s="240"/>
      <c r="C1" s="241"/>
    </row>
    <row r="2" spans="1:3" x14ac:dyDescent="0.35">
      <c r="A2" s="21" t="s">
        <v>389</v>
      </c>
      <c r="B2" s="23" t="s">
        <v>397</v>
      </c>
      <c r="C2" s="27" t="s">
        <v>398</v>
      </c>
    </row>
    <row r="3" spans="1:3" x14ac:dyDescent="0.35">
      <c r="A3" s="21">
        <v>1</v>
      </c>
      <c r="B3" s="24" t="s">
        <v>410</v>
      </c>
      <c r="C3" s="27">
        <v>5.5</v>
      </c>
    </row>
    <row r="4" spans="1:3" ht="36" x14ac:dyDescent="0.35">
      <c r="A4" s="21">
        <v>2</v>
      </c>
      <c r="B4" s="24" t="s">
        <v>42</v>
      </c>
      <c r="C4" s="27">
        <v>6.3</v>
      </c>
    </row>
    <row r="5" spans="1:3" x14ac:dyDescent="0.35">
      <c r="A5" s="21">
        <v>3</v>
      </c>
      <c r="B5" s="24" t="s">
        <v>411</v>
      </c>
      <c r="C5" s="27">
        <v>28.9</v>
      </c>
    </row>
    <row r="6" spans="1:3" x14ac:dyDescent="0.35">
      <c r="A6" s="21">
        <v>4</v>
      </c>
      <c r="B6" s="24" t="s">
        <v>412</v>
      </c>
      <c r="C6" s="27">
        <v>30.6</v>
      </c>
    </row>
    <row r="7" spans="1:3" ht="36" x14ac:dyDescent="0.35">
      <c r="A7" s="21">
        <v>5</v>
      </c>
      <c r="B7" s="24" t="s">
        <v>82</v>
      </c>
      <c r="C7" s="27">
        <v>5.6</v>
      </c>
    </row>
    <row r="8" spans="1:3" ht="16.8" customHeight="1" x14ac:dyDescent="0.35">
      <c r="A8" s="21">
        <v>6</v>
      </c>
      <c r="B8" s="24" t="s">
        <v>413</v>
      </c>
      <c r="C8" s="27">
        <v>5</v>
      </c>
    </row>
    <row r="9" spans="1:3" ht="36" x14ac:dyDescent="0.35">
      <c r="A9" s="21">
        <v>7</v>
      </c>
      <c r="B9" s="24" t="s">
        <v>414</v>
      </c>
      <c r="C9" s="27">
        <v>9</v>
      </c>
    </row>
    <row r="10" spans="1:3" x14ac:dyDescent="0.35">
      <c r="A10" s="21">
        <v>8</v>
      </c>
      <c r="B10" s="24" t="s">
        <v>415</v>
      </c>
      <c r="C10" s="27">
        <v>7.6</v>
      </c>
    </row>
    <row r="11" spans="1:3" x14ac:dyDescent="0.35">
      <c r="A11" s="21">
        <v>9</v>
      </c>
      <c r="B11" s="24" t="s">
        <v>416</v>
      </c>
      <c r="C11" s="27">
        <v>6.5</v>
      </c>
    </row>
    <row r="12" spans="1:3" x14ac:dyDescent="0.35">
      <c r="A12" s="21">
        <v>10</v>
      </c>
      <c r="B12" s="24" t="s">
        <v>417</v>
      </c>
      <c r="C12" s="27">
        <v>30.6</v>
      </c>
    </row>
    <row r="13" spans="1:3" x14ac:dyDescent="0.35">
      <c r="A13" s="21">
        <v>11</v>
      </c>
      <c r="B13" s="24" t="s">
        <v>418</v>
      </c>
      <c r="C13" s="27">
        <v>6.5</v>
      </c>
    </row>
    <row r="14" spans="1:3" x14ac:dyDescent="0.35">
      <c r="A14" s="21">
        <v>12</v>
      </c>
      <c r="B14" s="24" t="s">
        <v>419</v>
      </c>
      <c r="C14" s="27">
        <v>30.6</v>
      </c>
    </row>
    <row r="15" spans="1:3" ht="36" x14ac:dyDescent="0.35">
      <c r="A15" s="21">
        <v>13</v>
      </c>
      <c r="B15" s="24" t="s">
        <v>420</v>
      </c>
      <c r="C15" s="27">
        <v>5</v>
      </c>
    </row>
    <row r="16" spans="1:3" x14ac:dyDescent="0.35">
      <c r="A16" s="21">
        <v>14</v>
      </c>
      <c r="B16" s="24" t="s">
        <v>114</v>
      </c>
      <c r="C16" s="27">
        <v>6</v>
      </c>
    </row>
    <row r="17" spans="1:3" ht="36" x14ac:dyDescent="0.35">
      <c r="A17" s="21">
        <v>15</v>
      </c>
      <c r="B17" s="24" t="s">
        <v>116</v>
      </c>
      <c r="C17" s="27">
        <v>5.8</v>
      </c>
    </row>
    <row r="18" spans="1:3" x14ac:dyDescent="0.35">
      <c r="A18" s="21">
        <v>16</v>
      </c>
      <c r="B18" s="24" t="s">
        <v>421</v>
      </c>
      <c r="C18" s="27">
        <v>6.7</v>
      </c>
    </row>
    <row r="19" spans="1:3" x14ac:dyDescent="0.35">
      <c r="A19" s="21">
        <v>17</v>
      </c>
      <c r="B19" s="24" t="s">
        <v>422</v>
      </c>
      <c r="C19" s="27">
        <v>6.7</v>
      </c>
    </row>
    <row r="20" spans="1:3" x14ac:dyDescent="0.35">
      <c r="A20" s="21">
        <v>18</v>
      </c>
      <c r="B20" s="24" t="s">
        <v>423</v>
      </c>
      <c r="C20" s="27">
        <v>30.6</v>
      </c>
    </row>
    <row r="21" spans="1:3" ht="36" x14ac:dyDescent="0.35">
      <c r="A21" s="21">
        <v>19</v>
      </c>
      <c r="B21" s="24" t="s">
        <v>155</v>
      </c>
      <c r="C21" s="27">
        <v>5.74</v>
      </c>
    </row>
    <row r="22" spans="1:3" x14ac:dyDescent="0.35">
      <c r="A22" s="21">
        <v>20</v>
      </c>
      <c r="B22" s="24" t="s">
        <v>156</v>
      </c>
      <c r="C22" s="27">
        <v>5.8</v>
      </c>
    </row>
    <row r="23" spans="1:3" ht="36" x14ac:dyDescent="0.35">
      <c r="A23" s="21">
        <v>21</v>
      </c>
      <c r="B23" s="24" t="s">
        <v>424</v>
      </c>
      <c r="C23" s="27">
        <v>5.74</v>
      </c>
    </row>
    <row r="24" spans="1:3" ht="36" x14ac:dyDescent="0.35">
      <c r="A24" s="21">
        <v>22</v>
      </c>
      <c r="B24" s="24" t="s">
        <v>425</v>
      </c>
      <c r="C24" s="27">
        <v>6.2</v>
      </c>
    </row>
    <row r="25" spans="1:3" x14ac:dyDescent="0.35">
      <c r="A25" s="21"/>
      <c r="B25" s="25" t="s">
        <v>399</v>
      </c>
      <c r="C25" s="27">
        <f>SUM(C3:C24)</f>
        <v>256.98</v>
      </c>
    </row>
  </sheetData>
  <mergeCells count="1">
    <mergeCell ref="A1:C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27"/>
  <sheetViews>
    <sheetView zoomScale="85" zoomScaleNormal="85" workbookViewId="0">
      <selection activeCell="A6" sqref="A6"/>
    </sheetView>
  </sheetViews>
  <sheetFormatPr defaultRowHeight="18" x14ac:dyDescent="0.3"/>
  <cols>
    <col min="1" max="1" width="7.21875" style="92" customWidth="1"/>
    <col min="2" max="2" width="7.88671875" style="92" customWidth="1"/>
    <col min="3" max="3" width="14.109375" style="92" customWidth="1"/>
    <col min="4" max="4" width="4.109375" style="92" customWidth="1"/>
    <col min="5" max="5" width="7.109375" style="92" customWidth="1"/>
    <col min="6" max="6" width="15.44140625" style="92" customWidth="1"/>
    <col min="7" max="7" width="13.6640625" style="92" customWidth="1"/>
    <col min="8" max="8" width="7.44140625" style="92" customWidth="1"/>
    <col min="9" max="9" width="11.88671875" style="92" customWidth="1"/>
    <col min="10" max="16384" width="8.88671875" style="92"/>
  </cols>
  <sheetData>
    <row r="1" spans="1:9" ht="15" customHeight="1" x14ac:dyDescent="0.3">
      <c r="A1" s="187" t="s">
        <v>692</v>
      </c>
      <c r="B1" s="187"/>
      <c r="C1" s="187"/>
      <c r="D1" s="187"/>
      <c r="E1" s="187"/>
      <c r="F1" s="187"/>
      <c r="G1" s="187"/>
      <c r="H1" s="187"/>
      <c r="I1" s="187"/>
    </row>
    <row r="2" spans="1:9" ht="15" customHeight="1" x14ac:dyDescent="0.3">
      <c r="A2" s="12" t="s">
        <v>389</v>
      </c>
      <c r="B2" s="217" t="s">
        <v>390</v>
      </c>
      <c r="C2" s="217"/>
      <c r="D2" s="217"/>
      <c r="E2" s="217"/>
      <c r="F2" s="210" t="s">
        <v>391</v>
      </c>
      <c r="G2" s="221"/>
      <c r="H2" s="16" t="s">
        <v>392</v>
      </c>
      <c r="I2" s="14" t="s">
        <v>393</v>
      </c>
    </row>
    <row r="3" spans="1:9" ht="34.200000000000003" customHeight="1" x14ac:dyDescent="0.3">
      <c r="A3" s="75">
        <v>1</v>
      </c>
      <c r="B3" s="215" t="s">
        <v>676</v>
      </c>
      <c r="C3" s="215"/>
      <c r="D3" s="215"/>
      <c r="E3" s="215"/>
      <c r="F3" s="222" t="s">
        <v>677</v>
      </c>
      <c r="G3" s="223"/>
      <c r="H3" s="75" t="s">
        <v>394</v>
      </c>
      <c r="I3" s="116">
        <f>G20+C27</f>
        <v>2201.1705000000002</v>
      </c>
    </row>
    <row r="4" spans="1:9" ht="34.200000000000003" customHeight="1" x14ac:dyDescent="0.3">
      <c r="A4" s="75">
        <v>2</v>
      </c>
      <c r="B4" s="215" t="s">
        <v>676</v>
      </c>
      <c r="C4" s="215"/>
      <c r="D4" s="215"/>
      <c r="E4" s="215"/>
      <c r="F4" s="222" t="s">
        <v>678</v>
      </c>
      <c r="G4" s="223"/>
      <c r="H4" s="75" t="s">
        <v>394</v>
      </c>
      <c r="I4" s="116">
        <f>G27</f>
        <v>244.7</v>
      </c>
    </row>
    <row r="5" spans="1:9" ht="20.399999999999999" customHeight="1" x14ac:dyDescent="0.3">
      <c r="A5" s="198"/>
      <c r="B5" s="198"/>
      <c r="C5" s="198"/>
      <c r="D5" s="198"/>
      <c r="E5" s="198"/>
      <c r="F5" s="198"/>
      <c r="G5" s="198"/>
      <c r="H5" s="198"/>
      <c r="I5" s="198"/>
    </row>
    <row r="6" spans="1:9" x14ac:dyDescent="0.3">
      <c r="A6" s="87" t="s">
        <v>593</v>
      </c>
      <c r="B6" s="103" t="s">
        <v>441</v>
      </c>
      <c r="C6" s="103" t="s">
        <v>673</v>
      </c>
      <c r="D6" s="245"/>
      <c r="E6" s="87" t="s">
        <v>593</v>
      </c>
      <c r="F6" s="87" t="s">
        <v>441</v>
      </c>
      <c r="G6" s="87" t="s">
        <v>591</v>
      </c>
      <c r="H6" s="199"/>
      <c r="I6" s="199"/>
    </row>
    <row r="7" spans="1:9" x14ac:dyDescent="0.3">
      <c r="A7" s="104" t="s">
        <v>554</v>
      </c>
      <c r="B7" s="105" t="s">
        <v>480</v>
      </c>
      <c r="C7" s="117">
        <v>21.89</v>
      </c>
      <c r="D7" s="245"/>
      <c r="E7" s="106" t="s">
        <v>461</v>
      </c>
      <c r="F7" s="107" t="s">
        <v>480</v>
      </c>
      <c r="G7" s="118">
        <v>62.485999999999997</v>
      </c>
      <c r="H7" s="199"/>
      <c r="I7" s="199"/>
    </row>
    <row r="8" spans="1:9" x14ac:dyDescent="0.3">
      <c r="A8" s="106" t="s">
        <v>555</v>
      </c>
      <c r="B8" s="107" t="s">
        <v>480</v>
      </c>
      <c r="C8" s="118">
        <v>62.685000000000002</v>
      </c>
      <c r="D8" s="245"/>
      <c r="E8" s="104" t="s">
        <v>462</v>
      </c>
      <c r="F8" s="105" t="s">
        <v>480</v>
      </c>
      <c r="G8" s="117">
        <v>88.654499999999999</v>
      </c>
      <c r="H8" s="199"/>
      <c r="I8" s="199"/>
    </row>
    <row r="9" spans="1:9" x14ac:dyDescent="0.3">
      <c r="A9" s="104" t="s">
        <v>556</v>
      </c>
      <c r="B9" s="105" t="s">
        <v>480</v>
      </c>
      <c r="C9" s="117">
        <v>63.978499999999997</v>
      </c>
      <c r="D9" s="245"/>
      <c r="E9" s="106" t="s">
        <v>463</v>
      </c>
      <c r="F9" s="107" t="s">
        <v>480</v>
      </c>
      <c r="G9" s="118">
        <v>29.551500000000001</v>
      </c>
      <c r="H9" s="199"/>
      <c r="I9" s="199"/>
    </row>
    <row r="10" spans="1:9" x14ac:dyDescent="0.3">
      <c r="A10" s="106" t="s">
        <v>557</v>
      </c>
      <c r="B10" s="107" t="s">
        <v>480</v>
      </c>
      <c r="C10" s="118">
        <v>64.078000000000003</v>
      </c>
      <c r="D10" s="245"/>
      <c r="E10" s="104" t="s">
        <v>464</v>
      </c>
      <c r="F10" s="105" t="s">
        <v>480</v>
      </c>
      <c r="G10" s="117">
        <v>64.475999999999999</v>
      </c>
      <c r="H10" s="199"/>
      <c r="I10" s="199"/>
    </row>
    <row r="11" spans="1:9" x14ac:dyDescent="0.3">
      <c r="A11" s="104" t="s">
        <v>558</v>
      </c>
      <c r="B11" s="105" t="s">
        <v>480</v>
      </c>
      <c r="C11" s="117">
        <v>130.9</v>
      </c>
      <c r="D11" s="245"/>
      <c r="E11" s="106" t="s">
        <v>465</v>
      </c>
      <c r="F11" s="107" t="s">
        <v>480</v>
      </c>
      <c r="G11" s="118">
        <v>63.480999999999995</v>
      </c>
      <c r="H11" s="199"/>
      <c r="I11" s="199"/>
    </row>
    <row r="12" spans="1:9" x14ac:dyDescent="0.3">
      <c r="A12" s="104" t="s">
        <v>588</v>
      </c>
      <c r="B12" s="105" t="s">
        <v>480</v>
      </c>
      <c r="C12" s="117">
        <v>63.381500000000003</v>
      </c>
      <c r="D12" s="245"/>
      <c r="E12" s="104" t="s">
        <v>589</v>
      </c>
      <c r="F12" s="105" t="s">
        <v>480</v>
      </c>
      <c r="G12" s="117">
        <v>65.172499999999999</v>
      </c>
      <c r="H12" s="199"/>
      <c r="I12" s="199"/>
    </row>
    <row r="13" spans="1:9" x14ac:dyDescent="0.3">
      <c r="A13" s="106" t="s">
        <v>445</v>
      </c>
      <c r="B13" s="107" t="s">
        <v>480</v>
      </c>
      <c r="C13" s="118">
        <v>89.749000000000009</v>
      </c>
      <c r="D13" s="245"/>
      <c r="E13" s="106" t="s">
        <v>590</v>
      </c>
      <c r="F13" s="107" t="s">
        <v>480</v>
      </c>
      <c r="G13" s="118">
        <v>63.381500000000003</v>
      </c>
      <c r="H13" s="199"/>
      <c r="I13" s="199"/>
    </row>
    <row r="14" spans="1:9" x14ac:dyDescent="0.3">
      <c r="A14" s="104" t="s">
        <v>446</v>
      </c>
      <c r="B14" s="105" t="s">
        <v>480</v>
      </c>
      <c r="C14" s="117">
        <v>39.899500000000003</v>
      </c>
      <c r="D14" s="245"/>
      <c r="E14" s="104" t="s">
        <v>466</v>
      </c>
      <c r="F14" s="105" t="s">
        <v>480</v>
      </c>
      <c r="G14" s="117">
        <v>64.3</v>
      </c>
      <c r="H14" s="199"/>
      <c r="I14" s="199"/>
    </row>
    <row r="15" spans="1:9" x14ac:dyDescent="0.3">
      <c r="A15" s="106" t="s">
        <v>447</v>
      </c>
      <c r="B15" s="107" t="s">
        <v>480</v>
      </c>
      <c r="C15" s="118">
        <v>63.68</v>
      </c>
      <c r="D15" s="245"/>
      <c r="E15" s="104" t="s">
        <v>583</v>
      </c>
      <c r="F15" s="105" t="s">
        <v>480</v>
      </c>
      <c r="G15" s="117">
        <v>13.233500000000001</v>
      </c>
      <c r="H15" s="199"/>
      <c r="I15" s="199"/>
    </row>
    <row r="16" spans="1:9" x14ac:dyDescent="0.3">
      <c r="A16" s="104" t="s">
        <v>448</v>
      </c>
      <c r="B16" s="105" t="s">
        <v>480</v>
      </c>
      <c r="C16" s="117">
        <v>65.3</v>
      </c>
      <c r="D16" s="245"/>
      <c r="E16" s="106" t="s">
        <v>584</v>
      </c>
      <c r="F16" s="107" t="s">
        <v>480</v>
      </c>
      <c r="G16" s="118">
        <v>113.92749999999999</v>
      </c>
      <c r="H16" s="199"/>
      <c r="I16" s="199"/>
    </row>
    <row r="17" spans="1:9" x14ac:dyDescent="0.3">
      <c r="A17" s="106" t="s">
        <v>449</v>
      </c>
      <c r="B17" s="107" t="s">
        <v>480</v>
      </c>
      <c r="C17" s="118">
        <v>63.779499999999992</v>
      </c>
      <c r="D17" s="245"/>
      <c r="E17" s="104" t="s">
        <v>585</v>
      </c>
      <c r="F17" s="105" t="s">
        <v>480</v>
      </c>
      <c r="G17" s="117">
        <v>112.53449999999999</v>
      </c>
      <c r="H17" s="199"/>
      <c r="I17" s="199"/>
    </row>
    <row r="18" spans="1:9" x14ac:dyDescent="0.3">
      <c r="A18" s="104" t="s">
        <v>450</v>
      </c>
      <c r="B18" s="105" t="s">
        <v>480</v>
      </c>
      <c r="C18" s="117">
        <v>64.2</v>
      </c>
      <c r="D18" s="245"/>
      <c r="E18" s="106" t="s">
        <v>586</v>
      </c>
      <c r="F18" s="107" t="s">
        <v>480</v>
      </c>
      <c r="G18" s="118">
        <v>21.690999999999999</v>
      </c>
      <c r="H18" s="199"/>
      <c r="I18" s="199"/>
    </row>
    <row r="19" spans="1:9" x14ac:dyDescent="0.3">
      <c r="A19" s="106" t="s">
        <v>574</v>
      </c>
      <c r="B19" s="107" t="s">
        <v>480</v>
      </c>
      <c r="C19" s="118">
        <v>79.301500000000004</v>
      </c>
      <c r="D19" s="245"/>
      <c r="E19" s="110" t="s">
        <v>587</v>
      </c>
      <c r="F19" s="111" t="s">
        <v>480</v>
      </c>
      <c r="G19" s="119">
        <v>87.0625</v>
      </c>
      <c r="H19" s="199"/>
      <c r="I19" s="199"/>
    </row>
    <row r="20" spans="1:9" x14ac:dyDescent="0.3">
      <c r="A20" s="104" t="s">
        <v>575</v>
      </c>
      <c r="B20" s="105" t="s">
        <v>480</v>
      </c>
      <c r="C20" s="117">
        <v>26.864999999999998</v>
      </c>
      <c r="D20" s="245"/>
      <c r="F20" s="105" t="s">
        <v>474</v>
      </c>
      <c r="G20" s="117">
        <f>SUM(G7:G19)</f>
        <v>849.95200000000011</v>
      </c>
      <c r="H20" s="199"/>
      <c r="I20" s="199"/>
    </row>
    <row r="21" spans="1:9" x14ac:dyDescent="0.3">
      <c r="A21" s="106" t="s">
        <v>576</v>
      </c>
      <c r="B21" s="107" t="s">
        <v>480</v>
      </c>
      <c r="C21" s="118">
        <v>27.86</v>
      </c>
      <c r="D21" s="245"/>
      <c r="E21" s="199"/>
      <c r="F21" s="199"/>
      <c r="G21" s="199"/>
      <c r="H21" s="199"/>
      <c r="I21" s="199"/>
    </row>
    <row r="22" spans="1:9" x14ac:dyDescent="0.3">
      <c r="A22" s="104" t="s">
        <v>577</v>
      </c>
      <c r="B22" s="105" t="s">
        <v>480</v>
      </c>
      <c r="C22" s="117">
        <v>13.93</v>
      </c>
      <c r="D22" s="245"/>
      <c r="E22" s="199"/>
      <c r="F22" s="199"/>
      <c r="G22" s="199"/>
      <c r="H22" s="199"/>
      <c r="I22" s="199"/>
    </row>
    <row r="23" spans="1:9" x14ac:dyDescent="0.3">
      <c r="A23" s="106" t="s">
        <v>578</v>
      </c>
      <c r="B23" s="107" t="s">
        <v>480</v>
      </c>
      <c r="C23" s="118">
        <v>19.0045</v>
      </c>
      <c r="D23" s="245"/>
      <c r="E23" s="199"/>
      <c r="F23" s="199"/>
      <c r="G23" s="199"/>
      <c r="H23" s="199"/>
      <c r="I23" s="199"/>
    </row>
    <row r="24" spans="1:9" x14ac:dyDescent="0.3">
      <c r="A24" s="104" t="s">
        <v>579</v>
      </c>
      <c r="B24" s="105" t="s">
        <v>480</v>
      </c>
      <c r="C24" s="117">
        <v>200.09449999999998</v>
      </c>
      <c r="D24" s="245"/>
      <c r="E24" s="199"/>
      <c r="F24" s="199"/>
      <c r="G24" s="199"/>
      <c r="H24" s="199"/>
      <c r="I24" s="199"/>
    </row>
    <row r="25" spans="1:9" x14ac:dyDescent="0.3">
      <c r="A25" s="106" t="s">
        <v>580</v>
      </c>
      <c r="B25" s="107" t="s">
        <v>480</v>
      </c>
      <c r="C25" s="118">
        <v>114.82300000000001</v>
      </c>
      <c r="D25" s="245"/>
      <c r="E25" s="262"/>
      <c r="F25" s="262"/>
      <c r="G25" s="262"/>
      <c r="H25" s="199"/>
      <c r="I25" s="199"/>
    </row>
    <row r="26" spans="1:9" x14ac:dyDescent="0.3">
      <c r="A26" s="104" t="s">
        <v>581</v>
      </c>
      <c r="B26" s="105" t="s">
        <v>480</v>
      </c>
      <c r="C26" s="117">
        <v>75.819000000000003</v>
      </c>
      <c r="D26" s="245"/>
      <c r="E26" s="87" t="s">
        <v>593</v>
      </c>
      <c r="F26" s="87" t="s">
        <v>441</v>
      </c>
      <c r="G26" s="87" t="s">
        <v>591</v>
      </c>
      <c r="H26" s="199"/>
      <c r="I26" s="199"/>
    </row>
    <row r="27" spans="1:9" x14ac:dyDescent="0.3">
      <c r="B27" s="105" t="s">
        <v>474</v>
      </c>
      <c r="C27" s="117">
        <f>SUM(C7:C26)</f>
        <v>1351.2184999999999</v>
      </c>
      <c r="D27" s="245"/>
      <c r="E27" s="89" t="s">
        <v>582</v>
      </c>
      <c r="F27" s="121" t="s">
        <v>15</v>
      </c>
      <c r="G27" s="115">
        <v>244.7</v>
      </c>
      <c r="H27" s="199"/>
      <c r="I27" s="199"/>
    </row>
  </sheetData>
  <mergeCells count="11">
    <mergeCell ref="D6:D27"/>
    <mergeCell ref="H6:I27"/>
    <mergeCell ref="E21:G25"/>
    <mergeCell ref="A1:I1"/>
    <mergeCell ref="B2:E2"/>
    <mergeCell ref="F2:G2"/>
    <mergeCell ref="B3:E3"/>
    <mergeCell ref="F3:G3"/>
    <mergeCell ref="A5:I5"/>
    <mergeCell ref="B4:E4"/>
    <mergeCell ref="F4:G4"/>
  </mergeCells>
  <pageMargins left="0.7" right="0.7" top="0.75" bottom="0.75" header="0.3" footer="0.3"/>
  <pageSetup paperSize="9" orientation="portrait" horizontalDpi="0" verticalDpi="0" r:id="rId1"/>
  <ignoredErrors>
    <ignoredError sqref="A7:G27 B6:G6" twoDigitTextYear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K17"/>
  <sheetViews>
    <sheetView zoomScale="85" zoomScaleNormal="85" workbookViewId="0">
      <selection activeCell="E17" sqref="E17:G17"/>
    </sheetView>
  </sheetViews>
  <sheetFormatPr defaultRowHeight="15.6" x14ac:dyDescent="0.3"/>
  <cols>
    <col min="1" max="1" width="7.21875" style="42" customWidth="1"/>
    <col min="2" max="2" width="7.88671875" style="42" customWidth="1"/>
    <col min="3" max="3" width="11.44140625" style="42" customWidth="1"/>
    <col min="4" max="4" width="2.44140625" style="42" customWidth="1"/>
    <col min="5" max="5" width="7.109375" style="42" customWidth="1"/>
    <col min="6" max="6" width="7.6640625" style="42" customWidth="1"/>
    <col min="7" max="7" width="11.5546875" style="42" customWidth="1"/>
    <col min="8" max="8" width="3.109375" style="42" customWidth="1"/>
    <col min="9" max="9" width="7.88671875" style="42" customWidth="1"/>
    <col min="10" max="10" width="7.44140625" style="42" customWidth="1"/>
    <col min="11" max="11" width="13.88671875" style="42" customWidth="1"/>
    <col min="12" max="16384" width="8.88671875" style="42"/>
  </cols>
  <sheetData>
    <row r="1" spans="1:11" ht="15" customHeight="1" x14ac:dyDescent="0.3">
      <c r="A1" s="265" t="s">
        <v>692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</row>
    <row r="2" spans="1:11" ht="15" customHeight="1" x14ac:dyDescent="0.3">
      <c r="A2" s="40" t="s">
        <v>389</v>
      </c>
      <c r="B2" s="260" t="s">
        <v>390</v>
      </c>
      <c r="C2" s="260"/>
      <c r="D2" s="260"/>
      <c r="E2" s="260"/>
      <c r="F2" s="260"/>
      <c r="G2" s="267" t="s">
        <v>391</v>
      </c>
      <c r="H2" s="268"/>
      <c r="I2" s="269"/>
      <c r="J2" s="41" t="s">
        <v>392</v>
      </c>
      <c r="K2" s="85" t="s">
        <v>393</v>
      </c>
    </row>
    <row r="3" spans="1:11" ht="37.799999999999997" customHeight="1" x14ac:dyDescent="0.3">
      <c r="A3" s="83">
        <v>1</v>
      </c>
      <c r="B3" s="261" t="s">
        <v>679</v>
      </c>
      <c r="C3" s="261"/>
      <c r="D3" s="261"/>
      <c r="E3" s="261"/>
      <c r="F3" s="261"/>
      <c r="G3" s="270" t="s">
        <v>488</v>
      </c>
      <c r="H3" s="271"/>
      <c r="I3" s="272"/>
      <c r="J3" s="83" t="s">
        <v>394</v>
      </c>
      <c r="K3" s="84">
        <f>C16+G16+K17</f>
        <v>1345.18</v>
      </c>
    </row>
    <row r="4" spans="1:11" ht="15" customHeight="1" x14ac:dyDescent="0.3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</row>
    <row r="5" spans="1:11" ht="32.4" customHeight="1" x14ac:dyDescent="0.3">
      <c r="A5" s="59" t="s">
        <v>478</v>
      </c>
      <c r="B5" s="59" t="s">
        <v>1</v>
      </c>
      <c r="C5" s="59" t="s">
        <v>477</v>
      </c>
      <c r="D5" s="259"/>
      <c r="E5" s="59" t="s">
        <v>478</v>
      </c>
      <c r="F5" s="59" t="s">
        <v>1</v>
      </c>
      <c r="G5" s="59" t="s">
        <v>477</v>
      </c>
      <c r="H5" s="263"/>
      <c r="I5" s="59" t="s">
        <v>478</v>
      </c>
      <c r="J5" s="59" t="s">
        <v>1</v>
      </c>
      <c r="K5" s="59" t="s">
        <v>477</v>
      </c>
    </row>
    <row r="6" spans="1:11" x14ac:dyDescent="0.3">
      <c r="A6" s="60">
        <v>1.19</v>
      </c>
      <c r="B6" s="61" t="s">
        <v>481</v>
      </c>
      <c r="C6" s="61">
        <v>20.7</v>
      </c>
      <c r="D6" s="259"/>
      <c r="E6" s="62" t="s">
        <v>451</v>
      </c>
      <c r="F6" s="63" t="s">
        <v>481</v>
      </c>
      <c r="G6" s="122">
        <v>23.4</v>
      </c>
      <c r="H6" s="263"/>
      <c r="I6" s="60">
        <v>3.23</v>
      </c>
      <c r="J6" s="61" t="s">
        <v>481</v>
      </c>
      <c r="K6" s="61">
        <v>21.6</v>
      </c>
    </row>
    <row r="7" spans="1:11" x14ac:dyDescent="0.3">
      <c r="A7" s="62">
        <v>1.61</v>
      </c>
      <c r="B7" s="63" t="s">
        <v>481</v>
      </c>
      <c r="C7" s="63">
        <v>16.8</v>
      </c>
      <c r="D7" s="259"/>
      <c r="E7" s="60" t="s">
        <v>452</v>
      </c>
      <c r="F7" s="61" t="s">
        <v>481</v>
      </c>
      <c r="G7" s="123">
        <v>50.9</v>
      </c>
      <c r="H7" s="263"/>
      <c r="I7" s="62">
        <v>3.25</v>
      </c>
      <c r="J7" s="63" t="s">
        <v>481</v>
      </c>
      <c r="K7" s="63">
        <v>52.1</v>
      </c>
    </row>
    <row r="8" spans="1:11" x14ac:dyDescent="0.3">
      <c r="A8" s="60">
        <v>1.64</v>
      </c>
      <c r="B8" s="61" t="s">
        <v>481</v>
      </c>
      <c r="C8" s="61">
        <v>24</v>
      </c>
      <c r="D8" s="259"/>
      <c r="E8" s="62" t="s">
        <v>453</v>
      </c>
      <c r="F8" s="63" t="s">
        <v>481</v>
      </c>
      <c r="G8" s="122">
        <v>55.8</v>
      </c>
      <c r="H8" s="263"/>
      <c r="I8" s="60">
        <v>3.26</v>
      </c>
      <c r="J8" s="61" t="s">
        <v>481</v>
      </c>
      <c r="K8" s="61">
        <v>57</v>
      </c>
    </row>
    <row r="9" spans="1:11" x14ac:dyDescent="0.3">
      <c r="A9" s="62">
        <v>1.67</v>
      </c>
      <c r="B9" s="63" t="s">
        <v>481</v>
      </c>
      <c r="C9" s="63">
        <v>51.3</v>
      </c>
      <c r="D9" s="259"/>
      <c r="E9" s="60" t="s">
        <v>454</v>
      </c>
      <c r="F9" s="61" t="s">
        <v>481</v>
      </c>
      <c r="G9" s="123">
        <v>23.01</v>
      </c>
      <c r="H9" s="263"/>
      <c r="I9" s="62">
        <v>3.28</v>
      </c>
      <c r="J9" s="63" t="s">
        <v>481</v>
      </c>
      <c r="K9" s="63">
        <v>21.6</v>
      </c>
    </row>
    <row r="10" spans="1:11" x14ac:dyDescent="0.3">
      <c r="A10" s="60">
        <v>1.68</v>
      </c>
      <c r="B10" s="61" t="s">
        <v>481</v>
      </c>
      <c r="C10" s="61">
        <v>54.6</v>
      </c>
      <c r="D10" s="259"/>
      <c r="E10" s="62" t="s">
        <v>455</v>
      </c>
      <c r="F10" s="63" t="s">
        <v>481</v>
      </c>
      <c r="G10" s="122">
        <v>50.45</v>
      </c>
      <c r="H10" s="263"/>
      <c r="I10" s="60">
        <v>3.29</v>
      </c>
      <c r="J10" s="61" t="s">
        <v>481</v>
      </c>
      <c r="K10" s="61">
        <v>51.6</v>
      </c>
    </row>
    <row r="11" spans="1:11" x14ac:dyDescent="0.3">
      <c r="A11" s="62">
        <v>1.69</v>
      </c>
      <c r="B11" s="63" t="s">
        <v>481</v>
      </c>
      <c r="C11" s="63">
        <v>18.5</v>
      </c>
      <c r="D11" s="259"/>
      <c r="E11" s="60" t="s">
        <v>456</v>
      </c>
      <c r="F11" s="61" t="s">
        <v>481</v>
      </c>
      <c r="G11" s="123">
        <v>54.22</v>
      </c>
      <c r="H11" s="263"/>
      <c r="I11" s="62">
        <v>3.3</v>
      </c>
      <c r="J11" s="63" t="s">
        <v>481</v>
      </c>
      <c r="K11" s="63">
        <v>56.3</v>
      </c>
    </row>
    <row r="12" spans="1:11" x14ac:dyDescent="0.3">
      <c r="A12" s="60">
        <v>1.73</v>
      </c>
      <c r="B12" s="61" t="s">
        <v>481</v>
      </c>
      <c r="C12" s="61">
        <v>51.2</v>
      </c>
      <c r="D12" s="259"/>
      <c r="E12" s="62" t="s">
        <v>458</v>
      </c>
      <c r="F12" s="63" t="s">
        <v>481</v>
      </c>
      <c r="G12" s="122">
        <v>73</v>
      </c>
      <c r="H12" s="263"/>
      <c r="I12" s="60">
        <v>3.33</v>
      </c>
      <c r="J12" s="61" t="s">
        <v>481</v>
      </c>
      <c r="K12" s="61">
        <v>75.400000000000006</v>
      </c>
    </row>
    <row r="13" spans="1:11" x14ac:dyDescent="0.3">
      <c r="A13" s="62">
        <v>1.74</v>
      </c>
      <c r="B13" s="63" t="s">
        <v>481</v>
      </c>
      <c r="C13" s="63">
        <v>55.3</v>
      </c>
      <c r="D13" s="259"/>
      <c r="E13" s="60" t="s">
        <v>569</v>
      </c>
      <c r="F13" s="61" t="s">
        <v>481</v>
      </c>
      <c r="G13" s="123">
        <v>6</v>
      </c>
      <c r="H13" s="263"/>
      <c r="I13" s="62">
        <v>3.34</v>
      </c>
      <c r="J13" s="63" t="s">
        <v>481</v>
      </c>
      <c r="K13" s="63">
        <v>6.9</v>
      </c>
    </row>
    <row r="14" spans="1:11" x14ac:dyDescent="0.3">
      <c r="A14" s="60">
        <v>1.77</v>
      </c>
      <c r="B14" s="61" t="s">
        <v>481</v>
      </c>
      <c r="C14" s="61">
        <v>41.2</v>
      </c>
      <c r="D14" s="259"/>
      <c r="E14" s="62" t="s">
        <v>459</v>
      </c>
      <c r="F14" s="63" t="s">
        <v>481</v>
      </c>
      <c r="G14" s="122">
        <v>42.4</v>
      </c>
      <c r="H14" s="263"/>
      <c r="I14" s="60">
        <v>3.35</v>
      </c>
      <c r="J14" s="61" t="s">
        <v>481</v>
      </c>
      <c r="K14" s="61">
        <v>74.900000000000006</v>
      </c>
    </row>
    <row r="15" spans="1:11" x14ac:dyDescent="0.3">
      <c r="A15" s="62">
        <v>1.78</v>
      </c>
      <c r="B15" s="63" t="s">
        <v>481</v>
      </c>
      <c r="C15" s="63">
        <v>59.3</v>
      </c>
      <c r="D15" s="259"/>
      <c r="E15" s="60" t="s">
        <v>460</v>
      </c>
      <c r="F15" s="61" t="s">
        <v>481</v>
      </c>
      <c r="G15" s="123">
        <v>59.6</v>
      </c>
      <c r="H15" s="263"/>
      <c r="I15" s="62">
        <v>3.41</v>
      </c>
      <c r="J15" s="63" t="s">
        <v>481</v>
      </c>
      <c r="K15" s="63">
        <v>36.4</v>
      </c>
    </row>
    <row r="16" spans="1:11" x14ac:dyDescent="0.3">
      <c r="A16" s="64"/>
      <c r="B16" s="65" t="s">
        <v>474</v>
      </c>
      <c r="C16" s="64">
        <f>SUM(C6:C15)</f>
        <v>392.90000000000003</v>
      </c>
      <c r="D16" s="259"/>
      <c r="E16" s="64"/>
      <c r="F16" s="65" t="s">
        <v>474</v>
      </c>
      <c r="G16" s="64">
        <f>SUM(G6:G15)</f>
        <v>438.78</v>
      </c>
      <c r="H16" s="263"/>
      <c r="I16" s="60">
        <v>3.42</v>
      </c>
      <c r="J16" s="61" t="s">
        <v>481</v>
      </c>
      <c r="K16" s="61">
        <v>59.7</v>
      </c>
    </row>
    <row r="17" spans="1:11" x14ac:dyDescent="0.3">
      <c r="A17" s="264"/>
      <c r="B17" s="264"/>
      <c r="C17" s="264"/>
      <c r="D17" s="259"/>
      <c r="E17" s="264"/>
      <c r="F17" s="264"/>
      <c r="G17" s="264"/>
      <c r="H17" s="263"/>
      <c r="I17" s="64"/>
      <c r="J17" s="65" t="s">
        <v>474</v>
      </c>
      <c r="K17" s="64">
        <f>SUM(K6:K16)</f>
        <v>513.5</v>
      </c>
    </row>
  </sheetData>
  <mergeCells count="10">
    <mergeCell ref="A1:K1"/>
    <mergeCell ref="B2:F2"/>
    <mergeCell ref="G2:I2"/>
    <mergeCell ref="B3:F3"/>
    <mergeCell ref="G3:I3"/>
    <mergeCell ref="D5:D17"/>
    <mergeCell ref="H5:H17"/>
    <mergeCell ref="A17:C17"/>
    <mergeCell ref="E17:G17"/>
    <mergeCell ref="A4:K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14" sqref="D14"/>
    </sheetView>
  </sheetViews>
  <sheetFormatPr defaultRowHeight="18" x14ac:dyDescent="0.35"/>
  <cols>
    <col min="1" max="1" width="8.6640625" style="54" customWidth="1"/>
    <col min="2" max="2" width="30.6640625" style="54" customWidth="1"/>
    <col min="3" max="3" width="12.21875" style="54" customWidth="1"/>
    <col min="4" max="4" width="9.5546875" style="54" customWidth="1"/>
    <col min="5" max="5" width="11.6640625" style="54" customWidth="1"/>
    <col min="6" max="6" width="11.44140625" style="54" customWidth="1"/>
    <col min="7" max="16384" width="8.88671875" style="54"/>
  </cols>
  <sheetData>
    <row r="1" spans="1:6" x14ac:dyDescent="0.35">
      <c r="A1" s="187" t="s">
        <v>692</v>
      </c>
      <c r="B1" s="187"/>
      <c r="C1" s="187"/>
      <c r="D1" s="187"/>
      <c r="E1" s="187"/>
      <c r="F1" s="187"/>
    </row>
    <row r="2" spans="1:6" x14ac:dyDescent="0.35">
      <c r="A2" s="12" t="s">
        <v>389</v>
      </c>
      <c r="B2" s="16" t="s">
        <v>390</v>
      </c>
      <c r="C2" s="210" t="s">
        <v>391</v>
      </c>
      <c r="D2" s="211"/>
      <c r="E2" s="16" t="s">
        <v>392</v>
      </c>
      <c r="F2" s="14" t="s">
        <v>393</v>
      </c>
    </row>
    <row r="3" spans="1:6" ht="51" customHeight="1" x14ac:dyDescent="0.35">
      <c r="A3" s="17">
        <v>1</v>
      </c>
      <c r="B3" s="52" t="s">
        <v>487</v>
      </c>
      <c r="C3" s="273" t="s">
        <v>483</v>
      </c>
      <c r="D3" s="274"/>
      <c r="E3" s="53" t="s">
        <v>394</v>
      </c>
      <c r="F3" s="20">
        <f>F6+F7</f>
        <v>431.3</v>
      </c>
    </row>
    <row r="4" spans="1:6" x14ac:dyDescent="0.35">
      <c r="A4" s="277"/>
      <c r="B4" s="277"/>
      <c r="C4" s="277"/>
      <c r="D4" s="277"/>
      <c r="E4" s="277"/>
      <c r="F4" s="277"/>
    </row>
    <row r="5" spans="1:6" x14ac:dyDescent="0.35">
      <c r="A5" s="275"/>
      <c r="B5" s="276"/>
      <c r="C5" s="17" t="s">
        <v>486</v>
      </c>
      <c r="D5" s="17" t="s">
        <v>484</v>
      </c>
      <c r="E5" s="16" t="s">
        <v>392</v>
      </c>
      <c r="F5" s="14" t="s">
        <v>393</v>
      </c>
    </row>
    <row r="6" spans="1:6" x14ac:dyDescent="0.35">
      <c r="A6" s="275"/>
      <c r="B6" s="276"/>
      <c r="C6" s="17">
        <v>1</v>
      </c>
      <c r="D6" s="12" t="s">
        <v>485</v>
      </c>
      <c r="E6" s="17" t="s">
        <v>394</v>
      </c>
      <c r="F6" s="17">
        <v>357.18</v>
      </c>
    </row>
    <row r="7" spans="1:6" x14ac:dyDescent="0.35">
      <c r="A7" s="275"/>
      <c r="B7" s="276"/>
      <c r="C7" s="17">
        <v>2</v>
      </c>
      <c r="D7" s="12" t="s">
        <v>457</v>
      </c>
      <c r="E7" s="17" t="s">
        <v>394</v>
      </c>
      <c r="F7" s="17">
        <v>74.12</v>
      </c>
    </row>
  </sheetData>
  <mergeCells count="5">
    <mergeCell ref="A1:F1"/>
    <mergeCell ref="C2:D2"/>
    <mergeCell ref="C3:D3"/>
    <mergeCell ref="A5:B7"/>
    <mergeCell ref="A4:F4"/>
  </mergeCells>
  <pageMargins left="0.7" right="0.7" top="0.75" bottom="0.75" header="0.3" footer="0.3"/>
  <pageSetup paperSize="9" orientation="portrait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55" zoomScaleNormal="55" workbookViewId="0">
      <selection activeCell="K3" sqref="K3"/>
    </sheetView>
  </sheetViews>
  <sheetFormatPr defaultRowHeight="15.6" x14ac:dyDescent="0.3"/>
  <cols>
    <col min="1" max="1" width="7.21875" style="42" customWidth="1"/>
    <col min="2" max="2" width="7.88671875" style="42" customWidth="1"/>
    <col min="3" max="3" width="9.88671875" style="42" customWidth="1"/>
    <col min="4" max="4" width="4.109375" style="42" customWidth="1"/>
    <col min="5" max="5" width="7.109375" style="42" customWidth="1"/>
    <col min="6" max="6" width="7.6640625" style="42" customWidth="1"/>
    <col min="7" max="7" width="9.88671875" style="42" customWidth="1"/>
    <col min="8" max="8" width="5.33203125" style="42" customWidth="1"/>
    <col min="9" max="9" width="7.88671875" style="42" customWidth="1"/>
    <col min="10" max="10" width="7.44140625" style="42" customWidth="1"/>
    <col min="11" max="11" width="11.88671875" style="42" customWidth="1"/>
    <col min="12" max="16384" width="8.88671875" style="42"/>
  </cols>
  <sheetData>
    <row r="1" spans="1:11" ht="15" customHeight="1" x14ac:dyDescent="0.3">
      <c r="A1" s="265" t="s">
        <v>692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</row>
    <row r="2" spans="1:11" ht="15" customHeight="1" x14ac:dyDescent="0.3">
      <c r="A2" s="40" t="s">
        <v>389</v>
      </c>
      <c r="B2" s="260" t="s">
        <v>390</v>
      </c>
      <c r="C2" s="260"/>
      <c r="D2" s="260"/>
      <c r="E2" s="260"/>
      <c r="F2" s="260"/>
      <c r="G2" s="267" t="s">
        <v>391</v>
      </c>
      <c r="H2" s="268"/>
      <c r="I2" s="269"/>
      <c r="J2" s="41" t="s">
        <v>392</v>
      </c>
      <c r="K2" s="57" t="s">
        <v>393</v>
      </c>
    </row>
    <row r="3" spans="1:11" ht="59.4" customHeight="1" x14ac:dyDescent="0.3">
      <c r="A3" s="51">
        <v>1</v>
      </c>
      <c r="B3" s="261" t="s">
        <v>479</v>
      </c>
      <c r="C3" s="261"/>
      <c r="D3" s="261"/>
      <c r="E3" s="261"/>
      <c r="F3" s="261"/>
      <c r="G3" s="270" t="s">
        <v>488</v>
      </c>
      <c r="H3" s="271"/>
      <c r="I3" s="272"/>
      <c r="J3" s="55" t="s">
        <v>394</v>
      </c>
      <c r="K3" s="56">
        <f>C16+G12+K17</f>
        <v>1165</v>
      </c>
    </row>
    <row r="4" spans="1:11" ht="15" customHeight="1" x14ac:dyDescent="0.3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</row>
    <row r="5" spans="1:11" ht="32.4" customHeight="1" x14ac:dyDescent="0.3">
      <c r="A5" s="59" t="s">
        <v>478</v>
      </c>
      <c r="B5" s="59" t="s">
        <v>1</v>
      </c>
      <c r="C5" s="59" t="s">
        <v>477</v>
      </c>
      <c r="D5" s="259"/>
      <c r="E5" s="59" t="s">
        <v>478</v>
      </c>
      <c r="F5" s="59" t="s">
        <v>1</v>
      </c>
      <c r="G5" s="59" t="s">
        <v>477</v>
      </c>
      <c r="H5" s="263"/>
      <c r="I5" s="59" t="s">
        <v>478</v>
      </c>
      <c r="J5" s="59" t="s">
        <v>1</v>
      </c>
      <c r="K5" s="59" t="s">
        <v>477</v>
      </c>
    </row>
    <row r="6" spans="1:11" x14ac:dyDescent="0.3">
      <c r="A6" s="60">
        <v>1.19</v>
      </c>
      <c r="B6" s="61" t="s">
        <v>481</v>
      </c>
      <c r="C6" s="61">
        <v>20.7</v>
      </c>
      <c r="D6" s="259"/>
      <c r="E6" s="62">
        <v>2.37</v>
      </c>
      <c r="F6" s="63" t="s">
        <v>481</v>
      </c>
      <c r="G6" s="63">
        <v>21.6</v>
      </c>
      <c r="H6" s="263"/>
      <c r="I6" s="60">
        <v>3.23</v>
      </c>
      <c r="J6" s="61" t="s">
        <v>481</v>
      </c>
      <c r="K6" s="61">
        <v>21.6</v>
      </c>
    </row>
    <row r="7" spans="1:11" x14ac:dyDescent="0.3">
      <c r="A7" s="62">
        <v>1.61</v>
      </c>
      <c r="B7" s="63" t="s">
        <v>481</v>
      </c>
      <c r="C7" s="63">
        <v>16.8</v>
      </c>
      <c r="D7" s="259"/>
      <c r="E7" s="60">
        <v>2.4</v>
      </c>
      <c r="F7" s="61" t="s">
        <v>481</v>
      </c>
      <c r="G7" s="61">
        <v>51.3</v>
      </c>
      <c r="H7" s="263"/>
      <c r="I7" s="62">
        <v>3.25</v>
      </c>
      <c r="J7" s="63" t="s">
        <v>481</v>
      </c>
      <c r="K7" s="63">
        <v>52.1</v>
      </c>
    </row>
    <row r="8" spans="1:11" x14ac:dyDescent="0.3">
      <c r="A8" s="60">
        <v>1.64</v>
      </c>
      <c r="B8" s="61" t="s">
        <v>481</v>
      </c>
      <c r="C8" s="61">
        <v>24</v>
      </c>
      <c r="D8" s="259"/>
      <c r="E8" s="62">
        <v>2.41</v>
      </c>
      <c r="F8" s="63" t="s">
        <v>481</v>
      </c>
      <c r="G8" s="63">
        <v>56.6</v>
      </c>
      <c r="H8" s="263"/>
      <c r="I8" s="60">
        <v>3.26</v>
      </c>
      <c r="J8" s="61" t="s">
        <v>481</v>
      </c>
      <c r="K8" s="61">
        <v>57</v>
      </c>
    </row>
    <row r="9" spans="1:11" x14ac:dyDescent="0.3">
      <c r="A9" s="62">
        <v>1.67</v>
      </c>
      <c r="B9" s="63" t="s">
        <v>481</v>
      </c>
      <c r="C9" s="63">
        <v>51.3</v>
      </c>
      <c r="D9" s="259"/>
      <c r="E9" s="60">
        <v>2.42</v>
      </c>
      <c r="F9" s="61" t="s">
        <v>481</v>
      </c>
      <c r="G9" s="61">
        <v>21.5</v>
      </c>
      <c r="H9" s="263"/>
      <c r="I9" s="62">
        <v>3.28</v>
      </c>
      <c r="J9" s="63" t="s">
        <v>481</v>
      </c>
      <c r="K9" s="63">
        <v>21.6</v>
      </c>
    </row>
    <row r="10" spans="1:11" x14ac:dyDescent="0.3">
      <c r="A10" s="60">
        <v>1.68</v>
      </c>
      <c r="B10" s="61" t="s">
        <v>481</v>
      </c>
      <c r="C10" s="61">
        <v>54.6</v>
      </c>
      <c r="D10" s="259"/>
      <c r="E10" s="62">
        <v>2.44</v>
      </c>
      <c r="F10" s="63" t="s">
        <v>481</v>
      </c>
      <c r="G10" s="63">
        <v>51.3</v>
      </c>
      <c r="H10" s="263"/>
      <c r="I10" s="60">
        <v>3.29</v>
      </c>
      <c r="J10" s="61" t="s">
        <v>481</v>
      </c>
      <c r="K10" s="61">
        <v>51.6</v>
      </c>
    </row>
    <row r="11" spans="1:11" x14ac:dyDescent="0.3">
      <c r="A11" s="62">
        <v>1.69</v>
      </c>
      <c r="B11" s="63" t="s">
        <v>481</v>
      </c>
      <c r="C11" s="63">
        <v>18.5</v>
      </c>
      <c r="D11" s="259"/>
      <c r="E11" s="60">
        <v>2.4500000000000002</v>
      </c>
      <c r="F11" s="61" t="s">
        <v>481</v>
      </c>
      <c r="G11" s="61">
        <v>56.3</v>
      </c>
      <c r="H11" s="263"/>
      <c r="I11" s="62">
        <v>3.3</v>
      </c>
      <c r="J11" s="63" t="s">
        <v>481</v>
      </c>
      <c r="K11" s="63">
        <v>56.3</v>
      </c>
    </row>
    <row r="12" spans="1:11" x14ac:dyDescent="0.3">
      <c r="A12" s="60">
        <v>1.73</v>
      </c>
      <c r="B12" s="61" t="s">
        <v>481</v>
      </c>
      <c r="C12" s="61">
        <v>51.2</v>
      </c>
      <c r="D12" s="259"/>
      <c r="E12" s="64"/>
      <c r="F12" s="65" t="s">
        <v>474</v>
      </c>
      <c r="G12" s="64">
        <f>SUM(G6:G11)</f>
        <v>258.60000000000002</v>
      </c>
      <c r="H12" s="263"/>
      <c r="I12" s="60">
        <v>3.33</v>
      </c>
      <c r="J12" s="61" t="s">
        <v>481</v>
      </c>
      <c r="K12" s="61">
        <v>75.400000000000006</v>
      </c>
    </row>
    <row r="13" spans="1:11" x14ac:dyDescent="0.3">
      <c r="A13" s="62">
        <v>1.74</v>
      </c>
      <c r="B13" s="63" t="s">
        <v>481</v>
      </c>
      <c r="C13" s="63">
        <v>55.3</v>
      </c>
      <c r="D13" s="259"/>
      <c r="E13" s="264"/>
      <c r="F13" s="264"/>
      <c r="G13" s="264"/>
      <c r="H13" s="263"/>
      <c r="I13" s="62">
        <v>3.34</v>
      </c>
      <c r="J13" s="63" t="s">
        <v>481</v>
      </c>
      <c r="K13" s="63">
        <v>6.9</v>
      </c>
    </row>
    <row r="14" spans="1:11" x14ac:dyDescent="0.3">
      <c r="A14" s="60">
        <v>1.77</v>
      </c>
      <c r="B14" s="61" t="s">
        <v>481</v>
      </c>
      <c r="C14" s="61">
        <v>41.2</v>
      </c>
      <c r="D14" s="259"/>
      <c r="E14" s="278"/>
      <c r="F14" s="278"/>
      <c r="G14" s="278"/>
      <c r="H14" s="263"/>
      <c r="I14" s="60">
        <v>3.35</v>
      </c>
      <c r="J14" s="61" t="s">
        <v>481</v>
      </c>
      <c r="K14" s="61">
        <v>74.900000000000006</v>
      </c>
    </row>
    <row r="15" spans="1:11" x14ac:dyDescent="0.3">
      <c r="A15" s="62">
        <v>1.78</v>
      </c>
      <c r="B15" s="63" t="s">
        <v>481</v>
      </c>
      <c r="C15" s="63">
        <v>59.3</v>
      </c>
      <c r="D15" s="259"/>
      <c r="E15" s="278"/>
      <c r="F15" s="278"/>
      <c r="G15" s="278"/>
      <c r="H15" s="263"/>
      <c r="I15" s="62">
        <v>3.41</v>
      </c>
      <c r="J15" s="63" t="s">
        <v>481</v>
      </c>
      <c r="K15" s="63">
        <v>36.4</v>
      </c>
    </row>
    <row r="16" spans="1:11" x14ac:dyDescent="0.3">
      <c r="A16" s="64"/>
      <c r="B16" s="65" t="s">
        <v>474</v>
      </c>
      <c r="C16" s="64">
        <f>SUM(C6:C15)</f>
        <v>392.90000000000003</v>
      </c>
      <c r="D16" s="259"/>
      <c r="E16" s="278"/>
      <c r="F16" s="278"/>
      <c r="G16" s="278"/>
      <c r="H16" s="263"/>
      <c r="I16" s="60">
        <v>3.42</v>
      </c>
      <c r="J16" s="61" t="s">
        <v>481</v>
      </c>
      <c r="K16" s="61">
        <v>59.7</v>
      </c>
    </row>
    <row r="17" spans="1:11" x14ac:dyDescent="0.3">
      <c r="A17" s="264"/>
      <c r="B17" s="264"/>
      <c r="C17" s="264"/>
      <c r="D17" s="259"/>
      <c r="E17" s="278"/>
      <c r="F17" s="278"/>
      <c r="G17" s="278"/>
      <c r="H17" s="263"/>
      <c r="I17" s="64"/>
      <c r="J17" s="65" t="s">
        <v>474</v>
      </c>
      <c r="K17" s="64">
        <f>SUM(K6:K16)</f>
        <v>513.5</v>
      </c>
    </row>
  </sheetData>
  <mergeCells count="10">
    <mergeCell ref="A1:K1"/>
    <mergeCell ref="G2:I2"/>
    <mergeCell ref="G3:I3"/>
    <mergeCell ref="A4:K4"/>
    <mergeCell ref="E13:G17"/>
    <mergeCell ref="H5:H17"/>
    <mergeCell ref="D5:D17"/>
    <mergeCell ref="A17:C17"/>
    <mergeCell ref="B2:F2"/>
    <mergeCell ref="B3:F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C25" sqref="C25"/>
    </sheetView>
  </sheetViews>
  <sheetFormatPr defaultRowHeight="14.4" x14ac:dyDescent="0.3"/>
  <cols>
    <col min="1" max="1" width="8.6640625" customWidth="1"/>
    <col min="2" max="2" width="37.88671875" customWidth="1"/>
    <col min="3" max="3" width="26.77734375" customWidth="1"/>
    <col min="4" max="4" width="11.6640625" customWidth="1"/>
    <col min="5" max="5" width="9.21875" customWidth="1"/>
  </cols>
  <sheetData>
    <row r="1" spans="1:5" ht="18" x14ac:dyDescent="0.35">
      <c r="A1" s="12"/>
      <c r="B1" s="13" t="s">
        <v>692</v>
      </c>
      <c r="C1" s="14"/>
      <c r="D1" s="14"/>
      <c r="E1" s="15"/>
    </row>
    <row r="2" spans="1:5" ht="18" x14ac:dyDescent="0.3">
      <c r="A2" s="12" t="s">
        <v>389</v>
      </c>
      <c r="B2" s="16" t="s">
        <v>390</v>
      </c>
      <c r="C2" s="16" t="s">
        <v>391</v>
      </c>
      <c r="D2" s="16" t="s">
        <v>392</v>
      </c>
      <c r="E2" s="14" t="s">
        <v>393</v>
      </c>
    </row>
    <row r="3" spans="1:5" ht="54" x14ac:dyDescent="0.3">
      <c r="A3" s="58">
        <v>1</v>
      </c>
      <c r="B3" s="18" t="s">
        <v>427</v>
      </c>
      <c r="C3" s="19" t="s">
        <v>428</v>
      </c>
      <c r="D3" s="19" t="s">
        <v>394</v>
      </c>
      <c r="E3" s="20">
        <f>'2-пом'!C25</f>
        <v>256.98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="85" zoomScaleNormal="85" workbookViewId="0">
      <selection activeCell="I23" sqref="I23"/>
    </sheetView>
  </sheetViews>
  <sheetFormatPr defaultRowHeight="18" x14ac:dyDescent="0.35"/>
  <cols>
    <col min="1" max="1" width="7.21875" style="54" customWidth="1"/>
    <col min="2" max="2" width="7.88671875" style="54" customWidth="1"/>
    <col min="3" max="3" width="10.77734375" style="54" customWidth="1"/>
    <col min="4" max="4" width="4.109375" style="54" customWidth="1"/>
    <col min="5" max="5" width="7.109375" style="54" customWidth="1"/>
    <col min="6" max="6" width="7.6640625" style="54" customWidth="1"/>
    <col min="7" max="7" width="9.88671875" style="54" customWidth="1"/>
    <col min="8" max="8" width="5.33203125" style="54" customWidth="1"/>
    <col min="9" max="9" width="7.88671875" style="54" customWidth="1"/>
    <col min="10" max="10" width="7.44140625" style="54" customWidth="1"/>
    <col min="11" max="11" width="11.88671875" style="54" customWidth="1"/>
    <col min="12" max="16384" width="8.88671875" style="54"/>
  </cols>
  <sheetData>
    <row r="1" spans="1:11" ht="15" customHeight="1" x14ac:dyDescent="0.35">
      <c r="A1" s="282" t="s">
        <v>692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</row>
    <row r="2" spans="1:11" ht="15" customHeight="1" x14ac:dyDescent="0.35">
      <c r="A2" s="12" t="s">
        <v>389</v>
      </c>
      <c r="B2" s="217" t="s">
        <v>390</v>
      </c>
      <c r="C2" s="217"/>
      <c r="D2" s="217"/>
      <c r="E2" s="217"/>
      <c r="F2" s="217"/>
      <c r="G2" s="210" t="s">
        <v>391</v>
      </c>
      <c r="H2" s="221"/>
      <c r="I2" s="211"/>
      <c r="J2" s="16" t="s">
        <v>392</v>
      </c>
      <c r="K2" s="14" t="s">
        <v>393</v>
      </c>
    </row>
    <row r="3" spans="1:11" ht="73.2" customHeight="1" x14ac:dyDescent="0.35">
      <c r="A3" s="58">
        <v>1</v>
      </c>
      <c r="B3" s="215" t="s">
        <v>438</v>
      </c>
      <c r="C3" s="215"/>
      <c r="D3" s="215"/>
      <c r="E3" s="215"/>
      <c r="F3" s="215"/>
      <c r="G3" s="212" t="s">
        <v>428</v>
      </c>
      <c r="H3" s="254"/>
      <c r="I3" s="255"/>
      <c r="J3" s="58" t="s">
        <v>394</v>
      </c>
      <c r="K3" s="76">
        <f>C12+G19+K15</f>
        <v>256.52</v>
      </c>
    </row>
    <row r="4" spans="1:11" ht="73.2" customHeight="1" x14ac:dyDescent="0.35">
      <c r="A4" s="66">
        <v>1</v>
      </c>
      <c r="B4" s="215" t="s">
        <v>438</v>
      </c>
      <c r="C4" s="215"/>
      <c r="D4" s="215"/>
      <c r="E4" s="215"/>
      <c r="F4" s="215"/>
      <c r="G4" s="212" t="s">
        <v>533</v>
      </c>
      <c r="H4" s="254"/>
      <c r="I4" s="255"/>
      <c r="J4" s="66" t="s">
        <v>394</v>
      </c>
      <c r="K4" s="76">
        <f>C24+G24+K24</f>
        <v>27.87</v>
      </c>
    </row>
    <row r="5" spans="1:11" ht="15" customHeight="1" x14ac:dyDescent="0.35">
      <c r="A5" s="277"/>
      <c r="B5" s="277"/>
      <c r="C5" s="277"/>
      <c r="D5" s="277"/>
      <c r="E5" s="277"/>
      <c r="F5" s="277"/>
      <c r="G5" s="277"/>
      <c r="H5" s="277"/>
      <c r="I5" s="277"/>
      <c r="J5" s="277"/>
      <c r="K5" s="277"/>
    </row>
    <row r="6" spans="1:11" ht="32.4" customHeight="1" x14ac:dyDescent="0.35">
      <c r="A6" s="67" t="s">
        <v>478</v>
      </c>
      <c r="B6" s="67" t="s">
        <v>1</v>
      </c>
      <c r="C6" s="67" t="s">
        <v>477</v>
      </c>
      <c r="D6" s="276"/>
      <c r="E6" s="67" t="s">
        <v>478</v>
      </c>
      <c r="F6" s="67" t="s">
        <v>1</v>
      </c>
      <c r="G6" s="67" t="s">
        <v>477</v>
      </c>
      <c r="H6" s="281"/>
      <c r="I6" s="67" t="s">
        <v>478</v>
      </c>
      <c r="J6" s="67" t="s">
        <v>1</v>
      </c>
      <c r="K6" s="67" t="s">
        <v>477</v>
      </c>
    </row>
    <row r="7" spans="1:11" x14ac:dyDescent="0.35">
      <c r="A7" s="68" t="s">
        <v>489</v>
      </c>
      <c r="B7" s="69" t="s">
        <v>429</v>
      </c>
      <c r="C7" s="69">
        <v>5.01</v>
      </c>
      <c r="D7" s="276"/>
      <c r="E7" s="70" t="s">
        <v>494</v>
      </c>
      <c r="F7" s="71" t="s">
        <v>429</v>
      </c>
      <c r="G7" s="71">
        <v>6.47</v>
      </c>
      <c r="H7" s="281"/>
      <c r="I7" s="68" t="s">
        <v>506</v>
      </c>
      <c r="J7" s="69" t="s">
        <v>429</v>
      </c>
      <c r="K7" s="69">
        <v>5.6</v>
      </c>
    </row>
    <row r="8" spans="1:11" x14ac:dyDescent="0.35">
      <c r="A8" s="70" t="s">
        <v>490</v>
      </c>
      <c r="B8" s="71" t="s">
        <v>429</v>
      </c>
      <c r="C8" s="71">
        <v>3.76</v>
      </c>
      <c r="D8" s="276"/>
      <c r="E8" s="68" t="s">
        <v>497</v>
      </c>
      <c r="F8" s="69" t="s">
        <v>429</v>
      </c>
      <c r="G8" s="69">
        <v>10.18</v>
      </c>
      <c r="H8" s="281"/>
      <c r="I8" s="70" t="s">
        <v>507</v>
      </c>
      <c r="J8" s="71" t="s">
        <v>429</v>
      </c>
      <c r="K8" s="71">
        <v>11.7</v>
      </c>
    </row>
    <row r="9" spans="1:11" x14ac:dyDescent="0.35">
      <c r="A9" s="68" t="s">
        <v>491</v>
      </c>
      <c r="B9" s="69" t="s">
        <v>429</v>
      </c>
      <c r="C9" s="69">
        <v>10.18</v>
      </c>
      <c r="D9" s="276"/>
      <c r="E9" s="70" t="s">
        <v>495</v>
      </c>
      <c r="F9" s="71" t="s">
        <v>429</v>
      </c>
      <c r="G9" s="71">
        <v>10.23</v>
      </c>
      <c r="H9" s="281"/>
      <c r="I9" s="68" t="s">
        <v>508</v>
      </c>
      <c r="J9" s="69" t="s">
        <v>429</v>
      </c>
      <c r="K9" s="69">
        <v>29.24</v>
      </c>
    </row>
    <row r="10" spans="1:11" x14ac:dyDescent="0.35">
      <c r="A10" s="70" t="s">
        <v>492</v>
      </c>
      <c r="B10" s="71" t="s">
        <v>429</v>
      </c>
      <c r="C10" s="71">
        <v>5.14</v>
      </c>
      <c r="D10" s="276"/>
      <c r="E10" s="68" t="s">
        <v>496</v>
      </c>
      <c r="F10" s="69" t="s">
        <v>429</v>
      </c>
      <c r="G10" s="69">
        <v>5.24</v>
      </c>
      <c r="H10" s="281"/>
      <c r="I10" s="70" t="s">
        <v>509</v>
      </c>
      <c r="J10" s="71" t="s">
        <v>429</v>
      </c>
      <c r="K10" s="71">
        <v>6.49</v>
      </c>
    </row>
    <row r="11" spans="1:11" x14ac:dyDescent="0.35">
      <c r="A11" s="68" t="s">
        <v>493</v>
      </c>
      <c r="B11" s="69" t="s">
        <v>429</v>
      </c>
      <c r="C11" s="69">
        <v>10.23</v>
      </c>
      <c r="D11" s="276"/>
      <c r="E11" s="70" t="s">
        <v>498</v>
      </c>
      <c r="F11" s="71" t="s">
        <v>429</v>
      </c>
      <c r="G11" s="71">
        <v>5.1100000000000003</v>
      </c>
      <c r="H11" s="281"/>
      <c r="I11" s="68" t="s">
        <v>510</v>
      </c>
      <c r="J11" s="69" t="s">
        <v>429</v>
      </c>
      <c r="K11" s="69">
        <v>5.48</v>
      </c>
    </row>
    <row r="12" spans="1:11" x14ac:dyDescent="0.35">
      <c r="A12" s="72"/>
      <c r="B12" s="73" t="s">
        <v>474</v>
      </c>
      <c r="C12" s="74">
        <f>SUM(C7:C11)</f>
        <v>34.32</v>
      </c>
      <c r="D12" s="276"/>
      <c r="E12" s="68" t="s">
        <v>499</v>
      </c>
      <c r="F12" s="69" t="s">
        <v>429</v>
      </c>
      <c r="G12" s="69">
        <v>11.06</v>
      </c>
      <c r="H12" s="281"/>
      <c r="I12" s="70" t="s">
        <v>511</v>
      </c>
      <c r="J12" s="71" t="s">
        <v>429</v>
      </c>
      <c r="K12" s="71">
        <v>10.53</v>
      </c>
    </row>
    <row r="13" spans="1:11" x14ac:dyDescent="0.35">
      <c r="A13" s="277"/>
      <c r="B13" s="277"/>
      <c r="C13" s="277"/>
      <c r="D13" s="276"/>
      <c r="E13" s="70" t="s">
        <v>500</v>
      </c>
      <c r="F13" s="71" t="s">
        <v>429</v>
      </c>
      <c r="G13" s="71">
        <v>11.17</v>
      </c>
      <c r="H13" s="281"/>
      <c r="I13" s="68" t="s">
        <v>512</v>
      </c>
      <c r="J13" s="69" t="s">
        <v>429</v>
      </c>
      <c r="K13" s="69">
        <v>10.56</v>
      </c>
    </row>
    <row r="14" spans="1:11" x14ac:dyDescent="0.35">
      <c r="A14" s="280"/>
      <c r="B14" s="280"/>
      <c r="C14" s="280"/>
      <c r="D14" s="276"/>
      <c r="E14" s="68" t="s">
        <v>501</v>
      </c>
      <c r="F14" s="69" t="s">
        <v>429</v>
      </c>
      <c r="G14" s="69">
        <v>13.28</v>
      </c>
      <c r="H14" s="281"/>
      <c r="I14" s="70" t="s">
        <v>513</v>
      </c>
      <c r="J14" s="71" t="s">
        <v>429</v>
      </c>
      <c r="K14" s="71">
        <v>8.51</v>
      </c>
    </row>
    <row r="15" spans="1:11" x14ac:dyDescent="0.35">
      <c r="A15" s="280"/>
      <c r="B15" s="280"/>
      <c r="C15" s="280"/>
      <c r="D15" s="276"/>
      <c r="E15" s="70" t="s">
        <v>502</v>
      </c>
      <c r="F15" s="71" t="s">
        <v>429</v>
      </c>
      <c r="G15" s="71">
        <v>8.24</v>
      </c>
      <c r="H15" s="281"/>
      <c r="I15" s="72"/>
      <c r="J15" s="73" t="s">
        <v>474</v>
      </c>
      <c r="K15" s="74">
        <f>SUM(K7:K14)</f>
        <v>88.11</v>
      </c>
    </row>
    <row r="16" spans="1:11" x14ac:dyDescent="0.35">
      <c r="A16" s="280"/>
      <c r="B16" s="280"/>
      <c r="C16" s="280"/>
      <c r="D16" s="276"/>
      <c r="E16" s="68" t="s">
        <v>503</v>
      </c>
      <c r="F16" s="69" t="s">
        <v>429</v>
      </c>
      <c r="G16" s="69">
        <v>10.49</v>
      </c>
      <c r="H16" s="281"/>
      <c r="I16" s="277"/>
      <c r="J16" s="277"/>
      <c r="K16" s="277"/>
    </row>
    <row r="17" spans="1:11" x14ac:dyDescent="0.35">
      <c r="A17" s="280"/>
      <c r="B17" s="280"/>
      <c r="C17" s="280"/>
      <c r="D17" s="276"/>
      <c r="E17" s="70" t="s">
        <v>504</v>
      </c>
      <c r="F17" s="71" t="s">
        <v>429</v>
      </c>
      <c r="G17" s="71">
        <v>11.84</v>
      </c>
      <c r="H17" s="281"/>
      <c r="I17" s="280"/>
      <c r="J17" s="280"/>
      <c r="K17" s="280"/>
    </row>
    <row r="18" spans="1:11" x14ac:dyDescent="0.35">
      <c r="A18" s="280"/>
      <c r="B18" s="280"/>
      <c r="C18" s="280"/>
      <c r="D18" s="276"/>
      <c r="E18" s="68" t="s">
        <v>505</v>
      </c>
      <c r="F18" s="69" t="s">
        <v>429</v>
      </c>
      <c r="G18" s="69">
        <v>30.78</v>
      </c>
      <c r="H18" s="281"/>
      <c r="I18" s="280"/>
      <c r="J18" s="280"/>
      <c r="K18" s="280"/>
    </row>
    <row r="19" spans="1:11" x14ac:dyDescent="0.35">
      <c r="A19" s="280"/>
      <c r="B19" s="280"/>
      <c r="C19" s="280"/>
      <c r="D19" s="276"/>
      <c r="E19" s="72"/>
      <c r="F19" s="73" t="s">
        <v>474</v>
      </c>
      <c r="G19" s="74">
        <f>SUM(G7:G18)</f>
        <v>134.08999999999997</v>
      </c>
      <c r="H19" s="281"/>
      <c r="I19" s="280"/>
      <c r="J19" s="280"/>
      <c r="K19" s="280"/>
    </row>
    <row r="20" spans="1:11" x14ac:dyDescent="0.35">
      <c r="A20" s="275"/>
      <c r="B20" s="275"/>
      <c r="C20" s="275"/>
      <c r="D20" s="275"/>
      <c r="E20" s="275"/>
      <c r="F20" s="275"/>
      <c r="G20" s="275"/>
      <c r="H20" s="275"/>
      <c r="I20" s="275"/>
      <c r="J20" s="275"/>
      <c r="K20" s="275"/>
    </row>
    <row r="21" spans="1:11" ht="46.8" x14ac:dyDescent="0.35">
      <c r="A21" s="59" t="s">
        <v>478</v>
      </c>
      <c r="B21" s="59" t="s">
        <v>1</v>
      </c>
      <c r="C21" s="59" t="s">
        <v>477</v>
      </c>
      <c r="D21" s="279"/>
      <c r="E21" s="59" t="s">
        <v>478</v>
      </c>
      <c r="F21" s="59" t="s">
        <v>1</v>
      </c>
      <c r="G21" s="59" t="s">
        <v>477</v>
      </c>
      <c r="H21" s="279"/>
      <c r="I21" s="59" t="s">
        <v>478</v>
      </c>
      <c r="J21" s="59" t="s">
        <v>1</v>
      </c>
      <c r="K21" s="59" t="s">
        <v>477</v>
      </c>
    </row>
    <row r="22" spans="1:11" x14ac:dyDescent="0.35">
      <c r="A22" s="81" t="s">
        <v>491</v>
      </c>
      <c r="B22" s="61" t="s">
        <v>430</v>
      </c>
      <c r="C22" s="61">
        <v>4.7300000000000004</v>
      </c>
      <c r="D22" s="279"/>
      <c r="E22" s="81" t="s">
        <v>497</v>
      </c>
      <c r="F22" s="61" t="s">
        <v>430</v>
      </c>
      <c r="G22" s="61">
        <v>4.58</v>
      </c>
      <c r="H22" s="279"/>
      <c r="I22" s="81" t="s">
        <v>511</v>
      </c>
      <c r="J22" s="61" t="s">
        <v>430</v>
      </c>
      <c r="K22" s="61">
        <v>4.6900000000000004</v>
      </c>
    </row>
    <row r="23" spans="1:11" x14ac:dyDescent="0.35">
      <c r="A23" s="81" t="s">
        <v>493</v>
      </c>
      <c r="B23" s="61" t="s">
        <v>430</v>
      </c>
      <c r="C23" s="61">
        <v>4.62</v>
      </c>
      <c r="D23" s="279"/>
      <c r="E23" s="81" t="s">
        <v>495</v>
      </c>
      <c r="F23" s="61" t="s">
        <v>430</v>
      </c>
      <c r="G23" s="61">
        <v>4.62</v>
      </c>
      <c r="H23" s="279"/>
      <c r="I23" s="81" t="s">
        <v>512</v>
      </c>
      <c r="J23" s="61" t="s">
        <v>430</v>
      </c>
      <c r="K23" s="61">
        <v>4.63</v>
      </c>
    </row>
    <row r="24" spans="1:11" x14ac:dyDescent="0.35">
      <c r="A24" s="82"/>
      <c r="B24" s="65" t="s">
        <v>474</v>
      </c>
      <c r="C24" s="64">
        <f>SUM(C22:C23)</f>
        <v>9.3500000000000014</v>
      </c>
      <c r="D24" s="279"/>
      <c r="E24" s="82"/>
      <c r="F24" s="65" t="s">
        <v>474</v>
      </c>
      <c r="G24" s="64">
        <f>SUM(G22:G23)</f>
        <v>9.1999999999999993</v>
      </c>
      <c r="H24" s="279"/>
      <c r="I24" s="82"/>
      <c r="J24" s="65" t="s">
        <v>474</v>
      </c>
      <c r="K24" s="64">
        <f>SUM(K22:K23)</f>
        <v>9.32</v>
      </c>
    </row>
  </sheetData>
  <mergeCells count="15">
    <mergeCell ref="A1:K1"/>
    <mergeCell ref="B2:F2"/>
    <mergeCell ref="G2:I2"/>
    <mergeCell ref="B3:F3"/>
    <mergeCell ref="G3:I3"/>
    <mergeCell ref="B4:F4"/>
    <mergeCell ref="G4:I4"/>
    <mergeCell ref="A20:K20"/>
    <mergeCell ref="H21:H24"/>
    <mergeCell ref="D21:D24"/>
    <mergeCell ref="A5:K5"/>
    <mergeCell ref="A13:C19"/>
    <mergeCell ref="D6:D19"/>
    <mergeCell ref="H6:H19"/>
    <mergeCell ref="I16:K19"/>
  </mergeCells>
  <pageMargins left="0.7" right="0.7" top="0.75" bottom="0.75" header="0.3" footer="0.3"/>
  <pageSetup paperSize="9" orientation="portrait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="55" zoomScaleNormal="55" workbookViewId="0">
      <selection activeCell="P19" sqref="P19"/>
    </sheetView>
  </sheetViews>
  <sheetFormatPr defaultRowHeight="18" x14ac:dyDescent="0.35"/>
  <cols>
    <col min="1" max="1" width="7.21875" style="54" customWidth="1"/>
    <col min="2" max="2" width="7.88671875" style="54" customWidth="1"/>
    <col min="3" max="3" width="9.88671875" style="54" customWidth="1"/>
    <col min="4" max="4" width="4.109375" style="54" customWidth="1"/>
    <col min="5" max="5" width="7.109375" style="54" customWidth="1"/>
    <col min="6" max="6" width="7.6640625" style="54" customWidth="1"/>
    <col min="7" max="7" width="9.88671875" style="54" customWidth="1"/>
    <col min="8" max="8" width="5.33203125" style="54" customWidth="1"/>
    <col min="9" max="9" width="7.88671875" style="54" customWidth="1"/>
    <col min="10" max="10" width="7.44140625" style="54" customWidth="1"/>
    <col min="11" max="11" width="11.88671875" style="54" customWidth="1"/>
    <col min="12" max="16384" width="8.88671875" style="54"/>
  </cols>
  <sheetData>
    <row r="1" spans="1:11" ht="15" customHeight="1" x14ac:dyDescent="0.35">
      <c r="A1" s="282" t="s">
        <v>692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</row>
    <row r="2" spans="1:11" ht="15" customHeight="1" x14ac:dyDescent="0.35">
      <c r="A2" s="12" t="s">
        <v>389</v>
      </c>
      <c r="B2" s="217" t="s">
        <v>390</v>
      </c>
      <c r="C2" s="217"/>
      <c r="D2" s="217"/>
      <c r="E2" s="217"/>
      <c r="F2" s="217"/>
      <c r="G2" s="210" t="s">
        <v>391</v>
      </c>
      <c r="H2" s="221"/>
      <c r="I2" s="211"/>
      <c r="J2" s="16" t="s">
        <v>392</v>
      </c>
      <c r="K2" s="14" t="s">
        <v>393</v>
      </c>
    </row>
    <row r="3" spans="1:11" ht="73.2" customHeight="1" x14ac:dyDescent="0.35">
      <c r="A3" s="66">
        <v>1</v>
      </c>
      <c r="B3" s="215" t="s">
        <v>438</v>
      </c>
      <c r="C3" s="215"/>
      <c r="D3" s="215"/>
      <c r="E3" s="215"/>
      <c r="F3" s="215"/>
      <c r="G3" s="212" t="s">
        <v>534</v>
      </c>
      <c r="H3" s="254"/>
      <c r="I3" s="255"/>
      <c r="J3" s="66" t="s">
        <v>394</v>
      </c>
      <c r="K3" s="76">
        <f>C25+G8</f>
        <v>678.8599999999999</v>
      </c>
    </row>
    <row r="4" spans="1:11" ht="15" customHeight="1" x14ac:dyDescent="0.35">
      <c r="A4" s="277"/>
      <c r="B4" s="277"/>
      <c r="C4" s="277"/>
      <c r="D4" s="277"/>
      <c r="E4" s="277"/>
      <c r="F4" s="277"/>
      <c r="G4" s="277"/>
      <c r="H4" s="277"/>
      <c r="I4" s="277"/>
      <c r="J4" s="277"/>
      <c r="K4" s="277"/>
    </row>
    <row r="5" spans="1:11" ht="32.4" customHeight="1" x14ac:dyDescent="0.35">
      <c r="A5" s="67" t="s">
        <v>478</v>
      </c>
      <c r="B5" s="67" t="s">
        <v>1</v>
      </c>
      <c r="C5" s="67" t="s">
        <v>477</v>
      </c>
      <c r="D5" s="281"/>
      <c r="E5" s="67" t="s">
        <v>478</v>
      </c>
      <c r="F5" s="67" t="s">
        <v>1</v>
      </c>
      <c r="G5" s="67" t="s">
        <v>477</v>
      </c>
      <c r="H5" s="281"/>
      <c r="I5" s="280"/>
      <c r="J5" s="280"/>
      <c r="K5" s="280"/>
    </row>
    <row r="6" spans="1:11" x14ac:dyDescent="0.35">
      <c r="A6" s="70" t="s">
        <v>514</v>
      </c>
      <c r="B6" s="71"/>
      <c r="C6" s="77">
        <v>257.98</v>
      </c>
      <c r="D6" s="281"/>
      <c r="E6" s="70" t="s">
        <v>514</v>
      </c>
      <c r="F6" s="71"/>
      <c r="G6" s="77">
        <v>57.94</v>
      </c>
      <c r="H6" s="281"/>
      <c r="I6" s="280"/>
      <c r="J6" s="280"/>
      <c r="K6" s="280"/>
    </row>
    <row r="7" spans="1:11" x14ac:dyDescent="0.35">
      <c r="A7" s="68" t="s">
        <v>515</v>
      </c>
      <c r="B7" s="69"/>
      <c r="C7" s="78">
        <v>98.23</v>
      </c>
      <c r="D7" s="281"/>
      <c r="E7" s="68" t="s">
        <v>532</v>
      </c>
      <c r="F7" s="69"/>
      <c r="G7" s="78">
        <v>14.96</v>
      </c>
      <c r="H7" s="281"/>
      <c r="I7" s="280"/>
      <c r="J7" s="280"/>
      <c r="K7" s="280"/>
    </row>
    <row r="8" spans="1:11" x14ac:dyDescent="0.35">
      <c r="A8" s="70" t="s">
        <v>516</v>
      </c>
      <c r="B8" s="71"/>
      <c r="C8" s="77">
        <v>10.039999999999999</v>
      </c>
      <c r="D8" s="281"/>
      <c r="E8" s="79"/>
      <c r="F8" s="80" t="s">
        <v>474</v>
      </c>
      <c r="G8" s="79">
        <f>SUM(G6:G7)</f>
        <v>72.900000000000006</v>
      </c>
      <c r="H8" s="281"/>
      <c r="I8" s="280"/>
      <c r="J8" s="280"/>
      <c r="K8" s="280"/>
    </row>
    <row r="9" spans="1:11" x14ac:dyDescent="0.35">
      <c r="A9" s="68" t="s">
        <v>517</v>
      </c>
      <c r="B9" s="69"/>
      <c r="C9" s="78">
        <v>10.51</v>
      </c>
      <c r="D9" s="281"/>
      <c r="E9" s="280"/>
      <c r="F9" s="280"/>
      <c r="G9" s="280"/>
      <c r="H9" s="280"/>
      <c r="I9" s="280"/>
      <c r="J9" s="280"/>
      <c r="K9" s="280"/>
    </row>
    <row r="10" spans="1:11" x14ac:dyDescent="0.35">
      <c r="A10" s="70" t="s">
        <v>444</v>
      </c>
      <c r="B10" s="71"/>
      <c r="C10" s="77">
        <v>10.06</v>
      </c>
      <c r="D10" s="281"/>
      <c r="E10" s="280"/>
      <c r="F10" s="280"/>
      <c r="G10" s="280"/>
      <c r="H10" s="280"/>
      <c r="I10" s="280"/>
      <c r="J10" s="280"/>
      <c r="K10" s="280"/>
    </row>
    <row r="11" spans="1:11" x14ac:dyDescent="0.35">
      <c r="A11" s="68" t="s">
        <v>518</v>
      </c>
      <c r="B11" s="69"/>
      <c r="C11" s="78">
        <v>98.59</v>
      </c>
      <c r="D11" s="281"/>
      <c r="E11" s="280"/>
      <c r="F11" s="280"/>
      <c r="G11" s="280"/>
      <c r="H11" s="280"/>
      <c r="I11" s="280"/>
      <c r="J11" s="280"/>
      <c r="K11" s="280"/>
    </row>
    <row r="12" spans="1:11" x14ac:dyDescent="0.35">
      <c r="A12" s="70" t="s">
        <v>519</v>
      </c>
      <c r="B12" s="71"/>
      <c r="C12" s="77">
        <v>7.25</v>
      </c>
      <c r="D12" s="281"/>
      <c r="E12" s="280"/>
      <c r="F12" s="280"/>
      <c r="G12" s="280"/>
      <c r="H12" s="280"/>
      <c r="I12" s="280"/>
      <c r="J12" s="280"/>
      <c r="K12" s="280"/>
    </row>
    <row r="13" spans="1:11" x14ac:dyDescent="0.35">
      <c r="A13" s="68" t="s">
        <v>520</v>
      </c>
      <c r="B13" s="69"/>
      <c r="C13" s="78">
        <v>5.76</v>
      </c>
      <c r="D13" s="281"/>
      <c r="E13" s="280"/>
      <c r="F13" s="280"/>
      <c r="G13" s="280"/>
      <c r="H13" s="280"/>
      <c r="I13" s="280"/>
      <c r="J13" s="280"/>
      <c r="K13" s="280"/>
    </row>
    <row r="14" spans="1:11" x14ac:dyDescent="0.35">
      <c r="A14" s="70" t="s">
        <v>521</v>
      </c>
      <c r="B14" s="71"/>
      <c r="C14" s="77">
        <v>20</v>
      </c>
      <c r="D14" s="281"/>
      <c r="E14" s="280"/>
      <c r="F14" s="280"/>
      <c r="G14" s="280"/>
      <c r="H14" s="280"/>
      <c r="I14" s="280"/>
      <c r="J14" s="280"/>
      <c r="K14" s="280"/>
    </row>
    <row r="15" spans="1:11" x14ac:dyDescent="0.35">
      <c r="A15" s="68" t="s">
        <v>522</v>
      </c>
      <c r="B15" s="69"/>
      <c r="C15" s="78">
        <v>13.53</v>
      </c>
      <c r="D15" s="281"/>
      <c r="E15" s="280"/>
      <c r="F15" s="280"/>
      <c r="G15" s="280"/>
      <c r="H15" s="280"/>
      <c r="I15" s="280"/>
      <c r="J15" s="280"/>
      <c r="K15" s="280"/>
    </row>
    <row r="16" spans="1:11" x14ac:dyDescent="0.35">
      <c r="A16" s="70" t="s">
        <v>523</v>
      </c>
      <c r="B16" s="71"/>
      <c r="C16" s="77">
        <v>13.3</v>
      </c>
      <c r="D16" s="281"/>
      <c r="E16" s="280"/>
      <c r="F16" s="280"/>
      <c r="G16" s="280"/>
      <c r="H16" s="280"/>
      <c r="I16" s="280"/>
      <c r="J16" s="280"/>
      <c r="K16" s="280"/>
    </row>
    <row r="17" spans="1:11" x14ac:dyDescent="0.35">
      <c r="A17" s="68" t="s">
        <v>524</v>
      </c>
      <c r="B17" s="69"/>
      <c r="C17" s="78">
        <v>11.67</v>
      </c>
      <c r="D17" s="281"/>
      <c r="E17" s="280"/>
      <c r="F17" s="280"/>
      <c r="G17" s="280"/>
      <c r="H17" s="280"/>
      <c r="I17" s="280"/>
      <c r="J17" s="280"/>
      <c r="K17" s="280"/>
    </row>
    <row r="18" spans="1:11" x14ac:dyDescent="0.35">
      <c r="A18" s="70" t="s">
        <v>525</v>
      </c>
      <c r="B18" s="71"/>
      <c r="C18" s="77">
        <v>9.7200000000000006</v>
      </c>
      <c r="D18" s="281"/>
      <c r="E18" s="280"/>
      <c r="F18" s="280"/>
      <c r="G18" s="280"/>
      <c r="H18" s="280"/>
      <c r="I18" s="280"/>
      <c r="J18" s="280"/>
      <c r="K18" s="280"/>
    </row>
    <row r="19" spans="1:11" x14ac:dyDescent="0.35">
      <c r="A19" s="68" t="s">
        <v>526</v>
      </c>
      <c r="B19" s="69"/>
      <c r="C19" s="78">
        <v>3.38</v>
      </c>
      <c r="D19" s="281"/>
      <c r="E19" s="280"/>
      <c r="F19" s="280"/>
      <c r="G19" s="280"/>
      <c r="H19" s="280"/>
      <c r="I19" s="280"/>
      <c r="J19" s="280"/>
      <c r="K19" s="280"/>
    </row>
    <row r="20" spans="1:11" x14ac:dyDescent="0.35">
      <c r="A20" s="70" t="s">
        <v>527</v>
      </c>
      <c r="B20" s="71"/>
      <c r="C20" s="77">
        <v>3.04</v>
      </c>
      <c r="D20" s="281"/>
      <c r="E20" s="280"/>
      <c r="F20" s="280"/>
      <c r="G20" s="280"/>
      <c r="H20" s="280"/>
      <c r="I20" s="280"/>
      <c r="J20" s="280"/>
      <c r="K20" s="280"/>
    </row>
    <row r="21" spans="1:11" x14ac:dyDescent="0.35">
      <c r="A21" s="68" t="s">
        <v>528</v>
      </c>
      <c r="B21" s="69"/>
      <c r="C21" s="78">
        <v>2.85</v>
      </c>
      <c r="D21" s="281"/>
      <c r="E21" s="280"/>
      <c r="F21" s="280"/>
      <c r="G21" s="280"/>
      <c r="H21" s="280"/>
      <c r="I21" s="280"/>
      <c r="J21" s="280"/>
      <c r="K21" s="280"/>
    </row>
    <row r="22" spans="1:11" x14ac:dyDescent="0.35">
      <c r="A22" s="70" t="s">
        <v>529</v>
      </c>
      <c r="B22" s="71"/>
      <c r="C22" s="77">
        <v>9.0399999999999991</v>
      </c>
      <c r="D22" s="281"/>
      <c r="E22" s="280"/>
      <c r="F22" s="280"/>
      <c r="G22" s="280"/>
      <c r="H22" s="280"/>
      <c r="I22" s="280"/>
      <c r="J22" s="280"/>
      <c r="K22" s="280"/>
    </row>
    <row r="23" spans="1:11" x14ac:dyDescent="0.35">
      <c r="A23" s="68" t="s">
        <v>530</v>
      </c>
      <c r="B23" s="69"/>
      <c r="C23" s="78">
        <v>16.38</v>
      </c>
      <c r="D23" s="281"/>
      <c r="E23" s="280"/>
      <c r="F23" s="280"/>
      <c r="G23" s="280"/>
      <c r="H23" s="280"/>
      <c r="I23" s="280"/>
      <c r="J23" s="280"/>
      <c r="K23" s="280"/>
    </row>
    <row r="24" spans="1:11" x14ac:dyDescent="0.35">
      <c r="A24" s="70" t="s">
        <v>531</v>
      </c>
      <c r="B24" s="71"/>
      <c r="C24" s="77">
        <v>4.63</v>
      </c>
      <c r="D24" s="281"/>
      <c r="E24" s="280"/>
      <c r="F24" s="280"/>
      <c r="G24" s="280"/>
      <c r="H24" s="280"/>
      <c r="I24" s="280"/>
      <c r="J24" s="280"/>
      <c r="K24" s="280"/>
    </row>
    <row r="25" spans="1:11" x14ac:dyDescent="0.35">
      <c r="A25" s="72"/>
      <c r="B25" s="73" t="s">
        <v>474</v>
      </c>
      <c r="C25" s="79">
        <f>SUM(C6:C24)</f>
        <v>605.95999999999992</v>
      </c>
      <c r="D25" s="281"/>
      <c r="E25" s="280"/>
      <c r="F25" s="280"/>
      <c r="G25" s="280"/>
      <c r="H25" s="280"/>
      <c r="I25" s="280"/>
      <c r="J25" s="280"/>
      <c r="K25" s="280"/>
    </row>
  </sheetData>
  <mergeCells count="9">
    <mergeCell ref="H5:K25"/>
    <mergeCell ref="E9:G25"/>
    <mergeCell ref="D5:D25"/>
    <mergeCell ref="A1:K1"/>
    <mergeCell ref="B2:F2"/>
    <mergeCell ref="G2:I2"/>
    <mergeCell ref="B3:F3"/>
    <mergeCell ref="G3:I3"/>
    <mergeCell ref="A4:K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55</vt:i4>
      </vt:variant>
    </vt:vector>
  </HeadingPairs>
  <TitlesOfParts>
    <vt:vector size="55" baseType="lpstr">
      <vt:lpstr>7.6Плнтс</vt:lpstr>
      <vt:lpstr>7.5Линол</vt:lpstr>
      <vt:lpstr>7.4ПлЛш</vt:lpstr>
      <vt:lpstr>7.3Плт</vt:lpstr>
      <vt:lpstr>7.1Стж</vt:lpstr>
      <vt:lpstr>6.4Гр</vt:lpstr>
      <vt:lpstr>6.3ПлинКер</vt:lpstr>
      <vt:lpstr>6.2Плинт</vt:lpstr>
      <vt:lpstr>6.1НалПл</vt:lpstr>
      <vt:lpstr>Общ</vt:lpstr>
      <vt:lpstr>469</vt:lpstr>
      <vt:lpstr>459</vt:lpstr>
      <vt:lpstr>454</vt:lpstr>
      <vt:lpstr>449</vt:lpstr>
      <vt:lpstr>414</vt:lpstr>
      <vt:lpstr>409</vt:lpstr>
      <vt:lpstr>389</vt:lpstr>
      <vt:lpstr>370</vt:lpstr>
      <vt:lpstr>346</vt:lpstr>
      <vt:lpstr>336</vt:lpstr>
      <vt:lpstr>284</vt:lpstr>
      <vt:lpstr>211</vt:lpstr>
      <vt:lpstr>209</vt:lpstr>
      <vt:lpstr>207</vt:lpstr>
      <vt:lpstr>196 (2)</vt:lpstr>
      <vt:lpstr>196</vt:lpstr>
      <vt:lpstr>192</vt:lpstr>
      <vt:lpstr>188</vt:lpstr>
      <vt:lpstr>183</vt:lpstr>
      <vt:lpstr>179</vt:lpstr>
      <vt:lpstr>175</vt:lpstr>
      <vt:lpstr>170</vt:lpstr>
      <vt:lpstr>168пдвл</vt:lpstr>
      <vt:lpstr>ВОР</vt:lpstr>
      <vt:lpstr>Общи</vt:lpstr>
      <vt:lpstr>Тип Плиты</vt:lpstr>
      <vt:lpstr>1-Пл</vt:lpstr>
      <vt:lpstr>1Шл4в</vt:lpstr>
      <vt:lpstr>1-пом</vt:lpstr>
      <vt:lpstr>2-Пл</vt:lpstr>
      <vt:lpstr>3.5Нлв4в</vt:lpstr>
      <vt:lpstr>3.4Нлв4в</vt:lpstr>
      <vt:lpstr>3.3Нлв4в</vt:lpstr>
      <vt:lpstr>3.2Нлв4в</vt:lpstr>
      <vt:lpstr>3.1-Нал</vt:lpstr>
      <vt:lpstr>3.1-Пом</vt:lpstr>
      <vt:lpstr>4.Защ_вин</vt:lpstr>
      <vt:lpstr>2-пом</vt:lpstr>
      <vt:lpstr>5.3Л74в</vt:lpstr>
      <vt:lpstr>5.2.1Л14в</vt:lpstr>
      <vt:lpstr>5.1-Л4</vt:lpstr>
      <vt:lpstr>5.2 Л-1</vt:lpstr>
      <vt:lpstr>2-Пл (2)</vt:lpstr>
      <vt:lpstr>2.1КР3</vt:lpstr>
      <vt:lpstr>1.1КР1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Linux</cp:lastModifiedBy>
  <dcterms:created xsi:type="dcterms:W3CDTF">2025-12-12T08:02:04Z</dcterms:created>
  <dcterms:modified xsi:type="dcterms:W3CDTF">2026-09-11T10:27:11Z</dcterms:modified>
</cp:coreProperties>
</file>