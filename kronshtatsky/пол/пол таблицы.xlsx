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л\"/>
    </mc:Choice>
  </mc:AlternateContent>
  <bookViews>
    <workbookView xWindow="0" yWindow="0" windowWidth="16056" windowHeight="8520"/>
  </bookViews>
  <sheets>
    <sheet name="6.4Гр" sheetId="56" r:id="rId1"/>
    <sheet name="6.3ПлинКер" sheetId="54" r:id="rId2"/>
    <sheet name="6.2Плинт" sheetId="53" r:id="rId3"/>
    <sheet name="6.1НалПл" sheetId="52" r:id="rId4"/>
    <sheet name="Общ" sheetId="25" r:id="rId5"/>
    <sheet name="469" sheetId="50" state="hidden" r:id="rId6"/>
    <sheet name="459" sheetId="49" state="hidden" r:id="rId7"/>
    <sheet name="454" sheetId="47" state="hidden" r:id="rId8"/>
    <sheet name="449" sheetId="48" state="hidden" r:id="rId9"/>
    <sheet name="414" sheetId="46" state="hidden" r:id="rId10"/>
    <sheet name="409" sheetId="45" state="hidden" r:id="rId11"/>
    <sheet name="389" sheetId="44" state="hidden" r:id="rId12"/>
    <sheet name="370" sheetId="43" state="hidden" r:id="rId13"/>
    <sheet name="346" sheetId="42" state="hidden" r:id="rId14"/>
    <sheet name="336" sheetId="41" state="hidden" r:id="rId15"/>
    <sheet name="284" sheetId="40" state="hidden" r:id="rId16"/>
    <sheet name="211" sheetId="39" state="hidden" r:id="rId17"/>
    <sheet name="209" sheetId="38" state="hidden" r:id="rId18"/>
    <sheet name="207" sheetId="37" state="hidden" r:id="rId19"/>
    <sheet name="196 (2)" sheetId="51" state="hidden" r:id="rId20"/>
    <sheet name="196" sheetId="35" state="hidden" r:id="rId21"/>
    <sheet name="192" sheetId="34" state="hidden" r:id="rId22"/>
    <sheet name="188" sheetId="33" state="hidden" r:id="rId23"/>
    <sheet name="183" sheetId="32" state="hidden" r:id="rId24"/>
    <sheet name="179" sheetId="31" state="hidden" r:id="rId25"/>
    <sheet name="175" sheetId="30" state="hidden" r:id="rId26"/>
    <sheet name="170" sheetId="29" state="hidden" r:id="rId27"/>
    <sheet name="168пдвл" sheetId="28" r:id="rId28"/>
    <sheet name="ВОР" sheetId="19" r:id="rId29"/>
    <sheet name="Общи" sheetId="1" r:id="rId30"/>
    <sheet name="Тип Плиты" sheetId="6" r:id="rId31"/>
    <sheet name="1-Пл" sheetId="2" r:id="rId32"/>
    <sheet name="1Шл4в" sheetId="20" r:id="rId33"/>
    <sheet name="1-пом" sheetId="3" r:id="rId34"/>
    <sheet name="2-Пл" sheetId="4" r:id="rId35"/>
    <sheet name="3.5Нлв4в" sheetId="24" r:id="rId36"/>
    <sheet name="3.4Нлв4в" sheetId="23" r:id="rId37"/>
    <sheet name="3.3Нлв4в" sheetId="22" r:id="rId38"/>
    <sheet name="3.2Нлв4в" sheetId="21" r:id="rId39"/>
    <sheet name="3.1-Нал" sheetId="8" r:id="rId40"/>
    <sheet name="3.1-Пом" sheetId="10" r:id="rId41"/>
    <sheet name="4.Защ_вин" sheetId="11" r:id="rId42"/>
    <sheet name="2-пом" sheetId="5" r:id="rId43"/>
    <sheet name="5.3Л74в" sheetId="26" r:id="rId44"/>
    <sheet name="5.2.1Л14в" sheetId="27" r:id="rId45"/>
    <sheet name="5.1-Л4" sheetId="13" r:id="rId46"/>
    <sheet name="5.2 Л-1" sheetId="15" r:id="rId47"/>
    <sheet name="2-Пл (2)" sheetId="16" r:id="rId48"/>
    <sheet name="2.1КР3" sheetId="17" r:id="rId49"/>
    <sheet name="1.1КР1" sheetId="18" r:id="rId5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56" l="1"/>
  <c r="G3" i="56" s="1"/>
  <c r="B11" i="52" l="1"/>
  <c r="E8" i="52"/>
  <c r="G20" i="23"/>
  <c r="C21" i="23"/>
  <c r="J3" i="52" l="1"/>
  <c r="B7" i="54" l="1"/>
  <c r="G3" i="54" s="1"/>
  <c r="B9" i="53"/>
  <c r="F3" i="53" s="1"/>
  <c r="G24" i="51" l="1"/>
  <c r="C23" i="51"/>
  <c r="K16" i="51"/>
  <c r="K31" i="20" l="1"/>
  <c r="G36" i="20"/>
  <c r="C34" i="20"/>
  <c r="K3" i="20" s="1"/>
  <c r="G24" i="35" l="1"/>
  <c r="C24" i="35"/>
  <c r="K16" i="35"/>
  <c r="K3" i="35"/>
  <c r="G16" i="27" l="1"/>
  <c r="K17" i="27"/>
  <c r="C16" i="27"/>
  <c r="K3" i="27" s="1"/>
  <c r="I4" i="26" l="1"/>
  <c r="G20" i="26"/>
  <c r="C27" i="26"/>
  <c r="I3" i="26" s="1"/>
  <c r="C16" i="24"/>
  <c r="G21" i="24"/>
  <c r="J3" i="24" l="1"/>
  <c r="I3" i="23"/>
  <c r="C8" i="22"/>
  <c r="J3" i="22"/>
  <c r="C13" i="21"/>
  <c r="J3" i="21" s="1"/>
  <c r="K3" i="18" l="1"/>
  <c r="K24" i="17"/>
  <c r="G24" i="17"/>
  <c r="C24" i="17"/>
  <c r="K4" i="17" s="1"/>
  <c r="G8" i="18"/>
  <c r="C25" i="18"/>
  <c r="G19" i="17" l="1"/>
  <c r="K15" i="17"/>
  <c r="C12" i="17"/>
  <c r="E3" i="16"/>
  <c r="E23" i="6"/>
  <c r="E22" i="6"/>
  <c r="E21" i="6"/>
  <c r="E20" i="6"/>
  <c r="E19" i="6"/>
  <c r="E18" i="6"/>
  <c r="E17" i="6"/>
  <c r="E16" i="6"/>
  <c r="K3" i="17" l="1"/>
  <c r="K17" i="15"/>
  <c r="G12" i="15"/>
  <c r="C16" i="15"/>
  <c r="K3" i="15" l="1"/>
  <c r="F3" i="13"/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<sst xmlns="http://schemas.openxmlformats.org/spreadsheetml/2006/main" count="2495" uniqueCount="748">
  <si>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</si>
  <si>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</si>
  <si>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</si>
  <si>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</si>
  <si>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</si>
  <si>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</si>
  <si>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</si>
  <si>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</si>
  <si>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</si>
  <si>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</si>
  <si>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</si>
  <si>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</si>
  <si>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</si>
  <si>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</si>
  <si>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</si>
  <si>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</si>
  <si>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</si>
  <si>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</si>
  <si>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</si>
  <si>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</si>
  <si>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</si>
  <si>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</si>
  <si>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</si>
  <si>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</si>
  <si>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</si>
  <si>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</si>
  <si>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</si>
  <si>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</si>
  <si>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</si>
  <si>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</si>
  <si>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</si>
  <si>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</si>
  <si>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</si>
  <si>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</si>
  <si>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</si>
  <si>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</si>
  <si>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</si>
  <si>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</si>
  <si>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</si>
  <si>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</si>
  <si>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</si>
  <si>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</si>
  <si>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</si>
  <si>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</si>
  <si>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</si>
  <si>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</si>
  <si>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</si>
  <si>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</si>
  <si>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</si>
  <si>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</si>
  <si>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</si>
  <si>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</si>
  <si>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</si>
  <si>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</si>
  <si>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</si>
  <si>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</si>
  <si>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</si>
  <si>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</si>
  <si>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</si>
  <si>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</si>
  <si>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</si>
  <si>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</si>
  <si>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</si>
  <si>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</si>
  <si>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</si>
  <si>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</si>
  <si>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</si>
  <si>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</si>
  <si>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</si>
  <si>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</si>
  <si>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</si>
  <si>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</si>
  <si>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</si>
  <si>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</si>
  <si>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</si>
  <si>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</si>
  <si>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</si>
  <si>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</si>
  <si>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</si>
  <si>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</si>
  <si>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</si>
  <si>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</si>
  <si>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</si>
  <si>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</si>
  <si>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</si>
  <si>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</si>
  <si>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</si>
  <si>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</si>
  <si>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</si>
  <si>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</si>
  <si>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</si>
  <si>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</si>
  <si>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</si>
  <si>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</si>
  <si>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</si>
  <si>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</si>
  <si>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</si>
  <si>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</si>
  <si>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</si>
  <si>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</si>
  <si>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</si>
  <si>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</si>
  <si>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</si>
  <si>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</si>
  <si>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</si>
  <si>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</si>
  <si>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</si>
  <si>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</si>
  <si>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</si>
  <si>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</si>
  <si>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</si>
  <si>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</si>
  <si>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</si>
  <si>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</si>
  <si>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</si>
  <si>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</si>
  <si>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</si>
  <si>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</si>
  <si>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</si>
  <si>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</si>
  <si>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</si>
  <si>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</si>
  <si>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</si>
  <si>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</si>
  <si>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</si>
  <si>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</si>
  <si>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</si>
  <si>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</si>
  <si>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</si>
  <si>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</si>
  <si>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</si>
  <si>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</si>
  <si>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</si>
  <si>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</si>
  <si>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</si>
  <si>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</si>
  <si>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</si>
  <si>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</si>
  <si>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</si>
  <si>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</si>
  <si>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</si>
  <si>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</si>
  <si>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</si>
  <si>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</si>
  <si>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</si>
  <si>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</si>
  <si>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</si>
  <si>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</si>
  <si>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</si>
  <si>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</si>
  <si>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</si>
  <si>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</si>
  <si>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</si>
  <si>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</si>
  <si>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</si>
  <si>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</si>
  <si>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</si>
  <si>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</si>
  <si>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</si>
  <si>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</si>
  <si>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</si>
  <si>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</si>
  <si>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</si>
  <si>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</si>
  <si>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</si>
  <si>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</si>
  <si>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</si>
  <si>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</si>
  <si>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</si>
  <si>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</si>
  <si>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</si>
  <si>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</si>
  <si>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</si>
  <si>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</si>
  <si>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</si>
  <si>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</si>
  <si>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</si>
  <si>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</si>
  <si>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</si>
  <si>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</si>
  <si>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</si>
  <si>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</si>
  <si>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</si>
  <si>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</si>
  <si>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</si>
  <si>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</si>
  <si>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</si>
  <si>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</si>
  <si>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</si>
  <si>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</si>
  <si>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</si>
  <si>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</si>
  <si>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</si>
  <si>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</si>
  <si>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</si>
  <si>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</si>
  <si>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</si>
  <si>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</si>
  <si>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</si>
  <si>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</si>
  <si>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</si>
  <si>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</si>
  <si>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</si>
  <si>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</si>
  <si>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</si>
  <si>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</si>
  <si>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</si>
  <si>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</si>
  <si>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</si>
  <si>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</si>
  <si>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</si>
  <si>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</si>
  <si>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</si>
  <si>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</si>
  <si>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</si>
  <si>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</si>
  <si>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</si>
  <si>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</si>
  <si>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</si>
  <si>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</si>
  <si>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</si>
  <si>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</si>
  <si>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</si>
  <si>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</si>
  <si>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</si>
  <si>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</si>
  <si>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</si>
  <si>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</si>
  <si>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</si>
  <si>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</si>
  <si>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</si>
  <si>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</si>
  <si>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</si>
  <si>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</si>
  <si>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</si>
  <si>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</si>
  <si>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</si>
  <si>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</si>
  <si>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</si>
  <si>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</si>
  <si>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</si>
  <si>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</si>
  <si>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</si>
  <si>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</si>
  <si>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</si>
  <si>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</si>
  <si>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</si>
  <si>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</si>
  <si>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</si>
  <si>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</si>
  <si>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</si>
  <si>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</si>
  <si>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</si>
  <si>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</si>
  <si>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</si>
  <si>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</si>
  <si>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</si>
  <si>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</si>
  <si>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</si>
  <si>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</si>
  <si>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</si>
  <si>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</si>
  <si>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</si>
  <si>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</si>
  <si>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</si>
  <si>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</si>
  <si>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</si>
  <si>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</si>
  <si>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</si>
  <si>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</si>
  <si>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</si>
  <si>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</si>
  <si>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</si>
  <si>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</si>
  <si>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</si>
  <si>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</si>
  <si>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</si>
  <si>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</si>
  <si>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</si>
  <si>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</si>
  <si>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</si>
  <si>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</si>
  <si>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</si>
  <si>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</si>
  <si>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</si>
  <si>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</si>
  <si>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</si>
  <si>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</si>
  <si>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</si>
  <si>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</si>
  <si>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</si>
  <si>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</si>
  <si>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</si>
  <si>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</si>
  <si>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</si>
  <si>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</si>
  <si>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</si>
  <si>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</si>
  <si>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</si>
  <si>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</si>
  <si>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</si>
  <si>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</si>
  <si>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</si>
  <si>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</si>
  <si>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</si>
  <si>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</si>
  <si>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</si>
  <si>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</si>
  <si>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</si>
  <si>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</si>
  <si>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</si>
  <si>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</si>
  <si>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</si>
  <si>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</si>
  <si>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</si>
  <si>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</si>
  <si>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</si>
  <si>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</si>
  <si>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</si>
  <si>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</si>
  <si>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</si>
  <si>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</si>
  <si>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</si>
  <si>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</si>
  <si>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</si>
  <si>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</si>
  <si>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</si>
  <si>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</si>
  <si>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</si>
  <si>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</si>
  <si>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</si>
  <si>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</si>
  <si>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</si>
  <si>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</si>
  <si>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</si>
  <si>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</si>
  <si>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</si>
  <si>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</si>
  <si>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</si>
  <si>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</si>
  <si>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</si>
  <si>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</si>
  <si>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</si>
  <si>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</si>
  <si>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</si>
  <si>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</si>
  <si>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</si>
  <si>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</si>
  <si>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</si>
  <si>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</si>
  <si>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</si>
  <si>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</si>
  <si>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</si>
  <si>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</si>
  <si>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</si>
  <si>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</si>
  <si>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</si>
  <si>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</si>
  <si>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</si>
  <si>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</si>
  <si>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</si>
  <si>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</si>
  <si>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</si>
  <si>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</si>
  <si>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</si>
  <si>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</si>
  <si>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</si>
  <si>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</si>
  <si>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</si>
  <si>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</si>
  <si>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</si>
  <si>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</si>
  <si>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</si>
  <si>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</si>
  <si>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</si>
  <si>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</si>
  <si>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</si>
  <si>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</si>
  <si>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</si>
  <si>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</si>
  <si>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</si>
  <si>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</si>
  <si>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</si>
  <si>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</si>
  <si>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</si>
  <si>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</si>
  <si>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</si>
  <si>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</si>
  <si>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</si>
  <si>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</si>
  <si>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</si>
  <si>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</si>
  <si>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</si>
  <si>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</si>
  <si>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</si>
  <si>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</si>
  <si>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</si>
  <si>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</si>
  <si>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</si>
  <si>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</si>
  <si>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</si>
  <si>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</si>
  <si>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</si>
  <si>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</si>
  <si>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</si>
  <si>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</si>
  <si>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</si>
  <si>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</si>
  <si>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</si>
  <si>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</si>
  <si>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</si>
  <si>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</si>
  <si>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</si>
  <si>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</si>
  <si>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</si>
  <si>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</si>
  <si>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</si>
  <si>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</si>
  <si>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</si>
  <si>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</si>
  <si>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</si>
  <si>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</si>
  <si>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</si>
  <si>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</si>
  <si>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</si>
  <si>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</si>
  <si>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</si>
  <si>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</si>
  <si>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</si>
  <si>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</si>
  <si>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</si>
  <si>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</si>
  <si>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</si>
  <si>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</si>
  <si>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</si>
  <si>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</si>
  <si>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</si>
  <si>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</si>
  <si>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Устройство покрытия пола СКБ с затиркой и укрытием ДВП / из керамогранитной плитки от 0,2м2/шт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</si>
  <si>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</si>
  <si>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</si>
  <si>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</si>
  <si>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</si>
  <si>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</si>
  <si>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</si>
  <si>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</si>
  <si>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</si>
  <si>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</si>
  <si>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</si>
  <si>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</si>
  <si>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</si>
  <si>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</si>
  <si>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</si>
  <si>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</si>
  <si>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</si>
  <si>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</si>
  <si>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</si>
  <si>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</si>
  <si>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</si>
  <si>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</si>
  <si>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</si>
  <si>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</si>
  <si>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</si>
  <si>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</si>
  <si>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</si>
  <si>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</si>
  <si>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</si>
  <si>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</si>
  <si>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</si>
  <si>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</si>
  <si>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</si>
  <si>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</si>
  <si>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</si>
  <si>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</si>
  <si>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</si>
  <si>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</si>
  <si>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</si>
  <si>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</si>
  <si>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</si>
  <si>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</si>
  <si>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</si>
  <si>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</si>
  <si>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</si>
  <si>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2 этаж. Тип: Л-4</t>
  </si>
  <si>
    <t>№ пом</t>
  </si>
  <si>
    <t>2.19</t>
  </si>
  <si>
    <t>№ п/п</t>
  </si>
  <si>
    <t>Устройство покрытия пола из линолеума.
Включая защиту ДВП</t>
  </si>
  <si>
    <t>1, 2, 3 этажи. 
Тип: Л-1</t>
  </si>
  <si>
    <t>1.03</t>
  </si>
  <si>
    <t>1.22</t>
  </si>
  <si>
    <t>1.13</t>
  </si>
  <si>
    <t>1.14</t>
  </si>
  <si>
    <t>1.15</t>
  </si>
  <si>
    <t>2.33</t>
  </si>
  <si>
    <t>2.25</t>
  </si>
  <si>
    <t>2.26</t>
  </si>
  <si>
    <t>2.24</t>
  </si>
  <si>
    <t>2.09</t>
  </si>
  <si>
    <t>2.10</t>
  </si>
  <si>
    <t>2.11</t>
  </si>
  <si>
    <t>2.13</t>
  </si>
  <si>
    <t>2.14</t>
  </si>
  <si>
    <t>2.16</t>
  </si>
  <si>
    <t>2.17</t>
  </si>
  <si>
    <t>2.18</t>
  </si>
  <si>
    <t>3.14</t>
  </si>
  <si>
    <t>3.15</t>
  </si>
  <si>
    <t>3.27</t>
  </si>
  <si>
    <t>3.16</t>
  </si>
  <si>
    <t>3.09</t>
  </si>
  <si>
    <t>3.10</t>
  </si>
  <si>
    <t>3.11</t>
  </si>
  <si>
    <t>3.22</t>
  </si>
  <si>
    <t>1.04</t>
  </si>
  <si>
    <t>1.08</t>
  </si>
  <si>
    <t>1.24</t>
  </si>
  <si>
    <t>1.25</t>
  </si>
  <si>
    <t>1.30</t>
  </si>
  <si>
    <t>1.36</t>
  </si>
  <si>
    <t>1.21</t>
  </si>
  <si>
    <t>1.20</t>
  </si>
  <si>
    <t>1.17</t>
  </si>
  <si>
    <t>1.18</t>
  </si>
  <si>
    <t>1.63</t>
  </si>
  <si>
    <t>1.54</t>
  </si>
  <si>
    <t>1.53</t>
  </si>
  <si>
    <t>1.52</t>
  </si>
  <si>
    <t>1.49</t>
  </si>
  <si>
    <t>1.47</t>
  </si>
  <si>
    <t>1.59</t>
  </si>
  <si>
    <t>1.70</t>
  </si>
  <si>
    <t>2.29</t>
  </si>
  <si>
    <t>1, 2, 3 этажи. 
Тип: КР-4</t>
  </si>
  <si>
    <t>1, 2 этажи. 
Тип: КР-1</t>
  </si>
  <si>
    <t>п1</t>
  </si>
  <si>
    <t>п9</t>
  </si>
  <si>
    <t>п9.1</t>
  </si>
  <si>
    <t>п10</t>
  </si>
  <si>
    <t>п10.1</t>
  </si>
  <si>
    <t>п13</t>
  </si>
  <si>
    <t>п13.1</t>
  </si>
  <si>
    <t>п13.2</t>
  </si>
  <si>
    <t>п13.3</t>
  </si>
  <si>
    <t>п14</t>
  </si>
  <si>
    <t>Помещение</t>
  </si>
  <si>
    <t>П-9.1</t>
  </si>
  <si>
    <t>П-10.1</t>
  </si>
  <si>
    <t>П-13.1</t>
  </si>
  <si>
    <t>П-13.2</t>
  </si>
  <si>
    <t>П-13.3</t>
  </si>
  <si>
    <t>1.61</t>
  </si>
  <si>
    <t>1.77</t>
  </si>
  <si>
    <t>1.78</t>
  </si>
  <si>
    <t>1.05</t>
  </si>
  <si>
    <t>1.09</t>
  </si>
  <si>
    <t>1.10</t>
  </si>
  <si>
    <t>1.11</t>
  </si>
  <si>
    <t>1.12</t>
  </si>
  <si>
    <t>1.28</t>
  </si>
  <si>
    <t>1.29</t>
  </si>
  <si>
    <t>1.64</t>
  </si>
  <si>
    <t>1.67</t>
  </si>
  <si>
    <t>1.68</t>
  </si>
  <si>
    <t>1.69</t>
  </si>
  <si>
    <t>1.73</t>
  </si>
  <si>
    <t>1.74</t>
  </si>
  <si>
    <t>1.19</t>
  </si>
  <si>
    <t>2.48</t>
  </si>
  <si>
    <t>2.50</t>
  </si>
  <si>
    <t>3.34</t>
  </si>
  <si>
    <t>3.42</t>
  </si>
  <si>
    <t>3.26</t>
  </si>
  <si>
    <t>3.30</t>
  </si>
  <si>
    <t>2.08</t>
  </si>
  <si>
    <t>2.12</t>
  </si>
  <si>
    <t>2.15</t>
  </si>
  <si>
    <t>2.21</t>
  </si>
  <si>
    <t>2.27</t>
  </si>
  <si>
    <t>2.28</t>
  </si>
  <si>
    <t>2.30</t>
  </si>
  <si>
    <t>2.58</t>
  </si>
  <si>
    <t>3.12</t>
  </si>
  <si>
    <t>3.13</t>
  </si>
  <si>
    <t>3.18</t>
  </si>
  <si>
    <t>3.19</t>
  </si>
  <si>
    <t>3.44</t>
  </si>
  <si>
    <t>3.45</t>
  </si>
  <si>
    <t>2.01</t>
  </si>
  <si>
    <t>3.06</t>
  </si>
  <si>
    <t>3.07</t>
  </si>
  <si>
    <t>Объем, м2</t>
  </si>
  <si>
    <t>431,9</t>
  </si>
  <si>
    <t>Пом.</t>
  </si>
  <si>
    <t>Спецификация работ</t>
  </si>
  <si>
    <t>Наименование</t>
  </si>
  <si>
    <t>Шлифование поверхности полов</t>
  </si>
  <si>
    <t>Устройство наливных полов с огрунтовкой поверхности и проклейкой демпферной лентой / толщ. от 11 мм до 15 мм</t>
  </si>
  <si>
    <t>1.01</t>
  </si>
  <si>
    <t>1.02</t>
  </si>
  <si>
    <t>1.06</t>
  </si>
  <si>
    <t>1.07</t>
  </si>
  <si>
    <t>1.16</t>
  </si>
  <si>
    <t>1.23</t>
  </si>
  <si>
    <t>1.27</t>
  </si>
  <si>
    <t>1.31</t>
  </si>
  <si>
    <t>1.32</t>
  </si>
  <si>
    <t>1.33</t>
  </si>
  <si>
    <t>1.34</t>
  </si>
  <si>
    <t>1.35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</si>
  <si>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</si>
  <si>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</si>
  <si>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</si>
  <si>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</si>
  <si>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</si>
  <si>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</si>
  <si>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</si>
  <si>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</si>
  <si>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</si>
  <si>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</si>
  <si>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1.48</t>
  </si>
  <si>
    <t>1.50</t>
  </si>
  <si>
    <t>1.51</t>
  </si>
  <si>
    <t>1.55</t>
  </si>
  <si>
    <t>1.56</t>
  </si>
  <si>
    <t>1.57</t>
  </si>
  <si>
    <t>1.58</t>
  </si>
  <si>
    <t>1.60</t>
  </si>
  <si>
    <t>1.62</t>
  </si>
  <si>
    <t>1.65</t>
  </si>
  <si>
    <t>1.66</t>
  </si>
  <si>
    <t>1.71</t>
  </si>
  <si>
    <t>1.72</t>
  </si>
  <si>
    <t>1.75</t>
  </si>
  <si>
    <t>1.76</t>
  </si>
  <si>
    <t>1.79</t>
  </si>
  <si>
    <t>1.80</t>
  </si>
  <si>
    <t>1.81</t>
  </si>
  <si>
    <t>1.82</t>
  </si>
  <si>
    <t>2.20</t>
  </si>
  <si>
    <t>2.22</t>
  </si>
  <si>
    <t>2.23</t>
  </si>
  <si>
    <t>2.31</t>
  </si>
  <si>
    <t>2.32</t>
  </si>
  <si>
    <t>2.34</t>
  </si>
  <si>
    <t>2.35</t>
  </si>
  <si>
    <t>2.36</t>
  </si>
  <si>
    <t>2.38</t>
  </si>
  <si>
    <t>2.39</t>
  </si>
  <si>
    <t>2.43</t>
  </si>
  <si>
    <t>2.46</t>
  </si>
  <si>
    <t>2.52</t>
  </si>
  <si>
    <t>2.53</t>
  </si>
  <si>
    <t>2.54</t>
  </si>
  <si>
    <t>2.55</t>
  </si>
  <si>
    <t>2.57</t>
  </si>
  <si>
    <t>3.17</t>
  </si>
  <si>
    <t>3.20</t>
  </si>
  <si>
    <t>3.21</t>
  </si>
  <si>
    <t>3.24</t>
  </si>
  <si>
    <t>3.31</t>
  </si>
  <si>
    <t>3.32</t>
  </si>
  <si>
    <t>3.36</t>
  </si>
  <si>
    <t>3.37</t>
  </si>
  <si>
    <t>3.38</t>
  </si>
  <si>
    <t>3.39</t>
  </si>
  <si>
    <t>3.40</t>
  </si>
  <si>
    <t>3.43</t>
  </si>
  <si>
    <t>Тип П-9, П-9.1, П-13, П-13.2. Самовыравнивающаяся смесь с последующей шлифовкой  − 13мм.</t>
  </si>
  <si>
    <t>Тип П-10, П-10.1. Самовыравнивающаяся  смесь с последующей шлифовкой  − 11 мм</t>
  </si>
  <si>
    <t>Тип П-14. Самовыравнивающаяся смесь с последующей шлифовкой  − 12мм.</t>
  </si>
  <si>
    <t>Типы П-9, П-9.1, П-10, П-10.1, П-13, П-13.1, П-13.2, П-13.3, П-14 (1-3 этаж)</t>
  </si>
  <si>
    <t>Тип П-13.1, П-13.3. Самовыравнивающаяся  смесь с последующей шлифовкой  − 14мм.</t>
  </si>
  <si>
    <t>Площадь</t>
  </si>
  <si>
    <t>П-3.1</t>
  </si>
  <si>
    <t>П-8.2</t>
  </si>
  <si>
    <t>Устройство покрытия пола из кварцвинила / на клею</t>
  </si>
  <si>
    <t xml:space="preserve">Л-7. Плитка виниловая </t>
  </si>
  <si>
    <t>3 этаж. П-11.</t>
  </si>
  <si>
    <t>Устройство покрытия пола из линолеума</t>
  </si>
  <si>
    <t>Затирка, уход, полировка полов мех.способом</t>
  </si>
  <si>
    <t xml:space="preserve"> Тип П-2. Железнение стяжки.</t>
  </si>
  <si>
    <t>Устройство стяжки СКБ / армированная сеткой от 41 мм до 60 мм</t>
  </si>
  <si>
    <t xml:space="preserve"> Тип П-8.2 Цементно−песчаная  стяжка M200  армированная  сеткой  5Bр1  с ячейкой  100x100  −  50мм.
Пом. 1.17</t>
  </si>
  <si>
    <t>Устройство стяжки СКБ / армированная сеткой от 61мм до 80 мм</t>
  </si>
  <si>
    <t>АРОР № СТ-МФ-1 от 08.05.2026, п.52. Тип П-8,  П-9,  П-9.1, П-10, П-11. Цементно−песчаная стяжка M200 армированная сеткой  5Bр1 с ячейкой 100x100 − 65мм. Пом. 1.27</t>
  </si>
  <si>
    <t>Устройство стяжки СКБ / неармированная с приготовлением раствора свыше 61 мм</t>
  </si>
  <si>
    <t>Наращивание подоконников ЦПС М200 толщиной 100 мм, шириной 200 мм</t>
  </si>
  <si>
    <t>Устройство стяжки СКБ / неармированная с приготовлением раствора от 21 мм до 40 мм</t>
  </si>
  <si>
    <t xml:space="preserve"> Тип П-3, П-3.1 - межэтажные площадки. Цементно−песчаная стяжка M150 выравнивающая  −  25мм.</t>
  </si>
  <si>
    <t>Устройство обмазочной гидроизоляции с проклеиванием швов армированной лентой из стекловолокна / в 2 слоя</t>
  </si>
  <si>
    <t xml:space="preserve">Тип П-5. Подвал. Обмазочная  гидроизоляция пола в 2 слоя. Мастика </t>
  </si>
  <si>
    <t>Ведомость работ</t>
  </si>
  <si>
    <t>Тип П-5. Обмазочная  гидроизоляция пола в 2 слоя, площадь  заведения стены (пилоны) на h=200 мм.</t>
  </si>
  <si>
    <t xml:space="preserve"> стены (пилоны) на h=200 мм</t>
  </si>
  <si>
    <t>Пол. Тип П-7, П-11, П-15</t>
  </si>
  <si>
    <t>Итог (Пол):</t>
  </si>
  <si>
    <t>Тип П-7, П-11, П-15 Грунтование мастикой   (536,170+105,690+12,000)*0,35=228,85 м2</t>
  </si>
  <si>
    <t>Тип П-7, П-11, П-15 в зоне входы в здание площадь стены (пилоны) на h=500 мм</t>
  </si>
  <si>
    <t>Устройство тепло-звукоизоляции полов / минвата / в 1 слой</t>
  </si>
  <si>
    <t>Пол. П-11</t>
  </si>
  <si>
    <t>Утепление полов керамзитом</t>
  </si>
  <si>
    <t>Тип П-8.1</t>
  </si>
  <si>
    <t>м3</t>
  </si>
  <si>
    <t>Установка стыковочных профилей</t>
  </si>
  <si>
    <t xml:space="preserve"> Внешние углы облицовки плиткой.</t>
  </si>
  <si>
    <t>пог. м</t>
  </si>
  <si>
    <t>Облицовка ступеней СКБ керамогранитной плиткой с затиркой швов</t>
  </si>
  <si>
    <t>1, 2, 3 этажи. Тип: КР-1.2, Проступь.</t>
  </si>
  <si>
    <t>1, 2, 3 этажи. Тип: КР-1.3, Подступенок.</t>
  </si>
  <si>
    <t xml:space="preserve">Тип: КР-9, Амфитеатр ступени. </t>
  </si>
  <si>
    <t xml:space="preserve"> КР-8. Отделка лестницы амфитеатра и торцов ступеней-сидений</t>
  </si>
  <si>
    <t>Устройство плинтуса из керамогранитной плитки СКБ</t>
  </si>
  <si>
    <t xml:space="preserve"> Тип: ПК-1</t>
  </si>
  <si>
    <t>ПК-1</t>
  </si>
  <si>
    <t>ПК-2</t>
  </si>
  <si>
    <t>ПК-3</t>
  </si>
  <si>
    <t>ПК-4</t>
  </si>
  <si>
    <t>ПК-5</t>
  </si>
  <si>
    <t>ПК-6</t>
  </si>
  <si>
    <t>ПК-7</t>
  </si>
  <si>
    <t>ПК-8</t>
  </si>
  <si>
    <t>ПЛ-4</t>
  </si>
  <si>
    <t>ПЛ-6</t>
  </si>
  <si>
    <t>ПЛ-8</t>
  </si>
  <si>
    <t xml:space="preserve"> Тип: ПК-4</t>
  </si>
  <si>
    <t xml:space="preserve"> Тип: ПК-3</t>
  </si>
  <si>
    <t>Тип: ПК-5 Плинтус H=100мм из керамогранита Kerama Marazzi Коллиано, арт.SG912900N</t>
  </si>
  <si>
    <t>Стены. П-1</t>
  </si>
  <si>
    <t>Подвал. Плинтус H=100мм</t>
  </si>
  <si>
    <t>Тип: КР-6</t>
  </si>
  <si>
    <t xml:space="preserve"> Подвал. Керамогранит Kerama Marazzi </t>
  </si>
  <si>
    <t>Тип: КР-2</t>
  </si>
  <si>
    <t>Тип: КР-1</t>
  </si>
  <si>
    <t>Тип: КР-3</t>
  </si>
  <si>
    <t>Тип: КР-10</t>
  </si>
  <si>
    <t>Тип: КР-1.1</t>
  </si>
  <si>
    <t>Установка напольного плинтуса / полимерного на клею</t>
  </si>
  <si>
    <t>Тип - ПЛ-4</t>
  </si>
  <si>
    <t>Плинтус H=100мм из керамогранита Kerama Marazzi Коллиано</t>
  </si>
  <si>
    <t>Укладка систем грязезащиты на пол</t>
  </si>
  <si>
    <t>Тип П-13 Самовыравнивающаяся смесь с последующей шлифовкой  − 13мм.</t>
  </si>
  <si>
    <t>Эт</t>
  </si>
  <si>
    <t>1</t>
  </si>
  <si>
    <t>2</t>
  </si>
  <si>
    <t>3</t>
  </si>
  <si>
    <t>пог.м</t>
  </si>
  <si>
    <t>Тип: Гр-1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</si>
</sst>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  <numFmt numFmtId="167" formatCode="0.000"/>
  </numFmts>
  <fonts count="22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b/>
      <sz val="14"/>
      <color theme="4" tint="-0.249977111117893"/>
      <name val="ГОСТ тип А"/>
      <family val="2"/>
      <charset val="204"/>
    </font>
    <font>
      <b/>
      <sz val="11"/>
      <color theme="4" tint="-0.249977111117893"/>
      <name val="Calibri"/>
      <family val="2"/>
      <charset val="204"/>
      <scheme val="minor"/>
    </font>
    <font>
      <b/>
      <sz val="12"/>
      <color theme="4" tint="-0.499984740745262"/>
      <name val="ГОСТ тип А"/>
      <family val="2"/>
      <charset val="204"/>
    </font>
    <font>
      <sz val="11"/>
      <color theme="4" tint="-0.499984740745262"/>
      <name val="Calibri"/>
      <family val="2"/>
      <charset val="204"/>
      <scheme val="minor"/>
    </font>
    <font>
      <sz val="12"/>
      <color theme="4" tint="-0.499984740745262"/>
      <name val="ГОСТ тип А"/>
      <family val="2"/>
      <charset val="204"/>
    </font>
    <font>
      <b/>
      <sz val="10"/>
      <color theme="4" tint="-0.249977111117893"/>
      <name val="Times New Roman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/>
    <xf numFmtId="49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1" xfId="0" applyNumberFormat="1" applyFont="1" applyBorder="1"/>
    <xf numFmtId="2" fontId="12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2" fontId="11" fillId="4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2" fontId="11" fillId="0" borderId="8" xfId="0" applyNumberFormat="1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49" fontId="16" fillId="4" borderId="1" xfId="0" applyNumberFormat="1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/>
    </xf>
    <xf numFmtId="2" fontId="16" fillId="4" borderId="1" xfId="0" applyNumberFormat="1" applyFont="1" applyFill="1" applyBorder="1" applyAlignment="1">
      <alignment horizontal="right"/>
    </xf>
    <xf numFmtId="2" fontId="16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2" fontId="4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center"/>
    </xf>
    <xf numFmtId="49" fontId="13" fillId="0" borderId="1" xfId="0" applyNumberFormat="1" applyFont="1" applyBorder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17" fillId="0" borderId="1" xfId="0" applyNumberFormat="1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16" fillId="4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4" borderId="1" xfId="0" applyNumberFormat="1" applyFont="1" applyFill="1" applyBorder="1" applyAlignment="1">
      <alignment horizontal="center" vertical="center"/>
    </xf>
    <xf numFmtId="0" fontId="15" fillId="4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49" fontId="15" fillId="4" borderId="8" xfId="0" applyNumberFormat="1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64" fontId="15" fillId="4" borderId="0" xfId="0" applyNumberFormat="1" applyFont="1" applyFill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8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49" fontId="17" fillId="0" borderId="8" xfId="0" applyNumberFormat="1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7" fontId="4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2" fontId="20" fillId="4" borderId="0" xfId="0" applyNumberFormat="1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19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6" fillId="0" borderId="4" xfId="0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49" fontId="19" fillId="0" borderId="1" xfId="0" applyNumberFormat="1" applyFont="1" applyBorder="1" applyAlignment="1">
      <alignment horizontal="right"/>
    </xf>
    <xf numFmtId="49" fontId="19" fillId="0" borderId="0" xfId="0" applyNumberFormat="1" applyFont="1" applyAlignment="1">
      <alignment horizontal="center" vertical="center"/>
    </xf>
    <xf numFmtId="49" fontId="19" fillId="0" borderId="10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0" fontId="4" fillId="0" borderId="12" xfId="0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0" fontId="16" fillId="4" borderId="14" xfId="0" applyNumberFormat="1" applyFont="1" applyFill="1" applyBorder="1" applyAlignment="1">
      <alignment horizontal="center" vertical="center"/>
    </xf>
    <xf numFmtId="2" fontId="16" fillId="4" borderId="13" xfId="0" applyNumberFormat="1" applyFont="1" applyFill="1" applyBorder="1" applyAlignment="1">
      <alignment horizontal="center" vertical="center"/>
    </xf>
    <xf numFmtId="2" fontId="16" fillId="4" borderId="15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6" fillId="0" borderId="3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3" xfId="0" applyFont="1" applyFill="1" applyBorder="1" applyAlignment="1">
      <alignment vertical="center" wrapText="1"/>
    </xf>
    <xf numFmtId="0" fontId="6" fillId="0" borderId="5" xfId="0" applyFont="1" applyFill="1" applyBorder="1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6" name="Таблица6" displayName="Таблица6" ref="A1:C193" totalsRowShown="0" headerRowDxfId="10" dataDxfId="9">
  <autoFilter ref="A1:C193">
    <filterColumn colId="1">
      <filters>
        <filter val="П-10"/>
        <filter val="П-10.1"/>
        <filter val="П-13"/>
        <filter val="П-13.1"/>
        <filter val="П-13.2"/>
        <filter val="П-13.3"/>
        <filter val="П-14"/>
        <filter val="П-9"/>
        <filter val="П-9.1"/>
      </filters>
    </filterColumn>
  </autoFilter>
  <sortState ref="A2:C193">
    <sortCondition ref="A1:A193"/>
  </sortState>
  <tableColumns count="3">
    <tableColumn id="1" name="Помещение" dataDxfId="8"/>
    <tableColumn id="2" name="Тип" dataDxfId="7"/>
    <tableColumn id="3" name="Площадь" dataDxfId="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2:D216" totalsRowShown="0" headerRowDxfId="5" dataDxfId="4">
  <autoFilter ref="A2:D216">
    <filterColumn colId="2">
      <filters>
        <filter val="П-10"/>
        <filter val="П-13"/>
        <filter val="П-14"/>
        <filter val="П-9"/>
      </filters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9"/>
  <sheetViews>
    <sheetView tabSelected="1" zoomScale="70" zoomScaleNormal="70" workbookViewId="0">
      <selection activeCell="D30" sqref="D30"/>
    </sheetView>
  </sheetViews>
  <sheetFormatPr defaultRowHeight="18" x14ac:dyDescent="0.3"/>
  <cols>
    <col min="1" max="2" width="7.21875" style="167" customWidth="1"/>
    <col min="3" max="3" width="7.109375" style="167" bestFit="1" customWidth="1"/>
    <col min="4" max="4" width="16.77734375" style="167" customWidth="1"/>
    <col min="5" max="5" width="11.88671875" style="167" bestFit="1" customWidth="1"/>
    <col min="6" max="6" width="10.21875" style="167" bestFit="1" customWidth="1"/>
    <col min="7" max="7" width="10" style="167" bestFit="1" customWidth="1"/>
    <col min="8" max="8" width="10.88671875" style="167" customWidth="1"/>
    <col min="9" max="16384" width="8.88671875" style="167"/>
  </cols>
  <sheetData>
    <row r="1" spans="1:7" ht="15" customHeight="1" x14ac:dyDescent="0.3">
      <c r="A1" s="173" t="s">
        <v>692</v>
      </c>
      <c r="B1" s="173"/>
      <c r="C1" s="173"/>
      <c r="D1" s="173"/>
      <c r="E1" s="173"/>
      <c r="F1" s="173"/>
      <c r="G1" s="173"/>
    </row>
    <row r="2" spans="1:7" ht="15" customHeight="1" x14ac:dyDescent="0.3">
      <c r="A2" s="12" t="s">
        <v>389</v>
      </c>
      <c r="B2" s="174" t="s">
        <v>390</v>
      </c>
      <c r="C2" s="175"/>
      <c r="D2" s="176"/>
      <c r="E2" s="166" t="s">
        <v>391</v>
      </c>
      <c r="F2" s="166" t="s">
        <v>392</v>
      </c>
      <c r="G2" s="14" t="s">
        <v>393</v>
      </c>
    </row>
    <row r="3" spans="1:7" ht="41.4" customHeight="1" x14ac:dyDescent="0.3">
      <c r="A3" s="164">
        <v>1</v>
      </c>
      <c r="B3" s="177" t="s">
        <v>740</v>
      </c>
      <c r="C3" s="178"/>
      <c r="D3" s="179"/>
      <c r="E3" s="165" t="s">
        <v>747</v>
      </c>
      <c r="F3" s="164" t="s">
        <v>746</v>
      </c>
      <c r="G3" s="76">
        <f>B9</f>
        <v>37.090000000000003</v>
      </c>
    </row>
    <row r="4" spans="1:7" x14ac:dyDescent="0.3">
      <c r="A4" s="168" t="s">
        <v>593</v>
      </c>
      <c r="B4" s="169" t="s">
        <v>393</v>
      </c>
      <c r="C4" s="264"/>
      <c r="D4" s="265"/>
      <c r="E4" s="265"/>
      <c r="F4" s="265"/>
      <c r="G4" s="265"/>
    </row>
    <row r="5" spans="1:7" x14ac:dyDescent="0.3">
      <c r="A5" s="170" t="s">
        <v>598</v>
      </c>
      <c r="B5" s="171">
        <v>8.39</v>
      </c>
      <c r="C5" s="187"/>
      <c r="D5" s="188"/>
      <c r="E5" s="188"/>
      <c r="F5" s="188"/>
      <c r="G5" s="188"/>
    </row>
    <row r="6" spans="1:7" x14ac:dyDescent="0.3">
      <c r="A6" s="170" t="s">
        <v>530</v>
      </c>
      <c r="B6" s="171">
        <v>8.1999999999999993</v>
      </c>
      <c r="C6" s="187"/>
      <c r="D6" s="188"/>
      <c r="E6" s="188"/>
      <c r="F6" s="188"/>
      <c r="G6" s="188"/>
    </row>
    <row r="7" spans="1:7" x14ac:dyDescent="0.3">
      <c r="A7" s="170" t="s">
        <v>524</v>
      </c>
      <c r="B7" s="171">
        <v>8.4</v>
      </c>
      <c r="C7" s="187"/>
      <c r="D7" s="188"/>
      <c r="E7" s="188"/>
      <c r="F7" s="188"/>
      <c r="G7" s="188"/>
    </row>
    <row r="8" spans="1:7" x14ac:dyDescent="0.3">
      <c r="A8" s="170" t="s">
        <v>658</v>
      </c>
      <c r="B8" s="171">
        <v>12.1</v>
      </c>
      <c r="C8" s="187"/>
      <c r="D8" s="188"/>
      <c r="E8" s="188"/>
      <c r="F8" s="188"/>
      <c r="G8" s="188"/>
    </row>
    <row r="9" spans="1:7" x14ac:dyDescent="0.3">
      <c r="A9" s="172" t="s">
        <v>474</v>
      </c>
      <c r="B9" s="171">
        <f>SUM(B5:B8)</f>
        <v>37.090000000000003</v>
      </c>
      <c r="C9" s="187"/>
      <c r="D9" s="188"/>
      <c r="E9" s="188"/>
      <c r="F9" s="188"/>
      <c r="G9" s="188"/>
    </row>
  </sheetData>
  <mergeCells count="4">
    <mergeCell ref="A1:G1"/>
    <mergeCell ref="B2:D2"/>
    <mergeCell ref="B3:D3"/>
    <mergeCell ref="C4:G9"/>
  </mergeCells>
  <pageMargins left="0.7" right="0.7" top="0.75" bottom="0.75" header="0.3" footer="0.3"/>
  <pageSetup paperSize="9" orientation="portrait" horizontalDpi="0" verticalDpi="0" r:id="rId1"/>
  <ignoredErrors>
    <ignoredError sqref="A6:A8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7"/>
  <sheetViews>
    <sheetView zoomScale="70" zoomScaleNormal="70" workbookViewId="0">
      <selection activeCell="C4" sqref="C4:G7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28.21875" style="162" customWidth="1"/>
    <col min="5" max="5" width="35.109375" style="162" customWidth="1"/>
    <col min="6" max="6" width="10.21875" style="162" bestFit="1" customWidth="1"/>
    <col min="7" max="7" width="10" style="162" bestFit="1" customWidth="1"/>
    <col min="8" max="8" width="10.88671875" style="162" customWidth="1"/>
    <col min="9" max="16384" width="8.88671875" style="162"/>
  </cols>
  <sheetData>
    <row r="1" spans="1:7" ht="15" customHeight="1" x14ac:dyDescent="0.3">
      <c r="A1" s="173" t="s">
        <v>692</v>
      </c>
      <c r="B1" s="173"/>
      <c r="C1" s="173"/>
      <c r="D1" s="173"/>
      <c r="E1" s="173"/>
      <c r="F1" s="173"/>
      <c r="G1" s="173"/>
    </row>
    <row r="2" spans="1:7" ht="15" customHeight="1" x14ac:dyDescent="0.3">
      <c r="A2" s="12" t="s">
        <v>389</v>
      </c>
      <c r="B2" s="174" t="s">
        <v>390</v>
      </c>
      <c r="C2" s="175"/>
      <c r="D2" s="176"/>
      <c r="E2" s="161" t="s">
        <v>391</v>
      </c>
      <c r="F2" s="161" t="s">
        <v>392</v>
      </c>
      <c r="G2" s="14" t="s">
        <v>393</v>
      </c>
    </row>
    <row r="3" spans="1:7" ht="54" customHeight="1" x14ac:dyDescent="0.3">
      <c r="A3" s="159">
        <v>1</v>
      </c>
      <c r="B3" s="177" t="s">
        <v>712</v>
      </c>
      <c r="C3" s="178"/>
      <c r="D3" s="179"/>
      <c r="E3" s="160" t="s">
        <v>739</v>
      </c>
      <c r="F3" s="159" t="s">
        <v>746</v>
      </c>
      <c r="G3" s="76">
        <f>B7</f>
        <v>20.420000000000002</v>
      </c>
    </row>
    <row r="4" spans="1:7" x14ac:dyDescent="0.3">
      <c r="A4" s="168" t="s">
        <v>593</v>
      </c>
      <c r="B4" s="169" t="s">
        <v>393</v>
      </c>
      <c r="C4" s="264"/>
      <c r="D4" s="265"/>
      <c r="E4" s="265"/>
      <c r="F4" s="265"/>
      <c r="G4" s="265"/>
    </row>
    <row r="5" spans="1:7" x14ac:dyDescent="0.3">
      <c r="A5" s="170" t="s">
        <v>645</v>
      </c>
      <c r="B5" s="171">
        <v>10.25</v>
      </c>
      <c r="C5" s="187"/>
      <c r="D5" s="188"/>
      <c r="E5" s="188"/>
      <c r="F5" s="188"/>
      <c r="G5" s="188"/>
    </row>
    <row r="6" spans="1:7" x14ac:dyDescent="0.3">
      <c r="A6" s="170" t="s">
        <v>658</v>
      </c>
      <c r="B6" s="171">
        <v>10.17</v>
      </c>
      <c r="C6" s="187"/>
      <c r="D6" s="188"/>
      <c r="E6" s="188"/>
      <c r="F6" s="188"/>
      <c r="G6" s="188"/>
    </row>
    <row r="7" spans="1:7" x14ac:dyDescent="0.3">
      <c r="A7" s="172" t="s">
        <v>474</v>
      </c>
      <c r="B7" s="171">
        <f>SUM(B5:B6)</f>
        <v>20.420000000000002</v>
      </c>
      <c r="C7" s="187"/>
      <c r="D7" s="188"/>
      <c r="E7" s="188"/>
      <c r="F7" s="188"/>
      <c r="G7" s="188"/>
    </row>
  </sheetData>
  <mergeCells count="4">
    <mergeCell ref="A1:G1"/>
    <mergeCell ref="B2:D2"/>
    <mergeCell ref="B3:D3"/>
    <mergeCell ref="C4:G7"/>
  </mergeCells>
  <pageMargins left="0.7" right="0.7" top="0.75" bottom="0.75" header="0.3" footer="0.3"/>
  <pageSetup paperSize="9" orientation="portrait" horizontalDpi="0" verticalDpi="0" r:id="rId1"/>
  <ignoredErrors>
    <ignoredError sqref="A5:A6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zoomScale="70" zoomScaleNormal="70" workbookViewId="0">
      <selection activeCell="B3" sqref="B3:C3"/>
    </sheetView>
  </sheetViews>
  <sheetFormatPr defaultRowHeight="18" x14ac:dyDescent="0.3"/>
  <cols>
    <col min="1" max="1" width="7.21875" style="162" customWidth="1"/>
    <col min="2" max="2" width="7.109375" style="162" bestFit="1" customWidth="1"/>
    <col min="3" max="3" width="35.21875" style="162" customWidth="1"/>
    <col min="4" max="4" width="14.44140625" style="162" bestFit="1" customWidth="1"/>
    <col min="5" max="5" width="10.21875" style="162" bestFit="1" customWidth="1"/>
    <col min="6" max="6" width="10" style="162" bestFit="1" customWidth="1"/>
    <col min="7" max="7" width="10.88671875" style="162" customWidth="1"/>
    <col min="8" max="16384" width="8.88671875" style="162"/>
  </cols>
  <sheetData>
    <row r="1" spans="1:6" ht="15" customHeight="1" x14ac:dyDescent="0.3">
      <c r="A1" s="173" t="s">
        <v>692</v>
      </c>
      <c r="B1" s="173"/>
      <c r="C1" s="173"/>
      <c r="D1" s="173"/>
      <c r="E1" s="173"/>
      <c r="F1" s="173"/>
    </row>
    <row r="2" spans="1:6" ht="15" customHeight="1" x14ac:dyDescent="0.3">
      <c r="A2" s="12" t="s">
        <v>389</v>
      </c>
      <c r="B2" s="258" t="s">
        <v>390</v>
      </c>
      <c r="C2" s="259"/>
      <c r="D2" s="161" t="s">
        <v>391</v>
      </c>
      <c r="E2" s="161" t="s">
        <v>392</v>
      </c>
      <c r="F2" s="14" t="s">
        <v>393</v>
      </c>
    </row>
    <row r="3" spans="1:6" ht="54" customHeight="1" x14ac:dyDescent="0.3">
      <c r="A3" s="159">
        <v>1</v>
      </c>
      <c r="B3" s="260" t="s">
        <v>737</v>
      </c>
      <c r="C3" s="261"/>
      <c r="D3" s="160" t="s">
        <v>738</v>
      </c>
      <c r="E3" s="159" t="s">
        <v>746</v>
      </c>
      <c r="F3" s="76">
        <f>B9</f>
        <v>1553.13</v>
      </c>
    </row>
    <row r="4" spans="1:6" x14ac:dyDescent="0.3">
      <c r="A4" s="185"/>
      <c r="B4" s="185"/>
      <c r="C4" s="185"/>
      <c r="D4" s="185"/>
      <c r="E4" s="185"/>
      <c r="F4" s="185"/>
    </row>
    <row r="5" spans="1:6" x14ac:dyDescent="0.3">
      <c r="A5" s="168" t="s">
        <v>742</v>
      </c>
      <c r="B5" s="169" t="s">
        <v>393</v>
      </c>
      <c r="C5" s="263"/>
      <c r="D5" s="262"/>
      <c r="E5" s="262"/>
      <c r="F5" s="262"/>
    </row>
    <row r="6" spans="1:6" x14ac:dyDescent="0.3">
      <c r="A6" s="170" t="s">
        <v>743</v>
      </c>
      <c r="B6" s="171">
        <v>371.2</v>
      </c>
      <c r="C6" s="263"/>
      <c r="D6" s="262"/>
      <c r="E6" s="262"/>
      <c r="F6" s="262"/>
    </row>
    <row r="7" spans="1:6" x14ac:dyDescent="0.3">
      <c r="A7" s="170" t="s">
        <v>744</v>
      </c>
      <c r="B7" s="171">
        <v>590.25</v>
      </c>
      <c r="C7" s="263"/>
      <c r="D7" s="262"/>
      <c r="E7" s="262"/>
      <c r="F7" s="262"/>
    </row>
    <row r="8" spans="1:6" x14ac:dyDescent="0.3">
      <c r="A8" s="170" t="s">
        <v>745</v>
      </c>
      <c r="B8" s="171">
        <v>591.67999999999995</v>
      </c>
      <c r="C8" s="263"/>
      <c r="D8" s="262"/>
      <c r="E8" s="262"/>
      <c r="F8" s="262"/>
    </row>
    <row r="9" spans="1:6" x14ac:dyDescent="0.3">
      <c r="A9" s="172" t="s">
        <v>474</v>
      </c>
      <c r="B9" s="171">
        <f>SUM(B6:B8)</f>
        <v>1553.13</v>
      </c>
      <c r="C9" s="263"/>
      <c r="D9" s="262"/>
      <c r="E9" s="262"/>
      <c r="F9" s="262"/>
    </row>
  </sheetData>
  <mergeCells count="5">
    <mergeCell ref="A4:F4"/>
    <mergeCell ref="C5:F9"/>
    <mergeCell ref="A1:F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1"/>
  <sheetViews>
    <sheetView zoomScale="55" zoomScaleNormal="55" workbookViewId="0">
      <selection activeCell="F21" sqref="F21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10.77734375" style="162" customWidth="1"/>
    <col min="5" max="5" width="12" style="162" customWidth="1"/>
    <col min="6" max="7" width="39" style="162" customWidth="1"/>
    <col min="8" max="8" width="5.5546875" style="162" bestFit="1" customWidth="1"/>
    <col min="9" max="9" width="10.21875" style="162" bestFit="1" customWidth="1"/>
    <col min="10" max="10" width="10" style="162" bestFit="1" customWidth="1"/>
    <col min="11" max="16384" width="8.88671875" style="162"/>
  </cols>
  <sheetData>
    <row r="1" spans="1:10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</row>
    <row r="2" spans="1:10" ht="15" customHeight="1" x14ac:dyDescent="0.3">
      <c r="A2" s="12" t="s">
        <v>389</v>
      </c>
      <c r="B2" s="174" t="s">
        <v>390</v>
      </c>
      <c r="C2" s="175"/>
      <c r="D2" s="175"/>
      <c r="E2" s="175"/>
      <c r="F2" s="176"/>
      <c r="G2" s="181" t="s">
        <v>391</v>
      </c>
      <c r="H2" s="182"/>
      <c r="I2" s="161" t="s">
        <v>392</v>
      </c>
      <c r="J2" s="14" t="s">
        <v>393</v>
      </c>
    </row>
    <row r="3" spans="1:10" ht="54" customHeight="1" x14ac:dyDescent="0.3">
      <c r="A3" s="159">
        <v>1</v>
      </c>
      <c r="B3" s="177" t="s">
        <v>597</v>
      </c>
      <c r="C3" s="178"/>
      <c r="D3" s="178"/>
      <c r="E3" s="178"/>
      <c r="F3" s="179"/>
      <c r="G3" s="183" t="s">
        <v>741</v>
      </c>
      <c r="H3" s="184"/>
      <c r="I3" s="159" t="s">
        <v>394</v>
      </c>
      <c r="J3" s="76">
        <f>B11+E8</f>
        <v>264.79999999999995</v>
      </c>
    </row>
    <row r="4" spans="1:10" x14ac:dyDescent="0.3">
      <c r="A4" s="185"/>
      <c r="B4" s="185"/>
      <c r="C4" s="185"/>
      <c r="D4" s="185"/>
      <c r="E4" s="185"/>
      <c r="F4" s="185"/>
      <c r="G4" s="185"/>
      <c r="H4" s="185"/>
      <c r="I4" s="185"/>
      <c r="J4" s="185"/>
    </row>
    <row r="5" spans="1:10" x14ac:dyDescent="0.3">
      <c r="A5" s="168" t="s">
        <v>593</v>
      </c>
      <c r="B5" s="169" t="s">
        <v>393</v>
      </c>
      <c r="C5" s="186"/>
      <c r="D5" s="168" t="s">
        <v>593</v>
      </c>
      <c r="E5" s="169" t="s">
        <v>393</v>
      </c>
      <c r="F5" s="187"/>
      <c r="G5" s="188"/>
      <c r="H5" s="188"/>
      <c r="I5" s="188"/>
      <c r="J5" s="188"/>
    </row>
    <row r="6" spans="1:10" x14ac:dyDescent="0.3">
      <c r="A6" s="170" t="s">
        <v>451</v>
      </c>
      <c r="B6" s="171">
        <v>23.5</v>
      </c>
      <c r="C6" s="186"/>
      <c r="D6" s="170" t="s">
        <v>467</v>
      </c>
      <c r="E6" s="171">
        <v>23.4</v>
      </c>
      <c r="F6" s="187"/>
      <c r="G6" s="188"/>
      <c r="H6" s="188"/>
      <c r="I6" s="188"/>
      <c r="J6" s="188"/>
    </row>
    <row r="7" spans="1:10" x14ac:dyDescent="0.3">
      <c r="A7" s="170" t="s">
        <v>454</v>
      </c>
      <c r="B7" s="171">
        <v>23.1</v>
      </c>
      <c r="C7" s="186"/>
      <c r="D7" s="170" t="s">
        <v>469</v>
      </c>
      <c r="E7" s="171">
        <v>23.2</v>
      </c>
      <c r="F7" s="187"/>
      <c r="G7" s="188"/>
      <c r="H7" s="188"/>
      <c r="I7" s="188"/>
      <c r="J7" s="188"/>
    </row>
    <row r="8" spans="1:10" x14ac:dyDescent="0.3">
      <c r="A8" s="170" t="s">
        <v>458</v>
      </c>
      <c r="B8" s="171">
        <v>72.5</v>
      </c>
      <c r="C8" s="186"/>
      <c r="D8" s="172" t="s">
        <v>474</v>
      </c>
      <c r="E8" s="171">
        <f>SUM(E6:E7)</f>
        <v>46.599999999999994</v>
      </c>
      <c r="F8" s="187"/>
      <c r="G8" s="188"/>
      <c r="H8" s="188"/>
      <c r="I8" s="188"/>
      <c r="J8" s="188"/>
    </row>
    <row r="9" spans="1:10" x14ac:dyDescent="0.3">
      <c r="A9" s="170" t="s">
        <v>459</v>
      </c>
      <c r="B9" s="171">
        <v>41.9</v>
      </c>
      <c r="C9" s="187"/>
      <c r="D9" s="180"/>
      <c r="E9" s="180"/>
      <c r="F9" s="188"/>
      <c r="G9" s="188"/>
      <c r="H9" s="188"/>
      <c r="I9" s="188"/>
      <c r="J9" s="188"/>
    </row>
    <row r="10" spans="1:10" x14ac:dyDescent="0.3">
      <c r="A10" s="170" t="s">
        <v>460</v>
      </c>
      <c r="B10" s="171">
        <v>57.2</v>
      </c>
      <c r="C10" s="187"/>
      <c r="D10" s="180"/>
      <c r="E10" s="180"/>
      <c r="F10" s="188"/>
      <c r="G10" s="188"/>
      <c r="H10" s="188"/>
      <c r="I10" s="188"/>
      <c r="J10" s="188"/>
    </row>
    <row r="11" spans="1:10" x14ac:dyDescent="0.3">
      <c r="A11" s="172" t="s">
        <v>474</v>
      </c>
      <c r="B11" s="171">
        <f>SUM(B6:B10)</f>
        <v>218.2</v>
      </c>
      <c r="C11" s="187"/>
      <c r="D11" s="180"/>
      <c r="E11" s="180"/>
      <c r="F11" s="188"/>
      <c r="G11" s="188"/>
      <c r="H11" s="188"/>
      <c r="I11" s="188"/>
      <c r="J11" s="188"/>
    </row>
  </sheetData>
  <mergeCells count="9">
    <mergeCell ref="A1:J1"/>
    <mergeCell ref="D9:E11"/>
    <mergeCell ref="G2:H2"/>
    <mergeCell ref="G3:H3"/>
    <mergeCell ref="B2:F2"/>
    <mergeCell ref="B3:F3"/>
    <mergeCell ref="A4:J4"/>
    <mergeCell ref="C5:C11"/>
    <mergeCell ref="F5:J11"/>
  </mergeCells>
  <pageMargins left="0.7" right="0.7" top="0.75" bottom="0.75" header="0.3" footer="0.3"/>
  <pageSetup paperSize="9" orientation="portrait" horizontalDpi="0" verticalDpi="0" r:id="rId1"/>
  <ignoredErrors>
    <ignoredError sqref="A6:A10 D6:D7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39"/>
  <sheetViews>
    <sheetView topLeftCell="A16" workbookViewId="0">
      <selection activeCell="G92" sqref="G92"/>
    </sheetView>
  </sheetViews>
  <sheetFormatPr defaultRowHeight="14.4" x14ac:dyDescent="0.3"/>
  <cols>
    <col min="1" max="1" width="13.21875" style="100" customWidth="1"/>
    <col min="2" max="2" width="8.88671875" style="101"/>
    <col min="3" max="3" width="10.6640625" style="101" customWidth="1"/>
    <col min="4" max="16384" width="8.88671875" style="101"/>
  </cols>
  <sheetData>
    <row r="1" spans="1:3" x14ac:dyDescent="0.3">
      <c r="A1" s="100" t="s">
        <v>545</v>
      </c>
      <c r="B1" s="101" t="s">
        <v>441</v>
      </c>
      <c r="C1" s="101" t="s">
        <v>673</v>
      </c>
    </row>
    <row r="2" spans="1:3" ht="14.4" hidden="1" customHeight="1" x14ac:dyDescent="0.3">
      <c r="A2" s="100" t="s">
        <v>598</v>
      </c>
      <c r="B2" s="101" t="s">
        <v>10</v>
      </c>
      <c r="C2" s="101">
        <v>13.2</v>
      </c>
    </row>
    <row r="3" spans="1:3" ht="14.4" hidden="1" customHeight="1" x14ac:dyDescent="0.3">
      <c r="A3" s="100" t="s">
        <v>598</v>
      </c>
      <c r="B3" s="101" t="s">
        <v>11</v>
      </c>
      <c r="C3" s="101">
        <v>13.2</v>
      </c>
    </row>
    <row r="4" spans="1:3" ht="14.4" hidden="1" customHeight="1" x14ac:dyDescent="0.3">
      <c r="A4" s="100" t="s">
        <v>599</v>
      </c>
      <c r="B4" s="101" t="s">
        <v>11</v>
      </c>
      <c r="C4" s="101">
        <v>16.7</v>
      </c>
    </row>
    <row r="5" spans="1:3" ht="14.4" hidden="1" customHeight="1" x14ac:dyDescent="0.3">
      <c r="A5" s="100" t="s">
        <v>489</v>
      </c>
      <c r="B5" s="101" t="s">
        <v>15</v>
      </c>
      <c r="C5" s="101">
        <v>5.3</v>
      </c>
    </row>
    <row r="6" spans="1:3" ht="14.4" hidden="1" customHeight="1" x14ac:dyDescent="0.3">
      <c r="A6" s="100" t="s">
        <v>514</v>
      </c>
      <c r="B6" s="101" t="s">
        <v>674</v>
      </c>
      <c r="C6" s="101">
        <v>380.4</v>
      </c>
    </row>
    <row r="7" spans="1:3" ht="14.4" hidden="1" customHeight="1" x14ac:dyDescent="0.3">
      <c r="A7" s="100" t="s">
        <v>514</v>
      </c>
      <c r="B7" s="101" t="s">
        <v>11</v>
      </c>
      <c r="C7" s="101">
        <v>380.4</v>
      </c>
    </row>
    <row r="8" spans="1:3" ht="14.4" hidden="1" customHeight="1" x14ac:dyDescent="0.3">
      <c r="A8" s="100" t="s">
        <v>514</v>
      </c>
      <c r="B8" s="101" t="s">
        <v>16</v>
      </c>
      <c r="C8" s="101">
        <v>380.4</v>
      </c>
    </row>
    <row r="9" spans="1:3" ht="14.4" customHeight="1" x14ac:dyDescent="0.3">
      <c r="A9" s="100" t="s">
        <v>554</v>
      </c>
      <c r="B9" s="101" t="s">
        <v>546</v>
      </c>
      <c r="C9" s="101">
        <v>22</v>
      </c>
    </row>
    <row r="10" spans="1:3" ht="14.4" hidden="1" customHeight="1" x14ac:dyDescent="0.3">
      <c r="A10" s="100" t="s">
        <v>600</v>
      </c>
      <c r="B10" s="101" t="s">
        <v>15</v>
      </c>
      <c r="C10" s="101">
        <v>6.1</v>
      </c>
    </row>
    <row r="11" spans="1:3" ht="14.4" hidden="1" customHeight="1" x14ac:dyDescent="0.3">
      <c r="A11" s="100" t="s">
        <v>601</v>
      </c>
      <c r="B11" s="101" t="s">
        <v>11</v>
      </c>
      <c r="C11" s="101">
        <v>10</v>
      </c>
    </row>
    <row r="12" spans="1:3" ht="14.4" hidden="1" customHeight="1" x14ac:dyDescent="0.3">
      <c r="A12" s="100" t="s">
        <v>515</v>
      </c>
      <c r="B12" s="101" t="s">
        <v>11</v>
      </c>
      <c r="C12" s="101">
        <v>105.4</v>
      </c>
    </row>
    <row r="13" spans="1:3" ht="14.4" customHeight="1" x14ac:dyDescent="0.3">
      <c r="A13" s="100" t="s">
        <v>555</v>
      </c>
      <c r="B13" s="101" t="s">
        <v>546</v>
      </c>
      <c r="C13" s="101">
        <v>63</v>
      </c>
    </row>
    <row r="14" spans="1:3" ht="14.4" customHeight="1" x14ac:dyDescent="0.3">
      <c r="A14" s="100" t="s">
        <v>556</v>
      </c>
      <c r="B14" s="101" t="s">
        <v>546</v>
      </c>
      <c r="C14" s="101">
        <v>64.3</v>
      </c>
    </row>
    <row r="15" spans="1:3" ht="14.4" customHeight="1" x14ac:dyDescent="0.3">
      <c r="A15" s="100" t="s">
        <v>557</v>
      </c>
      <c r="B15" s="101" t="s">
        <v>546</v>
      </c>
      <c r="C15" s="101">
        <v>64.400000000000006</v>
      </c>
    </row>
    <row r="16" spans="1:3" ht="14.4" customHeight="1" x14ac:dyDescent="0.3">
      <c r="A16" s="100" t="s">
        <v>558</v>
      </c>
      <c r="B16" s="101" t="s">
        <v>546</v>
      </c>
      <c r="C16" s="101">
        <v>131.19999999999999</v>
      </c>
    </row>
    <row r="17" spans="1:3" ht="14.4" hidden="1" customHeight="1" x14ac:dyDescent="0.3">
      <c r="A17" s="100" t="s">
        <v>491</v>
      </c>
      <c r="B17" s="101" t="s">
        <v>15</v>
      </c>
      <c r="C17" s="101">
        <v>15.6</v>
      </c>
    </row>
    <row r="18" spans="1:3" ht="14.4" hidden="1" customHeight="1" x14ac:dyDescent="0.3">
      <c r="A18" s="100" t="s">
        <v>492</v>
      </c>
      <c r="B18" s="101" t="s">
        <v>15</v>
      </c>
      <c r="C18" s="101">
        <v>5.4</v>
      </c>
    </row>
    <row r="19" spans="1:3" ht="14.4" hidden="1" customHeight="1" x14ac:dyDescent="0.3">
      <c r="A19" s="100" t="s">
        <v>493</v>
      </c>
      <c r="B19" s="101" t="s">
        <v>15</v>
      </c>
      <c r="C19" s="101">
        <v>15.5</v>
      </c>
    </row>
    <row r="20" spans="1:3" ht="14.4" hidden="1" customHeight="1" x14ac:dyDescent="0.3">
      <c r="A20" s="100" t="s">
        <v>602</v>
      </c>
      <c r="B20" s="101" t="s">
        <v>15</v>
      </c>
      <c r="C20" s="101">
        <v>2.4</v>
      </c>
    </row>
    <row r="21" spans="1:3" ht="14.4" hidden="1" customHeight="1" x14ac:dyDescent="0.3">
      <c r="A21" s="100" t="s">
        <v>522</v>
      </c>
      <c r="B21" s="101" t="s">
        <v>675</v>
      </c>
      <c r="C21" s="101">
        <v>13.9</v>
      </c>
    </row>
    <row r="22" spans="1:3" ht="14.4" hidden="1" customHeight="1" x14ac:dyDescent="0.3">
      <c r="A22" s="100" t="s">
        <v>523</v>
      </c>
      <c r="B22" s="101" t="s">
        <v>675</v>
      </c>
      <c r="C22" s="101">
        <v>13.9</v>
      </c>
    </row>
    <row r="23" spans="1:3" ht="14.4" customHeight="1" x14ac:dyDescent="0.3">
      <c r="A23" s="100" t="s">
        <v>567</v>
      </c>
      <c r="B23" s="101" t="s">
        <v>547</v>
      </c>
      <c r="C23" s="101">
        <v>20.7</v>
      </c>
    </row>
    <row r="24" spans="1:3" ht="14.4" hidden="1" customHeight="1" x14ac:dyDescent="0.3">
      <c r="A24" s="100" t="s">
        <v>521</v>
      </c>
      <c r="B24" s="101" t="s">
        <v>11</v>
      </c>
      <c r="C24" s="101">
        <v>20.399999999999999</v>
      </c>
    </row>
    <row r="25" spans="1:3" ht="14.4" hidden="1" customHeight="1" x14ac:dyDescent="0.3">
      <c r="A25" s="100" t="s">
        <v>520</v>
      </c>
      <c r="B25" s="101" t="s">
        <v>15</v>
      </c>
      <c r="C25" s="101">
        <v>6</v>
      </c>
    </row>
    <row r="26" spans="1:3" ht="14.4" hidden="1" customHeight="1" x14ac:dyDescent="0.3">
      <c r="A26" s="100" t="s">
        <v>490</v>
      </c>
      <c r="B26" s="101" t="s">
        <v>15</v>
      </c>
      <c r="C26" s="101">
        <v>4</v>
      </c>
    </row>
    <row r="27" spans="1:3" ht="14.4" hidden="1" customHeight="1" x14ac:dyDescent="0.3">
      <c r="A27" s="100" t="s">
        <v>603</v>
      </c>
      <c r="B27" s="101" t="s">
        <v>15</v>
      </c>
      <c r="C27" s="101">
        <v>5</v>
      </c>
    </row>
    <row r="28" spans="1:3" ht="14.4" hidden="1" customHeight="1" x14ac:dyDescent="0.3">
      <c r="A28" s="100" t="s">
        <v>516</v>
      </c>
      <c r="B28" s="101" t="s">
        <v>11</v>
      </c>
      <c r="C28" s="101">
        <v>10.1</v>
      </c>
    </row>
    <row r="29" spans="1:3" ht="14.4" hidden="1" customHeight="1" x14ac:dyDescent="0.3">
      <c r="A29" s="100" t="s">
        <v>517</v>
      </c>
      <c r="B29" s="101" t="s">
        <v>11</v>
      </c>
      <c r="C29" s="101">
        <v>10.3</v>
      </c>
    </row>
    <row r="30" spans="1:3" ht="14.4" hidden="1" customHeight="1" x14ac:dyDescent="0.3">
      <c r="A30" s="100" t="s">
        <v>444</v>
      </c>
      <c r="B30" s="101" t="s">
        <v>11</v>
      </c>
      <c r="C30" s="101">
        <v>10.7</v>
      </c>
    </row>
    <row r="31" spans="1:3" ht="14.4" hidden="1" customHeight="1" x14ac:dyDescent="0.3">
      <c r="A31" s="100" t="s">
        <v>604</v>
      </c>
      <c r="B31" s="101" t="s">
        <v>11</v>
      </c>
      <c r="C31" s="101">
        <v>25.9</v>
      </c>
    </row>
    <row r="32" spans="1:3" ht="14.4" customHeight="1" x14ac:dyDescent="0.3">
      <c r="A32" s="100" t="s">
        <v>559</v>
      </c>
      <c r="B32" s="101" t="s">
        <v>546</v>
      </c>
      <c r="C32" s="101">
        <v>22.1</v>
      </c>
    </row>
    <row r="33" spans="1:3" ht="14.4" customHeight="1" x14ac:dyDescent="0.3">
      <c r="A33" s="100" t="s">
        <v>560</v>
      </c>
      <c r="B33" s="101" t="s">
        <v>546</v>
      </c>
      <c r="C33" s="101">
        <v>28.7</v>
      </c>
    </row>
    <row r="34" spans="1:3" ht="14.4" hidden="1" customHeight="1" x14ac:dyDescent="0.3">
      <c r="A34" s="100" t="s">
        <v>518</v>
      </c>
      <c r="B34" s="101" t="s">
        <v>11</v>
      </c>
      <c r="C34" s="101">
        <v>99.9</v>
      </c>
    </row>
    <row r="35" spans="1:3" ht="14.4" hidden="1" customHeight="1" x14ac:dyDescent="0.3">
      <c r="A35" s="100" t="s">
        <v>605</v>
      </c>
      <c r="B35" s="101" t="s">
        <v>11</v>
      </c>
      <c r="C35" s="101">
        <v>112.9</v>
      </c>
    </row>
    <row r="36" spans="1:3" ht="14.4" hidden="1" customHeight="1" x14ac:dyDescent="0.3">
      <c r="A36" s="100" t="s">
        <v>606</v>
      </c>
      <c r="B36" s="101" t="s">
        <v>11</v>
      </c>
      <c r="C36" s="101">
        <v>24.5</v>
      </c>
    </row>
    <row r="37" spans="1:3" ht="14.4" hidden="1" customHeight="1" x14ac:dyDescent="0.3">
      <c r="A37" s="100" t="s">
        <v>607</v>
      </c>
      <c r="B37" s="101" t="s">
        <v>11</v>
      </c>
      <c r="C37" s="101">
        <v>27.9</v>
      </c>
    </row>
    <row r="38" spans="1:3" ht="14.4" hidden="1" customHeight="1" x14ac:dyDescent="0.3">
      <c r="A38" s="100" t="s">
        <v>608</v>
      </c>
      <c r="B38" s="101" t="s">
        <v>11</v>
      </c>
      <c r="C38" s="101">
        <v>25.7</v>
      </c>
    </row>
    <row r="39" spans="1:3" ht="14.4" hidden="1" customHeight="1" x14ac:dyDescent="0.3">
      <c r="A39" s="100" t="s">
        <v>608</v>
      </c>
      <c r="B39" s="101" t="s">
        <v>12</v>
      </c>
      <c r="C39" s="101">
        <v>25.7</v>
      </c>
    </row>
    <row r="40" spans="1:3" ht="14.4" hidden="1" customHeight="1" x14ac:dyDescent="0.3">
      <c r="A40" s="100" t="s">
        <v>609</v>
      </c>
      <c r="B40" s="101" t="s">
        <v>11</v>
      </c>
      <c r="C40" s="101">
        <v>30.6</v>
      </c>
    </row>
    <row r="41" spans="1:3" ht="14.4" hidden="1" customHeight="1" x14ac:dyDescent="0.3">
      <c r="A41" s="100" t="s">
        <v>519</v>
      </c>
      <c r="B41" s="101" t="s">
        <v>11</v>
      </c>
      <c r="C41" s="101">
        <v>6.7</v>
      </c>
    </row>
    <row r="42" spans="1:3" ht="14.4" hidden="1" customHeight="1" x14ac:dyDescent="0.3">
      <c r="A42" s="100" t="s">
        <v>610</v>
      </c>
      <c r="B42" s="101" t="s">
        <v>15</v>
      </c>
      <c r="C42" s="101">
        <v>11</v>
      </c>
    </row>
    <row r="43" spans="1:3" ht="14.4" hidden="1" customHeight="1" x14ac:dyDescent="0.3">
      <c r="A43" s="100" t="s">
        <v>611</v>
      </c>
      <c r="B43" s="101" t="s">
        <v>11</v>
      </c>
      <c r="C43" s="101">
        <v>171.1</v>
      </c>
    </row>
    <row r="44" spans="1:3" ht="14.4" hidden="1" customHeight="1" x14ac:dyDescent="0.3">
      <c r="A44" s="100" t="s">
        <v>612</v>
      </c>
      <c r="B44" s="101" t="s">
        <v>15</v>
      </c>
      <c r="C44" s="101">
        <v>36.4</v>
      </c>
    </row>
    <row r="45" spans="1:3" ht="14.4" hidden="1" customHeight="1" x14ac:dyDescent="0.3">
      <c r="A45" s="100" t="s">
        <v>613</v>
      </c>
      <c r="B45" s="101" t="s">
        <v>15</v>
      </c>
      <c r="C45" s="101">
        <v>15</v>
      </c>
    </row>
    <row r="46" spans="1:3" ht="14.4" hidden="1" customHeight="1" x14ac:dyDescent="0.3">
      <c r="A46" s="100" t="s">
        <v>614</v>
      </c>
      <c r="B46" s="101" t="s">
        <v>15</v>
      </c>
      <c r="C46" s="101">
        <v>89.2</v>
      </c>
    </row>
    <row r="47" spans="1:3" ht="14.4" hidden="1" customHeight="1" x14ac:dyDescent="0.3">
      <c r="A47" s="100" t="s">
        <v>615</v>
      </c>
      <c r="B47" s="101" t="s">
        <v>15</v>
      </c>
      <c r="C47" s="101">
        <v>13.6</v>
      </c>
    </row>
    <row r="48" spans="1:3" ht="14.4" hidden="1" customHeight="1" x14ac:dyDescent="0.3">
      <c r="A48" s="100" t="s">
        <v>616</v>
      </c>
      <c r="B48" s="101" t="s">
        <v>11</v>
      </c>
      <c r="C48" s="101">
        <v>12.1</v>
      </c>
    </row>
    <row r="49" spans="1:3" ht="14.4" hidden="1" customHeight="1" x14ac:dyDescent="0.3">
      <c r="A49" s="100" t="s">
        <v>617</v>
      </c>
      <c r="B49" s="101" t="s">
        <v>15</v>
      </c>
      <c r="C49" s="101">
        <v>29.7</v>
      </c>
    </row>
    <row r="50" spans="1:3" ht="14.4" hidden="1" customHeight="1" x14ac:dyDescent="0.3">
      <c r="A50" s="100" t="s">
        <v>618</v>
      </c>
      <c r="B50" s="101" t="s">
        <v>11</v>
      </c>
      <c r="C50" s="101">
        <v>10.8</v>
      </c>
    </row>
    <row r="51" spans="1:3" ht="14.4" hidden="1" customHeight="1" x14ac:dyDescent="0.3">
      <c r="A51" s="100" t="s">
        <v>619</v>
      </c>
      <c r="B51" s="101" t="s">
        <v>11</v>
      </c>
      <c r="C51" s="101">
        <v>9.1</v>
      </c>
    </row>
    <row r="52" spans="1:3" ht="14.4" hidden="1" customHeight="1" x14ac:dyDescent="0.3">
      <c r="A52" s="100" t="s">
        <v>529</v>
      </c>
      <c r="B52" s="101" t="s">
        <v>15</v>
      </c>
      <c r="C52" s="101">
        <v>9.4</v>
      </c>
    </row>
    <row r="53" spans="1:3" ht="14.4" hidden="1" customHeight="1" x14ac:dyDescent="0.3">
      <c r="A53" s="100" t="s">
        <v>620</v>
      </c>
      <c r="B53" s="101" t="s">
        <v>11</v>
      </c>
      <c r="C53" s="101">
        <v>7.7</v>
      </c>
    </row>
    <row r="54" spans="1:3" ht="14.4" hidden="1" customHeight="1" x14ac:dyDescent="0.3">
      <c r="A54" s="100" t="s">
        <v>528</v>
      </c>
      <c r="B54" s="101" t="s">
        <v>15</v>
      </c>
      <c r="C54" s="101">
        <v>3.1</v>
      </c>
    </row>
    <row r="55" spans="1:3" ht="14.4" hidden="1" customHeight="1" x14ac:dyDescent="0.3">
      <c r="A55" s="100" t="s">
        <v>621</v>
      </c>
      <c r="B55" s="101" t="s">
        <v>15</v>
      </c>
      <c r="C55" s="101">
        <v>8.4</v>
      </c>
    </row>
    <row r="56" spans="1:3" ht="14.4" hidden="1" customHeight="1" x14ac:dyDescent="0.3">
      <c r="A56" s="100" t="s">
        <v>622</v>
      </c>
      <c r="B56" s="101" t="s">
        <v>15</v>
      </c>
      <c r="C56" s="101">
        <v>8.4</v>
      </c>
    </row>
    <row r="57" spans="1:3" ht="14.4" hidden="1" customHeight="1" x14ac:dyDescent="0.3">
      <c r="A57" s="100" t="s">
        <v>527</v>
      </c>
      <c r="B57" s="101" t="s">
        <v>10</v>
      </c>
      <c r="C57" s="101">
        <v>2.6</v>
      </c>
    </row>
    <row r="58" spans="1:3" ht="14.4" hidden="1" customHeight="1" x14ac:dyDescent="0.3">
      <c r="A58" s="100" t="s">
        <v>526</v>
      </c>
      <c r="B58" s="101" t="s">
        <v>15</v>
      </c>
      <c r="C58" s="101">
        <v>3.6</v>
      </c>
    </row>
    <row r="59" spans="1:3" ht="14.4" hidden="1" customHeight="1" x14ac:dyDescent="0.3">
      <c r="A59" s="100" t="s">
        <v>525</v>
      </c>
      <c r="B59" s="101" t="s">
        <v>15</v>
      </c>
      <c r="C59" s="101">
        <v>10.4</v>
      </c>
    </row>
    <row r="60" spans="1:3" ht="14.4" hidden="1" customHeight="1" x14ac:dyDescent="0.3">
      <c r="A60" s="100" t="s">
        <v>623</v>
      </c>
      <c r="B60" s="101" t="s">
        <v>15</v>
      </c>
      <c r="C60" s="101">
        <v>13.9</v>
      </c>
    </row>
    <row r="61" spans="1:3" ht="14.4" hidden="1" customHeight="1" x14ac:dyDescent="0.3">
      <c r="A61" s="100" t="s">
        <v>624</v>
      </c>
      <c r="B61" s="101" t="s">
        <v>15</v>
      </c>
      <c r="C61" s="101">
        <v>12.2</v>
      </c>
    </row>
    <row r="62" spans="1:3" ht="14.4" hidden="1" customHeight="1" x14ac:dyDescent="0.3">
      <c r="A62" s="100" t="s">
        <v>625</v>
      </c>
      <c r="B62" s="101" t="s">
        <v>15</v>
      </c>
      <c r="C62" s="101">
        <v>21.5</v>
      </c>
    </row>
    <row r="63" spans="1:3" ht="14.4" hidden="1" customHeight="1" x14ac:dyDescent="0.3">
      <c r="A63" s="100" t="s">
        <v>626</v>
      </c>
      <c r="B63" s="101" t="s">
        <v>11</v>
      </c>
      <c r="C63" s="101">
        <v>59.1</v>
      </c>
    </row>
    <row r="64" spans="1:3" ht="14.4" hidden="1" customHeight="1" x14ac:dyDescent="0.3">
      <c r="A64" s="100" t="s">
        <v>530</v>
      </c>
      <c r="B64" s="101" t="s">
        <v>10</v>
      </c>
      <c r="C64" s="101">
        <v>15.4</v>
      </c>
    </row>
    <row r="65" spans="1:3" ht="14.4" hidden="1" customHeight="1" x14ac:dyDescent="0.3">
      <c r="A65" s="100" t="s">
        <v>530</v>
      </c>
      <c r="B65" s="101" t="s">
        <v>11</v>
      </c>
      <c r="C65" s="101">
        <v>15.4</v>
      </c>
    </row>
    <row r="66" spans="1:3" ht="14.4" hidden="1" customHeight="1" x14ac:dyDescent="0.3">
      <c r="A66" s="100" t="s">
        <v>627</v>
      </c>
      <c r="B66" s="101" t="s">
        <v>11</v>
      </c>
      <c r="C66" s="101">
        <v>92.7</v>
      </c>
    </row>
    <row r="67" spans="1:3" ht="14.4" customHeight="1" x14ac:dyDescent="0.3">
      <c r="A67" s="100" t="s">
        <v>551</v>
      </c>
      <c r="B67" s="101" t="s">
        <v>13</v>
      </c>
      <c r="C67" s="101">
        <v>16.8</v>
      </c>
    </row>
    <row r="68" spans="1:3" ht="14.4" hidden="1" customHeight="1" x14ac:dyDescent="0.3">
      <c r="A68" s="100" t="s">
        <v>628</v>
      </c>
      <c r="B68" s="101" t="s">
        <v>15</v>
      </c>
      <c r="C68" s="101">
        <v>6.2</v>
      </c>
    </row>
    <row r="69" spans="1:3" ht="14.4" hidden="1" customHeight="1" x14ac:dyDescent="0.3">
      <c r="A69" s="100" t="s">
        <v>524</v>
      </c>
      <c r="B69" s="101" t="s">
        <v>10</v>
      </c>
      <c r="C69" s="101">
        <v>10.9</v>
      </c>
    </row>
    <row r="70" spans="1:3" ht="14.4" hidden="1" customHeight="1" x14ac:dyDescent="0.3">
      <c r="A70" s="100" t="s">
        <v>524</v>
      </c>
      <c r="B70" s="101" t="s">
        <v>11</v>
      </c>
      <c r="C70" s="101">
        <v>10.9</v>
      </c>
    </row>
    <row r="71" spans="1:3" ht="14.4" customHeight="1" x14ac:dyDescent="0.3">
      <c r="A71" s="100" t="s">
        <v>561</v>
      </c>
      <c r="B71" s="101" t="s">
        <v>14</v>
      </c>
      <c r="C71" s="101">
        <v>24</v>
      </c>
    </row>
    <row r="72" spans="1:3" ht="14.4" hidden="1" customHeight="1" x14ac:dyDescent="0.3">
      <c r="A72" s="100" t="s">
        <v>629</v>
      </c>
      <c r="B72" s="101" t="s">
        <v>15</v>
      </c>
      <c r="C72" s="101">
        <v>6.7</v>
      </c>
    </row>
    <row r="73" spans="1:3" ht="14.4" hidden="1" customHeight="1" x14ac:dyDescent="0.3">
      <c r="A73" s="100" t="s">
        <v>630</v>
      </c>
      <c r="B73" s="101" t="s">
        <v>15</v>
      </c>
      <c r="C73" s="101">
        <v>29.7</v>
      </c>
    </row>
    <row r="74" spans="1:3" ht="14.4" customHeight="1" x14ac:dyDescent="0.3">
      <c r="A74" s="100" t="s">
        <v>562</v>
      </c>
      <c r="B74" s="101" t="s">
        <v>14</v>
      </c>
      <c r="C74" s="101">
        <v>51.3</v>
      </c>
    </row>
    <row r="75" spans="1:3" ht="14.4" customHeight="1" x14ac:dyDescent="0.3">
      <c r="A75" s="100" t="s">
        <v>563</v>
      </c>
      <c r="B75" s="101" t="s">
        <v>14</v>
      </c>
      <c r="C75" s="101">
        <v>56.6</v>
      </c>
    </row>
    <row r="76" spans="1:3" ht="14.4" customHeight="1" x14ac:dyDescent="0.3">
      <c r="A76" s="100" t="s">
        <v>564</v>
      </c>
      <c r="B76" s="101" t="s">
        <v>14</v>
      </c>
      <c r="C76" s="101">
        <v>18.5</v>
      </c>
    </row>
    <row r="77" spans="1:3" ht="14.4" hidden="1" customHeight="1" x14ac:dyDescent="0.3">
      <c r="A77" s="100" t="s">
        <v>531</v>
      </c>
      <c r="B77" s="101" t="s">
        <v>10</v>
      </c>
      <c r="C77" s="101">
        <v>4.8</v>
      </c>
    </row>
    <row r="78" spans="1:3" ht="14.4" hidden="1" customHeight="1" x14ac:dyDescent="0.3">
      <c r="A78" s="100" t="s">
        <v>631</v>
      </c>
      <c r="B78" s="101" t="s">
        <v>15</v>
      </c>
      <c r="C78" s="101">
        <v>6.7</v>
      </c>
    </row>
    <row r="79" spans="1:3" ht="14.4" hidden="1" customHeight="1" x14ac:dyDescent="0.3">
      <c r="A79" s="100" t="s">
        <v>632</v>
      </c>
      <c r="B79" s="101" t="s">
        <v>15</v>
      </c>
      <c r="C79" s="101">
        <v>30</v>
      </c>
    </row>
    <row r="80" spans="1:3" ht="14.4" customHeight="1" x14ac:dyDescent="0.3">
      <c r="A80" s="100" t="s">
        <v>565</v>
      </c>
      <c r="B80" s="101" t="s">
        <v>14</v>
      </c>
      <c r="C80" s="101">
        <v>51.3</v>
      </c>
    </row>
    <row r="81" spans="1:3" ht="14.4" customHeight="1" x14ac:dyDescent="0.3">
      <c r="A81" s="100" t="s">
        <v>566</v>
      </c>
      <c r="B81" s="101" t="s">
        <v>14</v>
      </c>
      <c r="C81" s="101">
        <v>56.3</v>
      </c>
    </row>
    <row r="82" spans="1:3" ht="14.4" hidden="1" customHeight="1" x14ac:dyDescent="0.3">
      <c r="A82" s="100" t="s">
        <v>633</v>
      </c>
      <c r="B82" s="101" t="s">
        <v>15</v>
      </c>
      <c r="C82" s="101">
        <v>6.4</v>
      </c>
    </row>
    <row r="83" spans="1:3" ht="14.4" hidden="1" customHeight="1" x14ac:dyDescent="0.3">
      <c r="A83" s="100" t="s">
        <v>634</v>
      </c>
      <c r="B83" s="101" t="s">
        <v>11</v>
      </c>
      <c r="C83" s="101">
        <v>10.7</v>
      </c>
    </row>
    <row r="84" spans="1:3" ht="14.4" hidden="1" customHeight="1" x14ac:dyDescent="0.3">
      <c r="A84" s="100" t="s">
        <v>634</v>
      </c>
      <c r="B84" s="101" t="s">
        <v>15</v>
      </c>
      <c r="C84" s="101">
        <v>10.7</v>
      </c>
    </row>
    <row r="85" spans="1:3" ht="14.4" customHeight="1" x14ac:dyDescent="0.3">
      <c r="A85" s="100" t="s">
        <v>552</v>
      </c>
      <c r="B85" s="101" t="s">
        <v>13</v>
      </c>
      <c r="C85" s="101">
        <v>41.8</v>
      </c>
    </row>
    <row r="86" spans="1:3" ht="14.4" customHeight="1" x14ac:dyDescent="0.3">
      <c r="A86" s="100" t="s">
        <v>553</v>
      </c>
      <c r="B86" s="101" t="s">
        <v>13</v>
      </c>
      <c r="C86" s="101">
        <v>60.8</v>
      </c>
    </row>
    <row r="87" spans="1:3" ht="14.4" hidden="1" customHeight="1" x14ac:dyDescent="0.3">
      <c r="A87" s="100" t="s">
        <v>635</v>
      </c>
      <c r="B87" s="101" t="s">
        <v>11</v>
      </c>
      <c r="C87" s="101">
        <v>30.8</v>
      </c>
    </row>
    <row r="88" spans="1:3" ht="14.4" hidden="1" customHeight="1" x14ac:dyDescent="0.3">
      <c r="A88" s="100" t="s">
        <v>636</v>
      </c>
      <c r="B88" s="101" t="s">
        <v>11</v>
      </c>
      <c r="C88" s="101">
        <v>26.9</v>
      </c>
    </row>
    <row r="89" spans="1:3" ht="14.4" hidden="1" customHeight="1" x14ac:dyDescent="0.3">
      <c r="A89" s="100" t="s">
        <v>637</v>
      </c>
      <c r="B89" s="101" t="s">
        <v>11</v>
      </c>
      <c r="C89" s="101">
        <v>6.5</v>
      </c>
    </row>
    <row r="90" spans="1:3" ht="14.4" hidden="1" customHeight="1" x14ac:dyDescent="0.3">
      <c r="A90" s="100" t="s">
        <v>638</v>
      </c>
      <c r="B90" s="101" t="s">
        <v>11</v>
      </c>
      <c r="C90" s="101">
        <v>25.2</v>
      </c>
    </row>
    <row r="91" spans="1:3" ht="14.4" customHeight="1" x14ac:dyDescent="0.3">
      <c r="A91" s="100" t="s">
        <v>588</v>
      </c>
      <c r="B91" s="101" t="s">
        <v>550</v>
      </c>
      <c r="C91" s="101">
        <v>63.7</v>
      </c>
    </row>
    <row r="92" spans="1:3" ht="14.4" customHeight="1" x14ac:dyDescent="0.3">
      <c r="A92" s="100" t="s">
        <v>445</v>
      </c>
      <c r="B92" s="101" t="s">
        <v>550</v>
      </c>
      <c r="C92" s="101">
        <v>90.2</v>
      </c>
    </row>
    <row r="93" spans="1:3" ht="14.4" customHeight="1" x14ac:dyDescent="0.3">
      <c r="A93" s="100" t="s">
        <v>446</v>
      </c>
      <c r="B93" s="101" t="s">
        <v>550</v>
      </c>
      <c r="C93" s="101">
        <v>40.1</v>
      </c>
    </row>
    <row r="94" spans="1:3" ht="14.4" customHeight="1" x14ac:dyDescent="0.3">
      <c r="A94" s="100" t="s">
        <v>447</v>
      </c>
      <c r="B94" s="101" t="s">
        <v>550</v>
      </c>
      <c r="C94" s="101">
        <v>64</v>
      </c>
    </row>
    <row r="95" spans="1:3" ht="14.4" customHeight="1" x14ac:dyDescent="0.3">
      <c r="A95" s="100" t="s">
        <v>448</v>
      </c>
      <c r="B95" s="101" t="s">
        <v>550</v>
      </c>
      <c r="C95" s="101">
        <v>65.400000000000006</v>
      </c>
    </row>
    <row r="96" spans="1:3" ht="14.4" customHeight="1" x14ac:dyDescent="0.3">
      <c r="A96" s="100" t="s">
        <v>449</v>
      </c>
      <c r="B96" s="101" t="s">
        <v>550</v>
      </c>
      <c r="C96" s="101">
        <v>64.099999999999994</v>
      </c>
    </row>
    <row r="97" spans="1:3" ht="14.4" customHeight="1" x14ac:dyDescent="0.3">
      <c r="A97" s="100" t="s">
        <v>450</v>
      </c>
      <c r="B97" s="101" t="s">
        <v>550</v>
      </c>
      <c r="C97" s="101">
        <v>64.3</v>
      </c>
    </row>
    <row r="98" spans="1:3" ht="14.4" customHeight="1" x14ac:dyDescent="0.3">
      <c r="A98" s="100" t="s">
        <v>574</v>
      </c>
      <c r="B98" s="101" t="s">
        <v>549</v>
      </c>
      <c r="C98" s="101">
        <v>79.7</v>
      </c>
    </row>
    <row r="99" spans="1:3" ht="14.4" hidden="1" customHeight="1" x14ac:dyDescent="0.3">
      <c r="A99" s="100" t="s">
        <v>498</v>
      </c>
      <c r="B99" s="101" t="s">
        <v>19</v>
      </c>
      <c r="C99" s="101">
        <v>5.4</v>
      </c>
    </row>
    <row r="100" spans="1:3" ht="14.4" hidden="1" customHeight="1" x14ac:dyDescent="0.3">
      <c r="A100" s="100" t="s">
        <v>499</v>
      </c>
      <c r="B100" s="101" t="s">
        <v>19</v>
      </c>
      <c r="C100" s="101">
        <v>11.5</v>
      </c>
    </row>
    <row r="101" spans="1:3" ht="14.4" hidden="1" customHeight="1" x14ac:dyDescent="0.3">
      <c r="A101" s="100" t="s">
        <v>500</v>
      </c>
      <c r="B101" s="101" t="s">
        <v>19</v>
      </c>
      <c r="C101" s="101">
        <v>11.6</v>
      </c>
    </row>
    <row r="102" spans="1:3" ht="14.4" customHeight="1" x14ac:dyDescent="0.3">
      <c r="A102" s="100" t="s">
        <v>575</v>
      </c>
      <c r="B102" s="101" t="s">
        <v>549</v>
      </c>
      <c r="C102" s="101">
        <v>27</v>
      </c>
    </row>
    <row r="103" spans="1:3" ht="14.4" hidden="1" customHeight="1" x14ac:dyDescent="0.3">
      <c r="A103" s="100" t="s">
        <v>501</v>
      </c>
      <c r="B103" s="101" t="s">
        <v>19</v>
      </c>
      <c r="C103" s="101">
        <v>13.6</v>
      </c>
    </row>
    <row r="104" spans="1:3" ht="14.4" hidden="1" customHeight="1" x14ac:dyDescent="0.3">
      <c r="A104" s="100" t="s">
        <v>502</v>
      </c>
      <c r="B104" s="101" t="s">
        <v>19</v>
      </c>
      <c r="C104" s="101">
        <v>8.5</v>
      </c>
    </row>
    <row r="105" spans="1:3" ht="14.4" customHeight="1" x14ac:dyDescent="0.3">
      <c r="A105" s="100" t="s">
        <v>576</v>
      </c>
      <c r="B105" s="101" t="s">
        <v>549</v>
      </c>
      <c r="C105" s="101">
        <v>28</v>
      </c>
    </row>
    <row r="106" spans="1:3" ht="14.4" hidden="1" customHeight="1" x14ac:dyDescent="0.3">
      <c r="A106" s="100" t="s">
        <v>503</v>
      </c>
      <c r="B106" s="101" t="s">
        <v>19</v>
      </c>
      <c r="C106" s="101">
        <v>10.7</v>
      </c>
    </row>
    <row r="107" spans="1:3" ht="14.4" hidden="1" customHeight="1" x14ac:dyDescent="0.3">
      <c r="A107" s="100" t="s">
        <v>504</v>
      </c>
      <c r="B107" s="101" t="s">
        <v>19</v>
      </c>
      <c r="C107" s="101">
        <v>12.2</v>
      </c>
    </row>
    <row r="108" spans="1:3" ht="14.4" hidden="1" customHeight="1" x14ac:dyDescent="0.3">
      <c r="A108" s="100" t="s">
        <v>505</v>
      </c>
      <c r="B108" s="101" t="s">
        <v>16</v>
      </c>
      <c r="C108" s="101">
        <v>31.5</v>
      </c>
    </row>
    <row r="109" spans="1:3" ht="14.4" customHeight="1" x14ac:dyDescent="0.3">
      <c r="A109" s="100" t="s">
        <v>485</v>
      </c>
      <c r="B109" s="101" t="s">
        <v>18</v>
      </c>
      <c r="C109" s="101">
        <v>359.3</v>
      </c>
    </row>
    <row r="110" spans="1:3" ht="14.4" hidden="1" customHeight="1" x14ac:dyDescent="0.3">
      <c r="A110" s="100" t="s">
        <v>639</v>
      </c>
      <c r="B110" s="101" t="s">
        <v>19</v>
      </c>
      <c r="C110" s="101">
        <v>23.4</v>
      </c>
    </row>
    <row r="111" spans="1:3" ht="14.4" customHeight="1" x14ac:dyDescent="0.3">
      <c r="A111" s="100" t="s">
        <v>577</v>
      </c>
      <c r="B111" s="101" t="s">
        <v>549</v>
      </c>
      <c r="C111" s="101">
        <v>14</v>
      </c>
    </row>
    <row r="112" spans="1:3" ht="14.4" hidden="1" customHeight="1" x14ac:dyDescent="0.3">
      <c r="A112" s="100" t="s">
        <v>640</v>
      </c>
      <c r="B112" s="101" t="s">
        <v>19</v>
      </c>
      <c r="C112" s="101">
        <v>5.4</v>
      </c>
    </row>
    <row r="113" spans="1:5" ht="14.4" hidden="1" customHeight="1" x14ac:dyDescent="0.3">
      <c r="A113" s="100" t="s">
        <v>641</v>
      </c>
      <c r="B113" s="101" t="s">
        <v>19</v>
      </c>
      <c r="C113" s="101">
        <v>9.8000000000000007</v>
      </c>
    </row>
    <row r="114" spans="1:5" ht="14.4" hidden="1" customHeight="1" x14ac:dyDescent="0.3">
      <c r="A114" s="100" t="s">
        <v>497</v>
      </c>
      <c r="B114" s="101" t="s">
        <v>19</v>
      </c>
      <c r="C114" s="101">
        <v>15.6</v>
      </c>
    </row>
    <row r="115" spans="1:5" ht="14.4" hidden="1" customHeight="1" x14ac:dyDescent="0.3">
      <c r="A115" s="100" t="s">
        <v>495</v>
      </c>
      <c r="B115" s="101" t="s">
        <v>19</v>
      </c>
      <c r="C115" s="101">
        <v>15.5</v>
      </c>
    </row>
    <row r="116" spans="1:5" ht="14.4" hidden="1" customHeight="1" x14ac:dyDescent="0.3">
      <c r="A116" s="100" t="s">
        <v>496</v>
      </c>
      <c r="B116" s="101" t="s">
        <v>19</v>
      </c>
      <c r="C116" s="101">
        <v>5.4</v>
      </c>
    </row>
    <row r="117" spans="1:5" ht="14.4" customHeight="1" x14ac:dyDescent="0.3">
      <c r="A117" s="100" t="s">
        <v>578</v>
      </c>
      <c r="B117" s="101" t="s">
        <v>549</v>
      </c>
      <c r="C117" s="101">
        <v>19.100000000000001</v>
      </c>
    </row>
    <row r="118" spans="1:5" ht="14.4" customHeight="1" x14ac:dyDescent="0.3">
      <c r="A118" s="100" t="s">
        <v>579</v>
      </c>
      <c r="B118" s="101" t="s">
        <v>549</v>
      </c>
      <c r="C118" s="101">
        <v>201.1</v>
      </c>
    </row>
    <row r="119" spans="1:5" ht="14.4" hidden="1" customHeight="1" x14ac:dyDescent="0.3">
      <c r="A119" s="100" t="s">
        <v>532</v>
      </c>
      <c r="B119" s="101" t="s">
        <v>16</v>
      </c>
      <c r="C119" s="101">
        <v>14.3</v>
      </c>
    </row>
    <row r="120" spans="1:5" ht="14.4" customHeight="1" x14ac:dyDescent="0.3">
      <c r="A120" s="100" t="s">
        <v>580</v>
      </c>
      <c r="B120" s="101" t="s">
        <v>549</v>
      </c>
      <c r="C120" s="101">
        <v>115.4</v>
      </c>
    </row>
    <row r="121" spans="1:5" ht="14.4" hidden="1" customHeight="1" x14ac:dyDescent="0.3">
      <c r="A121" s="100" t="s">
        <v>642</v>
      </c>
      <c r="B121" s="101" t="s">
        <v>16</v>
      </c>
      <c r="C121" s="101">
        <v>25.7</v>
      </c>
    </row>
    <row r="122" spans="1:5" ht="14.4" hidden="1" customHeight="1" x14ac:dyDescent="0.3">
      <c r="A122" s="100" t="s">
        <v>643</v>
      </c>
      <c r="B122" s="101" t="s">
        <v>16</v>
      </c>
      <c r="C122" s="101">
        <v>27.9</v>
      </c>
    </row>
    <row r="123" spans="1:5" ht="14.4" hidden="1" customHeight="1" x14ac:dyDescent="0.3">
      <c r="A123" s="100" t="s">
        <v>494</v>
      </c>
      <c r="B123" s="101" t="s">
        <v>16</v>
      </c>
      <c r="C123" s="101">
        <v>6.7</v>
      </c>
    </row>
    <row r="124" spans="1:5" ht="14.4" hidden="1" customHeight="1" x14ac:dyDescent="0.3">
      <c r="A124" s="100" t="s">
        <v>644</v>
      </c>
      <c r="B124" s="101" t="s">
        <v>16</v>
      </c>
      <c r="C124" s="101">
        <v>25.7</v>
      </c>
    </row>
    <row r="125" spans="1:5" hidden="1" x14ac:dyDescent="0.3">
      <c r="A125" s="100" t="s">
        <v>645</v>
      </c>
      <c r="B125" s="101" t="s">
        <v>16</v>
      </c>
      <c r="C125" s="101">
        <v>30.6</v>
      </c>
    </row>
    <row r="126" spans="1:5" hidden="1" x14ac:dyDescent="0.3">
      <c r="A126" s="100" t="s">
        <v>646</v>
      </c>
      <c r="B126" s="101" t="s">
        <v>16</v>
      </c>
      <c r="C126" s="101">
        <v>8.4</v>
      </c>
    </row>
    <row r="127" spans="1:5" x14ac:dyDescent="0.3">
      <c r="A127" s="100" t="s">
        <v>451</v>
      </c>
      <c r="B127" s="101" t="s">
        <v>17</v>
      </c>
      <c r="C127" s="101">
        <v>24</v>
      </c>
      <c r="E127" s="101">
        <v>23.4</v>
      </c>
    </row>
    <row r="128" spans="1:5" hidden="1" x14ac:dyDescent="0.3">
      <c r="A128" s="100" t="s">
        <v>647</v>
      </c>
      <c r="B128" s="101" t="s">
        <v>19</v>
      </c>
      <c r="C128" s="101">
        <v>6.7</v>
      </c>
    </row>
    <row r="129" spans="1:5" hidden="1" x14ac:dyDescent="0.3">
      <c r="A129" s="100" t="s">
        <v>648</v>
      </c>
      <c r="B129" s="101" t="s">
        <v>19</v>
      </c>
      <c r="C129" s="101">
        <v>29.7</v>
      </c>
    </row>
    <row r="130" spans="1:5" x14ac:dyDescent="0.3">
      <c r="A130" s="100" t="s">
        <v>452</v>
      </c>
      <c r="B130" s="101" t="s">
        <v>548</v>
      </c>
      <c r="C130" s="101">
        <v>51.3</v>
      </c>
      <c r="E130" s="101">
        <v>50.9</v>
      </c>
    </row>
    <row r="131" spans="1:5" x14ac:dyDescent="0.3">
      <c r="A131" s="100" t="s">
        <v>453</v>
      </c>
      <c r="B131" s="101" t="s">
        <v>548</v>
      </c>
      <c r="C131" s="101">
        <v>56.6</v>
      </c>
      <c r="E131" s="101">
        <v>55.8</v>
      </c>
    </row>
    <row r="132" spans="1:5" x14ac:dyDescent="0.3">
      <c r="A132" s="100" t="s">
        <v>454</v>
      </c>
      <c r="B132" s="101" t="s">
        <v>17</v>
      </c>
      <c r="C132" s="101">
        <v>23.8</v>
      </c>
      <c r="E132" s="101">
        <v>23.01</v>
      </c>
    </row>
    <row r="133" spans="1:5" hidden="1" x14ac:dyDescent="0.3">
      <c r="A133" s="100" t="s">
        <v>649</v>
      </c>
      <c r="B133" s="101" t="s">
        <v>19</v>
      </c>
      <c r="C133" s="101">
        <v>6.7</v>
      </c>
    </row>
    <row r="134" spans="1:5" x14ac:dyDescent="0.3">
      <c r="A134" s="100" t="s">
        <v>455</v>
      </c>
      <c r="B134" s="101" t="s">
        <v>548</v>
      </c>
      <c r="C134" s="101">
        <v>51.3</v>
      </c>
      <c r="E134" s="101">
        <v>50.45</v>
      </c>
    </row>
    <row r="135" spans="1:5" ht="14.4" customHeight="1" x14ac:dyDescent="0.3">
      <c r="A135" s="100" t="s">
        <v>456</v>
      </c>
      <c r="B135" s="101" t="s">
        <v>548</v>
      </c>
      <c r="C135" s="101">
        <v>56.3</v>
      </c>
      <c r="E135" s="101">
        <v>54.22</v>
      </c>
    </row>
    <row r="136" spans="1:5" ht="14.4" hidden="1" customHeight="1" x14ac:dyDescent="0.3">
      <c r="A136" s="100" t="s">
        <v>650</v>
      </c>
      <c r="B136" s="101" t="s">
        <v>19</v>
      </c>
      <c r="C136" s="101">
        <v>29.7</v>
      </c>
    </row>
    <row r="137" spans="1:5" ht="14.4" customHeight="1" x14ac:dyDescent="0.3">
      <c r="A137" s="100" t="s">
        <v>457</v>
      </c>
      <c r="B137" s="101" t="s">
        <v>18</v>
      </c>
      <c r="C137" s="101">
        <v>75.599999999999994</v>
      </c>
    </row>
    <row r="138" spans="1:5" ht="14.4" customHeight="1" x14ac:dyDescent="0.3">
      <c r="A138" s="100" t="s">
        <v>568</v>
      </c>
      <c r="B138" s="101" t="s">
        <v>17</v>
      </c>
      <c r="C138" s="101">
        <v>7</v>
      </c>
    </row>
    <row r="139" spans="1:5" ht="14.4" customHeight="1" x14ac:dyDescent="0.3">
      <c r="A139" s="100" t="s">
        <v>458</v>
      </c>
      <c r="B139" s="101" t="s">
        <v>17</v>
      </c>
      <c r="C139" s="101">
        <v>75.2</v>
      </c>
      <c r="E139" s="101">
        <v>73</v>
      </c>
    </row>
    <row r="140" spans="1:5" ht="14.4" customHeight="1" x14ac:dyDescent="0.3">
      <c r="A140" s="100" t="s">
        <v>569</v>
      </c>
      <c r="B140" s="101" t="s">
        <v>17</v>
      </c>
      <c r="C140" s="101">
        <v>6.2</v>
      </c>
      <c r="E140" s="101">
        <v>6</v>
      </c>
    </row>
    <row r="141" spans="1:5" ht="14.4" customHeight="1" x14ac:dyDescent="0.3">
      <c r="A141" s="100" t="s">
        <v>459</v>
      </c>
      <c r="B141" s="101" t="s">
        <v>17</v>
      </c>
      <c r="C141" s="101">
        <v>37.1</v>
      </c>
      <c r="E141" s="101">
        <v>42.4</v>
      </c>
    </row>
    <row r="142" spans="1:5" ht="14.4" hidden="1" customHeight="1" x14ac:dyDescent="0.3">
      <c r="A142" s="100" t="s">
        <v>651</v>
      </c>
      <c r="B142" s="101" t="s">
        <v>19</v>
      </c>
      <c r="C142" s="101">
        <v>5.8</v>
      </c>
    </row>
    <row r="143" spans="1:5" ht="14.4" hidden="1" customHeight="1" x14ac:dyDescent="0.3">
      <c r="A143" s="100" t="s">
        <v>652</v>
      </c>
      <c r="B143" s="101" t="s">
        <v>16</v>
      </c>
      <c r="C143" s="101">
        <v>6.2</v>
      </c>
    </row>
    <row r="144" spans="1:5" ht="14.4" hidden="1" customHeight="1" x14ac:dyDescent="0.3">
      <c r="A144" s="100" t="s">
        <v>653</v>
      </c>
      <c r="B144" s="101" t="s">
        <v>16</v>
      </c>
      <c r="C144" s="101">
        <v>32.1</v>
      </c>
    </row>
    <row r="145" spans="1:5" ht="14.4" hidden="1" customHeight="1" x14ac:dyDescent="0.3">
      <c r="A145" s="100" t="s">
        <v>654</v>
      </c>
      <c r="B145" s="101" t="s">
        <v>16</v>
      </c>
      <c r="C145" s="101">
        <v>6.5</v>
      </c>
    </row>
    <row r="146" spans="1:5" ht="14.4" customHeight="1" x14ac:dyDescent="0.3">
      <c r="A146" s="100" t="s">
        <v>460</v>
      </c>
      <c r="B146" s="101" t="s">
        <v>17</v>
      </c>
      <c r="C146" s="101">
        <v>60.9</v>
      </c>
      <c r="E146" s="101">
        <v>59.6</v>
      </c>
    </row>
    <row r="147" spans="1:5" ht="14.4" hidden="1" customHeight="1" x14ac:dyDescent="0.3">
      <c r="A147" s="100" t="s">
        <v>655</v>
      </c>
      <c r="B147" s="101" t="s">
        <v>16</v>
      </c>
      <c r="C147" s="101">
        <v>28.1</v>
      </c>
    </row>
    <row r="148" spans="1:5" ht="14.4" customHeight="1" x14ac:dyDescent="0.3">
      <c r="A148" s="100" t="s">
        <v>581</v>
      </c>
      <c r="B148" s="101" t="s">
        <v>549</v>
      </c>
      <c r="C148" s="101">
        <v>76.2</v>
      </c>
    </row>
    <row r="149" spans="1:5" x14ac:dyDescent="0.3">
      <c r="A149" s="100" t="s">
        <v>461</v>
      </c>
      <c r="B149" s="101" t="s">
        <v>550</v>
      </c>
      <c r="C149" s="101">
        <v>62.8</v>
      </c>
    </row>
    <row r="150" spans="1:5" x14ac:dyDescent="0.3">
      <c r="A150" s="100" t="s">
        <v>462</v>
      </c>
      <c r="B150" s="101" t="s">
        <v>550</v>
      </c>
      <c r="C150" s="101">
        <v>89.1</v>
      </c>
    </row>
    <row r="151" spans="1:5" x14ac:dyDescent="0.3">
      <c r="A151" s="100" t="s">
        <v>463</v>
      </c>
      <c r="B151" s="101" t="s">
        <v>550</v>
      </c>
      <c r="C151" s="101">
        <v>29.7</v>
      </c>
    </row>
    <row r="152" spans="1:5" x14ac:dyDescent="0.3">
      <c r="A152" s="100" t="s">
        <v>464</v>
      </c>
      <c r="B152" s="101" t="s">
        <v>550</v>
      </c>
      <c r="C152" s="101">
        <v>64.8</v>
      </c>
    </row>
    <row r="153" spans="1:5" x14ac:dyDescent="0.3">
      <c r="A153" s="100" t="s">
        <v>465</v>
      </c>
      <c r="B153" s="101" t="s">
        <v>550</v>
      </c>
      <c r="C153" s="101">
        <v>63.8</v>
      </c>
    </row>
    <row r="154" spans="1:5" x14ac:dyDescent="0.3">
      <c r="A154" s="100" t="s">
        <v>589</v>
      </c>
      <c r="B154" s="101" t="s">
        <v>550</v>
      </c>
      <c r="C154" s="101">
        <v>65.5</v>
      </c>
    </row>
    <row r="155" spans="1:5" x14ac:dyDescent="0.3">
      <c r="A155" s="100" t="s">
        <v>590</v>
      </c>
      <c r="B155" s="101" t="s">
        <v>550</v>
      </c>
      <c r="C155" s="101">
        <v>63.7</v>
      </c>
    </row>
    <row r="156" spans="1:5" x14ac:dyDescent="0.3">
      <c r="A156" s="100" t="s">
        <v>466</v>
      </c>
      <c r="B156" s="101" t="s">
        <v>550</v>
      </c>
      <c r="C156" s="101">
        <v>64.3</v>
      </c>
    </row>
    <row r="157" spans="1:5" hidden="1" x14ac:dyDescent="0.3">
      <c r="A157" s="100" t="s">
        <v>510</v>
      </c>
      <c r="B157" s="101" t="s">
        <v>19</v>
      </c>
      <c r="C157" s="101">
        <v>5.4</v>
      </c>
    </row>
    <row r="158" spans="1:5" hidden="1" x14ac:dyDescent="0.3">
      <c r="A158" s="100" t="s">
        <v>511</v>
      </c>
      <c r="B158" s="101" t="s">
        <v>19</v>
      </c>
      <c r="C158" s="101">
        <v>15.6</v>
      </c>
    </row>
    <row r="159" spans="1:5" hidden="1" x14ac:dyDescent="0.3">
      <c r="A159" s="100" t="s">
        <v>512</v>
      </c>
      <c r="B159" s="101" t="s">
        <v>19</v>
      </c>
      <c r="C159" s="101">
        <v>15.5</v>
      </c>
    </row>
    <row r="160" spans="1:5" x14ac:dyDescent="0.3">
      <c r="A160" s="100" t="s">
        <v>582</v>
      </c>
      <c r="B160" s="101" t="s">
        <v>549</v>
      </c>
      <c r="C160" s="101">
        <v>245.9</v>
      </c>
    </row>
    <row r="161" spans="1:3" x14ac:dyDescent="0.3">
      <c r="A161" s="100" t="s">
        <v>583</v>
      </c>
      <c r="B161" s="101" t="s">
        <v>549</v>
      </c>
      <c r="C161" s="101">
        <v>13.3</v>
      </c>
    </row>
    <row r="162" spans="1:3" hidden="1" x14ac:dyDescent="0.3">
      <c r="A162" s="100" t="s">
        <v>506</v>
      </c>
      <c r="B162" s="101" t="s">
        <v>19</v>
      </c>
      <c r="C162" s="101">
        <v>5.4</v>
      </c>
    </row>
    <row r="163" spans="1:3" hidden="1" x14ac:dyDescent="0.3">
      <c r="A163" s="100" t="s">
        <v>507</v>
      </c>
      <c r="B163" s="101" t="s">
        <v>19</v>
      </c>
      <c r="C163" s="101">
        <v>11.9</v>
      </c>
    </row>
    <row r="164" spans="1:3" ht="14.4" hidden="1" customHeight="1" x14ac:dyDescent="0.3">
      <c r="A164" s="100" t="s">
        <v>509</v>
      </c>
      <c r="B164" s="101" t="s">
        <v>16</v>
      </c>
      <c r="C164" s="101">
        <v>6.7</v>
      </c>
    </row>
    <row r="165" spans="1:3" ht="14.4" hidden="1" customHeight="1" x14ac:dyDescent="0.3">
      <c r="A165" s="100" t="s">
        <v>656</v>
      </c>
      <c r="B165" s="101" t="s">
        <v>16</v>
      </c>
      <c r="C165" s="101">
        <v>25.8</v>
      </c>
    </row>
    <row r="166" spans="1:3" ht="14.4" customHeight="1" x14ac:dyDescent="0.3">
      <c r="A166" s="100" t="s">
        <v>584</v>
      </c>
      <c r="B166" s="101" t="s">
        <v>549</v>
      </c>
      <c r="C166" s="101">
        <v>114.5</v>
      </c>
    </row>
    <row r="167" spans="1:3" ht="14.4" customHeight="1" x14ac:dyDescent="0.3">
      <c r="A167" s="100" t="s">
        <v>585</v>
      </c>
      <c r="B167" s="101" t="s">
        <v>549</v>
      </c>
      <c r="C167" s="101">
        <v>113.1</v>
      </c>
    </row>
    <row r="168" spans="1:3" ht="14.4" hidden="1" customHeight="1" x14ac:dyDescent="0.3">
      <c r="A168" s="100" t="s">
        <v>657</v>
      </c>
      <c r="B168" s="101" t="s">
        <v>16</v>
      </c>
      <c r="C168" s="101">
        <v>25.7</v>
      </c>
    </row>
    <row r="169" spans="1:3" ht="14.4" hidden="1" customHeight="1" x14ac:dyDescent="0.3">
      <c r="A169" s="100" t="s">
        <v>658</v>
      </c>
      <c r="B169" s="101" t="s">
        <v>16</v>
      </c>
      <c r="C169" s="101">
        <v>30.6</v>
      </c>
    </row>
    <row r="170" spans="1:3" ht="14.4" hidden="1" customHeight="1" x14ac:dyDescent="0.3">
      <c r="A170" s="100" t="s">
        <v>513</v>
      </c>
      <c r="B170" s="101" t="s">
        <v>16</v>
      </c>
      <c r="C170" s="101">
        <v>8.6</v>
      </c>
    </row>
    <row r="171" spans="1:3" ht="14.4" customHeight="1" x14ac:dyDescent="0.3">
      <c r="A171" s="100" t="s">
        <v>467</v>
      </c>
      <c r="B171" s="101" t="s">
        <v>17</v>
      </c>
      <c r="C171" s="101">
        <v>24</v>
      </c>
    </row>
    <row r="172" spans="1:3" ht="14.4" hidden="1" customHeight="1" x14ac:dyDescent="0.3">
      <c r="A172" s="100" t="s">
        <v>659</v>
      </c>
      <c r="B172" s="101" t="s">
        <v>19</v>
      </c>
      <c r="C172" s="101">
        <v>6.7</v>
      </c>
    </row>
    <row r="173" spans="1:3" ht="14.4" customHeight="1" x14ac:dyDescent="0.3">
      <c r="A173" s="100" t="s">
        <v>468</v>
      </c>
      <c r="B173" s="101" t="s">
        <v>548</v>
      </c>
      <c r="C173" s="101">
        <v>52.1</v>
      </c>
    </row>
    <row r="174" spans="1:3" ht="14.4" customHeight="1" x14ac:dyDescent="0.3">
      <c r="A174" s="100" t="s">
        <v>572</v>
      </c>
      <c r="B174" s="101" t="s">
        <v>548</v>
      </c>
      <c r="C174" s="101">
        <v>57</v>
      </c>
    </row>
    <row r="175" spans="1:3" ht="14.4" hidden="1" customHeight="1" x14ac:dyDescent="0.3">
      <c r="A175" s="100" t="s">
        <v>508</v>
      </c>
      <c r="B175" s="101" t="s">
        <v>19</v>
      </c>
      <c r="C175" s="101">
        <v>29.7</v>
      </c>
    </row>
    <row r="176" spans="1:3" ht="14.4" customHeight="1" x14ac:dyDescent="0.3">
      <c r="A176" s="100" t="s">
        <v>469</v>
      </c>
      <c r="B176" s="101" t="s">
        <v>17</v>
      </c>
      <c r="C176" s="101">
        <v>24</v>
      </c>
    </row>
    <row r="177" spans="1:3" ht="14.4" customHeight="1" x14ac:dyDescent="0.3">
      <c r="A177" s="100" t="s">
        <v>470</v>
      </c>
      <c r="B177" s="101" t="s">
        <v>548</v>
      </c>
      <c r="C177" s="101">
        <v>51.6</v>
      </c>
    </row>
    <row r="178" spans="1:3" ht="14.4" customHeight="1" x14ac:dyDescent="0.3">
      <c r="A178" s="100" t="s">
        <v>573</v>
      </c>
      <c r="B178" s="101" t="s">
        <v>548</v>
      </c>
      <c r="C178" s="101">
        <v>56.3</v>
      </c>
    </row>
    <row r="179" spans="1:3" ht="14.4" hidden="1" customHeight="1" x14ac:dyDescent="0.3">
      <c r="A179" s="100" t="s">
        <v>660</v>
      </c>
      <c r="B179" s="101" t="s">
        <v>19</v>
      </c>
      <c r="C179" s="101">
        <v>6.7</v>
      </c>
    </row>
    <row r="180" spans="1:3" ht="14.4" hidden="1" customHeight="1" x14ac:dyDescent="0.3">
      <c r="A180" s="100" t="s">
        <v>661</v>
      </c>
      <c r="B180" s="101" t="s">
        <v>19</v>
      </c>
      <c r="C180" s="101">
        <v>29.7</v>
      </c>
    </row>
    <row r="181" spans="1:3" ht="14.4" customHeight="1" x14ac:dyDescent="0.3">
      <c r="A181" s="100" t="s">
        <v>471</v>
      </c>
      <c r="B181" s="101" t="s">
        <v>548</v>
      </c>
      <c r="C181" s="101">
        <v>75.5</v>
      </c>
    </row>
    <row r="182" spans="1:3" ht="14.4" customHeight="1" x14ac:dyDescent="0.3">
      <c r="A182" s="100" t="s">
        <v>570</v>
      </c>
      <c r="B182" s="101" t="s">
        <v>17</v>
      </c>
      <c r="C182" s="101">
        <v>6.9</v>
      </c>
    </row>
    <row r="183" spans="1:3" ht="14.4" customHeight="1" x14ac:dyDescent="0.3">
      <c r="A183" s="100" t="s">
        <v>472</v>
      </c>
      <c r="B183" s="101" t="s">
        <v>548</v>
      </c>
      <c r="C183" s="101">
        <v>74.900000000000006</v>
      </c>
    </row>
    <row r="184" spans="1:3" ht="14.4" hidden="1" customHeight="1" x14ac:dyDescent="0.3">
      <c r="A184" s="100" t="s">
        <v>662</v>
      </c>
      <c r="B184" s="101" t="s">
        <v>16</v>
      </c>
      <c r="C184" s="101">
        <v>6</v>
      </c>
    </row>
    <row r="185" spans="1:3" ht="14.4" hidden="1" customHeight="1" x14ac:dyDescent="0.3">
      <c r="A185" s="100" t="s">
        <v>663</v>
      </c>
      <c r="B185" s="101" t="s">
        <v>16</v>
      </c>
      <c r="C185" s="101">
        <v>6.1</v>
      </c>
    </row>
    <row r="186" spans="1:3" ht="14.4" hidden="1" customHeight="1" x14ac:dyDescent="0.3">
      <c r="A186" s="100" t="s">
        <v>664</v>
      </c>
      <c r="B186" s="101" t="s">
        <v>16</v>
      </c>
      <c r="C186" s="101">
        <v>32.1</v>
      </c>
    </row>
    <row r="187" spans="1:3" ht="14.4" hidden="1" customHeight="1" x14ac:dyDescent="0.3">
      <c r="A187" s="100" t="s">
        <v>665</v>
      </c>
      <c r="B187" s="101" t="s">
        <v>16</v>
      </c>
      <c r="C187" s="101">
        <v>6.1</v>
      </c>
    </row>
    <row r="188" spans="1:3" ht="14.4" hidden="1" customHeight="1" x14ac:dyDescent="0.3">
      <c r="A188" s="100" t="s">
        <v>666</v>
      </c>
      <c r="B188" s="101" t="s">
        <v>19</v>
      </c>
      <c r="C188" s="101">
        <v>6.3</v>
      </c>
    </row>
    <row r="189" spans="1:3" ht="14.4" customHeight="1" x14ac:dyDescent="0.3">
      <c r="A189" s="100" t="s">
        <v>473</v>
      </c>
      <c r="B189" s="101" t="s">
        <v>17</v>
      </c>
      <c r="C189" s="101">
        <v>37.1</v>
      </c>
    </row>
    <row r="190" spans="1:3" ht="14.4" customHeight="1" x14ac:dyDescent="0.3">
      <c r="A190" s="100" t="s">
        <v>571</v>
      </c>
      <c r="B190" s="101" t="s">
        <v>17</v>
      </c>
      <c r="C190" s="101">
        <v>60.7</v>
      </c>
    </row>
    <row r="191" spans="1:3" ht="14.4" hidden="1" customHeight="1" x14ac:dyDescent="0.3">
      <c r="A191" s="100" t="s">
        <v>667</v>
      </c>
      <c r="B191" s="101" t="s">
        <v>16</v>
      </c>
      <c r="C191" s="101">
        <v>28.1</v>
      </c>
    </row>
    <row r="192" spans="1:3" ht="14.4" customHeight="1" x14ac:dyDescent="0.3">
      <c r="A192" s="100" t="s">
        <v>586</v>
      </c>
      <c r="B192" s="101" t="s">
        <v>549</v>
      </c>
      <c r="C192" s="101">
        <v>21.8</v>
      </c>
    </row>
    <row r="193" spans="1:10" ht="14.4" customHeight="1" x14ac:dyDescent="0.3">
      <c r="A193" s="100" t="s">
        <v>587</v>
      </c>
      <c r="B193" s="101" t="s">
        <v>549</v>
      </c>
      <c r="C193" s="101">
        <v>87.5</v>
      </c>
    </row>
    <row r="197" spans="1:10" ht="18" x14ac:dyDescent="0.3">
      <c r="G197" s="134"/>
      <c r="H197" s="134"/>
      <c r="I197" s="134"/>
      <c r="J197" s="134"/>
    </row>
    <row r="198" spans="1:10" ht="18" x14ac:dyDescent="0.3">
      <c r="G198" s="134"/>
      <c r="H198" s="134"/>
      <c r="I198" s="134"/>
      <c r="J198" s="134"/>
    </row>
    <row r="199" spans="1:10" ht="18" x14ac:dyDescent="0.3">
      <c r="G199" s="134"/>
      <c r="H199" s="134">
        <v>1</v>
      </c>
      <c r="I199" s="134">
        <v>2</v>
      </c>
      <c r="J199" s="134">
        <v>3</v>
      </c>
    </row>
    <row r="200" spans="1:10" ht="18" x14ac:dyDescent="0.3">
      <c r="G200" s="134" t="s">
        <v>714</v>
      </c>
      <c r="H200" s="145">
        <v>0</v>
      </c>
      <c r="I200" s="145">
        <v>43.45</v>
      </c>
      <c r="J200" s="145">
        <v>48.41</v>
      </c>
    </row>
    <row r="201" spans="1:10" ht="18" x14ac:dyDescent="0.3">
      <c r="G201" s="134" t="s">
        <v>715</v>
      </c>
      <c r="H201" s="145">
        <v>0</v>
      </c>
      <c r="I201" s="145">
        <v>0</v>
      </c>
      <c r="J201" s="145">
        <v>0</v>
      </c>
    </row>
    <row r="202" spans="1:10" ht="18" x14ac:dyDescent="0.3">
      <c r="G202" s="134" t="s">
        <v>716</v>
      </c>
      <c r="H202" s="145">
        <v>412.19</v>
      </c>
      <c r="I202" s="145">
        <v>17.489999999999998</v>
      </c>
      <c r="J202" s="145">
        <v>0</v>
      </c>
    </row>
    <row r="203" spans="1:10" ht="18" x14ac:dyDescent="0.3">
      <c r="G203" s="134" t="s">
        <v>717</v>
      </c>
      <c r="H203" s="145">
        <v>166.47</v>
      </c>
      <c r="I203" s="145">
        <v>139.22999999999999</v>
      </c>
      <c r="J203" s="145">
        <v>88.32</v>
      </c>
    </row>
    <row r="204" spans="1:10" ht="18" x14ac:dyDescent="0.3">
      <c r="G204" s="134" t="s">
        <v>718</v>
      </c>
      <c r="H204" s="145">
        <v>70.17</v>
      </c>
      <c r="I204" s="145"/>
      <c r="J204" s="145"/>
    </row>
    <row r="205" spans="1:10" ht="18" x14ac:dyDescent="0.3">
      <c r="G205" s="134" t="s">
        <v>719</v>
      </c>
      <c r="H205" s="145"/>
      <c r="I205" s="145"/>
      <c r="J205" s="145"/>
    </row>
    <row r="206" spans="1:10" ht="18" x14ac:dyDescent="0.3">
      <c r="A206" s="102" t="s">
        <v>545</v>
      </c>
      <c r="B206" s="103" t="s">
        <v>441</v>
      </c>
      <c r="C206" s="103" t="s">
        <v>673</v>
      </c>
      <c r="G206" s="134" t="s">
        <v>720</v>
      </c>
      <c r="H206" s="145"/>
      <c r="I206" s="145"/>
      <c r="J206" s="145"/>
    </row>
    <row r="207" spans="1:10" ht="18" x14ac:dyDescent="0.3">
      <c r="A207" s="104" t="s">
        <v>554</v>
      </c>
      <c r="B207" s="105" t="s">
        <v>546</v>
      </c>
      <c r="C207" s="105">
        <v>22</v>
      </c>
      <c r="G207" s="134" t="s">
        <v>721</v>
      </c>
      <c r="H207" s="145"/>
      <c r="I207" s="145"/>
      <c r="J207" s="145"/>
    </row>
    <row r="208" spans="1:10" ht="18" x14ac:dyDescent="0.3">
      <c r="A208" s="106" t="s">
        <v>555</v>
      </c>
      <c r="B208" s="107" t="s">
        <v>546</v>
      </c>
      <c r="C208" s="107">
        <v>63</v>
      </c>
      <c r="G208" s="134"/>
      <c r="H208" s="145"/>
      <c r="I208" s="145"/>
      <c r="J208" s="145"/>
    </row>
    <row r="209" spans="1:10" ht="18" x14ac:dyDescent="0.3">
      <c r="A209" s="104" t="s">
        <v>556</v>
      </c>
      <c r="B209" s="105" t="s">
        <v>546</v>
      </c>
      <c r="C209" s="105">
        <v>64.3</v>
      </c>
      <c r="G209" s="134"/>
      <c r="H209" s="145"/>
      <c r="I209" s="145"/>
      <c r="J209" s="145"/>
    </row>
    <row r="210" spans="1:10" ht="18" x14ac:dyDescent="0.3">
      <c r="A210" s="106" t="s">
        <v>557</v>
      </c>
      <c r="B210" s="107" t="s">
        <v>546</v>
      </c>
      <c r="C210" s="107">
        <v>64.400000000000006</v>
      </c>
      <c r="G210" s="134"/>
      <c r="H210" s="145"/>
      <c r="I210" s="145"/>
      <c r="J210" s="145"/>
    </row>
    <row r="211" spans="1:10" ht="18" x14ac:dyDescent="0.3">
      <c r="A211" s="104" t="s">
        <v>558</v>
      </c>
      <c r="B211" s="105" t="s">
        <v>546</v>
      </c>
      <c r="C211" s="105">
        <v>131.19999999999999</v>
      </c>
      <c r="G211" s="134" t="s">
        <v>722</v>
      </c>
      <c r="H211" s="145">
        <v>365.16</v>
      </c>
      <c r="I211" s="145">
        <v>741.6</v>
      </c>
      <c r="J211" s="145">
        <v>746.27</v>
      </c>
    </row>
    <row r="212" spans="1:10" ht="18" x14ac:dyDescent="0.3">
      <c r="A212" s="104" t="s">
        <v>588</v>
      </c>
      <c r="B212" s="105" t="s">
        <v>550</v>
      </c>
      <c r="C212" s="105">
        <v>63.7</v>
      </c>
      <c r="G212" s="134" t="s">
        <v>723</v>
      </c>
      <c r="H212" s="134"/>
      <c r="I212" s="145"/>
      <c r="J212" s="145">
        <v>100.54</v>
      </c>
    </row>
    <row r="213" spans="1:10" ht="18" x14ac:dyDescent="0.3">
      <c r="A213" s="106" t="s">
        <v>445</v>
      </c>
      <c r="B213" s="107" t="s">
        <v>550</v>
      </c>
      <c r="C213" s="107">
        <v>90.2</v>
      </c>
      <c r="G213" s="134" t="s">
        <v>724</v>
      </c>
      <c r="H213" s="145">
        <v>19.45</v>
      </c>
      <c r="I213" s="145"/>
      <c r="J213" s="145"/>
    </row>
    <row r="214" spans="1:10" ht="18" x14ac:dyDescent="0.3">
      <c r="A214" s="104" t="s">
        <v>446</v>
      </c>
      <c r="B214" s="105" t="s">
        <v>550</v>
      </c>
      <c r="C214" s="105">
        <v>40.1</v>
      </c>
      <c r="G214" s="134"/>
      <c r="H214" s="134"/>
      <c r="I214" s="134"/>
      <c r="J214" s="134"/>
    </row>
    <row r="215" spans="1:10" ht="18" x14ac:dyDescent="0.3">
      <c r="A215" s="106" t="s">
        <v>447</v>
      </c>
      <c r="B215" s="107" t="s">
        <v>550</v>
      </c>
      <c r="C215" s="107">
        <v>64</v>
      </c>
      <c r="G215" s="134"/>
      <c r="H215" s="134"/>
      <c r="I215" s="134"/>
      <c r="J215" s="134"/>
    </row>
    <row r="216" spans="1:10" x14ac:dyDescent="0.3">
      <c r="A216" s="104" t="s">
        <v>448</v>
      </c>
      <c r="B216" s="105" t="s">
        <v>550</v>
      </c>
      <c r="C216" s="105">
        <v>65.400000000000006</v>
      </c>
    </row>
    <row r="217" spans="1:10" x14ac:dyDescent="0.3">
      <c r="A217" s="106" t="s">
        <v>449</v>
      </c>
      <c r="B217" s="107" t="s">
        <v>550</v>
      </c>
      <c r="C217" s="107">
        <v>64.099999999999994</v>
      </c>
    </row>
    <row r="218" spans="1:10" x14ac:dyDescent="0.3">
      <c r="A218" s="104" t="s">
        <v>450</v>
      </c>
      <c r="B218" s="105" t="s">
        <v>550</v>
      </c>
      <c r="C218" s="105">
        <v>64.3</v>
      </c>
    </row>
    <row r="219" spans="1:10" x14ac:dyDescent="0.3">
      <c r="A219" s="106" t="s">
        <v>574</v>
      </c>
      <c r="B219" s="107" t="s">
        <v>549</v>
      </c>
      <c r="C219" s="107">
        <v>79.7</v>
      </c>
    </row>
    <row r="220" spans="1:10" x14ac:dyDescent="0.3">
      <c r="A220" s="104" t="s">
        <v>575</v>
      </c>
      <c r="B220" s="105" t="s">
        <v>549</v>
      </c>
      <c r="C220" s="105">
        <v>27</v>
      </c>
    </row>
    <row r="221" spans="1:10" x14ac:dyDescent="0.3">
      <c r="A221" s="106" t="s">
        <v>576</v>
      </c>
      <c r="B221" s="107" t="s">
        <v>549</v>
      </c>
      <c r="C221" s="107">
        <v>28</v>
      </c>
    </row>
    <row r="222" spans="1:10" x14ac:dyDescent="0.3">
      <c r="A222" s="104" t="s">
        <v>577</v>
      </c>
      <c r="B222" s="105" t="s">
        <v>549</v>
      </c>
      <c r="C222" s="105">
        <v>14</v>
      </c>
    </row>
    <row r="223" spans="1:10" x14ac:dyDescent="0.3">
      <c r="A223" s="106" t="s">
        <v>578</v>
      </c>
      <c r="B223" s="107" t="s">
        <v>549</v>
      </c>
      <c r="C223" s="107">
        <v>19.100000000000001</v>
      </c>
    </row>
    <row r="224" spans="1:10" x14ac:dyDescent="0.3">
      <c r="A224" s="104" t="s">
        <v>579</v>
      </c>
      <c r="B224" s="105" t="s">
        <v>549</v>
      </c>
      <c r="C224" s="105">
        <v>201.1</v>
      </c>
    </row>
    <row r="225" spans="1:3" x14ac:dyDescent="0.3">
      <c r="A225" s="106" t="s">
        <v>580</v>
      </c>
      <c r="B225" s="107" t="s">
        <v>549</v>
      </c>
      <c r="C225" s="107">
        <v>115.4</v>
      </c>
    </row>
    <row r="226" spans="1:3" x14ac:dyDescent="0.3">
      <c r="A226" s="104" t="s">
        <v>581</v>
      </c>
      <c r="B226" s="105" t="s">
        <v>549</v>
      </c>
      <c r="C226" s="105">
        <v>76.2</v>
      </c>
    </row>
    <row r="227" spans="1:3" x14ac:dyDescent="0.3">
      <c r="A227" s="106" t="s">
        <v>461</v>
      </c>
      <c r="B227" s="107" t="s">
        <v>550</v>
      </c>
      <c r="C227" s="107">
        <v>62.8</v>
      </c>
    </row>
    <row r="228" spans="1:3" x14ac:dyDescent="0.3">
      <c r="A228" s="104" t="s">
        <v>462</v>
      </c>
      <c r="B228" s="105" t="s">
        <v>550</v>
      </c>
      <c r="C228" s="105">
        <v>89.1</v>
      </c>
    </row>
    <row r="229" spans="1:3" x14ac:dyDescent="0.3">
      <c r="A229" s="106" t="s">
        <v>463</v>
      </c>
      <c r="B229" s="107" t="s">
        <v>550</v>
      </c>
      <c r="C229" s="107">
        <v>29.7</v>
      </c>
    </row>
    <row r="230" spans="1:3" x14ac:dyDescent="0.3">
      <c r="A230" s="104" t="s">
        <v>464</v>
      </c>
      <c r="B230" s="105" t="s">
        <v>550</v>
      </c>
      <c r="C230" s="105">
        <v>64.8</v>
      </c>
    </row>
    <row r="231" spans="1:3" x14ac:dyDescent="0.3">
      <c r="A231" s="106" t="s">
        <v>465</v>
      </c>
      <c r="B231" s="107" t="s">
        <v>550</v>
      </c>
      <c r="C231" s="107">
        <v>63.8</v>
      </c>
    </row>
    <row r="232" spans="1:3" x14ac:dyDescent="0.3">
      <c r="A232" s="104" t="s">
        <v>589</v>
      </c>
      <c r="B232" s="105" t="s">
        <v>550</v>
      </c>
      <c r="C232" s="105">
        <v>65.5</v>
      </c>
    </row>
    <row r="233" spans="1:3" x14ac:dyDescent="0.3">
      <c r="A233" s="106" t="s">
        <v>590</v>
      </c>
      <c r="B233" s="107" t="s">
        <v>550</v>
      </c>
      <c r="C233" s="107">
        <v>63.7</v>
      </c>
    </row>
    <row r="234" spans="1:3" x14ac:dyDescent="0.3">
      <c r="A234" s="104" t="s">
        <v>466</v>
      </c>
      <c r="B234" s="105" t="s">
        <v>550</v>
      </c>
      <c r="C234" s="105">
        <v>64.3</v>
      </c>
    </row>
    <row r="235" spans="1:3" x14ac:dyDescent="0.3">
      <c r="A235" s="104" t="s">
        <v>583</v>
      </c>
      <c r="B235" s="105" t="s">
        <v>549</v>
      </c>
      <c r="C235" s="105">
        <v>13.3</v>
      </c>
    </row>
    <row r="236" spans="1:3" x14ac:dyDescent="0.3">
      <c r="A236" s="106" t="s">
        <v>584</v>
      </c>
      <c r="B236" s="107" t="s">
        <v>549</v>
      </c>
      <c r="C236" s="107">
        <v>114.5</v>
      </c>
    </row>
    <row r="237" spans="1:3" x14ac:dyDescent="0.3">
      <c r="A237" s="104" t="s">
        <v>585</v>
      </c>
      <c r="B237" s="105" t="s">
        <v>549</v>
      </c>
      <c r="C237" s="105">
        <v>113.1</v>
      </c>
    </row>
    <row r="238" spans="1:3" x14ac:dyDescent="0.3">
      <c r="A238" s="106" t="s">
        <v>586</v>
      </c>
      <c r="B238" s="107" t="s">
        <v>549</v>
      </c>
      <c r="C238" s="107">
        <v>21.8</v>
      </c>
    </row>
    <row r="239" spans="1:3" x14ac:dyDescent="0.3">
      <c r="A239" s="110" t="s">
        <v>587</v>
      </c>
      <c r="B239" s="111" t="s">
        <v>549</v>
      </c>
      <c r="C239" s="111">
        <v>87.5</v>
      </c>
    </row>
  </sheetData>
  <pageMargins left="0.7" right="0.7" top="0.75" bottom="0.75" header="0.3" footer="0.3"/>
  <ignoredErrors>
    <ignoredError sqref="A23:A81" twoDigitTextYear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3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735</v>
      </c>
      <c r="D3" s="136" t="s">
        <v>394</v>
      </c>
      <c r="E3" s="76">
        <v>207.1</v>
      </c>
    </row>
    <row r="4" spans="1:5" ht="54" x14ac:dyDescent="0.3">
      <c r="A4" s="136">
        <v>2</v>
      </c>
      <c r="B4" s="138" t="s">
        <v>439</v>
      </c>
      <c r="C4" s="143" t="s">
        <v>736</v>
      </c>
      <c r="D4" s="136" t="s">
        <v>394</v>
      </c>
      <c r="E4" s="76">
        <v>207.5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734</v>
      </c>
      <c r="D3" s="136" t="s">
        <v>394</v>
      </c>
      <c r="E3" s="76">
        <v>15.88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732</v>
      </c>
      <c r="D3" s="136" t="s">
        <v>394</v>
      </c>
      <c r="E3" s="76">
        <v>31.2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9.441406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733</v>
      </c>
      <c r="D3" s="136" t="s">
        <v>394</v>
      </c>
      <c r="E3" s="76">
        <v>-109.68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7.7773437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72" x14ac:dyDescent="0.3">
      <c r="A3" s="136">
        <v>1</v>
      </c>
      <c r="B3" s="138" t="s">
        <v>439</v>
      </c>
      <c r="C3" s="143" t="s">
        <v>731</v>
      </c>
      <c r="D3" s="136" t="s">
        <v>394</v>
      </c>
      <c r="E3" s="76">
        <v>90.33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730</v>
      </c>
      <c r="D3" s="136" t="s">
        <v>394</v>
      </c>
      <c r="E3" s="76">
        <v>20.54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35.109375" style="134" bestFit="1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728</v>
      </c>
      <c r="D3" s="129" t="s">
        <v>706</v>
      </c>
      <c r="E3" s="76">
        <v>210</v>
      </c>
    </row>
    <row r="4" spans="1:5" ht="36" x14ac:dyDescent="0.3">
      <c r="A4" s="129">
        <v>2</v>
      </c>
      <c r="B4" s="132" t="s">
        <v>712</v>
      </c>
      <c r="C4" s="143" t="s">
        <v>729</v>
      </c>
      <c r="D4" s="129" t="s">
        <v>706</v>
      </c>
      <c r="E4" s="76">
        <v>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6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58.77734375" style="134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713</v>
      </c>
      <c r="D3" s="129" t="s">
        <v>706</v>
      </c>
      <c r="E3" s="76">
        <v>91.86</v>
      </c>
    </row>
    <row r="4" spans="1:5" ht="36" x14ac:dyDescent="0.3">
      <c r="A4" s="129">
        <v>2</v>
      </c>
      <c r="B4" s="132" t="s">
        <v>712</v>
      </c>
      <c r="C4" s="143" t="s">
        <v>725</v>
      </c>
      <c r="D4" s="129" t="s">
        <v>706</v>
      </c>
      <c r="E4" s="76">
        <v>394.02</v>
      </c>
    </row>
    <row r="5" spans="1:5" ht="36" x14ac:dyDescent="0.3">
      <c r="A5" s="129">
        <v>3</v>
      </c>
      <c r="B5" s="132" t="s">
        <v>712</v>
      </c>
      <c r="C5" s="143" t="s">
        <v>726</v>
      </c>
      <c r="D5" s="129" t="s">
        <v>706</v>
      </c>
      <c r="E5" s="76">
        <v>381.88</v>
      </c>
    </row>
    <row r="6" spans="1:5" ht="57" customHeight="1" x14ac:dyDescent="0.3">
      <c r="A6" s="129">
        <v>4</v>
      </c>
      <c r="B6" s="132" t="s">
        <v>712</v>
      </c>
      <c r="C6" s="144" t="s">
        <v>727</v>
      </c>
      <c r="D6" s="129" t="s">
        <v>706</v>
      </c>
      <c r="E6" s="76">
        <v>38.270000000000003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15.21875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189" t="s">
        <v>707</v>
      </c>
      <c r="C3" s="189"/>
      <c r="D3" s="189"/>
      <c r="E3" s="189"/>
      <c r="F3" s="190" t="s">
        <v>710</v>
      </c>
      <c r="G3" s="190"/>
      <c r="H3" s="190"/>
      <c r="I3" s="190"/>
      <c r="J3" s="129" t="s">
        <v>394</v>
      </c>
      <c r="K3" s="147">
        <v>129.4</v>
      </c>
    </row>
    <row r="4" spans="1:11" ht="55.2" customHeight="1" x14ac:dyDescent="0.3">
      <c r="A4" s="129">
        <v>2</v>
      </c>
      <c r="B4" s="189" t="s">
        <v>707</v>
      </c>
      <c r="C4" s="189"/>
      <c r="D4" s="189"/>
      <c r="E4" s="189"/>
      <c r="F4" s="190" t="s">
        <v>711</v>
      </c>
      <c r="G4" s="190"/>
      <c r="H4" s="190"/>
      <c r="I4" s="190"/>
      <c r="J4" s="129" t="s">
        <v>394</v>
      </c>
      <c r="K4" s="147">
        <v>45.7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189" t="s">
        <v>707</v>
      </c>
      <c r="C3" s="189"/>
      <c r="D3" s="189"/>
      <c r="E3" s="189"/>
      <c r="F3" s="190" t="s">
        <v>708</v>
      </c>
      <c r="G3" s="190"/>
      <c r="H3" s="190"/>
      <c r="I3" s="190"/>
      <c r="J3" s="129" t="s">
        <v>394</v>
      </c>
      <c r="K3" s="147">
        <v>338.3</v>
      </c>
    </row>
    <row r="4" spans="1:11" ht="55.2" customHeight="1" x14ac:dyDescent="0.3">
      <c r="A4" s="129">
        <v>2</v>
      </c>
      <c r="B4" s="189" t="s">
        <v>707</v>
      </c>
      <c r="C4" s="189"/>
      <c r="D4" s="189"/>
      <c r="E4" s="189"/>
      <c r="F4" s="190" t="s">
        <v>709</v>
      </c>
      <c r="G4" s="190"/>
      <c r="H4" s="190"/>
      <c r="I4" s="190"/>
      <c r="J4" s="129" t="s">
        <v>394</v>
      </c>
      <c r="K4" s="147">
        <v>190.6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89" t="s">
        <v>704</v>
      </c>
      <c r="C3" s="189"/>
      <c r="D3" s="189"/>
      <c r="E3" s="189"/>
      <c r="F3" s="190" t="s">
        <v>705</v>
      </c>
      <c r="G3" s="190"/>
      <c r="H3" s="190"/>
      <c r="I3" s="190"/>
      <c r="J3" s="129" t="s">
        <v>706</v>
      </c>
      <c r="K3" s="147">
        <v>416.23500000000001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7.2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89" t="s">
        <v>701</v>
      </c>
      <c r="C3" s="189"/>
      <c r="D3" s="189"/>
      <c r="E3" s="189"/>
      <c r="F3" s="190" t="s">
        <v>702</v>
      </c>
      <c r="G3" s="190"/>
      <c r="H3" s="190"/>
      <c r="I3" s="190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89" t="s">
        <v>701</v>
      </c>
      <c r="C3" s="189"/>
      <c r="D3" s="189"/>
      <c r="E3" s="189"/>
      <c r="F3" s="190" t="s">
        <v>702</v>
      </c>
      <c r="G3" s="190"/>
      <c r="H3" s="190"/>
      <c r="I3" s="190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89" t="s">
        <v>699</v>
      </c>
      <c r="C3" s="189"/>
      <c r="D3" s="189"/>
      <c r="E3" s="189"/>
      <c r="F3" s="190" t="s">
        <v>700</v>
      </c>
      <c r="G3" s="190"/>
      <c r="H3" s="190"/>
      <c r="I3" s="190"/>
      <c r="J3" s="129" t="s">
        <v>394</v>
      </c>
      <c r="K3" s="76">
        <v>1.9630000000000001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50" customWidth="1"/>
    <col min="2" max="2" width="8.77734375" style="150" customWidth="1"/>
    <col min="3" max="3" width="19.77734375" style="150" customWidth="1"/>
    <col min="4" max="4" width="3.21875" style="150" customWidth="1"/>
    <col min="5" max="5" width="11.88671875" style="150" customWidth="1"/>
    <col min="6" max="7" width="8.88671875" style="150"/>
    <col min="8" max="8" width="2.33203125" style="150" customWidth="1"/>
    <col min="9" max="9" width="10.33203125" style="150" customWidth="1"/>
    <col min="10" max="10" width="8.88671875" style="150"/>
    <col min="11" max="11" width="11.6640625" style="150" customWidth="1"/>
    <col min="12" max="16384" width="8.88671875" style="150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49" t="s">
        <v>392</v>
      </c>
      <c r="K2" s="14" t="s">
        <v>393</v>
      </c>
    </row>
    <row r="3" spans="1:11" ht="82.2" customHeight="1" x14ac:dyDescent="0.3">
      <c r="A3" s="148">
        <v>1</v>
      </c>
      <c r="B3" s="189" t="s">
        <v>690</v>
      </c>
      <c r="C3" s="189"/>
      <c r="D3" s="189"/>
      <c r="E3" s="189"/>
      <c r="F3" s="193" t="s">
        <v>694</v>
      </c>
      <c r="G3" s="193"/>
      <c r="H3" s="193"/>
      <c r="I3" s="193"/>
      <c r="J3" s="148" t="s">
        <v>394</v>
      </c>
      <c r="K3" s="76">
        <v>105.69</v>
      </c>
    </row>
    <row r="4" spans="1:11" ht="82.2" customHeight="1" x14ac:dyDescent="0.3">
      <c r="A4" s="148">
        <v>2</v>
      </c>
      <c r="B4" s="189" t="s">
        <v>690</v>
      </c>
      <c r="C4" s="189"/>
      <c r="D4" s="189"/>
      <c r="E4" s="189"/>
      <c r="F4" s="190" t="s">
        <v>698</v>
      </c>
      <c r="G4" s="190"/>
      <c r="H4" s="190"/>
      <c r="I4" s="190"/>
      <c r="J4" s="148" t="s">
        <v>394</v>
      </c>
      <c r="K4" s="76">
        <v>12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85"/>
      <c r="E5" s="140" t="s">
        <v>593</v>
      </c>
      <c r="F5" s="141" t="s">
        <v>441</v>
      </c>
      <c r="G5" s="141" t="s">
        <v>673</v>
      </c>
      <c r="H5" s="185"/>
      <c r="I5" s="140" t="s">
        <v>593</v>
      </c>
      <c r="J5" s="141" t="s">
        <v>441</v>
      </c>
      <c r="K5" s="141" t="s">
        <v>673</v>
      </c>
    </row>
    <row r="6" spans="1:11" x14ac:dyDescent="0.3">
      <c r="A6" s="106" t="s">
        <v>489</v>
      </c>
      <c r="B6" s="107" t="s">
        <v>15</v>
      </c>
      <c r="C6" s="118">
        <v>1.0711073292923112</v>
      </c>
      <c r="D6" s="194"/>
      <c r="E6" s="104" t="s">
        <v>498</v>
      </c>
      <c r="F6" s="105" t="s">
        <v>19</v>
      </c>
      <c r="G6" s="117">
        <v>1.0913169015431097</v>
      </c>
      <c r="H6" s="194"/>
      <c r="I6" s="104" t="s">
        <v>510</v>
      </c>
      <c r="J6" s="105" t="s">
        <v>19</v>
      </c>
      <c r="K6" s="117">
        <v>1.0913169015431097</v>
      </c>
    </row>
    <row r="7" spans="1:11" x14ac:dyDescent="0.3">
      <c r="A7" s="104" t="s">
        <v>600</v>
      </c>
      <c r="B7" s="105" t="s">
        <v>15</v>
      </c>
      <c r="C7" s="117">
        <v>1.2327839072986979</v>
      </c>
      <c r="D7" s="194"/>
      <c r="E7" s="106" t="s">
        <v>499</v>
      </c>
      <c r="F7" s="107" t="s">
        <v>19</v>
      </c>
      <c r="G7" s="118">
        <v>2.3241008088418078</v>
      </c>
      <c r="H7" s="194"/>
      <c r="I7" s="106" t="s">
        <v>511</v>
      </c>
      <c r="J7" s="107" t="s">
        <v>19</v>
      </c>
      <c r="K7" s="118">
        <v>3.152693271124539</v>
      </c>
    </row>
    <row r="8" spans="1:11" x14ac:dyDescent="0.3">
      <c r="A8" s="106" t="s">
        <v>491</v>
      </c>
      <c r="B8" s="107" t="s">
        <v>15</v>
      </c>
      <c r="C8" s="118">
        <v>3.152693271124539</v>
      </c>
      <c r="D8" s="194"/>
      <c r="E8" s="104" t="s">
        <v>500</v>
      </c>
      <c r="F8" s="105" t="s">
        <v>19</v>
      </c>
      <c r="G8" s="117">
        <v>2.344310381092606</v>
      </c>
      <c r="H8" s="194"/>
      <c r="I8" s="104" t="s">
        <v>512</v>
      </c>
      <c r="J8" s="105" t="s">
        <v>19</v>
      </c>
      <c r="K8" s="117">
        <v>3.1324836988737408</v>
      </c>
    </row>
    <row r="9" spans="1:11" x14ac:dyDescent="0.3">
      <c r="A9" s="104" t="s">
        <v>492</v>
      </c>
      <c r="B9" s="105" t="s">
        <v>15</v>
      </c>
      <c r="C9" s="117">
        <v>1.0913169015431097</v>
      </c>
      <c r="D9" s="194"/>
      <c r="E9" s="106" t="s">
        <v>501</v>
      </c>
      <c r="F9" s="107" t="s">
        <v>19</v>
      </c>
      <c r="G9" s="118">
        <v>2.7485018261085723</v>
      </c>
      <c r="H9" s="194"/>
      <c r="I9" s="106" t="s">
        <v>506</v>
      </c>
      <c r="J9" s="107" t="s">
        <v>19</v>
      </c>
      <c r="K9" s="118">
        <v>1.0913169015431097</v>
      </c>
    </row>
    <row r="10" spans="1:11" x14ac:dyDescent="0.3">
      <c r="A10" s="106" t="s">
        <v>493</v>
      </c>
      <c r="B10" s="107" t="s">
        <v>15</v>
      </c>
      <c r="C10" s="118">
        <v>3.1324836988737408</v>
      </c>
      <c r="D10" s="194"/>
      <c r="E10" s="104" t="s">
        <v>502</v>
      </c>
      <c r="F10" s="105" t="s">
        <v>19</v>
      </c>
      <c r="G10" s="117">
        <v>1.7178136413178577</v>
      </c>
      <c r="H10" s="194"/>
      <c r="I10" s="104" t="s">
        <v>507</v>
      </c>
      <c r="J10" s="105" t="s">
        <v>19</v>
      </c>
      <c r="K10" s="117">
        <v>2.4049390978450012</v>
      </c>
    </row>
    <row r="11" spans="1:11" x14ac:dyDescent="0.3">
      <c r="A11" s="104" t="s">
        <v>602</v>
      </c>
      <c r="B11" s="105" t="s">
        <v>15</v>
      </c>
      <c r="C11" s="117">
        <v>0.48502973401915983</v>
      </c>
      <c r="D11" s="194"/>
      <c r="E11" s="106" t="s">
        <v>503</v>
      </c>
      <c r="F11" s="107" t="s">
        <v>19</v>
      </c>
      <c r="G11" s="118">
        <v>2.1624242308354207</v>
      </c>
      <c r="H11" s="194"/>
      <c r="I11" s="106" t="s">
        <v>659</v>
      </c>
      <c r="J11" s="107" t="s">
        <v>19</v>
      </c>
      <c r="K11" s="118">
        <v>1.3540413408034879</v>
      </c>
    </row>
    <row r="12" spans="1:11" x14ac:dyDescent="0.3">
      <c r="A12" s="106" t="s">
        <v>520</v>
      </c>
      <c r="B12" s="107" t="s">
        <v>15</v>
      </c>
      <c r="C12" s="118">
        <v>1.2125743350478997</v>
      </c>
      <c r="D12" s="194"/>
      <c r="E12" s="104" t="s">
        <v>504</v>
      </c>
      <c r="F12" s="105" t="s">
        <v>19</v>
      </c>
      <c r="G12" s="117">
        <v>2.4655678145973958</v>
      </c>
      <c r="H12" s="194"/>
      <c r="I12" s="104" t="s">
        <v>508</v>
      </c>
      <c r="J12" s="105" t="s">
        <v>19</v>
      </c>
      <c r="K12" s="117">
        <v>6.0022429584871029</v>
      </c>
    </row>
    <row r="13" spans="1:11" x14ac:dyDescent="0.3">
      <c r="A13" s="104" t="s">
        <v>490</v>
      </c>
      <c r="B13" s="105" t="s">
        <v>15</v>
      </c>
      <c r="C13" s="117">
        <v>0.80838289003193309</v>
      </c>
      <c r="D13" s="194"/>
      <c r="E13" s="106" t="s">
        <v>639</v>
      </c>
      <c r="F13" s="107" t="s">
        <v>19</v>
      </c>
      <c r="G13" s="118">
        <v>4.7290399066868085</v>
      </c>
      <c r="H13" s="194"/>
      <c r="I13" s="106" t="s">
        <v>660</v>
      </c>
      <c r="J13" s="107" t="s">
        <v>19</v>
      </c>
      <c r="K13" s="118">
        <v>1.3540413408034879</v>
      </c>
    </row>
    <row r="14" spans="1:11" x14ac:dyDescent="0.3">
      <c r="A14" s="106" t="s">
        <v>603</v>
      </c>
      <c r="B14" s="107" t="s">
        <v>15</v>
      </c>
      <c r="C14" s="118">
        <v>1.0104786125399163</v>
      </c>
      <c r="D14" s="194"/>
      <c r="E14" s="104" t="s">
        <v>640</v>
      </c>
      <c r="F14" s="105" t="s">
        <v>19</v>
      </c>
      <c r="G14" s="117">
        <v>1.0913169015431097</v>
      </c>
      <c r="H14" s="194"/>
      <c r="I14" s="104" t="s">
        <v>661</v>
      </c>
      <c r="J14" s="105" t="s">
        <v>19</v>
      </c>
      <c r="K14" s="117">
        <v>6.0022429584871029</v>
      </c>
    </row>
    <row r="15" spans="1:11" x14ac:dyDescent="0.3">
      <c r="A15" s="104" t="s">
        <v>610</v>
      </c>
      <c r="B15" s="105" t="s">
        <v>15</v>
      </c>
      <c r="C15" s="117">
        <v>2.2230529475878158</v>
      </c>
      <c r="D15" s="194"/>
      <c r="E15" s="106" t="s">
        <v>641</v>
      </c>
      <c r="F15" s="107" t="s">
        <v>19</v>
      </c>
      <c r="G15" s="118">
        <v>1.9805380805782362</v>
      </c>
      <c r="H15" s="194"/>
      <c r="I15" s="108" t="s">
        <v>666</v>
      </c>
      <c r="J15" s="109" t="s">
        <v>19</v>
      </c>
      <c r="K15" s="163">
        <v>1.2732030518002946</v>
      </c>
    </row>
    <row r="16" spans="1:11" x14ac:dyDescent="0.3">
      <c r="A16" s="106" t="s">
        <v>629</v>
      </c>
      <c r="B16" s="107" t="s">
        <v>15</v>
      </c>
      <c r="C16" s="118">
        <v>1.3540413408034879</v>
      </c>
      <c r="D16" s="194"/>
      <c r="E16" s="104" t="s">
        <v>497</v>
      </c>
      <c r="F16" s="105" t="s">
        <v>19</v>
      </c>
      <c r="G16" s="117">
        <v>3.152693271124539</v>
      </c>
      <c r="H16" s="194"/>
      <c r="I16" s="195" t="s">
        <v>696</v>
      </c>
      <c r="J16" s="195"/>
      <c r="K16" s="145">
        <f>SUM(K6:K15)</f>
        <v>26.858521521310973</v>
      </c>
    </row>
    <row r="17" spans="1:11" x14ac:dyDescent="0.3">
      <c r="A17" s="104" t="s">
        <v>630</v>
      </c>
      <c r="B17" s="105" t="s">
        <v>15</v>
      </c>
      <c r="C17" s="117">
        <v>4.2985760177448045</v>
      </c>
      <c r="D17" s="194"/>
      <c r="E17" s="106" t="s">
        <v>495</v>
      </c>
      <c r="F17" s="107" t="s">
        <v>19</v>
      </c>
      <c r="G17" s="118">
        <v>3.1324836988737408</v>
      </c>
      <c r="H17" s="194"/>
      <c r="I17" s="194"/>
      <c r="J17" s="194"/>
      <c r="K17" s="194"/>
    </row>
    <row r="18" spans="1:11" x14ac:dyDescent="0.3">
      <c r="A18" s="106" t="s">
        <v>531</v>
      </c>
      <c r="B18" s="107" t="s">
        <v>10</v>
      </c>
      <c r="C18" s="118">
        <v>0.97005946803831966</v>
      </c>
      <c r="D18" s="194"/>
      <c r="E18" s="104" t="s">
        <v>496</v>
      </c>
      <c r="F18" s="105" t="s">
        <v>19</v>
      </c>
      <c r="G18" s="117">
        <v>1.0913169015431097</v>
      </c>
      <c r="H18" s="194"/>
      <c r="I18" s="194"/>
      <c r="J18" s="194"/>
      <c r="K18" s="194"/>
    </row>
    <row r="19" spans="1:11" x14ac:dyDescent="0.3">
      <c r="A19" s="104" t="s">
        <v>631</v>
      </c>
      <c r="B19" s="105" t="s">
        <v>15</v>
      </c>
      <c r="C19" s="117">
        <v>1.3540413408034879</v>
      </c>
      <c r="D19" s="194"/>
      <c r="E19" s="106" t="s">
        <v>647</v>
      </c>
      <c r="F19" s="107" t="s">
        <v>19</v>
      </c>
      <c r="G19" s="118">
        <v>1.3540413408034879</v>
      </c>
      <c r="H19" s="194"/>
      <c r="I19" s="194"/>
      <c r="J19" s="194"/>
      <c r="K19" s="194"/>
    </row>
    <row r="20" spans="1:11" x14ac:dyDescent="0.3">
      <c r="A20" s="106" t="s">
        <v>632</v>
      </c>
      <c r="B20" s="107" t="s">
        <v>15</v>
      </c>
      <c r="C20" s="118">
        <v>6.0628716752394984</v>
      </c>
      <c r="D20" s="194"/>
      <c r="E20" s="104" t="s">
        <v>648</v>
      </c>
      <c r="F20" s="105" t="s">
        <v>19</v>
      </c>
      <c r="G20" s="117">
        <v>6.0022429584871029</v>
      </c>
      <c r="H20" s="194"/>
      <c r="I20" s="194"/>
      <c r="J20" s="194"/>
      <c r="K20" s="194"/>
    </row>
    <row r="21" spans="1:11" x14ac:dyDescent="0.3">
      <c r="A21" s="104" t="s">
        <v>633</v>
      </c>
      <c r="B21" s="105" t="s">
        <v>15</v>
      </c>
      <c r="C21" s="117">
        <v>1.293412624051093</v>
      </c>
      <c r="D21" s="194"/>
      <c r="E21" s="106" t="s">
        <v>649</v>
      </c>
      <c r="F21" s="107" t="s">
        <v>19</v>
      </c>
      <c r="G21" s="118">
        <v>1.3540413408034879</v>
      </c>
      <c r="H21" s="194"/>
      <c r="I21" s="194"/>
      <c r="J21" s="194"/>
      <c r="K21" s="194"/>
    </row>
    <row r="22" spans="1:11" x14ac:dyDescent="0.3">
      <c r="A22" s="106" t="s">
        <v>634</v>
      </c>
      <c r="B22" s="107" t="s">
        <v>15</v>
      </c>
      <c r="C22" s="118">
        <v>2.1624242308354207</v>
      </c>
      <c r="D22" s="194"/>
      <c r="E22" s="104" t="s">
        <v>650</v>
      </c>
      <c r="F22" s="105" t="s">
        <v>19</v>
      </c>
      <c r="G22" s="117">
        <v>6.0022429584871029</v>
      </c>
      <c r="H22" s="194"/>
      <c r="I22" s="194"/>
      <c r="J22" s="194"/>
      <c r="K22" s="194"/>
    </row>
    <row r="23" spans="1:11" x14ac:dyDescent="0.3">
      <c r="A23" s="195" t="s">
        <v>696</v>
      </c>
      <c r="B23" s="195"/>
      <c r="C23" s="145">
        <f>SUM(C6:C22)</f>
        <v>32.915330324875235</v>
      </c>
      <c r="D23" s="194"/>
      <c r="E23" s="106" t="s">
        <v>651</v>
      </c>
      <c r="F23" s="107" t="s">
        <v>19</v>
      </c>
      <c r="G23" s="118">
        <v>1.172155190546303</v>
      </c>
      <c r="H23" s="194"/>
      <c r="I23" s="140" t="s">
        <v>593</v>
      </c>
      <c r="J23" s="141" t="s">
        <v>441</v>
      </c>
      <c r="K23" s="141" t="s">
        <v>673</v>
      </c>
    </row>
    <row r="24" spans="1:11" x14ac:dyDescent="0.3">
      <c r="A24" s="194"/>
      <c r="B24" s="194"/>
      <c r="C24" s="194"/>
      <c r="D24" s="194"/>
      <c r="E24" s="195" t="s">
        <v>696</v>
      </c>
      <c r="F24" s="195"/>
      <c r="G24" s="145">
        <f>SUM(G6:G23)</f>
        <v>45.916148153813801</v>
      </c>
      <c r="H24" s="194"/>
      <c r="I24" s="104" t="s">
        <v>598</v>
      </c>
      <c r="J24" s="105" t="s">
        <v>10</v>
      </c>
      <c r="K24" s="105">
        <v>12</v>
      </c>
    </row>
  </sheetData>
  <mergeCells count="14">
    <mergeCell ref="A24:C24"/>
    <mergeCell ref="I17:K22"/>
    <mergeCell ref="B4:E4"/>
    <mergeCell ref="F4:I4"/>
    <mergeCell ref="D5:D24"/>
    <mergeCell ref="H5:H24"/>
    <mergeCell ref="I16:J16"/>
    <mergeCell ref="A23:B23"/>
    <mergeCell ref="E24:F2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" customHeight="1" x14ac:dyDescent="0.3">
      <c r="A2" s="12" t="s">
        <v>389</v>
      </c>
      <c r="B2" s="191" t="s">
        <v>390</v>
      </c>
      <c r="C2" s="191"/>
      <c r="D2" s="191"/>
      <c r="E2" s="191"/>
      <c r="F2" s="192" t="s">
        <v>391</v>
      </c>
      <c r="G2" s="192"/>
      <c r="H2" s="192"/>
      <c r="I2" s="192"/>
      <c r="J2" s="16" t="s">
        <v>392</v>
      </c>
      <c r="K2" s="14" t="s">
        <v>393</v>
      </c>
    </row>
    <row r="3" spans="1:11" ht="82.2" customHeight="1" x14ac:dyDescent="0.3">
      <c r="A3" s="129">
        <v>1</v>
      </c>
      <c r="B3" s="189" t="s">
        <v>690</v>
      </c>
      <c r="C3" s="189"/>
      <c r="D3" s="189"/>
      <c r="E3" s="189"/>
      <c r="F3" s="190" t="s">
        <v>695</v>
      </c>
      <c r="G3" s="190"/>
      <c r="H3" s="190"/>
      <c r="I3" s="190"/>
      <c r="J3" s="129" t="s">
        <v>394</v>
      </c>
      <c r="K3" s="76">
        <f>K16+G24+C24</f>
        <v>536.16999999999996</v>
      </c>
    </row>
    <row r="4" spans="1:11" ht="82.2" customHeight="1" x14ac:dyDescent="0.3">
      <c r="A4" s="129">
        <v>2</v>
      </c>
      <c r="B4" s="189" t="s">
        <v>690</v>
      </c>
      <c r="C4" s="189"/>
      <c r="D4" s="189"/>
      <c r="E4" s="189"/>
      <c r="F4" s="193" t="s">
        <v>697</v>
      </c>
      <c r="G4" s="193"/>
      <c r="H4" s="193"/>
      <c r="I4" s="193"/>
      <c r="J4" s="129" t="s">
        <v>394</v>
      </c>
      <c r="K4" s="76">
        <v>163.47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85"/>
      <c r="E5" s="140" t="s">
        <v>593</v>
      </c>
      <c r="F5" s="141" t="s">
        <v>441</v>
      </c>
      <c r="G5" s="141" t="s">
        <v>673</v>
      </c>
      <c r="H5" s="185"/>
      <c r="I5" s="140" t="s">
        <v>593</v>
      </c>
      <c r="J5" s="141" t="s">
        <v>441</v>
      </c>
      <c r="K5" s="141" t="s">
        <v>673</v>
      </c>
    </row>
    <row r="6" spans="1:11" x14ac:dyDescent="0.3">
      <c r="A6" s="104" t="s">
        <v>598</v>
      </c>
      <c r="B6" s="105" t="s">
        <v>10</v>
      </c>
      <c r="C6" s="105">
        <v>13.2</v>
      </c>
      <c r="D6" s="194"/>
      <c r="E6" s="104" t="s">
        <v>498</v>
      </c>
      <c r="F6" s="105" t="s">
        <v>19</v>
      </c>
      <c r="G6" s="105">
        <v>5.4</v>
      </c>
      <c r="H6" s="194"/>
      <c r="I6" s="104" t="s">
        <v>510</v>
      </c>
      <c r="J6" s="105" t="s">
        <v>19</v>
      </c>
      <c r="K6" s="105">
        <v>5.4</v>
      </c>
    </row>
    <row r="7" spans="1:11" x14ac:dyDescent="0.3">
      <c r="A7" s="106" t="s">
        <v>489</v>
      </c>
      <c r="B7" s="107" t="s">
        <v>15</v>
      </c>
      <c r="C7" s="107">
        <v>5.3</v>
      </c>
      <c r="D7" s="194"/>
      <c r="E7" s="106" t="s">
        <v>499</v>
      </c>
      <c r="F7" s="107" t="s">
        <v>19</v>
      </c>
      <c r="G7" s="107">
        <v>11.5</v>
      </c>
      <c r="H7" s="194"/>
      <c r="I7" s="106" t="s">
        <v>511</v>
      </c>
      <c r="J7" s="107" t="s">
        <v>19</v>
      </c>
      <c r="K7" s="107">
        <v>15.6</v>
      </c>
    </row>
    <row r="8" spans="1:11" x14ac:dyDescent="0.3">
      <c r="A8" s="104" t="s">
        <v>600</v>
      </c>
      <c r="B8" s="105" t="s">
        <v>15</v>
      </c>
      <c r="C8" s="105">
        <v>6.1</v>
      </c>
      <c r="D8" s="194"/>
      <c r="E8" s="104" t="s">
        <v>500</v>
      </c>
      <c r="F8" s="105" t="s">
        <v>19</v>
      </c>
      <c r="G8" s="105">
        <v>11.6</v>
      </c>
      <c r="H8" s="194"/>
      <c r="I8" s="104" t="s">
        <v>512</v>
      </c>
      <c r="J8" s="105" t="s">
        <v>19</v>
      </c>
      <c r="K8" s="105">
        <v>15.5</v>
      </c>
    </row>
    <row r="9" spans="1:11" x14ac:dyDescent="0.3">
      <c r="A9" s="106" t="s">
        <v>491</v>
      </c>
      <c r="B9" s="107" t="s">
        <v>15</v>
      </c>
      <c r="C9" s="107">
        <v>15.6</v>
      </c>
      <c r="D9" s="194"/>
      <c r="E9" s="106" t="s">
        <v>501</v>
      </c>
      <c r="F9" s="107" t="s">
        <v>19</v>
      </c>
      <c r="G9" s="107">
        <v>13.6</v>
      </c>
      <c r="H9" s="194"/>
      <c r="I9" s="106" t="s">
        <v>506</v>
      </c>
      <c r="J9" s="107" t="s">
        <v>19</v>
      </c>
      <c r="K9" s="107">
        <v>5.4</v>
      </c>
    </row>
    <row r="10" spans="1:11" x14ac:dyDescent="0.3">
      <c r="A10" s="104" t="s">
        <v>492</v>
      </c>
      <c r="B10" s="105" t="s">
        <v>15</v>
      </c>
      <c r="C10" s="105">
        <v>5.4</v>
      </c>
      <c r="D10" s="194"/>
      <c r="E10" s="104" t="s">
        <v>502</v>
      </c>
      <c r="F10" s="105" t="s">
        <v>19</v>
      </c>
      <c r="G10" s="105">
        <v>8.5</v>
      </c>
      <c r="H10" s="194"/>
      <c r="I10" s="104" t="s">
        <v>507</v>
      </c>
      <c r="J10" s="105" t="s">
        <v>19</v>
      </c>
      <c r="K10" s="105">
        <v>11.9</v>
      </c>
    </row>
    <row r="11" spans="1:11" x14ac:dyDescent="0.3">
      <c r="A11" s="106" t="s">
        <v>493</v>
      </c>
      <c r="B11" s="107" t="s">
        <v>15</v>
      </c>
      <c r="C11" s="107">
        <v>15.5</v>
      </c>
      <c r="D11" s="194"/>
      <c r="E11" s="106" t="s">
        <v>503</v>
      </c>
      <c r="F11" s="107" t="s">
        <v>19</v>
      </c>
      <c r="G11" s="107">
        <v>10.7</v>
      </c>
      <c r="H11" s="194"/>
      <c r="I11" s="106" t="s">
        <v>659</v>
      </c>
      <c r="J11" s="107" t="s">
        <v>19</v>
      </c>
      <c r="K11" s="107">
        <v>6.7</v>
      </c>
    </row>
    <row r="12" spans="1:11" x14ac:dyDescent="0.3">
      <c r="A12" s="104" t="s">
        <v>602</v>
      </c>
      <c r="B12" s="105" t="s">
        <v>15</v>
      </c>
      <c r="C12" s="105">
        <v>2.4</v>
      </c>
      <c r="D12" s="194"/>
      <c r="E12" s="104" t="s">
        <v>504</v>
      </c>
      <c r="F12" s="105" t="s">
        <v>19</v>
      </c>
      <c r="G12" s="105">
        <v>12.2</v>
      </c>
      <c r="H12" s="194"/>
      <c r="I12" s="104" t="s">
        <v>508</v>
      </c>
      <c r="J12" s="105" t="s">
        <v>19</v>
      </c>
      <c r="K12" s="105">
        <v>29.7</v>
      </c>
    </row>
    <row r="13" spans="1:11" x14ac:dyDescent="0.3">
      <c r="A13" s="106" t="s">
        <v>520</v>
      </c>
      <c r="B13" s="107" t="s">
        <v>15</v>
      </c>
      <c r="C13" s="107">
        <v>6</v>
      </c>
      <c r="D13" s="194"/>
      <c r="E13" s="106" t="s">
        <v>639</v>
      </c>
      <c r="F13" s="107" t="s">
        <v>19</v>
      </c>
      <c r="G13" s="107">
        <v>23.4</v>
      </c>
      <c r="H13" s="194"/>
      <c r="I13" s="106" t="s">
        <v>660</v>
      </c>
      <c r="J13" s="107" t="s">
        <v>19</v>
      </c>
      <c r="K13" s="107">
        <v>6.7</v>
      </c>
    </row>
    <row r="14" spans="1:11" x14ac:dyDescent="0.3">
      <c r="A14" s="104" t="s">
        <v>490</v>
      </c>
      <c r="B14" s="105" t="s">
        <v>15</v>
      </c>
      <c r="C14" s="105">
        <v>4</v>
      </c>
      <c r="D14" s="194"/>
      <c r="E14" s="104" t="s">
        <v>640</v>
      </c>
      <c r="F14" s="105" t="s">
        <v>19</v>
      </c>
      <c r="G14" s="105">
        <v>5.4</v>
      </c>
      <c r="H14" s="194"/>
      <c r="I14" s="104" t="s">
        <v>661</v>
      </c>
      <c r="J14" s="105" t="s">
        <v>19</v>
      </c>
      <c r="K14" s="105">
        <v>29.7</v>
      </c>
    </row>
    <row r="15" spans="1:11" x14ac:dyDescent="0.3">
      <c r="A15" s="106" t="s">
        <v>603</v>
      </c>
      <c r="B15" s="107" t="s">
        <v>15</v>
      </c>
      <c r="C15" s="107">
        <v>5</v>
      </c>
      <c r="D15" s="194"/>
      <c r="E15" s="106" t="s">
        <v>641</v>
      </c>
      <c r="F15" s="107" t="s">
        <v>19</v>
      </c>
      <c r="G15" s="107">
        <v>9.8000000000000007</v>
      </c>
      <c r="H15" s="194"/>
      <c r="I15" s="108" t="s">
        <v>666</v>
      </c>
      <c r="J15" s="109" t="s">
        <v>19</v>
      </c>
      <c r="K15" s="109">
        <v>6.3</v>
      </c>
    </row>
    <row r="16" spans="1:11" x14ac:dyDescent="0.3">
      <c r="A16" s="104" t="s">
        <v>610</v>
      </c>
      <c r="B16" s="105" t="s">
        <v>15</v>
      </c>
      <c r="C16" s="105">
        <v>11</v>
      </c>
      <c r="D16" s="194"/>
      <c r="E16" s="104" t="s">
        <v>497</v>
      </c>
      <c r="F16" s="105" t="s">
        <v>19</v>
      </c>
      <c r="G16" s="105">
        <v>15.6</v>
      </c>
      <c r="H16" s="194"/>
      <c r="I16" s="195" t="s">
        <v>696</v>
      </c>
      <c r="J16" s="195"/>
      <c r="K16" s="134">
        <f>SUM(K6:K15)</f>
        <v>132.9</v>
      </c>
    </row>
    <row r="17" spans="1:11" x14ac:dyDescent="0.3">
      <c r="A17" s="106" t="s">
        <v>629</v>
      </c>
      <c r="B17" s="107" t="s">
        <v>15</v>
      </c>
      <c r="C17" s="107">
        <v>6.7</v>
      </c>
      <c r="D17" s="194"/>
      <c r="E17" s="106" t="s">
        <v>495</v>
      </c>
      <c r="F17" s="107" t="s">
        <v>19</v>
      </c>
      <c r="G17" s="107">
        <v>15.5</v>
      </c>
      <c r="H17" s="194"/>
      <c r="I17" s="194"/>
      <c r="J17" s="194"/>
      <c r="K17" s="194"/>
    </row>
    <row r="18" spans="1:11" x14ac:dyDescent="0.3">
      <c r="A18" s="104" t="s">
        <v>630</v>
      </c>
      <c r="B18" s="105" t="s">
        <v>15</v>
      </c>
      <c r="C18" s="105">
        <v>21.27</v>
      </c>
      <c r="D18" s="194"/>
      <c r="E18" s="104" t="s">
        <v>496</v>
      </c>
      <c r="F18" s="105" t="s">
        <v>19</v>
      </c>
      <c r="G18" s="105">
        <v>5.4</v>
      </c>
      <c r="H18" s="194"/>
      <c r="I18" s="194"/>
      <c r="J18" s="194"/>
      <c r="K18" s="194"/>
    </row>
    <row r="19" spans="1:11" x14ac:dyDescent="0.3">
      <c r="A19" s="106" t="s">
        <v>531</v>
      </c>
      <c r="B19" s="107" t="s">
        <v>10</v>
      </c>
      <c r="C19" s="107">
        <v>4.8</v>
      </c>
      <c r="D19" s="194"/>
      <c r="E19" s="106" t="s">
        <v>647</v>
      </c>
      <c r="F19" s="107" t="s">
        <v>19</v>
      </c>
      <c r="G19" s="107">
        <v>6.7</v>
      </c>
      <c r="H19" s="194"/>
      <c r="I19" s="194"/>
      <c r="J19" s="194"/>
      <c r="K19" s="194"/>
    </row>
    <row r="20" spans="1:11" x14ac:dyDescent="0.3">
      <c r="A20" s="104" t="s">
        <v>631</v>
      </c>
      <c r="B20" s="105" t="s">
        <v>15</v>
      </c>
      <c r="C20" s="105">
        <v>6.7</v>
      </c>
      <c r="D20" s="194"/>
      <c r="E20" s="104" t="s">
        <v>648</v>
      </c>
      <c r="F20" s="105" t="s">
        <v>19</v>
      </c>
      <c r="G20" s="105">
        <v>29.7</v>
      </c>
      <c r="H20" s="194"/>
      <c r="I20" s="194"/>
      <c r="J20" s="194"/>
      <c r="K20" s="194"/>
    </row>
    <row r="21" spans="1:11" x14ac:dyDescent="0.3">
      <c r="A21" s="106" t="s">
        <v>632</v>
      </c>
      <c r="B21" s="107" t="s">
        <v>15</v>
      </c>
      <c r="C21" s="107">
        <v>30</v>
      </c>
      <c r="D21" s="194"/>
      <c r="E21" s="106" t="s">
        <v>649</v>
      </c>
      <c r="F21" s="107" t="s">
        <v>19</v>
      </c>
      <c r="G21" s="107">
        <v>6.7</v>
      </c>
      <c r="H21" s="194"/>
      <c r="I21" s="194"/>
      <c r="J21" s="194"/>
      <c r="K21" s="194"/>
    </row>
    <row r="22" spans="1:11" x14ac:dyDescent="0.3">
      <c r="A22" s="104" t="s">
        <v>633</v>
      </c>
      <c r="B22" s="105" t="s">
        <v>15</v>
      </c>
      <c r="C22" s="105">
        <v>6.4</v>
      </c>
      <c r="D22" s="194"/>
      <c r="E22" s="104" t="s">
        <v>650</v>
      </c>
      <c r="F22" s="105" t="s">
        <v>19</v>
      </c>
      <c r="G22" s="105">
        <v>29.7</v>
      </c>
      <c r="H22" s="194"/>
      <c r="I22" s="194"/>
      <c r="J22" s="194"/>
      <c r="K22" s="194"/>
    </row>
    <row r="23" spans="1:11" x14ac:dyDescent="0.3">
      <c r="A23" s="106" t="s">
        <v>634</v>
      </c>
      <c r="B23" s="107" t="s">
        <v>15</v>
      </c>
      <c r="C23" s="107">
        <v>10.7</v>
      </c>
      <c r="D23" s="194"/>
      <c r="E23" s="106" t="s">
        <v>651</v>
      </c>
      <c r="F23" s="107" t="s">
        <v>19</v>
      </c>
      <c r="G23" s="107">
        <v>5.8</v>
      </c>
      <c r="H23" s="194"/>
      <c r="I23" s="194"/>
      <c r="J23" s="194"/>
      <c r="K23" s="194"/>
    </row>
    <row r="24" spans="1:11" x14ac:dyDescent="0.3">
      <c r="A24" s="195" t="s">
        <v>696</v>
      </c>
      <c r="B24" s="195"/>
      <c r="C24" s="134">
        <f>SUM(C6:C23)</f>
        <v>176.07</v>
      </c>
      <c r="D24" s="194"/>
      <c r="E24" s="195" t="s">
        <v>696</v>
      </c>
      <c r="F24" s="195"/>
      <c r="G24" s="146">
        <f>SUM(G6:G23)</f>
        <v>227.19999999999996</v>
      </c>
      <c r="H24" s="194"/>
      <c r="I24" s="194"/>
      <c r="J24" s="194"/>
      <c r="K24" s="194"/>
    </row>
  </sheetData>
  <mergeCells count="13">
    <mergeCell ref="B4:E4"/>
    <mergeCell ref="F4:I4"/>
    <mergeCell ref="D5:D24"/>
    <mergeCell ref="H5:H24"/>
    <mergeCell ref="I16:J16"/>
    <mergeCell ref="I17:K24"/>
    <mergeCell ref="A24:B24"/>
    <mergeCell ref="E24:F24"/>
    <mergeCell ref="A1:K1"/>
    <mergeCell ref="B3:E3"/>
    <mergeCell ref="F3:I3"/>
    <mergeCell ref="B2:E2"/>
    <mergeCell ref="F2:I2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693</v>
      </c>
      <c r="D3" s="129" t="s">
        <v>394</v>
      </c>
      <c r="E3" s="76">
        <v>62.228000000000002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691</v>
      </c>
      <c r="D3" s="129" t="s">
        <v>394</v>
      </c>
      <c r="E3" s="76">
        <v>8.1300000000000008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72" x14ac:dyDescent="0.3">
      <c r="A3" s="129">
        <v>1</v>
      </c>
      <c r="B3" s="135" t="s">
        <v>688</v>
      </c>
      <c r="C3" s="133" t="s">
        <v>689</v>
      </c>
      <c r="D3" s="129" t="s">
        <v>394</v>
      </c>
      <c r="E3" s="76">
        <v>200.6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686</v>
      </c>
      <c r="C3" s="127" t="s">
        <v>687</v>
      </c>
      <c r="D3" s="124" t="s">
        <v>394</v>
      </c>
      <c r="E3" s="76">
        <v>6.22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90" x14ac:dyDescent="0.3">
      <c r="A3" s="124">
        <v>1</v>
      </c>
      <c r="B3" s="135" t="s">
        <v>684</v>
      </c>
      <c r="C3" s="127" t="s">
        <v>685</v>
      </c>
      <c r="D3" s="124" t="s">
        <v>394</v>
      </c>
      <c r="E3" s="76">
        <v>25.47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73" t="s">
        <v>692</v>
      </c>
      <c r="B1" s="173"/>
      <c r="C1" s="173"/>
      <c r="D1" s="173"/>
      <c r="E1" s="173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682</v>
      </c>
      <c r="C3" s="127" t="s">
        <v>683</v>
      </c>
      <c r="D3" s="124" t="s">
        <v>394</v>
      </c>
      <c r="E3" s="116">
        <v>13.8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3"/>
  <sheetViews>
    <sheetView zoomScaleNormal="10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7.88671875" style="128" customWidth="1"/>
    <col min="3" max="3" width="14.109375" style="128" customWidth="1"/>
    <col min="4" max="4" width="4.109375" style="128" customWidth="1"/>
    <col min="5" max="5" width="7.109375" style="128" customWidth="1"/>
    <col min="6" max="6" width="15.44140625" style="128" customWidth="1"/>
    <col min="7" max="7" width="13.6640625" style="128" customWidth="1"/>
    <col min="8" max="8" width="7.44140625" style="128" customWidth="1"/>
    <col min="9" max="9" width="11.88671875" style="128" customWidth="1"/>
    <col min="10" max="16384" width="8.88671875" style="128"/>
  </cols>
  <sheetData>
    <row r="1" spans="1:9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</row>
    <row r="2" spans="1:9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6" t="s">
        <v>392</v>
      </c>
      <c r="I2" s="14" t="s">
        <v>393</v>
      </c>
    </row>
    <row r="3" spans="1:9" ht="34.200000000000003" customHeight="1" x14ac:dyDescent="0.3">
      <c r="A3" s="124">
        <v>1</v>
      </c>
      <c r="B3" s="189" t="s">
        <v>680</v>
      </c>
      <c r="C3" s="189"/>
      <c r="D3" s="189"/>
      <c r="E3" s="189"/>
      <c r="F3" s="197" t="s">
        <v>681</v>
      </c>
      <c r="G3" s="198"/>
      <c r="H3" s="124" t="s">
        <v>394</v>
      </c>
      <c r="I3" s="116">
        <v>3.2</v>
      </c>
    </row>
  </sheetData>
  <mergeCells count="5">
    <mergeCell ref="A1:I1"/>
    <mergeCell ref="B2:E2"/>
    <mergeCell ref="F2:G2"/>
    <mergeCell ref="B3:E3"/>
    <mergeCell ref="F3:G3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13"/>
  <sheetViews>
    <sheetView workbookViewId="0">
      <selection activeCell="C7" sqref="C7:C8"/>
    </sheetView>
  </sheetViews>
  <sheetFormatPr defaultRowHeight="14.4" x14ac:dyDescent="0.3"/>
  <sheetData>
    <row r="4" spans="2:3" x14ac:dyDescent="0.3">
      <c r="B4" t="s">
        <v>535</v>
      </c>
      <c r="C4">
        <v>1827.2</v>
      </c>
    </row>
    <row r="5" spans="2:3" x14ac:dyDescent="0.3">
      <c r="B5" t="s">
        <v>536</v>
      </c>
      <c r="C5">
        <v>118.8</v>
      </c>
    </row>
    <row r="6" spans="2:3" x14ac:dyDescent="0.3">
      <c r="B6" t="s">
        <v>537</v>
      </c>
      <c r="C6">
        <v>395.7</v>
      </c>
    </row>
    <row r="7" spans="2:3" x14ac:dyDescent="0.3">
      <c r="B7" t="s">
        <v>538</v>
      </c>
      <c r="C7">
        <v>259.5</v>
      </c>
    </row>
    <row r="8" spans="2:3" x14ac:dyDescent="0.3">
      <c r="B8" t="s">
        <v>539</v>
      </c>
      <c r="C8">
        <v>20.7</v>
      </c>
    </row>
    <row r="9" spans="2:3" x14ac:dyDescent="0.3">
      <c r="B9" t="s">
        <v>540</v>
      </c>
      <c r="C9">
        <v>382.5</v>
      </c>
    </row>
    <row r="10" spans="2:3" x14ac:dyDescent="0.3">
      <c r="B10" t="s">
        <v>541</v>
      </c>
      <c r="C10">
        <v>583.20000000000005</v>
      </c>
    </row>
    <row r="11" spans="2:3" x14ac:dyDescent="0.3">
      <c r="B11" t="s">
        <v>542</v>
      </c>
      <c r="C11">
        <v>1141.4000000000001</v>
      </c>
    </row>
    <row r="12" spans="2:3" x14ac:dyDescent="0.3">
      <c r="B12" t="s">
        <v>543</v>
      </c>
      <c r="C12">
        <v>954.9</v>
      </c>
    </row>
    <row r="13" spans="2:3" x14ac:dyDescent="0.3">
      <c r="B13" t="s">
        <v>544</v>
      </c>
      <c r="C13">
        <v>434.8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58"/>
  <sheetViews>
    <sheetView topLeftCell="B174" zoomScale="85" zoomScaleNormal="85" workbookViewId="0">
      <selection activeCell="D2" sqref="B2:D215"/>
    </sheetView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199" t="s">
        <v>195</v>
      </c>
      <c r="J1" s="199"/>
      <c r="K1" s="199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8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8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8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8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8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8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8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hidden="1" x14ac:dyDescent="0.3">
      <c r="A59" s="2">
        <v>39</v>
      </c>
      <c r="B59" s="38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8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8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8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8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8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8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8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8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8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8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8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8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8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8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8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8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8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8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8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8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8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8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8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8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8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8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8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8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8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8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8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8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8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8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8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8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8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8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8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8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8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8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8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8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8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8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8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8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8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8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8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8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8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8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8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8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8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8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8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8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8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8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="85" zoomScaleNormal="85" workbookViewId="0">
      <selection activeCell="D19" sqref="D19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396</v>
      </c>
    </row>
    <row r="2" spans="1:7" ht="18" x14ac:dyDescent="0.3">
      <c r="A2" s="29" t="s">
        <v>435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434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429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430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436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432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433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431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  <row r="16" spans="1:7" ht="18" x14ac:dyDescent="0.3">
      <c r="A16" s="29" t="s">
        <v>435</v>
      </c>
      <c r="B16">
        <v>1056.5999999999999</v>
      </c>
      <c r="C16">
        <v>75.7</v>
      </c>
      <c r="D16" s="29">
        <v>0</v>
      </c>
      <c r="E16" s="29">
        <f>SUM(B16:D16)</f>
        <v>1132.3</v>
      </c>
      <c r="G16" s="30">
        <v>1132.5</v>
      </c>
    </row>
    <row r="17" spans="1:7" ht="18" x14ac:dyDescent="0.3">
      <c r="A17" s="29" t="s">
        <v>434</v>
      </c>
      <c r="B17" s="29">
        <v>31.2</v>
      </c>
      <c r="C17" s="29">
        <v>0</v>
      </c>
      <c r="D17" s="29">
        <v>0</v>
      </c>
      <c r="E17" s="29">
        <f t="shared" ref="E17:E23" si="1">SUM(B17:D17)</f>
        <v>31.2</v>
      </c>
      <c r="G17" s="30">
        <v>31.2</v>
      </c>
    </row>
    <row r="18" spans="1:7" ht="18" x14ac:dyDescent="0.3">
      <c r="A18" s="29" t="s">
        <v>429</v>
      </c>
      <c r="B18" s="29">
        <v>127.2</v>
      </c>
      <c r="C18" s="29">
        <v>277.5</v>
      </c>
      <c r="D18" s="29">
        <v>155.69999999999999</v>
      </c>
      <c r="E18" s="29">
        <f t="shared" si="1"/>
        <v>560.4</v>
      </c>
      <c r="G18" s="30">
        <v>560.4</v>
      </c>
    </row>
    <row r="19" spans="1:7" ht="18" x14ac:dyDescent="0.3">
      <c r="A19" s="29" t="s">
        <v>430</v>
      </c>
      <c r="B19" s="29">
        <v>9.4</v>
      </c>
      <c r="C19" s="29">
        <v>9.1999999999999993</v>
      </c>
      <c r="D19" s="29">
        <v>9.4</v>
      </c>
      <c r="E19" s="29">
        <f t="shared" si="1"/>
        <v>28</v>
      </c>
      <c r="G19" s="30">
        <v>28</v>
      </c>
    </row>
    <row r="20" spans="1:7" ht="18" x14ac:dyDescent="0.3">
      <c r="A20" s="29" t="s">
        <v>436</v>
      </c>
      <c r="B20" s="29">
        <v>370.9</v>
      </c>
      <c r="C20" s="29">
        <v>0</v>
      </c>
      <c r="D20" s="29">
        <v>0</v>
      </c>
      <c r="E20" s="29">
        <f t="shared" si="1"/>
        <v>370.9</v>
      </c>
      <c r="G20" s="30">
        <v>370.9</v>
      </c>
    </row>
    <row r="21" spans="1:7" x14ac:dyDescent="0.3">
      <c r="A21" s="29" t="s">
        <v>432</v>
      </c>
      <c r="B21" s="29">
        <v>0</v>
      </c>
      <c r="C21" s="29">
        <v>0</v>
      </c>
      <c r="D21" s="29">
        <v>0</v>
      </c>
      <c r="E21" s="29">
        <f t="shared" si="1"/>
        <v>0</v>
      </c>
    </row>
    <row r="22" spans="1:7" x14ac:dyDescent="0.3">
      <c r="A22" s="29" t="s">
        <v>433</v>
      </c>
      <c r="B22" s="29">
        <v>0</v>
      </c>
      <c r="C22" s="29">
        <v>0</v>
      </c>
      <c r="D22" s="29">
        <v>0</v>
      </c>
      <c r="E22" s="29">
        <f t="shared" si="1"/>
        <v>0</v>
      </c>
    </row>
    <row r="23" spans="1:7" ht="18" x14ac:dyDescent="0.3">
      <c r="A23" s="29" t="s">
        <v>431</v>
      </c>
      <c r="B23" s="29">
        <v>121.1</v>
      </c>
      <c r="C23" s="29">
        <v>43.3</v>
      </c>
      <c r="D23" s="29">
        <v>42.7</v>
      </c>
      <c r="E23" s="29">
        <f t="shared" si="1"/>
        <v>207.09999999999997</v>
      </c>
      <c r="G23" s="30">
        <v>207.1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3" sqref="A1:E3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426</v>
      </c>
      <c r="D3" s="19" t="s">
        <v>394</v>
      </c>
      <c r="E3" s="20">
        <f>'1-пом'!C15</f>
        <v>438.7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6"/>
  <sheetViews>
    <sheetView zoomScale="115" zoomScaleNormal="115" workbookViewId="0">
      <selection activeCell="I14" sqref="I14"/>
    </sheetView>
  </sheetViews>
  <sheetFormatPr defaultRowHeight="14.4" x14ac:dyDescent="0.3"/>
  <cols>
    <col min="1" max="1" width="7.88671875" style="86" customWidth="1"/>
    <col min="2" max="2" width="8.88671875" style="86"/>
    <col min="3" max="3" width="10.6640625" style="86" customWidth="1"/>
    <col min="4" max="4" width="2.44140625" style="86" customWidth="1"/>
    <col min="5" max="5" width="6.88671875" style="86" customWidth="1"/>
    <col min="6" max="6" width="8.88671875" style="86"/>
    <col min="7" max="7" width="11.33203125" style="86" customWidth="1"/>
    <col min="8" max="8" width="2.33203125" style="86" customWidth="1"/>
    <col min="9" max="9" width="6.5546875" style="86" customWidth="1"/>
    <col min="10" max="10" width="8.88671875" style="86" customWidth="1"/>
    <col min="11" max="11" width="11" style="86" customWidth="1"/>
    <col min="12" max="16384" width="8.88671875" style="86"/>
  </cols>
  <sheetData>
    <row r="1" spans="1:11" x14ac:dyDescent="0.3">
      <c r="A1" s="90"/>
      <c r="B1" s="204" t="s">
        <v>594</v>
      </c>
      <c r="C1" s="205"/>
      <c r="D1" s="205"/>
      <c r="E1" s="205"/>
      <c r="F1" s="205"/>
      <c r="G1" s="205"/>
      <c r="H1" s="205"/>
      <c r="I1" s="205"/>
      <c r="J1" s="205"/>
      <c r="K1" s="206"/>
    </row>
    <row r="2" spans="1:11" x14ac:dyDescent="0.3">
      <c r="A2" s="35" t="s">
        <v>389</v>
      </c>
      <c r="B2" s="210" t="s">
        <v>595</v>
      </c>
      <c r="C2" s="211"/>
      <c r="D2" s="208" t="s">
        <v>391</v>
      </c>
      <c r="E2" s="208"/>
      <c r="F2" s="208"/>
      <c r="G2" s="208"/>
      <c r="H2" s="208"/>
      <c r="I2" s="208"/>
      <c r="J2" s="91" t="s">
        <v>392</v>
      </c>
      <c r="K2" s="91" t="s">
        <v>393</v>
      </c>
    </row>
    <row r="3" spans="1:11" ht="30" customHeight="1" x14ac:dyDescent="0.3">
      <c r="A3" s="35">
        <v>1</v>
      </c>
      <c r="B3" s="212" t="s">
        <v>596</v>
      </c>
      <c r="C3" s="213"/>
      <c r="D3" s="209" t="s">
        <v>671</v>
      </c>
      <c r="E3" s="209"/>
      <c r="F3" s="209"/>
      <c r="G3" s="209"/>
      <c r="H3" s="209"/>
      <c r="I3" s="209"/>
      <c r="J3" s="91" t="s">
        <v>394</v>
      </c>
      <c r="K3" s="120">
        <f>C34+G36+K31</f>
        <v>4700.0259999999998</v>
      </c>
    </row>
    <row r="4" spans="1:11" x14ac:dyDescent="0.3">
      <c r="A4" s="207"/>
      <c r="B4" s="207"/>
      <c r="C4" s="207"/>
      <c r="D4" s="207"/>
      <c r="E4" s="207"/>
      <c r="F4" s="207"/>
      <c r="G4" s="207"/>
      <c r="H4" s="207"/>
      <c r="I4" s="207"/>
      <c r="J4" s="207"/>
      <c r="K4" s="207"/>
    </row>
    <row r="5" spans="1:11" ht="31.2" x14ac:dyDescent="0.3">
      <c r="A5" s="151" t="s">
        <v>0</v>
      </c>
      <c r="B5" s="151" t="s">
        <v>1</v>
      </c>
      <c r="C5" s="151" t="s">
        <v>2</v>
      </c>
      <c r="D5" s="201"/>
      <c r="E5" s="151" t="s">
        <v>0</v>
      </c>
      <c r="F5" s="151" t="s">
        <v>1</v>
      </c>
      <c r="G5" s="151" t="s">
        <v>2</v>
      </c>
      <c r="H5" s="201"/>
      <c r="I5" s="151" t="s">
        <v>0</v>
      </c>
      <c r="J5" s="151" t="s">
        <v>1</v>
      </c>
      <c r="K5" s="151" t="s">
        <v>2</v>
      </c>
    </row>
    <row r="6" spans="1:11" ht="15.6" x14ac:dyDescent="0.3">
      <c r="A6" s="152">
        <v>1.05</v>
      </c>
      <c r="B6" s="153" t="s">
        <v>13</v>
      </c>
      <c r="C6" s="153">
        <v>22.1</v>
      </c>
      <c r="D6" s="201"/>
      <c r="E6" s="154">
        <v>2.0099999999999998</v>
      </c>
      <c r="F6" s="155" t="s">
        <v>17</v>
      </c>
      <c r="G6" s="155">
        <v>62.2</v>
      </c>
      <c r="H6" s="201"/>
      <c r="I6" s="154">
        <v>3.01</v>
      </c>
      <c r="J6" s="155" t="s">
        <v>17</v>
      </c>
      <c r="K6" s="155">
        <v>62.8</v>
      </c>
    </row>
    <row r="7" spans="1:11" ht="15.6" x14ac:dyDescent="0.3">
      <c r="A7" s="154">
        <v>1.0900000000000001</v>
      </c>
      <c r="B7" s="155" t="s">
        <v>13</v>
      </c>
      <c r="C7" s="155">
        <v>62.9</v>
      </c>
      <c r="D7" s="201"/>
      <c r="E7" s="152">
        <v>2.02</v>
      </c>
      <c r="F7" s="153" t="s">
        <v>17</v>
      </c>
      <c r="G7" s="153">
        <v>89</v>
      </c>
      <c r="H7" s="201"/>
      <c r="I7" s="152">
        <v>3.02</v>
      </c>
      <c r="J7" s="153" t="s">
        <v>17</v>
      </c>
      <c r="K7" s="153">
        <v>89.1</v>
      </c>
    </row>
    <row r="8" spans="1:11" ht="15.6" x14ac:dyDescent="0.3">
      <c r="A8" s="152">
        <v>1.1000000000000001</v>
      </c>
      <c r="B8" s="153" t="s">
        <v>13</v>
      </c>
      <c r="C8" s="153">
        <v>64.3</v>
      </c>
      <c r="D8" s="201"/>
      <c r="E8" s="154">
        <v>2.0299999999999998</v>
      </c>
      <c r="F8" s="155" t="s">
        <v>17</v>
      </c>
      <c r="G8" s="155">
        <v>39.4</v>
      </c>
      <c r="H8" s="201"/>
      <c r="I8" s="154">
        <v>3.03</v>
      </c>
      <c r="J8" s="155" t="s">
        <v>17</v>
      </c>
      <c r="K8" s="155">
        <v>29.7</v>
      </c>
    </row>
    <row r="9" spans="1:11" ht="15.6" x14ac:dyDescent="0.3">
      <c r="A9" s="154">
        <v>1.1100000000000001</v>
      </c>
      <c r="B9" s="155" t="s">
        <v>13</v>
      </c>
      <c r="C9" s="155">
        <v>64.400000000000006</v>
      </c>
      <c r="D9" s="201"/>
      <c r="E9" s="152">
        <v>2.04</v>
      </c>
      <c r="F9" s="153" t="s">
        <v>17</v>
      </c>
      <c r="G9" s="153">
        <v>63</v>
      </c>
      <c r="H9" s="201"/>
      <c r="I9" s="152">
        <v>3.04</v>
      </c>
      <c r="J9" s="153" t="s">
        <v>17</v>
      </c>
      <c r="K9" s="153">
        <v>64.599999999999994</v>
      </c>
    </row>
    <row r="10" spans="1:11" ht="15.6" x14ac:dyDescent="0.3">
      <c r="A10" s="152">
        <v>1.1200000000000001</v>
      </c>
      <c r="B10" s="153" t="s">
        <v>13</v>
      </c>
      <c r="C10" s="153">
        <v>131.19999999999999</v>
      </c>
      <c r="D10" s="201"/>
      <c r="E10" s="154">
        <v>2.0499999999999998</v>
      </c>
      <c r="F10" s="155" t="s">
        <v>17</v>
      </c>
      <c r="G10" s="155">
        <v>64.400000000000006</v>
      </c>
      <c r="H10" s="201"/>
      <c r="I10" s="154">
        <v>3.05</v>
      </c>
      <c r="J10" s="155" t="s">
        <v>17</v>
      </c>
      <c r="K10" s="155">
        <v>63.8</v>
      </c>
    </row>
    <row r="11" spans="1:11" ht="15.6" x14ac:dyDescent="0.3">
      <c r="A11" s="154">
        <v>1.19</v>
      </c>
      <c r="B11" s="155" t="s">
        <v>13</v>
      </c>
      <c r="C11" s="155">
        <v>20.7</v>
      </c>
      <c r="D11" s="201"/>
      <c r="E11" s="152">
        <v>2.06</v>
      </c>
      <c r="F11" s="153" t="s">
        <v>17</v>
      </c>
      <c r="G11" s="153">
        <v>63.3</v>
      </c>
      <c r="H11" s="201"/>
      <c r="I11" s="152">
        <v>3.06</v>
      </c>
      <c r="J11" s="153" t="s">
        <v>17</v>
      </c>
      <c r="K11" s="153">
        <v>65.400000000000006</v>
      </c>
    </row>
    <row r="12" spans="1:11" ht="15.6" x14ac:dyDescent="0.3">
      <c r="A12" s="152">
        <v>1.2</v>
      </c>
      <c r="B12" s="153" t="s">
        <v>13</v>
      </c>
      <c r="C12" s="153">
        <v>20.399999999999999</v>
      </c>
      <c r="D12" s="201"/>
      <c r="E12" s="154">
        <v>2.0699999999999998</v>
      </c>
      <c r="F12" s="155" t="s">
        <v>17</v>
      </c>
      <c r="G12" s="155">
        <v>63.3</v>
      </c>
      <c r="H12" s="201"/>
      <c r="I12" s="154">
        <v>3.07</v>
      </c>
      <c r="J12" s="155" t="s">
        <v>17</v>
      </c>
      <c r="K12" s="155">
        <v>63.7</v>
      </c>
    </row>
    <row r="13" spans="1:11" ht="15.6" x14ac:dyDescent="0.3">
      <c r="A13" s="154">
        <v>1.24</v>
      </c>
      <c r="B13" s="155" t="s">
        <v>13</v>
      </c>
      <c r="C13" s="155">
        <v>10.1</v>
      </c>
      <c r="D13" s="201"/>
      <c r="E13" s="152">
        <v>2.08</v>
      </c>
      <c r="F13" s="153" t="s">
        <v>13</v>
      </c>
      <c r="G13" s="153">
        <v>78.2</v>
      </c>
      <c r="H13" s="201"/>
      <c r="I13" s="152">
        <v>3.08</v>
      </c>
      <c r="J13" s="153" t="s">
        <v>17</v>
      </c>
      <c r="K13" s="153">
        <v>64.3</v>
      </c>
    </row>
    <row r="14" spans="1:11" ht="15.6" x14ac:dyDescent="0.3">
      <c r="A14" s="152">
        <v>1.25</v>
      </c>
      <c r="B14" s="153" t="s">
        <v>13</v>
      </c>
      <c r="C14" s="153">
        <v>10.3</v>
      </c>
      <c r="D14" s="201"/>
      <c r="E14" s="154">
        <v>2.12</v>
      </c>
      <c r="F14" s="155" t="s">
        <v>17</v>
      </c>
      <c r="G14" s="155">
        <v>27</v>
      </c>
      <c r="H14" s="201"/>
      <c r="I14" s="154">
        <v>3.12</v>
      </c>
      <c r="J14" s="155" t="s">
        <v>17</v>
      </c>
      <c r="K14" s="155">
        <v>246.5</v>
      </c>
    </row>
    <row r="15" spans="1:11" ht="15.6" x14ac:dyDescent="0.3">
      <c r="A15" s="154">
        <v>1.26</v>
      </c>
      <c r="B15" s="155" t="s">
        <v>13</v>
      </c>
      <c r="C15" s="155">
        <v>10.7</v>
      </c>
      <c r="D15" s="201"/>
      <c r="E15" s="152">
        <v>2.15</v>
      </c>
      <c r="F15" s="153" t="s">
        <v>17</v>
      </c>
      <c r="G15" s="153">
        <v>28</v>
      </c>
      <c r="H15" s="201"/>
      <c r="I15" s="152">
        <v>3.13</v>
      </c>
      <c r="J15" s="153" t="s">
        <v>17</v>
      </c>
      <c r="K15" s="153">
        <v>13.3</v>
      </c>
    </row>
    <row r="16" spans="1:11" ht="15.6" x14ac:dyDescent="0.3">
      <c r="A16" s="152">
        <v>1.27</v>
      </c>
      <c r="B16" s="153" t="s">
        <v>13</v>
      </c>
      <c r="C16" s="153">
        <v>25.9</v>
      </c>
      <c r="D16" s="201"/>
      <c r="E16" s="154">
        <v>2.1800000000000002</v>
      </c>
      <c r="F16" s="155" t="s">
        <v>17</v>
      </c>
      <c r="G16" s="155">
        <v>31.5</v>
      </c>
      <c r="H16" s="201"/>
      <c r="I16" s="154">
        <v>3.18</v>
      </c>
      <c r="J16" s="155" t="s">
        <v>17</v>
      </c>
      <c r="K16" s="155">
        <v>107.2</v>
      </c>
    </row>
    <row r="17" spans="1:11" ht="15.6" x14ac:dyDescent="0.3">
      <c r="A17" s="154">
        <v>1.28</v>
      </c>
      <c r="B17" s="155" t="s">
        <v>13</v>
      </c>
      <c r="C17" s="155">
        <v>22.1</v>
      </c>
      <c r="D17" s="201"/>
      <c r="E17" s="152">
        <v>2.19</v>
      </c>
      <c r="F17" s="153" t="s">
        <v>18</v>
      </c>
      <c r="G17" s="153">
        <v>359.3</v>
      </c>
      <c r="H17" s="201"/>
      <c r="I17" s="152">
        <v>3.19</v>
      </c>
      <c r="J17" s="153" t="s">
        <v>13</v>
      </c>
      <c r="K17" s="153">
        <v>113.7</v>
      </c>
    </row>
    <row r="18" spans="1:11" ht="15.6" x14ac:dyDescent="0.3">
      <c r="A18" s="154" t="s">
        <v>560</v>
      </c>
      <c r="B18" s="155" t="s">
        <v>13</v>
      </c>
      <c r="C18" s="154">
        <v>28.125999999999998</v>
      </c>
      <c r="D18" s="201"/>
      <c r="E18" s="154">
        <v>2.21</v>
      </c>
      <c r="F18" s="155" t="s">
        <v>17</v>
      </c>
      <c r="G18" s="155">
        <v>14</v>
      </c>
      <c r="H18" s="201"/>
      <c r="I18" s="154">
        <v>3.23</v>
      </c>
      <c r="J18" s="155" t="s">
        <v>17</v>
      </c>
      <c r="K18" s="155">
        <v>21.6</v>
      </c>
    </row>
    <row r="19" spans="1:11" ht="15.6" x14ac:dyDescent="0.3">
      <c r="A19" s="152">
        <v>1.3</v>
      </c>
      <c r="B19" s="153" t="s">
        <v>13</v>
      </c>
      <c r="C19" s="153">
        <v>92.2</v>
      </c>
      <c r="D19" s="201"/>
      <c r="E19" s="152">
        <v>2.27</v>
      </c>
      <c r="F19" s="153" t="s">
        <v>13</v>
      </c>
      <c r="G19" s="153">
        <v>19.100000000000001</v>
      </c>
      <c r="H19" s="201"/>
      <c r="I19" s="152">
        <v>3.25</v>
      </c>
      <c r="J19" s="153" t="s">
        <v>17</v>
      </c>
      <c r="K19" s="153">
        <v>52.1</v>
      </c>
    </row>
    <row r="20" spans="1:11" ht="15.6" x14ac:dyDescent="0.3">
      <c r="A20" s="154">
        <v>1.31</v>
      </c>
      <c r="B20" s="155" t="s">
        <v>13</v>
      </c>
      <c r="C20" s="155">
        <v>113</v>
      </c>
      <c r="D20" s="201"/>
      <c r="E20" s="154">
        <v>2.2799999999999998</v>
      </c>
      <c r="F20" s="155" t="s">
        <v>17</v>
      </c>
      <c r="G20" s="155">
        <v>192.9</v>
      </c>
      <c r="H20" s="201"/>
      <c r="I20" s="154">
        <v>3.26</v>
      </c>
      <c r="J20" s="155" t="s">
        <v>14</v>
      </c>
      <c r="K20" s="155">
        <v>57</v>
      </c>
    </row>
    <row r="21" spans="1:11" ht="15.6" x14ac:dyDescent="0.3">
      <c r="A21" s="152">
        <v>1.46</v>
      </c>
      <c r="B21" s="153" t="s">
        <v>13</v>
      </c>
      <c r="C21" s="153">
        <v>9.3000000000000007</v>
      </c>
      <c r="D21" s="201"/>
      <c r="E21" s="152">
        <v>2.29</v>
      </c>
      <c r="F21" s="153" t="s">
        <v>17</v>
      </c>
      <c r="G21" s="153">
        <v>14.3</v>
      </c>
      <c r="H21" s="201"/>
      <c r="I21" s="152">
        <v>3.28</v>
      </c>
      <c r="J21" s="153" t="s">
        <v>17</v>
      </c>
      <c r="K21" s="153">
        <v>21.6</v>
      </c>
    </row>
    <row r="22" spans="1:11" ht="15.6" x14ac:dyDescent="0.3">
      <c r="A22" s="154">
        <v>1.58</v>
      </c>
      <c r="B22" s="155" t="s">
        <v>13</v>
      </c>
      <c r="C22" s="155">
        <v>58.9</v>
      </c>
      <c r="D22" s="201"/>
      <c r="E22" s="154">
        <v>2.2999999999999998</v>
      </c>
      <c r="F22" s="155" t="s">
        <v>13</v>
      </c>
      <c r="G22" s="155">
        <v>115.5</v>
      </c>
      <c r="H22" s="201"/>
      <c r="I22" s="154">
        <v>3.29</v>
      </c>
      <c r="J22" s="155" t="s">
        <v>17</v>
      </c>
      <c r="K22" s="155">
        <v>51.6</v>
      </c>
    </row>
    <row r="23" spans="1:11" ht="15.6" x14ac:dyDescent="0.3">
      <c r="A23" s="152">
        <v>1.61</v>
      </c>
      <c r="B23" s="153" t="s">
        <v>13</v>
      </c>
      <c r="C23" s="153">
        <v>16.8</v>
      </c>
      <c r="D23" s="201"/>
      <c r="E23" s="152">
        <v>2.37</v>
      </c>
      <c r="F23" s="153" t="s">
        <v>17</v>
      </c>
      <c r="G23" s="153">
        <v>21.6</v>
      </c>
      <c r="H23" s="201"/>
      <c r="I23" s="152">
        <v>3.3</v>
      </c>
      <c r="J23" s="153" t="s">
        <v>14</v>
      </c>
      <c r="K23" s="153">
        <v>56.3</v>
      </c>
    </row>
    <row r="24" spans="1:11" ht="15.6" x14ac:dyDescent="0.3">
      <c r="A24" s="154">
        <v>1.64</v>
      </c>
      <c r="B24" s="155" t="s">
        <v>14</v>
      </c>
      <c r="C24" s="155">
        <v>24</v>
      </c>
      <c r="D24" s="201"/>
      <c r="E24" s="154">
        <v>2.4</v>
      </c>
      <c r="F24" s="155" t="s">
        <v>17</v>
      </c>
      <c r="G24" s="155">
        <v>51.3</v>
      </c>
      <c r="H24" s="201"/>
      <c r="I24" s="154">
        <v>3.33</v>
      </c>
      <c r="J24" s="155" t="s">
        <v>17</v>
      </c>
      <c r="K24" s="155">
        <v>75.400000000000006</v>
      </c>
    </row>
    <row r="25" spans="1:11" ht="15.6" x14ac:dyDescent="0.3">
      <c r="A25" s="152">
        <v>1.67</v>
      </c>
      <c r="B25" s="153" t="s">
        <v>14</v>
      </c>
      <c r="C25" s="153">
        <v>51.3</v>
      </c>
      <c r="D25" s="201"/>
      <c r="E25" s="152">
        <v>2.41</v>
      </c>
      <c r="F25" s="153" t="s">
        <v>14</v>
      </c>
      <c r="G25" s="153">
        <v>56.6</v>
      </c>
      <c r="H25" s="201"/>
      <c r="I25" s="152">
        <v>3.34</v>
      </c>
      <c r="J25" s="153" t="s">
        <v>17</v>
      </c>
      <c r="K25" s="153">
        <v>6.9</v>
      </c>
    </row>
    <row r="26" spans="1:11" ht="15.6" x14ac:dyDescent="0.3">
      <c r="A26" s="154">
        <v>1.68</v>
      </c>
      <c r="B26" s="155" t="s">
        <v>14</v>
      </c>
      <c r="C26" s="155">
        <v>56.6</v>
      </c>
      <c r="D26" s="201"/>
      <c r="E26" s="154">
        <v>2.42</v>
      </c>
      <c r="F26" s="155" t="s">
        <v>17</v>
      </c>
      <c r="G26" s="155">
        <v>21.5</v>
      </c>
      <c r="H26" s="201"/>
      <c r="I26" s="154">
        <v>3.35</v>
      </c>
      <c r="J26" s="155" t="s">
        <v>17</v>
      </c>
      <c r="K26" s="155">
        <v>74.900000000000006</v>
      </c>
    </row>
    <row r="27" spans="1:11" ht="15.6" x14ac:dyDescent="0.3">
      <c r="A27" s="152">
        <v>1.69</v>
      </c>
      <c r="B27" s="153" t="s">
        <v>14</v>
      </c>
      <c r="C27" s="153">
        <v>18.5</v>
      </c>
      <c r="D27" s="201"/>
      <c r="E27" s="152">
        <v>2.44</v>
      </c>
      <c r="F27" s="153" t="s">
        <v>17</v>
      </c>
      <c r="G27" s="153">
        <v>51.3</v>
      </c>
      <c r="H27" s="201"/>
      <c r="I27" s="152">
        <v>3.41</v>
      </c>
      <c r="J27" s="153" t="s">
        <v>13</v>
      </c>
      <c r="K27" s="153">
        <v>36.4</v>
      </c>
    </row>
    <row r="28" spans="1:11" ht="15.6" x14ac:dyDescent="0.3">
      <c r="A28" s="154">
        <v>1.73</v>
      </c>
      <c r="B28" s="155" t="s">
        <v>14</v>
      </c>
      <c r="C28" s="155">
        <v>51.2</v>
      </c>
      <c r="D28" s="201"/>
      <c r="E28" s="154">
        <v>2.4500000000000002</v>
      </c>
      <c r="F28" s="155" t="s">
        <v>14</v>
      </c>
      <c r="G28" s="155">
        <v>56.3</v>
      </c>
      <c r="H28" s="201"/>
      <c r="I28" s="154">
        <v>3.42</v>
      </c>
      <c r="J28" s="155" t="s">
        <v>13</v>
      </c>
      <c r="K28" s="155">
        <v>59.7</v>
      </c>
    </row>
    <row r="29" spans="1:11" ht="15.6" x14ac:dyDescent="0.3">
      <c r="A29" s="152">
        <v>1.74</v>
      </c>
      <c r="B29" s="153" t="s">
        <v>14</v>
      </c>
      <c r="C29" s="153">
        <v>56.3</v>
      </c>
      <c r="D29" s="201"/>
      <c r="E29" s="152">
        <v>2.4700000000000002</v>
      </c>
      <c r="F29" s="153" t="s">
        <v>17</v>
      </c>
      <c r="G29" s="153">
        <v>75.599999999999994</v>
      </c>
      <c r="H29" s="201"/>
      <c r="I29" s="152">
        <v>3.44</v>
      </c>
      <c r="J29" s="153" t="s">
        <v>13</v>
      </c>
      <c r="K29" s="153">
        <v>21.4</v>
      </c>
    </row>
    <row r="30" spans="1:11" ht="15.6" x14ac:dyDescent="0.3">
      <c r="A30" s="154">
        <v>1.76</v>
      </c>
      <c r="B30" s="155" t="s">
        <v>13</v>
      </c>
      <c r="C30" s="155">
        <v>6.3</v>
      </c>
      <c r="D30" s="201"/>
      <c r="E30" s="154">
        <v>2.48</v>
      </c>
      <c r="F30" s="155" t="s">
        <v>17</v>
      </c>
      <c r="G30" s="155">
        <v>7</v>
      </c>
      <c r="H30" s="201"/>
      <c r="I30" s="156">
        <v>3.45</v>
      </c>
      <c r="J30" s="157" t="s">
        <v>17</v>
      </c>
      <c r="K30" s="157">
        <v>82.7</v>
      </c>
    </row>
    <row r="31" spans="1:11" ht="15.6" x14ac:dyDescent="0.3">
      <c r="A31" s="152">
        <v>1.77</v>
      </c>
      <c r="B31" s="153" t="s">
        <v>13</v>
      </c>
      <c r="C31" s="153">
        <v>41.2</v>
      </c>
      <c r="D31" s="201"/>
      <c r="E31" s="152">
        <v>2.4900000000000002</v>
      </c>
      <c r="F31" s="153" t="s">
        <v>17</v>
      </c>
      <c r="G31" s="153">
        <v>75.2</v>
      </c>
      <c r="H31" s="201"/>
      <c r="I31" s="200" t="s">
        <v>396</v>
      </c>
      <c r="J31" s="200"/>
      <c r="K31" s="158">
        <f>SUM(K6:K30)</f>
        <v>1601.7000000000003</v>
      </c>
    </row>
    <row r="32" spans="1:11" ht="15.6" x14ac:dyDescent="0.3">
      <c r="A32" s="154">
        <v>1.78</v>
      </c>
      <c r="B32" s="155" t="s">
        <v>13</v>
      </c>
      <c r="C32" s="155">
        <v>60</v>
      </c>
      <c r="D32" s="201"/>
      <c r="E32" s="154">
        <v>2.5</v>
      </c>
      <c r="F32" s="155" t="s">
        <v>17</v>
      </c>
      <c r="G32" s="155">
        <v>6.2</v>
      </c>
      <c r="H32" s="201"/>
      <c r="I32" s="202"/>
      <c r="J32" s="202"/>
      <c r="K32" s="202"/>
    </row>
    <row r="33" spans="1:11" ht="15.6" x14ac:dyDescent="0.3">
      <c r="A33" s="152">
        <v>1.82</v>
      </c>
      <c r="B33" s="153" t="s">
        <v>13</v>
      </c>
      <c r="C33" s="153">
        <v>24.5</v>
      </c>
      <c r="D33" s="201"/>
      <c r="E33" s="152">
        <v>2.5099999999999998</v>
      </c>
      <c r="F33" s="153" t="s">
        <v>13</v>
      </c>
      <c r="G33" s="153">
        <v>38.700000000000003</v>
      </c>
      <c r="H33" s="201"/>
      <c r="I33" s="203"/>
      <c r="J33" s="203"/>
      <c r="K33" s="203"/>
    </row>
    <row r="34" spans="1:11" ht="15.6" x14ac:dyDescent="0.3">
      <c r="A34" s="200" t="s">
        <v>396</v>
      </c>
      <c r="B34" s="200"/>
      <c r="C34" s="158">
        <f>SUM(C6:C33)</f>
        <v>1173.3259999999998</v>
      </c>
      <c r="D34" s="201"/>
      <c r="E34" s="154">
        <v>2.56</v>
      </c>
      <c r="F34" s="155" t="s">
        <v>13</v>
      </c>
      <c r="G34" s="155">
        <v>63.1</v>
      </c>
      <c r="H34" s="201"/>
      <c r="I34" s="203"/>
      <c r="J34" s="203"/>
      <c r="K34" s="203"/>
    </row>
    <row r="35" spans="1:11" ht="15.6" x14ac:dyDescent="0.3">
      <c r="A35" s="202"/>
      <c r="B35" s="202"/>
      <c r="C35" s="202"/>
      <c r="D35" s="201"/>
      <c r="E35" s="152">
        <v>2.58</v>
      </c>
      <c r="F35" s="153" t="s">
        <v>17</v>
      </c>
      <c r="G35" s="153">
        <v>76.2</v>
      </c>
      <c r="H35" s="201"/>
      <c r="I35" s="203"/>
      <c r="J35" s="203"/>
      <c r="K35" s="203"/>
    </row>
    <row r="36" spans="1:11" x14ac:dyDescent="0.3">
      <c r="A36" s="203"/>
      <c r="B36" s="203"/>
      <c r="C36" s="203"/>
      <c r="D36" s="201"/>
      <c r="E36" s="200" t="s">
        <v>396</v>
      </c>
      <c r="F36" s="200"/>
      <c r="G36" s="158">
        <f>SUM(G6:G35)</f>
        <v>1924.9999999999998</v>
      </c>
      <c r="H36" s="201"/>
      <c r="I36" s="203"/>
      <c r="J36" s="203"/>
      <c r="K36" s="203"/>
    </row>
  </sheetData>
  <mergeCells count="13">
    <mergeCell ref="B1:K1"/>
    <mergeCell ref="A4:K4"/>
    <mergeCell ref="D2:I2"/>
    <mergeCell ref="D3:I3"/>
    <mergeCell ref="B2:C2"/>
    <mergeCell ref="B3:C3"/>
    <mergeCell ref="A34:B34"/>
    <mergeCell ref="E36:F36"/>
    <mergeCell ref="I31:J31"/>
    <mergeCell ref="H5:H36"/>
    <mergeCell ref="D5:D36"/>
    <mergeCell ref="A35:C36"/>
    <mergeCell ref="I32:K36"/>
  </mergeCells>
  <pageMargins left="0.7" right="0.7" top="0.75" bottom="0.75" header="0.3" footer="0.3"/>
  <pageSetup paperSize="9" orientation="portrait" horizontalDpi="0" verticalDpi="0" r:id="rId1"/>
  <ignoredErrors>
    <ignoredError sqref="A1:K2 A73:C1048576 H5 D37:K1048576 A4:K4 A3:J3 I32 L1:XFD1048576" twoDigitTextYear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14" t="s">
        <v>395</v>
      </c>
      <c r="B1" s="215"/>
      <c r="C1" s="216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400</v>
      </c>
      <c r="C3" s="27">
        <v>9.1</v>
      </c>
    </row>
    <row r="4" spans="1:3" ht="36" x14ac:dyDescent="0.35">
      <c r="A4" s="21">
        <v>2</v>
      </c>
      <c r="B4" s="24" t="s">
        <v>401</v>
      </c>
      <c r="C4" s="27">
        <v>4.3</v>
      </c>
    </row>
    <row r="5" spans="1:3" x14ac:dyDescent="0.35">
      <c r="A5" s="21">
        <v>3</v>
      </c>
      <c r="B5" s="24" t="s">
        <v>402</v>
      </c>
      <c r="C5" s="27">
        <v>25.5</v>
      </c>
    </row>
    <row r="6" spans="1:3" x14ac:dyDescent="0.35">
      <c r="A6" s="21">
        <v>4</v>
      </c>
      <c r="B6" s="24" t="s">
        <v>403</v>
      </c>
      <c r="C6" s="27">
        <v>106.5</v>
      </c>
    </row>
    <row r="7" spans="1:3" x14ac:dyDescent="0.35">
      <c r="A7" s="21">
        <v>5</v>
      </c>
      <c r="B7" s="24" t="s">
        <v>404</v>
      </c>
      <c r="C7" s="27">
        <v>10</v>
      </c>
    </row>
    <row r="8" spans="1:3" ht="16.8" customHeight="1" x14ac:dyDescent="0.35">
      <c r="A8" s="21">
        <v>6</v>
      </c>
      <c r="B8" s="24" t="s">
        <v>405</v>
      </c>
      <c r="C8" s="27">
        <v>161</v>
      </c>
    </row>
    <row r="9" spans="1:3" ht="36" x14ac:dyDescent="0.35">
      <c r="A9" s="21">
        <v>7</v>
      </c>
      <c r="B9" s="24" t="s">
        <v>406</v>
      </c>
      <c r="C9" s="27">
        <v>88.8</v>
      </c>
    </row>
    <row r="10" spans="1:3" x14ac:dyDescent="0.35">
      <c r="A10" s="21">
        <v>8</v>
      </c>
      <c r="B10" s="24" t="s">
        <v>407</v>
      </c>
      <c r="C10" s="27">
        <v>6.5</v>
      </c>
    </row>
    <row r="11" spans="1:3" x14ac:dyDescent="0.35">
      <c r="A11" s="21">
        <v>9</v>
      </c>
      <c r="B11" s="24" t="s">
        <v>408</v>
      </c>
      <c r="C11" s="27">
        <v>6.5</v>
      </c>
    </row>
    <row r="12" spans="1:3" ht="36" x14ac:dyDescent="0.35">
      <c r="A12" s="21">
        <v>10</v>
      </c>
      <c r="B12" s="24" t="s">
        <v>437</v>
      </c>
      <c r="C12" s="27">
        <v>5.3</v>
      </c>
    </row>
    <row r="13" spans="1:3" ht="36" x14ac:dyDescent="0.35">
      <c r="A13" s="21">
        <v>11</v>
      </c>
      <c r="B13" s="24" t="s">
        <v>409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399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21"/>
  <sheetViews>
    <sheetView zoomScale="85" zoomScaleNormal="85" workbookViewId="0">
      <selection activeCell="H5" sqref="H5:J21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</row>
    <row r="2" spans="1:10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82"/>
      <c r="I2" s="16" t="s">
        <v>392</v>
      </c>
      <c r="J2" s="14" t="s">
        <v>393</v>
      </c>
    </row>
    <row r="3" spans="1:10" ht="114.6" customHeight="1" x14ac:dyDescent="0.3">
      <c r="A3" s="75">
        <v>1</v>
      </c>
      <c r="B3" s="189" t="s">
        <v>597</v>
      </c>
      <c r="C3" s="189"/>
      <c r="D3" s="189"/>
      <c r="E3" s="189"/>
      <c r="F3" s="197" t="s">
        <v>672</v>
      </c>
      <c r="G3" s="198"/>
      <c r="H3" s="221"/>
      <c r="I3" s="75" t="s">
        <v>394</v>
      </c>
      <c r="J3" s="76">
        <f>G21+C16</f>
        <v>1532.5709999999999</v>
      </c>
    </row>
    <row r="4" spans="1:10" ht="20.399999999999999" customHeight="1" x14ac:dyDescent="0.3">
      <c r="A4" s="185"/>
      <c r="B4" s="185"/>
      <c r="C4" s="185"/>
      <c r="D4" s="185"/>
      <c r="E4" s="185"/>
      <c r="F4" s="185"/>
      <c r="G4" s="185"/>
      <c r="H4" s="185"/>
      <c r="I4" s="185"/>
      <c r="J4" s="185"/>
    </row>
    <row r="5" spans="1:10" x14ac:dyDescent="0.3">
      <c r="A5" s="87" t="s">
        <v>593</v>
      </c>
      <c r="B5" s="87" t="s">
        <v>441</v>
      </c>
      <c r="C5" s="87" t="s">
        <v>591</v>
      </c>
      <c r="D5" s="220"/>
      <c r="E5" s="87" t="s">
        <v>593</v>
      </c>
      <c r="F5" s="87" t="s">
        <v>441</v>
      </c>
      <c r="G5" s="87" t="s">
        <v>591</v>
      </c>
      <c r="H5" s="217"/>
      <c r="I5" s="218"/>
      <c r="J5" s="218"/>
    </row>
    <row r="6" spans="1:10" x14ac:dyDescent="0.3">
      <c r="A6" s="89" t="s">
        <v>452</v>
      </c>
      <c r="B6" s="89" t="s">
        <v>548</v>
      </c>
      <c r="C6" s="99">
        <v>50.786999999999999</v>
      </c>
      <c r="D6" s="220"/>
      <c r="E6" s="89" t="s">
        <v>588</v>
      </c>
      <c r="F6" s="89" t="s">
        <v>550</v>
      </c>
      <c r="G6" s="99">
        <v>63.7</v>
      </c>
      <c r="H6" s="217"/>
      <c r="I6" s="218"/>
      <c r="J6" s="218"/>
    </row>
    <row r="7" spans="1:10" x14ac:dyDescent="0.3">
      <c r="A7" s="88" t="s">
        <v>453</v>
      </c>
      <c r="B7" s="88" t="s">
        <v>548</v>
      </c>
      <c r="C7" s="89">
        <v>56.033999999999999</v>
      </c>
      <c r="D7" s="220"/>
      <c r="E7" s="88" t="s">
        <v>445</v>
      </c>
      <c r="F7" s="88" t="s">
        <v>550</v>
      </c>
      <c r="G7" s="89">
        <v>90.2</v>
      </c>
      <c r="H7" s="217"/>
      <c r="I7" s="218"/>
      <c r="J7" s="218"/>
    </row>
    <row r="8" spans="1:10" x14ac:dyDescent="0.3">
      <c r="A8" s="89" t="s">
        <v>455</v>
      </c>
      <c r="B8" s="89" t="s">
        <v>548</v>
      </c>
      <c r="C8" s="89">
        <v>50.786999999999999</v>
      </c>
      <c r="D8" s="220"/>
      <c r="E8" s="89" t="s">
        <v>446</v>
      </c>
      <c r="F8" s="89" t="s">
        <v>550</v>
      </c>
      <c r="G8" s="89">
        <v>40.1</v>
      </c>
      <c r="H8" s="217"/>
      <c r="I8" s="218"/>
      <c r="J8" s="218"/>
    </row>
    <row r="9" spans="1:10" x14ac:dyDescent="0.3">
      <c r="A9" s="88" t="s">
        <v>456</v>
      </c>
      <c r="B9" s="88" t="s">
        <v>548</v>
      </c>
      <c r="C9" s="89">
        <v>55.736999999999995</v>
      </c>
      <c r="D9" s="220"/>
      <c r="E9" s="88" t="s">
        <v>447</v>
      </c>
      <c r="F9" s="88" t="s">
        <v>550</v>
      </c>
      <c r="G9" s="89">
        <v>64</v>
      </c>
      <c r="H9" s="217"/>
      <c r="I9" s="218"/>
      <c r="J9" s="218"/>
    </row>
    <row r="10" spans="1:10" x14ac:dyDescent="0.3">
      <c r="A10" s="89" t="s">
        <v>468</v>
      </c>
      <c r="B10" s="89" t="s">
        <v>548</v>
      </c>
      <c r="C10" s="89">
        <v>51.579000000000001</v>
      </c>
      <c r="D10" s="220"/>
      <c r="E10" s="89" t="s">
        <v>448</v>
      </c>
      <c r="F10" s="89" t="s">
        <v>550</v>
      </c>
      <c r="G10" s="89">
        <v>65.400000000000006</v>
      </c>
      <c r="H10" s="217"/>
      <c r="I10" s="218"/>
      <c r="J10" s="218"/>
    </row>
    <row r="11" spans="1:10" x14ac:dyDescent="0.3">
      <c r="A11" s="88" t="s">
        <v>572</v>
      </c>
      <c r="B11" s="88" t="s">
        <v>548</v>
      </c>
      <c r="C11" s="89">
        <v>56.43</v>
      </c>
      <c r="D11" s="220"/>
      <c r="E11" s="88" t="s">
        <v>449</v>
      </c>
      <c r="F11" s="88" t="s">
        <v>550</v>
      </c>
      <c r="G11" s="89">
        <v>64.099999999999994</v>
      </c>
      <c r="H11" s="217"/>
      <c r="I11" s="218"/>
      <c r="J11" s="218"/>
    </row>
    <row r="12" spans="1:10" x14ac:dyDescent="0.3">
      <c r="A12" s="89" t="s">
        <v>470</v>
      </c>
      <c r="B12" s="89" t="s">
        <v>548</v>
      </c>
      <c r="C12" s="89">
        <v>51.084000000000003</v>
      </c>
      <c r="D12" s="220"/>
      <c r="E12" s="89" t="s">
        <v>450</v>
      </c>
      <c r="F12" s="89" t="s">
        <v>550</v>
      </c>
      <c r="G12" s="89">
        <v>64.3</v>
      </c>
      <c r="H12" s="217"/>
      <c r="I12" s="218"/>
      <c r="J12" s="218"/>
    </row>
    <row r="13" spans="1:10" x14ac:dyDescent="0.3">
      <c r="A13" s="88" t="s">
        <v>573</v>
      </c>
      <c r="B13" s="88" t="s">
        <v>548</v>
      </c>
      <c r="C13" s="89">
        <v>55.736999999999995</v>
      </c>
      <c r="D13" s="220"/>
      <c r="E13" s="88" t="s">
        <v>461</v>
      </c>
      <c r="F13" s="88" t="s">
        <v>550</v>
      </c>
      <c r="G13" s="89">
        <v>62.8</v>
      </c>
      <c r="H13" s="217"/>
      <c r="I13" s="218"/>
      <c r="J13" s="218"/>
    </row>
    <row r="14" spans="1:10" x14ac:dyDescent="0.3">
      <c r="A14" s="89" t="s">
        <v>471</v>
      </c>
      <c r="B14" s="89" t="s">
        <v>548</v>
      </c>
      <c r="C14" s="89">
        <v>74.745000000000005</v>
      </c>
      <c r="D14" s="220"/>
      <c r="E14" s="89" t="s">
        <v>462</v>
      </c>
      <c r="F14" s="89" t="s">
        <v>550</v>
      </c>
      <c r="G14" s="89">
        <v>89.1</v>
      </c>
      <c r="H14" s="217"/>
      <c r="I14" s="218"/>
      <c r="J14" s="218"/>
    </row>
    <row r="15" spans="1:10" x14ac:dyDescent="0.3">
      <c r="A15" s="88" t="s">
        <v>472</v>
      </c>
      <c r="B15" s="88" t="s">
        <v>548</v>
      </c>
      <c r="C15" s="89">
        <v>74.15100000000001</v>
      </c>
      <c r="D15" s="220"/>
      <c r="E15" s="88" t="s">
        <v>463</v>
      </c>
      <c r="F15" s="88" t="s">
        <v>550</v>
      </c>
      <c r="G15" s="89">
        <v>29.7</v>
      </c>
      <c r="H15" s="217"/>
      <c r="I15" s="218"/>
      <c r="J15" s="218"/>
    </row>
    <row r="16" spans="1:10" x14ac:dyDescent="0.3">
      <c r="B16" s="88" t="s">
        <v>396</v>
      </c>
      <c r="C16" s="99">
        <f>SUM(C6:C15)</f>
        <v>577.07099999999991</v>
      </c>
      <c r="D16" s="220"/>
      <c r="E16" s="89" t="s">
        <v>464</v>
      </c>
      <c r="F16" s="89" t="s">
        <v>550</v>
      </c>
      <c r="G16" s="89">
        <v>64.8</v>
      </c>
      <c r="H16" s="217"/>
      <c r="I16" s="218"/>
      <c r="J16" s="218"/>
    </row>
    <row r="17" spans="1:10" x14ac:dyDescent="0.3">
      <c r="A17" s="219"/>
      <c r="B17" s="219"/>
      <c r="C17" s="219"/>
      <c r="D17" s="220"/>
      <c r="E17" s="88" t="s">
        <v>465</v>
      </c>
      <c r="F17" s="88" t="s">
        <v>550</v>
      </c>
      <c r="G17" s="89">
        <v>63.8</v>
      </c>
      <c r="H17" s="217"/>
      <c r="I17" s="218"/>
      <c r="J17" s="218"/>
    </row>
    <row r="18" spans="1:10" x14ac:dyDescent="0.3">
      <c r="A18" s="219"/>
      <c r="B18" s="219"/>
      <c r="C18" s="219"/>
      <c r="D18" s="220"/>
      <c r="E18" s="89" t="s">
        <v>589</v>
      </c>
      <c r="F18" s="89" t="s">
        <v>550</v>
      </c>
      <c r="G18" s="89">
        <v>65.5</v>
      </c>
      <c r="H18" s="217"/>
      <c r="I18" s="218"/>
      <c r="J18" s="218"/>
    </row>
    <row r="19" spans="1:10" x14ac:dyDescent="0.3">
      <c r="A19" s="219"/>
      <c r="B19" s="219"/>
      <c r="C19" s="219"/>
      <c r="D19" s="220"/>
      <c r="E19" s="88" t="s">
        <v>590</v>
      </c>
      <c r="F19" s="88" t="s">
        <v>550</v>
      </c>
      <c r="G19" s="89">
        <v>63.7</v>
      </c>
      <c r="H19" s="217"/>
      <c r="I19" s="218"/>
      <c r="J19" s="218"/>
    </row>
    <row r="20" spans="1:10" x14ac:dyDescent="0.3">
      <c r="A20" s="219"/>
      <c r="B20" s="219"/>
      <c r="C20" s="219"/>
      <c r="D20" s="220"/>
      <c r="E20" s="89" t="s">
        <v>466</v>
      </c>
      <c r="F20" s="89" t="s">
        <v>550</v>
      </c>
      <c r="G20" s="89">
        <v>64.3</v>
      </c>
      <c r="H20" s="217"/>
      <c r="I20" s="218"/>
      <c r="J20" s="218"/>
    </row>
    <row r="21" spans="1:10" x14ac:dyDescent="0.3">
      <c r="A21" s="219"/>
      <c r="B21" s="219"/>
      <c r="C21" s="219"/>
      <c r="D21" s="220"/>
      <c r="F21" s="88" t="s">
        <v>396</v>
      </c>
      <c r="G21" s="99">
        <f>SUM(G6:G20)</f>
        <v>955.5</v>
      </c>
      <c r="H21" s="217"/>
      <c r="I21" s="218"/>
      <c r="J21" s="218"/>
    </row>
  </sheetData>
  <mergeCells count="9">
    <mergeCell ref="H5:J21"/>
    <mergeCell ref="A17:C21"/>
    <mergeCell ref="D5:D2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1"/>
  <sheetViews>
    <sheetView zoomScale="85" zoomScaleNormal="85" workbookViewId="0">
      <selection activeCell="I3" sqref="I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28.21875" style="92" customWidth="1"/>
    <col min="8" max="8" width="12.7773437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</row>
    <row r="2" spans="1:9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6" t="s">
        <v>392</v>
      </c>
      <c r="I2" s="14" t="s">
        <v>393</v>
      </c>
    </row>
    <row r="3" spans="1:9" ht="98.4" customHeight="1" x14ac:dyDescent="0.3">
      <c r="A3" s="75">
        <v>1</v>
      </c>
      <c r="B3" s="189" t="s">
        <v>597</v>
      </c>
      <c r="C3" s="189"/>
      <c r="D3" s="189"/>
      <c r="E3" s="189"/>
      <c r="F3" s="197" t="s">
        <v>668</v>
      </c>
      <c r="G3" s="198"/>
      <c r="H3" s="75" t="s">
        <v>394</v>
      </c>
      <c r="I3" s="76">
        <f>G20+C21</f>
        <v>1789.6</v>
      </c>
    </row>
    <row r="4" spans="1:9" ht="20.399999999999999" customHeight="1" x14ac:dyDescent="0.3">
      <c r="A4" s="185"/>
      <c r="B4" s="185"/>
      <c r="C4" s="185"/>
      <c r="D4" s="185"/>
      <c r="E4" s="185"/>
      <c r="F4" s="185"/>
      <c r="G4" s="185"/>
      <c r="H4" s="185"/>
      <c r="I4" s="185"/>
    </row>
    <row r="5" spans="1:9" x14ac:dyDescent="0.3">
      <c r="A5" s="87" t="s">
        <v>593</v>
      </c>
      <c r="B5" s="87" t="s">
        <v>441</v>
      </c>
      <c r="C5" s="87" t="s">
        <v>591</v>
      </c>
      <c r="D5" s="217"/>
      <c r="E5" s="87" t="s">
        <v>593</v>
      </c>
      <c r="F5" s="87" t="s">
        <v>441</v>
      </c>
      <c r="G5" s="87" t="s">
        <v>591</v>
      </c>
      <c r="H5" s="194"/>
      <c r="I5" s="194"/>
    </row>
    <row r="6" spans="1:9" x14ac:dyDescent="0.3">
      <c r="A6" s="88" t="s">
        <v>551</v>
      </c>
      <c r="B6" s="88" t="s">
        <v>13</v>
      </c>
      <c r="C6" s="98">
        <v>16.8</v>
      </c>
      <c r="D6" s="217"/>
      <c r="E6" s="89" t="s">
        <v>574</v>
      </c>
      <c r="F6" s="89" t="s">
        <v>549</v>
      </c>
      <c r="G6" s="99">
        <v>79.7</v>
      </c>
      <c r="H6" s="194"/>
      <c r="I6" s="194"/>
    </row>
    <row r="7" spans="1:9" x14ac:dyDescent="0.3">
      <c r="A7" s="89" t="s">
        <v>552</v>
      </c>
      <c r="B7" s="89" t="s">
        <v>13</v>
      </c>
      <c r="C7" s="98">
        <v>41.8</v>
      </c>
      <c r="D7" s="217"/>
      <c r="E7" s="88" t="s">
        <v>575</v>
      </c>
      <c r="F7" s="88" t="s">
        <v>549</v>
      </c>
      <c r="G7" s="99">
        <v>27</v>
      </c>
      <c r="H7" s="194"/>
      <c r="I7" s="194"/>
    </row>
    <row r="8" spans="1:9" x14ac:dyDescent="0.3">
      <c r="A8" s="88" t="s">
        <v>553</v>
      </c>
      <c r="B8" s="88" t="s">
        <v>13</v>
      </c>
      <c r="C8" s="98">
        <v>60.8</v>
      </c>
      <c r="D8" s="217"/>
      <c r="E8" s="89" t="s">
        <v>576</v>
      </c>
      <c r="F8" s="89" t="s">
        <v>549</v>
      </c>
      <c r="G8" s="99">
        <v>28</v>
      </c>
      <c r="H8" s="194"/>
      <c r="I8" s="194"/>
    </row>
    <row r="9" spans="1:9" x14ac:dyDescent="0.3">
      <c r="A9" s="89" t="s">
        <v>554</v>
      </c>
      <c r="B9" s="89" t="s">
        <v>546</v>
      </c>
      <c r="C9" s="99">
        <v>22</v>
      </c>
      <c r="D9" s="217"/>
      <c r="E9" s="88" t="s">
        <v>577</v>
      </c>
      <c r="F9" s="88" t="s">
        <v>549</v>
      </c>
      <c r="G9" s="99">
        <v>14</v>
      </c>
      <c r="H9" s="194"/>
      <c r="I9" s="194"/>
    </row>
    <row r="10" spans="1:9" x14ac:dyDescent="0.3">
      <c r="A10" s="88" t="s">
        <v>555</v>
      </c>
      <c r="B10" s="88" t="s">
        <v>546</v>
      </c>
      <c r="C10" s="89">
        <v>63</v>
      </c>
      <c r="D10" s="217"/>
      <c r="E10" s="89" t="s">
        <v>578</v>
      </c>
      <c r="F10" s="89" t="s">
        <v>549</v>
      </c>
      <c r="G10" s="99">
        <v>19.100000000000001</v>
      </c>
      <c r="H10" s="194"/>
      <c r="I10" s="194"/>
    </row>
    <row r="11" spans="1:9" x14ac:dyDescent="0.3">
      <c r="A11" s="89" t="s">
        <v>556</v>
      </c>
      <c r="B11" s="89" t="s">
        <v>546</v>
      </c>
      <c r="C11" s="89">
        <v>64.3</v>
      </c>
      <c r="D11" s="217"/>
      <c r="E11" s="88" t="s">
        <v>579</v>
      </c>
      <c r="F11" s="88" t="s">
        <v>549</v>
      </c>
      <c r="G11" s="99">
        <v>201.1</v>
      </c>
      <c r="H11" s="194"/>
      <c r="I11" s="194"/>
    </row>
    <row r="12" spans="1:9" x14ac:dyDescent="0.3">
      <c r="A12" s="88" t="s">
        <v>557</v>
      </c>
      <c r="B12" s="88" t="s">
        <v>546</v>
      </c>
      <c r="C12" s="89">
        <v>64.400000000000006</v>
      </c>
      <c r="D12" s="217"/>
      <c r="E12" s="89" t="s">
        <v>580</v>
      </c>
      <c r="F12" s="89" t="s">
        <v>549</v>
      </c>
      <c r="G12" s="99">
        <v>115.4</v>
      </c>
      <c r="H12" s="194"/>
      <c r="I12" s="194"/>
    </row>
    <row r="13" spans="1:9" x14ac:dyDescent="0.3">
      <c r="A13" s="89" t="s">
        <v>558</v>
      </c>
      <c r="B13" s="89" t="s">
        <v>546</v>
      </c>
      <c r="C13" s="89">
        <v>131.19999999999999</v>
      </c>
      <c r="D13" s="217"/>
      <c r="E13" s="88" t="s">
        <v>581</v>
      </c>
      <c r="F13" s="88" t="s">
        <v>549</v>
      </c>
      <c r="G13" s="99">
        <v>76.2</v>
      </c>
      <c r="H13" s="194"/>
      <c r="I13" s="194"/>
    </row>
    <row r="14" spans="1:9" x14ac:dyDescent="0.3">
      <c r="A14" s="88" t="s">
        <v>559</v>
      </c>
      <c r="B14" s="88" t="s">
        <v>546</v>
      </c>
      <c r="C14" s="89">
        <v>22.1</v>
      </c>
      <c r="D14" s="217"/>
      <c r="E14" s="89" t="s">
        <v>582</v>
      </c>
      <c r="F14" s="89" t="s">
        <v>549</v>
      </c>
      <c r="G14" s="99">
        <v>245.9</v>
      </c>
      <c r="H14" s="194"/>
      <c r="I14" s="194"/>
    </row>
    <row r="15" spans="1:9" x14ac:dyDescent="0.3">
      <c r="A15" s="89" t="s">
        <v>560</v>
      </c>
      <c r="B15" s="89" t="s">
        <v>546</v>
      </c>
      <c r="C15" s="89">
        <v>28.7</v>
      </c>
      <c r="D15" s="217"/>
      <c r="E15" s="88" t="s">
        <v>583</v>
      </c>
      <c r="F15" s="88" t="s">
        <v>549</v>
      </c>
      <c r="G15" s="99">
        <v>13.3</v>
      </c>
      <c r="H15" s="194"/>
      <c r="I15" s="194"/>
    </row>
    <row r="16" spans="1:9" x14ac:dyDescent="0.3">
      <c r="A16" s="89" t="s">
        <v>568</v>
      </c>
      <c r="B16" s="89" t="s">
        <v>17</v>
      </c>
      <c r="C16" s="89">
        <v>7</v>
      </c>
      <c r="D16" s="217"/>
      <c r="E16" s="89" t="s">
        <v>584</v>
      </c>
      <c r="F16" s="89" t="s">
        <v>549</v>
      </c>
      <c r="G16" s="99">
        <v>114.5</v>
      </c>
      <c r="H16" s="194"/>
      <c r="I16" s="194"/>
    </row>
    <row r="17" spans="1:9" x14ac:dyDescent="0.3">
      <c r="A17" s="89" t="s">
        <v>569</v>
      </c>
      <c r="B17" s="89" t="s">
        <v>17</v>
      </c>
      <c r="C17" s="89">
        <v>6.2</v>
      </c>
      <c r="D17" s="217"/>
      <c r="E17" s="88" t="s">
        <v>585</v>
      </c>
      <c r="F17" s="88" t="s">
        <v>549</v>
      </c>
      <c r="G17" s="99">
        <v>113.1</v>
      </c>
      <c r="H17" s="194"/>
      <c r="I17" s="194"/>
    </row>
    <row r="18" spans="1:9" x14ac:dyDescent="0.3">
      <c r="A18" s="88" t="s">
        <v>570</v>
      </c>
      <c r="B18" s="88" t="s">
        <v>17</v>
      </c>
      <c r="C18" s="89">
        <v>6.9</v>
      </c>
      <c r="D18" s="217"/>
      <c r="E18" s="89" t="s">
        <v>586</v>
      </c>
      <c r="F18" s="89" t="s">
        <v>549</v>
      </c>
      <c r="G18" s="99">
        <v>21.8</v>
      </c>
      <c r="H18" s="194"/>
      <c r="I18" s="194"/>
    </row>
    <row r="19" spans="1:9" x14ac:dyDescent="0.3">
      <c r="A19" s="89" t="s">
        <v>473</v>
      </c>
      <c r="B19" s="89" t="s">
        <v>17</v>
      </c>
      <c r="C19" s="89">
        <v>37.1</v>
      </c>
      <c r="D19" s="217"/>
      <c r="E19" s="88" t="s">
        <v>587</v>
      </c>
      <c r="F19" s="88" t="s">
        <v>549</v>
      </c>
      <c r="G19" s="99">
        <v>87.5</v>
      </c>
      <c r="H19" s="194"/>
      <c r="I19" s="194"/>
    </row>
    <row r="20" spans="1:9" x14ac:dyDescent="0.3">
      <c r="A20" s="88" t="s">
        <v>571</v>
      </c>
      <c r="B20" s="88" t="s">
        <v>17</v>
      </c>
      <c r="C20" s="89">
        <v>60.7</v>
      </c>
      <c r="D20" s="217"/>
      <c r="E20" s="112"/>
      <c r="F20" s="112" t="s">
        <v>474</v>
      </c>
      <c r="G20" s="113">
        <f>SUM(G6:G19)</f>
        <v>1156.5999999999999</v>
      </c>
      <c r="H20" s="194"/>
      <c r="I20" s="194"/>
    </row>
    <row r="21" spans="1:9" x14ac:dyDescent="0.3">
      <c r="A21" s="75"/>
      <c r="B21" s="112" t="s">
        <v>474</v>
      </c>
      <c r="C21" s="114">
        <f>SUM(C6:C20)</f>
        <v>633.00000000000011</v>
      </c>
      <c r="D21" s="217"/>
      <c r="E21" s="222"/>
      <c r="F21" s="222"/>
      <c r="G21" s="222"/>
      <c r="H21" s="194"/>
      <c r="I21" s="194"/>
    </row>
  </sheetData>
  <mergeCells count="9">
    <mergeCell ref="D5:D21"/>
    <mergeCell ref="E21:G21"/>
    <mergeCell ref="H5:I21"/>
    <mergeCell ref="A1:I1"/>
    <mergeCell ref="B2:E2"/>
    <mergeCell ref="F2:G2"/>
    <mergeCell ref="B3:E3"/>
    <mergeCell ref="F3:G3"/>
    <mergeCell ref="A4:I4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8"/>
  <sheetViews>
    <sheetView zoomScale="85" zoomScaleNormal="85" workbookViewId="0">
      <selection activeCell="C13" sqref="C1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</row>
    <row r="2" spans="1:10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82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189" t="s">
        <v>597</v>
      </c>
      <c r="C3" s="189"/>
      <c r="D3" s="189"/>
      <c r="E3" s="189"/>
      <c r="F3" s="197" t="s">
        <v>670</v>
      </c>
      <c r="G3" s="198"/>
      <c r="H3" s="221"/>
      <c r="I3" s="75" t="s">
        <v>394</v>
      </c>
      <c r="J3" s="76" t="str">
        <f>C8</f>
        <v>431,9</v>
      </c>
    </row>
    <row r="4" spans="1:10" ht="20.399999999999999" customHeight="1" x14ac:dyDescent="0.3">
      <c r="A4" s="185"/>
      <c r="B4" s="185"/>
      <c r="C4" s="185"/>
      <c r="D4" s="185"/>
      <c r="E4" s="185"/>
      <c r="F4" s="185"/>
      <c r="G4" s="185"/>
      <c r="H4" s="185"/>
      <c r="I4" s="185"/>
      <c r="J4" s="18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23"/>
      <c r="E5" s="194"/>
      <c r="F5" s="194"/>
      <c r="G5" s="194"/>
      <c r="H5" s="194"/>
      <c r="I5" s="194"/>
      <c r="J5" s="194"/>
    </row>
    <row r="6" spans="1:10" x14ac:dyDescent="0.3">
      <c r="A6" s="88" t="s">
        <v>485</v>
      </c>
      <c r="B6" s="88" t="s">
        <v>18</v>
      </c>
      <c r="C6" s="224" t="s">
        <v>592</v>
      </c>
      <c r="D6" s="223"/>
      <c r="E6" s="194"/>
      <c r="F6" s="194"/>
      <c r="G6" s="194"/>
      <c r="H6" s="194"/>
      <c r="I6" s="194"/>
      <c r="J6" s="194"/>
    </row>
    <row r="7" spans="1:10" x14ac:dyDescent="0.3">
      <c r="A7" s="89" t="s">
        <v>457</v>
      </c>
      <c r="B7" s="89" t="s">
        <v>18</v>
      </c>
      <c r="C7" s="224"/>
      <c r="D7" s="223"/>
      <c r="E7" s="194"/>
      <c r="F7" s="194"/>
      <c r="G7" s="194"/>
      <c r="H7" s="194"/>
      <c r="I7" s="194"/>
      <c r="J7" s="194"/>
    </row>
    <row r="8" spans="1:10" x14ac:dyDescent="0.3">
      <c r="A8" s="12"/>
      <c r="B8" s="75" t="s">
        <v>474</v>
      </c>
      <c r="C8" s="14" t="str">
        <f>C6</f>
        <v>431,9</v>
      </c>
      <c r="D8" s="223"/>
      <c r="E8" s="194"/>
      <c r="F8" s="194"/>
      <c r="G8" s="194"/>
      <c r="H8" s="194"/>
      <c r="I8" s="194"/>
      <c r="J8" s="194"/>
    </row>
  </sheetData>
  <mergeCells count="8">
    <mergeCell ref="D5:J8"/>
    <mergeCell ref="C6:C7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3"/>
  <sheetViews>
    <sheetView zoomScale="85" zoomScaleNormal="85" workbookViewId="0">
      <selection activeCell="F26" sqref="F25:F2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  <c r="J1" s="173"/>
    </row>
    <row r="2" spans="1:10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82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189" t="s">
        <v>597</v>
      </c>
      <c r="C3" s="189"/>
      <c r="D3" s="189"/>
      <c r="E3" s="189"/>
      <c r="F3" s="197" t="s">
        <v>669</v>
      </c>
      <c r="G3" s="198"/>
      <c r="H3" s="221"/>
      <c r="I3" s="75" t="s">
        <v>394</v>
      </c>
      <c r="J3" s="76">
        <f>C13</f>
        <v>267.89999999999998</v>
      </c>
    </row>
    <row r="4" spans="1:10" ht="20.399999999999999" customHeight="1" x14ac:dyDescent="0.3">
      <c r="A4" s="185"/>
      <c r="B4" s="185"/>
      <c r="C4" s="185"/>
      <c r="D4" s="185"/>
      <c r="E4" s="185"/>
      <c r="F4" s="185"/>
      <c r="G4" s="185"/>
      <c r="H4" s="185"/>
      <c r="I4" s="185"/>
      <c r="J4" s="18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23"/>
      <c r="E5" s="194"/>
      <c r="F5" s="194"/>
      <c r="G5" s="194"/>
      <c r="H5" s="194"/>
      <c r="I5" s="194"/>
      <c r="J5" s="194"/>
    </row>
    <row r="6" spans="1:10" x14ac:dyDescent="0.3">
      <c r="A6" s="93" t="s">
        <v>561</v>
      </c>
      <c r="B6" s="94" t="s">
        <v>14</v>
      </c>
      <c r="C6" s="225">
        <v>248.1</v>
      </c>
      <c r="D6" s="223"/>
      <c r="E6" s="194"/>
      <c r="F6" s="194"/>
      <c r="G6" s="194"/>
      <c r="H6" s="194"/>
      <c r="I6" s="194"/>
      <c r="J6" s="194"/>
    </row>
    <row r="7" spans="1:10" x14ac:dyDescent="0.3">
      <c r="A7" s="95" t="s">
        <v>562</v>
      </c>
      <c r="B7" s="96" t="s">
        <v>14</v>
      </c>
      <c r="C7" s="226"/>
      <c r="D7" s="223"/>
      <c r="E7" s="194"/>
      <c r="F7" s="194"/>
      <c r="G7" s="194"/>
      <c r="H7" s="194"/>
      <c r="I7" s="194"/>
      <c r="J7" s="194"/>
    </row>
    <row r="8" spans="1:10" x14ac:dyDescent="0.3">
      <c r="A8" s="93" t="s">
        <v>563</v>
      </c>
      <c r="B8" s="94" t="s">
        <v>14</v>
      </c>
      <c r="C8" s="226"/>
      <c r="D8" s="223"/>
      <c r="E8" s="194"/>
      <c r="F8" s="194"/>
      <c r="G8" s="194"/>
      <c r="H8" s="194"/>
      <c r="I8" s="194"/>
      <c r="J8" s="194"/>
    </row>
    <row r="9" spans="1:10" x14ac:dyDescent="0.3">
      <c r="A9" s="95" t="s">
        <v>564</v>
      </c>
      <c r="B9" s="96" t="s">
        <v>14</v>
      </c>
      <c r="C9" s="226"/>
      <c r="D9" s="223"/>
      <c r="E9" s="194"/>
      <c r="F9" s="194"/>
      <c r="G9" s="194"/>
      <c r="H9" s="194"/>
      <c r="I9" s="194"/>
      <c r="J9" s="194"/>
    </row>
    <row r="10" spans="1:10" x14ac:dyDescent="0.3">
      <c r="A10" s="93" t="s">
        <v>565</v>
      </c>
      <c r="B10" s="94" t="s">
        <v>14</v>
      </c>
      <c r="C10" s="226"/>
      <c r="D10" s="223"/>
      <c r="E10" s="194"/>
      <c r="F10" s="194"/>
      <c r="G10" s="194"/>
      <c r="H10" s="194"/>
      <c r="I10" s="194"/>
      <c r="J10" s="194"/>
    </row>
    <row r="11" spans="1:10" x14ac:dyDescent="0.3">
      <c r="A11" s="95" t="s">
        <v>566</v>
      </c>
      <c r="B11" s="96" t="s">
        <v>14</v>
      </c>
      <c r="C11" s="227"/>
      <c r="D11" s="223"/>
      <c r="E11" s="194"/>
      <c r="F11" s="194"/>
      <c r="G11" s="194"/>
      <c r="H11" s="194"/>
      <c r="I11" s="194"/>
      <c r="J11" s="194"/>
    </row>
    <row r="12" spans="1:10" x14ac:dyDescent="0.3">
      <c r="A12" s="93" t="s">
        <v>567</v>
      </c>
      <c r="B12" s="94" t="s">
        <v>547</v>
      </c>
      <c r="C12" s="97">
        <v>19.8</v>
      </c>
      <c r="D12" s="223"/>
      <c r="E12" s="194"/>
      <c r="F12" s="194"/>
      <c r="G12" s="194"/>
      <c r="H12" s="194"/>
      <c r="I12" s="194"/>
      <c r="J12" s="194"/>
    </row>
    <row r="13" spans="1:10" x14ac:dyDescent="0.3">
      <c r="A13" s="12"/>
      <c r="B13" s="75" t="s">
        <v>474</v>
      </c>
      <c r="C13" s="14">
        <f>SUM(C6:C12)</f>
        <v>267.89999999999998</v>
      </c>
      <c r="D13" s="223"/>
      <c r="E13" s="194"/>
      <c r="F13" s="194"/>
      <c r="G13" s="194"/>
      <c r="H13" s="194"/>
      <c r="I13" s="194"/>
      <c r="J13" s="194"/>
    </row>
  </sheetData>
  <mergeCells count="8">
    <mergeCell ref="D5:J13"/>
    <mergeCell ref="C6:C1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228" t="s">
        <v>692</v>
      </c>
      <c r="B1" s="229"/>
      <c r="C1" s="229"/>
      <c r="D1" s="229"/>
      <c r="E1" s="230"/>
    </row>
    <row r="2" spans="1:5" x14ac:dyDescent="0.35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5">
      <c r="A3" s="17">
        <v>1</v>
      </c>
      <c r="B3" s="18" t="s">
        <v>440</v>
      </c>
      <c r="C3" s="19" t="s">
        <v>475</v>
      </c>
      <c r="D3" s="19" t="s">
        <v>394</v>
      </c>
      <c r="E3" s="20">
        <f>'3.1-Пом'!C8</f>
        <v>289.5</v>
      </c>
    </row>
    <row r="4" spans="1:5" ht="54" x14ac:dyDescent="0.35">
      <c r="A4" s="17">
        <v>2</v>
      </c>
      <c r="B4" s="18" t="s">
        <v>440</v>
      </c>
      <c r="C4" s="19" t="s">
        <v>476</v>
      </c>
      <c r="D4" s="19" t="s">
        <v>394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C35" sqref="A1:C35"/>
    </sheetView>
  </sheetViews>
  <sheetFormatPr defaultRowHeight="13.2" x14ac:dyDescent="0.25"/>
  <cols>
    <col min="1" max="1" width="7.21875" style="33" customWidth="1"/>
    <col min="2" max="2" width="7.109375" style="36" customWidth="1"/>
    <col min="3" max="3" width="9.21875" style="33" bestFit="1" customWidth="1"/>
    <col min="4" max="16384" width="8.88671875" style="33"/>
  </cols>
  <sheetData>
    <row r="1" spans="1:3" x14ac:dyDescent="0.25">
      <c r="A1" s="31" t="s">
        <v>442</v>
      </c>
      <c r="B1" s="35" t="s">
        <v>441</v>
      </c>
      <c r="C1" s="32" t="s">
        <v>443</v>
      </c>
    </row>
    <row r="2" spans="1:3" x14ac:dyDescent="0.25">
      <c r="A2" s="34" t="s">
        <v>444</v>
      </c>
      <c r="B2" s="35" t="s">
        <v>13</v>
      </c>
      <c r="C2" s="32">
        <v>21</v>
      </c>
    </row>
    <row r="3" spans="1:3" x14ac:dyDescent="0.25">
      <c r="A3" s="34" t="s">
        <v>453</v>
      </c>
      <c r="B3" s="35" t="s">
        <v>14</v>
      </c>
      <c r="C3" s="32">
        <v>39.25</v>
      </c>
    </row>
    <row r="4" spans="1:3" x14ac:dyDescent="0.25">
      <c r="A4" s="34" t="s">
        <v>456</v>
      </c>
      <c r="B4" s="35" t="s">
        <v>14</v>
      </c>
      <c r="C4" s="32">
        <v>39.25</v>
      </c>
    </row>
    <row r="5" spans="1:3" x14ac:dyDescent="0.25">
      <c r="A5" s="34" t="s">
        <v>459</v>
      </c>
      <c r="B5" s="35" t="s">
        <v>13</v>
      </c>
      <c r="C5" s="32">
        <v>47.5</v>
      </c>
    </row>
    <row r="6" spans="1:3" x14ac:dyDescent="0.25">
      <c r="A6" s="34" t="s">
        <v>460</v>
      </c>
      <c r="B6" s="35" t="s">
        <v>13</v>
      </c>
      <c r="C6" s="32">
        <v>47.5</v>
      </c>
    </row>
    <row r="7" spans="1:3" x14ac:dyDescent="0.25">
      <c r="A7" s="34" t="s">
        <v>473</v>
      </c>
      <c r="B7" s="35" t="s">
        <v>13</v>
      </c>
      <c r="C7" s="32">
        <v>95</v>
      </c>
    </row>
    <row r="8" spans="1:3" x14ac:dyDescent="0.25">
      <c r="A8" s="32"/>
      <c r="B8" s="35" t="s">
        <v>474</v>
      </c>
      <c r="C8" s="37">
        <f>SUM(C2:C7)</f>
        <v>289.5</v>
      </c>
    </row>
    <row r="10" spans="1:3" x14ac:dyDescent="0.25">
      <c r="A10" s="31" t="s">
        <v>442</v>
      </c>
      <c r="B10" s="35" t="s">
        <v>441</v>
      </c>
      <c r="C10" s="32" t="s">
        <v>443</v>
      </c>
    </row>
    <row r="11" spans="1:3" x14ac:dyDescent="0.25">
      <c r="A11" s="34" t="s">
        <v>445</v>
      </c>
      <c r="B11" s="35" t="s">
        <v>17</v>
      </c>
      <c r="C11" s="32">
        <v>89.5</v>
      </c>
    </row>
    <row r="12" spans="1:3" x14ac:dyDescent="0.25">
      <c r="A12" s="34" t="s">
        <v>446</v>
      </c>
      <c r="B12" s="35" t="s">
        <v>17</v>
      </c>
      <c r="C12" s="32">
        <v>40</v>
      </c>
    </row>
    <row r="13" spans="1:3" x14ac:dyDescent="0.25">
      <c r="A13" s="34" t="s">
        <v>447</v>
      </c>
      <c r="B13" s="35" t="s">
        <v>17</v>
      </c>
      <c r="C13" s="32">
        <v>64.5</v>
      </c>
    </row>
    <row r="14" spans="1:3" x14ac:dyDescent="0.25">
      <c r="A14" s="34" t="s">
        <v>448</v>
      </c>
      <c r="B14" s="35" t="s">
        <v>17</v>
      </c>
      <c r="C14" s="32">
        <v>64.2</v>
      </c>
    </row>
    <row r="15" spans="1:3" x14ac:dyDescent="0.25">
      <c r="A15" s="34" t="s">
        <v>449</v>
      </c>
      <c r="B15" s="35" t="s">
        <v>17</v>
      </c>
      <c r="C15" s="32">
        <v>64.5</v>
      </c>
    </row>
    <row r="16" spans="1:3" x14ac:dyDescent="0.25">
      <c r="A16" s="34" t="s">
        <v>450</v>
      </c>
      <c r="B16" s="35" t="s">
        <v>17</v>
      </c>
      <c r="C16" s="32">
        <v>63.5</v>
      </c>
    </row>
    <row r="17" spans="1:3" x14ac:dyDescent="0.25">
      <c r="A17" s="34" t="s">
        <v>451</v>
      </c>
      <c r="B17" s="35" t="s">
        <v>17</v>
      </c>
      <c r="C17" s="32">
        <v>21.4</v>
      </c>
    </row>
    <row r="18" spans="1:3" x14ac:dyDescent="0.25">
      <c r="A18" s="34" t="s">
        <v>452</v>
      </c>
      <c r="B18" s="35" t="s">
        <v>17</v>
      </c>
      <c r="C18" s="32">
        <v>39.25</v>
      </c>
    </row>
    <row r="19" spans="1:3" x14ac:dyDescent="0.25">
      <c r="A19" s="34" t="s">
        <v>454</v>
      </c>
      <c r="B19" s="35" t="s">
        <v>17</v>
      </c>
      <c r="C19" s="32">
        <v>21.4</v>
      </c>
    </row>
    <row r="20" spans="1:3" x14ac:dyDescent="0.25">
      <c r="A20" s="34" t="s">
        <v>455</v>
      </c>
      <c r="B20" s="35" t="s">
        <v>17</v>
      </c>
      <c r="C20" s="32">
        <v>39.25</v>
      </c>
    </row>
    <row r="21" spans="1:3" x14ac:dyDescent="0.25">
      <c r="A21" s="34" t="s">
        <v>457</v>
      </c>
      <c r="B21" s="35" t="s">
        <v>17</v>
      </c>
      <c r="C21" s="32">
        <v>80</v>
      </c>
    </row>
    <row r="22" spans="1:3" x14ac:dyDescent="0.25">
      <c r="A22" s="34" t="s">
        <v>458</v>
      </c>
      <c r="B22" s="35" t="s">
        <v>17</v>
      </c>
      <c r="C22" s="32">
        <v>80</v>
      </c>
    </row>
    <row r="23" spans="1:3" x14ac:dyDescent="0.25">
      <c r="A23" s="34" t="s">
        <v>461</v>
      </c>
      <c r="B23" s="35" t="s">
        <v>17</v>
      </c>
      <c r="C23" s="32">
        <v>63.5</v>
      </c>
    </row>
    <row r="24" spans="1:3" x14ac:dyDescent="0.25">
      <c r="A24" s="34" t="s">
        <v>462</v>
      </c>
      <c r="B24" s="35" t="s">
        <v>17</v>
      </c>
      <c r="C24" s="32">
        <v>88.5</v>
      </c>
    </row>
    <row r="25" spans="1:3" x14ac:dyDescent="0.25">
      <c r="A25" s="34" t="s">
        <v>463</v>
      </c>
      <c r="B25" s="35" t="s">
        <v>17</v>
      </c>
      <c r="C25" s="32">
        <v>29.5</v>
      </c>
    </row>
    <row r="26" spans="1:3" x14ac:dyDescent="0.25">
      <c r="A26" s="34" t="s">
        <v>464</v>
      </c>
      <c r="B26" s="35" t="s">
        <v>17</v>
      </c>
      <c r="C26" s="32">
        <v>64</v>
      </c>
    </row>
    <row r="27" spans="1:3" x14ac:dyDescent="0.25">
      <c r="A27" s="34" t="s">
        <v>465</v>
      </c>
      <c r="B27" s="35" t="s">
        <v>17</v>
      </c>
      <c r="C27" s="32">
        <v>62</v>
      </c>
    </row>
    <row r="28" spans="1:3" x14ac:dyDescent="0.25">
      <c r="A28" s="34" t="s">
        <v>466</v>
      </c>
      <c r="B28" s="35" t="s">
        <v>17</v>
      </c>
      <c r="C28" s="32">
        <v>59</v>
      </c>
    </row>
    <row r="29" spans="1:3" x14ac:dyDescent="0.25">
      <c r="A29" s="34" t="s">
        <v>467</v>
      </c>
      <c r="B29" s="35" t="s">
        <v>17</v>
      </c>
      <c r="C29" s="32">
        <v>21.4</v>
      </c>
    </row>
    <row r="30" spans="1:3" x14ac:dyDescent="0.25">
      <c r="A30" s="34" t="s">
        <v>468</v>
      </c>
      <c r="B30" s="35" t="s">
        <v>17</v>
      </c>
      <c r="C30" s="32">
        <v>78.5</v>
      </c>
    </row>
    <row r="31" spans="1:3" x14ac:dyDescent="0.25">
      <c r="A31" s="34" t="s">
        <v>469</v>
      </c>
      <c r="B31" s="35" t="s">
        <v>17</v>
      </c>
      <c r="C31" s="32">
        <v>21.4</v>
      </c>
    </row>
    <row r="32" spans="1:3" x14ac:dyDescent="0.25">
      <c r="A32" s="34" t="s">
        <v>470</v>
      </c>
      <c r="B32" s="35" t="s">
        <v>17</v>
      </c>
      <c r="C32" s="32">
        <v>78.5</v>
      </c>
    </row>
    <row r="33" spans="1:3" x14ac:dyDescent="0.25">
      <c r="A33" s="34" t="s">
        <v>471</v>
      </c>
      <c r="B33" s="35" t="s">
        <v>17</v>
      </c>
      <c r="C33" s="32">
        <v>80</v>
      </c>
    </row>
    <row r="34" spans="1:3" x14ac:dyDescent="0.25">
      <c r="A34" s="34" t="s">
        <v>472</v>
      </c>
      <c r="B34" s="35" t="s">
        <v>17</v>
      </c>
      <c r="C34" s="32">
        <v>73</v>
      </c>
    </row>
    <row r="35" spans="1:3" x14ac:dyDescent="0.25">
      <c r="A35" s="32"/>
      <c r="B35" s="35" t="s">
        <v>474</v>
      </c>
      <c r="C35" s="37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Normal="100" workbookViewId="0">
      <selection activeCell="A38" sqref="A38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8.21875" style="42" customWidth="1"/>
    <col min="11" max="11" width="9.88671875" style="42" customWidth="1"/>
    <col min="12" max="16384" width="8.88671875" style="42"/>
  </cols>
  <sheetData>
    <row r="1" spans="1:11" ht="15" customHeight="1" x14ac:dyDescent="0.3">
      <c r="A1" s="232" t="s">
        <v>692</v>
      </c>
      <c r="B1" s="232"/>
      <c r="C1" s="232"/>
      <c r="D1" s="232"/>
      <c r="E1" s="232"/>
      <c r="F1" s="232"/>
      <c r="G1" s="232"/>
      <c r="H1" s="232"/>
      <c r="I1" s="232"/>
      <c r="J1" s="231"/>
      <c r="K1" s="231"/>
    </row>
    <row r="2" spans="1:11" ht="15" customHeight="1" x14ac:dyDescent="0.3">
      <c r="A2" s="40" t="s">
        <v>389</v>
      </c>
      <c r="B2" s="235" t="s">
        <v>390</v>
      </c>
      <c r="C2" s="235"/>
      <c r="D2" s="235"/>
      <c r="E2" s="235"/>
      <c r="F2" s="235"/>
      <c r="G2" s="41" t="s">
        <v>392</v>
      </c>
      <c r="H2" s="234" t="s">
        <v>393</v>
      </c>
      <c r="I2" s="234"/>
      <c r="J2" s="231"/>
      <c r="K2" s="231"/>
    </row>
    <row r="3" spans="1:11" ht="59.4" customHeight="1" x14ac:dyDescent="0.3">
      <c r="A3" s="49">
        <v>1</v>
      </c>
      <c r="B3" s="236" t="s">
        <v>479</v>
      </c>
      <c r="C3" s="236"/>
      <c r="D3" s="236"/>
      <c r="E3" s="236"/>
      <c r="F3" s="236"/>
      <c r="G3" s="49" t="s">
        <v>394</v>
      </c>
      <c r="H3" s="233">
        <f>C21+G30+K31</f>
        <v>4099.5</v>
      </c>
      <c r="I3" s="233"/>
      <c r="J3" s="231"/>
      <c r="K3" s="231"/>
    </row>
    <row r="4" spans="1:11" ht="15" customHeight="1" x14ac:dyDescent="0.3">
      <c r="A4" s="231"/>
      <c r="B4" s="231"/>
      <c r="C4" s="231"/>
      <c r="D4" s="231"/>
      <c r="E4" s="231"/>
      <c r="F4" s="231"/>
      <c r="G4" s="231"/>
      <c r="H4" s="231"/>
      <c r="I4" s="231"/>
      <c r="J4" s="231"/>
      <c r="K4" s="231"/>
    </row>
    <row r="5" spans="1:11" ht="32.4" customHeight="1" x14ac:dyDescent="0.3">
      <c r="A5" s="39" t="s">
        <v>478</v>
      </c>
      <c r="B5" s="39" t="s">
        <v>1</v>
      </c>
      <c r="C5" s="39" t="s">
        <v>477</v>
      </c>
      <c r="D5" s="231"/>
      <c r="E5" s="39" t="s">
        <v>478</v>
      </c>
      <c r="F5" s="39" t="s">
        <v>1</v>
      </c>
      <c r="G5" s="39" t="s">
        <v>477</v>
      </c>
      <c r="H5" s="231"/>
      <c r="I5" s="39" t="s">
        <v>478</v>
      </c>
      <c r="J5" s="39" t="s">
        <v>1</v>
      </c>
      <c r="K5" s="39" t="s">
        <v>477</v>
      </c>
    </row>
    <row r="6" spans="1:11" x14ac:dyDescent="0.3">
      <c r="A6" s="43">
        <v>1.05</v>
      </c>
      <c r="B6" s="44" t="s">
        <v>480</v>
      </c>
      <c r="C6" s="44">
        <v>22.1</v>
      </c>
      <c r="D6" s="231"/>
      <c r="E6" s="45">
        <v>2.0099999999999998</v>
      </c>
      <c r="F6" s="46" t="s">
        <v>480</v>
      </c>
      <c r="G6" s="46">
        <v>62.6</v>
      </c>
      <c r="H6" s="231"/>
      <c r="I6" s="45">
        <v>3.01</v>
      </c>
      <c r="J6" s="46" t="s">
        <v>480</v>
      </c>
      <c r="K6" s="46">
        <v>62.8</v>
      </c>
    </row>
    <row r="7" spans="1:11" x14ac:dyDescent="0.3">
      <c r="A7" s="45">
        <v>1.0900000000000001</v>
      </c>
      <c r="B7" s="46" t="s">
        <v>480</v>
      </c>
      <c r="C7" s="46">
        <v>61.9</v>
      </c>
      <c r="D7" s="231"/>
      <c r="E7" s="43">
        <v>2.02</v>
      </c>
      <c r="F7" s="44" t="s">
        <v>480</v>
      </c>
      <c r="G7" s="44">
        <v>89</v>
      </c>
      <c r="H7" s="231"/>
      <c r="I7" s="43">
        <v>3.02</v>
      </c>
      <c r="J7" s="44" t="s">
        <v>480</v>
      </c>
      <c r="K7" s="44">
        <v>89.1</v>
      </c>
    </row>
    <row r="8" spans="1:11" x14ac:dyDescent="0.3">
      <c r="A8" s="43">
        <v>1.1000000000000001</v>
      </c>
      <c r="B8" s="44" t="s">
        <v>480</v>
      </c>
      <c r="C8" s="44">
        <v>63.3</v>
      </c>
      <c r="D8" s="231"/>
      <c r="E8" s="45">
        <v>2.0299999999999998</v>
      </c>
      <c r="F8" s="46" t="s">
        <v>480</v>
      </c>
      <c r="G8" s="46">
        <v>39.4</v>
      </c>
      <c r="H8" s="231"/>
      <c r="I8" s="45">
        <v>3.03</v>
      </c>
      <c r="J8" s="46" t="s">
        <v>480</v>
      </c>
      <c r="K8" s="46">
        <v>29.7</v>
      </c>
    </row>
    <row r="9" spans="1:11" x14ac:dyDescent="0.3">
      <c r="A9" s="45">
        <v>1.1100000000000001</v>
      </c>
      <c r="B9" s="46" t="s">
        <v>480</v>
      </c>
      <c r="C9" s="46">
        <v>63.4</v>
      </c>
      <c r="D9" s="231"/>
      <c r="E9" s="43">
        <v>2.04</v>
      </c>
      <c r="F9" s="44" t="s">
        <v>480</v>
      </c>
      <c r="G9" s="44">
        <v>63</v>
      </c>
      <c r="H9" s="231"/>
      <c r="I9" s="43">
        <v>3.04</v>
      </c>
      <c r="J9" s="44" t="s">
        <v>480</v>
      </c>
      <c r="K9" s="44">
        <v>64.599999999999994</v>
      </c>
    </row>
    <row r="10" spans="1:11" x14ac:dyDescent="0.3">
      <c r="A10" s="43">
        <v>1.1200000000000001</v>
      </c>
      <c r="B10" s="44" t="s">
        <v>480</v>
      </c>
      <c r="C10" s="44">
        <v>131.19999999999999</v>
      </c>
      <c r="D10" s="231"/>
      <c r="E10" s="45">
        <v>2.0499999999999998</v>
      </c>
      <c r="F10" s="46" t="s">
        <v>480</v>
      </c>
      <c r="G10" s="46">
        <v>64.400000000000006</v>
      </c>
      <c r="H10" s="231"/>
      <c r="I10" s="45">
        <v>3.05</v>
      </c>
      <c r="J10" s="46" t="s">
        <v>480</v>
      </c>
      <c r="K10" s="46">
        <v>63.8</v>
      </c>
    </row>
    <row r="11" spans="1:11" x14ac:dyDescent="0.3">
      <c r="A11" s="45">
        <v>1.19</v>
      </c>
      <c r="B11" s="46" t="s">
        <v>481</v>
      </c>
      <c r="C11" s="46">
        <v>20.7</v>
      </c>
      <c r="D11" s="231"/>
      <c r="E11" s="43">
        <v>2.06</v>
      </c>
      <c r="F11" s="44" t="s">
        <v>480</v>
      </c>
      <c r="G11" s="44">
        <v>63.3</v>
      </c>
      <c r="H11" s="231"/>
      <c r="I11" s="43">
        <v>3.06</v>
      </c>
      <c r="J11" s="44" t="s">
        <v>480</v>
      </c>
      <c r="K11" s="44">
        <v>65.400000000000006</v>
      </c>
    </row>
    <row r="12" spans="1:11" x14ac:dyDescent="0.3">
      <c r="A12" s="43">
        <v>1.61</v>
      </c>
      <c r="B12" s="44" t="s">
        <v>481</v>
      </c>
      <c r="C12" s="44">
        <v>16.8</v>
      </c>
      <c r="D12" s="231"/>
      <c r="E12" s="45">
        <v>2.0699999999999998</v>
      </c>
      <c r="F12" s="46" t="s">
        <v>480</v>
      </c>
      <c r="G12" s="46">
        <v>63.3</v>
      </c>
      <c r="H12" s="231"/>
      <c r="I12" s="45">
        <v>3.07</v>
      </c>
      <c r="J12" s="46" t="s">
        <v>480</v>
      </c>
      <c r="K12" s="46">
        <v>63.7</v>
      </c>
    </row>
    <row r="13" spans="1:11" x14ac:dyDescent="0.3">
      <c r="A13" s="45">
        <v>1.64</v>
      </c>
      <c r="B13" s="46" t="s">
        <v>481</v>
      </c>
      <c r="C13" s="46">
        <v>24</v>
      </c>
      <c r="D13" s="231"/>
      <c r="E13" s="43">
        <v>2.08</v>
      </c>
      <c r="F13" s="44" t="s">
        <v>480</v>
      </c>
      <c r="G13" s="44">
        <v>78.599999999999994</v>
      </c>
      <c r="H13" s="231"/>
      <c r="I13" s="43">
        <v>3.08</v>
      </c>
      <c r="J13" s="44" t="s">
        <v>480</v>
      </c>
      <c r="K13" s="44">
        <v>64.3</v>
      </c>
    </row>
    <row r="14" spans="1:11" x14ac:dyDescent="0.3">
      <c r="A14" s="43">
        <v>1.67</v>
      </c>
      <c r="B14" s="44" t="s">
        <v>481</v>
      </c>
      <c r="C14" s="44">
        <v>51.3</v>
      </c>
      <c r="D14" s="231"/>
      <c r="E14" s="45">
        <v>2.12</v>
      </c>
      <c r="F14" s="46" t="s">
        <v>480</v>
      </c>
      <c r="G14" s="46">
        <v>27</v>
      </c>
      <c r="H14" s="231"/>
      <c r="I14" s="45">
        <v>3.12</v>
      </c>
      <c r="J14" s="46" t="s">
        <v>15</v>
      </c>
      <c r="K14" s="46">
        <v>244.5</v>
      </c>
    </row>
    <row r="15" spans="1:11" x14ac:dyDescent="0.3">
      <c r="A15" s="45">
        <v>1.68</v>
      </c>
      <c r="B15" s="46" t="s">
        <v>481</v>
      </c>
      <c r="C15" s="46">
        <v>54.6</v>
      </c>
      <c r="D15" s="231"/>
      <c r="E15" s="43">
        <v>2.15</v>
      </c>
      <c r="F15" s="44" t="s">
        <v>480</v>
      </c>
      <c r="G15" s="44">
        <v>28</v>
      </c>
      <c r="H15" s="231"/>
      <c r="I15" s="43">
        <v>3.13</v>
      </c>
      <c r="J15" s="44" t="s">
        <v>480</v>
      </c>
      <c r="K15" s="44">
        <v>13.3</v>
      </c>
    </row>
    <row r="16" spans="1:11" x14ac:dyDescent="0.3">
      <c r="A16" s="43">
        <v>1.69</v>
      </c>
      <c r="B16" s="44" t="s">
        <v>481</v>
      </c>
      <c r="C16" s="44">
        <v>18.5</v>
      </c>
      <c r="D16" s="231"/>
      <c r="E16" s="45">
        <v>2.19</v>
      </c>
      <c r="F16" s="46" t="s">
        <v>482</v>
      </c>
      <c r="G16" s="46">
        <v>359.3</v>
      </c>
      <c r="H16" s="231"/>
      <c r="I16" s="45">
        <v>3.18</v>
      </c>
      <c r="J16" s="46" t="s">
        <v>480</v>
      </c>
      <c r="K16" s="46">
        <v>107.2</v>
      </c>
    </row>
    <row r="17" spans="1:11" x14ac:dyDescent="0.3">
      <c r="A17" s="45">
        <v>1.73</v>
      </c>
      <c r="B17" s="46" t="s">
        <v>481</v>
      </c>
      <c r="C17" s="46">
        <v>51.2</v>
      </c>
      <c r="D17" s="231"/>
      <c r="E17" s="43">
        <v>2.21</v>
      </c>
      <c r="F17" s="44" t="s">
        <v>480</v>
      </c>
      <c r="G17" s="44">
        <v>14</v>
      </c>
      <c r="H17" s="231"/>
      <c r="I17" s="43">
        <v>3.19</v>
      </c>
      <c r="J17" s="44" t="s">
        <v>480</v>
      </c>
      <c r="K17" s="44">
        <v>113.7</v>
      </c>
    </row>
    <row r="18" spans="1:11" x14ac:dyDescent="0.3">
      <c r="A18" s="43">
        <v>1.74</v>
      </c>
      <c r="B18" s="44" t="s">
        <v>481</v>
      </c>
      <c r="C18" s="44">
        <v>55.3</v>
      </c>
      <c r="D18" s="231"/>
      <c r="E18" s="45">
        <v>2.27</v>
      </c>
      <c r="F18" s="46" t="s">
        <v>480</v>
      </c>
      <c r="G18" s="46">
        <v>19.100000000000001</v>
      </c>
      <c r="H18" s="231"/>
      <c r="I18" s="45">
        <v>3.23</v>
      </c>
      <c r="J18" s="46" t="s">
        <v>481</v>
      </c>
      <c r="K18" s="46">
        <v>21.6</v>
      </c>
    </row>
    <row r="19" spans="1:11" x14ac:dyDescent="0.3">
      <c r="A19" s="45">
        <v>1.77</v>
      </c>
      <c r="B19" s="46" t="s">
        <v>481</v>
      </c>
      <c r="C19" s="46">
        <v>41.2</v>
      </c>
      <c r="D19" s="231"/>
      <c r="E19" s="43">
        <v>2.2799999999999998</v>
      </c>
      <c r="F19" s="44" t="s">
        <v>480</v>
      </c>
      <c r="G19" s="44">
        <v>192.9</v>
      </c>
      <c r="H19" s="231"/>
      <c r="I19" s="43">
        <v>3.25</v>
      </c>
      <c r="J19" s="44" t="s">
        <v>481</v>
      </c>
      <c r="K19" s="44">
        <v>52.1</v>
      </c>
    </row>
    <row r="20" spans="1:11" x14ac:dyDescent="0.3">
      <c r="A20" s="43">
        <v>1.78</v>
      </c>
      <c r="B20" s="44" t="s">
        <v>481</v>
      </c>
      <c r="C20" s="44">
        <v>59.3</v>
      </c>
      <c r="D20" s="231"/>
      <c r="E20" s="45">
        <v>2.2999999999999998</v>
      </c>
      <c r="F20" s="46" t="s">
        <v>480</v>
      </c>
      <c r="G20" s="46">
        <v>115.5</v>
      </c>
      <c r="H20" s="231"/>
      <c r="I20" s="45">
        <v>3.26</v>
      </c>
      <c r="J20" s="46" t="s">
        <v>481</v>
      </c>
      <c r="K20" s="46">
        <v>57</v>
      </c>
    </row>
    <row r="21" spans="1:11" x14ac:dyDescent="0.3">
      <c r="B21" s="50" t="s">
        <v>474</v>
      </c>
      <c r="C21" s="42">
        <f>SUM(C6:C20)</f>
        <v>734.8</v>
      </c>
      <c r="D21" s="231"/>
      <c r="E21" s="43">
        <v>2.37</v>
      </c>
      <c r="F21" s="44" t="s">
        <v>481</v>
      </c>
      <c r="G21" s="44">
        <v>21.6</v>
      </c>
      <c r="H21" s="231"/>
      <c r="I21" s="43">
        <v>3.28</v>
      </c>
      <c r="J21" s="44" t="s">
        <v>481</v>
      </c>
      <c r="K21" s="44">
        <v>21.6</v>
      </c>
    </row>
    <row r="22" spans="1:11" x14ac:dyDescent="0.3">
      <c r="A22" s="231"/>
      <c r="B22" s="231"/>
      <c r="C22" s="231"/>
      <c r="D22" s="231"/>
      <c r="E22" s="45">
        <v>2.4</v>
      </c>
      <c r="F22" s="46" t="s">
        <v>481</v>
      </c>
      <c r="G22" s="46">
        <v>51.3</v>
      </c>
      <c r="H22" s="231"/>
      <c r="I22" s="45">
        <v>3.29</v>
      </c>
      <c r="J22" s="46" t="s">
        <v>481</v>
      </c>
      <c r="K22" s="46">
        <v>51.6</v>
      </c>
    </row>
    <row r="23" spans="1:11" x14ac:dyDescent="0.3">
      <c r="A23" s="231"/>
      <c r="B23" s="231"/>
      <c r="C23" s="231"/>
      <c r="D23" s="231"/>
      <c r="E23" s="43">
        <v>2.41</v>
      </c>
      <c r="F23" s="44" t="s">
        <v>481</v>
      </c>
      <c r="G23" s="44">
        <v>56.6</v>
      </c>
      <c r="H23" s="231"/>
      <c r="I23" s="43">
        <v>3.3</v>
      </c>
      <c r="J23" s="44" t="s">
        <v>481</v>
      </c>
      <c r="K23" s="44">
        <v>56.3</v>
      </c>
    </row>
    <row r="24" spans="1:11" x14ac:dyDescent="0.3">
      <c r="A24" s="231"/>
      <c r="B24" s="231"/>
      <c r="C24" s="231"/>
      <c r="D24" s="231"/>
      <c r="E24" s="45">
        <v>2.42</v>
      </c>
      <c r="F24" s="46" t="s">
        <v>481</v>
      </c>
      <c r="G24" s="46">
        <v>21.5</v>
      </c>
      <c r="H24" s="231"/>
      <c r="I24" s="45">
        <v>3.33</v>
      </c>
      <c r="J24" s="46" t="s">
        <v>481</v>
      </c>
      <c r="K24" s="46">
        <v>75.400000000000006</v>
      </c>
    </row>
    <row r="25" spans="1:11" x14ac:dyDescent="0.3">
      <c r="A25" s="231"/>
      <c r="B25" s="231"/>
      <c r="C25" s="231"/>
      <c r="D25" s="231"/>
      <c r="E25" s="43">
        <v>2.44</v>
      </c>
      <c r="F25" s="44" t="s">
        <v>481</v>
      </c>
      <c r="G25" s="44">
        <v>51.3</v>
      </c>
      <c r="H25" s="231"/>
      <c r="I25" s="43">
        <v>3.34</v>
      </c>
      <c r="J25" s="44" t="s">
        <v>481</v>
      </c>
      <c r="K25" s="44">
        <v>6.9</v>
      </c>
    </row>
    <row r="26" spans="1:11" x14ac:dyDescent="0.3">
      <c r="A26" s="231"/>
      <c r="B26" s="231"/>
      <c r="C26" s="231"/>
      <c r="D26" s="231"/>
      <c r="E26" s="45">
        <v>2.4500000000000002</v>
      </c>
      <c r="F26" s="46" t="s">
        <v>481</v>
      </c>
      <c r="G26" s="46">
        <v>56.3</v>
      </c>
      <c r="H26" s="231"/>
      <c r="I26" s="45">
        <v>3.35</v>
      </c>
      <c r="J26" s="46" t="s">
        <v>481</v>
      </c>
      <c r="K26" s="46">
        <v>74.900000000000006</v>
      </c>
    </row>
    <row r="27" spans="1:11" x14ac:dyDescent="0.3">
      <c r="A27" s="231"/>
      <c r="B27" s="231"/>
      <c r="C27" s="231"/>
      <c r="D27" s="231"/>
      <c r="E27" s="43">
        <v>2.4700000000000002</v>
      </c>
      <c r="F27" s="44" t="s">
        <v>482</v>
      </c>
      <c r="G27" s="44">
        <v>75.599999999999994</v>
      </c>
      <c r="H27" s="231"/>
      <c r="I27" s="43">
        <v>3.41</v>
      </c>
      <c r="J27" s="44" t="s">
        <v>481</v>
      </c>
      <c r="K27" s="44">
        <v>36.4</v>
      </c>
    </row>
    <row r="28" spans="1:11" x14ac:dyDescent="0.3">
      <c r="A28" s="231"/>
      <c r="B28" s="231"/>
      <c r="C28" s="231"/>
      <c r="D28" s="231"/>
      <c r="E28" s="43">
        <v>2.4900000000000002</v>
      </c>
      <c r="F28" s="44" t="s">
        <v>481</v>
      </c>
      <c r="G28" s="44">
        <v>75.2</v>
      </c>
      <c r="H28" s="231"/>
      <c r="I28" s="45">
        <v>3.42</v>
      </c>
      <c r="J28" s="46" t="s">
        <v>481</v>
      </c>
      <c r="K28" s="46">
        <v>59.7</v>
      </c>
    </row>
    <row r="29" spans="1:11" x14ac:dyDescent="0.3">
      <c r="A29" s="231"/>
      <c r="B29" s="231"/>
      <c r="C29" s="231"/>
      <c r="D29" s="231"/>
      <c r="E29" s="43">
        <v>2.58</v>
      </c>
      <c r="F29" s="44" t="s">
        <v>480</v>
      </c>
      <c r="G29" s="44">
        <v>76.2</v>
      </c>
      <c r="H29" s="231"/>
      <c r="I29" s="43">
        <v>3.44</v>
      </c>
      <c r="J29" s="44" t="s">
        <v>480</v>
      </c>
      <c r="K29" s="44">
        <v>21.4</v>
      </c>
    </row>
    <row r="30" spans="1:11" x14ac:dyDescent="0.3">
      <c r="A30" s="231"/>
      <c r="B30" s="231"/>
      <c r="C30" s="231"/>
      <c r="D30" s="231"/>
      <c r="F30" s="50" t="s">
        <v>474</v>
      </c>
      <c r="G30" s="42">
        <f>SUM(G6:G29)</f>
        <v>1764.9999999999998</v>
      </c>
      <c r="H30" s="231"/>
      <c r="I30" s="47">
        <v>3.45</v>
      </c>
      <c r="J30" s="48" t="s">
        <v>480</v>
      </c>
      <c r="K30" s="48">
        <v>82.7</v>
      </c>
    </row>
    <row r="31" spans="1:11" x14ac:dyDescent="0.3">
      <c r="A31" s="231"/>
      <c r="B31" s="231"/>
      <c r="C31" s="231"/>
      <c r="D31" s="231"/>
      <c r="E31" s="231"/>
      <c r="F31" s="231"/>
      <c r="G31" s="231"/>
      <c r="H31" s="231"/>
      <c r="J31" s="50" t="s">
        <v>474</v>
      </c>
      <c r="K31" s="42">
        <f>SUM(K6:K30)</f>
        <v>1599.7000000000003</v>
      </c>
    </row>
  </sheetData>
  <mergeCells count="11">
    <mergeCell ref="A1:I1"/>
    <mergeCell ref="H3:I3"/>
    <mergeCell ref="H2:I2"/>
    <mergeCell ref="J1:K3"/>
    <mergeCell ref="B2:F2"/>
    <mergeCell ref="B3:F3"/>
    <mergeCell ref="H5:H31"/>
    <mergeCell ref="E31:G31"/>
    <mergeCell ref="D5:D31"/>
    <mergeCell ref="A22:C31"/>
    <mergeCell ref="A4:K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B18" sqref="B18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14" t="s">
        <v>395</v>
      </c>
      <c r="B1" s="215"/>
      <c r="C1" s="216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410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411</v>
      </c>
      <c r="C5" s="27">
        <v>28.9</v>
      </c>
    </row>
    <row r="6" spans="1:3" x14ac:dyDescent="0.35">
      <c r="A6" s="21">
        <v>4</v>
      </c>
      <c r="B6" s="24" t="s">
        <v>412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413</v>
      </c>
      <c r="C8" s="27">
        <v>5</v>
      </c>
    </row>
    <row r="9" spans="1:3" ht="36" x14ac:dyDescent="0.35">
      <c r="A9" s="21">
        <v>7</v>
      </c>
      <c r="B9" s="24" t="s">
        <v>414</v>
      </c>
      <c r="C9" s="27">
        <v>9</v>
      </c>
    </row>
    <row r="10" spans="1:3" x14ac:dyDescent="0.35">
      <c r="A10" s="21">
        <v>8</v>
      </c>
      <c r="B10" s="24" t="s">
        <v>415</v>
      </c>
      <c r="C10" s="27">
        <v>7.6</v>
      </c>
    </row>
    <row r="11" spans="1:3" x14ac:dyDescent="0.35">
      <c r="A11" s="21">
        <v>9</v>
      </c>
      <c r="B11" s="24" t="s">
        <v>416</v>
      </c>
      <c r="C11" s="27">
        <v>6.5</v>
      </c>
    </row>
    <row r="12" spans="1:3" x14ac:dyDescent="0.35">
      <c r="A12" s="21">
        <v>10</v>
      </c>
      <c r="B12" s="24" t="s">
        <v>417</v>
      </c>
      <c r="C12" s="27">
        <v>30.6</v>
      </c>
    </row>
    <row r="13" spans="1:3" x14ac:dyDescent="0.35">
      <c r="A13" s="21">
        <v>11</v>
      </c>
      <c r="B13" s="24" t="s">
        <v>418</v>
      </c>
      <c r="C13" s="27">
        <v>6.5</v>
      </c>
    </row>
    <row r="14" spans="1:3" x14ac:dyDescent="0.35">
      <c r="A14" s="21">
        <v>12</v>
      </c>
      <c r="B14" s="24" t="s">
        <v>419</v>
      </c>
      <c r="C14" s="27">
        <v>30.6</v>
      </c>
    </row>
    <row r="15" spans="1:3" ht="36" x14ac:dyDescent="0.35">
      <c r="A15" s="21">
        <v>13</v>
      </c>
      <c r="B15" s="24" t="s">
        <v>420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421</v>
      </c>
      <c r="C18" s="27">
        <v>6.7</v>
      </c>
    </row>
    <row r="19" spans="1:3" x14ac:dyDescent="0.35">
      <c r="A19" s="21">
        <v>17</v>
      </c>
      <c r="B19" s="24" t="s">
        <v>422</v>
      </c>
      <c r="C19" s="27">
        <v>6.7</v>
      </c>
    </row>
    <row r="20" spans="1:3" x14ac:dyDescent="0.35">
      <c r="A20" s="21">
        <v>18</v>
      </c>
      <c r="B20" s="24" t="s">
        <v>423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424</v>
      </c>
      <c r="C23" s="27">
        <v>5.74</v>
      </c>
    </row>
    <row r="24" spans="1:3" ht="36" x14ac:dyDescent="0.35">
      <c r="A24" s="21">
        <v>22</v>
      </c>
      <c r="B24" s="24" t="s">
        <v>425</v>
      </c>
      <c r="C24" s="27">
        <v>6.2</v>
      </c>
    </row>
    <row r="25" spans="1:3" x14ac:dyDescent="0.35">
      <c r="A25" s="21"/>
      <c r="B25" s="25" t="s">
        <v>399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7"/>
  <sheetViews>
    <sheetView zoomScale="85" zoomScaleNormal="85" workbookViewId="0">
      <selection activeCell="A6" sqref="A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7.4414062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73" t="s">
        <v>692</v>
      </c>
      <c r="B1" s="173"/>
      <c r="C1" s="173"/>
      <c r="D1" s="173"/>
      <c r="E1" s="173"/>
      <c r="F1" s="173"/>
      <c r="G1" s="173"/>
      <c r="H1" s="173"/>
      <c r="I1" s="173"/>
    </row>
    <row r="2" spans="1:9" ht="15" customHeight="1" x14ac:dyDescent="0.3">
      <c r="A2" s="12" t="s">
        <v>389</v>
      </c>
      <c r="B2" s="191" t="s">
        <v>390</v>
      </c>
      <c r="C2" s="191"/>
      <c r="D2" s="191"/>
      <c r="E2" s="191"/>
      <c r="F2" s="181" t="s">
        <v>391</v>
      </c>
      <c r="G2" s="196"/>
      <c r="H2" s="16" t="s">
        <v>392</v>
      </c>
      <c r="I2" s="14" t="s">
        <v>393</v>
      </c>
    </row>
    <row r="3" spans="1:9" ht="34.200000000000003" customHeight="1" x14ac:dyDescent="0.3">
      <c r="A3" s="75">
        <v>1</v>
      </c>
      <c r="B3" s="189" t="s">
        <v>676</v>
      </c>
      <c r="C3" s="189"/>
      <c r="D3" s="189"/>
      <c r="E3" s="189"/>
      <c r="F3" s="197" t="s">
        <v>677</v>
      </c>
      <c r="G3" s="198"/>
      <c r="H3" s="75" t="s">
        <v>394</v>
      </c>
      <c r="I3" s="116">
        <f>G20+C27</f>
        <v>2201.1705000000002</v>
      </c>
    </row>
    <row r="4" spans="1:9" ht="34.200000000000003" customHeight="1" x14ac:dyDescent="0.3">
      <c r="A4" s="75">
        <v>2</v>
      </c>
      <c r="B4" s="189" t="s">
        <v>676</v>
      </c>
      <c r="C4" s="189"/>
      <c r="D4" s="189"/>
      <c r="E4" s="189"/>
      <c r="F4" s="197" t="s">
        <v>678</v>
      </c>
      <c r="G4" s="198"/>
      <c r="H4" s="75" t="s">
        <v>394</v>
      </c>
      <c r="I4" s="116">
        <f>G27</f>
        <v>244.7</v>
      </c>
    </row>
    <row r="5" spans="1:9" ht="20.399999999999999" customHeight="1" x14ac:dyDescent="0.3">
      <c r="A5" s="185"/>
      <c r="B5" s="185"/>
      <c r="C5" s="185"/>
      <c r="D5" s="185"/>
      <c r="E5" s="185"/>
      <c r="F5" s="185"/>
      <c r="G5" s="185"/>
      <c r="H5" s="185"/>
      <c r="I5" s="185"/>
    </row>
    <row r="6" spans="1:9" x14ac:dyDescent="0.3">
      <c r="A6" s="87" t="s">
        <v>593</v>
      </c>
      <c r="B6" s="103" t="s">
        <v>441</v>
      </c>
      <c r="C6" s="103" t="s">
        <v>673</v>
      </c>
      <c r="D6" s="220"/>
      <c r="E6" s="87" t="s">
        <v>593</v>
      </c>
      <c r="F6" s="87" t="s">
        <v>441</v>
      </c>
      <c r="G6" s="87" t="s">
        <v>591</v>
      </c>
      <c r="H6" s="194"/>
      <c r="I6" s="194"/>
    </row>
    <row r="7" spans="1:9" x14ac:dyDescent="0.3">
      <c r="A7" s="104" t="s">
        <v>554</v>
      </c>
      <c r="B7" s="105" t="s">
        <v>480</v>
      </c>
      <c r="C7" s="117">
        <v>21.89</v>
      </c>
      <c r="D7" s="220"/>
      <c r="E7" s="106" t="s">
        <v>461</v>
      </c>
      <c r="F7" s="107" t="s">
        <v>480</v>
      </c>
      <c r="G7" s="118">
        <v>62.485999999999997</v>
      </c>
      <c r="H7" s="194"/>
      <c r="I7" s="194"/>
    </row>
    <row r="8" spans="1:9" x14ac:dyDescent="0.3">
      <c r="A8" s="106" t="s">
        <v>555</v>
      </c>
      <c r="B8" s="107" t="s">
        <v>480</v>
      </c>
      <c r="C8" s="118">
        <v>62.685000000000002</v>
      </c>
      <c r="D8" s="220"/>
      <c r="E8" s="104" t="s">
        <v>462</v>
      </c>
      <c r="F8" s="105" t="s">
        <v>480</v>
      </c>
      <c r="G8" s="117">
        <v>88.654499999999999</v>
      </c>
      <c r="H8" s="194"/>
      <c r="I8" s="194"/>
    </row>
    <row r="9" spans="1:9" x14ac:dyDescent="0.3">
      <c r="A9" s="104" t="s">
        <v>556</v>
      </c>
      <c r="B9" s="105" t="s">
        <v>480</v>
      </c>
      <c r="C9" s="117">
        <v>63.978499999999997</v>
      </c>
      <c r="D9" s="220"/>
      <c r="E9" s="106" t="s">
        <v>463</v>
      </c>
      <c r="F9" s="107" t="s">
        <v>480</v>
      </c>
      <c r="G9" s="118">
        <v>29.551500000000001</v>
      </c>
      <c r="H9" s="194"/>
      <c r="I9" s="194"/>
    </row>
    <row r="10" spans="1:9" x14ac:dyDescent="0.3">
      <c r="A10" s="106" t="s">
        <v>557</v>
      </c>
      <c r="B10" s="107" t="s">
        <v>480</v>
      </c>
      <c r="C10" s="118">
        <v>64.078000000000003</v>
      </c>
      <c r="D10" s="220"/>
      <c r="E10" s="104" t="s">
        <v>464</v>
      </c>
      <c r="F10" s="105" t="s">
        <v>480</v>
      </c>
      <c r="G10" s="117">
        <v>64.475999999999999</v>
      </c>
      <c r="H10" s="194"/>
      <c r="I10" s="194"/>
    </row>
    <row r="11" spans="1:9" x14ac:dyDescent="0.3">
      <c r="A11" s="104" t="s">
        <v>558</v>
      </c>
      <c r="B11" s="105" t="s">
        <v>480</v>
      </c>
      <c r="C11" s="117">
        <v>130.9</v>
      </c>
      <c r="D11" s="220"/>
      <c r="E11" s="106" t="s">
        <v>465</v>
      </c>
      <c r="F11" s="107" t="s">
        <v>480</v>
      </c>
      <c r="G11" s="118">
        <v>63.480999999999995</v>
      </c>
      <c r="H11" s="194"/>
      <c r="I11" s="194"/>
    </row>
    <row r="12" spans="1:9" x14ac:dyDescent="0.3">
      <c r="A12" s="104" t="s">
        <v>588</v>
      </c>
      <c r="B12" s="105" t="s">
        <v>480</v>
      </c>
      <c r="C12" s="117">
        <v>63.381500000000003</v>
      </c>
      <c r="D12" s="220"/>
      <c r="E12" s="104" t="s">
        <v>589</v>
      </c>
      <c r="F12" s="105" t="s">
        <v>480</v>
      </c>
      <c r="G12" s="117">
        <v>65.172499999999999</v>
      </c>
      <c r="H12" s="194"/>
      <c r="I12" s="194"/>
    </row>
    <row r="13" spans="1:9" x14ac:dyDescent="0.3">
      <c r="A13" s="106" t="s">
        <v>445</v>
      </c>
      <c r="B13" s="107" t="s">
        <v>480</v>
      </c>
      <c r="C13" s="118">
        <v>89.749000000000009</v>
      </c>
      <c r="D13" s="220"/>
      <c r="E13" s="106" t="s">
        <v>590</v>
      </c>
      <c r="F13" s="107" t="s">
        <v>480</v>
      </c>
      <c r="G13" s="118">
        <v>63.381500000000003</v>
      </c>
      <c r="H13" s="194"/>
      <c r="I13" s="194"/>
    </row>
    <row r="14" spans="1:9" x14ac:dyDescent="0.3">
      <c r="A14" s="104" t="s">
        <v>446</v>
      </c>
      <c r="B14" s="105" t="s">
        <v>480</v>
      </c>
      <c r="C14" s="117">
        <v>39.899500000000003</v>
      </c>
      <c r="D14" s="220"/>
      <c r="E14" s="104" t="s">
        <v>466</v>
      </c>
      <c r="F14" s="105" t="s">
        <v>480</v>
      </c>
      <c r="G14" s="117">
        <v>64.3</v>
      </c>
      <c r="H14" s="194"/>
      <c r="I14" s="194"/>
    </row>
    <row r="15" spans="1:9" x14ac:dyDescent="0.3">
      <c r="A15" s="106" t="s">
        <v>447</v>
      </c>
      <c r="B15" s="107" t="s">
        <v>480</v>
      </c>
      <c r="C15" s="118">
        <v>63.68</v>
      </c>
      <c r="D15" s="220"/>
      <c r="E15" s="104" t="s">
        <v>583</v>
      </c>
      <c r="F15" s="105" t="s">
        <v>480</v>
      </c>
      <c r="G15" s="117">
        <v>13.233500000000001</v>
      </c>
      <c r="H15" s="194"/>
      <c r="I15" s="194"/>
    </row>
    <row r="16" spans="1:9" x14ac:dyDescent="0.3">
      <c r="A16" s="104" t="s">
        <v>448</v>
      </c>
      <c r="B16" s="105" t="s">
        <v>480</v>
      </c>
      <c r="C16" s="117">
        <v>65.3</v>
      </c>
      <c r="D16" s="220"/>
      <c r="E16" s="106" t="s">
        <v>584</v>
      </c>
      <c r="F16" s="107" t="s">
        <v>480</v>
      </c>
      <c r="G16" s="118">
        <v>113.92749999999999</v>
      </c>
      <c r="H16" s="194"/>
      <c r="I16" s="194"/>
    </row>
    <row r="17" spans="1:9" x14ac:dyDescent="0.3">
      <c r="A17" s="106" t="s">
        <v>449</v>
      </c>
      <c r="B17" s="107" t="s">
        <v>480</v>
      </c>
      <c r="C17" s="118">
        <v>63.779499999999992</v>
      </c>
      <c r="D17" s="220"/>
      <c r="E17" s="104" t="s">
        <v>585</v>
      </c>
      <c r="F17" s="105" t="s">
        <v>480</v>
      </c>
      <c r="G17" s="117">
        <v>112.53449999999999</v>
      </c>
      <c r="H17" s="194"/>
      <c r="I17" s="194"/>
    </row>
    <row r="18" spans="1:9" x14ac:dyDescent="0.3">
      <c r="A18" s="104" t="s">
        <v>450</v>
      </c>
      <c r="B18" s="105" t="s">
        <v>480</v>
      </c>
      <c r="C18" s="117">
        <v>64.2</v>
      </c>
      <c r="D18" s="220"/>
      <c r="E18" s="106" t="s">
        <v>586</v>
      </c>
      <c r="F18" s="107" t="s">
        <v>480</v>
      </c>
      <c r="G18" s="118">
        <v>21.690999999999999</v>
      </c>
      <c r="H18" s="194"/>
      <c r="I18" s="194"/>
    </row>
    <row r="19" spans="1:9" x14ac:dyDescent="0.3">
      <c r="A19" s="106" t="s">
        <v>574</v>
      </c>
      <c r="B19" s="107" t="s">
        <v>480</v>
      </c>
      <c r="C19" s="118">
        <v>79.301500000000004</v>
      </c>
      <c r="D19" s="220"/>
      <c r="E19" s="110" t="s">
        <v>587</v>
      </c>
      <c r="F19" s="111" t="s">
        <v>480</v>
      </c>
      <c r="G19" s="119">
        <v>87.0625</v>
      </c>
      <c r="H19" s="194"/>
      <c r="I19" s="194"/>
    </row>
    <row r="20" spans="1:9" x14ac:dyDescent="0.3">
      <c r="A20" s="104" t="s">
        <v>575</v>
      </c>
      <c r="B20" s="105" t="s">
        <v>480</v>
      </c>
      <c r="C20" s="117">
        <v>26.864999999999998</v>
      </c>
      <c r="D20" s="220"/>
      <c r="F20" s="105" t="s">
        <v>474</v>
      </c>
      <c r="G20" s="117">
        <f>SUM(G7:G19)</f>
        <v>849.95200000000011</v>
      </c>
      <c r="H20" s="194"/>
      <c r="I20" s="194"/>
    </row>
    <row r="21" spans="1:9" x14ac:dyDescent="0.3">
      <c r="A21" s="106" t="s">
        <v>576</v>
      </c>
      <c r="B21" s="107" t="s">
        <v>480</v>
      </c>
      <c r="C21" s="118">
        <v>27.86</v>
      </c>
      <c r="D21" s="220"/>
      <c r="E21" s="194"/>
      <c r="F21" s="194"/>
      <c r="G21" s="194"/>
      <c r="H21" s="194"/>
      <c r="I21" s="194"/>
    </row>
    <row r="22" spans="1:9" x14ac:dyDescent="0.3">
      <c r="A22" s="104" t="s">
        <v>577</v>
      </c>
      <c r="B22" s="105" t="s">
        <v>480</v>
      </c>
      <c r="C22" s="117">
        <v>13.93</v>
      </c>
      <c r="D22" s="220"/>
      <c r="E22" s="194"/>
      <c r="F22" s="194"/>
      <c r="G22" s="194"/>
      <c r="H22" s="194"/>
      <c r="I22" s="194"/>
    </row>
    <row r="23" spans="1:9" x14ac:dyDescent="0.3">
      <c r="A23" s="106" t="s">
        <v>578</v>
      </c>
      <c r="B23" s="107" t="s">
        <v>480</v>
      </c>
      <c r="C23" s="118">
        <v>19.0045</v>
      </c>
      <c r="D23" s="220"/>
      <c r="E23" s="194"/>
      <c r="F23" s="194"/>
      <c r="G23" s="194"/>
      <c r="H23" s="194"/>
      <c r="I23" s="194"/>
    </row>
    <row r="24" spans="1:9" x14ac:dyDescent="0.3">
      <c r="A24" s="104" t="s">
        <v>579</v>
      </c>
      <c r="B24" s="105" t="s">
        <v>480</v>
      </c>
      <c r="C24" s="117">
        <v>200.09449999999998</v>
      </c>
      <c r="D24" s="220"/>
      <c r="E24" s="194"/>
      <c r="F24" s="194"/>
      <c r="G24" s="194"/>
      <c r="H24" s="194"/>
      <c r="I24" s="194"/>
    </row>
    <row r="25" spans="1:9" x14ac:dyDescent="0.3">
      <c r="A25" s="106" t="s">
        <v>580</v>
      </c>
      <c r="B25" s="107" t="s">
        <v>480</v>
      </c>
      <c r="C25" s="118">
        <v>114.82300000000001</v>
      </c>
      <c r="D25" s="220"/>
      <c r="E25" s="237"/>
      <c r="F25" s="237"/>
      <c r="G25" s="237"/>
      <c r="H25" s="194"/>
      <c r="I25" s="194"/>
    </row>
    <row r="26" spans="1:9" x14ac:dyDescent="0.3">
      <c r="A26" s="104" t="s">
        <v>581</v>
      </c>
      <c r="B26" s="105" t="s">
        <v>480</v>
      </c>
      <c r="C26" s="117">
        <v>75.819000000000003</v>
      </c>
      <c r="D26" s="220"/>
      <c r="E26" s="87" t="s">
        <v>593</v>
      </c>
      <c r="F26" s="87" t="s">
        <v>441</v>
      </c>
      <c r="G26" s="87" t="s">
        <v>591</v>
      </c>
      <c r="H26" s="194"/>
      <c r="I26" s="194"/>
    </row>
    <row r="27" spans="1:9" x14ac:dyDescent="0.3">
      <c r="B27" s="105" t="s">
        <v>474</v>
      </c>
      <c r="C27" s="117">
        <f>SUM(C7:C26)</f>
        <v>1351.2184999999999</v>
      </c>
      <c r="D27" s="220"/>
      <c r="E27" s="89" t="s">
        <v>582</v>
      </c>
      <c r="F27" s="121" t="s">
        <v>15</v>
      </c>
      <c r="G27" s="115">
        <v>244.7</v>
      </c>
      <c r="H27" s="194"/>
      <c r="I27" s="194"/>
    </row>
  </sheetData>
  <mergeCells count="11">
    <mergeCell ref="D6:D27"/>
    <mergeCell ref="H6:I27"/>
    <mergeCell ref="E21:G25"/>
    <mergeCell ref="A1:I1"/>
    <mergeCell ref="B2:E2"/>
    <mergeCell ref="F2:G2"/>
    <mergeCell ref="B3:E3"/>
    <mergeCell ref="F3:G3"/>
    <mergeCell ref="A5:I5"/>
    <mergeCell ref="B4:E4"/>
    <mergeCell ref="F4:G4"/>
  </mergeCells>
  <pageMargins left="0.7" right="0.7" top="0.75" bottom="0.75" header="0.3" footer="0.3"/>
  <pageSetup paperSize="9" orientation="portrait" horizontalDpi="0" verticalDpi="0" r:id="rId1"/>
  <ignoredErrors>
    <ignoredError sqref="A7:G27 B6:G6" twoDigitTextYear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17"/>
  <sheetViews>
    <sheetView zoomScale="85" zoomScaleNormal="85" workbookViewId="0">
      <selection activeCell="E17" sqref="E17:G17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11.44140625" style="42" customWidth="1"/>
    <col min="4" max="4" width="2.44140625" style="42" customWidth="1"/>
    <col min="5" max="5" width="7.109375" style="42" customWidth="1"/>
    <col min="6" max="6" width="7.6640625" style="42" customWidth="1"/>
    <col min="7" max="7" width="11.5546875" style="42" customWidth="1"/>
    <col min="8" max="8" width="3.109375" style="42" customWidth="1"/>
    <col min="9" max="9" width="7.88671875" style="42" customWidth="1"/>
    <col min="10" max="10" width="7.44140625" style="42" customWidth="1"/>
    <col min="11" max="11" width="13.88671875" style="42" customWidth="1"/>
    <col min="12" max="16384" width="8.88671875" style="42"/>
  </cols>
  <sheetData>
    <row r="1" spans="1:11" ht="15" customHeight="1" x14ac:dyDescent="0.3">
      <c r="A1" s="238" t="s">
        <v>692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</row>
    <row r="2" spans="1:11" ht="15" customHeight="1" x14ac:dyDescent="0.3">
      <c r="A2" s="40" t="s">
        <v>389</v>
      </c>
      <c r="B2" s="235" t="s">
        <v>390</v>
      </c>
      <c r="C2" s="235"/>
      <c r="D2" s="235"/>
      <c r="E2" s="235"/>
      <c r="F2" s="235"/>
      <c r="G2" s="240" t="s">
        <v>391</v>
      </c>
      <c r="H2" s="241"/>
      <c r="I2" s="242"/>
      <c r="J2" s="41" t="s">
        <v>392</v>
      </c>
      <c r="K2" s="85" t="s">
        <v>393</v>
      </c>
    </row>
    <row r="3" spans="1:11" ht="37.799999999999997" customHeight="1" x14ac:dyDescent="0.3">
      <c r="A3" s="83">
        <v>1</v>
      </c>
      <c r="B3" s="236" t="s">
        <v>679</v>
      </c>
      <c r="C3" s="236"/>
      <c r="D3" s="236"/>
      <c r="E3" s="236"/>
      <c r="F3" s="236"/>
      <c r="G3" s="243" t="s">
        <v>488</v>
      </c>
      <c r="H3" s="244"/>
      <c r="I3" s="245"/>
      <c r="J3" s="83" t="s">
        <v>394</v>
      </c>
      <c r="K3" s="84">
        <f>C16+G16+K17</f>
        <v>1345.18</v>
      </c>
    </row>
    <row r="4" spans="1:11" ht="15" customHeight="1" x14ac:dyDescent="0.3">
      <c r="A4" s="231"/>
      <c r="B4" s="231"/>
      <c r="C4" s="231"/>
      <c r="D4" s="231"/>
      <c r="E4" s="231"/>
      <c r="F4" s="231"/>
      <c r="G4" s="231"/>
      <c r="H4" s="231"/>
      <c r="I4" s="231"/>
      <c r="J4" s="231"/>
      <c r="K4" s="231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31"/>
      <c r="E5" s="59" t="s">
        <v>478</v>
      </c>
      <c r="F5" s="59" t="s">
        <v>1</v>
      </c>
      <c r="G5" s="59" t="s">
        <v>477</v>
      </c>
      <c r="H5" s="246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31"/>
      <c r="E6" s="62" t="s">
        <v>451</v>
      </c>
      <c r="F6" s="63" t="s">
        <v>481</v>
      </c>
      <c r="G6" s="122">
        <v>23.4</v>
      </c>
      <c r="H6" s="246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31"/>
      <c r="E7" s="60" t="s">
        <v>452</v>
      </c>
      <c r="F7" s="61" t="s">
        <v>481</v>
      </c>
      <c r="G7" s="123">
        <v>50.9</v>
      </c>
      <c r="H7" s="246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31"/>
      <c r="E8" s="62" t="s">
        <v>453</v>
      </c>
      <c r="F8" s="63" t="s">
        <v>481</v>
      </c>
      <c r="G8" s="122">
        <v>55.8</v>
      </c>
      <c r="H8" s="246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31"/>
      <c r="E9" s="60" t="s">
        <v>454</v>
      </c>
      <c r="F9" s="61" t="s">
        <v>481</v>
      </c>
      <c r="G9" s="123">
        <v>23.01</v>
      </c>
      <c r="H9" s="246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31"/>
      <c r="E10" s="62" t="s">
        <v>455</v>
      </c>
      <c r="F10" s="63" t="s">
        <v>481</v>
      </c>
      <c r="G10" s="122">
        <v>50.45</v>
      </c>
      <c r="H10" s="246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31"/>
      <c r="E11" s="60" t="s">
        <v>456</v>
      </c>
      <c r="F11" s="61" t="s">
        <v>481</v>
      </c>
      <c r="G11" s="123">
        <v>54.22</v>
      </c>
      <c r="H11" s="246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31"/>
      <c r="E12" s="62" t="s">
        <v>458</v>
      </c>
      <c r="F12" s="63" t="s">
        <v>481</v>
      </c>
      <c r="G12" s="122">
        <v>73</v>
      </c>
      <c r="H12" s="246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31"/>
      <c r="E13" s="60" t="s">
        <v>569</v>
      </c>
      <c r="F13" s="61" t="s">
        <v>481</v>
      </c>
      <c r="G13" s="123">
        <v>6</v>
      </c>
      <c r="H13" s="246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31"/>
      <c r="E14" s="62" t="s">
        <v>459</v>
      </c>
      <c r="F14" s="63" t="s">
        <v>481</v>
      </c>
      <c r="G14" s="122">
        <v>42.4</v>
      </c>
      <c r="H14" s="246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31"/>
      <c r="E15" s="60" t="s">
        <v>460</v>
      </c>
      <c r="F15" s="61" t="s">
        <v>481</v>
      </c>
      <c r="G15" s="123">
        <v>59.6</v>
      </c>
      <c r="H15" s="246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31"/>
      <c r="E16" s="64"/>
      <c r="F16" s="65" t="s">
        <v>474</v>
      </c>
      <c r="G16" s="64">
        <f>SUM(G6:G15)</f>
        <v>438.78</v>
      </c>
      <c r="H16" s="246"/>
      <c r="I16" s="60">
        <v>3.42</v>
      </c>
      <c r="J16" s="61" t="s">
        <v>481</v>
      </c>
      <c r="K16" s="61">
        <v>59.7</v>
      </c>
    </row>
    <row r="17" spans="1:11" x14ac:dyDescent="0.3">
      <c r="A17" s="247"/>
      <c r="B17" s="247"/>
      <c r="C17" s="247"/>
      <c r="D17" s="231"/>
      <c r="E17" s="247"/>
      <c r="F17" s="247"/>
      <c r="G17" s="247"/>
      <c r="H17" s="246"/>
      <c r="I17" s="64"/>
      <c r="J17" s="65" t="s">
        <v>474</v>
      </c>
      <c r="K17" s="64">
        <f>SUM(K6:K16)</f>
        <v>513.5</v>
      </c>
    </row>
  </sheetData>
  <mergeCells count="10">
    <mergeCell ref="D5:D17"/>
    <mergeCell ref="H5:H17"/>
    <mergeCell ref="A17:C17"/>
    <mergeCell ref="E17:G17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14" sqref="D14"/>
    </sheetView>
  </sheetViews>
  <sheetFormatPr defaultRowHeight="18" x14ac:dyDescent="0.35"/>
  <cols>
    <col min="1" max="1" width="8.6640625" style="54" customWidth="1"/>
    <col min="2" max="2" width="30.6640625" style="54" customWidth="1"/>
    <col min="3" max="3" width="12.21875" style="54" customWidth="1"/>
    <col min="4" max="4" width="9.5546875" style="54" customWidth="1"/>
    <col min="5" max="5" width="11.6640625" style="54" customWidth="1"/>
    <col min="6" max="6" width="11.44140625" style="54" customWidth="1"/>
    <col min="7" max="16384" width="8.88671875" style="54"/>
  </cols>
  <sheetData>
    <row r="1" spans="1:6" x14ac:dyDescent="0.35">
      <c r="A1" s="173" t="s">
        <v>692</v>
      </c>
      <c r="B1" s="173"/>
      <c r="C1" s="173"/>
      <c r="D1" s="173"/>
      <c r="E1" s="173"/>
      <c r="F1" s="173"/>
    </row>
    <row r="2" spans="1:6" x14ac:dyDescent="0.35">
      <c r="A2" s="12" t="s">
        <v>389</v>
      </c>
      <c r="B2" s="16" t="s">
        <v>390</v>
      </c>
      <c r="C2" s="181" t="s">
        <v>391</v>
      </c>
      <c r="D2" s="182"/>
      <c r="E2" s="16" t="s">
        <v>392</v>
      </c>
      <c r="F2" s="14" t="s">
        <v>393</v>
      </c>
    </row>
    <row r="3" spans="1:6" ht="51" customHeight="1" x14ac:dyDescent="0.35">
      <c r="A3" s="17">
        <v>1</v>
      </c>
      <c r="B3" s="52" t="s">
        <v>487</v>
      </c>
      <c r="C3" s="248" t="s">
        <v>483</v>
      </c>
      <c r="D3" s="249"/>
      <c r="E3" s="53" t="s">
        <v>394</v>
      </c>
      <c r="F3" s="20">
        <f>F6+F7</f>
        <v>431.3</v>
      </c>
    </row>
    <row r="4" spans="1:6" x14ac:dyDescent="0.35">
      <c r="A4" s="252"/>
      <c r="B4" s="252"/>
      <c r="C4" s="252"/>
      <c r="D4" s="252"/>
      <c r="E4" s="252"/>
      <c r="F4" s="252"/>
    </row>
    <row r="5" spans="1:6" x14ac:dyDescent="0.35">
      <c r="A5" s="250"/>
      <c r="B5" s="251"/>
      <c r="C5" s="17" t="s">
        <v>486</v>
      </c>
      <c r="D5" s="17" t="s">
        <v>484</v>
      </c>
      <c r="E5" s="16" t="s">
        <v>392</v>
      </c>
      <c r="F5" s="14" t="s">
        <v>393</v>
      </c>
    </row>
    <row r="6" spans="1:6" x14ac:dyDescent="0.35">
      <c r="A6" s="250"/>
      <c r="B6" s="251"/>
      <c r="C6" s="17">
        <v>1</v>
      </c>
      <c r="D6" s="12" t="s">
        <v>485</v>
      </c>
      <c r="E6" s="17" t="s">
        <v>394</v>
      </c>
      <c r="F6" s="17">
        <v>357.18</v>
      </c>
    </row>
    <row r="7" spans="1:6" x14ac:dyDescent="0.35">
      <c r="A7" s="250"/>
      <c r="B7" s="251"/>
      <c r="C7" s="17">
        <v>2</v>
      </c>
      <c r="D7" s="12" t="s">
        <v>457</v>
      </c>
      <c r="E7" s="17" t="s">
        <v>394</v>
      </c>
      <c r="F7" s="17">
        <v>74.12</v>
      </c>
    </row>
  </sheetData>
  <mergeCells count="5">
    <mergeCell ref="A1:F1"/>
    <mergeCell ref="C2:D2"/>
    <mergeCell ref="C3:D3"/>
    <mergeCell ref="A5:B7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55" zoomScaleNormal="55" workbookViewId="0">
      <selection activeCell="K3" sqref="K3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7.44140625" style="42" customWidth="1"/>
    <col min="11" max="11" width="11.88671875" style="42" customWidth="1"/>
    <col min="12" max="16384" width="8.88671875" style="42"/>
  </cols>
  <sheetData>
    <row r="1" spans="1:11" ht="15" customHeight="1" x14ac:dyDescent="0.3">
      <c r="A1" s="238" t="s">
        <v>692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</row>
    <row r="2" spans="1:11" ht="15" customHeight="1" x14ac:dyDescent="0.3">
      <c r="A2" s="40" t="s">
        <v>389</v>
      </c>
      <c r="B2" s="235" t="s">
        <v>390</v>
      </c>
      <c r="C2" s="235"/>
      <c r="D2" s="235"/>
      <c r="E2" s="235"/>
      <c r="F2" s="235"/>
      <c r="G2" s="240" t="s">
        <v>391</v>
      </c>
      <c r="H2" s="241"/>
      <c r="I2" s="242"/>
      <c r="J2" s="41" t="s">
        <v>392</v>
      </c>
      <c r="K2" s="57" t="s">
        <v>393</v>
      </c>
    </row>
    <row r="3" spans="1:11" ht="59.4" customHeight="1" x14ac:dyDescent="0.3">
      <c r="A3" s="51">
        <v>1</v>
      </c>
      <c r="B3" s="236" t="s">
        <v>479</v>
      </c>
      <c r="C3" s="236"/>
      <c r="D3" s="236"/>
      <c r="E3" s="236"/>
      <c r="F3" s="236"/>
      <c r="G3" s="243" t="s">
        <v>488</v>
      </c>
      <c r="H3" s="244"/>
      <c r="I3" s="245"/>
      <c r="J3" s="55" t="s">
        <v>394</v>
      </c>
      <c r="K3" s="56">
        <f>C16+G12+K17</f>
        <v>1165</v>
      </c>
    </row>
    <row r="4" spans="1:11" ht="15" customHeight="1" x14ac:dyDescent="0.3">
      <c r="A4" s="231"/>
      <c r="B4" s="231"/>
      <c r="C4" s="231"/>
      <c r="D4" s="231"/>
      <c r="E4" s="231"/>
      <c r="F4" s="231"/>
      <c r="G4" s="231"/>
      <c r="H4" s="231"/>
      <c r="I4" s="231"/>
      <c r="J4" s="231"/>
      <c r="K4" s="231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31"/>
      <c r="E5" s="59" t="s">
        <v>478</v>
      </c>
      <c r="F5" s="59" t="s">
        <v>1</v>
      </c>
      <c r="G5" s="59" t="s">
        <v>477</v>
      </c>
      <c r="H5" s="246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31"/>
      <c r="E6" s="62">
        <v>2.37</v>
      </c>
      <c r="F6" s="63" t="s">
        <v>481</v>
      </c>
      <c r="G6" s="63">
        <v>21.6</v>
      </c>
      <c r="H6" s="246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31"/>
      <c r="E7" s="60">
        <v>2.4</v>
      </c>
      <c r="F7" s="61" t="s">
        <v>481</v>
      </c>
      <c r="G7" s="61">
        <v>51.3</v>
      </c>
      <c r="H7" s="246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31"/>
      <c r="E8" s="62">
        <v>2.41</v>
      </c>
      <c r="F8" s="63" t="s">
        <v>481</v>
      </c>
      <c r="G8" s="63">
        <v>56.6</v>
      </c>
      <c r="H8" s="246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31"/>
      <c r="E9" s="60">
        <v>2.42</v>
      </c>
      <c r="F9" s="61" t="s">
        <v>481</v>
      </c>
      <c r="G9" s="61">
        <v>21.5</v>
      </c>
      <c r="H9" s="246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31"/>
      <c r="E10" s="62">
        <v>2.44</v>
      </c>
      <c r="F10" s="63" t="s">
        <v>481</v>
      </c>
      <c r="G10" s="63">
        <v>51.3</v>
      </c>
      <c r="H10" s="246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31"/>
      <c r="E11" s="60">
        <v>2.4500000000000002</v>
      </c>
      <c r="F11" s="61" t="s">
        <v>481</v>
      </c>
      <c r="G11" s="61">
        <v>56.3</v>
      </c>
      <c r="H11" s="246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31"/>
      <c r="E12" s="64"/>
      <c r="F12" s="65" t="s">
        <v>474</v>
      </c>
      <c r="G12" s="64">
        <f>SUM(G6:G11)</f>
        <v>258.60000000000002</v>
      </c>
      <c r="H12" s="246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31"/>
      <c r="E13" s="247"/>
      <c r="F13" s="247"/>
      <c r="G13" s="247"/>
      <c r="H13" s="246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31"/>
      <c r="E14" s="253"/>
      <c r="F14" s="253"/>
      <c r="G14" s="253"/>
      <c r="H14" s="246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31"/>
      <c r="E15" s="253"/>
      <c r="F15" s="253"/>
      <c r="G15" s="253"/>
      <c r="H15" s="246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31"/>
      <c r="E16" s="253"/>
      <c r="F16" s="253"/>
      <c r="G16" s="253"/>
      <c r="H16" s="246"/>
      <c r="I16" s="60">
        <v>3.42</v>
      </c>
      <c r="J16" s="61" t="s">
        <v>481</v>
      </c>
      <c r="K16" s="61">
        <v>59.7</v>
      </c>
    </row>
    <row r="17" spans="1:11" x14ac:dyDescent="0.3">
      <c r="A17" s="247"/>
      <c r="B17" s="247"/>
      <c r="C17" s="247"/>
      <c r="D17" s="231"/>
      <c r="E17" s="253"/>
      <c r="F17" s="253"/>
      <c r="G17" s="253"/>
      <c r="H17" s="246"/>
      <c r="I17" s="64"/>
      <c r="J17" s="65" t="s">
        <v>474</v>
      </c>
      <c r="K17" s="64">
        <f>SUM(K6:K16)</f>
        <v>513.5</v>
      </c>
    </row>
  </sheetData>
  <mergeCells count="10">
    <mergeCell ref="A1:K1"/>
    <mergeCell ref="G2:I2"/>
    <mergeCell ref="G3:I3"/>
    <mergeCell ref="A4:K4"/>
    <mergeCell ref="E13:G17"/>
    <mergeCell ref="H5:H17"/>
    <mergeCell ref="D5:D17"/>
    <mergeCell ref="A17:C17"/>
    <mergeCell ref="B2:F2"/>
    <mergeCell ref="B3:F3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58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zoomScale="85" zoomScaleNormal="85" workbookViewId="0">
      <selection activeCell="I23" sqref="I23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10.777343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54" t="s">
        <v>692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</row>
    <row r="2" spans="1:11" ht="15" customHeight="1" x14ac:dyDescent="0.35">
      <c r="A2" s="12" t="s">
        <v>389</v>
      </c>
      <c r="B2" s="191" t="s">
        <v>390</v>
      </c>
      <c r="C2" s="191"/>
      <c r="D2" s="191"/>
      <c r="E2" s="191"/>
      <c r="F2" s="191"/>
      <c r="G2" s="181" t="s">
        <v>391</v>
      </c>
      <c r="H2" s="196"/>
      <c r="I2" s="182"/>
      <c r="J2" s="16" t="s">
        <v>392</v>
      </c>
      <c r="K2" s="14" t="s">
        <v>393</v>
      </c>
    </row>
    <row r="3" spans="1:11" ht="73.2" customHeight="1" x14ac:dyDescent="0.35">
      <c r="A3" s="58">
        <v>1</v>
      </c>
      <c r="B3" s="189" t="s">
        <v>438</v>
      </c>
      <c r="C3" s="189"/>
      <c r="D3" s="189"/>
      <c r="E3" s="189"/>
      <c r="F3" s="189"/>
      <c r="G3" s="183" t="s">
        <v>428</v>
      </c>
      <c r="H3" s="229"/>
      <c r="I3" s="230"/>
      <c r="J3" s="58" t="s">
        <v>394</v>
      </c>
      <c r="K3" s="76">
        <f>C12+G19+K15</f>
        <v>256.52</v>
      </c>
    </row>
    <row r="4" spans="1:11" ht="73.2" customHeight="1" x14ac:dyDescent="0.35">
      <c r="A4" s="66">
        <v>1</v>
      </c>
      <c r="B4" s="189" t="s">
        <v>438</v>
      </c>
      <c r="C4" s="189"/>
      <c r="D4" s="189"/>
      <c r="E4" s="189"/>
      <c r="F4" s="189"/>
      <c r="G4" s="183" t="s">
        <v>533</v>
      </c>
      <c r="H4" s="229"/>
      <c r="I4" s="230"/>
      <c r="J4" s="66" t="s">
        <v>394</v>
      </c>
      <c r="K4" s="76">
        <f>C24+G24+K24</f>
        <v>27.87</v>
      </c>
    </row>
    <row r="5" spans="1:11" ht="15" customHeight="1" x14ac:dyDescent="0.35">
      <c r="A5" s="252"/>
      <c r="B5" s="252"/>
      <c r="C5" s="252"/>
      <c r="D5" s="252"/>
      <c r="E5" s="252"/>
      <c r="F5" s="252"/>
      <c r="G5" s="252"/>
      <c r="H5" s="252"/>
      <c r="I5" s="252"/>
      <c r="J5" s="252"/>
      <c r="K5" s="252"/>
    </row>
    <row r="6" spans="1:11" ht="32.4" customHeight="1" x14ac:dyDescent="0.35">
      <c r="A6" s="67" t="s">
        <v>478</v>
      </c>
      <c r="B6" s="67" t="s">
        <v>1</v>
      </c>
      <c r="C6" s="67" t="s">
        <v>477</v>
      </c>
      <c r="D6" s="251"/>
      <c r="E6" s="67" t="s">
        <v>478</v>
      </c>
      <c r="F6" s="67" t="s">
        <v>1</v>
      </c>
      <c r="G6" s="67" t="s">
        <v>477</v>
      </c>
      <c r="H6" s="257"/>
      <c r="I6" s="67" t="s">
        <v>478</v>
      </c>
      <c r="J6" s="67" t="s">
        <v>1</v>
      </c>
      <c r="K6" s="67" t="s">
        <v>477</v>
      </c>
    </row>
    <row r="7" spans="1:11" x14ac:dyDescent="0.35">
      <c r="A7" s="68" t="s">
        <v>489</v>
      </c>
      <c r="B7" s="69" t="s">
        <v>429</v>
      </c>
      <c r="C7" s="69">
        <v>5.01</v>
      </c>
      <c r="D7" s="251"/>
      <c r="E7" s="70" t="s">
        <v>494</v>
      </c>
      <c r="F7" s="71" t="s">
        <v>429</v>
      </c>
      <c r="G7" s="71">
        <v>6.47</v>
      </c>
      <c r="H7" s="257"/>
      <c r="I7" s="68" t="s">
        <v>506</v>
      </c>
      <c r="J7" s="69" t="s">
        <v>429</v>
      </c>
      <c r="K7" s="69">
        <v>5.6</v>
      </c>
    </row>
    <row r="8" spans="1:11" x14ac:dyDescent="0.35">
      <c r="A8" s="70" t="s">
        <v>490</v>
      </c>
      <c r="B8" s="71" t="s">
        <v>429</v>
      </c>
      <c r="C8" s="71">
        <v>3.76</v>
      </c>
      <c r="D8" s="251"/>
      <c r="E8" s="68" t="s">
        <v>497</v>
      </c>
      <c r="F8" s="69" t="s">
        <v>429</v>
      </c>
      <c r="G8" s="69">
        <v>10.18</v>
      </c>
      <c r="H8" s="257"/>
      <c r="I8" s="70" t="s">
        <v>507</v>
      </c>
      <c r="J8" s="71" t="s">
        <v>429</v>
      </c>
      <c r="K8" s="71">
        <v>11.7</v>
      </c>
    </row>
    <row r="9" spans="1:11" x14ac:dyDescent="0.35">
      <c r="A9" s="68" t="s">
        <v>491</v>
      </c>
      <c r="B9" s="69" t="s">
        <v>429</v>
      </c>
      <c r="C9" s="69">
        <v>10.18</v>
      </c>
      <c r="D9" s="251"/>
      <c r="E9" s="70" t="s">
        <v>495</v>
      </c>
      <c r="F9" s="71" t="s">
        <v>429</v>
      </c>
      <c r="G9" s="71">
        <v>10.23</v>
      </c>
      <c r="H9" s="257"/>
      <c r="I9" s="68" t="s">
        <v>508</v>
      </c>
      <c r="J9" s="69" t="s">
        <v>429</v>
      </c>
      <c r="K9" s="69">
        <v>29.24</v>
      </c>
    </row>
    <row r="10" spans="1:11" x14ac:dyDescent="0.35">
      <c r="A10" s="70" t="s">
        <v>492</v>
      </c>
      <c r="B10" s="71" t="s">
        <v>429</v>
      </c>
      <c r="C10" s="71">
        <v>5.14</v>
      </c>
      <c r="D10" s="251"/>
      <c r="E10" s="68" t="s">
        <v>496</v>
      </c>
      <c r="F10" s="69" t="s">
        <v>429</v>
      </c>
      <c r="G10" s="69">
        <v>5.24</v>
      </c>
      <c r="H10" s="257"/>
      <c r="I10" s="70" t="s">
        <v>509</v>
      </c>
      <c r="J10" s="71" t="s">
        <v>429</v>
      </c>
      <c r="K10" s="71">
        <v>6.49</v>
      </c>
    </row>
    <row r="11" spans="1:11" x14ac:dyDescent="0.35">
      <c r="A11" s="68" t="s">
        <v>493</v>
      </c>
      <c r="B11" s="69" t="s">
        <v>429</v>
      </c>
      <c r="C11" s="69">
        <v>10.23</v>
      </c>
      <c r="D11" s="251"/>
      <c r="E11" s="70" t="s">
        <v>498</v>
      </c>
      <c r="F11" s="71" t="s">
        <v>429</v>
      </c>
      <c r="G11" s="71">
        <v>5.1100000000000003</v>
      </c>
      <c r="H11" s="257"/>
      <c r="I11" s="68" t="s">
        <v>510</v>
      </c>
      <c r="J11" s="69" t="s">
        <v>429</v>
      </c>
      <c r="K11" s="69">
        <v>5.48</v>
      </c>
    </row>
    <row r="12" spans="1:11" x14ac:dyDescent="0.35">
      <c r="A12" s="72"/>
      <c r="B12" s="73" t="s">
        <v>474</v>
      </c>
      <c r="C12" s="74">
        <f>SUM(C7:C11)</f>
        <v>34.32</v>
      </c>
      <c r="D12" s="251"/>
      <c r="E12" s="68" t="s">
        <v>499</v>
      </c>
      <c r="F12" s="69" t="s">
        <v>429</v>
      </c>
      <c r="G12" s="69">
        <v>11.06</v>
      </c>
      <c r="H12" s="257"/>
      <c r="I12" s="70" t="s">
        <v>511</v>
      </c>
      <c r="J12" s="71" t="s">
        <v>429</v>
      </c>
      <c r="K12" s="71">
        <v>10.53</v>
      </c>
    </row>
    <row r="13" spans="1:11" x14ac:dyDescent="0.35">
      <c r="A13" s="252"/>
      <c r="B13" s="252"/>
      <c r="C13" s="252"/>
      <c r="D13" s="251"/>
      <c r="E13" s="70" t="s">
        <v>500</v>
      </c>
      <c r="F13" s="71" t="s">
        <v>429</v>
      </c>
      <c r="G13" s="71">
        <v>11.17</v>
      </c>
      <c r="H13" s="257"/>
      <c r="I13" s="68" t="s">
        <v>512</v>
      </c>
      <c r="J13" s="69" t="s">
        <v>429</v>
      </c>
      <c r="K13" s="69">
        <v>10.56</v>
      </c>
    </row>
    <row r="14" spans="1:11" x14ac:dyDescent="0.35">
      <c r="A14" s="256"/>
      <c r="B14" s="256"/>
      <c r="C14" s="256"/>
      <c r="D14" s="251"/>
      <c r="E14" s="68" t="s">
        <v>501</v>
      </c>
      <c r="F14" s="69" t="s">
        <v>429</v>
      </c>
      <c r="G14" s="69">
        <v>13.28</v>
      </c>
      <c r="H14" s="257"/>
      <c r="I14" s="70" t="s">
        <v>513</v>
      </c>
      <c r="J14" s="71" t="s">
        <v>429</v>
      </c>
      <c r="K14" s="71">
        <v>8.51</v>
      </c>
    </row>
    <row r="15" spans="1:11" x14ac:dyDescent="0.35">
      <c r="A15" s="256"/>
      <c r="B15" s="256"/>
      <c r="C15" s="256"/>
      <c r="D15" s="251"/>
      <c r="E15" s="70" t="s">
        <v>502</v>
      </c>
      <c r="F15" s="71" t="s">
        <v>429</v>
      </c>
      <c r="G15" s="71">
        <v>8.24</v>
      </c>
      <c r="H15" s="257"/>
      <c r="I15" s="72"/>
      <c r="J15" s="73" t="s">
        <v>474</v>
      </c>
      <c r="K15" s="74">
        <f>SUM(K7:K14)</f>
        <v>88.11</v>
      </c>
    </row>
    <row r="16" spans="1:11" x14ac:dyDescent="0.35">
      <c r="A16" s="256"/>
      <c r="B16" s="256"/>
      <c r="C16" s="256"/>
      <c r="D16" s="251"/>
      <c r="E16" s="68" t="s">
        <v>503</v>
      </c>
      <c r="F16" s="69" t="s">
        <v>429</v>
      </c>
      <c r="G16" s="69">
        <v>10.49</v>
      </c>
      <c r="H16" s="257"/>
      <c r="I16" s="252"/>
      <c r="J16" s="252"/>
      <c r="K16" s="252"/>
    </row>
    <row r="17" spans="1:11" x14ac:dyDescent="0.35">
      <c r="A17" s="256"/>
      <c r="B17" s="256"/>
      <c r="C17" s="256"/>
      <c r="D17" s="251"/>
      <c r="E17" s="70" t="s">
        <v>504</v>
      </c>
      <c r="F17" s="71" t="s">
        <v>429</v>
      </c>
      <c r="G17" s="71">
        <v>11.84</v>
      </c>
      <c r="H17" s="257"/>
      <c r="I17" s="256"/>
      <c r="J17" s="256"/>
      <c r="K17" s="256"/>
    </row>
    <row r="18" spans="1:11" x14ac:dyDescent="0.35">
      <c r="A18" s="256"/>
      <c r="B18" s="256"/>
      <c r="C18" s="256"/>
      <c r="D18" s="251"/>
      <c r="E18" s="68" t="s">
        <v>505</v>
      </c>
      <c r="F18" s="69" t="s">
        <v>429</v>
      </c>
      <c r="G18" s="69">
        <v>30.78</v>
      </c>
      <c r="H18" s="257"/>
      <c r="I18" s="256"/>
      <c r="J18" s="256"/>
      <c r="K18" s="256"/>
    </row>
    <row r="19" spans="1:11" x14ac:dyDescent="0.35">
      <c r="A19" s="256"/>
      <c r="B19" s="256"/>
      <c r="C19" s="256"/>
      <c r="D19" s="251"/>
      <c r="E19" s="72"/>
      <c r="F19" s="73" t="s">
        <v>474</v>
      </c>
      <c r="G19" s="74">
        <f>SUM(G7:G18)</f>
        <v>134.08999999999997</v>
      </c>
      <c r="H19" s="257"/>
      <c r="I19" s="256"/>
      <c r="J19" s="256"/>
      <c r="K19" s="256"/>
    </row>
    <row r="20" spans="1:11" x14ac:dyDescent="0.35">
      <c r="A20" s="250"/>
      <c r="B20" s="250"/>
      <c r="C20" s="250"/>
      <c r="D20" s="250"/>
      <c r="E20" s="250"/>
      <c r="F20" s="250"/>
      <c r="G20" s="250"/>
      <c r="H20" s="250"/>
      <c r="I20" s="250"/>
      <c r="J20" s="250"/>
      <c r="K20" s="250"/>
    </row>
    <row r="21" spans="1:11" ht="46.8" x14ac:dyDescent="0.35">
      <c r="A21" s="59" t="s">
        <v>478</v>
      </c>
      <c r="B21" s="59" t="s">
        <v>1</v>
      </c>
      <c r="C21" s="59" t="s">
        <v>477</v>
      </c>
      <c r="D21" s="255"/>
      <c r="E21" s="59" t="s">
        <v>478</v>
      </c>
      <c r="F21" s="59" t="s">
        <v>1</v>
      </c>
      <c r="G21" s="59" t="s">
        <v>477</v>
      </c>
      <c r="H21" s="255"/>
      <c r="I21" s="59" t="s">
        <v>478</v>
      </c>
      <c r="J21" s="59" t="s">
        <v>1</v>
      </c>
      <c r="K21" s="59" t="s">
        <v>477</v>
      </c>
    </row>
    <row r="22" spans="1:11" x14ac:dyDescent="0.35">
      <c r="A22" s="81" t="s">
        <v>491</v>
      </c>
      <c r="B22" s="61" t="s">
        <v>430</v>
      </c>
      <c r="C22" s="61">
        <v>4.7300000000000004</v>
      </c>
      <c r="D22" s="255"/>
      <c r="E22" s="81" t="s">
        <v>497</v>
      </c>
      <c r="F22" s="61" t="s">
        <v>430</v>
      </c>
      <c r="G22" s="61">
        <v>4.58</v>
      </c>
      <c r="H22" s="255"/>
      <c r="I22" s="81" t="s">
        <v>511</v>
      </c>
      <c r="J22" s="61" t="s">
        <v>430</v>
      </c>
      <c r="K22" s="61">
        <v>4.6900000000000004</v>
      </c>
    </row>
    <row r="23" spans="1:11" x14ac:dyDescent="0.35">
      <c r="A23" s="81" t="s">
        <v>493</v>
      </c>
      <c r="B23" s="61" t="s">
        <v>430</v>
      </c>
      <c r="C23" s="61">
        <v>4.62</v>
      </c>
      <c r="D23" s="255"/>
      <c r="E23" s="81" t="s">
        <v>495</v>
      </c>
      <c r="F23" s="61" t="s">
        <v>430</v>
      </c>
      <c r="G23" s="61">
        <v>4.62</v>
      </c>
      <c r="H23" s="255"/>
      <c r="I23" s="81" t="s">
        <v>512</v>
      </c>
      <c r="J23" s="61" t="s">
        <v>430</v>
      </c>
      <c r="K23" s="61">
        <v>4.63</v>
      </c>
    </row>
    <row r="24" spans="1:11" x14ac:dyDescent="0.35">
      <c r="A24" s="82"/>
      <c r="B24" s="65" t="s">
        <v>474</v>
      </c>
      <c r="C24" s="64">
        <f>SUM(C22:C23)</f>
        <v>9.3500000000000014</v>
      </c>
      <c r="D24" s="255"/>
      <c r="E24" s="82"/>
      <c r="F24" s="65" t="s">
        <v>474</v>
      </c>
      <c r="G24" s="64">
        <f>SUM(G22:G23)</f>
        <v>9.1999999999999993</v>
      </c>
      <c r="H24" s="255"/>
      <c r="I24" s="82"/>
      <c r="J24" s="65" t="s">
        <v>474</v>
      </c>
      <c r="K24" s="64">
        <f>SUM(K22:K23)</f>
        <v>9.32</v>
      </c>
    </row>
  </sheetData>
  <mergeCells count="15">
    <mergeCell ref="B4:F4"/>
    <mergeCell ref="G4:I4"/>
    <mergeCell ref="A20:K20"/>
    <mergeCell ref="H21:H24"/>
    <mergeCell ref="D21:D24"/>
    <mergeCell ref="A5:K5"/>
    <mergeCell ref="A13:C19"/>
    <mergeCell ref="D6:D19"/>
    <mergeCell ref="H6:H19"/>
    <mergeCell ref="I16:K19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zoomScale="55" zoomScaleNormal="55" workbookViewId="0">
      <selection activeCell="P19" sqref="P19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9.886718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54" t="s">
        <v>692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</row>
    <row r="2" spans="1:11" ht="15" customHeight="1" x14ac:dyDescent="0.35">
      <c r="A2" s="12" t="s">
        <v>389</v>
      </c>
      <c r="B2" s="191" t="s">
        <v>390</v>
      </c>
      <c r="C2" s="191"/>
      <c r="D2" s="191"/>
      <c r="E2" s="191"/>
      <c r="F2" s="191"/>
      <c r="G2" s="181" t="s">
        <v>391</v>
      </c>
      <c r="H2" s="196"/>
      <c r="I2" s="182"/>
      <c r="J2" s="16" t="s">
        <v>392</v>
      </c>
      <c r="K2" s="14" t="s">
        <v>393</v>
      </c>
    </row>
    <row r="3" spans="1:11" ht="73.2" customHeight="1" x14ac:dyDescent="0.35">
      <c r="A3" s="66">
        <v>1</v>
      </c>
      <c r="B3" s="189" t="s">
        <v>438</v>
      </c>
      <c r="C3" s="189"/>
      <c r="D3" s="189"/>
      <c r="E3" s="189"/>
      <c r="F3" s="189"/>
      <c r="G3" s="183" t="s">
        <v>534</v>
      </c>
      <c r="H3" s="229"/>
      <c r="I3" s="230"/>
      <c r="J3" s="66" t="s">
        <v>394</v>
      </c>
      <c r="K3" s="76">
        <f>C25+G8</f>
        <v>678.8599999999999</v>
      </c>
    </row>
    <row r="4" spans="1:11" ht="15" customHeight="1" x14ac:dyDescent="0.35">
      <c r="A4" s="252"/>
      <c r="B4" s="252"/>
      <c r="C4" s="252"/>
      <c r="D4" s="252"/>
      <c r="E4" s="252"/>
      <c r="F4" s="252"/>
      <c r="G4" s="252"/>
      <c r="H4" s="252"/>
      <c r="I4" s="252"/>
      <c r="J4" s="252"/>
      <c r="K4" s="252"/>
    </row>
    <row r="5" spans="1:11" ht="32.4" customHeight="1" x14ac:dyDescent="0.35">
      <c r="A5" s="67" t="s">
        <v>478</v>
      </c>
      <c r="B5" s="67" t="s">
        <v>1</v>
      </c>
      <c r="C5" s="67" t="s">
        <v>477</v>
      </c>
      <c r="D5" s="257"/>
      <c r="E5" s="67" t="s">
        <v>478</v>
      </c>
      <c r="F5" s="67" t="s">
        <v>1</v>
      </c>
      <c r="G5" s="67" t="s">
        <v>477</v>
      </c>
      <c r="H5" s="257"/>
      <c r="I5" s="256"/>
      <c r="J5" s="256"/>
      <c r="K5" s="256"/>
    </row>
    <row r="6" spans="1:11" x14ac:dyDescent="0.35">
      <c r="A6" s="70" t="s">
        <v>514</v>
      </c>
      <c r="B6" s="71"/>
      <c r="C6" s="77">
        <v>257.98</v>
      </c>
      <c r="D6" s="257"/>
      <c r="E6" s="70" t="s">
        <v>514</v>
      </c>
      <c r="F6" s="71"/>
      <c r="G6" s="77">
        <v>57.94</v>
      </c>
      <c r="H6" s="257"/>
      <c r="I6" s="256"/>
      <c r="J6" s="256"/>
      <c r="K6" s="256"/>
    </row>
    <row r="7" spans="1:11" x14ac:dyDescent="0.35">
      <c r="A7" s="68" t="s">
        <v>515</v>
      </c>
      <c r="B7" s="69"/>
      <c r="C7" s="78">
        <v>98.23</v>
      </c>
      <c r="D7" s="257"/>
      <c r="E7" s="68" t="s">
        <v>532</v>
      </c>
      <c r="F7" s="69"/>
      <c r="G7" s="78">
        <v>14.96</v>
      </c>
      <c r="H7" s="257"/>
      <c r="I7" s="256"/>
      <c r="J7" s="256"/>
      <c r="K7" s="256"/>
    </row>
    <row r="8" spans="1:11" x14ac:dyDescent="0.35">
      <c r="A8" s="70" t="s">
        <v>516</v>
      </c>
      <c r="B8" s="71"/>
      <c r="C8" s="77">
        <v>10.039999999999999</v>
      </c>
      <c r="D8" s="257"/>
      <c r="E8" s="79"/>
      <c r="F8" s="80" t="s">
        <v>474</v>
      </c>
      <c r="G8" s="79">
        <f>SUM(G6:G7)</f>
        <v>72.900000000000006</v>
      </c>
      <c r="H8" s="257"/>
      <c r="I8" s="256"/>
      <c r="J8" s="256"/>
      <c r="K8" s="256"/>
    </row>
    <row r="9" spans="1:11" x14ac:dyDescent="0.35">
      <c r="A9" s="68" t="s">
        <v>517</v>
      </c>
      <c r="B9" s="69"/>
      <c r="C9" s="78">
        <v>10.51</v>
      </c>
      <c r="D9" s="257"/>
      <c r="E9" s="256"/>
      <c r="F9" s="256"/>
      <c r="G9" s="256"/>
      <c r="H9" s="256"/>
      <c r="I9" s="256"/>
      <c r="J9" s="256"/>
      <c r="K9" s="256"/>
    </row>
    <row r="10" spans="1:11" x14ac:dyDescent="0.35">
      <c r="A10" s="70" t="s">
        <v>444</v>
      </c>
      <c r="B10" s="71"/>
      <c r="C10" s="77">
        <v>10.06</v>
      </c>
      <c r="D10" s="257"/>
      <c r="E10" s="256"/>
      <c r="F10" s="256"/>
      <c r="G10" s="256"/>
      <c r="H10" s="256"/>
      <c r="I10" s="256"/>
      <c r="J10" s="256"/>
      <c r="K10" s="256"/>
    </row>
    <row r="11" spans="1:11" x14ac:dyDescent="0.35">
      <c r="A11" s="68" t="s">
        <v>518</v>
      </c>
      <c r="B11" s="69"/>
      <c r="C11" s="78">
        <v>98.59</v>
      </c>
      <c r="D11" s="257"/>
      <c r="E11" s="256"/>
      <c r="F11" s="256"/>
      <c r="G11" s="256"/>
      <c r="H11" s="256"/>
      <c r="I11" s="256"/>
      <c r="J11" s="256"/>
      <c r="K11" s="256"/>
    </row>
    <row r="12" spans="1:11" x14ac:dyDescent="0.35">
      <c r="A12" s="70" t="s">
        <v>519</v>
      </c>
      <c r="B12" s="71"/>
      <c r="C12" s="77">
        <v>7.25</v>
      </c>
      <c r="D12" s="257"/>
      <c r="E12" s="256"/>
      <c r="F12" s="256"/>
      <c r="G12" s="256"/>
      <c r="H12" s="256"/>
      <c r="I12" s="256"/>
      <c r="J12" s="256"/>
      <c r="K12" s="256"/>
    </row>
    <row r="13" spans="1:11" x14ac:dyDescent="0.35">
      <c r="A13" s="68" t="s">
        <v>520</v>
      </c>
      <c r="B13" s="69"/>
      <c r="C13" s="78">
        <v>5.76</v>
      </c>
      <c r="D13" s="257"/>
      <c r="E13" s="256"/>
      <c r="F13" s="256"/>
      <c r="G13" s="256"/>
      <c r="H13" s="256"/>
      <c r="I13" s="256"/>
      <c r="J13" s="256"/>
      <c r="K13" s="256"/>
    </row>
    <row r="14" spans="1:11" x14ac:dyDescent="0.35">
      <c r="A14" s="70" t="s">
        <v>521</v>
      </c>
      <c r="B14" s="71"/>
      <c r="C14" s="77">
        <v>20</v>
      </c>
      <c r="D14" s="257"/>
      <c r="E14" s="256"/>
      <c r="F14" s="256"/>
      <c r="G14" s="256"/>
      <c r="H14" s="256"/>
      <c r="I14" s="256"/>
      <c r="J14" s="256"/>
      <c r="K14" s="256"/>
    </row>
    <row r="15" spans="1:11" x14ac:dyDescent="0.35">
      <c r="A15" s="68" t="s">
        <v>522</v>
      </c>
      <c r="B15" s="69"/>
      <c r="C15" s="78">
        <v>13.53</v>
      </c>
      <c r="D15" s="257"/>
      <c r="E15" s="256"/>
      <c r="F15" s="256"/>
      <c r="G15" s="256"/>
      <c r="H15" s="256"/>
      <c r="I15" s="256"/>
      <c r="J15" s="256"/>
      <c r="K15" s="256"/>
    </row>
    <row r="16" spans="1:11" x14ac:dyDescent="0.35">
      <c r="A16" s="70" t="s">
        <v>523</v>
      </c>
      <c r="B16" s="71"/>
      <c r="C16" s="77">
        <v>13.3</v>
      </c>
      <c r="D16" s="257"/>
      <c r="E16" s="256"/>
      <c r="F16" s="256"/>
      <c r="G16" s="256"/>
      <c r="H16" s="256"/>
      <c r="I16" s="256"/>
      <c r="J16" s="256"/>
      <c r="K16" s="256"/>
    </row>
    <row r="17" spans="1:11" x14ac:dyDescent="0.35">
      <c r="A17" s="68" t="s">
        <v>524</v>
      </c>
      <c r="B17" s="69"/>
      <c r="C17" s="78">
        <v>11.67</v>
      </c>
      <c r="D17" s="257"/>
      <c r="E17" s="256"/>
      <c r="F17" s="256"/>
      <c r="G17" s="256"/>
      <c r="H17" s="256"/>
      <c r="I17" s="256"/>
      <c r="J17" s="256"/>
      <c r="K17" s="256"/>
    </row>
    <row r="18" spans="1:11" x14ac:dyDescent="0.35">
      <c r="A18" s="70" t="s">
        <v>525</v>
      </c>
      <c r="B18" s="71"/>
      <c r="C18" s="77">
        <v>9.7200000000000006</v>
      </c>
      <c r="D18" s="257"/>
      <c r="E18" s="256"/>
      <c r="F18" s="256"/>
      <c r="G18" s="256"/>
      <c r="H18" s="256"/>
      <c r="I18" s="256"/>
      <c r="J18" s="256"/>
      <c r="K18" s="256"/>
    </row>
    <row r="19" spans="1:11" x14ac:dyDescent="0.35">
      <c r="A19" s="68" t="s">
        <v>526</v>
      </c>
      <c r="B19" s="69"/>
      <c r="C19" s="78">
        <v>3.38</v>
      </c>
      <c r="D19" s="257"/>
      <c r="E19" s="256"/>
      <c r="F19" s="256"/>
      <c r="G19" s="256"/>
      <c r="H19" s="256"/>
      <c r="I19" s="256"/>
      <c r="J19" s="256"/>
      <c r="K19" s="256"/>
    </row>
    <row r="20" spans="1:11" x14ac:dyDescent="0.35">
      <c r="A20" s="70" t="s">
        <v>527</v>
      </c>
      <c r="B20" s="71"/>
      <c r="C20" s="77">
        <v>3.04</v>
      </c>
      <c r="D20" s="257"/>
      <c r="E20" s="256"/>
      <c r="F20" s="256"/>
      <c r="G20" s="256"/>
      <c r="H20" s="256"/>
      <c r="I20" s="256"/>
      <c r="J20" s="256"/>
      <c r="K20" s="256"/>
    </row>
    <row r="21" spans="1:11" x14ac:dyDescent="0.35">
      <c r="A21" s="68" t="s">
        <v>528</v>
      </c>
      <c r="B21" s="69"/>
      <c r="C21" s="78">
        <v>2.85</v>
      </c>
      <c r="D21" s="257"/>
      <c r="E21" s="256"/>
      <c r="F21" s="256"/>
      <c r="G21" s="256"/>
      <c r="H21" s="256"/>
      <c r="I21" s="256"/>
      <c r="J21" s="256"/>
      <c r="K21" s="256"/>
    </row>
    <row r="22" spans="1:11" x14ac:dyDescent="0.35">
      <c r="A22" s="70" t="s">
        <v>529</v>
      </c>
      <c r="B22" s="71"/>
      <c r="C22" s="77">
        <v>9.0399999999999991</v>
      </c>
      <c r="D22" s="257"/>
      <c r="E22" s="256"/>
      <c r="F22" s="256"/>
      <c r="G22" s="256"/>
      <c r="H22" s="256"/>
      <c r="I22" s="256"/>
      <c r="J22" s="256"/>
      <c r="K22" s="256"/>
    </row>
    <row r="23" spans="1:11" x14ac:dyDescent="0.35">
      <c r="A23" s="68" t="s">
        <v>530</v>
      </c>
      <c r="B23" s="69"/>
      <c r="C23" s="78">
        <v>16.38</v>
      </c>
      <c r="D23" s="257"/>
      <c r="E23" s="256"/>
      <c r="F23" s="256"/>
      <c r="G23" s="256"/>
      <c r="H23" s="256"/>
      <c r="I23" s="256"/>
      <c r="J23" s="256"/>
      <c r="K23" s="256"/>
    </row>
    <row r="24" spans="1:11" x14ac:dyDescent="0.35">
      <c r="A24" s="70" t="s">
        <v>531</v>
      </c>
      <c r="B24" s="71"/>
      <c r="C24" s="77">
        <v>4.63</v>
      </c>
      <c r="D24" s="257"/>
      <c r="E24" s="256"/>
      <c r="F24" s="256"/>
      <c r="G24" s="256"/>
      <c r="H24" s="256"/>
      <c r="I24" s="256"/>
      <c r="J24" s="256"/>
      <c r="K24" s="256"/>
    </row>
    <row r="25" spans="1:11" x14ac:dyDescent="0.35">
      <c r="A25" s="72"/>
      <c r="B25" s="73" t="s">
        <v>474</v>
      </c>
      <c r="C25" s="79">
        <f>SUM(C6:C24)</f>
        <v>605.95999999999992</v>
      </c>
      <c r="D25" s="257"/>
      <c r="E25" s="256"/>
      <c r="F25" s="256"/>
      <c r="G25" s="256"/>
      <c r="H25" s="256"/>
      <c r="I25" s="256"/>
      <c r="J25" s="256"/>
      <c r="K25" s="256"/>
    </row>
  </sheetData>
  <mergeCells count="9">
    <mergeCell ref="H5:K25"/>
    <mergeCell ref="E9:G25"/>
    <mergeCell ref="D5:D25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50</vt:i4>
      </vt:variant>
    </vt:vector>
  </HeadingPairs>
  <TitlesOfParts>
    <vt:vector size="50" baseType="lpstr">
      <vt:lpstr>6.4Гр</vt:lpstr>
      <vt:lpstr>6.3ПлинКер</vt:lpstr>
      <vt:lpstr>6.2Плинт</vt:lpstr>
      <vt:lpstr>6.1НалПл</vt:lpstr>
      <vt:lpstr>Общ</vt:lpstr>
      <vt:lpstr>469</vt:lpstr>
      <vt:lpstr>459</vt:lpstr>
      <vt:lpstr>454</vt:lpstr>
      <vt:lpstr>449</vt:lpstr>
      <vt:lpstr>414</vt:lpstr>
      <vt:lpstr>409</vt:lpstr>
      <vt:lpstr>389</vt:lpstr>
      <vt:lpstr>370</vt:lpstr>
      <vt:lpstr>346</vt:lpstr>
      <vt:lpstr>336</vt:lpstr>
      <vt:lpstr>284</vt:lpstr>
      <vt:lpstr>211</vt:lpstr>
      <vt:lpstr>209</vt:lpstr>
      <vt:lpstr>207</vt:lpstr>
      <vt:lpstr>196 (2)</vt:lpstr>
      <vt:lpstr>196</vt:lpstr>
      <vt:lpstr>192</vt:lpstr>
      <vt:lpstr>188</vt:lpstr>
      <vt:lpstr>183</vt:lpstr>
      <vt:lpstr>179</vt:lpstr>
      <vt:lpstr>175</vt:lpstr>
      <vt:lpstr>170</vt:lpstr>
      <vt:lpstr>168пдвл</vt:lpstr>
      <vt:lpstr>ВОР</vt:lpstr>
      <vt:lpstr>Общи</vt:lpstr>
      <vt:lpstr>Тип Плиты</vt:lpstr>
      <vt:lpstr>1-Пл</vt:lpstr>
      <vt:lpstr>1Шл4в</vt:lpstr>
      <vt:lpstr>1-пом</vt:lpstr>
      <vt:lpstr>2-Пл</vt:lpstr>
      <vt:lpstr>3.5Нлв4в</vt:lpstr>
      <vt:lpstr>3.4Нлв4в</vt:lpstr>
      <vt:lpstr>3.3Нлв4в</vt:lpstr>
      <vt:lpstr>3.2Нлв4в</vt:lpstr>
      <vt:lpstr>3.1-Нал</vt:lpstr>
      <vt:lpstr>3.1-Пом</vt:lpstr>
      <vt:lpstr>4.Защ_вин</vt:lpstr>
      <vt:lpstr>2-пом</vt:lpstr>
      <vt:lpstr>5.3Л74в</vt:lpstr>
      <vt:lpstr>5.2.1Л14в</vt:lpstr>
      <vt:lpstr>5.1-Л4</vt:lpstr>
      <vt:lpstr>5.2 Л-1</vt:lpstr>
      <vt:lpstr>2-Пл (2)</vt:lpstr>
      <vt:lpstr>2.1КР3</vt:lpstr>
      <vt:lpstr>1.1КР1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2026-08-18T07:58:12Z</dcterms:modified>
</cp:coreProperties>
</file>