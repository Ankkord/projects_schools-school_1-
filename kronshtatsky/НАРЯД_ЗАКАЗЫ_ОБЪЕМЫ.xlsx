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xWindow="0" yWindow="0" windowWidth="8616" windowHeight="6624" tabRatio="733" firstSheet="4" activeTab="6"/>
  </bookViews>
  <sheets>
    <sheet name="Расценки" sheetId="1" r:id="rId1"/>
    <sheet name="Наряд заказы" sheetId="2" r:id="rId2"/>
    <sheet name="Накопительная" sheetId="3" r:id="rId3"/>
    <sheet name="Сводная по наряд заказам" sheetId="4" r:id="rId4"/>
    <sheet name="Всплываюшиеся списки" sheetId="5" r:id="rId5"/>
    <sheet name="У_Р-П_Пл" sheetId="6" r:id="rId6"/>
    <sheet name="Обл Пов Ст" sheetId="7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5" i="7" l="1"/>
  <c r="M61" i="7"/>
  <c r="M58" i="7"/>
  <c r="M65" i="7"/>
  <c r="L54" i="7"/>
  <c r="M54" i="7" s="1"/>
  <c r="M57" i="7"/>
  <c r="M60" i="7"/>
  <c r="M64" i="7"/>
  <c r="M53" i="7"/>
  <c r="M43" i="7" l="1"/>
  <c r="L29" i="7"/>
  <c r="L3" i="7" l="1"/>
  <c r="L4" i="7"/>
  <c r="L7" i="7"/>
  <c r="L9" i="7"/>
  <c r="L10" i="7"/>
  <c r="L11" i="7"/>
  <c r="L12" i="7"/>
  <c r="L25" i="7"/>
  <c r="L35" i="7"/>
  <c r="K42" i="7" l="1"/>
  <c r="L42" i="7" s="1"/>
  <c r="K38" i="7"/>
  <c r="L38" i="7" s="1"/>
  <c r="K40" i="7"/>
  <c r="L40" i="7" s="1"/>
  <c r="K36" i="7"/>
  <c r="L36" i="7" s="1"/>
  <c r="K41" i="7"/>
  <c r="L41" i="7" s="1"/>
  <c r="K39" i="7"/>
  <c r="L39" i="7" s="1"/>
  <c r="K37" i="7"/>
  <c r="L37" i="7" s="1"/>
  <c r="K34" i="7"/>
  <c r="L34" i="7" s="1"/>
  <c r="K33" i="7"/>
  <c r="L33" i="7" s="1"/>
  <c r="K31" i="7"/>
  <c r="L31" i="7" s="1"/>
  <c r="K32" i="7"/>
  <c r="L32" i="7" s="1"/>
  <c r="K30" i="7"/>
  <c r="L30" i="7" s="1"/>
  <c r="K28" i="7"/>
  <c r="L28" i="7" s="1"/>
  <c r="K27" i="7"/>
  <c r="L27" i="7" s="1"/>
  <c r="K26" i="7"/>
  <c r="L26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2" i="7"/>
  <c r="K6" i="7"/>
  <c r="L6" i="7" s="1"/>
  <c r="K5" i="7"/>
  <c r="L5" i="7" s="1"/>
  <c r="K8" i="7"/>
  <c r="L8" i="7" s="1"/>
  <c r="K18" i="7"/>
  <c r="L18" i="7" s="1"/>
  <c r="K17" i="7"/>
  <c r="L17" i="7" s="1"/>
  <c r="K16" i="7"/>
  <c r="L16" i="7" s="1"/>
  <c r="K14" i="7"/>
  <c r="L14" i="7" s="1"/>
  <c r="K15" i="7"/>
  <c r="L15" i="7" s="1"/>
  <c r="K13" i="7"/>
  <c r="L13" i="7" s="1"/>
  <c r="K43" i="7" l="1"/>
  <c r="L2" i="7"/>
  <c r="J43" i="7"/>
  <c r="I36" i="6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13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1" i="2"/>
  <c r="K750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577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8" i="2"/>
  <c r="K597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31" i="2"/>
  <c r="K532" i="2"/>
  <c r="K533" i="2"/>
  <c r="K534" i="2"/>
  <c r="K535" i="2"/>
  <c r="K536" i="2"/>
  <c r="K537" i="2"/>
  <c r="K538" i="2"/>
  <c r="K539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01" i="2"/>
  <c r="K400" i="2"/>
  <c r="K399" i="2"/>
  <c r="K398" i="2"/>
  <c r="K394" i="2"/>
  <c r="K388" i="2"/>
  <c r="K397" i="2"/>
  <c r="K396" i="2"/>
  <c r="K395" i="2"/>
  <c r="K393" i="2"/>
  <c r="K392" i="2"/>
  <c r="K391" i="2"/>
  <c r="K390" i="2"/>
  <c r="K389" i="2"/>
  <c r="K387" i="2"/>
  <c r="K386" i="2"/>
  <c r="K385" i="2"/>
  <c r="K384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35" i="2" l="1"/>
  <c r="K825" i="2"/>
  <c r="K694" i="2"/>
  <c r="K540" i="2"/>
  <c r="K228" i="2"/>
  <c r="K227" i="2"/>
  <c r="K226" i="2"/>
  <c r="K225" i="2"/>
  <c r="K224" i="2"/>
  <c r="K223" i="2"/>
  <c r="K222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40" i="2"/>
  <c r="K139" i="2"/>
  <c r="K138" i="2"/>
  <c r="K137" i="2"/>
  <c r="K136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229" i="2" l="1"/>
  <c r="K105" i="2"/>
</calcChain>
</file>

<file path=xl/sharedStrings.xml><?xml version="1.0" encoding="utf-8"?>
<sst xmlns="http://schemas.openxmlformats.org/spreadsheetml/2006/main" count="4792" uniqueCount="364">
  <si>
    <t>Единичные расценки на отделочные работы</t>
  </si>
  <si>
    <t>№</t>
  </si>
  <si>
    <t>Наименование работ</t>
  </si>
  <si>
    <t>Ед. изм.</t>
  </si>
  <si>
    <t>Стоимость работ "на руки"</t>
  </si>
  <si>
    <t>Стоимость работ, включая НДФЛ 13%, руб.</t>
  </si>
  <si>
    <t>Штукатурка стен сухими смесями с установкой маяков с предварительной огрунтовкой / толщ. от 16,5 мм до 21 мм</t>
  </si>
  <si>
    <t>м2</t>
  </si>
  <si>
    <t>Устройство стяжки ЦПС 61-80мм</t>
  </si>
  <si>
    <t>Выравнивание стен с предварительной огрунтовкой / перегородок ГКЛ, ПГП, штукатурка / толщ. 2 мм потолок под покраску</t>
  </si>
  <si>
    <t>Выравнивание потолка с предварительной огрунтовкой поверхности / по ЖБ поверхности / толщ. 5 мм</t>
  </si>
  <si>
    <t>Заделка штроб торца откосов</t>
  </si>
  <si>
    <t>м.п.</t>
  </si>
  <si>
    <t>Шпатлевание откосов под покраску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</si>
  <si>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</si>
  <si>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</si>
  <si>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Облицовка ступеней керамогранитной плиткой с затиркой швов, с предварительной огрунтовкой поверхности</t>
  </si>
  <si>
    <t>Устройство плинтуса из керамогранитной плитки с затиркой швов, с предварительной огрунтовкой поверхности</t>
  </si>
  <si>
    <t>Устройство обмазочной гидроизоляции с проклеиванием швов армированной лентой из стекловолокна / в 2 слоя</t>
  </si>
  <si>
    <t>Устройство наливных полов с огрунтовкой поверхности и проклейкой демпферной лентой / толщ. до 10 мм</t>
  </si>
  <si>
    <t>Устройство покрытия пола из кварцвинила / на клею</t>
  </si>
  <si>
    <t>Установка полимерного самоклеющегося плинтуса</t>
  </si>
  <si>
    <t>Окраска поверхности стен с предварительной огрунтовкой / в 2 слоя</t>
  </si>
  <si>
    <t>Установка люков противопожарных / в стене</t>
  </si>
  <si>
    <t>шт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</si>
  <si>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</si>
  <si>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</si>
  <si>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</si>
  <si>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Облицовка площадок керамогранитной плиткой с затиркой швов, с предварительной огрунтовкой поверхности</t>
  </si>
  <si>
    <t>Наряд-заказ №</t>
  </si>
  <si>
    <t>Период выполнения работ</t>
  </si>
  <si>
    <t>с</t>
  </si>
  <si>
    <t>по</t>
  </si>
  <si>
    <t>Жилищный комплекс</t>
  </si>
  <si>
    <t>Бригадир</t>
  </si>
  <si>
    <t>Бригада</t>
  </si>
  <si>
    <t>№1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</si>
  <si>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</si>
  <si>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</si>
  <si>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</si>
  <si>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</si>
  <si>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</si>
  <si>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</si>
  <si>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</si>
  <si>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Расценка, руб.</t>
  </si>
  <si>
    <t>Стоимость
Итого, руб.</t>
  </si>
  <si>
    <t>Примечание</t>
  </si>
  <si>
    <t>Работы по проекту</t>
  </si>
  <si>
    <t>Отделка СКБ</t>
  </si>
  <si>
    <t>Стены</t>
  </si>
  <si>
    <t>Всего по бригаде, руб.</t>
  </si>
  <si>
    <t>РЕЕСТР НАРЯД-ЗАКАЗОВ НА ЗАКРЫТИЕ ЗАРАБОТНОЙ ПЛАТЫ РАБОЧИМ</t>
  </si>
  <si>
    <t>ОБЪЕКТ:</t>
  </si>
  <si>
    <t>Номер НЗ
(ссылка)</t>
  </si>
  <si>
    <t>Месяц, год</t>
  </si>
  <si>
    <t>Бригада/звено
Подрядчик</t>
  </si>
  <si>
    <t>Объект</t>
  </si>
  <si>
    <t>Наименование помещения</t>
  </si>
  <si>
    <t>Полы</t>
  </si>
  <si>
    <t>Мобилизация</t>
  </si>
  <si>
    <t>Работы по НЗ на ДР</t>
  </si>
  <si>
    <t>Потолки</t>
  </si>
  <si>
    <t>Работы по НЗ на РВР</t>
  </si>
  <si>
    <t>Дверные проемы</t>
  </si>
  <si>
    <t>Работы по Акту ущерба</t>
  </si>
  <si>
    <t>Подрядчик. Работы по проекту</t>
  </si>
  <si>
    <t>Подрядчик. Работы по НЗ на ДР</t>
  </si>
  <si>
    <t>Подрядчик. Работы по НЗ на РВР</t>
  </si>
  <si>
    <t>Подрядчик. Работы по Акту ущерба</t>
  </si>
  <si>
    <t>(Фамилия И.О, подпись)</t>
  </si>
  <si>
    <t>(Дата)</t>
  </si>
  <si>
    <t>Производитель работ</t>
  </si>
  <si>
    <t>Инженер ПТО</t>
  </si>
  <si>
    <t>Директор проектов</t>
  </si>
  <si>
    <t>Расценка</t>
  </si>
  <si>
    <t>сумма</t>
  </si>
  <si>
    <t>2 788,21</t>
  </si>
  <si>
    <t>836 463,00</t>
  </si>
  <si>
    <t>37 128,00</t>
  </si>
  <si>
    <t>107 145,00</t>
  </si>
  <si>
    <t>2 057,73</t>
  </si>
  <si>
    <t>617 317,80</t>
  </si>
  <si>
    <t>1.01 Тамбур 13,5</t>
  </si>
  <si>
    <t>1.03 Санузел для посетителей 5,5</t>
  </si>
  <si>
    <t>1.05 Комната охраны с диспетчерским пультом 21,5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</si>
  <si>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</si>
  <si>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</si>
  <si>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</si>
  <si>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</si>
  <si>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</si>
  <si>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</si>
  <si>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</si>
  <si>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</si>
  <si>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1.14 Санузел для МГН 5,1</t>
  </si>
  <si>
    <t>1.15 Санузел для мальчиков 15,0</t>
  </si>
  <si>
    <t>1.16 С/у (медблок) 2,2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</si>
  <si>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</si>
  <si>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</si>
  <si>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</si>
  <si>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</si>
  <si>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</si>
  <si>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</si>
  <si>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1.23 Помещение уборочного инвентаря 4,3</t>
  </si>
  <si>
    <t>1.24 Кладовая инвентаря 9,6</t>
  </si>
  <si>
    <t>1.25 Артистическая 10,0</t>
  </si>
  <si>
    <t>1.26 Артистическая 10,4</t>
  </si>
  <si>
    <t>1.27 Коридор 25,5</t>
  </si>
  <si>
    <t>1.28 Серверная 21,2</t>
  </si>
  <si>
    <t>1.29 Электрощитовая 27,9</t>
  </si>
  <si>
    <t>1.30 Рекреация коридорного типа 89,5</t>
  </si>
  <si>
    <t>1.31 Коридор 110,3</t>
  </si>
  <si>
    <t>1.32 Лестничная клетка №1 (Тип Н2) 23,7</t>
  </si>
  <si>
    <t>1.33 Лестничная клетка №2 (Тип Н2) 27,2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</si>
  <si>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</si>
  <si>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</si>
  <si>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</si>
  <si>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</si>
  <si>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1.38 Обеденный зал на 150 мест 165,9</t>
  </si>
  <si>
    <t>1.39 Моечная столовой посуды 35,3</t>
  </si>
  <si>
    <t>1.40 Холодный цех 14,5</t>
  </si>
  <si>
    <t>1.41 Горячий цех 87,4</t>
  </si>
  <si>
    <t>1.42 Моечная кухонной посуды 13,1</t>
  </si>
  <si>
    <t>1.43 Кладовая сухих продуктов 11,7</t>
  </si>
  <si>
    <t>1.44 Помещение с холодильным оборудованием 29,0</t>
  </si>
  <si>
    <t>1.45 Кладовая овощей 10,4</t>
  </si>
  <si>
    <t>1.46 Помещение персонала 9,0</t>
  </si>
  <si>
    <t>1.47 Помещение временного хранения отходов 9,3</t>
  </si>
  <si>
    <t>1.48 Раздаточная 7,4</t>
  </si>
  <si>
    <t>1.49 Санузел персонала 2,9</t>
  </si>
  <si>
    <t>1.50 Моечная оборотной тары 8,3</t>
  </si>
  <si>
    <t>1.51 Загрузочная 8,3</t>
  </si>
  <si>
    <t>1.52 Тамбур 2,3</t>
  </si>
  <si>
    <t>1.53 Помещение уборочного инвентаря 3,1</t>
  </si>
  <si>
    <t>1.54 Гардероб персонала с душем 7,4</t>
  </si>
  <si>
    <t>1.55 Цех первичной обработки 13,5</t>
  </si>
  <si>
    <t>1.56 Цех вторичной обработки 11,8</t>
  </si>
  <si>
    <t>1.57 Мясо-рыбный цех 20,8</t>
  </si>
  <si>
    <t>1.58 Коридор 57,3</t>
  </si>
  <si>
    <t>1.59 Тамбур 15,0</t>
  </si>
  <si>
    <t>1.60 Вестибюль с зоной для посетителей 86,8</t>
  </si>
  <si>
    <t>1.61 Пост охраны 16,3</t>
  </si>
  <si>
    <t>1.62 Туалет для МГН (для посетителей) 5,9</t>
  </si>
  <si>
    <t>1.63 Тамбур 11,2</t>
  </si>
  <si>
    <t>1.64 Раздевальная комната 23,3</t>
  </si>
  <si>
    <t>1.65 Буфет 6,3</t>
  </si>
  <si>
    <t>1.66 Туалет (в т.ч. МГН) 28,9</t>
  </si>
  <si>
    <t>1.67 Групповая 50,7</t>
  </si>
  <si>
    <t>1.68 Спальная 55,9</t>
  </si>
  <si>
    <t>1.69 Раздевальная комната 18,0</t>
  </si>
  <si>
    <t>1.70 Тамбур 4,6</t>
  </si>
  <si>
    <t>1.71 Буфет 6,3</t>
  </si>
  <si>
    <t>1.72 Туалет (в т.ч. МГН) 29,2</t>
  </si>
  <si>
    <t>1.73 Групповая 50,8</t>
  </si>
  <si>
    <t>1.74 Спальная 55,4</t>
  </si>
  <si>
    <t>1.75 Помещение уборочного инвентаря 5,5</t>
  </si>
  <si>
    <t>1.76 Комната персонала с гардеробом, душем и туалетом 8,2</t>
  </si>
  <si>
    <t>1.77 Коридор 39,7</t>
  </si>
  <si>
    <t>1.78 Коридор 59,7</t>
  </si>
  <si>
    <t>1.79 Лестничная клетка №5 (Тип Н2) 29,9</t>
  </si>
  <si>
    <t>1.80 Лестничная клетка №6 (Тип Л1) 26,1</t>
  </si>
  <si>
    <t>1.81 Лифтовой холл 6,3</t>
  </si>
  <si>
    <t>1.82 Коридор 24,3</t>
  </si>
  <si>
    <t>2.01 Учебный кабинет 2-4 класс 62,7</t>
  </si>
  <si>
    <t>2.03 Кабинет с рабочим местом для учителей 38,7</t>
  </si>
  <si>
    <t>2.04 Учебный кабинет 2-4 класс 63,3</t>
  </si>
  <si>
    <t>2.07 Учебный кабинет 2-4 класс 63,3</t>
  </si>
  <si>
    <t>2.08 Коридор 77,7</t>
  </si>
  <si>
    <t>2.09 Помещение уборочного инвентаря 4,9</t>
  </si>
  <si>
    <t>2.10 Раздевальная для девочек (МГН) 12,6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</si>
  <si>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</si>
  <si>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</si>
  <si>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</si>
  <si>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</si>
  <si>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2.15 Раздевальная для девочек 27,3</t>
  </si>
  <si>
    <t>2.16 Санузел для девочек 10,3</t>
  </si>
  <si>
    <t>2.17 Душевая девочек 10,9</t>
  </si>
  <si>
    <t>2.18 Инвентарная (снарядная) 30,6</t>
  </si>
  <si>
    <t>2.19 Спортивный зал 15х24 м 348,1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</si>
  <si>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</si>
  <si>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</si>
  <si>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2.22 Санузел персонала 4,9</t>
  </si>
  <si>
    <t>2.23 Помещение уборочного инвентаря 9,3</t>
  </si>
  <si>
    <t>2.24 Санузел для девочек 15,0</t>
  </si>
  <si>
    <t>2.25 Санузел для мальчиков 15,0</t>
  </si>
  <si>
    <t>2.26 Санузел для МГН 5,1</t>
  </si>
  <si>
    <t>2.27 Коридор 18,6</t>
  </si>
  <si>
    <t>2.28 Рекреация 187,5</t>
  </si>
  <si>
    <t>2.29 Технический центр (аппаратная) 13,9</t>
  </si>
  <si>
    <t>2.30 Коридор 107,4</t>
  </si>
  <si>
    <t>2.31 Лестничная клетка №1 (Тип Н2) 25,1</t>
  </si>
  <si>
    <t>2.32 Лестничная клетка №2 (Тип Н2) 27,4</t>
  </si>
  <si>
    <t>2.33 Лифтовой холл (зона безопасности) 12,7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</si>
  <si>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</si>
  <si>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</si>
  <si>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</si>
  <si>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</si>
  <si>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</si>
  <si>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</si>
  <si>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2.40 Групповая 50,7</t>
  </si>
  <si>
    <t>2.41 Спальная 55,9</t>
  </si>
  <si>
    <t>2.42 Раздевальная комната 20,9</t>
  </si>
  <si>
    <t>2.43 Буфет 6,3</t>
  </si>
  <si>
    <t>2.44 Групповая 50,8</t>
  </si>
  <si>
    <t>2.45 Спальная 55,5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</si>
  <si>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</si>
  <si>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</si>
  <si>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</si>
  <si>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</si>
  <si>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</si>
  <si>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</si>
  <si>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2.52 Помещение уборочного инвентаря 5,5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</si>
  <si>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</si>
  <si>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</si>
  <si>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</si>
  <si>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</si>
  <si>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</si>
  <si>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</si>
  <si>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Кранштадский 14</t>
  </si>
  <si>
    <t xml:space="preserve">Ким 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</si>
  <si>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</si>
  <si>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</si>
  <si>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</si>
  <si>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</si>
  <si>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</si>
  <si>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</si>
  <si>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</si>
  <si>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3.09 Санузел для МГН 5,1</t>
  </si>
  <si>
    <t>3.10 Санузел для девочек 15,1</t>
  </si>
  <si>
    <t>3.11 Санузел для мальчиков 15,1</t>
  </si>
  <si>
    <t>3.13 Книгохранилище 13,0</t>
  </si>
  <si>
    <t>3.14 Санузел персонала 4,9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</si>
  <si>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</si>
  <si>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</si>
  <si>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</si>
  <si>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3.18 Рекреация 106,1</t>
  </si>
  <si>
    <t>3.19 Коридор 105,8</t>
  </si>
  <si>
    <t>3.20 Лестничная клетка №3 (Тип Н2) 25,2</t>
  </si>
  <si>
    <t>3.21 Лестничная клетка №4 (Тип Н2) 30,1</t>
  </si>
  <si>
    <t>3.22 Раздаточная 8,3</t>
  </si>
  <si>
    <t>3.23 Раздевальная комната 21,2</t>
  </si>
  <si>
    <t>3.24 Буфет 6,3</t>
  </si>
  <si>
    <t>3.25 Групповая 50,8</t>
  </si>
  <si>
    <t>3.26 Спальная 56,0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</si>
  <si>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</si>
  <si>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</si>
  <si>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</si>
  <si>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</si>
  <si>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</si>
  <si>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</si>
  <si>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</si>
  <si>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3.36 Помещение приёма и сортировки грязного белья 5,8</t>
  </si>
  <si>
    <t>3.37 Комната чистого белья 5,9</t>
  </si>
  <si>
    <t>3.38 Лестничная клетка №5 (Тип Н2) 31,5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</si>
  <si>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</si>
  <si>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</si>
  <si>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</si>
  <si>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</si>
  <si>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3.43 Лестничная клетка №6 (Тип Л1) 27,5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</si>
  <si>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</si>
  <si>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</si>
  <si>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</si>
  <si>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</si>
  <si>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</si>
  <si>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 xml:space="preserve">Выравнивание потолка с предварительной огрунтовкой поверхности / по ЖБ поверхности / толщ. 5 мм выше 4-х метров </t>
  </si>
  <si>
    <t xml:space="preserve">Штукатурка стен сухими смесями с установкой маяков с предварительной огрунтовкой / толщ. от 16,5 мм до 21 мм выше 4-х метров </t>
  </si>
  <si>
    <t>Линолиум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</si>
  <si>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</si>
  <si>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</si>
  <si>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</si>
  <si>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</si>
  <si>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</si>
  <si>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</si>
  <si>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</si>
  <si>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1.02 Зона ожидания родителей со стойкой для зарядки мобильных устройств 14,7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</si>
  <si>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</si>
  <si>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</si>
  <si>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2.06 Универсальное помещение с возможностью проведения занятий во внеурочное время в том числе для групп продленного дня 63,2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</si>
  <si>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</si>
  <si>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</si>
  <si>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</si>
  <si>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</si>
  <si>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</si>
  <si>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900 второй слой</t>
  </si>
  <si>
    <t>Зашивка ГВЛВ</t>
  </si>
  <si>
    <t>1-2 этаж</t>
  </si>
  <si>
    <t>п.м.</t>
  </si>
  <si>
    <t xml:space="preserve">1-2 этаж </t>
  </si>
  <si>
    <t xml:space="preserve">1,2,3 этаж </t>
  </si>
  <si>
    <t>Ким</t>
  </si>
  <si>
    <t>Руководитель проекта</t>
  </si>
  <si>
    <t>Долаков М.С.</t>
  </si>
  <si>
    <t>Ноябрь</t>
  </si>
  <si>
    <t xml:space="preserve">Октябрь </t>
  </si>
  <si>
    <t>Декабрь</t>
  </si>
  <si>
    <t>Штукатурка откосов</t>
  </si>
  <si>
    <t>1,2,3</t>
  </si>
  <si>
    <t>1-3 этаж</t>
  </si>
  <si>
    <t>Работы по затарке материала и уборке мусора</t>
  </si>
  <si>
    <t>ч</t>
  </si>
  <si>
    <t>Евлоев И.Б.</t>
  </si>
  <si>
    <t>м</t>
  </si>
  <si>
    <t>26.12.20256</t>
  </si>
  <si>
    <t>помешения 3,44; 3,19</t>
  </si>
  <si>
    <t>помещения 1,80;2,57;3,43</t>
  </si>
  <si>
    <t>2м</t>
  </si>
  <si>
    <t>помещения 2,54; 3,38</t>
  </si>
  <si>
    <t>ШКОЛА ПОДВАЛ</t>
  </si>
  <si>
    <t>подвал</t>
  </si>
  <si>
    <t>САДИК ПОДВАЛ</t>
  </si>
  <si>
    <t>ШКОЛА и САДИК  ПОДВАЛ</t>
  </si>
  <si>
    <t>выполнена кладка из кирпича, объем работ закрыт как по цене ПГП</t>
  </si>
  <si>
    <t>помешение 2,54 3,38</t>
  </si>
  <si>
    <t>СТЕНЫ и ПОЛ</t>
  </si>
  <si>
    <t>от</t>
  </si>
  <si>
    <t>Выравнивание стен с предварительной огрунтовкой / перегородок ГКЛ, ПГП, штукатурка / толщ. 2 мм Стены под покраску</t>
  </si>
  <si>
    <t>Откосы из ГВЛВ 1-2 этаж</t>
  </si>
  <si>
    <t>Устройство откосов ГВЛВ</t>
  </si>
  <si>
    <t>Откосы из штукатурки 1-2 этаж</t>
  </si>
  <si>
    <t>Устройство откосов из штукатурки</t>
  </si>
  <si>
    <t>Заделка штроб 1 этаж</t>
  </si>
  <si>
    <t>ИТОГО :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</si>
  <si>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</si>
  <si>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</si>
  <si>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</si>
  <si>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</si>
  <si>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</si>
  <si>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</si>
  <si>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</si>
  <si>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</si>
  <si>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</si>
  <si>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</si>
  <si>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 xml:space="preserve"> FK12</t>
  </si>
  <si>
    <t>FK12</t>
  </si>
  <si>
    <t>FK4</t>
  </si>
  <si>
    <t>КР-3</t>
  </si>
  <si>
    <t>КР-1</t>
  </si>
  <si>
    <t>По рд</t>
  </si>
  <si>
    <t>по AutoC</t>
  </si>
  <si>
    <t>Муса</t>
  </si>
  <si>
    <t>FK16</t>
  </si>
  <si>
    <t>FK10</t>
  </si>
  <si>
    <t>Нет плитки</t>
  </si>
  <si>
    <t>Тип</t>
  </si>
  <si>
    <t>Помещения</t>
  </si>
  <si>
    <t>Разница</t>
  </si>
  <si>
    <t>Выбрал 
в схему</t>
  </si>
  <si>
    <t>РД 
(Автокад)</t>
  </si>
  <si>
    <t>- Совпадает</t>
  </si>
  <si>
    <t>- Не весь объем забран</t>
  </si>
  <si>
    <t>На схемах</t>
  </si>
  <si>
    <t>По РД можно забрать</t>
  </si>
  <si>
    <t>Указано в НЗ</t>
  </si>
  <si>
    <t>задвоение?</t>
  </si>
  <si>
    <t>1, 2, 3 этажи. Тип: FK16</t>
  </si>
  <si>
    <t>1, 2, 3 этажи. Тип: FK4</t>
  </si>
  <si>
    <t>1, 2, 3 этажи. Тип: FK10</t>
  </si>
  <si>
    <t>1, 2, 3 этажи. Тип: FK12</t>
  </si>
  <si>
    <t>По КП</t>
  </si>
  <si>
    <t>Этажи</t>
  </si>
  <si>
    <t>Итог:</t>
  </si>
  <si>
    <t xml:space="preserve">РД </t>
  </si>
  <si>
    <t>Схемы</t>
  </si>
  <si>
    <t>- не донабрали</t>
  </si>
  <si>
    <t>- Превышает РД объем - В схеме будет РД объём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</si>
</sst>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₽&quot;"/>
    <numFmt numFmtId="165" formatCode="#,##0.000"/>
  </numFmts>
  <fonts count="39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Liberation Sans"/>
    </font>
    <font>
      <b/>
      <sz val="11"/>
      <color theme="1"/>
      <name val="Arial"/>
      <family val="2"/>
      <charset val="204"/>
    </font>
    <font>
      <sz val="11"/>
      <color theme="1"/>
      <name val="Liberation Sans"/>
    </font>
    <font>
      <i/>
      <sz val="11"/>
      <color theme="1"/>
      <name val="Arial"/>
      <family val="2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b/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11734B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Liberation Sans"/>
    </font>
    <font>
      <sz val="12"/>
      <color rgb="FF11734B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Liberation Sans"/>
      <charset val="204"/>
    </font>
    <font>
      <sz val="12"/>
      <color rgb="FFFF000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ГОСТ тип А"/>
      <family val="2"/>
      <charset val="204"/>
    </font>
    <font>
      <sz val="11"/>
      <color rgb="FF11734B"/>
      <name val="ГОСТ тип А"/>
      <family val="2"/>
      <charset val="204"/>
    </font>
    <font>
      <b/>
      <sz val="11"/>
      <color theme="1"/>
      <name val="ГОСТ тип А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4"/>
      <color rgb="FF000000"/>
      <name val="ГОСТ тип А"/>
      <family val="2"/>
      <charset val="204"/>
    </font>
    <font>
      <b/>
      <sz val="14"/>
      <color rgb="FFFF0000"/>
      <name val="ГОСТ тип А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76A5A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4" fillId="11" borderId="0" applyNumberFormat="0" applyBorder="0" applyAlignment="0" applyProtection="0"/>
    <xf numFmtId="0" fontId="35" fillId="12" borderId="0" applyNumberFormat="0" applyBorder="0" applyAlignment="0" applyProtection="0"/>
    <xf numFmtId="0" fontId="36" fillId="13" borderId="0" applyNumberFormat="0" applyBorder="0" applyAlignment="0" applyProtection="0"/>
  </cellStyleXfs>
  <cellXfs count="178">
    <xf numFmtId="0" fontId="0" fillId="0" borderId="0" xfId="0"/>
    <xf numFmtId="0" fontId="2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14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0" fillId="0" borderId="1" xfId="0" applyBorder="1"/>
    <xf numFmtId="0" fontId="0" fillId="0" borderId="0" xfId="0" applyAlignment="1">
      <alignment wrapText="1"/>
    </xf>
    <xf numFmtId="164" fontId="10" fillId="6" borderId="1" xfId="0" applyNumberFormat="1" applyFont="1" applyFill="1" applyBorder="1" applyAlignment="1">
      <alignment horizontal="right" vertical="center" wrapText="1"/>
    </xf>
    <xf numFmtId="164" fontId="9" fillId="6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right" wrapText="1"/>
    </xf>
    <xf numFmtId="0" fontId="18" fillId="0" borderId="0" xfId="0" applyFont="1" applyAlignment="1">
      <alignment horizontal="right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1" fillId="5" borderId="23" xfId="0" applyFont="1" applyFill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164" fontId="10" fillId="0" borderId="23" xfId="0" applyNumberFormat="1" applyFont="1" applyBorder="1" applyAlignment="1">
      <alignment horizontal="right" vertical="center" wrapText="1"/>
    </xf>
    <xf numFmtId="164" fontId="10" fillId="6" borderId="23" xfId="0" applyNumberFormat="1" applyFont="1" applyFill="1" applyBorder="1" applyAlignment="1">
      <alignment horizontal="right" vertical="center" wrapText="1"/>
    </xf>
    <xf numFmtId="0" fontId="2" fillId="0" borderId="23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9" fillId="4" borderId="1" xfId="0" applyFont="1" applyFill="1" applyBorder="1" applyAlignment="1">
      <alignment horizontal="right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7" borderId="1" xfId="0" applyFill="1" applyBorder="1"/>
    <xf numFmtId="164" fontId="9" fillId="7" borderId="1" xfId="0" applyNumberFormat="1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4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wrapText="1"/>
    </xf>
    <xf numFmtId="0" fontId="4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wrapText="1"/>
    </xf>
    <xf numFmtId="0" fontId="23" fillId="8" borderId="24" xfId="0" applyFont="1" applyFill="1" applyBorder="1" applyAlignment="1">
      <alignment horizontal="center" vertical="center" wrapText="1"/>
    </xf>
    <xf numFmtId="0" fontId="24" fillId="9" borderId="25" xfId="0" applyFont="1" applyFill="1" applyBorder="1" applyAlignment="1">
      <alignment vertical="center" wrapText="1"/>
    </xf>
    <xf numFmtId="0" fontId="15" fillId="9" borderId="25" xfId="0" applyFont="1" applyFill="1" applyBorder="1" applyAlignment="1">
      <alignment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23" fillId="9" borderId="25" xfId="0" applyFont="1" applyFill="1" applyBorder="1" applyAlignment="1">
      <alignment horizontal="center" vertical="center" wrapText="1"/>
    </xf>
    <xf numFmtId="0" fontId="25" fillId="9" borderId="26" xfId="0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23" fillId="8" borderId="3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6" fillId="0" borderId="0" xfId="0" applyFont="1"/>
    <xf numFmtId="0" fontId="27" fillId="8" borderId="3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4" fillId="9" borderId="23" xfId="0" applyFont="1" applyFill="1" applyBorder="1" applyAlignment="1">
      <alignment vertical="center" wrapText="1"/>
    </xf>
    <xf numFmtId="0" fontId="15" fillId="9" borderId="23" xfId="0" applyFont="1" applyFill="1" applyBorder="1" applyAlignment="1">
      <alignment vertical="center" wrapText="1"/>
    </xf>
    <xf numFmtId="0" fontId="15" fillId="9" borderId="23" xfId="0" applyFont="1" applyFill="1" applyBorder="1" applyAlignment="1">
      <alignment horizontal="center" vertical="center" wrapText="1"/>
    </xf>
    <xf numFmtId="0" fontId="23" fillId="9" borderId="23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8" fillId="9" borderId="1" xfId="0" applyFont="1" applyFill="1" applyBorder="1" applyAlignment="1">
      <alignment vertical="center" wrapText="1"/>
    </xf>
    <xf numFmtId="0" fontId="29" fillId="9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0" fillId="0" borderId="25" xfId="0" applyBorder="1"/>
    <xf numFmtId="0" fontId="31" fillId="9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26" xfId="0" applyBorder="1"/>
    <xf numFmtId="0" fontId="31" fillId="9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35" fillId="12" borderId="1" xfId="2" applyBorder="1" applyAlignment="1">
      <alignment horizontal="center" vertical="center"/>
    </xf>
    <xf numFmtId="0" fontId="34" fillId="11" borderId="1" xfId="1" applyBorder="1" applyAlignment="1">
      <alignment horizontal="center" vertical="center"/>
    </xf>
    <xf numFmtId="0" fontId="36" fillId="13" borderId="1" xfId="3" applyBorder="1" applyAlignment="1">
      <alignment horizontal="center" vertical="center"/>
    </xf>
    <xf numFmtId="0" fontId="35" fillId="12" borderId="0" xfId="2"/>
    <xf numFmtId="0" fontId="34" fillId="11" borderId="0" xfId="1"/>
    <xf numFmtId="0" fontId="34" fillId="11" borderId="0" xfId="1" applyAlignment="1">
      <alignment horizontal="center" vertical="center"/>
    </xf>
    <xf numFmtId="0" fontId="36" fillId="13" borderId="0" xfId="3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8" fillId="0" borderId="0" xfId="0" applyFont="1" applyAlignment="1">
      <alignment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37" fillId="0" borderId="0" xfId="0" applyFont="1" applyFill="1" applyBorder="1" applyAlignment="1">
      <alignment horizontal="left" vertical="top"/>
    </xf>
    <xf numFmtId="0" fontId="37" fillId="0" borderId="23" xfId="0" applyFont="1" applyBorder="1"/>
    <xf numFmtId="0" fontId="37" fillId="0" borderId="23" xfId="0" applyFont="1" applyFill="1" applyBorder="1" applyAlignment="1">
      <alignment horizontal="left" vertical="top"/>
    </xf>
    <xf numFmtId="0" fontId="37" fillId="0" borderId="1" xfId="0" applyFont="1" applyBorder="1" applyAlignment="1">
      <alignment horizontal="center" vertical="center" wrapText="1"/>
    </xf>
    <xf numFmtId="165" fontId="37" fillId="0" borderId="1" xfId="0" applyNumberFormat="1" applyFont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left" vertical="top"/>
    </xf>
    <xf numFmtId="0" fontId="37" fillId="0" borderId="1" xfId="0" applyFont="1" applyBorder="1"/>
    <xf numFmtId="0" fontId="38" fillId="0" borderId="1" xfId="0" applyFont="1" applyBorder="1"/>
    <xf numFmtId="0" fontId="0" fillId="0" borderId="27" xfId="0" applyBorder="1" applyAlignment="1">
      <alignment horizontal="center"/>
    </xf>
    <xf numFmtId="0" fontId="37" fillId="0" borderId="1" xfId="0" applyFont="1" applyFill="1" applyBorder="1" applyAlignment="1">
      <alignment horizontal="right" vertical="top"/>
    </xf>
    <xf numFmtId="0" fontId="38" fillId="0" borderId="1" xfId="0" applyFont="1" applyBorder="1" applyAlignment="1">
      <alignment horizontal="right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32">
    <dxf>
      <font>
        <strike val="0"/>
        <outline val="0"/>
        <shadow val="0"/>
        <u val="none"/>
        <vertAlign val="baseline"/>
        <sz val="11"/>
        <name val="ГОСТ тип А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ГОСТ тип А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ГОСТ тип А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734B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ГОСТ тип А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eration Sa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1734B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eration Sans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Таблица2" displayName="Таблица2" ref="A1:J35" totalsRowShown="0" headerRowDxfId="31" dataDxfId="29" headerRowBorderDxfId="30" tableBorderDxfId="28" totalsRowBorderDxfId="27">
  <autoFilter ref="A1:J35"/>
  <sortState ref="A2:I35">
    <sortCondition ref="F1:F35"/>
  </sortState>
  <tableColumns count="10">
    <tableColumn id="1" name="Столбец1" dataDxfId="26"/>
    <tableColumn id="2" name="Столбец2" dataDxfId="25"/>
    <tableColumn id="3" name="Столбец3" dataDxfId="24"/>
    <tableColumn id="4" name="Столбец4" dataDxfId="23"/>
    <tableColumn id="5" name="Столбец5" dataDxfId="22"/>
    <tableColumn id="6" name="Столбец6" dataDxfId="21"/>
    <tableColumn id="7" name="Столбец7" dataDxfId="20"/>
    <tableColumn id="8" name="Столбец8" dataDxfId="19"/>
    <tableColumn id="9" name="Столбец9" dataDxfId="18"/>
    <tableColumn id="10" name="Столбец10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Таблица1" displayName="Таблица1" ref="A1:N42" totalsRowShown="0" headerRowDxfId="16" dataDxfId="15" tableBorderDxfId="14">
  <autoFilter ref="A1:N42"/>
  <sortState ref="A2:J41">
    <sortCondition ref="F1:F41"/>
  </sortState>
  <tableColumns count="14">
    <tableColumn id="1" name="Столбец1" dataDxfId="13"/>
    <tableColumn id="2" name="Столбец2" dataDxfId="12"/>
    <tableColumn id="3" name="Столбец3" dataDxfId="11"/>
    <tableColumn id="4" name="Столбец4" dataDxfId="10"/>
    <tableColumn id="5" name="Этаж" dataDxfId="9"/>
    <tableColumn id="6" name="Помещения" dataDxfId="8"/>
    <tableColumn id="7" name="Столбец7" dataDxfId="7"/>
    <tableColumn id="8" name="Столбец8" dataDxfId="6"/>
    <tableColumn id="10" name="Тип" dataDxfId="5"/>
    <tableColumn id="9" name="Муса" dataDxfId="4"/>
    <tableColumn id="12" name="РД _x000a_(Автокад)" dataDxfId="3"/>
    <tableColumn id="13" name="Разница" dataDxfId="2">
      <calculatedColumnFormula>Таблица1[[#This Row],[Муса]]-Таблица1[РД 
(Автокад)]</calculatedColumnFormula>
    </tableColumn>
    <tableColumn id="11" name="Выбрал _x000a_в схему" dataDxfId="1" dataCellStyle="Хороший"/>
    <tableColumn id="14" name="Примечание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0" zoomScale="85" zoomScaleNormal="85" workbookViewId="0">
      <selection activeCell="B13" sqref="B13"/>
    </sheetView>
  </sheetViews>
  <sheetFormatPr defaultRowHeight="14.4"/>
  <cols>
    <col min="2" max="2" width="35.21875" customWidth="1"/>
    <col min="3" max="3" width="11.88671875" customWidth="1"/>
    <col min="4" max="4" width="16.109375" customWidth="1"/>
    <col min="5" max="5" width="20" customWidth="1"/>
  </cols>
  <sheetData>
    <row r="1" spans="1:5" ht="15.6">
      <c r="A1" s="142" t="s">
        <v>0</v>
      </c>
      <c r="B1" s="142"/>
      <c r="C1" s="142"/>
      <c r="D1" s="17"/>
      <c r="E1" s="17"/>
    </row>
    <row r="2" spans="1:5" ht="46.8">
      <c r="A2" s="18" t="s">
        <v>1</v>
      </c>
      <c r="B2" s="18" t="s">
        <v>2</v>
      </c>
      <c r="C2" s="19" t="s">
        <v>3</v>
      </c>
      <c r="D2" s="19" t="s">
        <v>4</v>
      </c>
      <c r="E2" s="19" t="s">
        <v>5</v>
      </c>
    </row>
    <row r="3" spans="1:5" ht="62.4">
      <c r="A3" s="20">
        <v>1</v>
      </c>
      <c r="B3" s="21" t="s">
        <v>6</v>
      </c>
      <c r="C3" s="20" t="s">
        <v>7</v>
      </c>
      <c r="D3" s="22">
        <v>585</v>
      </c>
      <c r="E3" s="17"/>
    </row>
    <row r="4" spans="1:5" ht="28.2" customHeight="1">
      <c r="A4" s="20">
        <v>2</v>
      </c>
      <c r="B4" s="21" t="s">
        <v>8</v>
      </c>
      <c r="C4" s="20" t="s">
        <v>7</v>
      </c>
      <c r="D4" s="22">
        <v>330</v>
      </c>
      <c r="E4" s="17"/>
    </row>
    <row r="5" spans="1:5" ht="46.8">
      <c r="A5" s="20">
        <v>3</v>
      </c>
      <c r="B5" s="21" t="s">
        <v>278</v>
      </c>
      <c r="C5" s="20" t="s">
        <v>7</v>
      </c>
      <c r="D5" s="22">
        <v>195</v>
      </c>
      <c r="E5" s="17"/>
    </row>
    <row r="6" spans="1:5" ht="78">
      <c r="A6" s="20">
        <v>4</v>
      </c>
      <c r="B6" s="21" t="s">
        <v>9</v>
      </c>
      <c r="C6" s="20" t="s">
        <v>7</v>
      </c>
      <c r="D6" s="22">
        <v>250</v>
      </c>
      <c r="E6" s="17"/>
    </row>
    <row r="7" spans="1:5" ht="46.8">
      <c r="A7" s="20">
        <v>5</v>
      </c>
      <c r="B7" s="21" t="s">
        <v>277</v>
      </c>
      <c r="C7" s="20" t="s">
        <v>7</v>
      </c>
      <c r="D7" s="22">
        <v>195</v>
      </c>
      <c r="E7" s="17"/>
    </row>
    <row r="8" spans="1:5" ht="62.4">
      <c r="A8" s="20">
        <v>6</v>
      </c>
      <c r="B8" s="23" t="s">
        <v>10</v>
      </c>
      <c r="C8" s="20" t="s">
        <v>7</v>
      </c>
      <c r="D8" s="22">
        <v>250</v>
      </c>
      <c r="E8" s="17"/>
    </row>
    <row r="9" spans="1:5" ht="15.6">
      <c r="A9" s="20">
        <v>7</v>
      </c>
      <c r="B9" s="21" t="s">
        <v>279</v>
      </c>
      <c r="C9" s="20" t="s">
        <v>7</v>
      </c>
      <c r="D9" s="22">
        <v>800</v>
      </c>
      <c r="E9" s="21" t="s">
        <v>282</v>
      </c>
    </row>
    <row r="10" spans="1:5" ht="15.6">
      <c r="A10" s="20">
        <v>8</v>
      </c>
      <c r="B10" s="21" t="s">
        <v>11</v>
      </c>
      <c r="C10" s="20" t="s">
        <v>12</v>
      </c>
      <c r="D10" s="22">
        <v>50</v>
      </c>
      <c r="E10" s="17"/>
    </row>
    <row r="11" spans="1:5" ht="31.2">
      <c r="A11" s="20">
        <v>9</v>
      </c>
      <c r="B11" s="21" t="s">
        <v>13</v>
      </c>
      <c r="C11" s="24" t="s">
        <v>7</v>
      </c>
      <c r="D11" s="22">
        <v>195</v>
      </c>
      <c r="E11" s="17"/>
    </row>
    <row r="12" spans="1:5" ht="62.4">
      <c r="A12" s="79">
        <v>10</v>
      </c>
      <c r="B12" s="80" t="s">
        <v>14</v>
      </c>
      <c r="C12" s="81" t="s">
        <v>7</v>
      </c>
      <c r="D12" s="79">
        <v>1170</v>
      </c>
      <c r="E12" s="82"/>
    </row>
    <row r="13" spans="1:5" ht="62.4">
      <c r="A13" s="87">
        <v>11</v>
      </c>
      <c r="B13" s="88" t="s">
        <v>15</v>
      </c>
      <c r="C13" s="89" t="s">
        <v>7</v>
      </c>
      <c r="D13" s="87">
        <v>1170</v>
      </c>
      <c r="E13" s="90"/>
    </row>
    <row r="14" spans="1:5" ht="62.4">
      <c r="A14" s="85">
        <v>12</v>
      </c>
      <c r="B14" s="83" t="s">
        <v>16</v>
      </c>
      <c r="C14" s="84" t="s">
        <v>7</v>
      </c>
      <c r="D14" s="85">
        <v>1170</v>
      </c>
      <c r="E14" s="86"/>
    </row>
    <row r="15" spans="1:5" ht="62.4">
      <c r="A15" s="17"/>
      <c r="B15" s="21" t="s">
        <v>17</v>
      </c>
      <c r="C15" s="24" t="s">
        <v>12</v>
      </c>
      <c r="D15" s="22">
        <v>220</v>
      </c>
      <c r="E15" s="17"/>
    </row>
    <row r="16" spans="1:5" ht="62.4">
      <c r="A16" s="20">
        <v>13</v>
      </c>
      <c r="B16" s="21" t="s">
        <v>18</v>
      </c>
      <c r="C16" s="24" t="s">
        <v>7</v>
      </c>
      <c r="D16" s="22">
        <v>150</v>
      </c>
      <c r="E16" s="17"/>
    </row>
    <row r="17" spans="1:5" ht="62.4">
      <c r="A17" s="20">
        <v>14</v>
      </c>
      <c r="B17" s="21" t="s">
        <v>19</v>
      </c>
      <c r="C17" s="20" t="s">
        <v>7</v>
      </c>
      <c r="D17" s="22">
        <v>180</v>
      </c>
      <c r="E17" s="17"/>
    </row>
    <row r="18" spans="1:5" ht="31.2">
      <c r="A18" s="20">
        <v>15</v>
      </c>
      <c r="B18" s="21" t="s">
        <v>20</v>
      </c>
      <c r="C18" s="20" t="s">
        <v>7</v>
      </c>
      <c r="D18" s="22">
        <v>325</v>
      </c>
      <c r="E18" s="17"/>
    </row>
    <row r="19" spans="1:5" ht="31.2">
      <c r="A19" s="20">
        <v>16</v>
      </c>
      <c r="B19" s="21" t="s">
        <v>21</v>
      </c>
      <c r="C19" s="20" t="s">
        <v>12</v>
      </c>
      <c r="D19" s="22">
        <v>65</v>
      </c>
      <c r="E19" s="17"/>
    </row>
    <row r="20" spans="1:5" ht="46.8">
      <c r="A20" s="20">
        <v>17</v>
      </c>
      <c r="B20" s="20" t="s">
        <v>22</v>
      </c>
      <c r="C20" s="20" t="s">
        <v>7</v>
      </c>
      <c r="D20" s="20">
        <v>260</v>
      </c>
      <c r="E20" s="17"/>
    </row>
    <row r="21" spans="1:5" ht="31.2">
      <c r="A21" s="20">
        <v>18</v>
      </c>
      <c r="B21" s="20" t="s">
        <v>23</v>
      </c>
      <c r="C21" s="20" t="s">
        <v>24</v>
      </c>
      <c r="D21" s="20">
        <v>1000</v>
      </c>
      <c r="E21" s="17"/>
    </row>
    <row r="22" spans="1:5" ht="62.4">
      <c r="A22" s="20">
        <v>19</v>
      </c>
      <c r="B22" s="20" t="s">
        <v>25</v>
      </c>
      <c r="C22" s="20" t="s">
        <v>7</v>
      </c>
      <c r="D22" s="20">
        <v>70</v>
      </c>
      <c r="E22" s="17"/>
    </row>
    <row r="23" spans="1:5" ht="31.2">
      <c r="A23" s="20">
        <v>20</v>
      </c>
      <c r="B23" s="20" t="s">
        <v>26</v>
      </c>
      <c r="C23" s="20" t="s">
        <v>7</v>
      </c>
      <c r="D23" s="20">
        <v>450</v>
      </c>
      <c r="E23" s="17"/>
    </row>
    <row r="24" spans="1:5" ht="46.8">
      <c r="A24" s="20">
        <v>21</v>
      </c>
      <c r="B24" s="20" t="s">
        <v>27</v>
      </c>
      <c r="C24" s="20" t="s">
        <v>7</v>
      </c>
      <c r="D24" s="20">
        <v>715</v>
      </c>
      <c r="E24" s="17"/>
    </row>
    <row r="25" spans="1:5" ht="62.4">
      <c r="A25" s="20">
        <v>22</v>
      </c>
      <c r="B25" s="20" t="s">
        <v>28</v>
      </c>
      <c r="C25" s="20" t="s">
        <v>7</v>
      </c>
      <c r="D25" s="20">
        <v>1170</v>
      </c>
      <c r="E25" s="17"/>
    </row>
    <row r="26" spans="1:5" ht="82.8" customHeight="1">
      <c r="A26" s="20">
        <v>23</v>
      </c>
      <c r="B26" s="21" t="s">
        <v>264</v>
      </c>
      <c r="C26" s="20" t="s">
        <v>7</v>
      </c>
      <c r="D26" s="20">
        <v>1040</v>
      </c>
      <c r="E26" s="31"/>
    </row>
    <row r="27" spans="1:5" ht="56.4" customHeight="1">
      <c r="A27" s="20">
        <v>24</v>
      </c>
      <c r="B27" s="20" t="s">
        <v>260</v>
      </c>
      <c r="C27" s="20" t="s">
        <v>261</v>
      </c>
      <c r="D27" s="20">
        <v>4160</v>
      </c>
      <c r="E27" s="31"/>
    </row>
    <row r="28" spans="1:5" ht="48" customHeight="1">
      <c r="A28" s="20">
        <v>25</v>
      </c>
      <c r="B28" s="20" t="s">
        <v>262</v>
      </c>
      <c r="C28" s="20" t="s">
        <v>7</v>
      </c>
      <c r="D28" s="20">
        <v>1105</v>
      </c>
      <c r="E28" s="31"/>
    </row>
    <row r="29" spans="1:5" ht="67.2" customHeight="1">
      <c r="A29" s="20">
        <v>26</v>
      </c>
      <c r="B29" s="23" t="s">
        <v>263</v>
      </c>
      <c r="C29" s="20" t="s">
        <v>7</v>
      </c>
      <c r="D29" s="20">
        <v>250</v>
      </c>
      <c r="E29" s="31"/>
    </row>
    <row r="30" spans="1:5" ht="58.8" customHeight="1">
      <c r="A30" s="20">
        <v>28</v>
      </c>
      <c r="B30" s="20" t="s">
        <v>265</v>
      </c>
      <c r="C30" s="20" t="s">
        <v>7</v>
      </c>
      <c r="D30" s="20">
        <v>200</v>
      </c>
      <c r="E30" s="31"/>
    </row>
    <row r="31" spans="1:5" ht="49.8" customHeight="1">
      <c r="A31" s="20">
        <v>29</v>
      </c>
      <c r="B31" s="20" t="s">
        <v>266</v>
      </c>
      <c r="C31" s="20" t="s">
        <v>267</v>
      </c>
      <c r="D31" s="20">
        <v>450</v>
      </c>
      <c r="E31" s="31"/>
    </row>
    <row r="32" spans="1:5" ht="43.8" customHeight="1">
      <c r="A32" s="20">
        <v>30</v>
      </c>
      <c r="B32" s="37" t="s">
        <v>280</v>
      </c>
      <c r="C32" s="37" t="s">
        <v>281</v>
      </c>
      <c r="D32" s="37">
        <v>300</v>
      </c>
      <c r="E32" s="31"/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842"/>
  <sheetViews>
    <sheetView zoomScale="70" zoomScaleNormal="70" workbookViewId="0">
      <selection activeCell="I13" sqref="I13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</cols>
  <sheetData>
    <row r="2" spans="1:12">
      <c r="A2" s="3"/>
      <c r="B2" s="3"/>
      <c r="C2" s="7" t="s">
        <v>29</v>
      </c>
      <c r="D2" s="7">
        <v>1</v>
      </c>
      <c r="E2" s="3"/>
      <c r="F2" s="3"/>
      <c r="G2" s="8" t="s">
        <v>30</v>
      </c>
      <c r="H2" s="7" t="s">
        <v>31</v>
      </c>
      <c r="I2" s="9">
        <v>45945</v>
      </c>
    </row>
    <row r="3" spans="1:12">
      <c r="A3" s="3"/>
      <c r="B3" s="3"/>
      <c r="C3" s="10" t="s">
        <v>313</v>
      </c>
      <c r="D3" s="3"/>
      <c r="E3" s="3"/>
      <c r="F3" s="3"/>
      <c r="G3" s="3"/>
      <c r="H3" s="7" t="s">
        <v>32</v>
      </c>
      <c r="I3" s="9">
        <v>45961</v>
      </c>
    </row>
    <row r="4" spans="1:12">
      <c r="A4" s="3"/>
      <c r="B4" s="3"/>
      <c r="C4" s="3"/>
      <c r="D4" s="3"/>
      <c r="E4" s="3"/>
      <c r="F4" s="3"/>
      <c r="G4" s="3"/>
      <c r="H4" s="3"/>
      <c r="I4" s="3"/>
    </row>
    <row r="5" spans="1:12" ht="27.6">
      <c r="A5" s="3"/>
      <c r="B5" s="3"/>
      <c r="C5" s="7" t="s">
        <v>33</v>
      </c>
      <c r="D5" s="143" t="s">
        <v>217</v>
      </c>
      <c r="E5" s="143"/>
      <c r="F5" s="143"/>
      <c r="G5" s="3"/>
      <c r="H5" s="3"/>
      <c r="I5" s="3"/>
    </row>
    <row r="6" spans="1:12">
      <c r="A6" s="3"/>
      <c r="B6" s="3"/>
      <c r="C6" s="3"/>
      <c r="D6" s="3"/>
      <c r="E6" s="3"/>
      <c r="F6" s="3"/>
      <c r="G6" s="3"/>
      <c r="H6" s="3"/>
      <c r="I6" s="3"/>
    </row>
    <row r="7" spans="1:12">
      <c r="A7" s="3"/>
      <c r="B7" s="3"/>
      <c r="C7" s="7" t="s">
        <v>34</v>
      </c>
      <c r="D7" s="143" t="s">
        <v>218</v>
      </c>
      <c r="E7" s="143"/>
      <c r="F7" s="143"/>
      <c r="G7" s="3"/>
      <c r="H7" s="3"/>
      <c r="I7" s="3"/>
    </row>
    <row r="8" spans="1:12">
      <c r="A8" s="3"/>
      <c r="B8" s="3"/>
      <c r="C8" s="3"/>
      <c r="D8" s="3"/>
      <c r="E8" s="3"/>
      <c r="F8" s="3"/>
      <c r="G8" s="3"/>
      <c r="H8" s="3"/>
      <c r="I8" s="3"/>
    </row>
    <row r="9" spans="1:12">
      <c r="A9" s="3"/>
      <c r="B9" s="3"/>
      <c r="C9" s="7" t="s">
        <v>35</v>
      </c>
      <c r="D9" s="143" t="s">
        <v>36</v>
      </c>
      <c r="E9" s="143"/>
      <c r="F9" s="143"/>
      <c r="G9" s="3"/>
      <c r="H9" s="3"/>
      <c r="I9" s="3"/>
    </row>
    <row r="10" spans="1:12">
      <c r="A10" s="1"/>
      <c r="B10" s="1"/>
      <c r="C10" s="1"/>
      <c r="D10" s="1"/>
      <c r="E10" s="1"/>
      <c r="F10" s="1"/>
      <c r="G10" s="1"/>
      <c r="H10" s="1"/>
      <c r="I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</row>
    <row r="12" spans="1:12" ht="26.4">
      <c r="A12" s="11" t="s">
        <v>37</v>
      </c>
      <c r="B12" s="11" t="s">
        <v>38</v>
      </c>
      <c r="C12" s="11" t="s">
        <v>39</v>
      </c>
      <c r="D12" s="11" t="s">
        <v>39</v>
      </c>
      <c r="E12" s="11" t="s">
        <v>40</v>
      </c>
      <c r="F12" s="11" t="s">
        <v>41</v>
      </c>
      <c r="G12" s="11" t="s">
        <v>2</v>
      </c>
      <c r="H12" s="11" t="s">
        <v>42</v>
      </c>
      <c r="I12" s="11" t="s">
        <v>43</v>
      </c>
      <c r="J12" s="11" t="s">
        <v>44</v>
      </c>
      <c r="K12" s="11" t="s">
        <v>45</v>
      </c>
      <c r="L12" s="11" t="s">
        <v>46</v>
      </c>
    </row>
    <row r="13" spans="1:12" ht="39.6">
      <c r="A13" s="12">
        <v>1</v>
      </c>
      <c r="B13" s="13" t="s">
        <v>47</v>
      </c>
      <c r="C13" s="14" t="s">
        <v>48</v>
      </c>
      <c r="D13" s="14" t="s">
        <v>49</v>
      </c>
      <c r="E13" s="14">
        <v>1</v>
      </c>
      <c r="F13" s="14" t="s">
        <v>147</v>
      </c>
      <c r="G13" s="14" t="s">
        <v>314</v>
      </c>
      <c r="H13" s="12" t="s">
        <v>7</v>
      </c>
      <c r="I13" s="15">
        <v>149</v>
      </c>
      <c r="J13" s="75">
        <v>195</v>
      </c>
      <c r="K13" s="77">
        <f>J13*I13</f>
        <v>29055</v>
      </c>
      <c r="L13" s="31"/>
    </row>
    <row r="14" spans="1:12" ht="39.6">
      <c r="A14" s="12">
        <v>2</v>
      </c>
      <c r="B14" s="13" t="s">
        <v>47</v>
      </c>
      <c r="C14" s="14" t="s">
        <v>48</v>
      </c>
      <c r="D14" s="14" t="s">
        <v>49</v>
      </c>
      <c r="E14" s="14">
        <v>1</v>
      </c>
      <c r="F14" s="14" t="s">
        <v>91</v>
      </c>
      <c r="G14" s="14" t="s">
        <v>314</v>
      </c>
      <c r="H14" s="12" t="s">
        <v>7</v>
      </c>
      <c r="I14" s="15">
        <v>96</v>
      </c>
      <c r="J14" s="75">
        <v>195</v>
      </c>
      <c r="K14" s="77">
        <f t="shared" ref="K14:K34" si="0">J14*I14</f>
        <v>18720</v>
      </c>
      <c r="L14" s="31"/>
    </row>
    <row r="15" spans="1:12" ht="39.6">
      <c r="A15" s="12">
        <v>3</v>
      </c>
      <c r="B15" s="13" t="s">
        <v>47</v>
      </c>
      <c r="C15" s="14" t="s">
        <v>48</v>
      </c>
      <c r="D15" s="14" t="s">
        <v>49</v>
      </c>
      <c r="E15" s="14">
        <v>2</v>
      </c>
      <c r="F15" s="14" t="s">
        <v>274</v>
      </c>
      <c r="G15" s="14" t="s">
        <v>314</v>
      </c>
      <c r="H15" s="12" t="s">
        <v>7</v>
      </c>
      <c r="I15" s="15">
        <v>55</v>
      </c>
      <c r="J15" s="75">
        <v>195</v>
      </c>
      <c r="K15" s="77">
        <f t="shared" si="0"/>
        <v>10725</v>
      </c>
      <c r="L15" s="31"/>
    </row>
    <row r="16" spans="1:12" ht="39.6">
      <c r="A16" s="12">
        <v>4</v>
      </c>
      <c r="B16" s="13" t="s">
        <v>47</v>
      </c>
      <c r="C16" s="14" t="s">
        <v>48</v>
      </c>
      <c r="D16" s="14" t="s">
        <v>49</v>
      </c>
      <c r="E16" s="14">
        <v>1</v>
      </c>
      <c r="F16" s="14" t="s">
        <v>106</v>
      </c>
      <c r="G16" s="14" t="s">
        <v>314</v>
      </c>
      <c r="H16" s="12" t="s">
        <v>7</v>
      </c>
      <c r="I16" s="15">
        <v>153</v>
      </c>
      <c r="J16" s="75">
        <v>195</v>
      </c>
      <c r="K16" s="77">
        <f t="shared" si="0"/>
        <v>29835</v>
      </c>
      <c r="L16" s="31"/>
    </row>
    <row r="17" spans="1:12" ht="39.6">
      <c r="A17" s="12">
        <v>5</v>
      </c>
      <c r="B17" s="13" t="s">
        <v>47</v>
      </c>
      <c r="C17" s="14" t="s">
        <v>48</v>
      </c>
      <c r="D17" s="14" t="s">
        <v>49</v>
      </c>
      <c r="E17" s="14"/>
      <c r="F17" s="14" t="s">
        <v>92</v>
      </c>
      <c r="G17" s="14" t="s">
        <v>314</v>
      </c>
      <c r="H17" s="12" t="s">
        <v>7</v>
      </c>
      <c r="I17" s="15">
        <v>25</v>
      </c>
      <c r="J17" s="75">
        <v>195</v>
      </c>
      <c r="K17" s="77">
        <f t="shared" si="0"/>
        <v>4875</v>
      </c>
      <c r="L17" s="31"/>
    </row>
    <row r="18" spans="1:12" ht="39.6">
      <c r="A18" s="12">
        <v>6</v>
      </c>
      <c r="B18" s="13" t="s">
        <v>47</v>
      </c>
      <c r="C18" s="14" t="s">
        <v>48</v>
      </c>
      <c r="D18" s="14" t="s">
        <v>49</v>
      </c>
      <c r="E18" s="14">
        <v>1</v>
      </c>
      <c r="F18" s="14" t="s">
        <v>115</v>
      </c>
      <c r="G18" s="14" t="s">
        <v>314</v>
      </c>
      <c r="H18" s="12" t="s">
        <v>7</v>
      </c>
      <c r="I18" s="15">
        <v>19.5</v>
      </c>
      <c r="J18" s="75">
        <v>195</v>
      </c>
      <c r="K18" s="77">
        <f t="shared" si="0"/>
        <v>3802.5</v>
      </c>
      <c r="L18" s="31"/>
    </row>
    <row r="19" spans="1:12" ht="66">
      <c r="A19" s="12">
        <v>7</v>
      </c>
      <c r="B19" s="13" t="s">
        <v>47</v>
      </c>
      <c r="C19" s="14" t="s">
        <v>48</v>
      </c>
      <c r="D19" s="14" t="s">
        <v>61</v>
      </c>
      <c r="E19" s="14">
        <v>1</v>
      </c>
      <c r="F19" s="14" t="s">
        <v>205</v>
      </c>
      <c r="G19" s="14" t="s">
        <v>9</v>
      </c>
      <c r="H19" s="12" t="s">
        <v>7</v>
      </c>
      <c r="I19" s="15">
        <v>302</v>
      </c>
      <c r="J19" s="75">
        <v>195</v>
      </c>
      <c r="K19" s="77">
        <f t="shared" si="0"/>
        <v>58890</v>
      </c>
      <c r="L19" s="31"/>
    </row>
    <row r="20" spans="1:12" ht="66">
      <c r="A20" s="12">
        <v>8</v>
      </c>
      <c r="B20" s="13" t="s">
        <v>47</v>
      </c>
      <c r="C20" s="14" t="s">
        <v>48</v>
      </c>
      <c r="D20" s="14" t="s">
        <v>61</v>
      </c>
      <c r="E20" s="14">
        <v>1</v>
      </c>
      <c r="F20" s="14" t="s">
        <v>205</v>
      </c>
      <c r="G20" s="14" t="s">
        <v>9</v>
      </c>
      <c r="H20" s="12" t="s">
        <v>7</v>
      </c>
      <c r="I20" s="15">
        <v>302</v>
      </c>
      <c r="J20" s="75">
        <v>195</v>
      </c>
      <c r="K20" s="77">
        <f t="shared" si="0"/>
        <v>58890</v>
      </c>
      <c r="L20" s="31"/>
    </row>
    <row r="21" spans="1:12" ht="39.6">
      <c r="A21" s="12">
        <v>9</v>
      </c>
      <c r="B21" s="13" t="s">
        <v>47</v>
      </c>
      <c r="C21" s="14" t="s">
        <v>48</v>
      </c>
      <c r="D21" s="14" t="s">
        <v>49</v>
      </c>
      <c r="E21" s="14">
        <v>2</v>
      </c>
      <c r="F21" s="14" t="s">
        <v>187</v>
      </c>
      <c r="G21" s="14" t="s">
        <v>314</v>
      </c>
      <c r="H21" s="12" t="s">
        <v>7</v>
      </c>
      <c r="I21" s="15">
        <v>30</v>
      </c>
      <c r="J21" s="75">
        <v>195</v>
      </c>
      <c r="K21" s="77">
        <f t="shared" si="0"/>
        <v>5850</v>
      </c>
      <c r="L21" s="31"/>
    </row>
    <row r="22" spans="1:12" ht="39.6">
      <c r="A22" s="12">
        <v>10</v>
      </c>
      <c r="B22" s="13" t="s">
        <v>47</v>
      </c>
      <c r="C22" s="14" t="s">
        <v>48</v>
      </c>
      <c r="D22" s="14" t="s">
        <v>49</v>
      </c>
      <c r="E22" s="14">
        <v>1</v>
      </c>
      <c r="F22" s="14" t="s">
        <v>147</v>
      </c>
      <c r="G22" s="14" t="s">
        <v>6</v>
      </c>
      <c r="H22" s="12" t="s">
        <v>7</v>
      </c>
      <c r="I22" s="15">
        <v>39.5</v>
      </c>
      <c r="J22" s="75">
        <v>585</v>
      </c>
      <c r="K22" s="77">
        <f t="shared" si="0"/>
        <v>23107.5</v>
      </c>
      <c r="L22" s="31"/>
    </row>
    <row r="23" spans="1:12" ht="39.6">
      <c r="A23" s="12">
        <v>11</v>
      </c>
      <c r="B23" s="13" t="s">
        <v>47</v>
      </c>
      <c r="C23" s="14" t="s">
        <v>48</v>
      </c>
      <c r="D23" s="14" t="s">
        <v>49</v>
      </c>
      <c r="E23" s="14">
        <v>1</v>
      </c>
      <c r="F23" s="14" t="s">
        <v>91</v>
      </c>
      <c r="G23" s="14" t="s">
        <v>6</v>
      </c>
      <c r="H23" s="12" t="s">
        <v>7</v>
      </c>
      <c r="I23" s="15">
        <v>1.9</v>
      </c>
      <c r="J23" s="75">
        <v>585</v>
      </c>
      <c r="K23" s="77">
        <f t="shared" si="0"/>
        <v>1111.5</v>
      </c>
      <c r="L23" s="31"/>
    </row>
    <row r="24" spans="1:12" ht="39.6">
      <c r="A24" s="12">
        <v>12</v>
      </c>
      <c r="B24" s="13" t="s">
        <v>47</v>
      </c>
      <c r="C24" s="14" t="s">
        <v>48</v>
      </c>
      <c r="D24" s="14" t="s">
        <v>49</v>
      </c>
      <c r="E24" s="14">
        <v>1</v>
      </c>
      <c r="F24" s="14" t="s">
        <v>102</v>
      </c>
      <c r="G24" s="14" t="s">
        <v>6</v>
      </c>
      <c r="H24" s="12" t="s">
        <v>7</v>
      </c>
      <c r="I24" s="15">
        <v>34</v>
      </c>
      <c r="J24" s="75">
        <v>585</v>
      </c>
      <c r="K24" s="77">
        <f t="shared" si="0"/>
        <v>19890</v>
      </c>
      <c r="L24" s="31"/>
    </row>
    <row r="25" spans="1:12" ht="39.6">
      <c r="A25" s="12">
        <v>13</v>
      </c>
      <c r="B25" s="13" t="s">
        <v>47</v>
      </c>
      <c r="C25" s="14" t="s">
        <v>48</v>
      </c>
      <c r="D25" s="14" t="s">
        <v>49</v>
      </c>
      <c r="E25" s="14">
        <v>1</v>
      </c>
      <c r="F25" s="14" t="s">
        <v>106</v>
      </c>
      <c r="G25" s="14" t="s">
        <v>6</v>
      </c>
      <c r="H25" s="12" t="s">
        <v>7</v>
      </c>
      <c r="I25" s="15">
        <v>14.4</v>
      </c>
      <c r="J25" s="75">
        <v>585</v>
      </c>
      <c r="K25" s="77">
        <f t="shared" si="0"/>
        <v>8424</v>
      </c>
      <c r="L25" s="31"/>
    </row>
    <row r="26" spans="1:12" ht="39.6">
      <c r="A26" s="12">
        <v>14</v>
      </c>
      <c r="B26" s="13" t="s">
        <v>47</v>
      </c>
      <c r="C26" s="14" t="s">
        <v>48</v>
      </c>
      <c r="D26" s="14" t="s">
        <v>49</v>
      </c>
      <c r="E26" s="14">
        <v>2</v>
      </c>
      <c r="F26" s="14" t="s">
        <v>274</v>
      </c>
      <c r="G26" s="14" t="s">
        <v>6</v>
      </c>
      <c r="H26" s="12" t="s">
        <v>7</v>
      </c>
      <c r="I26" s="15">
        <v>28</v>
      </c>
      <c r="J26" s="75">
        <v>585</v>
      </c>
      <c r="K26" s="77">
        <f t="shared" si="0"/>
        <v>16380</v>
      </c>
      <c r="L26" s="31"/>
    </row>
    <row r="27" spans="1:12" ht="52.8">
      <c r="A27" s="12">
        <v>15</v>
      </c>
      <c r="B27" s="13" t="s">
        <v>47</v>
      </c>
      <c r="C27" s="14" t="s">
        <v>48</v>
      </c>
      <c r="D27" s="14" t="s">
        <v>49</v>
      </c>
      <c r="E27" s="14">
        <v>3</v>
      </c>
      <c r="F27" s="14" t="s">
        <v>271</v>
      </c>
      <c r="G27" s="14" t="s">
        <v>6</v>
      </c>
      <c r="H27" s="12" t="s">
        <v>7</v>
      </c>
      <c r="I27" s="15">
        <v>55.5</v>
      </c>
      <c r="J27" s="75">
        <v>585</v>
      </c>
      <c r="K27" s="77">
        <f t="shared" si="0"/>
        <v>32467.5</v>
      </c>
      <c r="L27" s="31"/>
    </row>
    <row r="28" spans="1:12" ht="27.6">
      <c r="A28" s="12">
        <v>16</v>
      </c>
      <c r="B28" s="13" t="s">
        <v>47</v>
      </c>
      <c r="C28" s="14" t="s">
        <v>48</v>
      </c>
      <c r="D28" s="14" t="s">
        <v>49</v>
      </c>
      <c r="E28" s="14">
        <v>1</v>
      </c>
      <c r="F28" s="14" t="s">
        <v>102</v>
      </c>
      <c r="G28" s="72" t="s">
        <v>15</v>
      </c>
      <c r="H28" s="12" t="s">
        <v>7</v>
      </c>
      <c r="I28" s="15">
        <v>59</v>
      </c>
      <c r="J28" s="75">
        <v>1170</v>
      </c>
      <c r="K28" s="77">
        <f t="shared" si="0"/>
        <v>69030</v>
      </c>
      <c r="L28" s="31"/>
    </row>
    <row r="29" spans="1:12" ht="46.8">
      <c r="A29" s="12">
        <v>17</v>
      </c>
      <c r="B29" s="13" t="s">
        <v>47</v>
      </c>
      <c r="C29" s="14" t="s">
        <v>48</v>
      </c>
      <c r="D29" s="14" t="s">
        <v>49</v>
      </c>
      <c r="E29" s="14">
        <v>1</v>
      </c>
      <c r="F29" s="14" t="s">
        <v>85</v>
      </c>
      <c r="G29" s="21" t="s">
        <v>15</v>
      </c>
      <c r="H29" s="12" t="s">
        <v>7</v>
      </c>
      <c r="I29" s="15">
        <v>20</v>
      </c>
      <c r="J29" s="75">
        <v>1170</v>
      </c>
      <c r="K29" s="77">
        <f t="shared" si="0"/>
        <v>23400</v>
      </c>
      <c r="L29" s="31"/>
    </row>
    <row r="30" spans="1:12" ht="15.6">
      <c r="A30" s="12">
        <v>18</v>
      </c>
      <c r="B30" s="13" t="s">
        <v>47</v>
      </c>
      <c r="C30" s="14" t="s">
        <v>48</v>
      </c>
      <c r="D30" s="14" t="s">
        <v>49</v>
      </c>
      <c r="E30" s="14">
        <v>1</v>
      </c>
      <c r="F30" s="73" t="s">
        <v>315</v>
      </c>
      <c r="G30" s="39" t="s">
        <v>316</v>
      </c>
      <c r="H30" s="12" t="s">
        <v>285</v>
      </c>
      <c r="I30" s="15">
        <v>109</v>
      </c>
      <c r="J30" s="75">
        <v>800</v>
      </c>
      <c r="K30" s="77">
        <f t="shared" si="0"/>
        <v>87200</v>
      </c>
      <c r="L30" s="31"/>
    </row>
    <row r="31" spans="1:12">
      <c r="A31" s="12">
        <v>19</v>
      </c>
      <c r="B31" s="13" t="s">
        <v>47</v>
      </c>
      <c r="C31" s="14" t="s">
        <v>48</v>
      </c>
      <c r="D31" s="14" t="s">
        <v>49</v>
      </c>
      <c r="E31" s="3">
        <v>1.2</v>
      </c>
      <c r="F31" s="74" t="s">
        <v>317</v>
      </c>
      <c r="G31" s="73" t="s">
        <v>318</v>
      </c>
      <c r="H31" s="12" t="s">
        <v>285</v>
      </c>
      <c r="I31" s="15">
        <v>73</v>
      </c>
      <c r="J31" s="76">
        <v>300</v>
      </c>
      <c r="K31" s="77">
        <f t="shared" si="0"/>
        <v>21900</v>
      </c>
      <c r="L31" s="31"/>
    </row>
    <row r="32" spans="1:12">
      <c r="A32" s="12">
        <v>20</v>
      </c>
      <c r="B32" s="13" t="s">
        <v>47</v>
      </c>
      <c r="C32" s="14" t="s">
        <v>48</v>
      </c>
      <c r="D32" s="14" t="s">
        <v>49</v>
      </c>
      <c r="E32" s="14">
        <v>1</v>
      </c>
      <c r="F32" s="74" t="s">
        <v>319</v>
      </c>
      <c r="G32" s="14" t="s">
        <v>11</v>
      </c>
      <c r="H32" s="12" t="s">
        <v>285</v>
      </c>
      <c r="I32" s="15">
        <v>286</v>
      </c>
      <c r="J32" s="76">
        <v>50</v>
      </c>
      <c r="K32" s="77">
        <f t="shared" si="0"/>
        <v>14300</v>
      </c>
      <c r="L32" s="31"/>
    </row>
    <row r="33" spans="1:12" ht="39.6">
      <c r="A33" s="12">
        <v>21</v>
      </c>
      <c r="B33" s="13" t="s">
        <v>47</v>
      </c>
      <c r="C33" s="14" t="s">
        <v>48</v>
      </c>
      <c r="D33" s="14" t="s">
        <v>49</v>
      </c>
      <c r="E33" s="14">
        <v>1</v>
      </c>
      <c r="F33" s="14" t="s">
        <v>110</v>
      </c>
      <c r="G33" s="14" t="s">
        <v>314</v>
      </c>
      <c r="H33" s="12" t="s">
        <v>7</v>
      </c>
      <c r="I33" s="15">
        <v>233</v>
      </c>
      <c r="J33" s="76">
        <v>195</v>
      </c>
      <c r="K33" s="77">
        <f t="shared" si="0"/>
        <v>45435</v>
      </c>
      <c r="L33" s="31"/>
    </row>
    <row r="34" spans="1:12" ht="52.8">
      <c r="A34" s="12">
        <v>22</v>
      </c>
      <c r="B34" s="13" t="s">
        <v>47</v>
      </c>
      <c r="C34" s="14" t="s">
        <v>48</v>
      </c>
      <c r="D34" s="14" t="s">
        <v>49</v>
      </c>
      <c r="E34" s="14">
        <v>3</v>
      </c>
      <c r="F34" s="14" t="s">
        <v>271</v>
      </c>
      <c r="G34" s="14" t="s">
        <v>314</v>
      </c>
      <c r="H34" s="12" t="s">
        <v>7</v>
      </c>
      <c r="I34" s="15">
        <v>55.5</v>
      </c>
      <c r="J34" s="76">
        <v>195</v>
      </c>
      <c r="K34" s="77">
        <f t="shared" si="0"/>
        <v>10822.5</v>
      </c>
      <c r="L34" s="31"/>
    </row>
    <row r="35" spans="1:12" ht="31.8" customHeight="1">
      <c r="A35" s="71" t="s">
        <v>50</v>
      </c>
      <c r="B35" s="144"/>
      <c r="C35" s="145"/>
      <c r="D35" s="145"/>
      <c r="E35" s="145"/>
      <c r="F35" s="145"/>
      <c r="G35" s="145"/>
      <c r="H35" s="145"/>
      <c r="I35" s="145"/>
      <c r="J35" s="146"/>
      <c r="K35" s="78">
        <f>SUM(K13:K34)</f>
        <v>594110.5</v>
      </c>
      <c r="L35" s="16"/>
    </row>
    <row r="38" spans="1:12">
      <c r="A38" s="3"/>
      <c r="B38" s="3"/>
      <c r="C38" s="3"/>
      <c r="D38" s="3"/>
      <c r="E38" s="3"/>
      <c r="F38" s="3"/>
      <c r="G38" s="3"/>
      <c r="H38" s="3"/>
      <c r="I38" s="3"/>
    </row>
    <row r="49" spans="1:26" ht="66" customHeight="1">
      <c r="A49" s="3"/>
      <c r="B49" s="3"/>
      <c r="C49" s="7" t="s">
        <v>29</v>
      </c>
      <c r="D49" s="7">
        <v>2</v>
      </c>
      <c r="E49" s="3"/>
      <c r="F49" s="3"/>
      <c r="G49" s="8" t="s">
        <v>30</v>
      </c>
      <c r="H49" s="7" t="s">
        <v>31</v>
      </c>
      <c r="I49" s="9">
        <v>45962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200000000000003" customHeight="1">
      <c r="A50" s="3"/>
      <c r="B50" s="3"/>
      <c r="C50" s="10"/>
      <c r="D50" s="3"/>
      <c r="E50" s="3"/>
      <c r="F50" s="3"/>
      <c r="G50" s="3"/>
      <c r="H50" s="7" t="s">
        <v>32</v>
      </c>
      <c r="I50" s="9">
        <v>45971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7.6">
      <c r="A52" s="3"/>
      <c r="B52" s="3"/>
      <c r="C52" s="7" t="s">
        <v>33</v>
      </c>
      <c r="D52" s="143" t="s">
        <v>217</v>
      </c>
      <c r="E52" s="143"/>
      <c r="F52" s="14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8.8" customHeight="1">
      <c r="A54" s="3"/>
      <c r="B54" s="3"/>
      <c r="C54" s="7" t="s">
        <v>34</v>
      </c>
      <c r="D54" s="143" t="s">
        <v>218</v>
      </c>
      <c r="E54" s="143"/>
      <c r="F54" s="14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7" t="s">
        <v>35</v>
      </c>
      <c r="D56" s="143" t="s">
        <v>36</v>
      </c>
      <c r="E56" s="143"/>
      <c r="F56" s="14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6.2" customHeight="1">
      <c r="A59" s="11" t="s">
        <v>37</v>
      </c>
      <c r="B59" s="11" t="s">
        <v>38</v>
      </c>
      <c r="C59" s="11" t="s">
        <v>39</v>
      </c>
      <c r="D59" s="11" t="s">
        <v>39</v>
      </c>
      <c r="E59" s="11" t="s">
        <v>40</v>
      </c>
      <c r="F59" s="11" t="s">
        <v>41</v>
      </c>
      <c r="G59" s="11" t="s">
        <v>2</v>
      </c>
      <c r="H59" s="11" t="s">
        <v>42</v>
      </c>
      <c r="I59" s="11" t="s">
        <v>43</v>
      </c>
      <c r="J59" s="11" t="s">
        <v>44</v>
      </c>
      <c r="K59" s="11" t="s">
        <v>45</v>
      </c>
      <c r="L59" s="11" t="s">
        <v>46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6.4">
      <c r="A60" s="12">
        <v>1</v>
      </c>
      <c r="B60" s="13" t="s">
        <v>47</v>
      </c>
      <c r="C60" s="14" t="s">
        <v>48</v>
      </c>
      <c r="D60" s="14" t="s">
        <v>61</v>
      </c>
      <c r="E60" s="35">
        <v>1</v>
      </c>
      <c r="F60" s="14" t="s">
        <v>112</v>
      </c>
      <c r="G60" s="14" t="s">
        <v>278</v>
      </c>
      <c r="H60" s="12" t="s">
        <v>7</v>
      </c>
      <c r="I60" s="15">
        <v>54</v>
      </c>
      <c r="J60" s="54">
        <v>250</v>
      </c>
      <c r="K60" s="33">
        <f>I60*J60</f>
        <v>13500</v>
      </c>
      <c r="L60" s="1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6.4">
      <c r="A61" s="12">
        <v>1</v>
      </c>
      <c r="B61" s="13" t="s">
        <v>47</v>
      </c>
      <c r="C61" s="14" t="s">
        <v>48</v>
      </c>
      <c r="D61" s="14" t="s">
        <v>49</v>
      </c>
      <c r="E61" s="35">
        <v>1</v>
      </c>
      <c r="F61" s="14" t="s">
        <v>112</v>
      </c>
      <c r="G61" s="14" t="s">
        <v>278</v>
      </c>
      <c r="H61" s="12" t="s">
        <v>7</v>
      </c>
      <c r="I61" s="15">
        <v>132</v>
      </c>
      <c r="J61" s="54">
        <v>195</v>
      </c>
      <c r="K61" s="33">
        <f t="shared" ref="K61:K89" si="1">I61*J61</f>
        <v>25740</v>
      </c>
      <c r="L61" s="1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6.4">
      <c r="A62" s="12">
        <v>1</v>
      </c>
      <c r="B62" s="13" t="s">
        <v>47</v>
      </c>
      <c r="C62" s="14" t="s">
        <v>48</v>
      </c>
      <c r="D62" s="14" t="s">
        <v>49</v>
      </c>
      <c r="E62" s="35">
        <v>1</v>
      </c>
      <c r="F62" s="14" t="s">
        <v>115</v>
      </c>
      <c r="G62" s="14" t="s">
        <v>278</v>
      </c>
      <c r="H62" s="12" t="s">
        <v>7</v>
      </c>
      <c r="I62" s="15">
        <v>58.5</v>
      </c>
      <c r="J62" s="54">
        <v>195</v>
      </c>
      <c r="K62" s="33">
        <f t="shared" si="1"/>
        <v>11407.5</v>
      </c>
      <c r="L62" s="1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6.4">
      <c r="A63" s="12">
        <v>1</v>
      </c>
      <c r="B63" s="13" t="s">
        <v>47</v>
      </c>
      <c r="C63" s="14" t="s">
        <v>48</v>
      </c>
      <c r="D63" s="14" t="s">
        <v>49</v>
      </c>
      <c r="E63" s="35">
        <v>1</v>
      </c>
      <c r="F63" s="14" t="s">
        <v>85</v>
      </c>
      <c r="G63" s="14" t="s">
        <v>278</v>
      </c>
      <c r="H63" s="12" t="s">
        <v>7</v>
      </c>
      <c r="I63" s="15">
        <v>9.5</v>
      </c>
      <c r="J63" s="54">
        <v>195</v>
      </c>
      <c r="K63" s="33">
        <f t="shared" si="1"/>
        <v>1852.5</v>
      </c>
      <c r="L63" s="1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9.6">
      <c r="A64" s="12">
        <v>1</v>
      </c>
      <c r="B64" s="13" t="s">
        <v>47</v>
      </c>
      <c r="C64" s="14" t="s">
        <v>48</v>
      </c>
      <c r="D64" s="14" t="s">
        <v>49</v>
      </c>
      <c r="E64" s="35">
        <v>2</v>
      </c>
      <c r="F64" s="14" t="s">
        <v>274</v>
      </c>
      <c r="G64" s="14" t="s">
        <v>278</v>
      </c>
      <c r="H64" s="12" t="s">
        <v>7</v>
      </c>
      <c r="I64" s="15">
        <v>80</v>
      </c>
      <c r="J64" s="54">
        <v>195</v>
      </c>
      <c r="K64" s="33">
        <f t="shared" si="1"/>
        <v>15600</v>
      </c>
      <c r="L64" s="1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6.4">
      <c r="A65" s="12">
        <v>1</v>
      </c>
      <c r="B65" s="13" t="s">
        <v>47</v>
      </c>
      <c r="C65" s="14" t="s">
        <v>48</v>
      </c>
      <c r="D65" s="14" t="s">
        <v>49</v>
      </c>
      <c r="E65" s="35">
        <v>2</v>
      </c>
      <c r="F65" s="14" t="s">
        <v>183</v>
      </c>
      <c r="G65" s="14" t="s">
        <v>278</v>
      </c>
      <c r="H65" s="12" t="s">
        <v>7</v>
      </c>
      <c r="I65" s="15">
        <v>31</v>
      </c>
      <c r="J65" s="54">
        <v>195</v>
      </c>
      <c r="K65" s="33">
        <f t="shared" si="1"/>
        <v>6045</v>
      </c>
      <c r="L65" s="1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6.4">
      <c r="A66" s="12">
        <v>1</v>
      </c>
      <c r="B66" s="13" t="s">
        <v>47</v>
      </c>
      <c r="C66" s="14" t="s">
        <v>48</v>
      </c>
      <c r="D66" s="14" t="s">
        <v>49</v>
      </c>
      <c r="E66" s="35">
        <v>1</v>
      </c>
      <c r="F66" s="14" t="s">
        <v>139</v>
      </c>
      <c r="G66" s="14" t="s">
        <v>278</v>
      </c>
      <c r="H66" s="12" t="s">
        <v>7</v>
      </c>
      <c r="I66" s="15">
        <v>83</v>
      </c>
      <c r="J66" s="54">
        <v>195</v>
      </c>
      <c r="K66" s="33">
        <f t="shared" si="1"/>
        <v>16185</v>
      </c>
      <c r="L66" s="1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6.4">
      <c r="A67" s="12">
        <v>1</v>
      </c>
      <c r="B67" s="13" t="s">
        <v>47</v>
      </c>
      <c r="C67" s="14" t="s">
        <v>48</v>
      </c>
      <c r="D67" s="14" t="s">
        <v>49</v>
      </c>
      <c r="E67" s="35">
        <v>1</v>
      </c>
      <c r="F67" s="14" t="s">
        <v>90</v>
      </c>
      <c r="G67" s="14" t="s">
        <v>278</v>
      </c>
      <c r="H67" s="12" t="s">
        <v>7</v>
      </c>
      <c r="I67" s="15">
        <v>77.5</v>
      </c>
      <c r="J67" s="54">
        <v>195</v>
      </c>
      <c r="K67" s="33">
        <f t="shared" si="1"/>
        <v>15112.5</v>
      </c>
      <c r="L67" s="1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6.4">
      <c r="A68" s="12">
        <v>1</v>
      </c>
      <c r="B68" s="13" t="s">
        <v>47</v>
      </c>
      <c r="C68" s="14" t="s">
        <v>48</v>
      </c>
      <c r="D68" s="14" t="s">
        <v>49</v>
      </c>
      <c r="E68" s="35">
        <v>1</v>
      </c>
      <c r="F68" s="14" t="s">
        <v>92</v>
      </c>
      <c r="G68" s="14" t="s">
        <v>278</v>
      </c>
      <c r="H68" s="12" t="s">
        <v>7</v>
      </c>
      <c r="I68" s="15">
        <v>29.3</v>
      </c>
      <c r="J68" s="54">
        <v>195</v>
      </c>
      <c r="K68" s="33">
        <f t="shared" si="1"/>
        <v>5713.5</v>
      </c>
      <c r="L68" s="1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6.4">
      <c r="A69" s="12">
        <v>1</v>
      </c>
      <c r="B69" s="13" t="s">
        <v>47</v>
      </c>
      <c r="C69" s="14" t="s">
        <v>48</v>
      </c>
      <c r="D69" s="14" t="s">
        <v>49</v>
      </c>
      <c r="E69" s="35">
        <v>1</v>
      </c>
      <c r="F69" s="14" t="s">
        <v>94</v>
      </c>
      <c r="G69" s="14" t="s">
        <v>278</v>
      </c>
      <c r="H69" s="12" t="s">
        <v>7</v>
      </c>
      <c r="I69" s="15">
        <v>22.4</v>
      </c>
      <c r="J69" s="54">
        <v>195</v>
      </c>
      <c r="K69" s="33">
        <f t="shared" si="1"/>
        <v>4368</v>
      </c>
      <c r="L69" s="1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6.4">
      <c r="A70" s="12">
        <v>1</v>
      </c>
      <c r="B70" s="13" t="s">
        <v>47</v>
      </c>
      <c r="C70" s="14" t="s">
        <v>48</v>
      </c>
      <c r="D70" s="14" t="s">
        <v>49</v>
      </c>
      <c r="E70" s="35">
        <v>1</v>
      </c>
      <c r="F70" s="14" t="s">
        <v>153</v>
      </c>
      <c r="G70" s="14" t="s">
        <v>278</v>
      </c>
      <c r="H70" s="12" t="s">
        <v>7</v>
      </c>
      <c r="I70" s="15">
        <v>36</v>
      </c>
      <c r="J70" s="54">
        <v>195</v>
      </c>
      <c r="K70" s="33">
        <f t="shared" si="1"/>
        <v>7020</v>
      </c>
      <c r="L70" s="1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6.4">
      <c r="A71" s="12">
        <v>1</v>
      </c>
      <c r="B71" s="13" t="s">
        <v>47</v>
      </c>
      <c r="C71" s="14" t="s">
        <v>48</v>
      </c>
      <c r="D71" s="14" t="s">
        <v>49</v>
      </c>
      <c r="E71" s="35">
        <v>1</v>
      </c>
      <c r="F71" s="14" t="s">
        <v>117</v>
      </c>
      <c r="G71" s="14" t="s">
        <v>278</v>
      </c>
      <c r="H71" s="12" t="s">
        <v>7</v>
      </c>
      <c r="I71" s="15">
        <v>41.5</v>
      </c>
      <c r="J71" s="54">
        <v>195</v>
      </c>
      <c r="K71" s="33">
        <f t="shared" si="1"/>
        <v>8092.5</v>
      </c>
      <c r="L71" s="1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6.4">
      <c r="A72" s="12">
        <v>1</v>
      </c>
      <c r="B72" s="13" t="s">
        <v>47</v>
      </c>
      <c r="C72" s="14" t="s">
        <v>48</v>
      </c>
      <c r="D72" s="14" t="s">
        <v>49</v>
      </c>
      <c r="E72" s="35">
        <v>1</v>
      </c>
      <c r="F72" s="14" t="s">
        <v>89</v>
      </c>
      <c r="G72" s="14" t="s">
        <v>278</v>
      </c>
      <c r="H72" s="12" t="s">
        <v>7</v>
      </c>
      <c r="I72" s="15">
        <v>62</v>
      </c>
      <c r="J72" s="54">
        <v>195</v>
      </c>
      <c r="K72" s="33">
        <f t="shared" si="1"/>
        <v>12090</v>
      </c>
      <c r="L72" s="1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6.4">
      <c r="A73" s="12">
        <v>1</v>
      </c>
      <c r="B73" s="13" t="s">
        <v>47</v>
      </c>
      <c r="C73" s="14" t="s">
        <v>48</v>
      </c>
      <c r="D73" s="14" t="s">
        <v>49</v>
      </c>
      <c r="E73" s="35">
        <v>1</v>
      </c>
      <c r="F73" s="14" t="s">
        <v>107</v>
      </c>
      <c r="G73" s="14" t="s">
        <v>277</v>
      </c>
      <c r="H73" s="12" t="s">
        <v>7</v>
      </c>
      <c r="I73" s="15">
        <v>77</v>
      </c>
      <c r="J73" s="54">
        <v>195</v>
      </c>
      <c r="K73" s="33">
        <f t="shared" si="1"/>
        <v>15015</v>
      </c>
      <c r="L73" s="1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9.6">
      <c r="A74" s="12">
        <v>1</v>
      </c>
      <c r="B74" s="13" t="s">
        <v>47</v>
      </c>
      <c r="C74" s="14" t="s">
        <v>48</v>
      </c>
      <c r="D74" s="14" t="s">
        <v>49</v>
      </c>
      <c r="E74" s="35">
        <v>1</v>
      </c>
      <c r="F74" s="14" t="s">
        <v>145</v>
      </c>
      <c r="G74" s="14" t="s">
        <v>6</v>
      </c>
      <c r="H74" s="12" t="s">
        <v>7</v>
      </c>
      <c r="I74" s="15">
        <v>79.3</v>
      </c>
      <c r="J74" s="54">
        <v>585</v>
      </c>
      <c r="K74" s="33">
        <f t="shared" si="1"/>
        <v>46390.5</v>
      </c>
      <c r="L74" s="1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9.6">
      <c r="A75" s="12">
        <v>1</v>
      </c>
      <c r="B75" s="13" t="s">
        <v>47</v>
      </c>
      <c r="C75" s="14" t="s">
        <v>48</v>
      </c>
      <c r="D75" s="14" t="s">
        <v>49</v>
      </c>
      <c r="E75" s="35">
        <v>2</v>
      </c>
      <c r="F75" s="14" t="s">
        <v>183</v>
      </c>
      <c r="G75" s="14" t="s">
        <v>6</v>
      </c>
      <c r="H75" s="12" t="s">
        <v>7</v>
      </c>
      <c r="I75" s="15">
        <v>62</v>
      </c>
      <c r="J75" s="54">
        <v>585</v>
      </c>
      <c r="K75" s="33">
        <f t="shared" si="1"/>
        <v>36270</v>
      </c>
      <c r="L75" s="1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9.6">
      <c r="A76" s="12">
        <v>1</v>
      </c>
      <c r="B76" s="13" t="s">
        <v>47</v>
      </c>
      <c r="C76" s="14" t="s">
        <v>48</v>
      </c>
      <c r="D76" s="14" t="s">
        <v>49</v>
      </c>
      <c r="E76" s="35">
        <v>2</v>
      </c>
      <c r="F76" s="14" t="s">
        <v>274</v>
      </c>
      <c r="G76" s="14" t="s">
        <v>6</v>
      </c>
      <c r="H76" s="12" t="s">
        <v>7</v>
      </c>
      <c r="I76" s="15">
        <v>14</v>
      </c>
      <c r="J76" s="54">
        <v>585</v>
      </c>
      <c r="K76" s="33">
        <f t="shared" si="1"/>
        <v>8190</v>
      </c>
      <c r="L76" s="1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9.6">
      <c r="A77" s="12">
        <v>1</v>
      </c>
      <c r="B77" s="13" t="s">
        <v>47</v>
      </c>
      <c r="C77" s="14" t="s">
        <v>48</v>
      </c>
      <c r="D77" s="14" t="s">
        <v>49</v>
      </c>
      <c r="E77" s="35">
        <v>1</v>
      </c>
      <c r="F77" s="14" t="s">
        <v>139</v>
      </c>
      <c r="G77" s="14" t="s">
        <v>6</v>
      </c>
      <c r="H77" s="12" t="s">
        <v>7</v>
      </c>
      <c r="I77" s="15">
        <v>17</v>
      </c>
      <c r="J77" s="54">
        <v>585</v>
      </c>
      <c r="K77" s="33">
        <f t="shared" si="1"/>
        <v>9945</v>
      </c>
      <c r="L77" s="1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9.6">
      <c r="A78" s="12">
        <v>1</v>
      </c>
      <c r="B78" s="13" t="s">
        <v>47</v>
      </c>
      <c r="C78" s="14" t="s">
        <v>48</v>
      </c>
      <c r="D78" s="14" t="s">
        <v>49</v>
      </c>
      <c r="E78" s="35">
        <v>1</v>
      </c>
      <c r="F78" s="14" t="s">
        <v>92</v>
      </c>
      <c r="G78" s="14" t="s">
        <v>6</v>
      </c>
      <c r="H78" s="12" t="s">
        <v>7</v>
      </c>
      <c r="I78" s="15">
        <v>62</v>
      </c>
      <c r="J78" s="54">
        <v>585</v>
      </c>
      <c r="K78" s="33">
        <f t="shared" si="1"/>
        <v>36270</v>
      </c>
      <c r="L78" s="1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9.6">
      <c r="A79" s="12">
        <v>1</v>
      </c>
      <c r="B79" s="13" t="s">
        <v>47</v>
      </c>
      <c r="C79" s="14" t="s">
        <v>48</v>
      </c>
      <c r="D79" s="14" t="s">
        <v>49</v>
      </c>
      <c r="E79" s="35">
        <v>1</v>
      </c>
      <c r="F79" s="14" t="s">
        <v>94</v>
      </c>
      <c r="G79" s="14" t="s">
        <v>6</v>
      </c>
      <c r="H79" s="12" t="s">
        <v>7</v>
      </c>
      <c r="I79" s="15">
        <v>51</v>
      </c>
      <c r="J79" s="54">
        <v>585</v>
      </c>
      <c r="K79" s="33">
        <f t="shared" si="1"/>
        <v>29835</v>
      </c>
      <c r="L79" s="1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9.6">
      <c r="A80" s="12">
        <v>1</v>
      </c>
      <c r="B80" s="13" t="s">
        <v>47</v>
      </c>
      <c r="C80" s="14" t="s">
        <v>48</v>
      </c>
      <c r="D80" s="14" t="s">
        <v>49</v>
      </c>
      <c r="E80" s="35">
        <v>1</v>
      </c>
      <c r="F80" s="14" t="s">
        <v>139</v>
      </c>
      <c r="G80" s="14" t="s">
        <v>6</v>
      </c>
      <c r="H80" s="12" t="s">
        <v>7</v>
      </c>
      <c r="I80" s="15">
        <v>11</v>
      </c>
      <c r="J80" s="54">
        <v>585</v>
      </c>
      <c r="K80" s="33">
        <f t="shared" si="1"/>
        <v>6435</v>
      </c>
      <c r="L80" s="1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9.6">
      <c r="A81" s="12">
        <v>1</v>
      </c>
      <c r="B81" s="13" t="s">
        <v>47</v>
      </c>
      <c r="C81" s="14" t="s">
        <v>48</v>
      </c>
      <c r="D81" s="14" t="s">
        <v>49</v>
      </c>
      <c r="E81" s="35">
        <v>1</v>
      </c>
      <c r="F81" s="14" t="s">
        <v>90</v>
      </c>
      <c r="G81" s="14" t="s">
        <v>6</v>
      </c>
      <c r="H81" s="12" t="s">
        <v>7</v>
      </c>
      <c r="I81" s="15">
        <v>31.5</v>
      </c>
      <c r="J81" s="54">
        <v>585</v>
      </c>
      <c r="K81" s="33">
        <f t="shared" si="1"/>
        <v>18427.5</v>
      </c>
      <c r="L81" s="1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9.6">
      <c r="A82" s="12">
        <v>1</v>
      </c>
      <c r="B82" s="13" t="s">
        <v>60</v>
      </c>
      <c r="C82" s="14" t="s">
        <v>48</v>
      </c>
      <c r="D82" s="14" t="s">
        <v>49</v>
      </c>
      <c r="E82" s="35">
        <v>1</v>
      </c>
      <c r="F82" s="14" t="s">
        <v>151</v>
      </c>
      <c r="G82" s="14" t="s">
        <v>6</v>
      </c>
      <c r="H82" s="12" t="s">
        <v>7</v>
      </c>
      <c r="I82" s="15">
        <v>80</v>
      </c>
      <c r="J82" s="54">
        <v>585</v>
      </c>
      <c r="K82" s="33">
        <f t="shared" si="1"/>
        <v>46800</v>
      </c>
      <c r="L82" s="1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6" customHeight="1">
      <c r="A83" s="12">
        <v>1</v>
      </c>
      <c r="B83" s="13" t="s">
        <v>47</v>
      </c>
      <c r="C83" s="14" t="s">
        <v>48</v>
      </c>
      <c r="D83" s="14" t="s">
        <v>49</v>
      </c>
      <c r="E83" s="35"/>
      <c r="F83" s="39" t="s">
        <v>284</v>
      </c>
      <c r="G83" s="38" t="s">
        <v>283</v>
      </c>
      <c r="H83" s="12" t="s">
        <v>7</v>
      </c>
      <c r="I83" s="15">
        <v>11.4</v>
      </c>
      <c r="J83" s="54">
        <v>800</v>
      </c>
      <c r="K83" s="33">
        <f t="shared" si="1"/>
        <v>9120</v>
      </c>
      <c r="L83" s="1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6.4">
      <c r="A84" s="12">
        <v>1</v>
      </c>
      <c r="B84" s="13" t="s">
        <v>47</v>
      </c>
      <c r="C84" s="14" t="s">
        <v>48</v>
      </c>
      <c r="D84" s="14" t="s">
        <v>49</v>
      </c>
      <c r="E84" s="35">
        <v>2</v>
      </c>
      <c r="F84" s="14" t="s">
        <v>183</v>
      </c>
      <c r="G84" s="14" t="s">
        <v>15</v>
      </c>
      <c r="H84" s="12" t="s">
        <v>7</v>
      </c>
      <c r="I84" s="15">
        <v>19.2</v>
      </c>
      <c r="J84" s="54">
        <v>1170</v>
      </c>
      <c r="K84" s="33">
        <f t="shared" si="1"/>
        <v>22464</v>
      </c>
      <c r="L84" s="1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6.4">
      <c r="A85" s="12">
        <v>1</v>
      </c>
      <c r="B85" s="13" t="s">
        <v>47</v>
      </c>
      <c r="C85" s="14" t="s">
        <v>48</v>
      </c>
      <c r="D85" s="14" t="s">
        <v>49</v>
      </c>
      <c r="E85" s="35">
        <v>2</v>
      </c>
      <c r="F85" s="14" t="s">
        <v>180</v>
      </c>
      <c r="G85" s="14" t="s">
        <v>15</v>
      </c>
      <c r="H85" s="12" t="s">
        <v>7</v>
      </c>
      <c r="I85" s="15">
        <v>27.2</v>
      </c>
      <c r="J85" s="54">
        <v>1170</v>
      </c>
      <c r="K85" s="33">
        <f t="shared" si="1"/>
        <v>31824</v>
      </c>
      <c r="L85" s="1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6.4">
      <c r="A86" s="12">
        <v>1</v>
      </c>
      <c r="B86" s="13" t="s">
        <v>47</v>
      </c>
      <c r="C86" s="14" t="s">
        <v>48</v>
      </c>
      <c r="D86" s="14" t="s">
        <v>49</v>
      </c>
      <c r="E86" s="35">
        <v>2</v>
      </c>
      <c r="F86" s="14" t="s">
        <v>187</v>
      </c>
      <c r="G86" s="14" t="s">
        <v>15</v>
      </c>
      <c r="H86" s="12" t="s">
        <v>7</v>
      </c>
      <c r="I86" s="15">
        <v>15.6</v>
      </c>
      <c r="J86" s="54">
        <v>1170</v>
      </c>
      <c r="K86" s="33">
        <f t="shared" si="1"/>
        <v>18252</v>
      </c>
      <c r="L86" s="1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9.6">
      <c r="A87" s="12">
        <v>1</v>
      </c>
      <c r="B87" s="13" t="s">
        <v>47</v>
      </c>
      <c r="C87" s="14" t="s">
        <v>48</v>
      </c>
      <c r="D87" s="14" t="s">
        <v>58</v>
      </c>
      <c r="E87" s="35">
        <v>1</v>
      </c>
      <c r="F87" s="14" t="s">
        <v>139</v>
      </c>
      <c r="G87" s="14" t="s">
        <v>14</v>
      </c>
      <c r="H87" s="12" t="s">
        <v>7</v>
      </c>
      <c r="I87" s="15">
        <v>88.8</v>
      </c>
      <c r="J87" s="54">
        <v>1170</v>
      </c>
      <c r="K87" s="33">
        <f t="shared" si="1"/>
        <v>103896</v>
      </c>
      <c r="L87" s="1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9.6">
      <c r="A88" s="12">
        <v>1</v>
      </c>
      <c r="B88" s="13" t="s">
        <v>47</v>
      </c>
      <c r="C88" s="14" t="s">
        <v>48</v>
      </c>
      <c r="D88" s="14" t="s">
        <v>58</v>
      </c>
      <c r="E88" s="35">
        <v>1</v>
      </c>
      <c r="F88" s="14" t="s">
        <v>141</v>
      </c>
      <c r="G88" s="14" t="s">
        <v>14</v>
      </c>
      <c r="H88" s="12" t="s">
        <v>7</v>
      </c>
      <c r="I88" s="15">
        <v>6.3</v>
      </c>
      <c r="J88" s="54">
        <v>1170</v>
      </c>
      <c r="K88" s="33">
        <f t="shared" si="1"/>
        <v>7371</v>
      </c>
      <c r="L88" s="1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9.6">
      <c r="A89" s="12">
        <v>1</v>
      </c>
      <c r="B89" s="13" t="s">
        <v>47</v>
      </c>
      <c r="C89" s="14" t="s">
        <v>48</v>
      </c>
      <c r="D89" s="14" t="s">
        <v>58</v>
      </c>
      <c r="E89" s="35">
        <v>1</v>
      </c>
      <c r="F89" s="14" t="s">
        <v>151</v>
      </c>
      <c r="G89" s="14" t="s">
        <v>14</v>
      </c>
      <c r="H89" s="12" t="s">
        <v>7</v>
      </c>
      <c r="I89" s="15">
        <v>30.6</v>
      </c>
      <c r="J89" s="54">
        <v>1170</v>
      </c>
      <c r="K89" s="33">
        <f t="shared" si="1"/>
        <v>35802</v>
      </c>
      <c r="L89" s="1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.4">
      <c r="A90" s="12">
        <v>1</v>
      </c>
      <c r="B90" s="13" t="s">
        <v>47</v>
      </c>
      <c r="C90" s="14" t="s">
        <v>48</v>
      </c>
      <c r="D90" s="14" t="s">
        <v>49</v>
      </c>
      <c r="E90" s="35">
        <v>1</v>
      </c>
      <c r="F90" s="14" t="s">
        <v>151</v>
      </c>
      <c r="G90" s="14" t="s">
        <v>15</v>
      </c>
      <c r="H90" s="12" t="s">
        <v>7</v>
      </c>
      <c r="I90" s="15">
        <v>37.200000000000003</v>
      </c>
      <c r="J90" s="54">
        <v>1170</v>
      </c>
      <c r="K90" s="33">
        <f t="shared" ref="K90:K104" si="2">I90*J90</f>
        <v>43524</v>
      </c>
      <c r="L90" s="1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9.6">
      <c r="A91" s="12">
        <v>1</v>
      </c>
      <c r="B91" s="13" t="s">
        <v>47</v>
      </c>
      <c r="C91" s="14" t="s">
        <v>48</v>
      </c>
      <c r="D91" s="14" t="s">
        <v>58</v>
      </c>
      <c r="E91" s="35">
        <v>1</v>
      </c>
      <c r="F91" s="14" t="s">
        <v>160</v>
      </c>
      <c r="G91" s="14" t="s">
        <v>14</v>
      </c>
      <c r="H91" s="12" t="s">
        <v>7</v>
      </c>
      <c r="I91" s="15">
        <v>5.8</v>
      </c>
      <c r="J91" s="54">
        <v>1170</v>
      </c>
      <c r="K91" s="33">
        <f t="shared" si="2"/>
        <v>6786</v>
      </c>
      <c r="L91" s="1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9.6">
      <c r="A92" s="12">
        <v>1</v>
      </c>
      <c r="B92" s="13" t="s">
        <v>47</v>
      </c>
      <c r="C92" s="14" t="s">
        <v>48</v>
      </c>
      <c r="D92" s="14" t="s">
        <v>58</v>
      </c>
      <c r="E92" s="35">
        <v>1</v>
      </c>
      <c r="F92" s="14" t="s">
        <v>145</v>
      </c>
      <c r="G92" s="14" t="s">
        <v>14</v>
      </c>
      <c r="H92" s="12" t="s">
        <v>7</v>
      </c>
      <c r="I92" s="15">
        <v>71</v>
      </c>
      <c r="J92" s="54">
        <v>1170</v>
      </c>
      <c r="K92" s="33">
        <f t="shared" si="2"/>
        <v>83070</v>
      </c>
      <c r="L92" s="16"/>
      <c r="M92" s="1"/>
      <c r="N92" s="1"/>
      <c r="O92" s="1"/>
      <c r="P92" s="1"/>
      <c r="Q92" s="1"/>
      <c r="R92" s="3"/>
      <c r="S92" s="3"/>
      <c r="T92" s="3"/>
      <c r="U92" s="3"/>
      <c r="V92" s="3"/>
      <c r="W92" s="3"/>
      <c r="X92" s="3"/>
      <c r="Y92" s="3"/>
      <c r="Z92" s="3"/>
    </row>
    <row r="93" spans="1:26" ht="26.4">
      <c r="A93" s="12">
        <v>1</v>
      </c>
      <c r="B93" s="13" t="s">
        <v>47</v>
      </c>
      <c r="C93" s="14" t="s">
        <v>48</v>
      </c>
      <c r="D93" s="14" t="s">
        <v>49</v>
      </c>
      <c r="E93" s="35">
        <v>1</v>
      </c>
      <c r="F93" s="14" t="s">
        <v>145</v>
      </c>
      <c r="G93" s="14" t="s">
        <v>15</v>
      </c>
      <c r="H93" s="12" t="s">
        <v>7</v>
      </c>
      <c r="I93" s="15">
        <v>37.200000000000003</v>
      </c>
      <c r="J93" s="54">
        <v>1170</v>
      </c>
      <c r="K93" s="33">
        <f t="shared" si="2"/>
        <v>43524</v>
      </c>
      <c r="L93" s="16"/>
    </row>
    <row r="94" spans="1:26" ht="39.6">
      <c r="A94" s="12">
        <v>1</v>
      </c>
      <c r="B94" s="13" t="s">
        <v>47</v>
      </c>
      <c r="C94" s="14" t="s">
        <v>48</v>
      </c>
      <c r="D94" s="14" t="s">
        <v>58</v>
      </c>
      <c r="E94" s="35">
        <v>1</v>
      </c>
      <c r="F94" s="14" t="s">
        <v>106</v>
      </c>
      <c r="G94" s="14" t="s">
        <v>14</v>
      </c>
      <c r="H94" s="12" t="s">
        <v>7</v>
      </c>
      <c r="I94" s="15">
        <v>197.2</v>
      </c>
      <c r="J94" s="54">
        <v>1170</v>
      </c>
      <c r="K94" s="33">
        <f t="shared" si="2"/>
        <v>230724</v>
      </c>
      <c r="L94" s="16"/>
    </row>
    <row r="95" spans="1:26" ht="26.4">
      <c r="A95" s="12">
        <v>1</v>
      </c>
      <c r="B95" s="13" t="s">
        <v>47</v>
      </c>
      <c r="C95" s="14" t="s">
        <v>48</v>
      </c>
      <c r="D95" s="14" t="s">
        <v>49</v>
      </c>
      <c r="E95" s="35">
        <v>1</v>
      </c>
      <c r="F95" s="14" t="s">
        <v>141</v>
      </c>
      <c r="G95" s="14" t="s">
        <v>15</v>
      </c>
      <c r="H95" s="12" t="s">
        <v>7</v>
      </c>
      <c r="I95" s="15">
        <v>13</v>
      </c>
      <c r="J95" s="54">
        <v>1170</v>
      </c>
      <c r="K95" s="33">
        <f t="shared" si="2"/>
        <v>15210</v>
      </c>
      <c r="L95" s="16"/>
    </row>
    <row r="96" spans="1:26" ht="26.4">
      <c r="A96" s="12">
        <v>1</v>
      </c>
      <c r="B96" s="13" t="s">
        <v>47</v>
      </c>
      <c r="C96" s="14" t="s">
        <v>48</v>
      </c>
      <c r="D96" s="14" t="s">
        <v>49</v>
      </c>
      <c r="E96" s="35">
        <v>2</v>
      </c>
      <c r="F96" s="14" t="s">
        <v>178</v>
      </c>
      <c r="G96" s="14" t="s">
        <v>15</v>
      </c>
      <c r="H96" s="12" t="s">
        <v>7</v>
      </c>
      <c r="I96" s="15">
        <v>20</v>
      </c>
      <c r="J96" s="54">
        <v>1170</v>
      </c>
      <c r="K96" s="33">
        <f t="shared" si="2"/>
        <v>23400</v>
      </c>
      <c r="L96" s="16"/>
    </row>
    <row r="97" spans="1:12" ht="39.6">
      <c r="A97" s="12">
        <v>1</v>
      </c>
      <c r="B97" s="13" t="s">
        <v>47</v>
      </c>
      <c r="C97" s="14" t="s">
        <v>48</v>
      </c>
      <c r="D97" s="14" t="s">
        <v>58</v>
      </c>
      <c r="E97" s="35">
        <v>2</v>
      </c>
      <c r="F97" s="14" t="s">
        <v>178</v>
      </c>
      <c r="G97" s="14" t="s">
        <v>14</v>
      </c>
      <c r="H97" s="12" t="s">
        <v>7</v>
      </c>
      <c r="I97" s="15">
        <v>5.6</v>
      </c>
      <c r="J97" s="54">
        <v>1170</v>
      </c>
      <c r="K97" s="33">
        <f t="shared" si="2"/>
        <v>6552</v>
      </c>
      <c r="L97" s="16"/>
    </row>
    <row r="98" spans="1:12" ht="32.4" customHeight="1">
      <c r="A98" s="12">
        <v>1</v>
      </c>
      <c r="B98" s="13" t="s">
        <v>47</v>
      </c>
      <c r="C98" s="14" t="s">
        <v>48</v>
      </c>
      <c r="D98" s="14" t="s">
        <v>49</v>
      </c>
      <c r="E98" s="35">
        <v>1</v>
      </c>
      <c r="F98" s="14" t="s">
        <v>92</v>
      </c>
      <c r="G98" s="14" t="s">
        <v>15</v>
      </c>
      <c r="H98" s="12" t="s">
        <v>7</v>
      </c>
      <c r="I98" s="15">
        <v>15.6</v>
      </c>
      <c r="J98" s="54">
        <v>1170</v>
      </c>
      <c r="K98" s="33">
        <f t="shared" si="2"/>
        <v>18252</v>
      </c>
      <c r="L98" s="16"/>
    </row>
    <row r="99" spans="1:12" ht="31.8" customHeight="1">
      <c r="A99" s="12">
        <v>1</v>
      </c>
      <c r="B99" s="13" t="s">
        <v>47</v>
      </c>
      <c r="C99" s="14" t="s">
        <v>48</v>
      </c>
      <c r="D99" s="14" t="s">
        <v>49</v>
      </c>
      <c r="E99" s="35">
        <v>2</v>
      </c>
      <c r="F99" s="14" t="s">
        <v>181</v>
      </c>
      <c r="G99" s="14" t="s">
        <v>15</v>
      </c>
      <c r="H99" s="12" t="s">
        <v>7</v>
      </c>
      <c r="I99" s="15">
        <v>47.3</v>
      </c>
      <c r="J99" s="54">
        <v>1170</v>
      </c>
      <c r="K99" s="33">
        <f t="shared" si="2"/>
        <v>55341</v>
      </c>
      <c r="L99" s="16"/>
    </row>
    <row r="100" spans="1:12" ht="27" customHeight="1">
      <c r="A100" s="12">
        <v>1</v>
      </c>
      <c r="B100" s="13" t="s">
        <v>47</v>
      </c>
      <c r="C100" s="14" t="s">
        <v>48</v>
      </c>
      <c r="D100" s="14" t="s">
        <v>49</v>
      </c>
      <c r="E100" s="35"/>
      <c r="F100" s="14" t="s">
        <v>284</v>
      </c>
      <c r="G100" s="14" t="s">
        <v>280</v>
      </c>
      <c r="H100" s="12" t="s">
        <v>285</v>
      </c>
      <c r="I100" s="15">
        <v>19.600000000000001</v>
      </c>
      <c r="J100" s="54">
        <v>300</v>
      </c>
      <c r="K100" s="33">
        <f t="shared" si="2"/>
        <v>5880</v>
      </c>
      <c r="L100" s="16"/>
    </row>
    <row r="101" spans="1:12" ht="34.200000000000003" customHeight="1">
      <c r="A101" s="12">
        <v>1</v>
      </c>
      <c r="B101" s="13" t="s">
        <v>60</v>
      </c>
      <c r="C101" s="14" t="s">
        <v>48</v>
      </c>
      <c r="D101" s="14" t="s">
        <v>49</v>
      </c>
      <c r="E101" s="35"/>
      <c r="F101" s="14" t="s">
        <v>284</v>
      </c>
      <c r="G101" s="31" t="s">
        <v>262</v>
      </c>
      <c r="H101" s="12" t="s">
        <v>7</v>
      </c>
      <c r="I101" s="15">
        <v>104.7</v>
      </c>
      <c r="J101" s="54">
        <v>1105</v>
      </c>
      <c r="K101" s="33">
        <f t="shared" si="2"/>
        <v>115693.5</v>
      </c>
      <c r="L101" s="16"/>
    </row>
    <row r="102" spans="1:12" ht="28.2" customHeight="1">
      <c r="A102" s="12">
        <v>1</v>
      </c>
      <c r="B102" s="13" t="s">
        <v>60</v>
      </c>
      <c r="C102" s="14" t="s">
        <v>48</v>
      </c>
      <c r="D102" s="14" t="s">
        <v>49</v>
      </c>
      <c r="E102" s="35"/>
      <c r="F102" s="14" t="s">
        <v>286</v>
      </c>
      <c r="G102" s="14" t="s">
        <v>260</v>
      </c>
      <c r="H102" s="12" t="s">
        <v>261</v>
      </c>
      <c r="I102" s="15">
        <v>10.3</v>
      </c>
      <c r="J102" s="54">
        <v>4160</v>
      </c>
      <c r="K102" s="33">
        <f t="shared" si="2"/>
        <v>42848</v>
      </c>
      <c r="L102" s="16"/>
    </row>
    <row r="103" spans="1:12" ht="28.2" customHeight="1">
      <c r="A103" s="12">
        <v>1</v>
      </c>
      <c r="B103" s="13" t="s">
        <v>47</v>
      </c>
      <c r="C103" s="14" t="s">
        <v>48</v>
      </c>
      <c r="D103" s="14" t="s">
        <v>49</v>
      </c>
      <c r="E103" s="35"/>
      <c r="F103" s="14" t="s">
        <v>286</v>
      </c>
      <c r="G103" s="14" t="s">
        <v>11</v>
      </c>
      <c r="H103" s="12" t="s">
        <v>285</v>
      </c>
      <c r="I103" s="15">
        <v>520</v>
      </c>
      <c r="J103" s="54">
        <v>50</v>
      </c>
      <c r="K103" s="33">
        <f t="shared" si="2"/>
        <v>26000</v>
      </c>
      <c r="L103" s="16"/>
    </row>
    <row r="104" spans="1:12" ht="24" customHeight="1">
      <c r="A104" s="12">
        <v>1</v>
      </c>
      <c r="B104" s="13" t="s">
        <v>47</v>
      </c>
      <c r="C104" s="14" t="s">
        <v>48</v>
      </c>
      <c r="D104" s="14"/>
      <c r="E104" s="35"/>
      <c r="F104" s="14" t="s">
        <v>287</v>
      </c>
      <c r="G104" s="14" t="s">
        <v>266</v>
      </c>
      <c r="H104" s="12" t="s">
        <v>267</v>
      </c>
      <c r="I104" s="15">
        <v>35</v>
      </c>
      <c r="J104" s="54">
        <v>450</v>
      </c>
      <c r="K104" s="33">
        <f t="shared" si="2"/>
        <v>15750</v>
      </c>
      <c r="L104" s="16"/>
    </row>
    <row r="105" spans="1:12" ht="31.8" customHeight="1">
      <c r="A105" s="71" t="s">
        <v>50</v>
      </c>
      <c r="B105" s="144"/>
      <c r="C105" s="145"/>
      <c r="D105" s="145"/>
      <c r="E105" s="145"/>
      <c r="F105" s="145"/>
      <c r="G105" s="145"/>
      <c r="H105" s="145"/>
      <c r="I105" s="145"/>
      <c r="J105" s="146"/>
      <c r="K105" s="34">
        <f>SUM(K60:K104)</f>
        <v>1357588</v>
      </c>
      <c r="L105" s="16"/>
    </row>
    <row r="106" spans="1:12">
      <c r="A106" s="3"/>
    </row>
    <row r="109" spans="1:12" ht="15" thickBot="1">
      <c r="B109" s="4" t="s">
        <v>34</v>
      </c>
      <c r="C109" s="151" t="s">
        <v>288</v>
      </c>
      <c r="D109" s="151"/>
      <c r="E109" s="151"/>
      <c r="F109" s="151"/>
      <c r="G109" s="3"/>
      <c r="H109" s="147"/>
      <c r="I109" s="147"/>
      <c r="J109" s="3"/>
    </row>
    <row r="110" spans="1:12">
      <c r="A110" s="3"/>
      <c r="B110" s="3"/>
      <c r="C110" s="148" t="s">
        <v>69</v>
      </c>
      <c r="D110" s="148"/>
      <c r="E110" s="148"/>
      <c r="F110" s="148"/>
      <c r="G110" s="3"/>
      <c r="H110" s="149">
        <v>45971</v>
      </c>
      <c r="I110" s="148"/>
      <c r="J110" s="3"/>
    </row>
    <row r="111" spans="1:12" ht="15" thickBot="1">
      <c r="A111" s="3"/>
      <c r="B111" s="5" t="s">
        <v>71</v>
      </c>
      <c r="C111" s="147"/>
      <c r="D111" s="147"/>
      <c r="E111" s="147"/>
      <c r="F111" s="147"/>
      <c r="G111" s="3"/>
      <c r="H111" s="147"/>
      <c r="I111" s="147"/>
      <c r="J111" s="3"/>
    </row>
    <row r="112" spans="1:12">
      <c r="A112" s="3"/>
      <c r="B112" s="3"/>
      <c r="C112" s="148" t="s">
        <v>69</v>
      </c>
      <c r="D112" s="148"/>
      <c r="E112" s="148"/>
      <c r="F112" s="148"/>
      <c r="G112" s="3"/>
      <c r="H112" s="148" t="s">
        <v>70</v>
      </c>
      <c r="I112" s="148"/>
      <c r="J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26" ht="15" thickBot="1">
      <c r="A114" s="3"/>
      <c r="B114" s="5" t="s">
        <v>289</v>
      </c>
      <c r="C114" s="151" t="s">
        <v>290</v>
      </c>
      <c r="D114" s="151"/>
      <c r="E114" s="151"/>
      <c r="F114" s="151"/>
      <c r="G114" s="3"/>
      <c r="H114" s="147"/>
      <c r="I114" s="147"/>
      <c r="J114" s="3"/>
    </row>
    <row r="115" spans="1:26">
      <c r="A115" s="3"/>
      <c r="B115" s="3"/>
      <c r="C115" s="148" t="s">
        <v>69</v>
      </c>
      <c r="D115" s="148"/>
      <c r="E115" s="148"/>
      <c r="F115" s="148"/>
      <c r="G115" s="3"/>
      <c r="H115" s="149">
        <v>45971</v>
      </c>
      <c r="I115" s="148"/>
      <c r="J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26" ht="15" thickBot="1">
      <c r="A117" s="3"/>
      <c r="B117" s="5" t="s">
        <v>72</v>
      </c>
      <c r="C117" s="147"/>
      <c r="D117" s="147"/>
      <c r="E117" s="147"/>
      <c r="F117" s="147"/>
      <c r="G117" s="3"/>
      <c r="H117" s="147"/>
      <c r="I117" s="147"/>
      <c r="J117" s="3"/>
    </row>
    <row r="118" spans="1:26">
      <c r="A118" s="3"/>
      <c r="B118" s="3"/>
      <c r="C118" s="148" t="s">
        <v>69</v>
      </c>
      <c r="D118" s="148"/>
      <c r="E118" s="148"/>
      <c r="F118" s="148"/>
      <c r="G118" s="3"/>
      <c r="H118" s="148" t="s">
        <v>70</v>
      </c>
      <c r="I118" s="148"/>
      <c r="J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26" ht="15" thickBot="1">
      <c r="A120" s="3"/>
      <c r="B120" s="4" t="s">
        <v>73</v>
      </c>
      <c r="C120" s="147"/>
      <c r="D120" s="147"/>
      <c r="E120" s="147"/>
      <c r="F120" s="147"/>
      <c r="G120" s="3"/>
      <c r="H120" s="147"/>
      <c r="I120" s="147"/>
      <c r="J120" s="3"/>
    </row>
    <row r="121" spans="1:26">
      <c r="A121" s="3"/>
      <c r="B121" s="3"/>
      <c r="C121" s="148" t="s">
        <v>69</v>
      </c>
      <c r="D121" s="148"/>
      <c r="E121" s="148"/>
      <c r="F121" s="148"/>
      <c r="G121" s="3"/>
      <c r="H121" s="148" t="s">
        <v>70</v>
      </c>
      <c r="I121" s="148"/>
      <c r="J121" s="3"/>
    </row>
    <row r="122" spans="1:26">
      <c r="A122" s="3"/>
      <c r="B122" s="1"/>
      <c r="C122" s="1"/>
      <c r="D122" s="1"/>
      <c r="E122" s="1"/>
      <c r="F122" s="1"/>
      <c r="G122" s="1"/>
      <c r="H122" s="1"/>
      <c r="I122" s="1"/>
      <c r="J122" s="1"/>
    </row>
    <row r="123" spans="1:26" ht="23.4" customHeight="1">
      <c r="A123" s="1"/>
    </row>
    <row r="125" spans="1:26">
      <c r="B125" s="3"/>
      <c r="C125" s="7" t="s">
        <v>29</v>
      </c>
      <c r="D125" s="7">
        <v>3</v>
      </c>
      <c r="E125" s="3"/>
      <c r="F125" s="3"/>
      <c r="G125" s="8" t="s">
        <v>30</v>
      </c>
      <c r="H125" s="7" t="s">
        <v>31</v>
      </c>
      <c r="I125" s="9">
        <v>45971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10"/>
      <c r="D126" s="3"/>
      <c r="E126" s="3"/>
      <c r="F126" s="3"/>
      <c r="G126" s="3"/>
      <c r="H126" s="7" t="s">
        <v>32</v>
      </c>
      <c r="I126" s="9">
        <v>45991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7.6">
      <c r="A128" s="3"/>
      <c r="B128" s="3"/>
      <c r="C128" s="7" t="s">
        <v>33</v>
      </c>
      <c r="D128" s="143" t="s">
        <v>217</v>
      </c>
      <c r="E128" s="143"/>
      <c r="F128" s="14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8.8" customHeight="1">
      <c r="A130" s="3"/>
      <c r="B130" s="3"/>
      <c r="C130" s="7" t="s">
        <v>34</v>
      </c>
      <c r="D130" s="143" t="s">
        <v>218</v>
      </c>
      <c r="E130" s="143"/>
      <c r="F130" s="14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7" t="s">
        <v>35</v>
      </c>
      <c r="D132" s="143" t="s">
        <v>36</v>
      </c>
      <c r="E132" s="143"/>
      <c r="F132" s="14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6.2" customHeight="1">
      <c r="A135" s="11" t="s">
        <v>37</v>
      </c>
      <c r="B135" s="11" t="s">
        <v>38</v>
      </c>
      <c r="C135" s="11" t="s">
        <v>39</v>
      </c>
      <c r="D135" s="11" t="s">
        <v>39</v>
      </c>
      <c r="E135" s="11" t="s">
        <v>40</v>
      </c>
      <c r="F135" s="11" t="s">
        <v>41</v>
      </c>
      <c r="G135" s="11" t="s">
        <v>2</v>
      </c>
      <c r="H135" s="11" t="s">
        <v>42</v>
      </c>
      <c r="I135" s="11" t="s">
        <v>43</v>
      </c>
      <c r="J135" s="11" t="s">
        <v>44</v>
      </c>
      <c r="K135" s="11" t="s">
        <v>45</v>
      </c>
      <c r="L135" s="11" t="s">
        <v>46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6.4">
      <c r="A136" s="12">
        <v>1</v>
      </c>
      <c r="B136" s="13" t="s">
        <v>47</v>
      </c>
      <c r="C136" s="14" t="s">
        <v>48</v>
      </c>
      <c r="D136" s="14" t="s">
        <v>49</v>
      </c>
      <c r="E136" s="35">
        <v>1</v>
      </c>
      <c r="F136" s="14" t="s">
        <v>141</v>
      </c>
      <c r="G136" s="14" t="s">
        <v>278</v>
      </c>
      <c r="H136" s="12" t="s">
        <v>7</v>
      </c>
      <c r="I136" s="15">
        <v>14.4</v>
      </c>
      <c r="J136" s="54">
        <v>195</v>
      </c>
      <c r="K136" s="33">
        <f>J136*I136</f>
        <v>2808</v>
      </c>
      <c r="L136" s="1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6.4">
      <c r="A137" s="12">
        <v>2</v>
      </c>
      <c r="B137" s="13" t="s">
        <v>47</v>
      </c>
      <c r="C137" s="14" t="s">
        <v>48</v>
      </c>
      <c r="D137" s="14" t="s">
        <v>49</v>
      </c>
      <c r="E137" s="35">
        <v>1</v>
      </c>
      <c r="F137" s="14" t="s">
        <v>156</v>
      </c>
      <c r="G137" s="14" t="s">
        <v>278</v>
      </c>
      <c r="H137" s="12" t="s">
        <v>7</v>
      </c>
      <c r="I137" s="15">
        <v>47.5</v>
      </c>
      <c r="J137" s="54">
        <v>195</v>
      </c>
      <c r="K137" s="33">
        <f>J137*I137</f>
        <v>9262.5</v>
      </c>
      <c r="L137" s="1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6.4">
      <c r="A138" s="12">
        <v>3</v>
      </c>
      <c r="B138" s="13" t="s">
        <v>47</v>
      </c>
      <c r="C138" s="14" t="s">
        <v>48</v>
      </c>
      <c r="D138" s="14" t="s">
        <v>49</v>
      </c>
      <c r="E138" s="35">
        <v>1</v>
      </c>
      <c r="F138" s="14" t="s">
        <v>158</v>
      </c>
      <c r="G138" s="14" t="s">
        <v>278</v>
      </c>
      <c r="H138" s="12" t="s">
        <v>7</v>
      </c>
      <c r="I138" s="15">
        <v>44.3</v>
      </c>
      <c r="J138" s="54">
        <v>195</v>
      </c>
      <c r="K138" s="33">
        <f>J138*I138</f>
        <v>8638.5</v>
      </c>
      <c r="L138" s="1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6.4">
      <c r="A139" s="12">
        <v>4</v>
      </c>
      <c r="B139" s="13" t="s">
        <v>47</v>
      </c>
      <c r="C139" s="14" t="s">
        <v>48</v>
      </c>
      <c r="D139" s="14" t="s">
        <v>49</v>
      </c>
      <c r="E139" s="35">
        <v>1</v>
      </c>
      <c r="F139" s="14" t="s">
        <v>145</v>
      </c>
      <c r="G139" s="14" t="s">
        <v>278</v>
      </c>
      <c r="H139" s="12" t="s">
        <v>7</v>
      </c>
      <c r="I139" s="15">
        <v>9.1</v>
      </c>
      <c r="J139" s="54">
        <v>195</v>
      </c>
      <c r="K139" s="33">
        <f>J139*I139</f>
        <v>1774.5</v>
      </c>
      <c r="L139" s="1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6.4">
      <c r="A140" s="12">
        <v>5</v>
      </c>
      <c r="B140" s="13" t="s">
        <v>47</v>
      </c>
      <c r="C140" s="14" t="s">
        <v>48</v>
      </c>
      <c r="D140" s="14" t="s">
        <v>49</v>
      </c>
      <c r="E140" s="35">
        <v>1</v>
      </c>
      <c r="F140" s="14" t="s">
        <v>155</v>
      </c>
      <c r="G140" s="14" t="s">
        <v>278</v>
      </c>
      <c r="H140" s="12" t="s">
        <v>7</v>
      </c>
      <c r="I140" s="15">
        <v>11</v>
      </c>
      <c r="J140" s="54">
        <v>195</v>
      </c>
      <c r="K140" s="33">
        <f>J140*I140</f>
        <v>2145</v>
      </c>
      <c r="L140" s="1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6.4">
      <c r="A141" s="12">
        <v>6</v>
      </c>
      <c r="B141" s="13" t="s">
        <v>47</v>
      </c>
      <c r="C141" s="14" t="s">
        <v>48</v>
      </c>
      <c r="D141" s="14" t="s">
        <v>49</v>
      </c>
      <c r="E141" s="35">
        <v>1</v>
      </c>
      <c r="F141" s="14" t="s">
        <v>88</v>
      </c>
      <c r="G141" s="14" t="s">
        <v>278</v>
      </c>
      <c r="H141" s="12" t="s">
        <v>7</v>
      </c>
      <c r="I141" s="15">
        <v>14</v>
      </c>
      <c r="J141" s="54">
        <v>195</v>
      </c>
      <c r="K141" s="33">
        <f t="shared" ref="K141:K204" si="3">J141*I141</f>
        <v>2730</v>
      </c>
      <c r="L141" s="1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6.4">
      <c r="A142" s="12">
        <v>7</v>
      </c>
      <c r="B142" s="13" t="s">
        <v>47</v>
      </c>
      <c r="C142" s="14" t="s">
        <v>48</v>
      </c>
      <c r="D142" s="14" t="s">
        <v>49</v>
      </c>
      <c r="E142" s="35">
        <v>1</v>
      </c>
      <c r="F142" s="14" t="s">
        <v>100</v>
      </c>
      <c r="G142" s="14" t="s">
        <v>278</v>
      </c>
      <c r="H142" s="12" t="s">
        <v>7</v>
      </c>
      <c r="I142" s="15">
        <v>3.9</v>
      </c>
      <c r="J142" s="54">
        <v>195</v>
      </c>
      <c r="K142" s="33">
        <f t="shared" si="3"/>
        <v>760.5</v>
      </c>
      <c r="L142" s="1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6.4">
      <c r="A143" s="12">
        <v>8</v>
      </c>
      <c r="B143" s="13" t="s">
        <v>47</v>
      </c>
      <c r="C143" s="14" t="s">
        <v>48</v>
      </c>
      <c r="D143" s="14" t="s">
        <v>49</v>
      </c>
      <c r="E143" s="35">
        <v>1</v>
      </c>
      <c r="F143" s="14" t="s">
        <v>106</v>
      </c>
      <c r="G143" s="14" t="s">
        <v>278</v>
      </c>
      <c r="H143" s="12" t="s">
        <v>7</v>
      </c>
      <c r="I143" s="15">
        <v>6.6</v>
      </c>
      <c r="J143" s="54">
        <v>195</v>
      </c>
      <c r="K143" s="33">
        <f t="shared" si="3"/>
        <v>1287</v>
      </c>
      <c r="L143" s="1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6.4">
      <c r="A144" s="12">
        <v>9</v>
      </c>
      <c r="B144" s="13" t="s">
        <v>47</v>
      </c>
      <c r="C144" s="14" t="s">
        <v>48</v>
      </c>
      <c r="D144" s="14" t="s">
        <v>49</v>
      </c>
      <c r="E144" s="35">
        <v>1</v>
      </c>
      <c r="F144" s="14" t="s">
        <v>116</v>
      </c>
      <c r="G144" s="14" t="s">
        <v>278</v>
      </c>
      <c r="H144" s="12" t="s">
        <v>7</v>
      </c>
      <c r="I144" s="15">
        <v>20</v>
      </c>
      <c r="J144" s="54">
        <v>195</v>
      </c>
      <c r="K144" s="33">
        <f t="shared" si="3"/>
        <v>3900</v>
      </c>
      <c r="L144" s="1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6.4">
      <c r="A145" s="12">
        <v>10</v>
      </c>
      <c r="B145" s="13" t="s">
        <v>47</v>
      </c>
      <c r="C145" s="14" t="s">
        <v>48</v>
      </c>
      <c r="D145" s="14" t="s">
        <v>49</v>
      </c>
      <c r="E145" s="35">
        <v>1</v>
      </c>
      <c r="F145" s="14" t="s">
        <v>144</v>
      </c>
      <c r="G145" s="14" t="s">
        <v>278</v>
      </c>
      <c r="H145" s="12" t="s">
        <v>7</v>
      </c>
      <c r="I145" s="15">
        <v>6.6</v>
      </c>
      <c r="J145" s="54">
        <v>195</v>
      </c>
      <c r="K145" s="33">
        <f t="shared" si="3"/>
        <v>1287</v>
      </c>
      <c r="L145" s="1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6.4">
      <c r="A146" s="12">
        <v>11</v>
      </c>
      <c r="B146" s="13" t="s">
        <v>47</v>
      </c>
      <c r="C146" s="14" t="s">
        <v>48</v>
      </c>
      <c r="D146" s="14" t="s">
        <v>49</v>
      </c>
      <c r="E146" s="35">
        <v>1</v>
      </c>
      <c r="F146" s="14" t="s">
        <v>150</v>
      </c>
      <c r="G146" s="14" t="s">
        <v>278</v>
      </c>
      <c r="H146" s="12" t="s">
        <v>7</v>
      </c>
      <c r="I146" s="15">
        <v>6.6</v>
      </c>
      <c r="J146" s="54">
        <v>195</v>
      </c>
      <c r="K146" s="33">
        <f t="shared" si="3"/>
        <v>1287</v>
      </c>
      <c r="L146" s="1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6.4">
      <c r="A147" s="12">
        <v>12</v>
      </c>
      <c r="B147" s="13" t="s">
        <v>47</v>
      </c>
      <c r="C147" s="14" t="s">
        <v>48</v>
      </c>
      <c r="D147" s="14" t="s">
        <v>49</v>
      </c>
      <c r="E147" s="35">
        <v>2</v>
      </c>
      <c r="F147" s="14" t="s">
        <v>214</v>
      </c>
      <c r="G147" s="14" t="s">
        <v>278</v>
      </c>
      <c r="H147" s="12" t="s">
        <v>7</v>
      </c>
      <c r="I147" s="15">
        <v>19.600000000000001</v>
      </c>
      <c r="J147" s="54">
        <v>195</v>
      </c>
      <c r="K147" s="33">
        <f t="shared" si="3"/>
        <v>3822.0000000000005</v>
      </c>
      <c r="L147" s="1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6.4">
      <c r="A148" s="12">
        <v>13</v>
      </c>
      <c r="B148" s="13" t="s">
        <v>47</v>
      </c>
      <c r="C148" s="14" t="s">
        <v>48</v>
      </c>
      <c r="D148" s="14" t="s">
        <v>49</v>
      </c>
      <c r="E148" s="35">
        <v>2</v>
      </c>
      <c r="F148" s="14" t="s">
        <v>208</v>
      </c>
      <c r="G148" s="14" t="s">
        <v>278</v>
      </c>
      <c r="H148" s="12" t="s">
        <v>7</v>
      </c>
      <c r="I148" s="15">
        <v>38</v>
      </c>
      <c r="J148" s="54">
        <v>195</v>
      </c>
      <c r="K148" s="33">
        <f t="shared" si="3"/>
        <v>7410</v>
      </c>
      <c r="L148" s="1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6.4">
      <c r="A149" s="12">
        <v>14</v>
      </c>
      <c r="B149" s="13" t="s">
        <v>47</v>
      </c>
      <c r="C149" s="14" t="s">
        <v>48</v>
      </c>
      <c r="D149" s="14" t="s">
        <v>49</v>
      </c>
      <c r="E149" s="35">
        <v>2</v>
      </c>
      <c r="F149" s="14" t="s">
        <v>197</v>
      </c>
      <c r="G149" s="14" t="s">
        <v>278</v>
      </c>
      <c r="H149" s="12" t="s">
        <v>7</v>
      </c>
      <c r="I149" s="15">
        <v>40</v>
      </c>
      <c r="J149" s="54">
        <v>195</v>
      </c>
      <c r="K149" s="33">
        <f t="shared" si="3"/>
        <v>7800</v>
      </c>
      <c r="L149" s="1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6.4">
      <c r="A150" s="12">
        <v>15</v>
      </c>
      <c r="B150" s="13" t="s">
        <v>47</v>
      </c>
      <c r="C150" s="14" t="s">
        <v>48</v>
      </c>
      <c r="D150" s="14" t="s">
        <v>49</v>
      </c>
      <c r="E150" s="35">
        <v>2</v>
      </c>
      <c r="F150" s="14" t="s">
        <v>204</v>
      </c>
      <c r="G150" s="14" t="s">
        <v>278</v>
      </c>
      <c r="H150" s="12" t="s">
        <v>7</v>
      </c>
      <c r="I150" s="15">
        <v>40</v>
      </c>
      <c r="J150" s="54">
        <v>195</v>
      </c>
      <c r="K150" s="33">
        <f t="shared" si="3"/>
        <v>7800</v>
      </c>
      <c r="L150" s="1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6.4">
      <c r="A151" s="12">
        <v>16</v>
      </c>
      <c r="B151" s="13" t="s">
        <v>47</v>
      </c>
      <c r="C151" s="14" t="s">
        <v>48</v>
      </c>
      <c r="D151" s="14" t="s">
        <v>49</v>
      </c>
      <c r="E151" s="35">
        <v>2</v>
      </c>
      <c r="F151" s="14" t="s">
        <v>199</v>
      </c>
      <c r="G151" s="14" t="s">
        <v>278</v>
      </c>
      <c r="H151" s="12" t="s">
        <v>7</v>
      </c>
      <c r="I151" s="15">
        <v>0.9</v>
      </c>
      <c r="J151" s="54">
        <v>195</v>
      </c>
      <c r="K151" s="33">
        <f t="shared" si="3"/>
        <v>175.5</v>
      </c>
      <c r="L151" s="1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9.6">
      <c r="A152" s="12">
        <v>17</v>
      </c>
      <c r="B152" s="13" t="s">
        <v>47</v>
      </c>
      <c r="C152" s="14" t="s">
        <v>48</v>
      </c>
      <c r="D152" s="14" t="s">
        <v>49</v>
      </c>
      <c r="E152" s="35">
        <v>2</v>
      </c>
      <c r="F152" s="14" t="s">
        <v>272</v>
      </c>
      <c r="G152" s="14" t="s">
        <v>278</v>
      </c>
      <c r="H152" s="12" t="s">
        <v>7</v>
      </c>
      <c r="I152" s="15">
        <v>10.5</v>
      </c>
      <c r="J152" s="54">
        <v>195</v>
      </c>
      <c r="K152" s="33">
        <f t="shared" si="3"/>
        <v>2047.5</v>
      </c>
      <c r="L152" s="1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6.4">
      <c r="A153" s="12">
        <v>18</v>
      </c>
      <c r="B153" s="13" t="s">
        <v>47</v>
      </c>
      <c r="C153" s="14" t="s">
        <v>48</v>
      </c>
      <c r="D153" s="14" t="s">
        <v>49</v>
      </c>
      <c r="E153" s="35">
        <v>2</v>
      </c>
      <c r="F153" s="14" t="s">
        <v>194</v>
      </c>
      <c r="G153" s="14" t="s">
        <v>278</v>
      </c>
      <c r="H153" s="12" t="s">
        <v>7</v>
      </c>
      <c r="I153" s="15">
        <v>16.5</v>
      </c>
      <c r="J153" s="54">
        <v>195</v>
      </c>
      <c r="K153" s="33">
        <f t="shared" si="3"/>
        <v>3217.5</v>
      </c>
      <c r="L153" s="1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6.4">
      <c r="A154" s="12">
        <v>19</v>
      </c>
      <c r="B154" s="13" t="s">
        <v>47</v>
      </c>
      <c r="C154" s="14" t="s">
        <v>48</v>
      </c>
      <c r="D154" s="14" t="s">
        <v>49</v>
      </c>
      <c r="E154" s="35">
        <v>2</v>
      </c>
      <c r="F154" s="14" t="s">
        <v>196</v>
      </c>
      <c r="G154" s="14" t="s">
        <v>278</v>
      </c>
      <c r="H154" s="12" t="s">
        <v>7</v>
      </c>
      <c r="I154" s="15">
        <v>39</v>
      </c>
      <c r="J154" s="54">
        <v>195</v>
      </c>
      <c r="K154" s="33">
        <f t="shared" si="3"/>
        <v>7605</v>
      </c>
      <c r="L154" s="1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6.4">
      <c r="A155" s="12">
        <v>20</v>
      </c>
      <c r="B155" s="13" t="s">
        <v>47</v>
      </c>
      <c r="C155" s="14" t="s">
        <v>48</v>
      </c>
      <c r="D155" s="14" t="s">
        <v>49</v>
      </c>
      <c r="E155" s="35">
        <v>2</v>
      </c>
      <c r="F155" s="14" t="s">
        <v>201</v>
      </c>
      <c r="G155" s="14" t="s">
        <v>278</v>
      </c>
      <c r="H155" s="12" t="s">
        <v>7</v>
      </c>
      <c r="I155" s="15">
        <v>18</v>
      </c>
      <c r="J155" s="54">
        <v>195</v>
      </c>
      <c r="K155" s="33">
        <f t="shared" si="3"/>
        <v>3510</v>
      </c>
      <c r="L155" s="1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6.4">
      <c r="A156" s="12">
        <v>21</v>
      </c>
      <c r="B156" s="13" t="s">
        <v>47</v>
      </c>
      <c r="C156" s="14" t="s">
        <v>48</v>
      </c>
      <c r="D156" s="14" t="s">
        <v>49</v>
      </c>
      <c r="E156" s="35">
        <v>2</v>
      </c>
      <c r="F156" s="14" t="s">
        <v>200</v>
      </c>
      <c r="G156" s="14" t="s">
        <v>278</v>
      </c>
      <c r="H156" s="12" t="s">
        <v>7</v>
      </c>
      <c r="I156" s="15">
        <v>15</v>
      </c>
      <c r="J156" s="54">
        <v>195</v>
      </c>
      <c r="K156" s="33">
        <f t="shared" si="3"/>
        <v>2925</v>
      </c>
      <c r="L156" s="1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9.6">
      <c r="A157" s="12">
        <v>22</v>
      </c>
      <c r="B157" s="13" t="s">
        <v>47</v>
      </c>
      <c r="C157" s="14" t="s">
        <v>48</v>
      </c>
      <c r="D157" s="14" t="s">
        <v>49</v>
      </c>
      <c r="E157" s="35">
        <v>1</v>
      </c>
      <c r="F157" s="14" t="s">
        <v>156</v>
      </c>
      <c r="G157" s="14" t="s">
        <v>6</v>
      </c>
      <c r="H157" s="12" t="s">
        <v>7</v>
      </c>
      <c r="I157" s="15">
        <v>30.5</v>
      </c>
      <c r="J157" s="55">
        <v>585</v>
      </c>
      <c r="K157" s="33">
        <f t="shared" si="3"/>
        <v>17842.5</v>
      </c>
      <c r="L157" s="1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9.6">
      <c r="A158" s="12">
        <v>23</v>
      </c>
      <c r="B158" s="13" t="s">
        <v>60</v>
      </c>
      <c r="C158" s="14" t="s">
        <v>48</v>
      </c>
      <c r="D158" s="14" t="s">
        <v>49</v>
      </c>
      <c r="E158" s="35">
        <v>1</v>
      </c>
      <c r="F158" s="14" t="s">
        <v>157</v>
      </c>
      <c r="G158" s="14" t="s">
        <v>6</v>
      </c>
      <c r="H158" s="12" t="s">
        <v>7</v>
      </c>
      <c r="I158" s="15">
        <v>44.3</v>
      </c>
      <c r="J158" s="55">
        <v>585</v>
      </c>
      <c r="K158" s="33">
        <f t="shared" si="3"/>
        <v>25915.5</v>
      </c>
      <c r="L158" s="1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9.6">
      <c r="A159" s="12">
        <v>24</v>
      </c>
      <c r="B159" s="13" t="s">
        <v>47</v>
      </c>
      <c r="C159" s="14" t="s">
        <v>48</v>
      </c>
      <c r="D159" s="14" t="s">
        <v>49</v>
      </c>
      <c r="E159" s="35">
        <v>1</v>
      </c>
      <c r="F159" s="14" t="s">
        <v>145</v>
      </c>
      <c r="G159" s="14" t="s">
        <v>6</v>
      </c>
      <c r="H159" s="12" t="s">
        <v>7</v>
      </c>
      <c r="I159" s="15">
        <v>9.1</v>
      </c>
      <c r="J159" s="55">
        <v>585</v>
      </c>
      <c r="K159" s="33">
        <f t="shared" si="3"/>
        <v>5323.5</v>
      </c>
      <c r="L159" s="1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9.6">
      <c r="A160" s="12">
        <v>25</v>
      </c>
      <c r="B160" s="13" t="s">
        <v>47</v>
      </c>
      <c r="C160" s="14" t="s">
        <v>48</v>
      </c>
      <c r="D160" s="14" t="s">
        <v>49</v>
      </c>
      <c r="E160" s="35">
        <v>1</v>
      </c>
      <c r="F160" s="14" t="s">
        <v>100</v>
      </c>
      <c r="G160" s="14" t="s">
        <v>6</v>
      </c>
      <c r="H160" s="12" t="s">
        <v>7</v>
      </c>
      <c r="I160" s="15">
        <v>15.4</v>
      </c>
      <c r="J160" s="55">
        <v>585</v>
      </c>
      <c r="K160" s="33">
        <f t="shared" si="3"/>
        <v>9009</v>
      </c>
      <c r="L160" s="1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9.6">
      <c r="A161" s="12">
        <v>26</v>
      </c>
      <c r="B161" s="13" t="s">
        <v>47</v>
      </c>
      <c r="C161" s="14" t="s">
        <v>48</v>
      </c>
      <c r="D161" s="14" t="s">
        <v>49</v>
      </c>
      <c r="E161" s="35">
        <v>1</v>
      </c>
      <c r="F161" s="14" t="s">
        <v>88</v>
      </c>
      <c r="G161" s="14" t="s">
        <v>6</v>
      </c>
      <c r="H161" s="12" t="s">
        <v>7</v>
      </c>
      <c r="I161" s="15">
        <v>14</v>
      </c>
      <c r="J161" s="55">
        <v>585</v>
      </c>
      <c r="K161" s="33">
        <f t="shared" si="3"/>
        <v>8190</v>
      </c>
      <c r="L161" s="1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9.6">
      <c r="A162" s="12">
        <v>27</v>
      </c>
      <c r="B162" s="13" t="s">
        <v>47</v>
      </c>
      <c r="C162" s="14" t="s">
        <v>48</v>
      </c>
      <c r="D162" s="14" t="s">
        <v>49</v>
      </c>
      <c r="E162" s="35">
        <v>1</v>
      </c>
      <c r="F162" s="14" t="s">
        <v>99</v>
      </c>
      <c r="G162" s="14" t="s">
        <v>6</v>
      </c>
      <c r="H162" s="12" t="s">
        <v>7</v>
      </c>
      <c r="I162" s="15">
        <v>3.9</v>
      </c>
      <c r="J162" s="55">
        <v>585</v>
      </c>
      <c r="K162" s="33">
        <f t="shared" si="3"/>
        <v>2281.5</v>
      </c>
      <c r="L162" s="1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9.6">
      <c r="A163" s="12">
        <v>28</v>
      </c>
      <c r="B163" s="13" t="s">
        <v>47</v>
      </c>
      <c r="C163" s="14" t="s">
        <v>48</v>
      </c>
      <c r="D163" s="14" t="s">
        <v>49</v>
      </c>
      <c r="E163" s="35">
        <v>1</v>
      </c>
      <c r="F163" s="14" t="s">
        <v>106</v>
      </c>
      <c r="G163" s="14" t="s">
        <v>6</v>
      </c>
      <c r="H163" s="12" t="s">
        <v>7</v>
      </c>
      <c r="I163" s="15">
        <v>13.2</v>
      </c>
      <c r="J163" s="55">
        <v>585</v>
      </c>
      <c r="K163" s="33">
        <f t="shared" si="3"/>
        <v>7722</v>
      </c>
      <c r="L163" s="1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9.6">
      <c r="A164" s="12">
        <v>29</v>
      </c>
      <c r="B164" s="13" t="s">
        <v>47</v>
      </c>
      <c r="C164" s="14" t="s">
        <v>48</v>
      </c>
      <c r="D164" s="14" t="s">
        <v>49</v>
      </c>
      <c r="E164" s="35">
        <v>1</v>
      </c>
      <c r="F164" s="14" t="s">
        <v>116</v>
      </c>
      <c r="G164" s="14" t="s">
        <v>6</v>
      </c>
      <c r="H164" s="12" t="s">
        <v>7</v>
      </c>
      <c r="I164" s="15">
        <v>40.5</v>
      </c>
      <c r="J164" s="55">
        <v>585</v>
      </c>
      <c r="K164" s="33">
        <f t="shared" si="3"/>
        <v>23692.5</v>
      </c>
      <c r="L164" s="1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9.6">
      <c r="A165" s="12">
        <v>30</v>
      </c>
      <c r="B165" s="13" t="s">
        <v>47</v>
      </c>
      <c r="C165" s="14" t="s">
        <v>48</v>
      </c>
      <c r="D165" s="14" t="s">
        <v>49</v>
      </c>
      <c r="E165" s="35">
        <v>1</v>
      </c>
      <c r="F165" s="14" t="s">
        <v>154</v>
      </c>
      <c r="G165" s="14" t="s">
        <v>6</v>
      </c>
      <c r="H165" s="12" t="s">
        <v>7</v>
      </c>
      <c r="I165" s="15">
        <v>19</v>
      </c>
      <c r="J165" s="55">
        <v>585</v>
      </c>
      <c r="K165" s="33">
        <f t="shared" si="3"/>
        <v>11115</v>
      </c>
      <c r="L165" s="1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9.6">
      <c r="A166" s="12">
        <v>31</v>
      </c>
      <c r="B166" s="13" t="s">
        <v>47</v>
      </c>
      <c r="C166" s="14" t="s">
        <v>48</v>
      </c>
      <c r="D166" s="14" t="s">
        <v>49</v>
      </c>
      <c r="E166" s="35">
        <v>1</v>
      </c>
      <c r="F166" s="14" t="s">
        <v>144</v>
      </c>
      <c r="G166" s="14" t="s">
        <v>6</v>
      </c>
      <c r="H166" s="12" t="s">
        <v>7</v>
      </c>
      <c r="I166" s="15">
        <v>14.5</v>
      </c>
      <c r="J166" s="55">
        <v>585</v>
      </c>
      <c r="K166" s="33">
        <f t="shared" si="3"/>
        <v>8482.5</v>
      </c>
      <c r="L166" s="1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9.6">
      <c r="A167" s="12">
        <v>32</v>
      </c>
      <c r="B167" s="13" t="s">
        <v>47</v>
      </c>
      <c r="C167" s="14" t="s">
        <v>48</v>
      </c>
      <c r="D167" s="14" t="s">
        <v>49</v>
      </c>
      <c r="E167" s="35">
        <v>2</v>
      </c>
      <c r="F167" s="14" t="s">
        <v>208</v>
      </c>
      <c r="G167" s="14" t="s">
        <v>6</v>
      </c>
      <c r="H167" s="12" t="s">
        <v>7</v>
      </c>
      <c r="I167" s="15">
        <v>38</v>
      </c>
      <c r="J167" s="55">
        <v>585</v>
      </c>
      <c r="K167" s="33">
        <f t="shared" si="3"/>
        <v>22230</v>
      </c>
      <c r="L167" s="1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9.6">
      <c r="A168" s="12">
        <v>33</v>
      </c>
      <c r="B168" s="13" t="s">
        <v>47</v>
      </c>
      <c r="C168" s="14" t="s">
        <v>48</v>
      </c>
      <c r="D168" s="14" t="s">
        <v>49</v>
      </c>
      <c r="E168" s="35">
        <v>2</v>
      </c>
      <c r="F168" s="14" t="s">
        <v>197</v>
      </c>
      <c r="G168" s="14" t="s">
        <v>6</v>
      </c>
      <c r="H168" s="12" t="s">
        <v>7</v>
      </c>
      <c r="I168" s="15">
        <v>80.5</v>
      </c>
      <c r="J168" s="55">
        <v>585</v>
      </c>
      <c r="K168" s="33">
        <f t="shared" si="3"/>
        <v>47092.5</v>
      </c>
      <c r="L168" s="16"/>
      <c r="M168" s="1"/>
      <c r="N168" s="1"/>
      <c r="O168" s="1"/>
      <c r="P168" s="1"/>
      <c r="Q168" s="1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9.6">
      <c r="A169" s="12">
        <v>34</v>
      </c>
      <c r="B169" s="13" t="s">
        <v>47</v>
      </c>
      <c r="C169" s="14" t="s">
        <v>48</v>
      </c>
      <c r="D169" s="14" t="s">
        <v>49</v>
      </c>
      <c r="E169" s="35">
        <v>2</v>
      </c>
      <c r="F169" s="14" t="s">
        <v>204</v>
      </c>
      <c r="G169" s="14" t="s">
        <v>6</v>
      </c>
      <c r="H169" s="12" t="s">
        <v>7</v>
      </c>
      <c r="I169" s="15">
        <v>80.5</v>
      </c>
      <c r="J169" s="55">
        <v>585</v>
      </c>
      <c r="K169" s="33">
        <f t="shared" si="3"/>
        <v>47092.5</v>
      </c>
      <c r="L169" s="16"/>
    </row>
    <row r="170" spans="1:26" ht="39.6">
      <c r="A170" s="12">
        <v>35</v>
      </c>
      <c r="B170" s="13" t="s">
        <v>47</v>
      </c>
      <c r="C170" s="14" t="s">
        <v>48</v>
      </c>
      <c r="D170" s="14" t="s">
        <v>49</v>
      </c>
      <c r="E170" s="35">
        <v>2</v>
      </c>
      <c r="F170" s="14" t="s">
        <v>199</v>
      </c>
      <c r="G170" s="14" t="s">
        <v>6</v>
      </c>
      <c r="H170" s="12" t="s">
        <v>7</v>
      </c>
      <c r="I170" s="15">
        <v>0.9</v>
      </c>
      <c r="J170" s="55">
        <v>585</v>
      </c>
      <c r="K170" s="33">
        <f t="shared" si="3"/>
        <v>526.5</v>
      </c>
      <c r="L170" s="16"/>
    </row>
    <row r="171" spans="1:26" ht="39.6">
      <c r="A171" s="12">
        <v>36</v>
      </c>
      <c r="B171" s="13" t="s">
        <v>47</v>
      </c>
      <c r="C171" s="14" t="s">
        <v>48</v>
      </c>
      <c r="D171" s="14" t="s">
        <v>49</v>
      </c>
      <c r="E171" s="35">
        <v>2</v>
      </c>
      <c r="F171" s="14" t="s">
        <v>272</v>
      </c>
      <c r="G171" s="14" t="s">
        <v>6</v>
      </c>
      <c r="H171" s="12" t="s">
        <v>7</v>
      </c>
      <c r="I171" s="15">
        <v>10.5</v>
      </c>
      <c r="J171" s="55">
        <v>585</v>
      </c>
      <c r="K171" s="33">
        <f t="shared" si="3"/>
        <v>6142.5</v>
      </c>
      <c r="L171" s="16"/>
    </row>
    <row r="172" spans="1:26" ht="39.6">
      <c r="A172" s="12">
        <v>37</v>
      </c>
      <c r="B172" s="13" t="s">
        <v>47</v>
      </c>
      <c r="C172" s="14" t="s">
        <v>48</v>
      </c>
      <c r="D172" s="14" t="s">
        <v>49</v>
      </c>
      <c r="E172" s="35">
        <v>2</v>
      </c>
      <c r="F172" s="14" t="s">
        <v>210</v>
      </c>
      <c r="G172" s="14" t="s">
        <v>6</v>
      </c>
      <c r="H172" s="12" t="s">
        <v>7</v>
      </c>
      <c r="I172" s="15">
        <v>8.5</v>
      </c>
      <c r="J172" s="55">
        <v>585</v>
      </c>
      <c r="K172" s="33">
        <f t="shared" si="3"/>
        <v>4972.5</v>
      </c>
      <c r="L172" s="16"/>
    </row>
    <row r="173" spans="1:26" ht="39.6">
      <c r="A173" s="12">
        <v>38</v>
      </c>
      <c r="B173" s="13" t="s">
        <v>47</v>
      </c>
      <c r="C173" s="14" t="s">
        <v>48</v>
      </c>
      <c r="D173" s="14" t="s">
        <v>49</v>
      </c>
      <c r="E173" s="35">
        <v>2</v>
      </c>
      <c r="F173" s="14" t="s">
        <v>194</v>
      </c>
      <c r="G173" s="14" t="s">
        <v>6</v>
      </c>
      <c r="H173" s="12" t="s">
        <v>7</v>
      </c>
      <c r="I173" s="15">
        <v>16.5</v>
      </c>
      <c r="J173" s="55">
        <v>585</v>
      </c>
      <c r="K173" s="33">
        <f t="shared" si="3"/>
        <v>9652.5</v>
      </c>
      <c r="L173" s="16"/>
    </row>
    <row r="174" spans="1:26" ht="39.6">
      <c r="A174" s="12">
        <v>39</v>
      </c>
      <c r="B174" s="13" t="s">
        <v>47</v>
      </c>
      <c r="C174" s="14" t="s">
        <v>48</v>
      </c>
      <c r="D174" s="14" t="s">
        <v>49</v>
      </c>
      <c r="E174" s="35">
        <v>2</v>
      </c>
      <c r="F174" s="14" t="s">
        <v>196</v>
      </c>
      <c r="G174" s="14" t="s">
        <v>6</v>
      </c>
      <c r="H174" s="12" t="s">
        <v>7</v>
      </c>
      <c r="I174" s="15">
        <v>36</v>
      </c>
      <c r="J174" s="55">
        <v>585</v>
      </c>
      <c r="K174" s="33">
        <f t="shared" si="3"/>
        <v>21060</v>
      </c>
      <c r="L174" s="16"/>
    </row>
    <row r="175" spans="1:26" ht="39.6">
      <c r="A175" s="12">
        <v>40</v>
      </c>
      <c r="B175" s="13" t="s">
        <v>47</v>
      </c>
      <c r="C175" s="14" t="s">
        <v>48</v>
      </c>
      <c r="D175" s="14" t="s">
        <v>49</v>
      </c>
      <c r="E175" s="35">
        <v>2</v>
      </c>
      <c r="F175" s="14" t="s">
        <v>201</v>
      </c>
      <c r="G175" s="14" t="s">
        <v>6</v>
      </c>
      <c r="H175" s="12" t="s">
        <v>7</v>
      </c>
      <c r="I175" s="15">
        <v>36</v>
      </c>
      <c r="J175" s="55">
        <v>585</v>
      </c>
      <c r="K175" s="33">
        <f t="shared" si="3"/>
        <v>21060</v>
      </c>
      <c r="L175" s="16"/>
    </row>
    <row r="176" spans="1:26" ht="39.6">
      <c r="A176" s="12">
        <v>41</v>
      </c>
      <c r="B176" s="13" t="s">
        <v>47</v>
      </c>
      <c r="C176" s="14" t="s">
        <v>48</v>
      </c>
      <c r="D176" s="14" t="s">
        <v>49</v>
      </c>
      <c r="E176" s="35">
        <v>2</v>
      </c>
      <c r="F176" s="14" t="s">
        <v>200</v>
      </c>
      <c r="G176" s="14" t="s">
        <v>6</v>
      </c>
      <c r="H176" s="12" t="s">
        <v>7</v>
      </c>
      <c r="I176" s="15">
        <v>15</v>
      </c>
      <c r="J176" s="55">
        <v>585</v>
      </c>
      <c r="K176" s="33">
        <f t="shared" si="3"/>
        <v>8775</v>
      </c>
      <c r="L176" s="16"/>
    </row>
    <row r="177" spans="1:12">
      <c r="A177" s="12">
        <v>42</v>
      </c>
      <c r="B177" s="13" t="s">
        <v>60</v>
      </c>
      <c r="C177" s="14" t="s">
        <v>48</v>
      </c>
      <c r="D177" s="14" t="s">
        <v>49</v>
      </c>
      <c r="E177" s="35">
        <v>1</v>
      </c>
      <c r="F177" s="14" t="s">
        <v>145</v>
      </c>
      <c r="G177" s="14" t="s">
        <v>262</v>
      </c>
      <c r="H177" s="12" t="s">
        <v>7</v>
      </c>
      <c r="I177" s="15">
        <v>7</v>
      </c>
      <c r="J177" s="56">
        <v>1105</v>
      </c>
      <c r="K177" s="33">
        <f t="shared" si="3"/>
        <v>7735</v>
      </c>
      <c r="L177" s="16"/>
    </row>
    <row r="178" spans="1:12" ht="26.4">
      <c r="A178" s="12">
        <v>43</v>
      </c>
      <c r="B178" s="13" t="s">
        <v>60</v>
      </c>
      <c r="C178" s="14" t="s">
        <v>48</v>
      </c>
      <c r="D178" s="14" t="s">
        <v>49</v>
      </c>
      <c r="E178" s="35">
        <v>1</v>
      </c>
      <c r="F178" s="14" t="s">
        <v>100</v>
      </c>
      <c r="G178" s="14" t="s">
        <v>262</v>
      </c>
      <c r="H178" s="12" t="s">
        <v>7</v>
      </c>
      <c r="I178" s="15">
        <v>15.4</v>
      </c>
      <c r="J178" s="56">
        <v>1105</v>
      </c>
      <c r="K178" s="33">
        <f t="shared" si="3"/>
        <v>17017</v>
      </c>
      <c r="L178" s="16"/>
    </row>
    <row r="179" spans="1:12">
      <c r="A179" s="12">
        <v>44</v>
      </c>
      <c r="B179" s="13" t="s">
        <v>47</v>
      </c>
      <c r="C179" s="14" t="s">
        <v>48</v>
      </c>
      <c r="D179" s="14" t="s">
        <v>49</v>
      </c>
      <c r="E179" s="35">
        <v>1</v>
      </c>
      <c r="F179" s="14" t="s">
        <v>88</v>
      </c>
      <c r="G179" s="14" t="s">
        <v>262</v>
      </c>
      <c r="H179" s="12" t="s">
        <v>7</v>
      </c>
      <c r="I179" s="15">
        <v>8.6</v>
      </c>
      <c r="J179" s="56">
        <v>1105</v>
      </c>
      <c r="K179" s="33">
        <f t="shared" si="3"/>
        <v>9503</v>
      </c>
      <c r="L179" s="16"/>
    </row>
    <row r="180" spans="1:12">
      <c r="A180" s="12">
        <v>45</v>
      </c>
      <c r="B180" s="13" t="s">
        <v>47</v>
      </c>
      <c r="C180" s="14" t="s">
        <v>48</v>
      </c>
      <c r="D180" s="14" t="s">
        <v>49</v>
      </c>
      <c r="E180" s="35">
        <v>1</v>
      </c>
      <c r="F180" s="14" t="s">
        <v>106</v>
      </c>
      <c r="G180" s="14" t="s">
        <v>262</v>
      </c>
      <c r="H180" s="12" t="s">
        <v>7</v>
      </c>
      <c r="I180" s="15">
        <v>6.6</v>
      </c>
      <c r="J180" s="56">
        <v>1105</v>
      </c>
      <c r="K180" s="33">
        <f t="shared" si="3"/>
        <v>7293</v>
      </c>
      <c r="L180" s="16"/>
    </row>
    <row r="181" spans="1:12" ht="14.4" customHeight="1">
      <c r="A181" s="12">
        <v>46</v>
      </c>
      <c r="B181" s="13" t="s">
        <v>47</v>
      </c>
      <c r="C181" s="14" t="s">
        <v>48</v>
      </c>
      <c r="D181" s="14" t="s">
        <v>49</v>
      </c>
      <c r="E181" s="35">
        <v>1</v>
      </c>
      <c r="F181" s="14" t="s">
        <v>83</v>
      </c>
      <c r="G181" s="14" t="s">
        <v>262</v>
      </c>
      <c r="H181" s="12" t="s">
        <v>7</v>
      </c>
      <c r="I181" s="15">
        <v>6.6</v>
      </c>
      <c r="J181" s="56">
        <v>1105</v>
      </c>
      <c r="K181" s="33">
        <f t="shared" si="3"/>
        <v>7293</v>
      </c>
      <c r="L181" s="16"/>
    </row>
    <row r="182" spans="1:12">
      <c r="A182" s="12">
        <v>47</v>
      </c>
      <c r="B182" s="13" t="s">
        <v>47</v>
      </c>
      <c r="C182" s="14" t="s">
        <v>48</v>
      </c>
      <c r="D182" s="14" t="s">
        <v>49</v>
      </c>
      <c r="E182" s="35">
        <v>1</v>
      </c>
      <c r="F182" s="14" t="s">
        <v>116</v>
      </c>
      <c r="G182" s="14" t="s">
        <v>262</v>
      </c>
      <c r="H182" s="12" t="s">
        <v>7</v>
      </c>
      <c r="I182" s="15">
        <v>20.5</v>
      </c>
      <c r="J182" s="56">
        <v>1105</v>
      </c>
      <c r="K182" s="33">
        <f t="shared" si="3"/>
        <v>22652.5</v>
      </c>
      <c r="L182" s="16"/>
    </row>
    <row r="183" spans="1:12" ht="26.4">
      <c r="A183" s="12">
        <v>48</v>
      </c>
      <c r="B183" s="13" t="s">
        <v>47</v>
      </c>
      <c r="C183" s="14" t="s">
        <v>48</v>
      </c>
      <c r="D183" s="14" t="s">
        <v>49</v>
      </c>
      <c r="E183" s="35">
        <v>1</v>
      </c>
      <c r="F183" s="14" t="s">
        <v>154</v>
      </c>
      <c r="G183" s="14" t="s">
        <v>262</v>
      </c>
      <c r="H183" s="12" t="s">
        <v>7</v>
      </c>
      <c r="I183" s="15">
        <v>19</v>
      </c>
      <c r="J183" s="56">
        <v>1105</v>
      </c>
      <c r="K183" s="33">
        <f t="shared" si="3"/>
        <v>20995</v>
      </c>
      <c r="L183" s="16"/>
    </row>
    <row r="184" spans="1:12">
      <c r="A184" s="12">
        <v>49</v>
      </c>
      <c r="B184" s="13" t="s">
        <v>47</v>
      </c>
      <c r="C184" s="14" t="s">
        <v>48</v>
      </c>
      <c r="D184" s="14" t="s">
        <v>49</v>
      </c>
      <c r="E184" s="35">
        <v>1</v>
      </c>
      <c r="F184" s="14" t="s">
        <v>144</v>
      </c>
      <c r="G184" s="14" t="s">
        <v>262</v>
      </c>
      <c r="H184" s="12" t="s">
        <v>7</v>
      </c>
      <c r="I184" s="15">
        <v>14.5</v>
      </c>
      <c r="J184" s="56">
        <v>1105</v>
      </c>
      <c r="K184" s="33">
        <f t="shared" si="3"/>
        <v>16022.5</v>
      </c>
      <c r="L184" s="16"/>
    </row>
    <row r="185" spans="1:12">
      <c r="A185" s="12">
        <v>50</v>
      </c>
      <c r="B185" s="13" t="s">
        <v>47</v>
      </c>
      <c r="C185" s="14" t="s">
        <v>48</v>
      </c>
      <c r="D185" s="14" t="s">
        <v>49</v>
      </c>
      <c r="E185" s="35">
        <v>1</v>
      </c>
      <c r="F185" s="14" t="s">
        <v>150</v>
      </c>
      <c r="G185" s="14" t="s">
        <v>262</v>
      </c>
      <c r="H185" s="12" t="s">
        <v>7</v>
      </c>
      <c r="I185" s="15">
        <v>14.5</v>
      </c>
      <c r="J185" s="56">
        <v>1105</v>
      </c>
      <c r="K185" s="33">
        <f t="shared" si="3"/>
        <v>16022.5</v>
      </c>
      <c r="L185" s="16"/>
    </row>
    <row r="186" spans="1:12">
      <c r="A186" s="12">
        <v>51</v>
      </c>
      <c r="B186" s="13" t="s">
        <v>47</v>
      </c>
      <c r="C186" s="14" t="s">
        <v>48</v>
      </c>
      <c r="D186" s="14" t="s">
        <v>49</v>
      </c>
      <c r="E186" s="35">
        <v>2</v>
      </c>
      <c r="F186" s="14" t="s">
        <v>214</v>
      </c>
      <c r="G186" s="14" t="s">
        <v>262</v>
      </c>
      <c r="H186" s="12" t="s">
        <v>7</v>
      </c>
      <c r="I186" s="15">
        <v>6.6</v>
      </c>
      <c r="J186" s="56">
        <v>1105</v>
      </c>
      <c r="K186" s="33">
        <f t="shared" si="3"/>
        <v>7293</v>
      </c>
      <c r="L186" s="16"/>
    </row>
    <row r="187" spans="1:12" ht="26.4">
      <c r="A187" s="12">
        <v>52</v>
      </c>
      <c r="B187" s="13" t="s">
        <v>47</v>
      </c>
      <c r="C187" s="14" t="s">
        <v>48</v>
      </c>
      <c r="D187" s="14" t="s">
        <v>49</v>
      </c>
      <c r="E187" s="35">
        <v>2</v>
      </c>
      <c r="F187" s="14" t="s">
        <v>208</v>
      </c>
      <c r="G187" s="14" t="s">
        <v>262</v>
      </c>
      <c r="H187" s="12" t="s">
        <v>7</v>
      </c>
      <c r="I187" s="15">
        <v>13</v>
      </c>
      <c r="J187" s="56">
        <v>1105</v>
      </c>
      <c r="K187" s="33">
        <f t="shared" si="3"/>
        <v>14365</v>
      </c>
      <c r="L187" s="16"/>
    </row>
    <row r="188" spans="1:12">
      <c r="A188" s="12">
        <v>53</v>
      </c>
      <c r="B188" s="13" t="s">
        <v>47</v>
      </c>
      <c r="C188" s="14" t="s">
        <v>48</v>
      </c>
      <c r="D188" s="14" t="s">
        <v>49</v>
      </c>
      <c r="E188" s="35">
        <v>2</v>
      </c>
      <c r="F188" s="14" t="s">
        <v>197</v>
      </c>
      <c r="G188" s="14" t="s">
        <v>262</v>
      </c>
      <c r="H188" s="12" t="s">
        <v>7</v>
      </c>
      <c r="I188" s="15">
        <v>78.5</v>
      </c>
      <c r="J188" s="56">
        <v>1105</v>
      </c>
      <c r="K188" s="33">
        <f t="shared" si="3"/>
        <v>86742.5</v>
      </c>
      <c r="L188" s="16"/>
    </row>
    <row r="189" spans="1:12">
      <c r="A189" s="12">
        <v>54</v>
      </c>
      <c r="B189" s="13" t="s">
        <v>47</v>
      </c>
      <c r="C189" s="14" t="s">
        <v>48</v>
      </c>
      <c r="D189" s="14" t="s">
        <v>49</v>
      </c>
      <c r="E189" s="35">
        <v>2</v>
      </c>
      <c r="F189" s="14" t="s">
        <v>204</v>
      </c>
      <c r="G189" s="14" t="s">
        <v>262</v>
      </c>
      <c r="H189" s="12" t="s">
        <v>7</v>
      </c>
      <c r="I189" s="15">
        <v>78.5</v>
      </c>
      <c r="J189" s="56">
        <v>1105</v>
      </c>
      <c r="K189" s="33">
        <f t="shared" si="3"/>
        <v>86742.5</v>
      </c>
      <c r="L189" s="16"/>
    </row>
    <row r="190" spans="1:12" ht="39.6">
      <c r="A190" s="12">
        <v>55</v>
      </c>
      <c r="B190" s="13" t="s">
        <v>47</v>
      </c>
      <c r="C190" s="14" t="s">
        <v>48</v>
      </c>
      <c r="D190" s="14" t="s">
        <v>49</v>
      </c>
      <c r="E190" s="35">
        <v>2</v>
      </c>
      <c r="F190" s="14" t="s">
        <v>272</v>
      </c>
      <c r="G190" s="14" t="s">
        <v>262</v>
      </c>
      <c r="H190" s="12" t="s">
        <v>7</v>
      </c>
      <c r="I190" s="15">
        <v>10.5</v>
      </c>
      <c r="J190" s="56">
        <v>1105</v>
      </c>
      <c r="K190" s="33">
        <f t="shared" si="3"/>
        <v>11602.5</v>
      </c>
      <c r="L190" s="16"/>
    </row>
    <row r="191" spans="1:12" ht="26.4">
      <c r="A191" s="12">
        <v>56</v>
      </c>
      <c r="B191" s="13" t="s">
        <v>47</v>
      </c>
      <c r="C191" s="14" t="s">
        <v>48</v>
      </c>
      <c r="D191" s="14" t="s">
        <v>49</v>
      </c>
      <c r="E191" s="35">
        <v>2</v>
      </c>
      <c r="F191" s="14" t="s">
        <v>210</v>
      </c>
      <c r="G191" s="14" t="s">
        <v>262</v>
      </c>
      <c r="H191" s="12" t="s">
        <v>7</v>
      </c>
      <c r="I191" s="15">
        <v>5.8</v>
      </c>
      <c r="J191" s="56">
        <v>1105</v>
      </c>
      <c r="K191" s="33">
        <f t="shared" si="3"/>
        <v>6409</v>
      </c>
      <c r="L191" s="16"/>
    </row>
    <row r="192" spans="1:12">
      <c r="A192" s="12">
        <v>57</v>
      </c>
      <c r="B192" s="13" t="s">
        <v>47</v>
      </c>
      <c r="C192" s="14" t="s">
        <v>48</v>
      </c>
      <c r="D192" s="14" t="s">
        <v>49</v>
      </c>
      <c r="E192" s="35">
        <v>2</v>
      </c>
      <c r="F192" s="14" t="s">
        <v>194</v>
      </c>
      <c r="G192" s="14" t="s">
        <v>262</v>
      </c>
      <c r="H192" s="12" t="s">
        <v>7</v>
      </c>
      <c r="I192" s="15">
        <v>9</v>
      </c>
      <c r="J192" s="56">
        <v>1105</v>
      </c>
      <c r="K192" s="33">
        <f t="shared" si="3"/>
        <v>9945</v>
      </c>
      <c r="L192" s="16"/>
    </row>
    <row r="193" spans="1:12">
      <c r="A193" s="12">
        <v>58</v>
      </c>
      <c r="B193" s="13" t="s">
        <v>47</v>
      </c>
      <c r="C193" s="14" t="s">
        <v>48</v>
      </c>
      <c r="D193" s="14" t="s">
        <v>49</v>
      </c>
      <c r="E193" s="35">
        <v>2</v>
      </c>
      <c r="F193" s="14" t="s">
        <v>197</v>
      </c>
      <c r="G193" s="14" t="s">
        <v>262</v>
      </c>
      <c r="H193" s="12" t="s">
        <v>7</v>
      </c>
      <c r="I193" s="15">
        <v>14</v>
      </c>
      <c r="J193" s="56">
        <v>1105</v>
      </c>
      <c r="K193" s="33">
        <f t="shared" si="3"/>
        <v>15470</v>
      </c>
      <c r="L193" s="16"/>
    </row>
    <row r="194" spans="1:12">
      <c r="A194" s="12">
        <v>59</v>
      </c>
      <c r="B194" s="13" t="s">
        <v>47</v>
      </c>
      <c r="C194" s="14" t="s">
        <v>48</v>
      </c>
      <c r="D194" s="14" t="s">
        <v>49</v>
      </c>
      <c r="E194" s="35">
        <v>2</v>
      </c>
      <c r="F194" s="14" t="s">
        <v>201</v>
      </c>
      <c r="G194" s="14" t="s">
        <v>262</v>
      </c>
      <c r="H194" s="12" t="s">
        <v>7</v>
      </c>
      <c r="I194" s="15">
        <v>14</v>
      </c>
      <c r="J194" s="56">
        <v>1105</v>
      </c>
      <c r="K194" s="33">
        <f t="shared" si="3"/>
        <v>15470</v>
      </c>
      <c r="L194" s="16"/>
    </row>
    <row r="195" spans="1:12">
      <c r="A195" s="12">
        <v>60</v>
      </c>
      <c r="B195" s="13" t="s">
        <v>47</v>
      </c>
      <c r="C195" s="14" t="s">
        <v>48</v>
      </c>
      <c r="D195" s="14" t="s">
        <v>49</v>
      </c>
      <c r="E195" s="35">
        <v>2</v>
      </c>
      <c r="F195" s="14" t="s">
        <v>214</v>
      </c>
      <c r="G195" s="14" t="s">
        <v>260</v>
      </c>
      <c r="H195" s="12" t="s">
        <v>261</v>
      </c>
      <c r="I195" s="15">
        <v>2.6</v>
      </c>
      <c r="J195" s="54">
        <v>4160</v>
      </c>
      <c r="K195" s="33">
        <f t="shared" si="3"/>
        <v>10816</v>
      </c>
      <c r="L195" s="16"/>
    </row>
    <row r="196" spans="1:12" ht="26.4">
      <c r="A196" s="12">
        <v>61</v>
      </c>
      <c r="B196" s="13" t="s">
        <v>47</v>
      </c>
      <c r="C196" s="14" t="s">
        <v>48</v>
      </c>
      <c r="D196" s="14" t="s">
        <v>49</v>
      </c>
      <c r="E196" s="35">
        <v>2</v>
      </c>
      <c r="F196" s="14" t="s">
        <v>208</v>
      </c>
      <c r="G196" s="14" t="s">
        <v>260</v>
      </c>
      <c r="H196" s="12" t="s">
        <v>261</v>
      </c>
      <c r="I196" s="15">
        <v>1.3</v>
      </c>
      <c r="J196" s="54">
        <v>4160</v>
      </c>
      <c r="K196" s="33">
        <f t="shared" si="3"/>
        <v>5408</v>
      </c>
      <c r="L196" s="16"/>
    </row>
    <row r="197" spans="1:12">
      <c r="A197" s="12">
        <v>62</v>
      </c>
      <c r="B197" s="13" t="s">
        <v>47</v>
      </c>
      <c r="C197" s="14" t="s">
        <v>48</v>
      </c>
      <c r="D197" s="14" t="s">
        <v>49</v>
      </c>
      <c r="E197" s="35">
        <v>2</v>
      </c>
      <c r="F197" s="14" t="s">
        <v>199</v>
      </c>
      <c r="G197" s="14" t="s">
        <v>260</v>
      </c>
      <c r="H197" s="12" t="s">
        <v>261</v>
      </c>
      <c r="I197" s="15">
        <v>0.45</v>
      </c>
      <c r="J197" s="54">
        <v>4160</v>
      </c>
      <c r="K197" s="33">
        <f t="shared" si="3"/>
        <v>1872</v>
      </c>
      <c r="L197" s="16"/>
    </row>
    <row r="198" spans="1:12" ht="26.4">
      <c r="A198" s="12">
        <v>63</v>
      </c>
      <c r="B198" s="13" t="s">
        <v>47</v>
      </c>
      <c r="C198" s="14" t="s">
        <v>48</v>
      </c>
      <c r="D198" s="14" t="s">
        <v>49</v>
      </c>
      <c r="E198" s="35">
        <v>2</v>
      </c>
      <c r="F198" s="14" t="s">
        <v>210</v>
      </c>
      <c r="G198" s="14" t="s">
        <v>260</v>
      </c>
      <c r="H198" s="12" t="s">
        <v>261</v>
      </c>
      <c r="I198" s="15">
        <v>0.3</v>
      </c>
      <c r="J198" s="54">
        <v>4160</v>
      </c>
      <c r="K198" s="33">
        <f t="shared" si="3"/>
        <v>1248</v>
      </c>
      <c r="L198" s="16"/>
    </row>
    <row r="199" spans="1:12" ht="26.4">
      <c r="A199" s="12">
        <v>64</v>
      </c>
      <c r="B199" s="13" t="s">
        <v>47</v>
      </c>
      <c r="C199" s="14" t="s">
        <v>48</v>
      </c>
      <c r="D199" s="14" t="s">
        <v>63</v>
      </c>
      <c r="E199" s="35">
        <v>1</v>
      </c>
      <c r="F199" s="14" t="s">
        <v>106</v>
      </c>
      <c r="G199" s="57" t="s">
        <v>294</v>
      </c>
      <c r="H199" s="12" t="s">
        <v>281</v>
      </c>
      <c r="I199" s="15">
        <v>7</v>
      </c>
      <c r="J199" s="54">
        <v>300</v>
      </c>
      <c r="K199" s="33">
        <f t="shared" si="3"/>
        <v>2100</v>
      </c>
      <c r="L199" s="16"/>
    </row>
    <row r="200" spans="1:12" ht="26.4">
      <c r="A200" s="12">
        <v>65</v>
      </c>
      <c r="B200" s="13" t="s">
        <v>47</v>
      </c>
      <c r="C200" s="14" t="s">
        <v>48</v>
      </c>
      <c r="D200" s="14" t="s">
        <v>49</v>
      </c>
      <c r="E200" s="35">
        <v>1</v>
      </c>
      <c r="F200" s="14" t="s">
        <v>100</v>
      </c>
      <c r="G200" s="14" t="s">
        <v>15</v>
      </c>
      <c r="H200" s="12" t="s">
        <v>7</v>
      </c>
      <c r="I200" s="15">
        <v>39</v>
      </c>
      <c r="J200" s="54">
        <v>1170</v>
      </c>
      <c r="K200" s="33">
        <f t="shared" si="3"/>
        <v>45630</v>
      </c>
      <c r="L200" s="16"/>
    </row>
    <row r="201" spans="1:12" ht="39.6">
      <c r="A201" s="12">
        <v>66</v>
      </c>
      <c r="B201" s="13" t="s">
        <v>47</v>
      </c>
      <c r="C201" s="14" t="s">
        <v>48</v>
      </c>
      <c r="D201" s="14" t="s">
        <v>58</v>
      </c>
      <c r="E201" s="35">
        <v>1</v>
      </c>
      <c r="F201" s="14" t="s">
        <v>155</v>
      </c>
      <c r="G201" s="14" t="s">
        <v>14</v>
      </c>
      <c r="H201" s="12" t="s">
        <v>7</v>
      </c>
      <c r="I201" s="15">
        <v>9.4</v>
      </c>
      <c r="J201" s="54">
        <v>1170</v>
      </c>
      <c r="K201" s="33">
        <f t="shared" si="3"/>
        <v>10998</v>
      </c>
      <c r="L201" s="16"/>
    </row>
    <row r="202" spans="1:12" ht="26.4">
      <c r="A202" s="12">
        <v>67</v>
      </c>
      <c r="B202" s="13" t="s">
        <v>60</v>
      </c>
      <c r="C202" s="14" t="s">
        <v>48</v>
      </c>
      <c r="D202" s="14" t="s">
        <v>49</v>
      </c>
      <c r="E202" s="35">
        <v>1</v>
      </c>
      <c r="F202" s="14" t="s">
        <v>155</v>
      </c>
      <c r="G202" s="14" t="s">
        <v>15</v>
      </c>
      <c r="H202" s="12" t="s">
        <v>7</v>
      </c>
      <c r="I202" s="15">
        <v>25</v>
      </c>
      <c r="J202" s="54">
        <v>1170</v>
      </c>
      <c r="K202" s="33">
        <f t="shared" si="3"/>
        <v>29250</v>
      </c>
      <c r="L202" s="16"/>
    </row>
    <row r="203" spans="1:12" ht="39.6">
      <c r="A203" s="12">
        <v>68</v>
      </c>
      <c r="B203" s="13" t="s">
        <v>47</v>
      </c>
      <c r="C203" s="14" t="s">
        <v>48</v>
      </c>
      <c r="D203" s="14" t="s">
        <v>58</v>
      </c>
      <c r="E203" s="35">
        <v>1</v>
      </c>
      <c r="F203" s="14" t="s">
        <v>85</v>
      </c>
      <c r="G203" s="14" t="s">
        <v>14</v>
      </c>
      <c r="H203" s="12" t="s">
        <v>7</v>
      </c>
      <c r="I203" s="15">
        <v>5.5</v>
      </c>
      <c r="J203" s="54">
        <v>1170</v>
      </c>
      <c r="K203" s="33">
        <f t="shared" si="3"/>
        <v>6435</v>
      </c>
      <c r="L203" s="16"/>
    </row>
    <row r="204" spans="1:12" ht="26.4">
      <c r="A204" s="12">
        <v>69</v>
      </c>
      <c r="B204" s="13" t="s">
        <v>47</v>
      </c>
      <c r="C204" s="14" t="s">
        <v>48</v>
      </c>
      <c r="D204" s="14" t="s">
        <v>49</v>
      </c>
      <c r="E204" s="35">
        <v>1</v>
      </c>
      <c r="F204" s="14" t="s">
        <v>85</v>
      </c>
      <c r="G204" s="14" t="s">
        <v>15</v>
      </c>
      <c r="H204" s="12" t="s">
        <v>7</v>
      </c>
      <c r="I204" s="15">
        <v>6</v>
      </c>
      <c r="J204" s="54">
        <v>1170</v>
      </c>
      <c r="K204" s="33">
        <f t="shared" si="3"/>
        <v>7020</v>
      </c>
      <c r="L204" s="16"/>
    </row>
    <row r="205" spans="1:12" ht="39.6">
      <c r="A205" s="12">
        <v>70</v>
      </c>
      <c r="B205" s="13" t="s">
        <v>47</v>
      </c>
      <c r="C205" s="14" t="s">
        <v>48</v>
      </c>
      <c r="D205" s="14" t="s">
        <v>58</v>
      </c>
      <c r="E205" s="35">
        <v>1</v>
      </c>
      <c r="F205" s="14" t="s">
        <v>86</v>
      </c>
      <c r="G205" s="14" t="s">
        <v>14</v>
      </c>
      <c r="H205" s="12" t="s">
        <v>7</v>
      </c>
      <c r="I205" s="15">
        <v>9.1</v>
      </c>
      <c r="J205" s="54">
        <v>1170</v>
      </c>
      <c r="K205" s="33">
        <f t="shared" ref="K205:K228" si="4">J205*I205</f>
        <v>10647</v>
      </c>
      <c r="L205" s="16"/>
    </row>
    <row r="206" spans="1:12" ht="39.6">
      <c r="A206" s="12">
        <v>71</v>
      </c>
      <c r="B206" s="13" t="s">
        <v>47</v>
      </c>
      <c r="C206" s="14" t="s">
        <v>48</v>
      </c>
      <c r="D206" s="14" t="s">
        <v>58</v>
      </c>
      <c r="E206" s="35">
        <v>1</v>
      </c>
      <c r="F206" s="14" t="s">
        <v>102</v>
      </c>
      <c r="G206" s="14" t="s">
        <v>14</v>
      </c>
      <c r="H206" s="12" t="s">
        <v>7</v>
      </c>
      <c r="I206" s="15">
        <v>4.3</v>
      </c>
      <c r="J206" s="54">
        <v>1170</v>
      </c>
      <c r="K206" s="33">
        <f t="shared" si="4"/>
        <v>5031</v>
      </c>
      <c r="L206" s="16"/>
    </row>
    <row r="207" spans="1:12" ht="39.6">
      <c r="A207" s="12">
        <v>72</v>
      </c>
      <c r="B207" s="13" t="s">
        <v>47</v>
      </c>
      <c r="C207" s="14" t="s">
        <v>48</v>
      </c>
      <c r="D207" s="14" t="s">
        <v>58</v>
      </c>
      <c r="E207" s="35">
        <v>1</v>
      </c>
      <c r="F207" s="14" t="s">
        <v>116</v>
      </c>
      <c r="G207" s="14" t="s">
        <v>14</v>
      </c>
      <c r="H207" s="12" t="s">
        <v>7</v>
      </c>
      <c r="I207" s="15">
        <v>10</v>
      </c>
      <c r="J207" s="54">
        <v>1170</v>
      </c>
      <c r="K207" s="33">
        <f t="shared" si="4"/>
        <v>11700</v>
      </c>
      <c r="L207" s="16"/>
    </row>
    <row r="208" spans="1:12" ht="26.4">
      <c r="A208" s="12">
        <v>73</v>
      </c>
      <c r="B208" s="13" t="s">
        <v>47</v>
      </c>
      <c r="C208" s="14" t="s">
        <v>48</v>
      </c>
      <c r="D208" s="14" t="s">
        <v>49</v>
      </c>
      <c r="E208" s="35">
        <v>1</v>
      </c>
      <c r="F208" s="14" t="s">
        <v>116</v>
      </c>
      <c r="G208" s="14" t="s">
        <v>15</v>
      </c>
      <c r="H208" s="12" t="s">
        <v>7</v>
      </c>
      <c r="I208" s="15">
        <v>18.5</v>
      </c>
      <c r="J208" s="54">
        <v>1170</v>
      </c>
      <c r="K208" s="33">
        <f t="shared" si="4"/>
        <v>21645</v>
      </c>
      <c r="L208" s="16"/>
    </row>
    <row r="209" spans="1:12" ht="39.6">
      <c r="A209" s="12">
        <v>74</v>
      </c>
      <c r="B209" s="13" t="s">
        <v>47</v>
      </c>
      <c r="C209" s="14" t="s">
        <v>48</v>
      </c>
      <c r="D209" s="14" t="s">
        <v>58</v>
      </c>
      <c r="E209" s="35">
        <v>1</v>
      </c>
      <c r="F209" s="14" t="s">
        <v>117</v>
      </c>
      <c r="G209" s="14" t="s">
        <v>14</v>
      </c>
      <c r="H209" s="12" t="s">
        <v>7</v>
      </c>
      <c r="I209" s="15">
        <v>161</v>
      </c>
      <c r="J209" s="54">
        <v>1170</v>
      </c>
      <c r="K209" s="33">
        <f t="shared" si="4"/>
        <v>188370</v>
      </c>
      <c r="L209" s="16"/>
    </row>
    <row r="210" spans="1:12" ht="26.4">
      <c r="A210" s="12">
        <v>75</v>
      </c>
      <c r="B210" s="13" t="s">
        <v>47</v>
      </c>
      <c r="C210" s="14" t="s">
        <v>48</v>
      </c>
      <c r="D210" s="14" t="s">
        <v>49</v>
      </c>
      <c r="E210" s="35">
        <v>1</v>
      </c>
      <c r="F210" s="14" t="s">
        <v>117</v>
      </c>
      <c r="G210" s="14" t="s">
        <v>15</v>
      </c>
      <c r="H210" s="12" t="s">
        <v>7</v>
      </c>
      <c r="I210" s="15">
        <v>30</v>
      </c>
      <c r="J210" s="54">
        <v>1170</v>
      </c>
      <c r="K210" s="33">
        <f t="shared" si="4"/>
        <v>35100</v>
      </c>
      <c r="L210" s="16"/>
    </row>
    <row r="211" spans="1:12" ht="39.6">
      <c r="A211" s="12">
        <v>76</v>
      </c>
      <c r="B211" s="13" t="s">
        <v>47</v>
      </c>
      <c r="C211" s="14" t="s">
        <v>48</v>
      </c>
      <c r="D211" s="14" t="s">
        <v>58</v>
      </c>
      <c r="E211" s="35">
        <v>1</v>
      </c>
      <c r="F211" s="14" t="s">
        <v>110</v>
      </c>
      <c r="G211" s="14" t="s">
        <v>14</v>
      </c>
      <c r="H211" s="12" t="s">
        <v>7</v>
      </c>
      <c r="I211" s="15">
        <v>106.5</v>
      </c>
      <c r="J211" s="54">
        <v>1170</v>
      </c>
      <c r="K211" s="33">
        <f t="shared" si="4"/>
        <v>124605</v>
      </c>
      <c r="L211" s="16"/>
    </row>
    <row r="212" spans="1:12" ht="39.6">
      <c r="A212" s="12">
        <v>77</v>
      </c>
      <c r="B212" s="13" t="s">
        <v>47</v>
      </c>
      <c r="C212" s="14" t="s">
        <v>48</v>
      </c>
      <c r="D212" s="14" t="s">
        <v>58</v>
      </c>
      <c r="E212" s="35">
        <v>2</v>
      </c>
      <c r="F212" s="14" t="s">
        <v>197</v>
      </c>
      <c r="G212" s="14" t="s">
        <v>14</v>
      </c>
      <c r="H212" s="12" t="s">
        <v>7</v>
      </c>
      <c r="I212" s="15">
        <v>30.6</v>
      </c>
      <c r="J212" s="54">
        <v>1170</v>
      </c>
      <c r="K212" s="33">
        <f t="shared" si="4"/>
        <v>35802</v>
      </c>
      <c r="L212" s="16"/>
    </row>
    <row r="213" spans="1:12" ht="26.4">
      <c r="A213" s="12">
        <v>78</v>
      </c>
      <c r="B213" s="13" t="s">
        <v>47</v>
      </c>
      <c r="C213" s="14" t="s">
        <v>48</v>
      </c>
      <c r="D213" s="14" t="s">
        <v>49</v>
      </c>
      <c r="E213" s="35">
        <v>2</v>
      </c>
      <c r="F213" s="14" t="s">
        <v>197</v>
      </c>
      <c r="G213" s="14" t="s">
        <v>15</v>
      </c>
      <c r="H213" s="12" t="s">
        <v>7</v>
      </c>
      <c r="I213" s="15">
        <v>37.200000000000003</v>
      </c>
      <c r="J213" s="54">
        <v>1170</v>
      </c>
      <c r="K213" s="33">
        <f t="shared" si="4"/>
        <v>43524</v>
      </c>
      <c r="L213" s="16"/>
    </row>
    <row r="214" spans="1:12" ht="39.6">
      <c r="A214" s="12">
        <v>79</v>
      </c>
      <c r="B214" s="13" t="s">
        <v>47</v>
      </c>
      <c r="C214" s="14" t="s">
        <v>48</v>
      </c>
      <c r="D214" s="14" t="s">
        <v>58</v>
      </c>
      <c r="E214" s="35">
        <v>2</v>
      </c>
      <c r="F214" s="14" t="s">
        <v>204</v>
      </c>
      <c r="G214" s="14" t="s">
        <v>14</v>
      </c>
      <c r="H214" s="12" t="s">
        <v>7</v>
      </c>
      <c r="I214" s="15">
        <v>30.6</v>
      </c>
      <c r="J214" s="54">
        <v>1170</v>
      </c>
      <c r="K214" s="33">
        <f t="shared" si="4"/>
        <v>35802</v>
      </c>
      <c r="L214" s="16"/>
    </row>
    <row r="215" spans="1:12" ht="26.4">
      <c r="A215" s="12">
        <v>80</v>
      </c>
      <c r="B215" s="13" t="s">
        <v>47</v>
      </c>
      <c r="C215" s="14" t="s">
        <v>48</v>
      </c>
      <c r="D215" s="14" t="s">
        <v>49</v>
      </c>
      <c r="E215" s="35">
        <v>2</v>
      </c>
      <c r="F215" s="14" t="s">
        <v>204</v>
      </c>
      <c r="G215" s="14" t="s">
        <v>15</v>
      </c>
      <c r="H215" s="12" t="s">
        <v>7</v>
      </c>
      <c r="I215" s="15">
        <v>37.200000000000003</v>
      </c>
      <c r="J215" s="54">
        <v>1170</v>
      </c>
      <c r="K215" s="33">
        <f t="shared" si="4"/>
        <v>43524</v>
      </c>
      <c r="L215" s="16"/>
    </row>
    <row r="216" spans="1:12" ht="39.6">
      <c r="A216" s="12">
        <v>81</v>
      </c>
      <c r="B216" s="13" t="s">
        <v>47</v>
      </c>
      <c r="C216" s="14" t="s">
        <v>48</v>
      </c>
      <c r="D216" s="14" t="s">
        <v>58</v>
      </c>
      <c r="E216" s="35">
        <v>2</v>
      </c>
      <c r="F216" s="14" t="s">
        <v>181</v>
      </c>
      <c r="G216" s="14" t="s">
        <v>14</v>
      </c>
      <c r="H216" s="12" t="s">
        <v>7</v>
      </c>
      <c r="I216" s="15">
        <v>9</v>
      </c>
      <c r="J216" s="54">
        <v>1170</v>
      </c>
      <c r="K216" s="33">
        <f t="shared" si="4"/>
        <v>10530</v>
      </c>
      <c r="L216" s="16"/>
    </row>
    <row r="217" spans="1:12" ht="39.6">
      <c r="A217" s="12">
        <v>82</v>
      </c>
      <c r="B217" s="13" t="s">
        <v>47</v>
      </c>
      <c r="C217" s="14" t="s">
        <v>48</v>
      </c>
      <c r="D217" s="14" t="s">
        <v>58</v>
      </c>
      <c r="E217" s="35">
        <v>2</v>
      </c>
      <c r="F217" s="14" t="s">
        <v>180</v>
      </c>
      <c r="G217" s="14" t="s">
        <v>14</v>
      </c>
      <c r="H217" s="12" t="s">
        <v>7</v>
      </c>
      <c r="I217" s="15">
        <v>5</v>
      </c>
      <c r="J217" s="54">
        <v>1170</v>
      </c>
      <c r="K217" s="33">
        <f t="shared" si="4"/>
        <v>5850</v>
      </c>
      <c r="L217" s="16"/>
    </row>
    <row r="218" spans="1:12" ht="26.4">
      <c r="A218" s="12">
        <v>83</v>
      </c>
      <c r="B218" s="13" t="s">
        <v>47</v>
      </c>
      <c r="C218" s="14" t="s">
        <v>48</v>
      </c>
      <c r="D218" s="14" t="s">
        <v>49</v>
      </c>
      <c r="E218" s="35">
        <v>2</v>
      </c>
      <c r="F218" s="14" t="s">
        <v>180</v>
      </c>
      <c r="G218" s="14" t="s">
        <v>15</v>
      </c>
      <c r="H218" s="12" t="s">
        <v>7</v>
      </c>
      <c r="I218" s="15">
        <v>4.8</v>
      </c>
      <c r="J218" s="54">
        <v>1170</v>
      </c>
      <c r="K218" s="33">
        <f t="shared" si="4"/>
        <v>5616</v>
      </c>
      <c r="L218" s="16"/>
    </row>
    <row r="219" spans="1:12" ht="15.6">
      <c r="A219" s="12">
        <v>84</v>
      </c>
      <c r="B219" s="13" t="s">
        <v>47</v>
      </c>
      <c r="C219" s="14" t="s">
        <v>48</v>
      </c>
      <c r="D219" s="14" t="s">
        <v>49</v>
      </c>
      <c r="E219" s="35">
        <v>1</v>
      </c>
      <c r="F219" s="14" t="s">
        <v>143</v>
      </c>
      <c r="G219" s="14" t="s">
        <v>279</v>
      </c>
      <c r="H219" s="12" t="s">
        <v>7</v>
      </c>
      <c r="I219" s="15">
        <v>2.73</v>
      </c>
      <c r="J219" s="55">
        <v>800</v>
      </c>
      <c r="K219" s="33">
        <f t="shared" si="4"/>
        <v>2184</v>
      </c>
      <c r="L219" s="16"/>
    </row>
    <row r="220" spans="1:12" ht="26.4">
      <c r="A220" s="12">
        <v>85</v>
      </c>
      <c r="B220" s="13" t="s">
        <v>47</v>
      </c>
      <c r="C220" s="14" t="s">
        <v>48</v>
      </c>
      <c r="D220" s="14" t="s">
        <v>49</v>
      </c>
      <c r="E220" s="35">
        <v>1</v>
      </c>
      <c r="F220" s="14" t="s">
        <v>139</v>
      </c>
      <c r="G220" s="14" t="s">
        <v>279</v>
      </c>
      <c r="H220" s="12" t="s">
        <v>7</v>
      </c>
      <c r="I220" s="15">
        <v>11</v>
      </c>
      <c r="J220" s="55">
        <v>800</v>
      </c>
      <c r="K220" s="33">
        <f t="shared" si="4"/>
        <v>8800</v>
      </c>
      <c r="L220" s="16"/>
    </row>
    <row r="221" spans="1:12" ht="15.6">
      <c r="A221" s="12">
        <v>86</v>
      </c>
      <c r="B221" s="13" t="s">
        <v>60</v>
      </c>
      <c r="C221" s="14" t="s">
        <v>48</v>
      </c>
      <c r="D221" s="14" t="s">
        <v>49</v>
      </c>
      <c r="E221" s="35">
        <v>1</v>
      </c>
      <c r="F221" s="14" t="s">
        <v>90</v>
      </c>
      <c r="G221" s="14" t="s">
        <v>279</v>
      </c>
      <c r="H221" s="12" t="s">
        <v>7</v>
      </c>
      <c r="I221" s="15">
        <v>5.46</v>
      </c>
      <c r="J221" s="55">
        <v>800</v>
      </c>
      <c r="K221" s="33">
        <f t="shared" si="4"/>
        <v>4368</v>
      </c>
      <c r="L221" s="16"/>
    </row>
    <row r="222" spans="1:12" ht="15.6">
      <c r="A222" s="12">
        <v>87</v>
      </c>
      <c r="B222" s="13" t="s">
        <v>47</v>
      </c>
      <c r="C222" s="14" t="s">
        <v>48</v>
      </c>
      <c r="D222" s="14" t="s">
        <v>49</v>
      </c>
      <c r="E222" s="35">
        <v>1</v>
      </c>
      <c r="F222" s="14" t="s">
        <v>117</v>
      </c>
      <c r="G222" s="14" t="s">
        <v>279</v>
      </c>
      <c r="H222" s="12" t="s">
        <v>7</v>
      </c>
      <c r="I222" s="15">
        <v>2.73</v>
      </c>
      <c r="J222" s="55">
        <v>800</v>
      </c>
      <c r="K222" s="33">
        <f t="shared" si="4"/>
        <v>2184</v>
      </c>
      <c r="L222" s="16"/>
    </row>
    <row r="223" spans="1:12" ht="26.4">
      <c r="A223" s="12">
        <v>88</v>
      </c>
      <c r="B223" s="13" t="s">
        <v>47</v>
      </c>
      <c r="C223" s="14" t="s">
        <v>48</v>
      </c>
      <c r="D223" s="14" t="s">
        <v>49</v>
      </c>
      <c r="E223" s="35">
        <v>1</v>
      </c>
      <c r="F223" s="14" t="s">
        <v>91</v>
      </c>
      <c r="G223" s="14" t="s">
        <v>279</v>
      </c>
      <c r="H223" s="12" t="s">
        <v>7</v>
      </c>
      <c r="I223" s="15">
        <v>11</v>
      </c>
      <c r="J223" s="55">
        <v>800</v>
      </c>
      <c r="K223" s="33">
        <f t="shared" si="4"/>
        <v>8800</v>
      </c>
      <c r="L223" s="16"/>
    </row>
    <row r="224" spans="1:12" ht="26.4">
      <c r="A224" s="12">
        <v>89</v>
      </c>
      <c r="B224" s="13" t="s">
        <v>47</v>
      </c>
      <c r="C224" s="14" t="s">
        <v>48</v>
      </c>
      <c r="D224" s="14" t="s">
        <v>49</v>
      </c>
      <c r="E224" s="35">
        <v>2</v>
      </c>
      <c r="F224" s="14" t="s">
        <v>191</v>
      </c>
      <c r="G224" s="14" t="s">
        <v>279</v>
      </c>
      <c r="H224" s="12" t="s">
        <v>7</v>
      </c>
      <c r="I224" s="15">
        <v>2.73</v>
      </c>
      <c r="J224" s="55">
        <v>800</v>
      </c>
      <c r="K224" s="33">
        <f t="shared" si="4"/>
        <v>2184</v>
      </c>
      <c r="L224" s="16"/>
    </row>
    <row r="225" spans="1:12" ht="15.6">
      <c r="A225" s="12">
        <v>90</v>
      </c>
      <c r="B225" s="13" t="s">
        <v>47</v>
      </c>
      <c r="C225" s="14" t="s">
        <v>48</v>
      </c>
      <c r="D225" s="14" t="s">
        <v>49</v>
      </c>
      <c r="E225" s="35">
        <v>2</v>
      </c>
      <c r="F225" s="14" t="s">
        <v>183</v>
      </c>
      <c r="G225" s="14" t="s">
        <v>279</v>
      </c>
      <c r="H225" s="12" t="s">
        <v>7</v>
      </c>
      <c r="I225" s="15">
        <v>2.73</v>
      </c>
      <c r="J225" s="55">
        <v>800</v>
      </c>
      <c r="K225" s="33">
        <f t="shared" si="4"/>
        <v>2184</v>
      </c>
      <c r="L225" s="16"/>
    </row>
    <row r="226" spans="1:12" ht="52.8">
      <c r="A226" s="12">
        <v>91</v>
      </c>
      <c r="B226" s="13" t="s">
        <v>64</v>
      </c>
      <c r="C226" s="14" t="s">
        <v>48</v>
      </c>
      <c r="D226" s="14" t="s">
        <v>49</v>
      </c>
      <c r="E226" s="35">
        <v>2</v>
      </c>
      <c r="F226" s="14" t="s">
        <v>275</v>
      </c>
      <c r="G226" s="14" t="s">
        <v>279</v>
      </c>
      <c r="H226" s="12" t="s">
        <v>7</v>
      </c>
      <c r="I226" s="15">
        <v>5.46</v>
      </c>
      <c r="J226" s="55">
        <v>800</v>
      </c>
      <c r="K226" s="33">
        <f t="shared" si="4"/>
        <v>4368</v>
      </c>
      <c r="L226" s="16"/>
    </row>
    <row r="227" spans="1:12" ht="30.6" customHeight="1">
      <c r="A227" s="12">
        <v>92</v>
      </c>
      <c r="B227" s="13" t="s">
        <v>59</v>
      </c>
      <c r="C227" s="14" t="s">
        <v>48</v>
      </c>
      <c r="D227" s="14"/>
      <c r="E227" s="58" t="s">
        <v>295</v>
      </c>
      <c r="F227" s="14" t="s">
        <v>296</v>
      </c>
      <c r="G227" s="57" t="s">
        <v>297</v>
      </c>
      <c r="H227" s="12" t="s">
        <v>298</v>
      </c>
      <c r="I227" s="15">
        <v>201</v>
      </c>
      <c r="J227" s="54">
        <v>450</v>
      </c>
      <c r="K227" s="33">
        <f t="shared" si="4"/>
        <v>90450</v>
      </c>
      <c r="L227" s="16"/>
    </row>
    <row r="228" spans="1:12">
      <c r="A228" s="12">
        <v>93</v>
      </c>
      <c r="B228" s="13" t="s">
        <v>60</v>
      </c>
      <c r="C228" s="14" t="s">
        <v>48</v>
      </c>
      <c r="D228" s="14" t="s">
        <v>49</v>
      </c>
      <c r="E228" s="58" t="s">
        <v>295</v>
      </c>
      <c r="F228" s="14" t="s">
        <v>296</v>
      </c>
      <c r="G228" s="14" t="s">
        <v>11</v>
      </c>
      <c r="H228" s="12" t="s">
        <v>281</v>
      </c>
      <c r="I228" s="15">
        <v>386</v>
      </c>
      <c r="J228" s="54">
        <v>50</v>
      </c>
      <c r="K228" s="33">
        <f t="shared" si="4"/>
        <v>19300</v>
      </c>
      <c r="L228" s="16"/>
    </row>
    <row r="229" spans="1:12" ht="45" customHeight="1">
      <c r="A229" s="71" t="s">
        <v>50</v>
      </c>
      <c r="B229" s="144"/>
      <c r="C229" s="145"/>
      <c r="D229" s="145"/>
      <c r="E229" s="145"/>
      <c r="F229" s="145"/>
      <c r="G229" s="145"/>
      <c r="H229" s="145"/>
      <c r="I229" s="145"/>
      <c r="J229" s="146"/>
      <c r="K229" s="34">
        <f>SUM(K136:K228)</f>
        <v>1612288.5</v>
      </c>
      <c r="L229" s="36"/>
    </row>
    <row r="230" spans="1:12">
      <c r="A230" s="3"/>
    </row>
    <row r="233" spans="1:12" ht="15" thickBot="1">
      <c r="B233" s="4" t="s">
        <v>34</v>
      </c>
      <c r="C233" s="151" t="s">
        <v>288</v>
      </c>
      <c r="D233" s="151"/>
      <c r="E233" s="151"/>
      <c r="F233" s="151"/>
      <c r="G233" s="3"/>
      <c r="H233" s="147"/>
      <c r="I233" s="147"/>
      <c r="J233" s="3"/>
    </row>
    <row r="234" spans="1:12">
      <c r="A234" s="3"/>
      <c r="B234" s="3"/>
      <c r="C234" s="148" t="s">
        <v>69</v>
      </c>
      <c r="D234" s="148"/>
      <c r="E234" s="148"/>
      <c r="F234" s="148"/>
      <c r="G234" s="3"/>
      <c r="H234" s="149">
        <v>45991</v>
      </c>
      <c r="I234" s="148"/>
      <c r="J234" s="3"/>
    </row>
    <row r="235" spans="1:12" ht="15" thickBot="1">
      <c r="A235" s="3"/>
      <c r="B235" s="5" t="s">
        <v>71</v>
      </c>
      <c r="C235" s="151" t="s">
        <v>299</v>
      </c>
      <c r="D235" s="151"/>
      <c r="E235" s="151"/>
      <c r="F235" s="151"/>
      <c r="G235" s="3"/>
      <c r="H235" s="147"/>
      <c r="I235" s="147"/>
      <c r="J235" s="3"/>
    </row>
    <row r="236" spans="1:12">
      <c r="A236" s="3"/>
      <c r="B236" s="3"/>
      <c r="C236" s="148" t="s">
        <v>69</v>
      </c>
      <c r="D236" s="148"/>
      <c r="E236" s="148"/>
      <c r="F236" s="148"/>
      <c r="G236" s="3"/>
      <c r="H236" s="149">
        <v>45991</v>
      </c>
      <c r="I236" s="148"/>
      <c r="J236" s="3"/>
    </row>
    <row r="237" spans="1:12">
      <c r="A237" s="3"/>
      <c r="B237" s="3"/>
      <c r="C237" s="3"/>
      <c r="D237" s="3"/>
      <c r="E237" s="3"/>
      <c r="F237" s="3"/>
      <c r="G237" s="3"/>
      <c r="H237" s="150"/>
      <c r="I237" s="150"/>
      <c r="J237" s="3"/>
    </row>
    <row r="238" spans="1:12" ht="15" thickBot="1">
      <c r="A238" s="3"/>
      <c r="B238" s="5" t="s">
        <v>289</v>
      </c>
      <c r="C238" s="151" t="s">
        <v>290</v>
      </c>
      <c r="D238" s="151"/>
      <c r="E238" s="151"/>
      <c r="F238" s="151"/>
      <c r="G238" s="3"/>
      <c r="H238" s="147"/>
      <c r="I238" s="147"/>
      <c r="J238" s="3"/>
    </row>
    <row r="239" spans="1:12">
      <c r="A239" s="3"/>
      <c r="B239" s="3"/>
      <c r="C239" s="148" t="s">
        <v>69</v>
      </c>
      <c r="D239" s="148"/>
      <c r="E239" s="148"/>
      <c r="F239" s="148"/>
      <c r="G239" s="3"/>
      <c r="H239" s="149">
        <v>45991</v>
      </c>
      <c r="I239" s="148"/>
      <c r="J239" s="3"/>
    </row>
    <row r="240" spans="1:12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" thickBot="1">
      <c r="A241" s="3"/>
      <c r="B241" s="5" t="s">
        <v>72</v>
      </c>
      <c r="C241" s="147"/>
      <c r="D241" s="147"/>
      <c r="E241" s="147"/>
      <c r="F241" s="147"/>
      <c r="G241" s="3"/>
      <c r="H241" s="147"/>
      <c r="I241" s="147"/>
      <c r="J241" s="3"/>
    </row>
    <row r="242" spans="1:10">
      <c r="A242" s="3"/>
      <c r="B242" s="3"/>
      <c r="C242" s="148" t="s">
        <v>69</v>
      </c>
      <c r="D242" s="148"/>
      <c r="E242" s="148"/>
      <c r="F242" s="148"/>
      <c r="G242" s="3"/>
      <c r="H242" s="148" t="s">
        <v>70</v>
      </c>
      <c r="I242" s="148"/>
      <c r="J242" s="3"/>
    </row>
    <row r="243" spans="1:10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" thickBot="1">
      <c r="A244" s="3"/>
      <c r="B244" s="4" t="s">
        <v>73</v>
      </c>
      <c r="C244" s="147"/>
      <c r="D244" s="147"/>
      <c r="E244" s="147"/>
      <c r="F244" s="147"/>
      <c r="G244" s="3"/>
      <c r="H244" s="147"/>
      <c r="I244" s="147"/>
      <c r="J244" s="3"/>
    </row>
    <row r="245" spans="1:10">
      <c r="A245" s="3"/>
      <c r="B245" s="3"/>
      <c r="C245" s="148" t="s">
        <v>69</v>
      </c>
      <c r="D245" s="148"/>
      <c r="E245" s="148"/>
      <c r="F245" s="148"/>
      <c r="G245" s="3"/>
      <c r="H245" s="148" t="s">
        <v>70</v>
      </c>
      <c r="I245" s="148"/>
      <c r="J245" s="3"/>
    </row>
    <row r="246" spans="1:10">
      <c r="A246" s="3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</row>
    <row r="257" spans="1:13">
      <c r="B257" s="3"/>
      <c r="C257" s="7" t="s">
        <v>29</v>
      </c>
      <c r="D257" s="7">
        <v>4</v>
      </c>
      <c r="E257" s="3"/>
      <c r="F257" s="3"/>
      <c r="G257" s="8" t="s">
        <v>30</v>
      </c>
      <c r="H257" s="7" t="s">
        <v>31</v>
      </c>
      <c r="I257" s="9">
        <v>45992</v>
      </c>
      <c r="J257" s="3"/>
      <c r="K257" s="3"/>
      <c r="L257" s="3"/>
      <c r="M257" s="3"/>
    </row>
    <row r="258" spans="1:13">
      <c r="A258" s="3"/>
      <c r="B258" s="3"/>
      <c r="C258" s="10"/>
      <c r="D258" s="3"/>
      <c r="E258" s="3"/>
      <c r="F258" s="3"/>
      <c r="G258" s="3"/>
      <c r="H258" s="7" t="s">
        <v>32</v>
      </c>
      <c r="I258" s="9">
        <v>46006</v>
      </c>
      <c r="J258" s="3"/>
      <c r="K258" s="3"/>
      <c r="L258" s="3"/>
      <c r="M258" s="3"/>
    </row>
    <row r="259" spans="1: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27.6">
      <c r="A260" s="3"/>
      <c r="B260" s="3"/>
      <c r="C260" s="7" t="s">
        <v>33</v>
      </c>
      <c r="D260" s="143" t="s">
        <v>217</v>
      </c>
      <c r="E260" s="143"/>
      <c r="F260" s="143"/>
      <c r="G260" s="3"/>
      <c r="H260" s="3"/>
      <c r="I260" s="3"/>
      <c r="J260" s="3"/>
      <c r="K260" s="3"/>
      <c r="L260" s="3"/>
      <c r="M260" s="3"/>
    </row>
    <row r="261" spans="1: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>
      <c r="A262" s="3"/>
      <c r="B262" s="3"/>
      <c r="C262" s="7" t="s">
        <v>34</v>
      </c>
      <c r="D262" s="143" t="s">
        <v>218</v>
      </c>
      <c r="E262" s="143"/>
      <c r="F262" s="143"/>
      <c r="G262" s="3"/>
      <c r="H262" s="3"/>
      <c r="I262" s="3"/>
      <c r="J262" s="3"/>
      <c r="K262" s="3"/>
      <c r="L262" s="3"/>
      <c r="M262" s="3"/>
    </row>
    <row r="263" spans="1: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>
      <c r="A264" s="3"/>
      <c r="B264" s="3"/>
      <c r="C264" s="7" t="s">
        <v>35</v>
      </c>
      <c r="D264" s="143" t="s">
        <v>36</v>
      </c>
      <c r="E264" s="143"/>
      <c r="F264" s="143"/>
      <c r="G264" s="3"/>
      <c r="H264" s="3"/>
      <c r="I264" s="3"/>
      <c r="J264" s="3"/>
      <c r="K264" s="3"/>
      <c r="L264" s="3"/>
      <c r="M264" s="3"/>
    </row>
    <row r="265" spans="1:13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26.4">
      <c r="A267" s="11" t="s">
        <v>37</v>
      </c>
      <c r="B267" s="11" t="s">
        <v>38</v>
      </c>
      <c r="C267" s="11" t="s">
        <v>39</v>
      </c>
      <c r="D267" s="11" t="s">
        <v>39</v>
      </c>
      <c r="E267" s="11" t="s">
        <v>40</v>
      </c>
      <c r="F267" s="11" t="s">
        <v>41</v>
      </c>
      <c r="G267" s="11" t="s">
        <v>2</v>
      </c>
      <c r="H267" s="11" t="s">
        <v>42</v>
      </c>
      <c r="I267" s="11" t="s">
        <v>43</v>
      </c>
      <c r="J267" s="11" t="s">
        <v>44</v>
      </c>
      <c r="K267" s="11" t="s">
        <v>45</v>
      </c>
      <c r="L267" s="11" t="s">
        <v>46</v>
      </c>
      <c r="M267" s="1"/>
    </row>
    <row r="268" spans="1:13" ht="26.4">
      <c r="A268" s="12">
        <v>1</v>
      </c>
      <c r="B268" s="13" t="s">
        <v>47</v>
      </c>
      <c r="C268" s="14" t="s">
        <v>48</v>
      </c>
      <c r="D268" s="14" t="s">
        <v>49</v>
      </c>
      <c r="E268" s="35">
        <v>1</v>
      </c>
      <c r="F268" s="14" t="s">
        <v>90</v>
      </c>
      <c r="G268" s="14" t="s">
        <v>278</v>
      </c>
      <c r="H268" s="12" t="s">
        <v>7</v>
      </c>
      <c r="I268" s="35">
        <v>19.5</v>
      </c>
      <c r="J268" s="54">
        <v>195</v>
      </c>
      <c r="K268" s="33">
        <f>I268*J268</f>
        <v>3802.5</v>
      </c>
      <c r="L268" s="16"/>
      <c r="M268" s="3"/>
    </row>
    <row r="269" spans="1:13" ht="26.4">
      <c r="A269" s="12">
        <v>2</v>
      </c>
      <c r="B269" s="13" t="s">
        <v>47</v>
      </c>
      <c r="C269" s="14" t="s">
        <v>48</v>
      </c>
      <c r="D269" s="14" t="s">
        <v>49</v>
      </c>
      <c r="E269" s="35">
        <v>2</v>
      </c>
      <c r="F269" s="14" t="s">
        <v>207</v>
      </c>
      <c r="G269" s="14" t="s">
        <v>278</v>
      </c>
      <c r="H269" s="12" t="s">
        <v>7</v>
      </c>
      <c r="I269" s="15">
        <v>3.5</v>
      </c>
      <c r="J269" s="54">
        <v>195</v>
      </c>
      <c r="K269" s="33">
        <f t="shared" ref="K269:K332" si="5">I269*J269</f>
        <v>682.5</v>
      </c>
      <c r="L269" s="16"/>
      <c r="M269" s="3"/>
    </row>
    <row r="270" spans="1:13" ht="26.4">
      <c r="A270" s="12">
        <v>3</v>
      </c>
      <c r="B270" s="13" t="s">
        <v>47</v>
      </c>
      <c r="C270" s="14" t="s">
        <v>48</v>
      </c>
      <c r="D270" s="14" t="s">
        <v>49</v>
      </c>
      <c r="E270" s="35">
        <v>2</v>
      </c>
      <c r="F270" s="14" t="s">
        <v>211</v>
      </c>
      <c r="G270" s="14" t="s">
        <v>278</v>
      </c>
      <c r="H270" s="12" t="s">
        <v>7</v>
      </c>
      <c r="I270" s="15">
        <v>35</v>
      </c>
      <c r="J270" s="54">
        <v>195</v>
      </c>
      <c r="K270" s="33">
        <f t="shared" si="5"/>
        <v>6825</v>
      </c>
      <c r="L270" s="16"/>
      <c r="M270" s="3"/>
    </row>
    <row r="271" spans="1:13" ht="26.4">
      <c r="A271" s="12">
        <v>4</v>
      </c>
      <c r="B271" s="13" t="s">
        <v>47</v>
      </c>
      <c r="C271" s="14" t="s">
        <v>48</v>
      </c>
      <c r="D271" s="14" t="s">
        <v>49</v>
      </c>
      <c r="E271" s="35">
        <v>3</v>
      </c>
      <c r="F271" s="14" t="s">
        <v>246</v>
      </c>
      <c r="G271" s="14" t="s">
        <v>278</v>
      </c>
      <c r="H271" s="12" t="s">
        <v>7</v>
      </c>
      <c r="I271" s="15">
        <v>28</v>
      </c>
      <c r="J271" s="54">
        <v>195</v>
      </c>
      <c r="K271" s="33">
        <f t="shared" si="5"/>
        <v>5460</v>
      </c>
      <c r="L271" s="16"/>
      <c r="M271" s="3"/>
    </row>
    <row r="272" spans="1:13" ht="26.4">
      <c r="A272" s="12">
        <v>5</v>
      </c>
      <c r="B272" s="13" t="s">
        <v>47</v>
      </c>
      <c r="C272" s="14" t="s">
        <v>48</v>
      </c>
      <c r="D272" s="14" t="s">
        <v>49</v>
      </c>
      <c r="E272" s="35">
        <v>3</v>
      </c>
      <c r="F272" s="14" t="s">
        <v>245</v>
      </c>
      <c r="G272" s="14" t="s">
        <v>278</v>
      </c>
      <c r="H272" s="12" t="s">
        <v>7</v>
      </c>
      <c r="I272" s="15">
        <v>12</v>
      </c>
      <c r="J272" s="54">
        <v>195</v>
      </c>
      <c r="K272" s="33">
        <f t="shared" si="5"/>
        <v>2340</v>
      </c>
      <c r="L272" s="16"/>
      <c r="M272" s="3"/>
    </row>
    <row r="273" spans="1:13" ht="26.4">
      <c r="A273" s="12">
        <v>6</v>
      </c>
      <c r="B273" s="13" t="s">
        <v>47</v>
      </c>
      <c r="C273" s="14" t="s">
        <v>48</v>
      </c>
      <c r="D273" s="14" t="s">
        <v>49</v>
      </c>
      <c r="E273" s="35">
        <v>3</v>
      </c>
      <c r="F273" s="14" t="s">
        <v>247</v>
      </c>
      <c r="G273" s="14" t="s">
        <v>278</v>
      </c>
      <c r="H273" s="12" t="s">
        <v>7</v>
      </c>
      <c r="I273" s="15">
        <v>34.799999999999997</v>
      </c>
      <c r="J273" s="54">
        <v>195</v>
      </c>
      <c r="K273" s="33">
        <f t="shared" si="5"/>
        <v>6785.9999999999991</v>
      </c>
      <c r="L273" s="16"/>
      <c r="M273" s="3"/>
    </row>
    <row r="274" spans="1:13" ht="26.4">
      <c r="A274" s="12">
        <v>7</v>
      </c>
      <c r="B274" s="13" t="s">
        <v>47</v>
      </c>
      <c r="C274" s="14" t="s">
        <v>48</v>
      </c>
      <c r="D274" s="14" t="s">
        <v>49</v>
      </c>
      <c r="E274" s="35">
        <v>3</v>
      </c>
      <c r="F274" s="14" t="s">
        <v>244</v>
      </c>
      <c r="G274" s="14" t="s">
        <v>278</v>
      </c>
      <c r="H274" s="12" t="s">
        <v>7</v>
      </c>
      <c r="I274" s="15">
        <v>15</v>
      </c>
      <c r="J274" s="54">
        <v>195</v>
      </c>
      <c r="K274" s="33">
        <f t="shared" si="5"/>
        <v>2925</v>
      </c>
      <c r="L274" s="16"/>
      <c r="M274" s="3"/>
    </row>
    <row r="275" spans="1:13" ht="26.4">
      <c r="A275" s="12">
        <v>8</v>
      </c>
      <c r="B275" s="13" t="s">
        <v>47</v>
      </c>
      <c r="C275" s="14" t="s">
        <v>48</v>
      </c>
      <c r="D275" s="14" t="s">
        <v>49</v>
      </c>
      <c r="E275" s="35">
        <v>3</v>
      </c>
      <c r="F275" s="14" t="s">
        <v>242</v>
      </c>
      <c r="G275" s="14" t="s">
        <v>278</v>
      </c>
      <c r="H275" s="12" t="s">
        <v>7</v>
      </c>
      <c r="I275" s="15">
        <v>28.4</v>
      </c>
      <c r="J275" s="54">
        <v>195</v>
      </c>
      <c r="K275" s="33">
        <f t="shared" si="5"/>
        <v>5538</v>
      </c>
      <c r="L275" s="16"/>
      <c r="M275" s="3"/>
    </row>
    <row r="276" spans="1:13" ht="26.4">
      <c r="A276" s="12">
        <v>9</v>
      </c>
      <c r="B276" s="13" t="s">
        <v>47</v>
      </c>
      <c r="C276" s="14" t="s">
        <v>48</v>
      </c>
      <c r="D276" s="14" t="s">
        <v>49</v>
      </c>
      <c r="E276" s="35">
        <v>3</v>
      </c>
      <c r="F276" s="14" t="s">
        <v>241</v>
      </c>
      <c r="G276" s="14" t="s">
        <v>278</v>
      </c>
      <c r="H276" s="12" t="s">
        <v>7</v>
      </c>
      <c r="I276" s="15">
        <v>12.3</v>
      </c>
      <c r="J276" s="54">
        <v>195</v>
      </c>
      <c r="K276" s="33">
        <f t="shared" si="5"/>
        <v>2398.5</v>
      </c>
      <c r="L276" s="16"/>
      <c r="M276" s="3"/>
    </row>
    <row r="277" spans="1:13" ht="26.4">
      <c r="A277" s="12">
        <v>10</v>
      </c>
      <c r="B277" s="13" t="s">
        <v>47</v>
      </c>
      <c r="C277" s="14" t="s">
        <v>48</v>
      </c>
      <c r="D277" s="14" t="s">
        <v>49</v>
      </c>
      <c r="E277" s="35">
        <v>3</v>
      </c>
      <c r="F277" s="14" t="s">
        <v>240</v>
      </c>
      <c r="G277" s="14" t="s">
        <v>278</v>
      </c>
      <c r="H277" s="12" t="s">
        <v>7</v>
      </c>
      <c r="I277" s="15">
        <v>34.799999999999997</v>
      </c>
      <c r="J277" s="54">
        <v>195</v>
      </c>
      <c r="K277" s="33">
        <f t="shared" si="5"/>
        <v>6785.9999999999991</v>
      </c>
      <c r="L277" s="16"/>
      <c r="M277" s="3"/>
    </row>
    <row r="278" spans="1:13" ht="26.4">
      <c r="A278" s="12">
        <v>11</v>
      </c>
      <c r="B278" s="13" t="s">
        <v>47</v>
      </c>
      <c r="C278" s="14" t="s">
        <v>48</v>
      </c>
      <c r="D278" s="14" t="s">
        <v>49</v>
      </c>
      <c r="E278" s="35">
        <v>3</v>
      </c>
      <c r="F278" s="14" t="s">
        <v>239</v>
      </c>
      <c r="G278" s="14" t="s">
        <v>278</v>
      </c>
      <c r="H278" s="12" t="s">
        <v>7</v>
      </c>
      <c r="I278" s="15">
        <v>5.4</v>
      </c>
      <c r="J278" s="54">
        <v>195</v>
      </c>
      <c r="K278" s="33">
        <f t="shared" si="5"/>
        <v>1053</v>
      </c>
      <c r="L278" s="16"/>
      <c r="M278" s="3"/>
    </row>
    <row r="279" spans="1:13" ht="26.4">
      <c r="A279" s="12">
        <v>12</v>
      </c>
      <c r="B279" s="13" t="s">
        <v>47</v>
      </c>
      <c r="C279" s="14" t="s">
        <v>48</v>
      </c>
      <c r="D279" s="14" t="s">
        <v>49</v>
      </c>
      <c r="E279" s="35">
        <v>3</v>
      </c>
      <c r="F279" s="14" t="s">
        <v>238</v>
      </c>
      <c r="G279" s="14" t="s">
        <v>278</v>
      </c>
      <c r="H279" s="12" t="s">
        <v>7</v>
      </c>
      <c r="I279" s="15">
        <v>12</v>
      </c>
      <c r="J279" s="54">
        <v>195</v>
      </c>
      <c r="K279" s="33">
        <f t="shared" si="5"/>
        <v>2340</v>
      </c>
      <c r="L279" s="16"/>
      <c r="M279" s="3"/>
    </row>
    <row r="280" spans="1:13" ht="26.4">
      <c r="A280" s="12">
        <v>13</v>
      </c>
      <c r="B280" s="13" t="s">
        <v>47</v>
      </c>
      <c r="C280" s="14" t="s">
        <v>48</v>
      </c>
      <c r="D280" s="14" t="s">
        <v>49</v>
      </c>
      <c r="E280" s="35">
        <v>3</v>
      </c>
      <c r="F280" s="14" t="s">
        <v>254</v>
      </c>
      <c r="G280" s="14" t="s">
        <v>278</v>
      </c>
      <c r="H280" s="12" t="s">
        <v>7</v>
      </c>
      <c r="I280" s="15">
        <v>36</v>
      </c>
      <c r="J280" s="54">
        <v>195</v>
      </c>
      <c r="K280" s="33">
        <f t="shared" si="5"/>
        <v>7020</v>
      </c>
      <c r="L280" s="16"/>
      <c r="M280" s="3"/>
    </row>
    <row r="281" spans="1:13" ht="39.6">
      <c r="A281" s="12">
        <v>14</v>
      </c>
      <c r="B281" s="13" t="s">
        <v>47</v>
      </c>
      <c r="C281" s="14" t="s">
        <v>48</v>
      </c>
      <c r="D281" s="14" t="s">
        <v>49</v>
      </c>
      <c r="E281" s="35">
        <v>3</v>
      </c>
      <c r="F281" s="14" t="s">
        <v>270</v>
      </c>
      <c r="G281" s="14" t="s">
        <v>278</v>
      </c>
      <c r="H281" s="12" t="s">
        <v>7</v>
      </c>
      <c r="I281" s="15">
        <v>13.7</v>
      </c>
      <c r="J281" s="54">
        <v>195</v>
      </c>
      <c r="K281" s="33">
        <f t="shared" si="5"/>
        <v>2671.5</v>
      </c>
      <c r="L281" s="16"/>
      <c r="M281" s="3"/>
    </row>
    <row r="282" spans="1:13" ht="52.8">
      <c r="A282" s="12">
        <v>15</v>
      </c>
      <c r="B282" s="13" t="s">
        <v>47</v>
      </c>
      <c r="C282" s="14" t="s">
        <v>48</v>
      </c>
      <c r="D282" s="14" t="s">
        <v>49</v>
      </c>
      <c r="E282" s="35">
        <v>3</v>
      </c>
      <c r="F282" s="14" t="s">
        <v>269</v>
      </c>
      <c r="G282" s="14" t="s">
        <v>278</v>
      </c>
      <c r="H282" s="12" t="s">
        <v>7</v>
      </c>
      <c r="I282" s="15">
        <v>18</v>
      </c>
      <c r="J282" s="54">
        <v>195</v>
      </c>
      <c r="K282" s="33">
        <f t="shared" si="5"/>
        <v>3510</v>
      </c>
      <c r="L282" s="16"/>
      <c r="M282" s="3"/>
    </row>
    <row r="283" spans="1:13" ht="26.4">
      <c r="A283" s="12">
        <v>16</v>
      </c>
      <c r="B283" s="13" t="s">
        <v>47</v>
      </c>
      <c r="C283" s="14" t="s">
        <v>48</v>
      </c>
      <c r="D283" s="14" t="s">
        <v>49</v>
      </c>
      <c r="E283" s="35">
        <v>3</v>
      </c>
      <c r="F283" s="14" t="s">
        <v>256</v>
      </c>
      <c r="G283" s="14" t="s">
        <v>278</v>
      </c>
      <c r="H283" s="12" t="s">
        <v>7</v>
      </c>
      <c r="I283" s="15">
        <v>77.5</v>
      </c>
      <c r="J283" s="54">
        <v>195</v>
      </c>
      <c r="K283" s="33">
        <f t="shared" si="5"/>
        <v>15112.5</v>
      </c>
      <c r="L283" s="16"/>
      <c r="M283" s="3"/>
    </row>
    <row r="284" spans="1:13" ht="26.4">
      <c r="A284" s="12">
        <v>17</v>
      </c>
      <c r="B284" s="13" t="s">
        <v>47</v>
      </c>
      <c r="C284" s="14" t="s">
        <v>48</v>
      </c>
      <c r="D284" s="14" t="s">
        <v>49</v>
      </c>
      <c r="E284" s="35">
        <v>3</v>
      </c>
      <c r="F284" s="14" t="s">
        <v>255</v>
      </c>
      <c r="G284" s="14" t="s">
        <v>278</v>
      </c>
      <c r="H284" s="12" t="s">
        <v>7</v>
      </c>
      <c r="I284" s="15">
        <v>21</v>
      </c>
      <c r="J284" s="54">
        <v>195</v>
      </c>
      <c r="K284" s="33">
        <f t="shared" si="5"/>
        <v>4095</v>
      </c>
      <c r="L284" s="16"/>
      <c r="M284" s="3"/>
    </row>
    <row r="285" spans="1:13" ht="26.4">
      <c r="A285" s="12">
        <v>18</v>
      </c>
      <c r="B285" s="13" t="s">
        <v>47</v>
      </c>
      <c r="C285" s="14" t="s">
        <v>48</v>
      </c>
      <c r="D285" s="14" t="s">
        <v>49</v>
      </c>
      <c r="E285" s="35">
        <v>3</v>
      </c>
      <c r="F285" s="14" t="s">
        <v>248</v>
      </c>
      <c r="G285" s="14" t="s">
        <v>278</v>
      </c>
      <c r="H285" s="12" t="s">
        <v>7</v>
      </c>
      <c r="I285" s="15">
        <v>40</v>
      </c>
      <c r="J285" s="54">
        <v>195</v>
      </c>
      <c r="K285" s="33">
        <f t="shared" si="5"/>
        <v>7800</v>
      </c>
      <c r="L285" s="16"/>
      <c r="M285" s="3"/>
    </row>
    <row r="286" spans="1:13" ht="26.4">
      <c r="A286" s="12">
        <v>19</v>
      </c>
      <c r="B286" s="13" t="s">
        <v>47</v>
      </c>
      <c r="C286" s="14" t="s">
        <v>48</v>
      </c>
      <c r="D286" s="14" t="s">
        <v>49</v>
      </c>
      <c r="E286" s="35">
        <v>3</v>
      </c>
      <c r="F286" s="14" t="s">
        <v>243</v>
      </c>
      <c r="G286" s="14" t="s">
        <v>278</v>
      </c>
      <c r="H286" s="12" t="s">
        <v>7</v>
      </c>
      <c r="I286" s="15">
        <v>40</v>
      </c>
      <c r="J286" s="54">
        <v>195</v>
      </c>
      <c r="K286" s="33">
        <f t="shared" si="5"/>
        <v>7800</v>
      </c>
      <c r="L286" s="16"/>
      <c r="M286" s="3"/>
    </row>
    <row r="287" spans="1:13" ht="26.4">
      <c r="A287" s="12">
        <v>20</v>
      </c>
      <c r="B287" s="13" t="s">
        <v>47</v>
      </c>
      <c r="C287" s="14" t="s">
        <v>48</v>
      </c>
      <c r="D287" s="14" t="s">
        <v>49</v>
      </c>
      <c r="E287" s="35">
        <v>-1</v>
      </c>
      <c r="F287" s="14" t="s">
        <v>82</v>
      </c>
      <c r="G287" s="14" t="s">
        <v>278</v>
      </c>
      <c r="H287" s="12" t="s">
        <v>7</v>
      </c>
      <c r="I287" s="15">
        <v>174.3</v>
      </c>
      <c r="J287" s="54">
        <v>195</v>
      </c>
      <c r="K287" s="33">
        <f t="shared" si="5"/>
        <v>33988.5</v>
      </c>
      <c r="L287" s="16"/>
      <c r="M287" s="3"/>
    </row>
    <row r="288" spans="1:13" ht="39.6">
      <c r="A288" s="12">
        <v>21</v>
      </c>
      <c r="B288" s="13" t="s">
        <v>47</v>
      </c>
      <c r="C288" s="14" t="s">
        <v>48</v>
      </c>
      <c r="D288" s="14" t="s">
        <v>49</v>
      </c>
      <c r="E288" s="35">
        <v>-1</v>
      </c>
      <c r="F288" s="14" t="s">
        <v>273</v>
      </c>
      <c r="G288" s="14" t="s">
        <v>278</v>
      </c>
      <c r="H288" s="12" t="s">
        <v>7</v>
      </c>
      <c r="I288" s="15">
        <v>2.2000000000000002</v>
      </c>
      <c r="J288" s="54">
        <v>195</v>
      </c>
      <c r="K288" s="33">
        <f t="shared" si="5"/>
        <v>429.00000000000006</v>
      </c>
      <c r="L288" s="16"/>
      <c r="M288" s="3"/>
    </row>
    <row r="289" spans="1:13" ht="15.6">
      <c r="A289" s="12">
        <v>22</v>
      </c>
      <c r="B289" s="13" t="s">
        <v>47</v>
      </c>
      <c r="C289" s="14" t="s">
        <v>48</v>
      </c>
      <c r="D289" s="14"/>
      <c r="E289" s="35"/>
      <c r="F289" s="14"/>
      <c r="G289" s="14"/>
      <c r="H289" s="12"/>
      <c r="I289" s="15"/>
      <c r="J289" s="55"/>
      <c r="K289" s="33">
        <f t="shared" si="5"/>
        <v>0</v>
      </c>
      <c r="L289" s="16"/>
      <c r="M289" s="3"/>
    </row>
    <row r="290" spans="1:13" ht="26.4">
      <c r="A290" s="12">
        <v>23</v>
      </c>
      <c r="B290" s="13" t="s">
        <v>60</v>
      </c>
      <c r="C290" s="14" t="s">
        <v>48</v>
      </c>
      <c r="D290" s="14" t="s">
        <v>49</v>
      </c>
      <c r="E290" s="35">
        <v>2</v>
      </c>
      <c r="F290" s="14" t="s">
        <v>211</v>
      </c>
      <c r="G290" s="14" t="s">
        <v>277</v>
      </c>
      <c r="H290" s="12" t="s">
        <v>7</v>
      </c>
      <c r="I290" s="15">
        <v>35</v>
      </c>
      <c r="J290" s="54">
        <v>195</v>
      </c>
      <c r="K290" s="33">
        <f t="shared" si="5"/>
        <v>6825</v>
      </c>
      <c r="L290" s="16"/>
      <c r="M290" s="3"/>
    </row>
    <row r="291" spans="1:13" ht="26.4">
      <c r="A291" s="12">
        <v>24</v>
      </c>
      <c r="B291" s="13" t="s">
        <v>47</v>
      </c>
      <c r="C291" s="14" t="s">
        <v>48</v>
      </c>
      <c r="D291" s="14" t="s">
        <v>49</v>
      </c>
      <c r="E291" s="35">
        <v>2</v>
      </c>
      <c r="F291" s="14" t="s">
        <v>209</v>
      </c>
      <c r="G291" s="14" t="s">
        <v>277</v>
      </c>
      <c r="H291" s="12" t="s">
        <v>7</v>
      </c>
      <c r="I291" s="15">
        <v>52</v>
      </c>
      <c r="J291" s="54">
        <v>195</v>
      </c>
      <c r="K291" s="33">
        <f t="shared" si="5"/>
        <v>10140</v>
      </c>
      <c r="L291" s="16"/>
      <c r="M291" s="3"/>
    </row>
    <row r="292" spans="1:13" ht="26.4">
      <c r="A292" s="12">
        <v>25</v>
      </c>
      <c r="B292" s="13" t="s">
        <v>47</v>
      </c>
      <c r="C292" s="14" t="s">
        <v>48</v>
      </c>
      <c r="D292" s="14" t="s">
        <v>49</v>
      </c>
      <c r="E292" s="35">
        <v>2</v>
      </c>
      <c r="F292" s="14" t="s">
        <v>206</v>
      </c>
      <c r="G292" s="14" t="s">
        <v>277</v>
      </c>
      <c r="H292" s="12" t="s">
        <v>7</v>
      </c>
      <c r="I292" s="15">
        <v>35.5</v>
      </c>
      <c r="J292" s="54">
        <v>195</v>
      </c>
      <c r="K292" s="33">
        <f t="shared" si="5"/>
        <v>6922.5</v>
      </c>
      <c r="L292" s="16"/>
      <c r="M292" s="3"/>
    </row>
    <row r="293" spans="1:13" ht="39.6">
      <c r="A293" s="12">
        <v>26</v>
      </c>
      <c r="B293" s="13" t="s">
        <v>47</v>
      </c>
      <c r="C293" s="14" t="s">
        <v>48</v>
      </c>
      <c r="D293" s="14" t="s">
        <v>49</v>
      </c>
      <c r="E293" s="35">
        <v>2</v>
      </c>
      <c r="F293" s="14" t="s">
        <v>272</v>
      </c>
      <c r="G293" s="14" t="s">
        <v>277</v>
      </c>
      <c r="H293" s="12" t="s">
        <v>7</v>
      </c>
      <c r="I293" s="15">
        <v>104.5</v>
      </c>
      <c r="J293" s="54">
        <v>195</v>
      </c>
      <c r="K293" s="33">
        <f t="shared" si="5"/>
        <v>20377.5</v>
      </c>
      <c r="L293" s="16"/>
      <c r="M293" s="3"/>
    </row>
    <row r="294" spans="1:13" ht="26.4">
      <c r="A294" s="12">
        <v>27</v>
      </c>
      <c r="B294" s="13" t="s">
        <v>47</v>
      </c>
      <c r="C294" s="14" t="s">
        <v>48</v>
      </c>
      <c r="D294" s="14" t="s">
        <v>49</v>
      </c>
      <c r="E294" s="35">
        <v>2</v>
      </c>
      <c r="F294" s="14" t="s">
        <v>207</v>
      </c>
      <c r="G294" s="14" t="s">
        <v>277</v>
      </c>
      <c r="H294" s="12" t="s">
        <v>7</v>
      </c>
      <c r="I294" s="15">
        <v>97</v>
      </c>
      <c r="J294" s="54">
        <v>195</v>
      </c>
      <c r="K294" s="33">
        <f t="shared" si="5"/>
        <v>18915</v>
      </c>
      <c r="L294" s="16"/>
      <c r="M294" s="3"/>
    </row>
    <row r="295" spans="1:13" ht="26.4">
      <c r="A295" s="12">
        <v>28</v>
      </c>
      <c r="B295" s="13" t="s">
        <v>47</v>
      </c>
      <c r="C295" s="14" t="s">
        <v>48</v>
      </c>
      <c r="D295" s="14" t="s">
        <v>49</v>
      </c>
      <c r="E295" s="35">
        <v>2</v>
      </c>
      <c r="F295" s="14" t="s">
        <v>194</v>
      </c>
      <c r="G295" s="14" t="s">
        <v>277</v>
      </c>
      <c r="H295" s="12" t="s">
        <v>7</v>
      </c>
      <c r="I295" s="15">
        <v>43</v>
      </c>
      <c r="J295" s="54">
        <v>195</v>
      </c>
      <c r="K295" s="33">
        <f t="shared" si="5"/>
        <v>8385</v>
      </c>
      <c r="L295" s="16"/>
      <c r="M295" s="3"/>
    </row>
    <row r="296" spans="1:13" ht="26.4">
      <c r="A296" s="12">
        <v>29</v>
      </c>
      <c r="B296" s="13" t="s">
        <v>47</v>
      </c>
      <c r="C296" s="14" t="s">
        <v>48</v>
      </c>
      <c r="D296" s="14" t="s">
        <v>49</v>
      </c>
      <c r="E296" s="35">
        <v>2</v>
      </c>
      <c r="F296" s="14" t="s">
        <v>208</v>
      </c>
      <c r="G296" s="14" t="s">
        <v>277</v>
      </c>
      <c r="H296" s="12" t="s">
        <v>7</v>
      </c>
      <c r="I296" s="15">
        <v>38</v>
      </c>
      <c r="J296" s="54">
        <v>195</v>
      </c>
      <c r="K296" s="33">
        <f t="shared" si="5"/>
        <v>7410</v>
      </c>
      <c r="L296" s="16"/>
      <c r="M296" s="3"/>
    </row>
    <row r="297" spans="1:13" ht="26.4">
      <c r="A297" s="12">
        <v>30</v>
      </c>
      <c r="B297" s="13" t="s">
        <v>47</v>
      </c>
      <c r="C297" s="14" t="s">
        <v>48</v>
      </c>
      <c r="D297" s="14" t="s">
        <v>49</v>
      </c>
      <c r="E297" s="35">
        <v>2</v>
      </c>
      <c r="F297" s="14" t="s">
        <v>213</v>
      </c>
      <c r="G297" s="14" t="s">
        <v>277</v>
      </c>
      <c r="H297" s="12" t="s">
        <v>7</v>
      </c>
      <c r="I297" s="15">
        <v>34.5</v>
      </c>
      <c r="J297" s="54">
        <v>195</v>
      </c>
      <c r="K297" s="33">
        <f t="shared" si="5"/>
        <v>6727.5</v>
      </c>
      <c r="L297" s="16"/>
      <c r="M297" s="3"/>
    </row>
    <row r="298" spans="1:13" ht="26.4">
      <c r="A298" s="12">
        <v>31</v>
      </c>
      <c r="B298" s="13" t="s">
        <v>47</v>
      </c>
      <c r="C298" s="14" t="s">
        <v>48</v>
      </c>
      <c r="D298" s="14" t="s">
        <v>49</v>
      </c>
      <c r="E298" s="35">
        <v>2</v>
      </c>
      <c r="F298" s="14" t="s">
        <v>214</v>
      </c>
      <c r="G298" s="14" t="s">
        <v>277</v>
      </c>
      <c r="H298" s="12" t="s">
        <v>7</v>
      </c>
      <c r="I298" s="15">
        <v>126.5</v>
      </c>
      <c r="J298" s="54">
        <v>195</v>
      </c>
      <c r="K298" s="33">
        <f t="shared" si="5"/>
        <v>24667.5</v>
      </c>
      <c r="L298" s="16"/>
      <c r="M298" s="3"/>
    </row>
    <row r="299" spans="1:13" ht="26.4">
      <c r="A299" s="12">
        <v>32</v>
      </c>
      <c r="B299" s="13" t="s">
        <v>47</v>
      </c>
      <c r="C299" s="14" t="s">
        <v>48</v>
      </c>
      <c r="D299" s="14" t="s">
        <v>49</v>
      </c>
      <c r="E299" s="35">
        <v>2</v>
      </c>
      <c r="F299" s="14" t="s">
        <v>195</v>
      </c>
      <c r="G299" s="14" t="s">
        <v>277</v>
      </c>
      <c r="H299" s="12" t="s">
        <v>7</v>
      </c>
      <c r="I299" s="15">
        <v>75.3</v>
      </c>
      <c r="J299" s="54">
        <v>195</v>
      </c>
      <c r="K299" s="33">
        <f t="shared" si="5"/>
        <v>14683.5</v>
      </c>
      <c r="L299" s="16"/>
      <c r="M299" s="3"/>
    </row>
    <row r="300" spans="1:13" ht="26.4">
      <c r="A300" s="12">
        <v>33</v>
      </c>
      <c r="B300" s="13" t="s">
        <v>47</v>
      </c>
      <c r="C300" s="14" t="s">
        <v>48</v>
      </c>
      <c r="D300" s="14" t="s">
        <v>49</v>
      </c>
      <c r="E300" s="35">
        <v>2</v>
      </c>
      <c r="F300" s="14" t="s">
        <v>196</v>
      </c>
      <c r="G300" s="14" t="s">
        <v>277</v>
      </c>
      <c r="H300" s="12" t="s">
        <v>7</v>
      </c>
      <c r="I300" s="15">
        <v>15.5</v>
      </c>
      <c r="J300" s="54">
        <v>195</v>
      </c>
      <c r="K300" s="33">
        <f t="shared" si="5"/>
        <v>3022.5</v>
      </c>
      <c r="L300" s="16"/>
      <c r="M300" s="1"/>
    </row>
    <row r="301" spans="1:13" ht="26.4">
      <c r="A301" s="12">
        <v>34</v>
      </c>
      <c r="B301" s="13" t="s">
        <v>47</v>
      </c>
      <c r="C301" s="14" t="s">
        <v>48</v>
      </c>
      <c r="D301" s="14" t="s">
        <v>49</v>
      </c>
      <c r="E301" s="35">
        <v>2</v>
      </c>
      <c r="F301" s="14" t="s">
        <v>197</v>
      </c>
      <c r="G301" s="14" t="s">
        <v>277</v>
      </c>
      <c r="H301" s="12" t="s">
        <v>7</v>
      </c>
      <c r="I301" s="15">
        <v>40</v>
      </c>
      <c r="J301" s="54">
        <v>195</v>
      </c>
      <c r="K301" s="33">
        <f t="shared" si="5"/>
        <v>7800</v>
      </c>
      <c r="L301" s="16"/>
    </row>
    <row r="302" spans="1:13" ht="26.4">
      <c r="A302" s="12">
        <v>35</v>
      </c>
      <c r="B302" s="13" t="s">
        <v>47</v>
      </c>
      <c r="C302" s="14" t="s">
        <v>48</v>
      </c>
      <c r="D302" s="14" t="s">
        <v>49</v>
      </c>
      <c r="E302" s="35">
        <v>2</v>
      </c>
      <c r="F302" s="14" t="s">
        <v>198</v>
      </c>
      <c r="G302" s="14" t="s">
        <v>277</v>
      </c>
      <c r="H302" s="12" t="s">
        <v>7</v>
      </c>
      <c r="I302" s="15">
        <v>88.5</v>
      </c>
      <c r="J302" s="54">
        <v>195</v>
      </c>
      <c r="K302" s="33">
        <f t="shared" si="5"/>
        <v>17257.5</v>
      </c>
      <c r="L302" s="16"/>
    </row>
    <row r="303" spans="1:13" ht="26.4">
      <c r="A303" s="12">
        <v>36</v>
      </c>
      <c r="B303" s="13" t="s">
        <v>47</v>
      </c>
      <c r="C303" s="14" t="s">
        <v>48</v>
      </c>
      <c r="D303" s="14" t="s">
        <v>49</v>
      </c>
      <c r="E303" s="35">
        <v>2</v>
      </c>
      <c r="F303" s="14" t="s">
        <v>199</v>
      </c>
      <c r="G303" s="14" t="s">
        <v>277</v>
      </c>
      <c r="H303" s="12" t="s">
        <v>7</v>
      </c>
      <c r="I303" s="15">
        <v>88.5</v>
      </c>
      <c r="J303" s="54">
        <v>195</v>
      </c>
      <c r="K303" s="33">
        <f t="shared" si="5"/>
        <v>17257.5</v>
      </c>
      <c r="L303" s="16"/>
    </row>
    <row r="304" spans="1:13" ht="26.4">
      <c r="A304" s="12">
        <v>37</v>
      </c>
      <c r="B304" s="13" t="s">
        <v>47</v>
      </c>
      <c r="C304" s="14" t="s">
        <v>48</v>
      </c>
      <c r="D304" s="14" t="s">
        <v>49</v>
      </c>
      <c r="E304" s="35">
        <v>2</v>
      </c>
      <c r="F304" s="14" t="s">
        <v>200</v>
      </c>
      <c r="G304" s="14" t="s">
        <v>277</v>
      </c>
      <c r="H304" s="12" t="s">
        <v>7</v>
      </c>
      <c r="I304" s="15">
        <v>75.3</v>
      </c>
      <c r="J304" s="54">
        <v>195</v>
      </c>
      <c r="K304" s="33">
        <f t="shared" si="5"/>
        <v>14683.5</v>
      </c>
      <c r="L304" s="16"/>
    </row>
    <row r="305" spans="1:12" ht="26.4">
      <c r="A305" s="12">
        <v>38</v>
      </c>
      <c r="B305" s="13" t="s">
        <v>47</v>
      </c>
      <c r="C305" s="14" t="s">
        <v>48</v>
      </c>
      <c r="D305" s="14" t="s">
        <v>49</v>
      </c>
      <c r="E305" s="35">
        <v>2</v>
      </c>
      <c r="F305" s="14" t="s">
        <v>201</v>
      </c>
      <c r="G305" s="14" t="s">
        <v>277</v>
      </c>
      <c r="H305" s="12" t="s">
        <v>7</v>
      </c>
      <c r="I305" s="15">
        <v>15.5</v>
      </c>
      <c r="J305" s="54">
        <v>195</v>
      </c>
      <c r="K305" s="33">
        <f t="shared" si="5"/>
        <v>3022.5</v>
      </c>
      <c r="L305" s="16"/>
    </row>
    <row r="306" spans="1:12" ht="26.4">
      <c r="A306" s="12">
        <v>39</v>
      </c>
      <c r="B306" s="13" t="s">
        <v>47</v>
      </c>
      <c r="C306" s="14" t="s">
        <v>48</v>
      </c>
      <c r="D306" s="14" t="s">
        <v>49</v>
      </c>
      <c r="E306" s="35">
        <v>2</v>
      </c>
      <c r="F306" s="14" t="s">
        <v>204</v>
      </c>
      <c r="G306" s="14" t="s">
        <v>277</v>
      </c>
      <c r="H306" s="12" t="s">
        <v>7</v>
      </c>
      <c r="I306" s="15">
        <v>40</v>
      </c>
      <c r="J306" s="54">
        <v>195</v>
      </c>
      <c r="K306" s="33">
        <f t="shared" si="5"/>
        <v>7800</v>
      </c>
      <c r="L306" s="16"/>
    </row>
    <row r="307" spans="1:12" ht="26.4">
      <c r="A307" s="12">
        <v>40</v>
      </c>
      <c r="B307" s="13" t="s">
        <v>47</v>
      </c>
      <c r="C307" s="14" t="s">
        <v>48</v>
      </c>
      <c r="D307" s="14" t="s">
        <v>49</v>
      </c>
      <c r="E307" s="35">
        <v>2</v>
      </c>
      <c r="F307" s="14" t="s">
        <v>202</v>
      </c>
      <c r="G307" s="14" t="s">
        <v>277</v>
      </c>
      <c r="H307" s="12" t="s">
        <v>7</v>
      </c>
      <c r="I307" s="15">
        <v>88.5</v>
      </c>
      <c r="J307" s="54">
        <v>195</v>
      </c>
      <c r="K307" s="33">
        <f t="shared" si="5"/>
        <v>17257.5</v>
      </c>
      <c r="L307" s="16"/>
    </row>
    <row r="308" spans="1:12" ht="26.4">
      <c r="A308" s="12">
        <v>41</v>
      </c>
      <c r="B308" s="13" t="s">
        <v>47</v>
      </c>
      <c r="C308" s="14" t="s">
        <v>48</v>
      </c>
      <c r="D308" s="14" t="s">
        <v>49</v>
      </c>
      <c r="E308" s="35">
        <v>3</v>
      </c>
      <c r="F308" s="14" t="s">
        <v>203</v>
      </c>
      <c r="G308" s="14" t="s">
        <v>277</v>
      </c>
      <c r="H308" s="12" t="s">
        <v>7</v>
      </c>
      <c r="I308" s="15">
        <v>88.5</v>
      </c>
      <c r="J308" s="54">
        <v>195</v>
      </c>
      <c r="K308" s="33">
        <f t="shared" si="5"/>
        <v>17257.5</v>
      </c>
      <c r="L308" s="16"/>
    </row>
    <row r="309" spans="1:12" ht="26.4">
      <c r="A309" s="12">
        <v>42</v>
      </c>
      <c r="B309" s="13" t="s">
        <v>60</v>
      </c>
      <c r="C309" s="14" t="s">
        <v>48</v>
      </c>
      <c r="D309" s="14" t="s">
        <v>49</v>
      </c>
      <c r="E309" s="35">
        <v>3</v>
      </c>
      <c r="F309" s="14" t="s">
        <v>249</v>
      </c>
      <c r="G309" s="14" t="s">
        <v>277</v>
      </c>
      <c r="H309" s="12" t="s">
        <v>7</v>
      </c>
      <c r="I309" s="15">
        <v>35.5</v>
      </c>
      <c r="J309" s="54">
        <v>195</v>
      </c>
      <c r="K309" s="33">
        <f t="shared" si="5"/>
        <v>6922.5</v>
      </c>
      <c r="L309" s="16"/>
    </row>
    <row r="310" spans="1:12" ht="26.4">
      <c r="A310" s="12">
        <v>43</v>
      </c>
      <c r="B310" s="13" t="s">
        <v>60</v>
      </c>
      <c r="C310" s="14" t="s">
        <v>48</v>
      </c>
      <c r="D310" s="14" t="s">
        <v>49</v>
      </c>
      <c r="E310" s="35">
        <v>3</v>
      </c>
      <c r="F310" s="14" t="s">
        <v>250</v>
      </c>
      <c r="G310" s="14" t="s">
        <v>277</v>
      </c>
      <c r="H310" s="12" t="s">
        <v>7</v>
      </c>
      <c r="I310" s="15">
        <v>37</v>
      </c>
      <c r="J310" s="54">
        <v>195</v>
      </c>
      <c r="K310" s="33">
        <f t="shared" si="5"/>
        <v>7215</v>
      </c>
      <c r="L310" s="16"/>
    </row>
    <row r="311" spans="1:12" ht="26.4">
      <c r="A311" s="12">
        <v>44</v>
      </c>
      <c r="B311" s="13" t="s">
        <v>47</v>
      </c>
      <c r="C311" s="14" t="s">
        <v>48</v>
      </c>
      <c r="D311" s="14" t="s">
        <v>49</v>
      </c>
      <c r="E311" s="35">
        <v>3</v>
      </c>
      <c r="F311" s="14" t="s">
        <v>238</v>
      </c>
      <c r="G311" s="14" t="s">
        <v>277</v>
      </c>
      <c r="H311" s="12" t="s">
        <v>7</v>
      </c>
      <c r="I311" s="15">
        <v>35.5</v>
      </c>
      <c r="J311" s="54">
        <v>195</v>
      </c>
      <c r="K311" s="33">
        <f t="shared" si="5"/>
        <v>6922.5</v>
      </c>
      <c r="L311" s="16"/>
    </row>
    <row r="312" spans="1:12" ht="26.4">
      <c r="A312" s="12">
        <v>45</v>
      </c>
      <c r="B312" s="13" t="s">
        <v>47</v>
      </c>
      <c r="C312" s="14" t="s">
        <v>48</v>
      </c>
      <c r="D312" s="14" t="s">
        <v>49</v>
      </c>
      <c r="E312" s="35">
        <v>3</v>
      </c>
      <c r="F312" s="14" t="s">
        <v>253</v>
      </c>
      <c r="G312" s="14" t="s">
        <v>277</v>
      </c>
      <c r="H312" s="12" t="s">
        <v>7</v>
      </c>
      <c r="I312" s="15">
        <v>37</v>
      </c>
      <c r="J312" s="54">
        <v>195</v>
      </c>
      <c r="K312" s="33">
        <f t="shared" si="5"/>
        <v>7215</v>
      </c>
      <c r="L312" s="16"/>
    </row>
    <row r="313" spans="1:12" ht="39.6">
      <c r="A313" s="12">
        <v>46</v>
      </c>
      <c r="B313" s="13" t="s">
        <v>47</v>
      </c>
      <c r="C313" s="14" t="s">
        <v>48</v>
      </c>
      <c r="D313" s="14" t="s">
        <v>49</v>
      </c>
      <c r="E313" s="35">
        <v>3</v>
      </c>
      <c r="F313" s="14" t="s">
        <v>270</v>
      </c>
      <c r="G313" s="14" t="s">
        <v>277</v>
      </c>
      <c r="H313" s="12" t="s">
        <v>7</v>
      </c>
      <c r="I313" s="15">
        <v>97</v>
      </c>
      <c r="J313" s="54">
        <v>195</v>
      </c>
      <c r="K313" s="33">
        <f t="shared" si="5"/>
        <v>18915</v>
      </c>
      <c r="L313" s="16"/>
    </row>
    <row r="314" spans="1:12" ht="52.8">
      <c r="A314" s="12">
        <v>47</v>
      </c>
      <c r="B314" s="13" t="s">
        <v>47</v>
      </c>
      <c r="C314" s="14" t="s">
        <v>48</v>
      </c>
      <c r="D314" s="14" t="s">
        <v>49</v>
      </c>
      <c r="E314" s="35">
        <v>3</v>
      </c>
      <c r="F314" s="14" t="s">
        <v>269</v>
      </c>
      <c r="G314" s="14" t="s">
        <v>277</v>
      </c>
      <c r="H314" s="12" t="s">
        <v>7</v>
      </c>
      <c r="I314" s="15">
        <v>104.5</v>
      </c>
      <c r="J314" s="54">
        <v>195</v>
      </c>
      <c r="K314" s="33">
        <f t="shared" si="5"/>
        <v>20377.5</v>
      </c>
      <c r="L314" s="16"/>
    </row>
    <row r="315" spans="1:12" ht="26.4">
      <c r="A315" s="12">
        <v>48</v>
      </c>
      <c r="B315" s="13" t="s">
        <v>47</v>
      </c>
      <c r="C315" s="14" t="s">
        <v>48</v>
      </c>
      <c r="D315" s="14" t="s">
        <v>49</v>
      </c>
      <c r="E315" s="35">
        <v>3</v>
      </c>
      <c r="F315" s="14" t="s">
        <v>251</v>
      </c>
      <c r="G315" s="14" t="s">
        <v>277</v>
      </c>
      <c r="H315" s="12" t="s">
        <v>7</v>
      </c>
      <c r="I315" s="15">
        <v>35</v>
      </c>
      <c r="J315" s="54">
        <v>195</v>
      </c>
      <c r="K315" s="33">
        <f t="shared" si="5"/>
        <v>6825</v>
      </c>
      <c r="L315" s="16"/>
    </row>
    <row r="316" spans="1:12" ht="26.4">
      <c r="A316" s="12">
        <v>49</v>
      </c>
      <c r="B316" s="13" t="s">
        <v>47</v>
      </c>
      <c r="C316" s="14" t="s">
        <v>48</v>
      </c>
      <c r="D316" s="14" t="s">
        <v>49</v>
      </c>
      <c r="E316" s="35">
        <v>3</v>
      </c>
      <c r="F316" s="14" t="s">
        <v>253</v>
      </c>
      <c r="G316" s="14" t="s">
        <v>277</v>
      </c>
      <c r="H316" s="12" t="s">
        <v>7</v>
      </c>
      <c r="I316" s="15">
        <v>34.5</v>
      </c>
      <c r="J316" s="54">
        <v>195</v>
      </c>
      <c r="K316" s="33">
        <f t="shared" si="5"/>
        <v>6727.5</v>
      </c>
      <c r="L316" s="16"/>
    </row>
    <row r="317" spans="1:12" ht="26.4">
      <c r="A317" s="12">
        <v>50</v>
      </c>
      <c r="B317" s="13" t="s">
        <v>47</v>
      </c>
      <c r="C317" s="14" t="s">
        <v>48</v>
      </c>
      <c r="D317" s="14" t="s">
        <v>49</v>
      </c>
      <c r="E317" s="35">
        <v>3</v>
      </c>
      <c r="F317" s="14" t="s">
        <v>245</v>
      </c>
      <c r="G317" s="14" t="s">
        <v>277</v>
      </c>
      <c r="H317" s="12" t="s">
        <v>7</v>
      </c>
      <c r="I317" s="15">
        <v>88.5</v>
      </c>
      <c r="J317" s="54">
        <v>195</v>
      </c>
      <c r="K317" s="33">
        <f t="shared" si="5"/>
        <v>17257.5</v>
      </c>
      <c r="L317" s="16"/>
    </row>
    <row r="318" spans="1:12" ht="26.4">
      <c r="A318" s="12">
        <v>51</v>
      </c>
      <c r="B318" s="13" t="s">
        <v>47</v>
      </c>
      <c r="C318" s="14" t="s">
        <v>48</v>
      </c>
      <c r="D318" s="14" t="s">
        <v>49</v>
      </c>
      <c r="E318" s="35">
        <v>3</v>
      </c>
      <c r="F318" s="14" t="s">
        <v>246</v>
      </c>
      <c r="G318" s="14" t="s">
        <v>277</v>
      </c>
      <c r="H318" s="12" t="s">
        <v>7</v>
      </c>
      <c r="I318" s="15">
        <v>88.5</v>
      </c>
      <c r="J318" s="54">
        <v>195</v>
      </c>
      <c r="K318" s="33">
        <f t="shared" si="5"/>
        <v>17257.5</v>
      </c>
      <c r="L318" s="16"/>
    </row>
    <row r="319" spans="1:12" ht="26.4">
      <c r="A319" s="12">
        <v>52</v>
      </c>
      <c r="B319" s="13" t="s">
        <v>47</v>
      </c>
      <c r="C319" s="14" t="s">
        <v>48</v>
      </c>
      <c r="D319" s="14" t="s">
        <v>49</v>
      </c>
      <c r="E319" s="35">
        <v>3</v>
      </c>
      <c r="F319" s="14" t="s">
        <v>248</v>
      </c>
      <c r="G319" s="14" t="s">
        <v>277</v>
      </c>
      <c r="H319" s="12" t="s">
        <v>7</v>
      </c>
      <c r="I319" s="15">
        <v>40</v>
      </c>
      <c r="J319" s="54">
        <v>195</v>
      </c>
      <c r="K319" s="33">
        <f t="shared" si="5"/>
        <v>7800</v>
      </c>
      <c r="L319" s="16"/>
    </row>
    <row r="320" spans="1:12" ht="26.4">
      <c r="A320" s="12">
        <v>53</v>
      </c>
      <c r="B320" s="13" t="s">
        <v>47</v>
      </c>
      <c r="C320" s="14" t="s">
        <v>48</v>
      </c>
      <c r="D320" s="14" t="s">
        <v>49</v>
      </c>
      <c r="E320" s="35">
        <v>3</v>
      </c>
      <c r="F320" s="14" t="s">
        <v>247</v>
      </c>
      <c r="G320" s="14" t="s">
        <v>277</v>
      </c>
      <c r="H320" s="12" t="s">
        <v>7</v>
      </c>
      <c r="I320" s="15">
        <v>15.5</v>
      </c>
      <c r="J320" s="54">
        <v>195</v>
      </c>
      <c r="K320" s="33">
        <f t="shared" si="5"/>
        <v>3022.5</v>
      </c>
      <c r="L320" s="16"/>
    </row>
    <row r="321" spans="1:12" ht="26.4">
      <c r="A321" s="12">
        <v>54</v>
      </c>
      <c r="B321" s="13" t="s">
        <v>47</v>
      </c>
      <c r="C321" s="14" t="s">
        <v>48</v>
      </c>
      <c r="D321" s="14" t="s">
        <v>49</v>
      </c>
      <c r="E321" s="35">
        <v>3</v>
      </c>
      <c r="F321" s="14" t="s">
        <v>244</v>
      </c>
      <c r="G321" s="14" t="s">
        <v>277</v>
      </c>
      <c r="H321" s="12" t="s">
        <v>7</v>
      </c>
      <c r="I321" s="15">
        <v>75.3</v>
      </c>
      <c r="J321" s="54">
        <v>195</v>
      </c>
      <c r="K321" s="33">
        <f t="shared" si="5"/>
        <v>14683.5</v>
      </c>
      <c r="L321" s="16"/>
    </row>
    <row r="322" spans="1:12" ht="26.4">
      <c r="A322" s="12">
        <v>55</v>
      </c>
      <c r="B322" s="13" t="s">
        <v>47</v>
      </c>
      <c r="C322" s="14" t="s">
        <v>48</v>
      </c>
      <c r="D322" s="14" t="s">
        <v>49</v>
      </c>
      <c r="E322" s="35">
        <v>3</v>
      </c>
      <c r="F322" s="14" t="s">
        <v>239</v>
      </c>
      <c r="G322" s="14" t="s">
        <v>277</v>
      </c>
      <c r="H322" s="12" t="s">
        <v>7</v>
      </c>
      <c r="I322" s="15">
        <v>75.3</v>
      </c>
      <c r="J322" s="54">
        <v>195</v>
      </c>
      <c r="K322" s="33">
        <f t="shared" si="5"/>
        <v>14683.5</v>
      </c>
      <c r="L322" s="16"/>
    </row>
    <row r="323" spans="1:12" ht="26.4">
      <c r="A323" s="12">
        <v>56</v>
      </c>
      <c r="B323" s="13" t="s">
        <v>47</v>
      </c>
      <c r="C323" s="14" t="s">
        <v>48</v>
      </c>
      <c r="D323" s="14" t="s">
        <v>49</v>
      </c>
      <c r="E323" s="35">
        <v>3</v>
      </c>
      <c r="F323" s="14" t="s">
        <v>240</v>
      </c>
      <c r="G323" s="14" t="s">
        <v>277</v>
      </c>
      <c r="H323" s="12" t="s">
        <v>7</v>
      </c>
      <c r="I323" s="15">
        <v>15.5</v>
      </c>
      <c r="J323" s="54">
        <v>195</v>
      </c>
      <c r="K323" s="33">
        <f t="shared" si="5"/>
        <v>3022.5</v>
      </c>
      <c r="L323" s="16"/>
    </row>
    <row r="324" spans="1:12" ht="26.4">
      <c r="A324" s="12">
        <v>57</v>
      </c>
      <c r="B324" s="13" t="s">
        <v>47</v>
      </c>
      <c r="C324" s="14" t="s">
        <v>48</v>
      </c>
      <c r="D324" s="14" t="s">
        <v>49</v>
      </c>
      <c r="E324" s="35">
        <v>3</v>
      </c>
      <c r="F324" s="14" t="s">
        <v>243</v>
      </c>
      <c r="G324" s="14" t="s">
        <v>277</v>
      </c>
      <c r="H324" s="12" t="s">
        <v>7</v>
      </c>
      <c r="I324" s="15">
        <v>40</v>
      </c>
      <c r="J324" s="54">
        <v>195</v>
      </c>
      <c r="K324" s="33">
        <f t="shared" si="5"/>
        <v>7800</v>
      </c>
      <c r="L324" s="16"/>
    </row>
    <row r="325" spans="1:12" ht="26.4">
      <c r="A325" s="12">
        <v>58</v>
      </c>
      <c r="B325" s="13" t="s">
        <v>47</v>
      </c>
      <c r="C325" s="14" t="s">
        <v>48</v>
      </c>
      <c r="D325" s="14" t="s">
        <v>49</v>
      </c>
      <c r="E325" s="35">
        <v>3</v>
      </c>
      <c r="F325" s="14" t="s">
        <v>241</v>
      </c>
      <c r="G325" s="14" t="s">
        <v>277</v>
      </c>
      <c r="H325" s="12" t="s">
        <v>7</v>
      </c>
      <c r="I325" s="15">
        <v>88.5</v>
      </c>
      <c r="J325" s="54">
        <v>195</v>
      </c>
      <c r="K325" s="33">
        <f t="shared" si="5"/>
        <v>17257.5</v>
      </c>
      <c r="L325" s="16"/>
    </row>
    <row r="326" spans="1:12" ht="26.4">
      <c r="A326" s="12">
        <v>59</v>
      </c>
      <c r="B326" s="13" t="s">
        <v>47</v>
      </c>
      <c r="C326" s="14" t="s">
        <v>48</v>
      </c>
      <c r="D326" s="14" t="s">
        <v>49</v>
      </c>
      <c r="E326" s="35">
        <v>3</v>
      </c>
      <c r="F326" s="14" t="s">
        <v>242</v>
      </c>
      <c r="G326" s="14" t="s">
        <v>277</v>
      </c>
      <c r="H326" s="12" t="s">
        <v>7</v>
      </c>
      <c r="I326" s="15">
        <v>88.5</v>
      </c>
      <c r="J326" s="54">
        <v>195</v>
      </c>
      <c r="K326" s="33">
        <f t="shared" si="5"/>
        <v>17257.5</v>
      </c>
      <c r="L326" s="16"/>
    </row>
    <row r="327" spans="1:12" ht="39.6">
      <c r="A327" s="12">
        <v>60</v>
      </c>
      <c r="B327" s="13" t="s">
        <v>47</v>
      </c>
      <c r="C327" s="14" t="s">
        <v>48</v>
      </c>
      <c r="D327" s="14" t="s">
        <v>49</v>
      </c>
      <c r="E327" s="35">
        <v>3</v>
      </c>
      <c r="F327" s="14" t="s">
        <v>270</v>
      </c>
      <c r="G327" s="14" t="s">
        <v>277</v>
      </c>
      <c r="H327" s="12" t="s">
        <v>7</v>
      </c>
      <c r="I327" s="15">
        <v>13.7</v>
      </c>
      <c r="J327" s="54">
        <v>195</v>
      </c>
      <c r="K327" s="33">
        <f t="shared" si="5"/>
        <v>2671.5</v>
      </c>
      <c r="L327" s="16"/>
    </row>
    <row r="328" spans="1:12" ht="52.8">
      <c r="A328" s="12">
        <v>61</v>
      </c>
      <c r="B328" s="13" t="s">
        <v>47</v>
      </c>
      <c r="C328" s="14" t="s">
        <v>48</v>
      </c>
      <c r="D328" s="14" t="s">
        <v>49</v>
      </c>
      <c r="E328" s="35">
        <v>3</v>
      </c>
      <c r="F328" s="14" t="s">
        <v>269</v>
      </c>
      <c r="G328" s="14" t="s">
        <v>277</v>
      </c>
      <c r="H328" s="12" t="s">
        <v>7</v>
      </c>
      <c r="I328" s="15">
        <v>18</v>
      </c>
      <c r="J328" s="54">
        <v>195</v>
      </c>
      <c r="K328" s="33">
        <f t="shared" si="5"/>
        <v>3510</v>
      </c>
      <c r="L328" s="16"/>
    </row>
    <row r="329" spans="1:12" ht="26.4">
      <c r="A329" s="12">
        <v>62</v>
      </c>
      <c r="B329" s="13" t="s">
        <v>47</v>
      </c>
      <c r="C329" s="14" t="s">
        <v>48</v>
      </c>
      <c r="D329" s="14" t="s">
        <v>49</v>
      </c>
      <c r="E329" s="35">
        <v>3</v>
      </c>
      <c r="F329" s="14" t="s">
        <v>256</v>
      </c>
      <c r="G329" s="14" t="s">
        <v>277</v>
      </c>
      <c r="H329" s="12" t="s">
        <v>7</v>
      </c>
      <c r="I329" s="15">
        <v>77.5</v>
      </c>
      <c r="J329" s="54">
        <v>195</v>
      </c>
      <c r="K329" s="33">
        <f t="shared" si="5"/>
        <v>15112.5</v>
      </c>
      <c r="L329" s="16"/>
    </row>
    <row r="330" spans="1:12" ht="26.4">
      <c r="A330" s="12">
        <v>63</v>
      </c>
      <c r="B330" s="13" t="s">
        <v>47</v>
      </c>
      <c r="C330" s="14" t="s">
        <v>48</v>
      </c>
      <c r="D330" s="14" t="s">
        <v>49</v>
      </c>
      <c r="E330" s="35">
        <v>3</v>
      </c>
      <c r="F330" s="14" t="s">
        <v>255</v>
      </c>
      <c r="G330" s="14" t="s">
        <v>277</v>
      </c>
      <c r="H330" s="12" t="s">
        <v>7</v>
      </c>
      <c r="I330" s="15">
        <v>21</v>
      </c>
      <c r="J330" s="54">
        <v>195</v>
      </c>
      <c r="K330" s="33">
        <f t="shared" si="5"/>
        <v>4095</v>
      </c>
      <c r="L330" s="16"/>
    </row>
    <row r="331" spans="1:12" ht="26.4">
      <c r="A331" s="12">
        <v>64</v>
      </c>
      <c r="B331" s="13" t="s">
        <v>47</v>
      </c>
      <c r="C331" s="14" t="s">
        <v>48</v>
      </c>
      <c r="D331" s="14" t="s">
        <v>49</v>
      </c>
      <c r="E331" s="35">
        <v>3</v>
      </c>
      <c r="F331" s="14" t="s">
        <v>248</v>
      </c>
      <c r="G331" s="14" t="s">
        <v>277</v>
      </c>
      <c r="H331" s="12" t="s">
        <v>7</v>
      </c>
      <c r="I331" s="15">
        <v>80.5</v>
      </c>
      <c r="J331" s="54">
        <v>195</v>
      </c>
      <c r="K331" s="33">
        <f t="shared" si="5"/>
        <v>15697.5</v>
      </c>
      <c r="L331" s="16"/>
    </row>
    <row r="332" spans="1:12" ht="26.4">
      <c r="A332" s="12">
        <v>65</v>
      </c>
      <c r="B332" s="13" t="s">
        <v>47</v>
      </c>
      <c r="C332" s="14" t="s">
        <v>48</v>
      </c>
      <c r="D332" s="14" t="s">
        <v>49</v>
      </c>
      <c r="E332" s="35">
        <v>3</v>
      </c>
      <c r="F332" s="14" t="s">
        <v>243</v>
      </c>
      <c r="G332" s="14" t="s">
        <v>277</v>
      </c>
      <c r="H332" s="12" t="s">
        <v>7</v>
      </c>
      <c r="I332" s="15">
        <v>80.5</v>
      </c>
      <c r="J332" s="54">
        <v>195</v>
      </c>
      <c r="K332" s="33">
        <f t="shared" si="5"/>
        <v>15697.5</v>
      </c>
      <c r="L332" s="16"/>
    </row>
    <row r="333" spans="1:12" ht="26.4">
      <c r="A333" s="12">
        <v>66</v>
      </c>
      <c r="B333" s="13" t="s">
        <v>47</v>
      </c>
      <c r="C333" s="14" t="s">
        <v>48</v>
      </c>
      <c r="D333" s="14" t="s">
        <v>49</v>
      </c>
      <c r="E333" s="35">
        <v>-1</v>
      </c>
      <c r="F333" s="14" t="s">
        <v>82</v>
      </c>
      <c r="G333" s="14" t="s">
        <v>277</v>
      </c>
      <c r="H333" s="12" t="s">
        <v>7</v>
      </c>
      <c r="I333" s="15">
        <v>166.3</v>
      </c>
      <c r="J333" s="54">
        <v>195</v>
      </c>
      <c r="K333" s="33">
        <f t="shared" ref="K333:K358" si="6">I333*J333</f>
        <v>32428.500000000004</v>
      </c>
      <c r="L333" s="16"/>
    </row>
    <row r="334" spans="1:12" ht="26.4">
      <c r="A334" s="12">
        <v>67</v>
      </c>
      <c r="B334" s="13" t="s">
        <v>60</v>
      </c>
      <c r="C334" s="14" t="s">
        <v>48</v>
      </c>
      <c r="D334" s="14" t="s">
        <v>49</v>
      </c>
      <c r="E334" s="35">
        <v>-2</v>
      </c>
      <c r="F334" s="14" t="s">
        <v>82</v>
      </c>
      <c r="G334" s="14" t="s">
        <v>277</v>
      </c>
      <c r="H334" s="12" t="s">
        <v>7</v>
      </c>
      <c r="I334" s="15">
        <v>195.5</v>
      </c>
      <c r="J334" s="54">
        <v>195</v>
      </c>
      <c r="K334" s="33">
        <f t="shared" si="6"/>
        <v>38122.5</v>
      </c>
      <c r="L334" s="16"/>
    </row>
    <row r="335" spans="1:12" ht="39.6">
      <c r="A335" s="12">
        <v>68</v>
      </c>
      <c r="B335" s="13" t="s">
        <v>47</v>
      </c>
      <c r="C335" s="14" t="s">
        <v>48</v>
      </c>
      <c r="D335" s="14" t="s">
        <v>49</v>
      </c>
      <c r="E335" s="35">
        <v>1</v>
      </c>
      <c r="F335" s="14" t="s">
        <v>90</v>
      </c>
      <c r="G335" s="14" t="s">
        <v>6</v>
      </c>
      <c r="H335" s="12" t="s">
        <v>7</v>
      </c>
      <c r="I335" s="15">
        <v>8.3000000000000007</v>
      </c>
      <c r="J335" s="54">
        <v>585</v>
      </c>
      <c r="K335" s="33">
        <f t="shared" si="6"/>
        <v>4855.5</v>
      </c>
      <c r="L335" s="16"/>
    </row>
    <row r="336" spans="1:12" ht="39.6">
      <c r="A336" s="12">
        <v>69</v>
      </c>
      <c r="B336" s="13" t="s">
        <v>47</v>
      </c>
      <c r="C336" s="14" t="s">
        <v>48</v>
      </c>
      <c r="D336" s="14" t="s">
        <v>49</v>
      </c>
      <c r="E336" s="35">
        <v>2</v>
      </c>
      <c r="F336" s="14" t="s">
        <v>207</v>
      </c>
      <c r="G336" s="14" t="s">
        <v>6</v>
      </c>
      <c r="H336" s="12" t="s">
        <v>7</v>
      </c>
      <c r="I336" s="15">
        <v>3.5</v>
      </c>
      <c r="J336" s="54">
        <v>585</v>
      </c>
      <c r="K336" s="33">
        <f t="shared" si="6"/>
        <v>2047.5</v>
      </c>
      <c r="L336" s="16"/>
    </row>
    <row r="337" spans="1:12" ht="39.6">
      <c r="A337" s="12">
        <v>70</v>
      </c>
      <c r="B337" s="13" t="s">
        <v>47</v>
      </c>
      <c r="C337" s="14" t="s">
        <v>48</v>
      </c>
      <c r="D337" s="14" t="s">
        <v>49</v>
      </c>
      <c r="E337" s="35">
        <v>3</v>
      </c>
      <c r="F337" s="14" t="s">
        <v>246</v>
      </c>
      <c r="G337" s="14" t="s">
        <v>6</v>
      </c>
      <c r="H337" s="12" t="s">
        <v>7</v>
      </c>
      <c r="I337" s="15">
        <v>17.2</v>
      </c>
      <c r="J337" s="54">
        <v>585</v>
      </c>
      <c r="K337" s="33">
        <f t="shared" si="6"/>
        <v>10062</v>
      </c>
      <c r="L337" s="16"/>
    </row>
    <row r="338" spans="1:12" ht="39.6">
      <c r="A338" s="12">
        <v>71</v>
      </c>
      <c r="B338" s="13" t="s">
        <v>47</v>
      </c>
      <c r="C338" s="14" t="s">
        <v>48</v>
      </c>
      <c r="D338" s="14" t="s">
        <v>49</v>
      </c>
      <c r="E338" s="35">
        <v>3</v>
      </c>
      <c r="F338" s="14" t="s">
        <v>245</v>
      </c>
      <c r="G338" s="14" t="s">
        <v>6</v>
      </c>
      <c r="H338" s="12" t="s">
        <v>7</v>
      </c>
      <c r="I338" s="15">
        <v>12</v>
      </c>
      <c r="J338" s="54">
        <v>585</v>
      </c>
      <c r="K338" s="33">
        <f t="shared" si="6"/>
        <v>7020</v>
      </c>
      <c r="L338" s="16"/>
    </row>
    <row r="339" spans="1:12" ht="39.6">
      <c r="A339" s="12">
        <v>72</v>
      </c>
      <c r="B339" s="13" t="s">
        <v>47</v>
      </c>
      <c r="C339" s="14" t="s">
        <v>48</v>
      </c>
      <c r="D339" s="14" t="s">
        <v>49</v>
      </c>
      <c r="E339" s="35">
        <v>3</v>
      </c>
      <c r="F339" s="14" t="s">
        <v>247</v>
      </c>
      <c r="G339" s="14" t="s">
        <v>6</v>
      </c>
      <c r="H339" s="12" t="s">
        <v>7</v>
      </c>
      <c r="I339" s="15">
        <v>20</v>
      </c>
      <c r="J339" s="54">
        <v>585</v>
      </c>
      <c r="K339" s="33">
        <f t="shared" si="6"/>
        <v>11700</v>
      </c>
      <c r="L339" s="16"/>
    </row>
    <row r="340" spans="1:12" ht="39.6">
      <c r="A340" s="12">
        <v>73</v>
      </c>
      <c r="B340" s="13" t="s">
        <v>47</v>
      </c>
      <c r="C340" s="14" t="s">
        <v>48</v>
      </c>
      <c r="D340" s="14" t="s">
        <v>49</v>
      </c>
      <c r="E340" s="35">
        <v>3</v>
      </c>
      <c r="F340" s="14" t="s">
        <v>244</v>
      </c>
      <c r="G340" s="14" t="s">
        <v>6</v>
      </c>
      <c r="H340" s="12" t="s">
        <v>7</v>
      </c>
      <c r="I340" s="15">
        <v>15</v>
      </c>
      <c r="J340" s="54">
        <v>585</v>
      </c>
      <c r="K340" s="33">
        <f t="shared" si="6"/>
        <v>8775</v>
      </c>
      <c r="L340" s="16"/>
    </row>
    <row r="341" spans="1:12" ht="39.6">
      <c r="A341" s="12">
        <v>74</v>
      </c>
      <c r="B341" s="13" t="s">
        <v>47</v>
      </c>
      <c r="C341" s="14" t="s">
        <v>48</v>
      </c>
      <c r="D341" s="14" t="s">
        <v>49</v>
      </c>
      <c r="E341" s="35">
        <v>3</v>
      </c>
      <c r="F341" s="14" t="s">
        <v>242</v>
      </c>
      <c r="G341" s="14" t="s">
        <v>6</v>
      </c>
      <c r="H341" s="12" t="s">
        <v>7</v>
      </c>
      <c r="I341" s="15">
        <v>28.4</v>
      </c>
      <c r="J341" s="54">
        <v>585</v>
      </c>
      <c r="K341" s="33">
        <f t="shared" si="6"/>
        <v>16614</v>
      </c>
      <c r="L341" s="16"/>
    </row>
    <row r="342" spans="1:12" ht="39.6">
      <c r="A342" s="12">
        <v>75</v>
      </c>
      <c r="B342" s="13" t="s">
        <v>47</v>
      </c>
      <c r="C342" s="14" t="s">
        <v>48</v>
      </c>
      <c r="D342" s="14" t="s">
        <v>49</v>
      </c>
      <c r="E342" s="35">
        <v>3</v>
      </c>
      <c r="F342" s="14" t="s">
        <v>241</v>
      </c>
      <c r="G342" s="14" t="s">
        <v>6</v>
      </c>
      <c r="H342" s="12" t="s">
        <v>7</v>
      </c>
      <c r="I342" s="15">
        <v>12.3</v>
      </c>
      <c r="J342" s="54">
        <v>585</v>
      </c>
      <c r="K342" s="33">
        <f t="shared" si="6"/>
        <v>7195.5</v>
      </c>
      <c r="L342" s="16"/>
    </row>
    <row r="343" spans="1:12" ht="39.6">
      <c r="A343" s="12">
        <v>76</v>
      </c>
      <c r="B343" s="13" t="s">
        <v>47</v>
      </c>
      <c r="C343" s="14" t="s">
        <v>48</v>
      </c>
      <c r="D343" s="14" t="s">
        <v>49</v>
      </c>
      <c r="E343" s="35">
        <v>3</v>
      </c>
      <c r="F343" s="14" t="s">
        <v>240</v>
      </c>
      <c r="G343" s="14" t="s">
        <v>6</v>
      </c>
      <c r="H343" s="12" t="s">
        <v>7</v>
      </c>
      <c r="I343" s="15">
        <v>20</v>
      </c>
      <c r="J343" s="54">
        <v>585</v>
      </c>
      <c r="K343" s="33">
        <f t="shared" si="6"/>
        <v>11700</v>
      </c>
      <c r="L343" s="16"/>
    </row>
    <row r="344" spans="1:12" ht="39.6">
      <c r="A344" s="12">
        <v>77</v>
      </c>
      <c r="B344" s="13" t="s">
        <v>47</v>
      </c>
      <c r="C344" s="14" t="s">
        <v>48</v>
      </c>
      <c r="D344" s="14" t="s">
        <v>49</v>
      </c>
      <c r="E344" s="35">
        <v>3</v>
      </c>
      <c r="F344" s="14" t="s">
        <v>239</v>
      </c>
      <c r="G344" s="14" t="s">
        <v>6</v>
      </c>
      <c r="H344" s="12" t="s">
        <v>7</v>
      </c>
      <c r="I344" s="15">
        <v>5.4</v>
      </c>
      <c r="J344" s="54">
        <v>585</v>
      </c>
      <c r="K344" s="33">
        <f t="shared" si="6"/>
        <v>3159</v>
      </c>
      <c r="L344" s="16"/>
    </row>
    <row r="345" spans="1:12" ht="39.6">
      <c r="A345" s="12">
        <v>78</v>
      </c>
      <c r="B345" s="13" t="s">
        <v>47</v>
      </c>
      <c r="C345" s="14" t="s">
        <v>48</v>
      </c>
      <c r="D345" s="14" t="s">
        <v>49</v>
      </c>
      <c r="E345" s="35">
        <v>3</v>
      </c>
      <c r="F345" s="14" t="s">
        <v>238</v>
      </c>
      <c r="G345" s="14" t="s">
        <v>6</v>
      </c>
      <c r="H345" s="12" t="s">
        <v>7</v>
      </c>
      <c r="I345" s="15">
        <v>12</v>
      </c>
      <c r="J345" s="54">
        <v>585</v>
      </c>
      <c r="K345" s="33">
        <f t="shared" si="6"/>
        <v>7020</v>
      </c>
      <c r="L345" s="16"/>
    </row>
    <row r="346" spans="1:12" ht="39.6">
      <c r="A346" s="12">
        <v>79</v>
      </c>
      <c r="B346" s="13" t="s">
        <v>47</v>
      </c>
      <c r="C346" s="14" t="s">
        <v>48</v>
      </c>
      <c r="D346" s="14" t="s">
        <v>49</v>
      </c>
      <c r="E346" s="35">
        <v>3</v>
      </c>
      <c r="F346" s="14" t="s">
        <v>254</v>
      </c>
      <c r="G346" s="14" t="s">
        <v>6</v>
      </c>
      <c r="H346" s="12" t="s">
        <v>7</v>
      </c>
      <c r="I346" s="15">
        <v>36</v>
      </c>
      <c r="J346" s="54">
        <v>585</v>
      </c>
      <c r="K346" s="33">
        <f t="shared" si="6"/>
        <v>21060</v>
      </c>
      <c r="L346" s="16"/>
    </row>
    <row r="347" spans="1:12">
      <c r="A347" s="12">
        <v>80</v>
      </c>
      <c r="B347" s="13" t="s">
        <v>47</v>
      </c>
      <c r="C347" s="14" t="s">
        <v>48</v>
      </c>
      <c r="D347" s="14" t="s">
        <v>49</v>
      </c>
      <c r="E347" s="35">
        <v>1</v>
      </c>
      <c r="F347" s="14" t="s">
        <v>90</v>
      </c>
      <c r="G347" s="14" t="s">
        <v>262</v>
      </c>
      <c r="H347" s="12" t="s">
        <v>7</v>
      </c>
      <c r="I347" s="15">
        <v>9</v>
      </c>
      <c r="J347" s="54">
        <v>1105</v>
      </c>
      <c r="K347" s="33">
        <f t="shared" si="6"/>
        <v>9945</v>
      </c>
      <c r="L347" s="16"/>
    </row>
    <row r="348" spans="1:12">
      <c r="A348" s="12">
        <v>81</v>
      </c>
      <c r="B348" s="13" t="s">
        <v>47</v>
      </c>
      <c r="C348" s="14" t="s">
        <v>48</v>
      </c>
      <c r="D348" s="14" t="s">
        <v>49</v>
      </c>
      <c r="E348" s="35">
        <v>2</v>
      </c>
      <c r="F348" s="14" t="s">
        <v>207</v>
      </c>
      <c r="G348" s="14" t="s">
        <v>262</v>
      </c>
      <c r="H348" s="12" t="s">
        <v>7</v>
      </c>
      <c r="I348" s="15">
        <v>3.5</v>
      </c>
      <c r="J348" s="54">
        <v>1105</v>
      </c>
      <c r="K348" s="33">
        <f t="shared" si="6"/>
        <v>3867.5</v>
      </c>
      <c r="L348" s="16"/>
    </row>
    <row r="349" spans="1:12">
      <c r="A349" s="12">
        <v>82</v>
      </c>
      <c r="B349" s="13" t="s">
        <v>47</v>
      </c>
      <c r="C349" s="14" t="s">
        <v>48</v>
      </c>
      <c r="D349" s="14" t="s">
        <v>49</v>
      </c>
      <c r="E349" s="35">
        <v>3</v>
      </c>
      <c r="F349" s="14" t="s">
        <v>247</v>
      </c>
      <c r="G349" s="14" t="s">
        <v>262</v>
      </c>
      <c r="H349" s="12" t="s">
        <v>7</v>
      </c>
      <c r="I349" s="15">
        <v>14</v>
      </c>
      <c r="J349" s="54">
        <v>1105</v>
      </c>
      <c r="K349" s="33">
        <f t="shared" si="6"/>
        <v>15470</v>
      </c>
      <c r="L349" s="16"/>
    </row>
    <row r="350" spans="1:12">
      <c r="A350" s="12">
        <v>83</v>
      </c>
      <c r="B350" s="13" t="s">
        <v>47</v>
      </c>
      <c r="C350" s="14" t="s">
        <v>48</v>
      </c>
      <c r="D350" s="14" t="s">
        <v>49</v>
      </c>
      <c r="E350" s="35">
        <v>3</v>
      </c>
      <c r="F350" s="14" t="s">
        <v>244</v>
      </c>
      <c r="G350" s="14" t="s">
        <v>262</v>
      </c>
      <c r="H350" s="12" t="s">
        <v>7</v>
      </c>
      <c r="I350" s="15">
        <v>1.7</v>
      </c>
      <c r="J350" s="54">
        <v>1105</v>
      </c>
      <c r="K350" s="33">
        <f t="shared" si="6"/>
        <v>1878.5</v>
      </c>
      <c r="L350" s="16"/>
    </row>
    <row r="351" spans="1:12">
      <c r="A351" s="12">
        <v>84</v>
      </c>
      <c r="B351" s="13" t="s">
        <v>47</v>
      </c>
      <c r="C351" s="14" t="s">
        <v>48</v>
      </c>
      <c r="D351" s="14" t="s">
        <v>49</v>
      </c>
      <c r="E351" s="35">
        <v>3</v>
      </c>
      <c r="F351" s="14" t="s">
        <v>242</v>
      </c>
      <c r="G351" s="14" t="s">
        <v>262</v>
      </c>
      <c r="H351" s="12" t="s">
        <v>7</v>
      </c>
      <c r="I351" s="15">
        <v>19.399999999999999</v>
      </c>
      <c r="J351" s="54">
        <v>1105</v>
      </c>
      <c r="K351" s="33">
        <f t="shared" si="6"/>
        <v>21437</v>
      </c>
      <c r="L351" s="16"/>
    </row>
    <row r="352" spans="1:12">
      <c r="A352" s="12">
        <v>85</v>
      </c>
      <c r="B352" s="13" t="s">
        <v>47</v>
      </c>
      <c r="C352" s="14" t="s">
        <v>48</v>
      </c>
      <c r="D352" s="14" t="s">
        <v>49</v>
      </c>
      <c r="E352" s="35">
        <v>3</v>
      </c>
      <c r="F352" s="14" t="s">
        <v>183</v>
      </c>
      <c r="G352" s="14" t="s">
        <v>262</v>
      </c>
      <c r="H352" s="12" t="s">
        <v>7</v>
      </c>
      <c r="I352" s="15">
        <v>2.2999999999999998</v>
      </c>
      <c r="J352" s="54">
        <v>1105</v>
      </c>
      <c r="K352" s="33">
        <f t="shared" si="6"/>
        <v>2541.5</v>
      </c>
      <c r="L352" s="16"/>
    </row>
    <row r="353" spans="1:12">
      <c r="A353" s="12">
        <v>86</v>
      </c>
      <c r="B353" s="13" t="s">
        <v>60</v>
      </c>
      <c r="C353" s="14" t="s">
        <v>48</v>
      </c>
      <c r="D353" s="14" t="s">
        <v>49</v>
      </c>
      <c r="E353" s="35">
        <v>3</v>
      </c>
      <c r="F353" s="14" t="s">
        <v>238</v>
      </c>
      <c r="G353" s="14" t="s">
        <v>262</v>
      </c>
      <c r="H353" s="12" t="s">
        <v>7</v>
      </c>
      <c r="I353" s="15">
        <v>9.6999999999999993</v>
      </c>
      <c r="J353" s="54">
        <v>1105</v>
      </c>
      <c r="K353" s="33">
        <f t="shared" si="6"/>
        <v>10718.5</v>
      </c>
      <c r="L353" s="16"/>
    </row>
    <row r="354" spans="1:12">
      <c r="A354" s="12">
        <v>87</v>
      </c>
      <c r="B354" s="13" t="s">
        <v>47</v>
      </c>
      <c r="C354" s="14" t="s">
        <v>48</v>
      </c>
      <c r="D354" s="14" t="s">
        <v>49</v>
      </c>
      <c r="E354" s="35">
        <v>3</v>
      </c>
      <c r="F354" s="14" t="s">
        <v>240</v>
      </c>
      <c r="G354" s="14" t="s">
        <v>262</v>
      </c>
      <c r="H354" s="12" t="s">
        <v>7</v>
      </c>
      <c r="I354" s="15">
        <v>14</v>
      </c>
      <c r="J354" s="54">
        <v>1105</v>
      </c>
      <c r="K354" s="33">
        <f t="shared" si="6"/>
        <v>15470</v>
      </c>
      <c r="L354" s="16"/>
    </row>
    <row r="355" spans="1:12" ht="26.4">
      <c r="A355" s="12">
        <v>88</v>
      </c>
      <c r="B355" s="13" t="s">
        <v>47</v>
      </c>
      <c r="C355" s="14" t="s">
        <v>48</v>
      </c>
      <c r="D355" s="14" t="s">
        <v>49</v>
      </c>
      <c r="E355" s="35">
        <v>3</v>
      </c>
      <c r="F355" s="14" t="s">
        <v>254</v>
      </c>
      <c r="G355" s="14" t="s">
        <v>262</v>
      </c>
      <c r="H355" s="12" t="s">
        <v>7</v>
      </c>
      <c r="I355" s="15">
        <v>1.6</v>
      </c>
      <c r="J355" s="54">
        <v>1105</v>
      </c>
      <c r="K355" s="33">
        <f t="shared" si="6"/>
        <v>1768</v>
      </c>
      <c r="L355" s="16"/>
    </row>
    <row r="356" spans="1:12" ht="39.6">
      <c r="A356" s="12">
        <v>89</v>
      </c>
      <c r="B356" s="13" t="s">
        <v>47</v>
      </c>
      <c r="C356" s="14" t="s">
        <v>48</v>
      </c>
      <c r="D356" s="14" t="s">
        <v>49</v>
      </c>
      <c r="E356" s="35">
        <v>3</v>
      </c>
      <c r="F356" s="14" t="s">
        <v>270</v>
      </c>
      <c r="G356" s="14" t="s">
        <v>262</v>
      </c>
      <c r="H356" s="12" t="s">
        <v>7</v>
      </c>
      <c r="I356" s="15">
        <v>2.7</v>
      </c>
      <c r="J356" s="54">
        <v>1105</v>
      </c>
      <c r="K356" s="33">
        <f t="shared" si="6"/>
        <v>2983.5</v>
      </c>
      <c r="L356" s="16"/>
    </row>
    <row r="357" spans="1:12" ht="52.8">
      <c r="A357" s="12">
        <v>90</v>
      </c>
      <c r="B357" s="13" t="s">
        <v>47</v>
      </c>
      <c r="C357" s="14" t="s">
        <v>48</v>
      </c>
      <c r="D357" s="14" t="s">
        <v>49</v>
      </c>
      <c r="E357" s="35">
        <v>3</v>
      </c>
      <c r="F357" s="14" t="s">
        <v>269</v>
      </c>
      <c r="G357" s="14" t="s">
        <v>262</v>
      </c>
      <c r="H357" s="12" t="s">
        <v>7</v>
      </c>
      <c r="I357" s="15">
        <v>9.3000000000000007</v>
      </c>
      <c r="J357" s="54">
        <v>1105</v>
      </c>
      <c r="K357" s="33">
        <f t="shared" si="6"/>
        <v>10276.5</v>
      </c>
      <c r="L357" s="16"/>
    </row>
    <row r="358" spans="1:12">
      <c r="A358" s="12">
        <v>91</v>
      </c>
      <c r="B358" s="13" t="s">
        <v>47</v>
      </c>
      <c r="C358" s="14" t="s">
        <v>48</v>
      </c>
      <c r="D358" s="14" t="s">
        <v>49</v>
      </c>
      <c r="E358" s="35">
        <v>3</v>
      </c>
      <c r="F358" s="14" t="s">
        <v>256</v>
      </c>
      <c r="G358" s="14" t="s">
        <v>262</v>
      </c>
      <c r="H358" s="12" t="s">
        <v>7</v>
      </c>
      <c r="I358" s="15">
        <v>6.8</v>
      </c>
      <c r="J358" s="54">
        <v>1105</v>
      </c>
      <c r="K358" s="33">
        <f t="shared" si="6"/>
        <v>7514</v>
      </c>
      <c r="L358" s="16"/>
    </row>
    <row r="359" spans="1:12">
      <c r="A359" s="12">
        <v>92</v>
      </c>
      <c r="B359" s="13" t="s">
        <v>47</v>
      </c>
      <c r="C359" s="14" t="s">
        <v>48</v>
      </c>
      <c r="D359" s="14" t="s">
        <v>49</v>
      </c>
      <c r="E359" s="35">
        <v>3</v>
      </c>
      <c r="F359" s="14" t="s">
        <v>248</v>
      </c>
      <c r="G359" s="14" t="s">
        <v>262</v>
      </c>
      <c r="H359" s="12" t="s">
        <v>7</v>
      </c>
      <c r="I359" s="15">
        <v>78.5</v>
      </c>
      <c r="J359" s="54">
        <v>1105</v>
      </c>
      <c r="K359" s="33">
        <f>J359*I359</f>
        <v>86742.5</v>
      </c>
      <c r="L359" s="16"/>
    </row>
    <row r="360" spans="1:12">
      <c r="A360" s="12">
        <v>93</v>
      </c>
      <c r="B360" s="13" t="s">
        <v>47</v>
      </c>
      <c r="C360" s="14" t="s">
        <v>48</v>
      </c>
      <c r="D360" s="14" t="s">
        <v>49</v>
      </c>
      <c r="E360" s="35">
        <v>3</v>
      </c>
      <c r="F360" s="14" t="s">
        <v>243</v>
      </c>
      <c r="G360" s="14" t="s">
        <v>262</v>
      </c>
      <c r="H360" s="12" t="s">
        <v>7</v>
      </c>
      <c r="I360" s="15">
        <v>78.5</v>
      </c>
      <c r="J360" s="54">
        <v>1105</v>
      </c>
      <c r="K360" s="33">
        <f>J360*I360</f>
        <v>86742.5</v>
      </c>
      <c r="L360" s="16"/>
    </row>
    <row r="361" spans="1:12" ht="39.6">
      <c r="A361" s="12">
        <v>94</v>
      </c>
      <c r="B361" s="13" t="s">
        <v>47</v>
      </c>
      <c r="C361" s="14" t="s">
        <v>48</v>
      </c>
      <c r="D361" s="14" t="s">
        <v>58</v>
      </c>
      <c r="E361" s="35">
        <v>1</v>
      </c>
      <c r="F361" s="14" t="s">
        <v>154</v>
      </c>
      <c r="G361" s="14" t="s">
        <v>14</v>
      </c>
      <c r="H361" s="12" t="s">
        <v>7</v>
      </c>
      <c r="I361" s="15">
        <v>5.3</v>
      </c>
      <c r="J361" s="54">
        <v>1170</v>
      </c>
      <c r="K361" s="33">
        <f t="shared" ref="K361:K383" si="7">J361*I361</f>
        <v>6201</v>
      </c>
      <c r="L361" s="16"/>
    </row>
    <row r="362" spans="1:12" ht="26.4">
      <c r="A362" s="12">
        <v>95</v>
      </c>
      <c r="B362" s="13" t="s">
        <v>47</v>
      </c>
      <c r="C362" s="14" t="s">
        <v>48</v>
      </c>
      <c r="D362" s="14" t="s">
        <v>49</v>
      </c>
      <c r="E362" s="35">
        <v>1</v>
      </c>
      <c r="F362" s="14" t="s">
        <v>154</v>
      </c>
      <c r="G362" s="14" t="s">
        <v>15</v>
      </c>
      <c r="H362" s="12" t="s">
        <v>7</v>
      </c>
      <c r="I362" s="15">
        <v>37</v>
      </c>
      <c r="J362" s="54">
        <v>1170</v>
      </c>
      <c r="K362" s="33">
        <f t="shared" si="7"/>
        <v>43290</v>
      </c>
      <c r="L362" s="16"/>
    </row>
    <row r="363" spans="1:12" ht="39.6">
      <c r="A363" s="12">
        <v>96</v>
      </c>
      <c r="B363" s="13" t="s">
        <v>47</v>
      </c>
      <c r="C363" s="14" t="s">
        <v>48</v>
      </c>
      <c r="D363" s="14" t="s">
        <v>58</v>
      </c>
      <c r="E363" s="35">
        <v>1</v>
      </c>
      <c r="F363" s="14" t="s">
        <v>144</v>
      </c>
      <c r="G363" s="14" t="s">
        <v>14</v>
      </c>
      <c r="H363" s="12" t="s">
        <v>7</v>
      </c>
      <c r="I363" s="15">
        <v>6.5</v>
      </c>
      <c r="J363" s="54">
        <v>1170</v>
      </c>
      <c r="K363" s="33">
        <f t="shared" si="7"/>
        <v>7605</v>
      </c>
      <c r="L363" s="16"/>
    </row>
    <row r="364" spans="1:12" ht="26.4">
      <c r="A364" s="12">
        <v>97</v>
      </c>
      <c r="B364" s="13" t="s">
        <v>47</v>
      </c>
      <c r="C364" s="14" t="s">
        <v>48</v>
      </c>
      <c r="D364" s="14" t="s">
        <v>49</v>
      </c>
      <c r="E364" s="35">
        <v>1</v>
      </c>
      <c r="F364" s="14" t="s">
        <v>144</v>
      </c>
      <c r="G364" s="14" t="s">
        <v>15</v>
      </c>
      <c r="H364" s="12" t="s">
        <v>7</v>
      </c>
      <c r="I364" s="15">
        <v>9.5</v>
      </c>
      <c r="J364" s="54">
        <v>1170</v>
      </c>
      <c r="K364" s="33">
        <f t="shared" si="7"/>
        <v>11115</v>
      </c>
      <c r="L364" s="16"/>
    </row>
    <row r="365" spans="1:12" ht="39.6">
      <c r="A365" s="12">
        <v>98</v>
      </c>
      <c r="B365" s="13" t="s">
        <v>47</v>
      </c>
      <c r="C365" s="14" t="s">
        <v>48</v>
      </c>
      <c r="D365" s="14" t="s">
        <v>58</v>
      </c>
      <c r="E365" s="35">
        <v>1</v>
      </c>
      <c r="F365" s="14" t="s">
        <v>150</v>
      </c>
      <c r="G365" s="14" t="s">
        <v>14</v>
      </c>
      <c r="H365" s="12" t="s">
        <v>7</v>
      </c>
      <c r="I365" s="15">
        <v>6.5</v>
      </c>
      <c r="J365" s="54">
        <v>1170</v>
      </c>
      <c r="K365" s="33">
        <f t="shared" si="7"/>
        <v>7605</v>
      </c>
      <c r="L365" s="16"/>
    </row>
    <row r="366" spans="1:12" ht="26.4">
      <c r="A366" s="12">
        <v>99</v>
      </c>
      <c r="B366" s="13" t="s">
        <v>47</v>
      </c>
      <c r="C366" s="14" t="s">
        <v>48</v>
      </c>
      <c r="D366" s="14" t="s">
        <v>49</v>
      </c>
      <c r="E366" s="35">
        <v>1</v>
      </c>
      <c r="F366" s="14" t="s">
        <v>150</v>
      </c>
      <c r="G366" s="14" t="s">
        <v>15</v>
      </c>
      <c r="H366" s="12" t="s">
        <v>7</v>
      </c>
      <c r="I366" s="15">
        <v>9.5</v>
      </c>
      <c r="J366" s="54">
        <v>1170</v>
      </c>
      <c r="K366" s="33">
        <f t="shared" si="7"/>
        <v>11115</v>
      </c>
      <c r="L366" s="16"/>
    </row>
    <row r="367" spans="1:12" ht="39.6">
      <c r="A367" s="12">
        <v>100</v>
      </c>
      <c r="B367" s="13" t="s">
        <v>47</v>
      </c>
      <c r="C367" s="14" t="s">
        <v>48</v>
      </c>
      <c r="D367" s="14" t="s">
        <v>58</v>
      </c>
      <c r="E367" s="35">
        <v>2</v>
      </c>
      <c r="F367" s="14" t="s">
        <v>201</v>
      </c>
      <c r="G367" s="14" t="s">
        <v>14</v>
      </c>
      <c r="H367" s="12" t="s">
        <v>7</v>
      </c>
      <c r="I367" s="15">
        <v>6.5</v>
      </c>
      <c r="J367" s="54">
        <v>1170</v>
      </c>
      <c r="K367" s="33">
        <f t="shared" si="7"/>
        <v>7605</v>
      </c>
      <c r="L367" s="16"/>
    </row>
    <row r="368" spans="1:12" ht="26.4">
      <c r="A368" s="12">
        <v>101</v>
      </c>
      <c r="B368" s="13" t="s">
        <v>47</v>
      </c>
      <c r="C368" s="14" t="s">
        <v>48</v>
      </c>
      <c r="D368" s="14" t="s">
        <v>49</v>
      </c>
      <c r="E368" s="35">
        <v>2</v>
      </c>
      <c r="F368" s="14" t="s">
        <v>201</v>
      </c>
      <c r="G368" s="14" t="s">
        <v>15</v>
      </c>
      <c r="H368" s="12" t="s">
        <v>7</v>
      </c>
      <c r="I368" s="15">
        <v>15.2</v>
      </c>
      <c r="J368" s="54">
        <v>1170</v>
      </c>
      <c r="K368" s="33">
        <f t="shared" si="7"/>
        <v>17784</v>
      </c>
      <c r="L368" s="16"/>
    </row>
    <row r="369" spans="1:12" ht="39.6">
      <c r="A369" s="12">
        <v>102</v>
      </c>
      <c r="B369" s="13" t="s">
        <v>47</v>
      </c>
      <c r="C369" s="14" t="s">
        <v>48</v>
      </c>
      <c r="D369" s="14" t="s">
        <v>58</v>
      </c>
      <c r="E369" s="35">
        <v>2</v>
      </c>
      <c r="F369" s="14" t="s">
        <v>196</v>
      </c>
      <c r="G369" s="14" t="s">
        <v>14</v>
      </c>
      <c r="H369" s="12" t="s">
        <v>7</v>
      </c>
      <c r="I369" s="15">
        <v>6.5</v>
      </c>
      <c r="J369" s="54">
        <v>1170</v>
      </c>
      <c r="K369" s="33">
        <f t="shared" si="7"/>
        <v>7605</v>
      </c>
      <c r="L369" s="16"/>
    </row>
    <row r="370" spans="1:12" ht="26.4">
      <c r="A370" s="12">
        <v>103</v>
      </c>
      <c r="B370" s="13" t="s">
        <v>47</v>
      </c>
      <c r="C370" s="14" t="s">
        <v>48</v>
      </c>
      <c r="D370" s="14" t="s">
        <v>49</v>
      </c>
      <c r="E370" s="35">
        <v>2</v>
      </c>
      <c r="F370" s="14" t="s">
        <v>196</v>
      </c>
      <c r="G370" s="14" t="s">
        <v>15</v>
      </c>
      <c r="H370" s="12" t="s">
        <v>7</v>
      </c>
      <c r="I370" s="15">
        <v>15.2</v>
      </c>
      <c r="J370" s="54">
        <v>1170</v>
      </c>
      <c r="K370" s="33">
        <f t="shared" si="7"/>
        <v>17784</v>
      </c>
      <c r="L370" s="16"/>
    </row>
    <row r="371" spans="1:12" ht="26.4">
      <c r="A371" s="12">
        <v>104</v>
      </c>
      <c r="B371" s="13" t="s">
        <v>47</v>
      </c>
      <c r="C371" s="14" t="s">
        <v>48</v>
      </c>
      <c r="D371" s="14" t="s">
        <v>49</v>
      </c>
      <c r="E371" s="35">
        <v>2</v>
      </c>
      <c r="F371" s="14" t="s">
        <v>210</v>
      </c>
      <c r="G371" s="14" t="s">
        <v>15</v>
      </c>
      <c r="H371" s="12" t="s">
        <v>7</v>
      </c>
      <c r="I371" s="15">
        <v>33</v>
      </c>
      <c r="J371" s="54">
        <v>1170</v>
      </c>
      <c r="K371" s="33">
        <f t="shared" si="7"/>
        <v>38610</v>
      </c>
      <c r="L371" s="16"/>
    </row>
    <row r="372" spans="1:12" ht="39.6">
      <c r="A372" s="12">
        <v>105</v>
      </c>
      <c r="B372" s="13" t="s">
        <v>47</v>
      </c>
      <c r="C372" s="14" t="s">
        <v>48</v>
      </c>
      <c r="D372" s="14" t="s">
        <v>58</v>
      </c>
      <c r="E372" s="35">
        <v>2</v>
      </c>
      <c r="F372" s="14" t="s">
        <v>213</v>
      </c>
      <c r="G372" s="14" t="s">
        <v>14</v>
      </c>
      <c r="H372" s="12" t="s">
        <v>7</v>
      </c>
      <c r="I372" s="15">
        <v>5.8</v>
      </c>
      <c r="J372" s="54">
        <v>1170</v>
      </c>
      <c r="K372" s="33">
        <f t="shared" si="7"/>
        <v>6786</v>
      </c>
      <c r="L372" s="16"/>
    </row>
    <row r="373" spans="1:12" ht="39.6">
      <c r="A373" s="12">
        <v>106</v>
      </c>
      <c r="B373" s="13" t="s">
        <v>47</v>
      </c>
      <c r="C373" s="14" t="s">
        <v>48</v>
      </c>
      <c r="D373" s="14" t="s">
        <v>58</v>
      </c>
      <c r="E373" s="35">
        <v>2</v>
      </c>
      <c r="F373" s="14" t="s">
        <v>211</v>
      </c>
      <c r="G373" s="14" t="s">
        <v>14</v>
      </c>
      <c r="H373" s="12" t="s">
        <v>7</v>
      </c>
      <c r="I373" s="15">
        <v>6</v>
      </c>
      <c r="J373" s="54">
        <v>1170</v>
      </c>
      <c r="K373" s="33">
        <f t="shared" si="7"/>
        <v>7020</v>
      </c>
      <c r="L373" s="16"/>
    </row>
    <row r="374" spans="1:12" ht="39.6">
      <c r="A374" s="12">
        <v>107</v>
      </c>
      <c r="B374" s="13" t="s">
        <v>47</v>
      </c>
      <c r="C374" s="14" t="s">
        <v>48</v>
      </c>
      <c r="D374" s="14" t="s">
        <v>58</v>
      </c>
      <c r="E374" s="35">
        <v>2</v>
      </c>
      <c r="F374" s="14" t="s">
        <v>210</v>
      </c>
      <c r="G374" s="14" t="s">
        <v>14</v>
      </c>
      <c r="H374" s="12" t="s">
        <v>7</v>
      </c>
      <c r="I374" s="15">
        <v>5</v>
      </c>
      <c r="J374" s="54">
        <v>1170</v>
      </c>
      <c r="K374" s="33">
        <f t="shared" si="7"/>
        <v>5850</v>
      </c>
      <c r="L374" s="16"/>
    </row>
    <row r="375" spans="1:12" ht="39.6">
      <c r="A375" s="12">
        <v>108</v>
      </c>
      <c r="B375" s="13" t="s">
        <v>47</v>
      </c>
      <c r="C375" s="14" t="s">
        <v>48</v>
      </c>
      <c r="D375" s="14" t="s">
        <v>58</v>
      </c>
      <c r="E375" s="35">
        <v>2</v>
      </c>
      <c r="F375" s="14" t="s">
        <v>194</v>
      </c>
      <c r="G375" s="14" t="s">
        <v>14</v>
      </c>
      <c r="H375" s="12" t="s">
        <v>7</v>
      </c>
      <c r="I375" s="15">
        <v>7.6</v>
      </c>
      <c r="J375" s="54">
        <v>1170</v>
      </c>
      <c r="K375" s="33">
        <f t="shared" si="7"/>
        <v>8892</v>
      </c>
      <c r="L375" s="16"/>
    </row>
    <row r="376" spans="1:12" ht="39.6">
      <c r="A376" s="12">
        <v>109</v>
      </c>
      <c r="B376" s="13" t="s">
        <v>47</v>
      </c>
      <c r="C376" s="14" t="s">
        <v>48</v>
      </c>
      <c r="D376" s="14" t="s">
        <v>58</v>
      </c>
      <c r="E376" s="35">
        <v>3</v>
      </c>
      <c r="F376" s="14" t="s">
        <v>248</v>
      </c>
      <c r="G376" s="14" t="s">
        <v>14</v>
      </c>
      <c r="H376" s="12" t="s">
        <v>7</v>
      </c>
      <c r="I376" s="15">
        <v>30.6</v>
      </c>
      <c r="J376" s="54">
        <v>1170</v>
      </c>
      <c r="K376" s="33">
        <f t="shared" si="7"/>
        <v>35802</v>
      </c>
      <c r="L376" s="16"/>
    </row>
    <row r="377" spans="1:12" ht="26.4">
      <c r="A377" s="12">
        <v>110</v>
      </c>
      <c r="B377" s="13" t="s">
        <v>47</v>
      </c>
      <c r="C377" s="14" t="s">
        <v>48</v>
      </c>
      <c r="D377" s="14" t="s">
        <v>49</v>
      </c>
      <c r="E377" s="35">
        <v>3</v>
      </c>
      <c r="F377" s="14" t="s">
        <v>248</v>
      </c>
      <c r="G377" s="14" t="s">
        <v>15</v>
      </c>
      <c r="H377" s="12" t="s">
        <v>7</v>
      </c>
      <c r="I377" s="15">
        <v>37.200000000000003</v>
      </c>
      <c r="J377" s="54">
        <v>1170</v>
      </c>
      <c r="K377" s="33">
        <f t="shared" si="7"/>
        <v>43524</v>
      </c>
      <c r="L377" s="16"/>
    </row>
    <row r="378" spans="1:12" ht="39.6">
      <c r="A378" s="12">
        <v>111</v>
      </c>
      <c r="B378" s="13" t="s">
        <v>47</v>
      </c>
      <c r="C378" s="14" t="s">
        <v>48</v>
      </c>
      <c r="D378" s="14" t="s">
        <v>58</v>
      </c>
      <c r="E378" s="35">
        <v>3</v>
      </c>
      <c r="F378" s="14" t="s">
        <v>250</v>
      </c>
      <c r="G378" s="14" t="s">
        <v>14</v>
      </c>
      <c r="H378" s="12" t="s">
        <v>7</v>
      </c>
      <c r="I378" s="15">
        <v>5.74</v>
      </c>
      <c r="J378" s="54">
        <v>1170</v>
      </c>
      <c r="K378" s="33">
        <f t="shared" si="7"/>
        <v>6715.8</v>
      </c>
      <c r="L378" s="16"/>
    </row>
    <row r="379" spans="1:12" ht="39.6">
      <c r="A379" s="12">
        <v>112</v>
      </c>
      <c r="B379" s="13" t="s">
        <v>47</v>
      </c>
      <c r="C379" s="14" t="s">
        <v>48</v>
      </c>
      <c r="D379" s="14" t="s">
        <v>58</v>
      </c>
      <c r="E379" s="35">
        <v>3</v>
      </c>
      <c r="F379" s="14" t="s">
        <v>251</v>
      </c>
      <c r="G379" s="14" t="s">
        <v>14</v>
      </c>
      <c r="H379" s="12" t="s">
        <v>7</v>
      </c>
      <c r="I379" s="15">
        <v>5.8</v>
      </c>
      <c r="J379" s="54">
        <v>1170</v>
      </c>
      <c r="K379" s="33">
        <f t="shared" si="7"/>
        <v>6786</v>
      </c>
      <c r="L379" s="16"/>
    </row>
    <row r="380" spans="1:12" ht="39.6">
      <c r="A380" s="12">
        <v>113</v>
      </c>
      <c r="B380" s="13" t="s">
        <v>47</v>
      </c>
      <c r="C380" s="14"/>
      <c r="D380" s="14" t="s">
        <v>58</v>
      </c>
      <c r="E380" s="35">
        <v>3</v>
      </c>
      <c r="F380" s="14" t="s">
        <v>253</v>
      </c>
      <c r="G380" s="14" t="s">
        <v>14</v>
      </c>
      <c r="H380" s="12" t="s">
        <v>7</v>
      </c>
      <c r="I380" s="15">
        <v>5.74</v>
      </c>
      <c r="J380" s="54">
        <v>1170</v>
      </c>
      <c r="K380" s="33">
        <f t="shared" si="7"/>
        <v>6715.8</v>
      </c>
      <c r="L380" s="16"/>
    </row>
    <row r="381" spans="1:12" ht="39.6">
      <c r="A381" s="12">
        <v>114</v>
      </c>
      <c r="B381" s="13" t="s">
        <v>47</v>
      </c>
      <c r="C381" s="14"/>
      <c r="D381" s="14" t="s">
        <v>58</v>
      </c>
      <c r="E381" s="35">
        <v>3</v>
      </c>
      <c r="F381" s="14" t="s">
        <v>254</v>
      </c>
      <c r="G381" s="14" t="s">
        <v>14</v>
      </c>
      <c r="H381" s="12" t="s">
        <v>7</v>
      </c>
      <c r="I381" s="15">
        <v>6.2</v>
      </c>
      <c r="J381" s="54">
        <v>1170</v>
      </c>
      <c r="K381" s="33">
        <f t="shared" si="7"/>
        <v>7254</v>
      </c>
      <c r="L381" s="16"/>
    </row>
    <row r="382" spans="1:12" ht="15" customHeight="1">
      <c r="A382" s="12">
        <v>115</v>
      </c>
      <c r="B382" s="13" t="s">
        <v>47</v>
      </c>
      <c r="C382" s="14"/>
      <c r="D382" s="14"/>
      <c r="E382" s="35"/>
      <c r="F382" s="14"/>
      <c r="G382" s="57"/>
      <c r="H382" s="12"/>
      <c r="I382" s="15"/>
      <c r="J382" s="54"/>
      <c r="K382" s="33">
        <f t="shared" si="7"/>
        <v>0</v>
      </c>
      <c r="L382" s="16"/>
    </row>
    <row r="383" spans="1:12">
      <c r="A383" s="12">
        <v>116</v>
      </c>
      <c r="B383" s="13" t="s">
        <v>47</v>
      </c>
      <c r="C383" s="14"/>
      <c r="D383" s="14"/>
      <c r="E383" s="35"/>
      <c r="F383" s="14"/>
      <c r="G383" s="14"/>
      <c r="H383" s="12"/>
      <c r="I383" s="15"/>
      <c r="J383" s="54"/>
      <c r="K383" s="33">
        <f t="shared" si="7"/>
        <v>0</v>
      </c>
      <c r="L383" s="16"/>
    </row>
    <row r="384" spans="1:12" ht="26.4">
      <c r="A384" s="12">
        <v>117</v>
      </c>
      <c r="B384" s="13" t="s">
        <v>47</v>
      </c>
      <c r="C384" s="14" t="s">
        <v>48</v>
      </c>
      <c r="D384" s="14" t="s">
        <v>49</v>
      </c>
      <c r="E384" s="35">
        <v>3</v>
      </c>
      <c r="F384" s="14" t="s">
        <v>254</v>
      </c>
      <c r="G384" s="14" t="s">
        <v>15</v>
      </c>
      <c r="H384" s="12" t="s">
        <v>7</v>
      </c>
      <c r="I384" s="15">
        <v>39.5</v>
      </c>
      <c r="J384" s="54">
        <v>1170</v>
      </c>
      <c r="K384" s="33">
        <f t="shared" ref="K384:K401" si="8">J384*I384</f>
        <v>46215</v>
      </c>
      <c r="L384" s="16"/>
    </row>
    <row r="385" spans="1:12" ht="39.6">
      <c r="A385" s="12">
        <v>118</v>
      </c>
      <c r="B385" s="13" t="s">
        <v>47</v>
      </c>
      <c r="C385" s="14" t="s">
        <v>48</v>
      </c>
      <c r="D385" s="14" t="s">
        <v>58</v>
      </c>
      <c r="E385" s="35">
        <v>3</v>
      </c>
      <c r="F385" s="14" t="s">
        <v>240</v>
      </c>
      <c r="G385" s="14" t="s">
        <v>14</v>
      </c>
      <c r="H385" s="12" t="s">
        <v>7</v>
      </c>
      <c r="I385" s="15">
        <v>6.7</v>
      </c>
      <c r="J385" s="54">
        <v>1170</v>
      </c>
      <c r="K385" s="33">
        <f>J388*I385</f>
        <v>7839</v>
      </c>
      <c r="L385" s="16"/>
    </row>
    <row r="386" spans="1:12" ht="26.4">
      <c r="A386" s="12">
        <v>119</v>
      </c>
      <c r="B386" s="13" t="s">
        <v>47</v>
      </c>
      <c r="C386" s="14" t="s">
        <v>48</v>
      </c>
      <c r="D386" s="14" t="s">
        <v>49</v>
      </c>
      <c r="E386" s="35">
        <v>3</v>
      </c>
      <c r="F386" s="14" t="s">
        <v>240</v>
      </c>
      <c r="G386" s="14" t="s">
        <v>15</v>
      </c>
      <c r="H386" s="12" t="s">
        <v>7</v>
      </c>
      <c r="I386" s="15">
        <v>15</v>
      </c>
      <c r="J386" s="54">
        <v>1170</v>
      </c>
      <c r="K386" s="33">
        <f t="shared" si="8"/>
        <v>17550</v>
      </c>
      <c r="L386" s="16"/>
    </row>
    <row r="387" spans="1:12" ht="39.6">
      <c r="A387" s="12">
        <v>120</v>
      </c>
      <c r="B387" s="13" t="s">
        <v>47</v>
      </c>
      <c r="C387" s="14" t="s">
        <v>48</v>
      </c>
      <c r="D387" s="14" t="s">
        <v>58</v>
      </c>
      <c r="E387" s="35">
        <v>3</v>
      </c>
      <c r="F387" s="14" t="s">
        <v>247</v>
      </c>
      <c r="G387" s="14" t="s">
        <v>14</v>
      </c>
      <c r="H387" s="12" t="s">
        <v>7</v>
      </c>
      <c r="I387" s="15">
        <v>6.7</v>
      </c>
      <c r="J387" s="54">
        <v>1170</v>
      </c>
      <c r="K387" s="33">
        <f t="shared" si="8"/>
        <v>7839</v>
      </c>
      <c r="L387" s="16"/>
    </row>
    <row r="388" spans="1:12" ht="26.4">
      <c r="A388" s="12">
        <v>121</v>
      </c>
      <c r="B388" s="13" t="s">
        <v>47</v>
      </c>
      <c r="C388" s="14" t="s">
        <v>48</v>
      </c>
      <c r="D388" s="14" t="s">
        <v>49</v>
      </c>
      <c r="E388" s="35">
        <v>3</v>
      </c>
      <c r="F388" s="14" t="s">
        <v>247</v>
      </c>
      <c r="G388" s="14" t="s">
        <v>15</v>
      </c>
      <c r="H388" s="12" t="s">
        <v>7</v>
      </c>
      <c r="I388" s="15">
        <v>15</v>
      </c>
      <c r="J388" s="54">
        <v>1170</v>
      </c>
      <c r="K388" s="33">
        <f t="shared" si="8"/>
        <v>17550</v>
      </c>
      <c r="L388" s="16"/>
    </row>
    <row r="389" spans="1:12">
      <c r="A389" s="12">
        <v>122</v>
      </c>
      <c r="B389" s="13" t="s">
        <v>47</v>
      </c>
      <c r="C389" s="14" t="s">
        <v>48</v>
      </c>
      <c r="D389" s="14" t="s">
        <v>49</v>
      </c>
      <c r="E389" s="35">
        <v>3</v>
      </c>
      <c r="F389" s="14" t="s">
        <v>242</v>
      </c>
      <c r="G389" s="14" t="s">
        <v>260</v>
      </c>
      <c r="H389" s="12" t="s">
        <v>261</v>
      </c>
      <c r="I389" s="15">
        <v>0.5</v>
      </c>
      <c r="J389" s="54">
        <v>4160</v>
      </c>
      <c r="K389" s="33">
        <f t="shared" si="8"/>
        <v>2080</v>
      </c>
      <c r="L389" s="16"/>
    </row>
    <row r="390" spans="1:12" ht="26.4">
      <c r="A390" s="12">
        <v>123</v>
      </c>
      <c r="B390" s="13" t="s">
        <v>47</v>
      </c>
      <c r="C390" s="14" t="s">
        <v>48</v>
      </c>
      <c r="D390" s="14" t="s">
        <v>49</v>
      </c>
      <c r="E390" s="35">
        <v>3</v>
      </c>
      <c r="F390" s="14" t="s">
        <v>254</v>
      </c>
      <c r="G390" s="14" t="s">
        <v>260</v>
      </c>
      <c r="H390" s="12" t="s">
        <v>261</v>
      </c>
      <c r="I390" s="15">
        <v>1.6</v>
      </c>
      <c r="J390" s="54">
        <v>4160</v>
      </c>
      <c r="K390" s="33">
        <f t="shared" si="8"/>
        <v>6656</v>
      </c>
      <c r="L390" s="16"/>
    </row>
    <row r="391" spans="1:12" ht="26.4">
      <c r="A391" s="12">
        <v>124</v>
      </c>
      <c r="B391" s="13" t="s">
        <v>47</v>
      </c>
      <c r="C391" s="14" t="s">
        <v>48</v>
      </c>
      <c r="D391" s="14" t="s">
        <v>58</v>
      </c>
      <c r="E391" s="35">
        <v>1</v>
      </c>
      <c r="F391" s="14" t="s">
        <v>105</v>
      </c>
      <c r="G391" s="14" t="s">
        <v>19</v>
      </c>
      <c r="H391" s="12" t="s">
        <v>7</v>
      </c>
      <c r="I391" s="15">
        <v>21</v>
      </c>
      <c r="J391" s="54">
        <v>180</v>
      </c>
      <c r="K391" s="33">
        <f>J391*I391</f>
        <v>3780</v>
      </c>
      <c r="L391" s="16"/>
    </row>
    <row r="392" spans="1:12" ht="39.6">
      <c r="A392" s="12">
        <v>125</v>
      </c>
      <c r="B392" s="13" t="s">
        <v>47</v>
      </c>
      <c r="C392" s="14" t="s">
        <v>48</v>
      </c>
      <c r="D392" s="14" t="s">
        <v>58</v>
      </c>
      <c r="E392" s="35">
        <v>2</v>
      </c>
      <c r="F392" s="14" t="s">
        <v>272</v>
      </c>
      <c r="G392" s="14" t="s">
        <v>19</v>
      </c>
      <c r="H392" s="12" t="s">
        <v>7</v>
      </c>
      <c r="I392" s="15">
        <v>80</v>
      </c>
      <c r="J392" s="54">
        <v>180</v>
      </c>
      <c r="K392" s="33">
        <f t="shared" si="8"/>
        <v>14400</v>
      </c>
      <c r="L392" s="16"/>
    </row>
    <row r="393" spans="1:12" ht="26.4">
      <c r="A393" s="12">
        <v>126</v>
      </c>
      <c r="B393" s="13" t="s">
        <v>47</v>
      </c>
      <c r="C393" s="14" t="s">
        <v>48</v>
      </c>
      <c r="D393" s="14" t="s">
        <v>58</v>
      </c>
      <c r="E393" s="35">
        <v>2</v>
      </c>
      <c r="F393" s="14" t="s">
        <v>207</v>
      </c>
      <c r="G393" s="14" t="s">
        <v>19</v>
      </c>
      <c r="H393" s="12" t="s">
        <v>7</v>
      </c>
      <c r="I393" s="15">
        <v>80</v>
      </c>
      <c r="J393" s="54">
        <v>180</v>
      </c>
      <c r="K393" s="33">
        <f t="shared" si="8"/>
        <v>14400</v>
      </c>
      <c r="L393" s="16"/>
    </row>
    <row r="394" spans="1:12" ht="26.4">
      <c r="A394" s="12">
        <v>127</v>
      </c>
      <c r="B394" s="13" t="s">
        <v>47</v>
      </c>
      <c r="C394" s="14" t="s">
        <v>48</v>
      </c>
      <c r="D394" s="14" t="s">
        <v>58</v>
      </c>
      <c r="E394" s="35">
        <v>2</v>
      </c>
      <c r="F394" s="14" t="s">
        <v>195</v>
      </c>
      <c r="G394" s="14" t="s">
        <v>19</v>
      </c>
      <c r="H394" s="12" t="s">
        <v>7</v>
      </c>
      <c r="I394" s="15">
        <v>21.4</v>
      </c>
      <c r="J394" s="54">
        <v>180</v>
      </c>
      <c r="K394" s="33">
        <f t="shared" si="8"/>
        <v>3851.9999999999995</v>
      </c>
      <c r="L394" s="16"/>
    </row>
    <row r="395" spans="1:12" ht="26.4">
      <c r="A395" s="12">
        <v>128</v>
      </c>
      <c r="B395" s="13" t="s">
        <v>47</v>
      </c>
      <c r="C395" s="14" t="s">
        <v>48</v>
      </c>
      <c r="D395" s="14" t="s">
        <v>58</v>
      </c>
      <c r="E395" s="35">
        <v>2</v>
      </c>
      <c r="F395" s="14" t="s">
        <v>198</v>
      </c>
      <c r="G395" s="14" t="s">
        <v>19</v>
      </c>
      <c r="H395" s="12" t="s">
        <v>7</v>
      </c>
      <c r="I395" s="15">
        <v>39.25</v>
      </c>
      <c r="J395" s="54">
        <v>180</v>
      </c>
      <c r="K395" s="33">
        <f t="shared" si="8"/>
        <v>7065</v>
      </c>
      <c r="L395" s="16"/>
    </row>
    <row r="396" spans="1:12" ht="26.4">
      <c r="A396" s="12">
        <v>129</v>
      </c>
      <c r="B396" s="13" t="s">
        <v>47</v>
      </c>
      <c r="C396" s="14" t="s">
        <v>48</v>
      </c>
      <c r="D396" s="14" t="s">
        <v>58</v>
      </c>
      <c r="E396" s="35">
        <v>2</v>
      </c>
      <c r="F396" s="14" t="s">
        <v>199</v>
      </c>
      <c r="G396" s="14" t="s">
        <v>19</v>
      </c>
      <c r="H396" s="12" t="s">
        <v>7</v>
      </c>
      <c r="I396" s="15">
        <v>39.25</v>
      </c>
      <c r="J396" s="54">
        <v>180</v>
      </c>
      <c r="K396" s="33">
        <f t="shared" si="8"/>
        <v>7065</v>
      </c>
      <c r="L396" s="16"/>
    </row>
    <row r="397" spans="1:12" ht="26.4">
      <c r="A397" s="12">
        <v>130</v>
      </c>
      <c r="B397" s="60" t="s">
        <v>47</v>
      </c>
      <c r="C397" s="61" t="s">
        <v>48</v>
      </c>
      <c r="D397" s="61" t="s">
        <v>58</v>
      </c>
      <c r="E397" s="62">
        <v>2</v>
      </c>
      <c r="F397" s="61" t="s">
        <v>200</v>
      </c>
      <c r="G397" s="61" t="s">
        <v>19</v>
      </c>
      <c r="H397" s="59" t="s">
        <v>7</v>
      </c>
      <c r="I397" s="15">
        <v>21.4</v>
      </c>
      <c r="J397" s="63">
        <v>180</v>
      </c>
      <c r="K397" s="64">
        <f t="shared" si="8"/>
        <v>3851.9999999999995</v>
      </c>
      <c r="L397" s="65"/>
    </row>
    <row r="398" spans="1:12" s="31" customFormat="1" ht="26.4">
      <c r="A398" s="12">
        <v>131</v>
      </c>
      <c r="B398" s="13" t="s">
        <v>47</v>
      </c>
      <c r="C398" s="14" t="s">
        <v>48</v>
      </c>
      <c r="D398" s="14" t="s">
        <v>58</v>
      </c>
      <c r="E398" s="35">
        <v>2</v>
      </c>
      <c r="F398" s="14" t="s">
        <v>202</v>
      </c>
      <c r="G398" s="14" t="s">
        <v>19</v>
      </c>
      <c r="H398" s="12" t="s">
        <v>7</v>
      </c>
      <c r="I398" s="31">
        <v>39.25</v>
      </c>
      <c r="J398" s="54">
        <v>180</v>
      </c>
      <c r="K398" s="64">
        <f t="shared" si="8"/>
        <v>7065</v>
      </c>
      <c r="L398" s="16"/>
    </row>
    <row r="399" spans="1:12" ht="26.4">
      <c r="A399" s="12">
        <v>132</v>
      </c>
      <c r="B399" s="13" t="s">
        <v>47</v>
      </c>
      <c r="C399" s="14" t="s">
        <v>48</v>
      </c>
      <c r="D399" s="14" t="s">
        <v>58</v>
      </c>
      <c r="E399" s="35">
        <v>2</v>
      </c>
      <c r="F399" s="14" t="s">
        <v>203</v>
      </c>
      <c r="G399" s="14" t="s">
        <v>19</v>
      </c>
      <c r="H399" s="12" t="s">
        <v>7</v>
      </c>
      <c r="I399" s="31">
        <v>39.25</v>
      </c>
      <c r="J399" s="54">
        <v>180</v>
      </c>
      <c r="K399" s="64">
        <f t="shared" si="8"/>
        <v>7065</v>
      </c>
      <c r="L399" s="16"/>
    </row>
    <row r="400" spans="1:12" ht="26.4">
      <c r="A400" s="12">
        <v>133</v>
      </c>
      <c r="B400" s="13" t="s">
        <v>47</v>
      </c>
      <c r="C400" s="14" t="s">
        <v>48</v>
      </c>
      <c r="D400" s="14" t="s">
        <v>58</v>
      </c>
      <c r="E400" s="35">
        <v>2</v>
      </c>
      <c r="F400" s="14" t="s">
        <v>209</v>
      </c>
      <c r="G400" s="14" t="s">
        <v>19</v>
      </c>
      <c r="H400" s="12" t="s">
        <v>7</v>
      </c>
      <c r="I400" s="31">
        <v>47.5</v>
      </c>
      <c r="J400" s="54">
        <v>180</v>
      </c>
      <c r="K400" s="64">
        <f t="shared" si="8"/>
        <v>8550</v>
      </c>
      <c r="L400" s="16"/>
    </row>
    <row r="401" spans="1:12" ht="26.4">
      <c r="A401" s="12">
        <v>134</v>
      </c>
      <c r="B401" s="13" t="s">
        <v>47</v>
      </c>
      <c r="C401" s="14" t="s">
        <v>48</v>
      </c>
      <c r="D401" s="14" t="s">
        <v>58</v>
      </c>
      <c r="E401" s="35">
        <v>2</v>
      </c>
      <c r="F401" s="14" t="s">
        <v>214</v>
      </c>
      <c r="G401" s="14" t="s">
        <v>19</v>
      </c>
      <c r="H401" s="12" t="s">
        <v>7</v>
      </c>
      <c r="I401" s="31">
        <v>47.5</v>
      </c>
      <c r="J401" s="54">
        <v>180</v>
      </c>
      <c r="K401" s="64">
        <f t="shared" si="8"/>
        <v>8550</v>
      </c>
      <c r="L401" s="16"/>
    </row>
    <row r="402" spans="1:12" ht="46.8" customHeight="1">
      <c r="A402" s="71" t="s">
        <v>50</v>
      </c>
      <c r="B402" s="144"/>
      <c r="C402" s="145"/>
      <c r="D402" s="145"/>
      <c r="E402" s="145"/>
      <c r="F402" s="145"/>
      <c r="G402" s="145"/>
      <c r="H402" s="145"/>
      <c r="I402" s="145"/>
      <c r="J402" s="146"/>
      <c r="K402" s="34">
        <v>1594003.1</v>
      </c>
      <c r="L402" s="36"/>
    </row>
    <row r="407" spans="1:12" ht="15" thickBot="1">
      <c r="B407" s="4" t="s">
        <v>34</v>
      </c>
      <c r="C407" s="151" t="s">
        <v>288</v>
      </c>
      <c r="D407" s="151"/>
      <c r="E407" s="151"/>
      <c r="F407" s="151"/>
      <c r="G407" s="3"/>
      <c r="H407" s="147"/>
      <c r="I407" s="147"/>
      <c r="J407" s="3"/>
    </row>
    <row r="408" spans="1:12">
      <c r="A408" s="3"/>
      <c r="B408" s="3"/>
      <c r="C408" s="148" t="s">
        <v>69</v>
      </c>
      <c r="D408" s="148"/>
      <c r="E408" s="148"/>
      <c r="F408" s="148"/>
      <c r="G408" s="3"/>
      <c r="H408" s="149">
        <v>46006</v>
      </c>
      <c r="I408" s="148"/>
      <c r="J408" s="3"/>
    </row>
    <row r="409" spans="1:12" ht="15" thickBot="1">
      <c r="A409" s="3"/>
      <c r="B409" s="5" t="s">
        <v>71</v>
      </c>
      <c r="C409" s="151" t="s">
        <v>299</v>
      </c>
      <c r="D409" s="151"/>
      <c r="E409" s="151"/>
      <c r="F409" s="151"/>
      <c r="G409" s="3"/>
      <c r="H409" s="147"/>
      <c r="I409" s="147"/>
      <c r="J409" s="3"/>
    </row>
    <row r="410" spans="1:12">
      <c r="A410" s="3"/>
      <c r="B410" s="3"/>
      <c r="C410" s="148" t="s">
        <v>69</v>
      </c>
      <c r="D410" s="148"/>
      <c r="E410" s="148"/>
      <c r="F410" s="148"/>
      <c r="G410" s="3"/>
      <c r="H410" s="149">
        <v>46006</v>
      </c>
      <c r="I410" s="148"/>
      <c r="J410" s="3"/>
    </row>
    <row r="411" spans="1:12">
      <c r="A411" s="3"/>
      <c r="B411" s="3"/>
      <c r="C411" s="3"/>
      <c r="D411" s="3"/>
      <c r="E411" s="3"/>
      <c r="F411" s="3"/>
      <c r="G411" s="3"/>
      <c r="H411" s="150"/>
      <c r="I411" s="150"/>
      <c r="J411" s="3"/>
    </row>
    <row r="412" spans="1:12" ht="15" thickBot="1">
      <c r="A412" s="3"/>
      <c r="B412" s="5" t="s">
        <v>289</v>
      </c>
      <c r="C412" s="151" t="s">
        <v>290</v>
      </c>
      <c r="D412" s="151"/>
      <c r="E412" s="151"/>
      <c r="F412" s="151"/>
      <c r="G412" s="3"/>
      <c r="H412" s="147"/>
      <c r="I412" s="147"/>
      <c r="J412" s="3"/>
    </row>
    <row r="413" spans="1:12">
      <c r="A413" s="3"/>
      <c r="B413" s="3"/>
      <c r="C413" s="148" t="s">
        <v>69</v>
      </c>
      <c r="D413" s="148"/>
      <c r="E413" s="148"/>
      <c r="F413" s="148"/>
      <c r="G413" s="3"/>
      <c r="H413" s="149">
        <v>46006</v>
      </c>
      <c r="I413" s="148"/>
      <c r="J413" s="3"/>
    </row>
    <row r="414" spans="1:12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2" ht="15" thickBot="1">
      <c r="A415" s="3"/>
      <c r="B415" s="5" t="s">
        <v>72</v>
      </c>
      <c r="C415" s="147"/>
      <c r="D415" s="147"/>
      <c r="E415" s="147"/>
      <c r="F415" s="147"/>
      <c r="G415" s="3"/>
      <c r="H415" s="147"/>
      <c r="I415" s="147"/>
      <c r="J415" s="3"/>
    </row>
    <row r="416" spans="1:12">
      <c r="A416" s="3"/>
      <c r="B416" s="3"/>
      <c r="C416" s="148" t="s">
        <v>69</v>
      </c>
      <c r="D416" s="148"/>
      <c r="E416" s="148"/>
      <c r="F416" s="148"/>
      <c r="G416" s="3"/>
      <c r="H416" s="148" t="s">
        <v>70</v>
      </c>
      <c r="I416" s="148"/>
      <c r="J416" s="3"/>
    </row>
    <row r="417" spans="1:12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2" ht="15" thickBot="1">
      <c r="A418" s="3"/>
      <c r="B418" s="4" t="s">
        <v>73</v>
      </c>
      <c r="C418" s="147"/>
      <c r="D418" s="147"/>
      <c r="E418" s="147"/>
      <c r="F418" s="147"/>
      <c r="G418" s="3"/>
      <c r="H418" s="147"/>
      <c r="I418" s="147"/>
      <c r="J418" s="3"/>
    </row>
    <row r="419" spans="1:12">
      <c r="A419" s="3"/>
      <c r="B419" s="3"/>
      <c r="C419" s="148" t="s">
        <v>69</v>
      </c>
      <c r="D419" s="148"/>
      <c r="E419" s="148"/>
      <c r="F419" s="148"/>
      <c r="G419" s="3"/>
      <c r="H419" s="148" t="s">
        <v>70</v>
      </c>
      <c r="I419" s="148"/>
      <c r="J419" s="3"/>
    </row>
    <row r="420" spans="1:12">
      <c r="A420" s="3"/>
      <c r="B420" s="1"/>
      <c r="C420" s="1"/>
      <c r="D420" s="1"/>
      <c r="E420" s="1"/>
      <c r="F420" s="1"/>
      <c r="G420" s="1"/>
      <c r="H420" s="1"/>
      <c r="I420" s="1"/>
      <c r="J420" s="1"/>
    </row>
    <row r="421" spans="1:12">
      <c r="A421" s="1"/>
    </row>
    <row r="427" spans="1:12">
      <c r="B427" s="3"/>
      <c r="C427" s="7" t="s">
        <v>29</v>
      </c>
      <c r="D427" s="7">
        <v>5</v>
      </c>
      <c r="E427" s="3"/>
      <c r="F427" s="3"/>
      <c r="G427" s="8" t="s">
        <v>30</v>
      </c>
      <c r="H427" s="7" t="s">
        <v>31</v>
      </c>
      <c r="I427" s="9">
        <v>46007</v>
      </c>
      <c r="J427" s="3"/>
      <c r="K427" s="3"/>
      <c r="L427" s="3"/>
    </row>
    <row r="428" spans="1:12">
      <c r="A428" s="3"/>
      <c r="B428" s="3"/>
      <c r="C428" s="10"/>
      <c r="D428" s="3"/>
      <c r="E428" s="3"/>
      <c r="F428" s="3"/>
      <c r="G428" s="3"/>
      <c r="H428" s="7" t="s">
        <v>32</v>
      </c>
      <c r="I428" s="9">
        <v>46022</v>
      </c>
      <c r="J428" s="3"/>
      <c r="K428" s="3"/>
      <c r="L428" s="3"/>
    </row>
    <row r="429" spans="1:1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27.6">
      <c r="A430" s="3"/>
      <c r="B430" s="3"/>
      <c r="C430" s="7" t="s">
        <v>33</v>
      </c>
      <c r="D430" s="143" t="s">
        <v>217</v>
      </c>
      <c r="E430" s="143"/>
      <c r="F430" s="143"/>
      <c r="G430" s="3"/>
      <c r="H430" s="3"/>
      <c r="I430" s="3"/>
      <c r="J430" s="3"/>
      <c r="K430" s="3"/>
      <c r="L430" s="3"/>
    </row>
    <row r="431" spans="1:1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>
      <c r="A432" s="3"/>
      <c r="B432" s="3"/>
      <c r="C432" s="7" t="s">
        <v>34</v>
      </c>
      <c r="D432" s="143" t="s">
        <v>218</v>
      </c>
      <c r="E432" s="143"/>
      <c r="F432" s="143"/>
      <c r="G432" s="3"/>
      <c r="H432" s="3"/>
      <c r="I432" s="3"/>
      <c r="J432" s="3"/>
      <c r="K432" s="3"/>
      <c r="L432" s="3"/>
    </row>
    <row r="433" spans="1:1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>
      <c r="A434" s="3"/>
      <c r="B434" s="3"/>
      <c r="C434" s="7" t="s">
        <v>35</v>
      </c>
      <c r="D434" s="143" t="s">
        <v>36</v>
      </c>
      <c r="E434" s="143"/>
      <c r="F434" s="143"/>
      <c r="G434" s="3"/>
      <c r="H434" s="3"/>
      <c r="I434" s="3"/>
      <c r="J434" s="3"/>
      <c r="K434" s="3"/>
      <c r="L434" s="3"/>
    </row>
    <row r="435" spans="1:12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26.4">
      <c r="A437" s="1"/>
      <c r="B437" s="11" t="s">
        <v>38</v>
      </c>
      <c r="C437" s="11" t="s">
        <v>39</v>
      </c>
      <c r="D437" s="11" t="s">
        <v>39</v>
      </c>
      <c r="E437" s="11" t="s">
        <v>40</v>
      </c>
      <c r="F437" s="11" t="s">
        <v>41</v>
      </c>
      <c r="G437" s="11" t="s">
        <v>2</v>
      </c>
      <c r="H437" s="11" t="s">
        <v>42</v>
      </c>
      <c r="I437" s="11" t="s">
        <v>43</v>
      </c>
      <c r="J437" s="11" t="s">
        <v>44</v>
      </c>
      <c r="K437" s="11" t="s">
        <v>45</v>
      </c>
      <c r="L437" s="11" t="s">
        <v>46</v>
      </c>
    </row>
    <row r="438" spans="1:12" ht="26.4">
      <c r="A438" s="11" t="s">
        <v>37</v>
      </c>
      <c r="B438" s="13" t="s">
        <v>47</v>
      </c>
      <c r="C438" s="14" t="s">
        <v>48</v>
      </c>
      <c r="D438" s="14" t="s">
        <v>49</v>
      </c>
      <c r="E438" s="35">
        <v>1</v>
      </c>
      <c r="F438" s="14" t="s">
        <v>150</v>
      </c>
      <c r="G438" s="14" t="s">
        <v>277</v>
      </c>
      <c r="H438" s="12" t="s">
        <v>7</v>
      </c>
      <c r="I438" s="15">
        <v>16.5</v>
      </c>
      <c r="J438" s="54">
        <v>195</v>
      </c>
      <c r="K438" s="33">
        <f>J438*I438</f>
        <v>3217.5</v>
      </c>
      <c r="L438" s="16"/>
    </row>
    <row r="439" spans="1:12" ht="26.4">
      <c r="A439" s="12">
        <v>1</v>
      </c>
      <c r="B439" s="13" t="s">
        <v>47</v>
      </c>
      <c r="C439" s="14" t="s">
        <v>48</v>
      </c>
      <c r="D439" s="14" t="s">
        <v>49</v>
      </c>
      <c r="E439" s="35">
        <v>1</v>
      </c>
      <c r="F439" s="14" t="s">
        <v>148</v>
      </c>
      <c r="G439" s="14" t="s">
        <v>277</v>
      </c>
      <c r="H439" s="12" t="s">
        <v>7</v>
      </c>
      <c r="I439" s="15">
        <v>56</v>
      </c>
      <c r="J439" s="54">
        <v>195</v>
      </c>
      <c r="K439" s="33">
        <f>J439*I439</f>
        <v>10920</v>
      </c>
      <c r="L439" s="16"/>
    </row>
    <row r="440" spans="1:12" ht="26.4">
      <c r="A440" s="12">
        <v>2</v>
      </c>
      <c r="B440" s="13" t="s">
        <v>47</v>
      </c>
      <c r="C440" s="14" t="s">
        <v>48</v>
      </c>
      <c r="D440" s="14" t="s">
        <v>49</v>
      </c>
      <c r="E440" s="35">
        <v>1</v>
      </c>
      <c r="F440" s="14" t="s">
        <v>152</v>
      </c>
      <c r="G440" s="14" t="s">
        <v>277</v>
      </c>
      <c r="H440" s="12" t="s">
        <v>7</v>
      </c>
      <c r="I440" s="15">
        <v>183.5</v>
      </c>
      <c r="J440" s="54">
        <v>195</v>
      </c>
      <c r="K440" s="33">
        <f>J440*I440</f>
        <v>35782.5</v>
      </c>
      <c r="L440" s="16"/>
    </row>
    <row r="441" spans="1:12" ht="26.4">
      <c r="A441" s="12">
        <v>3</v>
      </c>
      <c r="B441" s="13" t="s">
        <v>47</v>
      </c>
      <c r="C441" s="14" t="s">
        <v>48</v>
      </c>
      <c r="D441" s="14" t="s">
        <v>49</v>
      </c>
      <c r="E441" s="35">
        <v>1</v>
      </c>
      <c r="F441" s="14" t="s">
        <v>141</v>
      </c>
      <c r="G441" s="14" t="s">
        <v>277</v>
      </c>
      <c r="H441" s="12" t="s">
        <v>7</v>
      </c>
      <c r="I441" s="15">
        <v>13.6</v>
      </c>
      <c r="J441" s="54">
        <v>195</v>
      </c>
      <c r="K441" s="33">
        <f>J441*I441</f>
        <v>2652</v>
      </c>
      <c r="L441" s="16"/>
    </row>
    <row r="442" spans="1:12" ht="26.4">
      <c r="A442" s="12">
        <v>4</v>
      </c>
      <c r="B442" s="13" t="s">
        <v>47</v>
      </c>
      <c r="C442" s="14" t="s">
        <v>48</v>
      </c>
      <c r="D442" s="14" t="s">
        <v>49</v>
      </c>
      <c r="E442" s="35">
        <v>1</v>
      </c>
      <c r="F442" s="14" t="s">
        <v>139</v>
      </c>
      <c r="G442" s="14" t="s">
        <v>277</v>
      </c>
      <c r="H442" s="12" t="s">
        <v>7</v>
      </c>
      <c r="I442" s="15">
        <v>83.5</v>
      </c>
      <c r="J442" s="54">
        <v>195</v>
      </c>
      <c r="K442" s="33">
        <f>J442*I442</f>
        <v>16282.5</v>
      </c>
      <c r="L442" s="16"/>
    </row>
    <row r="443" spans="1:12" ht="26.4">
      <c r="A443" s="12">
        <v>5</v>
      </c>
      <c r="B443" s="13" t="s">
        <v>47</v>
      </c>
      <c r="C443" s="14" t="s">
        <v>48</v>
      </c>
      <c r="D443" s="14" t="s">
        <v>49</v>
      </c>
      <c r="E443" s="35">
        <v>1</v>
      </c>
      <c r="F443" s="14" t="s">
        <v>92</v>
      </c>
      <c r="G443" s="14" t="s">
        <v>277</v>
      </c>
      <c r="H443" s="12" t="s">
        <v>7</v>
      </c>
      <c r="I443" s="15">
        <v>32</v>
      </c>
      <c r="J443" s="54">
        <v>195</v>
      </c>
      <c r="K443" s="33">
        <f t="shared" ref="K443:K506" si="9">J443*I443</f>
        <v>6240</v>
      </c>
      <c r="L443" s="16"/>
    </row>
    <row r="444" spans="1:12" ht="26.4">
      <c r="A444" s="12">
        <v>6</v>
      </c>
      <c r="B444" s="13" t="s">
        <v>47</v>
      </c>
      <c r="C444" s="14" t="s">
        <v>48</v>
      </c>
      <c r="D444" s="14" t="s">
        <v>49</v>
      </c>
      <c r="E444" s="35">
        <v>1</v>
      </c>
      <c r="F444" s="14" t="s">
        <v>144</v>
      </c>
      <c r="G444" s="14" t="s">
        <v>277</v>
      </c>
      <c r="H444" s="12" t="s">
        <v>7</v>
      </c>
      <c r="I444" s="15">
        <v>16.5</v>
      </c>
      <c r="J444" s="54">
        <v>195</v>
      </c>
      <c r="K444" s="33">
        <f t="shared" si="9"/>
        <v>3217.5</v>
      </c>
      <c r="L444" s="16"/>
    </row>
    <row r="445" spans="1:12" ht="26.4">
      <c r="A445" s="12">
        <v>7</v>
      </c>
      <c r="B445" s="13" t="s">
        <v>47</v>
      </c>
      <c r="C445" s="14" t="s">
        <v>48</v>
      </c>
      <c r="D445" s="14" t="s">
        <v>49</v>
      </c>
      <c r="E445" s="35">
        <v>1</v>
      </c>
      <c r="F445" s="14" t="s">
        <v>143</v>
      </c>
      <c r="G445" s="14" t="s">
        <v>277</v>
      </c>
      <c r="H445" s="12" t="s">
        <v>7</v>
      </c>
      <c r="I445" s="15">
        <v>76.5</v>
      </c>
      <c r="J445" s="54">
        <v>195</v>
      </c>
      <c r="K445" s="33">
        <f t="shared" si="9"/>
        <v>14917.5</v>
      </c>
      <c r="L445" s="16"/>
    </row>
    <row r="446" spans="1:12" ht="26.4">
      <c r="A446" s="12">
        <v>8</v>
      </c>
      <c r="B446" s="13" t="s">
        <v>47</v>
      </c>
      <c r="C446" s="14" t="s">
        <v>48</v>
      </c>
      <c r="D446" s="14" t="s">
        <v>49</v>
      </c>
      <c r="E446" s="35">
        <v>1</v>
      </c>
      <c r="F446" s="14" t="s">
        <v>146</v>
      </c>
      <c r="G446" s="14" t="s">
        <v>277</v>
      </c>
      <c r="H446" s="12" t="s">
        <v>7</v>
      </c>
      <c r="I446" s="15">
        <v>184.5</v>
      </c>
      <c r="J446" s="54">
        <v>195</v>
      </c>
      <c r="K446" s="33">
        <f t="shared" si="9"/>
        <v>35977.5</v>
      </c>
      <c r="L446" s="16"/>
    </row>
    <row r="447" spans="1:12" ht="26.4">
      <c r="A447" s="12">
        <v>9</v>
      </c>
      <c r="B447" s="13" t="s">
        <v>47</v>
      </c>
      <c r="C447" s="14" t="s">
        <v>48</v>
      </c>
      <c r="D447" s="14" t="s">
        <v>49</v>
      </c>
      <c r="E447" s="35">
        <v>1</v>
      </c>
      <c r="F447" s="14" t="s">
        <v>145</v>
      </c>
      <c r="G447" s="14" t="s">
        <v>277</v>
      </c>
      <c r="H447" s="12" t="s">
        <v>7</v>
      </c>
      <c r="I447" s="15">
        <v>40.5</v>
      </c>
      <c r="J447" s="54">
        <v>195</v>
      </c>
      <c r="K447" s="33">
        <f t="shared" si="9"/>
        <v>7897.5</v>
      </c>
      <c r="L447" s="16"/>
    </row>
    <row r="448" spans="1:12" ht="26.4">
      <c r="A448" s="12">
        <v>10</v>
      </c>
      <c r="B448" s="13" t="s">
        <v>47</v>
      </c>
      <c r="C448" s="14" t="s">
        <v>48</v>
      </c>
      <c r="D448" s="14" t="s">
        <v>49</v>
      </c>
      <c r="E448" s="35">
        <v>1</v>
      </c>
      <c r="F448" s="14" t="s">
        <v>155</v>
      </c>
      <c r="G448" s="14" t="s">
        <v>277</v>
      </c>
      <c r="H448" s="12" t="s">
        <v>7</v>
      </c>
      <c r="I448" s="15">
        <v>42.5</v>
      </c>
      <c r="J448" s="54">
        <v>195</v>
      </c>
      <c r="K448" s="33">
        <f t="shared" si="9"/>
        <v>8287.5</v>
      </c>
      <c r="L448" s="16"/>
    </row>
    <row r="449" spans="1:12" ht="26.4">
      <c r="A449" s="12">
        <v>11</v>
      </c>
      <c r="B449" s="13" t="s">
        <v>47</v>
      </c>
      <c r="C449" s="14" t="s">
        <v>48</v>
      </c>
      <c r="D449" s="14" t="s">
        <v>49</v>
      </c>
      <c r="E449" s="35">
        <v>1</v>
      </c>
      <c r="F449" s="14" t="s">
        <v>160</v>
      </c>
      <c r="G449" s="14" t="s">
        <v>277</v>
      </c>
      <c r="H449" s="12" t="s">
        <v>7</v>
      </c>
      <c r="I449" s="15">
        <v>35.5</v>
      </c>
      <c r="J449" s="54">
        <v>195</v>
      </c>
      <c r="K449" s="33">
        <f t="shared" si="9"/>
        <v>6922.5</v>
      </c>
      <c r="L449" s="16"/>
    </row>
    <row r="450" spans="1:12" ht="26.4">
      <c r="A450" s="12">
        <v>12</v>
      </c>
      <c r="B450" s="13" t="s">
        <v>47</v>
      </c>
      <c r="C450" s="14" t="s">
        <v>48</v>
      </c>
      <c r="D450" s="14" t="s">
        <v>49</v>
      </c>
      <c r="E450" s="35">
        <v>1</v>
      </c>
      <c r="F450" s="14" t="s">
        <v>115</v>
      </c>
      <c r="G450" s="14" t="s">
        <v>277</v>
      </c>
      <c r="H450" s="12" t="s">
        <v>7</v>
      </c>
      <c r="I450" s="15">
        <v>65.400000000000006</v>
      </c>
      <c r="J450" s="54">
        <v>195</v>
      </c>
      <c r="K450" s="33">
        <f t="shared" si="9"/>
        <v>12753.000000000002</v>
      </c>
      <c r="L450" s="16"/>
    </row>
    <row r="451" spans="1:12" ht="26.4">
      <c r="A451" s="12">
        <v>13</v>
      </c>
      <c r="B451" s="13" t="s">
        <v>47</v>
      </c>
      <c r="C451" s="14" t="s">
        <v>48</v>
      </c>
      <c r="D451" s="14" t="s">
        <v>49</v>
      </c>
      <c r="E451" s="35">
        <v>1</v>
      </c>
      <c r="F451" s="14" t="s">
        <v>116</v>
      </c>
      <c r="G451" s="14" t="s">
        <v>277</v>
      </c>
      <c r="H451" s="12" t="s">
        <v>7</v>
      </c>
      <c r="I451" s="15">
        <v>14.5</v>
      </c>
      <c r="J451" s="54">
        <v>195</v>
      </c>
      <c r="K451" s="33">
        <f t="shared" si="9"/>
        <v>2827.5</v>
      </c>
      <c r="L451" s="16"/>
    </row>
    <row r="452" spans="1:12" ht="26.4">
      <c r="A452" s="12">
        <v>14</v>
      </c>
      <c r="B452" s="13" t="s">
        <v>47</v>
      </c>
      <c r="C452" s="14" t="s">
        <v>48</v>
      </c>
      <c r="D452" s="14" t="s">
        <v>49</v>
      </c>
      <c r="E452" s="35">
        <v>1</v>
      </c>
      <c r="F452" s="14" t="s">
        <v>91</v>
      </c>
      <c r="G452" s="14" t="s">
        <v>277</v>
      </c>
      <c r="H452" s="12" t="s">
        <v>7</v>
      </c>
      <c r="I452" s="15">
        <v>176</v>
      </c>
      <c r="J452" s="54">
        <v>195</v>
      </c>
      <c r="K452" s="33">
        <f t="shared" si="9"/>
        <v>34320</v>
      </c>
      <c r="L452" s="16"/>
    </row>
    <row r="453" spans="1:12" ht="26.4">
      <c r="A453" s="12">
        <v>15</v>
      </c>
      <c r="B453" s="13" t="s">
        <v>47</v>
      </c>
      <c r="C453" s="14" t="s">
        <v>48</v>
      </c>
      <c r="D453" s="14" t="s">
        <v>49</v>
      </c>
      <c r="E453" s="35">
        <v>1</v>
      </c>
      <c r="F453" s="14" t="s">
        <v>86</v>
      </c>
      <c r="G453" s="14" t="s">
        <v>277</v>
      </c>
      <c r="H453" s="12" t="s">
        <v>7</v>
      </c>
      <c r="I453" s="15">
        <v>45</v>
      </c>
      <c r="J453" s="54">
        <v>195</v>
      </c>
      <c r="K453" s="33">
        <f t="shared" si="9"/>
        <v>8775</v>
      </c>
      <c r="L453" s="16"/>
    </row>
    <row r="454" spans="1:12" ht="26.4">
      <c r="A454" s="12">
        <v>16</v>
      </c>
      <c r="B454" s="13" t="s">
        <v>47</v>
      </c>
      <c r="C454" s="14" t="s">
        <v>48</v>
      </c>
      <c r="D454" s="14" t="s">
        <v>49</v>
      </c>
      <c r="E454" s="35">
        <v>1</v>
      </c>
      <c r="F454" s="14" t="s">
        <v>85</v>
      </c>
      <c r="G454" s="14" t="s">
        <v>277</v>
      </c>
      <c r="H454" s="12" t="s">
        <v>7</v>
      </c>
      <c r="I454" s="15">
        <v>16.5</v>
      </c>
      <c r="J454" s="54">
        <v>195</v>
      </c>
      <c r="K454" s="33">
        <f t="shared" si="9"/>
        <v>3217.5</v>
      </c>
      <c r="L454" s="16"/>
    </row>
    <row r="455" spans="1:12" ht="26.4">
      <c r="A455" s="12">
        <v>17</v>
      </c>
      <c r="B455" s="13" t="s">
        <v>47</v>
      </c>
      <c r="C455" s="14" t="s">
        <v>48</v>
      </c>
      <c r="D455" s="14" t="s">
        <v>49</v>
      </c>
      <c r="E455" s="35">
        <v>1</v>
      </c>
      <c r="F455" s="14" t="s">
        <v>94</v>
      </c>
      <c r="G455" s="14" t="s">
        <v>277</v>
      </c>
      <c r="H455" s="12" t="s">
        <v>7</v>
      </c>
      <c r="I455" s="15">
        <v>32</v>
      </c>
      <c r="J455" s="54">
        <v>195</v>
      </c>
      <c r="K455" s="33">
        <f t="shared" si="9"/>
        <v>6240</v>
      </c>
      <c r="L455" s="16"/>
    </row>
    <row r="456" spans="1:12" ht="26.4">
      <c r="A456" s="12">
        <v>18</v>
      </c>
      <c r="B456" s="13" t="s">
        <v>47</v>
      </c>
      <c r="C456" s="14" t="s">
        <v>48</v>
      </c>
      <c r="D456" s="14" t="s">
        <v>49</v>
      </c>
      <c r="E456" s="35">
        <v>1</v>
      </c>
      <c r="F456" s="14" t="s">
        <v>88</v>
      </c>
      <c r="G456" s="14" t="s">
        <v>277</v>
      </c>
      <c r="H456" s="12" t="s">
        <v>7</v>
      </c>
      <c r="I456" s="15">
        <v>117</v>
      </c>
      <c r="J456" s="54">
        <v>195</v>
      </c>
      <c r="K456" s="33">
        <f t="shared" si="9"/>
        <v>22815</v>
      </c>
      <c r="L456" s="16"/>
    </row>
    <row r="457" spans="1:12" ht="26.4">
      <c r="A457" s="12">
        <v>19</v>
      </c>
      <c r="B457" s="13" t="s">
        <v>47</v>
      </c>
      <c r="C457" s="14" t="s">
        <v>48</v>
      </c>
      <c r="D457" s="14" t="s">
        <v>49</v>
      </c>
      <c r="E457" s="35">
        <v>1</v>
      </c>
      <c r="F457" s="14" t="s">
        <v>106</v>
      </c>
      <c r="G457" s="14" t="s">
        <v>277</v>
      </c>
      <c r="H457" s="12" t="s">
        <v>7</v>
      </c>
      <c r="I457" s="15">
        <v>442</v>
      </c>
      <c r="J457" s="54">
        <v>195</v>
      </c>
      <c r="K457" s="33">
        <f t="shared" si="9"/>
        <v>86190</v>
      </c>
      <c r="L457" s="16"/>
    </row>
    <row r="458" spans="1:12" ht="26.4">
      <c r="A458" s="12">
        <v>20</v>
      </c>
      <c r="B458" s="13" t="s">
        <v>47</v>
      </c>
      <c r="C458" s="14" t="s">
        <v>48</v>
      </c>
      <c r="D458" s="14" t="s">
        <v>49</v>
      </c>
      <c r="E458" s="35">
        <v>1</v>
      </c>
      <c r="F458" s="14" t="s">
        <v>117</v>
      </c>
      <c r="G458" s="14" t="s">
        <v>277</v>
      </c>
      <c r="H458" s="12" t="s">
        <v>7</v>
      </c>
      <c r="I458" s="15">
        <v>136.5</v>
      </c>
      <c r="J458" s="54">
        <v>195</v>
      </c>
      <c r="K458" s="33">
        <f t="shared" si="9"/>
        <v>26617.5</v>
      </c>
      <c r="L458" s="16"/>
    </row>
    <row r="459" spans="1:12" ht="26.4">
      <c r="A459" s="12">
        <v>21</v>
      </c>
      <c r="B459" s="13" t="s">
        <v>47</v>
      </c>
      <c r="C459" s="14" t="s">
        <v>48</v>
      </c>
      <c r="D459" s="14" t="s">
        <v>49</v>
      </c>
      <c r="E459" s="35">
        <v>1</v>
      </c>
      <c r="F459" s="14" t="s">
        <v>98</v>
      </c>
      <c r="G459" s="14" t="s">
        <v>277</v>
      </c>
      <c r="H459" s="12" t="s">
        <v>7</v>
      </c>
      <c r="I459" s="15">
        <v>73.5</v>
      </c>
      <c r="J459" s="54">
        <v>195</v>
      </c>
      <c r="K459" s="33">
        <f t="shared" si="9"/>
        <v>14332.5</v>
      </c>
      <c r="L459" s="16"/>
    </row>
    <row r="460" spans="1:12" ht="26.4">
      <c r="A460" s="12">
        <v>22</v>
      </c>
      <c r="B460" s="13" t="s">
        <v>60</v>
      </c>
      <c r="C460" s="14" t="s">
        <v>48</v>
      </c>
      <c r="D460" s="14" t="s">
        <v>49</v>
      </c>
      <c r="E460" s="35">
        <v>1</v>
      </c>
      <c r="F460" s="14" t="s">
        <v>157</v>
      </c>
      <c r="G460" s="14" t="s">
        <v>277</v>
      </c>
      <c r="H460" s="12" t="s">
        <v>7</v>
      </c>
      <c r="I460" s="15">
        <v>112</v>
      </c>
      <c r="J460" s="54">
        <v>195</v>
      </c>
      <c r="K460" s="33">
        <f t="shared" si="9"/>
        <v>21840</v>
      </c>
      <c r="L460" s="16"/>
    </row>
    <row r="461" spans="1:12" ht="26.4">
      <c r="A461" s="12">
        <v>23</v>
      </c>
      <c r="B461" s="13" t="s">
        <v>47</v>
      </c>
      <c r="C461" s="14" t="s">
        <v>48</v>
      </c>
      <c r="D461" s="14" t="s">
        <v>49</v>
      </c>
      <c r="E461" s="35">
        <v>1</v>
      </c>
      <c r="F461" s="14" t="s">
        <v>156</v>
      </c>
      <c r="G461" s="14" t="s">
        <v>277</v>
      </c>
      <c r="H461" s="12" t="s">
        <v>7</v>
      </c>
      <c r="I461" s="15">
        <v>95</v>
      </c>
      <c r="J461" s="54">
        <v>195</v>
      </c>
      <c r="K461" s="33">
        <f t="shared" si="9"/>
        <v>18525</v>
      </c>
      <c r="L461" s="16"/>
    </row>
    <row r="462" spans="1:12" ht="39.6">
      <c r="A462" s="12">
        <v>24</v>
      </c>
      <c r="B462" s="13" t="s">
        <v>47</v>
      </c>
      <c r="C462" s="14" t="s">
        <v>48</v>
      </c>
      <c r="D462" s="14" t="s">
        <v>49</v>
      </c>
      <c r="E462" s="35">
        <v>2</v>
      </c>
      <c r="F462" s="14" t="s">
        <v>274</v>
      </c>
      <c r="G462" s="14" t="s">
        <v>277</v>
      </c>
      <c r="H462" s="12" t="s">
        <v>7</v>
      </c>
      <c r="I462" s="15">
        <v>124</v>
      </c>
      <c r="J462" s="54">
        <v>195</v>
      </c>
      <c r="K462" s="33">
        <f t="shared" si="9"/>
        <v>24180</v>
      </c>
      <c r="L462" s="16"/>
    </row>
    <row r="463" spans="1:12" ht="26.4">
      <c r="A463" s="12">
        <v>25</v>
      </c>
      <c r="B463" s="13" t="s">
        <v>47</v>
      </c>
      <c r="C463" s="14" t="s">
        <v>48</v>
      </c>
      <c r="D463" s="14" t="s">
        <v>49</v>
      </c>
      <c r="E463" s="35">
        <v>2</v>
      </c>
      <c r="F463" s="14" t="s">
        <v>191</v>
      </c>
      <c r="G463" s="14" t="s">
        <v>277</v>
      </c>
      <c r="H463" s="12" t="s">
        <v>7</v>
      </c>
      <c r="I463" s="15">
        <v>65.400000000000006</v>
      </c>
      <c r="J463" s="54">
        <v>195</v>
      </c>
      <c r="K463" s="33">
        <f t="shared" si="9"/>
        <v>12753.000000000002</v>
      </c>
      <c r="L463" s="16"/>
    </row>
    <row r="464" spans="1:12" ht="26.4">
      <c r="A464" s="12">
        <v>26</v>
      </c>
      <c r="B464" s="13" t="s">
        <v>47</v>
      </c>
      <c r="C464" s="14" t="s">
        <v>48</v>
      </c>
      <c r="D464" s="14" t="s">
        <v>49</v>
      </c>
      <c r="E464" s="35">
        <v>2</v>
      </c>
      <c r="F464" s="14" t="s">
        <v>163</v>
      </c>
      <c r="G464" s="14" t="s">
        <v>277</v>
      </c>
      <c r="H464" s="12" t="s">
        <v>7</v>
      </c>
      <c r="I464" s="15">
        <v>94</v>
      </c>
      <c r="J464" s="54">
        <v>195</v>
      </c>
      <c r="K464" s="33">
        <f t="shared" si="9"/>
        <v>18330</v>
      </c>
      <c r="L464" s="16"/>
    </row>
    <row r="465" spans="1:12" ht="26.4">
      <c r="A465" s="12">
        <v>27</v>
      </c>
      <c r="B465" s="13" t="s">
        <v>47</v>
      </c>
      <c r="C465" s="14" t="s">
        <v>48</v>
      </c>
      <c r="D465" s="14" t="s">
        <v>49</v>
      </c>
      <c r="E465" s="35">
        <v>2</v>
      </c>
      <c r="F465" s="14" t="s">
        <v>182</v>
      </c>
      <c r="G465" s="14" t="s">
        <v>277</v>
      </c>
      <c r="H465" s="12" t="s">
        <v>7</v>
      </c>
      <c r="I465" s="15">
        <v>27.5</v>
      </c>
      <c r="J465" s="54">
        <v>195</v>
      </c>
      <c r="K465" s="33">
        <f t="shared" si="9"/>
        <v>5362.5</v>
      </c>
      <c r="L465" s="16"/>
    </row>
    <row r="466" spans="1:12" ht="52.8">
      <c r="A466" s="12">
        <v>28</v>
      </c>
      <c r="B466" s="13" t="s">
        <v>47</v>
      </c>
      <c r="C466" s="14" t="s">
        <v>48</v>
      </c>
      <c r="D466" s="14" t="s">
        <v>49</v>
      </c>
      <c r="E466" s="35">
        <v>2</v>
      </c>
      <c r="F466" s="14" t="s">
        <v>276</v>
      </c>
      <c r="G466" s="14" t="s">
        <v>277</v>
      </c>
      <c r="H466" s="12" t="s">
        <v>7</v>
      </c>
      <c r="I466" s="15">
        <v>109</v>
      </c>
      <c r="J466" s="54">
        <v>195</v>
      </c>
      <c r="K466" s="33">
        <f t="shared" si="9"/>
        <v>21255</v>
      </c>
      <c r="L466" s="16"/>
    </row>
    <row r="467" spans="1:12" ht="26.4">
      <c r="A467" s="12">
        <v>29</v>
      </c>
      <c r="B467" s="13" t="s">
        <v>47</v>
      </c>
      <c r="C467" s="14" t="s">
        <v>48</v>
      </c>
      <c r="D467" s="14" t="s">
        <v>49</v>
      </c>
      <c r="E467" s="35">
        <v>2</v>
      </c>
      <c r="F467" s="14" t="s">
        <v>165</v>
      </c>
      <c r="G467" s="14" t="s">
        <v>277</v>
      </c>
      <c r="H467" s="12" t="s">
        <v>7</v>
      </c>
      <c r="I467" s="15">
        <v>94</v>
      </c>
      <c r="J467" s="54">
        <v>195</v>
      </c>
      <c r="K467" s="33">
        <f t="shared" si="9"/>
        <v>18330</v>
      </c>
      <c r="L467" s="16"/>
    </row>
    <row r="468" spans="1:12" ht="26.4">
      <c r="A468" s="12">
        <v>30</v>
      </c>
      <c r="B468" s="13" t="s">
        <v>47</v>
      </c>
      <c r="C468" s="14" t="s">
        <v>48</v>
      </c>
      <c r="D468" s="14" t="s">
        <v>49</v>
      </c>
      <c r="E468" s="35">
        <v>2</v>
      </c>
      <c r="F468" s="14" t="s">
        <v>183</v>
      </c>
      <c r="G468" s="14" t="s">
        <v>277</v>
      </c>
      <c r="H468" s="12" t="s">
        <v>7</v>
      </c>
      <c r="I468" s="15">
        <v>27.5</v>
      </c>
      <c r="J468" s="54">
        <v>195</v>
      </c>
      <c r="K468" s="33">
        <f t="shared" si="9"/>
        <v>5362.5</v>
      </c>
      <c r="L468" s="16"/>
    </row>
    <row r="469" spans="1:12" ht="26.4">
      <c r="A469" s="12">
        <v>31</v>
      </c>
      <c r="B469" s="13" t="s">
        <v>47</v>
      </c>
      <c r="C469" s="14" t="s">
        <v>48</v>
      </c>
      <c r="D469" s="14" t="s">
        <v>49</v>
      </c>
      <c r="E469" s="35">
        <v>2</v>
      </c>
      <c r="F469" s="14" t="s">
        <v>164</v>
      </c>
      <c r="G469" s="14" t="s">
        <v>277</v>
      </c>
      <c r="H469" s="12" t="s">
        <v>7</v>
      </c>
      <c r="I469" s="15">
        <v>110</v>
      </c>
      <c r="J469" s="54">
        <v>195</v>
      </c>
      <c r="K469" s="33">
        <f t="shared" si="9"/>
        <v>21450</v>
      </c>
      <c r="L469" s="16"/>
    </row>
    <row r="470" spans="1:12" ht="26.4">
      <c r="A470" s="12">
        <v>32</v>
      </c>
      <c r="B470" s="13" t="s">
        <v>47</v>
      </c>
      <c r="C470" s="14" t="s">
        <v>48</v>
      </c>
      <c r="D470" s="14" t="s">
        <v>49</v>
      </c>
      <c r="E470" s="35">
        <v>2</v>
      </c>
      <c r="F470" s="14" t="s">
        <v>173</v>
      </c>
      <c r="G470" s="14" t="s">
        <v>277</v>
      </c>
      <c r="H470" s="12" t="s">
        <v>7</v>
      </c>
      <c r="I470" s="15">
        <v>76.5</v>
      </c>
      <c r="J470" s="54">
        <v>195</v>
      </c>
      <c r="K470" s="33">
        <f t="shared" si="9"/>
        <v>14917.5</v>
      </c>
      <c r="L470" s="16"/>
    </row>
    <row r="471" spans="1:12" ht="26.4">
      <c r="A471" s="12">
        <v>33</v>
      </c>
      <c r="B471" s="13" t="s">
        <v>47</v>
      </c>
      <c r="C471" s="14" t="s">
        <v>48</v>
      </c>
      <c r="D471" s="14" t="s">
        <v>49</v>
      </c>
      <c r="E471" s="35">
        <v>2</v>
      </c>
      <c r="F471" s="14" t="s">
        <v>170</v>
      </c>
      <c r="G471" s="14" t="s">
        <v>277</v>
      </c>
      <c r="H471" s="12" t="s">
        <v>7</v>
      </c>
      <c r="I471" s="15">
        <v>75</v>
      </c>
      <c r="J471" s="54">
        <v>195</v>
      </c>
      <c r="K471" s="33">
        <f t="shared" si="9"/>
        <v>14625</v>
      </c>
      <c r="L471" s="16"/>
    </row>
    <row r="472" spans="1:12" ht="26.4">
      <c r="A472" s="12">
        <v>34</v>
      </c>
      <c r="B472" s="13" t="s">
        <v>47</v>
      </c>
      <c r="C472" s="14" t="s">
        <v>48</v>
      </c>
      <c r="D472" s="14" t="s">
        <v>49</v>
      </c>
      <c r="E472" s="35">
        <v>2</v>
      </c>
      <c r="F472" s="14" t="s">
        <v>190</v>
      </c>
      <c r="G472" s="14" t="s">
        <v>277</v>
      </c>
      <c r="H472" s="12" t="s">
        <v>7</v>
      </c>
      <c r="I472" s="15">
        <v>186</v>
      </c>
      <c r="J472" s="54">
        <v>195</v>
      </c>
      <c r="K472" s="33">
        <f t="shared" si="9"/>
        <v>36270</v>
      </c>
      <c r="L472" s="16"/>
    </row>
    <row r="473" spans="1:12" ht="26.4">
      <c r="A473" s="12">
        <v>35</v>
      </c>
      <c r="B473" s="13" t="s">
        <v>47</v>
      </c>
      <c r="C473" s="14" t="s">
        <v>48</v>
      </c>
      <c r="D473" s="14" t="s">
        <v>49</v>
      </c>
      <c r="E473" s="35">
        <v>2</v>
      </c>
      <c r="F473" s="14" t="s">
        <v>255</v>
      </c>
      <c r="G473" s="14" t="s">
        <v>277</v>
      </c>
      <c r="H473" s="12" t="s">
        <v>7</v>
      </c>
      <c r="I473" s="15">
        <v>12.6</v>
      </c>
      <c r="J473" s="54">
        <v>195</v>
      </c>
      <c r="K473" s="33">
        <f t="shared" si="9"/>
        <v>2457</v>
      </c>
      <c r="L473" s="16"/>
    </row>
    <row r="474" spans="1:12" ht="26.4">
      <c r="A474" s="12">
        <v>36</v>
      </c>
      <c r="B474" s="13" t="s">
        <v>47</v>
      </c>
      <c r="C474" s="14" t="s">
        <v>48</v>
      </c>
      <c r="D474" s="14" t="s">
        <v>49</v>
      </c>
      <c r="E474" s="35">
        <v>1</v>
      </c>
      <c r="F474" s="14" t="s">
        <v>96</v>
      </c>
      <c r="G474" s="14" t="s">
        <v>278</v>
      </c>
      <c r="H474" s="12" t="s">
        <v>7</v>
      </c>
      <c r="I474" s="15">
        <v>56</v>
      </c>
      <c r="J474" s="54">
        <v>195</v>
      </c>
      <c r="K474" s="33">
        <f t="shared" si="9"/>
        <v>10920</v>
      </c>
      <c r="L474" s="16"/>
    </row>
    <row r="475" spans="1:12" ht="26.4">
      <c r="A475" s="12">
        <v>37</v>
      </c>
      <c r="B475" s="13" t="s">
        <v>47</v>
      </c>
      <c r="C475" s="14" t="s">
        <v>48</v>
      </c>
      <c r="D475" s="14" t="s">
        <v>49</v>
      </c>
      <c r="E475" s="35">
        <v>1</v>
      </c>
      <c r="F475" s="14" t="s">
        <v>110</v>
      </c>
      <c r="G475" s="14" t="s">
        <v>278</v>
      </c>
      <c r="H475" s="12" t="s">
        <v>7</v>
      </c>
      <c r="I475" s="15">
        <v>23</v>
      </c>
      <c r="J475" s="54">
        <v>195</v>
      </c>
      <c r="K475" s="33">
        <f t="shared" si="9"/>
        <v>4485</v>
      </c>
      <c r="L475" s="16"/>
    </row>
    <row r="476" spans="1:12" ht="26.4">
      <c r="A476" s="12">
        <v>38</v>
      </c>
      <c r="B476" s="13" t="s">
        <v>47</v>
      </c>
      <c r="C476" s="14" t="s">
        <v>48</v>
      </c>
      <c r="D476" s="14" t="s">
        <v>49</v>
      </c>
      <c r="E476" s="35">
        <v>1</v>
      </c>
      <c r="F476" s="14" t="s">
        <v>117</v>
      </c>
      <c r="G476" s="14" t="s">
        <v>278</v>
      </c>
      <c r="H476" s="12" t="s">
        <v>7</v>
      </c>
      <c r="I476" s="15">
        <v>23.7</v>
      </c>
      <c r="J476" s="54">
        <v>195</v>
      </c>
      <c r="K476" s="33">
        <f t="shared" si="9"/>
        <v>4621.5</v>
      </c>
      <c r="L476" s="16"/>
    </row>
    <row r="477" spans="1:12" ht="26.4">
      <c r="A477" s="12">
        <v>39</v>
      </c>
      <c r="B477" s="13" t="s">
        <v>47</v>
      </c>
      <c r="C477" s="14" t="s">
        <v>48</v>
      </c>
      <c r="D477" s="14" t="s">
        <v>49</v>
      </c>
      <c r="E477" s="35">
        <v>1</v>
      </c>
      <c r="F477" s="14" t="s">
        <v>98</v>
      </c>
      <c r="G477" s="14" t="s">
        <v>278</v>
      </c>
      <c r="H477" s="12" t="s">
        <v>7</v>
      </c>
      <c r="I477" s="15">
        <v>3</v>
      </c>
      <c r="J477" s="54">
        <v>195</v>
      </c>
      <c r="K477" s="33">
        <f t="shared" si="9"/>
        <v>585</v>
      </c>
      <c r="L477" s="16"/>
    </row>
    <row r="478" spans="1:12" ht="26.4">
      <c r="A478" s="12">
        <v>40</v>
      </c>
      <c r="B478" s="13" t="s">
        <v>47</v>
      </c>
      <c r="C478" s="14" t="s">
        <v>48</v>
      </c>
      <c r="D478" s="14" t="s">
        <v>49</v>
      </c>
      <c r="E478" s="35">
        <v>2</v>
      </c>
      <c r="F478" s="14" t="s">
        <v>214</v>
      </c>
      <c r="G478" s="14" t="s">
        <v>278</v>
      </c>
      <c r="H478" s="12" t="s">
        <v>7</v>
      </c>
      <c r="I478" s="15">
        <v>20</v>
      </c>
      <c r="J478" s="54">
        <v>195</v>
      </c>
      <c r="K478" s="33">
        <f t="shared" si="9"/>
        <v>3900</v>
      </c>
      <c r="L478" s="16"/>
    </row>
    <row r="479" spans="1:12" ht="26.4">
      <c r="A479" s="12">
        <v>41</v>
      </c>
      <c r="B479" s="13" t="s">
        <v>60</v>
      </c>
      <c r="C479" s="14" t="s">
        <v>48</v>
      </c>
      <c r="D479" s="14" t="s">
        <v>49</v>
      </c>
      <c r="E479" s="35">
        <v>2</v>
      </c>
      <c r="F479" s="14" t="s">
        <v>183</v>
      </c>
      <c r="G479" s="14" t="s">
        <v>278</v>
      </c>
      <c r="H479" s="12" t="s">
        <v>7</v>
      </c>
      <c r="I479" s="15">
        <v>27</v>
      </c>
      <c r="J479" s="54">
        <v>195</v>
      </c>
      <c r="K479" s="33">
        <f t="shared" si="9"/>
        <v>5265</v>
      </c>
      <c r="L479" s="16"/>
    </row>
    <row r="480" spans="1:12" ht="26.4">
      <c r="A480" s="12">
        <v>42</v>
      </c>
      <c r="B480" s="13" t="s">
        <v>60</v>
      </c>
      <c r="C480" s="14" t="s">
        <v>48</v>
      </c>
      <c r="D480" s="14" t="s">
        <v>49</v>
      </c>
      <c r="E480" s="35">
        <v>2</v>
      </c>
      <c r="F480" s="14" t="s">
        <v>163</v>
      </c>
      <c r="G480" s="14" t="s">
        <v>278</v>
      </c>
      <c r="H480" s="12" t="s">
        <v>7</v>
      </c>
      <c r="I480" s="15">
        <v>24</v>
      </c>
      <c r="J480" s="54">
        <v>195</v>
      </c>
      <c r="K480" s="33">
        <f t="shared" si="9"/>
        <v>4680</v>
      </c>
      <c r="L480" s="16"/>
    </row>
    <row r="481" spans="1:12" ht="26.4">
      <c r="A481" s="12">
        <v>43</v>
      </c>
      <c r="B481" s="13" t="s">
        <v>47</v>
      </c>
      <c r="C481" s="14" t="s">
        <v>48</v>
      </c>
      <c r="D481" s="14" t="s">
        <v>49</v>
      </c>
      <c r="E481" s="35">
        <v>2</v>
      </c>
      <c r="F481" s="14" t="s">
        <v>166</v>
      </c>
      <c r="G481" s="14" t="s">
        <v>278</v>
      </c>
      <c r="H481" s="12" t="s">
        <v>7</v>
      </c>
      <c r="I481" s="15">
        <v>7.2</v>
      </c>
      <c r="J481" s="54">
        <v>195</v>
      </c>
      <c r="K481" s="33">
        <f t="shared" si="9"/>
        <v>1404</v>
      </c>
      <c r="L481" s="16"/>
    </row>
    <row r="482" spans="1:12" ht="26.4">
      <c r="A482" s="12">
        <v>44</v>
      </c>
      <c r="B482" s="13" t="s">
        <v>47</v>
      </c>
      <c r="C482" s="14" t="s">
        <v>48</v>
      </c>
      <c r="D482" s="14" t="s">
        <v>49</v>
      </c>
      <c r="E482" s="35">
        <v>2</v>
      </c>
      <c r="F482" s="14" t="s">
        <v>182</v>
      </c>
      <c r="G482" s="14" t="s">
        <v>278</v>
      </c>
      <c r="H482" s="12" t="s">
        <v>7</v>
      </c>
      <c r="I482" s="15">
        <v>15.3</v>
      </c>
      <c r="J482" s="54">
        <v>195</v>
      </c>
      <c r="K482" s="33">
        <f t="shared" si="9"/>
        <v>2983.5</v>
      </c>
      <c r="L482" s="16"/>
    </row>
    <row r="483" spans="1:12" ht="52.8">
      <c r="A483" s="12">
        <v>45</v>
      </c>
      <c r="B483" s="13" t="s">
        <v>47</v>
      </c>
      <c r="C483" s="14" t="s">
        <v>48</v>
      </c>
      <c r="D483" s="14" t="s">
        <v>49</v>
      </c>
      <c r="E483" s="35">
        <v>2</v>
      </c>
      <c r="F483" s="14" t="s">
        <v>276</v>
      </c>
      <c r="G483" s="14" t="s">
        <v>278</v>
      </c>
      <c r="H483" s="12" t="s">
        <v>7</v>
      </c>
      <c r="I483" s="15">
        <v>20</v>
      </c>
      <c r="J483" s="54">
        <v>195</v>
      </c>
      <c r="K483" s="33">
        <f t="shared" si="9"/>
        <v>3900</v>
      </c>
      <c r="L483" s="16"/>
    </row>
    <row r="484" spans="1:12" ht="26.4">
      <c r="A484" s="12">
        <v>46</v>
      </c>
      <c r="B484" s="13" t="s">
        <v>47</v>
      </c>
      <c r="C484" s="14" t="s">
        <v>48</v>
      </c>
      <c r="D484" s="14" t="s">
        <v>49</v>
      </c>
      <c r="E484" s="35">
        <v>2</v>
      </c>
      <c r="F484" s="14" t="s">
        <v>165</v>
      </c>
      <c r="G484" s="14" t="s">
        <v>278</v>
      </c>
      <c r="H484" s="12" t="s">
        <v>7</v>
      </c>
      <c r="I484" s="15">
        <v>23</v>
      </c>
      <c r="J484" s="54">
        <v>195</v>
      </c>
      <c r="K484" s="33">
        <f t="shared" si="9"/>
        <v>4485</v>
      </c>
      <c r="L484" s="16"/>
    </row>
    <row r="485" spans="1:12" ht="26.4">
      <c r="A485" s="12">
        <v>47</v>
      </c>
      <c r="B485" s="13" t="s">
        <v>47</v>
      </c>
      <c r="C485" s="14" t="s">
        <v>48</v>
      </c>
      <c r="D485" s="14" t="s">
        <v>49</v>
      </c>
      <c r="E485" s="35">
        <v>2</v>
      </c>
      <c r="F485" s="14" t="s">
        <v>188</v>
      </c>
      <c r="G485" s="14" t="s">
        <v>278</v>
      </c>
      <c r="H485" s="12" t="s">
        <v>7</v>
      </c>
      <c r="I485" s="15">
        <v>31</v>
      </c>
      <c r="J485" s="54">
        <v>195</v>
      </c>
      <c r="K485" s="33">
        <f t="shared" si="9"/>
        <v>6045</v>
      </c>
      <c r="L485" s="16"/>
    </row>
    <row r="486" spans="1:12" ht="26.4">
      <c r="A486" s="12">
        <v>48</v>
      </c>
      <c r="B486" s="13" t="s">
        <v>47</v>
      </c>
      <c r="C486" s="14" t="s">
        <v>48</v>
      </c>
      <c r="D486" s="14" t="s">
        <v>49</v>
      </c>
      <c r="E486" s="35">
        <v>2</v>
      </c>
      <c r="F486" s="14" t="s">
        <v>164</v>
      </c>
      <c r="G486" s="14" t="s">
        <v>278</v>
      </c>
      <c r="H486" s="12" t="s">
        <v>7</v>
      </c>
      <c r="I486" s="15">
        <v>10</v>
      </c>
      <c r="J486" s="54">
        <v>195</v>
      </c>
      <c r="K486" s="33">
        <f t="shared" si="9"/>
        <v>1950</v>
      </c>
      <c r="L486" s="16"/>
    </row>
    <row r="487" spans="1:12" ht="26.4">
      <c r="A487" s="12">
        <v>49</v>
      </c>
      <c r="B487" s="13" t="s">
        <v>47</v>
      </c>
      <c r="C487" s="14" t="s">
        <v>48</v>
      </c>
      <c r="D487" s="14" t="s">
        <v>49</v>
      </c>
      <c r="E487" s="35">
        <v>2</v>
      </c>
      <c r="F487" s="14" t="s">
        <v>173</v>
      </c>
      <c r="G487" s="14" t="s">
        <v>278</v>
      </c>
      <c r="H487" s="12" t="s">
        <v>7</v>
      </c>
      <c r="I487" s="15">
        <v>27</v>
      </c>
      <c r="J487" s="54">
        <v>195</v>
      </c>
      <c r="K487" s="33">
        <f t="shared" si="9"/>
        <v>5265</v>
      </c>
      <c r="L487" s="16"/>
    </row>
    <row r="488" spans="1:12" ht="26.4">
      <c r="A488" s="12">
        <v>50</v>
      </c>
      <c r="B488" s="13" t="s">
        <v>47</v>
      </c>
      <c r="C488" s="14" t="s">
        <v>48</v>
      </c>
      <c r="D488" s="14" t="s">
        <v>49</v>
      </c>
      <c r="E488" s="35">
        <v>2</v>
      </c>
      <c r="F488" s="14" t="s">
        <v>190</v>
      </c>
      <c r="G488" s="14" t="s">
        <v>278</v>
      </c>
      <c r="H488" s="12" t="s">
        <v>7</v>
      </c>
      <c r="I488" s="15">
        <v>20</v>
      </c>
      <c r="J488" s="54">
        <v>195</v>
      </c>
      <c r="K488" s="33">
        <f t="shared" si="9"/>
        <v>3900</v>
      </c>
      <c r="L488" s="16"/>
    </row>
    <row r="489" spans="1:12" ht="26.4">
      <c r="A489" s="12">
        <v>51</v>
      </c>
      <c r="B489" s="13" t="s">
        <v>47</v>
      </c>
      <c r="C489" s="14" t="s">
        <v>48</v>
      </c>
      <c r="D489" s="14" t="s">
        <v>49</v>
      </c>
      <c r="E489" s="35">
        <v>3</v>
      </c>
      <c r="F489" s="14" t="s">
        <v>255</v>
      </c>
      <c r="G489" s="14" t="s">
        <v>278</v>
      </c>
      <c r="H489" s="12" t="s">
        <v>7</v>
      </c>
      <c r="I489" s="15">
        <v>12.6</v>
      </c>
      <c r="J489" s="54">
        <v>195</v>
      </c>
      <c r="K489" s="33">
        <f t="shared" si="9"/>
        <v>2457</v>
      </c>
      <c r="L489" s="16"/>
    </row>
    <row r="490" spans="1:12" ht="52.8">
      <c r="A490" s="12">
        <v>52</v>
      </c>
      <c r="B490" s="13" t="s">
        <v>47</v>
      </c>
      <c r="C490" s="14" t="s">
        <v>48</v>
      </c>
      <c r="D490" s="14" t="s">
        <v>58</v>
      </c>
      <c r="E490" s="35">
        <v>3</v>
      </c>
      <c r="F490" s="14" t="s">
        <v>269</v>
      </c>
      <c r="G490" s="14" t="s">
        <v>19</v>
      </c>
      <c r="H490" s="12" t="s">
        <v>7</v>
      </c>
      <c r="I490" s="15">
        <v>80</v>
      </c>
      <c r="J490" s="54">
        <v>180</v>
      </c>
      <c r="K490" s="33">
        <f t="shared" si="9"/>
        <v>14400</v>
      </c>
      <c r="L490" s="16"/>
    </row>
    <row r="491" spans="1:12" ht="39.6">
      <c r="A491" s="12">
        <v>53</v>
      </c>
      <c r="B491" s="13" t="s">
        <v>47</v>
      </c>
      <c r="C491" s="14" t="s">
        <v>48</v>
      </c>
      <c r="D491" s="14" t="s">
        <v>58</v>
      </c>
      <c r="E491" s="35">
        <v>3</v>
      </c>
      <c r="F491" s="14" t="s">
        <v>270</v>
      </c>
      <c r="G491" s="14" t="s">
        <v>19</v>
      </c>
      <c r="H491" s="12" t="s">
        <v>7</v>
      </c>
      <c r="I491" s="15">
        <v>73</v>
      </c>
      <c r="J491" s="54">
        <v>180</v>
      </c>
      <c r="K491" s="33">
        <f t="shared" si="9"/>
        <v>13140</v>
      </c>
      <c r="L491" s="16"/>
    </row>
    <row r="492" spans="1:12" ht="26.4">
      <c r="A492" s="12">
        <v>54</v>
      </c>
      <c r="B492" s="13" t="s">
        <v>47</v>
      </c>
      <c r="C492" s="14" t="s">
        <v>48</v>
      </c>
      <c r="D492" s="14" t="s">
        <v>58</v>
      </c>
      <c r="E492" s="35">
        <v>3</v>
      </c>
      <c r="F492" s="14" t="s">
        <v>255</v>
      </c>
      <c r="G492" s="14" t="s">
        <v>19</v>
      </c>
      <c r="H492" s="12" t="s">
        <v>7</v>
      </c>
      <c r="I492" s="15">
        <v>95</v>
      </c>
      <c r="J492" s="54">
        <v>180</v>
      </c>
      <c r="K492" s="33">
        <f t="shared" si="9"/>
        <v>17100</v>
      </c>
      <c r="L492" s="16"/>
    </row>
    <row r="493" spans="1:12" ht="26.4">
      <c r="A493" s="12">
        <v>55</v>
      </c>
      <c r="B493" s="13" t="s">
        <v>47</v>
      </c>
      <c r="C493" s="14" t="s">
        <v>48</v>
      </c>
      <c r="D493" s="14" t="s">
        <v>58</v>
      </c>
      <c r="E493" s="35">
        <v>3</v>
      </c>
      <c r="F493" s="14" t="s">
        <v>239</v>
      </c>
      <c r="G493" s="14" t="s">
        <v>19</v>
      </c>
      <c r="H493" s="12" t="s">
        <v>7</v>
      </c>
      <c r="I493" s="15">
        <v>21.4</v>
      </c>
      <c r="J493" s="54">
        <v>180</v>
      </c>
      <c r="K493" s="33">
        <f t="shared" si="9"/>
        <v>3851.9999999999995</v>
      </c>
      <c r="L493" s="16"/>
    </row>
    <row r="494" spans="1:12" ht="26.4">
      <c r="A494" s="12">
        <v>56</v>
      </c>
      <c r="B494" s="13" t="s">
        <v>47</v>
      </c>
      <c r="C494" s="14" t="s">
        <v>48</v>
      </c>
      <c r="D494" s="14" t="s">
        <v>58</v>
      </c>
      <c r="E494" s="35">
        <v>3</v>
      </c>
      <c r="F494" s="14" t="s">
        <v>241</v>
      </c>
      <c r="G494" s="14" t="s">
        <v>19</v>
      </c>
      <c r="H494" s="12" t="s">
        <v>7</v>
      </c>
      <c r="I494" s="15">
        <v>78.5</v>
      </c>
      <c r="J494" s="54">
        <v>180</v>
      </c>
      <c r="K494" s="33">
        <f t="shared" si="9"/>
        <v>14130</v>
      </c>
      <c r="L494" s="16"/>
    </row>
    <row r="495" spans="1:12" ht="26.4">
      <c r="A495" s="12">
        <v>57</v>
      </c>
      <c r="B495" s="13" t="s">
        <v>47</v>
      </c>
      <c r="C495" s="14" t="s">
        <v>48</v>
      </c>
      <c r="D495" s="14" t="s">
        <v>58</v>
      </c>
      <c r="E495" s="35">
        <v>3</v>
      </c>
      <c r="F495" s="14" t="s">
        <v>244</v>
      </c>
      <c r="G495" s="14" t="s">
        <v>19</v>
      </c>
      <c r="H495" s="12" t="s">
        <v>7</v>
      </c>
      <c r="I495" s="15">
        <v>21.4</v>
      </c>
      <c r="J495" s="54">
        <v>180</v>
      </c>
      <c r="K495" s="33">
        <f t="shared" si="9"/>
        <v>3851.9999999999995</v>
      </c>
      <c r="L495" s="16"/>
    </row>
    <row r="496" spans="1:12" ht="26.4">
      <c r="A496" s="12">
        <v>58</v>
      </c>
      <c r="B496" s="13" t="s">
        <v>47</v>
      </c>
      <c r="C496" s="14" t="s">
        <v>48</v>
      </c>
      <c r="D496" s="14" t="s">
        <v>58</v>
      </c>
      <c r="E496" s="35">
        <v>3</v>
      </c>
      <c r="F496" s="14" t="s">
        <v>245</v>
      </c>
      <c r="G496" s="14" t="s">
        <v>19</v>
      </c>
      <c r="H496" s="12" t="s">
        <v>7</v>
      </c>
      <c r="I496" s="15">
        <v>78.5</v>
      </c>
      <c r="J496" s="54">
        <v>180</v>
      </c>
      <c r="K496" s="33">
        <f t="shared" si="9"/>
        <v>14130</v>
      </c>
      <c r="L496" s="16"/>
    </row>
    <row r="497" spans="1:12" ht="52.8">
      <c r="A497" s="12">
        <v>59</v>
      </c>
      <c r="B497" s="13" t="s">
        <v>47</v>
      </c>
      <c r="C497" s="14" t="s">
        <v>48</v>
      </c>
      <c r="D497" s="14" t="s">
        <v>58</v>
      </c>
      <c r="E497" s="35">
        <v>2</v>
      </c>
      <c r="F497" s="14" t="s">
        <v>276</v>
      </c>
      <c r="G497" s="14" t="s">
        <v>19</v>
      </c>
      <c r="H497" s="12" t="s">
        <v>7</v>
      </c>
      <c r="I497" s="15">
        <v>64.5</v>
      </c>
      <c r="J497" s="54">
        <v>180</v>
      </c>
      <c r="K497" s="33">
        <f t="shared" si="9"/>
        <v>11610</v>
      </c>
      <c r="L497" s="16"/>
    </row>
    <row r="498" spans="1:12" ht="52.8">
      <c r="A498" s="12">
        <v>60</v>
      </c>
      <c r="B498" s="13" t="s">
        <v>47</v>
      </c>
      <c r="C498" s="14" t="s">
        <v>48</v>
      </c>
      <c r="D498" s="14" t="s">
        <v>58</v>
      </c>
      <c r="E498" s="35">
        <v>2</v>
      </c>
      <c r="F498" s="14" t="s">
        <v>275</v>
      </c>
      <c r="G498" s="14" t="s">
        <v>19</v>
      </c>
      <c r="H498" s="12" t="s">
        <v>7</v>
      </c>
      <c r="I498" s="15">
        <v>64.2</v>
      </c>
      <c r="J498" s="54">
        <v>180</v>
      </c>
      <c r="K498" s="33">
        <f t="shared" si="9"/>
        <v>11556</v>
      </c>
      <c r="L498" s="16"/>
    </row>
    <row r="499" spans="1:12" ht="26.4">
      <c r="A499" s="12">
        <v>61</v>
      </c>
      <c r="B499" s="13" t="s">
        <v>47</v>
      </c>
      <c r="C499" s="14" t="s">
        <v>48</v>
      </c>
      <c r="D499" s="14" t="s">
        <v>58</v>
      </c>
      <c r="E499" s="35">
        <v>2</v>
      </c>
      <c r="F499" s="14" t="s">
        <v>164</v>
      </c>
      <c r="G499" s="14" t="s">
        <v>19</v>
      </c>
      <c r="H499" s="12" t="s">
        <v>7</v>
      </c>
      <c r="I499" s="15">
        <v>64.5</v>
      </c>
      <c r="J499" s="54">
        <v>180</v>
      </c>
      <c r="K499" s="33">
        <f t="shared" si="9"/>
        <v>11610</v>
      </c>
      <c r="L499" s="16"/>
    </row>
    <row r="500" spans="1:12" ht="39.6">
      <c r="A500" s="12">
        <v>62</v>
      </c>
      <c r="B500" s="13" t="s">
        <v>47</v>
      </c>
      <c r="C500" s="14" t="s">
        <v>48</v>
      </c>
      <c r="D500" s="14" t="s">
        <v>49</v>
      </c>
      <c r="E500" s="35">
        <v>1</v>
      </c>
      <c r="F500" s="14" t="s">
        <v>96</v>
      </c>
      <c r="G500" s="14" t="s">
        <v>6</v>
      </c>
      <c r="H500" s="12" t="s">
        <v>7</v>
      </c>
      <c r="I500" s="15">
        <v>33</v>
      </c>
      <c r="J500" s="54">
        <v>585</v>
      </c>
      <c r="K500" s="33">
        <f t="shared" si="9"/>
        <v>19305</v>
      </c>
      <c r="L500" s="16"/>
    </row>
    <row r="501" spans="1:12" ht="39.6">
      <c r="A501" s="12">
        <v>63</v>
      </c>
      <c r="B501" s="13" t="s">
        <v>47</v>
      </c>
      <c r="C501" s="14" t="s">
        <v>48</v>
      </c>
      <c r="D501" s="14" t="s">
        <v>49</v>
      </c>
      <c r="E501" s="35">
        <v>1</v>
      </c>
      <c r="F501" s="14" t="s">
        <v>109</v>
      </c>
      <c r="G501" s="14" t="s">
        <v>6</v>
      </c>
      <c r="H501" s="12" t="s">
        <v>7</v>
      </c>
      <c r="I501" s="15">
        <v>23</v>
      </c>
      <c r="J501" s="54">
        <v>585</v>
      </c>
      <c r="K501" s="33">
        <f t="shared" si="9"/>
        <v>13455</v>
      </c>
      <c r="L501" s="16"/>
    </row>
    <row r="502" spans="1:12" ht="39.6">
      <c r="A502" s="12">
        <v>64</v>
      </c>
      <c r="B502" s="13" t="s">
        <v>47</v>
      </c>
      <c r="C502" s="14" t="s">
        <v>48</v>
      </c>
      <c r="D502" s="14" t="s">
        <v>49</v>
      </c>
      <c r="E502" s="35">
        <v>1</v>
      </c>
      <c r="F502" s="14" t="s">
        <v>117</v>
      </c>
      <c r="G502" s="14" t="s">
        <v>6</v>
      </c>
      <c r="H502" s="12" t="s">
        <v>7</v>
      </c>
      <c r="I502" s="15">
        <v>23.7</v>
      </c>
      <c r="J502" s="54">
        <v>585</v>
      </c>
      <c r="K502" s="33">
        <f t="shared" si="9"/>
        <v>13864.5</v>
      </c>
      <c r="L502" s="16"/>
    </row>
    <row r="503" spans="1:12" ht="39.6">
      <c r="A503" s="12">
        <v>65</v>
      </c>
      <c r="B503" s="13" t="s">
        <v>47</v>
      </c>
      <c r="C503" s="14" t="s">
        <v>48</v>
      </c>
      <c r="D503" s="14" t="s">
        <v>49</v>
      </c>
      <c r="E503" s="35">
        <v>1</v>
      </c>
      <c r="F503" s="14" t="s">
        <v>98</v>
      </c>
      <c r="G503" s="14" t="s">
        <v>6</v>
      </c>
      <c r="H503" s="12" t="s">
        <v>7</v>
      </c>
      <c r="I503" s="15">
        <v>2.9</v>
      </c>
      <c r="J503" s="54">
        <v>585</v>
      </c>
      <c r="K503" s="33">
        <f t="shared" si="9"/>
        <v>1696.5</v>
      </c>
      <c r="L503" s="16"/>
    </row>
    <row r="504" spans="1:12" ht="39.6">
      <c r="A504" s="12">
        <v>66</v>
      </c>
      <c r="B504" s="13" t="s">
        <v>60</v>
      </c>
      <c r="C504" s="14" t="s">
        <v>48</v>
      </c>
      <c r="D504" s="14" t="s">
        <v>49</v>
      </c>
      <c r="E504" s="35">
        <v>2</v>
      </c>
      <c r="F504" s="14" t="s">
        <v>214</v>
      </c>
      <c r="G504" s="14" t="s">
        <v>6</v>
      </c>
      <c r="H504" s="12" t="s">
        <v>7</v>
      </c>
      <c r="I504" s="15">
        <v>12.6</v>
      </c>
      <c r="J504" s="54">
        <v>585</v>
      </c>
      <c r="K504" s="33">
        <f t="shared" si="9"/>
        <v>7371</v>
      </c>
      <c r="L504" s="16"/>
    </row>
    <row r="505" spans="1:12" ht="39.6">
      <c r="A505" s="12">
        <v>67</v>
      </c>
      <c r="B505" s="13" t="s">
        <v>47</v>
      </c>
      <c r="C505" s="14" t="s">
        <v>48</v>
      </c>
      <c r="D505" s="14" t="s">
        <v>49</v>
      </c>
      <c r="E505" s="35">
        <v>2</v>
      </c>
      <c r="F505" s="14" t="s">
        <v>183</v>
      </c>
      <c r="G505" s="14" t="s">
        <v>6</v>
      </c>
      <c r="H505" s="12" t="s">
        <v>7</v>
      </c>
      <c r="I505" s="15">
        <v>27</v>
      </c>
      <c r="J505" s="54">
        <v>585</v>
      </c>
      <c r="K505" s="33">
        <f t="shared" si="9"/>
        <v>15795</v>
      </c>
      <c r="L505" s="16"/>
    </row>
    <row r="506" spans="1:12" ht="39.6">
      <c r="A506" s="12">
        <v>68</v>
      </c>
      <c r="B506" s="13" t="s">
        <v>47</v>
      </c>
      <c r="C506" s="14" t="s">
        <v>48</v>
      </c>
      <c r="D506" s="14" t="s">
        <v>49</v>
      </c>
      <c r="E506" s="35">
        <v>2</v>
      </c>
      <c r="F506" s="14" t="s">
        <v>163</v>
      </c>
      <c r="G506" s="14" t="s">
        <v>6</v>
      </c>
      <c r="H506" s="12" t="s">
        <v>7</v>
      </c>
      <c r="I506" s="15">
        <v>24</v>
      </c>
      <c r="J506" s="54">
        <v>585</v>
      </c>
      <c r="K506" s="33">
        <f t="shared" si="9"/>
        <v>14040</v>
      </c>
      <c r="L506" s="16"/>
    </row>
    <row r="507" spans="1:12" ht="39.6">
      <c r="A507" s="12">
        <v>69</v>
      </c>
      <c r="B507" s="13" t="s">
        <v>47</v>
      </c>
      <c r="C507" s="14" t="s">
        <v>48</v>
      </c>
      <c r="D507" s="14" t="s">
        <v>49</v>
      </c>
      <c r="E507" s="35">
        <v>2</v>
      </c>
      <c r="F507" s="14" t="s">
        <v>166</v>
      </c>
      <c r="G507" s="14" t="s">
        <v>6</v>
      </c>
      <c r="H507" s="12" t="s">
        <v>7</v>
      </c>
      <c r="I507" s="15">
        <v>7.2</v>
      </c>
      <c r="J507" s="54">
        <v>585</v>
      </c>
      <c r="K507" s="33">
        <f t="shared" ref="K507:K539" si="10">J507*I507</f>
        <v>4212</v>
      </c>
      <c r="L507" s="16"/>
    </row>
    <row r="508" spans="1:12" ht="39.6">
      <c r="A508" s="12">
        <v>70</v>
      </c>
      <c r="B508" s="13" t="s">
        <v>47</v>
      </c>
      <c r="C508" s="14" t="s">
        <v>48</v>
      </c>
      <c r="D508" s="14" t="s">
        <v>49</v>
      </c>
      <c r="E508" s="35">
        <v>2</v>
      </c>
      <c r="F508" s="14" t="s">
        <v>182</v>
      </c>
      <c r="G508" s="14" t="s">
        <v>6</v>
      </c>
      <c r="H508" s="12" t="s">
        <v>7</v>
      </c>
      <c r="I508" s="15">
        <v>27.5</v>
      </c>
      <c r="J508" s="54">
        <v>585</v>
      </c>
      <c r="K508" s="33">
        <f t="shared" si="10"/>
        <v>16087.5</v>
      </c>
      <c r="L508" s="16"/>
    </row>
    <row r="509" spans="1:12" ht="52.8">
      <c r="A509" s="12">
        <v>71</v>
      </c>
      <c r="B509" s="13" t="s">
        <v>47</v>
      </c>
      <c r="C509" s="14" t="s">
        <v>48</v>
      </c>
      <c r="D509" s="14" t="s">
        <v>49</v>
      </c>
      <c r="E509" s="35">
        <v>2</v>
      </c>
      <c r="F509" s="14" t="s">
        <v>276</v>
      </c>
      <c r="G509" s="14" t="s">
        <v>6</v>
      </c>
      <c r="H509" s="12" t="s">
        <v>7</v>
      </c>
      <c r="I509" s="15">
        <v>20</v>
      </c>
      <c r="J509" s="54">
        <v>585</v>
      </c>
      <c r="K509" s="33">
        <f t="shared" si="10"/>
        <v>11700</v>
      </c>
      <c r="L509" s="16"/>
    </row>
    <row r="510" spans="1:12" ht="39.6">
      <c r="A510" s="12">
        <v>72</v>
      </c>
      <c r="B510" s="13" t="s">
        <v>47</v>
      </c>
      <c r="C510" s="14" t="s">
        <v>48</v>
      </c>
      <c r="D510" s="14" t="s">
        <v>49</v>
      </c>
      <c r="E510" s="35">
        <v>2</v>
      </c>
      <c r="F510" s="14" t="s">
        <v>165</v>
      </c>
      <c r="G510" s="14" t="s">
        <v>6</v>
      </c>
      <c r="H510" s="12" t="s">
        <v>7</v>
      </c>
      <c r="I510" s="15">
        <v>16</v>
      </c>
      <c r="J510" s="54">
        <v>585</v>
      </c>
      <c r="K510" s="33">
        <f t="shared" si="10"/>
        <v>9360</v>
      </c>
      <c r="L510" s="16"/>
    </row>
    <row r="511" spans="1:12" ht="39.6">
      <c r="A511" s="12">
        <v>73</v>
      </c>
      <c r="B511" s="13" t="s">
        <v>47</v>
      </c>
      <c r="C511" s="14" t="s">
        <v>48</v>
      </c>
      <c r="D511" s="14" t="s">
        <v>49</v>
      </c>
      <c r="E511" s="35">
        <v>2</v>
      </c>
      <c r="F511" s="14" t="s">
        <v>188</v>
      </c>
      <c r="G511" s="14" t="s">
        <v>6</v>
      </c>
      <c r="H511" s="12" t="s">
        <v>7</v>
      </c>
      <c r="I511" s="15">
        <v>31</v>
      </c>
      <c r="J511" s="54">
        <v>585</v>
      </c>
      <c r="K511" s="33">
        <f t="shared" si="10"/>
        <v>18135</v>
      </c>
      <c r="L511" s="16"/>
    </row>
    <row r="512" spans="1:12" ht="39.6">
      <c r="A512" s="12">
        <v>74</v>
      </c>
      <c r="B512" s="13" t="s">
        <v>47</v>
      </c>
      <c r="C512" s="14" t="s">
        <v>48</v>
      </c>
      <c r="D512" s="14" t="s">
        <v>49</v>
      </c>
      <c r="E512" s="35">
        <v>2</v>
      </c>
      <c r="F512" s="14" t="s">
        <v>186</v>
      </c>
      <c r="G512" s="14" t="s">
        <v>6</v>
      </c>
      <c r="H512" s="12" t="s">
        <v>7</v>
      </c>
      <c r="I512" s="15">
        <v>2</v>
      </c>
      <c r="J512" s="54">
        <v>585</v>
      </c>
      <c r="K512" s="33">
        <f t="shared" si="10"/>
        <v>1170</v>
      </c>
      <c r="L512" s="16"/>
    </row>
    <row r="513" spans="1:12" ht="39.6">
      <c r="A513" s="12">
        <v>75</v>
      </c>
      <c r="B513" s="13" t="s">
        <v>47</v>
      </c>
      <c r="C513" s="14" t="s">
        <v>48</v>
      </c>
      <c r="D513" s="14" t="s">
        <v>49</v>
      </c>
      <c r="E513" s="35">
        <v>2</v>
      </c>
      <c r="F513" s="14" t="s">
        <v>164</v>
      </c>
      <c r="G513" s="14" t="s">
        <v>6</v>
      </c>
      <c r="H513" s="12" t="s">
        <v>7</v>
      </c>
      <c r="I513" s="15">
        <v>10</v>
      </c>
      <c r="J513" s="54">
        <v>585</v>
      </c>
      <c r="K513" s="33">
        <f t="shared" si="10"/>
        <v>5850</v>
      </c>
      <c r="L513" s="16"/>
    </row>
    <row r="514" spans="1:12" ht="39.6">
      <c r="A514" s="12">
        <v>76</v>
      </c>
      <c r="B514" s="13" t="s">
        <v>47</v>
      </c>
      <c r="C514" s="14" t="s">
        <v>48</v>
      </c>
      <c r="D514" s="14" t="s">
        <v>49</v>
      </c>
      <c r="E514" s="35">
        <v>2</v>
      </c>
      <c r="F514" s="14" t="s">
        <v>173</v>
      </c>
      <c r="G514" s="14" t="s">
        <v>6</v>
      </c>
      <c r="H514" s="12" t="s">
        <v>7</v>
      </c>
      <c r="I514" s="15">
        <v>27</v>
      </c>
      <c r="J514" s="54">
        <v>585</v>
      </c>
      <c r="K514" s="33">
        <f t="shared" si="10"/>
        <v>15795</v>
      </c>
      <c r="L514" s="16"/>
    </row>
    <row r="515" spans="1:12" ht="39.6">
      <c r="A515" s="12">
        <v>77</v>
      </c>
      <c r="B515" s="13" t="s">
        <v>47</v>
      </c>
      <c r="C515" s="14" t="s">
        <v>48</v>
      </c>
      <c r="D515" s="14" t="s">
        <v>49</v>
      </c>
      <c r="E515" s="35">
        <v>2</v>
      </c>
      <c r="F515" s="14" t="s">
        <v>190</v>
      </c>
      <c r="G515" s="14" t="s">
        <v>6</v>
      </c>
      <c r="H515" s="12" t="s">
        <v>7</v>
      </c>
      <c r="I515" s="15">
        <v>20</v>
      </c>
      <c r="J515" s="54">
        <v>585</v>
      </c>
      <c r="K515" s="33">
        <f t="shared" si="10"/>
        <v>11700</v>
      </c>
      <c r="L515" s="16"/>
    </row>
    <row r="516" spans="1:12" ht="39.6">
      <c r="A516" s="12">
        <v>78</v>
      </c>
      <c r="B516" s="13" t="s">
        <v>47</v>
      </c>
      <c r="C516" s="14" t="s">
        <v>48</v>
      </c>
      <c r="D516" s="14" t="s">
        <v>49</v>
      </c>
      <c r="E516" s="35">
        <v>3</v>
      </c>
      <c r="F516" s="14" t="s">
        <v>255</v>
      </c>
      <c r="G516" s="14" t="s">
        <v>6</v>
      </c>
      <c r="H516" s="12" t="s">
        <v>7</v>
      </c>
      <c r="I516" s="15">
        <v>12.6</v>
      </c>
      <c r="J516" s="54">
        <v>585</v>
      </c>
      <c r="K516" s="33">
        <f t="shared" si="10"/>
        <v>7371</v>
      </c>
      <c r="L516" s="16"/>
    </row>
    <row r="517" spans="1:12">
      <c r="A517" s="12">
        <v>79</v>
      </c>
      <c r="B517" s="13" t="s">
        <v>47</v>
      </c>
      <c r="C517" s="14" t="s">
        <v>48</v>
      </c>
      <c r="D517" s="14" t="s">
        <v>49</v>
      </c>
      <c r="E517" s="35">
        <v>2</v>
      </c>
      <c r="F517" s="14" t="s">
        <v>214</v>
      </c>
      <c r="G517" s="14" t="s">
        <v>262</v>
      </c>
      <c r="H517" s="12" t="s">
        <v>7</v>
      </c>
      <c r="I517" s="15">
        <v>4.2</v>
      </c>
      <c r="J517" s="54">
        <v>1105</v>
      </c>
      <c r="K517" s="33">
        <f t="shared" si="10"/>
        <v>4641</v>
      </c>
      <c r="L517" s="16"/>
    </row>
    <row r="518" spans="1:12">
      <c r="A518" s="12">
        <v>80</v>
      </c>
      <c r="B518" s="13" t="s">
        <v>47</v>
      </c>
      <c r="C518" s="14" t="s">
        <v>48</v>
      </c>
      <c r="D518" s="14" t="s">
        <v>49</v>
      </c>
      <c r="E518" s="35">
        <v>2</v>
      </c>
      <c r="F518" s="14" t="s">
        <v>183</v>
      </c>
      <c r="G518" s="14" t="s">
        <v>262</v>
      </c>
      <c r="H518" s="12" t="s">
        <v>7</v>
      </c>
      <c r="I518" s="15">
        <v>25</v>
      </c>
      <c r="J518" s="54">
        <v>1105</v>
      </c>
      <c r="K518" s="33">
        <f t="shared" si="10"/>
        <v>27625</v>
      </c>
      <c r="L518" s="16"/>
    </row>
    <row r="519" spans="1:12">
      <c r="A519" s="12">
        <v>81</v>
      </c>
      <c r="B519" s="13" t="s">
        <v>47</v>
      </c>
      <c r="C519" s="14" t="s">
        <v>48</v>
      </c>
      <c r="D519" s="14" t="s">
        <v>49</v>
      </c>
      <c r="E519" s="35">
        <v>2</v>
      </c>
      <c r="F519" s="14" t="s">
        <v>164</v>
      </c>
      <c r="G519" s="14" t="s">
        <v>262</v>
      </c>
      <c r="H519" s="12" t="s">
        <v>7</v>
      </c>
      <c r="I519" s="15">
        <v>13.5</v>
      </c>
      <c r="J519" s="54">
        <v>1105</v>
      </c>
      <c r="K519" s="33">
        <f t="shared" si="10"/>
        <v>14917.5</v>
      </c>
      <c r="L519" s="16"/>
    </row>
    <row r="520" spans="1:12">
      <c r="A520" s="12">
        <v>82</v>
      </c>
      <c r="B520" s="13" t="s">
        <v>47</v>
      </c>
      <c r="C520" s="14" t="s">
        <v>48</v>
      </c>
      <c r="D520" s="14" t="s">
        <v>49</v>
      </c>
      <c r="E520" s="35">
        <v>2</v>
      </c>
      <c r="F520" s="14" t="s">
        <v>166</v>
      </c>
      <c r="G520" s="14" t="s">
        <v>262</v>
      </c>
      <c r="H520" s="12" t="s">
        <v>7</v>
      </c>
      <c r="I520" s="15">
        <v>5</v>
      </c>
      <c r="J520" s="54">
        <v>1105</v>
      </c>
      <c r="K520" s="33">
        <f t="shared" si="10"/>
        <v>5525</v>
      </c>
      <c r="L520" s="16"/>
    </row>
    <row r="521" spans="1:12">
      <c r="A521" s="12">
        <v>83</v>
      </c>
      <c r="B521" s="13" t="s">
        <v>47</v>
      </c>
      <c r="C521" s="14" t="s">
        <v>48</v>
      </c>
      <c r="D521" s="14" t="s">
        <v>49</v>
      </c>
      <c r="E521" s="35">
        <v>2</v>
      </c>
      <c r="F521" s="14" t="s">
        <v>164</v>
      </c>
      <c r="G521" s="14" t="s">
        <v>260</v>
      </c>
      <c r="H521" s="12" t="s">
        <v>261</v>
      </c>
      <c r="I521" s="15">
        <v>1.8</v>
      </c>
      <c r="J521" s="54">
        <v>4160</v>
      </c>
      <c r="K521" s="33">
        <f t="shared" si="10"/>
        <v>7488</v>
      </c>
      <c r="L521" s="16"/>
    </row>
    <row r="522" spans="1:12">
      <c r="A522" s="12">
        <v>84</v>
      </c>
      <c r="B522" s="13" t="s">
        <v>47</v>
      </c>
      <c r="C522" s="14" t="s">
        <v>48</v>
      </c>
      <c r="D522" s="14" t="s">
        <v>49</v>
      </c>
      <c r="E522" s="35">
        <v>2</v>
      </c>
      <c r="F522" s="14" t="s">
        <v>188</v>
      </c>
      <c r="G522" s="14" t="s">
        <v>260</v>
      </c>
      <c r="H522" s="12" t="s">
        <v>261</v>
      </c>
      <c r="I522" s="15">
        <v>1.7</v>
      </c>
      <c r="J522" s="54">
        <v>4160</v>
      </c>
      <c r="K522" s="33">
        <f t="shared" si="10"/>
        <v>7072</v>
      </c>
      <c r="L522" s="16"/>
    </row>
    <row r="523" spans="1:12">
      <c r="A523" s="12">
        <v>85</v>
      </c>
      <c r="B523" s="13" t="s">
        <v>60</v>
      </c>
      <c r="C523" s="14" t="s">
        <v>48</v>
      </c>
      <c r="D523" s="14" t="s">
        <v>49</v>
      </c>
      <c r="E523" s="35">
        <v>3</v>
      </c>
      <c r="F523" s="14" t="s">
        <v>255</v>
      </c>
      <c r="G523" s="14" t="s">
        <v>260</v>
      </c>
      <c r="H523" s="12" t="s">
        <v>261</v>
      </c>
      <c r="I523" s="15">
        <v>2</v>
      </c>
      <c r="J523" s="54">
        <v>4160</v>
      </c>
      <c r="K523" s="33">
        <f t="shared" si="10"/>
        <v>8320</v>
      </c>
      <c r="L523" s="16"/>
    </row>
    <row r="524" spans="1:12">
      <c r="A524" s="12">
        <v>86</v>
      </c>
      <c r="B524" s="13" t="s">
        <v>47</v>
      </c>
      <c r="C524" s="14" t="s">
        <v>48</v>
      </c>
      <c r="D524" s="14" t="s">
        <v>49</v>
      </c>
      <c r="E524" s="35">
        <v>1</v>
      </c>
      <c r="F524" s="14" t="s">
        <v>117</v>
      </c>
      <c r="G524" s="14" t="s">
        <v>279</v>
      </c>
      <c r="H524" s="12" t="s">
        <v>7</v>
      </c>
      <c r="I524" s="15">
        <v>3.5</v>
      </c>
      <c r="J524" s="54">
        <v>800</v>
      </c>
      <c r="K524" s="33">
        <f t="shared" si="10"/>
        <v>2800</v>
      </c>
      <c r="L524" s="16"/>
    </row>
    <row r="525" spans="1:12">
      <c r="A525" s="12">
        <v>87</v>
      </c>
      <c r="B525" s="13" t="s">
        <v>47</v>
      </c>
      <c r="C525" s="14" t="s">
        <v>48</v>
      </c>
      <c r="D525" s="14" t="s">
        <v>49</v>
      </c>
      <c r="E525" s="35">
        <v>1</v>
      </c>
      <c r="F525" s="14" t="s">
        <v>96</v>
      </c>
      <c r="G525" s="14" t="s">
        <v>279</v>
      </c>
      <c r="H525" s="12" t="s">
        <v>7</v>
      </c>
      <c r="I525" s="15">
        <v>1.17</v>
      </c>
      <c r="J525" s="54">
        <v>800</v>
      </c>
      <c r="K525" s="33">
        <f t="shared" si="10"/>
        <v>936</v>
      </c>
      <c r="L525" s="16"/>
    </row>
    <row r="526" spans="1:12">
      <c r="A526" s="12">
        <v>88</v>
      </c>
      <c r="B526" s="13" t="s">
        <v>47</v>
      </c>
      <c r="C526" s="14" t="s">
        <v>48</v>
      </c>
      <c r="D526" s="14" t="s">
        <v>49</v>
      </c>
      <c r="E526" s="35">
        <v>1</v>
      </c>
      <c r="F526" s="14" t="s">
        <v>98</v>
      </c>
      <c r="G526" s="14" t="s">
        <v>279</v>
      </c>
      <c r="H526" s="12" t="s">
        <v>7</v>
      </c>
      <c r="I526" s="15">
        <v>1.19</v>
      </c>
      <c r="J526" s="54">
        <v>800</v>
      </c>
      <c r="K526" s="33">
        <f t="shared" si="10"/>
        <v>952</v>
      </c>
      <c r="L526" s="16"/>
    </row>
    <row r="527" spans="1:12">
      <c r="A527" s="12">
        <v>89</v>
      </c>
      <c r="B527" s="13" t="s">
        <v>47</v>
      </c>
      <c r="C527" s="14" t="s">
        <v>48</v>
      </c>
      <c r="D527" s="14" t="s">
        <v>49</v>
      </c>
      <c r="E527" s="35">
        <v>2</v>
      </c>
      <c r="F527" s="14" t="s">
        <v>164</v>
      </c>
      <c r="G527" s="14" t="s">
        <v>279</v>
      </c>
      <c r="H527" s="12" t="s">
        <v>7</v>
      </c>
      <c r="I527" s="15">
        <v>6.6</v>
      </c>
      <c r="J527" s="54">
        <v>800</v>
      </c>
      <c r="K527" s="33">
        <f t="shared" si="10"/>
        <v>5280</v>
      </c>
      <c r="L527" s="16"/>
    </row>
    <row r="528" spans="1:12" ht="26.4">
      <c r="A528" s="12">
        <v>90</v>
      </c>
      <c r="B528" s="13" t="s">
        <v>64</v>
      </c>
      <c r="C528" s="14" t="s">
        <v>48</v>
      </c>
      <c r="D528" s="14" t="s">
        <v>49</v>
      </c>
      <c r="E528" s="35">
        <v>2</v>
      </c>
      <c r="F528" s="14" t="s">
        <v>163</v>
      </c>
      <c r="G528" s="14" t="s">
        <v>279</v>
      </c>
      <c r="H528" s="12" t="s">
        <v>7</v>
      </c>
      <c r="I528" s="15">
        <v>5.5</v>
      </c>
      <c r="J528" s="54">
        <v>800</v>
      </c>
      <c r="K528" s="33">
        <f t="shared" si="10"/>
        <v>4400</v>
      </c>
      <c r="L528" s="16"/>
    </row>
    <row r="529" spans="1:12">
      <c r="A529" s="12">
        <v>91</v>
      </c>
      <c r="B529" s="13" t="s">
        <v>59</v>
      </c>
      <c r="C529" s="14" t="s">
        <v>48</v>
      </c>
      <c r="D529" s="14" t="s">
        <v>49</v>
      </c>
      <c r="E529" s="58">
        <v>2</v>
      </c>
      <c r="F529" s="14" t="s">
        <v>188</v>
      </c>
      <c r="G529" s="14" t="s">
        <v>279</v>
      </c>
      <c r="H529" s="12" t="s">
        <v>7</v>
      </c>
      <c r="I529" s="15">
        <v>4.9000000000000004</v>
      </c>
      <c r="J529" s="54">
        <v>800</v>
      </c>
      <c r="K529" s="33">
        <f t="shared" si="10"/>
        <v>3920.0000000000005</v>
      </c>
      <c r="L529" s="16"/>
    </row>
    <row r="530" spans="1:12">
      <c r="A530" s="12">
        <v>92</v>
      </c>
      <c r="B530" s="13" t="s">
        <v>60</v>
      </c>
      <c r="C530" s="14" t="s">
        <v>48</v>
      </c>
      <c r="D530" s="14" t="s">
        <v>49</v>
      </c>
      <c r="E530" s="58">
        <v>2</v>
      </c>
      <c r="F530" s="14" t="s">
        <v>173</v>
      </c>
      <c r="G530" s="14" t="s">
        <v>279</v>
      </c>
      <c r="H530" s="12" t="s">
        <v>7</v>
      </c>
      <c r="I530" s="15">
        <v>5.5</v>
      </c>
      <c r="J530" s="54">
        <v>800</v>
      </c>
      <c r="K530" s="33">
        <f t="shared" si="10"/>
        <v>4400</v>
      </c>
      <c r="L530" s="16"/>
    </row>
    <row r="531" spans="1:12">
      <c r="A531" s="12">
        <v>93</v>
      </c>
      <c r="B531" s="13" t="s">
        <v>47</v>
      </c>
      <c r="C531" s="14" t="s">
        <v>48</v>
      </c>
      <c r="D531" s="14" t="s">
        <v>58</v>
      </c>
      <c r="E531" s="35">
        <v>2</v>
      </c>
      <c r="F531" s="14" t="s">
        <v>170</v>
      </c>
      <c r="G531" s="14" t="s">
        <v>279</v>
      </c>
      <c r="H531" s="12" t="s">
        <v>7</v>
      </c>
      <c r="I531" s="15">
        <v>2.7</v>
      </c>
      <c r="J531" s="54">
        <v>800</v>
      </c>
      <c r="K531" s="33">
        <f t="shared" si="10"/>
        <v>2160</v>
      </c>
      <c r="L531" s="16"/>
    </row>
    <row r="532" spans="1:12" ht="26.4">
      <c r="A532" s="12">
        <v>118</v>
      </c>
      <c r="B532" s="13" t="s">
        <v>47</v>
      </c>
      <c r="C532" s="14" t="s">
        <v>48</v>
      </c>
      <c r="D532" s="14" t="s">
        <v>63</v>
      </c>
      <c r="E532" s="35">
        <v>2</v>
      </c>
      <c r="F532" s="14" t="s">
        <v>214</v>
      </c>
      <c r="G532" s="66" t="s">
        <v>280</v>
      </c>
      <c r="H532" s="12" t="s">
        <v>285</v>
      </c>
      <c r="I532" s="15">
        <v>8.5</v>
      </c>
      <c r="J532" s="54">
        <v>300</v>
      </c>
      <c r="K532" s="33">
        <f t="shared" si="10"/>
        <v>2550</v>
      </c>
      <c r="L532" s="16"/>
    </row>
    <row r="533" spans="1:12" ht="52.8">
      <c r="A533" s="12">
        <v>119</v>
      </c>
      <c r="B533" s="13" t="s">
        <v>47</v>
      </c>
      <c r="C533" s="14" t="s">
        <v>48</v>
      </c>
      <c r="D533" s="14" t="s">
        <v>63</v>
      </c>
      <c r="E533" s="35">
        <v>2</v>
      </c>
      <c r="F533" s="14" t="s">
        <v>276</v>
      </c>
      <c r="G533" s="66" t="s">
        <v>280</v>
      </c>
      <c r="H533" s="12" t="s">
        <v>285</v>
      </c>
      <c r="I533" s="15">
        <v>3</v>
      </c>
      <c r="J533" s="54">
        <v>300</v>
      </c>
      <c r="K533" s="33">
        <f t="shared" si="10"/>
        <v>900</v>
      </c>
      <c r="L533" s="16"/>
    </row>
    <row r="534" spans="1:12" ht="26.4">
      <c r="A534" s="12">
        <v>120</v>
      </c>
      <c r="B534" s="13" t="s">
        <v>47</v>
      </c>
      <c r="C534" s="14" t="s">
        <v>48</v>
      </c>
      <c r="D534" s="14" t="s">
        <v>63</v>
      </c>
      <c r="E534" s="35">
        <v>2</v>
      </c>
      <c r="F534" s="14" t="s">
        <v>190</v>
      </c>
      <c r="G534" s="66" t="s">
        <v>280</v>
      </c>
      <c r="H534" s="12" t="s">
        <v>285</v>
      </c>
      <c r="I534" s="15">
        <v>6.7</v>
      </c>
      <c r="J534" s="54">
        <v>300</v>
      </c>
      <c r="K534" s="33">
        <f t="shared" si="10"/>
        <v>2010</v>
      </c>
      <c r="L534" s="16"/>
    </row>
    <row r="535" spans="1:12" ht="26.4">
      <c r="A535" s="12">
        <v>121</v>
      </c>
      <c r="B535" s="13" t="s">
        <v>47</v>
      </c>
      <c r="C535" s="14" t="s">
        <v>48</v>
      </c>
      <c r="D535" s="14" t="s">
        <v>63</v>
      </c>
      <c r="E535" s="35">
        <v>2</v>
      </c>
      <c r="F535" s="14" t="s">
        <v>183</v>
      </c>
      <c r="G535" s="66" t="s">
        <v>280</v>
      </c>
      <c r="H535" s="12" t="s">
        <v>285</v>
      </c>
      <c r="I535" s="15">
        <v>5.6</v>
      </c>
      <c r="J535" s="54">
        <v>300</v>
      </c>
      <c r="K535" s="33">
        <f t="shared" si="10"/>
        <v>1680</v>
      </c>
      <c r="L535" s="16"/>
    </row>
    <row r="536" spans="1:12" ht="26.4">
      <c r="A536" s="12">
        <v>122</v>
      </c>
      <c r="B536" s="13" t="s">
        <v>47</v>
      </c>
      <c r="C536" s="14" t="s">
        <v>48</v>
      </c>
      <c r="D536" s="14" t="s">
        <v>63</v>
      </c>
      <c r="E536" s="35">
        <v>1</v>
      </c>
      <c r="F536" s="14" t="s">
        <v>97</v>
      </c>
      <c r="G536" s="66" t="s">
        <v>280</v>
      </c>
      <c r="H536" s="12" t="s">
        <v>285</v>
      </c>
      <c r="I536" s="15">
        <v>6.4</v>
      </c>
      <c r="J536" s="54">
        <v>300</v>
      </c>
      <c r="K536" s="33">
        <f t="shared" si="10"/>
        <v>1920</v>
      </c>
      <c r="L536" s="16"/>
    </row>
    <row r="537" spans="1:12" ht="26.4">
      <c r="A537" s="12">
        <v>123</v>
      </c>
      <c r="B537" s="13" t="s">
        <v>47</v>
      </c>
      <c r="C537" s="14" t="s">
        <v>48</v>
      </c>
      <c r="D537" s="14" t="s">
        <v>63</v>
      </c>
      <c r="E537" s="35">
        <v>1</v>
      </c>
      <c r="F537" s="14" t="s">
        <v>98</v>
      </c>
      <c r="G537" s="66" t="s">
        <v>280</v>
      </c>
      <c r="H537" s="12" t="s">
        <v>285</v>
      </c>
      <c r="I537" s="15">
        <v>8.8000000000000007</v>
      </c>
      <c r="J537" s="54">
        <v>300</v>
      </c>
      <c r="K537" s="33">
        <f t="shared" si="10"/>
        <v>2640</v>
      </c>
      <c r="L537" s="16"/>
    </row>
    <row r="538" spans="1:12">
      <c r="A538" s="12">
        <v>124</v>
      </c>
      <c r="B538" s="13" t="s">
        <v>47</v>
      </c>
      <c r="C538" s="14" t="s">
        <v>48</v>
      </c>
      <c r="D538" s="14"/>
      <c r="E538" s="67"/>
      <c r="F538" s="14" t="s">
        <v>296</v>
      </c>
      <c r="G538" s="57" t="s">
        <v>297</v>
      </c>
      <c r="H538" s="12" t="s">
        <v>267</v>
      </c>
      <c r="I538" s="15">
        <v>82</v>
      </c>
      <c r="J538" s="54">
        <v>450</v>
      </c>
      <c r="K538" s="33">
        <f t="shared" si="10"/>
        <v>36900</v>
      </c>
      <c r="L538" s="16"/>
    </row>
    <row r="539" spans="1:12">
      <c r="A539" s="12">
        <v>125</v>
      </c>
      <c r="B539" s="13" t="s">
        <v>47</v>
      </c>
      <c r="C539" s="14" t="s">
        <v>48</v>
      </c>
      <c r="D539" s="14" t="s">
        <v>49</v>
      </c>
      <c r="E539" s="35"/>
      <c r="F539" s="14" t="s">
        <v>296</v>
      </c>
      <c r="G539" s="14" t="s">
        <v>11</v>
      </c>
      <c r="H539" s="12" t="s">
        <v>285</v>
      </c>
      <c r="I539" s="15">
        <v>95</v>
      </c>
      <c r="J539" s="54">
        <v>50</v>
      </c>
      <c r="K539" s="33">
        <f t="shared" si="10"/>
        <v>4750</v>
      </c>
      <c r="L539" s="16"/>
    </row>
    <row r="540" spans="1:12" ht="40.200000000000003" customHeight="1">
      <c r="A540" s="71" t="s">
        <v>50</v>
      </c>
      <c r="B540" s="144"/>
      <c r="C540" s="145"/>
      <c r="D540" s="145"/>
      <c r="E540" s="145"/>
      <c r="F540" s="145"/>
      <c r="G540" s="145"/>
      <c r="H540" s="145"/>
      <c r="I540" s="145"/>
      <c r="J540" s="146"/>
      <c r="K540" s="34">
        <f>SUM(K438:K539)</f>
        <v>1128980</v>
      </c>
      <c r="L540" s="36"/>
    </row>
    <row r="546" spans="1:10" ht="15" thickBot="1">
      <c r="B546" s="4" t="s">
        <v>34</v>
      </c>
      <c r="C546" s="151" t="s">
        <v>288</v>
      </c>
      <c r="D546" s="151"/>
      <c r="E546" s="151"/>
      <c r="F546" s="151"/>
      <c r="G546" s="3"/>
      <c r="H546" s="147"/>
      <c r="I546" s="147"/>
      <c r="J546" s="3"/>
    </row>
    <row r="547" spans="1:10">
      <c r="A547" s="3"/>
      <c r="B547" s="3"/>
      <c r="C547" s="148" t="s">
        <v>69</v>
      </c>
      <c r="D547" s="148"/>
      <c r="E547" s="148"/>
      <c r="F547" s="148"/>
      <c r="G547" s="3"/>
      <c r="H547" s="149">
        <v>46022</v>
      </c>
      <c r="I547" s="148"/>
      <c r="J547" s="3"/>
    </row>
    <row r="548" spans="1:10" ht="15" thickBot="1">
      <c r="A548" s="3"/>
      <c r="B548" s="5" t="s">
        <v>71</v>
      </c>
      <c r="C548" s="151" t="s">
        <v>299</v>
      </c>
      <c r="D548" s="151"/>
      <c r="E548" s="151"/>
      <c r="F548" s="151"/>
      <c r="G548" s="3"/>
      <c r="H548" s="147"/>
      <c r="I548" s="147"/>
      <c r="J548" s="3"/>
    </row>
    <row r="549" spans="1:10">
      <c r="A549" s="3"/>
      <c r="B549" s="3"/>
      <c r="C549" s="148" t="s">
        <v>69</v>
      </c>
      <c r="D549" s="148"/>
      <c r="E549" s="148"/>
      <c r="F549" s="148"/>
      <c r="G549" s="3"/>
      <c r="H549" s="149">
        <v>46022</v>
      </c>
      <c r="I549" s="148"/>
      <c r="J549" s="3"/>
    </row>
    <row r="550" spans="1:10">
      <c r="A550" s="3"/>
      <c r="B550" s="3"/>
      <c r="C550" s="3"/>
      <c r="D550" s="3"/>
      <c r="E550" s="3"/>
      <c r="F550" s="3"/>
      <c r="G550" s="3"/>
      <c r="H550" s="150"/>
      <c r="I550" s="150"/>
      <c r="J550" s="3"/>
    </row>
    <row r="551" spans="1:10" ht="15" thickBot="1">
      <c r="A551" s="3"/>
      <c r="B551" s="5" t="s">
        <v>289</v>
      </c>
      <c r="C551" s="151" t="s">
        <v>290</v>
      </c>
      <c r="D551" s="151"/>
      <c r="E551" s="151"/>
      <c r="F551" s="151"/>
      <c r="G551" s="3"/>
      <c r="H551" s="147"/>
      <c r="I551" s="147"/>
      <c r="J551" s="3"/>
    </row>
    <row r="552" spans="1:10">
      <c r="A552" s="3"/>
      <c r="B552" s="3"/>
      <c r="C552" s="148" t="s">
        <v>69</v>
      </c>
      <c r="D552" s="148"/>
      <c r="E552" s="148"/>
      <c r="F552" s="148"/>
      <c r="G552" s="3"/>
      <c r="H552" s="149">
        <v>46022</v>
      </c>
      <c r="I552" s="148"/>
      <c r="J552" s="3"/>
    </row>
    <row r="553" spans="1:10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" thickBot="1">
      <c r="A554" s="3"/>
      <c r="B554" s="5" t="s">
        <v>72</v>
      </c>
      <c r="C554" s="147"/>
      <c r="D554" s="147"/>
      <c r="E554" s="147"/>
      <c r="F554" s="147"/>
      <c r="G554" s="3"/>
      <c r="H554" s="147"/>
      <c r="I554" s="147"/>
      <c r="J554" s="3"/>
    </row>
    <row r="555" spans="1:10">
      <c r="A555" s="3"/>
      <c r="B555" s="3"/>
      <c r="C555" s="148" t="s">
        <v>69</v>
      </c>
      <c r="D555" s="148"/>
      <c r="E555" s="148"/>
      <c r="F555" s="148"/>
      <c r="G555" s="3"/>
      <c r="H555" s="148" t="s">
        <v>70</v>
      </c>
      <c r="I555" s="148"/>
      <c r="J555" s="3"/>
    </row>
    <row r="556" spans="1:10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" thickBot="1">
      <c r="A557" s="3"/>
      <c r="B557" s="4" t="s">
        <v>73</v>
      </c>
      <c r="C557" s="147"/>
      <c r="D557" s="147"/>
      <c r="E557" s="147"/>
      <c r="F557" s="147"/>
      <c r="G557" s="3"/>
      <c r="H557" s="147"/>
      <c r="I557" s="147"/>
      <c r="J557" s="3"/>
    </row>
    <row r="558" spans="1:10">
      <c r="A558" s="3"/>
      <c r="B558" s="3"/>
      <c r="C558" s="148" t="s">
        <v>69</v>
      </c>
      <c r="D558" s="148"/>
      <c r="E558" s="148"/>
      <c r="F558" s="148"/>
      <c r="G558" s="3"/>
      <c r="H558" s="148" t="s">
        <v>70</v>
      </c>
      <c r="I558" s="148"/>
      <c r="J558" s="3"/>
    </row>
    <row r="559" spans="1:10">
      <c r="A559" s="3"/>
      <c r="B559" s="1"/>
      <c r="C559" s="1"/>
      <c r="D559" s="1"/>
      <c r="E559" s="1"/>
      <c r="F559" s="1"/>
      <c r="G559" s="1"/>
      <c r="H559" s="1"/>
      <c r="I559" s="1"/>
      <c r="J559" s="1"/>
    </row>
    <row r="560" spans="1:10">
      <c r="A560" s="1"/>
    </row>
    <row r="566" spans="1:12">
      <c r="B566" s="3"/>
      <c r="C566" s="7" t="s">
        <v>29</v>
      </c>
      <c r="D566" s="7">
        <v>6</v>
      </c>
      <c r="E566" s="3"/>
      <c r="F566" s="3"/>
      <c r="G566" s="8" t="s">
        <v>30</v>
      </c>
      <c r="H566" s="7" t="s">
        <v>31</v>
      </c>
      <c r="I566" s="9">
        <v>46048</v>
      </c>
      <c r="J566" s="3"/>
      <c r="K566" s="3"/>
      <c r="L566" s="3"/>
    </row>
    <row r="567" spans="1:12">
      <c r="A567" s="3"/>
      <c r="B567" s="3"/>
      <c r="C567" s="10"/>
      <c r="D567" s="3"/>
      <c r="E567" s="3"/>
      <c r="F567" s="3"/>
      <c r="G567" s="3"/>
      <c r="H567" s="7" t="s">
        <v>32</v>
      </c>
      <c r="I567" s="9">
        <v>46032</v>
      </c>
      <c r="J567" s="3"/>
      <c r="K567" s="3"/>
      <c r="L567" s="3"/>
    </row>
    <row r="568" spans="1:1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27.6">
      <c r="A569" s="3"/>
      <c r="B569" s="3"/>
      <c r="C569" s="7" t="s">
        <v>33</v>
      </c>
      <c r="D569" s="143" t="s">
        <v>217</v>
      </c>
      <c r="E569" s="143"/>
      <c r="F569" s="143"/>
      <c r="G569" s="3"/>
      <c r="H569" s="3"/>
      <c r="I569" s="3"/>
      <c r="J569" s="3"/>
      <c r="K569" s="3"/>
      <c r="L569" s="3"/>
    </row>
    <row r="570" spans="1:1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>
      <c r="A571" s="3"/>
      <c r="B571" s="3"/>
      <c r="C571" s="7" t="s">
        <v>34</v>
      </c>
      <c r="D571" s="143" t="s">
        <v>218</v>
      </c>
      <c r="E571" s="143"/>
      <c r="F571" s="143"/>
      <c r="G571" s="3"/>
      <c r="H571" s="3"/>
      <c r="I571" s="3"/>
      <c r="J571" s="3"/>
      <c r="K571" s="3"/>
      <c r="L571" s="3"/>
    </row>
    <row r="572" spans="1:1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>
      <c r="A573" s="3"/>
      <c r="B573" s="3"/>
      <c r="C573" s="7" t="s">
        <v>35</v>
      </c>
      <c r="D573" s="143" t="s">
        <v>36</v>
      </c>
      <c r="E573" s="143"/>
      <c r="F573" s="143"/>
      <c r="G573" s="3"/>
      <c r="H573" s="3"/>
      <c r="I573" s="3"/>
      <c r="J573" s="3"/>
      <c r="K573" s="3"/>
      <c r="L573" s="3"/>
    </row>
    <row r="574" spans="1:12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26.4">
      <c r="A576" s="1"/>
      <c r="B576" s="11" t="s">
        <v>38</v>
      </c>
      <c r="C576" s="11" t="s">
        <v>39</v>
      </c>
      <c r="D576" s="11" t="s">
        <v>39</v>
      </c>
      <c r="E576" s="11" t="s">
        <v>40</v>
      </c>
      <c r="F576" s="11" t="s">
        <v>41</v>
      </c>
      <c r="G576" s="11" t="s">
        <v>2</v>
      </c>
      <c r="H576" s="11" t="s">
        <v>42</v>
      </c>
      <c r="I576" s="11" t="s">
        <v>43</v>
      </c>
      <c r="J576" s="11" t="s">
        <v>44</v>
      </c>
      <c r="K576" s="11" t="s">
        <v>45</v>
      </c>
      <c r="L576" s="11" t="s">
        <v>46</v>
      </c>
    </row>
    <row r="577" spans="1:12" ht="26.4">
      <c r="A577" s="11" t="s">
        <v>37</v>
      </c>
      <c r="B577" s="13" t="s">
        <v>47</v>
      </c>
      <c r="C577" s="14" t="s">
        <v>48</v>
      </c>
      <c r="E577" s="35">
        <v>1</v>
      </c>
      <c r="F577" s="14" t="s">
        <v>87</v>
      </c>
      <c r="G577" s="14" t="s">
        <v>277</v>
      </c>
      <c r="H577" s="12" t="s">
        <v>7</v>
      </c>
      <c r="I577" s="15">
        <v>159</v>
      </c>
      <c r="J577" s="54">
        <v>195</v>
      </c>
      <c r="K577" s="33">
        <f>J577*I577</f>
        <v>31005</v>
      </c>
      <c r="L577" s="16"/>
    </row>
    <row r="578" spans="1:12" ht="26.4">
      <c r="A578" s="12">
        <v>1</v>
      </c>
      <c r="B578" s="13" t="s">
        <v>47</v>
      </c>
      <c r="C578" s="14" t="s">
        <v>48</v>
      </c>
      <c r="E578" s="35">
        <v>1</v>
      </c>
      <c r="F578" s="14" t="s">
        <v>144</v>
      </c>
      <c r="G578" s="14" t="s">
        <v>277</v>
      </c>
      <c r="H578" t="s">
        <v>7</v>
      </c>
      <c r="I578" s="15">
        <v>2.7</v>
      </c>
      <c r="J578" s="54">
        <v>195</v>
      </c>
      <c r="K578" s="33">
        <f>J578*I578</f>
        <v>526.5</v>
      </c>
      <c r="L578" s="16"/>
    </row>
    <row r="579" spans="1:12" ht="26.4">
      <c r="A579" s="12">
        <v>2</v>
      </c>
      <c r="B579" s="13" t="s">
        <v>47</v>
      </c>
      <c r="C579" s="14" t="s">
        <v>48</v>
      </c>
      <c r="D579" s="14" t="s">
        <v>49</v>
      </c>
      <c r="E579" s="35">
        <v>1</v>
      </c>
      <c r="F579" s="14" t="s">
        <v>160</v>
      </c>
      <c r="G579" s="14" t="s">
        <v>277</v>
      </c>
      <c r="H579" s="12" t="s">
        <v>7</v>
      </c>
      <c r="I579" s="15">
        <v>3.5</v>
      </c>
      <c r="J579" s="54">
        <v>195</v>
      </c>
      <c r="K579" s="33">
        <f>J579*I579</f>
        <v>682.5</v>
      </c>
      <c r="L579" s="16"/>
    </row>
    <row r="580" spans="1:12" ht="26.4">
      <c r="A580" s="12">
        <v>3</v>
      </c>
      <c r="B580" s="13" t="s">
        <v>47</v>
      </c>
      <c r="C580" s="14" t="s">
        <v>48</v>
      </c>
      <c r="E580" s="35">
        <v>1</v>
      </c>
      <c r="F580" s="14" t="s">
        <v>145</v>
      </c>
      <c r="G580" s="14" t="s">
        <v>277</v>
      </c>
      <c r="H580" s="12" t="s">
        <v>7</v>
      </c>
      <c r="I580" s="15">
        <v>6.8</v>
      </c>
      <c r="J580" s="54">
        <v>195</v>
      </c>
      <c r="K580" s="33">
        <f>J580*I580</f>
        <v>1326</v>
      </c>
      <c r="L580" s="16"/>
    </row>
    <row r="581" spans="1:12" ht="26.4">
      <c r="A581" s="12">
        <v>4</v>
      </c>
      <c r="B581" s="13" t="s">
        <v>47</v>
      </c>
      <c r="C581" s="14" t="s">
        <v>48</v>
      </c>
      <c r="D581" s="14" t="s">
        <v>49</v>
      </c>
      <c r="E581" s="35">
        <v>1</v>
      </c>
      <c r="F581" s="14" t="s">
        <v>141</v>
      </c>
      <c r="G581" s="14" t="s">
        <v>277</v>
      </c>
      <c r="H581" s="12" t="s">
        <v>7</v>
      </c>
      <c r="I581" s="15">
        <v>5</v>
      </c>
      <c r="J581" s="54">
        <v>195</v>
      </c>
      <c r="K581" s="33">
        <f>J581*I581</f>
        <v>975</v>
      </c>
      <c r="L581" s="16"/>
    </row>
    <row r="582" spans="1:12" ht="26.4">
      <c r="A582" s="12">
        <v>5</v>
      </c>
      <c r="B582" s="13" t="s">
        <v>47</v>
      </c>
      <c r="C582" s="14" t="s">
        <v>48</v>
      </c>
      <c r="D582" s="14" t="s">
        <v>49</v>
      </c>
      <c r="E582" s="35">
        <v>1</v>
      </c>
      <c r="F582" s="14" t="s">
        <v>156</v>
      </c>
      <c r="G582" s="14" t="s">
        <v>277</v>
      </c>
      <c r="H582" s="12" t="s">
        <v>7</v>
      </c>
      <c r="I582" s="15">
        <v>2.7</v>
      </c>
      <c r="J582" s="54">
        <v>195</v>
      </c>
      <c r="K582" s="33">
        <f t="shared" ref="K582:K645" si="11">J582*I582</f>
        <v>526.5</v>
      </c>
      <c r="L582" s="16"/>
    </row>
    <row r="583" spans="1:12" ht="26.4">
      <c r="A583" s="12">
        <v>6</v>
      </c>
      <c r="B583" s="13" t="s">
        <v>47</v>
      </c>
      <c r="C583" s="14" t="s">
        <v>48</v>
      </c>
      <c r="D583" s="14" t="s">
        <v>49</v>
      </c>
      <c r="E583" s="35">
        <v>1</v>
      </c>
      <c r="F583" s="14" t="s">
        <v>109</v>
      </c>
      <c r="G583" s="14" t="s">
        <v>277</v>
      </c>
      <c r="H583" s="12" t="s">
        <v>7</v>
      </c>
      <c r="I583" s="15">
        <v>1.76</v>
      </c>
      <c r="J583" s="54">
        <v>195</v>
      </c>
      <c r="K583" s="33">
        <f t="shared" si="11"/>
        <v>343.2</v>
      </c>
      <c r="L583" s="16"/>
    </row>
    <row r="584" spans="1:12" ht="26.4">
      <c r="A584" s="12">
        <v>7</v>
      </c>
      <c r="B584" s="13" t="s">
        <v>47</v>
      </c>
      <c r="C584" s="14" t="s">
        <v>48</v>
      </c>
      <c r="D584" s="14" t="s">
        <v>49</v>
      </c>
      <c r="E584" s="35">
        <v>2</v>
      </c>
      <c r="F584" s="14" t="s">
        <v>183</v>
      </c>
      <c r="G584" s="14" t="s">
        <v>277</v>
      </c>
      <c r="H584" s="12" t="s">
        <v>7</v>
      </c>
      <c r="I584" s="15">
        <v>78</v>
      </c>
      <c r="J584" s="54">
        <v>195</v>
      </c>
      <c r="K584" s="33">
        <f t="shared" si="11"/>
        <v>15210</v>
      </c>
      <c r="L584" s="16"/>
    </row>
    <row r="585" spans="1:12" ht="26.4">
      <c r="A585" s="12">
        <v>8</v>
      </c>
      <c r="B585" s="13" t="s">
        <v>47</v>
      </c>
      <c r="C585" s="14" t="s">
        <v>48</v>
      </c>
      <c r="D585" s="14" t="s">
        <v>49</v>
      </c>
      <c r="E585" s="35">
        <v>2</v>
      </c>
      <c r="F585" s="14" t="s">
        <v>188</v>
      </c>
      <c r="G585" s="14" t="s">
        <v>277</v>
      </c>
      <c r="H585" s="12" t="s">
        <v>7</v>
      </c>
      <c r="I585" s="15">
        <v>6.8</v>
      </c>
      <c r="J585" s="54">
        <v>195</v>
      </c>
      <c r="K585" s="33">
        <f t="shared" si="11"/>
        <v>1326</v>
      </c>
      <c r="L585" s="16"/>
    </row>
    <row r="586" spans="1:12" ht="26.4">
      <c r="A586" s="12">
        <v>9</v>
      </c>
      <c r="B586" s="13" t="s">
        <v>47</v>
      </c>
      <c r="C586" s="14" t="s">
        <v>48</v>
      </c>
      <c r="D586" s="14" t="s">
        <v>49</v>
      </c>
      <c r="E586" s="35">
        <v>2</v>
      </c>
      <c r="F586" s="14" t="s">
        <v>197</v>
      </c>
      <c r="G586" s="14" t="s">
        <v>277</v>
      </c>
      <c r="H586" s="12" t="s">
        <v>7</v>
      </c>
      <c r="I586" s="15">
        <v>6.8</v>
      </c>
      <c r="J586" s="54">
        <v>195</v>
      </c>
      <c r="K586" s="33">
        <f t="shared" si="11"/>
        <v>1326</v>
      </c>
      <c r="L586" s="16"/>
    </row>
    <row r="587" spans="1:12" ht="26.4">
      <c r="A587" s="12">
        <v>10</v>
      </c>
      <c r="B587" s="13" t="s">
        <v>47</v>
      </c>
      <c r="C587" s="14" t="s">
        <v>48</v>
      </c>
      <c r="D587" s="14" t="s">
        <v>49</v>
      </c>
      <c r="E587" s="35">
        <v>2</v>
      </c>
      <c r="F587" s="14" t="s">
        <v>213</v>
      </c>
      <c r="G587" s="14" t="s">
        <v>277</v>
      </c>
      <c r="H587" s="12" t="s">
        <v>7</v>
      </c>
      <c r="I587" s="15">
        <v>3.3</v>
      </c>
      <c r="J587" s="54">
        <v>195</v>
      </c>
      <c r="K587" s="33">
        <f t="shared" si="11"/>
        <v>643.5</v>
      </c>
      <c r="L587" s="16"/>
    </row>
    <row r="588" spans="1:12" ht="26.4">
      <c r="A588" s="12">
        <v>11</v>
      </c>
      <c r="B588" s="13" t="s">
        <v>47</v>
      </c>
      <c r="C588" s="14" t="s">
        <v>48</v>
      </c>
      <c r="D588" s="14" t="s">
        <v>49</v>
      </c>
      <c r="E588" s="35">
        <v>2</v>
      </c>
      <c r="F588" s="14" t="s">
        <v>196</v>
      </c>
      <c r="G588" s="14" t="s">
        <v>277</v>
      </c>
      <c r="H588" s="12" t="s">
        <v>7</v>
      </c>
      <c r="I588" s="15">
        <v>2.7</v>
      </c>
      <c r="J588" s="54">
        <v>195</v>
      </c>
      <c r="K588" s="33">
        <f t="shared" si="11"/>
        <v>526.5</v>
      </c>
      <c r="L588" s="16"/>
    </row>
    <row r="589" spans="1:12" ht="26.4">
      <c r="A589" s="12">
        <v>12</v>
      </c>
      <c r="B589" s="13" t="s">
        <v>47</v>
      </c>
      <c r="C589" s="14" t="s">
        <v>48</v>
      </c>
      <c r="D589" s="14" t="s">
        <v>49</v>
      </c>
      <c r="E589" s="35">
        <v>2</v>
      </c>
      <c r="F589" s="14" t="s">
        <v>201</v>
      </c>
      <c r="G589" s="14" t="s">
        <v>277</v>
      </c>
      <c r="H589" s="12" t="s">
        <v>7</v>
      </c>
      <c r="I589" s="15">
        <v>2.7</v>
      </c>
      <c r="J589" s="54">
        <v>195</v>
      </c>
      <c r="K589" s="33">
        <f t="shared" si="11"/>
        <v>526.5</v>
      </c>
      <c r="L589" s="16"/>
    </row>
    <row r="590" spans="1:12" ht="26.4">
      <c r="A590" s="12">
        <v>13</v>
      </c>
      <c r="B590" s="13" t="s">
        <v>47</v>
      </c>
      <c r="C590" s="14" t="s">
        <v>48</v>
      </c>
      <c r="D590" s="14" t="s">
        <v>49</v>
      </c>
      <c r="E590" s="35">
        <v>1</v>
      </c>
      <c r="F590" s="14" t="s">
        <v>113</v>
      </c>
      <c r="G590" s="14" t="s">
        <v>277</v>
      </c>
      <c r="H590" s="12" t="s">
        <v>7</v>
      </c>
      <c r="I590" s="15">
        <v>100</v>
      </c>
      <c r="J590" s="54">
        <v>195</v>
      </c>
      <c r="K590" s="33">
        <f t="shared" si="11"/>
        <v>19500</v>
      </c>
      <c r="L590" s="16"/>
    </row>
    <row r="591" spans="1:12" ht="26.4">
      <c r="A591" s="12">
        <v>14</v>
      </c>
      <c r="B591" s="13" t="s">
        <v>47</v>
      </c>
      <c r="C591" s="14" t="s">
        <v>48</v>
      </c>
      <c r="D591" s="14" t="s">
        <v>49</v>
      </c>
      <c r="E591" s="35">
        <v>2</v>
      </c>
      <c r="F591" s="14" t="s">
        <v>192</v>
      </c>
      <c r="G591" s="14" t="s">
        <v>277</v>
      </c>
      <c r="H591" s="12" t="s">
        <v>7</v>
      </c>
      <c r="I591" s="15">
        <v>100</v>
      </c>
      <c r="J591" s="54">
        <v>195</v>
      </c>
      <c r="K591" s="33">
        <f t="shared" si="11"/>
        <v>19500</v>
      </c>
      <c r="L591" s="16"/>
    </row>
    <row r="592" spans="1:12" ht="26.4">
      <c r="A592" s="12">
        <v>15</v>
      </c>
      <c r="B592" s="13" t="s">
        <v>47</v>
      </c>
      <c r="C592" s="14" t="s">
        <v>48</v>
      </c>
      <c r="D592" s="14" t="s">
        <v>49</v>
      </c>
      <c r="E592" s="35">
        <v>3</v>
      </c>
      <c r="F592" s="14" t="s">
        <v>236</v>
      </c>
      <c r="G592" s="14" t="s">
        <v>277</v>
      </c>
      <c r="H592" s="12" t="s">
        <v>7</v>
      </c>
      <c r="I592" s="15">
        <v>100</v>
      </c>
      <c r="J592" s="54">
        <v>195</v>
      </c>
      <c r="K592" s="33">
        <f>J596*I592</f>
        <v>19500</v>
      </c>
      <c r="L592" s="16"/>
    </row>
    <row r="593" spans="1:12" ht="26.4">
      <c r="A593" s="12">
        <v>16</v>
      </c>
      <c r="B593" s="13" t="s">
        <v>47</v>
      </c>
      <c r="C593" s="14" t="s">
        <v>48</v>
      </c>
      <c r="D593" s="14" t="s">
        <v>49</v>
      </c>
      <c r="E593" s="35">
        <v>2</v>
      </c>
      <c r="F593" s="14" t="s">
        <v>182</v>
      </c>
      <c r="G593" s="14" t="s">
        <v>277</v>
      </c>
      <c r="H593" s="12" t="s">
        <v>7</v>
      </c>
      <c r="I593" s="15">
        <v>7.5</v>
      </c>
      <c r="J593" s="54">
        <v>195</v>
      </c>
      <c r="K593" s="33">
        <f t="shared" si="11"/>
        <v>1462.5</v>
      </c>
      <c r="L593" s="16"/>
    </row>
    <row r="594" spans="1:12" ht="26.4">
      <c r="A594" s="12">
        <v>17</v>
      </c>
      <c r="B594" s="13" t="s">
        <v>47</v>
      </c>
      <c r="C594" s="14" t="s">
        <v>48</v>
      </c>
      <c r="D594" s="14" t="s">
        <v>49</v>
      </c>
      <c r="E594" s="35">
        <v>2</v>
      </c>
      <c r="F594" s="14" t="s">
        <v>216</v>
      </c>
      <c r="G594" s="14" t="s">
        <v>277</v>
      </c>
      <c r="H594" s="12" t="s">
        <v>7</v>
      </c>
      <c r="I594" s="15">
        <v>150</v>
      </c>
      <c r="J594" s="54">
        <v>195</v>
      </c>
      <c r="K594" s="33">
        <f t="shared" si="11"/>
        <v>29250</v>
      </c>
      <c r="L594" s="16"/>
    </row>
    <row r="595" spans="1:12" ht="26.4">
      <c r="A595" s="12">
        <v>18</v>
      </c>
      <c r="B595" s="13" t="s">
        <v>47</v>
      </c>
      <c r="C595" s="14" t="s">
        <v>48</v>
      </c>
      <c r="D595" s="14" t="s">
        <v>49</v>
      </c>
      <c r="E595" s="35">
        <v>2</v>
      </c>
      <c r="F595" s="14" t="s">
        <v>182</v>
      </c>
      <c r="G595" s="14" t="s">
        <v>277</v>
      </c>
      <c r="H595" s="12" t="s">
        <v>7</v>
      </c>
      <c r="I595" s="15">
        <v>150</v>
      </c>
      <c r="J595" s="54">
        <v>195</v>
      </c>
      <c r="K595" s="33">
        <f t="shared" si="11"/>
        <v>29250</v>
      </c>
    </row>
    <row r="596" spans="1:12" ht="26.4">
      <c r="A596" s="12">
        <v>19</v>
      </c>
      <c r="B596" s="13" t="s">
        <v>47</v>
      </c>
      <c r="C596" s="14" t="s">
        <v>48</v>
      </c>
      <c r="D596" s="14" t="s">
        <v>49</v>
      </c>
      <c r="E596" s="35">
        <v>2</v>
      </c>
      <c r="F596" s="14" t="s">
        <v>188</v>
      </c>
      <c r="G596" s="14" t="s">
        <v>277</v>
      </c>
      <c r="H596" s="12" t="s">
        <v>7</v>
      </c>
      <c r="I596" s="15">
        <v>256</v>
      </c>
      <c r="J596" s="54">
        <v>195</v>
      </c>
      <c r="K596" s="33">
        <v>0</v>
      </c>
      <c r="L596" s="16"/>
    </row>
    <row r="597" spans="1:12" ht="26.4">
      <c r="A597" s="12">
        <v>20</v>
      </c>
      <c r="B597" s="13" t="s">
        <v>47</v>
      </c>
      <c r="C597" s="14" t="s">
        <v>48</v>
      </c>
      <c r="D597" s="14" t="s">
        <v>49</v>
      </c>
      <c r="E597" s="35">
        <v>3</v>
      </c>
      <c r="F597" s="14" t="s">
        <v>220</v>
      </c>
      <c r="G597" s="14" t="s">
        <v>277</v>
      </c>
      <c r="H597" s="12" t="s">
        <v>7</v>
      </c>
      <c r="I597" s="15">
        <v>76</v>
      </c>
      <c r="J597" s="54">
        <v>195</v>
      </c>
      <c r="K597" s="33">
        <f t="shared" si="11"/>
        <v>14820</v>
      </c>
      <c r="L597" s="16"/>
    </row>
    <row r="598" spans="1:12" ht="26.4">
      <c r="A598" s="12">
        <v>21</v>
      </c>
      <c r="B598" s="13" t="s">
        <v>47</v>
      </c>
      <c r="C598" s="14" t="s">
        <v>48</v>
      </c>
      <c r="D598" s="14" t="s">
        <v>49</v>
      </c>
      <c r="E598" s="35">
        <v>3</v>
      </c>
      <c r="F598" s="14" t="s">
        <v>221</v>
      </c>
      <c r="G598" s="14" t="s">
        <v>277</v>
      </c>
      <c r="H598" s="12" t="s">
        <v>7</v>
      </c>
      <c r="I598" s="15">
        <v>105</v>
      </c>
      <c r="J598" s="54">
        <v>195</v>
      </c>
      <c r="K598" s="33">
        <f t="shared" si="11"/>
        <v>20475</v>
      </c>
      <c r="L598" s="16"/>
    </row>
    <row r="599" spans="1:12" ht="26.4">
      <c r="A599" s="12">
        <v>22</v>
      </c>
      <c r="B599" s="13" t="s">
        <v>47</v>
      </c>
      <c r="C599" s="14" t="s">
        <v>48</v>
      </c>
      <c r="D599" s="14" t="s">
        <v>49</v>
      </c>
      <c r="E599" s="35">
        <v>3</v>
      </c>
      <c r="F599" s="14" t="s">
        <v>243</v>
      </c>
      <c r="G599" s="14" t="s">
        <v>277</v>
      </c>
      <c r="H599" s="12" t="s">
        <v>7</v>
      </c>
      <c r="I599" s="15">
        <v>6.8</v>
      </c>
      <c r="J599" s="54">
        <v>195</v>
      </c>
      <c r="K599" s="33">
        <v>0</v>
      </c>
      <c r="L599" s="16"/>
    </row>
    <row r="600" spans="1:12" ht="26.4">
      <c r="A600" s="12">
        <v>23</v>
      </c>
      <c r="B600" s="13" t="s">
        <v>47</v>
      </c>
      <c r="C600" s="14" t="s">
        <v>48</v>
      </c>
      <c r="D600" s="14" t="s">
        <v>49</v>
      </c>
      <c r="E600" s="35">
        <v>3</v>
      </c>
      <c r="F600" s="14" t="s">
        <v>248</v>
      </c>
      <c r="G600" s="14" t="s">
        <v>277</v>
      </c>
      <c r="H600" s="12" t="s">
        <v>7</v>
      </c>
      <c r="I600" s="15">
        <v>6.8</v>
      </c>
      <c r="J600" s="54">
        <v>195</v>
      </c>
      <c r="K600" s="33">
        <f t="shared" si="11"/>
        <v>1326</v>
      </c>
      <c r="L600" s="16"/>
    </row>
    <row r="601" spans="1:12" ht="26.4">
      <c r="A601" s="12">
        <v>24</v>
      </c>
      <c r="B601" s="13" t="s">
        <v>47</v>
      </c>
      <c r="C601" s="14" t="s">
        <v>48</v>
      </c>
      <c r="D601" s="14" t="s">
        <v>49</v>
      </c>
      <c r="E601" s="35">
        <v>3</v>
      </c>
      <c r="F601" s="14" t="s">
        <v>253</v>
      </c>
      <c r="G601" s="14" t="s">
        <v>277</v>
      </c>
      <c r="H601" s="12" t="s">
        <v>7</v>
      </c>
      <c r="I601" s="15">
        <v>3.3</v>
      </c>
      <c r="J601" s="54">
        <v>195</v>
      </c>
      <c r="K601" s="33">
        <f t="shared" si="11"/>
        <v>643.5</v>
      </c>
      <c r="L601" s="16"/>
    </row>
    <row r="602" spans="1:12" ht="26.4">
      <c r="A602" s="12">
        <v>25</v>
      </c>
      <c r="B602" s="13" t="s">
        <v>47</v>
      </c>
      <c r="C602" s="14" t="s">
        <v>48</v>
      </c>
      <c r="D602" s="14" t="s">
        <v>49</v>
      </c>
      <c r="E602" s="35">
        <v>3</v>
      </c>
      <c r="F602" s="14" t="s">
        <v>219</v>
      </c>
      <c r="G602" s="14" t="s">
        <v>277</v>
      </c>
      <c r="H602" s="12" t="s">
        <v>7</v>
      </c>
      <c r="I602" s="15">
        <v>100</v>
      </c>
      <c r="J602" s="54">
        <v>195</v>
      </c>
      <c r="K602" s="33">
        <f t="shared" si="11"/>
        <v>19500</v>
      </c>
      <c r="L602" s="16"/>
    </row>
    <row r="603" spans="1:12" ht="26.4">
      <c r="A603" s="12">
        <v>26</v>
      </c>
      <c r="B603" s="13" t="s">
        <v>47</v>
      </c>
      <c r="C603" s="14" t="s">
        <v>48</v>
      </c>
      <c r="D603" s="14" t="s">
        <v>49</v>
      </c>
      <c r="E603" s="35">
        <v>3</v>
      </c>
      <c r="F603" s="14" t="s">
        <v>225</v>
      </c>
      <c r="G603" s="14" t="s">
        <v>277</v>
      </c>
      <c r="H603" s="12" t="s">
        <v>7</v>
      </c>
      <c r="I603" s="15">
        <v>107</v>
      </c>
      <c r="J603" s="54">
        <v>195</v>
      </c>
      <c r="K603" s="33">
        <f t="shared" si="11"/>
        <v>20865</v>
      </c>
      <c r="L603" s="16"/>
    </row>
    <row r="604" spans="1:12" ht="26.4">
      <c r="A604" s="12">
        <v>27</v>
      </c>
      <c r="B604" s="13" t="s">
        <v>47</v>
      </c>
      <c r="C604" s="14" t="s">
        <v>48</v>
      </c>
      <c r="D604" s="14" t="s">
        <v>49</v>
      </c>
      <c r="E604" s="35">
        <v>3</v>
      </c>
      <c r="F604" s="14" t="s">
        <v>222</v>
      </c>
      <c r="G604" s="14" t="s">
        <v>277</v>
      </c>
      <c r="H604" s="12" t="s">
        <v>7</v>
      </c>
      <c r="I604" s="15">
        <v>106</v>
      </c>
      <c r="J604" s="54">
        <v>195</v>
      </c>
      <c r="K604" s="33">
        <f t="shared" si="11"/>
        <v>20670</v>
      </c>
      <c r="L604" s="16"/>
    </row>
    <row r="605" spans="1:12" ht="52.8">
      <c r="A605" s="12">
        <v>28</v>
      </c>
      <c r="B605" s="13" t="s">
        <v>47</v>
      </c>
      <c r="C605" s="14" t="s">
        <v>48</v>
      </c>
      <c r="D605" s="14" t="s">
        <v>49</v>
      </c>
      <c r="E605" s="35">
        <v>3</v>
      </c>
      <c r="F605" s="14" t="s">
        <v>271</v>
      </c>
      <c r="G605" s="14" t="s">
        <v>277</v>
      </c>
      <c r="H605" s="12" t="s">
        <v>7</v>
      </c>
      <c r="I605" s="15">
        <v>136</v>
      </c>
      <c r="J605" s="54">
        <v>195</v>
      </c>
      <c r="K605" s="33">
        <f t="shared" si="11"/>
        <v>26520</v>
      </c>
      <c r="L605" s="16"/>
    </row>
    <row r="606" spans="1:12" ht="26.4">
      <c r="A606" s="12">
        <v>29</v>
      </c>
      <c r="B606" s="13" t="s">
        <v>47</v>
      </c>
      <c r="C606" s="14" t="s">
        <v>48</v>
      </c>
      <c r="D606" s="14" t="s">
        <v>49</v>
      </c>
      <c r="E606" s="35">
        <v>3</v>
      </c>
      <c r="F606" s="14" t="s">
        <v>240</v>
      </c>
      <c r="G606" s="14" t="s">
        <v>277</v>
      </c>
      <c r="H606" s="12" t="s">
        <v>7</v>
      </c>
      <c r="I606" s="15">
        <v>3</v>
      </c>
      <c r="J606" s="54">
        <v>195</v>
      </c>
      <c r="K606" s="33">
        <f t="shared" si="11"/>
        <v>585</v>
      </c>
      <c r="L606" s="16"/>
    </row>
    <row r="607" spans="1:12" ht="26.4">
      <c r="A607" s="12">
        <v>30</v>
      </c>
      <c r="B607" s="13" t="s">
        <v>47</v>
      </c>
      <c r="C607" s="14" t="s">
        <v>48</v>
      </c>
      <c r="D607" s="14" t="s">
        <v>49</v>
      </c>
      <c r="E607" s="35">
        <v>3</v>
      </c>
      <c r="F607" s="14" t="s">
        <v>247</v>
      </c>
      <c r="G607" s="14" t="s">
        <v>277</v>
      </c>
      <c r="H607" s="12" t="s">
        <v>7</v>
      </c>
      <c r="I607" s="15">
        <v>3</v>
      </c>
      <c r="J607" s="54">
        <v>195</v>
      </c>
      <c r="K607" s="33">
        <f t="shared" si="11"/>
        <v>585</v>
      </c>
      <c r="L607" s="16"/>
    </row>
    <row r="608" spans="1:12" ht="26.4">
      <c r="A608" s="12">
        <v>31</v>
      </c>
      <c r="B608" s="13" t="s">
        <v>47</v>
      </c>
      <c r="C608" s="14" t="s">
        <v>48</v>
      </c>
      <c r="D608" s="14" t="s">
        <v>49</v>
      </c>
      <c r="E608" s="35">
        <v>3</v>
      </c>
      <c r="F608" s="14" t="s">
        <v>228</v>
      </c>
      <c r="G608" s="14" t="s">
        <v>277</v>
      </c>
      <c r="H608" s="12" t="s">
        <v>7</v>
      </c>
      <c r="I608" s="15">
        <v>41</v>
      </c>
      <c r="J608" s="54">
        <v>195</v>
      </c>
      <c r="K608" s="33">
        <f t="shared" si="11"/>
        <v>7995</v>
      </c>
      <c r="L608" s="16"/>
    </row>
    <row r="609" spans="1:12" ht="26.4">
      <c r="A609" s="12">
        <v>32</v>
      </c>
      <c r="B609" s="13" t="s">
        <v>47</v>
      </c>
      <c r="C609" s="14" t="s">
        <v>48</v>
      </c>
      <c r="D609" s="14" t="s">
        <v>49</v>
      </c>
      <c r="E609" s="35">
        <v>3</v>
      </c>
      <c r="F609" s="14" t="s">
        <v>223</v>
      </c>
      <c r="G609" s="14" t="s">
        <v>277</v>
      </c>
      <c r="H609" s="12" t="s">
        <v>7</v>
      </c>
      <c r="I609" s="15">
        <v>103</v>
      </c>
      <c r="J609" s="54">
        <v>195</v>
      </c>
      <c r="K609" s="33">
        <f t="shared" si="11"/>
        <v>20085</v>
      </c>
      <c r="L609" s="16"/>
    </row>
    <row r="610" spans="1:12" ht="26.4">
      <c r="A610" s="12">
        <v>33</v>
      </c>
      <c r="B610" s="13" t="s">
        <v>47</v>
      </c>
      <c r="C610" s="14" t="s">
        <v>48</v>
      </c>
      <c r="D610" s="14" t="s">
        <v>49</v>
      </c>
      <c r="E610" s="35">
        <v>1</v>
      </c>
      <c r="F610" s="14" t="s">
        <v>111</v>
      </c>
      <c r="G610" s="14" t="s">
        <v>277</v>
      </c>
      <c r="H610" s="12" t="s">
        <v>7</v>
      </c>
      <c r="I610" s="15">
        <v>85.3</v>
      </c>
      <c r="J610" s="54">
        <v>195</v>
      </c>
      <c r="K610" s="33">
        <f t="shared" si="11"/>
        <v>16633.5</v>
      </c>
      <c r="L610" s="16"/>
    </row>
    <row r="611" spans="1:12" ht="26.4">
      <c r="A611" s="12">
        <v>34</v>
      </c>
      <c r="B611" s="13" t="s">
        <v>47</v>
      </c>
      <c r="C611" s="14" t="s">
        <v>48</v>
      </c>
      <c r="D611" s="14" t="s">
        <v>49</v>
      </c>
      <c r="E611" s="35">
        <v>2</v>
      </c>
      <c r="F611" s="14" t="s">
        <v>189</v>
      </c>
      <c r="G611" s="14" t="s">
        <v>277</v>
      </c>
      <c r="H611" s="12" t="s">
        <v>7</v>
      </c>
      <c r="I611" s="15">
        <v>85.3</v>
      </c>
      <c r="J611" s="54">
        <v>195</v>
      </c>
      <c r="K611" s="33">
        <f t="shared" si="11"/>
        <v>16633.5</v>
      </c>
      <c r="L611" s="16"/>
    </row>
    <row r="612" spans="1:12" ht="26.4">
      <c r="A612" s="12">
        <v>35</v>
      </c>
      <c r="B612" s="13" t="s">
        <v>47</v>
      </c>
      <c r="C612" s="14" t="s">
        <v>48</v>
      </c>
      <c r="D612" s="14" t="s">
        <v>49</v>
      </c>
      <c r="E612" s="35">
        <v>3</v>
      </c>
      <c r="F612" s="14" t="s">
        <v>233</v>
      </c>
      <c r="G612" s="14" t="s">
        <v>277</v>
      </c>
      <c r="H612" s="12" t="s">
        <v>7</v>
      </c>
      <c r="I612" s="15">
        <v>85.3</v>
      </c>
      <c r="J612" s="54">
        <v>195</v>
      </c>
      <c r="K612" s="33">
        <f t="shared" si="11"/>
        <v>16633.5</v>
      </c>
      <c r="L612" s="16"/>
    </row>
    <row r="613" spans="1:12" ht="26.4">
      <c r="A613" s="12">
        <v>36</v>
      </c>
      <c r="B613" s="13" t="s">
        <v>47</v>
      </c>
      <c r="C613" s="14" t="s">
        <v>48</v>
      </c>
      <c r="D613" s="14" t="s">
        <v>49</v>
      </c>
      <c r="E613" s="35">
        <v>1</v>
      </c>
      <c r="F613" s="14" t="s">
        <v>141</v>
      </c>
      <c r="G613" s="14" t="s">
        <v>278</v>
      </c>
      <c r="H613" s="12" t="s">
        <v>7</v>
      </c>
      <c r="I613" s="15">
        <v>5</v>
      </c>
      <c r="J613" s="54">
        <v>195</v>
      </c>
      <c r="K613" s="33">
        <f t="shared" si="11"/>
        <v>975</v>
      </c>
      <c r="L613" s="16"/>
    </row>
    <row r="614" spans="1:12" ht="26.4">
      <c r="A614" s="12">
        <v>37</v>
      </c>
      <c r="B614" s="13" t="s">
        <v>47</v>
      </c>
      <c r="C614" s="14" t="s">
        <v>48</v>
      </c>
      <c r="D614" s="14" t="s">
        <v>49</v>
      </c>
      <c r="E614" s="35">
        <v>1</v>
      </c>
      <c r="F614" s="14" t="s">
        <v>109</v>
      </c>
      <c r="G614" s="14" t="s">
        <v>278</v>
      </c>
      <c r="H614" s="12" t="s">
        <v>7</v>
      </c>
      <c r="I614" s="15">
        <v>17.600000000000001</v>
      </c>
      <c r="J614" s="54">
        <v>195</v>
      </c>
      <c r="K614" s="33">
        <f t="shared" si="11"/>
        <v>3432.0000000000005</v>
      </c>
      <c r="L614" s="16"/>
    </row>
    <row r="615" spans="1:12" ht="26.4">
      <c r="A615" s="12">
        <v>38</v>
      </c>
      <c r="B615" s="13" t="s">
        <v>47</v>
      </c>
      <c r="C615" s="14" t="s">
        <v>48</v>
      </c>
      <c r="D615" s="14" t="s">
        <v>49</v>
      </c>
      <c r="E615" s="35">
        <v>1</v>
      </c>
      <c r="F615" s="14" t="s">
        <v>113</v>
      </c>
      <c r="G615" s="14" t="s">
        <v>278</v>
      </c>
      <c r="H615" s="12" t="s">
        <v>7</v>
      </c>
      <c r="I615" s="15">
        <v>100</v>
      </c>
      <c r="J615" s="54">
        <v>195</v>
      </c>
      <c r="K615" s="33">
        <f t="shared" si="11"/>
        <v>19500</v>
      </c>
      <c r="L615" s="16"/>
    </row>
    <row r="616" spans="1:12" ht="26.4">
      <c r="A616" s="12">
        <v>39</v>
      </c>
      <c r="B616" s="13" t="s">
        <v>47</v>
      </c>
      <c r="C616" s="14" t="s">
        <v>48</v>
      </c>
      <c r="D616" s="14" t="s">
        <v>49</v>
      </c>
      <c r="E616" s="35">
        <v>2</v>
      </c>
      <c r="F616" s="14" t="s">
        <v>192</v>
      </c>
      <c r="G616" s="14" t="s">
        <v>278</v>
      </c>
      <c r="H616" s="12" t="s">
        <v>7</v>
      </c>
      <c r="I616" s="15">
        <v>100</v>
      </c>
      <c r="J616" s="54">
        <v>195</v>
      </c>
      <c r="K616" s="33">
        <f t="shared" si="11"/>
        <v>19500</v>
      </c>
      <c r="L616" s="16"/>
    </row>
    <row r="617" spans="1:12" ht="26.4">
      <c r="A617" s="12">
        <v>40</v>
      </c>
      <c r="B617" s="13" t="s">
        <v>47</v>
      </c>
      <c r="C617" s="14" t="s">
        <v>48</v>
      </c>
      <c r="D617" s="14" t="s">
        <v>49</v>
      </c>
      <c r="E617" s="35">
        <v>3</v>
      </c>
      <c r="F617" s="14" t="s">
        <v>236</v>
      </c>
      <c r="G617" s="14" t="s">
        <v>278</v>
      </c>
      <c r="H617" s="12" t="s">
        <v>7</v>
      </c>
      <c r="I617" s="15">
        <v>100</v>
      </c>
      <c r="J617" s="54">
        <v>195</v>
      </c>
      <c r="K617" s="33">
        <f t="shared" si="11"/>
        <v>19500</v>
      </c>
      <c r="L617" s="16"/>
    </row>
    <row r="618" spans="1:12" ht="26.4">
      <c r="A618" s="12">
        <v>41</v>
      </c>
      <c r="B618" s="13" t="s">
        <v>47</v>
      </c>
      <c r="C618" s="14" t="s">
        <v>48</v>
      </c>
      <c r="D618" s="14" t="s">
        <v>49</v>
      </c>
      <c r="E618" s="35">
        <v>3</v>
      </c>
      <c r="F618" s="14" t="s">
        <v>235</v>
      </c>
      <c r="G618" s="14" t="s">
        <v>278</v>
      </c>
      <c r="H618" s="12" t="s">
        <v>7</v>
      </c>
      <c r="I618" s="15">
        <v>115</v>
      </c>
      <c r="J618" s="54">
        <v>195</v>
      </c>
      <c r="K618" s="33">
        <f t="shared" si="11"/>
        <v>22425</v>
      </c>
      <c r="L618" s="16"/>
    </row>
    <row r="619" spans="1:12" ht="26.4">
      <c r="A619" s="12">
        <v>42</v>
      </c>
      <c r="B619" s="13" t="s">
        <v>47</v>
      </c>
      <c r="C619" s="14" t="s">
        <v>48</v>
      </c>
      <c r="D619" s="14" t="s">
        <v>49</v>
      </c>
      <c r="E619" s="35">
        <v>3</v>
      </c>
      <c r="F619" s="14" t="s">
        <v>246</v>
      </c>
      <c r="G619" s="14" t="s">
        <v>278</v>
      </c>
      <c r="H619" s="12" t="s">
        <v>7</v>
      </c>
      <c r="I619" s="15">
        <v>38</v>
      </c>
      <c r="J619" s="54">
        <v>195</v>
      </c>
      <c r="K619" s="33">
        <f t="shared" si="11"/>
        <v>7410</v>
      </c>
      <c r="L619" s="16"/>
    </row>
    <row r="620" spans="1:12" ht="26.4">
      <c r="A620" s="12">
        <v>43</v>
      </c>
      <c r="B620" s="13" t="s">
        <v>47</v>
      </c>
      <c r="C620" s="14" t="s">
        <v>48</v>
      </c>
      <c r="D620" s="14" t="s">
        <v>49</v>
      </c>
      <c r="E620" s="35">
        <v>3</v>
      </c>
      <c r="F620" s="14" t="s">
        <v>221</v>
      </c>
      <c r="G620" s="14" t="s">
        <v>278</v>
      </c>
      <c r="H620" s="12" t="s">
        <v>7</v>
      </c>
      <c r="I620" s="15">
        <v>41.3</v>
      </c>
      <c r="J620" s="54">
        <v>195</v>
      </c>
      <c r="K620" s="33">
        <f t="shared" si="11"/>
        <v>8053.4999999999991</v>
      </c>
      <c r="L620" s="16"/>
    </row>
    <row r="621" spans="1:12" ht="26.4">
      <c r="A621" s="12">
        <v>44</v>
      </c>
      <c r="B621" s="13" t="s">
        <v>47</v>
      </c>
      <c r="C621" s="14" t="s">
        <v>48</v>
      </c>
      <c r="D621" s="14" t="s">
        <v>49</v>
      </c>
      <c r="E621" s="35">
        <v>3</v>
      </c>
      <c r="F621" s="14" t="s">
        <v>259</v>
      </c>
      <c r="G621" s="14" t="s">
        <v>278</v>
      </c>
      <c r="H621" s="12" t="s">
        <v>7</v>
      </c>
      <c r="I621" s="15">
        <v>51</v>
      </c>
      <c r="J621" s="54">
        <v>195</v>
      </c>
      <c r="K621" s="33">
        <f t="shared" si="11"/>
        <v>9945</v>
      </c>
      <c r="L621" s="16"/>
    </row>
    <row r="622" spans="1:12" ht="26.4">
      <c r="A622" s="12">
        <v>45</v>
      </c>
      <c r="B622" s="13" t="s">
        <v>47</v>
      </c>
      <c r="C622" s="14" t="s">
        <v>48</v>
      </c>
      <c r="D622" s="14" t="s">
        <v>49</v>
      </c>
      <c r="E622" s="35">
        <v>3</v>
      </c>
      <c r="F622" s="14" t="s">
        <v>219</v>
      </c>
      <c r="G622" s="14" t="s">
        <v>278</v>
      </c>
      <c r="H622" s="12" t="s">
        <v>7</v>
      </c>
      <c r="I622" s="15">
        <v>5</v>
      </c>
      <c r="J622" s="54">
        <v>195</v>
      </c>
      <c r="K622" s="33">
        <f t="shared" si="11"/>
        <v>975</v>
      </c>
      <c r="L622" s="16"/>
    </row>
    <row r="623" spans="1:12" ht="26.4">
      <c r="A623" s="12">
        <v>46</v>
      </c>
      <c r="B623" s="13" t="s">
        <v>47</v>
      </c>
      <c r="C623" s="14" t="s">
        <v>48</v>
      </c>
      <c r="D623" s="14" t="s">
        <v>49</v>
      </c>
      <c r="E623" s="35">
        <v>3</v>
      </c>
      <c r="F623" s="14" t="s">
        <v>225</v>
      </c>
      <c r="G623" s="14" t="s">
        <v>278</v>
      </c>
      <c r="H623" s="12" t="s">
        <v>7</v>
      </c>
      <c r="I623" s="15">
        <v>11</v>
      </c>
      <c r="J623" s="54">
        <v>195</v>
      </c>
      <c r="K623" s="33">
        <f t="shared" si="11"/>
        <v>2145</v>
      </c>
      <c r="L623" s="16"/>
    </row>
    <row r="624" spans="1:12" ht="26.4">
      <c r="A624" s="12">
        <v>47</v>
      </c>
      <c r="B624" s="13" t="s">
        <v>47</v>
      </c>
      <c r="C624" s="14" t="s">
        <v>48</v>
      </c>
      <c r="D624" s="14" t="s">
        <v>49</v>
      </c>
      <c r="E624" s="35">
        <v>3</v>
      </c>
      <c r="F624" s="14" t="s">
        <v>222</v>
      </c>
      <c r="G624" s="14" t="s">
        <v>278</v>
      </c>
      <c r="H624" s="12" t="s">
        <v>7</v>
      </c>
      <c r="I624" s="15">
        <v>27.5</v>
      </c>
      <c r="J624" s="54">
        <v>195</v>
      </c>
      <c r="K624" s="33">
        <f t="shared" si="11"/>
        <v>5362.5</v>
      </c>
      <c r="L624" s="16"/>
    </row>
    <row r="625" spans="1:12" ht="52.8">
      <c r="A625" s="12">
        <v>48</v>
      </c>
      <c r="B625" s="13" t="s">
        <v>47</v>
      </c>
      <c r="C625" s="14" t="s">
        <v>48</v>
      </c>
      <c r="D625" s="14" t="s">
        <v>49</v>
      </c>
      <c r="E625" s="35">
        <v>3</v>
      </c>
      <c r="F625" s="14" t="s">
        <v>271</v>
      </c>
      <c r="G625" s="14" t="s">
        <v>278</v>
      </c>
      <c r="H625" s="12" t="s">
        <v>7</v>
      </c>
      <c r="I625" s="15">
        <v>19.5</v>
      </c>
      <c r="J625" s="54">
        <v>195</v>
      </c>
      <c r="K625" s="33">
        <f t="shared" si="11"/>
        <v>3802.5</v>
      </c>
      <c r="L625" s="16"/>
    </row>
    <row r="626" spans="1:12" ht="26.4">
      <c r="A626" s="12">
        <v>49</v>
      </c>
      <c r="B626" s="13" t="s">
        <v>47</v>
      </c>
      <c r="C626" s="14" t="s">
        <v>48</v>
      </c>
      <c r="D626" s="14" t="s">
        <v>49</v>
      </c>
      <c r="E626" s="35">
        <v>3</v>
      </c>
      <c r="F626" s="14" t="s">
        <v>228</v>
      </c>
      <c r="G626" s="14" t="s">
        <v>278</v>
      </c>
      <c r="H626" s="12" t="s">
        <v>7</v>
      </c>
      <c r="I626" s="15">
        <v>41</v>
      </c>
      <c r="J626" s="54">
        <v>195</v>
      </c>
      <c r="K626" s="33">
        <f t="shared" si="11"/>
        <v>7995</v>
      </c>
      <c r="L626" s="16"/>
    </row>
    <row r="627" spans="1:12" ht="26.4">
      <c r="A627" s="12">
        <v>50</v>
      </c>
      <c r="B627" s="13" t="s">
        <v>47</v>
      </c>
      <c r="C627" s="14" t="s">
        <v>48</v>
      </c>
      <c r="D627" s="14" t="s">
        <v>49</v>
      </c>
      <c r="E627" s="35">
        <v>3</v>
      </c>
      <c r="F627" s="14" t="s">
        <v>223</v>
      </c>
      <c r="G627" s="14" t="s">
        <v>278</v>
      </c>
      <c r="H627" s="12" t="s">
        <v>7</v>
      </c>
      <c r="I627" s="15">
        <v>31</v>
      </c>
      <c r="J627" s="54">
        <v>195</v>
      </c>
      <c r="K627" s="33">
        <f t="shared" si="11"/>
        <v>6045</v>
      </c>
      <c r="L627" s="16"/>
    </row>
    <row r="628" spans="1:12" ht="39.6">
      <c r="A628" s="12">
        <v>51</v>
      </c>
      <c r="B628" s="13" t="s">
        <v>47</v>
      </c>
      <c r="C628" s="14" t="s">
        <v>48</v>
      </c>
      <c r="D628" s="14" t="s">
        <v>49</v>
      </c>
      <c r="E628" s="35">
        <v>1</v>
      </c>
      <c r="F628" s="14" t="s">
        <v>144</v>
      </c>
      <c r="G628" s="14" t="s">
        <v>9</v>
      </c>
      <c r="H628" s="12" t="s">
        <v>7</v>
      </c>
      <c r="I628" s="15">
        <v>2.7</v>
      </c>
      <c r="J628" s="54">
        <v>195</v>
      </c>
      <c r="K628" s="33">
        <f t="shared" si="11"/>
        <v>526.5</v>
      </c>
      <c r="L628" s="16"/>
    </row>
    <row r="629" spans="1:12" ht="39.6">
      <c r="A629" s="12">
        <v>52</v>
      </c>
      <c r="B629" s="13" t="s">
        <v>47</v>
      </c>
      <c r="C629" s="14" t="s">
        <v>48</v>
      </c>
      <c r="D629" s="14" t="s">
        <v>49</v>
      </c>
      <c r="E629" s="35">
        <v>1</v>
      </c>
      <c r="F629" s="14" t="s">
        <v>160</v>
      </c>
      <c r="G629" s="14" t="s">
        <v>6</v>
      </c>
      <c r="H629" s="12" t="s">
        <v>7</v>
      </c>
      <c r="I629" s="15">
        <v>3.5</v>
      </c>
      <c r="J629" s="54">
        <v>585</v>
      </c>
      <c r="K629" s="33">
        <f t="shared" si="11"/>
        <v>2047.5</v>
      </c>
      <c r="L629" s="16"/>
    </row>
    <row r="630" spans="1:12" ht="39.6">
      <c r="A630" s="12">
        <v>53</v>
      </c>
      <c r="B630" s="13" t="s">
        <v>47</v>
      </c>
      <c r="C630" s="14" t="s">
        <v>48</v>
      </c>
      <c r="D630" s="14" t="s">
        <v>49</v>
      </c>
      <c r="E630" s="35">
        <v>1</v>
      </c>
      <c r="F630" s="14" t="s">
        <v>145</v>
      </c>
      <c r="G630" s="14" t="s">
        <v>6</v>
      </c>
      <c r="H630" s="12" t="s">
        <v>7</v>
      </c>
      <c r="I630" s="15">
        <v>6.8</v>
      </c>
      <c r="J630" s="54">
        <v>585</v>
      </c>
      <c r="K630" s="33">
        <f t="shared" si="11"/>
        <v>3978</v>
      </c>
      <c r="L630" s="16"/>
    </row>
    <row r="631" spans="1:12" ht="39.6">
      <c r="A631" s="12">
        <v>54</v>
      </c>
      <c r="B631" s="13" t="s">
        <v>47</v>
      </c>
      <c r="C631" s="14" t="s">
        <v>48</v>
      </c>
      <c r="D631" s="14" t="s">
        <v>49</v>
      </c>
      <c r="E631" s="35">
        <v>1</v>
      </c>
      <c r="F631" s="14" t="s">
        <v>156</v>
      </c>
      <c r="G631" s="14" t="s">
        <v>6</v>
      </c>
      <c r="H631" s="12" t="s">
        <v>7</v>
      </c>
      <c r="I631" s="15">
        <v>2.7</v>
      </c>
      <c r="J631" s="54">
        <v>585</v>
      </c>
      <c r="K631" s="33">
        <f t="shared" si="11"/>
        <v>1579.5</v>
      </c>
      <c r="L631" s="16"/>
    </row>
    <row r="632" spans="1:12" ht="39.6">
      <c r="A632" s="12">
        <v>55</v>
      </c>
      <c r="B632" s="13" t="s">
        <v>47</v>
      </c>
      <c r="C632" s="14" t="s">
        <v>48</v>
      </c>
      <c r="D632" s="14" t="s">
        <v>49</v>
      </c>
      <c r="E632" s="35">
        <v>1</v>
      </c>
      <c r="F632" s="14" t="s">
        <v>141</v>
      </c>
      <c r="G632" s="14" t="s">
        <v>6</v>
      </c>
      <c r="H632" s="12" t="s">
        <v>7</v>
      </c>
      <c r="I632" s="15">
        <v>5</v>
      </c>
      <c r="J632" s="54">
        <v>585</v>
      </c>
      <c r="K632" s="33">
        <f t="shared" si="11"/>
        <v>2925</v>
      </c>
      <c r="L632" s="16"/>
    </row>
    <row r="633" spans="1:12" ht="39.6">
      <c r="A633" s="12">
        <v>56</v>
      </c>
      <c r="B633" s="13" t="s">
        <v>47</v>
      </c>
      <c r="C633" s="14" t="s">
        <v>48</v>
      </c>
      <c r="D633" s="14" t="s">
        <v>49</v>
      </c>
      <c r="E633" s="35">
        <v>1</v>
      </c>
      <c r="F633" s="14" t="s">
        <v>109</v>
      </c>
      <c r="G633" s="14" t="s">
        <v>6</v>
      </c>
      <c r="H633" s="12" t="s">
        <v>7</v>
      </c>
      <c r="I633" s="15">
        <v>17.600000000000001</v>
      </c>
      <c r="J633" s="54">
        <v>585</v>
      </c>
      <c r="K633" s="33">
        <f t="shared" si="11"/>
        <v>10296</v>
      </c>
      <c r="L633" s="16"/>
    </row>
    <row r="634" spans="1:12" ht="39.6">
      <c r="A634" s="12">
        <v>57</v>
      </c>
      <c r="B634" s="13" t="s">
        <v>47</v>
      </c>
      <c r="C634" s="14" t="s">
        <v>48</v>
      </c>
      <c r="D634" s="14" t="s">
        <v>49</v>
      </c>
      <c r="E634" s="35">
        <v>1</v>
      </c>
      <c r="F634" s="14" t="s">
        <v>113</v>
      </c>
      <c r="G634" s="14" t="s">
        <v>6</v>
      </c>
      <c r="H634" s="12" t="s">
        <v>7</v>
      </c>
      <c r="I634" s="15">
        <v>7</v>
      </c>
      <c r="J634" s="54">
        <v>585</v>
      </c>
      <c r="K634" s="33">
        <f t="shared" si="11"/>
        <v>4095</v>
      </c>
      <c r="L634" s="16"/>
    </row>
    <row r="635" spans="1:12" ht="39.6">
      <c r="A635" s="12">
        <v>58</v>
      </c>
      <c r="B635" s="13" t="s">
        <v>47</v>
      </c>
      <c r="C635" s="14" t="s">
        <v>48</v>
      </c>
      <c r="D635" s="14" t="s">
        <v>49</v>
      </c>
      <c r="E635" s="35">
        <v>2</v>
      </c>
      <c r="F635" s="14" t="s">
        <v>192</v>
      </c>
      <c r="G635" s="14" t="s">
        <v>6</v>
      </c>
      <c r="H635" s="12" t="s">
        <v>7</v>
      </c>
      <c r="I635" s="15">
        <v>7</v>
      </c>
      <c r="J635" s="54">
        <v>585</v>
      </c>
      <c r="K635" s="33">
        <f t="shared" si="11"/>
        <v>4095</v>
      </c>
      <c r="L635" s="16"/>
    </row>
    <row r="636" spans="1:12" ht="39.6">
      <c r="A636" s="12">
        <v>59</v>
      </c>
      <c r="B636" s="13" t="s">
        <v>47</v>
      </c>
      <c r="C636" s="14" t="s">
        <v>48</v>
      </c>
      <c r="D636" s="14" t="s">
        <v>49</v>
      </c>
      <c r="E636" s="35">
        <v>3</v>
      </c>
      <c r="F636" s="14" t="s">
        <v>236</v>
      </c>
      <c r="G636" s="14" t="s">
        <v>6</v>
      </c>
      <c r="H636" s="12" t="s">
        <v>7</v>
      </c>
      <c r="I636" s="15">
        <v>7</v>
      </c>
      <c r="J636" s="54">
        <v>585</v>
      </c>
      <c r="K636" s="33">
        <f t="shared" si="11"/>
        <v>4095</v>
      </c>
      <c r="L636" s="16"/>
    </row>
    <row r="637" spans="1:12" ht="39.6">
      <c r="A637" s="12">
        <v>60</v>
      </c>
      <c r="B637" s="13" t="s">
        <v>47</v>
      </c>
      <c r="C637" s="14" t="s">
        <v>48</v>
      </c>
      <c r="D637" s="14" t="s">
        <v>49</v>
      </c>
      <c r="E637" s="35">
        <v>1</v>
      </c>
      <c r="F637" s="14" t="s">
        <v>114</v>
      </c>
      <c r="G637" s="14" t="s">
        <v>6</v>
      </c>
      <c r="H637" s="12" t="s">
        <v>7</v>
      </c>
      <c r="I637" s="15">
        <v>13.5</v>
      </c>
      <c r="J637" s="54">
        <v>585</v>
      </c>
      <c r="K637" s="33">
        <f t="shared" si="11"/>
        <v>7897.5</v>
      </c>
      <c r="L637" s="16"/>
    </row>
    <row r="638" spans="1:12" ht="39.6">
      <c r="A638" s="12">
        <v>61</v>
      </c>
      <c r="B638" s="13" t="s">
        <v>47</v>
      </c>
      <c r="C638" s="14" t="s">
        <v>48</v>
      </c>
      <c r="D638" s="14" t="s">
        <v>49</v>
      </c>
      <c r="E638" s="35">
        <v>2</v>
      </c>
      <c r="F638" s="14" t="s">
        <v>188</v>
      </c>
      <c r="G638" s="14" t="s">
        <v>6</v>
      </c>
      <c r="H638" s="12" t="s">
        <v>7</v>
      </c>
      <c r="I638" s="15">
        <v>6.8</v>
      </c>
      <c r="J638" s="54">
        <v>585</v>
      </c>
      <c r="K638" s="33">
        <f t="shared" si="11"/>
        <v>3978</v>
      </c>
      <c r="L638" s="16"/>
    </row>
    <row r="639" spans="1:12" ht="39.6">
      <c r="A639" s="12">
        <v>62</v>
      </c>
      <c r="B639" s="13" t="s">
        <v>47</v>
      </c>
      <c r="C639" s="14" t="s">
        <v>48</v>
      </c>
      <c r="D639" s="14" t="s">
        <v>49</v>
      </c>
      <c r="E639" s="35">
        <v>2</v>
      </c>
      <c r="F639" s="14" t="s">
        <v>197</v>
      </c>
      <c r="G639" s="14" t="s">
        <v>6</v>
      </c>
      <c r="H639" s="12" t="s">
        <v>7</v>
      </c>
      <c r="I639" s="15">
        <v>6.8</v>
      </c>
      <c r="J639" s="54">
        <v>585</v>
      </c>
      <c r="K639" s="33">
        <f t="shared" si="11"/>
        <v>3978</v>
      </c>
      <c r="L639" s="16"/>
    </row>
    <row r="640" spans="1:12" ht="39.6">
      <c r="A640" s="12">
        <v>63</v>
      </c>
      <c r="B640" s="13" t="s">
        <v>47</v>
      </c>
      <c r="C640" s="14" t="s">
        <v>48</v>
      </c>
      <c r="D640" s="14" t="s">
        <v>49</v>
      </c>
      <c r="E640" s="35">
        <v>2</v>
      </c>
      <c r="F640" s="14" t="s">
        <v>196</v>
      </c>
      <c r="G640" s="14" t="s">
        <v>6</v>
      </c>
      <c r="H640" s="12" t="s">
        <v>7</v>
      </c>
      <c r="I640" s="15">
        <v>2.7</v>
      </c>
      <c r="J640" s="54">
        <v>585</v>
      </c>
      <c r="K640" s="33">
        <f t="shared" si="11"/>
        <v>1579.5</v>
      </c>
      <c r="L640" s="16"/>
    </row>
    <row r="641" spans="1:12" ht="39.6">
      <c r="A641" s="12">
        <v>64</v>
      </c>
      <c r="B641" s="13" t="s">
        <v>47</v>
      </c>
      <c r="C641" s="14" t="s">
        <v>48</v>
      </c>
      <c r="D641" s="14" t="s">
        <v>49</v>
      </c>
      <c r="E641" s="35">
        <v>2</v>
      </c>
      <c r="F641" s="14" t="s">
        <v>201</v>
      </c>
      <c r="G641" s="14" t="s">
        <v>6</v>
      </c>
      <c r="H641" s="12" t="s">
        <v>7</v>
      </c>
      <c r="I641" s="15">
        <v>2.7</v>
      </c>
      <c r="J641" s="54">
        <v>585</v>
      </c>
      <c r="K641" s="33">
        <f t="shared" si="11"/>
        <v>1579.5</v>
      </c>
      <c r="L641" s="16"/>
    </row>
    <row r="642" spans="1:12" ht="39.6">
      <c r="A642" s="12">
        <v>65</v>
      </c>
      <c r="B642" s="13" t="s">
        <v>47</v>
      </c>
      <c r="C642" s="14" t="s">
        <v>48</v>
      </c>
      <c r="D642" s="14" t="s">
        <v>49</v>
      </c>
      <c r="E642" s="35">
        <v>2</v>
      </c>
      <c r="F642" s="14" t="s">
        <v>182</v>
      </c>
      <c r="G642" s="14" t="s">
        <v>6</v>
      </c>
      <c r="H642" s="12" t="s">
        <v>7</v>
      </c>
      <c r="I642" s="15">
        <v>15</v>
      </c>
      <c r="J642" s="54">
        <v>585</v>
      </c>
      <c r="K642" s="33">
        <f t="shared" si="11"/>
        <v>8775</v>
      </c>
      <c r="L642" s="16"/>
    </row>
    <row r="643" spans="1:12" ht="39.6">
      <c r="A643" s="12">
        <v>66</v>
      </c>
      <c r="B643" s="13" t="s">
        <v>47</v>
      </c>
      <c r="C643" s="14" t="s">
        <v>48</v>
      </c>
      <c r="D643" s="14" t="s">
        <v>49</v>
      </c>
      <c r="E643" s="35">
        <v>2</v>
      </c>
      <c r="F643" s="14" t="s">
        <v>193</v>
      </c>
      <c r="G643" s="14" t="s">
        <v>6</v>
      </c>
      <c r="H643" s="12" t="s">
        <v>7</v>
      </c>
      <c r="I643" s="15">
        <v>13.5</v>
      </c>
      <c r="J643" s="54">
        <v>585</v>
      </c>
      <c r="K643" s="33">
        <f t="shared" si="11"/>
        <v>7897.5</v>
      </c>
      <c r="L643" s="16"/>
    </row>
    <row r="644" spans="1:12" ht="39.6">
      <c r="A644" s="12">
        <v>67</v>
      </c>
      <c r="B644" s="13" t="s">
        <v>47</v>
      </c>
      <c r="C644" s="14" t="s">
        <v>48</v>
      </c>
      <c r="D644" s="14" t="s">
        <v>49</v>
      </c>
      <c r="E644" s="35">
        <v>3</v>
      </c>
      <c r="F644" s="14" t="s">
        <v>235</v>
      </c>
      <c r="G644" s="14" t="s">
        <v>6</v>
      </c>
      <c r="H644" s="12" t="s">
        <v>7</v>
      </c>
      <c r="I644" s="15">
        <v>77.5</v>
      </c>
      <c r="J644" s="54">
        <v>585</v>
      </c>
      <c r="K644" s="33">
        <f t="shared" si="11"/>
        <v>45337.5</v>
      </c>
      <c r="L644" s="16"/>
    </row>
    <row r="645" spans="1:12" ht="39.6">
      <c r="A645" s="12">
        <v>68</v>
      </c>
      <c r="B645" s="13" t="s">
        <v>47</v>
      </c>
      <c r="C645" s="14" t="s">
        <v>48</v>
      </c>
      <c r="D645" s="14" t="s">
        <v>49</v>
      </c>
      <c r="E645" s="35">
        <v>3</v>
      </c>
      <c r="F645" s="14" t="s">
        <v>221</v>
      </c>
      <c r="G645" s="14" t="s">
        <v>6</v>
      </c>
      <c r="H645" s="12" t="s">
        <v>7</v>
      </c>
      <c r="I645" s="15">
        <v>23.7</v>
      </c>
      <c r="J645" s="54">
        <v>585</v>
      </c>
      <c r="K645" s="33">
        <f t="shared" si="11"/>
        <v>13864.5</v>
      </c>
      <c r="L645" s="16"/>
    </row>
    <row r="646" spans="1:12" ht="39.6">
      <c r="A646" s="12">
        <v>69</v>
      </c>
      <c r="B646" s="13" t="s">
        <v>47</v>
      </c>
      <c r="C646" s="14" t="s">
        <v>48</v>
      </c>
      <c r="D646" s="14" t="s">
        <v>49</v>
      </c>
      <c r="E646" s="35">
        <v>3</v>
      </c>
      <c r="F646" s="14" t="s">
        <v>220</v>
      </c>
      <c r="G646" s="14" t="s">
        <v>6</v>
      </c>
      <c r="H646" s="12" t="s">
        <v>7</v>
      </c>
      <c r="I646" s="15">
        <v>33.5</v>
      </c>
      <c r="J646" s="54">
        <v>585</v>
      </c>
      <c r="K646" s="33">
        <f t="shared" ref="K646:K678" si="12">J646*I646</f>
        <v>19597.5</v>
      </c>
      <c r="L646" s="16"/>
    </row>
    <row r="647" spans="1:12" ht="39.6">
      <c r="A647" s="12">
        <v>70</v>
      </c>
      <c r="B647" s="13" t="s">
        <v>47</v>
      </c>
      <c r="C647" s="14" t="s">
        <v>48</v>
      </c>
      <c r="D647" s="14" t="s">
        <v>49</v>
      </c>
      <c r="E647" s="35">
        <v>3</v>
      </c>
      <c r="F647" s="14" t="s">
        <v>259</v>
      </c>
      <c r="G647" s="14" t="s">
        <v>6</v>
      </c>
      <c r="H647" s="12" t="s">
        <v>7</v>
      </c>
      <c r="I647" s="15">
        <v>36</v>
      </c>
      <c r="J647" s="54">
        <v>585</v>
      </c>
      <c r="K647" s="33">
        <f t="shared" si="12"/>
        <v>21060</v>
      </c>
      <c r="L647" s="16"/>
    </row>
    <row r="648" spans="1:12" ht="39.6">
      <c r="A648" s="12">
        <v>71</v>
      </c>
      <c r="B648" s="13" t="s">
        <v>47</v>
      </c>
      <c r="C648" s="14" t="s">
        <v>48</v>
      </c>
      <c r="D648" s="14" t="s">
        <v>49</v>
      </c>
      <c r="E648" s="35">
        <v>3</v>
      </c>
      <c r="F648" s="14" t="s">
        <v>243</v>
      </c>
      <c r="G648" s="14" t="s">
        <v>6</v>
      </c>
      <c r="H648" s="12" t="s">
        <v>7</v>
      </c>
      <c r="I648" s="15">
        <v>6.8</v>
      </c>
      <c r="J648" s="54">
        <v>585</v>
      </c>
      <c r="K648" s="33">
        <f t="shared" si="12"/>
        <v>3978</v>
      </c>
      <c r="L648" s="16"/>
    </row>
    <row r="649" spans="1:12" ht="39.6">
      <c r="A649" s="12">
        <v>72</v>
      </c>
      <c r="B649" s="13" t="s">
        <v>47</v>
      </c>
      <c r="C649" s="14" t="s">
        <v>48</v>
      </c>
      <c r="D649" s="14" t="s">
        <v>49</v>
      </c>
      <c r="E649" s="35">
        <v>3</v>
      </c>
      <c r="F649" s="14" t="s">
        <v>248</v>
      </c>
      <c r="G649" s="14" t="s">
        <v>6</v>
      </c>
      <c r="H649" s="12" t="s">
        <v>7</v>
      </c>
      <c r="I649" s="15">
        <v>6.8</v>
      </c>
      <c r="J649" s="54">
        <v>585</v>
      </c>
      <c r="K649" s="33">
        <f t="shared" si="12"/>
        <v>3978</v>
      </c>
      <c r="L649" s="16"/>
    </row>
    <row r="650" spans="1:12" ht="39.6">
      <c r="A650" s="12">
        <v>73</v>
      </c>
      <c r="B650" s="13" t="s">
        <v>47</v>
      </c>
      <c r="C650" s="14" t="s">
        <v>48</v>
      </c>
      <c r="D650" s="14" t="s">
        <v>49</v>
      </c>
      <c r="E650" s="35">
        <v>3</v>
      </c>
      <c r="F650" s="14" t="s">
        <v>253</v>
      </c>
      <c r="G650" s="14" t="s">
        <v>6</v>
      </c>
      <c r="H650" s="12" t="s">
        <v>7</v>
      </c>
      <c r="I650" s="15">
        <v>3.3</v>
      </c>
      <c r="J650" s="54">
        <v>585</v>
      </c>
      <c r="K650" s="33">
        <f t="shared" si="12"/>
        <v>1930.5</v>
      </c>
      <c r="L650" s="16"/>
    </row>
    <row r="651" spans="1:12" ht="39.6">
      <c r="A651" s="12">
        <v>74</v>
      </c>
      <c r="B651" s="13" t="s">
        <v>47</v>
      </c>
      <c r="C651" s="14" t="s">
        <v>48</v>
      </c>
      <c r="D651" s="14" t="s">
        <v>49</v>
      </c>
      <c r="E651" s="35">
        <v>3</v>
      </c>
      <c r="F651" s="14" t="s">
        <v>222</v>
      </c>
      <c r="G651" s="14" t="s">
        <v>6</v>
      </c>
      <c r="H651" s="12" t="s">
        <v>7</v>
      </c>
      <c r="I651" s="15">
        <v>18</v>
      </c>
      <c r="J651" s="54">
        <v>585</v>
      </c>
      <c r="K651" s="33">
        <f t="shared" si="12"/>
        <v>10530</v>
      </c>
      <c r="L651" s="16"/>
    </row>
    <row r="652" spans="1:12" ht="52.8">
      <c r="A652" s="12">
        <v>75</v>
      </c>
      <c r="B652" s="13" t="s">
        <v>47</v>
      </c>
      <c r="C652" s="14" t="s">
        <v>48</v>
      </c>
      <c r="D652" s="14" t="s">
        <v>49</v>
      </c>
      <c r="E652" s="35">
        <v>3</v>
      </c>
      <c r="F652" s="14" t="s">
        <v>271</v>
      </c>
      <c r="G652" s="14" t="s">
        <v>6</v>
      </c>
      <c r="H652" s="12" t="s">
        <v>7</v>
      </c>
      <c r="I652" s="15">
        <v>3.6</v>
      </c>
      <c r="J652" s="54">
        <v>585</v>
      </c>
      <c r="K652" s="33">
        <f t="shared" si="12"/>
        <v>2106</v>
      </c>
      <c r="L652" s="16"/>
    </row>
    <row r="653" spans="1:12" ht="39.6">
      <c r="A653" s="12">
        <v>76</v>
      </c>
      <c r="B653" s="13" t="s">
        <v>47</v>
      </c>
      <c r="C653" s="14" t="s">
        <v>48</v>
      </c>
      <c r="D653" s="14" t="s">
        <v>49</v>
      </c>
      <c r="E653" s="35">
        <v>3</v>
      </c>
      <c r="F653" s="14" t="s">
        <v>240</v>
      </c>
      <c r="G653" s="14" t="s">
        <v>6</v>
      </c>
      <c r="H653" s="12" t="s">
        <v>7</v>
      </c>
      <c r="I653" s="15">
        <v>3</v>
      </c>
      <c r="J653" s="54">
        <v>585</v>
      </c>
      <c r="K653" s="33">
        <f t="shared" si="12"/>
        <v>1755</v>
      </c>
      <c r="L653" s="16"/>
    </row>
    <row r="654" spans="1:12" ht="39.6">
      <c r="A654" s="12">
        <v>77</v>
      </c>
      <c r="B654" s="13" t="s">
        <v>47</v>
      </c>
      <c r="C654" s="14" t="s">
        <v>48</v>
      </c>
      <c r="D654" s="14" t="s">
        <v>49</v>
      </c>
      <c r="E654" s="35">
        <v>3</v>
      </c>
      <c r="F654" s="14" t="s">
        <v>247</v>
      </c>
      <c r="G654" s="14" t="s">
        <v>6</v>
      </c>
      <c r="H654" s="12" t="s">
        <v>7</v>
      </c>
      <c r="I654" s="15">
        <v>3</v>
      </c>
      <c r="J654" s="54">
        <v>585</v>
      </c>
      <c r="K654" s="33">
        <f t="shared" si="12"/>
        <v>1755</v>
      </c>
      <c r="L654" s="16"/>
    </row>
    <row r="655" spans="1:12" ht="66">
      <c r="A655" s="12">
        <v>78</v>
      </c>
      <c r="B655" s="13" t="s">
        <v>47</v>
      </c>
      <c r="C655" s="14" t="s">
        <v>48</v>
      </c>
      <c r="D655" s="14" t="s">
        <v>49</v>
      </c>
      <c r="E655" s="35">
        <v>3</v>
      </c>
      <c r="F655" s="14" t="s">
        <v>268</v>
      </c>
      <c r="G655" s="14" t="s">
        <v>6</v>
      </c>
      <c r="H655" s="12" t="s">
        <v>7</v>
      </c>
      <c r="I655" s="15">
        <v>22</v>
      </c>
      <c r="J655" s="54">
        <v>585</v>
      </c>
      <c r="K655" s="33">
        <f t="shared" si="12"/>
        <v>12870</v>
      </c>
      <c r="L655" s="16"/>
    </row>
    <row r="656" spans="1:12" ht="39.6">
      <c r="A656" s="12">
        <v>79</v>
      </c>
      <c r="B656" s="13" t="s">
        <v>47</v>
      </c>
      <c r="C656" s="14" t="s">
        <v>48</v>
      </c>
      <c r="D656" s="14" t="s">
        <v>49</v>
      </c>
      <c r="E656" s="35">
        <v>3</v>
      </c>
      <c r="F656" s="14" t="s">
        <v>231</v>
      </c>
      <c r="G656" s="14" t="s">
        <v>6</v>
      </c>
      <c r="H656" s="12" t="s">
        <v>7</v>
      </c>
      <c r="I656" s="15">
        <v>32</v>
      </c>
      <c r="J656" s="54">
        <v>585</v>
      </c>
      <c r="K656" s="33">
        <f t="shared" si="12"/>
        <v>18720</v>
      </c>
      <c r="L656" s="16"/>
    </row>
    <row r="657" spans="1:12" ht="39.6">
      <c r="A657" s="12">
        <v>80</v>
      </c>
      <c r="B657" s="13" t="s">
        <v>47</v>
      </c>
      <c r="C657" s="14" t="s">
        <v>48</v>
      </c>
      <c r="D657" s="14" t="s">
        <v>49</v>
      </c>
      <c r="E657" s="35">
        <v>3</v>
      </c>
      <c r="F657" s="14" t="s">
        <v>228</v>
      </c>
      <c r="G657" s="14" t="s">
        <v>6</v>
      </c>
      <c r="H657" s="12" t="s">
        <v>7</v>
      </c>
      <c r="I657" s="15">
        <v>73</v>
      </c>
      <c r="J657" s="54">
        <v>585</v>
      </c>
      <c r="K657" s="33">
        <f t="shared" si="12"/>
        <v>42705</v>
      </c>
      <c r="L657" s="16"/>
    </row>
    <row r="658" spans="1:12" ht="39.6">
      <c r="A658" s="12">
        <v>81</v>
      </c>
      <c r="B658" s="13" t="s">
        <v>47</v>
      </c>
      <c r="C658" s="14" t="s">
        <v>48</v>
      </c>
      <c r="D658" s="14" t="s">
        <v>49</v>
      </c>
      <c r="E658" s="35">
        <v>3</v>
      </c>
      <c r="F658" s="14" t="s">
        <v>223</v>
      </c>
      <c r="G658" s="14" t="s">
        <v>6</v>
      </c>
      <c r="H658" s="12" t="s">
        <v>7</v>
      </c>
      <c r="I658" s="15">
        <v>22</v>
      </c>
      <c r="J658" s="54">
        <v>585</v>
      </c>
      <c r="K658" s="33">
        <f t="shared" si="12"/>
        <v>12870</v>
      </c>
      <c r="L658" s="16"/>
    </row>
    <row r="659" spans="1:12" ht="39.6">
      <c r="A659" s="12">
        <v>82</v>
      </c>
      <c r="B659" s="13" t="s">
        <v>47</v>
      </c>
      <c r="C659" s="14" t="s">
        <v>48</v>
      </c>
      <c r="D659" s="14" t="s">
        <v>49</v>
      </c>
      <c r="E659" s="35">
        <v>3</v>
      </c>
      <c r="F659" s="14" t="s">
        <v>235</v>
      </c>
      <c r="G659" s="14" t="s">
        <v>6</v>
      </c>
      <c r="H659" s="12" t="s">
        <v>7</v>
      </c>
      <c r="I659" s="15">
        <v>28</v>
      </c>
      <c r="J659" s="54">
        <v>585</v>
      </c>
      <c r="K659" s="33">
        <f t="shared" si="12"/>
        <v>16380</v>
      </c>
      <c r="L659" s="16"/>
    </row>
    <row r="660" spans="1:12" ht="39.6">
      <c r="A660" s="12">
        <v>83</v>
      </c>
      <c r="B660" s="13" t="s">
        <v>47</v>
      </c>
      <c r="C660" s="14" t="s">
        <v>48</v>
      </c>
      <c r="D660" s="14" t="s">
        <v>49</v>
      </c>
      <c r="E660" s="35">
        <v>3</v>
      </c>
      <c r="F660" s="14" t="s">
        <v>237</v>
      </c>
      <c r="G660" s="14" t="s">
        <v>6</v>
      </c>
      <c r="H660" s="12" t="s">
        <v>7</v>
      </c>
      <c r="I660" s="15">
        <v>18</v>
      </c>
      <c r="J660" s="54">
        <v>585</v>
      </c>
      <c r="K660" s="33">
        <f t="shared" si="12"/>
        <v>10530</v>
      </c>
      <c r="L660" s="16"/>
    </row>
    <row r="661" spans="1:12">
      <c r="A661" s="12">
        <v>84</v>
      </c>
      <c r="B661" s="13" t="s">
        <v>47</v>
      </c>
      <c r="C661" s="14" t="s">
        <v>48</v>
      </c>
      <c r="D661" s="14" t="s">
        <v>49</v>
      </c>
      <c r="E661" s="35">
        <v>1</v>
      </c>
      <c r="F661" s="14" t="s">
        <v>109</v>
      </c>
      <c r="G661" s="14" t="s">
        <v>262</v>
      </c>
      <c r="H661" s="12" t="s">
        <v>7</v>
      </c>
      <c r="I661" s="15">
        <v>9.6</v>
      </c>
      <c r="J661" s="54">
        <v>1105</v>
      </c>
      <c r="K661" s="33">
        <f t="shared" si="12"/>
        <v>10608</v>
      </c>
      <c r="L661" s="16"/>
    </row>
    <row r="662" spans="1:12">
      <c r="A662" s="12">
        <v>85</v>
      </c>
      <c r="B662" s="13" t="s">
        <v>47</v>
      </c>
      <c r="C662" s="14" t="s">
        <v>48</v>
      </c>
      <c r="D662" s="14" t="s">
        <v>49</v>
      </c>
      <c r="E662" s="35">
        <v>1</v>
      </c>
      <c r="F662" s="14" t="s">
        <v>114</v>
      </c>
      <c r="G662" s="14" t="s">
        <v>262</v>
      </c>
      <c r="H662" s="12" t="s">
        <v>7</v>
      </c>
      <c r="I662" s="15">
        <v>13.5</v>
      </c>
      <c r="J662" s="54">
        <v>1105</v>
      </c>
      <c r="K662" s="33">
        <f t="shared" si="12"/>
        <v>14917.5</v>
      </c>
      <c r="L662" s="16"/>
    </row>
    <row r="663" spans="1:12">
      <c r="A663" s="12">
        <v>86</v>
      </c>
      <c r="B663" s="13" t="s">
        <v>47</v>
      </c>
      <c r="C663" s="14" t="s">
        <v>48</v>
      </c>
      <c r="D663" s="14" t="s">
        <v>49</v>
      </c>
      <c r="E663" s="35">
        <v>2</v>
      </c>
      <c r="F663" s="14" t="s">
        <v>182</v>
      </c>
      <c r="G663" s="14" t="s">
        <v>262</v>
      </c>
      <c r="H663" s="12" t="s">
        <v>7</v>
      </c>
      <c r="I663" s="15">
        <v>14</v>
      </c>
      <c r="J663" s="54">
        <v>1105</v>
      </c>
      <c r="K663" s="33">
        <f t="shared" si="12"/>
        <v>15470</v>
      </c>
      <c r="L663" s="16"/>
    </row>
    <row r="664" spans="1:12">
      <c r="A664" s="12">
        <v>87</v>
      </c>
      <c r="B664" s="13" t="s">
        <v>47</v>
      </c>
      <c r="C664" s="14" t="s">
        <v>48</v>
      </c>
      <c r="D664" s="14" t="s">
        <v>49</v>
      </c>
      <c r="E664" s="35">
        <v>2</v>
      </c>
      <c r="F664" s="14" t="s">
        <v>193</v>
      </c>
      <c r="G664" s="14" t="s">
        <v>262</v>
      </c>
      <c r="H664" s="12" t="s">
        <v>7</v>
      </c>
      <c r="I664" s="15">
        <v>13.5</v>
      </c>
      <c r="J664" s="54">
        <v>1105</v>
      </c>
      <c r="K664" s="33">
        <f t="shared" si="12"/>
        <v>14917.5</v>
      </c>
      <c r="L664" s="16"/>
    </row>
    <row r="665" spans="1:12">
      <c r="A665" s="12">
        <v>88</v>
      </c>
      <c r="B665" s="13" t="s">
        <v>47</v>
      </c>
      <c r="C665" s="14" t="s">
        <v>48</v>
      </c>
      <c r="D665" s="14" t="s">
        <v>49</v>
      </c>
      <c r="E665" s="35">
        <v>3</v>
      </c>
      <c r="F665" s="14" t="s">
        <v>235</v>
      </c>
      <c r="G665" s="14" t="s">
        <v>262</v>
      </c>
      <c r="H665" s="12" t="s">
        <v>7</v>
      </c>
      <c r="I665" s="15">
        <v>2.4</v>
      </c>
      <c r="J665" s="54">
        <v>1105</v>
      </c>
      <c r="K665" s="33">
        <f t="shared" si="12"/>
        <v>2652</v>
      </c>
      <c r="L665" s="16"/>
    </row>
    <row r="666" spans="1:12">
      <c r="A666" s="12">
        <v>89</v>
      </c>
      <c r="B666" s="13" t="s">
        <v>47</v>
      </c>
      <c r="C666" s="14" t="s">
        <v>48</v>
      </c>
      <c r="D666" s="14" t="s">
        <v>49</v>
      </c>
      <c r="E666" s="35">
        <v>3</v>
      </c>
      <c r="F666" s="14" t="s">
        <v>223</v>
      </c>
      <c r="G666" s="14" t="s">
        <v>262</v>
      </c>
      <c r="H666" s="12" t="s">
        <v>7</v>
      </c>
      <c r="I666" s="15">
        <v>8</v>
      </c>
      <c r="J666" s="54">
        <v>1105</v>
      </c>
      <c r="K666" s="33">
        <f t="shared" si="12"/>
        <v>8840</v>
      </c>
      <c r="L666" s="16"/>
    </row>
    <row r="667" spans="1:12">
      <c r="A667" s="12">
        <v>90</v>
      </c>
      <c r="B667" s="13" t="s">
        <v>47</v>
      </c>
      <c r="C667" s="14" t="s">
        <v>48</v>
      </c>
      <c r="D667" s="14" t="s">
        <v>49</v>
      </c>
      <c r="E667" s="35">
        <v>3</v>
      </c>
      <c r="F667" s="14" t="s">
        <v>227</v>
      </c>
      <c r="G667" s="14" t="s">
        <v>262</v>
      </c>
      <c r="H667" s="12" t="s">
        <v>7</v>
      </c>
      <c r="I667" s="15">
        <v>14</v>
      </c>
      <c r="J667" s="54">
        <v>1105</v>
      </c>
      <c r="K667" s="33">
        <f t="shared" si="12"/>
        <v>15470</v>
      </c>
      <c r="L667" s="16"/>
    </row>
    <row r="668" spans="1:12">
      <c r="A668" s="12">
        <v>91</v>
      </c>
      <c r="B668" s="13" t="s">
        <v>47</v>
      </c>
      <c r="C668" s="14" t="s">
        <v>48</v>
      </c>
      <c r="D668" s="14" t="s">
        <v>49</v>
      </c>
      <c r="E668" s="58">
        <v>3</v>
      </c>
      <c r="F668" s="14" t="s">
        <v>237</v>
      </c>
      <c r="G668" s="14" t="s">
        <v>262</v>
      </c>
      <c r="H668" s="12" t="s">
        <v>7</v>
      </c>
      <c r="I668" s="15">
        <v>18</v>
      </c>
      <c r="J668" s="54">
        <v>1105</v>
      </c>
      <c r="K668" s="33">
        <f t="shared" si="12"/>
        <v>19890</v>
      </c>
      <c r="L668" s="16"/>
    </row>
    <row r="669" spans="1:12" ht="66">
      <c r="A669" s="12">
        <v>92</v>
      </c>
      <c r="B669" s="13" t="s">
        <v>47</v>
      </c>
      <c r="C669" s="14" t="s">
        <v>48</v>
      </c>
      <c r="D669" s="14" t="s">
        <v>49</v>
      </c>
      <c r="E669" s="58">
        <v>3</v>
      </c>
      <c r="F669" s="14" t="s">
        <v>268</v>
      </c>
      <c r="G669" s="14" t="s">
        <v>262</v>
      </c>
      <c r="H669" s="12" t="s">
        <v>7</v>
      </c>
      <c r="I669" s="15">
        <v>22</v>
      </c>
      <c r="J669" s="54">
        <v>1105</v>
      </c>
      <c r="K669" s="33">
        <f t="shared" si="12"/>
        <v>24310</v>
      </c>
      <c r="L669" s="16"/>
    </row>
    <row r="670" spans="1:12" ht="26.4">
      <c r="A670" s="12">
        <v>93</v>
      </c>
      <c r="B670" s="13" t="s">
        <v>47</v>
      </c>
      <c r="C670" s="14" t="s">
        <v>48</v>
      </c>
      <c r="D670" s="14" t="s">
        <v>49</v>
      </c>
      <c r="E670" s="35">
        <v>1</v>
      </c>
      <c r="F670" s="14" t="s">
        <v>141</v>
      </c>
      <c r="G670" s="14" t="s">
        <v>260</v>
      </c>
      <c r="H670" s="12" t="s">
        <v>261</v>
      </c>
      <c r="I670" s="15">
        <v>0.3</v>
      </c>
      <c r="J670" s="54">
        <v>4160</v>
      </c>
      <c r="K670" s="33">
        <f t="shared" si="12"/>
        <v>1248</v>
      </c>
      <c r="L670" s="16"/>
    </row>
    <row r="671" spans="1:12">
      <c r="A671" s="12">
        <v>94</v>
      </c>
      <c r="B671" s="13" t="s">
        <v>47</v>
      </c>
      <c r="C671" s="14" t="s">
        <v>48</v>
      </c>
      <c r="D671" s="14" t="s">
        <v>49</v>
      </c>
      <c r="E671" s="35">
        <v>3</v>
      </c>
      <c r="F671" s="14" t="s">
        <v>235</v>
      </c>
      <c r="G671" s="14" t="s">
        <v>260</v>
      </c>
      <c r="H671" s="12" t="s">
        <v>261</v>
      </c>
      <c r="I671" s="15">
        <v>5.9</v>
      </c>
      <c r="J671" s="54">
        <v>4160</v>
      </c>
      <c r="K671" s="33">
        <f t="shared" si="12"/>
        <v>24544</v>
      </c>
      <c r="L671" s="16"/>
    </row>
    <row r="672" spans="1:12" s="32" customFormat="1" ht="39.6">
      <c r="A672" s="12">
        <v>95</v>
      </c>
      <c r="B672" s="13" t="s">
        <v>47</v>
      </c>
      <c r="C672" s="14" t="s">
        <v>48</v>
      </c>
      <c r="D672" s="14" t="s">
        <v>58</v>
      </c>
      <c r="E672" s="35">
        <v>2</v>
      </c>
      <c r="F672" s="14" t="s">
        <v>274</v>
      </c>
      <c r="G672" s="68" t="s">
        <v>19</v>
      </c>
      <c r="H672" s="12" t="s">
        <v>7</v>
      </c>
      <c r="I672" s="15">
        <v>89.5</v>
      </c>
      <c r="J672" s="54">
        <v>180</v>
      </c>
      <c r="K672" s="33">
        <f t="shared" si="12"/>
        <v>16110</v>
      </c>
      <c r="L672" s="16"/>
    </row>
    <row r="673" spans="1:12" s="32" customFormat="1" ht="28.8">
      <c r="A673" s="12">
        <v>96</v>
      </c>
      <c r="B673" s="13" t="s">
        <v>47</v>
      </c>
      <c r="C673" s="14" t="s">
        <v>48</v>
      </c>
      <c r="D673" s="14" t="s">
        <v>58</v>
      </c>
      <c r="E673" s="35">
        <v>2</v>
      </c>
      <c r="F673" s="14" t="s">
        <v>163</v>
      </c>
      <c r="G673" s="68" t="s">
        <v>19</v>
      </c>
      <c r="H673" s="12" t="s">
        <v>7</v>
      </c>
      <c r="I673" s="15">
        <v>40</v>
      </c>
      <c r="J673" s="54">
        <v>180</v>
      </c>
      <c r="K673" s="33">
        <f t="shared" si="12"/>
        <v>7200</v>
      </c>
      <c r="L673" s="16"/>
    </row>
    <row r="674" spans="1:12" s="32" customFormat="1" ht="28.8">
      <c r="A674" s="12">
        <v>97</v>
      </c>
      <c r="B674" s="13" t="s">
        <v>47</v>
      </c>
      <c r="C674" s="14" t="s">
        <v>48</v>
      </c>
      <c r="D674" s="14" t="s">
        <v>58</v>
      </c>
      <c r="E674" s="35">
        <v>2</v>
      </c>
      <c r="F674" s="14" t="s">
        <v>165</v>
      </c>
      <c r="G674" s="68" t="s">
        <v>19</v>
      </c>
      <c r="H674" s="12" t="s">
        <v>7</v>
      </c>
      <c r="I674" s="15">
        <v>63.5</v>
      </c>
      <c r="J674" s="54">
        <v>180</v>
      </c>
      <c r="K674" s="33">
        <f t="shared" si="12"/>
        <v>11430</v>
      </c>
      <c r="L674" s="16"/>
    </row>
    <row r="675" spans="1:12" s="32" customFormat="1" ht="28.8">
      <c r="A675" s="12">
        <v>98</v>
      </c>
      <c r="B675" s="13" t="s">
        <v>47</v>
      </c>
      <c r="C675" s="14" t="s">
        <v>48</v>
      </c>
      <c r="D675" s="14" t="s">
        <v>58</v>
      </c>
      <c r="E675" s="35">
        <v>3</v>
      </c>
      <c r="F675" s="14" t="s">
        <v>219</v>
      </c>
      <c r="G675" s="68" t="s">
        <v>19</v>
      </c>
      <c r="H675" s="12" t="s">
        <v>7</v>
      </c>
      <c r="I675" s="15">
        <v>63.5</v>
      </c>
      <c r="J675" s="54">
        <v>180</v>
      </c>
      <c r="K675" s="33">
        <f t="shared" si="12"/>
        <v>11430</v>
      </c>
      <c r="L675" s="16"/>
    </row>
    <row r="676" spans="1:12" s="32" customFormat="1" ht="52.8">
      <c r="A676" s="12">
        <v>99</v>
      </c>
      <c r="B676" s="13" t="s">
        <v>47</v>
      </c>
      <c r="C676" s="14" t="s">
        <v>48</v>
      </c>
      <c r="D676" s="14" t="s">
        <v>58</v>
      </c>
      <c r="E676" s="35">
        <v>3</v>
      </c>
      <c r="F676" s="14" t="s">
        <v>271</v>
      </c>
      <c r="G676" s="68" t="s">
        <v>19</v>
      </c>
      <c r="H676" s="12" t="s">
        <v>7</v>
      </c>
      <c r="I676" s="15">
        <v>88.5</v>
      </c>
      <c r="J676" s="54">
        <v>180</v>
      </c>
      <c r="K676" s="33">
        <f t="shared" si="12"/>
        <v>15930</v>
      </c>
      <c r="L676" s="16"/>
    </row>
    <row r="677" spans="1:12" s="32" customFormat="1">
      <c r="A677" s="12">
        <v>100</v>
      </c>
      <c r="B677" s="13" t="s">
        <v>47</v>
      </c>
      <c r="C677" s="14" t="s">
        <v>48</v>
      </c>
      <c r="D677" s="14"/>
      <c r="E677" s="35"/>
      <c r="F677" s="14"/>
      <c r="G677" s="68"/>
      <c r="H677" s="12" t="s">
        <v>7</v>
      </c>
      <c r="I677" s="15"/>
      <c r="J677" s="54">
        <v>180</v>
      </c>
      <c r="K677" s="33">
        <f t="shared" si="12"/>
        <v>0</v>
      </c>
      <c r="L677" s="16"/>
    </row>
    <row r="678" spans="1:12" s="32" customFormat="1">
      <c r="A678" s="12">
        <v>101</v>
      </c>
      <c r="B678" s="13" t="s">
        <v>47</v>
      </c>
      <c r="C678" s="14" t="s">
        <v>48</v>
      </c>
      <c r="D678" s="14"/>
      <c r="E678" s="35"/>
      <c r="F678" s="14"/>
      <c r="G678" s="14"/>
      <c r="H678" s="12"/>
      <c r="I678" s="15"/>
      <c r="J678" s="54">
        <v>180</v>
      </c>
      <c r="K678" s="33">
        <f t="shared" si="12"/>
        <v>0</v>
      </c>
      <c r="L678" s="16"/>
    </row>
    <row r="679" spans="1:12" s="32" customFormat="1" ht="28.8">
      <c r="A679" s="12">
        <v>102</v>
      </c>
      <c r="B679" s="13" t="s">
        <v>47</v>
      </c>
      <c r="C679" s="14" t="s">
        <v>48</v>
      </c>
      <c r="D679" s="14" t="s">
        <v>49</v>
      </c>
      <c r="E679" s="35">
        <v>3</v>
      </c>
      <c r="F679" s="14" t="s">
        <v>220</v>
      </c>
      <c r="G679" s="68" t="s">
        <v>19</v>
      </c>
      <c r="H679" s="12" t="s">
        <v>7</v>
      </c>
      <c r="I679" s="15">
        <v>29.5</v>
      </c>
      <c r="J679" s="54">
        <v>180</v>
      </c>
      <c r="K679" s="33">
        <f t="shared" ref="K679:K693" si="13">J679*I679</f>
        <v>5310</v>
      </c>
      <c r="L679" s="16"/>
    </row>
    <row r="680" spans="1:12" s="32" customFormat="1" ht="28.8">
      <c r="A680" s="12">
        <v>103</v>
      </c>
      <c r="B680" s="13" t="s">
        <v>47</v>
      </c>
      <c r="C680" s="14" t="s">
        <v>48</v>
      </c>
      <c r="D680" s="14" t="s">
        <v>49</v>
      </c>
      <c r="E680" s="35">
        <v>3</v>
      </c>
      <c r="F680" s="14" t="s">
        <v>221</v>
      </c>
      <c r="G680" s="68" t="s">
        <v>19</v>
      </c>
      <c r="H680" s="12" t="s">
        <v>7</v>
      </c>
      <c r="I680" s="15">
        <v>64</v>
      </c>
      <c r="J680" s="54">
        <v>180</v>
      </c>
      <c r="K680" s="33">
        <f t="shared" si="13"/>
        <v>11520</v>
      </c>
      <c r="L680" s="16"/>
    </row>
    <row r="681" spans="1:12" s="32" customFormat="1" ht="28.8">
      <c r="A681" s="12">
        <v>104</v>
      </c>
      <c r="B681" s="13" t="s">
        <v>47</v>
      </c>
      <c r="C681" s="14" t="s">
        <v>48</v>
      </c>
      <c r="D681" s="14" t="s">
        <v>49</v>
      </c>
      <c r="E681" s="35">
        <v>3</v>
      </c>
      <c r="F681" s="14" t="s">
        <v>222</v>
      </c>
      <c r="G681" s="68" t="s">
        <v>19</v>
      </c>
      <c r="H681" s="12" t="s">
        <v>7</v>
      </c>
      <c r="I681" s="15">
        <v>62</v>
      </c>
      <c r="J681" s="54">
        <v>180</v>
      </c>
      <c r="K681" s="33">
        <f t="shared" si="13"/>
        <v>11160</v>
      </c>
      <c r="L681" s="16"/>
    </row>
    <row r="682" spans="1:12" s="32" customFormat="1" ht="28.8">
      <c r="A682" s="12">
        <v>105</v>
      </c>
      <c r="B682" s="13" t="s">
        <v>47</v>
      </c>
      <c r="C682" s="14" t="s">
        <v>48</v>
      </c>
      <c r="D682" s="14" t="s">
        <v>49</v>
      </c>
      <c r="E682" s="35">
        <v>3</v>
      </c>
      <c r="F682" s="14" t="s">
        <v>225</v>
      </c>
      <c r="G682" s="68" t="s">
        <v>19</v>
      </c>
      <c r="H682" s="12" t="s">
        <v>7</v>
      </c>
      <c r="I682" s="15">
        <v>59</v>
      </c>
      <c r="J682" s="54">
        <v>180</v>
      </c>
      <c r="K682" s="33">
        <f t="shared" si="13"/>
        <v>10620</v>
      </c>
      <c r="L682" s="16"/>
    </row>
    <row r="683" spans="1:12" s="32" customFormat="1" ht="26.4">
      <c r="A683" s="12">
        <v>106</v>
      </c>
      <c r="B683" s="13" t="s">
        <v>47</v>
      </c>
      <c r="C683" s="14" t="s">
        <v>48</v>
      </c>
      <c r="D683" s="14" t="s">
        <v>49</v>
      </c>
      <c r="E683" s="35">
        <v>1</v>
      </c>
      <c r="F683" s="14" t="s">
        <v>96</v>
      </c>
      <c r="G683" s="14" t="s">
        <v>15</v>
      </c>
      <c r="H683" s="12" t="s">
        <v>7</v>
      </c>
      <c r="I683" s="15">
        <v>56</v>
      </c>
      <c r="J683" s="54">
        <v>1170</v>
      </c>
      <c r="K683" s="33">
        <f t="shared" si="13"/>
        <v>65520</v>
      </c>
      <c r="L683" s="16"/>
    </row>
    <row r="684" spans="1:12" s="32" customFormat="1" ht="26.4">
      <c r="A684" s="12">
        <v>107</v>
      </c>
      <c r="B684" s="13" t="s">
        <v>47</v>
      </c>
      <c r="C684" s="14" t="s">
        <v>48</v>
      </c>
      <c r="D684" s="14" t="s">
        <v>49</v>
      </c>
      <c r="E684" s="35">
        <v>1</v>
      </c>
      <c r="F684" s="14" t="s">
        <v>97</v>
      </c>
      <c r="G684" s="14" t="s">
        <v>15</v>
      </c>
      <c r="H684" s="12" t="s">
        <v>7</v>
      </c>
      <c r="I684" s="15">
        <v>53.6</v>
      </c>
      <c r="J684" s="54">
        <v>1170</v>
      </c>
      <c r="K684" s="33">
        <f t="shared" si="13"/>
        <v>62712</v>
      </c>
      <c r="L684" s="16"/>
    </row>
    <row r="685" spans="1:12" s="32" customFormat="1" ht="26.4">
      <c r="A685" s="12">
        <v>108</v>
      </c>
      <c r="B685" s="13" t="s">
        <v>47</v>
      </c>
      <c r="C685" s="14" t="s">
        <v>48</v>
      </c>
      <c r="D685" s="14" t="s">
        <v>49</v>
      </c>
      <c r="E685" s="35">
        <v>2</v>
      </c>
      <c r="F685" s="14" t="s">
        <v>182</v>
      </c>
      <c r="G685" s="14" t="s">
        <v>15</v>
      </c>
      <c r="H685" s="12" t="s">
        <v>7</v>
      </c>
      <c r="I685" s="15">
        <v>45.5</v>
      </c>
      <c r="J685" s="54">
        <v>1170</v>
      </c>
      <c r="K685" s="33">
        <f t="shared" si="13"/>
        <v>53235</v>
      </c>
      <c r="L685" s="16"/>
    </row>
    <row r="686" spans="1:12" s="32" customFormat="1" ht="26.4">
      <c r="A686" s="12">
        <v>109</v>
      </c>
      <c r="B686" s="13" t="s">
        <v>47</v>
      </c>
      <c r="C686" s="14" t="s">
        <v>48</v>
      </c>
      <c r="D686" s="14" t="s">
        <v>49</v>
      </c>
      <c r="E686" s="35">
        <v>3</v>
      </c>
      <c r="F686" s="14" t="s">
        <v>231</v>
      </c>
      <c r="G686" s="14" t="s">
        <v>15</v>
      </c>
      <c r="H686" s="12" t="s">
        <v>7</v>
      </c>
      <c r="I686" s="15">
        <v>58</v>
      </c>
      <c r="J686" s="54">
        <v>1170</v>
      </c>
      <c r="K686" s="33">
        <f t="shared" si="13"/>
        <v>67860</v>
      </c>
      <c r="L686" s="16"/>
    </row>
    <row r="687" spans="1:12" s="32" customFormat="1">
      <c r="A687" s="12">
        <v>110</v>
      </c>
      <c r="B687" s="13" t="s">
        <v>47</v>
      </c>
      <c r="C687" s="14" t="s">
        <v>48</v>
      </c>
      <c r="D687" s="14" t="s">
        <v>49</v>
      </c>
      <c r="E687" s="35">
        <v>1</v>
      </c>
      <c r="F687" s="14" t="s">
        <v>113</v>
      </c>
      <c r="G687" s="14" t="s">
        <v>280</v>
      </c>
      <c r="H687" s="12" t="s">
        <v>300</v>
      </c>
      <c r="I687" s="15">
        <v>10.5</v>
      </c>
      <c r="J687" s="54">
        <v>300</v>
      </c>
      <c r="K687" s="33">
        <f t="shared" si="13"/>
        <v>3150</v>
      </c>
      <c r="L687" s="16"/>
    </row>
    <row r="688" spans="1:12" s="32" customFormat="1">
      <c r="A688" s="12">
        <v>111</v>
      </c>
      <c r="B688" s="13" t="s">
        <v>47</v>
      </c>
      <c r="C688" s="14" t="s">
        <v>48</v>
      </c>
      <c r="D688" s="14" t="s">
        <v>49</v>
      </c>
      <c r="E688" s="35">
        <v>2</v>
      </c>
      <c r="F688" s="14" t="s">
        <v>192</v>
      </c>
      <c r="G688" s="14" t="s">
        <v>280</v>
      </c>
      <c r="H688" s="12" t="s">
        <v>300</v>
      </c>
      <c r="I688" s="15">
        <v>10.5</v>
      </c>
      <c r="J688" s="54">
        <v>300</v>
      </c>
      <c r="K688" s="33">
        <f t="shared" si="13"/>
        <v>3150</v>
      </c>
      <c r="L688" s="16"/>
    </row>
    <row r="689" spans="1:12" s="32" customFormat="1">
      <c r="A689" s="12">
        <v>112</v>
      </c>
      <c r="B689" s="13" t="s">
        <v>47</v>
      </c>
      <c r="C689" s="14" t="s">
        <v>48</v>
      </c>
      <c r="D689" s="14" t="s">
        <v>49</v>
      </c>
      <c r="E689" s="35">
        <v>2</v>
      </c>
      <c r="F689" s="14" t="s">
        <v>189</v>
      </c>
      <c r="G689" s="14" t="s">
        <v>280</v>
      </c>
      <c r="H689" s="12" t="s">
        <v>300</v>
      </c>
      <c r="I689" s="15">
        <v>9</v>
      </c>
      <c r="J689" s="54">
        <v>300</v>
      </c>
      <c r="K689" s="33">
        <f t="shared" si="13"/>
        <v>2700</v>
      </c>
      <c r="L689" s="16"/>
    </row>
    <row r="690" spans="1:12" s="32" customFormat="1">
      <c r="A690" s="12">
        <v>113</v>
      </c>
      <c r="B690" s="13" t="s">
        <v>47</v>
      </c>
      <c r="C690" s="14" t="s">
        <v>48</v>
      </c>
      <c r="D690" s="14" t="s">
        <v>49</v>
      </c>
      <c r="E690" s="35">
        <v>3</v>
      </c>
      <c r="F690" s="14" t="s">
        <v>233</v>
      </c>
      <c r="G690" s="14" t="s">
        <v>280</v>
      </c>
      <c r="H690" s="12" t="s">
        <v>300</v>
      </c>
      <c r="I690" s="15">
        <v>9</v>
      </c>
      <c r="J690" s="54"/>
      <c r="K690" s="33">
        <f t="shared" si="13"/>
        <v>0</v>
      </c>
      <c r="L690" s="16"/>
    </row>
    <row r="691" spans="1:12" s="32" customFormat="1">
      <c r="A691" s="12">
        <v>114</v>
      </c>
      <c r="B691" s="13" t="s">
        <v>47</v>
      </c>
      <c r="C691" s="14" t="s">
        <v>48</v>
      </c>
      <c r="D691" s="14" t="s">
        <v>49</v>
      </c>
      <c r="E691" s="35">
        <v>3</v>
      </c>
      <c r="F691" s="14" t="s">
        <v>221</v>
      </c>
      <c r="G691" s="14" t="s">
        <v>280</v>
      </c>
      <c r="H691" s="12" t="s">
        <v>300</v>
      </c>
      <c r="I691" s="15">
        <v>6.4</v>
      </c>
      <c r="J691" s="54"/>
      <c r="K691" s="33">
        <f t="shared" si="13"/>
        <v>0</v>
      </c>
      <c r="L691" s="16"/>
    </row>
    <row r="692" spans="1:12" s="32" customFormat="1">
      <c r="A692" s="12">
        <v>115</v>
      </c>
      <c r="B692" s="13" t="s">
        <v>47</v>
      </c>
      <c r="C692" s="14" t="s">
        <v>48</v>
      </c>
      <c r="D692" s="14"/>
      <c r="E692" s="35"/>
      <c r="F692" s="14" t="s">
        <v>296</v>
      </c>
      <c r="G692" s="57" t="s">
        <v>297</v>
      </c>
      <c r="H692" s="12" t="s">
        <v>267</v>
      </c>
      <c r="I692" s="15">
        <v>39</v>
      </c>
      <c r="J692" s="54">
        <v>450</v>
      </c>
      <c r="K692" s="33">
        <f t="shared" si="13"/>
        <v>17550</v>
      </c>
      <c r="L692" s="16"/>
    </row>
    <row r="693" spans="1:12" s="32" customFormat="1">
      <c r="A693" s="12">
        <v>116</v>
      </c>
      <c r="B693" s="13" t="s">
        <v>47</v>
      </c>
      <c r="C693" s="14" t="s">
        <v>48</v>
      </c>
      <c r="D693" s="14"/>
      <c r="E693" s="69"/>
      <c r="F693" s="14" t="s">
        <v>296</v>
      </c>
      <c r="G693" s="14" t="s">
        <v>11</v>
      </c>
      <c r="H693" s="12" t="s">
        <v>285</v>
      </c>
      <c r="I693" s="70">
        <v>392</v>
      </c>
      <c r="J693" s="54">
        <v>50</v>
      </c>
      <c r="K693" s="33">
        <f t="shared" si="13"/>
        <v>19600</v>
      </c>
      <c r="L693" s="16"/>
    </row>
    <row r="694" spans="1:12" ht="50.4" customHeight="1">
      <c r="A694" s="71" t="s">
        <v>50</v>
      </c>
      <c r="B694" s="144"/>
      <c r="C694" s="145"/>
      <c r="D694" s="145"/>
      <c r="E694" s="145"/>
      <c r="F694" s="145"/>
      <c r="G694" s="145"/>
      <c r="H694" s="145"/>
      <c r="I694" s="145"/>
      <c r="J694" s="146"/>
      <c r="K694" s="34">
        <f>SUM(K577:K693)</f>
        <v>1372784.7</v>
      </c>
      <c r="L694" s="36"/>
    </row>
    <row r="699" spans="1:12" ht="15" thickBot="1">
      <c r="B699" s="4" t="s">
        <v>34</v>
      </c>
      <c r="C699" s="151" t="s">
        <v>288</v>
      </c>
      <c r="D699" s="151"/>
      <c r="E699" s="151"/>
      <c r="F699" s="151"/>
      <c r="G699" s="3"/>
      <c r="H699" s="147"/>
      <c r="I699" s="147"/>
      <c r="J699" s="3"/>
    </row>
    <row r="700" spans="1:12">
      <c r="A700" s="3"/>
      <c r="B700" s="3"/>
      <c r="C700" s="148" t="s">
        <v>69</v>
      </c>
      <c r="D700" s="148"/>
      <c r="E700" s="148"/>
      <c r="F700" s="148"/>
      <c r="G700" s="3"/>
      <c r="H700" s="149">
        <v>45667</v>
      </c>
      <c r="I700" s="148"/>
      <c r="J700" s="3"/>
    </row>
    <row r="701" spans="1:12" ht="15" thickBot="1">
      <c r="A701" s="3"/>
      <c r="B701" s="5" t="s">
        <v>71</v>
      </c>
      <c r="C701" s="151" t="s">
        <v>299</v>
      </c>
      <c r="D701" s="151"/>
      <c r="E701" s="151"/>
      <c r="F701" s="151"/>
      <c r="G701" s="3"/>
      <c r="H701" s="147"/>
      <c r="I701" s="147"/>
      <c r="J701" s="3"/>
    </row>
    <row r="702" spans="1:12">
      <c r="A702" s="3"/>
      <c r="B702" s="3"/>
      <c r="C702" s="148" t="s">
        <v>69</v>
      </c>
      <c r="D702" s="148"/>
      <c r="E702" s="148"/>
      <c r="F702" s="148"/>
      <c r="G702" s="3"/>
      <c r="H702" s="149">
        <v>45667</v>
      </c>
      <c r="I702" s="148"/>
      <c r="J702" s="3"/>
    </row>
    <row r="703" spans="1:12">
      <c r="A703" s="3"/>
      <c r="B703" s="3"/>
      <c r="C703" s="3"/>
      <c r="D703" s="3"/>
      <c r="E703" s="3"/>
      <c r="F703" s="3"/>
      <c r="G703" s="3"/>
      <c r="H703" s="150"/>
      <c r="I703" s="150"/>
      <c r="J703" s="3"/>
    </row>
    <row r="704" spans="1:12" ht="15" thickBot="1">
      <c r="A704" s="3"/>
      <c r="B704" s="5" t="s">
        <v>289</v>
      </c>
      <c r="C704" s="151" t="s">
        <v>290</v>
      </c>
      <c r="D704" s="151"/>
      <c r="E704" s="151"/>
      <c r="F704" s="151"/>
      <c r="G704" s="3"/>
      <c r="H704" s="147"/>
      <c r="I704" s="147"/>
      <c r="J704" s="3"/>
    </row>
    <row r="705" spans="1:12">
      <c r="A705" s="3"/>
      <c r="B705" s="3"/>
      <c r="C705" s="148" t="s">
        <v>69</v>
      </c>
      <c r="D705" s="148"/>
      <c r="E705" s="148"/>
      <c r="F705" s="148"/>
      <c r="G705" s="3"/>
      <c r="H705" s="149">
        <v>45667</v>
      </c>
      <c r="I705" s="148"/>
      <c r="J705" s="3"/>
    </row>
    <row r="706" spans="1:12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2" ht="15" thickBot="1">
      <c r="A707" s="3"/>
      <c r="B707" s="5" t="s">
        <v>72</v>
      </c>
      <c r="C707" s="147"/>
      <c r="D707" s="147"/>
      <c r="E707" s="147"/>
      <c r="F707" s="147"/>
      <c r="G707" s="3"/>
      <c r="H707" s="147"/>
      <c r="I707" s="147"/>
      <c r="J707" s="3"/>
    </row>
    <row r="708" spans="1:12">
      <c r="A708" s="3"/>
      <c r="B708" s="3"/>
      <c r="C708" s="148" t="s">
        <v>69</v>
      </c>
      <c r="D708" s="148"/>
      <c r="E708" s="148"/>
      <c r="F708" s="148"/>
      <c r="G708" s="3"/>
      <c r="H708" s="148" t="s">
        <v>70</v>
      </c>
      <c r="I708" s="148"/>
      <c r="J708" s="3"/>
    </row>
    <row r="709" spans="1:12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2" ht="15" thickBot="1">
      <c r="A710" s="3"/>
      <c r="B710" s="4" t="s">
        <v>73</v>
      </c>
      <c r="C710" s="147"/>
      <c r="D710" s="147"/>
      <c r="E710" s="147"/>
      <c r="F710" s="147"/>
      <c r="G710" s="3"/>
      <c r="H710" s="147"/>
      <c r="I710" s="147"/>
      <c r="J710" s="3"/>
    </row>
    <row r="711" spans="1:12">
      <c r="A711" s="3"/>
      <c r="B711" s="3"/>
      <c r="C711" s="148" t="s">
        <v>69</v>
      </c>
      <c r="D711" s="148"/>
      <c r="E711" s="148"/>
      <c r="F711" s="148"/>
      <c r="G711" s="3"/>
      <c r="H711" s="148" t="s">
        <v>70</v>
      </c>
      <c r="I711" s="148"/>
      <c r="J711" s="3"/>
    </row>
    <row r="712" spans="1:12">
      <c r="A712" s="3"/>
      <c r="B712" s="1"/>
      <c r="C712" s="1"/>
      <c r="D712" s="1"/>
      <c r="E712" s="1"/>
      <c r="F712" s="1"/>
      <c r="G712" s="1"/>
      <c r="H712" s="1"/>
      <c r="I712" s="1"/>
      <c r="J712" s="1"/>
    </row>
    <row r="713" spans="1:12">
      <c r="A713" s="1"/>
    </row>
    <row r="719" spans="1:12" ht="36" customHeight="1">
      <c r="B719" s="3"/>
      <c r="C719" s="7" t="s">
        <v>29</v>
      </c>
      <c r="D719" s="7">
        <v>7</v>
      </c>
      <c r="E719" s="3"/>
      <c r="F719" s="3"/>
      <c r="G719" s="8" t="s">
        <v>30</v>
      </c>
      <c r="H719" s="7" t="s">
        <v>31</v>
      </c>
      <c r="I719" s="9" t="s">
        <v>301</v>
      </c>
      <c r="J719" s="3"/>
      <c r="K719" s="3"/>
      <c r="L719" s="3"/>
    </row>
    <row r="720" spans="1:12">
      <c r="A720" s="3"/>
      <c r="B720" s="3"/>
      <c r="C720" s="10"/>
      <c r="D720" s="3"/>
      <c r="E720" s="3"/>
      <c r="F720" s="3"/>
      <c r="G720" s="3"/>
      <c r="H720" s="7" t="s">
        <v>32</v>
      </c>
      <c r="I720" s="9">
        <v>46047</v>
      </c>
      <c r="J720" s="3"/>
      <c r="K720" s="3"/>
      <c r="L720" s="3"/>
    </row>
    <row r="721" spans="1:1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27.6">
      <c r="A722" s="3"/>
      <c r="B722" s="3"/>
      <c r="C722" s="7" t="s">
        <v>33</v>
      </c>
      <c r="D722" s="143" t="s">
        <v>217</v>
      </c>
      <c r="E722" s="143"/>
      <c r="F722" s="143"/>
      <c r="G722" s="3"/>
      <c r="H722" s="3"/>
      <c r="I722" s="3"/>
      <c r="J722" s="3"/>
      <c r="K722" s="3"/>
      <c r="L722" s="3"/>
    </row>
    <row r="723" spans="1:1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>
      <c r="A724" s="3"/>
      <c r="B724" s="3"/>
      <c r="C724" s="7" t="s">
        <v>34</v>
      </c>
      <c r="D724" s="143" t="s">
        <v>218</v>
      </c>
      <c r="E724" s="143"/>
      <c r="F724" s="143"/>
      <c r="G724" s="3"/>
      <c r="H724" s="3"/>
      <c r="I724" s="3"/>
      <c r="J724" s="3"/>
      <c r="K724" s="3"/>
      <c r="L724" s="3"/>
    </row>
    <row r="725" spans="1:1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>
      <c r="A726" s="3"/>
      <c r="B726" s="3"/>
      <c r="C726" s="7" t="s">
        <v>35</v>
      </c>
      <c r="D726" s="143" t="s">
        <v>36</v>
      </c>
      <c r="E726" s="143"/>
      <c r="F726" s="143"/>
      <c r="G726" s="3"/>
      <c r="H726" s="3"/>
      <c r="I726" s="3"/>
      <c r="J726" s="3"/>
      <c r="K726" s="3"/>
      <c r="L726" s="3"/>
    </row>
    <row r="727" spans="1:12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26.4">
      <c r="A729" s="1"/>
      <c r="B729" s="11" t="s">
        <v>38</v>
      </c>
      <c r="C729" s="11" t="s">
        <v>39</v>
      </c>
      <c r="D729" s="11" t="s">
        <v>39</v>
      </c>
      <c r="E729" s="11" t="s">
        <v>40</v>
      </c>
      <c r="F729" s="11" t="s">
        <v>41</v>
      </c>
      <c r="G729" s="11" t="s">
        <v>2</v>
      </c>
      <c r="H729" s="11" t="s">
        <v>42</v>
      </c>
      <c r="I729" s="11" t="s">
        <v>43</v>
      </c>
      <c r="J729" s="11" t="s">
        <v>44</v>
      </c>
      <c r="K729" s="11" t="s">
        <v>45</v>
      </c>
      <c r="L729" s="11" t="s">
        <v>46</v>
      </c>
    </row>
    <row r="730" spans="1:12" ht="66">
      <c r="A730" s="11" t="s">
        <v>37</v>
      </c>
      <c r="B730" s="13" t="s">
        <v>47</v>
      </c>
      <c r="C730" s="14" t="s">
        <v>48</v>
      </c>
      <c r="D730" s="14" t="s">
        <v>49</v>
      </c>
      <c r="E730" s="35">
        <v>1</v>
      </c>
      <c r="F730" s="14" t="s">
        <v>205</v>
      </c>
      <c r="G730" s="14" t="s">
        <v>277</v>
      </c>
      <c r="H730" s="12" t="s">
        <v>7</v>
      </c>
      <c r="I730" s="15">
        <v>34</v>
      </c>
      <c r="J730" s="54">
        <v>195</v>
      </c>
      <c r="K730" s="33">
        <f>J730*I730</f>
        <v>6630</v>
      </c>
      <c r="L730" s="16"/>
    </row>
    <row r="731" spans="1:12" ht="26.4">
      <c r="A731" s="12">
        <v>1</v>
      </c>
      <c r="B731" s="13" t="s">
        <v>47</v>
      </c>
      <c r="C731" s="14" t="s">
        <v>48</v>
      </c>
      <c r="D731" s="14" t="s">
        <v>49</v>
      </c>
      <c r="E731" s="35">
        <v>1</v>
      </c>
      <c r="F731" s="14" t="s">
        <v>103</v>
      </c>
      <c r="G731" s="14" t="s">
        <v>277</v>
      </c>
      <c r="H731" s="57" t="s">
        <v>7</v>
      </c>
      <c r="I731" s="15">
        <v>49</v>
      </c>
      <c r="J731" s="54">
        <v>195</v>
      </c>
      <c r="K731" s="33">
        <f>J731*I731</f>
        <v>9555</v>
      </c>
      <c r="L731" s="16"/>
    </row>
    <row r="732" spans="1:12" ht="26.4">
      <c r="A732" s="12">
        <v>2</v>
      </c>
      <c r="B732" s="13" t="s">
        <v>47</v>
      </c>
      <c r="C732" s="14" t="s">
        <v>48</v>
      </c>
      <c r="D732" s="14" t="s">
        <v>49</v>
      </c>
      <c r="E732" s="35">
        <v>1</v>
      </c>
      <c r="F732" s="14" t="s">
        <v>90</v>
      </c>
      <c r="G732" s="14" t="s">
        <v>277</v>
      </c>
      <c r="H732" s="12" t="s">
        <v>7</v>
      </c>
      <c r="I732" s="15">
        <v>101</v>
      </c>
      <c r="J732" s="54">
        <v>195</v>
      </c>
      <c r="K732" s="33">
        <f>J732*I732</f>
        <v>19695</v>
      </c>
      <c r="L732" s="16"/>
    </row>
    <row r="733" spans="1:12" ht="26.4">
      <c r="A733" s="12">
        <v>3</v>
      </c>
      <c r="B733" s="13" t="s">
        <v>47</v>
      </c>
      <c r="C733" s="14" t="s">
        <v>48</v>
      </c>
      <c r="D733" s="14" t="s">
        <v>49</v>
      </c>
      <c r="E733" s="35">
        <v>1</v>
      </c>
      <c r="F733" s="14" t="s">
        <v>101</v>
      </c>
      <c r="G733" s="14" t="s">
        <v>277</v>
      </c>
      <c r="H733" s="12" t="s">
        <v>7</v>
      </c>
      <c r="I733" s="15">
        <v>30</v>
      </c>
      <c r="J733" s="54">
        <v>195</v>
      </c>
      <c r="K733" s="33">
        <f>J733*I733</f>
        <v>5850</v>
      </c>
      <c r="L733" s="16"/>
    </row>
    <row r="734" spans="1:12" ht="26.4">
      <c r="A734" s="12">
        <v>4</v>
      </c>
      <c r="B734" s="13" t="s">
        <v>47</v>
      </c>
      <c r="C734" s="14" t="s">
        <v>48</v>
      </c>
      <c r="D734" s="14" t="s">
        <v>49</v>
      </c>
      <c r="E734" s="35">
        <v>1</v>
      </c>
      <c r="F734" s="14" t="s">
        <v>89</v>
      </c>
      <c r="G734" s="14" t="s">
        <v>277</v>
      </c>
      <c r="H734" s="12" t="s">
        <v>7</v>
      </c>
      <c r="I734" s="15">
        <v>102</v>
      </c>
      <c r="J734" s="54">
        <v>195</v>
      </c>
      <c r="K734" s="33">
        <f>J734*I734</f>
        <v>19890</v>
      </c>
      <c r="L734" s="16"/>
    </row>
    <row r="735" spans="1:12" ht="26.4">
      <c r="A735" s="12">
        <v>5</v>
      </c>
      <c r="B735" s="13" t="s">
        <v>47</v>
      </c>
      <c r="C735" s="14" t="s">
        <v>48</v>
      </c>
      <c r="D735" s="14" t="s">
        <v>49</v>
      </c>
      <c r="E735" s="35">
        <v>1</v>
      </c>
      <c r="F735" s="14" t="s">
        <v>91</v>
      </c>
      <c r="G735" s="14" t="s">
        <v>277</v>
      </c>
      <c r="H735" s="12" t="s">
        <v>7</v>
      </c>
      <c r="I735" s="15">
        <v>55</v>
      </c>
      <c r="J735" s="54">
        <v>195</v>
      </c>
      <c r="K735" s="33">
        <f t="shared" ref="K735:K798" si="14">J735*I735</f>
        <v>10725</v>
      </c>
      <c r="L735" s="16"/>
    </row>
    <row r="736" spans="1:12" ht="26.4">
      <c r="A736" s="12">
        <v>6</v>
      </c>
      <c r="B736" s="13" t="s">
        <v>47</v>
      </c>
      <c r="C736" s="14" t="s">
        <v>48</v>
      </c>
      <c r="D736" s="14" t="s">
        <v>49</v>
      </c>
      <c r="E736" s="35">
        <v>2</v>
      </c>
      <c r="F736" s="14" t="s">
        <v>179</v>
      </c>
      <c r="G736" s="14" t="s">
        <v>277</v>
      </c>
      <c r="H736" s="12" t="s">
        <v>7</v>
      </c>
      <c r="I736" s="15">
        <v>51</v>
      </c>
      <c r="J736" s="54">
        <v>195</v>
      </c>
      <c r="K736" s="33">
        <f t="shared" si="14"/>
        <v>9945</v>
      </c>
      <c r="L736" s="16"/>
    </row>
    <row r="737" spans="1:12" ht="26.4">
      <c r="A737" s="12">
        <v>7</v>
      </c>
      <c r="B737" s="13" t="s">
        <v>47</v>
      </c>
      <c r="C737" s="14" t="s">
        <v>48</v>
      </c>
      <c r="D737" s="14" t="s">
        <v>49</v>
      </c>
      <c r="E737" s="35">
        <v>2</v>
      </c>
      <c r="F737" s="14" t="s">
        <v>172</v>
      </c>
      <c r="G737" s="14" t="s">
        <v>277</v>
      </c>
      <c r="H737" s="12" t="s">
        <v>7</v>
      </c>
      <c r="I737" s="15">
        <v>25</v>
      </c>
      <c r="J737" s="54">
        <v>195</v>
      </c>
      <c r="K737" s="33">
        <f t="shared" si="14"/>
        <v>4875</v>
      </c>
      <c r="L737" s="16"/>
    </row>
    <row r="738" spans="1:12" ht="26.4">
      <c r="A738" s="12">
        <v>8</v>
      </c>
      <c r="B738" s="13" t="s">
        <v>47</v>
      </c>
      <c r="C738" s="14" t="s">
        <v>48</v>
      </c>
      <c r="D738" s="14" t="s">
        <v>49</v>
      </c>
      <c r="E738" s="35">
        <v>2</v>
      </c>
      <c r="F738" s="14" t="s">
        <v>171</v>
      </c>
      <c r="G738" s="14" t="s">
        <v>277</v>
      </c>
      <c r="H738" s="12" t="s">
        <v>7</v>
      </c>
      <c r="I738" s="15">
        <v>30.5</v>
      </c>
      <c r="J738" s="54">
        <v>195</v>
      </c>
      <c r="K738" s="33">
        <f t="shared" si="14"/>
        <v>5947.5</v>
      </c>
      <c r="L738" s="16"/>
    </row>
    <row r="739" spans="1:12" ht="26.4">
      <c r="A739" s="12">
        <v>9</v>
      </c>
      <c r="B739" s="13" t="s">
        <v>47</v>
      </c>
      <c r="C739" s="14" t="s">
        <v>48</v>
      </c>
      <c r="D739" s="14" t="s">
        <v>49</v>
      </c>
      <c r="E739" s="35">
        <v>2</v>
      </c>
      <c r="F739" s="14" t="s">
        <v>169</v>
      </c>
      <c r="G739" s="14" t="s">
        <v>277</v>
      </c>
      <c r="H739" s="12" t="s">
        <v>7</v>
      </c>
      <c r="I739" s="15">
        <v>29.5</v>
      </c>
      <c r="J739" s="54">
        <v>195</v>
      </c>
      <c r="K739" s="33">
        <f t="shared" si="14"/>
        <v>5752.5</v>
      </c>
      <c r="L739" s="16"/>
    </row>
    <row r="740" spans="1:12" ht="26.4">
      <c r="A740" s="12">
        <v>10</v>
      </c>
      <c r="B740" s="13" t="s">
        <v>47</v>
      </c>
      <c r="C740" s="14" t="s">
        <v>48</v>
      </c>
      <c r="D740" s="14" t="s">
        <v>49</v>
      </c>
      <c r="E740" s="35">
        <v>2</v>
      </c>
      <c r="F740" s="14" t="s">
        <v>163</v>
      </c>
      <c r="G740" s="14" t="s">
        <v>277</v>
      </c>
      <c r="H740" s="12" t="s">
        <v>7</v>
      </c>
      <c r="I740" s="15">
        <v>12</v>
      </c>
      <c r="J740" s="54">
        <v>195</v>
      </c>
      <c r="K740" s="33">
        <f t="shared" si="14"/>
        <v>2340</v>
      </c>
      <c r="L740" s="16"/>
    </row>
    <row r="741" spans="1:12" ht="26.4">
      <c r="A741" s="12">
        <v>11</v>
      </c>
      <c r="B741" s="13" t="s">
        <v>47</v>
      </c>
      <c r="C741" s="14" t="s">
        <v>48</v>
      </c>
      <c r="D741" s="14" t="s">
        <v>49</v>
      </c>
      <c r="E741" s="35">
        <v>2</v>
      </c>
      <c r="F741" s="14" t="s">
        <v>178</v>
      </c>
      <c r="G741" s="14" t="s">
        <v>277</v>
      </c>
      <c r="H741" s="12" t="s">
        <v>7</v>
      </c>
      <c r="I741" s="15">
        <v>76.5</v>
      </c>
      <c r="J741" s="54">
        <v>195</v>
      </c>
      <c r="K741" s="33">
        <f t="shared" si="14"/>
        <v>14917.5</v>
      </c>
      <c r="L741" s="16"/>
    </row>
    <row r="742" spans="1:12" ht="26.4">
      <c r="A742" s="12">
        <v>12</v>
      </c>
      <c r="B742" s="13" t="s">
        <v>47</v>
      </c>
      <c r="C742" s="14" t="s">
        <v>48</v>
      </c>
      <c r="D742" s="14" t="s">
        <v>49</v>
      </c>
      <c r="E742" s="35">
        <v>3</v>
      </c>
      <c r="F742" s="14" t="s">
        <v>259</v>
      </c>
      <c r="G742" s="14" t="s">
        <v>277</v>
      </c>
      <c r="H742" s="12" t="s">
        <v>7</v>
      </c>
      <c r="I742" s="15">
        <v>276.5</v>
      </c>
      <c r="J742" s="54">
        <v>195</v>
      </c>
      <c r="K742" s="33">
        <f t="shared" si="14"/>
        <v>53917.5</v>
      </c>
      <c r="L742" s="16"/>
    </row>
    <row r="743" spans="1:12" ht="27.6">
      <c r="A743" s="12">
        <v>13</v>
      </c>
      <c r="B743" s="13" t="s">
        <v>47</v>
      </c>
      <c r="C743" s="14" t="s">
        <v>48</v>
      </c>
      <c r="D743" s="14" t="s">
        <v>49</v>
      </c>
      <c r="E743" s="35">
        <v>3</v>
      </c>
      <c r="F743" s="14" t="s">
        <v>258</v>
      </c>
      <c r="G743" s="14" t="s">
        <v>277</v>
      </c>
      <c r="H743" s="12" t="s">
        <v>7</v>
      </c>
      <c r="I743" s="15">
        <v>198</v>
      </c>
      <c r="J743" s="54">
        <v>195</v>
      </c>
      <c r="K743" s="33">
        <f t="shared" si="14"/>
        <v>38610</v>
      </c>
      <c r="L743" s="16" t="s">
        <v>302</v>
      </c>
    </row>
    <row r="744" spans="1:12" ht="26.4">
      <c r="A744" s="12">
        <v>14</v>
      </c>
      <c r="B744" s="13" t="s">
        <v>47</v>
      </c>
      <c r="C744" s="14" t="s">
        <v>48</v>
      </c>
      <c r="D744" s="14" t="s">
        <v>49</v>
      </c>
      <c r="E744" s="35">
        <v>3</v>
      </c>
      <c r="F744" s="14" t="s">
        <v>227</v>
      </c>
      <c r="G744" s="14" t="s">
        <v>277</v>
      </c>
      <c r="H744" s="12" t="s">
        <v>7</v>
      </c>
      <c r="I744" s="15">
        <v>34</v>
      </c>
      <c r="J744" s="54">
        <v>195</v>
      </c>
      <c r="K744" s="33">
        <f t="shared" si="14"/>
        <v>6630</v>
      </c>
      <c r="L744" s="16"/>
    </row>
    <row r="745" spans="1:12" ht="26.4">
      <c r="A745" s="12">
        <v>15</v>
      </c>
      <c r="B745" s="13" t="s">
        <v>47</v>
      </c>
      <c r="C745" s="14" t="s">
        <v>48</v>
      </c>
      <c r="D745" s="14" t="s">
        <v>49</v>
      </c>
      <c r="E745" s="35">
        <v>3</v>
      </c>
      <c r="F745" s="14" t="s">
        <v>224</v>
      </c>
      <c r="G745" s="14" t="s">
        <v>277</v>
      </c>
      <c r="H745" s="12" t="s">
        <v>7</v>
      </c>
      <c r="I745" s="15">
        <v>101</v>
      </c>
      <c r="J745" s="54">
        <v>195</v>
      </c>
      <c r="K745" s="33">
        <f>J749*I745</f>
        <v>19695</v>
      </c>
      <c r="L745" s="16"/>
    </row>
    <row r="746" spans="1:12" ht="27.6">
      <c r="A746" s="12">
        <v>16</v>
      </c>
      <c r="B746" s="13" t="s">
        <v>47</v>
      </c>
      <c r="C746" s="14" t="s">
        <v>48</v>
      </c>
      <c r="D746" s="14" t="s">
        <v>49</v>
      </c>
      <c r="E746" s="35">
        <v>1</v>
      </c>
      <c r="F746" s="14" t="s">
        <v>159</v>
      </c>
      <c r="G746" s="14" t="s">
        <v>277</v>
      </c>
      <c r="H746" s="12" t="s">
        <v>7</v>
      </c>
      <c r="I746" s="15">
        <v>223</v>
      </c>
      <c r="J746" s="54">
        <v>195</v>
      </c>
      <c r="K746" s="33">
        <f t="shared" si="14"/>
        <v>43485</v>
      </c>
      <c r="L746" s="16" t="s">
        <v>303</v>
      </c>
    </row>
    <row r="747" spans="1:12" ht="27.6">
      <c r="A747" s="12">
        <v>17</v>
      </c>
      <c r="B747" s="13" t="s">
        <v>47</v>
      </c>
      <c r="C747" s="14" t="s">
        <v>48</v>
      </c>
      <c r="D747" s="14" t="s">
        <v>49</v>
      </c>
      <c r="E747" s="35">
        <v>2</v>
      </c>
      <c r="F747" s="14" t="s">
        <v>212</v>
      </c>
      <c r="G747" s="14" t="s">
        <v>277</v>
      </c>
      <c r="H747" s="12" t="s">
        <v>304</v>
      </c>
      <c r="I747" s="15">
        <v>296</v>
      </c>
      <c r="J747" s="54">
        <v>195</v>
      </c>
      <c r="K747" s="33">
        <f t="shared" si="14"/>
        <v>57720</v>
      </c>
      <c r="L747" s="16" t="s">
        <v>305</v>
      </c>
    </row>
    <row r="748" spans="1:12" ht="26.4">
      <c r="A748" s="12">
        <v>18</v>
      </c>
      <c r="B748" s="13" t="s">
        <v>47</v>
      </c>
      <c r="C748" s="14" t="s">
        <v>48</v>
      </c>
      <c r="D748" s="14" t="s">
        <v>49</v>
      </c>
      <c r="E748" s="35">
        <v>3</v>
      </c>
      <c r="F748" s="14" t="s">
        <v>229</v>
      </c>
      <c r="G748" s="14" t="s">
        <v>277</v>
      </c>
      <c r="H748" s="12" t="s">
        <v>7</v>
      </c>
      <c r="I748" s="15">
        <v>85</v>
      </c>
      <c r="J748" s="54">
        <v>195</v>
      </c>
      <c r="K748" s="33">
        <f t="shared" si="14"/>
        <v>16575</v>
      </c>
      <c r="L748" s="31"/>
    </row>
    <row r="749" spans="1:12" ht="66">
      <c r="A749" s="12">
        <v>19</v>
      </c>
      <c r="B749" s="13" t="s">
        <v>47</v>
      </c>
      <c r="C749" s="14" t="s">
        <v>48</v>
      </c>
      <c r="D749" s="14" t="s">
        <v>49</v>
      </c>
      <c r="E749" s="35">
        <v>1</v>
      </c>
      <c r="F749" s="14" t="s">
        <v>205</v>
      </c>
      <c r="G749" s="14" t="s">
        <v>278</v>
      </c>
      <c r="H749" s="12" t="s">
        <v>304</v>
      </c>
      <c r="I749" s="15">
        <v>24</v>
      </c>
      <c r="J749" s="54">
        <v>195</v>
      </c>
      <c r="K749" s="33">
        <v>0</v>
      </c>
      <c r="L749" s="16"/>
    </row>
    <row r="750" spans="1:12" ht="26.4">
      <c r="A750" s="12">
        <v>20</v>
      </c>
      <c r="B750" s="13" t="s">
        <v>47</v>
      </c>
      <c r="C750" s="14" t="s">
        <v>48</v>
      </c>
      <c r="D750" s="14" t="s">
        <v>49</v>
      </c>
      <c r="E750" s="35">
        <v>1</v>
      </c>
      <c r="F750" s="14" t="s">
        <v>103</v>
      </c>
      <c r="G750" s="14" t="s">
        <v>278</v>
      </c>
      <c r="H750" s="12" t="s">
        <v>7</v>
      </c>
      <c r="I750" s="15">
        <v>49</v>
      </c>
      <c r="J750" s="54">
        <v>195</v>
      </c>
      <c r="K750" s="33">
        <f t="shared" si="14"/>
        <v>9555</v>
      </c>
      <c r="L750" s="16"/>
    </row>
    <row r="751" spans="1:12" ht="26.4">
      <c r="A751" s="12">
        <v>21</v>
      </c>
      <c r="B751" s="13" t="s">
        <v>47</v>
      </c>
      <c r="C751" s="14" t="s">
        <v>48</v>
      </c>
      <c r="D751" s="14" t="s">
        <v>49</v>
      </c>
      <c r="E751" s="35">
        <v>1</v>
      </c>
      <c r="F751" s="14" t="s">
        <v>114</v>
      </c>
      <c r="G751" s="14" t="s">
        <v>278</v>
      </c>
      <c r="H751" s="12" t="s">
        <v>7</v>
      </c>
      <c r="I751" s="15">
        <v>33.5</v>
      </c>
      <c r="J751" s="54">
        <v>195</v>
      </c>
      <c r="K751" s="33">
        <f t="shared" si="14"/>
        <v>6532.5</v>
      </c>
      <c r="L751" s="16"/>
    </row>
    <row r="752" spans="1:12" ht="26.4">
      <c r="A752" s="12">
        <v>22</v>
      </c>
      <c r="B752" s="13" t="s">
        <v>47</v>
      </c>
      <c r="C752" s="14" t="s">
        <v>48</v>
      </c>
      <c r="D752" s="14" t="s">
        <v>49</v>
      </c>
      <c r="E752" s="35">
        <v>1</v>
      </c>
      <c r="F752" s="14" t="s">
        <v>101</v>
      </c>
      <c r="G752" s="14" t="s">
        <v>278</v>
      </c>
      <c r="H752" s="12" t="s">
        <v>7</v>
      </c>
      <c r="I752" s="15">
        <v>30</v>
      </c>
      <c r="J752" s="54">
        <v>195</v>
      </c>
      <c r="K752" s="33">
        <v>0</v>
      </c>
      <c r="L752" s="16"/>
    </row>
    <row r="753" spans="1:12" ht="26.4">
      <c r="A753" s="12">
        <v>23</v>
      </c>
      <c r="B753" s="13" t="s">
        <v>47</v>
      </c>
      <c r="C753" s="14" t="s">
        <v>48</v>
      </c>
      <c r="D753" s="14" t="s">
        <v>49</v>
      </c>
      <c r="E753" s="35">
        <v>1</v>
      </c>
      <c r="F753" s="14" t="s">
        <v>89</v>
      </c>
      <c r="G753" s="14" t="s">
        <v>278</v>
      </c>
      <c r="H753" s="12" t="s">
        <v>7</v>
      </c>
      <c r="I753" s="15">
        <v>102</v>
      </c>
      <c r="J753" s="54">
        <v>195</v>
      </c>
      <c r="K753" s="33">
        <f t="shared" si="14"/>
        <v>19890</v>
      </c>
      <c r="L753" s="16"/>
    </row>
    <row r="754" spans="1:12" ht="26.4">
      <c r="A754" s="12">
        <v>24</v>
      </c>
      <c r="B754" s="13" t="s">
        <v>47</v>
      </c>
      <c r="C754" s="14" t="s">
        <v>48</v>
      </c>
      <c r="D754" s="14" t="s">
        <v>49</v>
      </c>
      <c r="E754" s="35">
        <v>1</v>
      </c>
      <c r="F754" s="14" t="s">
        <v>159</v>
      </c>
      <c r="G754" s="14" t="s">
        <v>278</v>
      </c>
      <c r="H754" s="12" t="s">
        <v>7</v>
      </c>
      <c r="I754" s="15">
        <v>9.6999999999999993</v>
      </c>
      <c r="J754" s="54">
        <v>195</v>
      </c>
      <c r="K754" s="33">
        <f t="shared" si="14"/>
        <v>1891.4999999999998</v>
      </c>
      <c r="L754" s="16"/>
    </row>
    <row r="755" spans="1:12" ht="36" customHeight="1">
      <c r="A755" s="12">
        <v>25</v>
      </c>
      <c r="B755" s="13" t="s">
        <v>47</v>
      </c>
      <c r="C755" s="14" t="s">
        <v>48</v>
      </c>
      <c r="D755" s="14" t="s">
        <v>49</v>
      </c>
      <c r="E755" s="35">
        <v>2</v>
      </c>
      <c r="F755" s="14" t="s">
        <v>179</v>
      </c>
      <c r="G755" s="14" t="s">
        <v>278</v>
      </c>
      <c r="H755" s="12" t="s">
        <v>7</v>
      </c>
      <c r="I755" s="15">
        <v>18.7</v>
      </c>
      <c r="J755" s="54">
        <v>195</v>
      </c>
      <c r="K755" s="33">
        <f t="shared" si="14"/>
        <v>3646.5</v>
      </c>
      <c r="L755" s="16"/>
    </row>
    <row r="756" spans="1:12" ht="26.4">
      <c r="A756" s="12">
        <v>26</v>
      </c>
      <c r="B756" s="13" t="s">
        <v>47</v>
      </c>
      <c r="C756" s="14" t="s">
        <v>48</v>
      </c>
      <c r="D756" s="14" t="s">
        <v>49</v>
      </c>
      <c r="E756" s="35">
        <v>2</v>
      </c>
      <c r="F756" s="14" t="s">
        <v>172</v>
      </c>
      <c r="G756" s="14" t="s">
        <v>278</v>
      </c>
      <c r="H756" s="12" t="s">
        <v>7</v>
      </c>
      <c r="I756" s="15">
        <v>25</v>
      </c>
      <c r="J756" s="54">
        <v>195</v>
      </c>
      <c r="K756" s="33">
        <f t="shared" si="14"/>
        <v>4875</v>
      </c>
      <c r="L756" s="16"/>
    </row>
    <row r="757" spans="1:12" ht="26.4">
      <c r="A757" s="12">
        <v>27</v>
      </c>
      <c r="B757" s="13" t="s">
        <v>47</v>
      </c>
      <c r="C757" s="14" t="s">
        <v>48</v>
      </c>
      <c r="D757" s="14" t="s">
        <v>49</v>
      </c>
      <c r="E757" s="35">
        <v>2</v>
      </c>
      <c r="F757" s="14" t="s">
        <v>171</v>
      </c>
      <c r="G757" s="14" t="s">
        <v>278</v>
      </c>
      <c r="H757" s="12" t="s">
        <v>304</v>
      </c>
      <c r="I757" s="15">
        <v>30.5</v>
      </c>
      <c r="J757" s="54">
        <v>195</v>
      </c>
      <c r="K757" s="33">
        <f t="shared" si="14"/>
        <v>5947.5</v>
      </c>
      <c r="L757" s="16"/>
    </row>
    <row r="758" spans="1:12" ht="26.4">
      <c r="A758" s="12">
        <v>28</v>
      </c>
      <c r="B758" s="13" t="s">
        <v>47</v>
      </c>
      <c r="C758" s="14" t="s">
        <v>48</v>
      </c>
      <c r="D758" s="14" t="s">
        <v>49</v>
      </c>
      <c r="E758" s="35">
        <v>2</v>
      </c>
      <c r="F758" s="14" t="s">
        <v>169</v>
      </c>
      <c r="G758" s="14" t="s">
        <v>278</v>
      </c>
      <c r="H758" s="12" t="s">
        <v>7</v>
      </c>
      <c r="I758" s="15">
        <v>24.5</v>
      </c>
      <c r="J758" s="54">
        <v>195</v>
      </c>
      <c r="K758" s="33">
        <f t="shared" si="14"/>
        <v>4777.5</v>
      </c>
      <c r="L758" s="16"/>
    </row>
    <row r="759" spans="1:12" ht="26.4">
      <c r="A759" s="12">
        <v>29</v>
      </c>
      <c r="B759" s="13" t="s">
        <v>47</v>
      </c>
      <c r="C759" s="14" t="s">
        <v>48</v>
      </c>
      <c r="D759" s="14" t="s">
        <v>49</v>
      </c>
      <c r="E759" s="35">
        <v>2</v>
      </c>
      <c r="F759" s="14" t="s">
        <v>193</v>
      </c>
      <c r="G759" s="14" t="s">
        <v>278</v>
      </c>
      <c r="H759" s="12" t="s">
        <v>7</v>
      </c>
      <c r="I759" s="15">
        <v>23.5</v>
      </c>
      <c r="J759" s="54">
        <v>195</v>
      </c>
      <c r="K759" s="33">
        <f t="shared" si="14"/>
        <v>4582.5</v>
      </c>
      <c r="L759" s="16"/>
    </row>
    <row r="760" spans="1:12" ht="26.4">
      <c r="A760" s="12">
        <v>30</v>
      </c>
      <c r="B760" s="13" t="s">
        <v>47</v>
      </c>
      <c r="C760" s="14" t="s">
        <v>48</v>
      </c>
      <c r="D760" s="14" t="s">
        <v>49</v>
      </c>
      <c r="E760" s="35">
        <v>2</v>
      </c>
      <c r="F760" s="14" t="s">
        <v>178</v>
      </c>
      <c r="G760" s="14" t="s">
        <v>278</v>
      </c>
      <c r="H760" s="12" t="s">
        <v>7</v>
      </c>
      <c r="I760" s="15">
        <v>25</v>
      </c>
      <c r="J760" s="54">
        <v>195</v>
      </c>
      <c r="K760" s="33">
        <f t="shared" si="14"/>
        <v>4875</v>
      </c>
      <c r="L760" s="16"/>
    </row>
    <row r="761" spans="1:12" ht="26.4">
      <c r="A761" s="12">
        <v>31</v>
      </c>
      <c r="B761" s="13" t="s">
        <v>47</v>
      </c>
      <c r="C761" s="14" t="s">
        <v>48</v>
      </c>
      <c r="D761" s="14" t="s">
        <v>49</v>
      </c>
      <c r="E761" s="35">
        <v>3</v>
      </c>
      <c r="F761" s="14" t="s">
        <v>227</v>
      </c>
      <c r="G761" s="14" t="s">
        <v>278</v>
      </c>
      <c r="H761" s="12" t="s">
        <v>7</v>
      </c>
      <c r="I761" s="15">
        <v>34</v>
      </c>
      <c r="J761" s="54">
        <v>195</v>
      </c>
      <c r="K761" s="33">
        <f t="shared" si="14"/>
        <v>6630</v>
      </c>
      <c r="L761" s="16"/>
    </row>
    <row r="762" spans="1:12" ht="26.4">
      <c r="A762" s="12">
        <v>32</v>
      </c>
      <c r="B762" s="13" t="s">
        <v>47</v>
      </c>
      <c r="C762" s="14" t="s">
        <v>48</v>
      </c>
      <c r="D762" s="14" t="s">
        <v>49</v>
      </c>
      <c r="E762" s="35">
        <v>3</v>
      </c>
      <c r="F762" s="14" t="s">
        <v>224</v>
      </c>
      <c r="G762" s="14" t="s">
        <v>278</v>
      </c>
      <c r="H762" s="12" t="s">
        <v>7</v>
      </c>
      <c r="I762" s="15">
        <v>43.5</v>
      </c>
      <c r="J762" s="54">
        <v>195</v>
      </c>
      <c r="K762" s="33">
        <f t="shared" si="14"/>
        <v>8482.5</v>
      </c>
      <c r="L762" s="16"/>
    </row>
    <row r="763" spans="1:12" ht="66">
      <c r="A763" s="12">
        <v>33</v>
      </c>
      <c r="B763" s="13" t="s">
        <v>47</v>
      </c>
      <c r="C763" s="14" t="s">
        <v>48</v>
      </c>
      <c r="D763" s="14" t="s">
        <v>49</v>
      </c>
      <c r="E763" s="35">
        <v>3</v>
      </c>
      <c r="F763" s="14" t="s">
        <v>268</v>
      </c>
      <c r="G763" s="14" t="s">
        <v>278</v>
      </c>
      <c r="H763" s="12" t="s">
        <v>7</v>
      </c>
      <c r="I763" s="15">
        <v>22</v>
      </c>
      <c r="J763" s="54">
        <v>195</v>
      </c>
      <c r="K763" s="33">
        <f t="shared" si="14"/>
        <v>4290</v>
      </c>
      <c r="L763" s="16"/>
    </row>
    <row r="764" spans="1:12" ht="26.4">
      <c r="A764" s="12">
        <v>34</v>
      </c>
      <c r="B764" s="13" t="s">
        <v>47</v>
      </c>
      <c r="C764" s="14" t="s">
        <v>48</v>
      </c>
      <c r="D764" s="14" t="s">
        <v>49</v>
      </c>
      <c r="E764" s="35">
        <v>3</v>
      </c>
      <c r="F764" s="14" t="s">
        <v>237</v>
      </c>
      <c r="G764" s="14" t="s">
        <v>278</v>
      </c>
      <c r="H764" s="12" t="s">
        <v>7</v>
      </c>
      <c r="I764" s="15">
        <v>23</v>
      </c>
      <c r="J764" s="54">
        <v>195</v>
      </c>
      <c r="K764" s="33">
        <f t="shared" si="14"/>
        <v>4485</v>
      </c>
      <c r="L764" s="16"/>
    </row>
    <row r="765" spans="1:12" ht="39.6">
      <c r="A765" s="12">
        <v>35</v>
      </c>
      <c r="B765" s="13" t="s">
        <v>47</v>
      </c>
      <c r="C765" s="14" t="s">
        <v>48</v>
      </c>
      <c r="D765" s="14" t="s">
        <v>49</v>
      </c>
      <c r="E765" s="35">
        <v>1</v>
      </c>
      <c r="F765" s="14" t="s">
        <v>103</v>
      </c>
      <c r="G765" s="14" t="s">
        <v>6</v>
      </c>
      <c r="H765" s="12" t="s">
        <v>7</v>
      </c>
      <c r="I765" s="15">
        <v>4.5</v>
      </c>
      <c r="J765" s="54">
        <v>585</v>
      </c>
      <c r="K765" s="33">
        <f t="shared" si="14"/>
        <v>2632.5</v>
      </c>
      <c r="L765" s="16"/>
    </row>
    <row r="766" spans="1:12" ht="39.6">
      <c r="A766" s="12">
        <v>36</v>
      </c>
      <c r="B766" s="13" t="s">
        <v>47</v>
      </c>
      <c r="C766" s="14" t="s">
        <v>48</v>
      </c>
      <c r="D766" s="14" t="s">
        <v>49</v>
      </c>
      <c r="E766" s="35">
        <v>1</v>
      </c>
      <c r="F766" s="14" t="s">
        <v>89</v>
      </c>
      <c r="G766" s="14" t="s">
        <v>6</v>
      </c>
      <c r="H766" s="12" t="s">
        <v>7</v>
      </c>
      <c r="I766" s="15">
        <v>10.5</v>
      </c>
      <c r="J766" s="54">
        <v>585</v>
      </c>
      <c r="K766" s="33">
        <f t="shared" si="14"/>
        <v>6142.5</v>
      </c>
      <c r="L766" s="16"/>
    </row>
    <row r="767" spans="1:12" ht="39.6">
      <c r="A767" s="12">
        <v>37</v>
      </c>
      <c r="B767" s="13" t="s">
        <v>47</v>
      </c>
      <c r="C767" s="14" t="s">
        <v>48</v>
      </c>
      <c r="D767" s="14" t="s">
        <v>49</v>
      </c>
      <c r="E767" s="35">
        <v>2</v>
      </c>
      <c r="F767" s="14" t="s">
        <v>163</v>
      </c>
      <c r="G767" s="14" t="s">
        <v>6</v>
      </c>
      <c r="H767" s="12" t="s">
        <v>7</v>
      </c>
      <c r="I767" s="15">
        <v>16</v>
      </c>
      <c r="J767" s="54">
        <v>585</v>
      </c>
      <c r="K767" s="33">
        <f t="shared" si="14"/>
        <v>9360</v>
      </c>
      <c r="L767" s="16"/>
    </row>
    <row r="768" spans="1:12" ht="39.6">
      <c r="A768" s="12">
        <v>38</v>
      </c>
      <c r="B768" s="13" t="s">
        <v>47</v>
      </c>
      <c r="C768" s="14" t="s">
        <v>48</v>
      </c>
      <c r="D768" s="14" t="s">
        <v>49</v>
      </c>
      <c r="E768" s="35">
        <v>2</v>
      </c>
      <c r="F768" s="14" t="s">
        <v>179</v>
      </c>
      <c r="G768" s="14" t="s">
        <v>6</v>
      </c>
      <c r="H768" s="12" t="s">
        <v>7</v>
      </c>
      <c r="I768" s="15">
        <v>18.7</v>
      </c>
      <c r="J768" s="54">
        <v>585</v>
      </c>
      <c r="K768" s="33">
        <f t="shared" si="14"/>
        <v>10939.5</v>
      </c>
      <c r="L768" s="16"/>
    </row>
    <row r="769" spans="1:12" ht="39.6">
      <c r="A769" s="12">
        <v>39</v>
      </c>
      <c r="B769" s="13" t="s">
        <v>47</v>
      </c>
      <c r="C769" s="14" t="s">
        <v>48</v>
      </c>
      <c r="D769" s="14" t="s">
        <v>49</v>
      </c>
      <c r="E769" s="35">
        <v>2</v>
      </c>
      <c r="F769" s="14" t="s">
        <v>172</v>
      </c>
      <c r="G769" s="14" t="s">
        <v>6</v>
      </c>
      <c r="H769" s="12" t="s">
        <v>7</v>
      </c>
      <c r="I769" s="15">
        <v>24.5</v>
      </c>
      <c r="J769" s="54">
        <v>585</v>
      </c>
      <c r="K769" s="33">
        <f t="shared" si="14"/>
        <v>14332.5</v>
      </c>
      <c r="L769" s="16"/>
    </row>
    <row r="770" spans="1:12" ht="39.6">
      <c r="A770" s="12">
        <v>40</v>
      </c>
      <c r="B770" s="13" t="s">
        <v>47</v>
      </c>
      <c r="C770" s="14" t="s">
        <v>48</v>
      </c>
      <c r="D770" s="14" t="s">
        <v>49</v>
      </c>
      <c r="E770" s="35">
        <v>2</v>
      </c>
      <c r="F770" s="14" t="s">
        <v>171</v>
      </c>
      <c r="G770" s="14" t="s">
        <v>6</v>
      </c>
      <c r="H770" s="12" t="s">
        <v>7</v>
      </c>
      <c r="I770" s="15">
        <v>29</v>
      </c>
      <c r="J770" s="54">
        <v>585</v>
      </c>
      <c r="K770" s="33">
        <f t="shared" si="14"/>
        <v>16965</v>
      </c>
      <c r="L770" s="16"/>
    </row>
    <row r="771" spans="1:12" ht="39.6">
      <c r="A771" s="12">
        <v>41</v>
      </c>
      <c r="B771" s="13" t="s">
        <v>47</v>
      </c>
      <c r="C771" s="14" t="s">
        <v>48</v>
      </c>
      <c r="D771" s="14" t="s">
        <v>49</v>
      </c>
      <c r="E771" s="35">
        <v>2</v>
      </c>
      <c r="F771" s="14" t="s">
        <v>169</v>
      </c>
      <c r="G771" s="14" t="s">
        <v>6</v>
      </c>
      <c r="H771" s="12" t="s">
        <v>7</v>
      </c>
      <c r="I771" s="15">
        <v>12.8</v>
      </c>
      <c r="J771" s="54">
        <v>585</v>
      </c>
      <c r="K771" s="33">
        <f t="shared" si="14"/>
        <v>7488</v>
      </c>
      <c r="L771" s="16"/>
    </row>
    <row r="772" spans="1:12" ht="39.6">
      <c r="A772" s="12">
        <v>42</v>
      </c>
      <c r="B772" s="13" t="s">
        <v>47</v>
      </c>
      <c r="C772" s="14" t="s">
        <v>48</v>
      </c>
      <c r="D772" s="14" t="s">
        <v>49</v>
      </c>
      <c r="E772" s="35">
        <v>3</v>
      </c>
      <c r="F772" s="14" t="s">
        <v>227</v>
      </c>
      <c r="G772" s="14" t="s">
        <v>6</v>
      </c>
      <c r="H772" s="12" t="s">
        <v>7</v>
      </c>
      <c r="I772" s="15">
        <v>14</v>
      </c>
      <c r="J772" s="54">
        <v>585</v>
      </c>
      <c r="K772" s="33">
        <f t="shared" si="14"/>
        <v>8190</v>
      </c>
      <c r="L772" s="16"/>
    </row>
    <row r="773" spans="1:12" ht="39.6">
      <c r="A773" s="12">
        <v>43</v>
      </c>
      <c r="B773" s="13" t="s">
        <v>47</v>
      </c>
      <c r="C773" s="14" t="s">
        <v>48</v>
      </c>
      <c r="D773" s="14" t="s">
        <v>49</v>
      </c>
      <c r="E773" s="35">
        <v>3</v>
      </c>
      <c r="F773" s="14" t="s">
        <v>224</v>
      </c>
      <c r="G773" s="14" t="s">
        <v>6</v>
      </c>
      <c r="H773" s="12" t="s">
        <v>7</v>
      </c>
      <c r="I773" s="15">
        <v>23.5</v>
      </c>
      <c r="J773" s="54">
        <v>585</v>
      </c>
      <c r="K773" s="33">
        <f t="shared" si="14"/>
        <v>13747.5</v>
      </c>
      <c r="L773" s="16"/>
    </row>
    <row r="774" spans="1:12" ht="26.4">
      <c r="A774" s="12">
        <v>44</v>
      </c>
      <c r="B774" s="13" t="s">
        <v>47</v>
      </c>
      <c r="C774" s="14" t="s">
        <v>48</v>
      </c>
      <c r="D774" s="14" t="s">
        <v>49</v>
      </c>
      <c r="E774" s="35">
        <v>-1</v>
      </c>
      <c r="F774" s="14" t="s">
        <v>306</v>
      </c>
      <c r="G774" s="14" t="s">
        <v>277</v>
      </c>
      <c r="H774" s="12" t="s">
        <v>7</v>
      </c>
      <c r="I774" s="15">
        <v>564</v>
      </c>
      <c r="J774" s="54">
        <v>195</v>
      </c>
      <c r="K774" s="33">
        <f t="shared" si="14"/>
        <v>109980</v>
      </c>
      <c r="L774" s="16" t="s">
        <v>307</v>
      </c>
    </row>
    <row r="775" spans="1:12" ht="26.4">
      <c r="A775" s="12">
        <v>45</v>
      </c>
      <c r="B775" s="13" t="s">
        <v>47</v>
      </c>
      <c r="C775" s="14" t="s">
        <v>48</v>
      </c>
      <c r="D775" s="14" t="s">
        <v>49</v>
      </c>
      <c r="E775" s="35">
        <v>-1</v>
      </c>
      <c r="F775" s="14" t="s">
        <v>308</v>
      </c>
      <c r="G775" s="14" t="s">
        <v>277</v>
      </c>
      <c r="H775" s="12" t="s">
        <v>7</v>
      </c>
      <c r="I775" s="15">
        <v>164</v>
      </c>
      <c r="J775" s="54">
        <v>195</v>
      </c>
      <c r="K775" s="33">
        <f t="shared" si="14"/>
        <v>31980</v>
      </c>
      <c r="L775" s="16" t="s">
        <v>307</v>
      </c>
    </row>
    <row r="776" spans="1:12" ht="69">
      <c r="A776" s="12">
        <v>46</v>
      </c>
      <c r="B776" s="13" t="s">
        <v>47</v>
      </c>
      <c r="C776" s="14" t="s">
        <v>48</v>
      </c>
      <c r="D776" s="14" t="s">
        <v>49</v>
      </c>
      <c r="E776" s="35">
        <v>-1</v>
      </c>
      <c r="F776" s="14" t="s">
        <v>309</v>
      </c>
      <c r="G776" s="14" t="s">
        <v>262</v>
      </c>
      <c r="H776" s="12" t="s">
        <v>7</v>
      </c>
      <c r="I776" s="15">
        <v>9</v>
      </c>
      <c r="J776" s="54">
        <v>1105</v>
      </c>
      <c r="K776" s="33">
        <f t="shared" si="14"/>
        <v>9945</v>
      </c>
      <c r="L776" s="16" t="s">
        <v>310</v>
      </c>
    </row>
    <row r="777" spans="1:12">
      <c r="A777" s="12">
        <v>47</v>
      </c>
      <c r="B777" s="13" t="s">
        <v>47</v>
      </c>
      <c r="C777" s="14" t="s">
        <v>48</v>
      </c>
      <c r="D777" s="14" t="s">
        <v>49</v>
      </c>
      <c r="E777" s="35">
        <v>1</v>
      </c>
      <c r="F777" s="14" t="s">
        <v>101</v>
      </c>
      <c r="G777" s="14" t="s">
        <v>262</v>
      </c>
      <c r="H777" s="12" t="s">
        <v>261</v>
      </c>
      <c r="I777" s="15">
        <v>15</v>
      </c>
      <c r="J777" s="54">
        <v>1105</v>
      </c>
      <c r="K777" s="33">
        <f t="shared" si="14"/>
        <v>16575</v>
      </c>
      <c r="L777" s="16"/>
    </row>
    <row r="778" spans="1:12">
      <c r="A778" s="12">
        <v>48</v>
      </c>
      <c r="B778" s="13" t="s">
        <v>47</v>
      </c>
      <c r="C778" s="14" t="s">
        <v>48</v>
      </c>
      <c r="D778" s="14" t="s">
        <v>49</v>
      </c>
      <c r="E778" s="35">
        <v>1</v>
      </c>
      <c r="F778" s="14" t="s">
        <v>103</v>
      </c>
      <c r="G778" s="14" t="s">
        <v>262</v>
      </c>
      <c r="H778" s="12" t="s">
        <v>261</v>
      </c>
      <c r="I778" s="15">
        <v>4.5</v>
      </c>
      <c r="J778" s="54">
        <v>1105</v>
      </c>
      <c r="K778" s="33">
        <f t="shared" si="14"/>
        <v>4972.5</v>
      </c>
      <c r="L778" s="16"/>
    </row>
    <row r="779" spans="1:12">
      <c r="A779" s="12">
        <v>49</v>
      </c>
      <c r="B779" s="13" t="s">
        <v>47</v>
      </c>
      <c r="C779" s="14" t="s">
        <v>48</v>
      </c>
      <c r="D779" s="14" t="s">
        <v>49</v>
      </c>
      <c r="E779" s="35">
        <v>2</v>
      </c>
      <c r="F779" s="14" t="s">
        <v>89</v>
      </c>
      <c r="G779" s="14" t="s">
        <v>262</v>
      </c>
      <c r="H779" s="12" t="s">
        <v>261</v>
      </c>
      <c r="I779" s="15">
        <v>6.5</v>
      </c>
      <c r="J779" s="54">
        <v>1105</v>
      </c>
      <c r="K779" s="33">
        <f t="shared" si="14"/>
        <v>7182.5</v>
      </c>
      <c r="L779" s="16"/>
    </row>
    <row r="780" spans="1:12" ht="26.4">
      <c r="A780" s="12">
        <v>50</v>
      </c>
      <c r="B780" s="13" t="s">
        <v>47</v>
      </c>
      <c r="C780" s="14" t="s">
        <v>48</v>
      </c>
      <c r="D780" s="14" t="s">
        <v>49</v>
      </c>
      <c r="E780" s="35">
        <v>2</v>
      </c>
      <c r="F780" s="14" t="s">
        <v>163</v>
      </c>
      <c r="G780" s="14" t="s">
        <v>262</v>
      </c>
      <c r="H780" s="12" t="s">
        <v>261</v>
      </c>
      <c r="I780" s="15">
        <v>16</v>
      </c>
      <c r="J780" s="54">
        <v>1105</v>
      </c>
      <c r="K780" s="33">
        <f t="shared" si="14"/>
        <v>17680</v>
      </c>
      <c r="L780" s="16"/>
    </row>
    <row r="781" spans="1:12" ht="26.4">
      <c r="A781" s="12">
        <v>51</v>
      </c>
      <c r="B781" s="13" t="s">
        <v>47</v>
      </c>
      <c r="C781" s="14" t="s">
        <v>48</v>
      </c>
      <c r="D781" s="14" t="s">
        <v>49</v>
      </c>
      <c r="E781" s="35">
        <v>2</v>
      </c>
      <c r="F781" s="14" t="s">
        <v>179</v>
      </c>
      <c r="G781" s="14" t="s">
        <v>262</v>
      </c>
      <c r="H781" s="12" t="s">
        <v>261</v>
      </c>
      <c r="I781" s="15">
        <v>15</v>
      </c>
      <c r="J781" s="54">
        <v>1105</v>
      </c>
      <c r="K781" s="33">
        <f t="shared" si="14"/>
        <v>16575</v>
      </c>
      <c r="L781" s="16"/>
    </row>
    <row r="782" spans="1:12">
      <c r="A782" s="12">
        <v>52</v>
      </c>
      <c r="B782" s="13" t="s">
        <v>47</v>
      </c>
      <c r="C782" s="14" t="s">
        <v>48</v>
      </c>
      <c r="D782" s="14" t="s">
        <v>49</v>
      </c>
      <c r="E782" s="35">
        <v>2</v>
      </c>
      <c r="F782" s="14" t="s">
        <v>172</v>
      </c>
      <c r="G782" s="14" t="s">
        <v>262</v>
      </c>
      <c r="H782" s="12" t="s">
        <v>261</v>
      </c>
      <c r="I782" s="15">
        <v>34.700000000000003</v>
      </c>
      <c r="J782" s="54">
        <v>1105</v>
      </c>
      <c r="K782" s="33">
        <f t="shared" si="14"/>
        <v>38343.5</v>
      </c>
      <c r="L782" s="16"/>
    </row>
    <row r="783" spans="1:12">
      <c r="A783" s="12">
        <v>53</v>
      </c>
      <c r="B783" s="13" t="s">
        <v>47</v>
      </c>
      <c r="C783" s="14" t="s">
        <v>48</v>
      </c>
      <c r="D783" s="14" t="s">
        <v>49</v>
      </c>
      <c r="E783" s="35">
        <v>2</v>
      </c>
      <c r="F783" s="14" t="s">
        <v>171</v>
      </c>
      <c r="G783" s="14" t="s">
        <v>262</v>
      </c>
      <c r="H783" s="12" t="s">
        <v>261</v>
      </c>
      <c r="I783" s="15">
        <v>28.8</v>
      </c>
      <c r="J783" s="54">
        <v>1105</v>
      </c>
      <c r="K783" s="33">
        <f t="shared" si="14"/>
        <v>31824</v>
      </c>
      <c r="L783" s="16"/>
    </row>
    <row r="784" spans="1:12" ht="26.4">
      <c r="A784" s="12">
        <v>54</v>
      </c>
      <c r="B784" s="13" t="s">
        <v>47</v>
      </c>
      <c r="C784" s="14" t="s">
        <v>48</v>
      </c>
      <c r="D784" s="14" t="s">
        <v>49</v>
      </c>
      <c r="E784" s="35">
        <v>2</v>
      </c>
      <c r="F784" s="14" t="s">
        <v>169</v>
      </c>
      <c r="G784" s="14" t="s">
        <v>262</v>
      </c>
      <c r="H784" s="12" t="s">
        <v>261</v>
      </c>
      <c r="I784" s="15">
        <v>13</v>
      </c>
      <c r="J784" s="54">
        <v>1105</v>
      </c>
      <c r="K784" s="33">
        <f t="shared" si="14"/>
        <v>14365</v>
      </c>
      <c r="L784" s="16"/>
    </row>
    <row r="785" spans="1:12">
      <c r="A785" s="12">
        <v>55</v>
      </c>
      <c r="B785" s="13" t="s">
        <v>47</v>
      </c>
      <c r="C785" s="14" t="s">
        <v>48</v>
      </c>
      <c r="D785" s="14" t="s">
        <v>49</v>
      </c>
      <c r="E785" s="35">
        <v>2</v>
      </c>
      <c r="F785" s="14" t="s">
        <v>175</v>
      </c>
      <c r="G785" s="14" t="s">
        <v>262</v>
      </c>
      <c r="H785" s="12" t="s">
        <v>261</v>
      </c>
      <c r="I785" s="15">
        <v>21.5</v>
      </c>
      <c r="J785" s="54">
        <v>1105</v>
      </c>
      <c r="K785" s="33">
        <f t="shared" si="14"/>
        <v>23757.5</v>
      </c>
      <c r="L785" s="16"/>
    </row>
    <row r="786" spans="1:12" ht="26.4">
      <c r="A786" s="12">
        <v>56</v>
      </c>
      <c r="B786" s="13" t="s">
        <v>47</v>
      </c>
      <c r="C786" s="14" t="s">
        <v>48</v>
      </c>
      <c r="D786" s="14" t="s">
        <v>49</v>
      </c>
      <c r="E786" s="35">
        <v>3</v>
      </c>
      <c r="F786" s="14" t="s">
        <v>232</v>
      </c>
      <c r="G786" s="14" t="s">
        <v>262</v>
      </c>
      <c r="H786" s="12" t="s">
        <v>261</v>
      </c>
      <c r="I786" s="15">
        <v>22.7</v>
      </c>
      <c r="J786" s="54">
        <v>1105</v>
      </c>
      <c r="K786" s="33">
        <f t="shared" si="14"/>
        <v>25083.5</v>
      </c>
      <c r="L786" s="16"/>
    </row>
    <row r="787" spans="1:12">
      <c r="A787" s="12">
        <v>57</v>
      </c>
      <c r="B787" s="13" t="s">
        <v>47</v>
      </c>
      <c r="C787" s="14" t="s">
        <v>48</v>
      </c>
      <c r="D787" s="14" t="s">
        <v>49</v>
      </c>
      <c r="E787" s="35">
        <v>1</v>
      </c>
      <c r="F787" s="14" t="s">
        <v>89</v>
      </c>
      <c r="G787" s="14" t="s">
        <v>280</v>
      </c>
      <c r="H787" s="12" t="s">
        <v>300</v>
      </c>
      <c r="I787" s="15">
        <v>18.3</v>
      </c>
      <c r="J787" s="54">
        <v>300</v>
      </c>
      <c r="K787" s="33">
        <f t="shared" si="14"/>
        <v>5490</v>
      </c>
      <c r="L787" s="16"/>
    </row>
    <row r="788" spans="1:12" ht="27.6">
      <c r="A788" s="12">
        <v>58</v>
      </c>
      <c r="B788" s="13" t="s">
        <v>47</v>
      </c>
      <c r="C788" s="14" t="s">
        <v>48</v>
      </c>
      <c r="D788" s="14" t="s">
        <v>49</v>
      </c>
      <c r="E788" s="35">
        <v>2</v>
      </c>
      <c r="F788" s="14" t="s">
        <v>212</v>
      </c>
      <c r="G788" s="14" t="s">
        <v>280</v>
      </c>
      <c r="H788" s="12" t="s">
        <v>300</v>
      </c>
      <c r="I788" s="15">
        <v>22</v>
      </c>
      <c r="J788" s="54">
        <v>300</v>
      </c>
      <c r="K788" s="33">
        <f t="shared" si="14"/>
        <v>6600</v>
      </c>
      <c r="L788" s="16" t="s">
        <v>311</v>
      </c>
    </row>
    <row r="789" spans="1:12">
      <c r="A789" s="12">
        <v>59</v>
      </c>
      <c r="B789" s="13" t="s">
        <v>47</v>
      </c>
      <c r="C789" s="14" t="s">
        <v>48</v>
      </c>
      <c r="D789" s="14" t="s">
        <v>49</v>
      </c>
      <c r="E789" s="35">
        <v>3</v>
      </c>
      <c r="F789" s="14" t="s">
        <v>227</v>
      </c>
      <c r="G789" s="14" t="s">
        <v>280</v>
      </c>
      <c r="H789" s="12" t="s">
        <v>300</v>
      </c>
      <c r="I789" s="15">
        <v>3.1</v>
      </c>
      <c r="J789" s="54">
        <v>300</v>
      </c>
      <c r="K789" s="33">
        <f t="shared" si="14"/>
        <v>930</v>
      </c>
      <c r="L789" s="16"/>
    </row>
    <row r="790" spans="1:12" ht="26.4">
      <c r="A790" s="12">
        <v>60</v>
      </c>
      <c r="B790" s="13" t="s">
        <v>60</v>
      </c>
      <c r="C790" s="14" t="s">
        <v>48</v>
      </c>
      <c r="D790" s="14" t="s">
        <v>61</v>
      </c>
      <c r="E790" s="35">
        <v>1</v>
      </c>
      <c r="F790" s="14" t="s">
        <v>145</v>
      </c>
      <c r="G790" s="14" t="s">
        <v>25</v>
      </c>
      <c r="H790" s="12" t="s">
        <v>7</v>
      </c>
      <c r="I790" s="15">
        <v>30</v>
      </c>
      <c r="J790" s="54">
        <v>70</v>
      </c>
      <c r="K790" s="33">
        <f t="shared" si="14"/>
        <v>2100</v>
      </c>
      <c r="L790" s="16"/>
    </row>
    <row r="791" spans="1:12" ht="26.4">
      <c r="A791" s="12">
        <v>61</v>
      </c>
      <c r="B791" s="13" t="s">
        <v>60</v>
      </c>
      <c r="C791" s="14" t="s">
        <v>48</v>
      </c>
      <c r="D791" s="14" t="s">
        <v>61</v>
      </c>
      <c r="E791" s="35">
        <v>1</v>
      </c>
      <c r="F791" s="14" t="s">
        <v>160</v>
      </c>
      <c r="G791" s="14" t="s">
        <v>25</v>
      </c>
      <c r="H791" s="12" t="s">
        <v>7</v>
      </c>
      <c r="I791" s="15">
        <v>6.3</v>
      </c>
      <c r="J791" s="54">
        <v>70</v>
      </c>
      <c r="K791" s="33">
        <f t="shared" si="14"/>
        <v>441</v>
      </c>
      <c r="L791" s="16"/>
    </row>
    <row r="792" spans="1:12" ht="26.4">
      <c r="A792" s="12">
        <v>62</v>
      </c>
      <c r="B792" s="13" t="s">
        <v>60</v>
      </c>
      <c r="C792" s="14" t="s">
        <v>48</v>
      </c>
      <c r="D792" s="14" t="s">
        <v>61</v>
      </c>
      <c r="E792" s="35">
        <v>1</v>
      </c>
      <c r="F792" s="14" t="s">
        <v>141</v>
      </c>
      <c r="G792" s="14" t="s">
        <v>25</v>
      </c>
      <c r="H792" s="12" t="s">
        <v>7</v>
      </c>
      <c r="I792" s="15">
        <v>6.2</v>
      </c>
      <c r="J792" s="54">
        <v>70</v>
      </c>
      <c r="K792" s="33">
        <f t="shared" si="14"/>
        <v>434</v>
      </c>
      <c r="L792" s="16"/>
    </row>
    <row r="793" spans="1:12" ht="26.4">
      <c r="A793" s="12">
        <v>63</v>
      </c>
      <c r="B793" s="13" t="s">
        <v>60</v>
      </c>
      <c r="C793" s="14" t="s">
        <v>48</v>
      </c>
      <c r="D793" s="14" t="s">
        <v>61</v>
      </c>
      <c r="E793" s="35">
        <v>1</v>
      </c>
      <c r="F793" s="14" t="s">
        <v>144</v>
      </c>
      <c r="G793" s="14" t="s">
        <v>25</v>
      </c>
      <c r="H793" s="12" t="s">
        <v>7</v>
      </c>
      <c r="I793" s="15">
        <v>5.5</v>
      </c>
      <c r="J793" s="54">
        <v>70</v>
      </c>
      <c r="K793" s="33">
        <f t="shared" si="14"/>
        <v>385</v>
      </c>
      <c r="L793" s="16"/>
    </row>
    <row r="794" spans="1:12" ht="26.4">
      <c r="A794" s="12">
        <v>64</v>
      </c>
      <c r="B794" s="13" t="s">
        <v>60</v>
      </c>
      <c r="C794" s="14" t="s">
        <v>48</v>
      </c>
      <c r="D794" s="14" t="s">
        <v>61</v>
      </c>
      <c r="E794" s="35">
        <v>2</v>
      </c>
      <c r="F794" s="14" t="s">
        <v>188</v>
      </c>
      <c r="G794" s="14" t="s">
        <v>25</v>
      </c>
      <c r="H794" s="12" t="s">
        <v>7</v>
      </c>
      <c r="I794" s="15">
        <v>30</v>
      </c>
      <c r="J794" s="54">
        <v>70</v>
      </c>
      <c r="K794" s="33">
        <f t="shared" si="14"/>
        <v>2100</v>
      </c>
      <c r="L794" s="16"/>
    </row>
    <row r="795" spans="1:12" ht="26.4">
      <c r="A795" s="12">
        <v>65</v>
      </c>
      <c r="B795" s="13" t="s">
        <v>60</v>
      </c>
      <c r="C795" s="14" t="s">
        <v>48</v>
      </c>
      <c r="D795" s="14" t="s">
        <v>61</v>
      </c>
      <c r="E795" s="35">
        <v>2</v>
      </c>
      <c r="F795" s="14" t="s">
        <v>192</v>
      </c>
      <c r="G795" s="14" t="s">
        <v>25</v>
      </c>
      <c r="H795" s="12" t="s">
        <v>7</v>
      </c>
      <c r="I795" s="15">
        <v>30</v>
      </c>
      <c r="J795" s="54">
        <v>70</v>
      </c>
      <c r="K795" s="33">
        <f t="shared" si="14"/>
        <v>2100</v>
      </c>
      <c r="L795" s="16"/>
    </row>
    <row r="796" spans="1:12" ht="26.4">
      <c r="A796" s="12">
        <v>66</v>
      </c>
      <c r="B796" s="13" t="s">
        <v>60</v>
      </c>
      <c r="C796" s="14" t="s">
        <v>48</v>
      </c>
      <c r="D796" s="14" t="s">
        <v>61</v>
      </c>
      <c r="E796" s="35">
        <v>2</v>
      </c>
      <c r="F796" s="14" t="s">
        <v>213</v>
      </c>
      <c r="G796" s="14" t="s">
        <v>25</v>
      </c>
      <c r="H796" s="12" t="s">
        <v>7</v>
      </c>
      <c r="I796" s="15">
        <v>5.5</v>
      </c>
      <c r="J796" s="54">
        <v>70</v>
      </c>
      <c r="K796" s="33">
        <f t="shared" si="14"/>
        <v>385</v>
      </c>
      <c r="L796" s="16"/>
    </row>
    <row r="797" spans="1:12" ht="26.4">
      <c r="A797" s="12">
        <v>67</v>
      </c>
      <c r="B797" s="13" t="s">
        <v>60</v>
      </c>
      <c r="C797" s="14" t="s">
        <v>48</v>
      </c>
      <c r="D797" s="14" t="s">
        <v>61</v>
      </c>
      <c r="E797" s="35">
        <v>3</v>
      </c>
      <c r="F797" s="14" t="s">
        <v>248</v>
      </c>
      <c r="G797" s="14" t="s">
        <v>25</v>
      </c>
      <c r="H797" s="12" t="s">
        <v>7</v>
      </c>
      <c r="I797" s="15">
        <v>30</v>
      </c>
      <c r="J797" s="54">
        <v>70</v>
      </c>
      <c r="K797" s="33">
        <f t="shared" si="14"/>
        <v>2100</v>
      </c>
      <c r="L797" s="16"/>
    </row>
    <row r="798" spans="1:12" ht="26.4">
      <c r="A798" s="12">
        <v>68</v>
      </c>
      <c r="B798" s="13" t="s">
        <v>60</v>
      </c>
      <c r="C798" s="14" t="s">
        <v>48</v>
      </c>
      <c r="D798" s="14" t="s">
        <v>61</v>
      </c>
      <c r="E798" s="35">
        <v>3</v>
      </c>
      <c r="F798" s="14" t="s">
        <v>243</v>
      </c>
      <c r="G798" s="14" t="s">
        <v>25</v>
      </c>
      <c r="H798" s="12" t="s">
        <v>7</v>
      </c>
      <c r="I798" s="15">
        <v>30</v>
      </c>
      <c r="J798" s="54">
        <v>70</v>
      </c>
      <c r="K798" s="33">
        <f t="shared" si="14"/>
        <v>2100</v>
      </c>
      <c r="L798" s="16"/>
    </row>
    <row r="799" spans="1:12" ht="26.4">
      <c r="A799" s="12">
        <v>69</v>
      </c>
      <c r="B799" s="13" t="s">
        <v>60</v>
      </c>
      <c r="C799" s="14" t="s">
        <v>48</v>
      </c>
      <c r="D799" s="14" t="s">
        <v>61</v>
      </c>
      <c r="E799" s="35">
        <v>3</v>
      </c>
      <c r="F799" s="14" t="s">
        <v>253</v>
      </c>
      <c r="G799" s="14" t="s">
        <v>25</v>
      </c>
      <c r="H799" s="12" t="s">
        <v>7</v>
      </c>
      <c r="I799" s="15">
        <v>6.3</v>
      </c>
      <c r="J799" s="54">
        <v>70</v>
      </c>
      <c r="K799" s="33">
        <f t="shared" ref="K799:K824" si="15">J799*I799</f>
        <v>441</v>
      </c>
      <c r="L799" s="16"/>
    </row>
    <row r="800" spans="1:12">
      <c r="A800" s="12">
        <v>70</v>
      </c>
      <c r="B800" s="13" t="s">
        <v>47</v>
      </c>
      <c r="C800" s="14" t="s">
        <v>48</v>
      </c>
      <c r="D800" s="14" t="s">
        <v>61</v>
      </c>
      <c r="E800" s="35">
        <v>1</v>
      </c>
      <c r="F800" s="14" t="s">
        <v>145</v>
      </c>
      <c r="G800" s="14" t="s">
        <v>26</v>
      </c>
      <c r="H800" s="12" t="s">
        <v>7</v>
      </c>
      <c r="I800" s="15">
        <v>30</v>
      </c>
      <c r="J800" s="54">
        <v>715</v>
      </c>
      <c r="K800" s="33">
        <f t="shared" si="15"/>
        <v>21450</v>
      </c>
      <c r="L800" s="16"/>
    </row>
    <row r="801" spans="1:12">
      <c r="A801" s="12">
        <v>71</v>
      </c>
      <c r="B801" s="13" t="s">
        <v>47</v>
      </c>
      <c r="C801" s="14" t="s">
        <v>48</v>
      </c>
      <c r="D801" s="14" t="s">
        <v>61</v>
      </c>
      <c r="E801" s="35">
        <v>1</v>
      </c>
      <c r="F801" s="14" t="s">
        <v>160</v>
      </c>
      <c r="G801" s="14" t="s">
        <v>26</v>
      </c>
      <c r="H801" s="12" t="s">
        <v>7</v>
      </c>
      <c r="I801" s="15">
        <v>6.3</v>
      </c>
      <c r="J801" s="54">
        <v>715</v>
      </c>
      <c r="K801" s="33">
        <f t="shared" si="15"/>
        <v>4504.5</v>
      </c>
      <c r="L801" s="16"/>
    </row>
    <row r="802" spans="1:12" ht="26.4">
      <c r="A802" s="12">
        <v>72</v>
      </c>
      <c r="B802" s="13" t="s">
        <v>47</v>
      </c>
      <c r="C802" s="14" t="s">
        <v>48</v>
      </c>
      <c r="D802" s="14" t="s">
        <v>61</v>
      </c>
      <c r="E802" s="35">
        <v>1</v>
      </c>
      <c r="F802" s="14" t="s">
        <v>141</v>
      </c>
      <c r="G802" s="14" t="s">
        <v>26</v>
      </c>
      <c r="H802" s="12" t="s">
        <v>7</v>
      </c>
      <c r="I802" s="15">
        <v>6.2</v>
      </c>
      <c r="J802" s="54">
        <v>715</v>
      </c>
      <c r="K802" s="33">
        <f t="shared" si="15"/>
        <v>4433</v>
      </c>
      <c r="L802" s="16"/>
    </row>
    <row r="803" spans="1:12" ht="26.4">
      <c r="A803" s="12">
        <v>73</v>
      </c>
      <c r="B803" s="13" t="s">
        <v>47</v>
      </c>
      <c r="C803" s="14" t="s">
        <v>48</v>
      </c>
      <c r="D803" s="14" t="s">
        <v>61</v>
      </c>
      <c r="E803" s="35">
        <v>1</v>
      </c>
      <c r="F803" s="14" t="s">
        <v>144</v>
      </c>
      <c r="G803" s="14" t="s">
        <v>27</v>
      </c>
      <c r="H803" s="12" t="s">
        <v>7</v>
      </c>
      <c r="I803" s="15">
        <v>5.5</v>
      </c>
      <c r="J803" s="54">
        <v>715</v>
      </c>
      <c r="K803" s="33">
        <f t="shared" si="15"/>
        <v>3932.5</v>
      </c>
      <c r="L803" s="16"/>
    </row>
    <row r="804" spans="1:12" ht="26.4">
      <c r="A804" s="12">
        <v>74</v>
      </c>
      <c r="B804" s="13" t="s">
        <v>47</v>
      </c>
      <c r="C804" s="14" t="s">
        <v>48</v>
      </c>
      <c r="D804" s="14" t="s">
        <v>61</v>
      </c>
      <c r="E804" s="35">
        <v>2</v>
      </c>
      <c r="F804" s="14" t="s">
        <v>188</v>
      </c>
      <c r="G804" s="14" t="s">
        <v>27</v>
      </c>
      <c r="H804" s="12" t="s">
        <v>7</v>
      </c>
      <c r="I804" s="15">
        <v>30</v>
      </c>
      <c r="J804" s="54">
        <v>715</v>
      </c>
      <c r="K804" s="33">
        <f t="shared" si="15"/>
        <v>21450</v>
      </c>
      <c r="L804" s="16"/>
    </row>
    <row r="805" spans="1:12">
      <c r="A805" s="12">
        <v>75</v>
      </c>
      <c r="B805" s="13" t="s">
        <v>47</v>
      </c>
      <c r="C805" s="14" t="s">
        <v>48</v>
      </c>
      <c r="D805" s="14" t="s">
        <v>61</v>
      </c>
      <c r="E805" s="35">
        <v>2</v>
      </c>
      <c r="F805" s="14" t="s">
        <v>197</v>
      </c>
      <c r="G805" s="14" t="s">
        <v>26</v>
      </c>
      <c r="H805" s="12" t="s">
        <v>7</v>
      </c>
      <c r="I805" s="15">
        <v>30</v>
      </c>
      <c r="J805" s="54">
        <v>715</v>
      </c>
      <c r="K805" s="33">
        <f t="shared" si="15"/>
        <v>21450</v>
      </c>
      <c r="L805" s="16"/>
    </row>
    <row r="806" spans="1:12" ht="26.4">
      <c r="A806" s="12">
        <v>76</v>
      </c>
      <c r="B806" s="13" t="s">
        <v>47</v>
      </c>
      <c r="C806" s="14" t="s">
        <v>48</v>
      </c>
      <c r="D806" s="14" t="s">
        <v>61</v>
      </c>
      <c r="E806" s="35">
        <v>2</v>
      </c>
      <c r="F806" s="14" t="s">
        <v>213</v>
      </c>
      <c r="G806" s="14" t="s">
        <v>26</v>
      </c>
      <c r="H806" s="12" t="s">
        <v>7</v>
      </c>
      <c r="I806" s="15">
        <v>5.5</v>
      </c>
      <c r="J806" s="54">
        <v>715</v>
      </c>
      <c r="K806" s="33">
        <f t="shared" si="15"/>
        <v>3932.5</v>
      </c>
      <c r="L806" s="16"/>
    </row>
    <row r="807" spans="1:12">
      <c r="A807" s="12">
        <v>77</v>
      </c>
      <c r="B807" s="13" t="s">
        <v>47</v>
      </c>
      <c r="C807" s="14" t="s">
        <v>48</v>
      </c>
      <c r="D807" s="14" t="s">
        <v>61</v>
      </c>
      <c r="E807" s="35">
        <v>3</v>
      </c>
      <c r="F807" s="14" t="s">
        <v>248</v>
      </c>
      <c r="G807" s="14" t="s">
        <v>26</v>
      </c>
      <c r="H807" s="12" t="s">
        <v>7</v>
      </c>
      <c r="I807" s="15">
        <v>30</v>
      </c>
      <c r="J807" s="54">
        <v>715</v>
      </c>
      <c r="K807" s="33">
        <f t="shared" si="15"/>
        <v>21450</v>
      </c>
      <c r="L807" s="16"/>
    </row>
    <row r="808" spans="1:12">
      <c r="A808" s="12">
        <v>78</v>
      </c>
      <c r="B808" s="13" t="s">
        <v>47</v>
      </c>
      <c r="C808" s="14" t="s">
        <v>48</v>
      </c>
      <c r="D808" s="14" t="s">
        <v>61</v>
      </c>
      <c r="E808" s="35">
        <v>3</v>
      </c>
      <c r="F808" s="14" t="s">
        <v>243</v>
      </c>
      <c r="G808" s="14" t="s">
        <v>26</v>
      </c>
      <c r="H808" s="12" t="s">
        <v>7</v>
      </c>
      <c r="I808" s="15">
        <v>30</v>
      </c>
      <c r="J808" s="54">
        <v>715</v>
      </c>
      <c r="K808" s="33">
        <f t="shared" si="15"/>
        <v>21450</v>
      </c>
      <c r="L808" s="16"/>
    </row>
    <row r="809" spans="1:12" ht="26.4">
      <c r="A809" s="12">
        <v>79</v>
      </c>
      <c r="B809" s="13" t="s">
        <v>47</v>
      </c>
      <c r="C809" s="14" t="s">
        <v>48</v>
      </c>
      <c r="D809" s="14" t="s">
        <v>61</v>
      </c>
      <c r="E809" s="35">
        <v>3</v>
      </c>
      <c r="F809" s="14" t="s">
        <v>253</v>
      </c>
      <c r="G809" s="14" t="s">
        <v>26</v>
      </c>
      <c r="H809" s="12" t="s">
        <v>7</v>
      </c>
      <c r="I809" s="15">
        <v>6.3</v>
      </c>
      <c r="J809" s="54">
        <v>715</v>
      </c>
      <c r="K809" s="33">
        <f t="shared" si="15"/>
        <v>4504.5</v>
      </c>
      <c r="L809" s="16"/>
    </row>
    <row r="810" spans="1:12" ht="26.4">
      <c r="A810" s="12">
        <v>80</v>
      </c>
      <c r="B810" s="13" t="s">
        <v>47</v>
      </c>
      <c r="C810" s="14" t="s">
        <v>48</v>
      </c>
      <c r="D810" s="14" t="s">
        <v>49</v>
      </c>
      <c r="E810" s="35">
        <v>2</v>
      </c>
      <c r="F810" s="14" t="s">
        <v>172</v>
      </c>
      <c r="G810" s="14" t="s">
        <v>15</v>
      </c>
      <c r="H810" s="12" t="s">
        <v>7</v>
      </c>
      <c r="I810" s="15">
        <v>28</v>
      </c>
      <c r="J810" s="54">
        <v>1170</v>
      </c>
      <c r="K810" s="33">
        <f t="shared" si="15"/>
        <v>32760</v>
      </c>
      <c r="L810" s="16" t="s">
        <v>312</v>
      </c>
    </row>
    <row r="811" spans="1:12" ht="26.4">
      <c r="A811" s="12">
        <v>81</v>
      </c>
      <c r="B811" s="13" t="s">
        <v>47</v>
      </c>
      <c r="C811" s="14" t="s">
        <v>48</v>
      </c>
      <c r="D811" s="14" t="s">
        <v>49</v>
      </c>
      <c r="E811" s="35">
        <v>3</v>
      </c>
      <c r="F811" s="14" t="s">
        <v>227</v>
      </c>
      <c r="G811" s="14" t="s">
        <v>15</v>
      </c>
      <c r="H811" s="12" t="s">
        <v>7</v>
      </c>
      <c r="I811" s="15">
        <v>45.5</v>
      </c>
      <c r="J811" s="54">
        <v>1170</v>
      </c>
      <c r="K811" s="33">
        <f t="shared" si="15"/>
        <v>53235</v>
      </c>
      <c r="L811" s="16" t="s">
        <v>312</v>
      </c>
    </row>
    <row r="812" spans="1:12" ht="26.4">
      <c r="A812" s="12">
        <v>82</v>
      </c>
      <c r="B812" s="13" t="s">
        <v>47</v>
      </c>
      <c r="C812" s="14" t="s">
        <v>48</v>
      </c>
      <c r="D812" s="14" t="s">
        <v>49</v>
      </c>
      <c r="E812" s="35">
        <v>3</v>
      </c>
      <c r="F812" s="14" t="s">
        <v>228</v>
      </c>
      <c r="G812" s="14" t="s">
        <v>15</v>
      </c>
      <c r="H812" s="12" t="s">
        <v>7</v>
      </c>
      <c r="I812" s="15">
        <v>45.5</v>
      </c>
      <c r="J812" s="54">
        <v>1170</v>
      </c>
      <c r="K812" s="33">
        <f t="shared" si="15"/>
        <v>53235</v>
      </c>
      <c r="L812" s="16" t="s">
        <v>312</v>
      </c>
    </row>
    <row r="813" spans="1:12" ht="26.4">
      <c r="A813" s="12">
        <v>83</v>
      </c>
      <c r="B813" s="13" t="s">
        <v>47</v>
      </c>
      <c r="C813" s="14" t="s">
        <v>48</v>
      </c>
      <c r="D813" s="14" t="s">
        <v>49</v>
      </c>
      <c r="E813" s="35">
        <v>3</v>
      </c>
      <c r="F813" s="14" t="s">
        <v>243</v>
      </c>
      <c r="G813" s="14" t="s">
        <v>15</v>
      </c>
      <c r="H813" s="12" t="s">
        <v>7</v>
      </c>
      <c r="I813" s="15">
        <v>47.8</v>
      </c>
      <c r="J813" s="54">
        <v>1170</v>
      </c>
      <c r="K813" s="33">
        <f>J813*I813</f>
        <v>55926</v>
      </c>
      <c r="L813" s="16" t="s">
        <v>312</v>
      </c>
    </row>
    <row r="814" spans="1:12" ht="26.4">
      <c r="A814" s="12">
        <v>84</v>
      </c>
      <c r="B814" s="13" t="s">
        <v>47</v>
      </c>
      <c r="C814" s="14" t="s">
        <v>48</v>
      </c>
      <c r="D814" s="14" t="s">
        <v>49</v>
      </c>
      <c r="E814" s="35">
        <v>2</v>
      </c>
      <c r="F814" s="14" t="s">
        <v>167</v>
      </c>
      <c r="G814" s="14" t="s">
        <v>15</v>
      </c>
      <c r="H814" s="12" t="s">
        <v>7</v>
      </c>
      <c r="I814" s="15">
        <v>29.5</v>
      </c>
      <c r="J814" s="54">
        <v>1170</v>
      </c>
      <c r="K814" s="33">
        <f t="shared" si="15"/>
        <v>34515</v>
      </c>
      <c r="L814" s="16" t="s">
        <v>312</v>
      </c>
    </row>
    <row r="815" spans="1:12" ht="26.4">
      <c r="A815" s="12">
        <v>85</v>
      </c>
      <c r="B815" s="13" t="s">
        <v>47</v>
      </c>
      <c r="C815" s="14" t="s">
        <v>48</v>
      </c>
      <c r="D815" s="14" t="s">
        <v>49</v>
      </c>
      <c r="E815" s="35">
        <v>2</v>
      </c>
      <c r="F815" s="14" t="s">
        <v>169</v>
      </c>
      <c r="G815" s="14" t="s">
        <v>15</v>
      </c>
      <c r="H815" s="12" t="s">
        <v>7</v>
      </c>
      <c r="I815" s="15">
        <v>32</v>
      </c>
      <c r="J815" s="54">
        <v>1170</v>
      </c>
      <c r="K815" s="33">
        <f t="shared" si="15"/>
        <v>37440</v>
      </c>
      <c r="L815" s="16" t="s">
        <v>312</v>
      </c>
    </row>
    <row r="816" spans="1:12" ht="26.4">
      <c r="A816" s="12">
        <v>86</v>
      </c>
      <c r="B816" s="13" t="s">
        <v>47</v>
      </c>
      <c r="C816" s="14" t="s">
        <v>48</v>
      </c>
      <c r="D816" s="14" t="s">
        <v>49</v>
      </c>
      <c r="E816" s="35">
        <v>2</v>
      </c>
      <c r="F816" s="14" t="s">
        <v>176</v>
      </c>
      <c r="G816" s="14" t="s">
        <v>15</v>
      </c>
      <c r="H816" s="12" t="s">
        <v>7</v>
      </c>
      <c r="I816" s="15">
        <v>80.2</v>
      </c>
      <c r="J816" s="54">
        <v>1170</v>
      </c>
      <c r="K816" s="33">
        <f t="shared" si="15"/>
        <v>93834</v>
      </c>
      <c r="L816" s="16" t="s">
        <v>312</v>
      </c>
    </row>
    <row r="817" spans="1:12" ht="15.6">
      <c r="A817" s="12">
        <v>87</v>
      </c>
      <c r="B817" s="13" t="s">
        <v>47</v>
      </c>
      <c r="C817" s="14" t="s">
        <v>48</v>
      </c>
      <c r="D817" s="14" t="s">
        <v>49</v>
      </c>
      <c r="E817" s="35">
        <v>1</v>
      </c>
      <c r="F817" s="14" t="s">
        <v>89</v>
      </c>
      <c r="G817" s="21" t="s">
        <v>279</v>
      </c>
      <c r="H817" s="12" t="s">
        <v>7</v>
      </c>
      <c r="I817" s="15">
        <v>4.7</v>
      </c>
      <c r="J817" s="54">
        <v>800</v>
      </c>
      <c r="K817" s="33">
        <f t="shared" si="15"/>
        <v>3760</v>
      </c>
      <c r="L817" s="16"/>
    </row>
    <row r="818" spans="1:12" ht="15.6">
      <c r="A818" s="12">
        <v>88</v>
      </c>
      <c r="B818" s="13" t="s">
        <v>47</v>
      </c>
      <c r="C818" s="14" t="s">
        <v>48</v>
      </c>
      <c r="D818" s="14" t="s">
        <v>49</v>
      </c>
      <c r="E818" s="35">
        <v>1</v>
      </c>
      <c r="F818" s="14" t="s">
        <v>159</v>
      </c>
      <c r="G818" s="21" t="s">
        <v>279</v>
      </c>
      <c r="H818" s="12" t="s">
        <v>7</v>
      </c>
      <c r="I818" s="15">
        <v>2.5</v>
      </c>
      <c r="J818" s="54">
        <v>800</v>
      </c>
      <c r="K818" s="33">
        <f t="shared" si="15"/>
        <v>2000</v>
      </c>
      <c r="L818" s="16"/>
    </row>
    <row r="819" spans="1:12" ht="15.6">
      <c r="A819" s="12">
        <v>89</v>
      </c>
      <c r="B819" s="13" t="s">
        <v>47</v>
      </c>
      <c r="C819" s="14" t="s">
        <v>48</v>
      </c>
      <c r="D819" s="14" t="s">
        <v>49</v>
      </c>
      <c r="E819" s="35">
        <v>1</v>
      </c>
      <c r="F819" s="14" t="s">
        <v>118</v>
      </c>
      <c r="G819" s="21" t="s">
        <v>279</v>
      </c>
      <c r="H819" s="12" t="s">
        <v>7</v>
      </c>
      <c r="I819" s="15">
        <v>2.5</v>
      </c>
      <c r="J819" s="54">
        <v>800</v>
      </c>
      <c r="K819" s="33">
        <f t="shared" si="15"/>
        <v>2000</v>
      </c>
      <c r="L819" s="16"/>
    </row>
    <row r="820" spans="1:12" ht="15.6">
      <c r="A820" s="12">
        <v>90</v>
      </c>
      <c r="B820" s="13" t="s">
        <v>47</v>
      </c>
      <c r="C820" s="14" t="s">
        <v>48</v>
      </c>
      <c r="D820" s="14" t="s">
        <v>49</v>
      </c>
      <c r="E820" s="35">
        <v>2</v>
      </c>
      <c r="F820" s="14" t="s">
        <v>172</v>
      </c>
      <c r="G820" s="21" t="s">
        <v>279</v>
      </c>
      <c r="H820" s="12" t="s">
        <v>7</v>
      </c>
      <c r="I820" s="15">
        <v>2.2999999999999998</v>
      </c>
      <c r="J820" s="54">
        <v>800</v>
      </c>
      <c r="K820" s="33">
        <f t="shared" si="15"/>
        <v>1839.9999999999998</v>
      </c>
      <c r="L820" s="16"/>
    </row>
    <row r="821" spans="1:12" ht="15.6">
      <c r="A821" s="12">
        <v>91</v>
      </c>
      <c r="B821" s="13" t="s">
        <v>47</v>
      </c>
      <c r="C821" s="14" t="s">
        <v>48</v>
      </c>
      <c r="D821" s="14" t="s">
        <v>49</v>
      </c>
      <c r="E821" s="58">
        <v>2</v>
      </c>
      <c r="F821" s="14" t="s">
        <v>162</v>
      </c>
      <c r="G821" s="21" t="s">
        <v>279</v>
      </c>
      <c r="H821" s="12" t="s">
        <v>7</v>
      </c>
      <c r="I821" s="15">
        <v>5</v>
      </c>
      <c r="J821" s="54">
        <v>800</v>
      </c>
      <c r="K821" s="33">
        <f t="shared" si="15"/>
        <v>4000</v>
      </c>
      <c r="L821" s="16"/>
    </row>
    <row r="822" spans="1:12" ht="15.6">
      <c r="A822" s="12">
        <v>92</v>
      </c>
      <c r="B822" s="13" t="s">
        <v>47</v>
      </c>
      <c r="C822" s="14" t="s">
        <v>48</v>
      </c>
      <c r="D822" s="14" t="s">
        <v>49</v>
      </c>
      <c r="E822" s="58">
        <v>2</v>
      </c>
      <c r="F822" s="14" t="s">
        <v>215</v>
      </c>
      <c r="G822" s="21" t="s">
        <v>279</v>
      </c>
      <c r="H822" s="12" t="s">
        <v>7</v>
      </c>
      <c r="I822" s="15">
        <v>2.5</v>
      </c>
      <c r="J822" s="54">
        <v>800</v>
      </c>
      <c r="K822" s="33">
        <f t="shared" si="15"/>
        <v>2000</v>
      </c>
      <c r="L822" s="16"/>
    </row>
    <row r="823" spans="1:12">
      <c r="A823" s="12">
        <v>93</v>
      </c>
      <c r="B823" s="13" t="s">
        <v>47</v>
      </c>
      <c r="C823" s="14" t="s">
        <v>48</v>
      </c>
      <c r="D823" s="14" t="s">
        <v>49</v>
      </c>
      <c r="E823" s="35"/>
      <c r="F823" s="14"/>
      <c r="G823" s="14" t="s">
        <v>266</v>
      </c>
      <c r="H823" s="12" t="s">
        <v>267</v>
      </c>
      <c r="I823" s="15">
        <v>114</v>
      </c>
      <c r="J823" s="54">
        <v>450</v>
      </c>
      <c r="K823" s="33">
        <f t="shared" si="15"/>
        <v>51300</v>
      </c>
      <c r="L823" s="16"/>
    </row>
    <row r="824" spans="1:12">
      <c r="A824" s="12">
        <v>94</v>
      </c>
      <c r="B824" s="13" t="s">
        <v>47</v>
      </c>
      <c r="C824" s="14" t="s">
        <v>48</v>
      </c>
      <c r="D824" s="14" t="s">
        <v>49</v>
      </c>
      <c r="E824" s="35"/>
      <c r="F824" s="14"/>
      <c r="G824" s="14" t="s">
        <v>11</v>
      </c>
      <c r="H824" s="12" t="s">
        <v>285</v>
      </c>
      <c r="I824" s="15">
        <v>470</v>
      </c>
      <c r="J824" s="54">
        <v>50</v>
      </c>
      <c r="K824" s="33">
        <f t="shared" si="15"/>
        <v>23500</v>
      </c>
      <c r="L824" s="16"/>
    </row>
    <row r="825" spans="1:12" ht="42.6" customHeight="1">
      <c r="A825" s="71" t="s">
        <v>50</v>
      </c>
      <c r="B825" s="144"/>
      <c r="C825" s="145"/>
      <c r="D825" s="145"/>
      <c r="E825" s="145"/>
      <c r="F825" s="145"/>
      <c r="G825" s="145"/>
      <c r="H825" s="145"/>
      <c r="I825" s="145"/>
      <c r="J825" s="146"/>
      <c r="K825" s="34">
        <f>SUM(K730:K824)</f>
        <v>1486784.5</v>
      </c>
      <c r="L825" s="36"/>
    </row>
    <row r="830" spans="1:12" ht="15" thickBot="1">
      <c r="B830" s="4" t="s">
        <v>34</v>
      </c>
      <c r="C830" s="151" t="s">
        <v>288</v>
      </c>
      <c r="D830" s="151"/>
      <c r="E830" s="151"/>
      <c r="F830" s="151"/>
      <c r="G830" s="3"/>
      <c r="H830" s="147"/>
      <c r="I830" s="147"/>
      <c r="J830" s="3"/>
    </row>
    <row r="831" spans="1:12">
      <c r="A831" s="3"/>
      <c r="B831" s="3"/>
      <c r="C831" s="148" t="s">
        <v>69</v>
      </c>
      <c r="D831" s="148"/>
      <c r="E831" s="148"/>
      <c r="F831" s="148"/>
      <c r="G831" s="3"/>
      <c r="H831" s="149">
        <v>46047</v>
      </c>
      <c r="I831" s="148"/>
      <c r="J831" s="3"/>
    </row>
    <row r="832" spans="1:12" ht="15" thickBot="1">
      <c r="A832" s="3"/>
      <c r="B832" s="5" t="s">
        <v>71</v>
      </c>
      <c r="C832" s="151" t="s">
        <v>299</v>
      </c>
      <c r="D832" s="151"/>
      <c r="E832" s="151"/>
      <c r="F832" s="151"/>
      <c r="G832" s="3"/>
      <c r="H832" s="147"/>
      <c r="I832" s="147"/>
      <c r="J832" s="3"/>
    </row>
    <row r="833" spans="1:10">
      <c r="A833" s="3"/>
      <c r="B833" s="3"/>
      <c r="C833" s="148" t="s">
        <v>69</v>
      </c>
      <c r="D833" s="148"/>
      <c r="E833" s="148"/>
      <c r="F833" s="148"/>
      <c r="G833" s="3"/>
      <c r="H833" s="149">
        <v>46047</v>
      </c>
      <c r="I833" s="148"/>
      <c r="J833" s="3"/>
    </row>
    <row r="834" spans="1:10">
      <c r="A834" s="3"/>
      <c r="B834" s="3"/>
      <c r="C834" s="3"/>
      <c r="D834" s="3"/>
      <c r="E834" s="3"/>
      <c r="F834" s="3"/>
      <c r="G834" s="3"/>
      <c r="H834" s="150"/>
      <c r="I834" s="150"/>
      <c r="J834" s="3"/>
    </row>
    <row r="835" spans="1:10" ht="15" thickBot="1">
      <c r="A835" s="3"/>
      <c r="B835" s="5" t="s">
        <v>289</v>
      </c>
      <c r="C835" s="151" t="s">
        <v>290</v>
      </c>
      <c r="D835" s="151"/>
      <c r="E835" s="151"/>
      <c r="F835" s="151"/>
      <c r="G835" s="3"/>
      <c r="H835" s="147"/>
      <c r="I835" s="147"/>
      <c r="J835" s="3"/>
    </row>
    <row r="836" spans="1:10">
      <c r="A836" s="3"/>
      <c r="B836" s="3"/>
      <c r="C836" s="148" t="s">
        <v>69</v>
      </c>
      <c r="D836" s="148"/>
      <c r="E836" s="148"/>
      <c r="F836" s="148"/>
      <c r="G836" s="3"/>
      <c r="H836" s="149">
        <v>46047</v>
      </c>
      <c r="I836" s="148"/>
      <c r="J836" s="3"/>
    </row>
    <row r="837" spans="1:10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" thickBot="1">
      <c r="A838" s="3"/>
      <c r="B838" s="5" t="s">
        <v>72</v>
      </c>
      <c r="C838" s="147"/>
      <c r="D838" s="147"/>
      <c r="E838" s="147"/>
      <c r="F838" s="147"/>
      <c r="G838" s="3"/>
      <c r="H838" s="147"/>
      <c r="I838" s="147"/>
      <c r="J838" s="3"/>
    </row>
    <row r="839" spans="1:10">
      <c r="A839" s="3"/>
      <c r="B839" s="3"/>
      <c r="C839" s="148" t="s">
        <v>69</v>
      </c>
      <c r="D839" s="148"/>
      <c r="E839" s="148"/>
      <c r="F839" s="148"/>
      <c r="G839" s="3"/>
      <c r="H839" s="148" t="s">
        <v>70</v>
      </c>
      <c r="I839" s="148"/>
      <c r="J839" s="3"/>
    </row>
    <row r="840" spans="1:10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" thickBot="1">
      <c r="A841" s="3"/>
      <c r="B841" s="4" t="s">
        <v>73</v>
      </c>
      <c r="C841" s="147"/>
      <c r="D841" s="147"/>
      <c r="E841" s="147"/>
      <c r="F841" s="147"/>
      <c r="G841" s="3"/>
      <c r="H841" s="147"/>
      <c r="I841" s="147"/>
      <c r="J841" s="3"/>
    </row>
    <row r="842" spans="1:10">
      <c r="A842" s="3"/>
    </row>
  </sheetData>
  <mergeCells count="151">
    <mergeCell ref="C839:F839"/>
    <mergeCell ref="H839:I839"/>
    <mergeCell ref="C841:F841"/>
    <mergeCell ref="H841:I841"/>
    <mergeCell ref="C833:F833"/>
    <mergeCell ref="H833:I833"/>
    <mergeCell ref="H834:I834"/>
    <mergeCell ref="C835:F835"/>
    <mergeCell ref="H835:I835"/>
    <mergeCell ref="C836:F836"/>
    <mergeCell ref="H836:I836"/>
    <mergeCell ref="C838:F838"/>
    <mergeCell ref="H838:I838"/>
    <mergeCell ref="D722:F722"/>
    <mergeCell ref="D724:F724"/>
    <mergeCell ref="D726:F726"/>
    <mergeCell ref="C830:F830"/>
    <mergeCell ref="H830:I830"/>
    <mergeCell ref="C831:F831"/>
    <mergeCell ref="H831:I831"/>
    <mergeCell ref="C832:F832"/>
    <mergeCell ref="H832:I832"/>
    <mergeCell ref="C711:F711"/>
    <mergeCell ref="H711:I711"/>
    <mergeCell ref="C704:F704"/>
    <mergeCell ref="H704:I704"/>
    <mergeCell ref="C705:F705"/>
    <mergeCell ref="H705:I705"/>
    <mergeCell ref="C707:F707"/>
    <mergeCell ref="H707:I707"/>
    <mergeCell ref="C708:F708"/>
    <mergeCell ref="H708:I708"/>
    <mergeCell ref="C710:F710"/>
    <mergeCell ref="H710:I710"/>
    <mergeCell ref="C699:F699"/>
    <mergeCell ref="H699:I699"/>
    <mergeCell ref="C700:F700"/>
    <mergeCell ref="H700:I700"/>
    <mergeCell ref="C701:F701"/>
    <mergeCell ref="H701:I701"/>
    <mergeCell ref="C702:F702"/>
    <mergeCell ref="H702:I702"/>
    <mergeCell ref="H703:I703"/>
    <mergeCell ref="C554:F554"/>
    <mergeCell ref="H554:I554"/>
    <mergeCell ref="C555:F555"/>
    <mergeCell ref="H555:I555"/>
    <mergeCell ref="C557:F557"/>
    <mergeCell ref="H557:I557"/>
    <mergeCell ref="C558:F558"/>
    <mergeCell ref="H558:I558"/>
    <mergeCell ref="C548:F548"/>
    <mergeCell ref="H548:I548"/>
    <mergeCell ref="C549:F549"/>
    <mergeCell ref="H549:I549"/>
    <mergeCell ref="H550:I550"/>
    <mergeCell ref="C551:F551"/>
    <mergeCell ref="H551:I551"/>
    <mergeCell ref="C552:F552"/>
    <mergeCell ref="H552:I552"/>
    <mergeCell ref="C418:F418"/>
    <mergeCell ref="H418:I418"/>
    <mergeCell ref="C419:F419"/>
    <mergeCell ref="H419:I419"/>
    <mergeCell ref="D430:F430"/>
    <mergeCell ref="C546:F546"/>
    <mergeCell ref="H546:I546"/>
    <mergeCell ref="C547:F547"/>
    <mergeCell ref="H547:I547"/>
    <mergeCell ref="C234:F234"/>
    <mergeCell ref="C407:F407"/>
    <mergeCell ref="H407:I407"/>
    <mergeCell ref="C408:F408"/>
    <mergeCell ref="H408:I408"/>
    <mergeCell ref="C409:F409"/>
    <mergeCell ref="H409:I409"/>
    <mergeCell ref="H234:I234"/>
    <mergeCell ref="C235:F235"/>
    <mergeCell ref="H235:I235"/>
    <mergeCell ref="C236:F236"/>
    <mergeCell ref="H236:I236"/>
    <mergeCell ref="D132:F132"/>
    <mergeCell ref="C120:F120"/>
    <mergeCell ref="H120:I120"/>
    <mergeCell ref="C121:F121"/>
    <mergeCell ref="H121:I121"/>
    <mergeCell ref="C233:F233"/>
    <mergeCell ref="H233:I233"/>
    <mergeCell ref="D52:F52"/>
    <mergeCell ref="D54:F54"/>
    <mergeCell ref="D56:F56"/>
    <mergeCell ref="C115:F115"/>
    <mergeCell ref="H115:I115"/>
    <mergeCell ref="C109:F109"/>
    <mergeCell ref="H109:I109"/>
    <mergeCell ref="C110:F110"/>
    <mergeCell ref="H110:I110"/>
    <mergeCell ref="C111:F111"/>
    <mergeCell ref="H111:I111"/>
    <mergeCell ref="C112:F112"/>
    <mergeCell ref="H112:I112"/>
    <mergeCell ref="C114:F114"/>
    <mergeCell ref="H114:I114"/>
    <mergeCell ref="C413:F413"/>
    <mergeCell ref="H413:I413"/>
    <mergeCell ref="C415:F415"/>
    <mergeCell ref="H415:I415"/>
    <mergeCell ref="C416:F416"/>
    <mergeCell ref="H416:I416"/>
    <mergeCell ref="D432:F432"/>
    <mergeCell ref="D434:F434"/>
    <mergeCell ref="C117:F117"/>
    <mergeCell ref="H117:I117"/>
    <mergeCell ref="C118:F118"/>
    <mergeCell ref="C241:F241"/>
    <mergeCell ref="H241:I241"/>
    <mergeCell ref="C242:F242"/>
    <mergeCell ref="H242:I242"/>
    <mergeCell ref="D260:F260"/>
    <mergeCell ref="C238:F238"/>
    <mergeCell ref="H238:I238"/>
    <mergeCell ref="H237:I237"/>
    <mergeCell ref="C239:F239"/>
    <mergeCell ref="H239:I239"/>
    <mergeCell ref="H118:I118"/>
    <mergeCell ref="D128:F128"/>
    <mergeCell ref="D130:F130"/>
    <mergeCell ref="D5:F5"/>
    <mergeCell ref="D7:F7"/>
    <mergeCell ref="D9:F9"/>
    <mergeCell ref="B105:J105"/>
    <mergeCell ref="B35:J35"/>
    <mergeCell ref="B825:J825"/>
    <mergeCell ref="B694:J694"/>
    <mergeCell ref="B540:J540"/>
    <mergeCell ref="B402:J402"/>
    <mergeCell ref="B229:J229"/>
    <mergeCell ref="D569:F569"/>
    <mergeCell ref="D571:F571"/>
    <mergeCell ref="D573:F573"/>
    <mergeCell ref="D262:F262"/>
    <mergeCell ref="D264:F264"/>
    <mergeCell ref="C244:F244"/>
    <mergeCell ref="H244:I244"/>
    <mergeCell ref="C245:F245"/>
    <mergeCell ref="H245:I245"/>
    <mergeCell ref="C410:F410"/>
    <mergeCell ref="H410:I410"/>
    <mergeCell ref="H411:I411"/>
    <mergeCell ref="C412:F412"/>
    <mergeCell ref="H412:I412"/>
  </mergeCells>
  <phoneticPr fontId="2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'Всплываюшиеся списки'!$A$3</xm:f>
          </x14:formula1>
          <xm:sqref>D52:F52 D128:F128 D430:F430 D569:F569</xm:sqref>
        </x14:dataValidation>
        <x14:dataValidation type="list" allowBlank="1" showInputMessage="1" showErrorMessage="1">
          <x14:formula1>
            <xm:f>'Всплываюшиеся списки'!$E$3:$E$187</xm:f>
          </x14:formula1>
          <xm:sqref>F60:F82 F84:F99 F136:F226 F359:F381 F384:F401 F438:F537 F577:F676 F679:F691</xm:sqref>
        </x14:dataValidation>
        <x14:dataValidation type="list" allowBlank="1" showInputMessage="1" showErrorMessage="1">
          <x14:formula1>
            <xm:f>Расценки!$B$3:$B$31</xm:f>
          </x14:formula1>
          <xm:sqref>G103:G104 G84:G99 G61:G82 G137:G198 G200:G226 G228 G361:G381 G383:G401 G532:G537 G539 G672:G686 G693</xm:sqref>
        </x14:dataValidation>
        <x14:dataValidation type="list" allowBlank="1" showInputMessage="1" showErrorMessage="1">
          <x14:formula1>
            <xm:f>Расценки!$B$3:$B$32</xm:f>
          </x14:formula1>
          <xm:sqref>G100 G60 G136 G438:G531 G577:G671 G687:G691</xm:sqref>
        </x14:dataValidation>
        <x14:dataValidation type="list" allowBlank="1" showInputMessage="1" showErrorMessage="1">
          <x14:formula1>
            <xm:f>'Всплываюшиеся списки'!$F$3:$F$11</xm:f>
          </x14:formula1>
          <xm:sqref>B60:B104 B136:B228 B361:B401 B438:B539 B577:B693</xm:sqref>
        </x14:dataValidation>
        <x14:dataValidation type="list" allowBlank="1" showInputMessage="1" showErrorMessage="1">
          <x14:formula1>
            <xm:f>'Всплываюшиеся списки'!$B$3:$B$4</xm:f>
          </x14:formula1>
          <xm:sqref>C60:C104 C136:C228 C380:C383 C438:C530 C577:C669 C679:C693</xm:sqref>
        </x14:dataValidation>
        <x14:dataValidation type="list" allowBlank="1" showInputMessage="1" showErrorMessage="1">
          <x14:formula1>
            <xm:f>'Всплываюшиеся списки'!$C$3:$C$7</xm:f>
          </x14:formula1>
          <xm:sqref>D60:D104 D136:D228 D361:D401 D438:D539 D579 D581:D693</xm:sqref>
        </x14:dataValidation>
        <x14:dataValidation type="list" allowBlank="1" showInputMessage="1" showErrorMessage="1">
          <x14:formula1>
            <xm:f>'Всплываюшиеся списки'!$D$3:$D$7</xm:f>
          </x14:formula1>
          <xm:sqref>E60:E104 E136:E226 E359:E401 E438:E528 E531:E537 E539 E577:E667 E670:E692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AE23"/>
  <sheetViews>
    <sheetView topLeftCell="A11" zoomScale="85" zoomScaleNormal="85" workbookViewId="0">
      <selection activeCell="M11" sqref="M11"/>
    </sheetView>
  </sheetViews>
  <sheetFormatPr defaultRowHeight="14.4"/>
  <cols>
    <col min="2" max="2" width="13.109375" customWidth="1"/>
    <col min="7" max="7" width="29.88671875" customWidth="1"/>
    <col min="11" max="11" width="15.6640625" customWidth="1"/>
  </cols>
  <sheetData>
    <row r="13" spans="1:31" ht="15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53" t="s">
        <v>292</v>
      </c>
      <c r="N14" s="154"/>
      <c r="O14" s="154"/>
      <c r="P14" s="154"/>
      <c r="Q14" s="154"/>
      <c r="R14" s="154"/>
      <c r="S14" s="154" t="s">
        <v>291</v>
      </c>
      <c r="T14" s="154"/>
      <c r="U14" s="154"/>
      <c r="V14" s="154"/>
      <c r="W14" s="154"/>
      <c r="X14" s="154"/>
      <c r="Y14" s="154" t="s">
        <v>293</v>
      </c>
      <c r="Z14" s="154"/>
      <c r="AA14" s="154"/>
      <c r="AB14" s="154"/>
      <c r="AC14" s="154"/>
      <c r="AD14" s="154"/>
      <c r="AE14" s="47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56" t="s">
        <v>288</v>
      </c>
      <c r="N15" s="157"/>
      <c r="O15" s="157"/>
      <c r="P15" s="157"/>
      <c r="Q15" s="157"/>
      <c r="R15" s="158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48"/>
    </row>
    <row r="16" spans="1:31" ht="41.4">
      <c r="A16" s="27" t="s">
        <v>37</v>
      </c>
      <c r="B16" s="27" t="s">
        <v>38</v>
      </c>
      <c r="C16" s="27" t="s">
        <v>39</v>
      </c>
      <c r="D16" s="27" t="s">
        <v>39</v>
      </c>
      <c r="E16" s="27" t="s">
        <v>40</v>
      </c>
      <c r="F16" s="27" t="s">
        <v>41</v>
      </c>
      <c r="G16" s="27" t="s">
        <v>2</v>
      </c>
      <c r="H16" s="27" t="s">
        <v>42</v>
      </c>
      <c r="I16" s="27" t="s">
        <v>43</v>
      </c>
      <c r="J16" s="27" t="s">
        <v>44</v>
      </c>
      <c r="K16" s="27" t="s">
        <v>45</v>
      </c>
      <c r="L16" s="45" t="s">
        <v>46</v>
      </c>
      <c r="M16" s="49" t="s">
        <v>7</v>
      </c>
      <c r="N16" s="26" t="s">
        <v>74</v>
      </c>
      <c r="O16" s="159" t="s">
        <v>75</v>
      </c>
      <c r="P16" s="160"/>
      <c r="Q16" s="160"/>
      <c r="R16" s="161"/>
      <c r="S16" s="25" t="s">
        <v>7</v>
      </c>
      <c r="T16" s="26" t="s">
        <v>74</v>
      </c>
      <c r="U16" s="26" t="s">
        <v>75</v>
      </c>
      <c r="V16" s="25" t="s">
        <v>7</v>
      </c>
      <c r="W16" s="26" t="s">
        <v>74</v>
      </c>
      <c r="X16" s="26" t="s">
        <v>75</v>
      </c>
      <c r="Y16" s="25" t="s">
        <v>7</v>
      </c>
      <c r="Z16" s="26" t="s">
        <v>74</v>
      </c>
      <c r="AA16" s="26" t="s">
        <v>75</v>
      </c>
      <c r="AB16" s="25" t="s">
        <v>7</v>
      </c>
      <c r="AC16" s="26" t="s">
        <v>74</v>
      </c>
      <c r="AD16" s="26" t="s">
        <v>75</v>
      </c>
      <c r="AE16" s="48"/>
    </row>
    <row r="17" spans="1:31" ht="55.2">
      <c r="A17" s="26">
        <v>1</v>
      </c>
      <c r="B17" s="28" t="s">
        <v>47</v>
      </c>
      <c r="C17" s="16" t="s">
        <v>48</v>
      </c>
      <c r="D17" s="16" t="s">
        <v>49</v>
      </c>
      <c r="E17" s="16">
        <v>2</v>
      </c>
      <c r="F17" s="16"/>
      <c r="G17" s="16" t="s">
        <v>6</v>
      </c>
      <c r="H17" s="26" t="s">
        <v>7</v>
      </c>
      <c r="I17" s="29"/>
      <c r="J17" s="29"/>
      <c r="K17" s="30"/>
      <c r="L17" s="46"/>
      <c r="M17" s="50" t="s">
        <v>76</v>
      </c>
      <c r="N17" s="26">
        <v>300</v>
      </c>
      <c r="O17" s="162" t="s">
        <v>77</v>
      </c>
      <c r="P17" s="150"/>
      <c r="Q17" s="150"/>
      <c r="R17" s="163"/>
      <c r="S17" s="26">
        <v>123.76</v>
      </c>
      <c r="T17" s="26">
        <v>300</v>
      </c>
      <c r="U17" s="26" t="s">
        <v>78</v>
      </c>
      <c r="V17" s="16"/>
      <c r="W17" s="16"/>
      <c r="X17" s="16"/>
      <c r="Y17" s="26"/>
      <c r="Z17" s="26"/>
      <c r="AA17" s="26"/>
      <c r="AB17" s="26"/>
      <c r="AC17" s="26"/>
      <c r="AD17" s="26"/>
      <c r="AE17" s="48"/>
    </row>
    <row r="18" spans="1:31" ht="55.8" thickBot="1">
      <c r="A18" s="17"/>
      <c r="B18" s="28" t="s">
        <v>47</v>
      </c>
      <c r="C18" s="16" t="s">
        <v>48</v>
      </c>
      <c r="D18" s="16" t="s">
        <v>49</v>
      </c>
      <c r="E18" s="16">
        <v>3</v>
      </c>
      <c r="F18" s="16"/>
      <c r="G18" s="16" t="s">
        <v>6</v>
      </c>
      <c r="H18" s="26" t="s">
        <v>7</v>
      </c>
      <c r="I18" s="29"/>
      <c r="J18" s="29"/>
      <c r="K18" s="30"/>
      <c r="L18" s="46"/>
      <c r="M18" s="51">
        <v>357.15</v>
      </c>
      <c r="N18" s="52">
        <v>300</v>
      </c>
      <c r="O18" s="164" t="s">
        <v>79</v>
      </c>
      <c r="P18" s="151"/>
      <c r="Q18" s="151"/>
      <c r="R18" s="165"/>
      <c r="S18" s="52" t="s">
        <v>80</v>
      </c>
      <c r="T18" s="52">
        <v>300</v>
      </c>
      <c r="U18" s="52" t="s">
        <v>81</v>
      </c>
      <c r="V18" s="52"/>
      <c r="W18" s="52"/>
      <c r="X18" s="52"/>
      <c r="Y18" s="52"/>
      <c r="Z18" s="52"/>
      <c r="AA18" s="52"/>
      <c r="AB18" s="52"/>
      <c r="AC18" s="52"/>
      <c r="AD18" s="52"/>
      <c r="AE18" s="53"/>
    </row>
    <row r="19" spans="1:31">
      <c r="A19" s="1"/>
      <c r="B19" s="1"/>
      <c r="C19" s="1"/>
      <c r="D19" s="1"/>
      <c r="E19" s="1"/>
      <c r="F19" s="1"/>
      <c r="G19" s="1"/>
      <c r="H19" s="1"/>
      <c r="I19" s="40"/>
      <c r="J19" s="1"/>
      <c r="K19" s="41"/>
      <c r="L19" s="41"/>
      <c r="M19" s="3"/>
      <c r="N19" s="3"/>
      <c r="P19" s="3"/>
      <c r="Q19" s="3"/>
      <c r="R19" s="41"/>
      <c r="S19" s="3"/>
      <c r="T19" s="1"/>
      <c r="U19" s="41"/>
      <c r="V19" s="1"/>
      <c r="W19" s="1"/>
      <c r="X19" s="41"/>
      <c r="Y19" s="1"/>
      <c r="Z19" s="1"/>
      <c r="AA19" s="1"/>
      <c r="AB19" s="1"/>
      <c r="AC19" s="1"/>
      <c r="AD19" s="41"/>
      <c r="AE19" s="1"/>
    </row>
    <row r="20" spans="1:31">
      <c r="A20" s="1"/>
      <c r="B20" s="1"/>
      <c r="C20" s="1"/>
      <c r="D20" s="1"/>
      <c r="E20" s="1"/>
      <c r="F20" s="1"/>
      <c r="G20" s="1"/>
      <c r="H20" s="1"/>
      <c r="I20" s="1"/>
      <c r="J20" s="1"/>
      <c r="K20" s="152"/>
      <c r="L20" s="152"/>
      <c r="M20" s="3"/>
      <c r="N20" s="3"/>
      <c r="O20" s="3"/>
      <c r="P20" s="3"/>
      <c r="Q20" s="41"/>
      <c r="R20" s="3"/>
      <c r="S20" s="3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  <c r="N21" s="3"/>
      <c r="O21" s="3"/>
      <c r="P21" s="3"/>
      <c r="Q21" s="3"/>
      <c r="R21" s="3"/>
      <c r="S21" s="3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  <c r="N22" s="3"/>
      <c r="O22" s="3"/>
      <c r="P22" s="3"/>
      <c r="Q22" s="3"/>
      <c r="R22" s="3"/>
      <c r="S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/>
      <c r="N23" s="3"/>
      <c r="O23" s="3"/>
      <c r="P23" s="3"/>
      <c r="Q23" s="3"/>
      <c r="R23" s="3"/>
      <c r="S23" s="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</sheetData>
  <mergeCells count="12">
    <mergeCell ref="K20:L20"/>
    <mergeCell ref="M14:R14"/>
    <mergeCell ref="S14:X14"/>
    <mergeCell ref="Y14:AD14"/>
    <mergeCell ref="S15:U15"/>
    <mergeCell ref="V15:X15"/>
    <mergeCell ref="Y15:AA15"/>
    <mergeCell ref="AB15:AD15"/>
    <mergeCell ref="M15:R15"/>
    <mergeCell ref="O16:R16"/>
    <mergeCell ref="O17:R17"/>
    <mergeCell ref="O18:R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selection activeCell="P5" sqref="P5"/>
    </sheetView>
  </sheetViews>
  <sheetFormatPr defaultRowHeight="14.4"/>
  <cols>
    <col min="1" max="1" width="17.109375" customWidth="1"/>
  </cols>
  <sheetData>
    <row r="1" spans="1:24" ht="17.399999999999999">
      <c r="A1" s="42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">
      <c r="A2" s="43" t="s">
        <v>52</v>
      </c>
      <c r="B2" s="166"/>
      <c r="C2" s="166"/>
      <c r="D2" s="16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66">
      <c r="A4" s="44" t="s">
        <v>53</v>
      </c>
      <c r="B4" s="11" t="s">
        <v>54</v>
      </c>
      <c r="C4" s="44" t="s">
        <v>55</v>
      </c>
      <c r="D4" s="11" t="s">
        <v>38</v>
      </c>
      <c r="E4" s="11" t="s">
        <v>39</v>
      </c>
      <c r="F4" s="44" t="s">
        <v>39</v>
      </c>
      <c r="G4" s="11" t="s">
        <v>40</v>
      </c>
      <c r="H4" s="11" t="s">
        <v>41</v>
      </c>
      <c r="I4" s="11" t="s">
        <v>2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spans="1:2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1:2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zoomScale="115" zoomScaleNormal="115" workbookViewId="0">
      <selection activeCell="E188" sqref="E188"/>
    </sheetView>
  </sheetViews>
  <sheetFormatPr defaultRowHeight="14.4"/>
  <cols>
    <col min="1" max="1" width="13" customWidth="1"/>
    <col min="2" max="2" width="14.6640625" customWidth="1"/>
    <col min="3" max="3" width="13.21875" customWidth="1"/>
    <col min="4" max="4" width="11.44140625" customWidth="1"/>
    <col min="5" max="5" width="89.33203125" customWidth="1"/>
    <col min="6" max="6" width="30.332031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6.4">
      <c r="A2" s="2" t="s">
        <v>56</v>
      </c>
      <c r="B2" s="2" t="s">
        <v>39</v>
      </c>
      <c r="C2" s="2" t="s">
        <v>39</v>
      </c>
      <c r="D2" s="2" t="s">
        <v>40</v>
      </c>
      <c r="E2" s="2" t="s">
        <v>57</v>
      </c>
      <c r="F2" s="2" t="s">
        <v>38</v>
      </c>
      <c r="G2" s="3"/>
      <c r="H2" s="3"/>
      <c r="I2" s="3"/>
      <c r="J2" s="3"/>
      <c r="K2" s="3"/>
      <c r="L2" s="3"/>
    </row>
    <row r="3" spans="1:12" ht="26.4">
      <c r="A3" s="4" t="s">
        <v>217</v>
      </c>
      <c r="B3" s="4" t="s">
        <v>48</v>
      </c>
      <c r="C3" s="5" t="s">
        <v>58</v>
      </c>
      <c r="D3" s="2">
        <v>-1</v>
      </c>
      <c r="E3" s="4" t="s">
        <v>82</v>
      </c>
      <c r="F3" s="5" t="s">
        <v>47</v>
      </c>
      <c r="G3" s="3"/>
      <c r="H3" s="3"/>
      <c r="I3" s="3"/>
      <c r="J3" s="3"/>
      <c r="K3" s="3"/>
      <c r="L3" s="3"/>
    </row>
    <row r="4" spans="1:12">
      <c r="A4" s="3"/>
      <c r="B4" s="4" t="s">
        <v>59</v>
      </c>
      <c r="C4" s="5" t="s">
        <v>49</v>
      </c>
      <c r="D4" s="2">
        <v>-2</v>
      </c>
      <c r="E4" s="4" t="s">
        <v>273</v>
      </c>
      <c r="F4" s="5" t="s">
        <v>60</v>
      </c>
      <c r="G4" s="3"/>
      <c r="H4" s="3"/>
      <c r="I4" s="3"/>
      <c r="J4" s="3"/>
      <c r="K4" s="3"/>
      <c r="L4" s="3"/>
    </row>
    <row r="5" spans="1:12" ht="26.4">
      <c r="A5" s="3"/>
      <c r="B5" s="3"/>
      <c r="C5" s="5" t="s">
        <v>63</v>
      </c>
      <c r="D5" s="2">
        <v>1</v>
      </c>
      <c r="E5" s="4" t="s">
        <v>83</v>
      </c>
      <c r="F5" s="5" t="s">
        <v>64</v>
      </c>
      <c r="G5" s="3"/>
      <c r="H5" s="3"/>
      <c r="I5" s="3"/>
      <c r="J5" s="3"/>
      <c r="K5" s="3"/>
      <c r="L5" s="3"/>
    </row>
    <row r="6" spans="1:12" ht="26.4">
      <c r="A6" s="3"/>
      <c r="B6" s="3"/>
      <c r="C6" s="4" t="s">
        <v>59</v>
      </c>
      <c r="D6" s="2">
        <v>2</v>
      </c>
      <c r="E6" s="4" t="s">
        <v>205</v>
      </c>
      <c r="F6" s="4" t="s">
        <v>59</v>
      </c>
      <c r="G6" s="3"/>
      <c r="H6" s="3"/>
      <c r="I6" s="3"/>
      <c r="J6" s="3"/>
      <c r="K6" s="3"/>
      <c r="L6" s="3"/>
    </row>
    <row r="7" spans="1:12">
      <c r="A7" s="3"/>
      <c r="B7" s="3"/>
      <c r="C7" s="5" t="s">
        <v>61</v>
      </c>
      <c r="D7" s="3">
        <v>3</v>
      </c>
      <c r="E7" s="4" t="s">
        <v>84</v>
      </c>
      <c r="F7" s="4" t="s">
        <v>65</v>
      </c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4" t="s">
        <v>85</v>
      </c>
      <c r="F8" s="4" t="s">
        <v>66</v>
      </c>
      <c r="G8" s="3"/>
      <c r="H8" s="3"/>
      <c r="I8" s="3"/>
      <c r="J8" s="3"/>
      <c r="K8" s="3"/>
      <c r="L8" s="3"/>
    </row>
    <row r="9" spans="1:12" ht="26.4">
      <c r="A9" s="3"/>
      <c r="B9" s="3"/>
      <c r="C9" s="3"/>
      <c r="D9" s="3"/>
      <c r="E9" s="6" t="s">
        <v>86</v>
      </c>
      <c r="F9" s="4" t="s">
        <v>67</v>
      </c>
      <c r="G9" s="3"/>
      <c r="H9" s="3"/>
      <c r="I9" s="3"/>
      <c r="J9" s="3"/>
      <c r="K9" s="3"/>
      <c r="L9" s="3"/>
    </row>
    <row r="10" spans="1:12" ht="26.4">
      <c r="A10" s="3"/>
      <c r="B10" s="3"/>
      <c r="C10" s="3"/>
      <c r="D10" s="3"/>
      <c r="E10" s="4" t="s">
        <v>87</v>
      </c>
      <c r="F10" s="4" t="s">
        <v>68</v>
      </c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4" t="s">
        <v>88</v>
      </c>
      <c r="F11" s="5" t="s">
        <v>62</v>
      </c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4" t="s">
        <v>89</v>
      </c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4" t="s">
        <v>90</v>
      </c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4" t="s">
        <v>91</v>
      </c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4" t="s">
        <v>92</v>
      </c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4" t="s">
        <v>93</v>
      </c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4" t="s">
        <v>94</v>
      </c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4" t="s">
        <v>95</v>
      </c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4" t="s">
        <v>96</v>
      </c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4" t="s">
        <v>97</v>
      </c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4" t="s">
        <v>98</v>
      </c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4" t="s">
        <v>99</v>
      </c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4" t="s">
        <v>100</v>
      </c>
      <c r="F23" s="3"/>
      <c r="G23" s="3"/>
      <c r="H23" s="3"/>
      <c r="I23" s="3"/>
      <c r="J23" s="3"/>
      <c r="K23" s="3"/>
      <c r="L23" s="3"/>
    </row>
    <row r="24" spans="1:12">
      <c r="A24" s="1"/>
      <c r="B24" s="1"/>
      <c r="C24" s="1"/>
      <c r="D24" s="1"/>
      <c r="E24" s="4" t="s">
        <v>101</v>
      </c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4" t="s">
        <v>102</v>
      </c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4" t="s">
        <v>103</v>
      </c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4" t="s">
        <v>104</v>
      </c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4" t="s">
        <v>105</v>
      </c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4" t="s">
        <v>106</v>
      </c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4" t="s">
        <v>107</v>
      </c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4" t="s">
        <v>108</v>
      </c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4" t="s">
        <v>109</v>
      </c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4" t="s">
        <v>110</v>
      </c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4" t="s">
        <v>111</v>
      </c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4" t="s">
        <v>112</v>
      </c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4" t="s">
        <v>113</v>
      </c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4" t="s">
        <v>114</v>
      </c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4" t="s">
        <v>115</v>
      </c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4" t="s">
        <v>116</v>
      </c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4" t="s">
        <v>117</v>
      </c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4" t="s">
        <v>118</v>
      </c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4" t="s">
        <v>119</v>
      </c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4" t="s">
        <v>120</v>
      </c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4" t="s">
        <v>121</v>
      </c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4" t="s">
        <v>122</v>
      </c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4" t="s">
        <v>123</v>
      </c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4" t="s">
        <v>124</v>
      </c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4" t="s">
        <v>125</v>
      </c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4" t="s">
        <v>126</v>
      </c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4" t="s">
        <v>127</v>
      </c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4" t="s">
        <v>128</v>
      </c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4" t="s">
        <v>129</v>
      </c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4" t="s">
        <v>130</v>
      </c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4" t="s">
        <v>131</v>
      </c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4" t="s">
        <v>132</v>
      </c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4" t="s">
        <v>133</v>
      </c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4" t="s">
        <v>134</v>
      </c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4" t="s">
        <v>135</v>
      </c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4" t="s">
        <v>136</v>
      </c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4" t="s">
        <v>137</v>
      </c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4" t="s">
        <v>138</v>
      </c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4" t="s">
        <v>139</v>
      </c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4" t="s">
        <v>140</v>
      </c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4" t="s">
        <v>141</v>
      </c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4" t="s">
        <v>142</v>
      </c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4" t="s">
        <v>143</v>
      </c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4" t="s">
        <v>144</v>
      </c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4" t="s">
        <v>145</v>
      </c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4" t="s">
        <v>146</v>
      </c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4" t="s">
        <v>147</v>
      </c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4" t="s">
        <v>148</v>
      </c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4" t="s">
        <v>149</v>
      </c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4" t="s">
        <v>150</v>
      </c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4" t="s">
        <v>151</v>
      </c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6" t="s">
        <v>152</v>
      </c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4" t="s">
        <v>153</v>
      </c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4" t="s">
        <v>154</v>
      </c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4" t="s">
        <v>155</v>
      </c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4" t="s">
        <v>156</v>
      </c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4" t="s">
        <v>157</v>
      </c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4" t="s">
        <v>158</v>
      </c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4" t="s">
        <v>159</v>
      </c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6" t="s">
        <v>160</v>
      </c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4" t="s">
        <v>161</v>
      </c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4" t="s">
        <v>162</v>
      </c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4" t="s">
        <v>274</v>
      </c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4" t="s">
        <v>163</v>
      </c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4" t="s">
        <v>164</v>
      </c>
      <c r="F88" s="1"/>
      <c r="G88" s="1"/>
      <c r="H88" s="1"/>
      <c r="I88" s="1"/>
      <c r="J88" s="1"/>
      <c r="K88" s="1"/>
      <c r="L88" s="1"/>
    </row>
    <row r="89" spans="1:12" ht="26.4">
      <c r="A89" s="1"/>
      <c r="B89" s="1"/>
      <c r="C89" s="1"/>
      <c r="D89" s="1"/>
      <c r="E89" s="4" t="s">
        <v>275</v>
      </c>
      <c r="F89" s="1"/>
      <c r="G89" s="1"/>
      <c r="H89" s="1"/>
      <c r="I89" s="1"/>
      <c r="J89" s="1"/>
      <c r="K89" s="1"/>
      <c r="L89" s="1"/>
    </row>
    <row r="90" spans="1:12" ht="26.4">
      <c r="A90" s="1"/>
      <c r="B90" s="1"/>
      <c r="C90" s="1"/>
      <c r="D90" s="1"/>
      <c r="E90" s="4" t="s">
        <v>276</v>
      </c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4" t="s">
        <v>165</v>
      </c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4" t="s">
        <v>166</v>
      </c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4" t="s">
        <v>167</v>
      </c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4" t="s">
        <v>168</v>
      </c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4" t="s">
        <v>169</v>
      </c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4" t="s">
        <v>170</v>
      </c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4" t="s">
        <v>171</v>
      </c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4" t="s">
        <v>172</v>
      </c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6" t="s">
        <v>173</v>
      </c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4" t="s">
        <v>174</v>
      </c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4" t="s">
        <v>175</v>
      </c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6" t="s">
        <v>176</v>
      </c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4" t="s">
        <v>177</v>
      </c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4" t="s">
        <v>178</v>
      </c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4" t="s">
        <v>179</v>
      </c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4" t="s">
        <v>180</v>
      </c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6" t="s">
        <v>181</v>
      </c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4" t="s">
        <v>182</v>
      </c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4" t="s">
        <v>183</v>
      </c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6" t="s">
        <v>184</v>
      </c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4" t="s">
        <v>185</v>
      </c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4" t="s">
        <v>186</v>
      </c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4" t="s">
        <v>187</v>
      </c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4" t="s">
        <v>188</v>
      </c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4" t="s">
        <v>189</v>
      </c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4" t="s">
        <v>190</v>
      </c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4" t="s">
        <v>191</v>
      </c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4" t="s">
        <v>192</v>
      </c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4" t="s">
        <v>193</v>
      </c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4" t="s">
        <v>194</v>
      </c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3" t="s">
        <v>195</v>
      </c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3" t="s">
        <v>196</v>
      </c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3" t="s">
        <v>197</v>
      </c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3" t="s">
        <v>198</v>
      </c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3" t="s">
        <v>199</v>
      </c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3" t="s">
        <v>200</v>
      </c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3" t="s">
        <v>201</v>
      </c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3" t="s">
        <v>202</v>
      </c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3" t="s">
        <v>203</v>
      </c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3" t="s">
        <v>204</v>
      </c>
      <c r="F130" s="1"/>
      <c r="G130" s="1"/>
      <c r="H130" s="1"/>
      <c r="I130" s="1"/>
      <c r="J130" s="1"/>
      <c r="K130" s="1"/>
      <c r="L130" s="1"/>
    </row>
    <row r="131" spans="1:12" ht="28.8">
      <c r="E131" s="32" t="s">
        <v>272</v>
      </c>
    </row>
    <row r="132" spans="1:12">
      <c r="E132" t="s">
        <v>206</v>
      </c>
    </row>
    <row r="133" spans="1:12">
      <c r="E133" t="s">
        <v>207</v>
      </c>
    </row>
    <row r="134" spans="1:12">
      <c r="E134" t="s">
        <v>208</v>
      </c>
    </row>
    <row r="135" spans="1:12">
      <c r="E135" t="s">
        <v>209</v>
      </c>
    </row>
    <row r="136" spans="1:12">
      <c r="E136" t="s">
        <v>210</v>
      </c>
    </row>
    <row r="137" spans="1:12">
      <c r="E137" t="s">
        <v>211</v>
      </c>
    </row>
    <row r="138" spans="1:12">
      <c r="E138" t="s">
        <v>212</v>
      </c>
    </row>
    <row r="139" spans="1:12">
      <c r="E139" t="s">
        <v>213</v>
      </c>
    </row>
    <row r="140" spans="1:12">
      <c r="E140" t="s">
        <v>214</v>
      </c>
    </row>
    <row r="141" spans="1:12">
      <c r="E141" t="s">
        <v>215</v>
      </c>
    </row>
    <row r="142" spans="1:12">
      <c r="E142" t="s">
        <v>216</v>
      </c>
    </row>
    <row r="143" spans="1:12">
      <c r="E143" t="s">
        <v>219</v>
      </c>
    </row>
    <row r="144" spans="1:12" ht="28.8">
      <c r="E144" s="32" t="s">
        <v>271</v>
      </c>
    </row>
    <row r="145" spans="5:5">
      <c r="E145" t="s">
        <v>220</v>
      </c>
    </row>
    <row r="146" spans="5:5">
      <c r="E146" t="s">
        <v>221</v>
      </c>
    </row>
    <row r="147" spans="5:5">
      <c r="E147" t="s">
        <v>222</v>
      </c>
    </row>
    <row r="148" spans="5:5">
      <c r="E148" t="s">
        <v>223</v>
      </c>
    </row>
    <row r="149" spans="5:5">
      <c r="E149" t="s">
        <v>224</v>
      </c>
    </row>
    <row r="150" spans="5:5">
      <c r="E150" t="s">
        <v>225</v>
      </c>
    </row>
    <row r="151" spans="5:5">
      <c r="E151" t="s">
        <v>226</v>
      </c>
    </row>
    <row r="152" spans="5:5">
      <c r="E152" t="s">
        <v>227</v>
      </c>
    </row>
    <row r="153" spans="5:5">
      <c r="E153" t="s">
        <v>228</v>
      </c>
    </row>
    <row r="154" spans="5:5" ht="28.8">
      <c r="E154" s="32" t="s">
        <v>268</v>
      </c>
    </row>
    <row r="155" spans="5:5">
      <c r="E155" t="s">
        <v>229</v>
      </c>
    </row>
    <row r="156" spans="5:5">
      <c r="E156" t="s">
        <v>230</v>
      </c>
    </row>
    <row r="157" spans="5:5">
      <c r="E157" t="s">
        <v>231</v>
      </c>
    </row>
    <row r="158" spans="5:5">
      <c r="E158" t="s">
        <v>232</v>
      </c>
    </row>
    <row r="159" spans="5:5">
      <c r="E159" t="s">
        <v>233</v>
      </c>
    </row>
    <row r="160" spans="5:5">
      <c r="E160" t="s">
        <v>234</v>
      </c>
    </row>
    <row r="161" spans="5:5">
      <c r="E161" t="s">
        <v>235</v>
      </c>
    </row>
    <row r="162" spans="5:5">
      <c r="E162" t="s">
        <v>236</v>
      </c>
    </row>
    <row r="163" spans="5:5">
      <c r="E163" t="s">
        <v>237</v>
      </c>
    </row>
    <row r="164" spans="5:5">
      <c r="E164" t="s">
        <v>238</v>
      </c>
    </row>
    <row r="165" spans="5:5">
      <c r="E165" t="s">
        <v>239</v>
      </c>
    </row>
    <row r="166" spans="5:5">
      <c r="E166" t="s">
        <v>240</v>
      </c>
    </row>
    <row r="167" spans="5:5">
      <c r="E167" t="s">
        <v>241</v>
      </c>
    </row>
    <row r="168" spans="5:5">
      <c r="E168" t="s">
        <v>242</v>
      </c>
    </row>
    <row r="169" spans="5:5">
      <c r="E169" t="s">
        <v>243</v>
      </c>
    </row>
    <row r="170" spans="5:5">
      <c r="E170" t="s">
        <v>244</v>
      </c>
    </row>
    <row r="171" spans="5:5">
      <c r="E171" t="s">
        <v>245</v>
      </c>
    </row>
    <row r="172" spans="5:5">
      <c r="E172" t="s">
        <v>246</v>
      </c>
    </row>
    <row r="173" spans="5:5">
      <c r="E173" t="s">
        <v>247</v>
      </c>
    </row>
    <row r="174" spans="5:5">
      <c r="E174" t="s">
        <v>248</v>
      </c>
    </row>
    <row r="175" spans="5:5" ht="28.8">
      <c r="E175" s="32" t="s">
        <v>269</v>
      </c>
    </row>
    <row r="176" spans="5:5">
      <c r="E176" t="s">
        <v>249</v>
      </c>
    </row>
    <row r="177" spans="5:5" ht="28.8">
      <c r="E177" s="32" t="s">
        <v>270</v>
      </c>
    </row>
    <row r="178" spans="5:5">
      <c r="E178" t="s">
        <v>250</v>
      </c>
    </row>
    <row r="179" spans="5:5">
      <c r="E179" t="s">
        <v>251</v>
      </c>
    </row>
    <row r="180" spans="5:5">
      <c r="E180" t="s">
        <v>252</v>
      </c>
    </row>
    <row r="181" spans="5:5">
      <c r="E181" t="s">
        <v>253</v>
      </c>
    </row>
    <row r="182" spans="5:5">
      <c r="E182" t="s">
        <v>254</v>
      </c>
    </row>
    <row r="183" spans="5:5">
      <c r="E183" t="s">
        <v>255</v>
      </c>
    </row>
    <row r="184" spans="5:5">
      <c r="E184" t="s">
        <v>256</v>
      </c>
    </row>
    <row r="185" spans="5:5">
      <c r="E185" t="s">
        <v>257</v>
      </c>
    </row>
    <row r="186" spans="5:5">
      <c r="E186" t="s">
        <v>258</v>
      </c>
    </row>
    <row r="187" spans="5:5">
      <c r="E18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36"/>
  <sheetViews>
    <sheetView topLeftCell="F1" zoomScale="70" zoomScaleNormal="70" zoomScaleSheetLayoutView="70" workbookViewId="0">
      <selection activeCell="L5" sqref="L5"/>
    </sheetView>
  </sheetViews>
  <sheetFormatPr defaultRowHeight="23.4" customHeight="1"/>
  <cols>
    <col min="1" max="1" width="19" style="99" hidden="1" customWidth="1"/>
    <col min="2" max="2" width="26.109375" style="99" hidden="1" customWidth="1"/>
    <col min="3" max="3" width="19.77734375" style="99" hidden="1" customWidth="1"/>
    <col min="4" max="4" width="14.5546875" style="99" hidden="1" customWidth="1"/>
    <col min="5" max="5" width="11.88671875" style="99" customWidth="1"/>
    <col min="6" max="6" width="38.109375" style="99" customWidth="1"/>
    <col min="7" max="7" width="52.21875" style="99" hidden="1" customWidth="1"/>
    <col min="8" max="8" width="11.88671875" style="99" customWidth="1"/>
    <col min="9" max="9" width="18.6640625" style="99" customWidth="1"/>
    <col min="10" max="10" width="8.88671875" style="108"/>
    <col min="11" max="16384" width="8.88671875" style="99"/>
  </cols>
  <sheetData>
    <row r="1" spans="1:23" ht="23.4" customHeight="1">
      <c r="A1" s="91" t="s">
        <v>321</v>
      </c>
      <c r="B1" s="92" t="s">
        <v>322</v>
      </c>
      <c r="C1" s="93" t="s">
        <v>323</v>
      </c>
      <c r="D1" s="93" t="s">
        <v>324</v>
      </c>
      <c r="E1" s="94" t="s">
        <v>325</v>
      </c>
      <c r="F1" s="93" t="s">
        <v>326</v>
      </c>
      <c r="G1" s="93" t="s">
        <v>327</v>
      </c>
      <c r="H1" s="95" t="s">
        <v>328</v>
      </c>
      <c r="I1" s="96" t="s">
        <v>329</v>
      </c>
      <c r="J1" s="97" t="s">
        <v>330</v>
      </c>
      <c r="K1" s="98" t="s">
        <v>336</v>
      </c>
      <c r="L1" s="98" t="s">
        <v>337</v>
      </c>
      <c r="M1" s="98" t="s">
        <v>338</v>
      </c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3" ht="23.4" customHeight="1">
      <c r="A2" s="100">
        <v>68</v>
      </c>
      <c r="B2" s="101" t="s">
        <v>47</v>
      </c>
      <c r="C2" s="102" t="s">
        <v>48</v>
      </c>
      <c r="D2" s="102" t="s">
        <v>58</v>
      </c>
      <c r="E2" s="103">
        <v>1</v>
      </c>
      <c r="F2" s="102" t="s">
        <v>85</v>
      </c>
      <c r="G2" s="102" t="s">
        <v>14</v>
      </c>
      <c r="H2" s="104" t="s">
        <v>7</v>
      </c>
      <c r="I2" s="105">
        <v>5.5</v>
      </c>
      <c r="J2" s="106" t="s">
        <v>334</v>
      </c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3" ht="23.4" customHeight="1">
      <c r="A3" s="100">
        <v>70</v>
      </c>
      <c r="B3" s="101" t="s">
        <v>47</v>
      </c>
      <c r="C3" s="102" t="s">
        <v>48</v>
      </c>
      <c r="D3" s="102" t="s">
        <v>58</v>
      </c>
      <c r="E3" s="103">
        <v>1</v>
      </c>
      <c r="F3" s="102" t="s">
        <v>86</v>
      </c>
      <c r="G3" s="102" t="s">
        <v>14</v>
      </c>
      <c r="H3" s="104" t="s">
        <v>7</v>
      </c>
      <c r="I3" s="105">
        <v>9.1</v>
      </c>
      <c r="J3" s="106" t="s">
        <v>335</v>
      </c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3" ht="33.6" customHeight="1">
      <c r="A4" s="100">
        <v>71</v>
      </c>
      <c r="B4" s="101" t="s">
        <v>47</v>
      </c>
      <c r="C4" s="102" t="s">
        <v>48</v>
      </c>
      <c r="D4" s="102" t="s">
        <v>58</v>
      </c>
      <c r="E4" s="103">
        <v>1</v>
      </c>
      <c r="F4" s="102" t="s">
        <v>102</v>
      </c>
      <c r="G4" s="102" t="s">
        <v>14</v>
      </c>
      <c r="H4" s="104" t="s">
        <v>7</v>
      </c>
      <c r="I4" s="105">
        <v>4.3</v>
      </c>
      <c r="J4" s="106" t="s">
        <v>335</v>
      </c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</row>
    <row r="5" spans="1:23" ht="23.4" customHeight="1">
      <c r="A5" s="100">
        <v>1</v>
      </c>
      <c r="B5" s="101" t="s">
        <v>47</v>
      </c>
      <c r="C5" s="102" t="s">
        <v>48</v>
      </c>
      <c r="D5" s="102" t="s">
        <v>58</v>
      </c>
      <c r="E5" s="103">
        <v>1</v>
      </c>
      <c r="F5" s="118" t="s">
        <v>106</v>
      </c>
      <c r="G5" s="102" t="s">
        <v>14</v>
      </c>
      <c r="H5" s="104" t="s">
        <v>7</v>
      </c>
      <c r="I5" s="120">
        <v>25.5</v>
      </c>
      <c r="J5" s="106" t="s">
        <v>335</v>
      </c>
      <c r="K5" s="107">
        <v>25.5</v>
      </c>
      <c r="L5" s="119">
        <v>197.2</v>
      </c>
      <c r="M5" s="107"/>
      <c r="N5" s="107"/>
      <c r="O5" s="98"/>
      <c r="P5" s="98"/>
      <c r="Q5" s="98"/>
      <c r="R5" s="98"/>
      <c r="S5" s="98"/>
      <c r="T5" s="98"/>
      <c r="U5" s="98"/>
      <c r="V5" s="98"/>
      <c r="W5" s="98"/>
    </row>
    <row r="6" spans="1:23" ht="23.4" customHeight="1">
      <c r="A6" s="100">
        <v>76</v>
      </c>
      <c r="B6" s="101" t="s">
        <v>47</v>
      </c>
      <c r="C6" s="102" t="s">
        <v>48</v>
      </c>
      <c r="D6" s="102" t="s">
        <v>58</v>
      </c>
      <c r="E6" s="103">
        <v>1</v>
      </c>
      <c r="F6" s="102" t="s">
        <v>110</v>
      </c>
      <c r="G6" s="102" t="s">
        <v>14</v>
      </c>
      <c r="H6" s="104" t="s">
        <v>7</v>
      </c>
      <c r="I6" s="105">
        <v>106.5</v>
      </c>
      <c r="J6" s="106" t="s">
        <v>335</v>
      </c>
    </row>
    <row r="7" spans="1:23" ht="23.4" customHeight="1">
      <c r="A7" s="100">
        <v>72</v>
      </c>
      <c r="B7" s="101" t="s">
        <v>47</v>
      </c>
      <c r="C7" s="102" t="s">
        <v>48</v>
      </c>
      <c r="D7" s="102" t="s">
        <v>58</v>
      </c>
      <c r="E7" s="103">
        <v>1</v>
      </c>
      <c r="F7" s="102" t="s">
        <v>116</v>
      </c>
      <c r="G7" s="102" t="s">
        <v>14</v>
      </c>
      <c r="H7" s="104" t="s">
        <v>7</v>
      </c>
      <c r="I7" s="105">
        <v>10</v>
      </c>
      <c r="J7" s="106" t="s">
        <v>335</v>
      </c>
    </row>
    <row r="8" spans="1:23" ht="33" customHeight="1">
      <c r="A8" s="100">
        <v>74</v>
      </c>
      <c r="B8" s="101" t="s">
        <v>47</v>
      </c>
      <c r="C8" s="102" t="s">
        <v>48</v>
      </c>
      <c r="D8" s="102" t="s">
        <v>58</v>
      </c>
      <c r="E8" s="103">
        <v>1</v>
      </c>
      <c r="F8" s="102" t="s">
        <v>117</v>
      </c>
      <c r="G8" s="102" t="s">
        <v>14</v>
      </c>
      <c r="H8" s="104" t="s">
        <v>7</v>
      </c>
      <c r="I8" s="105">
        <v>161</v>
      </c>
      <c r="J8" s="106" t="s">
        <v>335</v>
      </c>
    </row>
    <row r="9" spans="1:23" ht="31.2" customHeight="1">
      <c r="A9" s="100">
        <v>1</v>
      </c>
      <c r="B9" s="101" t="s">
        <v>47</v>
      </c>
      <c r="C9" s="102" t="s">
        <v>48</v>
      </c>
      <c r="D9" s="102" t="s">
        <v>58</v>
      </c>
      <c r="E9" s="103">
        <v>1</v>
      </c>
      <c r="F9" s="102" t="s">
        <v>139</v>
      </c>
      <c r="G9" s="102" t="s">
        <v>14</v>
      </c>
      <c r="H9" s="104" t="s">
        <v>7</v>
      </c>
      <c r="I9" s="105">
        <v>88.8</v>
      </c>
      <c r="J9" s="106" t="s">
        <v>335</v>
      </c>
    </row>
    <row r="10" spans="1:23" ht="22.2" customHeight="1">
      <c r="A10" s="100">
        <v>1</v>
      </c>
      <c r="B10" s="101" t="s">
        <v>47</v>
      </c>
      <c r="C10" s="102" t="s">
        <v>48</v>
      </c>
      <c r="D10" s="102" t="s">
        <v>58</v>
      </c>
      <c r="E10" s="103">
        <v>1</v>
      </c>
      <c r="F10" s="102" t="s">
        <v>141</v>
      </c>
      <c r="G10" s="102" t="s">
        <v>14</v>
      </c>
      <c r="H10" s="104" t="s">
        <v>7</v>
      </c>
      <c r="I10" s="105">
        <v>6.3</v>
      </c>
      <c r="J10" s="106" t="s">
        <v>334</v>
      </c>
    </row>
    <row r="11" spans="1:23" ht="13.8" customHeight="1">
      <c r="A11" s="100">
        <v>96</v>
      </c>
      <c r="B11" s="101" t="s">
        <v>47</v>
      </c>
      <c r="C11" s="102" t="s">
        <v>48</v>
      </c>
      <c r="D11" s="102" t="s">
        <v>58</v>
      </c>
      <c r="E11" s="103">
        <v>1</v>
      </c>
      <c r="F11" s="102" t="s">
        <v>144</v>
      </c>
      <c r="G11" s="102" t="s">
        <v>14</v>
      </c>
      <c r="H11" s="104" t="s">
        <v>7</v>
      </c>
      <c r="I11" s="105">
        <v>6.5</v>
      </c>
      <c r="J11" s="106" t="s">
        <v>335</v>
      </c>
    </row>
    <row r="12" spans="1:23" ht="16.8" customHeight="1">
      <c r="A12" s="100">
        <v>1</v>
      </c>
      <c r="B12" s="101" t="s">
        <v>47</v>
      </c>
      <c r="C12" s="102" t="s">
        <v>48</v>
      </c>
      <c r="D12" s="102" t="s">
        <v>58</v>
      </c>
      <c r="E12" s="103">
        <v>1</v>
      </c>
      <c r="F12" s="102" t="s">
        <v>145</v>
      </c>
      <c r="G12" s="102" t="s">
        <v>14</v>
      </c>
      <c r="H12" s="104" t="s">
        <v>7</v>
      </c>
      <c r="I12" s="105">
        <v>28.9</v>
      </c>
      <c r="J12" s="106" t="s">
        <v>334</v>
      </c>
      <c r="K12" s="105">
        <v>71</v>
      </c>
      <c r="M12" s="105">
        <v>71</v>
      </c>
    </row>
    <row r="13" spans="1:23" ht="23.4" customHeight="1">
      <c r="A13" s="100">
        <v>98</v>
      </c>
      <c r="B13" s="101" t="s">
        <v>47</v>
      </c>
      <c r="C13" s="102" t="s">
        <v>48</v>
      </c>
      <c r="D13" s="102" t="s">
        <v>58</v>
      </c>
      <c r="E13" s="103">
        <v>1</v>
      </c>
      <c r="F13" s="102" t="s">
        <v>150</v>
      </c>
      <c r="G13" s="102" t="s">
        <v>14</v>
      </c>
      <c r="H13" s="104" t="s">
        <v>7</v>
      </c>
      <c r="I13" s="105">
        <v>6.5</v>
      </c>
      <c r="J13" s="106" t="s">
        <v>335</v>
      </c>
    </row>
    <row r="14" spans="1:23" ht="23.4" customHeight="1">
      <c r="A14" s="100">
        <v>1</v>
      </c>
      <c r="B14" s="101" t="s">
        <v>47</v>
      </c>
      <c r="C14" s="102" t="s">
        <v>48</v>
      </c>
      <c r="D14" s="102" t="s">
        <v>58</v>
      </c>
      <c r="E14" s="103">
        <v>1</v>
      </c>
      <c r="F14" s="102" t="s">
        <v>151</v>
      </c>
      <c r="G14" s="102" t="s">
        <v>14</v>
      </c>
      <c r="H14" s="104" t="s">
        <v>7</v>
      </c>
      <c r="I14" s="105">
        <v>30.6</v>
      </c>
      <c r="J14" s="106" t="s">
        <v>334</v>
      </c>
    </row>
    <row r="15" spans="1:23" ht="31.2" customHeight="1">
      <c r="A15" s="100">
        <v>94</v>
      </c>
      <c r="B15" s="101" t="s">
        <v>47</v>
      </c>
      <c r="C15" s="102" t="s">
        <v>48</v>
      </c>
      <c r="D15" s="102" t="s">
        <v>58</v>
      </c>
      <c r="E15" s="103">
        <v>1</v>
      </c>
      <c r="F15" s="102" t="s">
        <v>154</v>
      </c>
      <c r="G15" s="102" t="s">
        <v>14</v>
      </c>
      <c r="H15" s="104" t="s">
        <v>7</v>
      </c>
      <c r="I15" s="105">
        <v>5.3</v>
      </c>
      <c r="J15" s="106" t="s">
        <v>335</v>
      </c>
    </row>
    <row r="16" spans="1:23" ht="39.6" customHeight="1">
      <c r="A16" s="100">
        <v>66</v>
      </c>
      <c r="B16" s="101" t="s">
        <v>47</v>
      </c>
      <c r="C16" s="102" t="s">
        <v>48</v>
      </c>
      <c r="D16" s="102" t="s">
        <v>58</v>
      </c>
      <c r="E16" s="103">
        <v>1</v>
      </c>
      <c r="F16" s="102" t="s">
        <v>155</v>
      </c>
      <c r="G16" s="102" t="s">
        <v>14</v>
      </c>
      <c r="H16" s="104" t="s">
        <v>7</v>
      </c>
      <c r="I16" s="105">
        <v>9.4</v>
      </c>
      <c r="J16" s="106" t="s">
        <v>335</v>
      </c>
    </row>
    <row r="17" spans="1:10" ht="23.4" customHeight="1">
      <c r="A17" s="100">
        <v>1</v>
      </c>
      <c r="B17" s="101" t="s">
        <v>47</v>
      </c>
      <c r="C17" s="102" t="s">
        <v>48</v>
      </c>
      <c r="D17" s="102" t="s">
        <v>58</v>
      </c>
      <c r="E17" s="103">
        <v>1</v>
      </c>
      <c r="F17" s="102" t="s">
        <v>160</v>
      </c>
      <c r="G17" s="102" t="s">
        <v>14</v>
      </c>
      <c r="H17" s="104" t="s">
        <v>7</v>
      </c>
      <c r="I17" s="105">
        <v>5.8</v>
      </c>
      <c r="J17" s="106" t="s">
        <v>335</v>
      </c>
    </row>
    <row r="18" spans="1:10" ht="23.4" customHeight="1">
      <c r="A18" s="100">
        <v>1</v>
      </c>
      <c r="B18" s="101" t="s">
        <v>47</v>
      </c>
      <c r="C18" s="102" t="s">
        <v>48</v>
      </c>
      <c r="D18" s="102" t="s">
        <v>58</v>
      </c>
      <c r="E18" s="103">
        <v>2</v>
      </c>
      <c r="F18" s="102" t="s">
        <v>178</v>
      </c>
      <c r="G18" s="102" t="s">
        <v>14</v>
      </c>
      <c r="H18" s="104" t="s">
        <v>7</v>
      </c>
      <c r="I18" s="105">
        <v>5.6</v>
      </c>
      <c r="J18" s="106" t="s">
        <v>334</v>
      </c>
    </row>
    <row r="19" spans="1:10" ht="23.4" customHeight="1">
      <c r="A19" s="100">
        <v>82</v>
      </c>
      <c r="B19" s="101" t="s">
        <v>47</v>
      </c>
      <c r="C19" s="102" t="s">
        <v>48</v>
      </c>
      <c r="D19" s="102" t="s">
        <v>58</v>
      </c>
      <c r="E19" s="103">
        <v>2</v>
      </c>
      <c r="F19" s="102" t="s">
        <v>180</v>
      </c>
      <c r="G19" s="102" t="s">
        <v>14</v>
      </c>
      <c r="H19" s="104" t="s">
        <v>7</v>
      </c>
      <c r="I19" s="105">
        <v>5</v>
      </c>
      <c r="J19" s="106" t="s">
        <v>334</v>
      </c>
    </row>
    <row r="20" spans="1:10" ht="23.4" customHeight="1">
      <c r="A20" s="100">
        <v>81</v>
      </c>
      <c r="B20" s="101" t="s">
        <v>47</v>
      </c>
      <c r="C20" s="102" t="s">
        <v>48</v>
      </c>
      <c r="D20" s="102" t="s">
        <v>58</v>
      </c>
      <c r="E20" s="103">
        <v>2</v>
      </c>
      <c r="F20" s="102" t="s">
        <v>181</v>
      </c>
      <c r="G20" s="102" t="s">
        <v>14</v>
      </c>
      <c r="H20" s="104" t="s">
        <v>7</v>
      </c>
      <c r="I20" s="105">
        <v>9</v>
      </c>
      <c r="J20" s="106" t="s">
        <v>334</v>
      </c>
    </row>
    <row r="21" spans="1:10" ht="23.4" customHeight="1">
      <c r="A21" s="100">
        <v>108</v>
      </c>
      <c r="B21" s="101" t="s">
        <v>47</v>
      </c>
      <c r="C21" s="102" t="s">
        <v>48</v>
      </c>
      <c r="D21" s="102" t="s">
        <v>58</v>
      </c>
      <c r="E21" s="103">
        <v>2</v>
      </c>
      <c r="F21" s="102" t="s">
        <v>194</v>
      </c>
      <c r="G21" s="102" t="s">
        <v>14</v>
      </c>
      <c r="H21" s="104" t="s">
        <v>7</v>
      </c>
      <c r="I21" s="105">
        <v>7.6</v>
      </c>
      <c r="J21" s="106" t="s">
        <v>334</v>
      </c>
    </row>
    <row r="22" spans="1:10" ht="23.4" customHeight="1">
      <c r="A22" s="100">
        <v>102</v>
      </c>
      <c r="B22" s="101" t="s">
        <v>47</v>
      </c>
      <c r="C22" s="102" t="s">
        <v>48</v>
      </c>
      <c r="D22" s="102" t="s">
        <v>58</v>
      </c>
      <c r="E22" s="103">
        <v>2</v>
      </c>
      <c r="F22" s="102" t="s">
        <v>196</v>
      </c>
      <c r="G22" s="102" t="s">
        <v>14</v>
      </c>
      <c r="H22" s="104" t="s">
        <v>7</v>
      </c>
      <c r="I22" s="105">
        <v>6.5</v>
      </c>
      <c r="J22" s="106" t="s">
        <v>334</v>
      </c>
    </row>
    <row r="23" spans="1:10" ht="23.4" customHeight="1">
      <c r="A23" s="100">
        <v>77</v>
      </c>
      <c r="B23" s="101" t="s">
        <v>47</v>
      </c>
      <c r="C23" s="102" t="s">
        <v>48</v>
      </c>
      <c r="D23" s="102" t="s">
        <v>58</v>
      </c>
      <c r="E23" s="103">
        <v>2</v>
      </c>
      <c r="F23" s="102" t="s">
        <v>197</v>
      </c>
      <c r="G23" s="102" t="s">
        <v>14</v>
      </c>
      <c r="H23" s="104" t="s">
        <v>7</v>
      </c>
      <c r="I23" s="105">
        <v>30.6</v>
      </c>
      <c r="J23" s="106" t="s">
        <v>334</v>
      </c>
    </row>
    <row r="24" spans="1:10" ht="23.4" customHeight="1">
      <c r="A24" s="109">
        <v>100</v>
      </c>
      <c r="B24" s="101" t="s">
        <v>47</v>
      </c>
      <c r="C24" s="102" t="s">
        <v>48</v>
      </c>
      <c r="D24" s="102" t="s">
        <v>58</v>
      </c>
      <c r="E24" s="103">
        <v>2</v>
      </c>
      <c r="F24" s="102" t="s">
        <v>201</v>
      </c>
      <c r="G24" s="102" t="s">
        <v>14</v>
      </c>
      <c r="H24" s="110" t="s">
        <v>7</v>
      </c>
      <c r="I24" s="105">
        <v>6.5</v>
      </c>
      <c r="J24" s="106" t="s">
        <v>334</v>
      </c>
    </row>
    <row r="25" spans="1:10" ht="23.4" customHeight="1">
      <c r="A25" s="100">
        <v>79</v>
      </c>
      <c r="B25" s="101" t="s">
        <v>47</v>
      </c>
      <c r="C25" s="102" t="s">
        <v>48</v>
      </c>
      <c r="D25" s="102" t="s">
        <v>58</v>
      </c>
      <c r="E25" s="103">
        <v>2</v>
      </c>
      <c r="F25" s="102" t="s">
        <v>204</v>
      </c>
      <c r="G25" s="102" t="s">
        <v>14</v>
      </c>
      <c r="H25" s="104" t="s">
        <v>7</v>
      </c>
      <c r="I25" s="105">
        <v>30.6</v>
      </c>
      <c r="J25" s="106" t="s">
        <v>334</v>
      </c>
    </row>
    <row r="26" spans="1:10" ht="23.4" customHeight="1">
      <c r="A26" s="100">
        <v>107</v>
      </c>
      <c r="B26" s="101" t="s">
        <v>47</v>
      </c>
      <c r="C26" s="102" t="s">
        <v>48</v>
      </c>
      <c r="D26" s="102" t="s">
        <v>58</v>
      </c>
      <c r="E26" s="103">
        <v>2</v>
      </c>
      <c r="F26" s="102" t="s">
        <v>210</v>
      </c>
      <c r="G26" s="102" t="s">
        <v>14</v>
      </c>
      <c r="H26" s="104" t="s">
        <v>7</v>
      </c>
      <c r="I26" s="105">
        <v>5</v>
      </c>
      <c r="J26" s="106" t="s">
        <v>334</v>
      </c>
    </row>
    <row r="27" spans="1:10" ht="23.4" customHeight="1">
      <c r="A27" s="100">
        <v>106</v>
      </c>
      <c r="B27" s="101" t="s">
        <v>47</v>
      </c>
      <c r="C27" s="102" t="s">
        <v>48</v>
      </c>
      <c r="D27" s="102" t="s">
        <v>58</v>
      </c>
      <c r="E27" s="103">
        <v>2</v>
      </c>
      <c r="F27" s="102" t="s">
        <v>211</v>
      </c>
      <c r="G27" s="102" t="s">
        <v>14</v>
      </c>
      <c r="H27" s="104" t="s">
        <v>7</v>
      </c>
      <c r="I27" s="105">
        <v>6</v>
      </c>
      <c r="J27" s="106" t="s">
        <v>334</v>
      </c>
    </row>
    <row r="28" spans="1:10" ht="23.4" customHeight="1">
      <c r="A28" s="100">
        <v>105</v>
      </c>
      <c r="B28" s="101" t="s">
        <v>47</v>
      </c>
      <c r="C28" s="102" t="s">
        <v>48</v>
      </c>
      <c r="D28" s="102" t="s">
        <v>58</v>
      </c>
      <c r="E28" s="103">
        <v>2</v>
      </c>
      <c r="F28" s="102" t="s">
        <v>213</v>
      </c>
      <c r="G28" s="102" t="s">
        <v>14</v>
      </c>
      <c r="H28" s="104" t="s">
        <v>7</v>
      </c>
      <c r="I28" s="105">
        <v>5.8</v>
      </c>
      <c r="J28" s="106" t="s">
        <v>334</v>
      </c>
    </row>
    <row r="29" spans="1:10" ht="23.4" customHeight="1">
      <c r="A29" s="100">
        <v>118</v>
      </c>
      <c r="B29" s="101" t="s">
        <v>47</v>
      </c>
      <c r="C29" s="102" t="s">
        <v>48</v>
      </c>
      <c r="D29" s="102" t="s">
        <v>58</v>
      </c>
      <c r="E29" s="103">
        <v>3</v>
      </c>
      <c r="F29" s="102" t="s">
        <v>240</v>
      </c>
      <c r="G29" s="102" t="s">
        <v>14</v>
      </c>
      <c r="H29" s="104" t="s">
        <v>7</v>
      </c>
      <c r="I29" s="105">
        <v>6.7</v>
      </c>
      <c r="J29" s="106" t="s">
        <v>334</v>
      </c>
    </row>
    <row r="30" spans="1:10" ht="23.4" customHeight="1">
      <c r="A30" s="100">
        <v>120</v>
      </c>
      <c r="B30" s="101" t="s">
        <v>47</v>
      </c>
      <c r="C30" s="102" t="s">
        <v>48</v>
      </c>
      <c r="D30" s="102" t="s">
        <v>58</v>
      </c>
      <c r="E30" s="103">
        <v>3</v>
      </c>
      <c r="F30" s="102" t="s">
        <v>247</v>
      </c>
      <c r="G30" s="102" t="s">
        <v>14</v>
      </c>
      <c r="H30" s="104" t="s">
        <v>7</v>
      </c>
      <c r="I30" s="105">
        <v>6.7</v>
      </c>
      <c r="J30" s="106" t="s">
        <v>334</v>
      </c>
    </row>
    <row r="31" spans="1:10" ht="23.4" customHeight="1">
      <c r="A31" s="100">
        <v>109</v>
      </c>
      <c r="B31" s="101" t="s">
        <v>47</v>
      </c>
      <c r="C31" s="102" t="s">
        <v>48</v>
      </c>
      <c r="D31" s="102" t="s">
        <v>58</v>
      </c>
      <c r="E31" s="103">
        <v>3</v>
      </c>
      <c r="F31" s="102" t="s">
        <v>248</v>
      </c>
      <c r="G31" s="102" t="s">
        <v>14</v>
      </c>
      <c r="H31" s="104" t="s">
        <v>7</v>
      </c>
      <c r="I31" s="105">
        <v>30.6</v>
      </c>
      <c r="J31" s="106" t="s">
        <v>334</v>
      </c>
    </row>
    <row r="32" spans="1:10" ht="23.4" customHeight="1">
      <c r="A32" s="100">
        <v>111</v>
      </c>
      <c r="B32" s="101" t="s">
        <v>47</v>
      </c>
      <c r="C32" s="102" t="s">
        <v>48</v>
      </c>
      <c r="D32" s="102" t="s">
        <v>58</v>
      </c>
      <c r="E32" s="103">
        <v>3</v>
      </c>
      <c r="F32" s="102" t="s">
        <v>250</v>
      </c>
      <c r="G32" s="102" t="s">
        <v>14</v>
      </c>
      <c r="H32" s="104" t="s">
        <v>7</v>
      </c>
      <c r="I32" s="105">
        <v>5.74</v>
      </c>
      <c r="J32" s="106" t="s">
        <v>334</v>
      </c>
    </row>
    <row r="33" spans="1:10" ht="23.4" customHeight="1">
      <c r="A33" s="100">
        <v>112</v>
      </c>
      <c r="B33" s="101" t="s">
        <v>47</v>
      </c>
      <c r="C33" s="102" t="s">
        <v>48</v>
      </c>
      <c r="D33" s="102" t="s">
        <v>58</v>
      </c>
      <c r="E33" s="103">
        <v>3</v>
      </c>
      <c r="F33" s="102" t="s">
        <v>251</v>
      </c>
      <c r="G33" s="102" t="s">
        <v>14</v>
      </c>
      <c r="H33" s="104" t="s">
        <v>7</v>
      </c>
      <c r="I33" s="105">
        <v>5.8</v>
      </c>
      <c r="J33" s="106" t="s">
        <v>334</v>
      </c>
    </row>
    <row r="34" spans="1:10" ht="23.4" customHeight="1">
      <c r="A34" s="100">
        <v>113</v>
      </c>
      <c r="B34" s="101" t="s">
        <v>47</v>
      </c>
      <c r="C34" s="102"/>
      <c r="D34" s="102" t="s">
        <v>58</v>
      </c>
      <c r="E34" s="103">
        <v>3</v>
      </c>
      <c r="F34" s="102" t="s">
        <v>253</v>
      </c>
      <c r="G34" s="102" t="s">
        <v>14</v>
      </c>
      <c r="H34" s="104" t="s">
        <v>7</v>
      </c>
      <c r="I34" s="105">
        <v>5.74</v>
      </c>
      <c r="J34" s="106" t="s">
        <v>334</v>
      </c>
    </row>
    <row r="35" spans="1:10" ht="23.4" customHeight="1">
      <c r="A35" s="111">
        <v>114</v>
      </c>
      <c r="B35" s="112" t="s">
        <v>47</v>
      </c>
      <c r="C35" s="113"/>
      <c r="D35" s="113" t="s">
        <v>58</v>
      </c>
      <c r="E35" s="114">
        <v>3</v>
      </c>
      <c r="F35" s="113" t="s">
        <v>254</v>
      </c>
      <c r="G35" s="113" t="s">
        <v>14</v>
      </c>
      <c r="H35" s="115" t="s">
        <v>7</v>
      </c>
      <c r="I35" s="116">
        <v>6.2</v>
      </c>
      <c r="J35" s="106" t="s">
        <v>334</v>
      </c>
    </row>
    <row r="36" spans="1:10" ht="23.4" customHeight="1">
      <c r="B36" s="117" t="s">
        <v>320</v>
      </c>
      <c r="C36" s="117"/>
      <c r="D36" s="117"/>
      <c r="E36" s="117"/>
      <c r="F36" s="117"/>
      <c r="G36" s="117"/>
      <c r="H36" s="117"/>
      <c r="I36" s="117">
        <f>SUM(I2:I35)</f>
        <v>695.68000000000018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'Всплываюшиеся списки'!$D$3:$D$7</xm:f>
          </x14:formula1>
          <xm:sqref>E2:E35</xm:sqref>
        </x14:dataValidation>
        <x14:dataValidation type="list" allowBlank="1" showInputMessage="1" showErrorMessage="1">
          <x14:formula1>
            <xm:f>'Всплываюшиеся списки'!$C$3:$C$7</xm:f>
          </x14:formula1>
          <xm:sqref>D2:D35</xm:sqref>
        </x14:dataValidation>
        <x14:dataValidation type="list" allowBlank="1" showInputMessage="1" showErrorMessage="1">
          <x14:formula1>
            <xm:f>'Всплываюшиеся списки'!$B$3:$B$4</xm:f>
          </x14:formula1>
          <xm:sqref>C32:C33 C2:C19</xm:sqref>
        </x14:dataValidation>
        <x14:dataValidation type="list" allowBlank="1" showInputMessage="1" showErrorMessage="1">
          <x14:formula1>
            <xm:f>'Всплываюшиеся списки'!$F$3:$F$11</xm:f>
          </x14:formula1>
          <xm:sqref>B2:B35</xm:sqref>
        </x14:dataValidation>
        <x14:dataValidation type="list" allowBlank="1" showInputMessage="1" showErrorMessage="1">
          <x14:formula1>
            <xm:f>Расценки!$B$3:$B$31</xm:f>
          </x14:formula1>
          <xm:sqref>G2:G35</xm:sqref>
        </x14:dataValidation>
        <x14:dataValidation type="list" allowBlank="1" showInputMessage="1" showErrorMessage="1">
          <x14:formula1>
            <xm:f>'Всплываюшиеся списки'!$E$3:$E$187</xm:f>
          </x14:formula1>
          <xm:sqref>F2:F35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FF"/>
  </sheetPr>
  <dimension ref="A1:W65"/>
  <sheetViews>
    <sheetView tabSelected="1" topLeftCell="E1" zoomScaleNormal="100" zoomScaleSheetLayoutView="10" workbookViewId="0">
      <selection activeCell="K54" sqref="K54"/>
    </sheetView>
  </sheetViews>
  <sheetFormatPr defaultRowHeight="14.4"/>
  <cols>
    <col min="1" max="1" width="8.88671875" hidden="1" customWidth="1"/>
    <col min="2" max="2" width="26.109375" hidden="1" customWidth="1"/>
    <col min="3" max="3" width="19.77734375" hidden="1" customWidth="1"/>
    <col min="4" max="4" width="14.5546875" hidden="1" customWidth="1"/>
    <col min="5" max="5" width="8.21875" customWidth="1"/>
    <col min="6" max="6" width="38.109375" customWidth="1"/>
    <col min="7" max="7" width="52.21875" hidden="1" customWidth="1"/>
    <col min="8" max="8" width="11.33203125" customWidth="1"/>
    <col min="9" max="9" width="8.88671875" style="121"/>
    <col min="10" max="10" width="14.33203125" customWidth="1"/>
    <col min="14" max="14" width="12.44140625" customWidth="1"/>
    <col min="15" max="15" width="12.21875" customWidth="1"/>
  </cols>
  <sheetData>
    <row r="1" spans="1:23" s="128" customFormat="1" ht="33.6" customHeight="1">
      <c r="A1" s="128" t="s">
        <v>321</v>
      </c>
      <c r="B1" s="128" t="s">
        <v>322</v>
      </c>
      <c r="C1" s="128" t="s">
        <v>323</v>
      </c>
      <c r="D1" s="128" t="s">
        <v>324</v>
      </c>
      <c r="E1" s="131" t="s">
        <v>40</v>
      </c>
      <c r="F1" s="131" t="s">
        <v>343</v>
      </c>
      <c r="G1" s="131" t="s">
        <v>327</v>
      </c>
      <c r="H1" s="131" t="s">
        <v>328</v>
      </c>
      <c r="I1" s="131" t="s">
        <v>342</v>
      </c>
      <c r="J1" s="131" t="s">
        <v>338</v>
      </c>
      <c r="K1" s="68" t="s">
        <v>346</v>
      </c>
      <c r="L1" s="131" t="s">
        <v>344</v>
      </c>
      <c r="M1" s="68" t="s">
        <v>345</v>
      </c>
      <c r="N1" s="131" t="s">
        <v>46</v>
      </c>
    </row>
    <row r="2" spans="1:23" ht="18.600000000000001" customHeight="1">
      <c r="A2" s="123">
        <v>17</v>
      </c>
      <c r="B2" s="127" t="s">
        <v>47</v>
      </c>
      <c r="C2" s="123" t="s">
        <v>48</v>
      </c>
      <c r="D2" s="130" t="s">
        <v>49</v>
      </c>
      <c r="E2" s="123">
        <v>1</v>
      </c>
      <c r="F2" s="141" t="s">
        <v>85</v>
      </c>
      <c r="G2" s="123" t="s">
        <v>15</v>
      </c>
      <c r="H2" s="123" t="s">
        <v>7</v>
      </c>
      <c r="I2" s="126" t="s">
        <v>331</v>
      </c>
      <c r="J2" s="124">
        <v>20</v>
      </c>
      <c r="K2" s="126">
        <f>8.8*1.8</f>
        <v>15.840000000000002</v>
      </c>
      <c r="L2" s="134">
        <f>Таблица1[[#This Row],[Муса]]-Таблица1[РД 
(Автокад)]</f>
        <v>4.1599999999999984</v>
      </c>
      <c r="M2" s="126">
        <v>15.84</v>
      </c>
      <c r="N2" s="126"/>
    </row>
    <row r="3" spans="1:23" ht="18.600000000000001" customHeight="1">
      <c r="A3" s="123">
        <v>69</v>
      </c>
      <c r="B3" s="127" t="s">
        <v>47</v>
      </c>
      <c r="C3" s="123" t="s">
        <v>48</v>
      </c>
      <c r="D3" s="130" t="s">
        <v>49</v>
      </c>
      <c r="E3" s="123">
        <v>1</v>
      </c>
      <c r="F3" s="141" t="s">
        <v>85</v>
      </c>
      <c r="G3" s="123" t="s">
        <v>15</v>
      </c>
      <c r="H3" s="123" t="s">
        <v>7</v>
      </c>
      <c r="I3" s="126" t="s">
        <v>331</v>
      </c>
      <c r="J3" s="124">
        <v>6</v>
      </c>
      <c r="K3" s="126"/>
      <c r="L3" s="126">
        <f>Таблица1[[#This Row],[Муса]]-Таблица1[РД 
(Автокад)]</f>
        <v>6</v>
      </c>
      <c r="M3" s="126">
        <v>0</v>
      </c>
      <c r="N3" s="126" t="s">
        <v>352</v>
      </c>
    </row>
    <row r="4" spans="1:23" ht="18.600000000000001" customHeight="1">
      <c r="A4" s="123">
        <v>1</v>
      </c>
      <c r="B4" s="127" t="s">
        <v>47</v>
      </c>
      <c r="C4" s="123" t="s">
        <v>48</v>
      </c>
      <c r="D4" s="130" t="s">
        <v>49</v>
      </c>
      <c r="E4" s="123">
        <v>1</v>
      </c>
      <c r="F4" s="141" t="s">
        <v>92</v>
      </c>
      <c r="G4" s="123" t="s">
        <v>15</v>
      </c>
      <c r="H4" s="123" t="s">
        <v>7</v>
      </c>
      <c r="I4" s="123" t="s">
        <v>332</v>
      </c>
      <c r="J4" s="124">
        <v>15.6</v>
      </c>
      <c r="K4" s="123">
        <v>15.6</v>
      </c>
      <c r="L4" s="126">
        <f>Таблица1[[#This Row],[Муса]]-Таблица1[РД 
(Автокад)]</f>
        <v>0</v>
      </c>
      <c r="M4" s="123">
        <v>15.6</v>
      </c>
      <c r="N4" s="123"/>
      <c r="O4" s="3"/>
      <c r="P4" s="3"/>
      <c r="Q4" s="3"/>
      <c r="R4" s="3"/>
      <c r="S4" s="3"/>
      <c r="T4" s="3"/>
      <c r="U4" s="3"/>
      <c r="V4" s="3"/>
      <c r="W4" s="3"/>
    </row>
    <row r="5" spans="1:23" ht="18.600000000000001" customHeight="1">
      <c r="A5" s="123">
        <v>106</v>
      </c>
      <c r="B5" s="127" t="s">
        <v>47</v>
      </c>
      <c r="C5" s="123" t="s">
        <v>48</v>
      </c>
      <c r="D5" s="130" t="s">
        <v>49</v>
      </c>
      <c r="E5" s="123">
        <v>1</v>
      </c>
      <c r="F5" s="141" t="s">
        <v>96</v>
      </c>
      <c r="G5" s="123" t="s">
        <v>15</v>
      </c>
      <c r="H5" s="123" t="s">
        <v>7</v>
      </c>
      <c r="I5" s="126" t="s">
        <v>339</v>
      </c>
      <c r="J5" s="124">
        <v>56</v>
      </c>
      <c r="K5" s="123">
        <f>(8.6+6.4)*4</f>
        <v>60</v>
      </c>
      <c r="L5" s="132">
        <f>Таблица1[[#This Row],[Муса]]-Таблица1[РД 
(Автокад)]</f>
        <v>-4</v>
      </c>
      <c r="M5" s="123">
        <v>56</v>
      </c>
      <c r="N5" s="123"/>
      <c r="O5" s="3"/>
      <c r="P5" s="3"/>
      <c r="Q5" s="3"/>
      <c r="R5" s="3"/>
      <c r="S5" s="3"/>
      <c r="T5" s="3"/>
      <c r="U5" s="3"/>
      <c r="V5" s="3"/>
      <c r="W5" s="3"/>
    </row>
    <row r="6" spans="1:23" ht="18.600000000000001" customHeight="1">
      <c r="A6" s="123">
        <v>107</v>
      </c>
      <c r="B6" s="127" t="s">
        <v>47</v>
      </c>
      <c r="C6" s="123" t="s">
        <v>48</v>
      </c>
      <c r="D6" s="130" t="s">
        <v>49</v>
      </c>
      <c r="E6" s="123">
        <v>1</v>
      </c>
      <c r="F6" s="141" t="s">
        <v>97</v>
      </c>
      <c r="G6" s="123" t="s">
        <v>15</v>
      </c>
      <c r="H6" s="123" t="s">
        <v>7</v>
      </c>
      <c r="I6" s="126" t="s">
        <v>339</v>
      </c>
      <c r="J6" s="124">
        <v>53.6</v>
      </c>
      <c r="K6" s="123">
        <f>(5.4+8.4)*4</f>
        <v>55.2</v>
      </c>
      <c r="L6" s="133">
        <f>Таблица1[[#This Row],[Муса]]-Таблица1[РД 
(Автокад)]</f>
        <v>-1.6000000000000014</v>
      </c>
      <c r="M6" s="123">
        <v>53.6</v>
      </c>
      <c r="N6" s="123"/>
      <c r="O6" s="3"/>
      <c r="P6" s="3"/>
      <c r="Q6" s="3"/>
      <c r="R6" s="3"/>
      <c r="S6" s="3"/>
      <c r="T6" s="3"/>
      <c r="U6" s="3"/>
      <c r="V6" s="3"/>
      <c r="W6" s="3"/>
    </row>
    <row r="7" spans="1:23" ht="28.8">
      <c r="A7" s="123">
        <v>65</v>
      </c>
      <c r="B7" s="127" t="s">
        <v>47</v>
      </c>
      <c r="C7" s="123" t="s">
        <v>48</v>
      </c>
      <c r="D7" s="130" t="s">
        <v>49</v>
      </c>
      <c r="E7" s="123">
        <v>1</v>
      </c>
      <c r="F7" s="141" t="s">
        <v>100</v>
      </c>
      <c r="G7" s="123" t="s">
        <v>15</v>
      </c>
      <c r="H7" s="123" t="s">
        <v>7</v>
      </c>
      <c r="I7" s="126" t="s">
        <v>339</v>
      </c>
      <c r="J7" s="124">
        <v>39</v>
      </c>
      <c r="K7" s="123">
        <v>42</v>
      </c>
      <c r="L7" s="132">
        <f>Таблица1[[#This Row],[Муса]]-Таблица1[РД 
(Автокад)]</f>
        <v>-3</v>
      </c>
      <c r="M7" s="123">
        <v>39</v>
      </c>
      <c r="N7" s="123"/>
      <c r="O7" s="3"/>
      <c r="P7" s="3"/>
      <c r="Q7" s="3"/>
      <c r="R7" s="3"/>
      <c r="S7" s="3"/>
      <c r="T7" s="3"/>
      <c r="U7" s="3"/>
      <c r="V7" s="3"/>
      <c r="W7" s="3"/>
    </row>
    <row r="8" spans="1:23" ht="16.2" customHeight="1">
      <c r="A8" s="123">
        <v>16</v>
      </c>
      <c r="B8" s="127" t="s">
        <v>47</v>
      </c>
      <c r="C8" s="123" t="s">
        <v>48</v>
      </c>
      <c r="D8" s="130" t="s">
        <v>49</v>
      </c>
      <c r="E8" s="123">
        <v>1</v>
      </c>
      <c r="F8" s="141" t="s">
        <v>102</v>
      </c>
      <c r="G8" s="123" t="s">
        <v>15</v>
      </c>
      <c r="H8" s="123" t="s">
        <v>7</v>
      </c>
      <c r="I8" s="126" t="s">
        <v>339</v>
      </c>
      <c r="J8" s="124">
        <v>59</v>
      </c>
      <c r="K8" s="126">
        <f>10.5*4</f>
        <v>42</v>
      </c>
      <c r="L8" s="134">
        <f>Таблица1[[#This Row],[Муса]]-Таблица1[РД 
(Автокад)]</f>
        <v>17</v>
      </c>
      <c r="M8" s="126">
        <v>42</v>
      </c>
      <c r="N8" s="126"/>
    </row>
    <row r="9" spans="1:23" ht="16.2" customHeight="1">
      <c r="A9" s="123">
        <v>73</v>
      </c>
      <c r="B9" s="127" t="s">
        <v>47</v>
      </c>
      <c r="C9" s="123" t="s">
        <v>48</v>
      </c>
      <c r="D9" s="130" t="s">
        <v>49</v>
      </c>
      <c r="E9" s="123">
        <v>1</v>
      </c>
      <c r="F9" s="141" t="s">
        <v>116</v>
      </c>
      <c r="G9" s="123" t="s">
        <v>15</v>
      </c>
      <c r="H9" s="123" t="s">
        <v>7</v>
      </c>
      <c r="I9" s="126" t="s">
        <v>340</v>
      </c>
      <c r="J9" s="124">
        <v>18.5</v>
      </c>
      <c r="K9" s="126">
        <v>19.5</v>
      </c>
      <c r="L9" s="137">
        <f>Таблица1[[#This Row],[Муса]]-Таблица1[РД 
(Автокад)]</f>
        <v>-1</v>
      </c>
      <c r="M9" s="126">
        <v>18.5</v>
      </c>
      <c r="N9" s="126"/>
    </row>
    <row r="10" spans="1:23" ht="16.2" customHeight="1">
      <c r="A10" s="123">
        <v>75</v>
      </c>
      <c r="B10" s="127" t="s">
        <v>47</v>
      </c>
      <c r="C10" s="123" t="s">
        <v>48</v>
      </c>
      <c r="D10" s="130" t="s">
        <v>49</v>
      </c>
      <c r="E10" s="123">
        <v>1</v>
      </c>
      <c r="F10" s="141" t="s">
        <v>117</v>
      </c>
      <c r="G10" s="123" t="s">
        <v>15</v>
      </c>
      <c r="H10" s="123" t="s">
        <v>7</v>
      </c>
      <c r="I10" s="126" t="s">
        <v>340</v>
      </c>
      <c r="J10" s="124">
        <v>30</v>
      </c>
      <c r="K10" s="126">
        <v>38.799999999999997</v>
      </c>
      <c r="L10" s="132">
        <f>Таблица1[[#This Row],[Муса]]-Таблица1[РД 
(Автокад)]</f>
        <v>-8.7999999999999972</v>
      </c>
      <c r="M10" s="126">
        <v>30</v>
      </c>
      <c r="N10" s="126"/>
    </row>
    <row r="11" spans="1:23">
      <c r="A11" s="123">
        <v>75</v>
      </c>
      <c r="B11" s="127"/>
      <c r="C11" s="123"/>
      <c r="D11" s="130"/>
      <c r="E11" s="123">
        <v>1</v>
      </c>
      <c r="F11" s="141" t="s">
        <v>117</v>
      </c>
      <c r="G11" s="123"/>
      <c r="H11" s="123"/>
      <c r="I11" s="126" t="s">
        <v>339</v>
      </c>
      <c r="J11" s="124"/>
      <c r="K11" s="126">
        <v>8.8000000000000007</v>
      </c>
      <c r="L11" s="132">
        <f>Таблица1[[#This Row],[Муса]]-Таблица1[РД 
(Автокад)]</f>
        <v>-8.8000000000000007</v>
      </c>
      <c r="M11" s="126">
        <v>0</v>
      </c>
      <c r="N11" s="126"/>
    </row>
    <row r="12" spans="1:23" ht="28.8">
      <c r="A12" s="123">
        <v>1</v>
      </c>
      <c r="B12" s="127" t="s">
        <v>47</v>
      </c>
      <c r="C12" s="123" t="s">
        <v>48</v>
      </c>
      <c r="D12" s="130" t="s">
        <v>49</v>
      </c>
      <c r="E12" s="123">
        <v>1</v>
      </c>
      <c r="F12" s="141" t="s">
        <v>141</v>
      </c>
      <c r="G12" s="123" t="s">
        <v>15</v>
      </c>
      <c r="H12" s="123" t="s">
        <v>7</v>
      </c>
      <c r="I12" s="126" t="s">
        <v>333</v>
      </c>
      <c r="J12" s="124">
        <v>13</v>
      </c>
      <c r="K12" s="126">
        <v>15.48</v>
      </c>
      <c r="L12" s="133">
        <f>Таблица1[[#This Row],[Муса]]-Таблица1[РД 
(Автокад)]</f>
        <v>-2.4800000000000004</v>
      </c>
      <c r="M12" s="126">
        <v>13</v>
      </c>
      <c r="N12" s="126"/>
    </row>
    <row r="13" spans="1:23" ht="18" customHeight="1">
      <c r="A13" s="123">
        <v>97</v>
      </c>
      <c r="B13" s="127" t="s">
        <v>47</v>
      </c>
      <c r="C13" s="123" t="s">
        <v>48</v>
      </c>
      <c r="D13" s="130" t="s">
        <v>49</v>
      </c>
      <c r="E13" s="123">
        <v>1</v>
      </c>
      <c r="F13" s="141" t="s">
        <v>144</v>
      </c>
      <c r="G13" s="123" t="s">
        <v>15</v>
      </c>
      <c r="H13" s="123" t="s">
        <v>7</v>
      </c>
      <c r="I13" s="126" t="s">
        <v>340</v>
      </c>
      <c r="J13" s="124">
        <v>9.5</v>
      </c>
      <c r="K13" s="126">
        <f>(3.7+5.1)*1.8</f>
        <v>15.840000000000002</v>
      </c>
      <c r="L13" s="132">
        <f>Таблица1[[#This Row],[Муса]]-Таблица1[РД 
(Автокад)]</f>
        <v>-6.3400000000000016</v>
      </c>
      <c r="M13" s="126">
        <v>9.5</v>
      </c>
      <c r="N13" s="126"/>
    </row>
    <row r="14" spans="1:23" ht="15" customHeight="1">
      <c r="A14" s="123">
        <v>1</v>
      </c>
      <c r="B14" s="127" t="s">
        <v>47</v>
      </c>
      <c r="C14" s="123" t="s">
        <v>48</v>
      </c>
      <c r="D14" s="130" t="s">
        <v>49</v>
      </c>
      <c r="E14" s="123">
        <v>1</v>
      </c>
      <c r="F14" s="141" t="s">
        <v>145</v>
      </c>
      <c r="G14" s="123" t="s">
        <v>15</v>
      </c>
      <c r="H14" s="123" t="s">
        <v>7</v>
      </c>
      <c r="I14" s="126" t="s">
        <v>333</v>
      </c>
      <c r="J14" s="124">
        <v>37.200000000000003</v>
      </c>
      <c r="K14" s="126">
        <f>21.5*1.8</f>
        <v>38.700000000000003</v>
      </c>
      <c r="L14" s="133">
        <f>Таблица1[[#This Row],[Муса]]-Таблица1[РД 
(Автокад)]</f>
        <v>-1.5</v>
      </c>
      <c r="M14" s="126">
        <v>37.200000000000003</v>
      </c>
      <c r="N14" s="126"/>
    </row>
    <row r="15" spans="1:23" ht="22.8" customHeight="1">
      <c r="A15" s="123">
        <v>99</v>
      </c>
      <c r="B15" s="127" t="s">
        <v>47</v>
      </c>
      <c r="C15" s="123" t="s">
        <v>48</v>
      </c>
      <c r="D15" s="130" t="s">
        <v>49</v>
      </c>
      <c r="E15" s="123">
        <v>1</v>
      </c>
      <c r="F15" s="141" t="s">
        <v>150</v>
      </c>
      <c r="G15" s="123" t="s">
        <v>15</v>
      </c>
      <c r="H15" s="123" t="s">
        <v>7</v>
      </c>
      <c r="I15" s="126" t="s">
        <v>340</v>
      </c>
      <c r="J15" s="124">
        <v>9.5</v>
      </c>
      <c r="K15" s="126">
        <f>(3.7+5.1)*1.8</f>
        <v>15.840000000000002</v>
      </c>
      <c r="L15" s="132">
        <f>Таблица1[[#This Row],[Муса]]-Таблица1[РД 
(Автокад)]</f>
        <v>-6.3400000000000016</v>
      </c>
      <c r="M15" s="126">
        <v>9.5</v>
      </c>
      <c r="N15" s="126"/>
    </row>
    <row r="16" spans="1:23" ht="16.2" customHeight="1">
      <c r="A16" s="123">
        <v>1</v>
      </c>
      <c r="B16" s="127" t="s">
        <v>47</v>
      </c>
      <c r="C16" s="123" t="s">
        <v>48</v>
      </c>
      <c r="D16" s="130" t="s">
        <v>49</v>
      </c>
      <c r="E16" s="123">
        <v>1</v>
      </c>
      <c r="F16" s="141" t="s">
        <v>151</v>
      </c>
      <c r="G16" s="123" t="s">
        <v>15</v>
      </c>
      <c r="H16" s="123" t="s">
        <v>7</v>
      </c>
      <c r="I16" s="126" t="s">
        <v>333</v>
      </c>
      <c r="J16" s="124">
        <v>37.200000000000003</v>
      </c>
      <c r="K16" s="126">
        <f>21.5*1.8</f>
        <v>38.700000000000003</v>
      </c>
      <c r="L16" s="133">
        <f>Таблица1[[#This Row],[Муса]]-Таблица1[РД 
(Автокад)]</f>
        <v>-1.5</v>
      </c>
      <c r="M16" s="126">
        <v>37.200000000000003</v>
      </c>
      <c r="N16" s="126"/>
    </row>
    <row r="17" spans="1:14" ht="23.4" customHeight="1">
      <c r="A17" s="123">
        <v>95</v>
      </c>
      <c r="B17" s="127" t="s">
        <v>47</v>
      </c>
      <c r="C17" s="123" t="s">
        <v>48</v>
      </c>
      <c r="D17" s="130" t="s">
        <v>49</v>
      </c>
      <c r="E17" s="123">
        <v>1</v>
      </c>
      <c r="F17" s="141" t="s">
        <v>154</v>
      </c>
      <c r="G17" s="123" t="s">
        <v>15</v>
      </c>
      <c r="H17" s="123" t="s">
        <v>7</v>
      </c>
      <c r="I17" s="126" t="s">
        <v>339</v>
      </c>
      <c r="J17" s="124">
        <v>37</v>
      </c>
      <c r="K17" s="126">
        <f>9.2*4</f>
        <v>36.799999999999997</v>
      </c>
      <c r="L17" s="133">
        <f>Таблица1[[#This Row],[Муса]]-Таблица1[РД 
(Автокад)]</f>
        <v>0.20000000000000284</v>
      </c>
      <c r="M17" s="126">
        <v>37</v>
      </c>
      <c r="N17" s="126"/>
    </row>
    <row r="18" spans="1:14" ht="28.8">
      <c r="A18" s="123">
        <v>67</v>
      </c>
      <c r="B18" s="127" t="s">
        <v>60</v>
      </c>
      <c r="C18" s="123" t="s">
        <v>48</v>
      </c>
      <c r="D18" s="130" t="s">
        <v>49</v>
      </c>
      <c r="E18" s="123">
        <v>1</v>
      </c>
      <c r="F18" s="141" t="s">
        <v>155</v>
      </c>
      <c r="G18" s="123" t="s">
        <v>15</v>
      </c>
      <c r="H18" s="123" t="s">
        <v>7</v>
      </c>
      <c r="I18" s="126" t="s">
        <v>333</v>
      </c>
      <c r="J18" s="124">
        <v>25</v>
      </c>
      <c r="K18" s="126">
        <f>5*4+4.1*1.8</f>
        <v>27.38</v>
      </c>
      <c r="L18" s="133">
        <f>Таблица1[[#This Row],[Муса]]-Таблица1[РД 
(Автокад)]</f>
        <v>-2.379999999999999</v>
      </c>
      <c r="M18" s="126">
        <v>25</v>
      </c>
      <c r="N18" s="126"/>
    </row>
    <row r="19" spans="1:14" ht="28.8">
      <c r="A19" s="123">
        <v>84</v>
      </c>
      <c r="B19" s="127" t="s">
        <v>47</v>
      </c>
      <c r="C19" s="123" t="s">
        <v>48</v>
      </c>
      <c r="D19" s="130" t="s">
        <v>49</v>
      </c>
      <c r="E19" s="123">
        <v>2</v>
      </c>
      <c r="F19" s="141" t="s">
        <v>167</v>
      </c>
      <c r="G19" s="123" t="s">
        <v>15</v>
      </c>
      <c r="H19" s="123" t="s">
        <v>7</v>
      </c>
      <c r="I19" s="126" t="s">
        <v>339</v>
      </c>
      <c r="J19" s="124">
        <v>29.5</v>
      </c>
      <c r="K19" s="126">
        <f>8.5*4</f>
        <v>34</v>
      </c>
      <c r="L19" s="132">
        <f>Таблица1[[#This Row],[Муса]]-Таблица1[РД 
(Автокад)]</f>
        <v>-4.5</v>
      </c>
      <c r="M19" s="126">
        <v>29.5</v>
      </c>
      <c r="N19" s="126"/>
    </row>
    <row r="20" spans="1:14" ht="28.8">
      <c r="A20" s="123">
        <v>85</v>
      </c>
      <c r="B20" s="127" t="s">
        <v>47</v>
      </c>
      <c r="C20" s="123" t="s">
        <v>48</v>
      </c>
      <c r="D20" s="130" t="s">
        <v>49</v>
      </c>
      <c r="E20" s="123">
        <v>2</v>
      </c>
      <c r="F20" s="141" t="s">
        <v>169</v>
      </c>
      <c r="G20" s="123" t="s">
        <v>15</v>
      </c>
      <c r="H20" s="123" t="s">
        <v>7</v>
      </c>
      <c r="I20" s="123" t="s">
        <v>332</v>
      </c>
      <c r="J20" s="124">
        <v>32</v>
      </c>
      <c r="K20" s="126">
        <f>12.3*1.8</f>
        <v>22.14</v>
      </c>
      <c r="L20" s="134">
        <f>Таблица1[[#This Row],[Муса]]-Таблица1[РД 
(Автокад)]</f>
        <v>9.86</v>
      </c>
      <c r="M20" s="126">
        <v>22.14</v>
      </c>
      <c r="N20" s="126"/>
    </row>
    <row r="21" spans="1:14" ht="16.8" customHeight="1">
      <c r="A21" s="123">
        <v>80</v>
      </c>
      <c r="B21" s="127" t="s">
        <v>47</v>
      </c>
      <c r="C21" s="123" t="s">
        <v>48</v>
      </c>
      <c r="D21" s="130" t="s">
        <v>49</v>
      </c>
      <c r="E21" s="123">
        <v>2</v>
      </c>
      <c r="F21" s="141" t="s">
        <v>172</v>
      </c>
      <c r="G21" s="123" t="s">
        <v>15</v>
      </c>
      <c r="H21" s="123" t="s">
        <v>7</v>
      </c>
      <c r="I21" s="123" t="s">
        <v>332</v>
      </c>
      <c r="J21" s="124">
        <v>28</v>
      </c>
      <c r="K21" s="126">
        <f>11.3*1.8</f>
        <v>20.340000000000003</v>
      </c>
      <c r="L21" s="134">
        <f>Таблица1[[#This Row],[Муса]]-Таблица1[РД 
(Автокад)]</f>
        <v>7.6599999999999966</v>
      </c>
      <c r="M21" s="126">
        <v>20.340000000000003</v>
      </c>
      <c r="N21" s="126"/>
    </row>
    <row r="22" spans="1:14" ht="18.600000000000001" customHeight="1">
      <c r="A22" s="123">
        <v>86</v>
      </c>
      <c r="B22" s="127" t="s">
        <v>47</v>
      </c>
      <c r="C22" s="123" t="s">
        <v>48</v>
      </c>
      <c r="D22" s="130" t="s">
        <v>49</v>
      </c>
      <c r="E22" s="123">
        <v>2</v>
      </c>
      <c r="F22" s="141" t="s">
        <v>176</v>
      </c>
      <c r="G22" s="123" t="s">
        <v>15</v>
      </c>
      <c r="H22" s="123" t="s">
        <v>7</v>
      </c>
      <c r="I22" s="126" t="s">
        <v>340</v>
      </c>
      <c r="J22" s="124">
        <v>80.2</v>
      </c>
      <c r="K22" s="126">
        <f>(20.7+2.1)*4</f>
        <v>91.2</v>
      </c>
      <c r="L22" s="132">
        <f>Таблица1[[#This Row],[Муса]]-Таблица1[РД 
(Автокад)]</f>
        <v>-11</v>
      </c>
      <c r="M22" s="126">
        <v>80.2</v>
      </c>
      <c r="N22" s="126"/>
    </row>
    <row r="23" spans="1:14" ht="28.8">
      <c r="A23" s="123">
        <v>1</v>
      </c>
      <c r="B23" s="127" t="s">
        <v>47</v>
      </c>
      <c r="C23" s="123" t="s">
        <v>48</v>
      </c>
      <c r="D23" s="130" t="s">
        <v>49</v>
      </c>
      <c r="E23" s="123">
        <v>2</v>
      </c>
      <c r="F23" s="141" t="s">
        <v>178</v>
      </c>
      <c r="G23" s="123" t="s">
        <v>15</v>
      </c>
      <c r="H23" s="123" t="s">
        <v>7</v>
      </c>
      <c r="I23" s="123" t="s">
        <v>332</v>
      </c>
      <c r="J23" s="124">
        <v>20</v>
      </c>
      <c r="K23" s="126">
        <f>1.8*4.8+6.4*4</f>
        <v>34.24</v>
      </c>
      <c r="L23" s="132">
        <f>Таблица1[[#This Row],[Муса]]-Таблица1[РД 
(Автокад)]</f>
        <v>-14.240000000000002</v>
      </c>
      <c r="M23" s="126">
        <v>20</v>
      </c>
      <c r="N23" s="126"/>
    </row>
    <row r="24" spans="1:14" ht="16.8" customHeight="1">
      <c r="A24" s="123">
        <v>1</v>
      </c>
      <c r="B24" s="127" t="s">
        <v>47</v>
      </c>
      <c r="C24" s="123" t="s">
        <v>48</v>
      </c>
      <c r="D24" s="130" t="s">
        <v>49</v>
      </c>
      <c r="E24" s="123">
        <v>2</v>
      </c>
      <c r="F24" s="141" t="s">
        <v>180</v>
      </c>
      <c r="G24" s="123" t="s">
        <v>15</v>
      </c>
      <c r="H24" s="123" t="s">
        <v>7</v>
      </c>
      <c r="I24" s="126" t="s">
        <v>333</v>
      </c>
      <c r="J24" s="124">
        <v>27.2</v>
      </c>
      <c r="K24" s="126">
        <f>8.5*4</f>
        <v>34</v>
      </c>
      <c r="L24" s="132">
        <f>Таблица1[[#This Row],[Муса]]-Таблица1[РД 
(Автокад)]</f>
        <v>-6.8000000000000007</v>
      </c>
      <c r="M24" s="126">
        <v>27.2</v>
      </c>
      <c r="N24" s="126"/>
    </row>
    <row r="25" spans="1:14" ht="16.8" customHeight="1">
      <c r="A25" s="123">
        <v>83</v>
      </c>
      <c r="B25" s="127" t="s">
        <v>47</v>
      </c>
      <c r="C25" s="123" t="s">
        <v>48</v>
      </c>
      <c r="D25" s="130" t="s">
        <v>49</v>
      </c>
      <c r="E25" s="123">
        <v>2</v>
      </c>
      <c r="F25" s="141" t="s">
        <v>180</v>
      </c>
      <c r="G25" s="123" t="s">
        <v>15</v>
      </c>
      <c r="H25" s="123" t="s">
        <v>7</v>
      </c>
      <c r="I25" s="126" t="s">
        <v>333</v>
      </c>
      <c r="J25" s="124">
        <v>4.8</v>
      </c>
      <c r="K25" s="126"/>
      <c r="L25" s="126">
        <f>Таблица1[[#This Row],[Муса]]-Таблица1[РД 
(Автокад)]</f>
        <v>4.8</v>
      </c>
      <c r="M25" s="126">
        <v>0</v>
      </c>
      <c r="N25" s="126" t="s">
        <v>352</v>
      </c>
    </row>
    <row r="26" spans="1:14" ht="16.8" customHeight="1">
      <c r="A26" s="123">
        <v>1</v>
      </c>
      <c r="B26" s="127" t="s">
        <v>47</v>
      </c>
      <c r="C26" s="123" t="s">
        <v>48</v>
      </c>
      <c r="D26" s="130" t="s">
        <v>49</v>
      </c>
      <c r="E26" s="123">
        <v>2</v>
      </c>
      <c r="F26" s="141" t="s">
        <v>181</v>
      </c>
      <c r="G26" s="123" t="s">
        <v>15</v>
      </c>
      <c r="H26" s="123" t="s">
        <v>7</v>
      </c>
      <c r="I26" s="126" t="s">
        <v>339</v>
      </c>
      <c r="J26" s="124">
        <v>47.3</v>
      </c>
      <c r="K26" s="126">
        <f>12.4*4</f>
        <v>49.6</v>
      </c>
      <c r="L26" s="133">
        <f>Таблица1[[#This Row],[Муса]]-Таблица1[РД 
(Автокад)]</f>
        <v>-2.3000000000000043</v>
      </c>
      <c r="M26" s="126">
        <v>47.3</v>
      </c>
      <c r="N26" s="126"/>
    </row>
    <row r="27" spans="1:14" ht="16.8" customHeight="1">
      <c r="A27" s="123">
        <v>108</v>
      </c>
      <c r="B27" s="127" t="s">
        <v>47</v>
      </c>
      <c r="C27" s="123" t="s">
        <v>48</v>
      </c>
      <c r="D27" s="130" t="s">
        <v>49</v>
      </c>
      <c r="E27" s="123">
        <v>2</v>
      </c>
      <c r="F27" s="141" t="s">
        <v>182</v>
      </c>
      <c r="G27" s="123" t="s">
        <v>15</v>
      </c>
      <c r="H27" s="123" t="s">
        <v>7</v>
      </c>
      <c r="I27" s="123" t="s">
        <v>332</v>
      </c>
      <c r="J27" s="124">
        <v>45.5</v>
      </c>
      <c r="K27" s="126">
        <f>20*1.8</f>
        <v>36</v>
      </c>
      <c r="L27" s="134">
        <f>Таблица1[[#This Row],[Муса]]-Таблица1[РД 
(Автокад)]</f>
        <v>9.5</v>
      </c>
      <c r="M27" s="126">
        <v>36</v>
      </c>
      <c r="N27" s="126"/>
    </row>
    <row r="28" spans="1:14" ht="16.8" customHeight="1">
      <c r="A28" s="123">
        <v>1</v>
      </c>
      <c r="B28" s="127" t="s">
        <v>47</v>
      </c>
      <c r="C28" s="123" t="s">
        <v>48</v>
      </c>
      <c r="D28" s="130" t="s">
        <v>49</v>
      </c>
      <c r="E28" s="123">
        <v>2</v>
      </c>
      <c r="F28" s="141" t="s">
        <v>183</v>
      </c>
      <c r="G28" s="123" t="s">
        <v>15</v>
      </c>
      <c r="H28" s="123" t="s">
        <v>7</v>
      </c>
      <c r="I28" s="123" t="s">
        <v>332</v>
      </c>
      <c r="J28" s="124">
        <v>19.2</v>
      </c>
      <c r="K28" s="126">
        <f>19.6*1.8</f>
        <v>35.28</v>
      </c>
      <c r="L28" s="132">
        <f>Таблица1[[#This Row],[Муса]]-Таблица1[РД 
(Автокад)]</f>
        <v>-16.080000000000002</v>
      </c>
      <c r="M28" s="126">
        <v>19.2</v>
      </c>
      <c r="N28" s="126"/>
    </row>
    <row r="29" spans="1:14" ht="16.8" customHeight="1">
      <c r="A29" s="123">
        <v>1</v>
      </c>
      <c r="B29" s="127" t="s">
        <v>47</v>
      </c>
      <c r="C29" s="123" t="s">
        <v>48</v>
      </c>
      <c r="D29" s="130" t="s">
        <v>49</v>
      </c>
      <c r="E29" s="123">
        <v>2</v>
      </c>
      <c r="F29" s="141" t="s">
        <v>187</v>
      </c>
      <c r="G29" s="123" t="s">
        <v>15</v>
      </c>
      <c r="H29" s="123" t="s">
        <v>7</v>
      </c>
      <c r="I29" s="126" t="s">
        <v>341</v>
      </c>
      <c r="J29" s="124">
        <v>15.6</v>
      </c>
      <c r="K29" s="126">
        <v>0</v>
      </c>
      <c r="L29" s="132">
        <f>Таблица1[[#This Row],[Муса]]-Таблица1[РД 
(Автокад)]</f>
        <v>15.6</v>
      </c>
      <c r="M29" s="126">
        <v>0</v>
      </c>
      <c r="N29" s="126" t="s">
        <v>341</v>
      </c>
    </row>
    <row r="30" spans="1:14" ht="16.8" customHeight="1">
      <c r="A30" s="123">
        <v>103</v>
      </c>
      <c r="B30" s="127" t="s">
        <v>47</v>
      </c>
      <c r="C30" s="123" t="s">
        <v>48</v>
      </c>
      <c r="D30" s="130" t="s">
        <v>49</v>
      </c>
      <c r="E30" s="123">
        <v>2</v>
      </c>
      <c r="F30" s="141" t="s">
        <v>196</v>
      </c>
      <c r="G30" s="123" t="s">
        <v>15</v>
      </c>
      <c r="H30" s="123" t="s">
        <v>7</v>
      </c>
      <c r="I30" s="126" t="s">
        <v>340</v>
      </c>
      <c r="J30" s="124">
        <v>15.2</v>
      </c>
      <c r="K30" s="126">
        <f>(3.7+5.1)*1.8</f>
        <v>15.840000000000002</v>
      </c>
      <c r="L30" s="133">
        <f>Таблица1[[#This Row],[Муса]]-Таблица1[РД 
(Автокад)]</f>
        <v>-0.64000000000000234</v>
      </c>
      <c r="M30" s="126">
        <v>15.2</v>
      </c>
      <c r="N30" s="126"/>
    </row>
    <row r="31" spans="1:14" ht="16.8" customHeight="1">
      <c r="A31" s="123">
        <v>78</v>
      </c>
      <c r="B31" s="127" t="s">
        <v>47</v>
      </c>
      <c r="C31" s="123" t="s">
        <v>48</v>
      </c>
      <c r="D31" s="130" t="s">
        <v>49</v>
      </c>
      <c r="E31" s="123">
        <v>2</v>
      </c>
      <c r="F31" s="141" t="s">
        <v>197</v>
      </c>
      <c r="G31" s="123" t="s">
        <v>15</v>
      </c>
      <c r="H31" s="123" t="s">
        <v>7</v>
      </c>
      <c r="I31" s="126" t="s">
        <v>333</v>
      </c>
      <c r="J31" s="124">
        <v>37.200000000000003</v>
      </c>
      <c r="K31" s="126">
        <f>21.5*1.8</f>
        <v>38.700000000000003</v>
      </c>
      <c r="L31" s="133">
        <f>Таблица1[[#This Row],[Муса]]-Таблица1[РД 
(Автокад)]</f>
        <v>-1.5</v>
      </c>
      <c r="M31" s="126">
        <v>37.200000000000003</v>
      </c>
      <c r="N31" s="126"/>
    </row>
    <row r="32" spans="1:14" s="32" customFormat="1" ht="16.8" customHeight="1">
      <c r="A32" s="123">
        <v>101</v>
      </c>
      <c r="B32" s="127" t="s">
        <v>47</v>
      </c>
      <c r="C32" s="123" t="s">
        <v>48</v>
      </c>
      <c r="D32" s="130" t="s">
        <v>49</v>
      </c>
      <c r="E32" s="123">
        <v>2</v>
      </c>
      <c r="F32" s="141" t="s">
        <v>201</v>
      </c>
      <c r="G32" s="123" t="s">
        <v>15</v>
      </c>
      <c r="H32" s="123" t="s">
        <v>7</v>
      </c>
      <c r="I32" s="126" t="s">
        <v>340</v>
      </c>
      <c r="J32" s="124">
        <v>15.2</v>
      </c>
      <c r="K32" s="126">
        <f>(3.7+5.1)*1.8</f>
        <v>15.840000000000002</v>
      </c>
      <c r="L32" s="133">
        <f>Таблица1[[#This Row],[Муса]]-Таблица1[РД 
(Автокад)]</f>
        <v>-0.64000000000000234</v>
      </c>
      <c r="M32" s="123">
        <v>15.2</v>
      </c>
      <c r="N32" s="123"/>
    </row>
    <row r="33" spans="1:15" s="32" customFormat="1" ht="16.8" customHeight="1">
      <c r="A33" s="123">
        <v>80</v>
      </c>
      <c r="B33" s="127" t="s">
        <v>47</v>
      </c>
      <c r="C33" s="123" t="s">
        <v>48</v>
      </c>
      <c r="D33" s="130" t="s">
        <v>49</v>
      </c>
      <c r="E33" s="123">
        <v>2</v>
      </c>
      <c r="F33" s="141" t="s">
        <v>204</v>
      </c>
      <c r="G33" s="123" t="s">
        <v>15</v>
      </c>
      <c r="H33" s="123" t="s">
        <v>7</v>
      </c>
      <c r="I33" s="126" t="s">
        <v>333</v>
      </c>
      <c r="J33" s="124">
        <v>37.200000000000003</v>
      </c>
      <c r="K33" s="126">
        <f>21.5*1.8</f>
        <v>38.700000000000003</v>
      </c>
      <c r="L33" s="133">
        <f>Таблица1[[#This Row],[Муса]]-Таблица1[РД 
(Автокад)]</f>
        <v>-1.5</v>
      </c>
      <c r="M33" s="123">
        <v>37.200000000000003</v>
      </c>
      <c r="N33" s="123"/>
    </row>
    <row r="34" spans="1:15" s="32" customFormat="1" ht="16.8" customHeight="1">
      <c r="A34" s="123">
        <v>104</v>
      </c>
      <c r="B34" s="127" t="s">
        <v>47</v>
      </c>
      <c r="C34" s="123" t="s">
        <v>48</v>
      </c>
      <c r="D34" s="130" t="s">
        <v>49</v>
      </c>
      <c r="E34" s="123">
        <v>2</v>
      </c>
      <c r="F34" s="141" t="s">
        <v>210</v>
      </c>
      <c r="G34" s="123" t="s">
        <v>15</v>
      </c>
      <c r="H34" s="123" t="s">
        <v>7</v>
      </c>
      <c r="I34" s="126" t="s">
        <v>339</v>
      </c>
      <c r="J34" s="124">
        <v>33</v>
      </c>
      <c r="K34" s="123">
        <f>9.3*4</f>
        <v>37.200000000000003</v>
      </c>
      <c r="L34" s="132">
        <f>Таблица1[[#This Row],[Муса]]-Таблица1[РД 
(Автокад)]</f>
        <v>-4.2000000000000028</v>
      </c>
      <c r="M34" s="123">
        <v>33</v>
      </c>
      <c r="N34" s="123"/>
    </row>
    <row r="35" spans="1:15" s="32" customFormat="1" ht="16.8" customHeight="1">
      <c r="A35" s="123">
        <v>81</v>
      </c>
      <c r="B35" s="127" t="s">
        <v>47</v>
      </c>
      <c r="C35" s="123" t="s">
        <v>48</v>
      </c>
      <c r="D35" s="130" t="s">
        <v>49</v>
      </c>
      <c r="E35" s="123">
        <v>3</v>
      </c>
      <c r="F35" s="141" t="s">
        <v>227</v>
      </c>
      <c r="G35" s="123" t="s">
        <v>15</v>
      </c>
      <c r="H35" s="123" t="s">
        <v>7</v>
      </c>
      <c r="I35" s="123" t="s">
        <v>332</v>
      </c>
      <c r="J35" s="124">
        <v>45.5</v>
      </c>
      <c r="K35" s="123">
        <v>36</v>
      </c>
      <c r="L35" s="134">
        <f>Таблица1[[#This Row],[Муса]]-Таблица1[РД 
(Автокад)]</f>
        <v>9.5</v>
      </c>
      <c r="M35" s="123">
        <v>36</v>
      </c>
      <c r="N35" s="123"/>
    </row>
    <row r="36" spans="1:15" ht="16.8" customHeight="1">
      <c r="A36" s="123">
        <v>82</v>
      </c>
      <c r="B36" s="127" t="s">
        <v>47</v>
      </c>
      <c r="C36" s="123" t="s">
        <v>48</v>
      </c>
      <c r="D36" s="130" t="s">
        <v>49</v>
      </c>
      <c r="E36" s="123">
        <v>3</v>
      </c>
      <c r="F36" s="141" t="s">
        <v>228</v>
      </c>
      <c r="G36" s="123" t="s">
        <v>15</v>
      </c>
      <c r="H36" s="123" t="s">
        <v>7</v>
      </c>
      <c r="I36" s="123" t="s">
        <v>332</v>
      </c>
      <c r="J36" s="124">
        <v>45.5</v>
      </c>
      <c r="K36" s="126">
        <f>19.6*1.8</f>
        <v>35.28</v>
      </c>
      <c r="L36" s="134">
        <f>Таблица1[[#This Row],[Муса]]-Таблица1[РД 
(Автокад)]</f>
        <v>10.219999999999999</v>
      </c>
      <c r="M36" s="126">
        <v>35.28</v>
      </c>
      <c r="N36" s="126"/>
    </row>
    <row r="37" spans="1:15" ht="16.8" customHeight="1">
      <c r="A37" s="123">
        <v>109</v>
      </c>
      <c r="B37" s="127" t="s">
        <v>47</v>
      </c>
      <c r="C37" s="123" t="s">
        <v>48</v>
      </c>
      <c r="D37" s="130" t="s">
        <v>49</v>
      </c>
      <c r="E37" s="123">
        <v>3</v>
      </c>
      <c r="F37" s="141" t="s">
        <v>231</v>
      </c>
      <c r="G37" s="123" t="s">
        <v>15</v>
      </c>
      <c r="H37" s="123" t="s">
        <v>7</v>
      </c>
      <c r="I37" s="126" t="s">
        <v>339</v>
      </c>
      <c r="J37" s="124">
        <v>58</v>
      </c>
      <c r="K37" s="126">
        <f>14.9*4</f>
        <v>59.6</v>
      </c>
      <c r="L37" s="133">
        <f>Таблица1[[#This Row],[Муса]]-Таблица1[РД 
(Автокад)]</f>
        <v>-1.6000000000000014</v>
      </c>
      <c r="M37" s="126">
        <v>58</v>
      </c>
      <c r="N37" s="126"/>
    </row>
    <row r="38" spans="1:15" ht="16.8" customHeight="1">
      <c r="A38" s="123">
        <v>119</v>
      </c>
      <c r="B38" s="127" t="s">
        <v>47</v>
      </c>
      <c r="C38" s="123" t="s">
        <v>48</v>
      </c>
      <c r="D38" s="130" t="s">
        <v>49</v>
      </c>
      <c r="E38" s="123">
        <v>3</v>
      </c>
      <c r="F38" s="141" t="s">
        <v>240</v>
      </c>
      <c r="G38" s="123" t="s">
        <v>15</v>
      </c>
      <c r="H38" s="123" t="s">
        <v>7</v>
      </c>
      <c r="I38" s="126" t="s">
        <v>340</v>
      </c>
      <c r="J38" s="124">
        <v>15</v>
      </c>
      <c r="K38" s="126">
        <f>(3.7+5.1)*1.8</f>
        <v>15.840000000000002</v>
      </c>
      <c r="L38" s="133">
        <f>Таблица1[[#This Row],[Муса]]-Таблица1[РД 
(Автокад)]</f>
        <v>-0.84000000000000163</v>
      </c>
      <c r="M38" s="126">
        <v>15</v>
      </c>
      <c r="N38" s="126"/>
    </row>
    <row r="39" spans="1:15" ht="16.8" customHeight="1">
      <c r="A39" s="123">
        <v>83</v>
      </c>
      <c r="B39" s="127" t="s">
        <v>47</v>
      </c>
      <c r="C39" s="123" t="s">
        <v>48</v>
      </c>
      <c r="D39" s="130" t="s">
        <v>49</v>
      </c>
      <c r="E39" s="123">
        <v>3</v>
      </c>
      <c r="F39" s="141" t="s">
        <v>243</v>
      </c>
      <c r="G39" s="123" t="s">
        <v>15</v>
      </c>
      <c r="H39" s="123" t="s">
        <v>7</v>
      </c>
      <c r="I39" s="126" t="s">
        <v>333</v>
      </c>
      <c r="J39" s="124">
        <v>47.8</v>
      </c>
      <c r="K39" s="126">
        <f>21.5*1.8</f>
        <v>38.700000000000003</v>
      </c>
      <c r="L39" s="134">
        <f>Таблица1[[#This Row],[Муса]]-Таблица1[РД 
(Автокад)]</f>
        <v>9.0999999999999943</v>
      </c>
      <c r="M39" s="126">
        <v>38.700000000000003</v>
      </c>
      <c r="N39" s="126"/>
    </row>
    <row r="40" spans="1:15" ht="16.8" customHeight="1">
      <c r="A40" s="123">
        <v>121</v>
      </c>
      <c r="B40" s="127" t="s">
        <v>47</v>
      </c>
      <c r="C40" s="123" t="s">
        <v>48</v>
      </c>
      <c r="D40" s="130" t="s">
        <v>49</v>
      </c>
      <c r="E40" s="123">
        <v>3</v>
      </c>
      <c r="F40" s="141" t="s">
        <v>247</v>
      </c>
      <c r="G40" s="123" t="s">
        <v>15</v>
      </c>
      <c r="H40" s="123" t="s">
        <v>7</v>
      </c>
      <c r="I40" s="126" t="s">
        <v>340</v>
      </c>
      <c r="J40" s="124">
        <v>15</v>
      </c>
      <c r="K40" s="126">
        <f>(3.7+5.1)*1.8</f>
        <v>15.840000000000002</v>
      </c>
      <c r="L40" s="133">
        <f>Таблица1[[#This Row],[Муса]]-Таблица1[РД 
(Автокад)]</f>
        <v>-0.84000000000000163</v>
      </c>
      <c r="M40" s="126">
        <v>15</v>
      </c>
      <c r="N40" s="126"/>
    </row>
    <row r="41" spans="1:15" ht="12.6" customHeight="1">
      <c r="A41" s="123">
        <v>110</v>
      </c>
      <c r="B41" s="127" t="s">
        <v>47</v>
      </c>
      <c r="C41" s="123" t="s">
        <v>48</v>
      </c>
      <c r="D41" s="130" t="s">
        <v>49</v>
      </c>
      <c r="E41" s="123">
        <v>3</v>
      </c>
      <c r="F41" s="141" t="s">
        <v>248</v>
      </c>
      <c r="G41" s="123" t="s">
        <v>15</v>
      </c>
      <c r="H41" s="123" t="s">
        <v>7</v>
      </c>
      <c r="I41" s="126" t="s">
        <v>333</v>
      </c>
      <c r="J41" s="124">
        <v>37.200000000000003</v>
      </c>
      <c r="K41" s="126">
        <f>21.5*1.8</f>
        <v>38.700000000000003</v>
      </c>
      <c r="L41" s="133">
        <f>Таблица1[[#This Row],[Муса]]-Таблица1[РД 
(Автокад)]</f>
        <v>-1.5</v>
      </c>
      <c r="M41" s="126">
        <v>37.200000000000003</v>
      </c>
      <c r="N41" s="126"/>
    </row>
    <row r="42" spans="1:15" ht="18.600000000000001" customHeight="1">
      <c r="A42" s="123">
        <v>117</v>
      </c>
      <c r="B42" s="127" t="s">
        <v>47</v>
      </c>
      <c r="C42" s="123" t="s">
        <v>48</v>
      </c>
      <c r="D42" s="130" t="s">
        <v>49</v>
      </c>
      <c r="E42" s="123">
        <v>3</v>
      </c>
      <c r="F42" s="141" t="s">
        <v>254</v>
      </c>
      <c r="G42" s="123" t="s">
        <v>15</v>
      </c>
      <c r="H42" s="123" t="s">
        <v>7</v>
      </c>
      <c r="I42" s="126" t="s">
        <v>339</v>
      </c>
      <c r="J42" s="124">
        <v>39.5</v>
      </c>
      <c r="K42" s="126">
        <f>9.7*4</f>
        <v>38.799999999999997</v>
      </c>
      <c r="L42" s="133">
        <f>Таблица1[[#This Row],[Муса]]-Таблица1[РД 
(Автокад)]</f>
        <v>0.70000000000000284</v>
      </c>
      <c r="M42" s="126">
        <v>38.799999999999997</v>
      </c>
      <c r="N42" s="126"/>
    </row>
    <row r="43" spans="1:15" ht="18">
      <c r="A43" s="125"/>
      <c r="B43" s="125"/>
      <c r="C43" s="125"/>
      <c r="D43" s="129"/>
      <c r="E43" s="31"/>
      <c r="F43" s="31"/>
      <c r="G43" s="31"/>
      <c r="H43" s="31"/>
      <c r="I43" s="122"/>
      <c r="J43" s="122">
        <f>SUM(J2:J42)</f>
        <v>1256.7000000000003</v>
      </c>
      <c r="K43" s="122">
        <f t="shared" ref="K43:M43" si="0">SUM(K2:K42)</f>
        <v>1268.3200000000002</v>
      </c>
      <c r="L43" s="122"/>
      <c r="M43" s="122">
        <f t="shared" si="0"/>
        <v>1152.6000000000001</v>
      </c>
      <c r="N43" s="122"/>
      <c r="O43" s="31"/>
    </row>
    <row r="44" spans="1:15" ht="43.2">
      <c r="J44" s="140" t="s">
        <v>351</v>
      </c>
      <c r="K44" s="140" t="s">
        <v>350</v>
      </c>
      <c r="L44" s="140"/>
      <c r="M44" s="140" t="s">
        <v>349</v>
      </c>
    </row>
    <row r="46" spans="1:15">
      <c r="L46" s="136"/>
      <c r="M46" s="139" t="s">
        <v>347</v>
      </c>
    </row>
    <row r="47" spans="1:15">
      <c r="L47" s="138"/>
      <c r="M47" s="139" t="s">
        <v>363</v>
      </c>
    </row>
    <row r="48" spans="1:15">
      <c r="L48" s="135"/>
      <c r="M48" s="139" t="s">
        <v>348</v>
      </c>
    </row>
    <row r="51" spans="6:14">
      <c r="J51" s="175" t="s">
        <v>358</v>
      </c>
      <c r="K51" s="175"/>
      <c r="L51" s="175"/>
    </row>
    <row r="53" spans="6:14" ht="18">
      <c r="F53" s="170" t="s">
        <v>354</v>
      </c>
      <c r="G53" s="170" t="s">
        <v>7</v>
      </c>
      <c r="H53" s="171">
        <v>320.39999999999998</v>
      </c>
      <c r="I53" s="172" t="s">
        <v>360</v>
      </c>
      <c r="J53" s="173">
        <v>120</v>
      </c>
      <c r="K53" s="173">
        <v>110.9</v>
      </c>
      <c r="L53" s="173">
        <v>89.5</v>
      </c>
      <c r="M53" s="174">
        <f t="shared" ref="M53:M57" si="1">SUM(J53:L53)</f>
        <v>320.39999999999998</v>
      </c>
    </row>
    <row r="54" spans="6:14">
      <c r="I54" s="121" t="s">
        <v>361</v>
      </c>
      <c r="J54">
        <v>112.4</v>
      </c>
      <c r="K54">
        <v>101.6</v>
      </c>
      <c r="L54">
        <f>75.9+13.3</f>
        <v>89.2</v>
      </c>
      <c r="M54">
        <f>SUM(J54:L54)</f>
        <v>303.2</v>
      </c>
    </row>
    <row r="55" spans="6:14">
      <c r="M55">
        <f>M53-M54</f>
        <v>17.199999999999989</v>
      </c>
      <c r="N55" s="139" t="s">
        <v>362</v>
      </c>
    </row>
    <row r="57" spans="6:14" ht="18" hidden="1">
      <c r="F57" s="170" t="s">
        <v>355</v>
      </c>
      <c r="G57" s="170" t="s">
        <v>7</v>
      </c>
      <c r="H57" s="171">
        <v>249.1</v>
      </c>
      <c r="I57" s="172"/>
      <c r="J57" s="173">
        <v>88.3</v>
      </c>
      <c r="K57" s="173">
        <v>128.9</v>
      </c>
      <c r="L57" s="173">
        <v>31.9</v>
      </c>
      <c r="M57" s="174">
        <f t="shared" si="1"/>
        <v>249.1</v>
      </c>
    </row>
    <row r="58" spans="6:14" hidden="1">
      <c r="I58" s="121" t="s">
        <v>361</v>
      </c>
      <c r="L58">
        <v>30</v>
      </c>
      <c r="M58">
        <f>SUM(J58:L58)</f>
        <v>30</v>
      </c>
    </row>
    <row r="59" spans="6:14" hidden="1"/>
    <row r="60" spans="6:14" ht="18" hidden="1">
      <c r="F60" s="170" t="s">
        <v>356</v>
      </c>
      <c r="G60" s="170" t="s">
        <v>7</v>
      </c>
      <c r="H60" s="171">
        <v>238.4</v>
      </c>
      <c r="I60" s="172"/>
      <c r="J60" s="173">
        <v>157.19999999999999</v>
      </c>
      <c r="K60" s="173">
        <v>330.3</v>
      </c>
      <c r="L60" s="173">
        <v>81.2</v>
      </c>
      <c r="M60" s="174">
        <f>SUM(J60:L60)</f>
        <v>568.70000000000005</v>
      </c>
    </row>
    <row r="61" spans="6:14" hidden="1">
      <c r="I61" s="121" t="s">
        <v>361</v>
      </c>
      <c r="M61">
        <f>SUM(J61:L61)</f>
        <v>0</v>
      </c>
    </row>
    <row r="62" spans="6:14" hidden="1"/>
    <row r="63" spans="6:14" ht="18" hidden="1">
      <c r="F63" s="167"/>
      <c r="G63" s="167"/>
      <c r="H63" s="167" t="s">
        <v>357</v>
      </c>
      <c r="I63" s="167"/>
      <c r="J63" s="168">
        <v>1</v>
      </c>
      <c r="K63" s="168">
        <v>2</v>
      </c>
      <c r="L63" s="168">
        <v>3</v>
      </c>
      <c r="M63" s="169" t="s">
        <v>359</v>
      </c>
    </row>
    <row r="64" spans="6:14" ht="18" hidden="1">
      <c r="F64" s="170" t="s">
        <v>353</v>
      </c>
      <c r="G64" s="170" t="s">
        <v>7</v>
      </c>
      <c r="H64" s="171">
        <v>593.5</v>
      </c>
      <c r="I64" s="172"/>
      <c r="J64" s="176">
        <v>316.89999999999998</v>
      </c>
      <c r="K64" s="176">
        <v>149.5</v>
      </c>
      <c r="L64" s="176">
        <v>127.1</v>
      </c>
      <c r="M64" s="177">
        <f>SUM(J64:L64)</f>
        <v>593.5</v>
      </c>
    </row>
    <row r="65" spans="9:13" hidden="1">
      <c r="I65" s="121" t="s">
        <v>361</v>
      </c>
      <c r="M65">
        <f>SUM(J65:L65)</f>
        <v>0</v>
      </c>
    </row>
  </sheetData>
  <mergeCells count="1">
    <mergeCell ref="J51:L5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>
          <x14:formula1>
            <xm:f>'Всплываюшиеся списки'!$E$3:$E$187</xm:f>
          </x14:formula1>
          <xm:sqref>F4:F35</xm:sqref>
        </x14:dataValidation>
        <x14:dataValidation type="list" allowBlank="1" showInputMessage="1" showErrorMessage="1">
          <x14:formula1>
            <xm:f>Расценки!$B$3:$B$31</xm:f>
          </x14:formula1>
          <xm:sqref>G4:G35</xm:sqref>
        </x14:dataValidation>
        <x14:dataValidation type="list" allowBlank="1" showInputMessage="1" showErrorMessage="1">
          <x14:formula1>
            <xm:f>'Всплываюшиеся списки'!$F$3:$F$11</xm:f>
          </x14:formula1>
          <xm:sqref>B4:B35</xm:sqref>
        </x14:dataValidation>
        <x14:dataValidation type="list" allowBlank="1" showInputMessage="1" showErrorMessage="1">
          <x14:formula1>
            <xm:f>'Всплываюшиеся списки'!$B$3:$B$4</xm:f>
          </x14:formula1>
          <xm:sqref>C4:C21 C32:C35</xm:sqref>
        </x14:dataValidation>
        <x14:dataValidation type="list" allowBlank="1" showInputMessage="1" showErrorMessage="1">
          <x14:formula1>
            <xm:f>'Всплываюшиеся списки'!$C$3:$C$7</xm:f>
          </x14:formula1>
          <xm:sqref>D4:D35</xm:sqref>
        </x14:dataValidation>
        <x14:dataValidation type="list" allowBlank="1" showInputMessage="1" showErrorMessage="1">
          <x14:formula1>
            <xm:f>'Всплываюшиеся списки'!$D$3:$D$7</xm:f>
          </x14:formula1>
          <xm:sqref>E4:E35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Расценки</vt:lpstr>
      <vt:lpstr>Наряд заказы</vt:lpstr>
      <vt:lpstr>Накопительная</vt:lpstr>
      <vt:lpstr>Сводная по наряд заказам</vt:lpstr>
      <vt:lpstr>Всплываюшиеся списки</vt:lpstr>
      <vt:lpstr>У_Р-П_Пл</vt:lpstr>
      <vt:lpstr>Обл Пов 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Linux</cp:lastModifiedBy>
  <dcterms:created xsi:type="dcterms:W3CDTF">2025-10-17T07:03:41Z</dcterms:created>
  <dcterms:modified xsi:type="dcterms:W3CDTF">2026-02-12T11:01:49Z</dcterms:modified>
</cp:coreProperties>
</file>